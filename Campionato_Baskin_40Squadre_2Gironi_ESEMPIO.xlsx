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lassifica" sheetId="4" state="visible" r:id="rId4"/>
    <sheet xmlns:r="http://schemas.openxmlformats.org/officeDocument/2006/relationships" name="Playoff" sheetId="5" state="visible" r:id="rId5"/>
    <sheet xmlns:r="http://schemas.openxmlformats.org/officeDocument/2006/relationships" name="Classifica Finale" sheetId="6" state="visible" r:id="rId6"/>
    <sheet xmlns:r="http://schemas.openxmlformats.org/officeDocument/2006/relationships" name="DESIGNAZIONI" sheetId="7" state="visible" r:id="rId7"/>
    <sheet xmlns:r="http://schemas.openxmlformats.org/officeDocument/2006/relationships" name="Arbitri" sheetId="8" state="visible" r:id="rId8"/>
    <sheet xmlns:r="http://schemas.openxmlformats.org/officeDocument/2006/relationships" name="UdC" sheetId="9" state="visible" r:id="rId9"/>
    <sheet xmlns:r="http://schemas.openxmlformats.org/officeDocument/2006/relationships" name="MEMO" sheetId="10" state="visible" r:id="rId10"/>
    <sheet xmlns:r="http://schemas.openxmlformats.org/officeDocument/2006/relationships" name="Calendario.ics" sheetId="11" state="visible" r:id="rId11"/>
    <sheet xmlns:r="http://schemas.openxmlformats.org/officeDocument/2006/relationships" name="Dati" sheetId="12" state="hidden" r:id="rId12"/>
    <sheet xmlns:r="http://schemas.openxmlformats.org/officeDocument/2006/relationships" name="REGOLAMENTO" sheetId="13" state="visible" r:id="rId13"/>
  </sheets>
  <definedNames>
    <definedName name="constNomeCampionato">Campionato!$D$2</definedName>
    <definedName name="constGironi">Campionato!$D$5</definedName>
    <definedName name="constNomiGironi">Campionato!$D$11</definedName>
    <definedName name="constLogo1">Campionato!$D$3</definedName>
    <definedName name="constLogo2">Campionato!$D$4</definedName>
    <definedName name="constSezioneCampionato">Campionato!$D$5</definedName>
    <definedName name="constStagionaCampionato">Campionato!$D$6</definedName>
    <definedName name="constPuntiVittoria">Campionato!$D$7</definedName>
    <definedName name="constPuntiSconfitta">Campionato!$D$8</definedName>
    <definedName name="constPuntiForfait">Campionato!$D$9</definedName>
    <definedName name="constPunteggioForfait">Campionato!$D$10</definedName>
    <definedName name="areaNomiSquadre">Campionato!$B$14:$C$53</definedName>
    <definedName name="areaNomiBreviSquadre">Campionato!$B$14:$H$53</definedName>
    <definedName name="areaCoefficienteSquadre">Campionato!$I$14:$I$53</definedName>
    <definedName name="areaCercaPuntiClassificaSquadra">Campionato!$H$14:$J$53</definedName>
    <definedName name="areaCercaDatiPerPosizioneSquadre">Campionato!$G$14:$W$53</definedName>
    <definedName name="areaCampiSquadre">Campionato!$B$57:$D$105</definedName>
    <definedName name="ARBITRI">Arbitri!$D$5:$D$304</definedName>
    <definedName name="UDC">UdC!$D$5:$D$304</definedName>
    <definedName name="_xlnm.Print_Area" localSheetId="0">'Campionato'!$A$1:$E$108</definedName>
    <definedName name="areaSquadraACalendario" localSheetId="1">'Calendario A'!$M$8:$M$615</definedName>
    <definedName name="areaVintaACalendario" localSheetId="1">'Calendario A'!$N$8:$N$615</definedName>
    <definedName name="areaForfaitACalendario" localSheetId="1">'Calendario A'!$O$8:$O$615</definedName>
    <definedName name="areaPersaACalendario" localSheetId="1">'Calendario A'!$P$8:$P$615</definedName>
    <definedName name="areaPuntiFattiACalendario" localSheetId="1">'Calendario A'!$Q$8:$Q$615</definedName>
    <definedName name="areaPuntiSubitiACalendario" localSheetId="1">'Calendario A'!$R$8:$R$615</definedName>
    <definedName name="areaDifferenzaPuntiACalendario" localSheetId="1">'Calendario A'!$S$8:$S$615</definedName>
    <definedName name="areaSquadraBCalendario" localSheetId="1">'Calendario A'!$T$8:$T$615</definedName>
    <definedName name="areaVintaBCalendario" localSheetId="1">'Calendario A'!$U$8:$U$615</definedName>
    <definedName name="areaForfaitBCalendario" localSheetId="1">'Calendario A'!$V$8:$V$615</definedName>
    <definedName name="areaPersaBCalendario" localSheetId="1">'Calendario A'!$W$8:$W$615</definedName>
    <definedName name="areaPuntiFattiBCalendario" localSheetId="1">'Calendario A'!$X$8:$X$615</definedName>
    <definedName name="areaPuntiSubitiBCalendario" localSheetId="1">'Calendario A'!$Y$8:$Y$615</definedName>
    <definedName name="areaDifferenzaPuntiBCalendario" localSheetId="1">'Calendario A'!$Z$8:$Z$615</definedName>
    <definedName name="_xlnm.Print_Titles" localSheetId="1">'Calendario A'!$1:$3</definedName>
    <definedName name="_xlnm.Print_Area" localSheetId="1">'Calendario A'!$A$1:$L$617</definedName>
    <definedName name="areaSquadraACalendario" localSheetId="2">'Calendario B'!$M$8:$M$615</definedName>
    <definedName name="areaVintaACalendario" localSheetId="2">'Calendario B'!$N$8:$N$615</definedName>
    <definedName name="areaForfaitACalendario" localSheetId="2">'Calendario B'!$O$8:$O$615</definedName>
    <definedName name="areaPersaACalendario" localSheetId="2">'Calendario B'!$P$8:$P$615</definedName>
    <definedName name="areaPuntiFattiACalendario" localSheetId="2">'Calendario B'!$Q$8:$Q$615</definedName>
    <definedName name="areaPuntiSubitiACalendario" localSheetId="2">'Calendario B'!$R$8:$R$615</definedName>
    <definedName name="areaDifferenzaPuntiACalendario" localSheetId="2">'Calendario B'!$S$8:$S$615</definedName>
    <definedName name="areaSquadraBCalendario" localSheetId="2">'Calendario B'!$T$8:$T$615</definedName>
    <definedName name="areaVintaBCalendario" localSheetId="2">'Calendario B'!$U$8:$U$615</definedName>
    <definedName name="areaForfaitBCalendario" localSheetId="2">'Calendario B'!$V$8:$V$615</definedName>
    <definedName name="areaPersaBCalendario" localSheetId="2">'Calendario B'!$W$8:$W$615</definedName>
    <definedName name="areaPuntiFattiBCalendario" localSheetId="2">'Calendario B'!$X$8:$X$615</definedName>
    <definedName name="areaPuntiSubitiBCalendario" localSheetId="2">'Calendario B'!$Y$8:$Y$615</definedName>
    <definedName name="areaDifferenzaPuntiBCalendario" localSheetId="2">'Calendario B'!$Z$8:$Z$615</definedName>
    <definedName name="_xlnm.Print_Titles" localSheetId="2">'Calendario B'!$1:$3</definedName>
    <definedName name="_xlnm.Print_Area" localSheetId="2">'Calendario B'!$A$1:$L$617</definedName>
    <definedName name="_xlnm.Print_Titles" localSheetId="3">'Classifica'!$1:$3</definedName>
    <definedName name="_xlnm.Print_Area" localSheetId="3">'Classifica'!$A$1:$M$56</definedName>
    <definedName name="areaSquadraACalendario" localSheetId="4">Playoff!$M$8:$M$63</definedName>
    <definedName name="areaVintaACalendario" localSheetId="4">Playoff!$N$8:$N$63</definedName>
    <definedName name="areaForfaitACalendario" localSheetId="4">Playoff!$O$8:$O$63</definedName>
    <definedName name="areaPersaACalendario" localSheetId="4">Playoff!$P$8:$P$63</definedName>
    <definedName name="areaPuntiFattiACalendario" localSheetId="4">Playoff!$Q$8:$Q$63</definedName>
    <definedName name="areaPuntiSubitiACalendario" localSheetId="4">Playoff!$R$8:$R$63</definedName>
    <definedName name="areaDifferenzaPuntiACalendario" localSheetId="4">Playoff!$S$8:$S$63</definedName>
    <definedName name="areaSquadraBCalendario" localSheetId="4">Playoff!$T$8:$T$63</definedName>
    <definedName name="areaVintaBCalendario" localSheetId="4">Playoff!$U$8:$U$63</definedName>
    <definedName name="areaForfaitBCalendario" localSheetId="4">Playoff!$V$8:$V$63</definedName>
    <definedName name="areaPersaBCalendario" localSheetId="4">Playoff!$W$8:$W$63</definedName>
    <definedName name="areaPuntiFattiBCalendario" localSheetId="4">Playoff!$X$8:$X$63</definedName>
    <definedName name="areaPuntiSubitiBCalendario" localSheetId="4">Playoff!$Y$8:$Y$63</definedName>
    <definedName name="areaDifferenzaPuntiBCalendario" localSheetId="4">Playoff!$Z$8:$Z$63</definedName>
    <definedName name="_xlnm.Print_Titles" localSheetId="4">'Playoff'!$1:$3</definedName>
    <definedName name="_xlnm.Print_Area" localSheetId="4">'Playoff'!$A$1:$L$42</definedName>
    <definedName name="_xlnm.Print_Titles" localSheetId="5">'Classifica Finale'!$1:$6</definedName>
    <definedName name="_xlnm.Print_Area" localSheetId="5">'Classifica Finale'!$A$1:$E$48</definedName>
    <definedName name="_xlnm.Print_Titles" localSheetId="6">'DESIGNAZIONI'!$1:$3</definedName>
    <definedName name="_xlnm.Print_Area" localSheetId="6">'DESIGNAZIONI'!$A$1:$R$1320</definedName>
    <definedName name="_xlnm.Print_Titles" localSheetId="7">'Arbitri'!$1:$4</definedName>
    <definedName name="_xlnm.Print_Area" localSheetId="7">'Arbitri'!$A$1:$O$104</definedName>
    <definedName name="_xlnm.Print_Titles" localSheetId="8">'UdC'!$1:$4</definedName>
    <definedName name="_xlnm.Print_Area" localSheetId="8">'UdC'!$A$1:$O$104</definedName>
    <definedName name="_xlnm.Print_Area" localSheetId="10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0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inlineStr">
        <is>
          <t>Campionato Baskin Demo - ESEMPIO 40 Squadre</t>
        </is>
      </c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</t>
        </is>
      </c>
    </row>
    <row r="6">
      <c r="B6" s="3" t="inlineStr">
        <is>
          <t>Stagione</t>
        </is>
      </c>
      <c r="D6" s="5" t="inlineStr">
        <is>
          <t>2026/2027</t>
        </is>
      </c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inlineStr">
        <is>
          <t>Gold,Silver</t>
        </is>
      </c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inlineStr">
        <is>
          <t>Anaconde Audaci-Anacondeopoli AA</t>
        </is>
      </c>
      <c r="D14" s="14" t="n"/>
      <c r="E14" s="15" t="inlineStr">
        <is>
          <t>A</t>
        </is>
      </c>
      <c r="G14" s="16">
        <f>IF($C14="","",$E14&amp;(COUNTIFS(I$14:I$53,"&gt;"&amp;I14,E$14:E$53,"="&amp;E14,C$14:C$53,"&lt;&gt;")+COUNTIFS(I$14:I$53,"="&amp;I14,H$14:H$53,"&lt;="&amp;H14,E$14:E$53,"="&amp;E14,C$14:C$53,"&lt;&gt;")))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L14*constPuntiVittoria+M14*constPuntiSconfitta+N14*constPuntiForfait+IF(D14="",0,D14)</f>
        <v/>
      </c>
      <c r="K14" s="12">
        <f>SUM(L14:N14)</f>
        <v/>
      </c>
      <c r="L14" s="12">
        <f>IF($H14="",0,SUMIF(Dati!$A$2:$A$381,$H14,Dati!$B$2:$B$381)+SUMIF(Dati!$H$2:$H$381,$H14,Dati!$I$2:$I$381))</f>
        <v/>
      </c>
      <c r="M14" s="12">
        <f>IF($H14="",0,SUMIF(Dati!$A$2:$A$381,$H14,Dati!$D$2:$D$381)+SUMIF(Dati!$H$2:$H$381,$H14,Dati!$K$2:$K$381))</f>
        <v/>
      </c>
      <c r="N14" s="12">
        <f>IF($H14="",0,SUMIF(Dati!$A$2:$A$381,$H14,Dati!$C$2:$C$381)+SUMIF(Dati!$H$2:$H$381,$H14,Dati!$J$2:$J$381))</f>
        <v/>
      </c>
      <c r="O14" s="12">
        <f>IF($H14="",0,SUMIF(Dati!$A$2:$A$381,$H14,Dati!$E$2:$E$381)+SUMIF(Dati!$H$2:$H$381,$H14,Dati!$L$2:$L$381))</f>
        <v/>
      </c>
      <c r="P14" s="12">
        <f>IF($H14="",0,SUMIF(Dati!$A$2:$A$381,$H14,Dati!$F$2:$F$381)+SUMIF(Dati!$H$2:$H$381,$H14,Dati!$M$2:$M$381))</f>
        <v/>
      </c>
      <c r="Q14" s="12">
        <f>IF($H14="",0,SUMIF(Dati!$A$2:$A$381,$H14,Dati!$G$2:$G$381)+SUMIF(Dati!$H$2:$H$381,$H14,Dati!$N$2:$N$381))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IF(COUNTIFS($E$14:$E$53,$E14,$J$14:$J$53,$J14,$C$14:$C$53,"&lt;&gt;")&lt;=1,"-",SUM(AU14:BN14)&amp;"-"&amp;SUM(BQ14:CJ14))</f>
        <v/>
      </c>
      <c r="V14" s="18">
        <f>IF(COUNTIFS($E$14:$E$53,$E14,$J$14:$J$53,$J14,$C$14:$C$53,"&lt;&gt;",$ED$14:$ED$53,$ED14)&lt;=1,"-",IF(SUM(DI14:EB14)=0,0,ROUND(SUM(CM14:DF14)/SUM(DI14:EB14),3)))</f>
        <v/>
      </c>
      <c r="W14" s="18">
        <f>IF(COUNTIFS($E$14:$E$53,$E14,$J$14:$J$53,$J14,$C$14:$C$53,"&lt;&gt;",$ED$14:$ED$53,$ED14,$V$14:$V$53,$V14)&lt;=1,"-",IF(P14=0,0,ROUND(O14/P14,3)))</f>
        <v/>
      </c>
      <c r="X14" s="19">
        <f>IF($C14="","",$E14&amp;"#"&amp;COUNTIFS($E$14:$E14,$E14,$C$14:$C14,"&lt;&gt;"))</f>
        <v/>
      </c>
      <c r="Y14" s="20">
        <f>IFERROR(INDEX($H$14:$H$53,MATCH($E14&amp;"#1",$X$14:$X$53,0)),"")</f>
        <v/>
      </c>
      <c r="Z14" s="20">
        <f>IFERROR(INDEX($H$14:$H$53,MATCH($E14&amp;"#2",$X$14:$X$53,0)),"")</f>
        <v/>
      </c>
      <c r="AA14" s="20">
        <f>IFERROR(INDEX($H$14:$H$53,MATCH($E14&amp;"#3",$X$14:$X$53,0)),"")</f>
        <v/>
      </c>
      <c r="AB14" s="20">
        <f>IFERROR(INDEX($H$14:$H$53,MATCH($E14&amp;"#4",$X$14:$X$53,0)),"")</f>
        <v/>
      </c>
      <c r="AC14" s="20">
        <f>IFERROR(INDEX($H$14:$H$53,MATCH($E14&amp;"#5",$X$14:$X$53,0)),"")</f>
        <v/>
      </c>
      <c r="AD14" s="20">
        <f>IFERROR(INDEX($H$14:$H$53,MATCH($E14&amp;"#6",$X$14:$X$53,0)),"")</f>
        <v/>
      </c>
      <c r="AE14" s="20">
        <f>IFERROR(INDEX($H$14:$H$53,MATCH($E14&amp;"#7",$X$14:$X$53,0)),"")</f>
        <v/>
      </c>
      <c r="AF14" s="20">
        <f>IFERROR(INDEX($H$14:$H$53,MATCH($E14&amp;"#8",$X$14:$X$53,0)),"")</f>
        <v/>
      </c>
      <c r="AG14" s="20">
        <f>IFERROR(INDEX($H$14:$H$53,MATCH($E14&amp;"#9",$X$14:$X$53,0)),"")</f>
        <v/>
      </c>
      <c r="AH14" s="20">
        <f>IFERROR(INDEX($H$14:$H$53,MATCH($E14&amp;"#10",$X$14:$X$53,0)),"")</f>
        <v/>
      </c>
      <c r="AI14" s="20">
        <f>IFERROR(INDEX($H$14:$H$53,MATCH($E14&amp;"#11",$X$14:$X$53,0)),"")</f>
        <v/>
      </c>
      <c r="AJ14" s="20">
        <f>IFERROR(INDEX($H$14:$H$53,MATCH($E14&amp;"#12",$X$14:$X$53,0)),"")</f>
        <v/>
      </c>
      <c r="AK14" s="20">
        <f>IFERROR(INDEX($H$14:$H$53,MATCH($E14&amp;"#13",$X$14:$X$53,0)),"")</f>
        <v/>
      </c>
      <c r="AL14" s="20">
        <f>IFERROR(INDEX($H$14:$H$53,MATCH($E14&amp;"#14",$X$14:$X$53,0)),"")</f>
        <v/>
      </c>
      <c r="AM14" s="20">
        <f>IFERROR(INDEX($H$14:$H$53,MATCH($E14&amp;"#15",$X$14:$X$53,0)),"")</f>
        <v/>
      </c>
      <c r="AN14" s="20">
        <f>IFERROR(INDEX($H$14:$H$53,MATCH($E14&amp;"#16",$X$14:$X$53,0)),"")</f>
        <v/>
      </c>
      <c r="AO14" s="20">
        <f>IFERROR(INDEX($H$14:$H$53,MATCH($E14&amp;"#17",$X$14:$X$53,0)),"")</f>
        <v/>
      </c>
      <c r="AP14" s="20">
        <f>IFERROR(INDEX($H$14:$H$53,MATCH($E14&amp;"#18",$X$14:$X$53,0)),"")</f>
        <v/>
      </c>
      <c r="AQ14" s="20">
        <f>IFERROR(INDEX($H$14:$H$53,MATCH($E14&amp;"#19",$X$14:$X$53,0)),"")</f>
        <v/>
      </c>
      <c r="AR14" s="20">
        <f>IFERROR(INDEX($H$14:$H$53,MATCH($E14&amp;"#20",$X$14:$X$53,0)),"")</f>
        <v/>
      </c>
      <c r="AT14" s="21">
        <f>$C14</f>
        <v/>
      </c>
      <c r="AU14" s="22">
        <f>IF(AND($H14&lt;&gt;"",$Y14&lt;&gt;"",$H14&lt;&gt;$Y14,IFERROR(VLOOKUP($H14,areaCercaPuntiClassificaSquadra,3,FALSE),-1)=IFERROR(VLOOKUP($Y14,areaCercaPuntiClassificaSquadra,3,FALSE),-2)),SUMIFS(Dati!$B$2:$B$381,Dati!$A$2:$A$381,$H14,Dati!$H$2:$H$381,$Y14)+SUMIFS(Dati!$I$2:$I$381,Dati!$H$2:$H$381,$H14,Dati!$A$2:$A$381,$Y14),"-")</f>
        <v/>
      </c>
      <c r="AV14" s="22">
        <f>IF(AND($H14&lt;&gt;"",$Z14&lt;&gt;"",$H14&lt;&gt;$Z14,IFERROR(VLOOKUP($H14,areaCercaPuntiClassificaSquadra,3,FALSE),-1)=IFERROR(VLOOKUP($Z14,areaCercaPuntiClassificaSquadra,3,FALSE),-2)),SUMIFS(Dati!$B$2:$B$381,Dati!$A$2:$A$381,$H14,Dati!$H$2:$H$381,$Z14)+SUMIFS(Dati!$I$2:$I$381,Dati!$H$2:$H$381,$H14,Dati!$A$2:$A$381,$Z14),"-")</f>
        <v/>
      </c>
      <c r="AW14" s="22">
        <f>IF(AND($H14&lt;&gt;"",$AA14&lt;&gt;"",$H14&lt;&gt;$AA14,IFERROR(VLOOKUP($H14,areaCercaPuntiClassificaSquadra,3,FALSE),-1)=IFERROR(VLOOKUP($AA14,areaCercaPuntiClassificaSquadra,3,FALSE),-2)),SUMIFS(Dati!$B$2:$B$381,Dati!$A$2:$A$381,$H14,Dati!$H$2:$H$381,$AA14)+SUMIFS(Dati!$I$2:$I$381,Dati!$H$2:$H$381,$H14,Dati!$A$2:$A$381,$AA14),"-")</f>
        <v/>
      </c>
      <c r="AX14" s="22">
        <f>IF(AND($H14&lt;&gt;"",$AB14&lt;&gt;"",$H14&lt;&gt;$AB14,IFERROR(VLOOKUP($H14,areaCercaPuntiClassificaSquadra,3,FALSE),-1)=IFERROR(VLOOKUP($AB14,areaCercaPuntiClassificaSquadra,3,FALSE),-2)),SUMIFS(Dati!$B$2:$B$381,Dati!$A$2:$A$381,$H14,Dati!$H$2:$H$381,$AB14)+SUMIFS(Dati!$I$2:$I$381,Dati!$H$2:$H$381,$H14,Dati!$A$2:$A$381,$AB14),"-")</f>
        <v/>
      </c>
      <c r="AY14" s="22">
        <f>IF(AND($H14&lt;&gt;"",$AC14&lt;&gt;"",$H14&lt;&gt;$AC14,IFERROR(VLOOKUP($H14,areaCercaPuntiClassificaSquadra,3,FALSE),-1)=IFERROR(VLOOKUP($AC14,areaCercaPuntiClassificaSquadra,3,FALSE),-2)),SUMIFS(Dati!$B$2:$B$381,Dati!$A$2:$A$381,$H14,Dati!$H$2:$H$381,$AC14)+SUMIFS(Dati!$I$2:$I$381,Dati!$H$2:$H$381,$H14,Dati!$A$2:$A$381,$AC14),"-")</f>
        <v/>
      </c>
      <c r="AZ14" s="22">
        <f>IF(AND($H14&lt;&gt;"",$AD14&lt;&gt;"",$H14&lt;&gt;$AD14,IFERROR(VLOOKUP($H14,areaCercaPuntiClassificaSquadra,3,FALSE),-1)=IFERROR(VLOOKUP($AD14,areaCercaPuntiClassificaSquadra,3,FALSE),-2)),SUMIFS(Dati!$B$2:$B$381,Dati!$A$2:$A$381,$H14,Dati!$H$2:$H$381,$AD14)+SUMIFS(Dati!$I$2:$I$381,Dati!$H$2:$H$381,$H14,Dati!$A$2:$A$381,$AD14),"-")</f>
        <v/>
      </c>
      <c r="BA14" s="22">
        <f>IF(AND($H14&lt;&gt;"",$AE14&lt;&gt;"",$H14&lt;&gt;$AE14,IFERROR(VLOOKUP($H14,areaCercaPuntiClassificaSquadra,3,FALSE),-1)=IFERROR(VLOOKUP($AE14,areaCercaPuntiClassificaSquadra,3,FALSE),-2)),SUMIFS(Dati!$B$2:$B$381,Dati!$A$2:$A$381,$H14,Dati!$H$2:$H$381,$AE14)+SUMIFS(Dati!$I$2:$I$381,Dati!$H$2:$H$381,$H14,Dati!$A$2:$A$381,$AE14),"-")</f>
        <v/>
      </c>
      <c r="BB14" s="22">
        <f>IF(AND($H14&lt;&gt;"",$AF14&lt;&gt;"",$H14&lt;&gt;$AF14,IFERROR(VLOOKUP($H14,areaCercaPuntiClassificaSquadra,3,FALSE),-1)=IFERROR(VLOOKUP($AF14,areaCercaPuntiClassificaSquadra,3,FALSE),-2)),SUMIFS(Dati!$B$2:$B$381,Dati!$A$2:$A$381,$H14,Dati!$H$2:$H$381,$AF14)+SUMIFS(Dati!$I$2:$I$381,Dati!$H$2:$H$381,$H14,Dati!$A$2:$A$381,$AF14),"-")</f>
        <v/>
      </c>
      <c r="BC14" s="22">
        <f>IF(AND($H14&lt;&gt;"",$AG14&lt;&gt;"",$H14&lt;&gt;$AG14,IFERROR(VLOOKUP($H14,areaCercaPuntiClassificaSquadra,3,FALSE),-1)=IFERROR(VLOOKUP($AG14,areaCercaPuntiClassificaSquadra,3,FALSE),-2)),SUMIFS(Dati!$B$2:$B$381,Dati!$A$2:$A$381,$H14,Dati!$H$2:$H$381,$AG14)+SUMIFS(Dati!$I$2:$I$381,Dati!$H$2:$H$381,$H14,Dati!$A$2:$A$381,$AG14),"-")</f>
        <v/>
      </c>
      <c r="BD14" s="22">
        <f>IF(AND($H14&lt;&gt;"",$AH14&lt;&gt;"",$H14&lt;&gt;$AH14,IFERROR(VLOOKUP($H14,areaCercaPuntiClassificaSquadra,3,FALSE),-1)=IFERROR(VLOOKUP($AH14,areaCercaPuntiClassificaSquadra,3,FALSE),-2)),SUMIFS(Dati!$B$2:$B$381,Dati!$A$2:$A$381,$H14,Dati!$H$2:$H$381,$AH14)+SUMIFS(Dati!$I$2:$I$381,Dati!$H$2:$H$381,$H14,Dati!$A$2:$A$381,$AH14),"-")</f>
        <v/>
      </c>
      <c r="BE14" s="22">
        <f>IF(AND($H14&lt;&gt;"",$AI14&lt;&gt;"",$H14&lt;&gt;$AI14,IFERROR(VLOOKUP($H14,areaCercaPuntiClassificaSquadra,3,FALSE),-1)=IFERROR(VLOOKUP($AI14,areaCercaPuntiClassificaSquadra,3,FALSE),-2)),SUMIFS(Dati!$B$2:$B$381,Dati!$A$2:$A$381,$H14,Dati!$H$2:$H$381,$AI14)+SUMIFS(Dati!$I$2:$I$381,Dati!$H$2:$H$381,$H14,Dati!$A$2:$A$381,$AI14),"-")</f>
        <v/>
      </c>
      <c r="BF14" s="22">
        <f>IF(AND($H14&lt;&gt;"",$AJ14&lt;&gt;"",$H14&lt;&gt;$AJ14,IFERROR(VLOOKUP($H14,areaCercaPuntiClassificaSquadra,3,FALSE),-1)=IFERROR(VLOOKUP($AJ14,areaCercaPuntiClassificaSquadra,3,FALSE),-2)),SUMIFS(Dati!$B$2:$B$381,Dati!$A$2:$A$381,$H14,Dati!$H$2:$H$381,$AJ14)+SUMIFS(Dati!$I$2:$I$381,Dati!$H$2:$H$381,$H14,Dati!$A$2:$A$381,$AJ14),"-")</f>
        <v/>
      </c>
      <c r="BG14" s="22">
        <f>IF(AND($H14&lt;&gt;"",$AK14&lt;&gt;"",$H14&lt;&gt;$AK14,IFERROR(VLOOKUP($H14,areaCercaPuntiClassificaSquadra,3,FALSE),-1)=IFERROR(VLOOKUP($AK14,areaCercaPuntiClassificaSquadra,3,FALSE),-2)),SUMIFS(Dati!$B$2:$B$381,Dati!$A$2:$A$381,$H14,Dati!$H$2:$H$381,$AK14)+SUMIFS(Dati!$I$2:$I$381,Dati!$H$2:$H$381,$H14,Dati!$A$2:$A$381,$AK14),"-")</f>
        <v/>
      </c>
      <c r="BH14" s="22">
        <f>IF(AND($H14&lt;&gt;"",$AL14&lt;&gt;"",$H14&lt;&gt;$AL14,IFERROR(VLOOKUP($H14,areaCercaPuntiClassificaSquadra,3,FALSE),-1)=IFERROR(VLOOKUP($AL14,areaCercaPuntiClassificaSquadra,3,FALSE),-2)),SUMIFS(Dati!$B$2:$B$381,Dati!$A$2:$A$381,$H14,Dati!$H$2:$H$381,$AL14)+SUMIFS(Dati!$I$2:$I$381,Dati!$H$2:$H$381,$H14,Dati!$A$2:$A$381,$AL14),"-")</f>
        <v/>
      </c>
      <c r="BI14" s="22">
        <f>IF(AND($H14&lt;&gt;"",$AM14&lt;&gt;"",$H14&lt;&gt;$AM14,IFERROR(VLOOKUP($H14,areaCercaPuntiClassificaSquadra,3,FALSE),-1)=IFERROR(VLOOKUP($AM14,areaCercaPuntiClassificaSquadra,3,FALSE),-2)),SUMIFS(Dati!$B$2:$B$381,Dati!$A$2:$A$381,$H14,Dati!$H$2:$H$381,$AM14)+SUMIFS(Dati!$I$2:$I$381,Dati!$H$2:$H$381,$H14,Dati!$A$2:$A$381,$AM14),"-")</f>
        <v/>
      </c>
      <c r="BJ14" s="22">
        <f>IF(AND($H14&lt;&gt;"",$AN14&lt;&gt;"",$H14&lt;&gt;$AN14,IFERROR(VLOOKUP($H14,areaCercaPuntiClassificaSquadra,3,FALSE),-1)=IFERROR(VLOOKUP($AN14,areaCercaPuntiClassificaSquadra,3,FALSE),-2)),SUMIFS(Dati!$B$2:$B$381,Dati!$A$2:$A$381,$H14,Dati!$H$2:$H$381,$AN14)+SUMIFS(Dati!$I$2:$I$381,Dati!$H$2:$H$381,$H14,Dati!$A$2:$A$381,$AN14),"-")</f>
        <v/>
      </c>
      <c r="BK14" s="22">
        <f>IF(AND($H14&lt;&gt;"",$AO14&lt;&gt;"",$H14&lt;&gt;$AO14,IFERROR(VLOOKUP($H14,areaCercaPuntiClassificaSquadra,3,FALSE),-1)=IFERROR(VLOOKUP($AO14,areaCercaPuntiClassificaSquadra,3,FALSE),-2)),SUMIFS(Dati!$B$2:$B$381,Dati!$A$2:$A$381,$H14,Dati!$H$2:$H$381,$AO14)+SUMIFS(Dati!$I$2:$I$381,Dati!$H$2:$H$381,$H14,Dati!$A$2:$A$381,$AO14),"-")</f>
        <v/>
      </c>
      <c r="BL14" s="22">
        <f>IF(AND($H14&lt;&gt;"",$AP14&lt;&gt;"",$H14&lt;&gt;$AP14,IFERROR(VLOOKUP($H14,areaCercaPuntiClassificaSquadra,3,FALSE),-1)=IFERROR(VLOOKUP($AP14,areaCercaPuntiClassificaSquadra,3,FALSE),-2)),SUMIFS(Dati!$B$2:$B$381,Dati!$A$2:$A$381,$H14,Dati!$H$2:$H$381,$AP14)+SUMIFS(Dati!$I$2:$I$381,Dati!$H$2:$H$381,$H14,Dati!$A$2:$A$381,$AP14),"-")</f>
        <v/>
      </c>
      <c r="BM14" s="22">
        <f>IF(AND($H14&lt;&gt;"",$AQ14&lt;&gt;"",$H14&lt;&gt;$AQ14,IFERROR(VLOOKUP($H14,areaCercaPuntiClassificaSquadra,3,FALSE),-1)=IFERROR(VLOOKUP($AQ14,areaCercaPuntiClassificaSquadra,3,FALSE),-2)),SUMIFS(Dati!$B$2:$B$381,Dati!$A$2:$A$381,$H14,Dati!$H$2:$H$381,$AQ14)+SUMIFS(Dati!$I$2:$I$381,Dati!$H$2:$H$381,$H14,Dati!$A$2:$A$381,$AQ14),"-")</f>
        <v/>
      </c>
      <c r="BN14" s="22">
        <f>IF(AND($H14&lt;&gt;"",$AR14&lt;&gt;"",$H14&lt;&gt;$AR14,IFERROR(VLOOKUP($H14,areaCercaPuntiClassificaSquadra,3,FALSE),-1)=IFERROR(VLOOKUP($AR14,areaCercaPuntiClassificaSquadra,3,FALSE),-2)),SUMIFS(Dati!$B$2:$B$381,Dati!$A$2:$A$381,$H14,Dati!$H$2:$H$381,$AR14)+SUMIFS(Dati!$I$2:$I$381,Dati!$H$2:$H$381,$H14,Dati!$A$2:$A$381,$AR14),"-")</f>
        <v/>
      </c>
      <c r="BP14" s="21">
        <f>$C14</f>
        <v/>
      </c>
      <c r="BQ14" s="22">
        <f>IF(AND($H14&lt;&gt;"",$Y14&lt;&gt;"",$H14&lt;&gt;$Y14,IFERROR(VLOOKUP($H14,areaCercaPuntiClassificaSquadra,3,FALSE),-1)=IFERROR(VLOOKUP($Y14,areaCercaPuntiClassificaSquadra,3,FALSE),-2)),SUMIFS(Dati!$D$2:$D$381,Dati!$A$2:$A$381,$H14,Dati!$H$2:$H$381,$Y14)+SUMIFS(Dati!$K$2:$K$381,Dati!$H$2:$H$381,$H14,Dati!$A$2:$A$381,$Y14)+SUMIFS(Dati!$C$2:$C$381,Dati!$A$2:$A$381,$H14,Dati!$H$2:$H$381,$Y14)+SUMIFS(Dati!$J$2:$J$381,Dati!$H$2:$H$381,$H14,Dati!$A$2:$A$381,$Y14),"-")</f>
        <v/>
      </c>
      <c r="BR14" s="22">
        <f>IF(AND($H14&lt;&gt;"",$Z14&lt;&gt;"",$H14&lt;&gt;$Z14,IFERROR(VLOOKUP($H14,areaCercaPuntiClassificaSquadra,3,FALSE),-1)=IFERROR(VLOOKUP($Z14,areaCercaPuntiClassificaSquadra,3,FALSE),-2)),SUMIFS(Dati!$D$2:$D$381,Dati!$A$2:$A$381,$H14,Dati!$H$2:$H$381,$Z14)+SUMIFS(Dati!$K$2:$K$381,Dati!$H$2:$H$381,$H14,Dati!$A$2:$A$381,$Z14)+SUMIFS(Dati!$C$2:$C$381,Dati!$A$2:$A$381,$H14,Dati!$H$2:$H$381,$Z14)+SUMIFS(Dati!$J$2:$J$381,Dati!$H$2:$H$381,$H14,Dati!$A$2:$A$381,$Z14),"-")</f>
        <v/>
      </c>
      <c r="BS14" s="22">
        <f>IF(AND($H14&lt;&gt;"",$AA14&lt;&gt;"",$H14&lt;&gt;$AA14,IFERROR(VLOOKUP($H14,areaCercaPuntiClassificaSquadra,3,FALSE),-1)=IFERROR(VLOOKUP($AA14,areaCercaPuntiClassificaSquadra,3,FALSE),-2)),SUMIFS(Dati!$D$2:$D$381,Dati!$A$2:$A$381,$H14,Dati!$H$2:$H$381,$AA14)+SUMIFS(Dati!$K$2:$K$381,Dati!$H$2:$H$381,$H14,Dati!$A$2:$A$381,$AA14)+SUMIFS(Dati!$C$2:$C$381,Dati!$A$2:$A$381,$H14,Dati!$H$2:$H$381,$AA14)+SUMIFS(Dati!$J$2:$J$381,Dati!$H$2:$H$381,$H14,Dati!$A$2:$A$381,$AA14),"-")</f>
        <v/>
      </c>
      <c r="BT14" s="22">
        <f>IF(AND($H14&lt;&gt;"",$AB14&lt;&gt;"",$H14&lt;&gt;$AB14,IFERROR(VLOOKUP($H14,areaCercaPuntiClassificaSquadra,3,FALSE),-1)=IFERROR(VLOOKUP($AB14,areaCercaPuntiClassificaSquadra,3,FALSE),-2)),SUMIFS(Dati!$D$2:$D$381,Dati!$A$2:$A$381,$H14,Dati!$H$2:$H$381,$AB14)+SUMIFS(Dati!$K$2:$K$381,Dati!$H$2:$H$381,$H14,Dati!$A$2:$A$381,$AB14)+SUMIFS(Dati!$C$2:$C$381,Dati!$A$2:$A$381,$H14,Dati!$H$2:$H$381,$AB14)+SUMIFS(Dati!$J$2:$J$381,Dati!$H$2:$H$381,$H14,Dati!$A$2:$A$381,$AB14),"-")</f>
        <v/>
      </c>
      <c r="BU14" s="22">
        <f>IF(AND($H14&lt;&gt;"",$AC14&lt;&gt;"",$H14&lt;&gt;$AC14,IFERROR(VLOOKUP($H14,areaCercaPuntiClassificaSquadra,3,FALSE),-1)=IFERROR(VLOOKUP($AC14,areaCercaPuntiClassificaSquadra,3,FALSE),-2)),SUMIFS(Dati!$D$2:$D$381,Dati!$A$2:$A$381,$H14,Dati!$H$2:$H$381,$AC14)+SUMIFS(Dati!$K$2:$K$381,Dati!$H$2:$H$381,$H14,Dati!$A$2:$A$381,$AC14)+SUMIFS(Dati!$C$2:$C$381,Dati!$A$2:$A$381,$H14,Dati!$H$2:$H$381,$AC14)+SUMIFS(Dati!$J$2:$J$381,Dati!$H$2:$H$381,$H14,Dati!$A$2:$A$381,$AC14),"-")</f>
        <v/>
      </c>
      <c r="BV14" s="22">
        <f>IF(AND($H14&lt;&gt;"",$AD14&lt;&gt;"",$H14&lt;&gt;$AD14,IFERROR(VLOOKUP($H14,areaCercaPuntiClassificaSquadra,3,FALSE),-1)=IFERROR(VLOOKUP($AD14,areaCercaPuntiClassificaSquadra,3,FALSE),-2)),SUMIFS(Dati!$D$2:$D$381,Dati!$A$2:$A$381,$H14,Dati!$H$2:$H$381,$AD14)+SUMIFS(Dati!$K$2:$K$381,Dati!$H$2:$H$381,$H14,Dati!$A$2:$A$381,$AD14)+SUMIFS(Dati!$C$2:$C$381,Dati!$A$2:$A$381,$H14,Dati!$H$2:$H$381,$AD14)+SUMIFS(Dati!$J$2:$J$381,Dati!$H$2:$H$381,$H14,Dati!$A$2:$A$381,$AD14),"-")</f>
        <v/>
      </c>
      <c r="BW14" s="22">
        <f>IF(AND($H14&lt;&gt;"",$AE14&lt;&gt;"",$H14&lt;&gt;$AE14,IFERROR(VLOOKUP($H14,areaCercaPuntiClassificaSquadra,3,FALSE),-1)=IFERROR(VLOOKUP($AE14,areaCercaPuntiClassificaSquadra,3,FALSE),-2)),SUMIFS(Dati!$D$2:$D$381,Dati!$A$2:$A$381,$H14,Dati!$H$2:$H$381,$AE14)+SUMIFS(Dati!$K$2:$K$381,Dati!$H$2:$H$381,$H14,Dati!$A$2:$A$381,$AE14)+SUMIFS(Dati!$C$2:$C$381,Dati!$A$2:$A$381,$H14,Dati!$H$2:$H$381,$AE14)+SUMIFS(Dati!$J$2:$J$381,Dati!$H$2:$H$381,$H14,Dati!$A$2:$A$381,$AE14),"-")</f>
        <v/>
      </c>
      <c r="BX14" s="22">
        <f>IF(AND($H14&lt;&gt;"",$AF14&lt;&gt;"",$H14&lt;&gt;$AF14,IFERROR(VLOOKUP($H14,areaCercaPuntiClassificaSquadra,3,FALSE),-1)=IFERROR(VLOOKUP($AF14,areaCercaPuntiClassificaSquadra,3,FALSE),-2)),SUMIFS(Dati!$D$2:$D$381,Dati!$A$2:$A$381,$H14,Dati!$H$2:$H$381,$AF14)+SUMIFS(Dati!$K$2:$K$381,Dati!$H$2:$H$381,$H14,Dati!$A$2:$A$381,$AF14)+SUMIFS(Dati!$C$2:$C$381,Dati!$A$2:$A$381,$H14,Dati!$H$2:$H$381,$AF14)+SUMIFS(Dati!$J$2:$J$381,Dati!$H$2:$H$381,$H14,Dati!$A$2:$A$381,$AF14),"-")</f>
        <v/>
      </c>
      <c r="BY14" s="22">
        <f>IF(AND($H14&lt;&gt;"",$AG14&lt;&gt;"",$H14&lt;&gt;$AG14,IFERROR(VLOOKUP($H14,areaCercaPuntiClassificaSquadra,3,FALSE),-1)=IFERROR(VLOOKUP($AG14,areaCercaPuntiClassificaSquadra,3,FALSE),-2)),SUMIFS(Dati!$D$2:$D$381,Dati!$A$2:$A$381,$H14,Dati!$H$2:$H$381,$AG14)+SUMIFS(Dati!$K$2:$K$381,Dati!$H$2:$H$381,$H14,Dati!$A$2:$A$381,$AG14)+SUMIFS(Dati!$C$2:$C$381,Dati!$A$2:$A$381,$H14,Dati!$H$2:$H$381,$AG14)+SUMIFS(Dati!$J$2:$J$381,Dati!$H$2:$H$381,$H14,Dati!$A$2:$A$381,$AG14),"-")</f>
        <v/>
      </c>
      <c r="BZ14" s="22">
        <f>IF(AND($H14&lt;&gt;"",$AH14&lt;&gt;"",$H14&lt;&gt;$AH14,IFERROR(VLOOKUP($H14,areaCercaPuntiClassificaSquadra,3,FALSE),-1)=IFERROR(VLOOKUP($AH14,areaCercaPuntiClassificaSquadra,3,FALSE),-2)),SUMIFS(Dati!$D$2:$D$381,Dati!$A$2:$A$381,$H14,Dati!$H$2:$H$381,$AH14)+SUMIFS(Dati!$K$2:$K$381,Dati!$H$2:$H$381,$H14,Dati!$A$2:$A$381,$AH14)+SUMIFS(Dati!$C$2:$C$381,Dati!$A$2:$A$381,$H14,Dati!$H$2:$H$381,$AH14)+SUMIFS(Dati!$J$2:$J$381,Dati!$H$2:$H$381,$H14,Dati!$A$2:$A$381,$AH14),"-")</f>
        <v/>
      </c>
      <c r="CA14" s="22">
        <f>IF(AND($H14&lt;&gt;"",$AI14&lt;&gt;"",$H14&lt;&gt;$AI14,IFERROR(VLOOKUP($H14,areaCercaPuntiClassificaSquadra,3,FALSE),-1)=IFERROR(VLOOKUP($AI14,areaCercaPuntiClassificaSquadra,3,FALSE),-2)),SUMIFS(Dati!$D$2:$D$381,Dati!$A$2:$A$381,$H14,Dati!$H$2:$H$381,$AI14)+SUMIFS(Dati!$K$2:$K$381,Dati!$H$2:$H$381,$H14,Dati!$A$2:$A$381,$AI14)+SUMIFS(Dati!$C$2:$C$381,Dati!$A$2:$A$381,$H14,Dati!$H$2:$H$381,$AI14)+SUMIFS(Dati!$J$2:$J$381,Dati!$H$2:$H$381,$H14,Dati!$A$2:$A$381,$AI14),"-")</f>
        <v/>
      </c>
      <c r="CB14" s="22">
        <f>IF(AND($H14&lt;&gt;"",$AJ14&lt;&gt;"",$H14&lt;&gt;$AJ14,IFERROR(VLOOKUP($H14,areaCercaPuntiClassificaSquadra,3,FALSE),-1)=IFERROR(VLOOKUP($AJ14,areaCercaPuntiClassificaSquadra,3,FALSE),-2)),SUMIFS(Dati!$D$2:$D$381,Dati!$A$2:$A$381,$H14,Dati!$H$2:$H$381,$AJ14)+SUMIFS(Dati!$K$2:$K$381,Dati!$H$2:$H$381,$H14,Dati!$A$2:$A$381,$AJ14)+SUMIFS(Dati!$C$2:$C$381,Dati!$A$2:$A$381,$H14,Dati!$H$2:$H$381,$AJ14)+SUMIFS(Dati!$J$2:$J$381,Dati!$H$2:$H$381,$H14,Dati!$A$2:$A$381,$AJ14),"-")</f>
        <v/>
      </c>
      <c r="CC14" s="22">
        <f>IF(AND($H14&lt;&gt;"",$AK14&lt;&gt;"",$H14&lt;&gt;$AK14,IFERROR(VLOOKUP($H14,areaCercaPuntiClassificaSquadra,3,FALSE),-1)=IFERROR(VLOOKUP($AK14,areaCercaPuntiClassificaSquadra,3,FALSE),-2)),SUMIFS(Dati!$D$2:$D$381,Dati!$A$2:$A$381,$H14,Dati!$H$2:$H$381,$AK14)+SUMIFS(Dati!$K$2:$K$381,Dati!$H$2:$H$381,$H14,Dati!$A$2:$A$381,$AK14)+SUMIFS(Dati!$C$2:$C$381,Dati!$A$2:$A$381,$H14,Dati!$H$2:$H$381,$AK14)+SUMIFS(Dati!$J$2:$J$381,Dati!$H$2:$H$381,$H14,Dati!$A$2:$A$381,$AK14),"-")</f>
        <v/>
      </c>
      <c r="CD14" s="22">
        <f>IF(AND($H14&lt;&gt;"",$AL14&lt;&gt;"",$H14&lt;&gt;$AL14,IFERROR(VLOOKUP($H14,areaCercaPuntiClassificaSquadra,3,FALSE),-1)=IFERROR(VLOOKUP($AL14,areaCercaPuntiClassificaSquadra,3,FALSE),-2)),SUMIFS(Dati!$D$2:$D$381,Dati!$A$2:$A$381,$H14,Dati!$H$2:$H$381,$AL14)+SUMIFS(Dati!$K$2:$K$381,Dati!$H$2:$H$381,$H14,Dati!$A$2:$A$381,$AL14)+SUMIFS(Dati!$C$2:$C$381,Dati!$A$2:$A$381,$H14,Dati!$H$2:$H$381,$AL14)+SUMIFS(Dati!$J$2:$J$381,Dati!$H$2:$H$381,$H14,Dati!$A$2:$A$381,$AL14),"-")</f>
        <v/>
      </c>
      <c r="CE14" s="22">
        <f>IF(AND($H14&lt;&gt;"",$AM14&lt;&gt;"",$H14&lt;&gt;$AM14,IFERROR(VLOOKUP($H14,areaCercaPuntiClassificaSquadra,3,FALSE),-1)=IFERROR(VLOOKUP($AM14,areaCercaPuntiClassificaSquadra,3,FALSE),-2)),SUMIFS(Dati!$D$2:$D$381,Dati!$A$2:$A$381,$H14,Dati!$H$2:$H$381,$AM14)+SUMIFS(Dati!$K$2:$K$381,Dati!$H$2:$H$381,$H14,Dati!$A$2:$A$381,$AM14)+SUMIFS(Dati!$C$2:$C$381,Dati!$A$2:$A$381,$H14,Dati!$H$2:$H$381,$AM14)+SUMIFS(Dati!$J$2:$J$381,Dati!$H$2:$H$381,$H14,Dati!$A$2:$A$381,$AM14),"-")</f>
        <v/>
      </c>
      <c r="CF14" s="22">
        <f>IF(AND($H14&lt;&gt;"",$AN14&lt;&gt;"",$H14&lt;&gt;$AN14,IFERROR(VLOOKUP($H14,areaCercaPuntiClassificaSquadra,3,FALSE),-1)=IFERROR(VLOOKUP($AN14,areaCercaPuntiClassificaSquadra,3,FALSE),-2)),SUMIFS(Dati!$D$2:$D$381,Dati!$A$2:$A$381,$H14,Dati!$H$2:$H$381,$AN14)+SUMIFS(Dati!$K$2:$K$381,Dati!$H$2:$H$381,$H14,Dati!$A$2:$A$381,$AN14)+SUMIFS(Dati!$C$2:$C$381,Dati!$A$2:$A$381,$H14,Dati!$H$2:$H$381,$AN14)+SUMIFS(Dati!$J$2:$J$381,Dati!$H$2:$H$381,$H14,Dati!$A$2:$A$381,$AN14),"-")</f>
        <v/>
      </c>
      <c r="CG14" s="22">
        <f>IF(AND($H14&lt;&gt;"",$AO14&lt;&gt;"",$H14&lt;&gt;$AO14,IFERROR(VLOOKUP($H14,areaCercaPuntiClassificaSquadra,3,FALSE),-1)=IFERROR(VLOOKUP($AO14,areaCercaPuntiClassificaSquadra,3,FALSE),-2)),SUMIFS(Dati!$D$2:$D$381,Dati!$A$2:$A$381,$H14,Dati!$H$2:$H$381,$AO14)+SUMIFS(Dati!$K$2:$K$381,Dati!$H$2:$H$381,$H14,Dati!$A$2:$A$381,$AO14)+SUMIFS(Dati!$C$2:$C$381,Dati!$A$2:$A$381,$H14,Dati!$H$2:$H$381,$AO14)+SUMIFS(Dati!$J$2:$J$381,Dati!$H$2:$H$381,$H14,Dati!$A$2:$A$381,$AO14),"-")</f>
        <v/>
      </c>
      <c r="CH14" s="22">
        <f>IF(AND($H14&lt;&gt;"",$AP14&lt;&gt;"",$H14&lt;&gt;$AP14,IFERROR(VLOOKUP($H14,areaCercaPuntiClassificaSquadra,3,FALSE),-1)=IFERROR(VLOOKUP($AP14,areaCercaPuntiClassificaSquadra,3,FALSE),-2)),SUMIFS(Dati!$D$2:$D$381,Dati!$A$2:$A$381,$H14,Dati!$H$2:$H$381,$AP14)+SUMIFS(Dati!$K$2:$K$381,Dati!$H$2:$H$381,$H14,Dati!$A$2:$A$381,$AP14)+SUMIFS(Dati!$C$2:$C$381,Dati!$A$2:$A$381,$H14,Dati!$H$2:$H$381,$AP14)+SUMIFS(Dati!$J$2:$J$381,Dati!$H$2:$H$381,$H14,Dati!$A$2:$A$381,$AP14),"-")</f>
        <v/>
      </c>
      <c r="CI14" s="22">
        <f>IF(AND($H14&lt;&gt;"",$AQ14&lt;&gt;"",$H14&lt;&gt;$AQ14,IFERROR(VLOOKUP($H14,areaCercaPuntiClassificaSquadra,3,FALSE),-1)=IFERROR(VLOOKUP($AQ14,areaCercaPuntiClassificaSquadra,3,FALSE),-2)),SUMIFS(Dati!$D$2:$D$381,Dati!$A$2:$A$381,$H14,Dati!$H$2:$H$381,$AQ14)+SUMIFS(Dati!$K$2:$K$381,Dati!$H$2:$H$381,$H14,Dati!$A$2:$A$381,$AQ14)+SUMIFS(Dati!$C$2:$C$381,Dati!$A$2:$A$381,$H14,Dati!$H$2:$H$381,$AQ14)+SUMIFS(Dati!$J$2:$J$381,Dati!$H$2:$H$381,$H14,Dati!$A$2:$A$381,$AQ14),"-")</f>
        <v/>
      </c>
      <c r="CJ14" s="22">
        <f>IF(AND($H14&lt;&gt;"",$AR14&lt;&gt;"",$H14&lt;&gt;$AR14,IFERROR(VLOOKUP($H14,areaCercaPuntiClassificaSquadra,3,FALSE),-1)=IFERROR(VLOOKUP($AR14,areaCercaPuntiClassificaSquadra,3,FALSE),-2)),SUMIFS(Dati!$D$2:$D$381,Dati!$A$2:$A$381,$H14,Dati!$H$2:$H$381,$AR14)+SUMIFS(Dati!$K$2:$K$381,Dati!$H$2:$H$381,$H14,Dati!$A$2:$A$381,$AR14)+SUMIFS(Dati!$C$2:$C$381,Dati!$A$2:$A$381,$H14,Dati!$H$2:$H$381,$AR14)+SUMIFS(Dati!$J$2:$J$381,Dati!$H$2:$H$381,$H14,Dati!$A$2:$A$381,$AR14),"-")</f>
        <v/>
      </c>
      <c r="CL14" s="21">
        <f>$C14</f>
        <v/>
      </c>
      <c r="CM14" s="22">
        <f>IF(AND($H14&lt;&gt;"",$Y14&lt;&gt;"",$H14&lt;&gt;$Y14,IFERROR(VLOOKUP($H14,areaCercaPuntiClassificaSquadra,3,FALSE),-1)=IFERROR(VLOOKUP($Y14,areaCercaPuntiClassificaSquadra,3,FALSE),-2)),SUMIFS(Dati!$E$2:$E$381,Dati!$A$2:$A$381,$H14,Dati!$H$2:$H$381,$Y14)+SUMIFS(Dati!$L$2:$L$381,Dati!$H$2:$H$381,$H14,Dati!$A$2:$A$381,$Y14),"-")</f>
        <v/>
      </c>
      <c r="CN14" s="22">
        <f>IF(AND($H14&lt;&gt;"",$Z14&lt;&gt;"",$H14&lt;&gt;$Z14,IFERROR(VLOOKUP($H14,areaCercaPuntiClassificaSquadra,3,FALSE),-1)=IFERROR(VLOOKUP($Z14,areaCercaPuntiClassificaSquadra,3,FALSE),-2)),SUMIFS(Dati!$E$2:$E$381,Dati!$A$2:$A$381,$H14,Dati!$H$2:$H$381,$Z14)+SUMIFS(Dati!$L$2:$L$381,Dati!$H$2:$H$381,$H14,Dati!$A$2:$A$381,$Z14),"-")</f>
        <v/>
      </c>
      <c r="CO14" s="22">
        <f>IF(AND($H14&lt;&gt;"",$AA14&lt;&gt;"",$H14&lt;&gt;$AA14,IFERROR(VLOOKUP($H14,areaCercaPuntiClassificaSquadra,3,FALSE),-1)=IFERROR(VLOOKUP($AA14,areaCercaPuntiClassificaSquadra,3,FALSE),-2)),SUMIFS(Dati!$E$2:$E$381,Dati!$A$2:$A$381,$H14,Dati!$H$2:$H$381,$AA14)+SUMIFS(Dati!$L$2:$L$381,Dati!$H$2:$H$381,$H14,Dati!$A$2:$A$381,$AA14),"-")</f>
        <v/>
      </c>
      <c r="CP14" s="22">
        <f>IF(AND($H14&lt;&gt;"",$AB14&lt;&gt;"",$H14&lt;&gt;$AB14,IFERROR(VLOOKUP($H14,areaCercaPuntiClassificaSquadra,3,FALSE),-1)=IFERROR(VLOOKUP($AB14,areaCercaPuntiClassificaSquadra,3,FALSE),-2)),SUMIFS(Dati!$E$2:$E$381,Dati!$A$2:$A$381,$H14,Dati!$H$2:$H$381,$AB14)+SUMIFS(Dati!$L$2:$L$381,Dati!$H$2:$H$381,$H14,Dati!$A$2:$A$381,$AB14),"-")</f>
        <v/>
      </c>
      <c r="CQ14" s="22">
        <f>IF(AND($H14&lt;&gt;"",$AC14&lt;&gt;"",$H14&lt;&gt;$AC14,IFERROR(VLOOKUP($H14,areaCercaPuntiClassificaSquadra,3,FALSE),-1)=IFERROR(VLOOKUP($AC14,areaCercaPuntiClassificaSquadra,3,FALSE),-2)),SUMIFS(Dati!$E$2:$E$381,Dati!$A$2:$A$381,$H14,Dati!$H$2:$H$381,$AC14)+SUMIFS(Dati!$L$2:$L$381,Dati!$H$2:$H$381,$H14,Dati!$A$2:$A$381,$AC14),"-")</f>
        <v/>
      </c>
      <c r="CR14" s="22">
        <f>IF(AND($H14&lt;&gt;"",$AD14&lt;&gt;"",$H14&lt;&gt;$AD14,IFERROR(VLOOKUP($H14,areaCercaPuntiClassificaSquadra,3,FALSE),-1)=IFERROR(VLOOKUP($AD14,areaCercaPuntiClassificaSquadra,3,FALSE),-2)),SUMIFS(Dati!$E$2:$E$381,Dati!$A$2:$A$381,$H14,Dati!$H$2:$H$381,$AD14)+SUMIFS(Dati!$L$2:$L$381,Dati!$H$2:$H$381,$H14,Dati!$A$2:$A$381,$AD14),"-")</f>
        <v/>
      </c>
      <c r="CS14" s="22">
        <f>IF(AND($H14&lt;&gt;"",$AE14&lt;&gt;"",$H14&lt;&gt;$AE14,IFERROR(VLOOKUP($H14,areaCercaPuntiClassificaSquadra,3,FALSE),-1)=IFERROR(VLOOKUP($AE14,areaCercaPuntiClassificaSquadra,3,FALSE),-2)),SUMIFS(Dati!$E$2:$E$381,Dati!$A$2:$A$381,$H14,Dati!$H$2:$H$381,$AE14)+SUMIFS(Dati!$L$2:$L$381,Dati!$H$2:$H$381,$H14,Dati!$A$2:$A$381,$AE14),"-")</f>
        <v/>
      </c>
      <c r="CT14" s="22">
        <f>IF(AND($H14&lt;&gt;"",$AF14&lt;&gt;"",$H14&lt;&gt;$AF14,IFERROR(VLOOKUP($H14,areaCercaPuntiClassificaSquadra,3,FALSE),-1)=IFERROR(VLOOKUP($AF14,areaCercaPuntiClassificaSquadra,3,FALSE),-2)),SUMIFS(Dati!$E$2:$E$381,Dati!$A$2:$A$381,$H14,Dati!$H$2:$H$381,$AF14)+SUMIFS(Dati!$L$2:$L$381,Dati!$H$2:$H$381,$H14,Dati!$A$2:$A$381,$AF14),"-")</f>
        <v/>
      </c>
      <c r="CU14" s="22">
        <f>IF(AND($H14&lt;&gt;"",$AG14&lt;&gt;"",$H14&lt;&gt;$AG14,IFERROR(VLOOKUP($H14,areaCercaPuntiClassificaSquadra,3,FALSE),-1)=IFERROR(VLOOKUP($AG14,areaCercaPuntiClassificaSquadra,3,FALSE),-2)),SUMIFS(Dati!$E$2:$E$381,Dati!$A$2:$A$381,$H14,Dati!$H$2:$H$381,$AG14)+SUMIFS(Dati!$L$2:$L$381,Dati!$H$2:$H$381,$H14,Dati!$A$2:$A$381,$AG14),"-")</f>
        <v/>
      </c>
      <c r="CV14" s="22">
        <f>IF(AND($H14&lt;&gt;"",$AH14&lt;&gt;"",$H14&lt;&gt;$AH14,IFERROR(VLOOKUP($H14,areaCercaPuntiClassificaSquadra,3,FALSE),-1)=IFERROR(VLOOKUP($AH14,areaCercaPuntiClassificaSquadra,3,FALSE),-2)),SUMIFS(Dati!$E$2:$E$381,Dati!$A$2:$A$381,$H14,Dati!$H$2:$H$381,$AH14)+SUMIFS(Dati!$L$2:$L$381,Dati!$H$2:$H$381,$H14,Dati!$A$2:$A$381,$AH14),"-")</f>
        <v/>
      </c>
      <c r="CW14" s="22">
        <f>IF(AND($H14&lt;&gt;"",$AI14&lt;&gt;"",$H14&lt;&gt;$AI14,IFERROR(VLOOKUP($H14,areaCercaPuntiClassificaSquadra,3,FALSE),-1)=IFERROR(VLOOKUP($AI14,areaCercaPuntiClassificaSquadra,3,FALSE),-2)),SUMIFS(Dati!$E$2:$E$381,Dati!$A$2:$A$381,$H14,Dati!$H$2:$H$381,$AI14)+SUMIFS(Dati!$L$2:$L$381,Dati!$H$2:$H$381,$H14,Dati!$A$2:$A$381,$AI14),"-")</f>
        <v/>
      </c>
      <c r="CX14" s="22">
        <f>IF(AND($H14&lt;&gt;"",$AJ14&lt;&gt;"",$H14&lt;&gt;$AJ14,IFERROR(VLOOKUP($H14,areaCercaPuntiClassificaSquadra,3,FALSE),-1)=IFERROR(VLOOKUP($AJ14,areaCercaPuntiClassificaSquadra,3,FALSE),-2)),SUMIFS(Dati!$E$2:$E$381,Dati!$A$2:$A$381,$H14,Dati!$H$2:$H$381,$AJ14)+SUMIFS(Dati!$L$2:$L$381,Dati!$H$2:$H$381,$H14,Dati!$A$2:$A$381,$AJ14),"-")</f>
        <v/>
      </c>
      <c r="CY14" s="22">
        <f>IF(AND($H14&lt;&gt;"",$AK14&lt;&gt;"",$H14&lt;&gt;$AK14,IFERROR(VLOOKUP($H14,areaCercaPuntiClassificaSquadra,3,FALSE),-1)=IFERROR(VLOOKUP($AK14,areaCercaPuntiClassificaSquadra,3,FALSE),-2)),SUMIFS(Dati!$E$2:$E$381,Dati!$A$2:$A$381,$H14,Dati!$H$2:$H$381,$AK14)+SUMIFS(Dati!$L$2:$L$381,Dati!$H$2:$H$381,$H14,Dati!$A$2:$A$381,$AK14),"-")</f>
        <v/>
      </c>
      <c r="CZ14" s="22">
        <f>IF(AND($H14&lt;&gt;"",$AL14&lt;&gt;"",$H14&lt;&gt;$AL14,IFERROR(VLOOKUP($H14,areaCercaPuntiClassificaSquadra,3,FALSE),-1)=IFERROR(VLOOKUP($AL14,areaCercaPuntiClassificaSquadra,3,FALSE),-2)),SUMIFS(Dati!$E$2:$E$381,Dati!$A$2:$A$381,$H14,Dati!$H$2:$H$381,$AL14)+SUMIFS(Dati!$L$2:$L$381,Dati!$H$2:$H$381,$H14,Dati!$A$2:$A$381,$AL14),"-")</f>
        <v/>
      </c>
      <c r="DA14" s="22">
        <f>IF(AND($H14&lt;&gt;"",$AM14&lt;&gt;"",$H14&lt;&gt;$AM14,IFERROR(VLOOKUP($H14,areaCercaPuntiClassificaSquadra,3,FALSE),-1)=IFERROR(VLOOKUP($AM14,areaCercaPuntiClassificaSquadra,3,FALSE),-2)),SUMIFS(Dati!$E$2:$E$381,Dati!$A$2:$A$381,$H14,Dati!$H$2:$H$381,$AM14)+SUMIFS(Dati!$L$2:$L$381,Dati!$H$2:$H$381,$H14,Dati!$A$2:$A$381,$AM14),"-")</f>
        <v/>
      </c>
      <c r="DB14" s="22">
        <f>IF(AND($H14&lt;&gt;"",$AN14&lt;&gt;"",$H14&lt;&gt;$AN14,IFERROR(VLOOKUP($H14,areaCercaPuntiClassificaSquadra,3,FALSE),-1)=IFERROR(VLOOKUP($AN14,areaCercaPuntiClassificaSquadra,3,FALSE),-2)),SUMIFS(Dati!$E$2:$E$381,Dati!$A$2:$A$381,$H14,Dati!$H$2:$H$381,$AN14)+SUMIFS(Dati!$L$2:$L$381,Dati!$H$2:$H$381,$H14,Dati!$A$2:$A$381,$AN14),"-")</f>
        <v/>
      </c>
      <c r="DC14" s="22">
        <f>IF(AND($H14&lt;&gt;"",$AO14&lt;&gt;"",$H14&lt;&gt;$AO14,IFERROR(VLOOKUP($H14,areaCercaPuntiClassificaSquadra,3,FALSE),-1)=IFERROR(VLOOKUP($AO14,areaCercaPuntiClassificaSquadra,3,FALSE),-2)),SUMIFS(Dati!$E$2:$E$381,Dati!$A$2:$A$381,$H14,Dati!$H$2:$H$381,$AO14)+SUMIFS(Dati!$L$2:$L$381,Dati!$H$2:$H$381,$H14,Dati!$A$2:$A$381,$AO14),"-")</f>
        <v/>
      </c>
      <c r="DD14" s="22">
        <f>IF(AND($H14&lt;&gt;"",$AP14&lt;&gt;"",$H14&lt;&gt;$AP14,IFERROR(VLOOKUP($H14,areaCercaPuntiClassificaSquadra,3,FALSE),-1)=IFERROR(VLOOKUP($AP14,areaCercaPuntiClassificaSquadra,3,FALSE),-2)),SUMIFS(Dati!$E$2:$E$381,Dati!$A$2:$A$381,$H14,Dati!$H$2:$H$381,$AP14)+SUMIFS(Dati!$L$2:$L$381,Dati!$H$2:$H$381,$H14,Dati!$A$2:$A$381,$AP14),"-")</f>
        <v/>
      </c>
      <c r="DE14" s="22">
        <f>IF(AND($H14&lt;&gt;"",$AQ14&lt;&gt;"",$H14&lt;&gt;$AQ14,IFERROR(VLOOKUP($H14,areaCercaPuntiClassificaSquadra,3,FALSE),-1)=IFERROR(VLOOKUP($AQ14,areaCercaPuntiClassificaSquadra,3,FALSE),-2)),SUMIFS(Dati!$E$2:$E$381,Dati!$A$2:$A$381,$H14,Dati!$H$2:$H$381,$AQ14)+SUMIFS(Dati!$L$2:$L$381,Dati!$H$2:$H$381,$H14,Dati!$A$2:$A$381,$AQ14),"-")</f>
        <v/>
      </c>
      <c r="DF14" s="22">
        <f>IF(AND($H14&lt;&gt;"",$AR14&lt;&gt;"",$H14&lt;&gt;$AR14,IFERROR(VLOOKUP($H14,areaCercaPuntiClassificaSquadra,3,FALSE),-1)=IFERROR(VLOOKUP($AR14,areaCercaPuntiClassificaSquadra,3,FALSE),-2)),SUMIFS(Dati!$E$2:$E$381,Dati!$A$2:$A$381,$H14,Dati!$H$2:$H$381,$AR14)+SUMIFS(Dati!$L$2:$L$381,Dati!$H$2:$H$381,$H14,Dati!$A$2:$A$381,$AR14),"-")</f>
        <v/>
      </c>
      <c r="DH14" s="21">
        <f>$C14</f>
        <v/>
      </c>
      <c r="DI14" s="22">
        <f>IF(AND($H14&lt;&gt;"",$Y14&lt;&gt;"",$H14&lt;&gt;$Y14,IFERROR(VLOOKUP($H14,areaCercaPuntiClassificaSquadra,3,FALSE),-1)=IFERROR(VLOOKUP($Y14,areaCercaPuntiClassificaSquadra,3,FALSE),-2)),SUMIFS(Dati!$F$2:$F$381,Dati!$A$2:$A$381,$H14,Dati!$H$2:$H$381,$Y14)+SUMIFS(Dati!$M$2:$M$381,Dati!$H$2:$H$381,$H14,Dati!$A$2:$A$381,$Y14),"-")</f>
        <v/>
      </c>
      <c r="DJ14" s="22">
        <f>IF(AND($H14&lt;&gt;"",$Z14&lt;&gt;"",$H14&lt;&gt;$Z14,IFERROR(VLOOKUP($H14,areaCercaPuntiClassificaSquadra,3,FALSE),-1)=IFERROR(VLOOKUP($Z14,areaCercaPuntiClassificaSquadra,3,FALSE),-2)),SUMIFS(Dati!$F$2:$F$381,Dati!$A$2:$A$381,$H14,Dati!$H$2:$H$381,$Z14)+SUMIFS(Dati!$M$2:$M$381,Dati!$H$2:$H$381,$H14,Dati!$A$2:$A$381,$Z14),"-")</f>
        <v/>
      </c>
      <c r="DK14" s="22">
        <f>IF(AND($H14&lt;&gt;"",$AA14&lt;&gt;"",$H14&lt;&gt;$AA14,IFERROR(VLOOKUP($H14,areaCercaPuntiClassificaSquadra,3,FALSE),-1)=IFERROR(VLOOKUP($AA14,areaCercaPuntiClassificaSquadra,3,FALSE),-2)),SUMIFS(Dati!$F$2:$F$381,Dati!$A$2:$A$381,$H14,Dati!$H$2:$H$381,$AA14)+SUMIFS(Dati!$M$2:$M$381,Dati!$H$2:$H$381,$H14,Dati!$A$2:$A$381,$AA14),"-")</f>
        <v/>
      </c>
      <c r="DL14" s="22">
        <f>IF(AND($H14&lt;&gt;"",$AB14&lt;&gt;"",$H14&lt;&gt;$AB14,IFERROR(VLOOKUP($H14,areaCercaPuntiClassificaSquadra,3,FALSE),-1)=IFERROR(VLOOKUP($AB14,areaCercaPuntiClassificaSquadra,3,FALSE),-2)),SUMIFS(Dati!$F$2:$F$381,Dati!$A$2:$A$381,$H14,Dati!$H$2:$H$381,$AB14)+SUMIFS(Dati!$M$2:$M$381,Dati!$H$2:$H$381,$H14,Dati!$A$2:$A$381,$AB14),"-")</f>
        <v/>
      </c>
      <c r="DM14" s="22">
        <f>IF(AND($H14&lt;&gt;"",$AC14&lt;&gt;"",$H14&lt;&gt;$AC14,IFERROR(VLOOKUP($H14,areaCercaPuntiClassificaSquadra,3,FALSE),-1)=IFERROR(VLOOKUP($AC14,areaCercaPuntiClassificaSquadra,3,FALSE),-2)),SUMIFS(Dati!$F$2:$F$381,Dati!$A$2:$A$381,$H14,Dati!$H$2:$H$381,$AC14)+SUMIFS(Dati!$M$2:$M$381,Dati!$H$2:$H$381,$H14,Dati!$A$2:$A$381,$AC14),"-")</f>
        <v/>
      </c>
      <c r="DN14" s="22">
        <f>IF(AND($H14&lt;&gt;"",$AD14&lt;&gt;"",$H14&lt;&gt;$AD14,IFERROR(VLOOKUP($H14,areaCercaPuntiClassificaSquadra,3,FALSE),-1)=IFERROR(VLOOKUP($AD14,areaCercaPuntiClassificaSquadra,3,FALSE),-2)),SUMIFS(Dati!$F$2:$F$381,Dati!$A$2:$A$381,$H14,Dati!$H$2:$H$381,$AD14)+SUMIFS(Dati!$M$2:$M$381,Dati!$H$2:$H$381,$H14,Dati!$A$2:$A$381,$AD14),"-")</f>
        <v/>
      </c>
      <c r="DO14" s="22">
        <f>IF(AND($H14&lt;&gt;"",$AE14&lt;&gt;"",$H14&lt;&gt;$AE14,IFERROR(VLOOKUP($H14,areaCercaPuntiClassificaSquadra,3,FALSE),-1)=IFERROR(VLOOKUP($AE14,areaCercaPuntiClassificaSquadra,3,FALSE),-2)),SUMIFS(Dati!$F$2:$F$381,Dati!$A$2:$A$381,$H14,Dati!$H$2:$H$381,$AE14)+SUMIFS(Dati!$M$2:$M$381,Dati!$H$2:$H$381,$H14,Dati!$A$2:$A$381,$AE14),"-")</f>
        <v/>
      </c>
      <c r="DP14" s="22">
        <f>IF(AND($H14&lt;&gt;"",$AF14&lt;&gt;"",$H14&lt;&gt;$AF14,IFERROR(VLOOKUP($H14,areaCercaPuntiClassificaSquadra,3,FALSE),-1)=IFERROR(VLOOKUP($AF14,areaCercaPuntiClassificaSquadra,3,FALSE),-2)),SUMIFS(Dati!$F$2:$F$381,Dati!$A$2:$A$381,$H14,Dati!$H$2:$H$381,$AF14)+SUMIFS(Dati!$M$2:$M$381,Dati!$H$2:$H$381,$H14,Dati!$A$2:$A$381,$AF14),"-")</f>
        <v/>
      </c>
      <c r="DQ14" s="22">
        <f>IF(AND($H14&lt;&gt;"",$AG14&lt;&gt;"",$H14&lt;&gt;$AG14,IFERROR(VLOOKUP($H14,areaCercaPuntiClassificaSquadra,3,FALSE),-1)=IFERROR(VLOOKUP($AG14,areaCercaPuntiClassificaSquadra,3,FALSE),-2)),SUMIFS(Dati!$F$2:$F$381,Dati!$A$2:$A$381,$H14,Dati!$H$2:$H$381,$AG14)+SUMIFS(Dati!$M$2:$M$381,Dati!$H$2:$H$381,$H14,Dati!$A$2:$A$381,$AG14),"-")</f>
        <v/>
      </c>
      <c r="DR14" s="22">
        <f>IF(AND($H14&lt;&gt;"",$AH14&lt;&gt;"",$H14&lt;&gt;$AH14,IFERROR(VLOOKUP($H14,areaCercaPuntiClassificaSquadra,3,FALSE),-1)=IFERROR(VLOOKUP($AH14,areaCercaPuntiClassificaSquadra,3,FALSE),-2)),SUMIFS(Dati!$F$2:$F$381,Dati!$A$2:$A$381,$H14,Dati!$H$2:$H$381,$AH14)+SUMIFS(Dati!$M$2:$M$381,Dati!$H$2:$H$381,$H14,Dati!$A$2:$A$381,$AH14),"-")</f>
        <v/>
      </c>
      <c r="DS14" s="22">
        <f>IF(AND($H14&lt;&gt;"",$AI14&lt;&gt;"",$H14&lt;&gt;$AI14,IFERROR(VLOOKUP($H14,areaCercaPuntiClassificaSquadra,3,FALSE),-1)=IFERROR(VLOOKUP($AI14,areaCercaPuntiClassificaSquadra,3,FALSE),-2)),SUMIFS(Dati!$F$2:$F$381,Dati!$A$2:$A$381,$H14,Dati!$H$2:$H$381,$AI14)+SUMIFS(Dati!$M$2:$M$381,Dati!$H$2:$H$381,$H14,Dati!$A$2:$A$381,$AI14),"-")</f>
        <v/>
      </c>
      <c r="DT14" s="22">
        <f>IF(AND($H14&lt;&gt;"",$AJ14&lt;&gt;"",$H14&lt;&gt;$AJ14,IFERROR(VLOOKUP($H14,areaCercaPuntiClassificaSquadra,3,FALSE),-1)=IFERROR(VLOOKUP($AJ14,areaCercaPuntiClassificaSquadra,3,FALSE),-2)),SUMIFS(Dati!$F$2:$F$381,Dati!$A$2:$A$381,$H14,Dati!$H$2:$H$381,$AJ14)+SUMIFS(Dati!$M$2:$M$381,Dati!$H$2:$H$381,$H14,Dati!$A$2:$A$381,$AJ14),"-")</f>
        <v/>
      </c>
      <c r="DU14" s="22">
        <f>IF(AND($H14&lt;&gt;"",$AK14&lt;&gt;"",$H14&lt;&gt;$AK14,IFERROR(VLOOKUP($H14,areaCercaPuntiClassificaSquadra,3,FALSE),-1)=IFERROR(VLOOKUP($AK14,areaCercaPuntiClassificaSquadra,3,FALSE),-2)),SUMIFS(Dati!$F$2:$F$381,Dati!$A$2:$A$381,$H14,Dati!$H$2:$H$381,$AK14)+SUMIFS(Dati!$M$2:$M$381,Dati!$H$2:$H$381,$H14,Dati!$A$2:$A$381,$AK14),"-")</f>
        <v/>
      </c>
      <c r="DV14" s="22">
        <f>IF(AND($H14&lt;&gt;"",$AL14&lt;&gt;"",$H14&lt;&gt;$AL14,IFERROR(VLOOKUP($H14,areaCercaPuntiClassificaSquadra,3,FALSE),-1)=IFERROR(VLOOKUP($AL14,areaCercaPuntiClassificaSquadra,3,FALSE),-2)),SUMIFS(Dati!$F$2:$F$381,Dati!$A$2:$A$381,$H14,Dati!$H$2:$H$381,$AL14)+SUMIFS(Dati!$M$2:$M$381,Dati!$H$2:$H$381,$H14,Dati!$A$2:$A$381,$AL14),"-")</f>
        <v/>
      </c>
      <c r="DW14" s="22">
        <f>IF(AND($H14&lt;&gt;"",$AM14&lt;&gt;"",$H14&lt;&gt;$AM14,IFERROR(VLOOKUP($H14,areaCercaPuntiClassificaSquadra,3,FALSE),-1)=IFERROR(VLOOKUP($AM14,areaCercaPuntiClassificaSquadra,3,FALSE),-2)),SUMIFS(Dati!$F$2:$F$381,Dati!$A$2:$A$381,$H14,Dati!$H$2:$H$381,$AM14)+SUMIFS(Dati!$M$2:$M$381,Dati!$H$2:$H$381,$H14,Dati!$A$2:$A$381,$AM14),"-")</f>
        <v/>
      </c>
      <c r="DX14" s="22">
        <f>IF(AND($H14&lt;&gt;"",$AN14&lt;&gt;"",$H14&lt;&gt;$AN14,IFERROR(VLOOKUP($H14,areaCercaPuntiClassificaSquadra,3,FALSE),-1)=IFERROR(VLOOKUP($AN14,areaCercaPuntiClassificaSquadra,3,FALSE),-2)),SUMIFS(Dati!$F$2:$F$381,Dati!$A$2:$A$381,$H14,Dati!$H$2:$H$381,$AN14)+SUMIFS(Dati!$M$2:$M$381,Dati!$H$2:$H$381,$H14,Dati!$A$2:$A$381,$AN14),"-")</f>
        <v/>
      </c>
      <c r="DY14" s="22">
        <f>IF(AND($H14&lt;&gt;"",$AO14&lt;&gt;"",$H14&lt;&gt;$AO14,IFERROR(VLOOKUP($H14,areaCercaPuntiClassificaSquadra,3,FALSE),-1)=IFERROR(VLOOKUP($AO14,areaCercaPuntiClassificaSquadra,3,FALSE),-2)),SUMIFS(Dati!$F$2:$F$381,Dati!$A$2:$A$381,$H14,Dati!$H$2:$H$381,$AO14)+SUMIFS(Dati!$M$2:$M$381,Dati!$H$2:$H$381,$H14,Dati!$A$2:$A$381,$AO14),"-")</f>
        <v/>
      </c>
      <c r="DZ14" s="22">
        <f>IF(AND($H14&lt;&gt;"",$AP14&lt;&gt;"",$H14&lt;&gt;$AP14,IFERROR(VLOOKUP($H14,areaCercaPuntiClassificaSquadra,3,FALSE),-1)=IFERROR(VLOOKUP($AP14,areaCercaPuntiClassificaSquadra,3,FALSE),-2)),SUMIFS(Dati!$F$2:$F$381,Dati!$A$2:$A$381,$H14,Dati!$H$2:$H$381,$AP14)+SUMIFS(Dati!$M$2:$M$381,Dati!$H$2:$H$381,$H14,Dati!$A$2:$A$381,$AP14),"-")</f>
        <v/>
      </c>
      <c r="EA14" s="22">
        <f>IF(AND($H14&lt;&gt;"",$AQ14&lt;&gt;"",$H14&lt;&gt;$AQ14,IFERROR(VLOOKUP($H14,areaCercaPuntiClassificaSquadra,3,FALSE),-1)=IFERROR(VLOOKUP($AQ14,areaCercaPuntiClassificaSquadra,3,FALSE),-2)),SUMIFS(Dati!$F$2:$F$381,Dati!$A$2:$A$381,$H14,Dati!$H$2:$H$381,$AQ14)+SUMIFS(Dati!$M$2:$M$381,Dati!$H$2:$H$381,$H14,Dati!$A$2:$A$381,$AQ14),"-")</f>
        <v/>
      </c>
      <c r="EB14" s="22">
        <f>IF(AND($H14&lt;&gt;"",$AR14&lt;&gt;"",$H14&lt;&gt;$AR14,IFERROR(VLOOKUP($H14,areaCercaPuntiClassificaSquadra,3,FALSE),-1)=IFERROR(VLOOKUP($AR14,areaCercaPuntiClassificaSquadra,3,FALSE),-2)),SUMIFS(Dati!$F$2:$F$381,Dati!$A$2:$A$381,$H14,Dati!$H$2:$H$381,$AR14)+SUMIFS(Dati!$M$2:$M$381,Dati!$H$2:$H$381,$H14,Dati!$A$2:$A$381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inlineStr">
        <is>
          <t>Bufali Belligeranti-Bufaliopoli BE</t>
        </is>
      </c>
      <c r="D15" s="14" t="n"/>
      <c r="E15" s="15" t="inlineStr">
        <is>
          <t>A</t>
        </is>
      </c>
      <c r="G15" s="16">
        <f>IF($C15="","",$E15&amp;(COUNTIFS(I$14:I$53,"&gt;"&amp;I15,E$14:E$53,"="&amp;E15,C$14:C$53,"&lt;&gt;")+COUNTIFS(I$14:I$53,"="&amp;I15,H$14:H$53,"&lt;="&amp;H15,E$14:E$53,"="&amp;E15,C$14:C$53,"&lt;&gt;")))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L15*constPuntiVittoria+M15*constPuntiSconfitta+N15*constPuntiForfait+IF(D15="",0,D15)</f>
        <v/>
      </c>
      <c r="K15" s="12">
        <f>SUM(L15:N15)</f>
        <v/>
      </c>
      <c r="L15" s="12">
        <f>IF($H15="",0,SUMIF(Dati!$A$2:$A$381,$H15,Dati!$B$2:$B$381)+SUMIF(Dati!$H$2:$H$381,$H15,Dati!$I$2:$I$381))</f>
        <v/>
      </c>
      <c r="M15" s="12">
        <f>IF($H15="",0,SUMIF(Dati!$A$2:$A$381,$H15,Dati!$D$2:$D$381)+SUMIF(Dati!$H$2:$H$381,$H15,Dati!$K$2:$K$381))</f>
        <v/>
      </c>
      <c r="N15" s="12">
        <f>IF($H15="",0,SUMIF(Dati!$A$2:$A$381,$H15,Dati!$C$2:$C$381)+SUMIF(Dati!$H$2:$H$381,$H15,Dati!$J$2:$J$381))</f>
        <v/>
      </c>
      <c r="O15" s="12">
        <f>IF($H15="",0,SUMIF(Dati!$A$2:$A$381,$H15,Dati!$E$2:$E$381)+SUMIF(Dati!$H$2:$H$381,$H15,Dati!$L$2:$L$381))</f>
        <v/>
      </c>
      <c r="P15" s="12">
        <f>IF($H15="",0,SUMIF(Dati!$A$2:$A$381,$H15,Dati!$F$2:$F$381)+SUMIF(Dati!$H$2:$H$381,$H15,Dati!$M$2:$M$381))</f>
        <v/>
      </c>
      <c r="Q15" s="12">
        <f>IF($H15="",0,SUMIF(Dati!$A$2:$A$381,$H15,Dati!$G$2:$G$381)+SUMIF(Dati!$H$2:$H$381,$H15,Dati!$N$2:$N$381))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IF(COUNTIFS($E$14:$E$53,$E15,$J$14:$J$53,$J15,$C$14:$C$53,"&lt;&gt;")&lt;=1,"-",SUM(AU15:BN15)&amp;"-"&amp;SUM(BQ15:CJ15))</f>
        <v/>
      </c>
      <c r="V15" s="18">
        <f>IF(COUNTIFS($E$14:$E$53,$E15,$J$14:$J$53,$J15,$C$14:$C$53,"&lt;&gt;",$ED$14:$ED$53,$ED15)&lt;=1,"-",IF(SUM(DI15:EB15)=0,0,ROUND(SUM(CM15:DF15)/SUM(DI15:EB15),3)))</f>
        <v/>
      </c>
      <c r="W15" s="18">
        <f>IF(COUNTIFS($E$14:$E$53,$E15,$J$14:$J$53,$J15,$C$14:$C$53,"&lt;&gt;",$ED$14:$ED$53,$ED15,$V$14:$V$53,$V15)&lt;=1,"-",IF(P15=0,0,ROUND(O15/P15,3)))</f>
        <v/>
      </c>
      <c r="X15" s="19">
        <f>IF($C15="","",$E15&amp;"#"&amp;COUNTIFS($E$14:$E15,$E15,$C$14:$C15,"&lt;&gt;"))</f>
        <v/>
      </c>
      <c r="Y15" s="20">
        <f>IFERROR(INDEX($H$14:$H$53,MATCH($E15&amp;"#1",$X$14:$X$53,0)),"")</f>
        <v/>
      </c>
      <c r="Z15" s="20">
        <f>IFERROR(INDEX($H$14:$H$53,MATCH($E15&amp;"#2",$X$14:$X$53,0)),"")</f>
        <v/>
      </c>
      <c r="AA15" s="20">
        <f>IFERROR(INDEX($H$14:$H$53,MATCH($E15&amp;"#3",$X$14:$X$53,0)),"")</f>
        <v/>
      </c>
      <c r="AB15" s="20">
        <f>IFERROR(INDEX($H$14:$H$53,MATCH($E15&amp;"#4",$X$14:$X$53,0)),"")</f>
        <v/>
      </c>
      <c r="AC15" s="20">
        <f>IFERROR(INDEX($H$14:$H$53,MATCH($E15&amp;"#5",$X$14:$X$53,0)),"")</f>
        <v/>
      </c>
      <c r="AD15" s="20">
        <f>IFERROR(INDEX($H$14:$H$53,MATCH($E15&amp;"#6",$X$14:$X$53,0)),"")</f>
        <v/>
      </c>
      <c r="AE15" s="20">
        <f>IFERROR(INDEX($H$14:$H$53,MATCH($E15&amp;"#7",$X$14:$X$53,0)),"")</f>
        <v/>
      </c>
      <c r="AF15" s="20">
        <f>IFERROR(INDEX($H$14:$H$53,MATCH($E15&amp;"#8",$X$14:$X$53,0)),"")</f>
        <v/>
      </c>
      <c r="AG15" s="20">
        <f>IFERROR(INDEX($H$14:$H$53,MATCH($E15&amp;"#9",$X$14:$X$53,0)),"")</f>
        <v/>
      </c>
      <c r="AH15" s="20">
        <f>IFERROR(INDEX($H$14:$H$53,MATCH($E15&amp;"#10",$X$14:$X$53,0)),"")</f>
        <v/>
      </c>
      <c r="AI15" s="20">
        <f>IFERROR(INDEX($H$14:$H$53,MATCH($E15&amp;"#11",$X$14:$X$53,0)),"")</f>
        <v/>
      </c>
      <c r="AJ15" s="20">
        <f>IFERROR(INDEX($H$14:$H$53,MATCH($E15&amp;"#12",$X$14:$X$53,0)),"")</f>
        <v/>
      </c>
      <c r="AK15" s="20">
        <f>IFERROR(INDEX($H$14:$H$53,MATCH($E15&amp;"#13",$X$14:$X$53,0)),"")</f>
        <v/>
      </c>
      <c r="AL15" s="20">
        <f>IFERROR(INDEX($H$14:$H$53,MATCH($E15&amp;"#14",$X$14:$X$53,0)),"")</f>
        <v/>
      </c>
      <c r="AM15" s="20">
        <f>IFERROR(INDEX($H$14:$H$53,MATCH($E15&amp;"#15",$X$14:$X$53,0)),"")</f>
        <v/>
      </c>
      <c r="AN15" s="20">
        <f>IFERROR(INDEX($H$14:$H$53,MATCH($E15&amp;"#16",$X$14:$X$53,0)),"")</f>
        <v/>
      </c>
      <c r="AO15" s="20">
        <f>IFERROR(INDEX($H$14:$H$53,MATCH($E15&amp;"#17",$X$14:$X$53,0)),"")</f>
        <v/>
      </c>
      <c r="AP15" s="20">
        <f>IFERROR(INDEX($H$14:$H$53,MATCH($E15&amp;"#18",$X$14:$X$53,0)),"")</f>
        <v/>
      </c>
      <c r="AQ15" s="20">
        <f>IFERROR(INDEX($H$14:$H$53,MATCH($E15&amp;"#19",$X$14:$X$53,0)),"")</f>
        <v/>
      </c>
      <c r="AR15" s="20">
        <f>IFERROR(INDEX($H$14:$H$53,MATCH($E15&amp;"#20",$X$14:$X$53,0)),"")</f>
        <v/>
      </c>
      <c r="AT15" s="21">
        <f>$C15</f>
        <v/>
      </c>
      <c r="AU15" s="22">
        <f>IF(AND($H15&lt;&gt;"",$Y15&lt;&gt;"",$H15&lt;&gt;$Y15,IFERROR(VLOOKUP($H15,areaCercaPuntiClassificaSquadra,3,FALSE),-1)=IFERROR(VLOOKUP($Y15,areaCercaPuntiClassificaSquadra,3,FALSE),-2)),SUMIFS(Dati!$B$2:$B$381,Dati!$A$2:$A$381,$H15,Dati!$H$2:$H$381,$Y15)+SUMIFS(Dati!$I$2:$I$381,Dati!$H$2:$H$381,$H15,Dati!$A$2:$A$381,$Y15),"-")</f>
        <v/>
      </c>
      <c r="AV15" s="22">
        <f>IF(AND($H15&lt;&gt;"",$Z15&lt;&gt;"",$H15&lt;&gt;$Z15,IFERROR(VLOOKUP($H15,areaCercaPuntiClassificaSquadra,3,FALSE),-1)=IFERROR(VLOOKUP($Z15,areaCercaPuntiClassificaSquadra,3,FALSE),-2)),SUMIFS(Dati!$B$2:$B$381,Dati!$A$2:$A$381,$H15,Dati!$H$2:$H$381,$Z15)+SUMIFS(Dati!$I$2:$I$381,Dati!$H$2:$H$381,$H15,Dati!$A$2:$A$381,$Z15),"-")</f>
        <v/>
      </c>
      <c r="AW15" s="22">
        <f>IF(AND($H15&lt;&gt;"",$AA15&lt;&gt;"",$H15&lt;&gt;$AA15,IFERROR(VLOOKUP($H15,areaCercaPuntiClassificaSquadra,3,FALSE),-1)=IFERROR(VLOOKUP($AA15,areaCercaPuntiClassificaSquadra,3,FALSE),-2)),SUMIFS(Dati!$B$2:$B$381,Dati!$A$2:$A$381,$H15,Dati!$H$2:$H$381,$AA15)+SUMIFS(Dati!$I$2:$I$381,Dati!$H$2:$H$381,$H15,Dati!$A$2:$A$381,$AA15),"-")</f>
        <v/>
      </c>
      <c r="AX15" s="22">
        <f>IF(AND($H15&lt;&gt;"",$AB15&lt;&gt;"",$H15&lt;&gt;$AB15,IFERROR(VLOOKUP($H15,areaCercaPuntiClassificaSquadra,3,FALSE),-1)=IFERROR(VLOOKUP($AB15,areaCercaPuntiClassificaSquadra,3,FALSE),-2)),SUMIFS(Dati!$B$2:$B$381,Dati!$A$2:$A$381,$H15,Dati!$H$2:$H$381,$AB15)+SUMIFS(Dati!$I$2:$I$381,Dati!$H$2:$H$381,$H15,Dati!$A$2:$A$381,$AB15),"-")</f>
        <v/>
      </c>
      <c r="AY15" s="22">
        <f>IF(AND($H15&lt;&gt;"",$AC15&lt;&gt;"",$H15&lt;&gt;$AC15,IFERROR(VLOOKUP($H15,areaCercaPuntiClassificaSquadra,3,FALSE),-1)=IFERROR(VLOOKUP($AC15,areaCercaPuntiClassificaSquadra,3,FALSE),-2)),SUMIFS(Dati!$B$2:$B$381,Dati!$A$2:$A$381,$H15,Dati!$H$2:$H$381,$AC15)+SUMIFS(Dati!$I$2:$I$381,Dati!$H$2:$H$381,$H15,Dati!$A$2:$A$381,$AC15),"-")</f>
        <v/>
      </c>
      <c r="AZ15" s="22">
        <f>IF(AND($H15&lt;&gt;"",$AD15&lt;&gt;"",$H15&lt;&gt;$AD15,IFERROR(VLOOKUP($H15,areaCercaPuntiClassificaSquadra,3,FALSE),-1)=IFERROR(VLOOKUP($AD15,areaCercaPuntiClassificaSquadra,3,FALSE),-2)),SUMIFS(Dati!$B$2:$B$381,Dati!$A$2:$A$381,$H15,Dati!$H$2:$H$381,$AD15)+SUMIFS(Dati!$I$2:$I$381,Dati!$H$2:$H$381,$H15,Dati!$A$2:$A$381,$AD15),"-")</f>
        <v/>
      </c>
      <c r="BA15" s="22">
        <f>IF(AND($H15&lt;&gt;"",$AE15&lt;&gt;"",$H15&lt;&gt;$AE15,IFERROR(VLOOKUP($H15,areaCercaPuntiClassificaSquadra,3,FALSE),-1)=IFERROR(VLOOKUP($AE15,areaCercaPuntiClassificaSquadra,3,FALSE),-2)),SUMIFS(Dati!$B$2:$B$381,Dati!$A$2:$A$381,$H15,Dati!$H$2:$H$381,$AE15)+SUMIFS(Dati!$I$2:$I$381,Dati!$H$2:$H$381,$H15,Dati!$A$2:$A$381,$AE15),"-")</f>
        <v/>
      </c>
      <c r="BB15" s="22">
        <f>IF(AND($H15&lt;&gt;"",$AF15&lt;&gt;"",$H15&lt;&gt;$AF15,IFERROR(VLOOKUP($H15,areaCercaPuntiClassificaSquadra,3,FALSE),-1)=IFERROR(VLOOKUP($AF15,areaCercaPuntiClassificaSquadra,3,FALSE),-2)),SUMIFS(Dati!$B$2:$B$381,Dati!$A$2:$A$381,$H15,Dati!$H$2:$H$381,$AF15)+SUMIFS(Dati!$I$2:$I$381,Dati!$H$2:$H$381,$H15,Dati!$A$2:$A$381,$AF15),"-")</f>
        <v/>
      </c>
      <c r="BC15" s="22">
        <f>IF(AND($H15&lt;&gt;"",$AG15&lt;&gt;"",$H15&lt;&gt;$AG15,IFERROR(VLOOKUP($H15,areaCercaPuntiClassificaSquadra,3,FALSE),-1)=IFERROR(VLOOKUP($AG15,areaCercaPuntiClassificaSquadra,3,FALSE),-2)),SUMIFS(Dati!$B$2:$B$381,Dati!$A$2:$A$381,$H15,Dati!$H$2:$H$381,$AG15)+SUMIFS(Dati!$I$2:$I$381,Dati!$H$2:$H$381,$H15,Dati!$A$2:$A$381,$AG15),"-")</f>
        <v/>
      </c>
      <c r="BD15" s="22">
        <f>IF(AND($H15&lt;&gt;"",$AH15&lt;&gt;"",$H15&lt;&gt;$AH15,IFERROR(VLOOKUP($H15,areaCercaPuntiClassificaSquadra,3,FALSE),-1)=IFERROR(VLOOKUP($AH15,areaCercaPuntiClassificaSquadra,3,FALSE),-2)),SUMIFS(Dati!$B$2:$B$381,Dati!$A$2:$A$381,$H15,Dati!$H$2:$H$381,$AH15)+SUMIFS(Dati!$I$2:$I$381,Dati!$H$2:$H$381,$H15,Dati!$A$2:$A$381,$AH15),"-")</f>
        <v/>
      </c>
      <c r="BE15" s="22">
        <f>IF(AND($H15&lt;&gt;"",$AI15&lt;&gt;"",$H15&lt;&gt;$AI15,IFERROR(VLOOKUP($H15,areaCercaPuntiClassificaSquadra,3,FALSE),-1)=IFERROR(VLOOKUP($AI15,areaCercaPuntiClassificaSquadra,3,FALSE),-2)),SUMIFS(Dati!$B$2:$B$381,Dati!$A$2:$A$381,$H15,Dati!$H$2:$H$381,$AI15)+SUMIFS(Dati!$I$2:$I$381,Dati!$H$2:$H$381,$H15,Dati!$A$2:$A$381,$AI15),"-")</f>
        <v/>
      </c>
      <c r="BF15" s="22">
        <f>IF(AND($H15&lt;&gt;"",$AJ15&lt;&gt;"",$H15&lt;&gt;$AJ15,IFERROR(VLOOKUP($H15,areaCercaPuntiClassificaSquadra,3,FALSE),-1)=IFERROR(VLOOKUP($AJ15,areaCercaPuntiClassificaSquadra,3,FALSE),-2)),SUMIFS(Dati!$B$2:$B$381,Dati!$A$2:$A$381,$H15,Dati!$H$2:$H$381,$AJ15)+SUMIFS(Dati!$I$2:$I$381,Dati!$H$2:$H$381,$H15,Dati!$A$2:$A$381,$AJ15),"-")</f>
        <v/>
      </c>
      <c r="BG15" s="22">
        <f>IF(AND($H15&lt;&gt;"",$AK15&lt;&gt;"",$H15&lt;&gt;$AK15,IFERROR(VLOOKUP($H15,areaCercaPuntiClassificaSquadra,3,FALSE),-1)=IFERROR(VLOOKUP($AK15,areaCercaPuntiClassificaSquadra,3,FALSE),-2)),SUMIFS(Dati!$B$2:$B$381,Dati!$A$2:$A$381,$H15,Dati!$H$2:$H$381,$AK15)+SUMIFS(Dati!$I$2:$I$381,Dati!$H$2:$H$381,$H15,Dati!$A$2:$A$381,$AK15),"-")</f>
        <v/>
      </c>
      <c r="BH15" s="22">
        <f>IF(AND($H15&lt;&gt;"",$AL15&lt;&gt;"",$H15&lt;&gt;$AL15,IFERROR(VLOOKUP($H15,areaCercaPuntiClassificaSquadra,3,FALSE),-1)=IFERROR(VLOOKUP($AL15,areaCercaPuntiClassificaSquadra,3,FALSE),-2)),SUMIFS(Dati!$B$2:$B$381,Dati!$A$2:$A$381,$H15,Dati!$H$2:$H$381,$AL15)+SUMIFS(Dati!$I$2:$I$381,Dati!$H$2:$H$381,$H15,Dati!$A$2:$A$381,$AL15),"-")</f>
        <v/>
      </c>
      <c r="BI15" s="22">
        <f>IF(AND($H15&lt;&gt;"",$AM15&lt;&gt;"",$H15&lt;&gt;$AM15,IFERROR(VLOOKUP($H15,areaCercaPuntiClassificaSquadra,3,FALSE),-1)=IFERROR(VLOOKUP($AM15,areaCercaPuntiClassificaSquadra,3,FALSE),-2)),SUMIFS(Dati!$B$2:$B$381,Dati!$A$2:$A$381,$H15,Dati!$H$2:$H$381,$AM15)+SUMIFS(Dati!$I$2:$I$381,Dati!$H$2:$H$381,$H15,Dati!$A$2:$A$381,$AM15),"-")</f>
        <v/>
      </c>
      <c r="BJ15" s="22">
        <f>IF(AND($H15&lt;&gt;"",$AN15&lt;&gt;"",$H15&lt;&gt;$AN15,IFERROR(VLOOKUP($H15,areaCercaPuntiClassificaSquadra,3,FALSE),-1)=IFERROR(VLOOKUP($AN15,areaCercaPuntiClassificaSquadra,3,FALSE),-2)),SUMIFS(Dati!$B$2:$B$381,Dati!$A$2:$A$381,$H15,Dati!$H$2:$H$381,$AN15)+SUMIFS(Dati!$I$2:$I$381,Dati!$H$2:$H$381,$H15,Dati!$A$2:$A$381,$AN15),"-")</f>
        <v/>
      </c>
      <c r="BK15" s="22">
        <f>IF(AND($H15&lt;&gt;"",$AO15&lt;&gt;"",$H15&lt;&gt;$AO15,IFERROR(VLOOKUP($H15,areaCercaPuntiClassificaSquadra,3,FALSE),-1)=IFERROR(VLOOKUP($AO15,areaCercaPuntiClassificaSquadra,3,FALSE),-2)),SUMIFS(Dati!$B$2:$B$381,Dati!$A$2:$A$381,$H15,Dati!$H$2:$H$381,$AO15)+SUMIFS(Dati!$I$2:$I$381,Dati!$H$2:$H$381,$H15,Dati!$A$2:$A$381,$AO15),"-")</f>
        <v/>
      </c>
      <c r="BL15" s="22">
        <f>IF(AND($H15&lt;&gt;"",$AP15&lt;&gt;"",$H15&lt;&gt;$AP15,IFERROR(VLOOKUP($H15,areaCercaPuntiClassificaSquadra,3,FALSE),-1)=IFERROR(VLOOKUP($AP15,areaCercaPuntiClassificaSquadra,3,FALSE),-2)),SUMIFS(Dati!$B$2:$B$381,Dati!$A$2:$A$381,$H15,Dati!$H$2:$H$381,$AP15)+SUMIFS(Dati!$I$2:$I$381,Dati!$H$2:$H$381,$H15,Dati!$A$2:$A$381,$AP15),"-")</f>
        <v/>
      </c>
      <c r="BM15" s="22">
        <f>IF(AND($H15&lt;&gt;"",$AQ15&lt;&gt;"",$H15&lt;&gt;$AQ15,IFERROR(VLOOKUP($H15,areaCercaPuntiClassificaSquadra,3,FALSE),-1)=IFERROR(VLOOKUP($AQ15,areaCercaPuntiClassificaSquadra,3,FALSE),-2)),SUMIFS(Dati!$B$2:$B$381,Dati!$A$2:$A$381,$H15,Dati!$H$2:$H$381,$AQ15)+SUMIFS(Dati!$I$2:$I$381,Dati!$H$2:$H$381,$H15,Dati!$A$2:$A$381,$AQ15),"-")</f>
        <v/>
      </c>
      <c r="BN15" s="22">
        <f>IF(AND($H15&lt;&gt;"",$AR15&lt;&gt;"",$H15&lt;&gt;$AR15,IFERROR(VLOOKUP($H15,areaCercaPuntiClassificaSquadra,3,FALSE),-1)=IFERROR(VLOOKUP($AR15,areaCercaPuntiClassificaSquadra,3,FALSE),-2)),SUMIFS(Dati!$B$2:$B$381,Dati!$A$2:$A$381,$H15,Dati!$H$2:$H$381,$AR15)+SUMIFS(Dati!$I$2:$I$381,Dati!$H$2:$H$381,$H15,Dati!$A$2:$A$381,$AR15),"-")</f>
        <v/>
      </c>
      <c r="BP15" s="21">
        <f>$C15</f>
        <v/>
      </c>
      <c r="BQ15" s="22">
        <f>IF(AND($H15&lt;&gt;"",$Y15&lt;&gt;"",$H15&lt;&gt;$Y15,IFERROR(VLOOKUP($H15,areaCercaPuntiClassificaSquadra,3,FALSE),-1)=IFERROR(VLOOKUP($Y15,areaCercaPuntiClassificaSquadra,3,FALSE),-2)),SUMIFS(Dati!$D$2:$D$381,Dati!$A$2:$A$381,$H15,Dati!$H$2:$H$381,$Y15)+SUMIFS(Dati!$K$2:$K$381,Dati!$H$2:$H$381,$H15,Dati!$A$2:$A$381,$Y15)+SUMIFS(Dati!$C$2:$C$381,Dati!$A$2:$A$381,$H15,Dati!$H$2:$H$381,$Y15)+SUMIFS(Dati!$J$2:$J$381,Dati!$H$2:$H$381,$H15,Dati!$A$2:$A$381,$Y15),"-")</f>
        <v/>
      </c>
      <c r="BR15" s="22">
        <f>IF(AND($H15&lt;&gt;"",$Z15&lt;&gt;"",$H15&lt;&gt;$Z15,IFERROR(VLOOKUP($H15,areaCercaPuntiClassificaSquadra,3,FALSE),-1)=IFERROR(VLOOKUP($Z15,areaCercaPuntiClassificaSquadra,3,FALSE),-2)),SUMIFS(Dati!$D$2:$D$381,Dati!$A$2:$A$381,$H15,Dati!$H$2:$H$381,$Z15)+SUMIFS(Dati!$K$2:$K$381,Dati!$H$2:$H$381,$H15,Dati!$A$2:$A$381,$Z15)+SUMIFS(Dati!$C$2:$C$381,Dati!$A$2:$A$381,$H15,Dati!$H$2:$H$381,$Z15)+SUMIFS(Dati!$J$2:$J$381,Dati!$H$2:$H$381,$H15,Dati!$A$2:$A$381,$Z15),"-")</f>
        <v/>
      </c>
      <c r="BS15" s="22">
        <f>IF(AND($H15&lt;&gt;"",$AA15&lt;&gt;"",$H15&lt;&gt;$AA15,IFERROR(VLOOKUP($H15,areaCercaPuntiClassificaSquadra,3,FALSE),-1)=IFERROR(VLOOKUP($AA15,areaCercaPuntiClassificaSquadra,3,FALSE),-2)),SUMIFS(Dati!$D$2:$D$381,Dati!$A$2:$A$381,$H15,Dati!$H$2:$H$381,$AA15)+SUMIFS(Dati!$K$2:$K$381,Dati!$H$2:$H$381,$H15,Dati!$A$2:$A$381,$AA15)+SUMIFS(Dati!$C$2:$C$381,Dati!$A$2:$A$381,$H15,Dati!$H$2:$H$381,$AA15)+SUMIFS(Dati!$J$2:$J$381,Dati!$H$2:$H$381,$H15,Dati!$A$2:$A$381,$AA15),"-")</f>
        <v/>
      </c>
      <c r="BT15" s="22">
        <f>IF(AND($H15&lt;&gt;"",$AB15&lt;&gt;"",$H15&lt;&gt;$AB15,IFERROR(VLOOKUP($H15,areaCercaPuntiClassificaSquadra,3,FALSE),-1)=IFERROR(VLOOKUP($AB15,areaCercaPuntiClassificaSquadra,3,FALSE),-2)),SUMIFS(Dati!$D$2:$D$381,Dati!$A$2:$A$381,$H15,Dati!$H$2:$H$381,$AB15)+SUMIFS(Dati!$K$2:$K$381,Dati!$H$2:$H$381,$H15,Dati!$A$2:$A$381,$AB15)+SUMIFS(Dati!$C$2:$C$381,Dati!$A$2:$A$381,$H15,Dati!$H$2:$H$381,$AB15)+SUMIFS(Dati!$J$2:$J$381,Dati!$H$2:$H$381,$H15,Dati!$A$2:$A$381,$AB15),"-")</f>
        <v/>
      </c>
      <c r="BU15" s="22">
        <f>IF(AND($H15&lt;&gt;"",$AC15&lt;&gt;"",$H15&lt;&gt;$AC15,IFERROR(VLOOKUP($H15,areaCercaPuntiClassificaSquadra,3,FALSE),-1)=IFERROR(VLOOKUP($AC15,areaCercaPuntiClassificaSquadra,3,FALSE),-2)),SUMIFS(Dati!$D$2:$D$381,Dati!$A$2:$A$381,$H15,Dati!$H$2:$H$381,$AC15)+SUMIFS(Dati!$K$2:$K$381,Dati!$H$2:$H$381,$H15,Dati!$A$2:$A$381,$AC15)+SUMIFS(Dati!$C$2:$C$381,Dati!$A$2:$A$381,$H15,Dati!$H$2:$H$381,$AC15)+SUMIFS(Dati!$J$2:$J$381,Dati!$H$2:$H$381,$H15,Dati!$A$2:$A$381,$AC15),"-")</f>
        <v/>
      </c>
      <c r="BV15" s="22">
        <f>IF(AND($H15&lt;&gt;"",$AD15&lt;&gt;"",$H15&lt;&gt;$AD15,IFERROR(VLOOKUP($H15,areaCercaPuntiClassificaSquadra,3,FALSE),-1)=IFERROR(VLOOKUP($AD15,areaCercaPuntiClassificaSquadra,3,FALSE),-2)),SUMIFS(Dati!$D$2:$D$381,Dati!$A$2:$A$381,$H15,Dati!$H$2:$H$381,$AD15)+SUMIFS(Dati!$K$2:$K$381,Dati!$H$2:$H$381,$H15,Dati!$A$2:$A$381,$AD15)+SUMIFS(Dati!$C$2:$C$381,Dati!$A$2:$A$381,$H15,Dati!$H$2:$H$381,$AD15)+SUMIFS(Dati!$J$2:$J$381,Dati!$H$2:$H$381,$H15,Dati!$A$2:$A$381,$AD15),"-")</f>
        <v/>
      </c>
      <c r="BW15" s="22">
        <f>IF(AND($H15&lt;&gt;"",$AE15&lt;&gt;"",$H15&lt;&gt;$AE15,IFERROR(VLOOKUP($H15,areaCercaPuntiClassificaSquadra,3,FALSE),-1)=IFERROR(VLOOKUP($AE15,areaCercaPuntiClassificaSquadra,3,FALSE),-2)),SUMIFS(Dati!$D$2:$D$381,Dati!$A$2:$A$381,$H15,Dati!$H$2:$H$381,$AE15)+SUMIFS(Dati!$K$2:$K$381,Dati!$H$2:$H$381,$H15,Dati!$A$2:$A$381,$AE15)+SUMIFS(Dati!$C$2:$C$381,Dati!$A$2:$A$381,$H15,Dati!$H$2:$H$381,$AE15)+SUMIFS(Dati!$J$2:$J$381,Dati!$H$2:$H$381,$H15,Dati!$A$2:$A$381,$AE15),"-")</f>
        <v/>
      </c>
      <c r="BX15" s="22">
        <f>IF(AND($H15&lt;&gt;"",$AF15&lt;&gt;"",$H15&lt;&gt;$AF15,IFERROR(VLOOKUP($H15,areaCercaPuntiClassificaSquadra,3,FALSE),-1)=IFERROR(VLOOKUP($AF15,areaCercaPuntiClassificaSquadra,3,FALSE),-2)),SUMIFS(Dati!$D$2:$D$381,Dati!$A$2:$A$381,$H15,Dati!$H$2:$H$381,$AF15)+SUMIFS(Dati!$K$2:$K$381,Dati!$H$2:$H$381,$H15,Dati!$A$2:$A$381,$AF15)+SUMIFS(Dati!$C$2:$C$381,Dati!$A$2:$A$381,$H15,Dati!$H$2:$H$381,$AF15)+SUMIFS(Dati!$J$2:$J$381,Dati!$H$2:$H$381,$H15,Dati!$A$2:$A$381,$AF15),"-")</f>
        <v/>
      </c>
      <c r="BY15" s="22">
        <f>IF(AND($H15&lt;&gt;"",$AG15&lt;&gt;"",$H15&lt;&gt;$AG15,IFERROR(VLOOKUP($H15,areaCercaPuntiClassificaSquadra,3,FALSE),-1)=IFERROR(VLOOKUP($AG15,areaCercaPuntiClassificaSquadra,3,FALSE),-2)),SUMIFS(Dati!$D$2:$D$381,Dati!$A$2:$A$381,$H15,Dati!$H$2:$H$381,$AG15)+SUMIFS(Dati!$K$2:$K$381,Dati!$H$2:$H$381,$H15,Dati!$A$2:$A$381,$AG15)+SUMIFS(Dati!$C$2:$C$381,Dati!$A$2:$A$381,$H15,Dati!$H$2:$H$381,$AG15)+SUMIFS(Dati!$J$2:$J$381,Dati!$H$2:$H$381,$H15,Dati!$A$2:$A$381,$AG15),"-")</f>
        <v/>
      </c>
      <c r="BZ15" s="22">
        <f>IF(AND($H15&lt;&gt;"",$AH15&lt;&gt;"",$H15&lt;&gt;$AH15,IFERROR(VLOOKUP($H15,areaCercaPuntiClassificaSquadra,3,FALSE),-1)=IFERROR(VLOOKUP($AH15,areaCercaPuntiClassificaSquadra,3,FALSE),-2)),SUMIFS(Dati!$D$2:$D$381,Dati!$A$2:$A$381,$H15,Dati!$H$2:$H$381,$AH15)+SUMIFS(Dati!$K$2:$K$381,Dati!$H$2:$H$381,$H15,Dati!$A$2:$A$381,$AH15)+SUMIFS(Dati!$C$2:$C$381,Dati!$A$2:$A$381,$H15,Dati!$H$2:$H$381,$AH15)+SUMIFS(Dati!$J$2:$J$381,Dati!$H$2:$H$381,$H15,Dati!$A$2:$A$381,$AH15),"-")</f>
        <v/>
      </c>
      <c r="CA15" s="22">
        <f>IF(AND($H15&lt;&gt;"",$AI15&lt;&gt;"",$H15&lt;&gt;$AI15,IFERROR(VLOOKUP($H15,areaCercaPuntiClassificaSquadra,3,FALSE),-1)=IFERROR(VLOOKUP($AI15,areaCercaPuntiClassificaSquadra,3,FALSE),-2)),SUMIFS(Dati!$D$2:$D$381,Dati!$A$2:$A$381,$H15,Dati!$H$2:$H$381,$AI15)+SUMIFS(Dati!$K$2:$K$381,Dati!$H$2:$H$381,$H15,Dati!$A$2:$A$381,$AI15)+SUMIFS(Dati!$C$2:$C$381,Dati!$A$2:$A$381,$H15,Dati!$H$2:$H$381,$AI15)+SUMIFS(Dati!$J$2:$J$381,Dati!$H$2:$H$381,$H15,Dati!$A$2:$A$381,$AI15),"-")</f>
        <v/>
      </c>
      <c r="CB15" s="22">
        <f>IF(AND($H15&lt;&gt;"",$AJ15&lt;&gt;"",$H15&lt;&gt;$AJ15,IFERROR(VLOOKUP($H15,areaCercaPuntiClassificaSquadra,3,FALSE),-1)=IFERROR(VLOOKUP($AJ15,areaCercaPuntiClassificaSquadra,3,FALSE),-2)),SUMIFS(Dati!$D$2:$D$381,Dati!$A$2:$A$381,$H15,Dati!$H$2:$H$381,$AJ15)+SUMIFS(Dati!$K$2:$K$381,Dati!$H$2:$H$381,$H15,Dati!$A$2:$A$381,$AJ15)+SUMIFS(Dati!$C$2:$C$381,Dati!$A$2:$A$381,$H15,Dati!$H$2:$H$381,$AJ15)+SUMIFS(Dati!$J$2:$J$381,Dati!$H$2:$H$381,$H15,Dati!$A$2:$A$381,$AJ15),"-")</f>
        <v/>
      </c>
      <c r="CC15" s="22">
        <f>IF(AND($H15&lt;&gt;"",$AK15&lt;&gt;"",$H15&lt;&gt;$AK15,IFERROR(VLOOKUP($H15,areaCercaPuntiClassificaSquadra,3,FALSE),-1)=IFERROR(VLOOKUP($AK15,areaCercaPuntiClassificaSquadra,3,FALSE),-2)),SUMIFS(Dati!$D$2:$D$381,Dati!$A$2:$A$381,$H15,Dati!$H$2:$H$381,$AK15)+SUMIFS(Dati!$K$2:$K$381,Dati!$H$2:$H$381,$H15,Dati!$A$2:$A$381,$AK15)+SUMIFS(Dati!$C$2:$C$381,Dati!$A$2:$A$381,$H15,Dati!$H$2:$H$381,$AK15)+SUMIFS(Dati!$J$2:$J$381,Dati!$H$2:$H$381,$H15,Dati!$A$2:$A$381,$AK15),"-")</f>
        <v/>
      </c>
      <c r="CD15" s="22">
        <f>IF(AND($H15&lt;&gt;"",$AL15&lt;&gt;"",$H15&lt;&gt;$AL15,IFERROR(VLOOKUP($H15,areaCercaPuntiClassificaSquadra,3,FALSE),-1)=IFERROR(VLOOKUP($AL15,areaCercaPuntiClassificaSquadra,3,FALSE),-2)),SUMIFS(Dati!$D$2:$D$381,Dati!$A$2:$A$381,$H15,Dati!$H$2:$H$381,$AL15)+SUMIFS(Dati!$K$2:$K$381,Dati!$H$2:$H$381,$H15,Dati!$A$2:$A$381,$AL15)+SUMIFS(Dati!$C$2:$C$381,Dati!$A$2:$A$381,$H15,Dati!$H$2:$H$381,$AL15)+SUMIFS(Dati!$J$2:$J$381,Dati!$H$2:$H$381,$H15,Dati!$A$2:$A$381,$AL15),"-")</f>
        <v/>
      </c>
      <c r="CE15" s="22">
        <f>IF(AND($H15&lt;&gt;"",$AM15&lt;&gt;"",$H15&lt;&gt;$AM15,IFERROR(VLOOKUP($H15,areaCercaPuntiClassificaSquadra,3,FALSE),-1)=IFERROR(VLOOKUP($AM15,areaCercaPuntiClassificaSquadra,3,FALSE),-2)),SUMIFS(Dati!$D$2:$D$381,Dati!$A$2:$A$381,$H15,Dati!$H$2:$H$381,$AM15)+SUMIFS(Dati!$K$2:$K$381,Dati!$H$2:$H$381,$H15,Dati!$A$2:$A$381,$AM15)+SUMIFS(Dati!$C$2:$C$381,Dati!$A$2:$A$381,$H15,Dati!$H$2:$H$381,$AM15)+SUMIFS(Dati!$J$2:$J$381,Dati!$H$2:$H$381,$H15,Dati!$A$2:$A$381,$AM15),"-")</f>
        <v/>
      </c>
      <c r="CF15" s="22">
        <f>IF(AND($H15&lt;&gt;"",$AN15&lt;&gt;"",$H15&lt;&gt;$AN15,IFERROR(VLOOKUP($H15,areaCercaPuntiClassificaSquadra,3,FALSE),-1)=IFERROR(VLOOKUP($AN15,areaCercaPuntiClassificaSquadra,3,FALSE),-2)),SUMIFS(Dati!$D$2:$D$381,Dati!$A$2:$A$381,$H15,Dati!$H$2:$H$381,$AN15)+SUMIFS(Dati!$K$2:$K$381,Dati!$H$2:$H$381,$H15,Dati!$A$2:$A$381,$AN15)+SUMIFS(Dati!$C$2:$C$381,Dati!$A$2:$A$381,$H15,Dati!$H$2:$H$381,$AN15)+SUMIFS(Dati!$J$2:$J$381,Dati!$H$2:$H$381,$H15,Dati!$A$2:$A$381,$AN15),"-")</f>
        <v/>
      </c>
      <c r="CG15" s="22">
        <f>IF(AND($H15&lt;&gt;"",$AO15&lt;&gt;"",$H15&lt;&gt;$AO15,IFERROR(VLOOKUP($H15,areaCercaPuntiClassificaSquadra,3,FALSE),-1)=IFERROR(VLOOKUP($AO15,areaCercaPuntiClassificaSquadra,3,FALSE),-2)),SUMIFS(Dati!$D$2:$D$381,Dati!$A$2:$A$381,$H15,Dati!$H$2:$H$381,$AO15)+SUMIFS(Dati!$K$2:$K$381,Dati!$H$2:$H$381,$H15,Dati!$A$2:$A$381,$AO15)+SUMIFS(Dati!$C$2:$C$381,Dati!$A$2:$A$381,$H15,Dati!$H$2:$H$381,$AO15)+SUMIFS(Dati!$J$2:$J$381,Dati!$H$2:$H$381,$H15,Dati!$A$2:$A$381,$AO15),"-")</f>
        <v/>
      </c>
      <c r="CH15" s="22">
        <f>IF(AND($H15&lt;&gt;"",$AP15&lt;&gt;"",$H15&lt;&gt;$AP15,IFERROR(VLOOKUP($H15,areaCercaPuntiClassificaSquadra,3,FALSE),-1)=IFERROR(VLOOKUP($AP15,areaCercaPuntiClassificaSquadra,3,FALSE),-2)),SUMIFS(Dati!$D$2:$D$381,Dati!$A$2:$A$381,$H15,Dati!$H$2:$H$381,$AP15)+SUMIFS(Dati!$K$2:$K$381,Dati!$H$2:$H$381,$H15,Dati!$A$2:$A$381,$AP15)+SUMIFS(Dati!$C$2:$C$381,Dati!$A$2:$A$381,$H15,Dati!$H$2:$H$381,$AP15)+SUMIFS(Dati!$J$2:$J$381,Dati!$H$2:$H$381,$H15,Dati!$A$2:$A$381,$AP15),"-")</f>
        <v/>
      </c>
      <c r="CI15" s="22">
        <f>IF(AND($H15&lt;&gt;"",$AQ15&lt;&gt;"",$H15&lt;&gt;$AQ15,IFERROR(VLOOKUP($H15,areaCercaPuntiClassificaSquadra,3,FALSE),-1)=IFERROR(VLOOKUP($AQ15,areaCercaPuntiClassificaSquadra,3,FALSE),-2)),SUMIFS(Dati!$D$2:$D$381,Dati!$A$2:$A$381,$H15,Dati!$H$2:$H$381,$AQ15)+SUMIFS(Dati!$K$2:$K$381,Dati!$H$2:$H$381,$H15,Dati!$A$2:$A$381,$AQ15)+SUMIFS(Dati!$C$2:$C$381,Dati!$A$2:$A$381,$H15,Dati!$H$2:$H$381,$AQ15)+SUMIFS(Dati!$J$2:$J$381,Dati!$H$2:$H$381,$H15,Dati!$A$2:$A$381,$AQ15),"-")</f>
        <v/>
      </c>
      <c r="CJ15" s="22">
        <f>IF(AND($H15&lt;&gt;"",$AR15&lt;&gt;"",$H15&lt;&gt;$AR15,IFERROR(VLOOKUP($H15,areaCercaPuntiClassificaSquadra,3,FALSE),-1)=IFERROR(VLOOKUP($AR15,areaCercaPuntiClassificaSquadra,3,FALSE),-2)),SUMIFS(Dati!$D$2:$D$381,Dati!$A$2:$A$381,$H15,Dati!$H$2:$H$381,$AR15)+SUMIFS(Dati!$K$2:$K$381,Dati!$H$2:$H$381,$H15,Dati!$A$2:$A$381,$AR15)+SUMIFS(Dati!$C$2:$C$381,Dati!$A$2:$A$381,$H15,Dati!$H$2:$H$381,$AR15)+SUMIFS(Dati!$J$2:$J$381,Dati!$H$2:$H$381,$H15,Dati!$A$2:$A$381,$AR15),"-")</f>
        <v/>
      </c>
      <c r="CL15" s="21">
        <f>$C15</f>
        <v/>
      </c>
      <c r="CM15" s="22">
        <f>IF(AND($H15&lt;&gt;"",$Y15&lt;&gt;"",$H15&lt;&gt;$Y15,IFERROR(VLOOKUP($H15,areaCercaPuntiClassificaSquadra,3,FALSE),-1)=IFERROR(VLOOKUP($Y15,areaCercaPuntiClassificaSquadra,3,FALSE),-2)),SUMIFS(Dati!$E$2:$E$381,Dati!$A$2:$A$381,$H15,Dati!$H$2:$H$381,$Y15)+SUMIFS(Dati!$L$2:$L$381,Dati!$H$2:$H$381,$H15,Dati!$A$2:$A$381,$Y15),"-")</f>
        <v/>
      </c>
      <c r="CN15" s="22">
        <f>IF(AND($H15&lt;&gt;"",$Z15&lt;&gt;"",$H15&lt;&gt;$Z15,IFERROR(VLOOKUP($H15,areaCercaPuntiClassificaSquadra,3,FALSE),-1)=IFERROR(VLOOKUP($Z15,areaCercaPuntiClassificaSquadra,3,FALSE),-2)),SUMIFS(Dati!$E$2:$E$381,Dati!$A$2:$A$381,$H15,Dati!$H$2:$H$381,$Z15)+SUMIFS(Dati!$L$2:$L$381,Dati!$H$2:$H$381,$H15,Dati!$A$2:$A$381,$Z15),"-")</f>
        <v/>
      </c>
      <c r="CO15" s="22">
        <f>IF(AND($H15&lt;&gt;"",$AA15&lt;&gt;"",$H15&lt;&gt;$AA15,IFERROR(VLOOKUP($H15,areaCercaPuntiClassificaSquadra,3,FALSE),-1)=IFERROR(VLOOKUP($AA15,areaCercaPuntiClassificaSquadra,3,FALSE),-2)),SUMIFS(Dati!$E$2:$E$381,Dati!$A$2:$A$381,$H15,Dati!$H$2:$H$381,$AA15)+SUMIFS(Dati!$L$2:$L$381,Dati!$H$2:$H$381,$H15,Dati!$A$2:$A$381,$AA15),"-")</f>
        <v/>
      </c>
      <c r="CP15" s="22">
        <f>IF(AND($H15&lt;&gt;"",$AB15&lt;&gt;"",$H15&lt;&gt;$AB15,IFERROR(VLOOKUP($H15,areaCercaPuntiClassificaSquadra,3,FALSE),-1)=IFERROR(VLOOKUP($AB15,areaCercaPuntiClassificaSquadra,3,FALSE),-2)),SUMIFS(Dati!$E$2:$E$381,Dati!$A$2:$A$381,$H15,Dati!$H$2:$H$381,$AB15)+SUMIFS(Dati!$L$2:$L$381,Dati!$H$2:$H$381,$H15,Dati!$A$2:$A$381,$AB15),"-")</f>
        <v/>
      </c>
      <c r="CQ15" s="22">
        <f>IF(AND($H15&lt;&gt;"",$AC15&lt;&gt;"",$H15&lt;&gt;$AC15,IFERROR(VLOOKUP($H15,areaCercaPuntiClassificaSquadra,3,FALSE),-1)=IFERROR(VLOOKUP($AC15,areaCercaPuntiClassificaSquadra,3,FALSE),-2)),SUMIFS(Dati!$E$2:$E$381,Dati!$A$2:$A$381,$H15,Dati!$H$2:$H$381,$AC15)+SUMIFS(Dati!$L$2:$L$381,Dati!$H$2:$H$381,$H15,Dati!$A$2:$A$381,$AC15),"-")</f>
        <v/>
      </c>
      <c r="CR15" s="22">
        <f>IF(AND($H15&lt;&gt;"",$AD15&lt;&gt;"",$H15&lt;&gt;$AD15,IFERROR(VLOOKUP($H15,areaCercaPuntiClassificaSquadra,3,FALSE),-1)=IFERROR(VLOOKUP($AD15,areaCercaPuntiClassificaSquadra,3,FALSE),-2)),SUMIFS(Dati!$E$2:$E$381,Dati!$A$2:$A$381,$H15,Dati!$H$2:$H$381,$AD15)+SUMIFS(Dati!$L$2:$L$381,Dati!$H$2:$H$381,$H15,Dati!$A$2:$A$381,$AD15),"-")</f>
        <v/>
      </c>
      <c r="CS15" s="22">
        <f>IF(AND($H15&lt;&gt;"",$AE15&lt;&gt;"",$H15&lt;&gt;$AE15,IFERROR(VLOOKUP($H15,areaCercaPuntiClassificaSquadra,3,FALSE),-1)=IFERROR(VLOOKUP($AE15,areaCercaPuntiClassificaSquadra,3,FALSE),-2)),SUMIFS(Dati!$E$2:$E$381,Dati!$A$2:$A$381,$H15,Dati!$H$2:$H$381,$AE15)+SUMIFS(Dati!$L$2:$L$381,Dati!$H$2:$H$381,$H15,Dati!$A$2:$A$381,$AE15),"-")</f>
        <v/>
      </c>
      <c r="CT15" s="22">
        <f>IF(AND($H15&lt;&gt;"",$AF15&lt;&gt;"",$H15&lt;&gt;$AF15,IFERROR(VLOOKUP($H15,areaCercaPuntiClassificaSquadra,3,FALSE),-1)=IFERROR(VLOOKUP($AF15,areaCercaPuntiClassificaSquadra,3,FALSE),-2)),SUMIFS(Dati!$E$2:$E$381,Dati!$A$2:$A$381,$H15,Dati!$H$2:$H$381,$AF15)+SUMIFS(Dati!$L$2:$L$381,Dati!$H$2:$H$381,$H15,Dati!$A$2:$A$381,$AF15),"-")</f>
        <v/>
      </c>
      <c r="CU15" s="22">
        <f>IF(AND($H15&lt;&gt;"",$AG15&lt;&gt;"",$H15&lt;&gt;$AG15,IFERROR(VLOOKUP($H15,areaCercaPuntiClassificaSquadra,3,FALSE),-1)=IFERROR(VLOOKUP($AG15,areaCercaPuntiClassificaSquadra,3,FALSE),-2)),SUMIFS(Dati!$E$2:$E$381,Dati!$A$2:$A$381,$H15,Dati!$H$2:$H$381,$AG15)+SUMIFS(Dati!$L$2:$L$381,Dati!$H$2:$H$381,$H15,Dati!$A$2:$A$381,$AG15),"-")</f>
        <v/>
      </c>
      <c r="CV15" s="22">
        <f>IF(AND($H15&lt;&gt;"",$AH15&lt;&gt;"",$H15&lt;&gt;$AH15,IFERROR(VLOOKUP($H15,areaCercaPuntiClassificaSquadra,3,FALSE),-1)=IFERROR(VLOOKUP($AH15,areaCercaPuntiClassificaSquadra,3,FALSE),-2)),SUMIFS(Dati!$E$2:$E$381,Dati!$A$2:$A$381,$H15,Dati!$H$2:$H$381,$AH15)+SUMIFS(Dati!$L$2:$L$381,Dati!$H$2:$H$381,$H15,Dati!$A$2:$A$381,$AH15),"-")</f>
        <v/>
      </c>
      <c r="CW15" s="22">
        <f>IF(AND($H15&lt;&gt;"",$AI15&lt;&gt;"",$H15&lt;&gt;$AI15,IFERROR(VLOOKUP($H15,areaCercaPuntiClassificaSquadra,3,FALSE),-1)=IFERROR(VLOOKUP($AI15,areaCercaPuntiClassificaSquadra,3,FALSE),-2)),SUMIFS(Dati!$E$2:$E$381,Dati!$A$2:$A$381,$H15,Dati!$H$2:$H$381,$AI15)+SUMIFS(Dati!$L$2:$L$381,Dati!$H$2:$H$381,$H15,Dati!$A$2:$A$381,$AI15),"-")</f>
        <v/>
      </c>
      <c r="CX15" s="22">
        <f>IF(AND($H15&lt;&gt;"",$AJ15&lt;&gt;"",$H15&lt;&gt;$AJ15,IFERROR(VLOOKUP($H15,areaCercaPuntiClassificaSquadra,3,FALSE),-1)=IFERROR(VLOOKUP($AJ15,areaCercaPuntiClassificaSquadra,3,FALSE),-2)),SUMIFS(Dati!$E$2:$E$381,Dati!$A$2:$A$381,$H15,Dati!$H$2:$H$381,$AJ15)+SUMIFS(Dati!$L$2:$L$381,Dati!$H$2:$H$381,$H15,Dati!$A$2:$A$381,$AJ15),"-")</f>
        <v/>
      </c>
      <c r="CY15" s="22">
        <f>IF(AND($H15&lt;&gt;"",$AK15&lt;&gt;"",$H15&lt;&gt;$AK15,IFERROR(VLOOKUP($H15,areaCercaPuntiClassificaSquadra,3,FALSE),-1)=IFERROR(VLOOKUP($AK15,areaCercaPuntiClassificaSquadra,3,FALSE),-2)),SUMIFS(Dati!$E$2:$E$381,Dati!$A$2:$A$381,$H15,Dati!$H$2:$H$381,$AK15)+SUMIFS(Dati!$L$2:$L$381,Dati!$H$2:$H$381,$H15,Dati!$A$2:$A$381,$AK15),"-")</f>
        <v/>
      </c>
      <c r="CZ15" s="22">
        <f>IF(AND($H15&lt;&gt;"",$AL15&lt;&gt;"",$H15&lt;&gt;$AL15,IFERROR(VLOOKUP($H15,areaCercaPuntiClassificaSquadra,3,FALSE),-1)=IFERROR(VLOOKUP($AL15,areaCercaPuntiClassificaSquadra,3,FALSE),-2)),SUMIFS(Dati!$E$2:$E$381,Dati!$A$2:$A$381,$H15,Dati!$H$2:$H$381,$AL15)+SUMIFS(Dati!$L$2:$L$381,Dati!$H$2:$H$381,$H15,Dati!$A$2:$A$381,$AL15),"-")</f>
        <v/>
      </c>
      <c r="DA15" s="22">
        <f>IF(AND($H15&lt;&gt;"",$AM15&lt;&gt;"",$H15&lt;&gt;$AM15,IFERROR(VLOOKUP($H15,areaCercaPuntiClassificaSquadra,3,FALSE),-1)=IFERROR(VLOOKUP($AM15,areaCercaPuntiClassificaSquadra,3,FALSE),-2)),SUMIFS(Dati!$E$2:$E$381,Dati!$A$2:$A$381,$H15,Dati!$H$2:$H$381,$AM15)+SUMIFS(Dati!$L$2:$L$381,Dati!$H$2:$H$381,$H15,Dati!$A$2:$A$381,$AM15),"-")</f>
        <v/>
      </c>
      <c r="DB15" s="22">
        <f>IF(AND($H15&lt;&gt;"",$AN15&lt;&gt;"",$H15&lt;&gt;$AN15,IFERROR(VLOOKUP($H15,areaCercaPuntiClassificaSquadra,3,FALSE),-1)=IFERROR(VLOOKUP($AN15,areaCercaPuntiClassificaSquadra,3,FALSE),-2)),SUMIFS(Dati!$E$2:$E$381,Dati!$A$2:$A$381,$H15,Dati!$H$2:$H$381,$AN15)+SUMIFS(Dati!$L$2:$L$381,Dati!$H$2:$H$381,$H15,Dati!$A$2:$A$381,$AN15),"-")</f>
        <v/>
      </c>
      <c r="DC15" s="22">
        <f>IF(AND($H15&lt;&gt;"",$AO15&lt;&gt;"",$H15&lt;&gt;$AO15,IFERROR(VLOOKUP($H15,areaCercaPuntiClassificaSquadra,3,FALSE),-1)=IFERROR(VLOOKUP($AO15,areaCercaPuntiClassificaSquadra,3,FALSE),-2)),SUMIFS(Dati!$E$2:$E$381,Dati!$A$2:$A$381,$H15,Dati!$H$2:$H$381,$AO15)+SUMIFS(Dati!$L$2:$L$381,Dati!$H$2:$H$381,$H15,Dati!$A$2:$A$381,$AO15),"-")</f>
        <v/>
      </c>
      <c r="DD15" s="22">
        <f>IF(AND($H15&lt;&gt;"",$AP15&lt;&gt;"",$H15&lt;&gt;$AP15,IFERROR(VLOOKUP($H15,areaCercaPuntiClassificaSquadra,3,FALSE),-1)=IFERROR(VLOOKUP($AP15,areaCercaPuntiClassificaSquadra,3,FALSE),-2)),SUMIFS(Dati!$E$2:$E$381,Dati!$A$2:$A$381,$H15,Dati!$H$2:$H$381,$AP15)+SUMIFS(Dati!$L$2:$L$381,Dati!$H$2:$H$381,$H15,Dati!$A$2:$A$381,$AP15),"-")</f>
        <v/>
      </c>
      <c r="DE15" s="22">
        <f>IF(AND($H15&lt;&gt;"",$AQ15&lt;&gt;"",$H15&lt;&gt;$AQ15,IFERROR(VLOOKUP($H15,areaCercaPuntiClassificaSquadra,3,FALSE),-1)=IFERROR(VLOOKUP($AQ15,areaCercaPuntiClassificaSquadra,3,FALSE),-2)),SUMIFS(Dati!$E$2:$E$381,Dati!$A$2:$A$381,$H15,Dati!$H$2:$H$381,$AQ15)+SUMIFS(Dati!$L$2:$L$381,Dati!$H$2:$H$381,$H15,Dati!$A$2:$A$381,$AQ15),"-")</f>
        <v/>
      </c>
      <c r="DF15" s="22">
        <f>IF(AND($H15&lt;&gt;"",$AR15&lt;&gt;"",$H15&lt;&gt;$AR15,IFERROR(VLOOKUP($H15,areaCercaPuntiClassificaSquadra,3,FALSE),-1)=IFERROR(VLOOKUP($AR15,areaCercaPuntiClassificaSquadra,3,FALSE),-2)),SUMIFS(Dati!$E$2:$E$381,Dati!$A$2:$A$381,$H15,Dati!$H$2:$H$381,$AR15)+SUMIFS(Dati!$L$2:$L$381,Dati!$H$2:$H$381,$H15,Dati!$A$2:$A$381,$AR15),"-")</f>
        <v/>
      </c>
      <c r="DH15" s="21">
        <f>$C15</f>
        <v/>
      </c>
      <c r="DI15" s="22">
        <f>IF(AND($H15&lt;&gt;"",$Y15&lt;&gt;"",$H15&lt;&gt;$Y15,IFERROR(VLOOKUP($H15,areaCercaPuntiClassificaSquadra,3,FALSE),-1)=IFERROR(VLOOKUP($Y15,areaCercaPuntiClassificaSquadra,3,FALSE),-2)),SUMIFS(Dati!$F$2:$F$381,Dati!$A$2:$A$381,$H15,Dati!$H$2:$H$381,$Y15)+SUMIFS(Dati!$M$2:$M$381,Dati!$H$2:$H$381,$H15,Dati!$A$2:$A$381,$Y15),"-")</f>
        <v/>
      </c>
      <c r="DJ15" s="22">
        <f>IF(AND($H15&lt;&gt;"",$Z15&lt;&gt;"",$H15&lt;&gt;$Z15,IFERROR(VLOOKUP($H15,areaCercaPuntiClassificaSquadra,3,FALSE),-1)=IFERROR(VLOOKUP($Z15,areaCercaPuntiClassificaSquadra,3,FALSE),-2)),SUMIFS(Dati!$F$2:$F$381,Dati!$A$2:$A$381,$H15,Dati!$H$2:$H$381,$Z15)+SUMIFS(Dati!$M$2:$M$381,Dati!$H$2:$H$381,$H15,Dati!$A$2:$A$381,$Z15),"-")</f>
        <v/>
      </c>
      <c r="DK15" s="22">
        <f>IF(AND($H15&lt;&gt;"",$AA15&lt;&gt;"",$H15&lt;&gt;$AA15,IFERROR(VLOOKUP($H15,areaCercaPuntiClassificaSquadra,3,FALSE),-1)=IFERROR(VLOOKUP($AA15,areaCercaPuntiClassificaSquadra,3,FALSE),-2)),SUMIFS(Dati!$F$2:$F$381,Dati!$A$2:$A$381,$H15,Dati!$H$2:$H$381,$AA15)+SUMIFS(Dati!$M$2:$M$381,Dati!$H$2:$H$381,$H15,Dati!$A$2:$A$381,$AA15),"-")</f>
        <v/>
      </c>
      <c r="DL15" s="22">
        <f>IF(AND($H15&lt;&gt;"",$AB15&lt;&gt;"",$H15&lt;&gt;$AB15,IFERROR(VLOOKUP($H15,areaCercaPuntiClassificaSquadra,3,FALSE),-1)=IFERROR(VLOOKUP($AB15,areaCercaPuntiClassificaSquadra,3,FALSE),-2)),SUMIFS(Dati!$F$2:$F$381,Dati!$A$2:$A$381,$H15,Dati!$H$2:$H$381,$AB15)+SUMIFS(Dati!$M$2:$M$381,Dati!$H$2:$H$381,$H15,Dati!$A$2:$A$381,$AB15),"-")</f>
        <v/>
      </c>
      <c r="DM15" s="22">
        <f>IF(AND($H15&lt;&gt;"",$AC15&lt;&gt;"",$H15&lt;&gt;$AC15,IFERROR(VLOOKUP($H15,areaCercaPuntiClassificaSquadra,3,FALSE),-1)=IFERROR(VLOOKUP($AC15,areaCercaPuntiClassificaSquadra,3,FALSE),-2)),SUMIFS(Dati!$F$2:$F$381,Dati!$A$2:$A$381,$H15,Dati!$H$2:$H$381,$AC15)+SUMIFS(Dati!$M$2:$M$381,Dati!$H$2:$H$381,$H15,Dati!$A$2:$A$381,$AC15),"-")</f>
        <v/>
      </c>
      <c r="DN15" s="22">
        <f>IF(AND($H15&lt;&gt;"",$AD15&lt;&gt;"",$H15&lt;&gt;$AD15,IFERROR(VLOOKUP($H15,areaCercaPuntiClassificaSquadra,3,FALSE),-1)=IFERROR(VLOOKUP($AD15,areaCercaPuntiClassificaSquadra,3,FALSE),-2)),SUMIFS(Dati!$F$2:$F$381,Dati!$A$2:$A$381,$H15,Dati!$H$2:$H$381,$AD15)+SUMIFS(Dati!$M$2:$M$381,Dati!$H$2:$H$381,$H15,Dati!$A$2:$A$381,$AD15),"-")</f>
        <v/>
      </c>
      <c r="DO15" s="22">
        <f>IF(AND($H15&lt;&gt;"",$AE15&lt;&gt;"",$H15&lt;&gt;$AE15,IFERROR(VLOOKUP($H15,areaCercaPuntiClassificaSquadra,3,FALSE),-1)=IFERROR(VLOOKUP($AE15,areaCercaPuntiClassificaSquadra,3,FALSE),-2)),SUMIFS(Dati!$F$2:$F$381,Dati!$A$2:$A$381,$H15,Dati!$H$2:$H$381,$AE15)+SUMIFS(Dati!$M$2:$M$381,Dati!$H$2:$H$381,$H15,Dati!$A$2:$A$381,$AE15),"-")</f>
        <v/>
      </c>
      <c r="DP15" s="22">
        <f>IF(AND($H15&lt;&gt;"",$AF15&lt;&gt;"",$H15&lt;&gt;$AF15,IFERROR(VLOOKUP($H15,areaCercaPuntiClassificaSquadra,3,FALSE),-1)=IFERROR(VLOOKUP($AF15,areaCercaPuntiClassificaSquadra,3,FALSE),-2)),SUMIFS(Dati!$F$2:$F$381,Dati!$A$2:$A$381,$H15,Dati!$H$2:$H$381,$AF15)+SUMIFS(Dati!$M$2:$M$381,Dati!$H$2:$H$381,$H15,Dati!$A$2:$A$381,$AF15),"-")</f>
        <v/>
      </c>
      <c r="DQ15" s="22">
        <f>IF(AND($H15&lt;&gt;"",$AG15&lt;&gt;"",$H15&lt;&gt;$AG15,IFERROR(VLOOKUP($H15,areaCercaPuntiClassificaSquadra,3,FALSE),-1)=IFERROR(VLOOKUP($AG15,areaCercaPuntiClassificaSquadra,3,FALSE),-2)),SUMIFS(Dati!$F$2:$F$381,Dati!$A$2:$A$381,$H15,Dati!$H$2:$H$381,$AG15)+SUMIFS(Dati!$M$2:$M$381,Dati!$H$2:$H$381,$H15,Dati!$A$2:$A$381,$AG15),"-")</f>
        <v/>
      </c>
      <c r="DR15" s="22">
        <f>IF(AND($H15&lt;&gt;"",$AH15&lt;&gt;"",$H15&lt;&gt;$AH15,IFERROR(VLOOKUP($H15,areaCercaPuntiClassificaSquadra,3,FALSE),-1)=IFERROR(VLOOKUP($AH15,areaCercaPuntiClassificaSquadra,3,FALSE),-2)),SUMIFS(Dati!$F$2:$F$381,Dati!$A$2:$A$381,$H15,Dati!$H$2:$H$381,$AH15)+SUMIFS(Dati!$M$2:$M$381,Dati!$H$2:$H$381,$H15,Dati!$A$2:$A$381,$AH15),"-")</f>
        <v/>
      </c>
      <c r="DS15" s="22">
        <f>IF(AND($H15&lt;&gt;"",$AI15&lt;&gt;"",$H15&lt;&gt;$AI15,IFERROR(VLOOKUP($H15,areaCercaPuntiClassificaSquadra,3,FALSE),-1)=IFERROR(VLOOKUP($AI15,areaCercaPuntiClassificaSquadra,3,FALSE),-2)),SUMIFS(Dati!$F$2:$F$381,Dati!$A$2:$A$381,$H15,Dati!$H$2:$H$381,$AI15)+SUMIFS(Dati!$M$2:$M$381,Dati!$H$2:$H$381,$H15,Dati!$A$2:$A$381,$AI15),"-")</f>
        <v/>
      </c>
      <c r="DT15" s="22">
        <f>IF(AND($H15&lt;&gt;"",$AJ15&lt;&gt;"",$H15&lt;&gt;$AJ15,IFERROR(VLOOKUP($H15,areaCercaPuntiClassificaSquadra,3,FALSE),-1)=IFERROR(VLOOKUP($AJ15,areaCercaPuntiClassificaSquadra,3,FALSE),-2)),SUMIFS(Dati!$F$2:$F$381,Dati!$A$2:$A$381,$H15,Dati!$H$2:$H$381,$AJ15)+SUMIFS(Dati!$M$2:$M$381,Dati!$H$2:$H$381,$H15,Dati!$A$2:$A$381,$AJ15),"-")</f>
        <v/>
      </c>
      <c r="DU15" s="22">
        <f>IF(AND($H15&lt;&gt;"",$AK15&lt;&gt;"",$H15&lt;&gt;$AK15,IFERROR(VLOOKUP($H15,areaCercaPuntiClassificaSquadra,3,FALSE),-1)=IFERROR(VLOOKUP($AK15,areaCercaPuntiClassificaSquadra,3,FALSE),-2)),SUMIFS(Dati!$F$2:$F$381,Dati!$A$2:$A$381,$H15,Dati!$H$2:$H$381,$AK15)+SUMIFS(Dati!$M$2:$M$381,Dati!$H$2:$H$381,$H15,Dati!$A$2:$A$381,$AK15),"-")</f>
        <v/>
      </c>
      <c r="DV15" s="22">
        <f>IF(AND($H15&lt;&gt;"",$AL15&lt;&gt;"",$H15&lt;&gt;$AL15,IFERROR(VLOOKUP($H15,areaCercaPuntiClassificaSquadra,3,FALSE),-1)=IFERROR(VLOOKUP($AL15,areaCercaPuntiClassificaSquadra,3,FALSE),-2)),SUMIFS(Dati!$F$2:$F$381,Dati!$A$2:$A$381,$H15,Dati!$H$2:$H$381,$AL15)+SUMIFS(Dati!$M$2:$M$381,Dati!$H$2:$H$381,$H15,Dati!$A$2:$A$381,$AL15),"-")</f>
        <v/>
      </c>
      <c r="DW15" s="22">
        <f>IF(AND($H15&lt;&gt;"",$AM15&lt;&gt;"",$H15&lt;&gt;$AM15,IFERROR(VLOOKUP($H15,areaCercaPuntiClassificaSquadra,3,FALSE),-1)=IFERROR(VLOOKUP($AM15,areaCercaPuntiClassificaSquadra,3,FALSE),-2)),SUMIFS(Dati!$F$2:$F$381,Dati!$A$2:$A$381,$H15,Dati!$H$2:$H$381,$AM15)+SUMIFS(Dati!$M$2:$M$381,Dati!$H$2:$H$381,$H15,Dati!$A$2:$A$381,$AM15),"-")</f>
        <v/>
      </c>
      <c r="DX15" s="22">
        <f>IF(AND($H15&lt;&gt;"",$AN15&lt;&gt;"",$H15&lt;&gt;$AN15,IFERROR(VLOOKUP($H15,areaCercaPuntiClassificaSquadra,3,FALSE),-1)=IFERROR(VLOOKUP($AN15,areaCercaPuntiClassificaSquadra,3,FALSE),-2)),SUMIFS(Dati!$F$2:$F$381,Dati!$A$2:$A$381,$H15,Dati!$H$2:$H$381,$AN15)+SUMIFS(Dati!$M$2:$M$381,Dati!$H$2:$H$381,$H15,Dati!$A$2:$A$381,$AN15),"-")</f>
        <v/>
      </c>
      <c r="DY15" s="22">
        <f>IF(AND($H15&lt;&gt;"",$AO15&lt;&gt;"",$H15&lt;&gt;$AO15,IFERROR(VLOOKUP($H15,areaCercaPuntiClassificaSquadra,3,FALSE),-1)=IFERROR(VLOOKUP($AO15,areaCercaPuntiClassificaSquadra,3,FALSE),-2)),SUMIFS(Dati!$F$2:$F$381,Dati!$A$2:$A$381,$H15,Dati!$H$2:$H$381,$AO15)+SUMIFS(Dati!$M$2:$M$381,Dati!$H$2:$H$381,$H15,Dati!$A$2:$A$381,$AO15),"-")</f>
        <v/>
      </c>
      <c r="DZ15" s="22">
        <f>IF(AND($H15&lt;&gt;"",$AP15&lt;&gt;"",$H15&lt;&gt;$AP15,IFERROR(VLOOKUP($H15,areaCercaPuntiClassificaSquadra,3,FALSE),-1)=IFERROR(VLOOKUP($AP15,areaCercaPuntiClassificaSquadra,3,FALSE),-2)),SUMIFS(Dati!$F$2:$F$381,Dati!$A$2:$A$381,$H15,Dati!$H$2:$H$381,$AP15)+SUMIFS(Dati!$M$2:$M$381,Dati!$H$2:$H$381,$H15,Dati!$A$2:$A$381,$AP15),"-")</f>
        <v/>
      </c>
      <c r="EA15" s="22">
        <f>IF(AND($H15&lt;&gt;"",$AQ15&lt;&gt;"",$H15&lt;&gt;$AQ15,IFERROR(VLOOKUP($H15,areaCercaPuntiClassificaSquadra,3,FALSE),-1)=IFERROR(VLOOKUP($AQ15,areaCercaPuntiClassificaSquadra,3,FALSE),-2)),SUMIFS(Dati!$F$2:$F$381,Dati!$A$2:$A$381,$H15,Dati!$H$2:$H$381,$AQ15)+SUMIFS(Dati!$M$2:$M$381,Dati!$H$2:$H$381,$H15,Dati!$A$2:$A$381,$AQ15),"-")</f>
        <v/>
      </c>
      <c r="EB15" s="22">
        <f>IF(AND($H15&lt;&gt;"",$AR15&lt;&gt;"",$H15&lt;&gt;$AR15,IFERROR(VLOOKUP($H15,areaCercaPuntiClassificaSquadra,3,FALSE),-1)=IFERROR(VLOOKUP($AR15,areaCercaPuntiClassificaSquadra,3,FALSE),-2)),SUMIFS(Dati!$F$2:$F$381,Dati!$A$2:$A$381,$H15,Dati!$H$2:$H$381,$AR15)+SUMIFS(Dati!$M$2:$M$381,Dati!$H$2:$H$381,$H15,Dati!$A$2:$A$381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inlineStr">
        <is>
          <t>Cobra Celeri-Cobraopoli CI</t>
        </is>
      </c>
      <c r="D16" s="14" t="n"/>
      <c r="E16" s="15" t="inlineStr">
        <is>
          <t>A</t>
        </is>
      </c>
      <c r="G16" s="16">
        <f>IF($C16="","",$E16&amp;(COUNTIFS(I$14:I$53,"&gt;"&amp;I16,E$14:E$53,"="&amp;E16,C$14:C$53,"&lt;&gt;")+COUNTIFS(I$14:I$53,"="&amp;I16,H$14:H$53,"&lt;="&amp;H16,E$14:E$53,"="&amp;E16,C$14:C$53,"&lt;&gt;")))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L16*constPuntiVittoria+M16*constPuntiSconfitta+N16*constPuntiForfait+IF(D16="",0,D16)</f>
        <v/>
      </c>
      <c r="K16" s="12">
        <f>SUM(L16:N16)</f>
        <v/>
      </c>
      <c r="L16" s="12">
        <f>IF($H16="",0,SUMIF(Dati!$A$2:$A$381,$H16,Dati!$B$2:$B$381)+SUMIF(Dati!$H$2:$H$381,$H16,Dati!$I$2:$I$381))</f>
        <v/>
      </c>
      <c r="M16" s="12">
        <f>IF($H16="",0,SUMIF(Dati!$A$2:$A$381,$H16,Dati!$D$2:$D$381)+SUMIF(Dati!$H$2:$H$381,$H16,Dati!$K$2:$K$381))</f>
        <v/>
      </c>
      <c r="N16" s="12">
        <f>IF($H16="",0,SUMIF(Dati!$A$2:$A$381,$H16,Dati!$C$2:$C$381)+SUMIF(Dati!$H$2:$H$381,$H16,Dati!$J$2:$J$381))</f>
        <v/>
      </c>
      <c r="O16" s="12">
        <f>IF($H16="",0,SUMIF(Dati!$A$2:$A$381,$H16,Dati!$E$2:$E$381)+SUMIF(Dati!$H$2:$H$381,$H16,Dati!$L$2:$L$381))</f>
        <v/>
      </c>
      <c r="P16" s="12">
        <f>IF($H16="",0,SUMIF(Dati!$A$2:$A$381,$H16,Dati!$F$2:$F$381)+SUMIF(Dati!$H$2:$H$381,$H16,Dati!$M$2:$M$381))</f>
        <v/>
      </c>
      <c r="Q16" s="12">
        <f>IF($H16="",0,SUMIF(Dati!$A$2:$A$381,$H16,Dati!$G$2:$G$381)+SUMIF(Dati!$H$2:$H$381,$H16,Dati!$N$2:$N$381))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IF(COUNTIFS($E$14:$E$53,$E16,$J$14:$J$53,$J16,$C$14:$C$53,"&lt;&gt;")&lt;=1,"-",SUM(AU16:BN16)&amp;"-"&amp;SUM(BQ16:CJ16))</f>
        <v/>
      </c>
      <c r="V16" s="18">
        <f>IF(COUNTIFS($E$14:$E$53,$E16,$J$14:$J$53,$J16,$C$14:$C$53,"&lt;&gt;",$ED$14:$ED$53,$ED16)&lt;=1,"-",IF(SUM(DI16:EB16)=0,0,ROUND(SUM(CM16:DF16)/SUM(DI16:EB16),3)))</f>
        <v/>
      </c>
      <c r="W16" s="18">
        <f>IF(COUNTIFS($E$14:$E$53,$E16,$J$14:$J$53,$J16,$C$14:$C$53,"&lt;&gt;",$ED$14:$ED$53,$ED16,$V$14:$V$53,$V16)&lt;=1,"-",IF(P16=0,0,ROUND(O16/P16,3)))</f>
        <v/>
      </c>
      <c r="X16" s="19">
        <f>IF($C16="","",$E16&amp;"#"&amp;COUNTIFS($E$14:$E16,$E16,$C$14:$C16,"&lt;&gt;"))</f>
        <v/>
      </c>
      <c r="Y16" s="20">
        <f>IFERROR(INDEX($H$14:$H$53,MATCH($E16&amp;"#1",$X$14:$X$53,0)),"")</f>
        <v/>
      </c>
      <c r="Z16" s="20">
        <f>IFERROR(INDEX($H$14:$H$53,MATCH($E16&amp;"#2",$X$14:$X$53,0)),"")</f>
        <v/>
      </c>
      <c r="AA16" s="20">
        <f>IFERROR(INDEX($H$14:$H$53,MATCH($E16&amp;"#3",$X$14:$X$53,0)),"")</f>
        <v/>
      </c>
      <c r="AB16" s="20">
        <f>IFERROR(INDEX($H$14:$H$53,MATCH($E16&amp;"#4",$X$14:$X$53,0)),"")</f>
        <v/>
      </c>
      <c r="AC16" s="20">
        <f>IFERROR(INDEX($H$14:$H$53,MATCH($E16&amp;"#5",$X$14:$X$53,0)),"")</f>
        <v/>
      </c>
      <c r="AD16" s="20">
        <f>IFERROR(INDEX($H$14:$H$53,MATCH($E16&amp;"#6",$X$14:$X$53,0)),"")</f>
        <v/>
      </c>
      <c r="AE16" s="20">
        <f>IFERROR(INDEX($H$14:$H$53,MATCH($E16&amp;"#7",$X$14:$X$53,0)),"")</f>
        <v/>
      </c>
      <c r="AF16" s="20">
        <f>IFERROR(INDEX($H$14:$H$53,MATCH($E16&amp;"#8",$X$14:$X$53,0)),"")</f>
        <v/>
      </c>
      <c r="AG16" s="20">
        <f>IFERROR(INDEX($H$14:$H$53,MATCH($E16&amp;"#9",$X$14:$X$53,0)),"")</f>
        <v/>
      </c>
      <c r="AH16" s="20">
        <f>IFERROR(INDEX($H$14:$H$53,MATCH($E16&amp;"#10",$X$14:$X$53,0)),"")</f>
        <v/>
      </c>
      <c r="AI16" s="20">
        <f>IFERROR(INDEX($H$14:$H$53,MATCH($E16&amp;"#11",$X$14:$X$53,0)),"")</f>
        <v/>
      </c>
      <c r="AJ16" s="20">
        <f>IFERROR(INDEX($H$14:$H$53,MATCH($E16&amp;"#12",$X$14:$X$53,0)),"")</f>
        <v/>
      </c>
      <c r="AK16" s="20">
        <f>IFERROR(INDEX($H$14:$H$53,MATCH($E16&amp;"#13",$X$14:$X$53,0)),"")</f>
        <v/>
      </c>
      <c r="AL16" s="20">
        <f>IFERROR(INDEX($H$14:$H$53,MATCH($E16&amp;"#14",$X$14:$X$53,0)),"")</f>
        <v/>
      </c>
      <c r="AM16" s="20">
        <f>IFERROR(INDEX($H$14:$H$53,MATCH($E16&amp;"#15",$X$14:$X$53,0)),"")</f>
        <v/>
      </c>
      <c r="AN16" s="20">
        <f>IFERROR(INDEX($H$14:$H$53,MATCH($E16&amp;"#16",$X$14:$X$53,0)),"")</f>
        <v/>
      </c>
      <c r="AO16" s="20">
        <f>IFERROR(INDEX($H$14:$H$53,MATCH($E16&amp;"#17",$X$14:$X$53,0)),"")</f>
        <v/>
      </c>
      <c r="AP16" s="20">
        <f>IFERROR(INDEX($H$14:$H$53,MATCH($E16&amp;"#18",$X$14:$X$53,0)),"")</f>
        <v/>
      </c>
      <c r="AQ16" s="20">
        <f>IFERROR(INDEX($H$14:$H$53,MATCH($E16&amp;"#19",$X$14:$X$53,0)),"")</f>
        <v/>
      </c>
      <c r="AR16" s="20">
        <f>IFERROR(INDEX($H$14:$H$53,MATCH($E16&amp;"#20",$X$14:$X$53,0)),"")</f>
        <v/>
      </c>
      <c r="AT16" s="21">
        <f>$C16</f>
        <v/>
      </c>
      <c r="AU16" s="22">
        <f>IF(AND($H16&lt;&gt;"",$Y16&lt;&gt;"",$H16&lt;&gt;$Y16,IFERROR(VLOOKUP($H16,areaCercaPuntiClassificaSquadra,3,FALSE),-1)=IFERROR(VLOOKUP($Y16,areaCercaPuntiClassificaSquadra,3,FALSE),-2)),SUMIFS(Dati!$B$2:$B$381,Dati!$A$2:$A$381,$H16,Dati!$H$2:$H$381,$Y16)+SUMIFS(Dati!$I$2:$I$381,Dati!$H$2:$H$381,$H16,Dati!$A$2:$A$381,$Y16),"-")</f>
        <v/>
      </c>
      <c r="AV16" s="22">
        <f>IF(AND($H16&lt;&gt;"",$Z16&lt;&gt;"",$H16&lt;&gt;$Z16,IFERROR(VLOOKUP($H16,areaCercaPuntiClassificaSquadra,3,FALSE),-1)=IFERROR(VLOOKUP($Z16,areaCercaPuntiClassificaSquadra,3,FALSE),-2)),SUMIFS(Dati!$B$2:$B$381,Dati!$A$2:$A$381,$H16,Dati!$H$2:$H$381,$Z16)+SUMIFS(Dati!$I$2:$I$381,Dati!$H$2:$H$381,$H16,Dati!$A$2:$A$381,$Z16),"-")</f>
        <v/>
      </c>
      <c r="AW16" s="22">
        <f>IF(AND($H16&lt;&gt;"",$AA16&lt;&gt;"",$H16&lt;&gt;$AA16,IFERROR(VLOOKUP($H16,areaCercaPuntiClassificaSquadra,3,FALSE),-1)=IFERROR(VLOOKUP($AA16,areaCercaPuntiClassificaSquadra,3,FALSE),-2)),SUMIFS(Dati!$B$2:$B$381,Dati!$A$2:$A$381,$H16,Dati!$H$2:$H$381,$AA16)+SUMIFS(Dati!$I$2:$I$381,Dati!$H$2:$H$381,$H16,Dati!$A$2:$A$381,$AA16),"-")</f>
        <v/>
      </c>
      <c r="AX16" s="22">
        <f>IF(AND($H16&lt;&gt;"",$AB16&lt;&gt;"",$H16&lt;&gt;$AB16,IFERROR(VLOOKUP($H16,areaCercaPuntiClassificaSquadra,3,FALSE),-1)=IFERROR(VLOOKUP($AB16,areaCercaPuntiClassificaSquadra,3,FALSE),-2)),SUMIFS(Dati!$B$2:$B$381,Dati!$A$2:$A$381,$H16,Dati!$H$2:$H$381,$AB16)+SUMIFS(Dati!$I$2:$I$381,Dati!$H$2:$H$381,$H16,Dati!$A$2:$A$381,$AB16),"-")</f>
        <v/>
      </c>
      <c r="AY16" s="22">
        <f>IF(AND($H16&lt;&gt;"",$AC16&lt;&gt;"",$H16&lt;&gt;$AC16,IFERROR(VLOOKUP($H16,areaCercaPuntiClassificaSquadra,3,FALSE),-1)=IFERROR(VLOOKUP($AC16,areaCercaPuntiClassificaSquadra,3,FALSE),-2)),SUMIFS(Dati!$B$2:$B$381,Dati!$A$2:$A$381,$H16,Dati!$H$2:$H$381,$AC16)+SUMIFS(Dati!$I$2:$I$381,Dati!$H$2:$H$381,$H16,Dati!$A$2:$A$381,$AC16),"-")</f>
        <v/>
      </c>
      <c r="AZ16" s="22">
        <f>IF(AND($H16&lt;&gt;"",$AD16&lt;&gt;"",$H16&lt;&gt;$AD16,IFERROR(VLOOKUP($H16,areaCercaPuntiClassificaSquadra,3,FALSE),-1)=IFERROR(VLOOKUP($AD16,areaCercaPuntiClassificaSquadra,3,FALSE),-2)),SUMIFS(Dati!$B$2:$B$381,Dati!$A$2:$A$381,$H16,Dati!$H$2:$H$381,$AD16)+SUMIFS(Dati!$I$2:$I$381,Dati!$H$2:$H$381,$H16,Dati!$A$2:$A$381,$AD16),"-")</f>
        <v/>
      </c>
      <c r="BA16" s="22">
        <f>IF(AND($H16&lt;&gt;"",$AE16&lt;&gt;"",$H16&lt;&gt;$AE16,IFERROR(VLOOKUP($H16,areaCercaPuntiClassificaSquadra,3,FALSE),-1)=IFERROR(VLOOKUP($AE16,areaCercaPuntiClassificaSquadra,3,FALSE),-2)),SUMIFS(Dati!$B$2:$B$381,Dati!$A$2:$A$381,$H16,Dati!$H$2:$H$381,$AE16)+SUMIFS(Dati!$I$2:$I$381,Dati!$H$2:$H$381,$H16,Dati!$A$2:$A$381,$AE16),"-")</f>
        <v/>
      </c>
      <c r="BB16" s="22">
        <f>IF(AND($H16&lt;&gt;"",$AF16&lt;&gt;"",$H16&lt;&gt;$AF16,IFERROR(VLOOKUP($H16,areaCercaPuntiClassificaSquadra,3,FALSE),-1)=IFERROR(VLOOKUP($AF16,areaCercaPuntiClassificaSquadra,3,FALSE),-2)),SUMIFS(Dati!$B$2:$B$381,Dati!$A$2:$A$381,$H16,Dati!$H$2:$H$381,$AF16)+SUMIFS(Dati!$I$2:$I$381,Dati!$H$2:$H$381,$H16,Dati!$A$2:$A$381,$AF16),"-")</f>
        <v/>
      </c>
      <c r="BC16" s="22">
        <f>IF(AND($H16&lt;&gt;"",$AG16&lt;&gt;"",$H16&lt;&gt;$AG16,IFERROR(VLOOKUP($H16,areaCercaPuntiClassificaSquadra,3,FALSE),-1)=IFERROR(VLOOKUP($AG16,areaCercaPuntiClassificaSquadra,3,FALSE),-2)),SUMIFS(Dati!$B$2:$B$381,Dati!$A$2:$A$381,$H16,Dati!$H$2:$H$381,$AG16)+SUMIFS(Dati!$I$2:$I$381,Dati!$H$2:$H$381,$H16,Dati!$A$2:$A$381,$AG16),"-")</f>
        <v/>
      </c>
      <c r="BD16" s="22">
        <f>IF(AND($H16&lt;&gt;"",$AH16&lt;&gt;"",$H16&lt;&gt;$AH16,IFERROR(VLOOKUP($H16,areaCercaPuntiClassificaSquadra,3,FALSE),-1)=IFERROR(VLOOKUP($AH16,areaCercaPuntiClassificaSquadra,3,FALSE),-2)),SUMIFS(Dati!$B$2:$B$381,Dati!$A$2:$A$381,$H16,Dati!$H$2:$H$381,$AH16)+SUMIFS(Dati!$I$2:$I$381,Dati!$H$2:$H$381,$H16,Dati!$A$2:$A$381,$AH16),"-")</f>
        <v/>
      </c>
      <c r="BE16" s="22">
        <f>IF(AND($H16&lt;&gt;"",$AI16&lt;&gt;"",$H16&lt;&gt;$AI16,IFERROR(VLOOKUP($H16,areaCercaPuntiClassificaSquadra,3,FALSE),-1)=IFERROR(VLOOKUP($AI16,areaCercaPuntiClassificaSquadra,3,FALSE),-2)),SUMIFS(Dati!$B$2:$B$381,Dati!$A$2:$A$381,$H16,Dati!$H$2:$H$381,$AI16)+SUMIFS(Dati!$I$2:$I$381,Dati!$H$2:$H$381,$H16,Dati!$A$2:$A$381,$AI16),"-")</f>
        <v/>
      </c>
      <c r="BF16" s="22">
        <f>IF(AND($H16&lt;&gt;"",$AJ16&lt;&gt;"",$H16&lt;&gt;$AJ16,IFERROR(VLOOKUP($H16,areaCercaPuntiClassificaSquadra,3,FALSE),-1)=IFERROR(VLOOKUP($AJ16,areaCercaPuntiClassificaSquadra,3,FALSE),-2)),SUMIFS(Dati!$B$2:$B$381,Dati!$A$2:$A$381,$H16,Dati!$H$2:$H$381,$AJ16)+SUMIFS(Dati!$I$2:$I$381,Dati!$H$2:$H$381,$H16,Dati!$A$2:$A$381,$AJ16),"-")</f>
        <v/>
      </c>
      <c r="BG16" s="22">
        <f>IF(AND($H16&lt;&gt;"",$AK16&lt;&gt;"",$H16&lt;&gt;$AK16,IFERROR(VLOOKUP($H16,areaCercaPuntiClassificaSquadra,3,FALSE),-1)=IFERROR(VLOOKUP($AK16,areaCercaPuntiClassificaSquadra,3,FALSE),-2)),SUMIFS(Dati!$B$2:$B$381,Dati!$A$2:$A$381,$H16,Dati!$H$2:$H$381,$AK16)+SUMIFS(Dati!$I$2:$I$381,Dati!$H$2:$H$381,$H16,Dati!$A$2:$A$381,$AK16),"-")</f>
        <v/>
      </c>
      <c r="BH16" s="22">
        <f>IF(AND($H16&lt;&gt;"",$AL16&lt;&gt;"",$H16&lt;&gt;$AL16,IFERROR(VLOOKUP($H16,areaCercaPuntiClassificaSquadra,3,FALSE),-1)=IFERROR(VLOOKUP($AL16,areaCercaPuntiClassificaSquadra,3,FALSE),-2)),SUMIFS(Dati!$B$2:$B$381,Dati!$A$2:$A$381,$H16,Dati!$H$2:$H$381,$AL16)+SUMIFS(Dati!$I$2:$I$381,Dati!$H$2:$H$381,$H16,Dati!$A$2:$A$381,$AL16),"-")</f>
        <v/>
      </c>
      <c r="BI16" s="22">
        <f>IF(AND($H16&lt;&gt;"",$AM16&lt;&gt;"",$H16&lt;&gt;$AM16,IFERROR(VLOOKUP($H16,areaCercaPuntiClassificaSquadra,3,FALSE),-1)=IFERROR(VLOOKUP($AM16,areaCercaPuntiClassificaSquadra,3,FALSE),-2)),SUMIFS(Dati!$B$2:$B$381,Dati!$A$2:$A$381,$H16,Dati!$H$2:$H$381,$AM16)+SUMIFS(Dati!$I$2:$I$381,Dati!$H$2:$H$381,$H16,Dati!$A$2:$A$381,$AM16),"-")</f>
        <v/>
      </c>
      <c r="BJ16" s="22">
        <f>IF(AND($H16&lt;&gt;"",$AN16&lt;&gt;"",$H16&lt;&gt;$AN16,IFERROR(VLOOKUP($H16,areaCercaPuntiClassificaSquadra,3,FALSE),-1)=IFERROR(VLOOKUP($AN16,areaCercaPuntiClassificaSquadra,3,FALSE),-2)),SUMIFS(Dati!$B$2:$B$381,Dati!$A$2:$A$381,$H16,Dati!$H$2:$H$381,$AN16)+SUMIFS(Dati!$I$2:$I$381,Dati!$H$2:$H$381,$H16,Dati!$A$2:$A$381,$AN16),"-")</f>
        <v/>
      </c>
      <c r="BK16" s="22">
        <f>IF(AND($H16&lt;&gt;"",$AO16&lt;&gt;"",$H16&lt;&gt;$AO16,IFERROR(VLOOKUP($H16,areaCercaPuntiClassificaSquadra,3,FALSE),-1)=IFERROR(VLOOKUP($AO16,areaCercaPuntiClassificaSquadra,3,FALSE),-2)),SUMIFS(Dati!$B$2:$B$381,Dati!$A$2:$A$381,$H16,Dati!$H$2:$H$381,$AO16)+SUMIFS(Dati!$I$2:$I$381,Dati!$H$2:$H$381,$H16,Dati!$A$2:$A$381,$AO16),"-")</f>
        <v/>
      </c>
      <c r="BL16" s="22">
        <f>IF(AND($H16&lt;&gt;"",$AP16&lt;&gt;"",$H16&lt;&gt;$AP16,IFERROR(VLOOKUP($H16,areaCercaPuntiClassificaSquadra,3,FALSE),-1)=IFERROR(VLOOKUP($AP16,areaCercaPuntiClassificaSquadra,3,FALSE),-2)),SUMIFS(Dati!$B$2:$B$381,Dati!$A$2:$A$381,$H16,Dati!$H$2:$H$381,$AP16)+SUMIFS(Dati!$I$2:$I$381,Dati!$H$2:$H$381,$H16,Dati!$A$2:$A$381,$AP16),"-")</f>
        <v/>
      </c>
      <c r="BM16" s="22">
        <f>IF(AND($H16&lt;&gt;"",$AQ16&lt;&gt;"",$H16&lt;&gt;$AQ16,IFERROR(VLOOKUP($H16,areaCercaPuntiClassificaSquadra,3,FALSE),-1)=IFERROR(VLOOKUP($AQ16,areaCercaPuntiClassificaSquadra,3,FALSE),-2)),SUMIFS(Dati!$B$2:$B$381,Dati!$A$2:$A$381,$H16,Dati!$H$2:$H$381,$AQ16)+SUMIFS(Dati!$I$2:$I$381,Dati!$H$2:$H$381,$H16,Dati!$A$2:$A$381,$AQ16),"-")</f>
        <v/>
      </c>
      <c r="BN16" s="22">
        <f>IF(AND($H16&lt;&gt;"",$AR16&lt;&gt;"",$H16&lt;&gt;$AR16,IFERROR(VLOOKUP($H16,areaCercaPuntiClassificaSquadra,3,FALSE),-1)=IFERROR(VLOOKUP($AR16,areaCercaPuntiClassificaSquadra,3,FALSE),-2)),SUMIFS(Dati!$B$2:$B$381,Dati!$A$2:$A$381,$H16,Dati!$H$2:$H$381,$AR16)+SUMIFS(Dati!$I$2:$I$381,Dati!$H$2:$H$381,$H16,Dati!$A$2:$A$381,$AR16),"-")</f>
        <v/>
      </c>
      <c r="BP16" s="21">
        <f>$C16</f>
        <v/>
      </c>
      <c r="BQ16" s="22">
        <f>IF(AND($H16&lt;&gt;"",$Y16&lt;&gt;"",$H16&lt;&gt;$Y16,IFERROR(VLOOKUP($H16,areaCercaPuntiClassificaSquadra,3,FALSE),-1)=IFERROR(VLOOKUP($Y16,areaCercaPuntiClassificaSquadra,3,FALSE),-2)),SUMIFS(Dati!$D$2:$D$381,Dati!$A$2:$A$381,$H16,Dati!$H$2:$H$381,$Y16)+SUMIFS(Dati!$K$2:$K$381,Dati!$H$2:$H$381,$H16,Dati!$A$2:$A$381,$Y16)+SUMIFS(Dati!$C$2:$C$381,Dati!$A$2:$A$381,$H16,Dati!$H$2:$H$381,$Y16)+SUMIFS(Dati!$J$2:$J$381,Dati!$H$2:$H$381,$H16,Dati!$A$2:$A$381,$Y16),"-")</f>
        <v/>
      </c>
      <c r="BR16" s="22">
        <f>IF(AND($H16&lt;&gt;"",$Z16&lt;&gt;"",$H16&lt;&gt;$Z16,IFERROR(VLOOKUP($H16,areaCercaPuntiClassificaSquadra,3,FALSE),-1)=IFERROR(VLOOKUP($Z16,areaCercaPuntiClassificaSquadra,3,FALSE),-2)),SUMIFS(Dati!$D$2:$D$381,Dati!$A$2:$A$381,$H16,Dati!$H$2:$H$381,$Z16)+SUMIFS(Dati!$K$2:$K$381,Dati!$H$2:$H$381,$H16,Dati!$A$2:$A$381,$Z16)+SUMIFS(Dati!$C$2:$C$381,Dati!$A$2:$A$381,$H16,Dati!$H$2:$H$381,$Z16)+SUMIFS(Dati!$J$2:$J$381,Dati!$H$2:$H$381,$H16,Dati!$A$2:$A$381,$Z16),"-")</f>
        <v/>
      </c>
      <c r="BS16" s="22">
        <f>IF(AND($H16&lt;&gt;"",$AA16&lt;&gt;"",$H16&lt;&gt;$AA16,IFERROR(VLOOKUP($H16,areaCercaPuntiClassificaSquadra,3,FALSE),-1)=IFERROR(VLOOKUP($AA16,areaCercaPuntiClassificaSquadra,3,FALSE),-2)),SUMIFS(Dati!$D$2:$D$381,Dati!$A$2:$A$381,$H16,Dati!$H$2:$H$381,$AA16)+SUMIFS(Dati!$K$2:$K$381,Dati!$H$2:$H$381,$H16,Dati!$A$2:$A$381,$AA16)+SUMIFS(Dati!$C$2:$C$381,Dati!$A$2:$A$381,$H16,Dati!$H$2:$H$381,$AA16)+SUMIFS(Dati!$J$2:$J$381,Dati!$H$2:$H$381,$H16,Dati!$A$2:$A$381,$AA16),"-")</f>
        <v/>
      </c>
      <c r="BT16" s="22">
        <f>IF(AND($H16&lt;&gt;"",$AB16&lt;&gt;"",$H16&lt;&gt;$AB16,IFERROR(VLOOKUP($H16,areaCercaPuntiClassificaSquadra,3,FALSE),-1)=IFERROR(VLOOKUP($AB16,areaCercaPuntiClassificaSquadra,3,FALSE),-2)),SUMIFS(Dati!$D$2:$D$381,Dati!$A$2:$A$381,$H16,Dati!$H$2:$H$381,$AB16)+SUMIFS(Dati!$K$2:$K$381,Dati!$H$2:$H$381,$H16,Dati!$A$2:$A$381,$AB16)+SUMIFS(Dati!$C$2:$C$381,Dati!$A$2:$A$381,$H16,Dati!$H$2:$H$381,$AB16)+SUMIFS(Dati!$J$2:$J$381,Dati!$H$2:$H$381,$H16,Dati!$A$2:$A$381,$AB16),"-")</f>
        <v/>
      </c>
      <c r="BU16" s="22">
        <f>IF(AND($H16&lt;&gt;"",$AC16&lt;&gt;"",$H16&lt;&gt;$AC16,IFERROR(VLOOKUP($H16,areaCercaPuntiClassificaSquadra,3,FALSE),-1)=IFERROR(VLOOKUP($AC16,areaCercaPuntiClassificaSquadra,3,FALSE),-2)),SUMIFS(Dati!$D$2:$D$381,Dati!$A$2:$A$381,$H16,Dati!$H$2:$H$381,$AC16)+SUMIFS(Dati!$K$2:$K$381,Dati!$H$2:$H$381,$H16,Dati!$A$2:$A$381,$AC16)+SUMIFS(Dati!$C$2:$C$381,Dati!$A$2:$A$381,$H16,Dati!$H$2:$H$381,$AC16)+SUMIFS(Dati!$J$2:$J$381,Dati!$H$2:$H$381,$H16,Dati!$A$2:$A$381,$AC16),"-")</f>
        <v/>
      </c>
      <c r="BV16" s="22">
        <f>IF(AND($H16&lt;&gt;"",$AD16&lt;&gt;"",$H16&lt;&gt;$AD16,IFERROR(VLOOKUP($H16,areaCercaPuntiClassificaSquadra,3,FALSE),-1)=IFERROR(VLOOKUP($AD16,areaCercaPuntiClassificaSquadra,3,FALSE),-2)),SUMIFS(Dati!$D$2:$D$381,Dati!$A$2:$A$381,$H16,Dati!$H$2:$H$381,$AD16)+SUMIFS(Dati!$K$2:$K$381,Dati!$H$2:$H$381,$H16,Dati!$A$2:$A$381,$AD16)+SUMIFS(Dati!$C$2:$C$381,Dati!$A$2:$A$381,$H16,Dati!$H$2:$H$381,$AD16)+SUMIFS(Dati!$J$2:$J$381,Dati!$H$2:$H$381,$H16,Dati!$A$2:$A$381,$AD16),"-")</f>
        <v/>
      </c>
      <c r="BW16" s="22">
        <f>IF(AND($H16&lt;&gt;"",$AE16&lt;&gt;"",$H16&lt;&gt;$AE16,IFERROR(VLOOKUP($H16,areaCercaPuntiClassificaSquadra,3,FALSE),-1)=IFERROR(VLOOKUP($AE16,areaCercaPuntiClassificaSquadra,3,FALSE),-2)),SUMIFS(Dati!$D$2:$D$381,Dati!$A$2:$A$381,$H16,Dati!$H$2:$H$381,$AE16)+SUMIFS(Dati!$K$2:$K$381,Dati!$H$2:$H$381,$H16,Dati!$A$2:$A$381,$AE16)+SUMIFS(Dati!$C$2:$C$381,Dati!$A$2:$A$381,$H16,Dati!$H$2:$H$381,$AE16)+SUMIFS(Dati!$J$2:$J$381,Dati!$H$2:$H$381,$H16,Dati!$A$2:$A$381,$AE16),"-")</f>
        <v/>
      </c>
      <c r="BX16" s="22">
        <f>IF(AND($H16&lt;&gt;"",$AF16&lt;&gt;"",$H16&lt;&gt;$AF16,IFERROR(VLOOKUP($H16,areaCercaPuntiClassificaSquadra,3,FALSE),-1)=IFERROR(VLOOKUP($AF16,areaCercaPuntiClassificaSquadra,3,FALSE),-2)),SUMIFS(Dati!$D$2:$D$381,Dati!$A$2:$A$381,$H16,Dati!$H$2:$H$381,$AF16)+SUMIFS(Dati!$K$2:$K$381,Dati!$H$2:$H$381,$H16,Dati!$A$2:$A$381,$AF16)+SUMIFS(Dati!$C$2:$C$381,Dati!$A$2:$A$381,$H16,Dati!$H$2:$H$381,$AF16)+SUMIFS(Dati!$J$2:$J$381,Dati!$H$2:$H$381,$H16,Dati!$A$2:$A$381,$AF16),"-")</f>
        <v/>
      </c>
      <c r="BY16" s="22">
        <f>IF(AND($H16&lt;&gt;"",$AG16&lt;&gt;"",$H16&lt;&gt;$AG16,IFERROR(VLOOKUP($H16,areaCercaPuntiClassificaSquadra,3,FALSE),-1)=IFERROR(VLOOKUP($AG16,areaCercaPuntiClassificaSquadra,3,FALSE),-2)),SUMIFS(Dati!$D$2:$D$381,Dati!$A$2:$A$381,$H16,Dati!$H$2:$H$381,$AG16)+SUMIFS(Dati!$K$2:$K$381,Dati!$H$2:$H$381,$H16,Dati!$A$2:$A$381,$AG16)+SUMIFS(Dati!$C$2:$C$381,Dati!$A$2:$A$381,$H16,Dati!$H$2:$H$381,$AG16)+SUMIFS(Dati!$J$2:$J$381,Dati!$H$2:$H$381,$H16,Dati!$A$2:$A$381,$AG16),"-")</f>
        <v/>
      </c>
      <c r="BZ16" s="22">
        <f>IF(AND($H16&lt;&gt;"",$AH16&lt;&gt;"",$H16&lt;&gt;$AH16,IFERROR(VLOOKUP($H16,areaCercaPuntiClassificaSquadra,3,FALSE),-1)=IFERROR(VLOOKUP($AH16,areaCercaPuntiClassificaSquadra,3,FALSE),-2)),SUMIFS(Dati!$D$2:$D$381,Dati!$A$2:$A$381,$H16,Dati!$H$2:$H$381,$AH16)+SUMIFS(Dati!$K$2:$K$381,Dati!$H$2:$H$381,$H16,Dati!$A$2:$A$381,$AH16)+SUMIFS(Dati!$C$2:$C$381,Dati!$A$2:$A$381,$H16,Dati!$H$2:$H$381,$AH16)+SUMIFS(Dati!$J$2:$J$381,Dati!$H$2:$H$381,$H16,Dati!$A$2:$A$381,$AH16),"-")</f>
        <v/>
      </c>
      <c r="CA16" s="22">
        <f>IF(AND($H16&lt;&gt;"",$AI16&lt;&gt;"",$H16&lt;&gt;$AI16,IFERROR(VLOOKUP($H16,areaCercaPuntiClassificaSquadra,3,FALSE),-1)=IFERROR(VLOOKUP($AI16,areaCercaPuntiClassificaSquadra,3,FALSE),-2)),SUMIFS(Dati!$D$2:$D$381,Dati!$A$2:$A$381,$H16,Dati!$H$2:$H$381,$AI16)+SUMIFS(Dati!$K$2:$K$381,Dati!$H$2:$H$381,$H16,Dati!$A$2:$A$381,$AI16)+SUMIFS(Dati!$C$2:$C$381,Dati!$A$2:$A$381,$H16,Dati!$H$2:$H$381,$AI16)+SUMIFS(Dati!$J$2:$J$381,Dati!$H$2:$H$381,$H16,Dati!$A$2:$A$381,$AI16),"-")</f>
        <v/>
      </c>
      <c r="CB16" s="22">
        <f>IF(AND($H16&lt;&gt;"",$AJ16&lt;&gt;"",$H16&lt;&gt;$AJ16,IFERROR(VLOOKUP($H16,areaCercaPuntiClassificaSquadra,3,FALSE),-1)=IFERROR(VLOOKUP($AJ16,areaCercaPuntiClassificaSquadra,3,FALSE),-2)),SUMIFS(Dati!$D$2:$D$381,Dati!$A$2:$A$381,$H16,Dati!$H$2:$H$381,$AJ16)+SUMIFS(Dati!$K$2:$K$381,Dati!$H$2:$H$381,$H16,Dati!$A$2:$A$381,$AJ16)+SUMIFS(Dati!$C$2:$C$381,Dati!$A$2:$A$381,$H16,Dati!$H$2:$H$381,$AJ16)+SUMIFS(Dati!$J$2:$J$381,Dati!$H$2:$H$381,$H16,Dati!$A$2:$A$381,$AJ16),"-")</f>
        <v/>
      </c>
      <c r="CC16" s="22">
        <f>IF(AND($H16&lt;&gt;"",$AK16&lt;&gt;"",$H16&lt;&gt;$AK16,IFERROR(VLOOKUP($H16,areaCercaPuntiClassificaSquadra,3,FALSE),-1)=IFERROR(VLOOKUP($AK16,areaCercaPuntiClassificaSquadra,3,FALSE),-2)),SUMIFS(Dati!$D$2:$D$381,Dati!$A$2:$A$381,$H16,Dati!$H$2:$H$381,$AK16)+SUMIFS(Dati!$K$2:$K$381,Dati!$H$2:$H$381,$H16,Dati!$A$2:$A$381,$AK16)+SUMIFS(Dati!$C$2:$C$381,Dati!$A$2:$A$381,$H16,Dati!$H$2:$H$381,$AK16)+SUMIFS(Dati!$J$2:$J$381,Dati!$H$2:$H$381,$H16,Dati!$A$2:$A$381,$AK16),"-")</f>
        <v/>
      </c>
      <c r="CD16" s="22">
        <f>IF(AND($H16&lt;&gt;"",$AL16&lt;&gt;"",$H16&lt;&gt;$AL16,IFERROR(VLOOKUP($H16,areaCercaPuntiClassificaSquadra,3,FALSE),-1)=IFERROR(VLOOKUP($AL16,areaCercaPuntiClassificaSquadra,3,FALSE),-2)),SUMIFS(Dati!$D$2:$D$381,Dati!$A$2:$A$381,$H16,Dati!$H$2:$H$381,$AL16)+SUMIFS(Dati!$K$2:$K$381,Dati!$H$2:$H$381,$H16,Dati!$A$2:$A$381,$AL16)+SUMIFS(Dati!$C$2:$C$381,Dati!$A$2:$A$381,$H16,Dati!$H$2:$H$381,$AL16)+SUMIFS(Dati!$J$2:$J$381,Dati!$H$2:$H$381,$H16,Dati!$A$2:$A$381,$AL16),"-")</f>
        <v/>
      </c>
      <c r="CE16" s="22">
        <f>IF(AND($H16&lt;&gt;"",$AM16&lt;&gt;"",$H16&lt;&gt;$AM16,IFERROR(VLOOKUP($H16,areaCercaPuntiClassificaSquadra,3,FALSE),-1)=IFERROR(VLOOKUP($AM16,areaCercaPuntiClassificaSquadra,3,FALSE),-2)),SUMIFS(Dati!$D$2:$D$381,Dati!$A$2:$A$381,$H16,Dati!$H$2:$H$381,$AM16)+SUMIFS(Dati!$K$2:$K$381,Dati!$H$2:$H$381,$H16,Dati!$A$2:$A$381,$AM16)+SUMIFS(Dati!$C$2:$C$381,Dati!$A$2:$A$381,$H16,Dati!$H$2:$H$381,$AM16)+SUMIFS(Dati!$J$2:$J$381,Dati!$H$2:$H$381,$H16,Dati!$A$2:$A$381,$AM16),"-")</f>
        <v/>
      </c>
      <c r="CF16" s="22">
        <f>IF(AND($H16&lt;&gt;"",$AN16&lt;&gt;"",$H16&lt;&gt;$AN16,IFERROR(VLOOKUP($H16,areaCercaPuntiClassificaSquadra,3,FALSE),-1)=IFERROR(VLOOKUP($AN16,areaCercaPuntiClassificaSquadra,3,FALSE),-2)),SUMIFS(Dati!$D$2:$D$381,Dati!$A$2:$A$381,$H16,Dati!$H$2:$H$381,$AN16)+SUMIFS(Dati!$K$2:$K$381,Dati!$H$2:$H$381,$H16,Dati!$A$2:$A$381,$AN16)+SUMIFS(Dati!$C$2:$C$381,Dati!$A$2:$A$381,$H16,Dati!$H$2:$H$381,$AN16)+SUMIFS(Dati!$J$2:$J$381,Dati!$H$2:$H$381,$H16,Dati!$A$2:$A$381,$AN16),"-")</f>
        <v/>
      </c>
      <c r="CG16" s="22">
        <f>IF(AND($H16&lt;&gt;"",$AO16&lt;&gt;"",$H16&lt;&gt;$AO16,IFERROR(VLOOKUP($H16,areaCercaPuntiClassificaSquadra,3,FALSE),-1)=IFERROR(VLOOKUP($AO16,areaCercaPuntiClassificaSquadra,3,FALSE),-2)),SUMIFS(Dati!$D$2:$D$381,Dati!$A$2:$A$381,$H16,Dati!$H$2:$H$381,$AO16)+SUMIFS(Dati!$K$2:$K$381,Dati!$H$2:$H$381,$H16,Dati!$A$2:$A$381,$AO16)+SUMIFS(Dati!$C$2:$C$381,Dati!$A$2:$A$381,$H16,Dati!$H$2:$H$381,$AO16)+SUMIFS(Dati!$J$2:$J$381,Dati!$H$2:$H$381,$H16,Dati!$A$2:$A$381,$AO16),"-")</f>
        <v/>
      </c>
      <c r="CH16" s="22">
        <f>IF(AND($H16&lt;&gt;"",$AP16&lt;&gt;"",$H16&lt;&gt;$AP16,IFERROR(VLOOKUP($H16,areaCercaPuntiClassificaSquadra,3,FALSE),-1)=IFERROR(VLOOKUP($AP16,areaCercaPuntiClassificaSquadra,3,FALSE),-2)),SUMIFS(Dati!$D$2:$D$381,Dati!$A$2:$A$381,$H16,Dati!$H$2:$H$381,$AP16)+SUMIFS(Dati!$K$2:$K$381,Dati!$H$2:$H$381,$H16,Dati!$A$2:$A$381,$AP16)+SUMIFS(Dati!$C$2:$C$381,Dati!$A$2:$A$381,$H16,Dati!$H$2:$H$381,$AP16)+SUMIFS(Dati!$J$2:$J$381,Dati!$H$2:$H$381,$H16,Dati!$A$2:$A$381,$AP16),"-")</f>
        <v/>
      </c>
      <c r="CI16" s="22">
        <f>IF(AND($H16&lt;&gt;"",$AQ16&lt;&gt;"",$H16&lt;&gt;$AQ16,IFERROR(VLOOKUP($H16,areaCercaPuntiClassificaSquadra,3,FALSE),-1)=IFERROR(VLOOKUP($AQ16,areaCercaPuntiClassificaSquadra,3,FALSE),-2)),SUMIFS(Dati!$D$2:$D$381,Dati!$A$2:$A$381,$H16,Dati!$H$2:$H$381,$AQ16)+SUMIFS(Dati!$K$2:$K$381,Dati!$H$2:$H$381,$H16,Dati!$A$2:$A$381,$AQ16)+SUMIFS(Dati!$C$2:$C$381,Dati!$A$2:$A$381,$H16,Dati!$H$2:$H$381,$AQ16)+SUMIFS(Dati!$J$2:$J$381,Dati!$H$2:$H$381,$H16,Dati!$A$2:$A$381,$AQ16),"-")</f>
        <v/>
      </c>
      <c r="CJ16" s="22">
        <f>IF(AND($H16&lt;&gt;"",$AR16&lt;&gt;"",$H16&lt;&gt;$AR16,IFERROR(VLOOKUP($H16,areaCercaPuntiClassificaSquadra,3,FALSE),-1)=IFERROR(VLOOKUP($AR16,areaCercaPuntiClassificaSquadra,3,FALSE),-2)),SUMIFS(Dati!$D$2:$D$381,Dati!$A$2:$A$381,$H16,Dati!$H$2:$H$381,$AR16)+SUMIFS(Dati!$K$2:$K$381,Dati!$H$2:$H$381,$H16,Dati!$A$2:$A$381,$AR16)+SUMIFS(Dati!$C$2:$C$381,Dati!$A$2:$A$381,$H16,Dati!$H$2:$H$381,$AR16)+SUMIFS(Dati!$J$2:$J$381,Dati!$H$2:$H$381,$H16,Dati!$A$2:$A$381,$AR16),"-")</f>
        <v/>
      </c>
      <c r="CL16" s="21">
        <f>$C16</f>
        <v/>
      </c>
      <c r="CM16" s="22">
        <f>IF(AND($H16&lt;&gt;"",$Y16&lt;&gt;"",$H16&lt;&gt;$Y16,IFERROR(VLOOKUP($H16,areaCercaPuntiClassificaSquadra,3,FALSE),-1)=IFERROR(VLOOKUP($Y16,areaCercaPuntiClassificaSquadra,3,FALSE),-2)),SUMIFS(Dati!$E$2:$E$381,Dati!$A$2:$A$381,$H16,Dati!$H$2:$H$381,$Y16)+SUMIFS(Dati!$L$2:$L$381,Dati!$H$2:$H$381,$H16,Dati!$A$2:$A$381,$Y16),"-")</f>
        <v/>
      </c>
      <c r="CN16" s="22">
        <f>IF(AND($H16&lt;&gt;"",$Z16&lt;&gt;"",$H16&lt;&gt;$Z16,IFERROR(VLOOKUP($H16,areaCercaPuntiClassificaSquadra,3,FALSE),-1)=IFERROR(VLOOKUP($Z16,areaCercaPuntiClassificaSquadra,3,FALSE),-2)),SUMIFS(Dati!$E$2:$E$381,Dati!$A$2:$A$381,$H16,Dati!$H$2:$H$381,$Z16)+SUMIFS(Dati!$L$2:$L$381,Dati!$H$2:$H$381,$H16,Dati!$A$2:$A$381,$Z16),"-")</f>
        <v/>
      </c>
      <c r="CO16" s="22">
        <f>IF(AND($H16&lt;&gt;"",$AA16&lt;&gt;"",$H16&lt;&gt;$AA16,IFERROR(VLOOKUP($H16,areaCercaPuntiClassificaSquadra,3,FALSE),-1)=IFERROR(VLOOKUP($AA16,areaCercaPuntiClassificaSquadra,3,FALSE),-2)),SUMIFS(Dati!$E$2:$E$381,Dati!$A$2:$A$381,$H16,Dati!$H$2:$H$381,$AA16)+SUMIFS(Dati!$L$2:$L$381,Dati!$H$2:$H$381,$H16,Dati!$A$2:$A$381,$AA16),"-")</f>
        <v/>
      </c>
      <c r="CP16" s="22">
        <f>IF(AND($H16&lt;&gt;"",$AB16&lt;&gt;"",$H16&lt;&gt;$AB16,IFERROR(VLOOKUP($H16,areaCercaPuntiClassificaSquadra,3,FALSE),-1)=IFERROR(VLOOKUP($AB16,areaCercaPuntiClassificaSquadra,3,FALSE),-2)),SUMIFS(Dati!$E$2:$E$381,Dati!$A$2:$A$381,$H16,Dati!$H$2:$H$381,$AB16)+SUMIFS(Dati!$L$2:$L$381,Dati!$H$2:$H$381,$H16,Dati!$A$2:$A$381,$AB16),"-")</f>
        <v/>
      </c>
      <c r="CQ16" s="22">
        <f>IF(AND($H16&lt;&gt;"",$AC16&lt;&gt;"",$H16&lt;&gt;$AC16,IFERROR(VLOOKUP($H16,areaCercaPuntiClassificaSquadra,3,FALSE),-1)=IFERROR(VLOOKUP($AC16,areaCercaPuntiClassificaSquadra,3,FALSE),-2)),SUMIFS(Dati!$E$2:$E$381,Dati!$A$2:$A$381,$H16,Dati!$H$2:$H$381,$AC16)+SUMIFS(Dati!$L$2:$L$381,Dati!$H$2:$H$381,$H16,Dati!$A$2:$A$381,$AC16),"-")</f>
        <v/>
      </c>
      <c r="CR16" s="22">
        <f>IF(AND($H16&lt;&gt;"",$AD16&lt;&gt;"",$H16&lt;&gt;$AD16,IFERROR(VLOOKUP($H16,areaCercaPuntiClassificaSquadra,3,FALSE),-1)=IFERROR(VLOOKUP($AD16,areaCercaPuntiClassificaSquadra,3,FALSE),-2)),SUMIFS(Dati!$E$2:$E$381,Dati!$A$2:$A$381,$H16,Dati!$H$2:$H$381,$AD16)+SUMIFS(Dati!$L$2:$L$381,Dati!$H$2:$H$381,$H16,Dati!$A$2:$A$381,$AD16),"-")</f>
        <v/>
      </c>
      <c r="CS16" s="22">
        <f>IF(AND($H16&lt;&gt;"",$AE16&lt;&gt;"",$H16&lt;&gt;$AE16,IFERROR(VLOOKUP($H16,areaCercaPuntiClassificaSquadra,3,FALSE),-1)=IFERROR(VLOOKUP($AE16,areaCercaPuntiClassificaSquadra,3,FALSE),-2)),SUMIFS(Dati!$E$2:$E$381,Dati!$A$2:$A$381,$H16,Dati!$H$2:$H$381,$AE16)+SUMIFS(Dati!$L$2:$L$381,Dati!$H$2:$H$381,$H16,Dati!$A$2:$A$381,$AE16),"-")</f>
        <v/>
      </c>
      <c r="CT16" s="22">
        <f>IF(AND($H16&lt;&gt;"",$AF16&lt;&gt;"",$H16&lt;&gt;$AF16,IFERROR(VLOOKUP($H16,areaCercaPuntiClassificaSquadra,3,FALSE),-1)=IFERROR(VLOOKUP($AF16,areaCercaPuntiClassificaSquadra,3,FALSE),-2)),SUMIFS(Dati!$E$2:$E$381,Dati!$A$2:$A$381,$H16,Dati!$H$2:$H$381,$AF16)+SUMIFS(Dati!$L$2:$L$381,Dati!$H$2:$H$381,$H16,Dati!$A$2:$A$381,$AF16),"-")</f>
        <v/>
      </c>
      <c r="CU16" s="22">
        <f>IF(AND($H16&lt;&gt;"",$AG16&lt;&gt;"",$H16&lt;&gt;$AG16,IFERROR(VLOOKUP($H16,areaCercaPuntiClassificaSquadra,3,FALSE),-1)=IFERROR(VLOOKUP($AG16,areaCercaPuntiClassificaSquadra,3,FALSE),-2)),SUMIFS(Dati!$E$2:$E$381,Dati!$A$2:$A$381,$H16,Dati!$H$2:$H$381,$AG16)+SUMIFS(Dati!$L$2:$L$381,Dati!$H$2:$H$381,$H16,Dati!$A$2:$A$381,$AG16),"-")</f>
        <v/>
      </c>
      <c r="CV16" s="22">
        <f>IF(AND($H16&lt;&gt;"",$AH16&lt;&gt;"",$H16&lt;&gt;$AH16,IFERROR(VLOOKUP($H16,areaCercaPuntiClassificaSquadra,3,FALSE),-1)=IFERROR(VLOOKUP($AH16,areaCercaPuntiClassificaSquadra,3,FALSE),-2)),SUMIFS(Dati!$E$2:$E$381,Dati!$A$2:$A$381,$H16,Dati!$H$2:$H$381,$AH16)+SUMIFS(Dati!$L$2:$L$381,Dati!$H$2:$H$381,$H16,Dati!$A$2:$A$381,$AH16),"-")</f>
        <v/>
      </c>
      <c r="CW16" s="22">
        <f>IF(AND($H16&lt;&gt;"",$AI16&lt;&gt;"",$H16&lt;&gt;$AI16,IFERROR(VLOOKUP($H16,areaCercaPuntiClassificaSquadra,3,FALSE),-1)=IFERROR(VLOOKUP($AI16,areaCercaPuntiClassificaSquadra,3,FALSE),-2)),SUMIFS(Dati!$E$2:$E$381,Dati!$A$2:$A$381,$H16,Dati!$H$2:$H$381,$AI16)+SUMIFS(Dati!$L$2:$L$381,Dati!$H$2:$H$381,$H16,Dati!$A$2:$A$381,$AI16),"-")</f>
        <v/>
      </c>
      <c r="CX16" s="22">
        <f>IF(AND($H16&lt;&gt;"",$AJ16&lt;&gt;"",$H16&lt;&gt;$AJ16,IFERROR(VLOOKUP($H16,areaCercaPuntiClassificaSquadra,3,FALSE),-1)=IFERROR(VLOOKUP($AJ16,areaCercaPuntiClassificaSquadra,3,FALSE),-2)),SUMIFS(Dati!$E$2:$E$381,Dati!$A$2:$A$381,$H16,Dati!$H$2:$H$381,$AJ16)+SUMIFS(Dati!$L$2:$L$381,Dati!$H$2:$H$381,$H16,Dati!$A$2:$A$381,$AJ16),"-")</f>
        <v/>
      </c>
      <c r="CY16" s="22">
        <f>IF(AND($H16&lt;&gt;"",$AK16&lt;&gt;"",$H16&lt;&gt;$AK16,IFERROR(VLOOKUP($H16,areaCercaPuntiClassificaSquadra,3,FALSE),-1)=IFERROR(VLOOKUP($AK16,areaCercaPuntiClassificaSquadra,3,FALSE),-2)),SUMIFS(Dati!$E$2:$E$381,Dati!$A$2:$A$381,$H16,Dati!$H$2:$H$381,$AK16)+SUMIFS(Dati!$L$2:$L$381,Dati!$H$2:$H$381,$H16,Dati!$A$2:$A$381,$AK16),"-")</f>
        <v/>
      </c>
      <c r="CZ16" s="22">
        <f>IF(AND($H16&lt;&gt;"",$AL16&lt;&gt;"",$H16&lt;&gt;$AL16,IFERROR(VLOOKUP($H16,areaCercaPuntiClassificaSquadra,3,FALSE),-1)=IFERROR(VLOOKUP($AL16,areaCercaPuntiClassificaSquadra,3,FALSE),-2)),SUMIFS(Dati!$E$2:$E$381,Dati!$A$2:$A$381,$H16,Dati!$H$2:$H$381,$AL16)+SUMIFS(Dati!$L$2:$L$381,Dati!$H$2:$H$381,$H16,Dati!$A$2:$A$381,$AL16),"-")</f>
        <v/>
      </c>
      <c r="DA16" s="22">
        <f>IF(AND($H16&lt;&gt;"",$AM16&lt;&gt;"",$H16&lt;&gt;$AM16,IFERROR(VLOOKUP($H16,areaCercaPuntiClassificaSquadra,3,FALSE),-1)=IFERROR(VLOOKUP($AM16,areaCercaPuntiClassificaSquadra,3,FALSE),-2)),SUMIFS(Dati!$E$2:$E$381,Dati!$A$2:$A$381,$H16,Dati!$H$2:$H$381,$AM16)+SUMIFS(Dati!$L$2:$L$381,Dati!$H$2:$H$381,$H16,Dati!$A$2:$A$381,$AM16),"-")</f>
        <v/>
      </c>
      <c r="DB16" s="22">
        <f>IF(AND($H16&lt;&gt;"",$AN16&lt;&gt;"",$H16&lt;&gt;$AN16,IFERROR(VLOOKUP($H16,areaCercaPuntiClassificaSquadra,3,FALSE),-1)=IFERROR(VLOOKUP($AN16,areaCercaPuntiClassificaSquadra,3,FALSE),-2)),SUMIFS(Dati!$E$2:$E$381,Dati!$A$2:$A$381,$H16,Dati!$H$2:$H$381,$AN16)+SUMIFS(Dati!$L$2:$L$381,Dati!$H$2:$H$381,$H16,Dati!$A$2:$A$381,$AN16),"-")</f>
        <v/>
      </c>
      <c r="DC16" s="22">
        <f>IF(AND($H16&lt;&gt;"",$AO16&lt;&gt;"",$H16&lt;&gt;$AO16,IFERROR(VLOOKUP($H16,areaCercaPuntiClassificaSquadra,3,FALSE),-1)=IFERROR(VLOOKUP($AO16,areaCercaPuntiClassificaSquadra,3,FALSE),-2)),SUMIFS(Dati!$E$2:$E$381,Dati!$A$2:$A$381,$H16,Dati!$H$2:$H$381,$AO16)+SUMIFS(Dati!$L$2:$L$381,Dati!$H$2:$H$381,$H16,Dati!$A$2:$A$381,$AO16),"-")</f>
        <v/>
      </c>
      <c r="DD16" s="22">
        <f>IF(AND($H16&lt;&gt;"",$AP16&lt;&gt;"",$H16&lt;&gt;$AP16,IFERROR(VLOOKUP($H16,areaCercaPuntiClassificaSquadra,3,FALSE),-1)=IFERROR(VLOOKUP($AP16,areaCercaPuntiClassificaSquadra,3,FALSE),-2)),SUMIFS(Dati!$E$2:$E$381,Dati!$A$2:$A$381,$H16,Dati!$H$2:$H$381,$AP16)+SUMIFS(Dati!$L$2:$L$381,Dati!$H$2:$H$381,$H16,Dati!$A$2:$A$381,$AP16),"-")</f>
        <v/>
      </c>
      <c r="DE16" s="22">
        <f>IF(AND($H16&lt;&gt;"",$AQ16&lt;&gt;"",$H16&lt;&gt;$AQ16,IFERROR(VLOOKUP($H16,areaCercaPuntiClassificaSquadra,3,FALSE),-1)=IFERROR(VLOOKUP($AQ16,areaCercaPuntiClassificaSquadra,3,FALSE),-2)),SUMIFS(Dati!$E$2:$E$381,Dati!$A$2:$A$381,$H16,Dati!$H$2:$H$381,$AQ16)+SUMIFS(Dati!$L$2:$L$381,Dati!$H$2:$H$381,$H16,Dati!$A$2:$A$381,$AQ16),"-")</f>
        <v/>
      </c>
      <c r="DF16" s="22">
        <f>IF(AND($H16&lt;&gt;"",$AR16&lt;&gt;"",$H16&lt;&gt;$AR16,IFERROR(VLOOKUP($H16,areaCercaPuntiClassificaSquadra,3,FALSE),-1)=IFERROR(VLOOKUP($AR16,areaCercaPuntiClassificaSquadra,3,FALSE),-2)),SUMIFS(Dati!$E$2:$E$381,Dati!$A$2:$A$381,$H16,Dati!$H$2:$H$381,$AR16)+SUMIFS(Dati!$L$2:$L$381,Dati!$H$2:$H$381,$H16,Dati!$A$2:$A$381,$AR16),"-")</f>
        <v/>
      </c>
      <c r="DH16" s="21">
        <f>$C16</f>
        <v/>
      </c>
      <c r="DI16" s="22">
        <f>IF(AND($H16&lt;&gt;"",$Y16&lt;&gt;"",$H16&lt;&gt;$Y16,IFERROR(VLOOKUP($H16,areaCercaPuntiClassificaSquadra,3,FALSE),-1)=IFERROR(VLOOKUP($Y16,areaCercaPuntiClassificaSquadra,3,FALSE),-2)),SUMIFS(Dati!$F$2:$F$381,Dati!$A$2:$A$381,$H16,Dati!$H$2:$H$381,$Y16)+SUMIFS(Dati!$M$2:$M$381,Dati!$H$2:$H$381,$H16,Dati!$A$2:$A$381,$Y16),"-")</f>
        <v/>
      </c>
      <c r="DJ16" s="22">
        <f>IF(AND($H16&lt;&gt;"",$Z16&lt;&gt;"",$H16&lt;&gt;$Z16,IFERROR(VLOOKUP($H16,areaCercaPuntiClassificaSquadra,3,FALSE),-1)=IFERROR(VLOOKUP($Z16,areaCercaPuntiClassificaSquadra,3,FALSE),-2)),SUMIFS(Dati!$F$2:$F$381,Dati!$A$2:$A$381,$H16,Dati!$H$2:$H$381,$Z16)+SUMIFS(Dati!$M$2:$M$381,Dati!$H$2:$H$381,$H16,Dati!$A$2:$A$381,$Z16),"-")</f>
        <v/>
      </c>
      <c r="DK16" s="22">
        <f>IF(AND($H16&lt;&gt;"",$AA16&lt;&gt;"",$H16&lt;&gt;$AA16,IFERROR(VLOOKUP($H16,areaCercaPuntiClassificaSquadra,3,FALSE),-1)=IFERROR(VLOOKUP($AA16,areaCercaPuntiClassificaSquadra,3,FALSE),-2)),SUMIFS(Dati!$F$2:$F$381,Dati!$A$2:$A$381,$H16,Dati!$H$2:$H$381,$AA16)+SUMIFS(Dati!$M$2:$M$381,Dati!$H$2:$H$381,$H16,Dati!$A$2:$A$381,$AA16),"-")</f>
        <v/>
      </c>
      <c r="DL16" s="22">
        <f>IF(AND($H16&lt;&gt;"",$AB16&lt;&gt;"",$H16&lt;&gt;$AB16,IFERROR(VLOOKUP($H16,areaCercaPuntiClassificaSquadra,3,FALSE),-1)=IFERROR(VLOOKUP($AB16,areaCercaPuntiClassificaSquadra,3,FALSE),-2)),SUMIFS(Dati!$F$2:$F$381,Dati!$A$2:$A$381,$H16,Dati!$H$2:$H$381,$AB16)+SUMIFS(Dati!$M$2:$M$381,Dati!$H$2:$H$381,$H16,Dati!$A$2:$A$381,$AB16),"-")</f>
        <v/>
      </c>
      <c r="DM16" s="22">
        <f>IF(AND($H16&lt;&gt;"",$AC16&lt;&gt;"",$H16&lt;&gt;$AC16,IFERROR(VLOOKUP($H16,areaCercaPuntiClassificaSquadra,3,FALSE),-1)=IFERROR(VLOOKUP($AC16,areaCercaPuntiClassificaSquadra,3,FALSE),-2)),SUMIFS(Dati!$F$2:$F$381,Dati!$A$2:$A$381,$H16,Dati!$H$2:$H$381,$AC16)+SUMIFS(Dati!$M$2:$M$381,Dati!$H$2:$H$381,$H16,Dati!$A$2:$A$381,$AC16),"-")</f>
        <v/>
      </c>
      <c r="DN16" s="22">
        <f>IF(AND($H16&lt;&gt;"",$AD16&lt;&gt;"",$H16&lt;&gt;$AD16,IFERROR(VLOOKUP($H16,areaCercaPuntiClassificaSquadra,3,FALSE),-1)=IFERROR(VLOOKUP($AD16,areaCercaPuntiClassificaSquadra,3,FALSE),-2)),SUMIFS(Dati!$F$2:$F$381,Dati!$A$2:$A$381,$H16,Dati!$H$2:$H$381,$AD16)+SUMIFS(Dati!$M$2:$M$381,Dati!$H$2:$H$381,$H16,Dati!$A$2:$A$381,$AD16),"-")</f>
        <v/>
      </c>
      <c r="DO16" s="22">
        <f>IF(AND($H16&lt;&gt;"",$AE16&lt;&gt;"",$H16&lt;&gt;$AE16,IFERROR(VLOOKUP($H16,areaCercaPuntiClassificaSquadra,3,FALSE),-1)=IFERROR(VLOOKUP($AE16,areaCercaPuntiClassificaSquadra,3,FALSE),-2)),SUMIFS(Dati!$F$2:$F$381,Dati!$A$2:$A$381,$H16,Dati!$H$2:$H$381,$AE16)+SUMIFS(Dati!$M$2:$M$381,Dati!$H$2:$H$381,$H16,Dati!$A$2:$A$381,$AE16),"-")</f>
        <v/>
      </c>
      <c r="DP16" s="22">
        <f>IF(AND($H16&lt;&gt;"",$AF16&lt;&gt;"",$H16&lt;&gt;$AF16,IFERROR(VLOOKUP($H16,areaCercaPuntiClassificaSquadra,3,FALSE),-1)=IFERROR(VLOOKUP($AF16,areaCercaPuntiClassificaSquadra,3,FALSE),-2)),SUMIFS(Dati!$F$2:$F$381,Dati!$A$2:$A$381,$H16,Dati!$H$2:$H$381,$AF16)+SUMIFS(Dati!$M$2:$M$381,Dati!$H$2:$H$381,$H16,Dati!$A$2:$A$381,$AF16),"-")</f>
        <v/>
      </c>
      <c r="DQ16" s="22">
        <f>IF(AND($H16&lt;&gt;"",$AG16&lt;&gt;"",$H16&lt;&gt;$AG16,IFERROR(VLOOKUP($H16,areaCercaPuntiClassificaSquadra,3,FALSE),-1)=IFERROR(VLOOKUP($AG16,areaCercaPuntiClassificaSquadra,3,FALSE),-2)),SUMIFS(Dati!$F$2:$F$381,Dati!$A$2:$A$381,$H16,Dati!$H$2:$H$381,$AG16)+SUMIFS(Dati!$M$2:$M$381,Dati!$H$2:$H$381,$H16,Dati!$A$2:$A$381,$AG16),"-")</f>
        <v/>
      </c>
      <c r="DR16" s="22">
        <f>IF(AND($H16&lt;&gt;"",$AH16&lt;&gt;"",$H16&lt;&gt;$AH16,IFERROR(VLOOKUP($H16,areaCercaPuntiClassificaSquadra,3,FALSE),-1)=IFERROR(VLOOKUP($AH16,areaCercaPuntiClassificaSquadra,3,FALSE),-2)),SUMIFS(Dati!$F$2:$F$381,Dati!$A$2:$A$381,$H16,Dati!$H$2:$H$381,$AH16)+SUMIFS(Dati!$M$2:$M$381,Dati!$H$2:$H$381,$H16,Dati!$A$2:$A$381,$AH16),"-")</f>
        <v/>
      </c>
      <c r="DS16" s="22">
        <f>IF(AND($H16&lt;&gt;"",$AI16&lt;&gt;"",$H16&lt;&gt;$AI16,IFERROR(VLOOKUP($H16,areaCercaPuntiClassificaSquadra,3,FALSE),-1)=IFERROR(VLOOKUP($AI16,areaCercaPuntiClassificaSquadra,3,FALSE),-2)),SUMIFS(Dati!$F$2:$F$381,Dati!$A$2:$A$381,$H16,Dati!$H$2:$H$381,$AI16)+SUMIFS(Dati!$M$2:$M$381,Dati!$H$2:$H$381,$H16,Dati!$A$2:$A$381,$AI16),"-")</f>
        <v/>
      </c>
      <c r="DT16" s="22">
        <f>IF(AND($H16&lt;&gt;"",$AJ16&lt;&gt;"",$H16&lt;&gt;$AJ16,IFERROR(VLOOKUP($H16,areaCercaPuntiClassificaSquadra,3,FALSE),-1)=IFERROR(VLOOKUP($AJ16,areaCercaPuntiClassificaSquadra,3,FALSE),-2)),SUMIFS(Dati!$F$2:$F$381,Dati!$A$2:$A$381,$H16,Dati!$H$2:$H$381,$AJ16)+SUMIFS(Dati!$M$2:$M$381,Dati!$H$2:$H$381,$H16,Dati!$A$2:$A$381,$AJ16),"-")</f>
        <v/>
      </c>
      <c r="DU16" s="22">
        <f>IF(AND($H16&lt;&gt;"",$AK16&lt;&gt;"",$H16&lt;&gt;$AK16,IFERROR(VLOOKUP($H16,areaCercaPuntiClassificaSquadra,3,FALSE),-1)=IFERROR(VLOOKUP($AK16,areaCercaPuntiClassificaSquadra,3,FALSE),-2)),SUMIFS(Dati!$F$2:$F$381,Dati!$A$2:$A$381,$H16,Dati!$H$2:$H$381,$AK16)+SUMIFS(Dati!$M$2:$M$381,Dati!$H$2:$H$381,$H16,Dati!$A$2:$A$381,$AK16),"-")</f>
        <v/>
      </c>
      <c r="DV16" s="22">
        <f>IF(AND($H16&lt;&gt;"",$AL16&lt;&gt;"",$H16&lt;&gt;$AL16,IFERROR(VLOOKUP($H16,areaCercaPuntiClassificaSquadra,3,FALSE),-1)=IFERROR(VLOOKUP($AL16,areaCercaPuntiClassificaSquadra,3,FALSE),-2)),SUMIFS(Dati!$F$2:$F$381,Dati!$A$2:$A$381,$H16,Dati!$H$2:$H$381,$AL16)+SUMIFS(Dati!$M$2:$M$381,Dati!$H$2:$H$381,$H16,Dati!$A$2:$A$381,$AL16),"-")</f>
        <v/>
      </c>
      <c r="DW16" s="22">
        <f>IF(AND($H16&lt;&gt;"",$AM16&lt;&gt;"",$H16&lt;&gt;$AM16,IFERROR(VLOOKUP($H16,areaCercaPuntiClassificaSquadra,3,FALSE),-1)=IFERROR(VLOOKUP($AM16,areaCercaPuntiClassificaSquadra,3,FALSE),-2)),SUMIFS(Dati!$F$2:$F$381,Dati!$A$2:$A$381,$H16,Dati!$H$2:$H$381,$AM16)+SUMIFS(Dati!$M$2:$M$381,Dati!$H$2:$H$381,$H16,Dati!$A$2:$A$381,$AM16),"-")</f>
        <v/>
      </c>
      <c r="DX16" s="22">
        <f>IF(AND($H16&lt;&gt;"",$AN16&lt;&gt;"",$H16&lt;&gt;$AN16,IFERROR(VLOOKUP($H16,areaCercaPuntiClassificaSquadra,3,FALSE),-1)=IFERROR(VLOOKUP($AN16,areaCercaPuntiClassificaSquadra,3,FALSE),-2)),SUMIFS(Dati!$F$2:$F$381,Dati!$A$2:$A$381,$H16,Dati!$H$2:$H$381,$AN16)+SUMIFS(Dati!$M$2:$M$381,Dati!$H$2:$H$381,$H16,Dati!$A$2:$A$381,$AN16),"-")</f>
        <v/>
      </c>
      <c r="DY16" s="22">
        <f>IF(AND($H16&lt;&gt;"",$AO16&lt;&gt;"",$H16&lt;&gt;$AO16,IFERROR(VLOOKUP($H16,areaCercaPuntiClassificaSquadra,3,FALSE),-1)=IFERROR(VLOOKUP($AO16,areaCercaPuntiClassificaSquadra,3,FALSE),-2)),SUMIFS(Dati!$F$2:$F$381,Dati!$A$2:$A$381,$H16,Dati!$H$2:$H$381,$AO16)+SUMIFS(Dati!$M$2:$M$381,Dati!$H$2:$H$381,$H16,Dati!$A$2:$A$381,$AO16),"-")</f>
        <v/>
      </c>
      <c r="DZ16" s="22">
        <f>IF(AND($H16&lt;&gt;"",$AP16&lt;&gt;"",$H16&lt;&gt;$AP16,IFERROR(VLOOKUP($H16,areaCercaPuntiClassificaSquadra,3,FALSE),-1)=IFERROR(VLOOKUP($AP16,areaCercaPuntiClassificaSquadra,3,FALSE),-2)),SUMIFS(Dati!$F$2:$F$381,Dati!$A$2:$A$381,$H16,Dati!$H$2:$H$381,$AP16)+SUMIFS(Dati!$M$2:$M$381,Dati!$H$2:$H$381,$H16,Dati!$A$2:$A$381,$AP16),"-")</f>
        <v/>
      </c>
      <c r="EA16" s="22">
        <f>IF(AND($H16&lt;&gt;"",$AQ16&lt;&gt;"",$H16&lt;&gt;$AQ16,IFERROR(VLOOKUP($H16,areaCercaPuntiClassificaSquadra,3,FALSE),-1)=IFERROR(VLOOKUP($AQ16,areaCercaPuntiClassificaSquadra,3,FALSE),-2)),SUMIFS(Dati!$F$2:$F$381,Dati!$A$2:$A$381,$H16,Dati!$H$2:$H$381,$AQ16)+SUMIFS(Dati!$M$2:$M$381,Dati!$H$2:$H$381,$H16,Dati!$A$2:$A$381,$AQ16),"-")</f>
        <v/>
      </c>
      <c r="EB16" s="22">
        <f>IF(AND($H16&lt;&gt;"",$AR16&lt;&gt;"",$H16&lt;&gt;$AR16,IFERROR(VLOOKUP($H16,areaCercaPuntiClassificaSquadra,3,FALSE),-1)=IFERROR(VLOOKUP($AR16,areaCercaPuntiClassificaSquadra,3,FALSE),-2)),SUMIFS(Dati!$F$2:$F$381,Dati!$A$2:$A$381,$H16,Dati!$H$2:$H$381,$AR16)+SUMIFS(Dati!$M$2:$M$381,Dati!$H$2:$H$381,$H16,Dati!$A$2:$A$381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inlineStr">
        <is>
          <t>Dingo Docili-Dingoopoli DO</t>
        </is>
      </c>
      <c r="D17" s="14" t="n"/>
      <c r="E17" s="15" t="inlineStr">
        <is>
          <t>A</t>
        </is>
      </c>
      <c r="G17" s="16">
        <f>IF($C17="","",$E17&amp;(COUNTIFS(I$14:I$53,"&gt;"&amp;I17,E$14:E$53,"="&amp;E17,C$14:C$53,"&lt;&gt;")+COUNTIFS(I$14:I$53,"="&amp;I17,H$14:H$53,"&lt;="&amp;H17,E$14:E$53,"="&amp;E17,C$14:C$53,"&lt;&gt;")))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L17*constPuntiVittoria+M17*constPuntiSconfitta+N17*constPuntiForfait+IF(D17="",0,D17)</f>
        <v/>
      </c>
      <c r="K17" s="12">
        <f>SUM(L17:N17)</f>
        <v/>
      </c>
      <c r="L17" s="12">
        <f>IF($H17="",0,SUMIF(Dati!$A$2:$A$381,$H17,Dati!$B$2:$B$381)+SUMIF(Dati!$H$2:$H$381,$H17,Dati!$I$2:$I$381))</f>
        <v/>
      </c>
      <c r="M17" s="12">
        <f>IF($H17="",0,SUMIF(Dati!$A$2:$A$381,$H17,Dati!$D$2:$D$381)+SUMIF(Dati!$H$2:$H$381,$H17,Dati!$K$2:$K$381))</f>
        <v/>
      </c>
      <c r="N17" s="12">
        <f>IF($H17="",0,SUMIF(Dati!$A$2:$A$381,$H17,Dati!$C$2:$C$381)+SUMIF(Dati!$H$2:$H$381,$H17,Dati!$J$2:$J$381))</f>
        <v/>
      </c>
      <c r="O17" s="12">
        <f>IF($H17="",0,SUMIF(Dati!$A$2:$A$381,$H17,Dati!$E$2:$E$381)+SUMIF(Dati!$H$2:$H$381,$H17,Dati!$L$2:$L$381))</f>
        <v/>
      </c>
      <c r="P17" s="12">
        <f>IF($H17="",0,SUMIF(Dati!$A$2:$A$381,$H17,Dati!$F$2:$F$381)+SUMIF(Dati!$H$2:$H$381,$H17,Dati!$M$2:$M$381))</f>
        <v/>
      </c>
      <c r="Q17" s="12">
        <f>IF($H17="",0,SUMIF(Dati!$A$2:$A$381,$H17,Dati!$G$2:$G$381)+SUMIF(Dati!$H$2:$H$381,$H17,Dati!$N$2:$N$381))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IF(COUNTIFS($E$14:$E$53,$E17,$J$14:$J$53,$J17,$C$14:$C$53,"&lt;&gt;")&lt;=1,"-",SUM(AU17:BN17)&amp;"-"&amp;SUM(BQ17:CJ17))</f>
        <v/>
      </c>
      <c r="V17" s="18">
        <f>IF(COUNTIFS($E$14:$E$53,$E17,$J$14:$J$53,$J17,$C$14:$C$53,"&lt;&gt;",$ED$14:$ED$53,$ED17)&lt;=1,"-",IF(SUM(DI17:EB17)=0,0,ROUND(SUM(CM17:DF17)/SUM(DI17:EB17),3)))</f>
        <v/>
      </c>
      <c r="W17" s="18">
        <f>IF(COUNTIFS($E$14:$E$53,$E17,$J$14:$J$53,$J17,$C$14:$C$53,"&lt;&gt;",$ED$14:$ED$53,$ED17,$V$14:$V$53,$V17)&lt;=1,"-",IF(P17=0,0,ROUND(O17/P17,3)))</f>
        <v/>
      </c>
      <c r="X17" s="19">
        <f>IF($C17="","",$E17&amp;"#"&amp;COUNTIFS($E$14:$E17,$E17,$C$14:$C17,"&lt;&gt;"))</f>
        <v/>
      </c>
      <c r="Y17" s="20">
        <f>IFERROR(INDEX($H$14:$H$53,MATCH($E17&amp;"#1",$X$14:$X$53,0)),"")</f>
        <v/>
      </c>
      <c r="Z17" s="20">
        <f>IFERROR(INDEX($H$14:$H$53,MATCH($E17&amp;"#2",$X$14:$X$53,0)),"")</f>
        <v/>
      </c>
      <c r="AA17" s="20">
        <f>IFERROR(INDEX($H$14:$H$53,MATCH($E17&amp;"#3",$X$14:$X$53,0)),"")</f>
        <v/>
      </c>
      <c r="AB17" s="20">
        <f>IFERROR(INDEX($H$14:$H$53,MATCH($E17&amp;"#4",$X$14:$X$53,0)),"")</f>
        <v/>
      </c>
      <c r="AC17" s="20">
        <f>IFERROR(INDEX($H$14:$H$53,MATCH($E17&amp;"#5",$X$14:$X$53,0)),"")</f>
        <v/>
      </c>
      <c r="AD17" s="20">
        <f>IFERROR(INDEX($H$14:$H$53,MATCH($E17&amp;"#6",$X$14:$X$53,0)),"")</f>
        <v/>
      </c>
      <c r="AE17" s="20">
        <f>IFERROR(INDEX($H$14:$H$53,MATCH($E17&amp;"#7",$X$14:$X$53,0)),"")</f>
        <v/>
      </c>
      <c r="AF17" s="20">
        <f>IFERROR(INDEX($H$14:$H$53,MATCH($E17&amp;"#8",$X$14:$X$53,0)),"")</f>
        <v/>
      </c>
      <c r="AG17" s="20">
        <f>IFERROR(INDEX($H$14:$H$53,MATCH($E17&amp;"#9",$X$14:$X$53,0)),"")</f>
        <v/>
      </c>
      <c r="AH17" s="20">
        <f>IFERROR(INDEX($H$14:$H$53,MATCH($E17&amp;"#10",$X$14:$X$53,0)),"")</f>
        <v/>
      </c>
      <c r="AI17" s="20">
        <f>IFERROR(INDEX($H$14:$H$53,MATCH($E17&amp;"#11",$X$14:$X$53,0)),"")</f>
        <v/>
      </c>
      <c r="AJ17" s="20">
        <f>IFERROR(INDEX($H$14:$H$53,MATCH($E17&amp;"#12",$X$14:$X$53,0)),"")</f>
        <v/>
      </c>
      <c r="AK17" s="20">
        <f>IFERROR(INDEX($H$14:$H$53,MATCH($E17&amp;"#13",$X$14:$X$53,0)),"")</f>
        <v/>
      </c>
      <c r="AL17" s="20">
        <f>IFERROR(INDEX($H$14:$H$53,MATCH($E17&amp;"#14",$X$14:$X$53,0)),"")</f>
        <v/>
      </c>
      <c r="AM17" s="20">
        <f>IFERROR(INDEX($H$14:$H$53,MATCH($E17&amp;"#15",$X$14:$X$53,0)),"")</f>
        <v/>
      </c>
      <c r="AN17" s="20">
        <f>IFERROR(INDEX($H$14:$H$53,MATCH($E17&amp;"#16",$X$14:$X$53,0)),"")</f>
        <v/>
      </c>
      <c r="AO17" s="20">
        <f>IFERROR(INDEX($H$14:$H$53,MATCH($E17&amp;"#17",$X$14:$X$53,0)),"")</f>
        <v/>
      </c>
      <c r="AP17" s="20">
        <f>IFERROR(INDEX($H$14:$H$53,MATCH($E17&amp;"#18",$X$14:$X$53,0)),"")</f>
        <v/>
      </c>
      <c r="AQ17" s="20">
        <f>IFERROR(INDEX($H$14:$H$53,MATCH($E17&amp;"#19",$X$14:$X$53,0)),"")</f>
        <v/>
      </c>
      <c r="AR17" s="20">
        <f>IFERROR(INDEX($H$14:$H$53,MATCH($E17&amp;"#20",$X$14:$X$53,0)),"")</f>
        <v/>
      </c>
      <c r="AT17" s="21">
        <f>$C17</f>
        <v/>
      </c>
      <c r="AU17" s="22">
        <f>IF(AND($H17&lt;&gt;"",$Y17&lt;&gt;"",$H17&lt;&gt;$Y17,IFERROR(VLOOKUP($H17,areaCercaPuntiClassificaSquadra,3,FALSE),-1)=IFERROR(VLOOKUP($Y17,areaCercaPuntiClassificaSquadra,3,FALSE),-2)),SUMIFS(Dati!$B$2:$B$381,Dati!$A$2:$A$381,$H17,Dati!$H$2:$H$381,$Y17)+SUMIFS(Dati!$I$2:$I$381,Dati!$H$2:$H$381,$H17,Dati!$A$2:$A$381,$Y17),"-")</f>
        <v/>
      </c>
      <c r="AV17" s="22">
        <f>IF(AND($H17&lt;&gt;"",$Z17&lt;&gt;"",$H17&lt;&gt;$Z17,IFERROR(VLOOKUP($H17,areaCercaPuntiClassificaSquadra,3,FALSE),-1)=IFERROR(VLOOKUP($Z17,areaCercaPuntiClassificaSquadra,3,FALSE),-2)),SUMIFS(Dati!$B$2:$B$381,Dati!$A$2:$A$381,$H17,Dati!$H$2:$H$381,$Z17)+SUMIFS(Dati!$I$2:$I$381,Dati!$H$2:$H$381,$H17,Dati!$A$2:$A$381,$Z17),"-")</f>
        <v/>
      </c>
      <c r="AW17" s="22">
        <f>IF(AND($H17&lt;&gt;"",$AA17&lt;&gt;"",$H17&lt;&gt;$AA17,IFERROR(VLOOKUP($H17,areaCercaPuntiClassificaSquadra,3,FALSE),-1)=IFERROR(VLOOKUP($AA17,areaCercaPuntiClassificaSquadra,3,FALSE),-2)),SUMIFS(Dati!$B$2:$B$381,Dati!$A$2:$A$381,$H17,Dati!$H$2:$H$381,$AA17)+SUMIFS(Dati!$I$2:$I$381,Dati!$H$2:$H$381,$H17,Dati!$A$2:$A$381,$AA17),"-")</f>
        <v/>
      </c>
      <c r="AX17" s="22">
        <f>IF(AND($H17&lt;&gt;"",$AB17&lt;&gt;"",$H17&lt;&gt;$AB17,IFERROR(VLOOKUP($H17,areaCercaPuntiClassificaSquadra,3,FALSE),-1)=IFERROR(VLOOKUP($AB17,areaCercaPuntiClassificaSquadra,3,FALSE),-2)),SUMIFS(Dati!$B$2:$B$381,Dati!$A$2:$A$381,$H17,Dati!$H$2:$H$381,$AB17)+SUMIFS(Dati!$I$2:$I$381,Dati!$H$2:$H$381,$H17,Dati!$A$2:$A$381,$AB17),"-")</f>
        <v/>
      </c>
      <c r="AY17" s="22">
        <f>IF(AND($H17&lt;&gt;"",$AC17&lt;&gt;"",$H17&lt;&gt;$AC17,IFERROR(VLOOKUP($H17,areaCercaPuntiClassificaSquadra,3,FALSE),-1)=IFERROR(VLOOKUP($AC17,areaCercaPuntiClassificaSquadra,3,FALSE),-2)),SUMIFS(Dati!$B$2:$B$381,Dati!$A$2:$A$381,$H17,Dati!$H$2:$H$381,$AC17)+SUMIFS(Dati!$I$2:$I$381,Dati!$H$2:$H$381,$H17,Dati!$A$2:$A$381,$AC17),"-")</f>
        <v/>
      </c>
      <c r="AZ17" s="22">
        <f>IF(AND($H17&lt;&gt;"",$AD17&lt;&gt;"",$H17&lt;&gt;$AD17,IFERROR(VLOOKUP($H17,areaCercaPuntiClassificaSquadra,3,FALSE),-1)=IFERROR(VLOOKUP($AD17,areaCercaPuntiClassificaSquadra,3,FALSE),-2)),SUMIFS(Dati!$B$2:$B$381,Dati!$A$2:$A$381,$H17,Dati!$H$2:$H$381,$AD17)+SUMIFS(Dati!$I$2:$I$381,Dati!$H$2:$H$381,$H17,Dati!$A$2:$A$381,$AD17),"-")</f>
        <v/>
      </c>
      <c r="BA17" s="22">
        <f>IF(AND($H17&lt;&gt;"",$AE17&lt;&gt;"",$H17&lt;&gt;$AE17,IFERROR(VLOOKUP($H17,areaCercaPuntiClassificaSquadra,3,FALSE),-1)=IFERROR(VLOOKUP($AE17,areaCercaPuntiClassificaSquadra,3,FALSE),-2)),SUMIFS(Dati!$B$2:$B$381,Dati!$A$2:$A$381,$H17,Dati!$H$2:$H$381,$AE17)+SUMIFS(Dati!$I$2:$I$381,Dati!$H$2:$H$381,$H17,Dati!$A$2:$A$381,$AE17),"-")</f>
        <v/>
      </c>
      <c r="BB17" s="22">
        <f>IF(AND($H17&lt;&gt;"",$AF17&lt;&gt;"",$H17&lt;&gt;$AF17,IFERROR(VLOOKUP($H17,areaCercaPuntiClassificaSquadra,3,FALSE),-1)=IFERROR(VLOOKUP($AF17,areaCercaPuntiClassificaSquadra,3,FALSE),-2)),SUMIFS(Dati!$B$2:$B$381,Dati!$A$2:$A$381,$H17,Dati!$H$2:$H$381,$AF17)+SUMIFS(Dati!$I$2:$I$381,Dati!$H$2:$H$381,$H17,Dati!$A$2:$A$381,$AF17),"-")</f>
        <v/>
      </c>
      <c r="BC17" s="22">
        <f>IF(AND($H17&lt;&gt;"",$AG17&lt;&gt;"",$H17&lt;&gt;$AG17,IFERROR(VLOOKUP($H17,areaCercaPuntiClassificaSquadra,3,FALSE),-1)=IFERROR(VLOOKUP($AG17,areaCercaPuntiClassificaSquadra,3,FALSE),-2)),SUMIFS(Dati!$B$2:$B$381,Dati!$A$2:$A$381,$H17,Dati!$H$2:$H$381,$AG17)+SUMIFS(Dati!$I$2:$I$381,Dati!$H$2:$H$381,$H17,Dati!$A$2:$A$381,$AG17),"-")</f>
        <v/>
      </c>
      <c r="BD17" s="22">
        <f>IF(AND($H17&lt;&gt;"",$AH17&lt;&gt;"",$H17&lt;&gt;$AH17,IFERROR(VLOOKUP($H17,areaCercaPuntiClassificaSquadra,3,FALSE),-1)=IFERROR(VLOOKUP($AH17,areaCercaPuntiClassificaSquadra,3,FALSE),-2)),SUMIFS(Dati!$B$2:$B$381,Dati!$A$2:$A$381,$H17,Dati!$H$2:$H$381,$AH17)+SUMIFS(Dati!$I$2:$I$381,Dati!$H$2:$H$381,$H17,Dati!$A$2:$A$381,$AH17),"-")</f>
        <v/>
      </c>
      <c r="BE17" s="22">
        <f>IF(AND($H17&lt;&gt;"",$AI17&lt;&gt;"",$H17&lt;&gt;$AI17,IFERROR(VLOOKUP($H17,areaCercaPuntiClassificaSquadra,3,FALSE),-1)=IFERROR(VLOOKUP($AI17,areaCercaPuntiClassificaSquadra,3,FALSE),-2)),SUMIFS(Dati!$B$2:$B$381,Dati!$A$2:$A$381,$H17,Dati!$H$2:$H$381,$AI17)+SUMIFS(Dati!$I$2:$I$381,Dati!$H$2:$H$381,$H17,Dati!$A$2:$A$381,$AI17),"-")</f>
        <v/>
      </c>
      <c r="BF17" s="22">
        <f>IF(AND($H17&lt;&gt;"",$AJ17&lt;&gt;"",$H17&lt;&gt;$AJ17,IFERROR(VLOOKUP($H17,areaCercaPuntiClassificaSquadra,3,FALSE),-1)=IFERROR(VLOOKUP($AJ17,areaCercaPuntiClassificaSquadra,3,FALSE),-2)),SUMIFS(Dati!$B$2:$B$381,Dati!$A$2:$A$381,$H17,Dati!$H$2:$H$381,$AJ17)+SUMIFS(Dati!$I$2:$I$381,Dati!$H$2:$H$381,$H17,Dati!$A$2:$A$381,$AJ17),"-")</f>
        <v/>
      </c>
      <c r="BG17" s="22">
        <f>IF(AND($H17&lt;&gt;"",$AK17&lt;&gt;"",$H17&lt;&gt;$AK17,IFERROR(VLOOKUP($H17,areaCercaPuntiClassificaSquadra,3,FALSE),-1)=IFERROR(VLOOKUP($AK17,areaCercaPuntiClassificaSquadra,3,FALSE),-2)),SUMIFS(Dati!$B$2:$B$381,Dati!$A$2:$A$381,$H17,Dati!$H$2:$H$381,$AK17)+SUMIFS(Dati!$I$2:$I$381,Dati!$H$2:$H$381,$H17,Dati!$A$2:$A$381,$AK17),"-")</f>
        <v/>
      </c>
      <c r="BH17" s="22">
        <f>IF(AND($H17&lt;&gt;"",$AL17&lt;&gt;"",$H17&lt;&gt;$AL17,IFERROR(VLOOKUP($H17,areaCercaPuntiClassificaSquadra,3,FALSE),-1)=IFERROR(VLOOKUP($AL17,areaCercaPuntiClassificaSquadra,3,FALSE),-2)),SUMIFS(Dati!$B$2:$B$381,Dati!$A$2:$A$381,$H17,Dati!$H$2:$H$381,$AL17)+SUMIFS(Dati!$I$2:$I$381,Dati!$H$2:$H$381,$H17,Dati!$A$2:$A$381,$AL17),"-")</f>
        <v/>
      </c>
      <c r="BI17" s="22">
        <f>IF(AND($H17&lt;&gt;"",$AM17&lt;&gt;"",$H17&lt;&gt;$AM17,IFERROR(VLOOKUP($H17,areaCercaPuntiClassificaSquadra,3,FALSE),-1)=IFERROR(VLOOKUP($AM17,areaCercaPuntiClassificaSquadra,3,FALSE),-2)),SUMIFS(Dati!$B$2:$B$381,Dati!$A$2:$A$381,$H17,Dati!$H$2:$H$381,$AM17)+SUMIFS(Dati!$I$2:$I$381,Dati!$H$2:$H$381,$H17,Dati!$A$2:$A$381,$AM17),"-")</f>
        <v/>
      </c>
      <c r="BJ17" s="22">
        <f>IF(AND($H17&lt;&gt;"",$AN17&lt;&gt;"",$H17&lt;&gt;$AN17,IFERROR(VLOOKUP($H17,areaCercaPuntiClassificaSquadra,3,FALSE),-1)=IFERROR(VLOOKUP($AN17,areaCercaPuntiClassificaSquadra,3,FALSE),-2)),SUMIFS(Dati!$B$2:$B$381,Dati!$A$2:$A$381,$H17,Dati!$H$2:$H$381,$AN17)+SUMIFS(Dati!$I$2:$I$381,Dati!$H$2:$H$381,$H17,Dati!$A$2:$A$381,$AN17),"-")</f>
        <v/>
      </c>
      <c r="BK17" s="22">
        <f>IF(AND($H17&lt;&gt;"",$AO17&lt;&gt;"",$H17&lt;&gt;$AO17,IFERROR(VLOOKUP($H17,areaCercaPuntiClassificaSquadra,3,FALSE),-1)=IFERROR(VLOOKUP($AO17,areaCercaPuntiClassificaSquadra,3,FALSE),-2)),SUMIFS(Dati!$B$2:$B$381,Dati!$A$2:$A$381,$H17,Dati!$H$2:$H$381,$AO17)+SUMIFS(Dati!$I$2:$I$381,Dati!$H$2:$H$381,$H17,Dati!$A$2:$A$381,$AO17),"-")</f>
        <v/>
      </c>
      <c r="BL17" s="22">
        <f>IF(AND($H17&lt;&gt;"",$AP17&lt;&gt;"",$H17&lt;&gt;$AP17,IFERROR(VLOOKUP($H17,areaCercaPuntiClassificaSquadra,3,FALSE),-1)=IFERROR(VLOOKUP($AP17,areaCercaPuntiClassificaSquadra,3,FALSE),-2)),SUMIFS(Dati!$B$2:$B$381,Dati!$A$2:$A$381,$H17,Dati!$H$2:$H$381,$AP17)+SUMIFS(Dati!$I$2:$I$381,Dati!$H$2:$H$381,$H17,Dati!$A$2:$A$381,$AP17),"-")</f>
        <v/>
      </c>
      <c r="BM17" s="22">
        <f>IF(AND($H17&lt;&gt;"",$AQ17&lt;&gt;"",$H17&lt;&gt;$AQ17,IFERROR(VLOOKUP($H17,areaCercaPuntiClassificaSquadra,3,FALSE),-1)=IFERROR(VLOOKUP($AQ17,areaCercaPuntiClassificaSquadra,3,FALSE),-2)),SUMIFS(Dati!$B$2:$B$381,Dati!$A$2:$A$381,$H17,Dati!$H$2:$H$381,$AQ17)+SUMIFS(Dati!$I$2:$I$381,Dati!$H$2:$H$381,$H17,Dati!$A$2:$A$381,$AQ17),"-")</f>
        <v/>
      </c>
      <c r="BN17" s="22">
        <f>IF(AND($H17&lt;&gt;"",$AR17&lt;&gt;"",$H17&lt;&gt;$AR17,IFERROR(VLOOKUP($H17,areaCercaPuntiClassificaSquadra,3,FALSE),-1)=IFERROR(VLOOKUP($AR17,areaCercaPuntiClassificaSquadra,3,FALSE),-2)),SUMIFS(Dati!$B$2:$B$381,Dati!$A$2:$A$381,$H17,Dati!$H$2:$H$381,$AR17)+SUMIFS(Dati!$I$2:$I$381,Dati!$H$2:$H$381,$H17,Dati!$A$2:$A$381,$AR17),"-")</f>
        <v/>
      </c>
      <c r="BP17" s="21">
        <f>$C17</f>
        <v/>
      </c>
      <c r="BQ17" s="22">
        <f>IF(AND($H17&lt;&gt;"",$Y17&lt;&gt;"",$H17&lt;&gt;$Y17,IFERROR(VLOOKUP($H17,areaCercaPuntiClassificaSquadra,3,FALSE),-1)=IFERROR(VLOOKUP($Y17,areaCercaPuntiClassificaSquadra,3,FALSE),-2)),SUMIFS(Dati!$D$2:$D$381,Dati!$A$2:$A$381,$H17,Dati!$H$2:$H$381,$Y17)+SUMIFS(Dati!$K$2:$K$381,Dati!$H$2:$H$381,$H17,Dati!$A$2:$A$381,$Y17)+SUMIFS(Dati!$C$2:$C$381,Dati!$A$2:$A$381,$H17,Dati!$H$2:$H$381,$Y17)+SUMIFS(Dati!$J$2:$J$381,Dati!$H$2:$H$381,$H17,Dati!$A$2:$A$381,$Y17),"-")</f>
        <v/>
      </c>
      <c r="BR17" s="22">
        <f>IF(AND($H17&lt;&gt;"",$Z17&lt;&gt;"",$H17&lt;&gt;$Z17,IFERROR(VLOOKUP($H17,areaCercaPuntiClassificaSquadra,3,FALSE),-1)=IFERROR(VLOOKUP($Z17,areaCercaPuntiClassificaSquadra,3,FALSE),-2)),SUMIFS(Dati!$D$2:$D$381,Dati!$A$2:$A$381,$H17,Dati!$H$2:$H$381,$Z17)+SUMIFS(Dati!$K$2:$K$381,Dati!$H$2:$H$381,$H17,Dati!$A$2:$A$381,$Z17)+SUMIFS(Dati!$C$2:$C$381,Dati!$A$2:$A$381,$H17,Dati!$H$2:$H$381,$Z17)+SUMIFS(Dati!$J$2:$J$381,Dati!$H$2:$H$381,$H17,Dati!$A$2:$A$381,$Z17),"-")</f>
        <v/>
      </c>
      <c r="BS17" s="22">
        <f>IF(AND($H17&lt;&gt;"",$AA17&lt;&gt;"",$H17&lt;&gt;$AA17,IFERROR(VLOOKUP($H17,areaCercaPuntiClassificaSquadra,3,FALSE),-1)=IFERROR(VLOOKUP($AA17,areaCercaPuntiClassificaSquadra,3,FALSE),-2)),SUMIFS(Dati!$D$2:$D$381,Dati!$A$2:$A$381,$H17,Dati!$H$2:$H$381,$AA17)+SUMIFS(Dati!$K$2:$K$381,Dati!$H$2:$H$381,$H17,Dati!$A$2:$A$381,$AA17)+SUMIFS(Dati!$C$2:$C$381,Dati!$A$2:$A$381,$H17,Dati!$H$2:$H$381,$AA17)+SUMIFS(Dati!$J$2:$J$381,Dati!$H$2:$H$381,$H17,Dati!$A$2:$A$381,$AA17),"-")</f>
        <v/>
      </c>
      <c r="BT17" s="22">
        <f>IF(AND($H17&lt;&gt;"",$AB17&lt;&gt;"",$H17&lt;&gt;$AB17,IFERROR(VLOOKUP($H17,areaCercaPuntiClassificaSquadra,3,FALSE),-1)=IFERROR(VLOOKUP($AB17,areaCercaPuntiClassificaSquadra,3,FALSE),-2)),SUMIFS(Dati!$D$2:$D$381,Dati!$A$2:$A$381,$H17,Dati!$H$2:$H$381,$AB17)+SUMIFS(Dati!$K$2:$K$381,Dati!$H$2:$H$381,$H17,Dati!$A$2:$A$381,$AB17)+SUMIFS(Dati!$C$2:$C$381,Dati!$A$2:$A$381,$H17,Dati!$H$2:$H$381,$AB17)+SUMIFS(Dati!$J$2:$J$381,Dati!$H$2:$H$381,$H17,Dati!$A$2:$A$381,$AB17),"-")</f>
        <v/>
      </c>
      <c r="BU17" s="22">
        <f>IF(AND($H17&lt;&gt;"",$AC17&lt;&gt;"",$H17&lt;&gt;$AC17,IFERROR(VLOOKUP($H17,areaCercaPuntiClassificaSquadra,3,FALSE),-1)=IFERROR(VLOOKUP($AC17,areaCercaPuntiClassificaSquadra,3,FALSE),-2)),SUMIFS(Dati!$D$2:$D$381,Dati!$A$2:$A$381,$H17,Dati!$H$2:$H$381,$AC17)+SUMIFS(Dati!$K$2:$K$381,Dati!$H$2:$H$381,$H17,Dati!$A$2:$A$381,$AC17)+SUMIFS(Dati!$C$2:$C$381,Dati!$A$2:$A$381,$H17,Dati!$H$2:$H$381,$AC17)+SUMIFS(Dati!$J$2:$J$381,Dati!$H$2:$H$381,$H17,Dati!$A$2:$A$381,$AC17),"-")</f>
        <v/>
      </c>
      <c r="BV17" s="22">
        <f>IF(AND($H17&lt;&gt;"",$AD17&lt;&gt;"",$H17&lt;&gt;$AD17,IFERROR(VLOOKUP($H17,areaCercaPuntiClassificaSquadra,3,FALSE),-1)=IFERROR(VLOOKUP($AD17,areaCercaPuntiClassificaSquadra,3,FALSE),-2)),SUMIFS(Dati!$D$2:$D$381,Dati!$A$2:$A$381,$H17,Dati!$H$2:$H$381,$AD17)+SUMIFS(Dati!$K$2:$K$381,Dati!$H$2:$H$381,$H17,Dati!$A$2:$A$381,$AD17)+SUMIFS(Dati!$C$2:$C$381,Dati!$A$2:$A$381,$H17,Dati!$H$2:$H$381,$AD17)+SUMIFS(Dati!$J$2:$J$381,Dati!$H$2:$H$381,$H17,Dati!$A$2:$A$381,$AD17),"-")</f>
        <v/>
      </c>
      <c r="BW17" s="22">
        <f>IF(AND($H17&lt;&gt;"",$AE17&lt;&gt;"",$H17&lt;&gt;$AE17,IFERROR(VLOOKUP($H17,areaCercaPuntiClassificaSquadra,3,FALSE),-1)=IFERROR(VLOOKUP($AE17,areaCercaPuntiClassificaSquadra,3,FALSE),-2)),SUMIFS(Dati!$D$2:$D$381,Dati!$A$2:$A$381,$H17,Dati!$H$2:$H$381,$AE17)+SUMIFS(Dati!$K$2:$K$381,Dati!$H$2:$H$381,$H17,Dati!$A$2:$A$381,$AE17)+SUMIFS(Dati!$C$2:$C$381,Dati!$A$2:$A$381,$H17,Dati!$H$2:$H$381,$AE17)+SUMIFS(Dati!$J$2:$J$381,Dati!$H$2:$H$381,$H17,Dati!$A$2:$A$381,$AE17),"-")</f>
        <v/>
      </c>
      <c r="BX17" s="22">
        <f>IF(AND($H17&lt;&gt;"",$AF17&lt;&gt;"",$H17&lt;&gt;$AF17,IFERROR(VLOOKUP($H17,areaCercaPuntiClassificaSquadra,3,FALSE),-1)=IFERROR(VLOOKUP($AF17,areaCercaPuntiClassificaSquadra,3,FALSE),-2)),SUMIFS(Dati!$D$2:$D$381,Dati!$A$2:$A$381,$H17,Dati!$H$2:$H$381,$AF17)+SUMIFS(Dati!$K$2:$K$381,Dati!$H$2:$H$381,$H17,Dati!$A$2:$A$381,$AF17)+SUMIFS(Dati!$C$2:$C$381,Dati!$A$2:$A$381,$H17,Dati!$H$2:$H$381,$AF17)+SUMIFS(Dati!$J$2:$J$381,Dati!$H$2:$H$381,$H17,Dati!$A$2:$A$381,$AF17),"-")</f>
        <v/>
      </c>
      <c r="BY17" s="22">
        <f>IF(AND($H17&lt;&gt;"",$AG17&lt;&gt;"",$H17&lt;&gt;$AG17,IFERROR(VLOOKUP($H17,areaCercaPuntiClassificaSquadra,3,FALSE),-1)=IFERROR(VLOOKUP($AG17,areaCercaPuntiClassificaSquadra,3,FALSE),-2)),SUMIFS(Dati!$D$2:$D$381,Dati!$A$2:$A$381,$H17,Dati!$H$2:$H$381,$AG17)+SUMIFS(Dati!$K$2:$K$381,Dati!$H$2:$H$381,$H17,Dati!$A$2:$A$381,$AG17)+SUMIFS(Dati!$C$2:$C$381,Dati!$A$2:$A$381,$H17,Dati!$H$2:$H$381,$AG17)+SUMIFS(Dati!$J$2:$J$381,Dati!$H$2:$H$381,$H17,Dati!$A$2:$A$381,$AG17),"-")</f>
        <v/>
      </c>
      <c r="BZ17" s="22">
        <f>IF(AND($H17&lt;&gt;"",$AH17&lt;&gt;"",$H17&lt;&gt;$AH17,IFERROR(VLOOKUP($H17,areaCercaPuntiClassificaSquadra,3,FALSE),-1)=IFERROR(VLOOKUP($AH17,areaCercaPuntiClassificaSquadra,3,FALSE),-2)),SUMIFS(Dati!$D$2:$D$381,Dati!$A$2:$A$381,$H17,Dati!$H$2:$H$381,$AH17)+SUMIFS(Dati!$K$2:$K$381,Dati!$H$2:$H$381,$H17,Dati!$A$2:$A$381,$AH17)+SUMIFS(Dati!$C$2:$C$381,Dati!$A$2:$A$381,$H17,Dati!$H$2:$H$381,$AH17)+SUMIFS(Dati!$J$2:$J$381,Dati!$H$2:$H$381,$H17,Dati!$A$2:$A$381,$AH17),"-")</f>
        <v/>
      </c>
      <c r="CA17" s="22">
        <f>IF(AND($H17&lt;&gt;"",$AI17&lt;&gt;"",$H17&lt;&gt;$AI17,IFERROR(VLOOKUP($H17,areaCercaPuntiClassificaSquadra,3,FALSE),-1)=IFERROR(VLOOKUP($AI17,areaCercaPuntiClassificaSquadra,3,FALSE),-2)),SUMIFS(Dati!$D$2:$D$381,Dati!$A$2:$A$381,$H17,Dati!$H$2:$H$381,$AI17)+SUMIFS(Dati!$K$2:$K$381,Dati!$H$2:$H$381,$H17,Dati!$A$2:$A$381,$AI17)+SUMIFS(Dati!$C$2:$C$381,Dati!$A$2:$A$381,$H17,Dati!$H$2:$H$381,$AI17)+SUMIFS(Dati!$J$2:$J$381,Dati!$H$2:$H$381,$H17,Dati!$A$2:$A$381,$AI17),"-")</f>
        <v/>
      </c>
      <c r="CB17" s="22">
        <f>IF(AND($H17&lt;&gt;"",$AJ17&lt;&gt;"",$H17&lt;&gt;$AJ17,IFERROR(VLOOKUP($H17,areaCercaPuntiClassificaSquadra,3,FALSE),-1)=IFERROR(VLOOKUP($AJ17,areaCercaPuntiClassificaSquadra,3,FALSE),-2)),SUMIFS(Dati!$D$2:$D$381,Dati!$A$2:$A$381,$H17,Dati!$H$2:$H$381,$AJ17)+SUMIFS(Dati!$K$2:$K$381,Dati!$H$2:$H$381,$H17,Dati!$A$2:$A$381,$AJ17)+SUMIFS(Dati!$C$2:$C$381,Dati!$A$2:$A$381,$H17,Dati!$H$2:$H$381,$AJ17)+SUMIFS(Dati!$J$2:$J$381,Dati!$H$2:$H$381,$H17,Dati!$A$2:$A$381,$AJ17),"-")</f>
        <v/>
      </c>
      <c r="CC17" s="22">
        <f>IF(AND($H17&lt;&gt;"",$AK17&lt;&gt;"",$H17&lt;&gt;$AK17,IFERROR(VLOOKUP($H17,areaCercaPuntiClassificaSquadra,3,FALSE),-1)=IFERROR(VLOOKUP($AK17,areaCercaPuntiClassificaSquadra,3,FALSE),-2)),SUMIFS(Dati!$D$2:$D$381,Dati!$A$2:$A$381,$H17,Dati!$H$2:$H$381,$AK17)+SUMIFS(Dati!$K$2:$K$381,Dati!$H$2:$H$381,$H17,Dati!$A$2:$A$381,$AK17)+SUMIFS(Dati!$C$2:$C$381,Dati!$A$2:$A$381,$H17,Dati!$H$2:$H$381,$AK17)+SUMIFS(Dati!$J$2:$J$381,Dati!$H$2:$H$381,$H17,Dati!$A$2:$A$381,$AK17),"-")</f>
        <v/>
      </c>
      <c r="CD17" s="22">
        <f>IF(AND($H17&lt;&gt;"",$AL17&lt;&gt;"",$H17&lt;&gt;$AL17,IFERROR(VLOOKUP($H17,areaCercaPuntiClassificaSquadra,3,FALSE),-1)=IFERROR(VLOOKUP($AL17,areaCercaPuntiClassificaSquadra,3,FALSE),-2)),SUMIFS(Dati!$D$2:$D$381,Dati!$A$2:$A$381,$H17,Dati!$H$2:$H$381,$AL17)+SUMIFS(Dati!$K$2:$K$381,Dati!$H$2:$H$381,$H17,Dati!$A$2:$A$381,$AL17)+SUMIFS(Dati!$C$2:$C$381,Dati!$A$2:$A$381,$H17,Dati!$H$2:$H$381,$AL17)+SUMIFS(Dati!$J$2:$J$381,Dati!$H$2:$H$381,$H17,Dati!$A$2:$A$381,$AL17),"-")</f>
        <v/>
      </c>
      <c r="CE17" s="22">
        <f>IF(AND($H17&lt;&gt;"",$AM17&lt;&gt;"",$H17&lt;&gt;$AM17,IFERROR(VLOOKUP($H17,areaCercaPuntiClassificaSquadra,3,FALSE),-1)=IFERROR(VLOOKUP($AM17,areaCercaPuntiClassificaSquadra,3,FALSE),-2)),SUMIFS(Dati!$D$2:$D$381,Dati!$A$2:$A$381,$H17,Dati!$H$2:$H$381,$AM17)+SUMIFS(Dati!$K$2:$K$381,Dati!$H$2:$H$381,$H17,Dati!$A$2:$A$381,$AM17)+SUMIFS(Dati!$C$2:$C$381,Dati!$A$2:$A$381,$H17,Dati!$H$2:$H$381,$AM17)+SUMIFS(Dati!$J$2:$J$381,Dati!$H$2:$H$381,$H17,Dati!$A$2:$A$381,$AM17),"-")</f>
        <v/>
      </c>
      <c r="CF17" s="22">
        <f>IF(AND($H17&lt;&gt;"",$AN17&lt;&gt;"",$H17&lt;&gt;$AN17,IFERROR(VLOOKUP($H17,areaCercaPuntiClassificaSquadra,3,FALSE),-1)=IFERROR(VLOOKUP($AN17,areaCercaPuntiClassificaSquadra,3,FALSE),-2)),SUMIFS(Dati!$D$2:$D$381,Dati!$A$2:$A$381,$H17,Dati!$H$2:$H$381,$AN17)+SUMIFS(Dati!$K$2:$K$381,Dati!$H$2:$H$381,$H17,Dati!$A$2:$A$381,$AN17)+SUMIFS(Dati!$C$2:$C$381,Dati!$A$2:$A$381,$H17,Dati!$H$2:$H$381,$AN17)+SUMIFS(Dati!$J$2:$J$381,Dati!$H$2:$H$381,$H17,Dati!$A$2:$A$381,$AN17),"-")</f>
        <v/>
      </c>
      <c r="CG17" s="22">
        <f>IF(AND($H17&lt;&gt;"",$AO17&lt;&gt;"",$H17&lt;&gt;$AO17,IFERROR(VLOOKUP($H17,areaCercaPuntiClassificaSquadra,3,FALSE),-1)=IFERROR(VLOOKUP($AO17,areaCercaPuntiClassificaSquadra,3,FALSE),-2)),SUMIFS(Dati!$D$2:$D$381,Dati!$A$2:$A$381,$H17,Dati!$H$2:$H$381,$AO17)+SUMIFS(Dati!$K$2:$K$381,Dati!$H$2:$H$381,$H17,Dati!$A$2:$A$381,$AO17)+SUMIFS(Dati!$C$2:$C$381,Dati!$A$2:$A$381,$H17,Dati!$H$2:$H$381,$AO17)+SUMIFS(Dati!$J$2:$J$381,Dati!$H$2:$H$381,$H17,Dati!$A$2:$A$381,$AO17),"-")</f>
        <v/>
      </c>
      <c r="CH17" s="22">
        <f>IF(AND($H17&lt;&gt;"",$AP17&lt;&gt;"",$H17&lt;&gt;$AP17,IFERROR(VLOOKUP($H17,areaCercaPuntiClassificaSquadra,3,FALSE),-1)=IFERROR(VLOOKUP($AP17,areaCercaPuntiClassificaSquadra,3,FALSE),-2)),SUMIFS(Dati!$D$2:$D$381,Dati!$A$2:$A$381,$H17,Dati!$H$2:$H$381,$AP17)+SUMIFS(Dati!$K$2:$K$381,Dati!$H$2:$H$381,$H17,Dati!$A$2:$A$381,$AP17)+SUMIFS(Dati!$C$2:$C$381,Dati!$A$2:$A$381,$H17,Dati!$H$2:$H$381,$AP17)+SUMIFS(Dati!$J$2:$J$381,Dati!$H$2:$H$381,$H17,Dati!$A$2:$A$381,$AP17),"-")</f>
        <v/>
      </c>
      <c r="CI17" s="22">
        <f>IF(AND($H17&lt;&gt;"",$AQ17&lt;&gt;"",$H17&lt;&gt;$AQ17,IFERROR(VLOOKUP($H17,areaCercaPuntiClassificaSquadra,3,FALSE),-1)=IFERROR(VLOOKUP($AQ17,areaCercaPuntiClassificaSquadra,3,FALSE),-2)),SUMIFS(Dati!$D$2:$D$381,Dati!$A$2:$A$381,$H17,Dati!$H$2:$H$381,$AQ17)+SUMIFS(Dati!$K$2:$K$381,Dati!$H$2:$H$381,$H17,Dati!$A$2:$A$381,$AQ17)+SUMIFS(Dati!$C$2:$C$381,Dati!$A$2:$A$381,$H17,Dati!$H$2:$H$381,$AQ17)+SUMIFS(Dati!$J$2:$J$381,Dati!$H$2:$H$381,$H17,Dati!$A$2:$A$381,$AQ17),"-")</f>
        <v/>
      </c>
      <c r="CJ17" s="22">
        <f>IF(AND($H17&lt;&gt;"",$AR17&lt;&gt;"",$H17&lt;&gt;$AR17,IFERROR(VLOOKUP($H17,areaCercaPuntiClassificaSquadra,3,FALSE),-1)=IFERROR(VLOOKUP($AR17,areaCercaPuntiClassificaSquadra,3,FALSE),-2)),SUMIFS(Dati!$D$2:$D$381,Dati!$A$2:$A$381,$H17,Dati!$H$2:$H$381,$AR17)+SUMIFS(Dati!$K$2:$K$381,Dati!$H$2:$H$381,$H17,Dati!$A$2:$A$381,$AR17)+SUMIFS(Dati!$C$2:$C$381,Dati!$A$2:$A$381,$H17,Dati!$H$2:$H$381,$AR17)+SUMIFS(Dati!$J$2:$J$381,Dati!$H$2:$H$381,$H17,Dati!$A$2:$A$381,$AR17),"-")</f>
        <v/>
      </c>
      <c r="CL17" s="21">
        <f>$C17</f>
        <v/>
      </c>
      <c r="CM17" s="22">
        <f>IF(AND($H17&lt;&gt;"",$Y17&lt;&gt;"",$H17&lt;&gt;$Y17,IFERROR(VLOOKUP($H17,areaCercaPuntiClassificaSquadra,3,FALSE),-1)=IFERROR(VLOOKUP($Y17,areaCercaPuntiClassificaSquadra,3,FALSE),-2)),SUMIFS(Dati!$E$2:$E$381,Dati!$A$2:$A$381,$H17,Dati!$H$2:$H$381,$Y17)+SUMIFS(Dati!$L$2:$L$381,Dati!$H$2:$H$381,$H17,Dati!$A$2:$A$381,$Y17),"-")</f>
        <v/>
      </c>
      <c r="CN17" s="22">
        <f>IF(AND($H17&lt;&gt;"",$Z17&lt;&gt;"",$H17&lt;&gt;$Z17,IFERROR(VLOOKUP($H17,areaCercaPuntiClassificaSquadra,3,FALSE),-1)=IFERROR(VLOOKUP($Z17,areaCercaPuntiClassificaSquadra,3,FALSE),-2)),SUMIFS(Dati!$E$2:$E$381,Dati!$A$2:$A$381,$H17,Dati!$H$2:$H$381,$Z17)+SUMIFS(Dati!$L$2:$L$381,Dati!$H$2:$H$381,$H17,Dati!$A$2:$A$381,$Z17),"-")</f>
        <v/>
      </c>
      <c r="CO17" s="22">
        <f>IF(AND($H17&lt;&gt;"",$AA17&lt;&gt;"",$H17&lt;&gt;$AA17,IFERROR(VLOOKUP($H17,areaCercaPuntiClassificaSquadra,3,FALSE),-1)=IFERROR(VLOOKUP($AA17,areaCercaPuntiClassificaSquadra,3,FALSE),-2)),SUMIFS(Dati!$E$2:$E$381,Dati!$A$2:$A$381,$H17,Dati!$H$2:$H$381,$AA17)+SUMIFS(Dati!$L$2:$L$381,Dati!$H$2:$H$381,$H17,Dati!$A$2:$A$381,$AA17),"-")</f>
        <v/>
      </c>
      <c r="CP17" s="22">
        <f>IF(AND($H17&lt;&gt;"",$AB17&lt;&gt;"",$H17&lt;&gt;$AB17,IFERROR(VLOOKUP($H17,areaCercaPuntiClassificaSquadra,3,FALSE),-1)=IFERROR(VLOOKUP($AB17,areaCercaPuntiClassificaSquadra,3,FALSE),-2)),SUMIFS(Dati!$E$2:$E$381,Dati!$A$2:$A$381,$H17,Dati!$H$2:$H$381,$AB17)+SUMIFS(Dati!$L$2:$L$381,Dati!$H$2:$H$381,$H17,Dati!$A$2:$A$381,$AB17),"-")</f>
        <v/>
      </c>
      <c r="CQ17" s="22">
        <f>IF(AND($H17&lt;&gt;"",$AC17&lt;&gt;"",$H17&lt;&gt;$AC17,IFERROR(VLOOKUP($H17,areaCercaPuntiClassificaSquadra,3,FALSE),-1)=IFERROR(VLOOKUP($AC17,areaCercaPuntiClassificaSquadra,3,FALSE),-2)),SUMIFS(Dati!$E$2:$E$381,Dati!$A$2:$A$381,$H17,Dati!$H$2:$H$381,$AC17)+SUMIFS(Dati!$L$2:$L$381,Dati!$H$2:$H$381,$H17,Dati!$A$2:$A$381,$AC17),"-")</f>
        <v/>
      </c>
      <c r="CR17" s="22">
        <f>IF(AND($H17&lt;&gt;"",$AD17&lt;&gt;"",$H17&lt;&gt;$AD17,IFERROR(VLOOKUP($H17,areaCercaPuntiClassificaSquadra,3,FALSE),-1)=IFERROR(VLOOKUP($AD17,areaCercaPuntiClassificaSquadra,3,FALSE),-2)),SUMIFS(Dati!$E$2:$E$381,Dati!$A$2:$A$381,$H17,Dati!$H$2:$H$381,$AD17)+SUMIFS(Dati!$L$2:$L$381,Dati!$H$2:$H$381,$H17,Dati!$A$2:$A$381,$AD17),"-")</f>
        <v/>
      </c>
      <c r="CS17" s="22">
        <f>IF(AND($H17&lt;&gt;"",$AE17&lt;&gt;"",$H17&lt;&gt;$AE17,IFERROR(VLOOKUP($H17,areaCercaPuntiClassificaSquadra,3,FALSE),-1)=IFERROR(VLOOKUP($AE17,areaCercaPuntiClassificaSquadra,3,FALSE),-2)),SUMIFS(Dati!$E$2:$E$381,Dati!$A$2:$A$381,$H17,Dati!$H$2:$H$381,$AE17)+SUMIFS(Dati!$L$2:$L$381,Dati!$H$2:$H$381,$H17,Dati!$A$2:$A$381,$AE17),"-")</f>
        <v/>
      </c>
      <c r="CT17" s="22">
        <f>IF(AND($H17&lt;&gt;"",$AF17&lt;&gt;"",$H17&lt;&gt;$AF17,IFERROR(VLOOKUP($H17,areaCercaPuntiClassificaSquadra,3,FALSE),-1)=IFERROR(VLOOKUP($AF17,areaCercaPuntiClassificaSquadra,3,FALSE),-2)),SUMIFS(Dati!$E$2:$E$381,Dati!$A$2:$A$381,$H17,Dati!$H$2:$H$381,$AF17)+SUMIFS(Dati!$L$2:$L$381,Dati!$H$2:$H$381,$H17,Dati!$A$2:$A$381,$AF17),"-")</f>
        <v/>
      </c>
      <c r="CU17" s="22">
        <f>IF(AND($H17&lt;&gt;"",$AG17&lt;&gt;"",$H17&lt;&gt;$AG17,IFERROR(VLOOKUP($H17,areaCercaPuntiClassificaSquadra,3,FALSE),-1)=IFERROR(VLOOKUP($AG17,areaCercaPuntiClassificaSquadra,3,FALSE),-2)),SUMIFS(Dati!$E$2:$E$381,Dati!$A$2:$A$381,$H17,Dati!$H$2:$H$381,$AG17)+SUMIFS(Dati!$L$2:$L$381,Dati!$H$2:$H$381,$H17,Dati!$A$2:$A$381,$AG17),"-")</f>
        <v/>
      </c>
      <c r="CV17" s="22">
        <f>IF(AND($H17&lt;&gt;"",$AH17&lt;&gt;"",$H17&lt;&gt;$AH17,IFERROR(VLOOKUP($H17,areaCercaPuntiClassificaSquadra,3,FALSE),-1)=IFERROR(VLOOKUP($AH17,areaCercaPuntiClassificaSquadra,3,FALSE),-2)),SUMIFS(Dati!$E$2:$E$381,Dati!$A$2:$A$381,$H17,Dati!$H$2:$H$381,$AH17)+SUMIFS(Dati!$L$2:$L$381,Dati!$H$2:$H$381,$H17,Dati!$A$2:$A$381,$AH17),"-")</f>
        <v/>
      </c>
      <c r="CW17" s="22">
        <f>IF(AND($H17&lt;&gt;"",$AI17&lt;&gt;"",$H17&lt;&gt;$AI17,IFERROR(VLOOKUP($H17,areaCercaPuntiClassificaSquadra,3,FALSE),-1)=IFERROR(VLOOKUP($AI17,areaCercaPuntiClassificaSquadra,3,FALSE),-2)),SUMIFS(Dati!$E$2:$E$381,Dati!$A$2:$A$381,$H17,Dati!$H$2:$H$381,$AI17)+SUMIFS(Dati!$L$2:$L$381,Dati!$H$2:$H$381,$H17,Dati!$A$2:$A$381,$AI17),"-")</f>
        <v/>
      </c>
      <c r="CX17" s="22">
        <f>IF(AND($H17&lt;&gt;"",$AJ17&lt;&gt;"",$H17&lt;&gt;$AJ17,IFERROR(VLOOKUP($H17,areaCercaPuntiClassificaSquadra,3,FALSE),-1)=IFERROR(VLOOKUP($AJ17,areaCercaPuntiClassificaSquadra,3,FALSE),-2)),SUMIFS(Dati!$E$2:$E$381,Dati!$A$2:$A$381,$H17,Dati!$H$2:$H$381,$AJ17)+SUMIFS(Dati!$L$2:$L$381,Dati!$H$2:$H$381,$H17,Dati!$A$2:$A$381,$AJ17),"-")</f>
        <v/>
      </c>
      <c r="CY17" s="22">
        <f>IF(AND($H17&lt;&gt;"",$AK17&lt;&gt;"",$H17&lt;&gt;$AK17,IFERROR(VLOOKUP($H17,areaCercaPuntiClassificaSquadra,3,FALSE),-1)=IFERROR(VLOOKUP($AK17,areaCercaPuntiClassificaSquadra,3,FALSE),-2)),SUMIFS(Dati!$E$2:$E$381,Dati!$A$2:$A$381,$H17,Dati!$H$2:$H$381,$AK17)+SUMIFS(Dati!$L$2:$L$381,Dati!$H$2:$H$381,$H17,Dati!$A$2:$A$381,$AK17),"-")</f>
        <v/>
      </c>
      <c r="CZ17" s="22">
        <f>IF(AND($H17&lt;&gt;"",$AL17&lt;&gt;"",$H17&lt;&gt;$AL17,IFERROR(VLOOKUP($H17,areaCercaPuntiClassificaSquadra,3,FALSE),-1)=IFERROR(VLOOKUP($AL17,areaCercaPuntiClassificaSquadra,3,FALSE),-2)),SUMIFS(Dati!$E$2:$E$381,Dati!$A$2:$A$381,$H17,Dati!$H$2:$H$381,$AL17)+SUMIFS(Dati!$L$2:$L$381,Dati!$H$2:$H$381,$H17,Dati!$A$2:$A$381,$AL17),"-")</f>
        <v/>
      </c>
      <c r="DA17" s="22">
        <f>IF(AND($H17&lt;&gt;"",$AM17&lt;&gt;"",$H17&lt;&gt;$AM17,IFERROR(VLOOKUP($H17,areaCercaPuntiClassificaSquadra,3,FALSE),-1)=IFERROR(VLOOKUP($AM17,areaCercaPuntiClassificaSquadra,3,FALSE),-2)),SUMIFS(Dati!$E$2:$E$381,Dati!$A$2:$A$381,$H17,Dati!$H$2:$H$381,$AM17)+SUMIFS(Dati!$L$2:$L$381,Dati!$H$2:$H$381,$H17,Dati!$A$2:$A$381,$AM17),"-")</f>
        <v/>
      </c>
      <c r="DB17" s="22">
        <f>IF(AND($H17&lt;&gt;"",$AN17&lt;&gt;"",$H17&lt;&gt;$AN17,IFERROR(VLOOKUP($H17,areaCercaPuntiClassificaSquadra,3,FALSE),-1)=IFERROR(VLOOKUP($AN17,areaCercaPuntiClassificaSquadra,3,FALSE),-2)),SUMIFS(Dati!$E$2:$E$381,Dati!$A$2:$A$381,$H17,Dati!$H$2:$H$381,$AN17)+SUMIFS(Dati!$L$2:$L$381,Dati!$H$2:$H$381,$H17,Dati!$A$2:$A$381,$AN17),"-")</f>
        <v/>
      </c>
      <c r="DC17" s="22">
        <f>IF(AND($H17&lt;&gt;"",$AO17&lt;&gt;"",$H17&lt;&gt;$AO17,IFERROR(VLOOKUP($H17,areaCercaPuntiClassificaSquadra,3,FALSE),-1)=IFERROR(VLOOKUP($AO17,areaCercaPuntiClassificaSquadra,3,FALSE),-2)),SUMIFS(Dati!$E$2:$E$381,Dati!$A$2:$A$381,$H17,Dati!$H$2:$H$381,$AO17)+SUMIFS(Dati!$L$2:$L$381,Dati!$H$2:$H$381,$H17,Dati!$A$2:$A$381,$AO17),"-")</f>
        <v/>
      </c>
      <c r="DD17" s="22">
        <f>IF(AND($H17&lt;&gt;"",$AP17&lt;&gt;"",$H17&lt;&gt;$AP17,IFERROR(VLOOKUP($H17,areaCercaPuntiClassificaSquadra,3,FALSE),-1)=IFERROR(VLOOKUP($AP17,areaCercaPuntiClassificaSquadra,3,FALSE),-2)),SUMIFS(Dati!$E$2:$E$381,Dati!$A$2:$A$381,$H17,Dati!$H$2:$H$381,$AP17)+SUMIFS(Dati!$L$2:$L$381,Dati!$H$2:$H$381,$H17,Dati!$A$2:$A$381,$AP17),"-")</f>
        <v/>
      </c>
      <c r="DE17" s="22">
        <f>IF(AND($H17&lt;&gt;"",$AQ17&lt;&gt;"",$H17&lt;&gt;$AQ17,IFERROR(VLOOKUP($H17,areaCercaPuntiClassificaSquadra,3,FALSE),-1)=IFERROR(VLOOKUP($AQ17,areaCercaPuntiClassificaSquadra,3,FALSE),-2)),SUMIFS(Dati!$E$2:$E$381,Dati!$A$2:$A$381,$H17,Dati!$H$2:$H$381,$AQ17)+SUMIFS(Dati!$L$2:$L$381,Dati!$H$2:$H$381,$H17,Dati!$A$2:$A$381,$AQ17),"-")</f>
        <v/>
      </c>
      <c r="DF17" s="22">
        <f>IF(AND($H17&lt;&gt;"",$AR17&lt;&gt;"",$H17&lt;&gt;$AR17,IFERROR(VLOOKUP($H17,areaCercaPuntiClassificaSquadra,3,FALSE),-1)=IFERROR(VLOOKUP($AR17,areaCercaPuntiClassificaSquadra,3,FALSE),-2)),SUMIFS(Dati!$E$2:$E$381,Dati!$A$2:$A$381,$H17,Dati!$H$2:$H$381,$AR17)+SUMIFS(Dati!$L$2:$L$381,Dati!$H$2:$H$381,$H17,Dati!$A$2:$A$381,$AR17),"-")</f>
        <v/>
      </c>
      <c r="DH17" s="21">
        <f>$C17</f>
        <v/>
      </c>
      <c r="DI17" s="22">
        <f>IF(AND($H17&lt;&gt;"",$Y17&lt;&gt;"",$H17&lt;&gt;$Y17,IFERROR(VLOOKUP($H17,areaCercaPuntiClassificaSquadra,3,FALSE),-1)=IFERROR(VLOOKUP($Y17,areaCercaPuntiClassificaSquadra,3,FALSE),-2)),SUMIFS(Dati!$F$2:$F$381,Dati!$A$2:$A$381,$H17,Dati!$H$2:$H$381,$Y17)+SUMIFS(Dati!$M$2:$M$381,Dati!$H$2:$H$381,$H17,Dati!$A$2:$A$381,$Y17),"-")</f>
        <v/>
      </c>
      <c r="DJ17" s="22">
        <f>IF(AND($H17&lt;&gt;"",$Z17&lt;&gt;"",$H17&lt;&gt;$Z17,IFERROR(VLOOKUP($H17,areaCercaPuntiClassificaSquadra,3,FALSE),-1)=IFERROR(VLOOKUP($Z17,areaCercaPuntiClassificaSquadra,3,FALSE),-2)),SUMIFS(Dati!$F$2:$F$381,Dati!$A$2:$A$381,$H17,Dati!$H$2:$H$381,$Z17)+SUMIFS(Dati!$M$2:$M$381,Dati!$H$2:$H$381,$H17,Dati!$A$2:$A$381,$Z17),"-")</f>
        <v/>
      </c>
      <c r="DK17" s="22">
        <f>IF(AND($H17&lt;&gt;"",$AA17&lt;&gt;"",$H17&lt;&gt;$AA17,IFERROR(VLOOKUP($H17,areaCercaPuntiClassificaSquadra,3,FALSE),-1)=IFERROR(VLOOKUP($AA17,areaCercaPuntiClassificaSquadra,3,FALSE),-2)),SUMIFS(Dati!$F$2:$F$381,Dati!$A$2:$A$381,$H17,Dati!$H$2:$H$381,$AA17)+SUMIFS(Dati!$M$2:$M$381,Dati!$H$2:$H$381,$H17,Dati!$A$2:$A$381,$AA17),"-")</f>
        <v/>
      </c>
      <c r="DL17" s="22">
        <f>IF(AND($H17&lt;&gt;"",$AB17&lt;&gt;"",$H17&lt;&gt;$AB17,IFERROR(VLOOKUP($H17,areaCercaPuntiClassificaSquadra,3,FALSE),-1)=IFERROR(VLOOKUP($AB17,areaCercaPuntiClassificaSquadra,3,FALSE),-2)),SUMIFS(Dati!$F$2:$F$381,Dati!$A$2:$A$381,$H17,Dati!$H$2:$H$381,$AB17)+SUMIFS(Dati!$M$2:$M$381,Dati!$H$2:$H$381,$H17,Dati!$A$2:$A$381,$AB17),"-")</f>
        <v/>
      </c>
      <c r="DM17" s="22">
        <f>IF(AND($H17&lt;&gt;"",$AC17&lt;&gt;"",$H17&lt;&gt;$AC17,IFERROR(VLOOKUP($H17,areaCercaPuntiClassificaSquadra,3,FALSE),-1)=IFERROR(VLOOKUP($AC17,areaCercaPuntiClassificaSquadra,3,FALSE),-2)),SUMIFS(Dati!$F$2:$F$381,Dati!$A$2:$A$381,$H17,Dati!$H$2:$H$381,$AC17)+SUMIFS(Dati!$M$2:$M$381,Dati!$H$2:$H$381,$H17,Dati!$A$2:$A$381,$AC17),"-")</f>
        <v/>
      </c>
      <c r="DN17" s="22">
        <f>IF(AND($H17&lt;&gt;"",$AD17&lt;&gt;"",$H17&lt;&gt;$AD17,IFERROR(VLOOKUP($H17,areaCercaPuntiClassificaSquadra,3,FALSE),-1)=IFERROR(VLOOKUP($AD17,areaCercaPuntiClassificaSquadra,3,FALSE),-2)),SUMIFS(Dati!$F$2:$F$381,Dati!$A$2:$A$381,$H17,Dati!$H$2:$H$381,$AD17)+SUMIFS(Dati!$M$2:$M$381,Dati!$H$2:$H$381,$H17,Dati!$A$2:$A$381,$AD17),"-")</f>
        <v/>
      </c>
      <c r="DO17" s="22">
        <f>IF(AND($H17&lt;&gt;"",$AE17&lt;&gt;"",$H17&lt;&gt;$AE17,IFERROR(VLOOKUP($H17,areaCercaPuntiClassificaSquadra,3,FALSE),-1)=IFERROR(VLOOKUP($AE17,areaCercaPuntiClassificaSquadra,3,FALSE),-2)),SUMIFS(Dati!$F$2:$F$381,Dati!$A$2:$A$381,$H17,Dati!$H$2:$H$381,$AE17)+SUMIFS(Dati!$M$2:$M$381,Dati!$H$2:$H$381,$H17,Dati!$A$2:$A$381,$AE17),"-")</f>
        <v/>
      </c>
      <c r="DP17" s="22">
        <f>IF(AND($H17&lt;&gt;"",$AF17&lt;&gt;"",$H17&lt;&gt;$AF17,IFERROR(VLOOKUP($H17,areaCercaPuntiClassificaSquadra,3,FALSE),-1)=IFERROR(VLOOKUP($AF17,areaCercaPuntiClassificaSquadra,3,FALSE),-2)),SUMIFS(Dati!$F$2:$F$381,Dati!$A$2:$A$381,$H17,Dati!$H$2:$H$381,$AF17)+SUMIFS(Dati!$M$2:$M$381,Dati!$H$2:$H$381,$H17,Dati!$A$2:$A$381,$AF17),"-")</f>
        <v/>
      </c>
      <c r="DQ17" s="22">
        <f>IF(AND($H17&lt;&gt;"",$AG17&lt;&gt;"",$H17&lt;&gt;$AG17,IFERROR(VLOOKUP($H17,areaCercaPuntiClassificaSquadra,3,FALSE),-1)=IFERROR(VLOOKUP($AG17,areaCercaPuntiClassificaSquadra,3,FALSE),-2)),SUMIFS(Dati!$F$2:$F$381,Dati!$A$2:$A$381,$H17,Dati!$H$2:$H$381,$AG17)+SUMIFS(Dati!$M$2:$M$381,Dati!$H$2:$H$381,$H17,Dati!$A$2:$A$381,$AG17),"-")</f>
        <v/>
      </c>
      <c r="DR17" s="22">
        <f>IF(AND($H17&lt;&gt;"",$AH17&lt;&gt;"",$H17&lt;&gt;$AH17,IFERROR(VLOOKUP($H17,areaCercaPuntiClassificaSquadra,3,FALSE),-1)=IFERROR(VLOOKUP($AH17,areaCercaPuntiClassificaSquadra,3,FALSE),-2)),SUMIFS(Dati!$F$2:$F$381,Dati!$A$2:$A$381,$H17,Dati!$H$2:$H$381,$AH17)+SUMIFS(Dati!$M$2:$M$381,Dati!$H$2:$H$381,$H17,Dati!$A$2:$A$381,$AH17),"-")</f>
        <v/>
      </c>
      <c r="DS17" s="22">
        <f>IF(AND($H17&lt;&gt;"",$AI17&lt;&gt;"",$H17&lt;&gt;$AI17,IFERROR(VLOOKUP($H17,areaCercaPuntiClassificaSquadra,3,FALSE),-1)=IFERROR(VLOOKUP($AI17,areaCercaPuntiClassificaSquadra,3,FALSE),-2)),SUMIFS(Dati!$F$2:$F$381,Dati!$A$2:$A$381,$H17,Dati!$H$2:$H$381,$AI17)+SUMIFS(Dati!$M$2:$M$381,Dati!$H$2:$H$381,$H17,Dati!$A$2:$A$381,$AI17),"-")</f>
        <v/>
      </c>
      <c r="DT17" s="22">
        <f>IF(AND($H17&lt;&gt;"",$AJ17&lt;&gt;"",$H17&lt;&gt;$AJ17,IFERROR(VLOOKUP($H17,areaCercaPuntiClassificaSquadra,3,FALSE),-1)=IFERROR(VLOOKUP($AJ17,areaCercaPuntiClassificaSquadra,3,FALSE),-2)),SUMIFS(Dati!$F$2:$F$381,Dati!$A$2:$A$381,$H17,Dati!$H$2:$H$381,$AJ17)+SUMIFS(Dati!$M$2:$M$381,Dati!$H$2:$H$381,$H17,Dati!$A$2:$A$381,$AJ17),"-")</f>
        <v/>
      </c>
      <c r="DU17" s="22">
        <f>IF(AND($H17&lt;&gt;"",$AK17&lt;&gt;"",$H17&lt;&gt;$AK17,IFERROR(VLOOKUP($H17,areaCercaPuntiClassificaSquadra,3,FALSE),-1)=IFERROR(VLOOKUP($AK17,areaCercaPuntiClassificaSquadra,3,FALSE),-2)),SUMIFS(Dati!$F$2:$F$381,Dati!$A$2:$A$381,$H17,Dati!$H$2:$H$381,$AK17)+SUMIFS(Dati!$M$2:$M$381,Dati!$H$2:$H$381,$H17,Dati!$A$2:$A$381,$AK17),"-")</f>
        <v/>
      </c>
      <c r="DV17" s="22">
        <f>IF(AND($H17&lt;&gt;"",$AL17&lt;&gt;"",$H17&lt;&gt;$AL17,IFERROR(VLOOKUP($H17,areaCercaPuntiClassificaSquadra,3,FALSE),-1)=IFERROR(VLOOKUP($AL17,areaCercaPuntiClassificaSquadra,3,FALSE),-2)),SUMIFS(Dati!$F$2:$F$381,Dati!$A$2:$A$381,$H17,Dati!$H$2:$H$381,$AL17)+SUMIFS(Dati!$M$2:$M$381,Dati!$H$2:$H$381,$H17,Dati!$A$2:$A$381,$AL17),"-")</f>
        <v/>
      </c>
      <c r="DW17" s="22">
        <f>IF(AND($H17&lt;&gt;"",$AM17&lt;&gt;"",$H17&lt;&gt;$AM17,IFERROR(VLOOKUP($H17,areaCercaPuntiClassificaSquadra,3,FALSE),-1)=IFERROR(VLOOKUP($AM17,areaCercaPuntiClassificaSquadra,3,FALSE),-2)),SUMIFS(Dati!$F$2:$F$381,Dati!$A$2:$A$381,$H17,Dati!$H$2:$H$381,$AM17)+SUMIFS(Dati!$M$2:$M$381,Dati!$H$2:$H$381,$H17,Dati!$A$2:$A$381,$AM17),"-")</f>
        <v/>
      </c>
      <c r="DX17" s="22">
        <f>IF(AND($H17&lt;&gt;"",$AN17&lt;&gt;"",$H17&lt;&gt;$AN17,IFERROR(VLOOKUP($H17,areaCercaPuntiClassificaSquadra,3,FALSE),-1)=IFERROR(VLOOKUP($AN17,areaCercaPuntiClassificaSquadra,3,FALSE),-2)),SUMIFS(Dati!$F$2:$F$381,Dati!$A$2:$A$381,$H17,Dati!$H$2:$H$381,$AN17)+SUMIFS(Dati!$M$2:$M$381,Dati!$H$2:$H$381,$H17,Dati!$A$2:$A$381,$AN17),"-")</f>
        <v/>
      </c>
      <c r="DY17" s="22">
        <f>IF(AND($H17&lt;&gt;"",$AO17&lt;&gt;"",$H17&lt;&gt;$AO17,IFERROR(VLOOKUP($H17,areaCercaPuntiClassificaSquadra,3,FALSE),-1)=IFERROR(VLOOKUP($AO17,areaCercaPuntiClassificaSquadra,3,FALSE),-2)),SUMIFS(Dati!$F$2:$F$381,Dati!$A$2:$A$381,$H17,Dati!$H$2:$H$381,$AO17)+SUMIFS(Dati!$M$2:$M$381,Dati!$H$2:$H$381,$H17,Dati!$A$2:$A$381,$AO17),"-")</f>
        <v/>
      </c>
      <c r="DZ17" s="22">
        <f>IF(AND($H17&lt;&gt;"",$AP17&lt;&gt;"",$H17&lt;&gt;$AP17,IFERROR(VLOOKUP($H17,areaCercaPuntiClassificaSquadra,3,FALSE),-1)=IFERROR(VLOOKUP($AP17,areaCercaPuntiClassificaSquadra,3,FALSE),-2)),SUMIFS(Dati!$F$2:$F$381,Dati!$A$2:$A$381,$H17,Dati!$H$2:$H$381,$AP17)+SUMIFS(Dati!$M$2:$M$381,Dati!$H$2:$H$381,$H17,Dati!$A$2:$A$381,$AP17),"-")</f>
        <v/>
      </c>
      <c r="EA17" s="22">
        <f>IF(AND($H17&lt;&gt;"",$AQ17&lt;&gt;"",$H17&lt;&gt;$AQ17,IFERROR(VLOOKUP($H17,areaCercaPuntiClassificaSquadra,3,FALSE),-1)=IFERROR(VLOOKUP($AQ17,areaCercaPuntiClassificaSquadra,3,FALSE),-2)),SUMIFS(Dati!$F$2:$F$381,Dati!$A$2:$A$381,$H17,Dati!$H$2:$H$381,$AQ17)+SUMIFS(Dati!$M$2:$M$381,Dati!$H$2:$H$381,$H17,Dati!$A$2:$A$381,$AQ17),"-")</f>
        <v/>
      </c>
      <c r="EB17" s="22">
        <f>IF(AND($H17&lt;&gt;"",$AR17&lt;&gt;"",$H17&lt;&gt;$AR17,IFERROR(VLOOKUP($H17,areaCercaPuntiClassificaSquadra,3,FALSE),-1)=IFERROR(VLOOKUP($AR17,areaCercaPuntiClassificaSquadra,3,FALSE),-2)),SUMIFS(Dati!$F$2:$F$381,Dati!$A$2:$A$381,$H17,Dati!$H$2:$H$381,$AR17)+SUMIFS(Dati!$M$2:$M$381,Dati!$H$2:$H$381,$H17,Dati!$A$2:$A$381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inlineStr">
        <is>
          <t>Ermellini Eleganti-Ermelliniopoli EU</t>
        </is>
      </c>
      <c r="D18" s="14" t="n"/>
      <c r="E18" s="15" t="inlineStr">
        <is>
          <t>A</t>
        </is>
      </c>
      <c r="G18" s="16">
        <f>IF($C18="","",$E18&amp;(COUNTIFS(I$14:I$53,"&gt;"&amp;I18,E$14:E$53,"="&amp;E18,C$14:C$53,"&lt;&gt;")+COUNTIFS(I$14:I$53,"="&amp;I18,H$14:H$53,"&lt;="&amp;H18,E$14:E$53,"="&amp;E18,C$14:C$53,"&lt;&gt;")))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L18*constPuntiVittoria+M18*constPuntiSconfitta+N18*constPuntiForfait+IF(D18="",0,D18)</f>
        <v/>
      </c>
      <c r="K18" s="12">
        <f>SUM(L18:N18)</f>
        <v/>
      </c>
      <c r="L18" s="12">
        <f>IF($H18="",0,SUMIF(Dati!$A$2:$A$381,$H18,Dati!$B$2:$B$381)+SUMIF(Dati!$H$2:$H$381,$H18,Dati!$I$2:$I$381))</f>
        <v/>
      </c>
      <c r="M18" s="12">
        <f>IF($H18="",0,SUMIF(Dati!$A$2:$A$381,$H18,Dati!$D$2:$D$381)+SUMIF(Dati!$H$2:$H$381,$H18,Dati!$K$2:$K$381))</f>
        <v/>
      </c>
      <c r="N18" s="12">
        <f>IF($H18="",0,SUMIF(Dati!$A$2:$A$381,$H18,Dati!$C$2:$C$381)+SUMIF(Dati!$H$2:$H$381,$H18,Dati!$J$2:$J$381))</f>
        <v/>
      </c>
      <c r="O18" s="12">
        <f>IF($H18="",0,SUMIF(Dati!$A$2:$A$381,$H18,Dati!$E$2:$E$381)+SUMIF(Dati!$H$2:$H$381,$H18,Dati!$L$2:$L$381))</f>
        <v/>
      </c>
      <c r="P18" s="12">
        <f>IF($H18="",0,SUMIF(Dati!$A$2:$A$381,$H18,Dati!$F$2:$F$381)+SUMIF(Dati!$H$2:$H$381,$H18,Dati!$M$2:$M$381))</f>
        <v/>
      </c>
      <c r="Q18" s="12">
        <f>IF($H18="",0,SUMIF(Dati!$A$2:$A$381,$H18,Dati!$G$2:$G$381)+SUMIF(Dati!$H$2:$H$381,$H18,Dati!$N$2:$N$381))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IF(COUNTIFS($E$14:$E$53,$E18,$J$14:$J$53,$J18,$C$14:$C$53,"&lt;&gt;")&lt;=1,"-",SUM(AU18:BN18)&amp;"-"&amp;SUM(BQ18:CJ18))</f>
        <v/>
      </c>
      <c r="V18" s="18">
        <f>IF(COUNTIFS($E$14:$E$53,$E18,$J$14:$J$53,$J18,$C$14:$C$53,"&lt;&gt;",$ED$14:$ED$53,$ED18)&lt;=1,"-",IF(SUM(DI18:EB18)=0,0,ROUND(SUM(CM18:DF18)/SUM(DI18:EB18),3)))</f>
        <v/>
      </c>
      <c r="W18" s="18">
        <f>IF(COUNTIFS($E$14:$E$53,$E18,$J$14:$J$53,$J18,$C$14:$C$53,"&lt;&gt;",$ED$14:$ED$53,$ED18,$V$14:$V$53,$V18)&lt;=1,"-",IF(P18=0,0,ROUND(O18/P18,3)))</f>
        <v/>
      </c>
      <c r="X18" s="19">
        <f>IF($C18="","",$E18&amp;"#"&amp;COUNTIFS($E$14:$E18,$E18,$C$14:$C18,"&lt;&gt;"))</f>
        <v/>
      </c>
      <c r="Y18" s="20">
        <f>IFERROR(INDEX($H$14:$H$53,MATCH($E18&amp;"#1",$X$14:$X$53,0)),"")</f>
        <v/>
      </c>
      <c r="Z18" s="20">
        <f>IFERROR(INDEX($H$14:$H$53,MATCH($E18&amp;"#2",$X$14:$X$53,0)),"")</f>
        <v/>
      </c>
      <c r="AA18" s="20">
        <f>IFERROR(INDEX($H$14:$H$53,MATCH($E18&amp;"#3",$X$14:$X$53,0)),"")</f>
        <v/>
      </c>
      <c r="AB18" s="20">
        <f>IFERROR(INDEX($H$14:$H$53,MATCH($E18&amp;"#4",$X$14:$X$53,0)),"")</f>
        <v/>
      </c>
      <c r="AC18" s="20">
        <f>IFERROR(INDEX($H$14:$H$53,MATCH($E18&amp;"#5",$X$14:$X$53,0)),"")</f>
        <v/>
      </c>
      <c r="AD18" s="20">
        <f>IFERROR(INDEX($H$14:$H$53,MATCH($E18&amp;"#6",$X$14:$X$53,0)),"")</f>
        <v/>
      </c>
      <c r="AE18" s="20">
        <f>IFERROR(INDEX($H$14:$H$53,MATCH($E18&amp;"#7",$X$14:$X$53,0)),"")</f>
        <v/>
      </c>
      <c r="AF18" s="20">
        <f>IFERROR(INDEX($H$14:$H$53,MATCH($E18&amp;"#8",$X$14:$X$53,0)),"")</f>
        <v/>
      </c>
      <c r="AG18" s="20">
        <f>IFERROR(INDEX($H$14:$H$53,MATCH($E18&amp;"#9",$X$14:$X$53,0)),"")</f>
        <v/>
      </c>
      <c r="AH18" s="20">
        <f>IFERROR(INDEX($H$14:$H$53,MATCH($E18&amp;"#10",$X$14:$X$53,0)),"")</f>
        <v/>
      </c>
      <c r="AI18" s="20">
        <f>IFERROR(INDEX($H$14:$H$53,MATCH($E18&amp;"#11",$X$14:$X$53,0)),"")</f>
        <v/>
      </c>
      <c r="AJ18" s="20">
        <f>IFERROR(INDEX($H$14:$H$53,MATCH($E18&amp;"#12",$X$14:$X$53,0)),"")</f>
        <v/>
      </c>
      <c r="AK18" s="20">
        <f>IFERROR(INDEX($H$14:$H$53,MATCH($E18&amp;"#13",$X$14:$X$53,0)),"")</f>
        <v/>
      </c>
      <c r="AL18" s="20">
        <f>IFERROR(INDEX($H$14:$H$53,MATCH($E18&amp;"#14",$X$14:$X$53,0)),"")</f>
        <v/>
      </c>
      <c r="AM18" s="20">
        <f>IFERROR(INDEX($H$14:$H$53,MATCH($E18&amp;"#15",$X$14:$X$53,0)),"")</f>
        <v/>
      </c>
      <c r="AN18" s="20">
        <f>IFERROR(INDEX($H$14:$H$53,MATCH($E18&amp;"#16",$X$14:$X$53,0)),"")</f>
        <v/>
      </c>
      <c r="AO18" s="20">
        <f>IFERROR(INDEX($H$14:$H$53,MATCH($E18&amp;"#17",$X$14:$X$53,0)),"")</f>
        <v/>
      </c>
      <c r="AP18" s="20">
        <f>IFERROR(INDEX($H$14:$H$53,MATCH($E18&amp;"#18",$X$14:$X$53,0)),"")</f>
        <v/>
      </c>
      <c r="AQ18" s="20">
        <f>IFERROR(INDEX($H$14:$H$53,MATCH($E18&amp;"#19",$X$14:$X$53,0)),"")</f>
        <v/>
      </c>
      <c r="AR18" s="20">
        <f>IFERROR(INDEX($H$14:$H$53,MATCH($E18&amp;"#20",$X$14:$X$53,0)),"")</f>
        <v/>
      </c>
      <c r="AT18" s="21">
        <f>$C18</f>
        <v/>
      </c>
      <c r="AU18" s="22">
        <f>IF(AND($H18&lt;&gt;"",$Y18&lt;&gt;"",$H18&lt;&gt;$Y18,IFERROR(VLOOKUP($H18,areaCercaPuntiClassificaSquadra,3,FALSE),-1)=IFERROR(VLOOKUP($Y18,areaCercaPuntiClassificaSquadra,3,FALSE),-2)),SUMIFS(Dati!$B$2:$B$381,Dati!$A$2:$A$381,$H18,Dati!$H$2:$H$381,$Y18)+SUMIFS(Dati!$I$2:$I$381,Dati!$H$2:$H$381,$H18,Dati!$A$2:$A$381,$Y18),"-")</f>
        <v/>
      </c>
      <c r="AV18" s="22">
        <f>IF(AND($H18&lt;&gt;"",$Z18&lt;&gt;"",$H18&lt;&gt;$Z18,IFERROR(VLOOKUP($H18,areaCercaPuntiClassificaSquadra,3,FALSE),-1)=IFERROR(VLOOKUP($Z18,areaCercaPuntiClassificaSquadra,3,FALSE),-2)),SUMIFS(Dati!$B$2:$B$381,Dati!$A$2:$A$381,$H18,Dati!$H$2:$H$381,$Z18)+SUMIFS(Dati!$I$2:$I$381,Dati!$H$2:$H$381,$H18,Dati!$A$2:$A$381,$Z18),"-")</f>
        <v/>
      </c>
      <c r="AW18" s="22">
        <f>IF(AND($H18&lt;&gt;"",$AA18&lt;&gt;"",$H18&lt;&gt;$AA18,IFERROR(VLOOKUP($H18,areaCercaPuntiClassificaSquadra,3,FALSE),-1)=IFERROR(VLOOKUP($AA18,areaCercaPuntiClassificaSquadra,3,FALSE),-2)),SUMIFS(Dati!$B$2:$B$381,Dati!$A$2:$A$381,$H18,Dati!$H$2:$H$381,$AA18)+SUMIFS(Dati!$I$2:$I$381,Dati!$H$2:$H$381,$H18,Dati!$A$2:$A$381,$AA18),"-")</f>
        <v/>
      </c>
      <c r="AX18" s="22">
        <f>IF(AND($H18&lt;&gt;"",$AB18&lt;&gt;"",$H18&lt;&gt;$AB18,IFERROR(VLOOKUP($H18,areaCercaPuntiClassificaSquadra,3,FALSE),-1)=IFERROR(VLOOKUP($AB18,areaCercaPuntiClassificaSquadra,3,FALSE),-2)),SUMIFS(Dati!$B$2:$B$381,Dati!$A$2:$A$381,$H18,Dati!$H$2:$H$381,$AB18)+SUMIFS(Dati!$I$2:$I$381,Dati!$H$2:$H$381,$H18,Dati!$A$2:$A$381,$AB18),"-")</f>
        <v/>
      </c>
      <c r="AY18" s="22">
        <f>IF(AND($H18&lt;&gt;"",$AC18&lt;&gt;"",$H18&lt;&gt;$AC18,IFERROR(VLOOKUP($H18,areaCercaPuntiClassificaSquadra,3,FALSE),-1)=IFERROR(VLOOKUP($AC18,areaCercaPuntiClassificaSquadra,3,FALSE),-2)),SUMIFS(Dati!$B$2:$B$381,Dati!$A$2:$A$381,$H18,Dati!$H$2:$H$381,$AC18)+SUMIFS(Dati!$I$2:$I$381,Dati!$H$2:$H$381,$H18,Dati!$A$2:$A$381,$AC18),"-")</f>
        <v/>
      </c>
      <c r="AZ18" s="22">
        <f>IF(AND($H18&lt;&gt;"",$AD18&lt;&gt;"",$H18&lt;&gt;$AD18,IFERROR(VLOOKUP($H18,areaCercaPuntiClassificaSquadra,3,FALSE),-1)=IFERROR(VLOOKUP($AD18,areaCercaPuntiClassificaSquadra,3,FALSE),-2)),SUMIFS(Dati!$B$2:$B$381,Dati!$A$2:$A$381,$H18,Dati!$H$2:$H$381,$AD18)+SUMIFS(Dati!$I$2:$I$381,Dati!$H$2:$H$381,$H18,Dati!$A$2:$A$381,$AD18),"-")</f>
        <v/>
      </c>
      <c r="BA18" s="22">
        <f>IF(AND($H18&lt;&gt;"",$AE18&lt;&gt;"",$H18&lt;&gt;$AE18,IFERROR(VLOOKUP($H18,areaCercaPuntiClassificaSquadra,3,FALSE),-1)=IFERROR(VLOOKUP($AE18,areaCercaPuntiClassificaSquadra,3,FALSE),-2)),SUMIFS(Dati!$B$2:$B$381,Dati!$A$2:$A$381,$H18,Dati!$H$2:$H$381,$AE18)+SUMIFS(Dati!$I$2:$I$381,Dati!$H$2:$H$381,$H18,Dati!$A$2:$A$381,$AE18),"-")</f>
        <v/>
      </c>
      <c r="BB18" s="22">
        <f>IF(AND($H18&lt;&gt;"",$AF18&lt;&gt;"",$H18&lt;&gt;$AF18,IFERROR(VLOOKUP($H18,areaCercaPuntiClassificaSquadra,3,FALSE),-1)=IFERROR(VLOOKUP($AF18,areaCercaPuntiClassificaSquadra,3,FALSE),-2)),SUMIFS(Dati!$B$2:$B$381,Dati!$A$2:$A$381,$H18,Dati!$H$2:$H$381,$AF18)+SUMIFS(Dati!$I$2:$I$381,Dati!$H$2:$H$381,$H18,Dati!$A$2:$A$381,$AF18),"-")</f>
        <v/>
      </c>
      <c r="BC18" s="22">
        <f>IF(AND($H18&lt;&gt;"",$AG18&lt;&gt;"",$H18&lt;&gt;$AG18,IFERROR(VLOOKUP($H18,areaCercaPuntiClassificaSquadra,3,FALSE),-1)=IFERROR(VLOOKUP($AG18,areaCercaPuntiClassificaSquadra,3,FALSE),-2)),SUMIFS(Dati!$B$2:$B$381,Dati!$A$2:$A$381,$H18,Dati!$H$2:$H$381,$AG18)+SUMIFS(Dati!$I$2:$I$381,Dati!$H$2:$H$381,$H18,Dati!$A$2:$A$381,$AG18),"-")</f>
        <v/>
      </c>
      <c r="BD18" s="22">
        <f>IF(AND($H18&lt;&gt;"",$AH18&lt;&gt;"",$H18&lt;&gt;$AH18,IFERROR(VLOOKUP($H18,areaCercaPuntiClassificaSquadra,3,FALSE),-1)=IFERROR(VLOOKUP($AH18,areaCercaPuntiClassificaSquadra,3,FALSE),-2)),SUMIFS(Dati!$B$2:$B$381,Dati!$A$2:$A$381,$H18,Dati!$H$2:$H$381,$AH18)+SUMIFS(Dati!$I$2:$I$381,Dati!$H$2:$H$381,$H18,Dati!$A$2:$A$381,$AH18),"-")</f>
        <v/>
      </c>
      <c r="BE18" s="22">
        <f>IF(AND($H18&lt;&gt;"",$AI18&lt;&gt;"",$H18&lt;&gt;$AI18,IFERROR(VLOOKUP($H18,areaCercaPuntiClassificaSquadra,3,FALSE),-1)=IFERROR(VLOOKUP($AI18,areaCercaPuntiClassificaSquadra,3,FALSE),-2)),SUMIFS(Dati!$B$2:$B$381,Dati!$A$2:$A$381,$H18,Dati!$H$2:$H$381,$AI18)+SUMIFS(Dati!$I$2:$I$381,Dati!$H$2:$H$381,$H18,Dati!$A$2:$A$381,$AI18),"-")</f>
        <v/>
      </c>
      <c r="BF18" s="22">
        <f>IF(AND($H18&lt;&gt;"",$AJ18&lt;&gt;"",$H18&lt;&gt;$AJ18,IFERROR(VLOOKUP($H18,areaCercaPuntiClassificaSquadra,3,FALSE),-1)=IFERROR(VLOOKUP($AJ18,areaCercaPuntiClassificaSquadra,3,FALSE),-2)),SUMIFS(Dati!$B$2:$B$381,Dati!$A$2:$A$381,$H18,Dati!$H$2:$H$381,$AJ18)+SUMIFS(Dati!$I$2:$I$381,Dati!$H$2:$H$381,$H18,Dati!$A$2:$A$381,$AJ18),"-")</f>
        <v/>
      </c>
      <c r="BG18" s="22">
        <f>IF(AND($H18&lt;&gt;"",$AK18&lt;&gt;"",$H18&lt;&gt;$AK18,IFERROR(VLOOKUP($H18,areaCercaPuntiClassificaSquadra,3,FALSE),-1)=IFERROR(VLOOKUP($AK18,areaCercaPuntiClassificaSquadra,3,FALSE),-2)),SUMIFS(Dati!$B$2:$B$381,Dati!$A$2:$A$381,$H18,Dati!$H$2:$H$381,$AK18)+SUMIFS(Dati!$I$2:$I$381,Dati!$H$2:$H$381,$H18,Dati!$A$2:$A$381,$AK18),"-")</f>
        <v/>
      </c>
      <c r="BH18" s="22">
        <f>IF(AND($H18&lt;&gt;"",$AL18&lt;&gt;"",$H18&lt;&gt;$AL18,IFERROR(VLOOKUP($H18,areaCercaPuntiClassificaSquadra,3,FALSE),-1)=IFERROR(VLOOKUP($AL18,areaCercaPuntiClassificaSquadra,3,FALSE),-2)),SUMIFS(Dati!$B$2:$B$381,Dati!$A$2:$A$381,$H18,Dati!$H$2:$H$381,$AL18)+SUMIFS(Dati!$I$2:$I$381,Dati!$H$2:$H$381,$H18,Dati!$A$2:$A$381,$AL18),"-")</f>
        <v/>
      </c>
      <c r="BI18" s="22">
        <f>IF(AND($H18&lt;&gt;"",$AM18&lt;&gt;"",$H18&lt;&gt;$AM18,IFERROR(VLOOKUP($H18,areaCercaPuntiClassificaSquadra,3,FALSE),-1)=IFERROR(VLOOKUP($AM18,areaCercaPuntiClassificaSquadra,3,FALSE),-2)),SUMIFS(Dati!$B$2:$B$381,Dati!$A$2:$A$381,$H18,Dati!$H$2:$H$381,$AM18)+SUMIFS(Dati!$I$2:$I$381,Dati!$H$2:$H$381,$H18,Dati!$A$2:$A$381,$AM18),"-")</f>
        <v/>
      </c>
      <c r="BJ18" s="22">
        <f>IF(AND($H18&lt;&gt;"",$AN18&lt;&gt;"",$H18&lt;&gt;$AN18,IFERROR(VLOOKUP($H18,areaCercaPuntiClassificaSquadra,3,FALSE),-1)=IFERROR(VLOOKUP($AN18,areaCercaPuntiClassificaSquadra,3,FALSE),-2)),SUMIFS(Dati!$B$2:$B$381,Dati!$A$2:$A$381,$H18,Dati!$H$2:$H$381,$AN18)+SUMIFS(Dati!$I$2:$I$381,Dati!$H$2:$H$381,$H18,Dati!$A$2:$A$381,$AN18),"-")</f>
        <v/>
      </c>
      <c r="BK18" s="22">
        <f>IF(AND($H18&lt;&gt;"",$AO18&lt;&gt;"",$H18&lt;&gt;$AO18,IFERROR(VLOOKUP($H18,areaCercaPuntiClassificaSquadra,3,FALSE),-1)=IFERROR(VLOOKUP($AO18,areaCercaPuntiClassificaSquadra,3,FALSE),-2)),SUMIFS(Dati!$B$2:$B$381,Dati!$A$2:$A$381,$H18,Dati!$H$2:$H$381,$AO18)+SUMIFS(Dati!$I$2:$I$381,Dati!$H$2:$H$381,$H18,Dati!$A$2:$A$381,$AO18),"-")</f>
        <v/>
      </c>
      <c r="BL18" s="22">
        <f>IF(AND($H18&lt;&gt;"",$AP18&lt;&gt;"",$H18&lt;&gt;$AP18,IFERROR(VLOOKUP($H18,areaCercaPuntiClassificaSquadra,3,FALSE),-1)=IFERROR(VLOOKUP($AP18,areaCercaPuntiClassificaSquadra,3,FALSE),-2)),SUMIFS(Dati!$B$2:$B$381,Dati!$A$2:$A$381,$H18,Dati!$H$2:$H$381,$AP18)+SUMIFS(Dati!$I$2:$I$381,Dati!$H$2:$H$381,$H18,Dati!$A$2:$A$381,$AP18),"-")</f>
        <v/>
      </c>
      <c r="BM18" s="22">
        <f>IF(AND($H18&lt;&gt;"",$AQ18&lt;&gt;"",$H18&lt;&gt;$AQ18,IFERROR(VLOOKUP($H18,areaCercaPuntiClassificaSquadra,3,FALSE),-1)=IFERROR(VLOOKUP($AQ18,areaCercaPuntiClassificaSquadra,3,FALSE),-2)),SUMIFS(Dati!$B$2:$B$381,Dati!$A$2:$A$381,$H18,Dati!$H$2:$H$381,$AQ18)+SUMIFS(Dati!$I$2:$I$381,Dati!$H$2:$H$381,$H18,Dati!$A$2:$A$381,$AQ18),"-")</f>
        <v/>
      </c>
      <c r="BN18" s="22">
        <f>IF(AND($H18&lt;&gt;"",$AR18&lt;&gt;"",$H18&lt;&gt;$AR18,IFERROR(VLOOKUP($H18,areaCercaPuntiClassificaSquadra,3,FALSE),-1)=IFERROR(VLOOKUP($AR18,areaCercaPuntiClassificaSquadra,3,FALSE),-2)),SUMIFS(Dati!$B$2:$B$381,Dati!$A$2:$A$381,$H18,Dati!$H$2:$H$381,$AR18)+SUMIFS(Dati!$I$2:$I$381,Dati!$H$2:$H$381,$H18,Dati!$A$2:$A$381,$AR18),"-")</f>
        <v/>
      </c>
      <c r="BP18" s="21">
        <f>$C18</f>
        <v/>
      </c>
      <c r="BQ18" s="22">
        <f>IF(AND($H18&lt;&gt;"",$Y18&lt;&gt;"",$H18&lt;&gt;$Y18,IFERROR(VLOOKUP($H18,areaCercaPuntiClassificaSquadra,3,FALSE),-1)=IFERROR(VLOOKUP($Y18,areaCercaPuntiClassificaSquadra,3,FALSE),-2)),SUMIFS(Dati!$D$2:$D$381,Dati!$A$2:$A$381,$H18,Dati!$H$2:$H$381,$Y18)+SUMIFS(Dati!$K$2:$K$381,Dati!$H$2:$H$381,$H18,Dati!$A$2:$A$381,$Y18)+SUMIFS(Dati!$C$2:$C$381,Dati!$A$2:$A$381,$H18,Dati!$H$2:$H$381,$Y18)+SUMIFS(Dati!$J$2:$J$381,Dati!$H$2:$H$381,$H18,Dati!$A$2:$A$381,$Y18),"-")</f>
        <v/>
      </c>
      <c r="BR18" s="22">
        <f>IF(AND($H18&lt;&gt;"",$Z18&lt;&gt;"",$H18&lt;&gt;$Z18,IFERROR(VLOOKUP($H18,areaCercaPuntiClassificaSquadra,3,FALSE),-1)=IFERROR(VLOOKUP($Z18,areaCercaPuntiClassificaSquadra,3,FALSE),-2)),SUMIFS(Dati!$D$2:$D$381,Dati!$A$2:$A$381,$H18,Dati!$H$2:$H$381,$Z18)+SUMIFS(Dati!$K$2:$K$381,Dati!$H$2:$H$381,$H18,Dati!$A$2:$A$381,$Z18)+SUMIFS(Dati!$C$2:$C$381,Dati!$A$2:$A$381,$H18,Dati!$H$2:$H$381,$Z18)+SUMIFS(Dati!$J$2:$J$381,Dati!$H$2:$H$381,$H18,Dati!$A$2:$A$381,$Z18),"-")</f>
        <v/>
      </c>
      <c r="BS18" s="22">
        <f>IF(AND($H18&lt;&gt;"",$AA18&lt;&gt;"",$H18&lt;&gt;$AA18,IFERROR(VLOOKUP($H18,areaCercaPuntiClassificaSquadra,3,FALSE),-1)=IFERROR(VLOOKUP($AA18,areaCercaPuntiClassificaSquadra,3,FALSE),-2)),SUMIFS(Dati!$D$2:$D$381,Dati!$A$2:$A$381,$H18,Dati!$H$2:$H$381,$AA18)+SUMIFS(Dati!$K$2:$K$381,Dati!$H$2:$H$381,$H18,Dati!$A$2:$A$381,$AA18)+SUMIFS(Dati!$C$2:$C$381,Dati!$A$2:$A$381,$H18,Dati!$H$2:$H$381,$AA18)+SUMIFS(Dati!$J$2:$J$381,Dati!$H$2:$H$381,$H18,Dati!$A$2:$A$381,$AA18),"-")</f>
        <v/>
      </c>
      <c r="BT18" s="22">
        <f>IF(AND($H18&lt;&gt;"",$AB18&lt;&gt;"",$H18&lt;&gt;$AB18,IFERROR(VLOOKUP($H18,areaCercaPuntiClassificaSquadra,3,FALSE),-1)=IFERROR(VLOOKUP($AB18,areaCercaPuntiClassificaSquadra,3,FALSE),-2)),SUMIFS(Dati!$D$2:$D$381,Dati!$A$2:$A$381,$H18,Dati!$H$2:$H$381,$AB18)+SUMIFS(Dati!$K$2:$K$381,Dati!$H$2:$H$381,$H18,Dati!$A$2:$A$381,$AB18)+SUMIFS(Dati!$C$2:$C$381,Dati!$A$2:$A$381,$H18,Dati!$H$2:$H$381,$AB18)+SUMIFS(Dati!$J$2:$J$381,Dati!$H$2:$H$381,$H18,Dati!$A$2:$A$381,$AB18),"-")</f>
        <v/>
      </c>
      <c r="BU18" s="22">
        <f>IF(AND($H18&lt;&gt;"",$AC18&lt;&gt;"",$H18&lt;&gt;$AC18,IFERROR(VLOOKUP($H18,areaCercaPuntiClassificaSquadra,3,FALSE),-1)=IFERROR(VLOOKUP($AC18,areaCercaPuntiClassificaSquadra,3,FALSE),-2)),SUMIFS(Dati!$D$2:$D$381,Dati!$A$2:$A$381,$H18,Dati!$H$2:$H$381,$AC18)+SUMIFS(Dati!$K$2:$K$381,Dati!$H$2:$H$381,$H18,Dati!$A$2:$A$381,$AC18)+SUMIFS(Dati!$C$2:$C$381,Dati!$A$2:$A$381,$H18,Dati!$H$2:$H$381,$AC18)+SUMIFS(Dati!$J$2:$J$381,Dati!$H$2:$H$381,$H18,Dati!$A$2:$A$381,$AC18),"-")</f>
        <v/>
      </c>
      <c r="BV18" s="22">
        <f>IF(AND($H18&lt;&gt;"",$AD18&lt;&gt;"",$H18&lt;&gt;$AD18,IFERROR(VLOOKUP($H18,areaCercaPuntiClassificaSquadra,3,FALSE),-1)=IFERROR(VLOOKUP($AD18,areaCercaPuntiClassificaSquadra,3,FALSE),-2)),SUMIFS(Dati!$D$2:$D$381,Dati!$A$2:$A$381,$H18,Dati!$H$2:$H$381,$AD18)+SUMIFS(Dati!$K$2:$K$381,Dati!$H$2:$H$381,$H18,Dati!$A$2:$A$381,$AD18)+SUMIFS(Dati!$C$2:$C$381,Dati!$A$2:$A$381,$H18,Dati!$H$2:$H$381,$AD18)+SUMIFS(Dati!$J$2:$J$381,Dati!$H$2:$H$381,$H18,Dati!$A$2:$A$381,$AD18),"-")</f>
        <v/>
      </c>
      <c r="BW18" s="22">
        <f>IF(AND($H18&lt;&gt;"",$AE18&lt;&gt;"",$H18&lt;&gt;$AE18,IFERROR(VLOOKUP($H18,areaCercaPuntiClassificaSquadra,3,FALSE),-1)=IFERROR(VLOOKUP($AE18,areaCercaPuntiClassificaSquadra,3,FALSE),-2)),SUMIFS(Dati!$D$2:$D$381,Dati!$A$2:$A$381,$H18,Dati!$H$2:$H$381,$AE18)+SUMIFS(Dati!$K$2:$K$381,Dati!$H$2:$H$381,$H18,Dati!$A$2:$A$381,$AE18)+SUMIFS(Dati!$C$2:$C$381,Dati!$A$2:$A$381,$H18,Dati!$H$2:$H$381,$AE18)+SUMIFS(Dati!$J$2:$J$381,Dati!$H$2:$H$381,$H18,Dati!$A$2:$A$381,$AE18),"-")</f>
        <v/>
      </c>
      <c r="BX18" s="22">
        <f>IF(AND($H18&lt;&gt;"",$AF18&lt;&gt;"",$H18&lt;&gt;$AF18,IFERROR(VLOOKUP($H18,areaCercaPuntiClassificaSquadra,3,FALSE),-1)=IFERROR(VLOOKUP($AF18,areaCercaPuntiClassificaSquadra,3,FALSE),-2)),SUMIFS(Dati!$D$2:$D$381,Dati!$A$2:$A$381,$H18,Dati!$H$2:$H$381,$AF18)+SUMIFS(Dati!$K$2:$K$381,Dati!$H$2:$H$381,$H18,Dati!$A$2:$A$381,$AF18)+SUMIFS(Dati!$C$2:$C$381,Dati!$A$2:$A$381,$H18,Dati!$H$2:$H$381,$AF18)+SUMIFS(Dati!$J$2:$J$381,Dati!$H$2:$H$381,$H18,Dati!$A$2:$A$381,$AF18),"-")</f>
        <v/>
      </c>
      <c r="BY18" s="22">
        <f>IF(AND($H18&lt;&gt;"",$AG18&lt;&gt;"",$H18&lt;&gt;$AG18,IFERROR(VLOOKUP($H18,areaCercaPuntiClassificaSquadra,3,FALSE),-1)=IFERROR(VLOOKUP($AG18,areaCercaPuntiClassificaSquadra,3,FALSE),-2)),SUMIFS(Dati!$D$2:$D$381,Dati!$A$2:$A$381,$H18,Dati!$H$2:$H$381,$AG18)+SUMIFS(Dati!$K$2:$K$381,Dati!$H$2:$H$381,$H18,Dati!$A$2:$A$381,$AG18)+SUMIFS(Dati!$C$2:$C$381,Dati!$A$2:$A$381,$H18,Dati!$H$2:$H$381,$AG18)+SUMIFS(Dati!$J$2:$J$381,Dati!$H$2:$H$381,$H18,Dati!$A$2:$A$381,$AG18),"-")</f>
        <v/>
      </c>
      <c r="BZ18" s="22">
        <f>IF(AND($H18&lt;&gt;"",$AH18&lt;&gt;"",$H18&lt;&gt;$AH18,IFERROR(VLOOKUP($H18,areaCercaPuntiClassificaSquadra,3,FALSE),-1)=IFERROR(VLOOKUP($AH18,areaCercaPuntiClassificaSquadra,3,FALSE),-2)),SUMIFS(Dati!$D$2:$D$381,Dati!$A$2:$A$381,$H18,Dati!$H$2:$H$381,$AH18)+SUMIFS(Dati!$K$2:$K$381,Dati!$H$2:$H$381,$H18,Dati!$A$2:$A$381,$AH18)+SUMIFS(Dati!$C$2:$C$381,Dati!$A$2:$A$381,$H18,Dati!$H$2:$H$381,$AH18)+SUMIFS(Dati!$J$2:$J$381,Dati!$H$2:$H$381,$H18,Dati!$A$2:$A$381,$AH18),"-")</f>
        <v/>
      </c>
      <c r="CA18" s="22">
        <f>IF(AND($H18&lt;&gt;"",$AI18&lt;&gt;"",$H18&lt;&gt;$AI18,IFERROR(VLOOKUP($H18,areaCercaPuntiClassificaSquadra,3,FALSE),-1)=IFERROR(VLOOKUP($AI18,areaCercaPuntiClassificaSquadra,3,FALSE),-2)),SUMIFS(Dati!$D$2:$D$381,Dati!$A$2:$A$381,$H18,Dati!$H$2:$H$381,$AI18)+SUMIFS(Dati!$K$2:$K$381,Dati!$H$2:$H$381,$H18,Dati!$A$2:$A$381,$AI18)+SUMIFS(Dati!$C$2:$C$381,Dati!$A$2:$A$381,$H18,Dati!$H$2:$H$381,$AI18)+SUMIFS(Dati!$J$2:$J$381,Dati!$H$2:$H$381,$H18,Dati!$A$2:$A$381,$AI18),"-")</f>
        <v/>
      </c>
      <c r="CB18" s="22">
        <f>IF(AND($H18&lt;&gt;"",$AJ18&lt;&gt;"",$H18&lt;&gt;$AJ18,IFERROR(VLOOKUP($H18,areaCercaPuntiClassificaSquadra,3,FALSE),-1)=IFERROR(VLOOKUP($AJ18,areaCercaPuntiClassificaSquadra,3,FALSE),-2)),SUMIFS(Dati!$D$2:$D$381,Dati!$A$2:$A$381,$H18,Dati!$H$2:$H$381,$AJ18)+SUMIFS(Dati!$K$2:$K$381,Dati!$H$2:$H$381,$H18,Dati!$A$2:$A$381,$AJ18)+SUMIFS(Dati!$C$2:$C$381,Dati!$A$2:$A$381,$H18,Dati!$H$2:$H$381,$AJ18)+SUMIFS(Dati!$J$2:$J$381,Dati!$H$2:$H$381,$H18,Dati!$A$2:$A$381,$AJ18),"-")</f>
        <v/>
      </c>
      <c r="CC18" s="22">
        <f>IF(AND($H18&lt;&gt;"",$AK18&lt;&gt;"",$H18&lt;&gt;$AK18,IFERROR(VLOOKUP($H18,areaCercaPuntiClassificaSquadra,3,FALSE),-1)=IFERROR(VLOOKUP($AK18,areaCercaPuntiClassificaSquadra,3,FALSE),-2)),SUMIFS(Dati!$D$2:$D$381,Dati!$A$2:$A$381,$H18,Dati!$H$2:$H$381,$AK18)+SUMIFS(Dati!$K$2:$K$381,Dati!$H$2:$H$381,$H18,Dati!$A$2:$A$381,$AK18)+SUMIFS(Dati!$C$2:$C$381,Dati!$A$2:$A$381,$H18,Dati!$H$2:$H$381,$AK18)+SUMIFS(Dati!$J$2:$J$381,Dati!$H$2:$H$381,$H18,Dati!$A$2:$A$381,$AK18),"-")</f>
        <v/>
      </c>
      <c r="CD18" s="22">
        <f>IF(AND($H18&lt;&gt;"",$AL18&lt;&gt;"",$H18&lt;&gt;$AL18,IFERROR(VLOOKUP($H18,areaCercaPuntiClassificaSquadra,3,FALSE),-1)=IFERROR(VLOOKUP($AL18,areaCercaPuntiClassificaSquadra,3,FALSE),-2)),SUMIFS(Dati!$D$2:$D$381,Dati!$A$2:$A$381,$H18,Dati!$H$2:$H$381,$AL18)+SUMIFS(Dati!$K$2:$K$381,Dati!$H$2:$H$381,$H18,Dati!$A$2:$A$381,$AL18)+SUMIFS(Dati!$C$2:$C$381,Dati!$A$2:$A$381,$H18,Dati!$H$2:$H$381,$AL18)+SUMIFS(Dati!$J$2:$J$381,Dati!$H$2:$H$381,$H18,Dati!$A$2:$A$381,$AL18),"-")</f>
        <v/>
      </c>
      <c r="CE18" s="22">
        <f>IF(AND($H18&lt;&gt;"",$AM18&lt;&gt;"",$H18&lt;&gt;$AM18,IFERROR(VLOOKUP($H18,areaCercaPuntiClassificaSquadra,3,FALSE),-1)=IFERROR(VLOOKUP($AM18,areaCercaPuntiClassificaSquadra,3,FALSE),-2)),SUMIFS(Dati!$D$2:$D$381,Dati!$A$2:$A$381,$H18,Dati!$H$2:$H$381,$AM18)+SUMIFS(Dati!$K$2:$K$381,Dati!$H$2:$H$381,$H18,Dati!$A$2:$A$381,$AM18)+SUMIFS(Dati!$C$2:$C$381,Dati!$A$2:$A$381,$H18,Dati!$H$2:$H$381,$AM18)+SUMIFS(Dati!$J$2:$J$381,Dati!$H$2:$H$381,$H18,Dati!$A$2:$A$381,$AM18),"-")</f>
        <v/>
      </c>
      <c r="CF18" s="22">
        <f>IF(AND($H18&lt;&gt;"",$AN18&lt;&gt;"",$H18&lt;&gt;$AN18,IFERROR(VLOOKUP($H18,areaCercaPuntiClassificaSquadra,3,FALSE),-1)=IFERROR(VLOOKUP($AN18,areaCercaPuntiClassificaSquadra,3,FALSE),-2)),SUMIFS(Dati!$D$2:$D$381,Dati!$A$2:$A$381,$H18,Dati!$H$2:$H$381,$AN18)+SUMIFS(Dati!$K$2:$K$381,Dati!$H$2:$H$381,$H18,Dati!$A$2:$A$381,$AN18)+SUMIFS(Dati!$C$2:$C$381,Dati!$A$2:$A$381,$H18,Dati!$H$2:$H$381,$AN18)+SUMIFS(Dati!$J$2:$J$381,Dati!$H$2:$H$381,$H18,Dati!$A$2:$A$381,$AN18),"-")</f>
        <v/>
      </c>
      <c r="CG18" s="22">
        <f>IF(AND($H18&lt;&gt;"",$AO18&lt;&gt;"",$H18&lt;&gt;$AO18,IFERROR(VLOOKUP($H18,areaCercaPuntiClassificaSquadra,3,FALSE),-1)=IFERROR(VLOOKUP($AO18,areaCercaPuntiClassificaSquadra,3,FALSE),-2)),SUMIFS(Dati!$D$2:$D$381,Dati!$A$2:$A$381,$H18,Dati!$H$2:$H$381,$AO18)+SUMIFS(Dati!$K$2:$K$381,Dati!$H$2:$H$381,$H18,Dati!$A$2:$A$381,$AO18)+SUMIFS(Dati!$C$2:$C$381,Dati!$A$2:$A$381,$H18,Dati!$H$2:$H$381,$AO18)+SUMIFS(Dati!$J$2:$J$381,Dati!$H$2:$H$381,$H18,Dati!$A$2:$A$381,$AO18),"-")</f>
        <v/>
      </c>
      <c r="CH18" s="22">
        <f>IF(AND($H18&lt;&gt;"",$AP18&lt;&gt;"",$H18&lt;&gt;$AP18,IFERROR(VLOOKUP($H18,areaCercaPuntiClassificaSquadra,3,FALSE),-1)=IFERROR(VLOOKUP($AP18,areaCercaPuntiClassificaSquadra,3,FALSE),-2)),SUMIFS(Dati!$D$2:$D$381,Dati!$A$2:$A$381,$H18,Dati!$H$2:$H$381,$AP18)+SUMIFS(Dati!$K$2:$K$381,Dati!$H$2:$H$381,$H18,Dati!$A$2:$A$381,$AP18)+SUMIFS(Dati!$C$2:$C$381,Dati!$A$2:$A$381,$H18,Dati!$H$2:$H$381,$AP18)+SUMIFS(Dati!$J$2:$J$381,Dati!$H$2:$H$381,$H18,Dati!$A$2:$A$381,$AP18),"-")</f>
        <v/>
      </c>
      <c r="CI18" s="22">
        <f>IF(AND($H18&lt;&gt;"",$AQ18&lt;&gt;"",$H18&lt;&gt;$AQ18,IFERROR(VLOOKUP($H18,areaCercaPuntiClassificaSquadra,3,FALSE),-1)=IFERROR(VLOOKUP($AQ18,areaCercaPuntiClassificaSquadra,3,FALSE),-2)),SUMIFS(Dati!$D$2:$D$381,Dati!$A$2:$A$381,$H18,Dati!$H$2:$H$381,$AQ18)+SUMIFS(Dati!$K$2:$K$381,Dati!$H$2:$H$381,$H18,Dati!$A$2:$A$381,$AQ18)+SUMIFS(Dati!$C$2:$C$381,Dati!$A$2:$A$381,$H18,Dati!$H$2:$H$381,$AQ18)+SUMIFS(Dati!$J$2:$J$381,Dati!$H$2:$H$381,$H18,Dati!$A$2:$A$381,$AQ18),"-")</f>
        <v/>
      </c>
      <c r="CJ18" s="22">
        <f>IF(AND($H18&lt;&gt;"",$AR18&lt;&gt;"",$H18&lt;&gt;$AR18,IFERROR(VLOOKUP($H18,areaCercaPuntiClassificaSquadra,3,FALSE),-1)=IFERROR(VLOOKUP($AR18,areaCercaPuntiClassificaSquadra,3,FALSE),-2)),SUMIFS(Dati!$D$2:$D$381,Dati!$A$2:$A$381,$H18,Dati!$H$2:$H$381,$AR18)+SUMIFS(Dati!$K$2:$K$381,Dati!$H$2:$H$381,$H18,Dati!$A$2:$A$381,$AR18)+SUMIFS(Dati!$C$2:$C$381,Dati!$A$2:$A$381,$H18,Dati!$H$2:$H$381,$AR18)+SUMIFS(Dati!$J$2:$J$381,Dati!$H$2:$H$381,$H18,Dati!$A$2:$A$381,$AR18),"-")</f>
        <v/>
      </c>
      <c r="CL18" s="21">
        <f>$C18</f>
        <v/>
      </c>
      <c r="CM18" s="22">
        <f>IF(AND($H18&lt;&gt;"",$Y18&lt;&gt;"",$H18&lt;&gt;$Y18,IFERROR(VLOOKUP($H18,areaCercaPuntiClassificaSquadra,3,FALSE),-1)=IFERROR(VLOOKUP($Y18,areaCercaPuntiClassificaSquadra,3,FALSE),-2)),SUMIFS(Dati!$E$2:$E$381,Dati!$A$2:$A$381,$H18,Dati!$H$2:$H$381,$Y18)+SUMIFS(Dati!$L$2:$L$381,Dati!$H$2:$H$381,$H18,Dati!$A$2:$A$381,$Y18),"-")</f>
        <v/>
      </c>
      <c r="CN18" s="22">
        <f>IF(AND($H18&lt;&gt;"",$Z18&lt;&gt;"",$H18&lt;&gt;$Z18,IFERROR(VLOOKUP($H18,areaCercaPuntiClassificaSquadra,3,FALSE),-1)=IFERROR(VLOOKUP($Z18,areaCercaPuntiClassificaSquadra,3,FALSE),-2)),SUMIFS(Dati!$E$2:$E$381,Dati!$A$2:$A$381,$H18,Dati!$H$2:$H$381,$Z18)+SUMIFS(Dati!$L$2:$L$381,Dati!$H$2:$H$381,$H18,Dati!$A$2:$A$381,$Z18),"-")</f>
        <v/>
      </c>
      <c r="CO18" s="22">
        <f>IF(AND($H18&lt;&gt;"",$AA18&lt;&gt;"",$H18&lt;&gt;$AA18,IFERROR(VLOOKUP($H18,areaCercaPuntiClassificaSquadra,3,FALSE),-1)=IFERROR(VLOOKUP($AA18,areaCercaPuntiClassificaSquadra,3,FALSE),-2)),SUMIFS(Dati!$E$2:$E$381,Dati!$A$2:$A$381,$H18,Dati!$H$2:$H$381,$AA18)+SUMIFS(Dati!$L$2:$L$381,Dati!$H$2:$H$381,$H18,Dati!$A$2:$A$381,$AA18),"-")</f>
        <v/>
      </c>
      <c r="CP18" s="22">
        <f>IF(AND($H18&lt;&gt;"",$AB18&lt;&gt;"",$H18&lt;&gt;$AB18,IFERROR(VLOOKUP($H18,areaCercaPuntiClassificaSquadra,3,FALSE),-1)=IFERROR(VLOOKUP($AB18,areaCercaPuntiClassificaSquadra,3,FALSE),-2)),SUMIFS(Dati!$E$2:$E$381,Dati!$A$2:$A$381,$H18,Dati!$H$2:$H$381,$AB18)+SUMIFS(Dati!$L$2:$L$381,Dati!$H$2:$H$381,$H18,Dati!$A$2:$A$381,$AB18),"-")</f>
        <v/>
      </c>
      <c r="CQ18" s="22">
        <f>IF(AND($H18&lt;&gt;"",$AC18&lt;&gt;"",$H18&lt;&gt;$AC18,IFERROR(VLOOKUP($H18,areaCercaPuntiClassificaSquadra,3,FALSE),-1)=IFERROR(VLOOKUP($AC18,areaCercaPuntiClassificaSquadra,3,FALSE),-2)),SUMIFS(Dati!$E$2:$E$381,Dati!$A$2:$A$381,$H18,Dati!$H$2:$H$381,$AC18)+SUMIFS(Dati!$L$2:$L$381,Dati!$H$2:$H$381,$H18,Dati!$A$2:$A$381,$AC18),"-")</f>
        <v/>
      </c>
      <c r="CR18" s="22">
        <f>IF(AND($H18&lt;&gt;"",$AD18&lt;&gt;"",$H18&lt;&gt;$AD18,IFERROR(VLOOKUP($H18,areaCercaPuntiClassificaSquadra,3,FALSE),-1)=IFERROR(VLOOKUP($AD18,areaCercaPuntiClassificaSquadra,3,FALSE),-2)),SUMIFS(Dati!$E$2:$E$381,Dati!$A$2:$A$381,$H18,Dati!$H$2:$H$381,$AD18)+SUMIFS(Dati!$L$2:$L$381,Dati!$H$2:$H$381,$H18,Dati!$A$2:$A$381,$AD18),"-")</f>
        <v/>
      </c>
      <c r="CS18" s="22">
        <f>IF(AND($H18&lt;&gt;"",$AE18&lt;&gt;"",$H18&lt;&gt;$AE18,IFERROR(VLOOKUP($H18,areaCercaPuntiClassificaSquadra,3,FALSE),-1)=IFERROR(VLOOKUP($AE18,areaCercaPuntiClassificaSquadra,3,FALSE),-2)),SUMIFS(Dati!$E$2:$E$381,Dati!$A$2:$A$381,$H18,Dati!$H$2:$H$381,$AE18)+SUMIFS(Dati!$L$2:$L$381,Dati!$H$2:$H$381,$H18,Dati!$A$2:$A$381,$AE18),"-")</f>
        <v/>
      </c>
      <c r="CT18" s="22">
        <f>IF(AND($H18&lt;&gt;"",$AF18&lt;&gt;"",$H18&lt;&gt;$AF18,IFERROR(VLOOKUP($H18,areaCercaPuntiClassificaSquadra,3,FALSE),-1)=IFERROR(VLOOKUP($AF18,areaCercaPuntiClassificaSquadra,3,FALSE),-2)),SUMIFS(Dati!$E$2:$E$381,Dati!$A$2:$A$381,$H18,Dati!$H$2:$H$381,$AF18)+SUMIFS(Dati!$L$2:$L$381,Dati!$H$2:$H$381,$H18,Dati!$A$2:$A$381,$AF18),"-")</f>
        <v/>
      </c>
      <c r="CU18" s="22">
        <f>IF(AND($H18&lt;&gt;"",$AG18&lt;&gt;"",$H18&lt;&gt;$AG18,IFERROR(VLOOKUP($H18,areaCercaPuntiClassificaSquadra,3,FALSE),-1)=IFERROR(VLOOKUP($AG18,areaCercaPuntiClassificaSquadra,3,FALSE),-2)),SUMIFS(Dati!$E$2:$E$381,Dati!$A$2:$A$381,$H18,Dati!$H$2:$H$381,$AG18)+SUMIFS(Dati!$L$2:$L$381,Dati!$H$2:$H$381,$H18,Dati!$A$2:$A$381,$AG18),"-")</f>
        <v/>
      </c>
      <c r="CV18" s="22">
        <f>IF(AND($H18&lt;&gt;"",$AH18&lt;&gt;"",$H18&lt;&gt;$AH18,IFERROR(VLOOKUP($H18,areaCercaPuntiClassificaSquadra,3,FALSE),-1)=IFERROR(VLOOKUP($AH18,areaCercaPuntiClassificaSquadra,3,FALSE),-2)),SUMIFS(Dati!$E$2:$E$381,Dati!$A$2:$A$381,$H18,Dati!$H$2:$H$381,$AH18)+SUMIFS(Dati!$L$2:$L$381,Dati!$H$2:$H$381,$H18,Dati!$A$2:$A$381,$AH18),"-")</f>
        <v/>
      </c>
      <c r="CW18" s="22">
        <f>IF(AND($H18&lt;&gt;"",$AI18&lt;&gt;"",$H18&lt;&gt;$AI18,IFERROR(VLOOKUP($H18,areaCercaPuntiClassificaSquadra,3,FALSE),-1)=IFERROR(VLOOKUP($AI18,areaCercaPuntiClassificaSquadra,3,FALSE),-2)),SUMIFS(Dati!$E$2:$E$381,Dati!$A$2:$A$381,$H18,Dati!$H$2:$H$381,$AI18)+SUMIFS(Dati!$L$2:$L$381,Dati!$H$2:$H$381,$H18,Dati!$A$2:$A$381,$AI18),"-")</f>
        <v/>
      </c>
      <c r="CX18" s="22">
        <f>IF(AND($H18&lt;&gt;"",$AJ18&lt;&gt;"",$H18&lt;&gt;$AJ18,IFERROR(VLOOKUP($H18,areaCercaPuntiClassificaSquadra,3,FALSE),-1)=IFERROR(VLOOKUP($AJ18,areaCercaPuntiClassificaSquadra,3,FALSE),-2)),SUMIFS(Dati!$E$2:$E$381,Dati!$A$2:$A$381,$H18,Dati!$H$2:$H$381,$AJ18)+SUMIFS(Dati!$L$2:$L$381,Dati!$H$2:$H$381,$H18,Dati!$A$2:$A$381,$AJ18),"-")</f>
        <v/>
      </c>
      <c r="CY18" s="22">
        <f>IF(AND($H18&lt;&gt;"",$AK18&lt;&gt;"",$H18&lt;&gt;$AK18,IFERROR(VLOOKUP($H18,areaCercaPuntiClassificaSquadra,3,FALSE),-1)=IFERROR(VLOOKUP($AK18,areaCercaPuntiClassificaSquadra,3,FALSE),-2)),SUMIFS(Dati!$E$2:$E$381,Dati!$A$2:$A$381,$H18,Dati!$H$2:$H$381,$AK18)+SUMIFS(Dati!$L$2:$L$381,Dati!$H$2:$H$381,$H18,Dati!$A$2:$A$381,$AK18),"-")</f>
        <v/>
      </c>
      <c r="CZ18" s="22">
        <f>IF(AND($H18&lt;&gt;"",$AL18&lt;&gt;"",$H18&lt;&gt;$AL18,IFERROR(VLOOKUP($H18,areaCercaPuntiClassificaSquadra,3,FALSE),-1)=IFERROR(VLOOKUP($AL18,areaCercaPuntiClassificaSquadra,3,FALSE),-2)),SUMIFS(Dati!$E$2:$E$381,Dati!$A$2:$A$381,$H18,Dati!$H$2:$H$381,$AL18)+SUMIFS(Dati!$L$2:$L$381,Dati!$H$2:$H$381,$H18,Dati!$A$2:$A$381,$AL18),"-")</f>
        <v/>
      </c>
      <c r="DA18" s="22">
        <f>IF(AND($H18&lt;&gt;"",$AM18&lt;&gt;"",$H18&lt;&gt;$AM18,IFERROR(VLOOKUP($H18,areaCercaPuntiClassificaSquadra,3,FALSE),-1)=IFERROR(VLOOKUP($AM18,areaCercaPuntiClassificaSquadra,3,FALSE),-2)),SUMIFS(Dati!$E$2:$E$381,Dati!$A$2:$A$381,$H18,Dati!$H$2:$H$381,$AM18)+SUMIFS(Dati!$L$2:$L$381,Dati!$H$2:$H$381,$H18,Dati!$A$2:$A$381,$AM18),"-")</f>
        <v/>
      </c>
      <c r="DB18" s="22">
        <f>IF(AND($H18&lt;&gt;"",$AN18&lt;&gt;"",$H18&lt;&gt;$AN18,IFERROR(VLOOKUP($H18,areaCercaPuntiClassificaSquadra,3,FALSE),-1)=IFERROR(VLOOKUP($AN18,areaCercaPuntiClassificaSquadra,3,FALSE),-2)),SUMIFS(Dati!$E$2:$E$381,Dati!$A$2:$A$381,$H18,Dati!$H$2:$H$381,$AN18)+SUMIFS(Dati!$L$2:$L$381,Dati!$H$2:$H$381,$H18,Dati!$A$2:$A$381,$AN18),"-")</f>
        <v/>
      </c>
      <c r="DC18" s="22">
        <f>IF(AND($H18&lt;&gt;"",$AO18&lt;&gt;"",$H18&lt;&gt;$AO18,IFERROR(VLOOKUP($H18,areaCercaPuntiClassificaSquadra,3,FALSE),-1)=IFERROR(VLOOKUP($AO18,areaCercaPuntiClassificaSquadra,3,FALSE),-2)),SUMIFS(Dati!$E$2:$E$381,Dati!$A$2:$A$381,$H18,Dati!$H$2:$H$381,$AO18)+SUMIFS(Dati!$L$2:$L$381,Dati!$H$2:$H$381,$H18,Dati!$A$2:$A$381,$AO18),"-")</f>
        <v/>
      </c>
      <c r="DD18" s="22">
        <f>IF(AND($H18&lt;&gt;"",$AP18&lt;&gt;"",$H18&lt;&gt;$AP18,IFERROR(VLOOKUP($H18,areaCercaPuntiClassificaSquadra,3,FALSE),-1)=IFERROR(VLOOKUP($AP18,areaCercaPuntiClassificaSquadra,3,FALSE),-2)),SUMIFS(Dati!$E$2:$E$381,Dati!$A$2:$A$381,$H18,Dati!$H$2:$H$381,$AP18)+SUMIFS(Dati!$L$2:$L$381,Dati!$H$2:$H$381,$H18,Dati!$A$2:$A$381,$AP18),"-")</f>
        <v/>
      </c>
      <c r="DE18" s="22">
        <f>IF(AND($H18&lt;&gt;"",$AQ18&lt;&gt;"",$H18&lt;&gt;$AQ18,IFERROR(VLOOKUP($H18,areaCercaPuntiClassificaSquadra,3,FALSE),-1)=IFERROR(VLOOKUP($AQ18,areaCercaPuntiClassificaSquadra,3,FALSE),-2)),SUMIFS(Dati!$E$2:$E$381,Dati!$A$2:$A$381,$H18,Dati!$H$2:$H$381,$AQ18)+SUMIFS(Dati!$L$2:$L$381,Dati!$H$2:$H$381,$H18,Dati!$A$2:$A$381,$AQ18),"-")</f>
        <v/>
      </c>
      <c r="DF18" s="22">
        <f>IF(AND($H18&lt;&gt;"",$AR18&lt;&gt;"",$H18&lt;&gt;$AR18,IFERROR(VLOOKUP($H18,areaCercaPuntiClassificaSquadra,3,FALSE),-1)=IFERROR(VLOOKUP($AR18,areaCercaPuntiClassificaSquadra,3,FALSE),-2)),SUMIFS(Dati!$E$2:$E$381,Dati!$A$2:$A$381,$H18,Dati!$H$2:$H$381,$AR18)+SUMIFS(Dati!$L$2:$L$381,Dati!$H$2:$H$381,$H18,Dati!$A$2:$A$381,$AR18),"-")</f>
        <v/>
      </c>
      <c r="DH18" s="21">
        <f>$C18</f>
        <v/>
      </c>
      <c r="DI18" s="22">
        <f>IF(AND($H18&lt;&gt;"",$Y18&lt;&gt;"",$H18&lt;&gt;$Y18,IFERROR(VLOOKUP($H18,areaCercaPuntiClassificaSquadra,3,FALSE),-1)=IFERROR(VLOOKUP($Y18,areaCercaPuntiClassificaSquadra,3,FALSE),-2)),SUMIFS(Dati!$F$2:$F$381,Dati!$A$2:$A$381,$H18,Dati!$H$2:$H$381,$Y18)+SUMIFS(Dati!$M$2:$M$381,Dati!$H$2:$H$381,$H18,Dati!$A$2:$A$381,$Y18),"-")</f>
        <v/>
      </c>
      <c r="DJ18" s="22">
        <f>IF(AND($H18&lt;&gt;"",$Z18&lt;&gt;"",$H18&lt;&gt;$Z18,IFERROR(VLOOKUP($H18,areaCercaPuntiClassificaSquadra,3,FALSE),-1)=IFERROR(VLOOKUP($Z18,areaCercaPuntiClassificaSquadra,3,FALSE),-2)),SUMIFS(Dati!$F$2:$F$381,Dati!$A$2:$A$381,$H18,Dati!$H$2:$H$381,$Z18)+SUMIFS(Dati!$M$2:$M$381,Dati!$H$2:$H$381,$H18,Dati!$A$2:$A$381,$Z18),"-")</f>
        <v/>
      </c>
      <c r="DK18" s="22">
        <f>IF(AND($H18&lt;&gt;"",$AA18&lt;&gt;"",$H18&lt;&gt;$AA18,IFERROR(VLOOKUP($H18,areaCercaPuntiClassificaSquadra,3,FALSE),-1)=IFERROR(VLOOKUP($AA18,areaCercaPuntiClassificaSquadra,3,FALSE),-2)),SUMIFS(Dati!$F$2:$F$381,Dati!$A$2:$A$381,$H18,Dati!$H$2:$H$381,$AA18)+SUMIFS(Dati!$M$2:$M$381,Dati!$H$2:$H$381,$H18,Dati!$A$2:$A$381,$AA18),"-")</f>
        <v/>
      </c>
      <c r="DL18" s="22">
        <f>IF(AND($H18&lt;&gt;"",$AB18&lt;&gt;"",$H18&lt;&gt;$AB18,IFERROR(VLOOKUP($H18,areaCercaPuntiClassificaSquadra,3,FALSE),-1)=IFERROR(VLOOKUP($AB18,areaCercaPuntiClassificaSquadra,3,FALSE),-2)),SUMIFS(Dati!$F$2:$F$381,Dati!$A$2:$A$381,$H18,Dati!$H$2:$H$381,$AB18)+SUMIFS(Dati!$M$2:$M$381,Dati!$H$2:$H$381,$H18,Dati!$A$2:$A$381,$AB18),"-")</f>
        <v/>
      </c>
      <c r="DM18" s="22">
        <f>IF(AND($H18&lt;&gt;"",$AC18&lt;&gt;"",$H18&lt;&gt;$AC18,IFERROR(VLOOKUP($H18,areaCercaPuntiClassificaSquadra,3,FALSE),-1)=IFERROR(VLOOKUP($AC18,areaCercaPuntiClassificaSquadra,3,FALSE),-2)),SUMIFS(Dati!$F$2:$F$381,Dati!$A$2:$A$381,$H18,Dati!$H$2:$H$381,$AC18)+SUMIFS(Dati!$M$2:$M$381,Dati!$H$2:$H$381,$H18,Dati!$A$2:$A$381,$AC18),"-")</f>
        <v/>
      </c>
      <c r="DN18" s="22">
        <f>IF(AND($H18&lt;&gt;"",$AD18&lt;&gt;"",$H18&lt;&gt;$AD18,IFERROR(VLOOKUP($H18,areaCercaPuntiClassificaSquadra,3,FALSE),-1)=IFERROR(VLOOKUP($AD18,areaCercaPuntiClassificaSquadra,3,FALSE),-2)),SUMIFS(Dati!$F$2:$F$381,Dati!$A$2:$A$381,$H18,Dati!$H$2:$H$381,$AD18)+SUMIFS(Dati!$M$2:$M$381,Dati!$H$2:$H$381,$H18,Dati!$A$2:$A$381,$AD18),"-")</f>
        <v/>
      </c>
      <c r="DO18" s="22">
        <f>IF(AND($H18&lt;&gt;"",$AE18&lt;&gt;"",$H18&lt;&gt;$AE18,IFERROR(VLOOKUP($H18,areaCercaPuntiClassificaSquadra,3,FALSE),-1)=IFERROR(VLOOKUP($AE18,areaCercaPuntiClassificaSquadra,3,FALSE),-2)),SUMIFS(Dati!$F$2:$F$381,Dati!$A$2:$A$381,$H18,Dati!$H$2:$H$381,$AE18)+SUMIFS(Dati!$M$2:$M$381,Dati!$H$2:$H$381,$H18,Dati!$A$2:$A$381,$AE18),"-")</f>
        <v/>
      </c>
      <c r="DP18" s="22">
        <f>IF(AND($H18&lt;&gt;"",$AF18&lt;&gt;"",$H18&lt;&gt;$AF18,IFERROR(VLOOKUP($H18,areaCercaPuntiClassificaSquadra,3,FALSE),-1)=IFERROR(VLOOKUP($AF18,areaCercaPuntiClassificaSquadra,3,FALSE),-2)),SUMIFS(Dati!$F$2:$F$381,Dati!$A$2:$A$381,$H18,Dati!$H$2:$H$381,$AF18)+SUMIFS(Dati!$M$2:$M$381,Dati!$H$2:$H$381,$H18,Dati!$A$2:$A$381,$AF18),"-")</f>
        <v/>
      </c>
      <c r="DQ18" s="22">
        <f>IF(AND($H18&lt;&gt;"",$AG18&lt;&gt;"",$H18&lt;&gt;$AG18,IFERROR(VLOOKUP($H18,areaCercaPuntiClassificaSquadra,3,FALSE),-1)=IFERROR(VLOOKUP($AG18,areaCercaPuntiClassificaSquadra,3,FALSE),-2)),SUMIFS(Dati!$F$2:$F$381,Dati!$A$2:$A$381,$H18,Dati!$H$2:$H$381,$AG18)+SUMIFS(Dati!$M$2:$M$381,Dati!$H$2:$H$381,$H18,Dati!$A$2:$A$381,$AG18),"-")</f>
        <v/>
      </c>
      <c r="DR18" s="22">
        <f>IF(AND($H18&lt;&gt;"",$AH18&lt;&gt;"",$H18&lt;&gt;$AH18,IFERROR(VLOOKUP($H18,areaCercaPuntiClassificaSquadra,3,FALSE),-1)=IFERROR(VLOOKUP($AH18,areaCercaPuntiClassificaSquadra,3,FALSE),-2)),SUMIFS(Dati!$F$2:$F$381,Dati!$A$2:$A$381,$H18,Dati!$H$2:$H$381,$AH18)+SUMIFS(Dati!$M$2:$M$381,Dati!$H$2:$H$381,$H18,Dati!$A$2:$A$381,$AH18),"-")</f>
        <v/>
      </c>
      <c r="DS18" s="22">
        <f>IF(AND($H18&lt;&gt;"",$AI18&lt;&gt;"",$H18&lt;&gt;$AI18,IFERROR(VLOOKUP($H18,areaCercaPuntiClassificaSquadra,3,FALSE),-1)=IFERROR(VLOOKUP($AI18,areaCercaPuntiClassificaSquadra,3,FALSE),-2)),SUMIFS(Dati!$F$2:$F$381,Dati!$A$2:$A$381,$H18,Dati!$H$2:$H$381,$AI18)+SUMIFS(Dati!$M$2:$M$381,Dati!$H$2:$H$381,$H18,Dati!$A$2:$A$381,$AI18),"-")</f>
        <v/>
      </c>
      <c r="DT18" s="22">
        <f>IF(AND($H18&lt;&gt;"",$AJ18&lt;&gt;"",$H18&lt;&gt;$AJ18,IFERROR(VLOOKUP($H18,areaCercaPuntiClassificaSquadra,3,FALSE),-1)=IFERROR(VLOOKUP($AJ18,areaCercaPuntiClassificaSquadra,3,FALSE),-2)),SUMIFS(Dati!$F$2:$F$381,Dati!$A$2:$A$381,$H18,Dati!$H$2:$H$381,$AJ18)+SUMIFS(Dati!$M$2:$M$381,Dati!$H$2:$H$381,$H18,Dati!$A$2:$A$381,$AJ18),"-")</f>
        <v/>
      </c>
      <c r="DU18" s="22">
        <f>IF(AND($H18&lt;&gt;"",$AK18&lt;&gt;"",$H18&lt;&gt;$AK18,IFERROR(VLOOKUP($H18,areaCercaPuntiClassificaSquadra,3,FALSE),-1)=IFERROR(VLOOKUP($AK18,areaCercaPuntiClassificaSquadra,3,FALSE),-2)),SUMIFS(Dati!$F$2:$F$381,Dati!$A$2:$A$381,$H18,Dati!$H$2:$H$381,$AK18)+SUMIFS(Dati!$M$2:$M$381,Dati!$H$2:$H$381,$H18,Dati!$A$2:$A$381,$AK18),"-")</f>
        <v/>
      </c>
      <c r="DV18" s="22">
        <f>IF(AND($H18&lt;&gt;"",$AL18&lt;&gt;"",$H18&lt;&gt;$AL18,IFERROR(VLOOKUP($H18,areaCercaPuntiClassificaSquadra,3,FALSE),-1)=IFERROR(VLOOKUP($AL18,areaCercaPuntiClassificaSquadra,3,FALSE),-2)),SUMIFS(Dati!$F$2:$F$381,Dati!$A$2:$A$381,$H18,Dati!$H$2:$H$381,$AL18)+SUMIFS(Dati!$M$2:$M$381,Dati!$H$2:$H$381,$H18,Dati!$A$2:$A$381,$AL18),"-")</f>
        <v/>
      </c>
      <c r="DW18" s="22">
        <f>IF(AND($H18&lt;&gt;"",$AM18&lt;&gt;"",$H18&lt;&gt;$AM18,IFERROR(VLOOKUP($H18,areaCercaPuntiClassificaSquadra,3,FALSE),-1)=IFERROR(VLOOKUP($AM18,areaCercaPuntiClassificaSquadra,3,FALSE),-2)),SUMIFS(Dati!$F$2:$F$381,Dati!$A$2:$A$381,$H18,Dati!$H$2:$H$381,$AM18)+SUMIFS(Dati!$M$2:$M$381,Dati!$H$2:$H$381,$H18,Dati!$A$2:$A$381,$AM18),"-")</f>
        <v/>
      </c>
      <c r="DX18" s="22">
        <f>IF(AND($H18&lt;&gt;"",$AN18&lt;&gt;"",$H18&lt;&gt;$AN18,IFERROR(VLOOKUP($H18,areaCercaPuntiClassificaSquadra,3,FALSE),-1)=IFERROR(VLOOKUP($AN18,areaCercaPuntiClassificaSquadra,3,FALSE),-2)),SUMIFS(Dati!$F$2:$F$381,Dati!$A$2:$A$381,$H18,Dati!$H$2:$H$381,$AN18)+SUMIFS(Dati!$M$2:$M$381,Dati!$H$2:$H$381,$H18,Dati!$A$2:$A$381,$AN18),"-")</f>
        <v/>
      </c>
      <c r="DY18" s="22">
        <f>IF(AND($H18&lt;&gt;"",$AO18&lt;&gt;"",$H18&lt;&gt;$AO18,IFERROR(VLOOKUP($H18,areaCercaPuntiClassificaSquadra,3,FALSE),-1)=IFERROR(VLOOKUP($AO18,areaCercaPuntiClassificaSquadra,3,FALSE),-2)),SUMIFS(Dati!$F$2:$F$381,Dati!$A$2:$A$381,$H18,Dati!$H$2:$H$381,$AO18)+SUMIFS(Dati!$M$2:$M$381,Dati!$H$2:$H$381,$H18,Dati!$A$2:$A$381,$AO18),"-")</f>
        <v/>
      </c>
      <c r="DZ18" s="22">
        <f>IF(AND($H18&lt;&gt;"",$AP18&lt;&gt;"",$H18&lt;&gt;$AP18,IFERROR(VLOOKUP($H18,areaCercaPuntiClassificaSquadra,3,FALSE),-1)=IFERROR(VLOOKUP($AP18,areaCercaPuntiClassificaSquadra,3,FALSE),-2)),SUMIFS(Dati!$F$2:$F$381,Dati!$A$2:$A$381,$H18,Dati!$H$2:$H$381,$AP18)+SUMIFS(Dati!$M$2:$M$381,Dati!$H$2:$H$381,$H18,Dati!$A$2:$A$381,$AP18),"-")</f>
        <v/>
      </c>
      <c r="EA18" s="22">
        <f>IF(AND($H18&lt;&gt;"",$AQ18&lt;&gt;"",$H18&lt;&gt;$AQ18,IFERROR(VLOOKUP($H18,areaCercaPuntiClassificaSquadra,3,FALSE),-1)=IFERROR(VLOOKUP($AQ18,areaCercaPuntiClassificaSquadra,3,FALSE),-2)),SUMIFS(Dati!$F$2:$F$381,Dati!$A$2:$A$381,$H18,Dati!$H$2:$H$381,$AQ18)+SUMIFS(Dati!$M$2:$M$381,Dati!$H$2:$H$381,$H18,Dati!$A$2:$A$381,$AQ18),"-")</f>
        <v/>
      </c>
      <c r="EB18" s="22">
        <f>IF(AND($H18&lt;&gt;"",$AR18&lt;&gt;"",$H18&lt;&gt;$AR18,IFERROR(VLOOKUP($H18,areaCercaPuntiClassificaSquadra,3,FALSE),-1)=IFERROR(VLOOKUP($AR18,areaCercaPuntiClassificaSquadra,3,FALSE),-2)),SUMIFS(Dati!$F$2:$F$381,Dati!$A$2:$A$381,$H18,Dati!$H$2:$H$381,$AR18)+SUMIFS(Dati!$M$2:$M$381,Dati!$H$2:$H$381,$H18,Dati!$A$2:$A$381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inlineStr">
        <is>
          <t>Falchi Feroci-Falchiopoli FA</t>
        </is>
      </c>
      <c r="D19" s="14" t="n"/>
      <c r="E19" s="15" t="inlineStr">
        <is>
          <t>A</t>
        </is>
      </c>
      <c r="G19" s="16">
        <f>IF($C19="","",$E19&amp;(COUNTIFS(I$14:I$53,"&gt;"&amp;I19,E$14:E$53,"="&amp;E19,C$14:C$53,"&lt;&gt;")+COUNTIFS(I$14:I$53,"="&amp;I19,H$14:H$53,"&lt;="&amp;H19,E$14:E$53,"="&amp;E19,C$14:C$53,"&lt;&gt;")))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L19*constPuntiVittoria+M19*constPuntiSconfitta+N19*constPuntiForfait+IF(D19="",0,D19)</f>
        <v/>
      </c>
      <c r="K19" s="12">
        <f>SUM(L19:N19)</f>
        <v/>
      </c>
      <c r="L19" s="12">
        <f>IF($H19="",0,SUMIF(Dati!$A$2:$A$381,$H19,Dati!$B$2:$B$381)+SUMIF(Dati!$H$2:$H$381,$H19,Dati!$I$2:$I$381))</f>
        <v/>
      </c>
      <c r="M19" s="12">
        <f>IF($H19="",0,SUMIF(Dati!$A$2:$A$381,$H19,Dati!$D$2:$D$381)+SUMIF(Dati!$H$2:$H$381,$H19,Dati!$K$2:$K$381))</f>
        <v/>
      </c>
      <c r="N19" s="12">
        <f>IF($H19="",0,SUMIF(Dati!$A$2:$A$381,$H19,Dati!$C$2:$C$381)+SUMIF(Dati!$H$2:$H$381,$H19,Dati!$J$2:$J$381))</f>
        <v/>
      </c>
      <c r="O19" s="12">
        <f>IF($H19="",0,SUMIF(Dati!$A$2:$A$381,$H19,Dati!$E$2:$E$381)+SUMIF(Dati!$H$2:$H$381,$H19,Dati!$L$2:$L$381))</f>
        <v/>
      </c>
      <c r="P19" s="12">
        <f>IF($H19="",0,SUMIF(Dati!$A$2:$A$381,$H19,Dati!$F$2:$F$381)+SUMIF(Dati!$H$2:$H$381,$H19,Dati!$M$2:$M$381))</f>
        <v/>
      </c>
      <c r="Q19" s="12">
        <f>IF($H19="",0,SUMIF(Dati!$A$2:$A$381,$H19,Dati!$G$2:$G$381)+SUMIF(Dati!$H$2:$H$381,$H19,Dati!$N$2:$N$381))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IF(COUNTIFS($E$14:$E$53,$E19,$J$14:$J$53,$J19,$C$14:$C$53,"&lt;&gt;")&lt;=1,"-",SUM(AU19:BN19)&amp;"-"&amp;SUM(BQ19:CJ19))</f>
        <v/>
      </c>
      <c r="V19" s="18">
        <f>IF(COUNTIFS($E$14:$E$53,$E19,$J$14:$J$53,$J19,$C$14:$C$53,"&lt;&gt;",$ED$14:$ED$53,$ED19)&lt;=1,"-",IF(SUM(DI19:EB19)=0,0,ROUND(SUM(CM19:DF19)/SUM(DI19:EB19),3)))</f>
        <v/>
      </c>
      <c r="W19" s="18">
        <f>IF(COUNTIFS($E$14:$E$53,$E19,$J$14:$J$53,$J19,$C$14:$C$53,"&lt;&gt;",$ED$14:$ED$53,$ED19,$V$14:$V$53,$V19)&lt;=1,"-",IF(P19=0,0,ROUND(O19/P19,3)))</f>
        <v/>
      </c>
      <c r="X19" s="19">
        <f>IF($C19="","",$E19&amp;"#"&amp;COUNTIFS($E$14:$E19,$E19,$C$14:$C19,"&lt;&gt;"))</f>
        <v/>
      </c>
      <c r="Y19" s="20">
        <f>IFERROR(INDEX($H$14:$H$53,MATCH($E19&amp;"#1",$X$14:$X$53,0)),"")</f>
        <v/>
      </c>
      <c r="Z19" s="20">
        <f>IFERROR(INDEX($H$14:$H$53,MATCH($E19&amp;"#2",$X$14:$X$53,0)),"")</f>
        <v/>
      </c>
      <c r="AA19" s="20">
        <f>IFERROR(INDEX($H$14:$H$53,MATCH($E19&amp;"#3",$X$14:$X$53,0)),"")</f>
        <v/>
      </c>
      <c r="AB19" s="20">
        <f>IFERROR(INDEX($H$14:$H$53,MATCH($E19&amp;"#4",$X$14:$X$53,0)),"")</f>
        <v/>
      </c>
      <c r="AC19" s="20">
        <f>IFERROR(INDEX($H$14:$H$53,MATCH($E19&amp;"#5",$X$14:$X$53,0)),"")</f>
        <v/>
      </c>
      <c r="AD19" s="20">
        <f>IFERROR(INDEX($H$14:$H$53,MATCH($E19&amp;"#6",$X$14:$X$53,0)),"")</f>
        <v/>
      </c>
      <c r="AE19" s="20">
        <f>IFERROR(INDEX($H$14:$H$53,MATCH($E19&amp;"#7",$X$14:$X$53,0)),"")</f>
        <v/>
      </c>
      <c r="AF19" s="20">
        <f>IFERROR(INDEX($H$14:$H$53,MATCH($E19&amp;"#8",$X$14:$X$53,0)),"")</f>
        <v/>
      </c>
      <c r="AG19" s="20">
        <f>IFERROR(INDEX($H$14:$H$53,MATCH($E19&amp;"#9",$X$14:$X$53,0)),"")</f>
        <v/>
      </c>
      <c r="AH19" s="20">
        <f>IFERROR(INDEX($H$14:$H$53,MATCH($E19&amp;"#10",$X$14:$X$53,0)),"")</f>
        <v/>
      </c>
      <c r="AI19" s="20">
        <f>IFERROR(INDEX($H$14:$H$53,MATCH($E19&amp;"#11",$X$14:$X$53,0)),"")</f>
        <v/>
      </c>
      <c r="AJ19" s="20">
        <f>IFERROR(INDEX($H$14:$H$53,MATCH($E19&amp;"#12",$X$14:$X$53,0)),"")</f>
        <v/>
      </c>
      <c r="AK19" s="20">
        <f>IFERROR(INDEX($H$14:$H$53,MATCH($E19&amp;"#13",$X$14:$X$53,0)),"")</f>
        <v/>
      </c>
      <c r="AL19" s="20">
        <f>IFERROR(INDEX($H$14:$H$53,MATCH($E19&amp;"#14",$X$14:$X$53,0)),"")</f>
        <v/>
      </c>
      <c r="AM19" s="20">
        <f>IFERROR(INDEX($H$14:$H$53,MATCH($E19&amp;"#15",$X$14:$X$53,0)),"")</f>
        <v/>
      </c>
      <c r="AN19" s="20">
        <f>IFERROR(INDEX($H$14:$H$53,MATCH($E19&amp;"#16",$X$14:$X$53,0)),"")</f>
        <v/>
      </c>
      <c r="AO19" s="20">
        <f>IFERROR(INDEX($H$14:$H$53,MATCH($E19&amp;"#17",$X$14:$X$53,0)),"")</f>
        <v/>
      </c>
      <c r="AP19" s="20">
        <f>IFERROR(INDEX($H$14:$H$53,MATCH($E19&amp;"#18",$X$14:$X$53,0)),"")</f>
        <v/>
      </c>
      <c r="AQ19" s="20">
        <f>IFERROR(INDEX($H$14:$H$53,MATCH($E19&amp;"#19",$X$14:$X$53,0)),"")</f>
        <v/>
      </c>
      <c r="AR19" s="20">
        <f>IFERROR(INDEX($H$14:$H$53,MATCH($E19&amp;"#20",$X$14:$X$53,0)),"")</f>
        <v/>
      </c>
      <c r="AT19" s="21">
        <f>$C19</f>
        <v/>
      </c>
      <c r="AU19" s="22">
        <f>IF(AND($H19&lt;&gt;"",$Y19&lt;&gt;"",$H19&lt;&gt;$Y19,IFERROR(VLOOKUP($H19,areaCercaPuntiClassificaSquadra,3,FALSE),-1)=IFERROR(VLOOKUP($Y19,areaCercaPuntiClassificaSquadra,3,FALSE),-2)),SUMIFS(Dati!$B$2:$B$381,Dati!$A$2:$A$381,$H19,Dati!$H$2:$H$381,$Y19)+SUMIFS(Dati!$I$2:$I$381,Dati!$H$2:$H$381,$H19,Dati!$A$2:$A$381,$Y19),"-")</f>
        <v/>
      </c>
      <c r="AV19" s="22">
        <f>IF(AND($H19&lt;&gt;"",$Z19&lt;&gt;"",$H19&lt;&gt;$Z19,IFERROR(VLOOKUP($H19,areaCercaPuntiClassificaSquadra,3,FALSE),-1)=IFERROR(VLOOKUP($Z19,areaCercaPuntiClassificaSquadra,3,FALSE),-2)),SUMIFS(Dati!$B$2:$B$381,Dati!$A$2:$A$381,$H19,Dati!$H$2:$H$381,$Z19)+SUMIFS(Dati!$I$2:$I$381,Dati!$H$2:$H$381,$H19,Dati!$A$2:$A$381,$Z19),"-")</f>
        <v/>
      </c>
      <c r="AW19" s="22">
        <f>IF(AND($H19&lt;&gt;"",$AA19&lt;&gt;"",$H19&lt;&gt;$AA19,IFERROR(VLOOKUP($H19,areaCercaPuntiClassificaSquadra,3,FALSE),-1)=IFERROR(VLOOKUP($AA19,areaCercaPuntiClassificaSquadra,3,FALSE),-2)),SUMIFS(Dati!$B$2:$B$381,Dati!$A$2:$A$381,$H19,Dati!$H$2:$H$381,$AA19)+SUMIFS(Dati!$I$2:$I$381,Dati!$H$2:$H$381,$H19,Dati!$A$2:$A$381,$AA19),"-")</f>
        <v/>
      </c>
      <c r="AX19" s="22">
        <f>IF(AND($H19&lt;&gt;"",$AB19&lt;&gt;"",$H19&lt;&gt;$AB19,IFERROR(VLOOKUP($H19,areaCercaPuntiClassificaSquadra,3,FALSE),-1)=IFERROR(VLOOKUP($AB19,areaCercaPuntiClassificaSquadra,3,FALSE),-2)),SUMIFS(Dati!$B$2:$B$381,Dati!$A$2:$A$381,$H19,Dati!$H$2:$H$381,$AB19)+SUMIFS(Dati!$I$2:$I$381,Dati!$H$2:$H$381,$H19,Dati!$A$2:$A$381,$AB19),"-")</f>
        <v/>
      </c>
      <c r="AY19" s="22">
        <f>IF(AND($H19&lt;&gt;"",$AC19&lt;&gt;"",$H19&lt;&gt;$AC19,IFERROR(VLOOKUP($H19,areaCercaPuntiClassificaSquadra,3,FALSE),-1)=IFERROR(VLOOKUP($AC19,areaCercaPuntiClassificaSquadra,3,FALSE),-2)),SUMIFS(Dati!$B$2:$B$381,Dati!$A$2:$A$381,$H19,Dati!$H$2:$H$381,$AC19)+SUMIFS(Dati!$I$2:$I$381,Dati!$H$2:$H$381,$H19,Dati!$A$2:$A$381,$AC19),"-")</f>
        <v/>
      </c>
      <c r="AZ19" s="22">
        <f>IF(AND($H19&lt;&gt;"",$AD19&lt;&gt;"",$H19&lt;&gt;$AD19,IFERROR(VLOOKUP($H19,areaCercaPuntiClassificaSquadra,3,FALSE),-1)=IFERROR(VLOOKUP($AD19,areaCercaPuntiClassificaSquadra,3,FALSE),-2)),SUMIFS(Dati!$B$2:$B$381,Dati!$A$2:$A$381,$H19,Dati!$H$2:$H$381,$AD19)+SUMIFS(Dati!$I$2:$I$381,Dati!$H$2:$H$381,$H19,Dati!$A$2:$A$381,$AD19),"-")</f>
        <v/>
      </c>
      <c r="BA19" s="22">
        <f>IF(AND($H19&lt;&gt;"",$AE19&lt;&gt;"",$H19&lt;&gt;$AE19,IFERROR(VLOOKUP($H19,areaCercaPuntiClassificaSquadra,3,FALSE),-1)=IFERROR(VLOOKUP($AE19,areaCercaPuntiClassificaSquadra,3,FALSE),-2)),SUMIFS(Dati!$B$2:$B$381,Dati!$A$2:$A$381,$H19,Dati!$H$2:$H$381,$AE19)+SUMIFS(Dati!$I$2:$I$381,Dati!$H$2:$H$381,$H19,Dati!$A$2:$A$381,$AE19),"-")</f>
        <v/>
      </c>
      <c r="BB19" s="22">
        <f>IF(AND($H19&lt;&gt;"",$AF19&lt;&gt;"",$H19&lt;&gt;$AF19,IFERROR(VLOOKUP($H19,areaCercaPuntiClassificaSquadra,3,FALSE),-1)=IFERROR(VLOOKUP($AF19,areaCercaPuntiClassificaSquadra,3,FALSE),-2)),SUMIFS(Dati!$B$2:$B$381,Dati!$A$2:$A$381,$H19,Dati!$H$2:$H$381,$AF19)+SUMIFS(Dati!$I$2:$I$381,Dati!$H$2:$H$381,$H19,Dati!$A$2:$A$381,$AF19),"-")</f>
        <v/>
      </c>
      <c r="BC19" s="22">
        <f>IF(AND($H19&lt;&gt;"",$AG19&lt;&gt;"",$H19&lt;&gt;$AG19,IFERROR(VLOOKUP($H19,areaCercaPuntiClassificaSquadra,3,FALSE),-1)=IFERROR(VLOOKUP($AG19,areaCercaPuntiClassificaSquadra,3,FALSE),-2)),SUMIFS(Dati!$B$2:$B$381,Dati!$A$2:$A$381,$H19,Dati!$H$2:$H$381,$AG19)+SUMIFS(Dati!$I$2:$I$381,Dati!$H$2:$H$381,$H19,Dati!$A$2:$A$381,$AG19),"-")</f>
        <v/>
      </c>
      <c r="BD19" s="22">
        <f>IF(AND($H19&lt;&gt;"",$AH19&lt;&gt;"",$H19&lt;&gt;$AH19,IFERROR(VLOOKUP($H19,areaCercaPuntiClassificaSquadra,3,FALSE),-1)=IFERROR(VLOOKUP($AH19,areaCercaPuntiClassificaSquadra,3,FALSE),-2)),SUMIFS(Dati!$B$2:$B$381,Dati!$A$2:$A$381,$H19,Dati!$H$2:$H$381,$AH19)+SUMIFS(Dati!$I$2:$I$381,Dati!$H$2:$H$381,$H19,Dati!$A$2:$A$381,$AH19),"-")</f>
        <v/>
      </c>
      <c r="BE19" s="22">
        <f>IF(AND($H19&lt;&gt;"",$AI19&lt;&gt;"",$H19&lt;&gt;$AI19,IFERROR(VLOOKUP($H19,areaCercaPuntiClassificaSquadra,3,FALSE),-1)=IFERROR(VLOOKUP($AI19,areaCercaPuntiClassificaSquadra,3,FALSE),-2)),SUMIFS(Dati!$B$2:$B$381,Dati!$A$2:$A$381,$H19,Dati!$H$2:$H$381,$AI19)+SUMIFS(Dati!$I$2:$I$381,Dati!$H$2:$H$381,$H19,Dati!$A$2:$A$381,$AI19),"-")</f>
        <v/>
      </c>
      <c r="BF19" s="22">
        <f>IF(AND($H19&lt;&gt;"",$AJ19&lt;&gt;"",$H19&lt;&gt;$AJ19,IFERROR(VLOOKUP($H19,areaCercaPuntiClassificaSquadra,3,FALSE),-1)=IFERROR(VLOOKUP($AJ19,areaCercaPuntiClassificaSquadra,3,FALSE),-2)),SUMIFS(Dati!$B$2:$B$381,Dati!$A$2:$A$381,$H19,Dati!$H$2:$H$381,$AJ19)+SUMIFS(Dati!$I$2:$I$381,Dati!$H$2:$H$381,$H19,Dati!$A$2:$A$381,$AJ19),"-")</f>
        <v/>
      </c>
      <c r="BG19" s="22">
        <f>IF(AND($H19&lt;&gt;"",$AK19&lt;&gt;"",$H19&lt;&gt;$AK19,IFERROR(VLOOKUP($H19,areaCercaPuntiClassificaSquadra,3,FALSE),-1)=IFERROR(VLOOKUP($AK19,areaCercaPuntiClassificaSquadra,3,FALSE),-2)),SUMIFS(Dati!$B$2:$B$381,Dati!$A$2:$A$381,$H19,Dati!$H$2:$H$381,$AK19)+SUMIFS(Dati!$I$2:$I$381,Dati!$H$2:$H$381,$H19,Dati!$A$2:$A$381,$AK19),"-")</f>
        <v/>
      </c>
      <c r="BH19" s="22">
        <f>IF(AND($H19&lt;&gt;"",$AL19&lt;&gt;"",$H19&lt;&gt;$AL19,IFERROR(VLOOKUP($H19,areaCercaPuntiClassificaSquadra,3,FALSE),-1)=IFERROR(VLOOKUP($AL19,areaCercaPuntiClassificaSquadra,3,FALSE),-2)),SUMIFS(Dati!$B$2:$B$381,Dati!$A$2:$A$381,$H19,Dati!$H$2:$H$381,$AL19)+SUMIFS(Dati!$I$2:$I$381,Dati!$H$2:$H$381,$H19,Dati!$A$2:$A$381,$AL19),"-")</f>
        <v/>
      </c>
      <c r="BI19" s="22">
        <f>IF(AND($H19&lt;&gt;"",$AM19&lt;&gt;"",$H19&lt;&gt;$AM19,IFERROR(VLOOKUP($H19,areaCercaPuntiClassificaSquadra,3,FALSE),-1)=IFERROR(VLOOKUP($AM19,areaCercaPuntiClassificaSquadra,3,FALSE),-2)),SUMIFS(Dati!$B$2:$B$381,Dati!$A$2:$A$381,$H19,Dati!$H$2:$H$381,$AM19)+SUMIFS(Dati!$I$2:$I$381,Dati!$H$2:$H$381,$H19,Dati!$A$2:$A$381,$AM19),"-")</f>
        <v/>
      </c>
      <c r="BJ19" s="22">
        <f>IF(AND($H19&lt;&gt;"",$AN19&lt;&gt;"",$H19&lt;&gt;$AN19,IFERROR(VLOOKUP($H19,areaCercaPuntiClassificaSquadra,3,FALSE),-1)=IFERROR(VLOOKUP($AN19,areaCercaPuntiClassificaSquadra,3,FALSE),-2)),SUMIFS(Dati!$B$2:$B$381,Dati!$A$2:$A$381,$H19,Dati!$H$2:$H$381,$AN19)+SUMIFS(Dati!$I$2:$I$381,Dati!$H$2:$H$381,$H19,Dati!$A$2:$A$381,$AN19),"-")</f>
        <v/>
      </c>
      <c r="BK19" s="22">
        <f>IF(AND($H19&lt;&gt;"",$AO19&lt;&gt;"",$H19&lt;&gt;$AO19,IFERROR(VLOOKUP($H19,areaCercaPuntiClassificaSquadra,3,FALSE),-1)=IFERROR(VLOOKUP($AO19,areaCercaPuntiClassificaSquadra,3,FALSE),-2)),SUMIFS(Dati!$B$2:$B$381,Dati!$A$2:$A$381,$H19,Dati!$H$2:$H$381,$AO19)+SUMIFS(Dati!$I$2:$I$381,Dati!$H$2:$H$381,$H19,Dati!$A$2:$A$381,$AO19),"-")</f>
        <v/>
      </c>
      <c r="BL19" s="22">
        <f>IF(AND($H19&lt;&gt;"",$AP19&lt;&gt;"",$H19&lt;&gt;$AP19,IFERROR(VLOOKUP($H19,areaCercaPuntiClassificaSquadra,3,FALSE),-1)=IFERROR(VLOOKUP($AP19,areaCercaPuntiClassificaSquadra,3,FALSE),-2)),SUMIFS(Dati!$B$2:$B$381,Dati!$A$2:$A$381,$H19,Dati!$H$2:$H$381,$AP19)+SUMIFS(Dati!$I$2:$I$381,Dati!$H$2:$H$381,$H19,Dati!$A$2:$A$381,$AP19),"-")</f>
        <v/>
      </c>
      <c r="BM19" s="22">
        <f>IF(AND($H19&lt;&gt;"",$AQ19&lt;&gt;"",$H19&lt;&gt;$AQ19,IFERROR(VLOOKUP($H19,areaCercaPuntiClassificaSquadra,3,FALSE),-1)=IFERROR(VLOOKUP($AQ19,areaCercaPuntiClassificaSquadra,3,FALSE),-2)),SUMIFS(Dati!$B$2:$B$381,Dati!$A$2:$A$381,$H19,Dati!$H$2:$H$381,$AQ19)+SUMIFS(Dati!$I$2:$I$381,Dati!$H$2:$H$381,$H19,Dati!$A$2:$A$381,$AQ19),"-")</f>
        <v/>
      </c>
      <c r="BN19" s="22">
        <f>IF(AND($H19&lt;&gt;"",$AR19&lt;&gt;"",$H19&lt;&gt;$AR19,IFERROR(VLOOKUP($H19,areaCercaPuntiClassificaSquadra,3,FALSE),-1)=IFERROR(VLOOKUP($AR19,areaCercaPuntiClassificaSquadra,3,FALSE),-2)),SUMIFS(Dati!$B$2:$B$381,Dati!$A$2:$A$381,$H19,Dati!$H$2:$H$381,$AR19)+SUMIFS(Dati!$I$2:$I$381,Dati!$H$2:$H$381,$H19,Dati!$A$2:$A$381,$AR19),"-")</f>
        <v/>
      </c>
      <c r="BP19" s="21">
        <f>$C19</f>
        <v/>
      </c>
      <c r="BQ19" s="22">
        <f>IF(AND($H19&lt;&gt;"",$Y19&lt;&gt;"",$H19&lt;&gt;$Y19,IFERROR(VLOOKUP($H19,areaCercaPuntiClassificaSquadra,3,FALSE),-1)=IFERROR(VLOOKUP($Y19,areaCercaPuntiClassificaSquadra,3,FALSE),-2)),SUMIFS(Dati!$D$2:$D$381,Dati!$A$2:$A$381,$H19,Dati!$H$2:$H$381,$Y19)+SUMIFS(Dati!$K$2:$K$381,Dati!$H$2:$H$381,$H19,Dati!$A$2:$A$381,$Y19)+SUMIFS(Dati!$C$2:$C$381,Dati!$A$2:$A$381,$H19,Dati!$H$2:$H$381,$Y19)+SUMIFS(Dati!$J$2:$J$381,Dati!$H$2:$H$381,$H19,Dati!$A$2:$A$381,$Y19),"-")</f>
        <v/>
      </c>
      <c r="BR19" s="22">
        <f>IF(AND($H19&lt;&gt;"",$Z19&lt;&gt;"",$H19&lt;&gt;$Z19,IFERROR(VLOOKUP($H19,areaCercaPuntiClassificaSquadra,3,FALSE),-1)=IFERROR(VLOOKUP($Z19,areaCercaPuntiClassificaSquadra,3,FALSE),-2)),SUMIFS(Dati!$D$2:$D$381,Dati!$A$2:$A$381,$H19,Dati!$H$2:$H$381,$Z19)+SUMIFS(Dati!$K$2:$K$381,Dati!$H$2:$H$381,$H19,Dati!$A$2:$A$381,$Z19)+SUMIFS(Dati!$C$2:$C$381,Dati!$A$2:$A$381,$H19,Dati!$H$2:$H$381,$Z19)+SUMIFS(Dati!$J$2:$J$381,Dati!$H$2:$H$381,$H19,Dati!$A$2:$A$381,$Z19),"-")</f>
        <v/>
      </c>
      <c r="BS19" s="22">
        <f>IF(AND($H19&lt;&gt;"",$AA19&lt;&gt;"",$H19&lt;&gt;$AA19,IFERROR(VLOOKUP($H19,areaCercaPuntiClassificaSquadra,3,FALSE),-1)=IFERROR(VLOOKUP($AA19,areaCercaPuntiClassificaSquadra,3,FALSE),-2)),SUMIFS(Dati!$D$2:$D$381,Dati!$A$2:$A$381,$H19,Dati!$H$2:$H$381,$AA19)+SUMIFS(Dati!$K$2:$K$381,Dati!$H$2:$H$381,$H19,Dati!$A$2:$A$381,$AA19)+SUMIFS(Dati!$C$2:$C$381,Dati!$A$2:$A$381,$H19,Dati!$H$2:$H$381,$AA19)+SUMIFS(Dati!$J$2:$J$381,Dati!$H$2:$H$381,$H19,Dati!$A$2:$A$381,$AA19),"-")</f>
        <v/>
      </c>
      <c r="BT19" s="22">
        <f>IF(AND($H19&lt;&gt;"",$AB19&lt;&gt;"",$H19&lt;&gt;$AB19,IFERROR(VLOOKUP($H19,areaCercaPuntiClassificaSquadra,3,FALSE),-1)=IFERROR(VLOOKUP($AB19,areaCercaPuntiClassificaSquadra,3,FALSE),-2)),SUMIFS(Dati!$D$2:$D$381,Dati!$A$2:$A$381,$H19,Dati!$H$2:$H$381,$AB19)+SUMIFS(Dati!$K$2:$K$381,Dati!$H$2:$H$381,$H19,Dati!$A$2:$A$381,$AB19)+SUMIFS(Dati!$C$2:$C$381,Dati!$A$2:$A$381,$H19,Dati!$H$2:$H$381,$AB19)+SUMIFS(Dati!$J$2:$J$381,Dati!$H$2:$H$381,$H19,Dati!$A$2:$A$381,$AB19),"-")</f>
        <v/>
      </c>
      <c r="BU19" s="22">
        <f>IF(AND($H19&lt;&gt;"",$AC19&lt;&gt;"",$H19&lt;&gt;$AC19,IFERROR(VLOOKUP($H19,areaCercaPuntiClassificaSquadra,3,FALSE),-1)=IFERROR(VLOOKUP($AC19,areaCercaPuntiClassificaSquadra,3,FALSE),-2)),SUMIFS(Dati!$D$2:$D$381,Dati!$A$2:$A$381,$H19,Dati!$H$2:$H$381,$AC19)+SUMIFS(Dati!$K$2:$K$381,Dati!$H$2:$H$381,$H19,Dati!$A$2:$A$381,$AC19)+SUMIFS(Dati!$C$2:$C$381,Dati!$A$2:$A$381,$H19,Dati!$H$2:$H$381,$AC19)+SUMIFS(Dati!$J$2:$J$381,Dati!$H$2:$H$381,$H19,Dati!$A$2:$A$381,$AC19),"-")</f>
        <v/>
      </c>
      <c r="BV19" s="22">
        <f>IF(AND($H19&lt;&gt;"",$AD19&lt;&gt;"",$H19&lt;&gt;$AD19,IFERROR(VLOOKUP($H19,areaCercaPuntiClassificaSquadra,3,FALSE),-1)=IFERROR(VLOOKUP($AD19,areaCercaPuntiClassificaSquadra,3,FALSE),-2)),SUMIFS(Dati!$D$2:$D$381,Dati!$A$2:$A$381,$H19,Dati!$H$2:$H$381,$AD19)+SUMIFS(Dati!$K$2:$K$381,Dati!$H$2:$H$381,$H19,Dati!$A$2:$A$381,$AD19)+SUMIFS(Dati!$C$2:$C$381,Dati!$A$2:$A$381,$H19,Dati!$H$2:$H$381,$AD19)+SUMIFS(Dati!$J$2:$J$381,Dati!$H$2:$H$381,$H19,Dati!$A$2:$A$381,$AD19),"-")</f>
        <v/>
      </c>
      <c r="BW19" s="22">
        <f>IF(AND($H19&lt;&gt;"",$AE19&lt;&gt;"",$H19&lt;&gt;$AE19,IFERROR(VLOOKUP($H19,areaCercaPuntiClassificaSquadra,3,FALSE),-1)=IFERROR(VLOOKUP($AE19,areaCercaPuntiClassificaSquadra,3,FALSE),-2)),SUMIFS(Dati!$D$2:$D$381,Dati!$A$2:$A$381,$H19,Dati!$H$2:$H$381,$AE19)+SUMIFS(Dati!$K$2:$K$381,Dati!$H$2:$H$381,$H19,Dati!$A$2:$A$381,$AE19)+SUMIFS(Dati!$C$2:$C$381,Dati!$A$2:$A$381,$H19,Dati!$H$2:$H$381,$AE19)+SUMIFS(Dati!$J$2:$J$381,Dati!$H$2:$H$381,$H19,Dati!$A$2:$A$381,$AE19),"-")</f>
        <v/>
      </c>
      <c r="BX19" s="22">
        <f>IF(AND($H19&lt;&gt;"",$AF19&lt;&gt;"",$H19&lt;&gt;$AF19,IFERROR(VLOOKUP($H19,areaCercaPuntiClassificaSquadra,3,FALSE),-1)=IFERROR(VLOOKUP($AF19,areaCercaPuntiClassificaSquadra,3,FALSE),-2)),SUMIFS(Dati!$D$2:$D$381,Dati!$A$2:$A$381,$H19,Dati!$H$2:$H$381,$AF19)+SUMIFS(Dati!$K$2:$K$381,Dati!$H$2:$H$381,$H19,Dati!$A$2:$A$381,$AF19)+SUMIFS(Dati!$C$2:$C$381,Dati!$A$2:$A$381,$H19,Dati!$H$2:$H$381,$AF19)+SUMIFS(Dati!$J$2:$J$381,Dati!$H$2:$H$381,$H19,Dati!$A$2:$A$381,$AF19),"-")</f>
        <v/>
      </c>
      <c r="BY19" s="22">
        <f>IF(AND($H19&lt;&gt;"",$AG19&lt;&gt;"",$H19&lt;&gt;$AG19,IFERROR(VLOOKUP($H19,areaCercaPuntiClassificaSquadra,3,FALSE),-1)=IFERROR(VLOOKUP($AG19,areaCercaPuntiClassificaSquadra,3,FALSE),-2)),SUMIFS(Dati!$D$2:$D$381,Dati!$A$2:$A$381,$H19,Dati!$H$2:$H$381,$AG19)+SUMIFS(Dati!$K$2:$K$381,Dati!$H$2:$H$381,$H19,Dati!$A$2:$A$381,$AG19)+SUMIFS(Dati!$C$2:$C$381,Dati!$A$2:$A$381,$H19,Dati!$H$2:$H$381,$AG19)+SUMIFS(Dati!$J$2:$J$381,Dati!$H$2:$H$381,$H19,Dati!$A$2:$A$381,$AG19),"-")</f>
        <v/>
      </c>
      <c r="BZ19" s="22">
        <f>IF(AND($H19&lt;&gt;"",$AH19&lt;&gt;"",$H19&lt;&gt;$AH19,IFERROR(VLOOKUP($H19,areaCercaPuntiClassificaSquadra,3,FALSE),-1)=IFERROR(VLOOKUP($AH19,areaCercaPuntiClassificaSquadra,3,FALSE),-2)),SUMIFS(Dati!$D$2:$D$381,Dati!$A$2:$A$381,$H19,Dati!$H$2:$H$381,$AH19)+SUMIFS(Dati!$K$2:$K$381,Dati!$H$2:$H$381,$H19,Dati!$A$2:$A$381,$AH19)+SUMIFS(Dati!$C$2:$C$381,Dati!$A$2:$A$381,$H19,Dati!$H$2:$H$381,$AH19)+SUMIFS(Dati!$J$2:$J$381,Dati!$H$2:$H$381,$H19,Dati!$A$2:$A$381,$AH19),"-")</f>
        <v/>
      </c>
      <c r="CA19" s="22">
        <f>IF(AND($H19&lt;&gt;"",$AI19&lt;&gt;"",$H19&lt;&gt;$AI19,IFERROR(VLOOKUP($H19,areaCercaPuntiClassificaSquadra,3,FALSE),-1)=IFERROR(VLOOKUP($AI19,areaCercaPuntiClassificaSquadra,3,FALSE),-2)),SUMIFS(Dati!$D$2:$D$381,Dati!$A$2:$A$381,$H19,Dati!$H$2:$H$381,$AI19)+SUMIFS(Dati!$K$2:$K$381,Dati!$H$2:$H$381,$H19,Dati!$A$2:$A$381,$AI19)+SUMIFS(Dati!$C$2:$C$381,Dati!$A$2:$A$381,$H19,Dati!$H$2:$H$381,$AI19)+SUMIFS(Dati!$J$2:$J$381,Dati!$H$2:$H$381,$H19,Dati!$A$2:$A$381,$AI19),"-")</f>
        <v/>
      </c>
      <c r="CB19" s="22">
        <f>IF(AND($H19&lt;&gt;"",$AJ19&lt;&gt;"",$H19&lt;&gt;$AJ19,IFERROR(VLOOKUP($H19,areaCercaPuntiClassificaSquadra,3,FALSE),-1)=IFERROR(VLOOKUP($AJ19,areaCercaPuntiClassificaSquadra,3,FALSE),-2)),SUMIFS(Dati!$D$2:$D$381,Dati!$A$2:$A$381,$H19,Dati!$H$2:$H$381,$AJ19)+SUMIFS(Dati!$K$2:$K$381,Dati!$H$2:$H$381,$H19,Dati!$A$2:$A$381,$AJ19)+SUMIFS(Dati!$C$2:$C$381,Dati!$A$2:$A$381,$H19,Dati!$H$2:$H$381,$AJ19)+SUMIFS(Dati!$J$2:$J$381,Dati!$H$2:$H$381,$H19,Dati!$A$2:$A$381,$AJ19),"-")</f>
        <v/>
      </c>
      <c r="CC19" s="22">
        <f>IF(AND($H19&lt;&gt;"",$AK19&lt;&gt;"",$H19&lt;&gt;$AK19,IFERROR(VLOOKUP($H19,areaCercaPuntiClassificaSquadra,3,FALSE),-1)=IFERROR(VLOOKUP($AK19,areaCercaPuntiClassificaSquadra,3,FALSE),-2)),SUMIFS(Dati!$D$2:$D$381,Dati!$A$2:$A$381,$H19,Dati!$H$2:$H$381,$AK19)+SUMIFS(Dati!$K$2:$K$381,Dati!$H$2:$H$381,$H19,Dati!$A$2:$A$381,$AK19)+SUMIFS(Dati!$C$2:$C$381,Dati!$A$2:$A$381,$H19,Dati!$H$2:$H$381,$AK19)+SUMIFS(Dati!$J$2:$J$381,Dati!$H$2:$H$381,$H19,Dati!$A$2:$A$381,$AK19),"-")</f>
        <v/>
      </c>
      <c r="CD19" s="22">
        <f>IF(AND($H19&lt;&gt;"",$AL19&lt;&gt;"",$H19&lt;&gt;$AL19,IFERROR(VLOOKUP($H19,areaCercaPuntiClassificaSquadra,3,FALSE),-1)=IFERROR(VLOOKUP($AL19,areaCercaPuntiClassificaSquadra,3,FALSE),-2)),SUMIFS(Dati!$D$2:$D$381,Dati!$A$2:$A$381,$H19,Dati!$H$2:$H$381,$AL19)+SUMIFS(Dati!$K$2:$K$381,Dati!$H$2:$H$381,$H19,Dati!$A$2:$A$381,$AL19)+SUMIFS(Dati!$C$2:$C$381,Dati!$A$2:$A$381,$H19,Dati!$H$2:$H$381,$AL19)+SUMIFS(Dati!$J$2:$J$381,Dati!$H$2:$H$381,$H19,Dati!$A$2:$A$381,$AL19),"-")</f>
        <v/>
      </c>
      <c r="CE19" s="22">
        <f>IF(AND($H19&lt;&gt;"",$AM19&lt;&gt;"",$H19&lt;&gt;$AM19,IFERROR(VLOOKUP($H19,areaCercaPuntiClassificaSquadra,3,FALSE),-1)=IFERROR(VLOOKUP($AM19,areaCercaPuntiClassificaSquadra,3,FALSE),-2)),SUMIFS(Dati!$D$2:$D$381,Dati!$A$2:$A$381,$H19,Dati!$H$2:$H$381,$AM19)+SUMIFS(Dati!$K$2:$K$381,Dati!$H$2:$H$381,$H19,Dati!$A$2:$A$381,$AM19)+SUMIFS(Dati!$C$2:$C$381,Dati!$A$2:$A$381,$H19,Dati!$H$2:$H$381,$AM19)+SUMIFS(Dati!$J$2:$J$381,Dati!$H$2:$H$381,$H19,Dati!$A$2:$A$381,$AM19),"-")</f>
        <v/>
      </c>
      <c r="CF19" s="22">
        <f>IF(AND($H19&lt;&gt;"",$AN19&lt;&gt;"",$H19&lt;&gt;$AN19,IFERROR(VLOOKUP($H19,areaCercaPuntiClassificaSquadra,3,FALSE),-1)=IFERROR(VLOOKUP($AN19,areaCercaPuntiClassificaSquadra,3,FALSE),-2)),SUMIFS(Dati!$D$2:$D$381,Dati!$A$2:$A$381,$H19,Dati!$H$2:$H$381,$AN19)+SUMIFS(Dati!$K$2:$K$381,Dati!$H$2:$H$381,$H19,Dati!$A$2:$A$381,$AN19)+SUMIFS(Dati!$C$2:$C$381,Dati!$A$2:$A$381,$H19,Dati!$H$2:$H$381,$AN19)+SUMIFS(Dati!$J$2:$J$381,Dati!$H$2:$H$381,$H19,Dati!$A$2:$A$381,$AN19),"-")</f>
        <v/>
      </c>
      <c r="CG19" s="22">
        <f>IF(AND($H19&lt;&gt;"",$AO19&lt;&gt;"",$H19&lt;&gt;$AO19,IFERROR(VLOOKUP($H19,areaCercaPuntiClassificaSquadra,3,FALSE),-1)=IFERROR(VLOOKUP($AO19,areaCercaPuntiClassificaSquadra,3,FALSE),-2)),SUMIFS(Dati!$D$2:$D$381,Dati!$A$2:$A$381,$H19,Dati!$H$2:$H$381,$AO19)+SUMIFS(Dati!$K$2:$K$381,Dati!$H$2:$H$381,$H19,Dati!$A$2:$A$381,$AO19)+SUMIFS(Dati!$C$2:$C$381,Dati!$A$2:$A$381,$H19,Dati!$H$2:$H$381,$AO19)+SUMIFS(Dati!$J$2:$J$381,Dati!$H$2:$H$381,$H19,Dati!$A$2:$A$381,$AO19),"-")</f>
        <v/>
      </c>
      <c r="CH19" s="22">
        <f>IF(AND($H19&lt;&gt;"",$AP19&lt;&gt;"",$H19&lt;&gt;$AP19,IFERROR(VLOOKUP($H19,areaCercaPuntiClassificaSquadra,3,FALSE),-1)=IFERROR(VLOOKUP($AP19,areaCercaPuntiClassificaSquadra,3,FALSE),-2)),SUMIFS(Dati!$D$2:$D$381,Dati!$A$2:$A$381,$H19,Dati!$H$2:$H$381,$AP19)+SUMIFS(Dati!$K$2:$K$381,Dati!$H$2:$H$381,$H19,Dati!$A$2:$A$381,$AP19)+SUMIFS(Dati!$C$2:$C$381,Dati!$A$2:$A$381,$H19,Dati!$H$2:$H$381,$AP19)+SUMIFS(Dati!$J$2:$J$381,Dati!$H$2:$H$381,$H19,Dati!$A$2:$A$381,$AP19),"-")</f>
        <v/>
      </c>
      <c r="CI19" s="22">
        <f>IF(AND($H19&lt;&gt;"",$AQ19&lt;&gt;"",$H19&lt;&gt;$AQ19,IFERROR(VLOOKUP($H19,areaCercaPuntiClassificaSquadra,3,FALSE),-1)=IFERROR(VLOOKUP($AQ19,areaCercaPuntiClassificaSquadra,3,FALSE),-2)),SUMIFS(Dati!$D$2:$D$381,Dati!$A$2:$A$381,$H19,Dati!$H$2:$H$381,$AQ19)+SUMIFS(Dati!$K$2:$K$381,Dati!$H$2:$H$381,$H19,Dati!$A$2:$A$381,$AQ19)+SUMIFS(Dati!$C$2:$C$381,Dati!$A$2:$A$381,$H19,Dati!$H$2:$H$381,$AQ19)+SUMIFS(Dati!$J$2:$J$381,Dati!$H$2:$H$381,$H19,Dati!$A$2:$A$381,$AQ19),"-")</f>
        <v/>
      </c>
      <c r="CJ19" s="22">
        <f>IF(AND($H19&lt;&gt;"",$AR19&lt;&gt;"",$H19&lt;&gt;$AR19,IFERROR(VLOOKUP($H19,areaCercaPuntiClassificaSquadra,3,FALSE),-1)=IFERROR(VLOOKUP($AR19,areaCercaPuntiClassificaSquadra,3,FALSE),-2)),SUMIFS(Dati!$D$2:$D$381,Dati!$A$2:$A$381,$H19,Dati!$H$2:$H$381,$AR19)+SUMIFS(Dati!$K$2:$K$381,Dati!$H$2:$H$381,$H19,Dati!$A$2:$A$381,$AR19)+SUMIFS(Dati!$C$2:$C$381,Dati!$A$2:$A$381,$H19,Dati!$H$2:$H$381,$AR19)+SUMIFS(Dati!$J$2:$J$381,Dati!$H$2:$H$381,$H19,Dati!$A$2:$A$381,$AR19),"-")</f>
        <v/>
      </c>
      <c r="CL19" s="21">
        <f>$C19</f>
        <v/>
      </c>
      <c r="CM19" s="22">
        <f>IF(AND($H19&lt;&gt;"",$Y19&lt;&gt;"",$H19&lt;&gt;$Y19,IFERROR(VLOOKUP($H19,areaCercaPuntiClassificaSquadra,3,FALSE),-1)=IFERROR(VLOOKUP($Y19,areaCercaPuntiClassificaSquadra,3,FALSE),-2)),SUMIFS(Dati!$E$2:$E$381,Dati!$A$2:$A$381,$H19,Dati!$H$2:$H$381,$Y19)+SUMIFS(Dati!$L$2:$L$381,Dati!$H$2:$H$381,$H19,Dati!$A$2:$A$381,$Y19),"-")</f>
        <v/>
      </c>
      <c r="CN19" s="22">
        <f>IF(AND($H19&lt;&gt;"",$Z19&lt;&gt;"",$H19&lt;&gt;$Z19,IFERROR(VLOOKUP($H19,areaCercaPuntiClassificaSquadra,3,FALSE),-1)=IFERROR(VLOOKUP($Z19,areaCercaPuntiClassificaSquadra,3,FALSE),-2)),SUMIFS(Dati!$E$2:$E$381,Dati!$A$2:$A$381,$H19,Dati!$H$2:$H$381,$Z19)+SUMIFS(Dati!$L$2:$L$381,Dati!$H$2:$H$381,$H19,Dati!$A$2:$A$381,$Z19),"-")</f>
        <v/>
      </c>
      <c r="CO19" s="22">
        <f>IF(AND($H19&lt;&gt;"",$AA19&lt;&gt;"",$H19&lt;&gt;$AA19,IFERROR(VLOOKUP($H19,areaCercaPuntiClassificaSquadra,3,FALSE),-1)=IFERROR(VLOOKUP($AA19,areaCercaPuntiClassificaSquadra,3,FALSE),-2)),SUMIFS(Dati!$E$2:$E$381,Dati!$A$2:$A$381,$H19,Dati!$H$2:$H$381,$AA19)+SUMIFS(Dati!$L$2:$L$381,Dati!$H$2:$H$381,$H19,Dati!$A$2:$A$381,$AA19),"-")</f>
        <v/>
      </c>
      <c r="CP19" s="22">
        <f>IF(AND($H19&lt;&gt;"",$AB19&lt;&gt;"",$H19&lt;&gt;$AB19,IFERROR(VLOOKUP($H19,areaCercaPuntiClassificaSquadra,3,FALSE),-1)=IFERROR(VLOOKUP($AB19,areaCercaPuntiClassificaSquadra,3,FALSE),-2)),SUMIFS(Dati!$E$2:$E$381,Dati!$A$2:$A$381,$H19,Dati!$H$2:$H$381,$AB19)+SUMIFS(Dati!$L$2:$L$381,Dati!$H$2:$H$381,$H19,Dati!$A$2:$A$381,$AB19),"-")</f>
        <v/>
      </c>
      <c r="CQ19" s="22">
        <f>IF(AND($H19&lt;&gt;"",$AC19&lt;&gt;"",$H19&lt;&gt;$AC19,IFERROR(VLOOKUP($H19,areaCercaPuntiClassificaSquadra,3,FALSE),-1)=IFERROR(VLOOKUP($AC19,areaCercaPuntiClassificaSquadra,3,FALSE),-2)),SUMIFS(Dati!$E$2:$E$381,Dati!$A$2:$A$381,$H19,Dati!$H$2:$H$381,$AC19)+SUMIFS(Dati!$L$2:$L$381,Dati!$H$2:$H$381,$H19,Dati!$A$2:$A$381,$AC19),"-")</f>
        <v/>
      </c>
      <c r="CR19" s="22">
        <f>IF(AND($H19&lt;&gt;"",$AD19&lt;&gt;"",$H19&lt;&gt;$AD19,IFERROR(VLOOKUP($H19,areaCercaPuntiClassificaSquadra,3,FALSE),-1)=IFERROR(VLOOKUP($AD19,areaCercaPuntiClassificaSquadra,3,FALSE),-2)),SUMIFS(Dati!$E$2:$E$381,Dati!$A$2:$A$381,$H19,Dati!$H$2:$H$381,$AD19)+SUMIFS(Dati!$L$2:$L$381,Dati!$H$2:$H$381,$H19,Dati!$A$2:$A$381,$AD19),"-")</f>
        <v/>
      </c>
      <c r="CS19" s="22">
        <f>IF(AND($H19&lt;&gt;"",$AE19&lt;&gt;"",$H19&lt;&gt;$AE19,IFERROR(VLOOKUP($H19,areaCercaPuntiClassificaSquadra,3,FALSE),-1)=IFERROR(VLOOKUP($AE19,areaCercaPuntiClassificaSquadra,3,FALSE),-2)),SUMIFS(Dati!$E$2:$E$381,Dati!$A$2:$A$381,$H19,Dati!$H$2:$H$381,$AE19)+SUMIFS(Dati!$L$2:$L$381,Dati!$H$2:$H$381,$H19,Dati!$A$2:$A$381,$AE19),"-")</f>
        <v/>
      </c>
      <c r="CT19" s="22">
        <f>IF(AND($H19&lt;&gt;"",$AF19&lt;&gt;"",$H19&lt;&gt;$AF19,IFERROR(VLOOKUP($H19,areaCercaPuntiClassificaSquadra,3,FALSE),-1)=IFERROR(VLOOKUP($AF19,areaCercaPuntiClassificaSquadra,3,FALSE),-2)),SUMIFS(Dati!$E$2:$E$381,Dati!$A$2:$A$381,$H19,Dati!$H$2:$H$381,$AF19)+SUMIFS(Dati!$L$2:$L$381,Dati!$H$2:$H$381,$H19,Dati!$A$2:$A$381,$AF19),"-")</f>
        <v/>
      </c>
      <c r="CU19" s="22">
        <f>IF(AND($H19&lt;&gt;"",$AG19&lt;&gt;"",$H19&lt;&gt;$AG19,IFERROR(VLOOKUP($H19,areaCercaPuntiClassificaSquadra,3,FALSE),-1)=IFERROR(VLOOKUP($AG19,areaCercaPuntiClassificaSquadra,3,FALSE),-2)),SUMIFS(Dati!$E$2:$E$381,Dati!$A$2:$A$381,$H19,Dati!$H$2:$H$381,$AG19)+SUMIFS(Dati!$L$2:$L$381,Dati!$H$2:$H$381,$H19,Dati!$A$2:$A$381,$AG19),"-")</f>
        <v/>
      </c>
      <c r="CV19" s="22">
        <f>IF(AND($H19&lt;&gt;"",$AH19&lt;&gt;"",$H19&lt;&gt;$AH19,IFERROR(VLOOKUP($H19,areaCercaPuntiClassificaSquadra,3,FALSE),-1)=IFERROR(VLOOKUP($AH19,areaCercaPuntiClassificaSquadra,3,FALSE),-2)),SUMIFS(Dati!$E$2:$E$381,Dati!$A$2:$A$381,$H19,Dati!$H$2:$H$381,$AH19)+SUMIFS(Dati!$L$2:$L$381,Dati!$H$2:$H$381,$H19,Dati!$A$2:$A$381,$AH19),"-")</f>
        <v/>
      </c>
      <c r="CW19" s="22">
        <f>IF(AND($H19&lt;&gt;"",$AI19&lt;&gt;"",$H19&lt;&gt;$AI19,IFERROR(VLOOKUP($H19,areaCercaPuntiClassificaSquadra,3,FALSE),-1)=IFERROR(VLOOKUP($AI19,areaCercaPuntiClassificaSquadra,3,FALSE),-2)),SUMIFS(Dati!$E$2:$E$381,Dati!$A$2:$A$381,$H19,Dati!$H$2:$H$381,$AI19)+SUMIFS(Dati!$L$2:$L$381,Dati!$H$2:$H$381,$H19,Dati!$A$2:$A$381,$AI19),"-")</f>
        <v/>
      </c>
      <c r="CX19" s="22">
        <f>IF(AND($H19&lt;&gt;"",$AJ19&lt;&gt;"",$H19&lt;&gt;$AJ19,IFERROR(VLOOKUP($H19,areaCercaPuntiClassificaSquadra,3,FALSE),-1)=IFERROR(VLOOKUP($AJ19,areaCercaPuntiClassificaSquadra,3,FALSE),-2)),SUMIFS(Dati!$E$2:$E$381,Dati!$A$2:$A$381,$H19,Dati!$H$2:$H$381,$AJ19)+SUMIFS(Dati!$L$2:$L$381,Dati!$H$2:$H$381,$H19,Dati!$A$2:$A$381,$AJ19),"-")</f>
        <v/>
      </c>
      <c r="CY19" s="22">
        <f>IF(AND($H19&lt;&gt;"",$AK19&lt;&gt;"",$H19&lt;&gt;$AK19,IFERROR(VLOOKUP($H19,areaCercaPuntiClassificaSquadra,3,FALSE),-1)=IFERROR(VLOOKUP($AK19,areaCercaPuntiClassificaSquadra,3,FALSE),-2)),SUMIFS(Dati!$E$2:$E$381,Dati!$A$2:$A$381,$H19,Dati!$H$2:$H$381,$AK19)+SUMIFS(Dati!$L$2:$L$381,Dati!$H$2:$H$381,$H19,Dati!$A$2:$A$381,$AK19),"-")</f>
        <v/>
      </c>
      <c r="CZ19" s="22">
        <f>IF(AND($H19&lt;&gt;"",$AL19&lt;&gt;"",$H19&lt;&gt;$AL19,IFERROR(VLOOKUP($H19,areaCercaPuntiClassificaSquadra,3,FALSE),-1)=IFERROR(VLOOKUP($AL19,areaCercaPuntiClassificaSquadra,3,FALSE),-2)),SUMIFS(Dati!$E$2:$E$381,Dati!$A$2:$A$381,$H19,Dati!$H$2:$H$381,$AL19)+SUMIFS(Dati!$L$2:$L$381,Dati!$H$2:$H$381,$H19,Dati!$A$2:$A$381,$AL19),"-")</f>
        <v/>
      </c>
      <c r="DA19" s="22">
        <f>IF(AND($H19&lt;&gt;"",$AM19&lt;&gt;"",$H19&lt;&gt;$AM19,IFERROR(VLOOKUP($H19,areaCercaPuntiClassificaSquadra,3,FALSE),-1)=IFERROR(VLOOKUP($AM19,areaCercaPuntiClassificaSquadra,3,FALSE),-2)),SUMIFS(Dati!$E$2:$E$381,Dati!$A$2:$A$381,$H19,Dati!$H$2:$H$381,$AM19)+SUMIFS(Dati!$L$2:$L$381,Dati!$H$2:$H$381,$H19,Dati!$A$2:$A$381,$AM19),"-")</f>
        <v/>
      </c>
      <c r="DB19" s="22">
        <f>IF(AND($H19&lt;&gt;"",$AN19&lt;&gt;"",$H19&lt;&gt;$AN19,IFERROR(VLOOKUP($H19,areaCercaPuntiClassificaSquadra,3,FALSE),-1)=IFERROR(VLOOKUP($AN19,areaCercaPuntiClassificaSquadra,3,FALSE),-2)),SUMIFS(Dati!$E$2:$E$381,Dati!$A$2:$A$381,$H19,Dati!$H$2:$H$381,$AN19)+SUMIFS(Dati!$L$2:$L$381,Dati!$H$2:$H$381,$H19,Dati!$A$2:$A$381,$AN19),"-")</f>
        <v/>
      </c>
      <c r="DC19" s="22">
        <f>IF(AND($H19&lt;&gt;"",$AO19&lt;&gt;"",$H19&lt;&gt;$AO19,IFERROR(VLOOKUP($H19,areaCercaPuntiClassificaSquadra,3,FALSE),-1)=IFERROR(VLOOKUP($AO19,areaCercaPuntiClassificaSquadra,3,FALSE),-2)),SUMIFS(Dati!$E$2:$E$381,Dati!$A$2:$A$381,$H19,Dati!$H$2:$H$381,$AO19)+SUMIFS(Dati!$L$2:$L$381,Dati!$H$2:$H$381,$H19,Dati!$A$2:$A$381,$AO19),"-")</f>
        <v/>
      </c>
      <c r="DD19" s="22">
        <f>IF(AND($H19&lt;&gt;"",$AP19&lt;&gt;"",$H19&lt;&gt;$AP19,IFERROR(VLOOKUP($H19,areaCercaPuntiClassificaSquadra,3,FALSE),-1)=IFERROR(VLOOKUP($AP19,areaCercaPuntiClassificaSquadra,3,FALSE),-2)),SUMIFS(Dati!$E$2:$E$381,Dati!$A$2:$A$381,$H19,Dati!$H$2:$H$381,$AP19)+SUMIFS(Dati!$L$2:$L$381,Dati!$H$2:$H$381,$H19,Dati!$A$2:$A$381,$AP19),"-")</f>
        <v/>
      </c>
      <c r="DE19" s="22">
        <f>IF(AND($H19&lt;&gt;"",$AQ19&lt;&gt;"",$H19&lt;&gt;$AQ19,IFERROR(VLOOKUP($H19,areaCercaPuntiClassificaSquadra,3,FALSE),-1)=IFERROR(VLOOKUP($AQ19,areaCercaPuntiClassificaSquadra,3,FALSE),-2)),SUMIFS(Dati!$E$2:$E$381,Dati!$A$2:$A$381,$H19,Dati!$H$2:$H$381,$AQ19)+SUMIFS(Dati!$L$2:$L$381,Dati!$H$2:$H$381,$H19,Dati!$A$2:$A$381,$AQ19),"-")</f>
        <v/>
      </c>
      <c r="DF19" s="22">
        <f>IF(AND($H19&lt;&gt;"",$AR19&lt;&gt;"",$H19&lt;&gt;$AR19,IFERROR(VLOOKUP($H19,areaCercaPuntiClassificaSquadra,3,FALSE),-1)=IFERROR(VLOOKUP($AR19,areaCercaPuntiClassificaSquadra,3,FALSE),-2)),SUMIFS(Dati!$E$2:$E$381,Dati!$A$2:$A$381,$H19,Dati!$H$2:$H$381,$AR19)+SUMIFS(Dati!$L$2:$L$381,Dati!$H$2:$H$381,$H19,Dati!$A$2:$A$381,$AR19),"-")</f>
        <v/>
      </c>
      <c r="DH19" s="21">
        <f>$C19</f>
        <v/>
      </c>
      <c r="DI19" s="22">
        <f>IF(AND($H19&lt;&gt;"",$Y19&lt;&gt;"",$H19&lt;&gt;$Y19,IFERROR(VLOOKUP($H19,areaCercaPuntiClassificaSquadra,3,FALSE),-1)=IFERROR(VLOOKUP($Y19,areaCercaPuntiClassificaSquadra,3,FALSE),-2)),SUMIFS(Dati!$F$2:$F$381,Dati!$A$2:$A$381,$H19,Dati!$H$2:$H$381,$Y19)+SUMIFS(Dati!$M$2:$M$381,Dati!$H$2:$H$381,$H19,Dati!$A$2:$A$381,$Y19),"-")</f>
        <v/>
      </c>
      <c r="DJ19" s="22">
        <f>IF(AND($H19&lt;&gt;"",$Z19&lt;&gt;"",$H19&lt;&gt;$Z19,IFERROR(VLOOKUP($H19,areaCercaPuntiClassificaSquadra,3,FALSE),-1)=IFERROR(VLOOKUP($Z19,areaCercaPuntiClassificaSquadra,3,FALSE),-2)),SUMIFS(Dati!$F$2:$F$381,Dati!$A$2:$A$381,$H19,Dati!$H$2:$H$381,$Z19)+SUMIFS(Dati!$M$2:$M$381,Dati!$H$2:$H$381,$H19,Dati!$A$2:$A$381,$Z19),"-")</f>
        <v/>
      </c>
      <c r="DK19" s="22">
        <f>IF(AND($H19&lt;&gt;"",$AA19&lt;&gt;"",$H19&lt;&gt;$AA19,IFERROR(VLOOKUP($H19,areaCercaPuntiClassificaSquadra,3,FALSE),-1)=IFERROR(VLOOKUP($AA19,areaCercaPuntiClassificaSquadra,3,FALSE),-2)),SUMIFS(Dati!$F$2:$F$381,Dati!$A$2:$A$381,$H19,Dati!$H$2:$H$381,$AA19)+SUMIFS(Dati!$M$2:$M$381,Dati!$H$2:$H$381,$H19,Dati!$A$2:$A$381,$AA19),"-")</f>
        <v/>
      </c>
      <c r="DL19" s="22">
        <f>IF(AND($H19&lt;&gt;"",$AB19&lt;&gt;"",$H19&lt;&gt;$AB19,IFERROR(VLOOKUP($H19,areaCercaPuntiClassificaSquadra,3,FALSE),-1)=IFERROR(VLOOKUP($AB19,areaCercaPuntiClassificaSquadra,3,FALSE),-2)),SUMIFS(Dati!$F$2:$F$381,Dati!$A$2:$A$381,$H19,Dati!$H$2:$H$381,$AB19)+SUMIFS(Dati!$M$2:$M$381,Dati!$H$2:$H$381,$H19,Dati!$A$2:$A$381,$AB19),"-")</f>
        <v/>
      </c>
      <c r="DM19" s="22">
        <f>IF(AND($H19&lt;&gt;"",$AC19&lt;&gt;"",$H19&lt;&gt;$AC19,IFERROR(VLOOKUP($H19,areaCercaPuntiClassificaSquadra,3,FALSE),-1)=IFERROR(VLOOKUP($AC19,areaCercaPuntiClassificaSquadra,3,FALSE),-2)),SUMIFS(Dati!$F$2:$F$381,Dati!$A$2:$A$381,$H19,Dati!$H$2:$H$381,$AC19)+SUMIFS(Dati!$M$2:$M$381,Dati!$H$2:$H$381,$H19,Dati!$A$2:$A$381,$AC19),"-")</f>
        <v/>
      </c>
      <c r="DN19" s="22">
        <f>IF(AND($H19&lt;&gt;"",$AD19&lt;&gt;"",$H19&lt;&gt;$AD19,IFERROR(VLOOKUP($H19,areaCercaPuntiClassificaSquadra,3,FALSE),-1)=IFERROR(VLOOKUP($AD19,areaCercaPuntiClassificaSquadra,3,FALSE),-2)),SUMIFS(Dati!$F$2:$F$381,Dati!$A$2:$A$381,$H19,Dati!$H$2:$H$381,$AD19)+SUMIFS(Dati!$M$2:$M$381,Dati!$H$2:$H$381,$H19,Dati!$A$2:$A$381,$AD19),"-")</f>
        <v/>
      </c>
      <c r="DO19" s="22">
        <f>IF(AND($H19&lt;&gt;"",$AE19&lt;&gt;"",$H19&lt;&gt;$AE19,IFERROR(VLOOKUP($H19,areaCercaPuntiClassificaSquadra,3,FALSE),-1)=IFERROR(VLOOKUP($AE19,areaCercaPuntiClassificaSquadra,3,FALSE),-2)),SUMIFS(Dati!$F$2:$F$381,Dati!$A$2:$A$381,$H19,Dati!$H$2:$H$381,$AE19)+SUMIFS(Dati!$M$2:$M$381,Dati!$H$2:$H$381,$H19,Dati!$A$2:$A$381,$AE19),"-")</f>
        <v/>
      </c>
      <c r="DP19" s="22">
        <f>IF(AND($H19&lt;&gt;"",$AF19&lt;&gt;"",$H19&lt;&gt;$AF19,IFERROR(VLOOKUP($H19,areaCercaPuntiClassificaSquadra,3,FALSE),-1)=IFERROR(VLOOKUP($AF19,areaCercaPuntiClassificaSquadra,3,FALSE),-2)),SUMIFS(Dati!$F$2:$F$381,Dati!$A$2:$A$381,$H19,Dati!$H$2:$H$381,$AF19)+SUMIFS(Dati!$M$2:$M$381,Dati!$H$2:$H$381,$H19,Dati!$A$2:$A$381,$AF19),"-")</f>
        <v/>
      </c>
      <c r="DQ19" s="22">
        <f>IF(AND($H19&lt;&gt;"",$AG19&lt;&gt;"",$H19&lt;&gt;$AG19,IFERROR(VLOOKUP($H19,areaCercaPuntiClassificaSquadra,3,FALSE),-1)=IFERROR(VLOOKUP($AG19,areaCercaPuntiClassificaSquadra,3,FALSE),-2)),SUMIFS(Dati!$F$2:$F$381,Dati!$A$2:$A$381,$H19,Dati!$H$2:$H$381,$AG19)+SUMIFS(Dati!$M$2:$M$381,Dati!$H$2:$H$381,$H19,Dati!$A$2:$A$381,$AG19),"-")</f>
        <v/>
      </c>
      <c r="DR19" s="22">
        <f>IF(AND($H19&lt;&gt;"",$AH19&lt;&gt;"",$H19&lt;&gt;$AH19,IFERROR(VLOOKUP($H19,areaCercaPuntiClassificaSquadra,3,FALSE),-1)=IFERROR(VLOOKUP($AH19,areaCercaPuntiClassificaSquadra,3,FALSE),-2)),SUMIFS(Dati!$F$2:$F$381,Dati!$A$2:$A$381,$H19,Dati!$H$2:$H$381,$AH19)+SUMIFS(Dati!$M$2:$M$381,Dati!$H$2:$H$381,$H19,Dati!$A$2:$A$381,$AH19),"-")</f>
        <v/>
      </c>
      <c r="DS19" s="22">
        <f>IF(AND($H19&lt;&gt;"",$AI19&lt;&gt;"",$H19&lt;&gt;$AI19,IFERROR(VLOOKUP($H19,areaCercaPuntiClassificaSquadra,3,FALSE),-1)=IFERROR(VLOOKUP($AI19,areaCercaPuntiClassificaSquadra,3,FALSE),-2)),SUMIFS(Dati!$F$2:$F$381,Dati!$A$2:$A$381,$H19,Dati!$H$2:$H$381,$AI19)+SUMIFS(Dati!$M$2:$M$381,Dati!$H$2:$H$381,$H19,Dati!$A$2:$A$381,$AI19),"-")</f>
        <v/>
      </c>
      <c r="DT19" s="22">
        <f>IF(AND($H19&lt;&gt;"",$AJ19&lt;&gt;"",$H19&lt;&gt;$AJ19,IFERROR(VLOOKUP($H19,areaCercaPuntiClassificaSquadra,3,FALSE),-1)=IFERROR(VLOOKUP($AJ19,areaCercaPuntiClassificaSquadra,3,FALSE),-2)),SUMIFS(Dati!$F$2:$F$381,Dati!$A$2:$A$381,$H19,Dati!$H$2:$H$381,$AJ19)+SUMIFS(Dati!$M$2:$M$381,Dati!$H$2:$H$381,$H19,Dati!$A$2:$A$381,$AJ19),"-")</f>
        <v/>
      </c>
      <c r="DU19" s="22">
        <f>IF(AND($H19&lt;&gt;"",$AK19&lt;&gt;"",$H19&lt;&gt;$AK19,IFERROR(VLOOKUP($H19,areaCercaPuntiClassificaSquadra,3,FALSE),-1)=IFERROR(VLOOKUP($AK19,areaCercaPuntiClassificaSquadra,3,FALSE),-2)),SUMIFS(Dati!$F$2:$F$381,Dati!$A$2:$A$381,$H19,Dati!$H$2:$H$381,$AK19)+SUMIFS(Dati!$M$2:$M$381,Dati!$H$2:$H$381,$H19,Dati!$A$2:$A$381,$AK19),"-")</f>
        <v/>
      </c>
      <c r="DV19" s="22">
        <f>IF(AND($H19&lt;&gt;"",$AL19&lt;&gt;"",$H19&lt;&gt;$AL19,IFERROR(VLOOKUP($H19,areaCercaPuntiClassificaSquadra,3,FALSE),-1)=IFERROR(VLOOKUP($AL19,areaCercaPuntiClassificaSquadra,3,FALSE),-2)),SUMIFS(Dati!$F$2:$F$381,Dati!$A$2:$A$381,$H19,Dati!$H$2:$H$381,$AL19)+SUMIFS(Dati!$M$2:$M$381,Dati!$H$2:$H$381,$H19,Dati!$A$2:$A$381,$AL19),"-")</f>
        <v/>
      </c>
      <c r="DW19" s="22">
        <f>IF(AND($H19&lt;&gt;"",$AM19&lt;&gt;"",$H19&lt;&gt;$AM19,IFERROR(VLOOKUP($H19,areaCercaPuntiClassificaSquadra,3,FALSE),-1)=IFERROR(VLOOKUP($AM19,areaCercaPuntiClassificaSquadra,3,FALSE),-2)),SUMIFS(Dati!$F$2:$F$381,Dati!$A$2:$A$381,$H19,Dati!$H$2:$H$381,$AM19)+SUMIFS(Dati!$M$2:$M$381,Dati!$H$2:$H$381,$H19,Dati!$A$2:$A$381,$AM19),"-")</f>
        <v/>
      </c>
      <c r="DX19" s="22">
        <f>IF(AND($H19&lt;&gt;"",$AN19&lt;&gt;"",$H19&lt;&gt;$AN19,IFERROR(VLOOKUP($H19,areaCercaPuntiClassificaSquadra,3,FALSE),-1)=IFERROR(VLOOKUP($AN19,areaCercaPuntiClassificaSquadra,3,FALSE),-2)),SUMIFS(Dati!$F$2:$F$381,Dati!$A$2:$A$381,$H19,Dati!$H$2:$H$381,$AN19)+SUMIFS(Dati!$M$2:$M$381,Dati!$H$2:$H$381,$H19,Dati!$A$2:$A$381,$AN19),"-")</f>
        <v/>
      </c>
      <c r="DY19" s="22">
        <f>IF(AND($H19&lt;&gt;"",$AO19&lt;&gt;"",$H19&lt;&gt;$AO19,IFERROR(VLOOKUP($H19,areaCercaPuntiClassificaSquadra,3,FALSE),-1)=IFERROR(VLOOKUP($AO19,areaCercaPuntiClassificaSquadra,3,FALSE),-2)),SUMIFS(Dati!$F$2:$F$381,Dati!$A$2:$A$381,$H19,Dati!$H$2:$H$381,$AO19)+SUMIFS(Dati!$M$2:$M$381,Dati!$H$2:$H$381,$H19,Dati!$A$2:$A$381,$AO19),"-")</f>
        <v/>
      </c>
      <c r="DZ19" s="22">
        <f>IF(AND($H19&lt;&gt;"",$AP19&lt;&gt;"",$H19&lt;&gt;$AP19,IFERROR(VLOOKUP($H19,areaCercaPuntiClassificaSquadra,3,FALSE),-1)=IFERROR(VLOOKUP($AP19,areaCercaPuntiClassificaSquadra,3,FALSE),-2)),SUMIFS(Dati!$F$2:$F$381,Dati!$A$2:$A$381,$H19,Dati!$H$2:$H$381,$AP19)+SUMIFS(Dati!$M$2:$M$381,Dati!$H$2:$H$381,$H19,Dati!$A$2:$A$381,$AP19),"-")</f>
        <v/>
      </c>
      <c r="EA19" s="22">
        <f>IF(AND($H19&lt;&gt;"",$AQ19&lt;&gt;"",$H19&lt;&gt;$AQ19,IFERROR(VLOOKUP($H19,areaCercaPuntiClassificaSquadra,3,FALSE),-1)=IFERROR(VLOOKUP($AQ19,areaCercaPuntiClassificaSquadra,3,FALSE),-2)),SUMIFS(Dati!$F$2:$F$381,Dati!$A$2:$A$381,$H19,Dati!$H$2:$H$381,$AQ19)+SUMIFS(Dati!$M$2:$M$381,Dati!$H$2:$H$381,$H19,Dati!$A$2:$A$381,$AQ19),"-")</f>
        <v/>
      </c>
      <c r="EB19" s="22">
        <f>IF(AND($H19&lt;&gt;"",$AR19&lt;&gt;"",$H19&lt;&gt;$AR19,IFERROR(VLOOKUP($H19,areaCercaPuntiClassificaSquadra,3,FALSE),-1)=IFERROR(VLOOKUP($AR19,areaCercaPuntiClassificaSquadra,3,FALSE),-2)),SUMIFS(Dati!$F$2:$F$381,Dati!$A$2:$A$381,$H19,Dati!$H$2:$H$381,$AR19)+SUMIFS(Dati!$M$2:$M$381,Dati!$H$2:$H$381,$H19,Dati!$A$2:$A$381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inlineStr">
        <is>
          <t>Gazzelle Gentili-Gazzelleopoli GE</t>
        </is>
      </c>
      <c r="D20" s="14" t="n"/>
      <c r="E20" s="15" t="inlineStr">
        <is>
          <t>A</t>
        </is>
      </c>
      <c r="G20" s="16">
        <f>IF($C20="","",$E20&amp;(COUNTIFS(I$14:I$53,"&gt;"&amp;I20,E$14:E$53,"="&amp;E20,C$14:C$53,"&lt;&gt;")+COUNTIFS(I$14:I$53,"="&amp;I20,H$14:H$53,"&lt;="&amp;H20,E$14:E$53,"="&amp;E20,C$14:C$53,"&lt;&gt;")))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L20*constPuntiVittoria+M20*constPuntiSconfitta+N20*constPuntiForfait+IF(D20="",0,D20)</f>
        <v/>
      </c>
      <c r="K20" s="12">
        <f>SUM(L20:N20)</f>
        <v/>
      </c>
      <c r="L20" s="12">
        <f>IF($H20="",0,SUMIF(Dati!$A$2:$A$381,$H20,Dati!$B$2:$B$381)+SUMIF(Dati!$H$2:$H$381,$H20,Dati!$I$2:$I$381))</f>
        <v/>
      </c>
      <c r="M20" s="12">
        <f>IF($H20="",0,SUMIF(Dati!$A$2:$A$381,$H20,Dati!$D$2:$D$381)+SUMIF(Dati!$H$2:$H$381,$H20,Dati!$K$2:$K$381))</f>
        <v/>
      </c>
      <c r="N20" s="12">
        <f>IF($H20="",0,SUMIF(Dati!$A$2:$A$381,$H20,Dati!$C$2:$C$381)+SUMIF(Dati!$H$2:$H$381,$H20,Dati!$J$2:$J$381))</f>
        <v/>
      </c>
      <c r="O20" s="12">
        <f>IF($H20="",0,SUMIF(Dati!$A$2:$A$381,$H20,Dati!$E$2:$E$381)+SUMIF(Dati!$H$2:$H$381,$H20,Dati!$L$2:$L$381))</f>
        <v/>
      </c>
      <c r="P20" s="12">
        <f>IF($H20="",0,SUMIF(Dati!$A$2:$A$381,$H20,Dati!$F$2:$F$381)+SUMIF(Dati!$H$2:$H$381,$H20,Dati!$M$2:$M$381))</f>
        <v/>
      </c>
      <c r="Q20" s="12">
        <f>IF($H20="",0,SUMIF(Dati!$A$2:$A$381,$H20,Dati!$G$2:$G$381)+SUMIF(Dati!$H$2:$H$381,$H20,Dati!$N$2:$N$381))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IF(COUNTIFS($E$14:$E$53,$E20,$J$14:$J$53,$J20,$C$14:$C$53,"&lt;&gt;")&lt;=1,"-",SUM(AU20:BN20)&amp;"-"&amp;SUM(BQ20:CJ20))</f>
        <v/>
      </c>
      <c r="V20" s="18">
        <f>IF(COUNTIFS($E$14:$E$53,$E20,$J$14:$J$53,$J20,$C$14:$C$53,"&lt;&gt;",$ED$14:$ED$53,$ED20)&lt;=1,"-",IF(SUM(DI20:EB20)=0,0,ROUND(SUM(CM20:DF20)/SUM(DI20:EB20),3)))</f>
        <v/>
      </c>
      <c r="W20" s="18">
        <f>IF(COUNTIFS($E$14:$E$53,$E20,$J$14:$J$53,$J20,$C$14:$C$53,"&lt;&gt;",$ED$14:$ED$53,$ED20,$V$14:$V$53,$V20)&lt;=1,"-",IF(P20=0,0,ROUND(O20/P20,3)))</f>
        <v/>
      </c>
      <c r="X20" s="19">
        <f>IF($C20="","",$E20&amp;"#"&amp;COUNTIFS($E$14:$E20,$E20,$C$14:$C20,"&lt;&gt;"))</f>
        <v/>
      </c>
      <c r="Y20" s="20">
        <f>IFERROR(INDEX($H$14:$H$53,MATCH($E20&amp;"#1",$X$14:$X$53,0)),"")</f>
        <v/>
      </c>
      <c r="Z20" s="20">
        <f>IFERROR(INDEX($H$14:$H$53,MATCH($E20&amp;"#2",$X$14:$X$53,0)),"")</f>
        <v/>
      </c>
      <c r="AA20" s="20">
        <f>IFERROR(INDEX($H$14:$H$53,MATCH($E20&amp;"#3",$X$14:$X$53,0)),"")</f>
        <v/>
      </c>
      <c r="AB20" s="20">
        <f>IFERROR(INDEX($H$14:$H$53,MATCH($E20&amp;"#4",$X$14:$X$53,0)),"")</f>
        <v/>
      </c>
      <c r="AC20" s="20">
        <f>IFERROR(INDEX($H$14:$H$53,MATCH($E20&amp;"#5",$X$14:$X$53,0)),"")</f>
        <v/>
      </c>
      <c r="AD20" s="20">
        <f>IFERROR(INDEX($H$14:$H$53,MATCH($E20&amp;"#6",$X$14:$X$53,0)),"")</f>
        <v/>
      </c>
      <c r="AE20" s="20">
        <f>IFERROR(INDEX($H$14:$H$53,MATCH($E20&amp;"#7",$X$14:$X$53,0)),"")</f>
        <v/>
      </c>
      <c r="AF20" s="20">
        <f>IFERROR(INDEX($H$14:$H$53,MATCH($E20&amp;"#8",$X$14:$X$53,0)),"")</f>
        <v/>
      </c>
      <c r="AG20" s="20">
        <f>IFERROR(INDEX($H$14:$H$53,MATCH($E20&amp;"#9",$X$14:$X$53,0)),"")</f>
        <v/>
      </c>
      <c r="AH20" s="20">
        <f>IFERROR(INDEX($H$14:$H$53,MATCH($E20&amp;"#10",$X$14:$X$53,0)),"")</f>
        <v/>
      </c>
      <c r="AI20" s="20">
        <f>IFERROR(INDEX($H$14:$H$53,MATCH($E20&amp;"#11",$X$14:$X$53,0)),"")</f>
        <v/>
      </c>
      <c r="AJ20" s="20">
        <f>IFERROR(INDEX($H$14:$H$53,MATCH($E20&amp;"#12",$X$14:$X$53,0)),"")</f>
        <v/>
      </c>
      <c r="AK20" s="20">
        <f>IFERROR(INDEX($H$14:$H$53,MATCH($E20&amp;"#13",$X$14:$X$53,0)),"")</f>
        <v/>
      </c>
      <c r="AL20" s="20">
        <f>IFERROR(INDEX($H$14:$H$53,MATCH($E20&amp;"#14",$X$14:$X$53,0)),"")</f>
        <v/>
      </c>
      <c r="AM20" s="20">
        <f>IFERROR(INDEX($H$14:$H$53,MATCH($E20&amp;"#15",$X$14:$X$53,0)),"")</f>
        <v/>
      </c>
      <c r="AN20" s="20">
        <f>IFERROR(INDEX($H$14:$H$53,MATCH($E20&amp;"#16",$X$14:$X$53,0)),"")</f>
        <v/>
      </c>
      <c r="AO20" s="20">
        <f>IFERROR(INDEX($H$14:$H$53,MATCH($E20&amp;"#17",$X$14:$X$53,0)),"")</f>
        <v/>
      </c>
      <c r="AP20" s="20">
        <f>IFERROR(INDEX($H$14:$H$53,MATCH($E20&amp;"#18",$X$14:$X$53,0)),"")</f>
        <v/>
      </c>
      <c r="AQ20" s="20">
        <f>IFERROR(INDEX($H$14:$H$53,MATCH($E20&amp;"#19",$X$14:$X$53,0)),"")</f>
        <v/>
      </c>
      <c r="AR20" s="20">
        <f>IFERROR(INDEX($H$14:$H$53,MATCH($E20&amp;"#20",$X$14:$X$53,0)),"")</f>
        <v/>
      </c>
      <c r="AT20" s="21">
        <f>$C20</f>
        <v/>
      </c>
      <c r="AU20" s="22">
        <f>IF(AND($H20&lt;&gt;"",$Y20&lt;&gt;"",$H20&lt;&gt;$Y20,IFERROR(VLOOKUP($H20,areaCercaPuntiClassificaSquadra,3,FALSE),-1)=IFERROR(VLOOKUP($Y20,areaCercaPuntiClassificaSquadra,3,FALSE),-2)),SUMIFS(Dati!$B$2:$B$381,Dati!$A$2:$A$381,$H20,Dati!$H$2:$H$381,$Y20)+SUMIFS(Dati!$I$2:$I$381,Dati!$H$2:$H$381,$H20,Dati!$A$2:$A$381,$Y20),"-")</f>
        <v/>
      </c>
      <c r="AV20" s="22">
        <f>IF(AND($H20&lt;&gt;"",$Z20&lt;&gt;"",$H20&lt;&gt;$Z20,IFERROR(VLOOKUP($H20,areaCercaPuntiClassificaSquadra,3,FALSE),-1)=IFERROR(VLOOKUP($Z20,areaCercaPuntiClassificaSquadra,3,FALSE),-2)),SUMIFS(Dati!$B$2:$B$381,Dati!$A$2:$A$381,$H20,Dati!$H$2:$H$381,$Z20)+SUMIFS(Dati!$I$2:$I$381,Dati!$H$2:$H$381,$H20,Dati!$A$2:$A$381,$Z20),"-")</f>
        <v/>
      </c>
      <c r="AW20" s="22">
        <f>IF(AND($H20&lt;&gt;"",$AA20&lt;&gt;"",$H20&lt;&gt;$AA20,IFERROR(VLOOKUP($H20,areaCercaPuntiClassificaSquadra,3,FALSE),-1)=IFERROR(VLOOKUP($AA20,areaCercaPuntiClassificaSquadra,3,FALSE),-2)),SUMIFS(Dati!$B$2:$B$381,Dati!$A$2:$A$381,$H20,Dati!$H$2:$H$381,$AA20)+SUMIFS(Dati!$I$2:$I$381,Dati!$H$2:$H$381,$H20,Dati!$A$2:$A$381,$AA20),"-")</f>
        <v/>
      </c>
      <c r="AX20" s="22">
        <f>IF(AND($H20&lt;&gt;"",$AB20&lt;&gt;"",$H20&lt;&gt;$AB20,IFERROR(VLOOKUP($H20,areaCercaPuntiClassificaSquadra,3,FALSE),-1)=IFERROR(VLOOKUP($AB20,areaCercaPuntiClassificaSquadra,3,FALSE),-2)),SUMIFS(Dati!$B$2:$B$381,Dati!$A$2:$A$381,$H20,Dati!$H$2:$H$381,$AB20)+SUMIFS(Dati!$I$2:$I$381,Dati!$H$2:$H$381,$H20,Dati!$A$2:$A$381,$AB20),"-")</f>
        <v/>
      </c>
      <c r="AY20" s="22">
        <f>IF(AND($H20&lt;&gt;"",$AC20&lt;&gt;"",$H20&lt;&gt;$AC20,IFERROR(VLOOKUP($H20,areaCercaPuntiClassificaSquadra,3,FALSE),-1)=IFERROR(VLOOKUP($AC20,areaCercaPuntiClassificaSquadra,3,FALSE),-2)),SUMIFS(Dati!$B$2:$B$381,Dati!$A$2:$A$381,$H20,Dati!$H$2:$H$381,$AC20)+SUMIFS(Dati!$I$2:$I$381,Dati!$H$2:$H$381,$H20,Dati!$A$2:$A$381,$AC20),"-")</f>
        <v/>
      </c>
      <c r="AZ20" s="22">
        <f>IF(AND($H20&lt;&gt;"",$AD20&lt;&gt;"",$H20&lt;&gt;$AD20,IFERROR(VLOOKUP($H20,areaCercaPuntiClassificaSquadra,3,FALSE),-1)=IFERROR(VLOOKUP($AD20,areaCercaPuntiClassificaSquadra,3,FALSE),-2)),SUMIFS(Dati!$B$2:$B$381,Dati!$A$2:$A$381,$H20,Dati!$H$2:$H$381,$AD20)+SUMIFS(Dati!$I$2:$I$381,Dati!$H$2:$H$381,$H20,Dati!$A$2:$A$381,$AD20),"-")</f>
        <v/>
      </c>
      <c r="BA20" s="22">
        <f>IF(AND($H20&lt;&gt;"",$AE20&lt;&gt;"",$H20&lt;&gt;$AE20,IFERROR(VLOOKUP($H20,areaCercaPuntiClassificaSquadra,3,FALSE),-1)=IFERROR(VLOOKUP($AE20,areaCercaPuntiClassificaSquadra,3,FALSE),-2)),SUMIFS(Dati!$B$2:$B$381,Dati!$A$2:$A$381,$H20,Dati!$H$2:$H$381,$AE20)+SUMIFS(Dati!$I$2:$I$381,Dati!$H$2:$H$381,$H20,Dati!$A$2:$A$381,$AE20),"-")</f>
        <v/>
      </c>
      <c r="BB20" s="22">
        <f>IF(AND($H20&lt;&gt;"",$AF20&lt;&gt;"",$H20&lt;&gt;$AF20,IFERROR(VLOOKUP($H20,areaCercaPuntiClassificaSquadra,3,FALSE),-1)=IFERROR(VLOOKUP($AF20,areaCercaPuntiClassificaSquadra,3,FALSE),-2)),SUMIFS(Dati!$B$2:$B$381,Dati!$A$2:$A$381,$H20,Dati!$H$2:$H$381,$AF20)+SUMIFS(Dati!$I$2:$I$381,Dati!$H$2:$H$381,$H20,Dati!$A$2:$A$381,$AF20),"-")</f>
        <v/>
      </c>
      <c r="BC20" s="22">
        <f>IF(AND($H20&lt;&gt;"",$AG20&lt;&gt;"",$H20&lt;&gt;$AG20,IFERROR(VLOOKUP($H20,areaCercaPuntiClassificaSquadra,3,FALSE),-1)=IFERROR(VLOOKUP($AG20,areaCercaPuntiClassificaSquadra,3,FALSE),-2)),SUMIFS(Dati!$B$2:$B$381,Dati!$A$2:$A$381,$H20,Dati!$H$2:$H$381,$AG20)+SUMIFS(Dati!$I$2:$I$381,Dati!$H$2:$H$381,$H20,Dati!$A$2:$A$381,$AG20),"-")</f>
        <v/>
      </c>
      <c r="BD20" s="22">
        <f>IF(AND($H20&lt;&gt;"",$AH20&lt;&gt;"",$H20&lt;&gt;$AH20,IFERROR(VLOOKUP($H20,areaCercaPuntiClassificaSquadra,3,FALSE),-1)=IFERROR(VLOOKUP($AH20,areaCercaPuntiClassificaSquadra,3,FALSE),-2)),SUMIFS(Dati!$B$2:$B$381,Dati!$A$2:$A$381,$H20,Dati!$H$2:$H$381,$AH20)+SUMIFS(Dati!$I$2:$I$381,Dati!$H$2:$H$381,$H20,Dati!$A$2:$A$381,$AH20),"-")</f>
        <v/>
      </c>
      <c r="BE20" s="22">
        <f>IF(AND($H20&lt;&gt;"",$AI20&lt;&gt;"",$H20&lt;&gt;$AI20,IFERROR(VLOOKUP($H20,areaCercaPuntiClassificaSquadra,3,FALSE),-1)=IFERROR(VLOOKUP($AI20,areaCercaPuntiClassificaSquadra,3,FALSE),-2)),SUMIFS(Dati!$B$2:$B$381,Dati!$A$2:$A$381,$H20,Dati!$H$2:$H$381,$AI20)+SUMIFS(Dati!$I$2:$I$381,Dati!$H$2:$H$381,$H20,Dati!$A$2:$A$381,$AI20),"-")</f>
        <v/>
      </c>
      <c r="BF20" s="22">
        <f>IF(AND($H20&lt;&gt;"",$AJ20&lt;&gt;"",$H20&lt;&gt;$AJ20,IFERROR(VLOOKUP($H20,areaCercaPuntiClassificaSquadra,3,FALSE),-1)=IFERROR(VLOOKUP($AJ20,areaCercaPuntiClassificaSquadra,3,FALSE),-2)),SUMIFS(Dati!$B$2:$B$381,Dati!$A$2:$A$381,$H20,Dati!$H$2:$H$381,$AJ20)+SUMIFS(Dati!$I$2:$I$381,Dati!$H$2:$H$381,$H20,Dati!$A$2:$A$381,$AJ20),"-")</f>
        <v/>
      </c>
      <c r="BG20" s="22">
        <f>IF(AND($H20&lt;&gt;"",$AK20&lt;&gt;"",$H20&lt;&gt;$AK20,IFERROR(VLOOKUP($H20,areaCercaPuntiClassificaSquadra,3,FALSE),-1)=IFERROR(VLOOKUP($AK20,areaCercaPuntiClassificaSquadra,3,FALSE),-2)),SUMIFS(Dati!$B$2:$B$381,Dati!$A$2:$A$381,$H20,Dati!$H$2:$H$381,$AK20)+SUMIFS(Dati!$I$2:$I$381,Dati!$H$2:$H$381,$H20,Dati!$A$2:$A$381,$AK20),"-")</f>
        <v/>
      </c>
      <c r="BH20" s="22">
        <f>IF(AND($H20&lt;&gt;"",$AL20&lt;&gt;"",$H20&lt;&gt;$AL20,IFERROR(VLOOKUP($H20,areaCercaPuntiClassificaSquadra,3,FALSE),-1)=IFERROR(VLOOKUP($AL20,areaCercaPuntiClassificaSquadra,3,FALSE),-2)),SUMIFS(Dati!$B$2:$B$381,Dati!$A$2:$A$381,$H20,Dati!$H$2:$H$381,$AL20)+SUMIFS(Dati!$I$2:$I$381,Dati!$H$2:$H$381,$H20,Dati!$A$2:$A$381,$AL20),"-")</f>
        <v/>
      </c>
      <c r="BI20" s="22">
        <f>IF(AND($H20&lt;&gt;"",$AM20&lt;&gt;"",$H20&lt;&gt;$AM20,IFERROR(VLOOKUP($H20,areaCercaPuntiClassificaSquadra,3,FALSE),-1)=IFERROR(VLOOKUP($AM20,areaCercaPuntiClassificaSquadra,3,FALSE),-2)),SUMIFS(Dati!$B$2:$B$381,Dati!$A$2:$A$381,$H20,Dati!$H$2:$H$381,$AM20)+SUMIFS(Dati!$I$2:$I$381,Dati!$H$2:$H$381,$H20,Dati!$A$2:$A$381,$AM20),"-")</f>
        <v/>
      </c>
      <c r="BJ20" s="22">
        <f>IF(AND($H20&lt;&gt;"",$AN20&lt;&gt;"",$H20&lt;&gt;$AN20,IFERROR(VLOOKUP($H20,areaCercaPuntiClassificaSquadra,3,FALSE),-1)=IFERROR(VLOOKUP($AN20,areaCercaPuntiClassificaSquadra,3,FALSE),-2)),SUMIFS(Dati!$B$2:$B$381,Dati!$A$2:$A$381,$H20,Dati!$H$2:$H$381,$AN20)+SUMIFS(Dati!$I$2:$I$381,Dati!$H$2:$H$381,$H20,Dati!$A$2:$A$381,$AN20),"-")</f>
        <v/>
      </c>
      <c r="BK20" s="22">
        <f>IF(AND($H20&lt;&gt;"",$AO20&lt;&gt;"",$H20&lt;&gt;$AO20,IFERROR(VLOOKUP($H20,areaCercaPuntiClassificaSquadra,3,FALSE),-1)=IFERROR(VLOOKUP($AO20,areaCercaPuntiClassificaSquadra,3,FALSE),-2)),SUMIFS(Dati!$B$2:$B$381,Dati!$A$2:$A$381,$H20,Dati!$H$2:$H$381,$AO20)+SUMIFS(Dati!$I$2:$I$381,Dati!$H$2:$H$381,$H20,Dati!$A$2:$A$381,$AO20),"-")</f>
        <v/>
      </c>
      <c r="BL20" s="22">
        <f>IF(AND($H20&lt;&gt;"",$AP20&lt;&gt;"",$H20&lt;&gt;$AP20,IFERROR(VLOOKUP($H20,areaCercaPuntiClassificaSquadra,3,FALSE),-1)=IFERROR(VLOOKUP($AP20,areaCercaPuntiClassificaSquadra,3,FALSE),-2)),SUMIFS(Dati!$B$2:$B$381,Dati!$A$2:$A$381,$H20,Dati!$H$2:$H$381,$AP20)+SUMIFS(Dati!$I$2:$I$381,Dati!$H$2:$H$381,$H20,Dati!$A$2:$A$381,$AP20),"-")</f>
        <v/>
      </c>
      <c r="BM20" s="22">
        <f>IF(AND($H20&lt;&gt;"",$AQ20&lt;&gt;"",$H20&lt;&gt;$AQ20,IFERROR(VLOOKUP($H20,areaCercaPuntiClassificaSquadra,3,FALSE),-1)=IFERROR(VLOOKUP($AQ20,areaCercaPuntiClassificaSquadra,3,FALSE),-2)),SUMIFS(Dati!$B$2:$B$381,Dati!$A$2:$A$381,$H20,Dati!$H$2:$H$381,$AQ20)+SUMIFS(Dati!$I$2:$I$381,Dati!$H$2:$H$381,$H20,Dati!$A$2:$A$381,$AQ20),"-")</f>
        <v/>
      </c>
      <c r="BN20" s="22">
        <f>IF(AND($H20&lt;&gt;"",$AR20&lt;&gt;"",$H20&lt;&gt;$AR20,IFERROR(VLOOKUP($H20,areaCercaPuntiClassificaSquadra,3,FALSE),-1)=IFERROR(VLOOKUP($AR20,areaCercaPuntiClassificaSquadra,3,FALSE),-2)),SUMIFS(Dati!$B$2:$B$381,Dati!$A$2:$A$381,$H20,Dati!$H$2:$H$381,$AR20)+SUMIFS(Dati!$I$2:$I$381,Dati!$H$2:$H$381,$H20,Dati!$A$2:$A$381,$AR20),"-")</f>
        <v/>
      </c>
      <c r="BP20" s="21">
        <f>$C20</f>
        <v/>
      </c>
      <c r="BQ20" s="22">
        <f>IF(AND($H20&lt;&gt;"",$Y20&lt;&gt;"",$H20&lt;&gt;$Y20,IFERROR(VLOOKUP($H20,areaCercaPuntiClassificaSquadra,3,FALSE),-1)=IFERROR(VLOOKUP($Y20,areaCercaPuntiClassificaSquadra,3,FALSE),-2)),SUMIFS(Dati!$D$2:$D$381,Dati!$A$2:$A$381,$H20,Dati!$H$2:$H$381,$Y20)+SUMIFS(Dati!$K$2:$K$381,Dati!$H$2:$H$381,$H20,Dati!$A$2:$A$381,$Y20)+SUMIFS(Dati!$C$2:$C$381,Dati!$A$2:$A$381,$H20,Dati!$H$2:$H$381,$Y20)+SUMIFS(Dati!$J$2:$J$381,Dati!$H$2:$H$381,$H20,Dati!$A$2:$A$381,$Y20),"-")</f>
        <v/>
      </c>
      <c r="BR20" s="22">
        <f>IF(AND($H20&lt;&gt;"",$Z20&lt;&gt;"",$H20&lt;&gt;$Z20,IFERROR(VLOOKUP($H20,areaCercaPuntiClassificaSquadra,3,FALSE),-1)=IFERROR(VLOOKUP($Z20,areaCercaPuntiClassificaSquadra,3,FALSE),-2)),SUMIFS(Dati!$D$2:$D$381,Dati!$A$2:$A$381,$H20,Dati!$H$2:$H$381,$Z20)+SUMIFS(Dati!$K$2:$K$381,Dati!$H$2:$H$381,$H20,Dati!$A$2:$A$381,$Z20)+SUMIFS(Dati!$C$2:$C$381,Dati!$A$2:$A$381,$H20,Dati!$H$2:$H$381,$Z20)+SUMIFS(Dati!$J$2:$J$381,Dati!$H$2:$H$381,$H20,Dati!$A$2:$A$381,$Z20),"-")</f>
        <v/>
      </c>
      <c r="BS20" s="22">
        <f>IF(AND($H20&lt;&gt;"",$AA20&lt;&gt;"",$H20&lt;&gt;$AA20,IFERROR(VLOOKUP($H20,areaCercaPuntiClassificaSquadra,3,FALSE),-1)=IFERROR(VLOOKUP($AA20,areaCercaPuntiClassificaSquadra,3,FALSE),-2)),SUMIFS(Dati!$D$2:$D$381,Dati!$A$2:$A$381,$H20,Dati!$H$2:$H$381,$AA20)+SUMIFS(Dati!$K$2:$K$381,Dati!$H$2:$H$381,$H20,Dati!$A$2:$A$381,$AA20)+SUMIFS(Dati!$C$2:$C$381,Dati!$A$2:$A$381,$H20,Dati!$H$2:$H$381,$AA20)+SUMIFS(Dati!$J$2:$J$381,Dati!$H$2:$H$381,$H20,Dati!$A$2:$A$381,$AA20),"-")</f>
        <v/>
      </c>
      <c r="BT20" s="22">
        <f>IF(AND($H20&lt;&gt;"",$AB20&lt;&gt;"",$H20&lt;&gt;$AB20,IFERROR(VLOOKUP($H20,areaCercaPuntiClassificaSquadra,3,FALSE),-1)=IFERROR(VLOOKUP($AB20,areaCercaPuntiClassificaSquadra,3,FALSE),-2)),SUMIFS(Dati!$D$2:$D$381,Dati!$A$2:$A$381,$H20,Dati!$H$2:$H$381,$AB20)+SUMIFS(Dati!$K$2:$K$381,Dati!$H$2:$H$381,$H20,Dati!$A$2:$A$381,$AB20)+SUMIFS(Dati!$C$2:$C$381,Dati!$A$2:$A$381,$H20,Dati!$H$2:$H$381,$AB20)+SUMIFS(Dati!$J$2:$J$381,Dati!$H$2:$H$381,$H20,Dati!$A$2:$A$381,$AB20),"-")</f>
        <v/>
      </c>
      <c r="BU20" s="22">
        <f>IF(AND($H20&lt;&gt;"",$AC20&lt;&gt;"",$H20&lt;&gt;$AC20,IFERROR(VLOOKUP($H20,areaCercaPuntiClassificaSquadra,3,FALSE),-1)=IFERROR(VLOOKUP($AC20,areaCercaPuntiClassificaSquadra,3,FALSE),-2)),SUMIFS(Dati!$D$2:$D$381,Dati!$A$2:$A$381,$H20,Dati!$H$2:$H$381,$AC20)+SUMIFS(Dati!$K$2:$K$381,Dati!$H$2:$H$381,$H20,Dati!$A$2:$A$381,$AC20)+SUMIFS(Dati!$C$2:$C$381,Dati!$A$2:$A$381,$H20,Dati!$H$2:$H$381,$AC20)+SUMIFS(Dati!$J$2:$J$381,Dati!$H$2:$H$381,$H20,Dati!$A$2:$A$381,$AC20),"-")</f>
        <v/>
      </c>
      <c r="BV20" s="22">
        <f>IF(AND($H20&lt;&gt;"",$AD20&lt;&gt;"",$H20&lt;&gt;$AD20,IFERROR(VLOOKUP($H20,areaCercaPuntiClassificaSquadra,3,FALSE),-1)=IFERROR(VLOOKUP($AD20,areaCercaPuntiClassificaSquadra,3,FALSE),-2)),SUMIFS(Dati!$D$2:$D$381,Dati!$A$2:$A$381,$H20,Dati!$H$2:$H$381,$AD20)+SUMIFS(Dati!$K$2:$K$381,Dati!$H$2:$H$381,$H20,Dati!$A$2:$A$381,$AD20)+SUMIFS(Dati!$C$2:$C$381,Dati!$A$2:$A$381,$H20,Dati!$H$2:$H$381,$AD20)+SUMIFS(Dati!$J$2:$J$381,Dati!$H$2:$H$381,$H20,Dati!$A$2:$A$381,$AD20),"-")</f>
        <v/>
      </c>
      <c r="BW20" s="22">
        <f>IF(AND($H20&lt;&gt;"",$AE20&lt;&gt;"",$H20&lt;&gt;$AE20,IFERROR(VLOOKUP($H20,areaCercaPuntiClassificaSquadra,3,FALSE),-1)=IFERROR(VLOOKUP($AE20,areaCercaPuntiClassificaSquadra,3,FALSE),-2)),SUMIFS(Dati!$D$2:$D$381,Dati!$A$2:$A$381,$H20,Dati!$H$2:$H$381,$AE20)+SUMIFS(Dati!$K$2:$K$381,Dati!$H$2:$H$381,$H20,Dati!$A$2:$A$381,$AE20)+SUMIFS(Dati!$C$2:$C$381,Dati!$A$2:$A$381,$H20,Dati!$H$2:$H$381,$AE20)+SUMIFS(Dati!$J$2:$J$381,Dati!$H$2:$H$381,$H20,Dati!$A$2:$A$381,$AE20),"-")</f>
        <v/>
      </c>
      <c r="BX20" s="22">
        <f>IF(AND($H20&lt;&gt;"",$AF20&lt;&gt;"",$H20&lt;&gt;$AF20,IFERROR(VLOOKUP($H20,areaCercaPuntiClassificaSquadra,3,FALSE),-1)=IFERROR(VLOOKUP($AF20,areaCercaPuntiClassificaSquadra,3,FALSE),-2)),SUMIFS(Dati!$D$2:$D$381,Dati!$A$2:$A$381,$H20,Dati!$H$2:$H$381,$AF20)+SUMIFS(Dati!$K$2:$K$381,Dati!$H$2:$H$381,$H20,Dati!$A$2:$A$381,$AF20)+SUMIFS(Dati!$C$2:$C$381,Dati!$A$2:$A$381,$H20,Dati!$H$2:$H$381,$AF20)+SUMIFS(Dati!$J$2:$J$381,Dati!$H$2:$H$381,$H20,Dati!$A$2:$A$381,$AF20),"-")</f>
        <v/>
      </c>
      <c r="BY20" s="22">
        <f>IF(AND($H20&lt;&gt;"",$AG20&lt;&gt;"",$H20&lt;&gt;$AG20,IFERROR(VLOOKUP($H20,areaCercaPuntiClassificaSquadra,3,FALSE),-1)=IFERROR(VLOOKUP($AG20,areaCercaPuntiClassificaSquadra,3,FALSE),-2)),SUMIFS(Dati!$D$2:$D$381,Dati!$A$2:$A$381,$H20,Dati!$H$2:$H$381,$AG20)+SUMIFS(Dati!$K$2:$K$381,Dati!$H$2:$H$381,$H20,Dati!$A$2:$A$381,$AG20)+SUMIFS(Dati!$C$2:$C$381,Dati!$A$2:$A$381,$H20,Dati!$H$2:$H$381,$AG20)+SUMIFS(Dati!$J$2:$J$381,Dati!$H$2:$H$381,$H20,Dati!$A$2:$A$381,$AG20),"-")</f>
        <v/>
      </c>
      <c r="BZ20" s="22">
        <f>IF(AND($H20&lt;&gt;"",$AH20&lt;&gt;"",$H20&lt;&gt;$AH20,IFERROR(VLOOKUP($H20,areaCercaPuntiClassificaSquadra,3,FALSE),-1)=IFERROR(VLOOKUP($AH20,areaCercaPuntiClassificaSquadra,3,FALSE),-2)),SUMIFS(Dati!$D$2:$D$381,Dati!$A$2:$A$381,$H20,Dati!$H$2:$H$381,$AH20)+SUMIFS(Dati!$K$2:$K$381,Dati!$H$2:$H$381,$H20,Dati!$A$2:$A$381,$AH20)+SUMIFS(Dati!$C$2:$C$381,Dati!$A$2:$A$381,$H20,Dati!$H$2:$H$381,$AH20)+SUMIFS(Dati!$J$2:$J$381,Dati!$H$2:$H$381,$H20,Dati!$A$2:$A$381,$AH20),"-")</f>
        <v/>
      </c>
      <c r="CA20" s="22">
        <f>IF(AND($H20&lt;&gt;"",$AI20&lt;&gt;"",$H20&lt;&gt;$AI20,IFERROR(VLOOKUP($H20,areaCercaPuntiClassificaSquadra,3,FALSE),-1)=IFERROR(VLOOKUP($AI20,areaCercaPuntiClassificaSquadra,3,FALSE),-2)),SUMIFS(Dati!$D$2:$D$381,Dati!$A$2:$A$381,$H20,Dati!$H$2:$H$381,$AI20)+SUMIFS(Dati!$K$2:$K$381,Dati!$H$2:$H$381,$H20,Dati!$A$2:$A$381,$AI20)+SUMIFS(Dati!$C$2:$C$381,Dati!$A$2:$A$381,$H20,Dati!$H$2:$H$381,$AI20)+SUMIFS(Dati!$J$2:$J$381,Dati!$H$2:$H$381,$H20,Dati!$A$2:$A$381,$AI20),"-")</f>
        <v/>
      </c>
      <c r="CB20" s="22">
        <f>IF(AND($H20&lt;&gt;"",$AJ20&lt;&gt;"",$H20&lt;&gt;$AJ20,IFERROR(VLOOKUP($H20,areaCercaPuntiClassificaSquadra,3,FALSE),-1)=IFERROR(VLOOKUP($AJ20,areaCercaPuntiClassificaSquadra,3,FALSE),-2)),SUMIFS(Dati!$D$2:$D$381,Dati!$A$2:$A$381,$H20,Dati!$H$2:$H$381,$AJ20)+SUMIFS(Dati!$K$2:$K$381,Dati!$H$2:$H$381,$H20,Dati!$A$2:$A$381,$AJ20)+SUMIFS(Dati!$C$2:$C$381,Dati!$A$2:$A$381,$H20,Dati!$H$2:$H$381,$AJ20)+SUMIFS(Dati!$J$2:$J$381,Dati!$H$2:$H$381,$H20,Dati!$A$2:$A$381,$AJ20),"-")</f>
        <v/>
      </c>
      <c r="CC20" s="22">
        <f>IF(AND($H20&lt;&gt;"",$AK20&lt;&gt;"",$H20&lt;&gt;$AK20,IFERROR(VLOOKUP($H20,areaCercaPuntiClassificaSquadra,3,FALSE),-1)=IFERROR(VLOOKUP($AK20,areaCercaPuntiClassificaSquadra,3,FALSE),-2)),SUMIFS(Dati!$D$2:$D$381,Dati!$A$2:$A$381,$H20,Dati!$H$2:$H$381,$AK20)+SUMIFS(Dati!$K$2:$K$381,Dati!$H$2:$H$381,$H20,Dati!$A$2:$A$381,$AK20)+SUMIFS(Dati!$C$2:$C$381,Dati!$A$2:$A$381,$H20,Dati!$H$2:$H$381,$AK20)+SUMIFS(Dati!$J$2:$J$381,Dati!$H$2:$H$381,$H20,Dati!$A$2:$A$381,$AK20),"-")</f>
        <v/>
      </c>
      <c r="CD20" s="22">
        <f>IF(AND($H20&lt;&gt;"",$AL20&lt;&gt;"",$H20&lt;&gt;$AL20,IFERROR(VLOOKUP($H20,areaCercaPuntiClassificaSquadra,3,FALSE),-1)=IFERROR(VLOOKUP($AL20,areaCercaPuntiClassificaSquadra,3,FALSE),-2)),SUMIFS(Dati!$D$2:$D$381,Dati!$A$2:$A$381,$H20,Dati!$H$2:$H$381,$AL20)+SUMIFS(Dati!$K$2:$K$381,Dati!$H$2:$H$381,$H20,Dati!$A$2:$A$381,$AL20)+SUMIFS(Dati!$C$2:$C$381,Dati!$A$2:$A$381,$H20,Dati!$H$2:$H$381,$AL20)+SUMIFS(Dati!$J$2:$J$381,Dati!$H$2:$H$381,$H20,Dati!$A$2:$A$381,$AL20),"-")</f>
        <v/>
      </c>
      <c r="CE20" s="22">
        <f>IF(AND($H20&lt;&gt;"",$AM20&lt;&gt;"",$H20&lt;&gt;$AM20,IFERROR(VLOOKUP($H20,areaCercaPuntiClassificaSquadra,3,FALSE),-1)=IFERROR(VLOOKUP($AM20,areaCercaPuntiClassificaSquadra,3,FALSE),-2)),SUMIFS(Dati!$D$2:$D$381,Dati!$A$2:$A$381,$H20,Dati!$H$2:$H$381,$AM20)+SUMIFS(Dati!$K$2:$K$381,Dati!$H$2:$H$381,$H20,Dati!$A$2:$A$381,$AM20)+SUMIFS(Dati!$C$2:$C$381,Dati!$A$2:$A$381,$H20,Dati!$H$2:$H$381,$AM20)+SUMIFS(Dati!$J$2:$J$381,Dati!$H$2:$H$381,$H20,Dati!$A$2:$A$381,$AM20),"-")</f>
        <v/>
      </c>
      <c r="CF20" s="22">
        <f>IF(AND($H20&lt;&gt;"",$AN20&lt;&gt;"",$H20&lt;&gt;$AN20,IFERROR(VLOOKUP($H20,areaCercaPuntiClassificaSquadra,3,FALSE),-1)=IFERROR(VLOOKUP($AN20,areaCercaPuntiClassificaSquadra,3,FALSE),-2)),SUMIFS(Dati!$D$2:$D$381,Dati!$A$2:$A$381,$H20,Dati!$H$2:$H$381,$AN20)+SUMIFS(Dati!$K$2:$K$381,Dati!$H$2:$H$381,$H20,Dati!$A$2:$A$381,$AN20)+SUMIFS(Dati!$C$2:$C$381,Dati!$A$2:$A$381,$H20,Dati!$H$2:$H$381,$AN20)+SUMIFS(Dati!$J$2:$J$381,Dati!$H$2:$H$381,$H20,Dati!$A$2:$A$381,$AN20),"-")</f>
        <v/>
      </c>
      <c r="CG20" s="22">
        <f>IF(AND($H20&lt;&gt;"",$AO20&lt;&gt;"",$H20&lt;&gt;$AO20,IFERROR(VLOOKUP($H20,areaCercaPuntiClassificaSquadra,3,FALSE),-1)=IFERROR(VLOOKUP($AO20,areaCercaPuntiClassificaSquadra,3,FALSE),-2)),SUMIFS(Dati!$D$2:$D$381,Dati!$A$2:$A$381,$H20,Dati!$H$2:$H$381,$AO20)+SUMIFS(Dati!$K$2:$K$381,Dati!$H$2:$H$381,$H20,Dati!$A$2:$A$381,$AO20)+SUMIFS(Dati!$C$2:$C$381,Dati!$A$2:$A$381,$H20,Dati!$H$2:$H$381,$AO20)+SUMIFS(Dati!$J$2:$J$381,Dati!$H$2:$H$381,$H20,Dati!$A$2:$A$381,$AO20),"-")</f>
        <v/>
      </c>
      <c r="CH20" s="22">
        <f>IF(AND($H20&lt;&gt;"",$AP20&lt;&gt;"",$H20&lt;&gt;$AP20,IFERROR(VLOOKUP($H20,areaCercaPuntiClassificaSquadra,3,FALSE),-1)=IFERROR(VLOOKUP($AP20,areaCercaPuntiClassificaSquadra,3,FALSE),-2)),SUMIFS(Dati!$D$2:$D$381,Dati!$A$2:$A$381,$H20,Dati!$H$2:$H$381,$AP20)+SUMIFS(Dati!$K$2:$K$381,Dati!$H$2:$H$381,$H20,Dati!$A$2:$A$381,$AP20)+SUMIFS(Dati!$C$2:$C$381,Dati!$A$2:$A$381,$H20,Dati!$H$2:$H$381,$AP20)+SUMIFS(Dati!$J$2:$J$381,Dati!$H$2:$H$381,$H20,Dati!$A$2:$A$381,$AP20),"-")</f>
        <v/>
      </c>
      <c r="CI20" s="22">
        <f>IF(AND($H20&lt;&gt;"",$AQ20&lt;&gt;"",$H20&lt;&gt;$AQ20,IFERROR(VLOOKUP($H20,areaCercaPuntiClassificaSquadra,3,FALSE),-1)=IFERROR(VLOOKUP($AQ20,areaCercaPuntiClassificaSquadra,3,FALSE),-2)),SUMIFS(Dati!$D$2:$D$381,Dati!$A$2:$A$381,$H20,Dati!$H$2:$H$381,$AQ20)+SUMIFS(Dati!$K$2:$K$381,Dati!$H$2:$H$381,$H20,Dati!$A$2:$A$381,$AQ20)+SUMIFS(Dati!$C$2:$C$381,Dati!$A$2:$A$381,$H20,Dati!$H$2:$H$381,$AQ20)+SUMIFS(Dati!$J$2:$J$381,Dati!$H$2:$H$381,$H20,Dati!$A$2:$A$381,$AQ20),"-")</f>
        <v/>
      </c>
      <c r="CJ20" s="22">
        <f>IF(AND($H20&lt;&gt;"",$AR20&lt;&gt;"",$H20&lt;&gt;$AR20,IFERROR(VLOOKUP($H20,areaCercaPuntiClassificaSquadra,3,FALSE),-1)=IFERROR(VLOOKUP($AR20,areaCercaPuntiClassificaSquadra,3,FALSE),-2)),SUMIFS(Dati!$D$2:$D$381,Dati!$A$2:$A$381,$H20,Dati!$H$2:$H$381,$AR20)+SUMIFS(Dati!$K$2:$K$381,Dati!$H$2:$H$381,$H20,Dati!$A$2:$A$381,$AR20)+SUMIFS(Dati!$C$2:$C$381,Dati!$A$2:$A$381,$H20,Dati!$H$2:$H$381,$AR20)+SUMIFS(Dati!$J$2:$J$381,Dati!$H$2:$H$381,$H20,Dati!$A$2:$A$381,$AR20),"-")</f>
        <v/>
      </c>
      <c r="CL20" s="21">
        <f>$C20</f>
        <v/>
      </c>
      <c r="CM20" s="22">
        <f>IF(AND($H20&lt;&gt;"",$Y20&lt;&gt;"",$H20&lt;&gt;$Y20,IFERROR(VLOOKUP($H20,areaCercaPuntiClassificaSquadra,3,FALSE),-1)=IFERROR(VLOOKUP($Y20,areaCercaPuntiClassificaSquadra,3,FALSE),-2)),SUMIFS(Dati!$E$2:$E$381,Dati!$A$2:$A$381,$H20,Dati!$H$2:$H$381,$Y20)+SUMIFS(Dati!$L$2:$L$381,Dati!$H$2:$H$381,$H20,Dati!$A$2:$A$381,$Y20),"-")</f>
        <v/>
      </c>
      <c r="CN20" s="22">
        <f>IF(AND($H20&lt;&gt;"",$Z20&lt;&gt;"",$H20&lt;&gt;$Z20,IFERROR(VLOOKUP($H20,areaCercaPuntiClassificaSquadra,3,FALSE),-1)=IFERROR(VLOOKUP($Z20,areaCercaPuntiClassificaSquadra,3,FALSE),-2)),SUMIFS(Dati!$E$2:$E$381,Dati!$A$2:$A$381,$H20,Dati!$H$2:$H$381,$Z20)+SUMIFS(Dati!$L$2:$L$381,Dati!$H$2:$H$381,$H20,Dati!$A$2:$A$381,$Z20),"-")</f>
        <v/>
      </c>
      <c r="CO20" s="22">
        <f>IF(AND($H20&lt;&gt;"",$AA20&lt;&gt;"",$H20&lt;&gt;$AA20,IFERROR(VLOOKUP($H20,areaCercaPuntiClassificaSquadra,3,FALSE),-1)=IFERROR(VLOOKUP($AA20,areaCercaPuntiClassificaSquadra,3,FALSE),-2)),SUMIFS(Dati!$E$2:$E$381,Dati!$A$2:$A$381,$H20,Dati!$H$2:$H$381,$AA20)+SUMIFS(Dati!$L$2:$L$381,Dati!$H$2:$H$381,$H20,Dati!$A$2:$A$381,$AA20),"-")</f>
        <v/>
      </c>
      <c r="CP20" s="22">
        <f>IF(AND($H20&lt;&gt;"",$AB20&lt;&gt;"",$H20&lt;&gt;$AB20,IFERROR(VLOOKUP($H20,areaCercaPuntiClassificaSquadra,3,FALSE),-1)=IFERROR(VLOOKUP($AB20,areaCercaPuntiClassificaSquadra,3,FALSE),-2)),SUMIFS(Dati!$E$2:$E$381,Dati!$A$2:$A$381,$H20,Dati!$H$2:$H$381,$AB20)+SUMIFS(Dati!$L$2:$L$381,Dati!$H$2:$H$381,$H20,Dati!$A$2:$A$381,$AB20),"-")</f>
        <v/>
      </c>
      <c r="CQ20" s="22">
        <f>IF(AND($H20&lt;&gt;"",$AC20&lt;&gt;"",$H20&lt;&gt;$AC20,IFERROR(VLOOKUP($H20,areaCercaPuntiClassificaSquadra,3,FALSE),-1)=IFERROR(VLOOKUP($AC20,areaCercaPuntiClassificaSquadra,3,FALSE),-2)),SUMIFS(Dati!$E$2:$E$381,Dati!$A$2:$A$381,$H20,Dati!$H$2:$H$381,$AC20)+SUMIFS(Dati!$L$2:$L$381,Dati!$H$2:$H$381,$H20,Dati!$A$2:$A$381,$AC20),"-")</f>
        <v/>
      </c>
      <c r="CR20" s="22">
        <f>IF(AND($H20&lt;&gt;"",$AD20&lt;&gt;"",$H20&lt;&gt;$AD20,IFERROR(VLOOKUP($H20,areaCercaPuntiClassificaSquadra,3,FALSE),-1)=IFERROR(VLOOKUP($AD20,areaCercaPuntiClassificaSquadra,3,FALSE),-2)),SUMIFS(Dati!$E$2:$E$381,Dati!$A$2:$A$381,$H20,Dati!$H$2:$H$381,$AD20)+SUMIFS(Dati!$L$2:$L$381,Dati!$H$2:$H$381,$H20,Dati!$A$2:$A$381,$AD20),"-")</f>
        <v/>
      </c>
      <c r="CS20" s="22">
        <f>IF(AND($H20&lt;&gt;"",$AE20&lt;&gt;"",$H20&lt;&gt;$AE20,IFERROR(VLOOKUP($H20,areaCercaPuntiClassificaSquadra,3,FALSE),-1)=IFERROR(VLOOKUP($AE20,areaCercaPuntiClassificaSquadra,3,FALSE),-2)),SUMIFS(Dati!$E$2:$E$381,Dati!$A$2:$A$381,$H20,Dati!$H$2:$H$381,$AE20)+SUMIFS(Dati!$L$2:$L$381,Dati!$H$2:$H$381,$H20,Dati!$A$2:$A$381,$AE20),"-")</f>
        <v/>
      </c>
      <c r="CT20" s="22">
        <f>IF(AND($H20&lt;&gt;"",$AF20&lt;&gt;"",$H20&lt;&gt;$AF20,IFERROR(VLOOKUP($H20,areaCercaPuntiClassificaSquadra,3,FALSE),-1)=IFERROR(VLOOKUP($AF20,areaCercaPuntiClassificaSquadra,3,FALSE),-2)),SUMIFS(Dati!$E$2:$E$381,Dati!$A$2:$A$381,$H20,Dati!$H$2:$H$381,$AF20)+SUMIFS(Dati!$L$2:$L$381,Dati!$H$2:$H$381,$H20,Dati!$A$2:$A$381,$AF20),"-")</f>
        <v/>
      </c>
      <c r="CU20" s="22">
        <f>IF(AND($H20&lt;&gt;"",$AG20&lt;&gt;"",$H20&lt;&gt;$AG20,IFERROR(VLOOKUP($H20,areaCercaPuntiClassificaSquadra,3,FALSE),-1)=IFERROR(VLOOKUP($AG20,areaCercaPuntiClassificaSquadra,3,FALSE),-2)),SUMIFS(Dati!$E$2:$E$381,Dati!$A$2:$A$381,$H20,Dati!$H$2:$H$381,$AG20)+SUMIFS(Dati!$L$2:$L$381,Dati!$H$2:$H$381,$H20,Dati!$A$2:$A$381,$AG20),"-")</f>
        <v/>
      </c>
      <c r="CV20" s="22">
        <f>IF(AND($H20&lt;&gt;"",$AH20&lt;&gt;"",$H20&lt;&gt;$AH20,IFERROR(VLOOKUP($H20,areaCercaPuntiClassificaSquadra,3,FALSE),-1)=IFERROR(VLOOKUP($AH20,areaCercaPuntiClassificaSquadra,3,FALSE),-2)),SUMIFS(Dati!$E$2:$E$381,Dati!$A$2:$A$381,$H20,Dati!$H$2:$H$381,$AH20)+SUMIFS(Dati!$L$2:$L$381,Dati!$H$2:$H$381,$H20,Dati!$A$2:$A$381,$AH20),"-")</f>
        <v/>
      </c>
      <c r="CW20" s="22">
        <f>IF(AND($H20&lt;&gt;"",$AI20&lt;&gt;"",$H20&lt;&gt;$AI20,IFERROR(VLOOKUP($H20,areaCercaPuntiClassificaSquadra,3,FALSE),-1)=IFERROR(VLOOKUP($AI20,areaCercaPuntiClassificaSquadra,3,FALSE),-2)),SUMIFS(Dati!$E$2:$E$381,Dati!$A$2:$A$381,$H20,Dati!$H$2:$H$381,$AI20)+SUMIFS(Dati!$L$2:$L$381,Dati!$H$2:$H$381,$H20,Dati!$A$2:$A$381,$AI20),"-")</f>
        <v/>
      </c>
      <c r="CX20" s="22">
        <f>IF(AND($H20&lt;&gt;"",$AJ20&lt;&gt;"",$H20&lt;&gt;$AJ20,IFERROR(VLOOKUP($H20,areaCercaPuntiClassificaSquadra,3,FALSE),-1)=IFERROR(VLOOKUP($AJ20,areaCercaPuntiClassificaSquadra,3,FALSE),-2)),SUMIFS(Dati!$E$2:$E$381,Dati!$A$2:$A$381,$H20,Dati!$H$2:$H$381,$AJ20)+SUMIFS(Dati!$L$2:$L$381,Dati!$H$2:$H$381,$H20,Dati!$A$2:$A$381,$AJ20),"-")</f>
        <v/>
      </c>
      <c r="CY20" s="22">
        <f>IF(AND($H20&lt;&gt;"",$AK20&lt;&gt;"",$H20&lt;&gt;$AK20,IFERROR(VLOOKUP($H20,areaCercaPuntiClassificaSquadra,3,FALSE),-1)=IFERROR(VLOOKUP($AK20,areaCercaPuntiClassificaSquadra,3,FALSE),-2)),SUMIFS(Dati!$E$2:$E$381,Dati!$A$2:$A$381,$H20,Dati!$H$2:$H$381,$AK20)+SUMIFS(Dati!$L$2:$L$381,Dati!$H$2:$H$381,$H20,Dati!$A$2:$A$381,$AK20),"-")</f>
        <v/>
      </c>
      <c r="CZ20" s="22">
        <f>IF(AND($H20&lt;&gt;"",$AL20&lt;&gt;"",$H20&lt;&gt;$AL20,IFERROR(VLOOKUP($H20,areaCercaPuntiClassificaSquadra,3,FALSE),-1)=IFERROR(VLOOKUP($AL20,areaCercaPuntiClassificaSquadra,3,FALSE),-2)),SUMIFS(Dati!$E$2:$E$381,Dati!$A$2:$A$381,$H20,Dati!$H$2:$H$381,$AL20)+SUMIFS(Dati!$L$2:$L$381,Dati!$H$2:$H$381,$H20,Dati!$A$2:$A$381,$AL20),"-")</f>
        <v/>
      </c>
      <c r="DA20" s="22">
        <f>IF(AND($H20&lt;&gt;"",$AM20&lt;&gt;"",$H20&lt;&gt;$AM20,IFERROR(VLOOKUP($H20,areaCercaPuntiClassificaSquadra,3,FALSE),-1)=IFERROR(VLOOKUP($AM20,areaCercaPuntiClassificaSquadra,3,FALSE),-2)),SUMIFS(Dati!$E$2:$E$381,Dati!$A$2:$A$381,$H20,Dati!$H$2:$H$381,$AM20)+SUMIFS(Dati!$L$2:$L$381,Dati!$H$2:$H$381,$H20,Dati!$A$2:$A$381,$AM20),"-")</f>
        <v/>
      </c>
      <c r="DB20" s="22">
        <f>IF(AND($H20&lt;&gt;"",$AN20&lt;&gt;"",$H20&lt;&gt;$AN20,IFERROR(VLOOKUP($H20,areaCercaPuntiClassificaSquadra,3,FALSE),-1)=IFERROR(VLOOKUP($AN20,areaCercaPuntiClassificaSquadra,3,FALSE),-2)),SUMIFS(Dati!$E$2:$E$381,Dati!$A$2:$A$381,$H20,Dati!$H$2:$H$381,$AN20)+SUMIFS(Dati!$L$2:$L$381,Dati!$H$2:$H$381,$H20,Dati!$A$2:$A$381,$AN20),"-")</f>
        <v/>
      </c>
      <c r="DC20" s="22">
        <f>IF(AND($H20&lt;&gt;"",$AO20&lt;&gt;"",$H20&lt;&gt;$AO20,IFERROR(VLOOKUP($H20,areaCercaPuntiClassificaSquadra,3,FALSE),-1)=IFERROR(VLOOKUP($AO20,areaCercaPuntiClassificaSquadra,3,FALSE),-2)),SUMIFS(Dati!$E$2:$E$381,Dati!$A$2:$A$381,$H20,Dati!$H$2:$H$381,$AO20)+SUMIFS(Dati!$L$2:$L$381,Dati!$H$2:$H$381,$H20,Dati!$A$2:$A$381,$AO20),"-")</f>
        <v/>
      </c>
      <c r="DD20" s="22">
        <f>IF(AND($H20&lt;&gt;"",$AP20&lt;&gt;"",$H20&lt;&gt;$AP20,IFERROR(VLOOKUP($H20,areaCercaPuntiClassificaSquadra,3,FALSE),-1)=IFERROR(VLOOKUP($AP20,areaCercaPuntiClassificaSquadra,3,FALSE),-2)),SUMIFS(Dati!$E$2:$E$381,Dati!$A$2:$A$381,$H20,Dati!$H$2:$H$381,$AP20)+SUMIFS(Dati!$L$2:$L$381,Dati!$H$2:$H$381,$H20,Dati!$A$2:$A$381,$AP20),"-")</f>
        <v/>
      </c>
      <c r="DE20" s="22">
        <f>IF(AND($H20&lt;&gt;"",$AQ20&lt;&gt;"",$H20&lt;&gt;$AQ20,IFERROR(VLOOKUP($H20,areaCercaPuntiClassificaSquadra,3,FALSE),-1)=IFERROR(VLOOKUP($AQ20,areaCercaPuntiClassificaSquadra,3,FALSE),-2)),SUMIFS(Dati!$E$2:$E$381,Dati!$A$2:$A$381,$H20,Dati!$H$2:$H$381,$AQ20)+SUMIFS(Dati!$L$2:$L$381,Dati!$H$2:$H$381,$H20,Dati!$A$2:$A$381,$AQ20),"-")</f>
        <v/>
      </c>
      <c r="DF20" s="22">
        <f>IF(AND($H20&lt;&gt;"",$AR20&lt;&gt;"",$H20&lt;&gt;$AR20,IFERROR(VLOOKUP($H20,areaCercaPuntiClassificaSquadra,3,FALSE),-1)=IFERROR(VLOOKUP($AR20,areaCercaPuntiClassificaSquadra,3,FALSE),-2)),SUMIFS(Dati!$E$2:$E$381,Dati!$A$2:$A$381,$H20,Dati!$H$2:$H$381,$AR20)+SUMIFS(Dati!$L$2:$L$381,Dati!$H$2:$H$381,$H20,Dati!$A$2:$A$381,$AR20),"-")</f>
        <v/>
      </c>
      <c r="DH20" s="21">
        <f>$C20</f>
        <v/>
      </c>
      <c r="DI20" s="22">
        <f>IF(AND($H20&lt;&gt;"",$Y20&lt;&gt;"",$H20&lt;&gt;$Y20,IFERROR(VLOOKUP($H20,areaCercaPuntiClassificaSquadra,3,FALSE),-1)=IFERROR(VLOOKUP($Y20,areaCercaPuntiClassificaSquadra,3,FALSE),-2)),SUMIFS(Dati!$F$2:$F$381,Dati!$A$2:$A$381,$H20,Dati!$H$2:$H$381,$Y20)+SUMIFS(Dati!$M$2:$M$381,Dati!$H$2:$H$381,$H20,Dati!$A$2:$A$381,$Y20),"-")</f>
        <v/>
      </c>
      <c r="DJ20" s="22">
        <f>IF(AND($H20&lt;&gt;"",$Z20&lt;&gt;"",$H20&lt;&gt;$Z20,IFERROR(VLOOKUP($H20,areaCercaPuntiClassificaSquadra,3,FALSE),-1)=IFERROR(VLOOKUP($Z20,areaCercaPuntiClassificaSquadra,3,FALSE),-2)),SUMIFS(Dati!$F$2:$F$381,Dati!$A$2:$A$381,$H20,Dati!$H$2:$H$381,$Z20)+SUMIFS(Dati!$M$2:$M$381,Dati!$H$2:$H$381,$H20,Dati!$A$2:$A$381,$Z20),"-")</f>
        <v/>
      </c>
      <c r="DK20" s="22">
        <f>IF(AND($H20&lt;&gt;"",$AA20&lt;&gt;"",$H20&lt;&gt;$AA20,IFERROR(VLOOKUP($H20,areaCercaPuntiClassificaSquadra,3,FALSE),-1)=IFERROR(VLOOKUP($AA20,areaCercaPuntiClassificaSquadra,3,FALSE),-2)),SUMIFS(Dati!$F$2:$F$381,Dati!$A$2:$A$381,$H20,Dati!$H$2:$H$381,$AA20)+SUMIFS(Dati!$M$2:$M$381,Dati!$H$2:$H$381,$H20,Dati!$A$2:$A$381,$AA20),"-")</f>
        <v/>
      </c>
      <c r="DL20" s="22">
        <f>IF(AND($H20&lt;&gt;"",$AB20&lt;&gt;"",$H20&lt;&gt;$AB20,IFERROR(VLOOKUP($H20,areaCercaPuntiClassificaSquadra,3,FALSE),-1)=IFERROR(VLOOKUP($AB20,areaCercaPuntiClassificaSquadra,3,FALSE),-2)),SUMIFS(Dati!$F$2:$F$381,Dati!$A$2:$A$381,$H20,Dati!$H$2:$H$381,$AB20)+SUMIFS(Dati!$M$2:$M$381,Dati!$H$2:$H$381,$H20,Dati!$A$2:$A$381,$AB20),"-")</f>
        <v/>
      </c>
      <c r="DM20" s="22">
        <f>IF(AND($H20&lt;&gt;"",$AC20&lt;&gt;"",$H20&lt;&gt;$AC20,IFERROR(VLOOKUP($H20,areaCercaPuntiClassificaSquadra,3,FALSE),-1)=IFERROR(VLOOKUP($AC20,areaCercaPuntiClassificaSquadra,3,FALSE),-2)),SUMIFS(Dati!$F$2:$F$381,Dati!$A$2:$A$381,$H20,Dati!$H$2:$H$381,$AC20)+SUMIFS(Dati!$M$2:$M$381,Dati!$H$2:$H$381,$H20,Dati!$A$2:$A$381,$AC20),"-")</f>
        <v/>
      </c>
      <c r="DN20" s="22">
        <f>IF(AND($H20&lt;&gt;"",$AD20&lt;&gt;"",$H20&lt;&gt;$AD20,IFERROR(VLOOKUP($H20,areaCercaPuntiClassificaSquadra,3,FALSE),-1)=IFERROR(VLOOKUP($AD20,areaCercaPuntiClassificaSquadra,3,FALSE),-2)),SUMIFS(Dati!$F$2:$F$381,Dati!$A$2:$A$381,$H20,Dati!$H$2:$H$381,$AD20)+SUMIFS(Dati!$M$2:$M$381,Dati!$H$2:$H$381,$H20,Dati!$A$2:$A$381,$AD20),"-")</f>
        <v/>
      </c>
      <c r="DO20" s="22">
        <f>IF(AND($H20&lt;&gt;"",$AE20&lt;&gt;"",$H20&lt;&gt;$AE20,IFERROR(VLOOKUP($H20,areaCercaPuntiClassificaSquadra,3,FALSE),-1)=IFERROR(VLOOKUP($AE20,areaCercaPuntiClassificaSquadra,3,FALSE),-2)),SUMIFS(Dati!$F$2:$F$381,Dati!$A$2:$A$381,$H20,Dati!$H$2:$H$381,$AE20)+SUMIFS(Dati!$M$2:$M$381,Dati!$H$2:$H$381,$H20,Dati!$A$2:$A$381,$AE20),"-")</f>
        <v/>
      </c>
      <c r="DP20" s="22">
        <f>IF(AND($H20&lt;&gt;"",$AF20&lt;&gt;"",$H20&lt;&gt;$AF20,IFERROR(VLOOKUP($H20,areaCercaPuntiClassificaSquadra,3,FALSE),-1)=IFERROR(VLOOKUP($AF20,areaCercaPuntiClassificaSquadra,3,FALSE),-2)),SUMIFS(Dati!$F$2:$F$381,Dati!$A$2:$A$381,$H20,Dati!$H$2:$H$381,$AF20)+SUMIFS(Dati!$M$2:$M$381,Dati!$H$2:$H$381,$H20,Dati!$A$2:$A$381,$AF20),"-")</f>
        <v/>
      </c>
      <c r="DQ20" s="22">
        <f>IF(AND($H20&lt;&gt;"",$AG20&lt;&gt;"",$H20&lt;&gt;$AG20,IFERROR(VLOOKUP($H20,areaCercaPuntiClassificaSquadra,3,FALSE),-1)=IFERROR(VLOOKUP($AG20,areaCercaPuntiClassificaSquadra,3,FALSE),-2)),SUMIFS(Dati!$F$2:$F$381,Dati!$A$2:$A$381,$H20,Dati!$H$2:$H$381,$AG20)+SUMIFS(Dati!$M$2:$M$381,Dati!$H$2:$H$381,$H20,Dati!$A$2:$A$381,$AG20),"-")</f>
        <v/>
      </c>
      <c r="DR20" s="22">
        <f>IF(AND($H20&lt;&gt;"",$AH20&lt;&gt;"",$H20&lt;&gt;$AH20,IFERROR(VLOOKUP($H20,areaCercaPuntiClassificaSquadra,3,FALSE),-1)=IFERROR(VLOOKUP($AH20,areaCercaPuntiClassificaSquadra,3,FALSE),-2)),SUMIFS(Dati!$F$2:$F$381,Dati!$A$2:$A$381,$H20,Dati!$H$2:$H$381,$AH20)+SUMIFS(Dati!$M$2:$M$381,Dati!$H$2:$H$381,$H20,Dati!$A$2:$A$381,$AH20),"-")</f>
        <v/>
      </c>
      <c r="DS20" s="22">
        <f>IF(AND($H20&lt;&gt;"",$AI20&lt;&gt;"",$H20&lt;&gt;$AI20,IFERROR(VLOOKUP($H20,areaCercaPuntiClassificaSquadra,3,FALSE),-1)=IFERROR(VLOOKUP($AI20,areaCercaPuntiClassificaSquadra,3,FALSE),-2)),SUMIFS(Dati!$F$2:$F$381,Dati!$A$2:$A$381,$H20,Dati!$H$2:$H$381,$AI20)+SUMIFS(Dati!$M$2:$M$381,Dati!$H$2:$H$381,$H20,Dati!$A$2:$A$381,$AI20),"-")</f>
        <v/>
      </c>
      <c r="DT20" s="22">
        <f>IF(AND($H20&lt;&gt;"",$AJ20&lt;&gt;"",$H20&lt;&gt;$AJ20,IFERROR(VLOOKUP($H20,areaCercaPuntiClassificaSquadra,3,FALSE),-1)=IFERROR(VLOOKUP($AJ20,areaCercaPuntiClassificaSquadra,3,FALSE),-2)),SUMIFS(Dati!$F$2:$F$381,Dati!$A$2:$A$381,$H20,Dati!$H$2:$H$381,$AJ20)+SUMIFS(Dati!$M$2:$M$381,Dati!$H$2:$H$381,$H20,Dati!$A$2:$A$381,$AJ20),"-")</f>
        <v/>
      </c>
      <c r="DU20" s="22">
        <f>IF(AND($H20&lt;&gt;"",$AK20&lt;&gt;"",$H20&lt;&gt;$AK20,IFERROR(VLOOKUP($H20,areaCercaPuntiClassificaSquadra,3,FALSE),-1)=IFERROR(VLOOKUP($AK20,areaCercaPuntiClassificaSquadra,3,FALSE),-2)),SUMIFS(Dati!$F$2:$F$381,Dati!$A$2:$A$381,$H20,Dati!$H$2:$H$381,$AK20)+SUMIFS(Dati!$M$2:$M$381,Dati!$H$2:$H$381,$H20,Dati!$A$2:$A$381,$AK20),"-")</f>
        <v/>
      </c>
      <c r="DV20" s="22">
        <f>IF(AND($H20&lt;&gt;"",$AL20&lt;&gt;"",$H20&lt;&gt;$AL20,IFERROR(VLOOKUP($H20,areaCercaPuntiClassificaSquadra,3,FALSE),-1)=IFERROR(VLOOKUP($AL20,areaCercaPuntiClassificaSquadra,3,FALSE),-2)),SUMIFS(Dati!$F$2:$F$381,Dati!$A$2:$A$381,$H20,Dati!$H$2:$H$381,$AL20)+SUMIFS(Dati!$M$2:$M$381,Dati!$H$2:$H$381,$H20,Dati!$A$2:$A$381,$AL20),"-")</f>
        <v/>
      </c>
      <c r="DW20" s="22">
        <f>IF(AND($H20&lt;&gt;"",$AM20&lt;&gt;"",$H20&lt;&gt;$AM20,IFERROR(VLOOKUP($H20,areaCercaPuntiClassificaSquadra,3,FALSE),-1)=IFERROR(VLOOKUP($AM20,areaCercaPuntiClassificaSquadra,3,FALSE),-2)),SUMIFS(Dati!$F$2:$F$381,Dati!$A$2:$A$381,$H20,Dati!$H$2:$H$381,$AM20)+SUMIFS(Dati!$M$2:$M$381,Dati!$H$2:$H$381,$H20,Dati!$A$2:$A$381,$AM20),"-")</f>
        <v/>
      </c>
      <c r="DX20" s="22">
        <f>IF(AND($H20&lt;&gt;"",$AN20&lt;&gt;"",$H20&lt;&gt;$AN20,IFERROR(VLOOKUP($H20,areaCercaPuntiClassificaSquadra,3,FALSE),-1)=IFERROR(VLOOKUP($AN20,areaCercaPuntiClassificaSquadra,3,FALSE),-2)),SUMIFS(Dati!$F$2:$F$381,Dati!$A$2:$A$381,$H20,Dati!$H$2:$H$381,$AN20)+SUMIFS(Dati!$M$2:$M$381,Dati!$H$2:$H$381,$H20,Dati!$A$2:$A$381,$AN20),"-")</f>
        <v/>
      </c>
      <c r="DY20" s="22">
        <f>IF(AND($H20&lt;&gt;"",$AO20&lt;&gt;"",$H20&lt;&gt;$AO20,IFERROR(VLOOKUP($H20,areaCercaPuntiClassificaSquadra,3,FALSE),-1)=IFERROR(VLOOKUP($AO20,areaCercaPuntiClassificaSquadra,3,FALSE),-2)),SUMIFS(Dati!$F$2:$F$381,Dati!$A$2:$A$381,$H20,Dati!$H$2:$H$381,$AO20)+SUMIFS(Dati!$M$2:$M$381,Dati!$H$2:$H$381,$H20,Dati!$A$2:$A$381,$AO20),"-")</f>
        <v/>
      </c>
      <c r="DZ20" s="22">
        <f>IF(AND($H20&lt;&gt;"",$AP20&lt;&gt;"",$H20&lt;&gt;$AP20,IFERROR(VLOOKUP($H20,areaCercaPuntiClassificaSquadra,3,FALSE),-1)=IFERROR(VLOOKUP($AP20,areaCercaPuntiClassificaSquadra,3,FALSE),-2)),SUMIFS(Dati!$F$2:$F$381,Dati!$A$2:$A$381,$H20,Dati!$H$2:$H$381,$AP20)+SUMIFS(Dati!$M$2:$M$381,Dati!$H$2:$H$381,$H20,Dati!$A$2:$A$381,$AP20),"-")</f>
        <v/>
      </c>
      <c r="EA20" s="22">
        <f>IF(AND($H20&lt;&gt;"",$AQ20&lt;&gt;"",$H20&lt;&gt;$AQ20,IFERROR(VLOOKUP($H20,areaCercaPuntiClassificaSquadra,3,FALSE),-1)=IFERROR(VLOOKUP($AQ20,areaCercaPuntiClassificaSquadra,3,FALSE),-2)),SUMIFS(Dati!$F$2:$F$381,Dati!$A$2:$A$381,$H20,Dati!$H$2:$H$381,$AQ20)+SUMIFS(Dati!$M$2:$M$381,Dati!$H$2:$H$381,$H20,Dati!$A$2:$A$381,$AQ20),"-")</f>
        <v/>
      </c>
      <c r="EB20" s="22">
        <f>IF(AND($H20&lt;&gt;"",$AR20&lt;&gt;"",$H20&lt;&gt;$AR20,IFERROR(VLOOKUP($H20,areaCercaPuntiClassificaSquadra,3,FALSE),-1)=IFERROR(VLOOKUP($AR20,areaCercaPuntiClassificaSquadra,3,FALSE),-2)),SUMIFS(Dati!$F$2:$F$381,Dati!$A$2:$A$381,$H20,Dati!$H$2:$H$381,$AR20)+SUMIFS(Dati!$M$2:$M$381,Dati!$H$2:$H$381,$H20,Dati!$A$2:$A$381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inlineStr">
        <is>
          <t>Ibis Instancabili-Ibisopoli II</t>
        </is>
      </c>
      <c r="D21" s="14" t="n"/>
      <c r="E21" s="15" t="inlineStr">
        <is>
          <t>A</t>
        </is>
      </c>
      <c r="G21" s="16">
        <f>IF($C21="","",$E21&amp;(COUNTIFS(I$14:I$53,"&gt;"&amp;I21,E$14:E$53,"="&amp;E21,C$14:C$53,"&lt;&gt;")+COUNTIFS(I$14:I$53,"="&amp;I21,H$14:H$53,"&lt;="&amp;H21,E$14:E$53,"="&amp;E21,C$14:C$53,"&lt;&gt;")))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L21*constPuntiVittoria+M21*constPuntiSconfitta+N21*constPuntiForfait+IF(D21="",0,D21)</f>
        <v/>
      </c>
      <c r="K21" s="12">
        <f>SUM(L21:N21)</f>
        <v/>
      </c>
      <c r="L21" s="12">
        <f>IF($H21="",0,SUMIF(Dati!$A$2:$A$381,$H21,Dati!$B$2:$B$381)+SUMIF(Dati!$H$2:$H$381,$H21,Dati!$I$2:$I$381))</f>
        <v/>
      </c>
      <c r="M21" s="12">
        <f>IF($H21="",0,SUMIF(Dati!$A$2:$A$381,$H21,Dati!$D$2:$D$381)+SUMIF(Dati!$H$2:$H$381,$H21,Dati!$K$2:$K$381))</f>
        <v/>
      </c>
      <c r="N21" s="12">
        <f>IF($H21="",0,SUMIF(Dati!$A$2:$A$381,$H21,Dati!$C$2:$C$381)+SUMIF(Dati!$H$2:$H$381,$H21,Dati!$J$2:$J$381))</f>
        <v/>
      </c>
      <c r="O21" s="12">
        <f>IF($H21="",0,SUMIF(Dati!$A$2:$A$381,$H21,Dati!$E$2:$E$381)+SUMIF(Dati!$H$2:$H$381,$H21,Dati!$L$2:$L$381))</f>
        <v/>
      </c>
      <c r="P21" s="12">
        <f>IF($H21="",0,SUMIF(Dati!$A$2:$A$381,$H21,Dati!$F$2:$F$381)+SUMIF(Dati!$H$2:$H$381,$H21,Dati!$M$2:$M$381))</f>
        <v/>
      </c>
      <c r="Q21" s="12">
        <f>IF($H21="",0,SUMIF(Dati!$A$2:$A$381,$H21,Dati!$G$2:$G$381)+SUMIF(Dati!$H$2:$H$381,$H21,Dati!$N$2:$N$381))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IF(COUNTIFS($E$14:$E$53,$E21,$J$14:$J$53,$J21,$C$14:$C$53,"&lt;&gt;")&lt;=1,"-",SUM(AU21:BN21)&amp;"-"&amp;SUM(BQ21:CJ21))</f>
        <v/>
      </c>
      <c r="V21" s="18">
        <f>IF(COUNTIFS($E$14:$E$53,$E21,$J$14:$J$53,$J21,$C$14:$C$53,"&lt;&gt;",$ED$14:$ED$53,$ED21)&lt;=1,"-",IF(SUM(DI21:EB21)=0,0,ROUND(SUM(CM21:DF21)/SUM(DI21:EB21),3)))</f>
        <v/>
      </c>
      <c r="W21" s="18">
        <f>IF(COUNTIFS($E$14:$E$53,$E21,$J$14:$J$53,$J21,$C$14:$C$53,"&lt;&gt;",$ED$14:$ED$53,$ED21,$V$14:$V$53,$V21)&lt;=1,"-",IF(P21=0,0,ROUND(O21/P21,3)))</f>
        <v/>
      </c>
      <c r="X21" s="19">
        <f>IF($C21="","",$E21&amp;"#"&amp;COUNTIFS($E$14:$E21,$E21,$C$14:$C21,"&lt;&gt;"))</f>
        <v/>
      </c>
      <c r="Y21" s="20">
        <f>IFERROR(INDEX($H$14:$H$53,MATCH($E21&amp;"#1",$X$14:$X$53,0)),"")</f>
        <v/>
      </c>
      <c r="Z21" s="20">
        <f>IFERROR(INDEX($H$14:$H$53,MATCH($E21&amp;"#2",$X$14:$X$53,0)),"")</f>
        <v/>
      </c>
      <c r="AA21" s="20">
        <f>IFERROR(INDEX($H$14:$H$53,MATCH($E21&amp;"#3",$X$14:$X$53,0)),"")</f>
        <v/>
      </c>
      <c r="AB21" s="20">
        <f>IFERROR(INDEX($H$14:$H$53,MATCH($E21&amp;"#4",$X$14:$X$53,0)),"")</f>
        <v/>
      </c>
      <c r="AC21" s="20">
        <f>IFERROR(INDEX($H$14:$H$53,MATCH($E21&amp;"#5",$X$14:$X$53,0)),"")</f>
        <v/>
      </c>
      <c r="AD21" s="20">
        <f>IFERROR(INDEX($H$14:$H$53,MATCH($E21&amp;"#6",$X$14:$X$53,0)),"")</f>
        <v/>
      </c>
      <c r="AE21" s="20">
        <f>IFERROR(INDEX($H$14:$H$53,MATCH($E21&amp;"#7",$X$14:$X$53,0)),"")</f>
        <v/>
      </c>
      <c r="AF21" s="20">
        <f>IFERROR(INDEX($H$14:$H$53,MATCH($E21&amp;"#8",$X$14:$X$53,0)),"")</f>
        <v/>
      </c>
      <c r="AG21" s="20">
        <f>IFERROR(INDEX($H$14:$H$53,MATCH($E21&amp;"#9",$X$14:$X$53,0)),"")</f>
        <v/>
      </c>
      <c r="AH21" s="20">
        <f>IFERROR(INDEX($H$14:$H$53,MATCH($E21&amp;"#10",$X$14:$X$53,0)),"")</f>
        <v/>
      </c>
      <c r="AI21" s="20">
        <f>IFERROR(INDEX($H$14:$H$53,MATCH($E21&amp;"#11",$X$14:$X$53,0)),"")</f>
        <v/>
      </c>
      <c r="AJ21" s="20">
        <f>IFERROR(INDEX($H$14:$H$53,MATCH($E21&amp;"#12",$X$14:$X$53,0)),"")</f>
        <v/>
      </c>
      <c r="AK21" s="20">
        <f>IFERROR(INDEX($H$14:$H$53,MATCH($E21&amp;"#13",$X$14:$X$53,0)),"")</f>
        <v/>
      </c>
      <c r="AL21" s="20">
        <f>IFERROR(INDEX($H$14:$H$53,MATCH($E21&amp;"#14",$X$14:$X$53,0)),"")</f>
        <v/>
      </c>
      <c r="AM21" s="20">
        <f>IFERROR(INDEX($H$14:$H$53,MATCH($E21&amp;"#15",$X$14:$X$53,0)),"")</f>
        <v/>
      </c>
      <c r="AN21" s="20">
        <f>IFERROR(INDEX($H$14:$H$53,MATCH($E21&amp;"#16",$X$14:$X$53,0)),"")</f>
        <v/>
      </c>
      <c r="AO21" s="20">
        <f>IFERROR(INDEX($H$14:$H$53,MATCH($E21&amp;"#17",$X$14:$X$53,0)),"")</f>
        <v/>
      </c>
      <c r="AP21" s="20">
        <f>IFERROR(INDEX($H$14:$H$53,MATCH($E21&amp;"#18",$X$14:$X$53,0)),"")</f>
        <v/>
      </c>
      <c r="AQ21" s="20">
        <f>IFERROR(INDEX($H$14:$H$53,MATCH($E21&amp;"#19",$X$14:$X$53,0)),"")</f>
        <v/>
      </c>
      <c r="AR21" s="20">
        <f>IFERROR(INDEX($H$14:$H$53,MATCH($E21&amp;"#20",$X$14:$X$53,0)),"")</f>
        <v/>
      </c>
      <c r="AT21" s="21">
        <f>$C21</f>
        <v/>
      </c>
      <c r="AU21" s="22">
        <f>IF(AND($H21&lt;&gt;"",$Y21&lt;&gt;"",$H21&lt;&gt;$Y21,IFERROR(VLOOKUP($H21,areaCercaPuntiClassificaSquadra,3,FALSE),-1)=IFERROR(VLOOKUP($Y21,areaCercaPuntiClassificaSquadra,3,FALSE),-2)),SUMIFS(Dati!$B$2:$B$381,Dati!$A$2:$A$381,$H21,Dati!$H$2:$H$381,$Y21)+SUMIFS(Dati!$I$2:$I$381,Dati!$H$2:$H$381,$H21,Dati!$A$2:$A$381,$Y21),"-")</f>
        <v/>
      </c>
      <c r="AV21" s="22">
        <f>IF(AND($H21&lt;&gt;"",$Z21&lt;&gt;"",$H21&lt;&gt;$Z21,IFERROR(VLOOKUP($H21,areaCercaPuntiClassificaSquadra,3,FALSE),-1)=IFERROR(VLOOKUP($Z21,areaCercaPuntiClassificaSquadra,3,FALSE),-2)),SUMIFS(Dati!$B$2:$B$381,Dati!$A$2:$A$381,$H21,Dati!$H$2:$H$381,$Z21)+SUMIFS(Dati!$I$2:$I$381,Dati!$H$2:$H$381,$H21,Dati!$A$2:$A$381,$Z21),"-")</f>
        <v/>
      </c>
      <c r="AW21" s="22">
        <f>IF(AND($H21&lt;&gt;"",$AA21&lt;&gt;"",$H21&lt;&gt;$AA21,IFERROR(VLOOKUP($H21,areaCercaPuntiClassificaSquadra,3,FALSE),-1)=IFERROR(VLOOKUP($AA21,areaCercaPuntiClassificaSquadra,3,FALSE),-2)),SUMIFS(Dati!$B$2:$B$381,Dati!$A$2:$A$381,$H21,Dati!$H$2:$H$381,$AA21)+SUMIFS(Dati!$I$2:$I$381,Dati!$H$2:$H$381,$H21,Dati!$A$2:$A$381,$AA21),"-")</f>
        <v/>
      </c>
      <c r="AX21" s="22">
        <f>IF(AND($H21&lt;&gt;"",$AB21&lt;&gt;"",$H21&lt;&gt;$AB21,IFERROR(VLOOKUP($H21,areaCercaPuntiClassificaSquadra,3,FALSE),-1)=IFERROR(VLOOKUP($AB21,areaCercaPuntiClassificaSquadra,3,FALSE),-2)),SUMIFS(Dati!$B$2:$B$381,Dati!$A$2:$A$381,$H21,Dati!$H$2:$H$381,$AB21)+SUMIFS(Dati!$I$2:$I$381,Dati!$H$2:$H$381,$H21,Dati!$A$2:$A$381,$AB21),"-")</f>
        <v/>
      </c>
      <c r="AY21" s="22">
        <f>IF(AND($H21&lt;&gt;"",$AC21&lt;&gt;"",$H21&lt;&gt;$AC21,IFERROR(VLOOKUP($H21,areaCercaPuntiClassificaSquadra,3,FALSE),-1)=IFERROR(VLOOKUP($AC21,areaCercaPuntiClassificaSquadra,3,FALSE),-2)),SUMIFS(Dati!$B$2:$B$381,Dati!$A$2:$A$381,$H21,Dati!$H$2:$H$381,$AC21)+SUMIFS(Dati!$I$2:$I$381,Dati!$H$2:$H$381,$H21,Dati!$A$2:$A$381,$AC21),"-")</f>
        <v/>
      </c>
      <c r="AZ21" s="22">
        <f>IF(AND($H21&lt;&gt;"",$AD21&lt;&gt;"",$H21&lt;&gt;$AD21,IFERROR(VLOOKUP($H21,areaCercaPuntiClassificaSquadra,3,FALSE),-1)=IFERROR(VLOOKUP($AD21,areaCercaPuntiClassificaSquadra,3,FALSE),-2)),SUMIFS(Dati!$B$2:$B$381,Dati!$A$2:$A$381,$H21,Dati!$H$2:$H$381,$AD21)+SUMIFS(Dati!$I$2:$I$381,Dati!$H$2:$H$381,$H21,Dati!$A$2:$A$381,$AD21),"-")</f>
        <v/>
      </c>
      <c r="BA21" s="22">
        <f>IF(AND($H21&lt;&gt;"",$AE21&lt;&gt;"",$H21&lt;&gt;$AE21,IFERROR(VLOOKUP($H21,areaCercaPuntiClassificaSquadra,3,FALSE),-1)=IFERROR(VLOOKUP($AE21,areaCercaPuntiClassificaSquadra,3,FALSE),-2)),SUMIFS(Dati!$B$2:$B$381,Dati!$A$2:$A$381,$H21,Dati!$H$2:$H$381,$AE21)+SUMIFS(Dati!$I$2:$I$381,Dati!$H$2:$H$381,$H21,Dati!$A$2:$A$381,$AE21),"-")</f>
        <v/>
      </c>
      <c r="BB21" s="22">
        <f>IF(AND($H21&lt;&gt;"",$AF21&lt;&gt;"",$H21&lt;&gt;$AF21,IFERROR(VLOOKUP($H21,areaCercaPuntiClassificaSquadra,3,FALSE),-1)=IFERROR(VLOOKUP($AF21,areaCercaPuntiClassificaSquadra,3,FALSE),-2)),SUMIFS(Dati!$B$2:$B$381,Dati!$A$2:$A$381,$H21,Dati!$H$2:$H$381,$AF21)+SUMIFS(Dati!$I$2:$I$381,Dati!$H$2:$H$381,$H21,Dati!$A$2:$A$381,$AF21),"-")</f>
        <v/>
      </c>
      <c r="BC21" s="22">
        <f>IF(AND($H21&lt;&gt;"",$AG21&lt;&gt;"",$H21&lt;&gt;$AG21,IFERROR(VLOOKUP($H21,areaCercaPuntiClassificaSquadra,3,FALSE),-1)=IFERROR(VLOOKUP($AG21,areaCercaPuntiClassificaSquadra,3,FALSE),-2)),SUMIFS(Dati!$B$2:$B$381,Dati!$A$2:$A$381,$H21,Dati!$H$2:$H$381,$AG21)+SUMIFS(Dati!$I$2:$I$381,Dati!$H$2:$H$381,$H21,Dati!$A$2:$A$381,$AG21),"-")</f>
        <v/>
      </c>
      <c r="BD21" s="22">
        <f>IF(AND($H21&lt;&gt;"",$AH21&lt;&gt;"",$H21&lt;&gt;$AH21,IFERROR(VLOOKUP($H21,areaCercaPuntiClassificaSquadra,3,FALSE),-1)=IFERROR(VLOOKUP($AH21,areaCercaPuntiClassificaSquadra,3,FALSE),-2)),SUMIFS(Dati!$B$2:$B$381,Dati!$A$2:$A$381,$H21,Dati!$H$2:$H$381,$AH21)+SUMIFS(Dati!$I$2:$I$381,Dati!$H$2:$H$381,$H21,Dati!$A$2:$A$381,$AH21),"-")</f>
        <v/>
      </c>
      <c r="BE21" s="22">
        <f>IF(AND($H21&lt;&gt;"",$AI21&lt;&gt;"",$H21&lt;&gt;$AI21,IFERROR(VLOOKUP($H21,areaCercaPuntiClassificaSquadra,3,FALSE),-1)=IFERROR(VLOOKUP($AI21,areaCercaPuntiClassificaSquadra,3,FALSE),-2)),SUMIFS(Dati!$B$2:$B$381,Dati!$A$2:$A$381,$H21,Dati!$H$2:$H$381,$AI21)+SUMIFS(Dati!$I$2:$I$381,Dati!$H$2:$H$381,$H21,Dati!$A$2:$A$381,$AI21),"-")</f>
        <v/>
      </c>
      <c r="BF21" s="22">
        <f>IF(AND($H21&lt;&gt;"",$AJ21&lt;&gt;"",$H21&lt;&gt;$AJ21,IFERROR(VLOOKUP($H21,areaCercaPuntiClassificaSquadra,3,FALSE),-1)=IFERROR(VLOOKUP($AJ21,areaCercaPuntiClassificaSquadra,3,FALSE),-2)),SUMIFS(Dati!$B$2:$B$381,Dati!$A$2:$A$381,$H21,Dati!$H$2:$H$381,$AJ21)+SUMIFS(Dati!$I$2:$I$381,Dati!$H$2:$H$381,$H21,Dati!$A$2:$A$381,$AJ21),"-")</f>
        <v/>
      </c>
      <c r="BG21" s="22">
        <f>IF(AND($H21&lt;&gt;"",$AK21&lt;&gt;"",$H21&lt;&gt;$AK21,IFERROR(VLOOKUP($H21,areaCercaPuntiClassificaSquadra,3,FALSE),-1)=IFERROR(VLOOKUP($AK21,areaCercaPuntiClassificaSquadra,3,FALSE),-2)),SUMIFS(Dati!$B$2:$B$381,Dati!$A$2:$A$381,$H21,Dati!$H$2:$H$381,$AK21)+SUMIFS(Dati!$I$2:$I$381,Dati!$H$2:$H$381,$H21,Dati!$A$2:$A$381,$AK21),"-")</f>
        <v/>
      </c>
      <c r="BH21" s="22">
        <f>IF(AND($H21&lt;&gt;"",$AL21&lt;&gt;"",$H21&lt;&gt;$AL21,IFERROR(VLOOKUP($H21,areaCercaPuntiClassificaSquadra,3,FALSE),-1)=IFERROR(VLOOKUP($AL21,areaCercaPuntiClassificaSquadra,3,FALSE),-2)),SUMIFS(Dati!$B$2:$B$381,Dati!$A$2:$A$381,$H21,Dati!$H$2:$H$381,$AL21)+SUMIFS(Dati!$I$2:$I$381,Dati!$H$2:$H$381,$H21,Dati!$A$2:$A$381,$AL21),"-")</f>
        <v/>
      </c>
      <c r="BI21" s="22">
        <f>IF(AND($H21&lt;&gt;"",$AM21&lt;&gt;"",$H21&lt;&gt;$AM21,IFERROR(VLOOKUP($H21,areaCercaPuntiClassificaSquadra,3,FALSE),-1)=IFERROR(VLOOKUP($AM21,areaCercaPuntiClassificaSquadra,3,FALSE),-2)),SUMIFS(Dati!$B$2:$B$381,Dati!$A$2:$A$381,$H21,Dati!$H$2:$H$381,$AM21)+SUMIFS(Dati!$I$2:$I$381,Dati!$H$2:$H$381,$H21,Dati!$A$2:$A$381,$AM21),"-")</f>
        <v/>
      </c>
      <c r="BJ21" s="22">
        <f>IF(AND($H21&lt;&gt;"",$AN21&lt;&gt;"",$H21&lt;&gt;$AN21,IFERROR(VLOOKUP($H21,areaCercaPuntiClassificaSquadra,3,FALSE),-1)=IFERROR(VLOOKUP($AN21,areaCercaPuntiClassificaSquadra,3,FALSE),-2)),SUMIFS(Dati!$B$2:$B$381,Dati!$A$2:$A$381,$H21,Dati!$H$2:$H$381,$AN21)+SUMIFS(Dati!$I$2:$I$381,Dati!$H$2:$H$381,$H21,Dati!$A$2:$A$381,$AN21),"-")</f>
        <v/>
      </c>
      <c r="BK21" s="22">
        <f>IF(AND($H21&lt;&gt;"",$AO21&lt;&gt;"",$H21&lt;&gt;$AO21,IFERROR(VLOOKUP($H21,areaCercaPuntiClassificaSquadra,3,FALSE),-1)=IFERROR(VLOOKUP($AO21,areaCercaPuntiClassificaSquadra,3,FALSE),-2)),SUMIFS(Dati!$B$2:$B$381,Dati!$A$2:$A$381,$H21,Dati!$H$2:$H$381,$AO21)+SUMIFS(Dati!$I$2:$I$381,Dati!$H$2:$H$381,$H21,Dati!$A$2:$A$381,$AO21),"-")</f>
        <v/>
      </c>
      <c r="BL21" s="22">
        <f>IF(AND($H21&lt;&gt;"",$AP21&lt;&gt;"",$H21&lt;&gt;$AP21,IFERROR(VLOOKUP($H21,areaCercaPuntiClassificaSquadra,3,FALSE),-1)=IFERROR(VLOOKUP($AP21,areaCercaPuntiClassificaSquadra,3,FALSE),-2)),SUMIFS(Dati!$B$2:$B$381,Dati!$A$2:$A$381,$H21,Dati!$H$2:$H$381,$AP21)+SUMIFS(Dati!$I$2:$I$381,Dati!$H$2:$H$381,$H21,Dati!$A$2:$A$381,$AP21),"-")</f>
        <v/>
      </c>
      <c r="BM21" s="22">
        <f>IF(AND($H21&lt;&gt;"",$AQ21&lt;&gt;"",$H21&lt;&gt;$AQ21,IFERROR(VLOOKUP($H21,areaCercaPuntiClassificaSquadra,3,FALSE),-1)=IFERROR(VLOOKUP($AQ21,areaCercaPuntiClassificaSquadra,3,FALSE),-2)),SUMIFS(Dati!$B$2:$B$381,Dati!$A$2:$A$381,$H21,Dati!$H$2:$H$381,$AQ21)+SUMIFS(Dati!$I$2:$I$381,Dati!$H$2:$H$381,$H21,Dati!$A$2:$A$381,$AQ21),"-")</f>
        <v/>
      </c>
      <c r="BN21" s="22">
        <f>IF(AND($H21&lt;&gt;"",$AR21&lt;&gt;"",$H21&lt;&gt;$AR21,IFERROR(VLOOKUP($H21,areaCercaPuntiClassificaSquadra,3,FALSE),-1)=IFERROR(VLOOKUP($AR21,areaCercaPuntiClassificaSquadra,3,FALSE),-2)),SUMIFS(Dati!$B$2:$B$381,Dati!$A$2:$A$381,$H21,Dati!$H$2:$H$381,$AR21)+SUMIFS(Dati!$I$2:$I$381,Dati!$H$2:$H$381,$H21,Dati!$A$2:$A$381,$AR21),"-")</f>
        <v/>
      </c>
      <c r="BP21" s="21">
        <f>$C21</f>
        <v/>
      </c>
      <c r="BQ21" s="22">
        <f>IF(AND($H21&lt;&gt;"",$Y21&lt;&gt;"",$H21&lt;&gt;$Y21,IFERROR(VLOOKUP($H21,areaCercaPuntiClassificaSquadra,3,FALSE),-1)=IFERROR(VLOOKUP($Y21,areaCercaPuntiClassificaSquadra,3,FALSE),-2)),SUMIFS(Dati!$D$2:$D$381,Dati!$A$2:$A$381,$H21,Dati!$H$2:$H$381,$Y21)+SUMIFS(Dati!$K$2:$K$381,Dati!$H$2:$H$381,$H21,Dati!$A$2:$A$381,$Y21)+SUMIFS(Dati!$C$2:$C$381,Dati!$A$2:$A$381,$H21,Dati!$H$2:$H$381,$Y21)+SUMIFS(Dati!$J$2:$J$381,Dati!$H$2:$H$381,$H21,Dati!$A$2:$A$381,$Y21),"-")</f>
        <v/>
      </c>
      <c r="BR21" s="22">
        <f>IF(AND($H21&lt;&gt;"",$Z21&lt;&gt;"",$H21&lt;&gt;$Z21,IFERROR(VLOOKUP($H21,areaCercaPuntiClassificaSquadra,3,FALSE),-1)=IFERROR(VLOOKUP($Z21,areaCercaPuntiClassificaSquadra,3,FALSE),-2)),SUMIFS(Dati!$D$2:$D$381,Dati!$A$2:$A$381,$H21,Dati!$H$2:$H$381,$Z21)+SUMIFS(Dati!$K$2:$K$381,Dati!$H$2:$H$381,$H21,Dati!$A$2:$A$381,$Z21)+SUMIFS(Dati!$C$2:$C$381,Dati!$A$2:$A$381,$H21,Dati!$H$2:$H$381,$Z21)+SUMIFS(Dati!$J$2:$J$381,Dati!$H$2:$H$381,$H21,Dati!$A$2:$A$381,$Z21),"-")</f>
        <v/>
      </c>
      <c r="BS21" s="22">
        <f>IF(AND($H21&lt;&gt;"",$AA21&lt;&gt;"",$H21&lt;&gt;$AA21,IFERROR(VLOOKUP($H21,areaCercaPuntiClassificaSquadra,3,FALSE),-1)=IFERROR(VLOOKUP($AA21,areaCercaPuntiClassificaSquadra,3,FALSE),-2)),SUMIFS(Dati!$D$2:$D$381,Dati!$A$2:$A$381,$H21,Dati!$H$2:$H$381,$AA21)+SUMIFS(Dati!$K$2:$K$381,Dati!$H$2:$H$381,$H21,Dati!$A$2:$A$381,$AA21)+SUMIFS(Dati!$C$2:$C$381,Dati!$A$2:$A$381,$H21,Dati!$H$2:$H$381,$AA21)+SUMIFS(Dati!$J$2:$J$381,Dati!$H$2:$H$381,$H21,Dati!$A$2:$A$381,$AA21),"-")</f>
        <v/>
      </c>
      <c r="BT21" s="22">
        <f>IF(AND($H21&lt;&gt;"",$AB21&lt;&gt;"",$H21&lt;&gt;$AB21,IFERROR(VLOOKUP($H21,areaCercaPuntiClassificaSquadra,3,FALSE),-1)=IFERROR(VLOOKUP($AB21,areaCercaPuntiClassificaSquadra,3,FALSE),-2)),SUMIFS(Dati!$D$2:$D$381,Dati!$A$2:$A$381,$H21,Dati!$H$2:$H$381,$AB21)+SUMIFS(Dati!$K$2:$K$381,Dati!$H$2:$H$381,$H21,Dati!$A$2:$A$381,$AB21)+SUMIFS(Dati!$C$2:$C$381,Dati!$A$2:$A$381,$H21,Dati!$H$2:$H$381,$AB21)+SUMIFS(Dati!$J$2:$J$381,Dati!$H$2:$H$381,$H21,Dati!$A$2:$A$381,$AB21),"-")</f>
        <v/>
      </c>
      <c r="BU21" s="22">
        <f>IF(AND($H21&lt;&gt;"",$AC21&lt;&gt;"",$H21&lt;&gt;$AC21,IFERROR(VLOOKUP($H21,areaCercaPuntiClassificaSquadra,3,FALSE),-1)=IFERROR(VLOOKUP($AC21,areaCercaPuntiClassificaSquadra,3,FALSE),-2)),SUMIFS(Dati!$D$2:$D$381,Dati!$A$2:$A$381,$H21,Dati!$H$2:$H$381,$AC21)+SUMIFS(Dati!$K$2:$K$381,Dati!$H$2:$H$381,$H21,Dati!$A$2:$A$381,$AC21)+SUMIFS(Dati!$C$2:$C$381,Dati!$A$2:$A$381,$H21,Dati!$H$2:$H$381,$AC21)+SUMIFS(Dati!$J$2:$J$381,Dati!$H$2:$H$381,$H21,Dati!$A$2:$A$381,$AC21),"-")</f>
        <v/>
      </c>
      <c r="BV21" s="22">
        <f>IF(AND($H21&lt;&gt;"",$AD21&lt;&gt;"",$H21&lt;&gt;$AD21,IFERROR(VLOOKUP($H21,areaCercaPuntiClassificaSquadra,3,FALSE),-1)=IFERROR(VLOOKUP($AD21,areaCercaPuntiClassificaSquadra,3,FALSE),-2)),SUMIFS(Dati!$D$2:$D$381,Dati!$A$2:$A$381,$H21,Dati!$H$2:$H$381,$AD21)+SUMIFS(Dati!$K$2:$K$381,Dati!$H$2:$H$381,$H21,Dati!$A$2:$A$381,$AD21)+SUMIFS(Dati!$C$2:$C$381,Dati!$A$2:$A$381,$H21,Dati!$H$2:$H$381,$AD21)+SUMIFS(Dati!$J$2:$J$381,Dati!$H$2:$H$381,$H21,Dati!$A$2:$A$381,$AD21),"-")</f>
        <v/>
      </c>
      <c r="BW21" s="22">
        <f>IF(AND($H21&lt;&gt;"",$AE21&lt;&gt;"",$H21&lt;&gt;$AE21,IFERROR(VLOOKUP($H21,areaCercaPuntiClassificaSquadra,3,FALSE),-1)=IFERROR(VLOOKUP($AE21,areaCercaPuntiClassificaSquadra,3,FALSE),-2)),SUMIFS(Dati!$D$2:$D$381,Dati!$A$2:$A$381,$H21,Dati!$H$2:$H$381,$AE21)+SUMIFS(Dati!$K$2:$K$381,Dati!$H$2:$H$381,$H21,Dati!$A$2:$A$381,$AE21)+SUMIFS(Dati!$C$2:$C$381,Dati!$A$2:$A$381,$H21,Dati!$H$2:$H$381,$AE21)+SUMIFS(Dati!$J$2:$J$381,Dati!$H$2:$H$381,$H21,Dati!$A$2:$A$381,$AE21),"-")</f>
        <v/>
      </c>
      <c r="BX21" s="22">
        <f>IF(AND($H21&lt;&gt;"",$AF21&lt;&gt;"",$H21&lt;&gt;$AF21,IFERROR(VLOOKUP($H21,areaCercaPuntiClassificaSquadra,3,FALSE),-1)=IFERROR(VLOOKUP($AF21,areaCercaPuntiClassificaSquadra,3,FALSE),-2)),SUMIFS(Dati!$D$2:$D$381,Dati!$A$2:$A$381,$H21,Dati!$H$2:$H$381,$AF21)+SUMIFS(Dati!$K$2:$K$381,Dati!$H$2:$H$381,$H21,Dati!$A$2:$A$381,$AF21)+SUMIFS(Dati!$C$2:$C$381,Dati!$A$2:$A$381,$H21,Dati!$H$2:$H$381,$AF21)+SUMIFS(Dati!$J$2:$J$381,Dati!$H$2:$H$381,$H21,Dati!$A$2:$A$381,$AF21),"-")</f>
        <v/>
      </c>
      <c r="BY21" s="22">
        <f>IF(AND($H21&lt;&gt;"",$AG21&lt;&gt;"",$H21&lt;&gt;$AG21,IFERROR(VLOOKUP($H21,areaCercaPuntiClassificaSquadra,3,FALSE),-1)=IFERROR(VLOOKUP($AG21,areaCercaPuntiClassificaSquadra,3,FALSE),-2)),SUMIFS(Dati!$D$2:$D$381,Dati!$A$2:$A$381,$H21,Dati!$H$2:$H$381,$AG21)+SUMIFS(Dati!$K$2:$K$381,Dati!$H$2:$H$381,$H21,Dati!$A$2:$A$381,$AG21)+SUMIFS(Dati!$C$2:$C$381,Dati!$A$2:$A$381,$H21,Dati!$H$2:$H$381,$AG21)+SUMIFS(Dati!$J$2:$J$381,Dati!$H$2:$H$381,$H21,Dati!$A$2:$A$381,$AG21),"-")</f>
        <v/>
      </c>
      <c r="BZ21" s="22">
        <f>IF(AND($H21&lt;&gt;"",$AH21&lt;&gt;"",$H21&lt;&gt;$AH21,IFERROR(VLOOKUP($H21,areaCercaPuntiClassificaSquadra,3,FALSE),-1)=IFERROR(VLOOKUP($AH21,areaCercaPuntiClassificaSquadra,3,FALSE),-2)),SUMIFS(Dati!$D$2:$D$381,Dati!$A$2:$A$381,$H21,Dati!$H$2:$H$381,$AH21)+SUMIFS(Dati!$K$2:$K$381,Dati!$H$2:$H$381,$H21,Dati!$A$2:$A$381,$AH21)+SUMIFS(Dati!$C$2:$C$381,Dati!$A$2:$A$381,$H21,Dati!$H$2:$H$381,$AH21)+SUMIFS(Dati!$J$2:$J$381,Dati!$H$2:$H$381,$H21,Dati!$A$2:$A$381,$AH21),"-")</f>
        <v/>
      </c>
      <c r="CA21" s="22">
        <f>IF(AND($H21&lt;&gt;"",$AI21&lt;&gt;"",$H21&lt;&gt;$AI21,IFERROR(VLOOKUP($H21,areaCercaPuntiClassificaSquadra,3,FALSE),-1)=IFERROR(VLOOKUP($AI21,areaCercaPuntiClassificaSquadra,3,FALSE),-2)),SUMIFS(Dati!$D$2:$D$381,Dati!$A$2:$A$381,$H21,Dati!$H$2:$H$381,$AI21)+SUMIFS(Dati!$K$2:$K$381,Dati!$H$2:$H$381,$H21,Dati!$A$2:$A$381,$AI21)+SUMIFS(Dati!$C$2:$C$381,Dati!$A$2:$A$381,$H21,Dati!$H$2:$H$381,$AI21)+SUMIFS(Dati!$J$2:$J$381,Dati!$H$2:$H$381,$H21,Dati!$A$2:$A$381,$AI21),"-")</f>
        <v/>
      </c>
      <c r="CB21" s="22">
        <f>IF(AND($H21&lt;&gt;"",$AJ21&lt;&gt;"",$H21&lt;&gt;$AJ21,IFERROR(VLOOKUP($H21,areaCercaPuntiClassificaSquadra,3,FALSE),-1)=IFERROR(VLOOKUP($AJ21,areaCercaPuntiClassificaSquadra,3,FALSE),-2)),SUMIFS(Dati!$D$2:$D$381,Dati!$A$2:$A$381,$H21,Dati!$H$2:$H$381,$AJ21)+SUMIFS(Dati!$K$2:$K$381,Dati!$H$2:$H$381,$H21,Dati!$A$2:$A$381,$AJ21)+SUMIFS(Dati!$C$2:$C$381,Dati!$A$2:$A$381,$H21,Dati!$H$2:$H$381,$AJ21)+SUMIFS(Dati!$J$2:$J$381,Dati!$H$2:$H$381,$H21,Dati!$A$2:$A$381,$AJ21),"-")</f>
        <v/>
      </c>
      <c r="CC21" s="22">
        <f>IF(AND($H21&lt;&gt;"",$AK21&lt;&gt;"",$H21&lt;&gt;$AK21,IFERROR(VLOOKUP($H21,areaCercaPuntiClassificaSquadra,3,FALSE),-1)=IFERROR(VLOOKUP($AK21,areaCercaPuntiClassificaSquadra,3,FALSE),-2)),SUMIFS(Dati!$D$2:$D$381,Dati!$A$2:$A$381,$H21,Dati!$H$2:$H$381,$AK21)+SUMIFS(Dati!$K$2:$K$381,Dati!$H$2:$H$381,$H21,Dati!$A$2:$A$381,$AK21)+SUMIFS(Dati!$C$2:$C$381,Dati!$A$2:$A$381,$H21,Dati!$H$2:$H$381,$AK21)+SUMIFS(Dati!$J$2:$J$381,Dati!$H$2:$H$381,$H21,Dati!$A$2:$A$381,$AK21),"-")</f>
        <v/>
      </c>
      <c r="CD21" s="22">
        <f>IF(AND($H21&lt;&gt;"",$AL21&lt;&gt;"",$H21&lt;&gt;$AL21,IFERROR(VLOOKUP($H21,areaCercaPuntiClassificaSquadra,3,FALSE),-1)=IFERROR(VLOOKUP($AL21,areaCercaPuntiClassificaSquadra,3,FALSE),-2)),SUMIFS(Dati!$D$2:$D$381,Dati!$A$2:$A$381,$H21,Dati!$H$2:$H$381,$AL21)+SUMIFS(Dati!$K$2:$K$381,Dati!$H$2:$H$381,$H21,Dati!$A$2:$A$381,$AL21)+SUMIFS(Dati!$C$2:$C$381,Dati!$A$2:$A$381,$H21,Dati!$H$2:$H$381,$AL21)+SUMIFS(Dati!$J$2:$J$381,Dati!$H$2:$H$381,$H21,Dati!$A$2:$A$381,$AL21),"-")</f>
        <v/>
      </c>
      <c r="CE21" s="22">
        <f>IF(AND($H21&lt;&gt;"",$AM21&lt;&gt;"",$H21&lt;&gt;$AM21,IFERROR(VLOOKUP($H21,areaCercaPuntiClassificaSquadra,3,FALSE),-1)=IFERROR(VLOOKUP($AM21,areaCercaPuntiClassificaSquadra,3,FALSE),-2)),SUMIFS(Dati!$D$2:$D$381,Dati!$A$2:$A$381,$H21,Dati!$H$2:$H$381,$AM21)+SUMIFS(Dati!$K$2:$K$381,Dati!$H$2:$H$381,$H21,Dati!$A$2:$A$381,$AM21)+SUMIFS(Dati!$C$2:$C$381,Dati!$A$2:$A$381,$H21,Dati!$H$2:$H$381,$AM21)+SUMIFS(Dati!$J$2:$J$381,Dati!$H$2:$H$381,$H21,Dati!$A$2:$A$381,$AM21),"-")</f>
        <v/>
      </c>
      <c r="CF21" s="22">
        <f>IF(AND($H21&lt;&gt;"",$AN21&lt;&gt;"",$H21&lt;&gt;$AN21,IFERROR(VLOOKUP($H21,areaCercaPuntiClassificaSquadra,3,FALSE),-1)=IFERROR(VLOOKUP($AN21,areaCercaPuntiClassificaSquadra,3,FALSE),-2)),SUMIFS(Dati!$D$2:$D$381,Dati!$A$2:$A$381,$H21,Dati!$H$2:$H$381,$AN21)+SUMIFS(Dati!$K$2:$K$381,Dati!$H$2:$H$381,$H21,Dati!$A$2:$A$381,$AN21)+SUMIFS(Dati!$C$2:$C$381,Dati!$A$2:$A$381,$H21,Dati!$H$2:$H$381,$AN21)+SUMIFS(Dati!$J$2:$J$381,Dati!$H$2:$H$381,$H21,Dati!$A$2:$A$381,$AN21),"-")</f>
        <v/>
      </c>
      <c r="CG21" s="22">
        <f>IF(AND($H21&lt;&gt;"",$AO21&lt;&gt;"",$H21&lt;&gt;$AO21,IFERROR(VLOOKUP($H21,areaCercaPuntiClassificaSquadra,3,FALSE),-1)=IFERROR(VLOOKUP($AO21,areaCercaPuntiClassificaSquadra,3,FALSE),-2)),SUMIFS(Dati!$D$2:$D$381,Dati!$A$2:$A$381,$H21,Dati!$H$2:$H$381,$AO21)+SUMIFS(Dati!$K$2:$K$381,Dati!$H$2:$H$381,$H21,Dati!$A$2:$A$381,$AO21)+SUMIFS(Dati!$C$2:$C$381,Dati!$A$2:$A$381,$H21,Dati!$H$2:$H$381,$AO21)+SUMIFS(Dati!$J$2:$J$381,Dati!$H$2:$H$381,$H21,Dati!$A$2:$A$381,$AO21),"-")</f>
        <v/>
      </c>
      <c r="CH21" s="22">
        <f>IF(AND($H21&lt;&gt;"",$AP21&lt;&gt;"",$H21&lt;&gt;$AP21,IFERROR(VLOOKUP($H21,areaCercaPuntiClassificaSquadra,3,FALSE),-1)=IFERROR(VLOOKUP($AP21,areaCercaPuntiClassificaSquadra,3,FALSE),-2)),SUMIFS(Dati!$D$2:$D$381,Dati!$A$2:$A$381,$H21,Dati!$H$2:$H$381,$AP21)+SUMIFS(Dati!$K$2:$K$381,Dati!$H$2:$H$381,$H21,Dati!$A$2:$A$381,$AP21)+SUMIFS(Dati!$C$2:$C$381,Dati!$A$2:$A$381,$H21,Dati!$H$2:$H$381,$AP21)+SUMIFS(Dati!$J$2:$J$381,Dati!$H$2:$H$381,$H21,Dati!$A$2:$A$381,$AP21),"-")</f>
        <v/>
      </c>
      <c r="CI21" s="22">
        <f>IF(AND($H21&lt;&gt;"",$AQ21&lt;&gt;"",$H21&lt;&gt;$AQ21,IFERROR(VLOOKUP($H21,areaCercaPuntiClassificaSquadra,3,FALSE),-1)=IFERROR(VLOOKUP($AQ21,areaCercaPuntiClassificaSquadra,3,FALSE),-2)),SUMIFS(Dati!$D$2:$D$381,Dati!$A$2:$A$381,$H21,Dati!$H$2:$H$381,$AQ21)+SUMIFS(Dati!$K$2:$K$381,Dati!$H$2:$H$381,$H21,Dati!$A$2:$A$381,$AQ21)+SUMIFS(Dati!$C$2:$C$381,Dati!$A$2:$A$381,$H21,Dati!$H$2:$H$381,$AQ21)+SUMIFS(Dati!$J$2:$J$381,Dati!$H$2:$H$381,$H21,Dati!$A$2:$A$381,$AQ21),"-")</f>
        <v/>
      </c>
      <c r="CJ21" s="22">
        <f>IF(AND($H21&lt;&gt;"",$AR21&lt;&gt;"",$H21&lt;&gt;$AR21,IFERROR(VLOOKUP($H21,areaCercaPuntiClassificaSquadra,3,FALSE),-1)=IFERROR(VLOOKUP($AR21,areaCercaPuntiClassificaSquadra,3,FALSE),-2)),SUMIFS(Dati!$D$2:$D$381,Dati!$A$2:$A$381,$H21,Dati!$H$2:$H$381,$AR21)+SUMIFS(Dati!$K$2:$K$381,Dati!$H$2:$H$381,$H21,Dati!$A$2:$A$381,$AR21)+SUMIFS(Dati!$C$2:$C$381,Dati!$A$2:$A$381,$H21,Dati!$H$2:$H$381,$AR21)+SUMIFS(Dati!$J$2:$J$381,Dati!$H$2:$H$381,$H21,Dati!$A$2:$A$381,$AR21),"-")</f>
        <v/>
      </c>
      <c r="CL21" s="21">
        <f>$C21</f>
        <v/>
      </c>
      <c r="CM21" s="22">
        <f>IF(AND($H21&lt;&gt;"",$Y21&lt;&gt;"",$H21&lt;&gt;$Y21,IFERROR(VLOOKUP($H21,areaCercaPuntiClassificaSquadra,3,FALSE),-1)=IFERROR(VLOOKUP($Y21,areaCercaPuntiClassificaSquadra,3,FALSE),-2)),SUMIFS(Dati!$E$2:$E$381,Dati!$A$2:$A$381,$H21,Dati!$H$2:$H$381,$Y21)+SUMIFS(Dati!$L$2:$L$381,Dati!$H$2:$H$381,$H21,Dati!$A$2:$A$381,$Y21),"-")</f>
        <v/>
      </c>
      <c r="CN21" s="22">
        <f>IF(AND($H21&lt;&gt;"",$Z21&lt;&gt;"",$H21&lt;&gt;$Z21,IFERROR(VLOOKUP($H21,areaCercaPuntiClassificaSquadra,3,FALSE),-1)=IFERROR(VLOOKUP($Z21,areaCercaPuntiClassificaSquadra,3,FALSE),-2)),SUMIFS(Dati!$E$2:$E$381,Dati!$A$2:$A$381,$H21,Dati!$H$2:$H$381,$Z21)+SUMIFS(Dati!$L$2:$L$381,Dati!$H$2:$H$381,$H21,Dati!$A$2:$A$381,$Z21),"-")</f>
        <v/>
      </c>
      <c r="CO21" s="22">
        <f>IF(AND($H21&lt;&gt;"",$AA21&lt;&gt;"",$H21&lt;&gt;$AA21,IFERROR(VLOOKUP($H21,areaCercaPuntiClassificaSquadra,3,FALSE),-1)=IFERROR(VLOOKUP($AA21,areaCercaPuntiClassificaSquadra,3,FALSE),-2)),SUMIFS(Dati!$E$2:$E$381,Dati!$A$2:$A$381,$H21,Dati!$H$2:$H$381,$AA21)+SUMIFS(Dati!$L$2:$L$381,Dati!$H$2:$H$381,$H21,Dati!$A$2:$A$381,$AA21),"-")</f>
        <v/>
      </c>
      <c r="CP21" s="22">
        <f>IF(AND($H21&lt;&gt;"",$AB21&lt;&gt;"",$H21&lt;&gt;$AB21,IFERROR(VLOOKUP($H21,areaCercaPuntiClassificaSquadra,3,FALSE),-1)=IFERROR(VLOOKUP($AB21,areaCercaPuntiClassificaSquadra,3,FALSE),-2)),SUMIFS(Dati!$E$2:$E$381,Dati!$A$2:$A$381,$H21,Dati!$H$2:$H$381,$AB21)+SUMIFS(Dati!$L$2:$L$381,Dati!$H$2:$H$381,$H21,Dati!$A$2:$A$381,$AB21),"-")</f>
        <v/>
      </c>
      <c r="CQ21" s="22">
        <f>IF(AND($H21&lt;&gt;"",$AC21&lt;&gt;"",$H21&lt;&gt;$AC21,IFERROR(VLOOKUP($H21,areaCercaPuntiClassificaSquadra,3,FALSE),-1)=IFERROR(VLOOKUP($AC21,areaCercaPuntiClassificaSquadra,3,FALSE),-2)),SUMIFS(Dati!$E$2:$E$381,Dati!$A$2:$A$381,$H21,Dati!$H$2:$H$381,$AC21)+SUMIFS(Dati!$L$2:$L$381,Dati!$H$2:$H$381,$H21,Dati!$A$2:$A$381,$AC21),"-")</f>
        <v/>
      </c>
      <c r="CR21" s="22">
        <f>IF(AND($H21&lt;&gt;"",$AD21&lt;&gt;"",$H21&lt;&gt;$AD21,IFERROR(VLOOKUP($H21,areaCercaPuntiClassificaSquadra,3,FALSE),-1)=IFERROR(VLOOKUP($AD21,areaCercaPuntiClassificaSquadra,3,FALSE),-2)),SUMIFS(Dati!$E$2:$E$381,Dati!$A$2:$A$381,$H21,Dati!$H$2:$H$381,$AD21)+SUMIFS(Dati!$L$2:$L$381,Dati!$H$2:$H$381,$H21,Dati!$A$2:$A$381,$AD21),"-")</f>
        <v/>
      </c>
      <c r="CS21" s="22">
        <f>IF(AND($H21&lt;&gt;"",$AE21&lt;&gt;"",$H21&lt;&gt;$AE21,IFERROR(VLOOKUP($H21,areaCercaPuntiClassificaSquadra,3,FALSE),-1)=IFERROR(VLOOKUP($AE21,areaCercaPuntiClassificaSquadra,3,FALSE),-2)),SUMIFS(Dati!$E$2:$E$381,Dati!$A$2:$A$381,$H21,Dati!$H$2:$H$381,$AE21)+SUMIFS(Dati!$L$2:$L$381,Dati!$H$2:$H$381,$H21,Dati!$A$2:$A$381,$AE21),"-")</f>
        <v/>
      </c>
      <c r="CT21" s="22">
        <f>IF(AND($H21&lt;&gt;"",$AF21&lt;&gt;"",$H21&lt;&gt;$AF21,IFERROR(VLOOKUP($H21,areaCercaPuntiClassificaSquadra,3,FALSE),-1)=IFERROR(VLOOKUP($AF21,areaCercaPuntiClassificaSquadra,3,FALSE),-2)),SUMIFS(Dati!$E$2:$E$381,Dati!$A$2:$A$381,$H21,Dati!$H$2:$H$381,$AF21)+SUMIFS(Dati!$L$2:$L$381,Dati!$H$2:$H$381,$H21,Dati!$A$2:$A$381,$AF21),"-")</f>
        <v/>
      </c>
      <c r="CU21" s="22">
        <f>IF(AND($H21&lt;&gt;"",$AG21&lt;&gt;"",$H21&lt;&gt;$AG21,IFERROR(VLOOKUP($H21,areaCercaPuntiClassificaSquadra,3,FALSE),-1)=IFERROR(VLOOKUP($AG21,areaCercaPuntiClassificaSquadra,3,FALSE),-2)),SUMIFS(Dati!$E$2:$E$381,Dati!$A$2:$A$381,$H21,Dati!$H$2:$H$381,$AG21)+SUMIFS(Dati!$L$2:$L$381,Dati!$H$2:$H$381,$H21,Dati!$A$2:$A$381,$AG21),"-")</f>
        <v/>
      </c>
      <c r="CV21" s="22">
        <f>IF(AND($H21&lt;&gt;"",$AH21&lt;&gt;"",$H21&lt;&gt;$AH21,IFERROR(VLOOKUP($H21,areaCercaPuntiClassificaSquadra,3,FALSE),-1)=IFERROR(VLOOKUP($AH21,areaCercaPuntiClassificaSquadra,3,FALSE),-2)),SUMIFS(Dati!$E$2:$E$381,Dati!$A$2:$A$381,$H21,Dati!$H$2:$H$381,$AH21)+SUMIFS(Dati!$L$2:$L$381,Dati!$H$2:$H$381,$H21,Dati!$A$2:$A$381,$AH21),"-")</f>
        <v/>
      </c>
      <c r="CW21" s="22">
        <f>IF(AND($H21&lt;&gt;"",$AI21&lt;&gt;"",$H21&lt;&gt;$AI21,IFERROR(VLOOKUP($H21,areaCercaPuntiClassificaSquadra,3,FALSE),-1)=IFERROR(VLOOKUP($AI21,areaCercaPuntiClassificaSquadra,3,FALSE),-2)),SUMIFS(Dati!$E$2:$E$381,Dati!$A$2:$A$381,$H21,Dati!$H$2:$H$381,$AI21)+SUMIFS(Dati!$L$2:$L$381,Dati!$H$2:$H$381,$H21,Dati!$A$2:$A$381,$AI21),"-")</f>
        <v/>
      </c>
      <c r="CX21" s="22">
        <f>IF(AND($H21&lt;&gt;"",$AJ21&lt;&gt;"",$H21&lt;&gt;$AJ21,IFERROR(VLOOKUP($H21,areaCercaPuntiClassificaSquadra,3,FALSE),-1)=IFERROR(VLOOKUP($AJ21,areaCercaPuntiClassificaSquadra,3,FALSE),-2)),SUMIFS(Dati!$E$2:$E$381,Dati!$A$2:$A$381,$H21,Dati!$H$2:$H$381,$AJ21)+SUMIFS(Dati!$L$2:$L$381,Dati!$H$2:$H$381,$H21,Dati!$A$2:$A$381,$AJ21),"-")</f>
        <v/>
      </c>
      <c r="CY21" s="22">
        <f>IF(AND($H21&lt;&gt;"",$AK21&lt;&gt;"",$H21&lt;&gt;$AK21,IFERROR(VLOOKUP($H21,areaCercaPuntiClassificaSquadra,3,FALSE),-1)=IFERROR(VLOOKUP($AK21,areaCercaPuntiClassificaSquadra,3,FALSE),-2)),SUMIFS(Dati!$E$2:$E$381,Dati!$A$2:$A$381,$H21,Dati!$H$2:$H$381,$AK21)+SUMIFS(Dati!$L$2:$L$381,Dati!$H$2:$H$381,$H21,Dati!$A$2:$A$381,$AK21),"-")</f>
        <v/>
      </c>
      <c r="CZ21" s="22">
        <f>IF(AND($H21&lt;&gt;"",$AL21&lt;&gt;"",$H21&lt;&gt;$AL21,IFERROR(VLOOKUP($H21,areaCercaPuntiClassificaSquadra,3,FALSE),-1)=IFERROR(VLOOKUP($AL21,areaCercaPuntiClassificaSquadra,3,FALSE),-2)),SUMIFS(Dati!$E$2:$E$381,Dati!$A$2:$A$381,$H21,Dati!$H$2:$H$381,$AL21)+SUMIFS(Dati!$L$2:$L$381,Dati!$H$2:$H$381,$H21,Dati!$A$2:$A$381,$AL21),"-")</f>
        <v/>
      </c>
      <c r="DA21" s="22">
        <f>IF(AND($H21&lt;&gt;"",$AM21&lt;&gt;"",$H21&lt;&gt;$AM21,IFERROR(VLOOKUP($H21,areaCercaPuntiClassificaSquadra,3,FALSE),-1)=IFERROR(VLOOKUP($AM21,areaCercaPuntiClassificaSquadra,3,FALSE),-2)),SUMIFS(Dati!$E$2:$E$381,Dati!$A$2:$A$381,$H21,Dati!$H$2:$H$381,$AM21)+SUMIFS(Dati!$L$2:$L$381,Dati!$H$2:$H$381,$H21,Dati!$A$2:$A$381,$AM21),"-")</f>
        <v/>
      </c>
      <c r="DB21" s="22">
        <f>IF(AND($H21&lt;&gt;"",$AN21&lt;&gt;"",$H21&lt;&gt;$AN21,IFERROR(VLOOKUP($H21,areaCercaPuntiClassificaSquadra,3,FALSE),-1)=IFERROR(VLOOKUP($AN21,areaCercaPuntiClassificaSquadra,3,FALSE),-2)),SUMIFS(Dati!$E$2:$E$381,Dati!$A$2:$A$381,$H21,Dati!$H$2:$H$381,$AN21)+SUMIFS(Dati!$L$2:$L$381,Dati!$H$2:$H$381,$H21,Dati!$A$2:$A$381,$AN21),"-")</f>
        <v/>
      </c>
      <c r="DC21" s="22">
        <f>IF(AND($H21&lt;&gt;"",$AO21&lt;&gt;"",$H21&lt;&gt;$AO21,IFERROR(VLOOKUP($H21,areaCercaPuntiClassificaSquadra,3,FALSE),-1)=IFERROR(VLOOKUP($AO21,areaCercaPuntiClassificaSquadra,3,FALSE),-2)),SUMIFS(Dati!$E$2:$E$381,Dati!$A$2:$A$381,$H21,Dati!$H$2:$H$381,$AO21)+SUMIFS(Dati!$L$2:$L$381,Dati!$H$2:$H$381,$H21,Dati!$A$2:$A$381,$AO21),"-")</f>
        <v/>
      </c>
      <c r="DD21" s="22">
        <f>IF(AND($H21&lt;&gt;"",$AP21&lt;&gt;"",$H21&lt;&gt;$AP21,IFERROR(VLOOKUP($H21,areaCercaPuntiClassificaSquadra,3,FALSE),-1)=IFERROR(VLOOKUP($AP21,areaCercaPuntiClassificaSquadra,3,FALSE),-2)),SUMIFS(Dati!$E$2:$E$381,Dati!$A$2:$A$381,$H21,Dati!$H$2:$H$381,$AP21)+SUMIFS(Dati!$L$2:$L$381,Dati!$H$2:$H$381,$H21,Dati!$A$2:$A$381,$AP21),"-")</f>
        <v/>
      </c>
      <c r="DE21" s="22">
        <f>IF(AND($H21&lt;&gt;"",$AQ21&lt;&gt;"",$H21&lt;&gt;$AQ21,IFERROR(VLOOKUP($H21,areaCercaPuntiClassificaSquadra,3,FALSE),-1)=IFERROR(VLOOKUP($AQ21,areaCercaPuntiClassificaSquadra,3,FALSE),-2)),SUMIFS(Dati!$E$2:$E$381,Dati!$A$2:$A$381,$H21,Dati!$H$2:$H$381,$AQ21)+SUMIFS(Dati!$L$2:$L$381,Dati!$H$2:$H$381,$H21,Dati!$A$2:$A$381,$AQ21),"-")</f>
        <v/>
      </c>
      <c r="DF21" s="22">
        <f>IF(AND($H21&lt;&gt;"",$AR21&lt;&gt;"",$H21&lt;&gt;$AR21,IFERROR(VLOOKUP($H21,areaCercaPuntiClassificaSquadra,3,FALSE),-1)=IFERROR(VLOOKUP($AR21,areaCercaPuntiClassificaSquadra,3,FALSE),-2)),SUMIFS(Dati!$E$2:$E$381,Dati!$A$2:$A$381,$H21,Dati!$H$2:$H$381,$AR21)+SUMIFS(Dati!$L$2:$L$381,Dati!$H$2:$H$381,$H21,Dati!$A$2:$A$381,$AR21),"-")</f>
        <v/>
      </c>
      <c r="DH21" s="21">
        <f>$C21</f>
        <v/>
      </c>
      <c r="DI21" s="22">
        <f>IF(AND($H21&lt;&gt;"",$Y21&lt;&gt;"",$H21&lt;&gt;$Y21,IFERROR(VLOOKUP($H21,areaCercaPuntiClassificaSquadra,3,FALSE),-1)=IFERROR(VLOOKUP($Y21,areaCercaPuntiClassificaSquadra,3,FALSE),-2)),SUMIFS(Dati!$F$2:$F$381,Dati!$A$2:$A$381,$H21,Dati!$H$2:$H$381,$Y21)+SUMIFS(Dati!$M$2:$M$381,Dati!$H$2:$H$381,$H21,Dati!$A$2:$A$381,$Y21),"-")</f>
        <v/>
      </c>
      <c r="DJ21" s="22">
        <f>IF(AND($H21&lt;&gt;"",$Z21&lt;&gt;"",$H21&lt;&gt;$Z21,IFERROR(VLOOKUP($H21,areaCercaPuntiClassificaSquadra,3,FALSE),-1)=IFERROR(VLOOKUP($Z21,areaCercaPuntiClassificaSquadra,3,FALSE),-2)),SUMIFS(Dati!$F$2:$F$381,Dati!$A$2:$A$381,$H21,Dati!$H$2:$H$381,$Z21)+SUMIFS(Dati!$M$2:$M$381,Dati!$H$2:$H$381,$H21,Dati!$A$2:$A$381,$Z21),"-")</f>
        <v/>
      </c>
      <c r="DK21" s="22">
        <f>IF(AND($H21&lt;&gt;"",$AA21&lt;&gt;"",$H21&lt;&gt;$AA21,IFERROR(VLOOKUP($H21,areaCercaPuntiClassificaSquadra,3,FALSE),-1)=IFERROR(VLOOKUP($AA21,areaCercaPuntiClassificaSquadra,3,FALSE),-2)),SUMIFS(Dati!$F$2:$F$381,Dati!$A$2:$A$381,$H21,Dati!$H$2:$H$381,$AA21)+SUMIFS(Dati!$M$2:$M$381,Dati!$H$2:$H$381,$H21,Dati!$A$2:$A$381,$AA21),"-")</f>
        <v/>
      </c>
      <c r="DL21" s="22">
        <f>IF(AND($H21&lt;&gt;"",$AB21&lt;&gt;"",$H21&lt;&gt;$AB21,IFERROR(VLOOKUP($H21,areaCercaPuntiClassificaSquadra,3,FALSE),-1)=IFERROR(VLOOKUP($AB21,areaCercaPuntiClassificaSquadra,3,FALSE),-2)),SUMIFS(Dati!$F$2:$F$381,Dati!$A$2:$A$381,$H21,Dati!$H$2:$H$381,$AB21)+SUMIFS(Dati!$M$2:$M$381,Dati!$H$2:$H$381,$H21,Dati!$A$2:$A$381,$AB21),"-")</f>
        <v/>
      </c>
      <c r="DM21" s="22">
        <f>IF(AND($H21&lt;&gt;"",$AC21&lt;&gt;"",$H21&lt;&gt;$AC21,IFERROR(VLOOKUP($H21,areaCercaPuntiClassificaSquadra,3,FALSE),-1)=IFERROR(VLOOKUP($AC21,areaCercaPuntiClassificaSquadra,3,FALSE),-2)),SUMIFS(Dati!$F$2:$F$381,Dati!$A$2:$A$381,$H21,Dati!$H$2:$H$381,$AC21)+SUMIFS(Dati!$M$2:$M$381,Dati!$H$2:$H$381,$H21,Dati!$A$2:$A$381,$AC21),"-")</f>
        <v/>
      </c>
      <c r="DN21" s="22">
        <f>IF(AND($H21&lt;&gt;"",$AD21&lt;&gt;"",$H21&lt;&gt;$AD21,IFERROR(VLOOKUP($H21,areaCercaPuntiClassificaSquadra,3,FALSE),-1)=IFERROR(VLOOKUP($AD21,areaCercaPuntiClassificaSquadra,3,FALSE),-2)),SUMIFS(Dati!$F$2:$F$381,Dati!$A$2:$A$381,$H21,Dati!$H$2:$H$381,$AD21)+SUMIFS(Dati!$M$2:$M$381,Dati!$H$2:$H$381,$H21,Dati!$A$2:$A$381,$AD21),"-")</f>
        <v/>
      </c>
      <c r="DO21" s="22">
        <f>IF(AND($H21&lt;&gt;"",$AE21&lt;&gt;"",$H21&lt;&gt;$AE21,IFERROR(VLOOKUP($H21,areaCercaPuntiClassificaSquadra,3,FALSE),-1)=IFERROR(VLOOKUP($AE21,areaCercaPuntiClassificaSquadra,3,FALSE),-2)),SUMIFS(Dati!$F$2:$F$381,Dati!$A$2:$A$381,$H21,Dati!$H$2:$H$381,$AE21)+SUMIFS(Dati!$M$2:$M$381,Dati!$H$2:$H$381,$H21,Dati!$A$2:$A$381,$AE21),"-")</f>
        <v/>
      </c>
      <c r="DP21" s="22">
        <f>IF(AND($H21&lt;&gt;"",$AF21&lt;&gt;"",$H21&lt;&gt;$AF21,IFERROR(VLOOKUP($H21,areaCercaPuntiClassificaSquadra,3,FALSE),-1)=IFERROR(VLOOKUP($AF21,areaCercaPuntiClassificaSquadra,3,FALSE),-2)),SUMIFS(Dati!$F$2:$F$381,Dati!$A$2:$A$381,$H21,Dati!$H$2:$H$381,$AF21)+SUMIFS(Dati!$M$2:$M$381,Dati!$H$2:$H$381,$H21,Dati!$A$2:$A$381,$AF21),"-")</f>
        <v/>
      </c>
      <c r="DQ21" s="22">
        <f>IF(AND($H21&lt;&gt;"",$AG21&lt;&gt;"",$H21&lt;&gt;$AG21,IFERROR(VLOOKUP($H21,areaCercaPuntiClassificaSquadra,3,FALSE),-1)=IFERROR(VLOOKUP($AG21,areaCercaPuntiClassificaSquadra,3,FALSE),-2)),SUMIFS(Dati!$F$2:$F$381,Dati!$A$2:$A$381,$H21,Dati!$H$2:$H$381,$AG21)+SUMIFS(Dati!$M$2:$M$381,Dati!$H$2:$H$381,$H21,Dati!$A$2:$A$381,$AG21),"-")</f>
        <v/>
      </c>
      <c r="DR21" s="22">
        <f>IF(AND($H21&lt;&gt;"",$AH21&lt;&gt;"",$H21&lt;&gt;$AH21,IFERROR(VLOOKUP($H21,areaCercaPuntiClassificaSquadra,3,FALSE),-1)=IFERROR(VLOOKUP($AH21,areaCercaPuntiClassificaSquadra,3,FALSE),-2)),SUMIFS(Dati!$F$2:$F$381,Dati!$A$2:$A$381,$H21,Dati!$H$2:$H$381,$AH21)+SUMIFS(Dati!$M$2:$M$381,Dati!$H$2:$H$381,$H21,Dati!$A$2:$A$381,$AH21),"-")</f>
        <v/>
      </c>
      <c r="DS21" s="22">
        <f>IF(AND($H21&lt;&gt;"",$AI21&lt;&gt;"",$H21&lt;&gt;$AI21,IFERROR(VLOOKUP($H21,areaCercaPuntiClassificaSquadra,3,FALSE),-1)=IFERROR(VLOOKUP($AI21,areaCercaPuntiClassificaSquadra,3,FALSE),-2)),SUMIFS(Dati!$F$2:$F$381,Dati!$A$2:$A$381,$H21,Dati!$H$2:$H$381,$AI21)+SUMIFS(Dati!$M$2:$M$381,Dati!$H$2:$H$381,$H21,Dati!$A$2:$A$381,$AI21),"-")</f>
        <v/>
      </c>
      <c r="DT21" s="22">
        <f>IF(AND($H21&lt;&gt;"",$AJ21&lt;&gt;"",$H21&lt;&gt;$AJ21,IFERROR(VLOOKUP($H21,areaCercaPuntiClassificaSquadra,3,FALSE),-1)=IFERROR(VLOOKUP($AJ21,areaCercaPuntiClassificaSquadra,3,FALSE),-2)),SUMIFS(Dati!$F$2:$F$381,Dati!$A$2:$A$381,$H21,Dati!$H$2:$H$381,$AJ21)+SUMIFS(Dati!$M$2:$M$381,Dati!$H$2:$H$381,$H21,Dati!$A$2:$A$381,$AJ21),"-")</f>
        <v/>
      </c>
      <c r="DU21" s="22">
        <f>IF(AND($H21&lt;&gt;"",$AK21&lt;&gt;"",$H21&lt;&gt;$AK21,IFERROR(VLOOKUP($H21,areaCercaPuntiClassificaSquadra,3,FALSE),-1)=IFERROR(VLOOKUP($AK21,areaCercaPuntiClassificaSquadra,3,FALSE),-2)),SUMIFS(Dati!$F$2:$F$381,Dati!$A$2:$A$381,$H21,Dati!$H$2:$H$381,$AK21)+SUMIFS(Dati!$M$2:$M$381,Dati!$H$2:$H$381,$H21,Dati!$A$2:$A$381,$AK21),"-")</f>
        <v/>
      </c>
      <c r="DV21" s="22">
        <f>IF(AND($H21&lt;&gt;"",$AL21&lt;&gt;"",$H21&lt;&gt;$AL21,IFERROR(VLOOKUP($H21,areaCercaPuntiClassificaSquadra,3,FALSE),-1)=IFERROR(VLOOKUP($AL21,areaCercaPuntiClassificaSquadra,3,FALSE),-2)),SUMIFS(Dati!$F$2:$F$381,Dati!$A$2:$A$381,$H21,Dati!$H$2:$H$381,$AL21)+SUMIFS(Dati!$M$2:$M$381,Dati!$H$2:$H$381,$H21,Dati!$A$2:$A$381,$AL21),"-")</f>
        <v/>
      </c>
      <c r="DW21" s="22">
        <f>IF(AND($H21&lt;&gt;"",$AM21&lt;&gt;"",$H21&lt;&gt;$AM21,IFERROR(VLOOKUP($H21,areaCercaPuntiClassificaSquadra,3,FALSE),-1)=IFERROR(VLOOKUP($AM21,areaCercaPuntiClassificaSquadra,3,FALSE),-2)),SUMIFS(Dati!$F$2:$F$381,Dati!$A$2:$A$381,$H21,Dati!$H$2:$H$381,$AM21)+SUMIFS(Dati!$M$2:$M$381,Dati!$H$2:$H$381,$H21,Dati!$A$2:$A$381,$AM21),"-")</f>
        <v/>
      </c>
      <c r="DX21" s="22">
        <f>IF(AND($H21&lt;&gt;"",$AN21&lt;&gt;"",$H21&lt;&gt;$AN21,IFERROR(VLOOKUP($H21,areaCercaPuntiClassificaSquadra,3,FALSE),-1)=IFERROR(VLOOKUP($AN21,areaCercaPuntiClassificaSquadra,3,FALSE),-2)),SUMIFS(Dati!$F$2:$F$381,Dati!$A$2:$A$381,$H21,Dati!$H$2:$H$381,$AN21)+SUMIFS(Dati!$M$2:$M$381,Dati!$H$2:$H$381,$H21,Dati!$A$2:$A$381,$AN21),"-")</f>
        <v/>
      </c>
      <c r="DY21" s="22">
        <f>IF(AND($H21&lt;&gt;"",$AO21&lt;&gt;"",$H21&lt;&gt;$AO21,IFERROR(VLOOKUP($H21,areaCercaPuntiClassificaSquadra,3,FALSE),-1)=IFERROR(VLOOKUP($AO21,areaCercaPuntiClassificaSquadra,3,FALSE),-2)),SUMIFS(Dati!$F$2:$F$381,Dati!$A$2:$A$381,$H21,Dati!$H$2:$H$381,$AO21)+SUMIFS(Dati!$M$2:$M$381,Dati!$H$2:$H$381,$H21,Dati!$A$2:$A$381,$AO21),"-")</f>
        <v/>
      </c>
      <c r="DZ21" s="22">
        <f>IF(AND($H21&lt;&gt;"",$AP21&lt;&gt;"",$H21&lt;&gt;$AP21,IFERROR(VLOOKUP($H21,areaCercaPuntiClassificaSquadra,3,FALSE),-1)=IFERROR(VLOOKUP($AP21,areaCercaPuntiClassificaSquadra,3,FALSE),-2)),SUMIFS(Dati!$F$2:$F$381,Dati!$A$2:$A$381,$H21,Dati!$H$2:$H$381,$AP21)+SUMIFS(Dati!$M$2:$M$381,Dati!$H$2:$H$381,$H21,Dati!$A$2:$A$381,$AP21),"-")</f>
        <v/>
      </c>
      <c r="EA21" s="22">
        <f>IF(AND($H21&lt;&gt;"",$AQ21&lt;&gt;"",$H21&lt;&gt;$AQ21,IFERROR(VLOOKUP($H21,areaCercaPuntiClassificaSquadra,3,FALSE),-1)=IFERROR(VLOOKUP($AQ21,areaCercaPuntiClassificaSquadra,3,FALSE),-2)),SUMIFS(Dati!$F$2:$F$381,Dati!$A$2:$A$381,$H21,Dati!$H$2:$H$381,$AQ21)+SUMIFS(Dati!$M$2:$M$381,Dati!$H$2:$H$381,$H21,Dati!$A$2:$A$381,$AQ21),"-")</f>
        <v/>
      </c>
      <c r="EB21" s="22">
        <f>IF(AND($H21&lt;&gt;"",$AR21&lt;&gt;"",$H21&lt;&gt;$AR21,IFERROR(VLOOKUP($H21,areaCercaPuntiClassificaSquadra,3,FALSE),-1)=IFERROR(VLOOKUP($AR21,areaCercaPuntiClassificaSquadra,3,FALSE),-2)),SUMIFS(Dati!$F$2:$F$381,Dati!$A$2:$A$381,$H21,Dati!$H$2:$H$381,$AR21)+SUMIFS(Dati!$M$2:$M$381,Dati!$H$2:$H$381,$H21,Dati!$A$2:$A$381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inlineStr">
        <is>
          <t>Lupi Leali-Lupiopoli LO</t>
        </is>
      </c>
      <c r="D22" s="14" t="n"/>
      <c r="E22" s="15" t="inlineStr">
        <is>
          <t>A</t>
        </is>
      </c>
      <c r="G22" s="16">
        <f>IF($C22="","",$E22&amp;(COUNTIFS(I$14:I$53,"&gt;"&amp;I22,E$14:E$53,"="&amp;E22,C$14:C$53,"&lt;&gt;")+COUNTIFS(I$14:I$53,"="&amp;I22,H$14:H$53,"&lt;="&amp;H22,E$14:E$53,"="&amp;E22,C$14:C$53,"&lt;&gt;")))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L22*constPuntiVittoria+M22*constPuntiSconfitta+N22*constPuntiForfait+IF(D22="",0,D22)</f>
        <v/>
      </c>
      <c r="K22" s="12">
        <f>SUM(L22:N22)</f>
        <v/>
      </c>
      <c r="L22" s="12">
        <f>IF($H22="",0,SUMIF(Dati!$A$2:$A$381,$H22,Dati!$B$2:$B$381)+SUMIF(Dati!$H$2:$H$381,$H22,Dati!$I$2:$I$381))</f>
        <v/>
      </c>
      <c r="M22" s="12">
        <f>IF($H22="",0,SUMIF(Dati!$A$2:$A$381,$H22,Dati!$D$2:$D$381)+SUMIF(Dati!$H$2:$H$381,$H22,Dati!$K$2:$K$381))</f>
        <v/>
      </c>
      <c r="N22" s="12">
        <f>IF($H22="",0,SUMIF(Dati!$A$2:$A$381,$H22,Dati!$C$2:$C$381)+SUMIF(Dati!$H$2:$H$381,$H22,Dati!$J$2:$J$381))</f>
        <v/>
      </c>
      <c r="O22" s="12">
        <f>IF($H22="",0,SUMIF(Dati!$A$2:$A$381,$H22,Dati!$E$2:$E$381)+SUMIF(Dati!$H$2:$H$381,$H22,Dati!$L$2:$L$381))</f>
        <v/>
      </c>
      <c r="P22" s="12">
        <f>IF($H22="",0,SUMIF(Dati!$A$2:$A$381,$H22,Dati!$F$2:$F$381)+SUMIF(Dati!$H$2:$H$381,$H22,Dati!$M$2:$M$381))</f>
        <v/>
      </c>
      <c r="Q22" s="12">
        <f>IF($H22="",0,SUMIF(Dati!$A$2:$A$381,$H22,Dati!$G$2:$G$381)+SUMIF(Dati!$H$2:$H$381,$H22,Dati!$N$2:$N$381))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IF(COUNTIFS($E$14:$E$53,$E22,$J$14:$J$53,$J22,$C$14:$C$53,"&lt;&gt;")&lt;=1,"-",SUM(AU22:BN22)&amp;"-"&amp;SUM(BQ22:CJ22))</f>
        <v/>
      </c>
      <c r="V22" s="18">
        <f>IF(COUNTIFS($E$14:$E$53,$E22,$J$14:$J$53,$J22,$C$14:$C$53,"&lt;&gt;",$ED$14:$ED$53,$ED22)&lt;=1,"-",IF(SUM(DI22:EB22)=0,0,ROUND(SUM(CM22:DF22)/SUM(DI22:EB22),3)))</f>
        <v/>
      </c>
      <c r="W22" s="18">
        <f>IF(COUNTIFS($E$14:$E$53,$E22,$J$14:$J$53,$J22,$C$14:$C$53,"&lt;&gt;",$ED$14:$ED$53,$ED22,$V$14:$V$53,$V22)&lt;=1,"-",IF(P22=0,0,ROUND(O22/P22,3)))</f>
        <v/>
      </c>
      <c r="X22" s="19">
        <f>IF($C22="","",$E22&amp;"#"&amp;COUNTIFS($E$14:$E22,$E22,$C$14:$C22,"&lt;&gt;"))</f>
        <v/>
      </c>
      <c r="Y22" s="20">
        <f>IFERROR(INDEX($H$14:$H$53,MATCH($E22&amp;"#1",$X$14:$X$53,0)),"")</f>
        <v/>
      </c>
      <c r="Z22" s="20">
        <f>IFERROR(INDEX($H$14:$H$53,MATCH($E22&amp;"#2",$X$14:$X$53,0)),"")</f>
        <v/>
      </c>
      <c r="AA22" s="20">
        <f>IFERROR(INDEX($H$14:$H$53,MATCH($E22&amp;"#3",$X$14:$X$53,0)),"")</f>
        <v/>
      </c>
      <c r="AB22" s="20">
        <f>IFERROR(INDEX($H$14:$H$53,MATCH($E22&amp;"#4",$X$14:$X$53,0)),"")</f>
        <v/>
      </c>
      <c r="AC22" s="20">
        <f>IFERROR(INDEX($H$14:$H$53,MATCH($E22&amp;"#5",$X$14:$X$53,0)),"")</f>
        <v/>
      </c>
      <c r="AD22" s="20">
        <f>IFERROR(INDEX($H$14:$H$53,MATCH($E22&amp;"#6",$X$14:$X$53,0)),"")</f>
        <v/>
      </c>
      <c r="AE22" s="20">
        <f>IFERROR(INDEX($H$14:$H$53,MATCH($E22&amp;"#7",$X$14:$X$53,0)),"")</f>
        <v/>
      </c>
      <c r="AF22" s="20">
        <f>IFERROR(INDEX($H$14:$H$53,MATCH($E22&amp;"#8",$X$14:$X$53,0)),"")</f>
        <v/>
      </c>
      <c r="AG22" s="20">
        <f>IFERROR(INDEX($H$14:$H$53,MATCH($E22&amp;"#9",$X$14:$X$53,0)),"")</f>
        <v/>
      </c>
      <c r="AH22" s="20">
        <f>IFERROR(INDEX($H$14:$H$53,MATCH($E22&amp;"#10",$X$14:$X$53,0)),"")</f>
        <v/>
      </c>
      <c r="AI22" s="20">
        <f>IFERROR(INDEX($H$14:$H$53,MATCH($E22&amp;"#11",$X$14:$X$53,0)),"")</f>
        <v/>
      </c>
      <c r="AJ22" s="20">
        <f>IFERROR(INDEX($H$14:$H$53,MATCH($E22&amp;"#12",$X$14:$X$53,0)),"")</f>
        <v/>
      </c>
      <c r="AK22" s="20">
        <f>IFERROR(INDEX($H$14:$H$53,MATCH($E22&amp;"#13",$X$14:$X$53,0)),"")</f>
        <v/>
      </c>
      <c r="AL22" s="20">
        <f>IFERROR(INDEX($H$14:$H$53,MATCH($E22&amp;"#14",$X$14:$X$53,0)),"")</f>
        <v/>
      </c>
      <c r="AM22" s="20">
        <f>IFERROR(INDEX($H$14:$H$53,MATCH($E22&amp;"#15",$X$14:$X$53,0)),"")</f>
        <v/>
      </c>
      <c r="AN22" s="20">
        <f>IFERROR(INDEX($H$14:$H$53,MATCH($E22&amp;"#16",$X$14:$X$53,0)),"")</f>
        <v/>
      </c>
      <c r="AO22" s="20">
        <f>IFERROR(INDEX($H$14:$H$53,MATCH($E22&amp;"#17",$X$14:$X$53,0)),"")</f>
        <v/>
      </c>
      <c r="AP22" s="20">
        <f>IFERROR(INDEX($H$14:$H$53,MATCH($E22&amp;"#18",$X$14:$X$53,0)),"")</f>
        <v/>
      </c>
      <c r="AQ22" s="20">
        <f>IFERROR(INDEX($H$14:$H$53,MATCH($E22&amp;"#19",$X$14:$X$53,0)),"")</f>
        <v/>
      </c>
      <c r="AR22" s="20">
        <f>IFERROR(INDEX($H$14:$H$53,MATCH($E22&amp;"#20",$X$14:$X$53,0)),"")</f>
        <v/>
      </c>
      <c r="AT22" s="21">
        <f>$C22</f>
        <v/>
      </c>
      <c r="AU22" s="22">
        <f>IF(AND($H22&lt;&gt;"",$Y22&lt;&gt;"",$H22&lt;&gt;$Y22,IFERROR(VLOOKUP($H22,areaCercaPuntiClassificaSquadra,3,FALSE),-1)=IFERROR(VLOOKUP($Y22,areaCercaPuntiClassificaSquadra,3,FALSE),-2)),SUMIFS(Dati!$B$2:$B$381,Dati!$A$2:$A$381,$H22,Dati!$H$2:$H$381,$Y22)+SUMIFS(Dati!$I$2:$I$381,Dati!$H$2:$H$381,$H22,Dati!$A$2:$A$381,$Y22),"-")</f>
        <v/>
      </c>
      <c r="AV22" s="22">
        <f>IF(AND($H22&lt;&gt;"",$Z22&lt;&gt;"",$H22&lt;&gt;$Z22,IFERROR(VLOOKUP($H22,areaCercaPuntiClassificaSquadra,3,FALSE),-1)=IFERROR(VLOOKUP($Z22,areaCercaPuntiClassificaSquadra,3,FALSE),-2)),SUMIFS(Dati!$B$2:$B$381,Dati!$A$2:$A$381,$H22,Dati!$H$2:$H$381,$Z22)+SUMIFS(Dati!$I$2:$I$381,Dati!$H$2:$H$381,$H22,Dati!$A$2:$A$381,$Z22),"-")</f>
        <v/>
      </c>
      <c r="AW22" s="22">
        <f>IF(AND($H22&lt;&gt;"",$AA22&lt;&gt;"",$H22&lt;&gt;$AA22,IFERROR(VLOOKUP($H22,areaCercaPuntiClassificaSquadra,3,FALSE),-1)=IFERROR(VLOOKUP($AA22,areaCercaPuntiClassificaSquadra,3,FALSE),-2)),SUMIFS(Dati!$B$2:$B$381,Dati!$A$2:$A$381,$H22,Dati!$H$2:$H$381,$AA22)+SUMIFS(Dati!$I$2:$I$381,Dati!$H$2:$H$381,$H22,Dati!$A$2:$A$381,$AA22),"-")</f>
        <v/>
      </c>
      <c r="AX22" s="22">
        <f>IF(AND($H22&lt;&gt;"",$AB22&lt;&gt;"",$H22&lt;&gt;$AB22,IFERROR(VLOOKUP($H22,areaCercaPuntiClassificaSquadra,3,FALSE),-1)=IFERROR(VLOOKUP($AB22,areaCercaPuntiClassificaSquadra,3,FALSE),-2)),SUMIFS(Dati!$B$2:$B$381,Dati!$A$2:$A$381,$H22,Dati!$H$2:$H$381,$AB22)+SUMIFS(Dati!$I$2:$I$381,Dati!$H$2:$H$381,$H22,Dati!$A$2:$A$381,$AB22),"-")</f>
        <v/>
      </c>
      <c r="AY22" s="22">
        <f>IF(AND($H22&lt;&gt;"",$AC22&lt;&gt;"",$H22&lt;&gt;$AC22,IFERROR(VLOOKUP($H22,areaCercaPuntiClassificaSquadra,3,FALSE),-1)=IFERROR(VLOOKUP($AC22,areaCercaPuntiClassificaSquadra,3,FALSE),-2)),SUMIFS(Dati!$B$2:$B$381,Dati!$A$2:$A$381,$H22,Dati!$H$2:$H$381,$AC22)+SUMIFS(Dati!$I$2:$I$381,Dati!$H$2:$H$381,$H22,Dati!$A$2:$A$381,$AC22),"-")</f>
        <v/>
      </c>
      <c r="AZ22" s="22">
        <f>IF(AND($H22&lt;&gt;"",$AD22&lt;&gt;"",$H22&lt;&gt;$AD22,IFERROR(VLOOKUP($H22,areaCercaPuntiClassificaSquadra,3,FALSE),-1)=IFERROR(VLOOKUP($AD22,areaCercaPuntiClassificaSquadra,3,FALSE),-2)),SUMIFS(Dati!$B$2:$B$381,Dati!$A$2:$A$381,$H22,Dati!$H$2:$H$381,$AD22)+SUMIFS(Dati!$I$2:$I$381,Dati!$H$2:$H$381,$H22,Dati!$A$2:$A$381,$AD22),"-")</f>
        <v/>
      </c>
      <c r="BA22" s="22">
        <f>IF(AND($H22&lt;&gt;"",$AE22&lt;&gt;"",$H22&lt;&gt;$AE22,IFERROR(VLOOKUP($H22,areaCercaPuntiClassificaSquadra,3,FALSE),-1)=IFERROR(VLOOKUP($AE22,areaCercaPuntiClassificaSquadra,3,FALSE),-2)),SUMIFS(Dati!$B$2:$B$381,Dati!$A$2:$A$381,$H22,Dati!$H$2:$H$381,$AE22)+SUMIFS(Dati!$I$2:$I$381,Dati!$H$2:$H$381,$H22,Dati!$A$2:$A$381,$AE22),"-")</f>
        <v/>
      </c>
      <c r="BB22" s="22">
        <f>IF(AND($H22&lt;&gt;"",$AF22&lt;&gt;"",$H22&lt;&gt;$AF22,IFERROR(VLOOKUP($H22,areaCercaPuntiClassificaSquadra,3,FALSE),-1)=IFERROR(VLOOKUP($AF22,areaCercaPuntiClassificaSquadra,3,FALSE),-2)),SUMIFS(Dati!$B$2:$B$381,Dati!$A$2:$A$381,$H22,Dati!$H$2:$H$381,$AF22)+SUMIFS(Dati!$I$2:$I$381,Dati!$H$2:$H$381,$H22,Dati!$A$2:$A$381,$AF22),"-")</f>
        <v/>
      </c>
      <c r="BC22" s="22">
        <f>IF(AND($H22&lt;&gt;"",$AG22&lt;&gt;"",$H22&lt;&gt;$AG22,IFERROR(VLOOKUP($H22,areaCercaPuntiClassificaSquadra,3,FALSE),-1)=IFERROR(VLOOKUP($AG22,areaCercaPuntiClassificaSquadra,3,FALSE),-2)),SUMIFS(Dati!$B$2:$B$381,Dati!$A$2:$A$381,$H22,Dati!$H$2:$H$381,$AG22)+SUMIFS(Dati!$I$2:$I$381,Dati!$H$2:$H$381,$H22,Dati!$A$2:$A$381,$AG22),"-")</f>
        <v/>
      </c>
      <c r="BD22" s="22">
        <f>IF(AND($H22&lt;&gt;"",$AH22&lt;&gt;"",$H22&lt;&gt;$AH22,IFERROR(VLOOKUP($H22,areaCercaPuntiClassificaSquadra,3,FALSE),-1)=IFERROR(VLOOKUP($AH22,areaCercaPuntiClassificaSquadra,3,FALSE),-2)),SUMIFS(Dati!$B$2:$B$381,Dati!$A$2:$A$381,$H22,Dati!$H$2:$H$381,$AH22)+SUMIFS(Dati!$I$2:$I$381,Dati!$H$2:$H$381,$H22,Dati!$A$2:$A$381,$AH22),"-")</f>
        <v/>
      </c>
      <c r="BE22" s="22">
        <f>IF(AND($H22&lt;&gt;"",$AI22&lt;&gt;"",$H22&lt;&gt;$AI22,IFERROR(VLOOKUP($H22,areaCercaPuntiClassificaSquadra,3,FALSE),-1)=IFERROR(VLOOKUP($AI22,areaCercaPuntiClassificaSquadra,3,FALSE),-2)),SUMIFS(Dati!$B$2:$B$381,Dati!$A$2:$A$381,$H22,Dati!$H$2:$H$381,$AI22)+SUMIFS(Dati!$I$2:$I$381,Dati!$H$2:$H$381,$H22,Dati!$A$2:$A$381,$AI22),"-")</f>
        <v/>
      </c>
      <c r="BF22" s="22">
        <f>IF(AND($H22&lt;&gt;"",$AJ22&lt;&gt;"",$H22&lt;&gt;$AJ22,IFERROR(VLOOKUP($H22,areaCercaPuntiClassificaSquadra,3,FALSE),-1)=IFERROR(VLOOKUP($AJ22,areaCercaPuntiClassificaSquadra,3,FALSE),-2)),SUMIFS(Dati!$B$2:$B$381,Dati!$A$2:$A$381,$H22,Dati!$H$2:$H$381,$AJ22)+SUMIFS(Dati!$I$2:$I$381,Dati!$H$2:$H$381,$H22,Dati!$A$2:$A$381,$AJ22),"-")</f>
        <v/>
      </c>
      <c r="BG22" s="22">
        <f>IF(AND($H22&lt;&gt;"",$AK22&lt;&gt;"",$H22&lt;&gt;$AK22,IFERROR(VLOOKUP($H22,areaCercaPuntiClassificaSquadra,3,FALSE),-1)=IFERROR(VLOOKUP($AK22,areaCercaPuntiClassificaSquadra,3,FALSE),-2)),SUMIFS(Dati!$B$2:$B$381,Dati!$A$2:$A$381,$H22,Dati!$H$2:$H$381,$AK22)+SUMIFS(Dati!$I$2:$I$381,Dati!$H$2:$H$381,$H22,Dati!$A$2:$A$381,$AK22),"-")</f>
        <v/>
      </c>
      <c r="BH22" s="22">
        <f>IF(AND($H22&lt;&gt;"",$AL22&lt;&gt;"",$H22&lt;&gt;$AL22,IFERROR(VLOOKUP($H22,areaCercaPuntiClassificaSquadra,3,FALSE),-1)=IFERROR(VLOOKUP($AL22,areaCercaPuntiClassificaSquadra,3,FALSE),-2)),SUMIFS(Dati!$B$2:$B$381,Dati!$A$2:$A$381,$H22,Dati!$H$2:$H$381,$AL22)+SUMIFS(Dati!$I$2:$I$381,Dati!$H$2:$H$381,$H22,Dati!$A$2:$A$381,$AL22),"-")</f>
        <v/>
      </c>
      <c r="BI22" s="22">
        <f>IF(AND($H22&lt;&gt;"",$AM22&lt;&gt;"",$H22&lt;&gt;$AM22,IFERROR(VLOOKUP($H22,areaCercaPuntiClassificaSquadra,3,FALSE),-1)=IFERROR(VLOOKUP($AM22,areaCercaPuntiClassificaSquadra,3,FALSE),-2)),SUMIFS(Dati!$B$2:$B$381,Dati!$A$2:$A$381,$H22,Dati!$H$2:$H$381,$AM22)+SUMIFS(Dati!$I$2:$I$381,Dati!$H$2:$H$381,$H22,Dati!$A$2:$A$381,$AM22),"-")</f>
        <v/>
      </c>
      <c r="BJ22" s="22">
        <f>IF(AND($H22&lt;&gt;"",$AN22&lt;&gt;"",$H22&lt;&gt;$AN22,IFERROR(VLOOKUP($H22,areaCercaPuntiClassificaSquadra,3,FALSE),-1)=IFERROR(VLOOKUP($AN22,areaCercaPuntiClassificaSquadra,3,FALSE),-2)),SUMIFS(Dati!$B$2:$B$381,Dati!$A$2:$A$381,$H22,Dati!$H$2:$H$381,$AN22)+SUMIFS(Dati!$I$2:$I$381,Dati!$H$2:$H$381,$H22,Dati!$A$2:$A$381,$AN22),"-")</f>
        <v/>
      </c>
      <c r="BK22" s="22">
        <f>IF(AND($H22&lt;&gt;"",$AO22&lt;&gt;"",$H22&lt;&gt;$AO22,IFERROR(VLOOKUP($H22,areaCercaPuntiClassificaSquadra,3,FALSE),-1)=IFERROR(VLOOKUP($AO22,areaCercaPuntiClassificaSquadra,3,FALSE),-2)),SUMIFS(Dati!$B$2:$B$381,Dati!$A$2:$A$381,$H22,Dati!$H$2:$H$381,$AO22)+SUMIFS(Dati!$I$2:$I$381,Dati!$H$2:$H$381,$H22,Dati!$A$2:$A$381,$AO22),"-")</f>
        <v/>
      </c>
      <c r="BL22" s="22">
        <f>IF(AND($H22&lt;&gt;"",$AP22&lt;&gt;"",$H22&lt;&gt;$AP22,IFERROR(VLOOKUP($H22,areaCercaPuntiClassificaSquadra,3,FALSE),-1)=IFERROR(VLOOKUP($AP22,areaCercaPuntiClassificaSquadra,3,FALSE),-2)),SUMIFS(Dati!$B$2:$B$381,Dati!$A$2:$A$381,$H22,Dati!$H$2:$H$381,$AP22)+SUMIFS(Dati!$I$2:$I$381,Dati!$H$2:$H$381,$H22,Dati!$A$2:$A$381,$AP22),"-")</f>
        <v/>
      </c>
      <c r="BM22" s="22">
        <f>IF(AND($H22&lt;&gt;"",$AQ22&lt;&gt;"",$H22&lt;&gt;$AQ22,IFERROR(VLOOKUP($H22,areaCercaPuntiClassificaSquadra,3,FALSE),-1)=IFERROR(VLOOKUP($AQ22,areaCercaPuntiClassificaSquadra,3,FALSE),-2)),SUMIFS(Dati!$B$2:$B$381,Dati!$A$2:$A$381,$H22,Dati!$H$2:$H$381,$AQ22)+SUMIFS(Dati!$I$2:$I$381,Dati!$H$2:$H$381,$H22,Dati!$A$2:$A$381,$AQ22),"-")</f>
        <v/>
      </c>
      <c r="BN22" s="22">
        <f>IF(AND($H22&lt;&gt;"",$AR22&lt;&gt;"",$H22&lt;&gt;$AR22,IFERROR(VLOOKUP($H22,areaCercaPuntiClassificaSquadra,3,FALSE),-1)=IFERROR(VLOOKUP($AR22,areaCercaPuntiClassificaSquadra,3,FALSE),-2)),SUMIFS(Dati!$B$2:$B$381,Dati!$A$2:$A$381,$H22,Dati!$H$2:$H$381,$AR22)+SUMIFS(Dati!$I$2:$I$381,Dati!$H$2:$H$381,$H22,Dati!$A$2:$A$381,$AR22),"-")</f>
        <v/>
      </c>
      <c r="BP22" s="21">
        <f>$C22</f>
        <v/>
      </c>
      <c r="BQ22" s="22">
        <f>IF(AND($H22&lt;&gt;"",$Y22&lt;&gt;"",$H22&lt;&gt;$Y22,IFERROR(VLOOKUP($H22,areaCercaPuntiClassificaSquadra,3,FALSE),-1)=IFERROR(VLOOKUP($Y22,areaCercaPuntiClassificaSquadra,3,FALSE),-2)),SUMIFS(Dati!$D$2:$D$381,Dati!$A$2:$A$381,$H22,Dati!$H$2:$H$381,$Y22)+SUMIFS(Dati!$K$2:$K$381,Dati!$H$2:$H$381,$H22,Dati!$A$2:$A$381,$Y22)+SUMIFS(Dati!$C$2:$C$381,Dati!$A$2:$A$381,$H22,Dati!$H$2:$H$381,$Y22)+SUMIFS(Dati!$J$2:$J$381,Dati!$H$2:$H$381,$H22,Dati!$A$2:$A$381,$Y22),"-")</f>
        <v/>
      </c>
      <c r="BR22" s="22">
        <f>IF(AND($H22&lt;&gt;"",$Z22&lt;&gt;"",$H22&lt;&gt;$Z22,IFERROR(VLOOKUP($H22,areaCercaPuntiClassificaSquadra,3,FALSE),-1)=IFERROR(VLOOKUP($Z22,areaCercaPuntiClassificaSquadra,3,FALSE),-2)),SUMIFS(Dati!$D$2:$D$381,Dati!$A$2:$A$381,$H22,Dati!$H$2:$H$381,$Z22)+SUMIFS(Dati!$K$2:$K$381,Dati!$H$2:$H$381,$H22,Dati!$A$2:$A$381,$Z22)+SUMIFS(Dati!$C$2:$C$381,Dati!$A$2:$A$381,$H22,Dati!$H$2:$H$381,$Z22)+SUMIFS(Dati!$J$2:$J$381,Dati!$H$2:$H$381,$H22,Dati!$A$2:$A$381,$Z22),"-")</f>
        <v/>
      </c>
      <c r="BS22" s="22">
        <f>IF(AND($H22&lt;&gt;"",$AA22&lt;&gt;"",$H22&lt;&gt;$AA22,IFERROR(VLOOKUP($H22,areaCercaPuntiClassificaSquadra,3,FALSE),-1)=IFERROR(VLOOKUP($AA22,areaCercaPuntiClassificaSquadra,3,FALSE),-2)),SUMIFS(Dati!$D$2:$D$381,Dati!$A$2:$A$381,$H22,Dati!$H$2:$H$381,$AA22)+SUMIFS(Dati!$K$2:$K$381,Dati!$H$2:$H$381,$H22,Dati!$A$2:$A$381,$AA22)+SUMIFS(Dati!$C$2:$C$381,Dati!$A$2:$A$381,$H22,Dati!$H$2:$H$381,$AA22)+SUMIFS(Dati!$J$2:$J$381,Dati!$H$2:$H$381,$H22,Dati!$A$2:$A$381,$AA22),"-")</f>
        <v/>
      </c>
      <c r="BT22" s="22">
        <f>IF(AND($H22&lt;&gt;"",$AB22&lt;&gt;"",$H22&lt;&gt;$AB22,IFERROR(VLOOKUP($H22,areaCercaPuntiClassificaSquadra,3,FALSE),-1)=IFERROR(VLOOKUP($AB22,areaCercaPuntiClassificaSquadra,3,FALSE),-2)),SUMIFS(Dati!$D$2:$D$381,Dati!$A$2:$A$381,$H22,Dati!$H$2:$H$381,$AB22)+SUMIFS(Dati!$K$2:$K$381,Dati!$H$2:$H$381,$H22,Dati!$A$2:$A$381,$AB22)+SUMIFS(Dati!$C$2:$C$381,Dati!$A$2:$A$381,$H22,Dati!$H$2:$H$381,$AB22)+SUMIFS(Dati!$J$2:$J$381,Dati!$H$2:$H$381,$H22,Dati!$A$2:$A$381,$AB22),"-")</f>
        <v/>
      </c>
      <c r="BU22" s="22">
        <f>IF(AND($H22&lt;&gt;"",$AC22&lt;&gt;"",$H22&lt;&gt;$AC22,IFERROR(VLOOKUP($H22,areaCercaPuntiClassificaSquadra,3,FALSE),-1)=IFERROR(VLOOKUP($AC22,areaCercaPuntiClassificaSquadra,3,FALSE),-2)),SUMIFS(Dati!$D$2:$D$381,Dati!$A$2:$A$381,$H22,Dati!$H$2:$H$381,$AC22)+SUMIFS(Dati!$K$2:$K$381,Dati!$H$2:$H$381,$H22,Dati!$A$2:$A$381,$AC22)+SUMIFS(Dati!$C$2:$C$381,Dati!$A$2:$A$381,$H22,Dati!$H$2:$H$381,$AC22)+SUMIFS(Dati!$J$2:$J$381,Dati!$H$2:$H$381,$H22,Dati!$A$2:$A$381,$AC22),"-")</f>
        <v/>
      </c>
      <c r="BV22" s="22">
        <f>IF(AND($H22&lt;&gt;"",$AD22&lt;&gt;"",$H22&lt;&gt;$AD22,IFERROR(VLOOKUP($H22,areaCercaPuntiClassificaSquadra,3,FALSE),-1)=IFERROR(VLOOKUP($AD22,areaCercaPuntiClassificaSquadra,3,FALSE),-2)),SUMIFS(Dati!$D$2:$D$381,Dati!$A$2:$A$381,$H22,Dati!$H$2:$H$381,$AD22)+SUMIFS(Dati!$K$2:$K$381,Dati!$H$2:$H$381,$H22,Dati!$A$2:$A$381,$AD22)+SUMIFS(Dati!$C$2:$C$381,Dati!$A$2:$A$381,$H22,Dati!$H$2:$H$381,$AD22)+SUMIFS(Dati!$J$2:$J$381,Dati!$H$2:$H$381,$H22,Dati!$A$2:$A$381,$AD22),"-")</f>
        <v/>
      </c>
      <c r="BW22" s="22">
        <f>IF(AND($H22&lt;&gt;"",$AE22&lt;&gt;"",$H22&lt;&gt;$AE22,IFERROR(VLOOKUP($H22,areaCercaPuntiClassificaSquadra,3,FALSE),-1)=IFERROR(VLOOKUP($AE22,areaCercaPuntiClassificaSquadra,3,FALSE),-2)),SUMIFS(Dati!$D$2:$D$381,Dati!$A$2:$A$381,$H22,Dati!$H$2:$H$381,$AE22)+SUMIFS(Dati!$K$2:$K$381,Dati!$H$2:$H$381,$H22,Dati!$A$2:$A$381,$AE22)+SUMIFS(Dati!$C$2:$C$381,Dati!$A$2:$A$381,$H22,Dati!$H$2:$H$381,$AE22)+SUMIFS(Dati!$J$2:$J$381,Dati!$H$2:$H$381,$H22,Dati!$A$2:$A$381,$AE22),"-")</f>
        <v/>
      </c>
      <c r="BX22" s="22">
        <f>IF(AND($H22&lt;&gt;"",$AF22&lt;&gt;"",$H22&lt;&gt;$AF22,IFERROR(VLOOKUP($H22,areaCercaPuntiClassificaSquadra,3,FALSE),-1)=IFERROR(VLOOKUP($AF22,areaCercaPuntiClassificaSquadra,3,FALSE),-2)),SUMIFS(Dati!$D$2:$D$381,Dati!$A$2:$A$381,$H22,Dati!$H$2:$H$381,$AF22)+SUMIFS(Dati!$K$2:$K$381,Dati!$H$2:$H$381,$H22,Dati!$A$2:$A$381,$AF22)+SUMIFS(Dati!$C$2:$C$381,Dati!$A$2:$A$381,$H22,Dati!$H$2:$H$381,$AF22)+SUMIFS(Dati!$J$2:$J$381,Dati!$H$2:$H$381,$H22,Dati!$A$2:$A$381,$AF22),"-")</f>
        <v/>
      </c>
      <c r="BY22" s="22">
        <f>IF(AND($H22&lt;&gt;"",$AG22&lt;&gt;"",$H22&lt;&gt;$AG22,IFERROR(VLOOKUP($H22,areaCercaPuntiClassificaSquadra,3,FALSE),-1)=IFERROR(VLOOKUP($AG22,areaCercaPuntiClassificaSquadra,3,FALSE),-2)),SUMIFS(Dati!$D$2:$D$381,Dati!$A$2:$A$381,$H22,Dati!$H$2:$H$381,$AG22)+SUMIFS(Dati!$K$2:$K$381,Dati!$H$2:$H$381,$H22,Dati!$A$2:$A$381,$AG22)+SUMIFS(Dati!$C$2:$C$381,Dati!$A$2:$A$381,$H22,Dati!$H$2:$H$381,$AG22)+SUMIFS(Dati!$J$2:$J$381,Dati!$H$2:$H$381,$H22,Dati!$A$2:$A$381,$AG22),"-")</f>
        <v/>
      </c>
      <c r="BZ22" s="22">
        <f>IF(AND($H22&lt;&gt;"",$AH22&lt;&gt;"",$H22&lt;&gt;$AH22,IFERROR(VLOOKUP($H22,areaCercaPuntiClassificaSquadra,3,FALSE),-1)=IFERROR(VLOOKUP($AH22,areaCercaPuntiClassificaSquadra,3,FALSE),-2)),SUMIFS(Dati!$D$2:$D$381,Dati!$A$2:$A$381,$H22,Dati!$H$2:$H$381,$AH22)+SUMIFS(Dati!$K$2:$K$381,Dati!$H$2:$H$381,$H22,Dati!$A$2:$A$381,$AH22)+SUMIFS(Dati!$C$2:$C$381,Dati!$A$2:$A$381,$H22,Dati!$H$2:$H$381,$AH22)+SUMIFS(Dati!$J$2:$J$381,Dati!$H$2:$H$381,$H22,Dati!$A$2:$A$381,$AH22),"-")</f>
        <v/>
      </c>
      <c r="CA22" s="22">
        <f>IF(AND($H22&lt;&gt;"",$AI22&lt;&gt;"",$H22&lt;&gt;$AI22,IFERROR(VLOOKUP($H22,areaCercaPuntiClassificaSquadra,3,FALSE),-1)=IFERROR(VLOOKUP($AI22,areaCercaPuntiClassificaSquadra,3,FALSE),-2)),SUMIFS(Dati!$D$2:$D$381,Dati!$A$2:$A$381,$H22,Dati!$H$2:$H$381,$AI22)+SUMIFS(Dati!$K$2:$K$381,Dati!$H$2:$H$381,$H22,Dati!$A$2:$A$381,$AI22)+SUMIFS(Dati!$C$2:$C$381,Dati!$A$2:$A$381,$H22,Dati!$H$2:$H$381,$AI22)+SUMIFS(Dati!$J$2:$J$381,Dati!$H$2:$H$381,$H22,Dati!$A$2:$A$381,$AI22),"-")</f>
        <v/>
      </c>
      <c r="CB22" s="22">
        <f>IF(AND($H22&lt;&gt;"",$AJ22&lt;&gt;"",$H22&lt;&gt;$AJ22,IFERROR(VLOOKUP($H22,areaCercaPuntiClassificaSquadra,3,FALSE),-1)=IFERROR(VLOOKUP($AJ22,areaCercaPuntiClassificaSquadra,3,FALSE),-2)),SUMIFS(Dati!$D$2:$D$381,Dati!$A$2:$A$381,$H22,Dati!$H$2:$H$381,$AJ22)+SUMIFS(Dati!$K$2:$K$381,Dati!$H$2:$H$381,$H22,Dati!$A$2:$A$381,$AJ22)+SUMIFS(Dati!$C$2:$C$381,Dati!$A$2:$A$381,$H22,Dati!$H$2:$H$381,$AJ22)+SUMIFS(Dati!$J$2:$J$381,Dati!$H$2:$H$381,$H22,Dati!$A$2:$A$381,$AJ22),"-")</f>
        <v/>
      </c>
      <c r="CC22" s="22">
        <f>IF(AND($H22&lt;&gt;"",$AK22&lt;&gt;"",$H22&lt;&gt;$AK22,IFERROR(VLOOKUP($H22,areaCercaPuntiClassificaSquadra,3,FALSE),-1)=IFERROR(VLOOKUP($AK22,areaCercaPuntiClassificaSquadra,3,FALSE),-2)),SUMIFS(Dati!$D$2:$D$381,Dati!$A$2:$A$381,$H22,Dati!$H$2:$H$381,$AK22)+SUMIFS(Dati!$K$2:$K$381,Dati!$H$2:$H$381,$H22,Dati!$A$2:$A$381,$AK22)+SUMIFS(Dati!$C$2:$C$381,Dati!$A$2:$A$381,$H22,Dati!$H$2:$H$381,$AK22)+SUMIFS(Dati!$J$2:$J$381,Dati!$H$2:$H$381,$H22,Dati!$A$2:$A$381,$AK22),"-")</f>
        <v/>
      </c>
      <c r="CD22" s="22">
        <f>IF(AND($H22&lt;&gt;"",$AL22&lt;&gt;"",$H22&lt;&gt;$AL22,IFERROR(VLOOKUP($H22,areaCercaPuntiClassificaSquadra,3,FALSE),-1)=IFERROR(VLOOKUP($AL22,areaCercaPuntiClassificaSquadra,3,FALSE),-2)),SUMIFS(Dati!$D$2:$D$381,Dati!$A$2:$A$381,$H22,Dati!$H$2:$H$381,$AL22)+SUMIFS(Dati!$K$2:$K$381,Dati!$H$2:$H$381,$H22,Dati!$A$2:$A$381,$AL22)+SUMIFS(Dati!$C$2:$C$381,Dati!$A$2:$A$381,$H22,Dati!$H$2:$H$381,$AL22)+SUMIFS(Dati!$J$2:$J$381,Dati!$H$2:$H$381,$H22,Dati!$A$2:$A$381,$AL22),"-")</f>
        <v/>
      </c>
      <c r="CE22" s="22">
        <f>IF(AND($H22&lt;&gt;"",$AM22&lt;&gt;"",$H22&lt;&gt;$AM22,IFERROR(VLOOKUP($H22,areaCercaPuntiClassificaSquadra,3,FALSE),-1)=IFERROR(VLOOKUP($AM22,areaCercaPuntiClassificaSquadra,3,FALSE),-2)),SUMIFS(Dati!$D$2:$D$381,Dati!$A$2:$A$381,$H22,Dati!$H$2:$H$381,$AM22)+SUMIFS(Dati!$K$2:$K$381,Dati!$H$2:$H$381,$H22,Dati!$A$2:$A$381,$AM22)+SUMIFS(Dati!$C$2:$C$381,Dati!$A$2:$A$381,$H22,Dati!$H$2:$H$381,$AM22)+SUMIFS(Dati!$J$2:$J$381,Dati!$H$2:$H$381,$H22,Dati!$A$2:$A$381,$AM22),"-")</f>
        <v/>
      </c>
      <c r="CF22" s="22">
        <f>IF(AND($H22&lt;&gt;"",$AN22&lt;&gt;"",$H22&lt;&gt;$AN22,IFERROR(VLOOKUP($H22,areaCercaPuntiClassificaSquadra,3,FALSE),-1)=IFERROR(VLOOKUP($AN22,areaCercaPuntiClassificaSquadra,3,FALSE),-2)),SUMIFS(Dati!$D$2:$D$381,Dati!$A$2:$A$381,$H22,Dati!$H$2:$H$381,$AN22)+SUMIFS(Dati!$K$2:$K$381,Dati!$H$2:$H$381,$H22,Dati!$A$2:$A$381,$AN22)+SUMIFS(Dati!$C$2:$C$381,Dati!$A$2:$A$381,$H22,Dati!$H$2:$H$381,$AN22)+SUMIFS(Dati!$J$2:$J$381,Dati!$H$2:$H$381,$H22,Dati!$A$2:$A$381,$AN22),"-")</f>
        <v/>
      </c>
      <c r="CG22" s="22">
        <f>IF(AND($H22&lt;&gt;"",$AO22&lt;&gt;"",$H22&lt;&gt;$AO22,IFERROR(VLOOKUP($H22,areaCercaPuntiClassificaSquadra,3,FALSE),-1)=IFERROR(VLOOKUP($AO22,areaCercaPuntiClassificaSquadra,3,FALSE),-2)),SUMIFS(Dati!$D$2:$D$381,Dati!$A$2:$A$381,$H22,Dati!$H$2:$H$381,$AO22)+SUMIFS(Dati!$K$2:$K$381,Dati!$H$2:$H$381,$H22,Dati!$A$2:$A$381,$AO22)+SUMIFS(Dati!$C$2:$C$381,Dati!$A$2:$A$381,$H22,Dati!$H$2:$H$381,$AO22)+SUMIFS(Dati!$J$2:$J$381,Dati!$H$2:$H$381,$H22,Dati!$A$2:$A$381,$AO22),"-")</f>
        <v/>
      </c>
      <c r="CH22" s="22">
        <f>IF(AND($H22&lt;&gt;"",$AP22&lt;&gt;"",$H22&lt;&gt;$AP22,IFERROR(VLOOKUP($H22,areaCercaPuntiClassificaSquadra,3,FALSE),-1)=IFERROR(VLOOKUP($AP22,areaCercaPuntiClassificaSquadra,3,FALSE),-2)),SUMIFS(Dati!$D$2:$D$381,Dati!$A$2:$A$381,$H22,Dati!$H$2:$H$381,$AP22)+SUMIFS(Dati!$K$2:$K$381,Dati!$H$2:$H$381,$H22,Dati!$A$2:$A$381,$AP22)+SUMIFS(Dati!$C$2:$C$381,Dati!$A$2:$A$381,$H22,Dati!$H$2:$H$381,$AP22)+SUMIFS(Dati!$J$2:$J$381,Dati!$H$2:$H$381,$H22,Dati!$A$2:$A$381,$AP22),"-")</f>
        <v/>
      </c>
      <c r="CI22" s="22">
        <f>IF(AND($H22&lt;&gt;"",$AQ22&lt;&gt;"",$H22&lt;&gt;$AQ22,IFERROR(VLOOKUP($H22,areaCercaPuntiClassificaSquadra,3,FALSE),-1)=IFERROR(VLOOKUP($AQ22,areaCercaPuntiClassificaSquadra,3,FALSE),-2)),SUMIFS(Dati!$D$2:$D$381,Dati!$A$2:$A$381,$H22,Dati!$H$2:$H$381,$AQ22)+SUMIFS(Dati!$K$2:$K$381,Dati!$H$2:$H$381,$H22,Dati!$A$2:$A$381,$AQ22)+SUMIFS(Dati!$C$2:$C$381,Dati!$A$2:$A$381,$H22,Dati!$H$2:$H$381,$AQ22)+SUMIFS(Dati!$J$2:$J$381,Dati!$H$2:$H$381,$H22,Dati!$A$2:$A$381,$AQ22),"-")</f>
        <v/>
      </c>
      <c r="CJ22" s="22">
        <f>IF(AND($H22&lt;&gt;"",$AR22&lt;&gt;"",$H22&lt;&gt;$AR22,IFERROR(VLOOKUP($H22,areaCercaPuntiClassificaSquadra,3,FALSE),-1)=IFERROR(VLOOKUP($AR22,areaCercaPuntiClassificaSquadra,3,FALSE),-2)),SUMIFS(Dati!$D$2:$D$381,Dati!$A$2:$A$381,$H22,Dati!$H$2:$H$381,$AR22)+SUMIFS(Dati!$K$2:$K$381,Dati!$H$2:$H$381,$H22,Dati!$A$2:$A$381,$AR22)+SUMIFS(Dati!$C$2:$C$381,Dati!$A$2:$A$381,$H22,Dati!$H$2:$H$381,$AR22)+SUMIFS(Dati!$J$2:$J$381,Dati!$H$2:$H$381,$H22,Dati!$A$2:$A$381,$AR22),"-")</f>
        <v/>
      </c>
      <c r="CL22" s="21">
        <f>$C22</f>
        <v/>
      </c>
      <c r="CM22" s="22">
        <f>IF(AND($H22&lt;&gt;"",$Y22&lt;&gt;"",$H22&lt;&gt;$Y22,IFERROR(VLOOKUP($H22,areaCercaPuntiClassificaSquadra,3,FALSE),-1)=IFERROR(VLOOKUP($Y22,areaCercaPuntiClassificaSquadra,3,FALSE),-2)),SUMIFS(Dati!$E$2:$E$381,Dati!$A$2:$A$381,$H22,Dati!$H$2:$H$381,$Y22)+SUMIFS(Dati!$L$2:$L$381,Dati!$H$2:$H$381,$H22,Dati!$A$2:$A$381,$Y22),"-")</f>
        <v/>
      </c>
      <c r="CN22" s="22">
        <f>IF(AND($H22&lt;&gt;"",$Z22&lt;&gt;"",$H22&lt;&gt;$Z22,IFERROR(VLOOKUP($H22,areaCercaPuntiClassificaSquadra,3,FALSE),-1)=IFERROR(VLOOKUP($Z22,areaCercaPuntiClassificaSquadra,3,FALSE),-2)),SUMIFS(Dati!$E$2:$E$381,Dati!$A$2:$A$381,$H22,Dati!$H$2:$H$381,$Z22)+SUMIFS(Dati!$L$2:$L$381,Dati!$H$2:$H$381,$H22,Dati!$A$2:$A$381,$Z22),"-")</f>
        <v/>
      </c>
      <c r="CO22" s="22">
        <f>IF(AND($H22&lt;&gt;"",$AA22&lt;&gt;"",$H22&lt;&gt;$AA22,IFERROR(VLOOKUP($H22,areaCercaPuntiClassificaSquadra,3,FALSE),-1)=IFERROR(VLOOKUP($AA22,areaCercaPuntiClassificaSquadra,3,FALSE),-2)),SUMIFS(Dati!$E$2:$E$381,Dati!$A$2:$A$381,$H22,Dati!$H$2:$H$381,$AA22)+SUMIFS(Dati!$L$2:$L$381,Dati!$H$2:$H$381,$H22,Dati!$A$2:$A$381,$AA22),"-")</f>
        <v/>
      </c>
      <c r="CP22" s="22">
        <f>IF(AND($H22&lt;&gt;"",$AB22&lt;&gt;"",$H22&lt;&gt;$AB22,IFERROR(VLOOKUP($H22,areaCercaPuntiClassificaSquadra,3,FALSE),-1)=IFERROR(VLOOKUP($AB22,areaCercaPuntiClassificaSquadra,3,FALSE),-2)),SUMIFS(Dati!$E$2:$E$381,Dati!$A$2:$A$381,$H22,Dati!$H$2:$H$381,$AB22)+SUMIFS(Dati!$L$2:$L$381,Dati!$H$2:$H$381,$H22,Dati!$A$2:$A$381,$AB22),"-")</f>
        <v/>
      </c>
      <c r="CQ22" s="22">
        <f>IF(AND($H22&lt;&gt;"",$AC22&lt;&gt;"",$H22&lt;&gt;$AC22,IFERROR(VLOOKUP($H22,areaCercaPuntiClassificaSquadra,3,FALSE),-1)=IFERROR(VLOOKUP($AC22,areaCercaPuntiClassificaSquadra,3,FALSE),-2)),SUMIFS(Dati!$E$2:$E$381,Dati!$A$2:$A$381,$H22,Dati!$H$2:$H$381,$AC22)+SUMIFS(Dati!$L$2:$L$381,Dati!$H$2:$H$381,$H22,Dati!$A$2:$A$381,$AC22),"-")</f>
        <v/>
      </c>
      <c r="CR22" s="22">
        <f>IF(AND($H22&lt;&gt;"",$AD22&lt;&gt;"",$H22&lt;&gt;$AD22,IFERROR(VLOOKUP($H22,areaCercaPuntiClassificaSquadra,3,FALSE),-1)=IFERROR(VLOOKUP($AD22,areaCercaPuntiClassificaSquadra,3,FALSE),-2)),SUMIFS(Dati!$E$2:$E$381,Dati!$A$2:$A$381,$H22,Dati!$H$2:$H$381,$AD22)+SUMIFS(Dati!$L$2:$L$381,Dati!$H$2:$H$381,$H22,Dati!$A$2:$A$381,$AD22),"-")</f>
        <v/>
      </c>
      <c r="CS22" s="22">
        <f>IF(AND($H22&lt;&gt;"",$AE22&lt;&gt;"",$H22&lt;&gt;$AE22,IFERROR(VLOOKUP($H22,areaCercaPuntiClassificaSquadra,3,FALSE),-1)=IFERROR(VLOOKUP($AE22,areaCercaPuntiClassificaSquadra,3,FALSE),-2)),SUMIFS(Dati!$E$2:$E$381,Dati!$A$2:$A$381,$H22,Dati!$H$2:$H$381,$AE22)+SUMIFS(Dati!$L$2:$L$381,Dati!$H$2:$H$381,$H22,Dati!$A$2:$A$381,$AE22),"-")</f>
        <v/>
      </c>
      <c r="CT22" s="22">
        <f>IF(AND($H22&lt;&gt;"",$AF22&lt;&gt;"",$H22&lt;&gt;$AF22,IFERROR(VLOOKUP($H22,areaCercaPuntiClassificaSquadra,3,FALSE),-1)=IFERROR(VLOOKUP($AF22,areaCercaPuntiClassificaSquadra,3,FALSE),-2)),SUMIFS(Dati!$E$2:$E$381,Dati!$A$2:$A$381,$H22,Dati!$H$2:$H$381,$AF22)+SUMIFS(Dati!$L$2:$L$381,Dati!$H$2:$H$381,$H22,Dati!$A$2:$A$381,$AF22),"-")</f>
        <v/>
      </c>
      <c r="CU22" s="22">
        <f>IF(AND($H22&lt;&gt;"",$AG22&lt;&gt;"",$H22&lt;&gt;$AG22,IFERROR(VLOOKUP($H22,areaCercaPuntiClassificaSquadra,3,FALSE),-1)=IFERROR(VLOOKUP($AG22,areaCercaPuntiClassificaSquadra,3,FALSE),-2)),SUMIFS(Dati!$E$2:$E$381,Dati!$A$2:$A$381,$H22,Dati!$H$2:$H$381,$AG22)+SUMIFS(Dati!$L$2:$L$381,Dati!$H$2:$H$381,$H22,Dati!$A$2:$A$381,$AG22),"-")</f>
        <v/>
      </c>
      <c r="CV22" s="22">
        <f>IF(AND($H22&lt;&gt;"",$AH22&lt;&gt;"",$H22&lt;&gt;$AH22,IFERROR(VLOOKUP($H22,areaCercaPuntiClassificaSquadra,3,FALSE),-1)=IFERROR(VLOOKUP($AH22,areaCercaPuntiClassificaSquadra,3,FALSE),-2)),SUMIFS(Dati!$E$2:$E$381,Dati!$A$2:$A$381,$H22,Dati!$H$2:$H$381,$AH22)+SUMIFS(Dati!$L$2:$L$381,Dati!$H$2:$H$381,$H22,Dati!$A$2:$A$381,$AH22),"-")</f>
        <v/>
      </c>
      <c r="CW22" s="22">
        <f>IF(AND($H22&lt;&gt;"",$AI22&lt;&gt;"",$H22&lt;&gt;$AI22,IFERROR(VLOOKUP($H22,areaCercaPuntiClassificaSquadra,3,FALSE),-1)=IFERROR(VLOOKUP($AI22,areaCercaPuntiClassificaSquadra,3,FALSE),-2)),SUMIFS(Dati!$E$2:$E$381,Dati!$A$2:$A$381,$H22,Dati!$H$2:$H$381,$AI22)+SUMIFS(Dati!$L$2:$L$381,Dati!$H$2:$H$381,$H22,Dati!$A$2:$A$381,$AI22),"-")</f>
        <v/>
      </c>
      <c r="CX22" s="22">
        <f>IF(AND($H22&lt;&gt;"",$AJ22&lt;&gt;"",$H22&lt;&gt;$AJ22,IFERROR(VLOOKUP($H22,areaCercaPuntiClassificaSquadra,3,FALSE),-1)=IFERROR(VLOOKUP($AJ22,areaCercaPuntiClassificaSquadra,3,FALSE),-2)),SUMIFS(Dati!$E$2:$E$381,Dati!$A$2:$A$381,$H22,Dati!$H$2:$H$381,$AJ22)+SUMIFS(Dati!$L$2:$L$381,Dati!$H$2:$H$381,$H22,Dati!$A$2:$A$381,$AJ22),"-")</f>
        <v/>
      </c>
      <c r="CY22" s="22">
        <f>IF(AND($H22&lt;&gt;"",$AK22&lt;&gt;"",$H22&lt;&gt;$AK22,IFERROR(VLOOKUP($H22,areaCercaPuntiClassificaSquadra,3,FALSE),-1)=IFERROR(VLOOKUP($AK22,areaCercaPuntiClassificaSquadra,3,FALSE),-2)),SUMIFS(Dati!$E$2:$E$381,Dati!$A$2:$A$381,$H22,Dati!$H$2:$H$381,$AK22)+SUMIFS(Dati!$L$2:$L$381,Dati!$H$2:$H$381,$H22,Dati!$A$2:$A$381,$AK22),"-")</f>
        <v/>
      </c>
      <c r="CZ22" s="22">
        <f>IF(AND($H22&lt;&gt;"",$AL22&lt;&gt;"",$H22&lt;&gt;$AL22,IFERROR(VLOOKUP($H22,areaCercaPuntiClassificaSquadra,3,FALSE),-1)=IFERROR(VLOOKUP($AL22,areaCercaPuntiClassificaSquadra,3,FALSE),-2)),SUMIFS(Dati!$E$2:$E$381,Dati!$A$2:$A$381,$H22,Dati!$H$2:$H$381,$AL22)+SUMIFS(Dati!$L$2:$L$381,Dati!$H$2:$H$381,$H22,Dati!$A$2:$A$381,$AL22),"-")</f>
        <v/>
      </c>
      <c r="DA22" s="22">
        <f>IF(AND($H22&lt;&gt;"",$AM22&lt;&gt;"",$H22&lt;&gt;$AM22,IFERROR(VLOOKUP($H22,areaCercaPuntiClassificaSquadra,3,FALSE),-1)=IFERROR(VLOOKUP($AM22,areaCercaPuntiClassificaSquadra,3,FALSE),-2)),SUMIFS(Dati!$E$2:$E$381,Dati!$A$2:$A$381,$H22,Dati!$H$2:$H$381,$AM22)+SUMIFS(Dati!$L$2:$L$381,Dati!$H$2:$H$381,$H22,Dati!$A$2:$A$381,$AM22),"-")</f>
        <v/>
      </c>
      <c r="DB22" s="22">
        <f>IF(AND($H22&lt;&gt;"",$AN22&lt;&gt;"",$H22&lt;&gt;$AN22,IFERROR(VLOOKUP($H22,areaCercaPuntiClassificaSquadra,3,FALSE),-1)=IFERROR(VLOOKUP($AN22,areaCercaPuntiClassificaSquadra,3,FALSE),-2)),SUMIFS(Dati!$E$2:$E$381,Dati!$A$2:$A$381,$H22,Dati!$H$2:$H$381,$AN22)+SUMIFS(Dati!$L$2:$L$381,Dati!$H$2:$H$381,$H22,Dati!$A$2:$A$381,$AN22),"-")</f>
        <v/>
      </c>
      <c r="DC22" s="22">
        <f>IF(AND($H22&lt;&gt;"",$AO22&lt;&gt;"",$H22&lt;&gt;$AO22,IFERROR(VLOOKUP($H22,areaCercaPuntiClassificaSquadra,3,FALSE),-1)=IFERROR(VLOOKUP($AO22,areaCercaPuntiClassificaSquadra,3,FALSE),-2)),SUMIFS(Dati!$E$2:$E$381,Dati!$A$2:$A$381,$H22,Dati!$H$2:$H$381,$AO22)+SUMIFS(Dati!$L$2:$L$381,Dati!$H$2:$H$381,$H22,Dati!$A$2:$A$381,$AO22),"-")</f>
        <v/>
      </c>
      <c r="DD22" s="22">
        <f>IF(AND($H22&lt;&gt;"",$AP22&lt;&gt;"",$H22&lt;&gt;$AP22,IFERROR(VLOOKUP($H22,areaCercaPuntiClassificaSquadra,3,FALSE),-1)=IFERROR(VLOOKUP($AP22,areaCercaPuntiClassificaSquadra,3,FALSE),-2)),SUMIFS(Dati!$E$2:$E$381,Dati!$A$2:$A$381,$H22,Dati!$H$2:$H$381,$AP22)+SUMIFS(Dati!$L$2:$L$381,Dati!$H$2:$H$381,$H22,Dati!$A$2:$A$381,$AP22),"-")</f>
        <v/>
      </c>
      <c r="DE22" s="22">
        <f>IF(AND($H22&lt;&gt;"",$AQ22&lt;&gt;"",$H22&lt;&gt;$AQ22,IFERROR(VLOOKUP($H22,areaCercaPuntiClassificaSquadra,3,FALSE),-1)=IFERROR(VLOOKUP($AQ22,areaCercaPuntiClassificaSquadra,3,FALSE),-2)),SUMIFS(Dati!$E$2:$E$381,Dati!$A$2:$A$381,$H22,Dati!$H$2:$H$381,$AQ22)+SUMIFS(Dati!$L$2:$L$381,Dati!$H$2:$H$381,$H22,Dati!$A$2:$A$381,$AQ22),"-")</f>
        <v/>
      </c>
      <c r="DF22" s="22">
        <f>IF(AND($H22&lt;&gt;"",$AR22&lt;&gt;"",$H22&lt;&gt;$AR22,IFERROR(VLOOKUP($H22,areaCercaPuntiClassificaSquadra,3,FALSE),-1)=IFERROR(VLOOKUP($AR22,areaCercaPuntiClassificaSquadra,3,FALSE),-2)),SUMIFS(Dati!$E$2:$E$381,Dati!$A$2:$A$381,$H22,Dati!$H$2:$H$381,$AR22)+SUMIFS(Dati!$L$2:$L$381,Dati!$H$2:$H$381,$H22,Dati!$A$2:$A$381,$AR22),"-")</f>
        <v/>
      </c>
      <c r="DH22" s="21">
        <f>$C22</f>
        <v/>
      </c>
      <c r="DI22" s="22">
        <f>IF(AND($H22&lt;&gt;"",$Y22&lt;&gt;"",$H22&lt;&gt;$Y22,IFERROR(VLOOKUP($H22,areaCercaPuntiClassificaSquadra,3,FALSE),-1)=IFERROR(VLOOKUP($Y22,areaCercaPuntiClassificaSquadra,3,FALSE),-2)),SUMIFS(Dati!$F$2:$F$381,Dati!$A$2:$A$381,$H22,Dati!$H$2:$H$381,$Y22)+SUMIFS(Dati!$M$2:$M$381,Dati!$H$2:$H$381,$H22,Dati!$A$2:$A$381,$Y22),"-")</f>
        <v/>
      </c>
      <c r="DJ22" s="22">
        <f>IF(AND($H22&lt;&gt;"",$Z22&lt;&gt;"",$H22&lt;&gt;$Z22,IFERROR(VLOOKUP($H22,areaCercaPuntiClassificaSquadra,3,FALSE),-1)=IFERROR(VLOOKUP($Z22,areaCercaPuntiClassificaSquadra,3,FALSE),-2)),SUMIFS(Dati!$F$2:$F$381,Dati!$A$2:$A$381,$H22,Dati!$H$2:$H$381,$Z22)+SUMIFS(Dati!$M$2:$M$381,Dati!$H$2:$H$381,$H22,Dati!$A$2:$A$381,$Z22),"-")</f>
        <v/>
      </c>
      <c r="DK22" s="22">
        <f>IF(AND($H22&lt;&gt;"",$AA22&lt;&gt;"",$H22&lt;&gt;$AA22,IFERROR(VLOOKUP($H22,areaCercaPuntiClassificaSquadra,3,FALSE),-1)=IFERROR(VLOOKUP($AA22,areaCercaPuntiClassificaSquadra,3,FALSE),-2)),SUMIFS(Dati!$F$2:$F$381,Dati!$A$2:$A$381,$H22,Dati!$H$2:$H$381,$AA22)+SUMIFS(Dati!$M$2:$M$381,Dati!$H$2:$H$381,$H22,Dati!$A$2:$A$381,$AA22),"-")</f>
        <v/>
      </c>
      <c r="DL22" s="22">
        <f>IF(AND($H22&lt;&gt;"",$AB22&lt;&gt;"",$H22&lt;&gt;$AB22,IFERROR(VLOOKUP($H22,areaCercaPuntiClassificaSquadra,3,FALSE),-1)=IFERROR(VLOOKUP($AB22,areaCercaPuntiClassificaSquadra,3,FALSE),-2)),SUMIFS(Dati!$F$2:$F$381,Dati!$A$2:$A$381,$H22,Dati!$H$2:$H$381,$AB22)+SUMIFS(Dati!$M$2:$M$381,Dati!$H$2:$H$381,$H22,Dati!$A$2:$A$381,$AB22),"-")</f>
        <v/>
      </c>
      <c r="DM22" s="22">
        <f>IF(AND($H22&lt;&gt;"",$AC22&lt;&gt;"",$H22&lt;&gt;$AC22,IFERROR(VLOOKUP($H22,areaCercaPuntiClassificaSquadra,3,FALSE),-1)=IFERROR(VLOOKUP($AC22,areaCercaPuntiClassificaSquadra,3,FALSE),-2)),SUMIFS(Dati!$F$2:$F$381,Dati!$A$2:$A$381,$H22,Dati!$H$2:$H$381,$AC22)+SUMIFS(Dati!$M$2:$M$381,Dati!$H$2:$H$381,$H22,Dati!$A$2:$A$381,$AC22),"-")</f>
        <v/>
      </c>
      <c r="DN22" s="22">
        <f>IF(AND($H22&lt;&gt;"",$AD22&lt;&gt;"",$H22&lt;&gt;$AD22,IFERROR(VLOOKUP($H22,areaCercaPuntiClassificaSquadra,3,FALSE),-1)=IFERROR(VLOOKUP($AD22,areaCercaPuntiClassificaSquadra,3,FALSE),-2)),SUMIFS(Dati!$F$2:$F$381,Dati!$A$2:$A$381,$H22,Dati!$H$2:$H$381,$AD22)+SUMIFS(Dati!$M$2:$M$381,Dati!$H$2:$H$381,$H22,Dati!$A$2:$A$381,$AD22),"-")</f>
        <v/>
      </c>
      <c r="DO22" s="22">
        <f>IF(AND($H22&lt;&gt;"",$AE22&lt;&gt;"",$H22&lt;&gt;$AE22,IFERROR(VLOOKUP($H22,areaCercaPuntiClassificaSquadra,3,FALSE),-1)=IFERROR(VLOOKUP($AE22,areaCercaPuntiClassificaSquadra,3,FALSE),-2)),SUMIFS(Dati!$F$2:$F$381,Dati!$A$2:$A$381,$H22,Dati!$H$2:$H$381,$AE22)+SUMIFS(Dati!$M$2:$M$381,Dati!$H$2:$H$381,$H22,Dati!$A$2:$A$381,$AE22),"-")</f>
        <v/>
      </c>
      <c r="DP22" s="22">
        <f>IF(AND($H22&lt;&gt;"",$AF22&lt;&gt;"",$H22&lt;&gt;$AF22,IFERROR(VLOOKUP($H22,areaCercaPuntiClassificaSquadra,3,FALSE),-1)=IFERROR(VLOOKUP($AF22,areaCercaPuntiClassificaSquadra,3,FALSE),-2)),SUMIFS(Dati!$F$2:$F$381,Dati!$A$2:$A$381,$H22,Dati!$H$2:$H$381,$AF22)+SUMIFS(Dati!$M$2:$M$381,Dati!$H$2:$H$381,$H22,Dati!$A$2:$A$381,$AF22),"-")</f>
        <v/>
      </c>
      <c r="DQ22" s="22">
        <f>IF(AND($H22&lt;&gt;"",$AG22&lt;&gt;"",$H22&lt;&gt;$AG22,IFERROR(VLOOKUP($H22,areaCercaPuntiClassificaSquadra,3,FALSE),-1)=IFERROR(VLOOKUP($AG22,areaCercaPuntiClassificaSquadra,3,FALSE),-2)),SUMIFS(Dati!$F$2:$F$381,Dati!$A$2:$A$381,$H22,Dati!$H$2:$H$381,$AG22)+SUMIFS(Dati!$M$2:$M$381,Dati!$H$2:$H$381,$H22,Dati!$A$2:$A$381,$AG22),"-")</f>
        <v/>
      </c>
      <c r="DR22" s="22">
        <f>IF(AND($H22&lt;&gt;"",$AH22&lt;&gt;"",$H22&lt;&gt;$AH22,IFERROR(VLOOKUP($H22,areaCercaPuntiClassificaSquadra,3,FALSE),-1)=IFERROR(VLOOKUP($AH22,areaCercaPuntiClassificaSquadra,3,FALSE),-2)),SUMIFS(Dati!$F$2:$F$381,Dati!$A$2:$A$381,$H22,Dati!$H$2:$H$381,$AH22)+SUMIFS(Dati!$M$2:$M$381,Dati!$H$2:$H$381,$H22,Dati!$A$2:$A$381,$AH22),"-")</f>
        <v/>
      </c>
      <c r="DS22" s="22">
        <f>IF(AND($H22&lt;&gt;"",$AI22&lt;&gt;"",$H22&lt;&gt;$AI22,IFERROR(VLOOKUP($H22,areaCercaPuntiClassificaSquadra,3,FALSE),-1)=IFERROR(VLOOKUP($AI22,areaCercaPuntiClassificaSquadra,3,FALSE),-2)),SUMIFS(Dati!$F$2:$F$381,Dati!$A$2:$A$381,$H22,Dati!$H$2:$H$381,$AI22)+SUMIFS(Dati!$M$2:$M$381,Dati!$H$2:$H$381,$H22,Dati!$A$2:$A$381,$AI22),"-")</f>
        <v/>
      </c>
      <c r="DT22" s="22">
        <f>IF(AND($H22&lt;&gt;"",$AJ22&lt;&gt;"",$H22&lt;&gt;$AJ22,IFERROR(VLOOKUP($H22,areaCercaPuntiClassificaSquadra,3,FALSE),-1)=IFERROR(VLOOKUP($AJ22,areaCercaPuntiClassificaSquadra,3,FALSE),-2)),SUMIFS(Dati!$F$2:$F$381,Dati!$A$2:$A$381,$H22,Dati!$H$2:$H$381,$AJ22)+SUMIFS(Dati!$M$2:$M$381,Dati!$H$2:$H$381,$H22,Dati!$A$2:$A$381,$AJ22),"-")</f>
        <v/>
      </c>
      <c r="DU22" s="22">
        <f>IF(AND($H22&lt;&gt;"",$AK22&lt;&gt;"",$H22&lt;&gt;$AK22,IFERROR(VLOOKUP($H22,areaCercaPuntiClassificaSquadra,3,FALSE),-1)=IFERROR(VLOOKUP($AK22,areaCercaPuntiClassificaSquadra,3,FALSE),-2)),SUMIFS(Dati!$F$2:$F$381,Dati!$A$2:$A$381,$H22,Dati!$H$2:$H$381,$AK22)+SUMIFS(Dati!$M$2:$M$381,Dati!$H$2:$H$381,$H22,Dati!$A$2:$A$381,$AK22),"-")</f>
        <v/>
      </c>
      <c r="DV22" s="22">
        <f>IF(AND($H22&lt;&gt;"",$AL22&lt;&gt;"",$H22&lt;&gt;$AL22,IFERROR(VLOOKUP($H22,areaCercaPuntiClassificaSquadra,3,FALSE),-1)=IFERROR(VLOOKUP($AL22,areaCercaPuntiClassificaSquadra,3,FALSE),-2)),SUMIFS(Dati!$F$2:$F$381,Dati!$A$2:$A$381,$H22,Dati!$H$2:$H$381,$AL22)+SUMIFS(Dati!$M$2:$M$381,Dati!$H$2:$H$381,$H22,Dati!$A$2:$A$381,$AL22),"-")</f>
        <v/>
      </c>
      <c r="DW22" s="22">
        <f>IF(AND($H22&lt;&gt;"",$AM22&lt;&gt;"",$H22&lt;&gt;$AM22,IFERROR(VLOOKUP($H22,areaCercaPuntiClassificaSquadra,3,FALSE),-1)=IFERROR(VLOOKUP($AM22,areaCercaPuntiClassificaSquadra,3,FALSE),-2)),SUMIFS(Dati!$F$2:$F$381,Dati!$A$2:$A$381,$H22,Dati!$H$2:$H$381,$AM22)+SUMIFS(Dati!$M$2:$M$381,Dati!$H$2:$H$381,$H22,Dati!$A$2:$A$381,$AM22),"-")</f>
        <v/>
      </c>
      <c r="DX22" s="22">
        <f>IF(AND($H22&lt;&gt;"",$AN22&lt;&gt;"",$H22&lt;&gt;$AN22,IFERROR(VLOOKUP($H22,areaCercaPuntiClassificaSquadra,3,FALSE),-1)=IFERROR(VLOOKUP($AN22,areaCercaPuntiClassificaSquadra,3,FALSE),-2)),SUMIFS(Dati!$F$2:$F$381,Dati!$A$2:$A$381,$H22,Dati!$H$2:$H$381,$AN22)+SUMIFS(Dati!$M$2:$M$381,Dati!$H$2:$H$381,$H22,Dati!$A$2:$A$381,$AN22),"-")</f>
        <v/>
      </c>
      <c r="DY22" s="22">
        <f>IF(AND($H22&lt;&gt;"",$AO22&lt;&gt;"",$H22&lt;&gt;$AO22,IFERROR(VLOOKUP($H22,areaCercaPuntiClassificaSquadra,3,FALSE),-1)=IFERROR(VLOOKUP($AO22,areaCercaPuntiClassificaSquadra,3,FALSE),-2)),SUMIFS(Dati!$F$2:$F$381,Dati!$A$2:$A$381,$H22,Dati!$H$2:$H$381,$AO22)+SUMIFS(Dati!$M$2:$M$381,Dati!$H$2:$H$381,$H22,Dati!$A$2:$A$381,$AO22),"-")</f>
        <v/>
      </c>
      <c r="DZ22" s="22">
        <f>IF(AND($H22&lt;&gt;"",$AP22&lt;&gt;"",$H22&lt;&gt;$AP22,IFERROR(VLOOKUP($H22,areaCercaPuntiClassificaSquadra,3,FALSE),-1)=IFERROR(VLOOKUP($AP22,areaCercaPuntiClassificaSquadra,3,FALSE),-2)),SUMIFS(Dati!$F$2:$F$381,Dati!$A$2:$A$381,$H22,Dati!$H$2:$H$381,$AP22)+SUMIFS(Dati!$M$2:$M$381,Dati!$H$2:$H$381,$H22,Dati!$A$2:$A$381,$AP22),"-")</f>
        <v/>
      </c>
      <c r="EA22" s="22">
        <f>IF(AND($H22&lt;&gt;"",$AQ22&lt;&gt;"",$H22&lt;&gt;$AQ22,IFERROR(VLOOKUP($H22,areaCercaPuntiClassificaSquadra,3,FALSE),-1)=IFERROR(VLOOKUP($AQ22,areaCercaPuntiClassificaSquadra,3,FALSE),-2)),SUMIFS(Dati!$F$2:$F$381,Dati!$A$2:$A$381,$H22,Dati!$H$2:$H$381,$AQ22)+SUMIFS(Dati!$M$2:$M$381,Dati!$H$2:$H$381,$H22,Dati!$A$2:$A$381,$AQ22),"-")</f>
        <v/>
      </c>
      <c r="EB22" s="22">
        <f>IF(AND($H22&lt;&gt;"",$AR22&lt;&gt;"",$H22&lt;&gt;$AR22,IFERROR(VLOOKUP($H22,areaCercaPuntiClassificaSquadra,3,FALSE),-1)=IFERROR(VLOOKUP($AR22,areaCercaPuntiClassificaSquadra,3,FALSE),-2)),SUMIFS(Dati!$F$2:$F$381,Dati!$A$2:$A$381,$H22,Dati!$H$2:$H$381,$AR22)+SUMIFS(Dati!$M$2:$M$381,Dati!$H$2:$H$381,$H22,Dati!$A$2:$A$381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inlineStr">
        <is>
          <t>Marmotte Mobili-Marmotteopoli MU</t>
        </is>
      </c>
      <c r="D23" s="14" t="n"/>
      <c r="E23" s="15" t="inlineStr">
        <is>
          <t>A</t>
        </is>
      </c>
      <c r="G23" s="16">
        <f>IF($C23="","",$E23&amp;(COUNTIFS(I$14:I$53,"&gt;"&amp;I23,E$14:E$53,"="&amp;E23,C$14:C$53,"&lt;&gt;")+COUNTIFS(I$14:I$53,"="&amp;I23,H$14:H$53,"&lt;="&amp;H23,E$14:E$53,"="&amp;E23,C$14:C$53,"&lt;&gt;")))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L23*constPuntiVittoria+M23*constPuntiSconfitta+N23*constPuntiForfait+IF(D23="",0,D23)</f>
        <v/>
      </c>
      <c r="K23" s="12">
        <f>SUM(L23:N23)</f>
        <v/>
      </c>
      <c r="L23" s="12">
        <f>IF($H23="",0,SUMIF(Dati!$A$2:$A$381,$H23,Dati!$B$2:$B$381)+SUMIF(Dati!$H$2:$H$381,$H23,Dati!$I$2:$I$381))</f>
        <v/>
      </c>
      <c r="M23" s="12">
        <f>IF($H23="",0,SUMIF(Dati!$A$2:$A$381,$H23,Dati!$D$2:$D$381)+SUMIF(Dati!$H$2:$H$381,$H23,Dati!$K$2:$K$381))</f>
        <v/>
      </c>
      <c r="N23" s="12">
        <f>IF($H23="",0,SUMIF(Dati!$A$2:$A$381,$H23,Dati!$C$2:$C$381)+SUMIF(Dati!$H$2:$H$381,$H23,Dati!$J$2:$J$381))</f>
        <v/>
      </c>
      <c r="O23" s="12">
        <f>IF($H23="",0,SUMIF(Dati!$A$2:$A$381,$H23,Dati!$E$2:$E$381)+SUMIF(Dati!$H$2:$H$381,$H23,Dati!$L$2:$L$381))</f>
        <v/>
      </c>
      <c r="P23" s="12">
        <f>IF($H23="",0,SUMIF(Dati!$A$2:$A$381,$H23,Dati!$F$2:$F$381)+SUMIF(Dati!$H$2:$H$381,$H23,Dati!$M$2:$M$381))</f>
        <v/>
      </c>
      <c r="Q23" s="12">
        <f>IF($H23="",0,SUMIF(Dati!$A$2:$A$381,$H23,Dati!$G$2:$G$381)+SUMIF(Dati!$H$2:$H$381,$H23,Dati!$N$2:$N$381))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IF(COUNTIFS($E$14:$E$53,$E23,$J$14:$J$53,$J23,$C$14:$C$53,"&lt;&gt;")&lt;=1,"-",SUM(AU23:BN23)&amp;"-"&amp;SUM(BQ23:CJ23))</f>
        <v/>
      </c>
      <c r="V23" s="18">
        <f>IF(COUNTIFS($E$14:$E$53,$E23,$J$14:$J$53,$J23,$C$14:$C$53,"&lt;&gt;",$ED$14:$ED$53,$ED23)&lt;=1,"-",IF(SUM(DI23:EB23)=0,0,ROUND(SUM(CM23:DF23)/SUM(DI23:EB23),3)))</f>
        <v/>
      </c>
      <c r="W23" s="18">
        <f>IF(COUNTIFS($E$14:$E$53,$E23,$J$14:$J$53,$J23,$C$14:$C$53,"&lt;&gt;",$ED$14:$ED$53,$ED23,$V$14:$V$53,$V23)&lt;=1,"-",IF(P23=0,0,ROUND(O23/P23,3)))</f>
        <v/>
      </c>
      <c r="X23" s="19">
        <f>IF($C23="","",$E23&amp;"#"&amp;COUNTIFS($E$14:$E23,$E23,$C$14:$C23,"&lt;&gt;"))</f>
        <v/>
      </c>
      <c r="Y23" s="20">
        <f>IFERROR(INDEX($H$14:$H$53,MATCH($E23&amp;"#1",$X$14:$X$53,0)),"")</f>
        <v/>
      </c>
      <c r="Z23" s="20">
        <f>IFERROR(INDEX($H$14:$H$53,MATCH($E23&amp;"#2",$X$14:$X$53,0)),"")</f>
        <v/>
      </c>
      <c r="AA23" s="20">
        <f>IFERROR(INDEX($H$14:$H$53,MATCH($E23&amp;"#3",$X$14:$X$53,0)),"")</f>
        <v/>
      </c>
      <c r="AB23" s="20">
        <f>IFERROR(INDEX($H$14:$H$53,MATCH($E23&amp;"#4",$X$14:$X$53,0)),"")</f>
        <v/>
      </c>
      <c r="AC23" s="20">
        <f>IFERROR(INDEX($H$14:$H$53,MATCH($E23&amp;"#5",$X$14:$X$53,0)),"")</f>
        <v/>
      </c>
      <c r="AD23" s="20">
        <f>IFERROR(INDEX($H$14:$H$53,MATCH($E23&amp;"#6",$X$14:$X$53,0)),"")</f>
        <v/>
      </c>
      <c r="AE23" s="20">
        <f>IFERROR(INDEX($H$14:$H$53,MATCH($E23&amp;"#7",$X$14:$X$53,0)),"")</f>
        <v/>
      </c>
      <c r="AF23" s="20">
        <f>IFERROR(INDEX($H$14:$H$53,MATCH($E23&amp;"#8",$X$14:$X$53,0)),"")</f>
        <v/>
      </c>
      <c r="AG23" s="20">
        <f>IFERROR(INDEX($H$14:$H$53,MATCH($E23&amp;"#9",$X$14:$X$53,0)),"")</f>
        <v/>
      </c>
      <c r="AH23" s="20">
        <f>IFERROR(INDEX($H$14:$H$53,MATCH($E23&amp;"#10",$X$14:$X$53,0)),"")</f>
        <v/>
      </c>
      <c r="AI23" s="20">
        <f>IFERROR(INDEX($H$14:$H$53,MATCH($E23&amp;"#11",$X$14:$X$53,0)),"")</f>
        <v/>
      </c>
      <c r="AJ23" s="20">
        <f>IFERROR(INDEX($H$14:$H$53,MATCH($E23&amp;"#12",$X$14:$X$53,0)),"")</f>
        <v/>
      </c>
      <c r="AK23" s="20">
        <f>IFERROR(INDEX($H$14:$H$53,MATCH($E23&amp;"#13",$X$14:$X$53,0)),"")</f>
        <v/>
      </c>
      <c r="AL23" s="20">
        <f>IFERROR(INDEX($H$14:$H$53,MATCH($E23&amp;"#14",$X$14:$X$53,0)),"")</f>
        <v/>
      </c>
      <c r="AM23" s="20">
        <f>IFERROR(INDEX($H$14:$H$53,MATCH($E23&amp;"#15",$X$14:$X$53,0)),"")</f>
        <v/>
      </c>
      <c r="AN23" s="20">
        <f>IFERROR(INDEX($H$14:$H$53,MATCH($E23&amp;"#16",$X$14:$X$53,0)),"")</f>
        <v/>
      </c>
      <c r="AO23" s="20">
        <f>IFERROR(INDEX($H$14:$H$53,MATCH($E23&amp;"#17",$X$14:$X$53,0)),"")</f>
        <v/>
      </c>
      <c r="AP23" s="20">
        <f>IFERROR(INDEX($H$14:$H$53,MATCH($E23&amp;"#18",$X$14:$X$53,0)),"")</f>
        <v/>
      </c>
      <c r="AQ23" s="20">
        <f>IFERROR(INDEX($H$14:$H$53,MATCH($E23&amp;"#19",$X$14:$X$53,0)),"")</f>
        <v/>
      </c>
      <c r="AR23" s="20">
        <f>IFERROR(INDEX($H$14:$H$53,MATCH($E23&amp;"#20",$X$14:$X$53,0)),"")</f>
        <v/>
      </c>
      <c r="AT23" s="21">
        <f>$C23</f>
        <v/>
      </c>
      <c r="AU23" s="22">
        <f>IF(AND($H23&lt;&gt;"",$Y23&lt;&gt;"",$H23&lt;&gt;$Y23,IFERROR(VLOOKUP($H23,areaCercaPuntiClassificaSquadra,3,FALSE),-1)=IFERROR(VLOOKUP($Y23,areaCercaPuntiClassificaSquadra,3,FALSE),-2)),SUMIFS(Dati!$B$2:$B$381,Dati!$A$2:$A$381,$H23,Dati!$H$2:$H$381,$Y23)+SUMIFS(Dati!$I$2:$I$381,Dati!$H$2:$H$381,$H23,Dati!$A$2:$A$381,$Y23),"-")</f>
        <v/>
      </c>
      <c r="AV23" s="22">
        <f>IF(AND($H23&lt;&gt;"",$Z23&lt;&gt;"",$H23&lt;&gt;$Z23,IFERROR(VLOOKUP($H23,areaCercaPuntiClassificaSquadra,3,FALSE),-1)=IFERROR(VLOOKUP($Z23,areaCercaPuntiClassificaSquadra,3,FALSE),-2)),SUMIFS(Dati!$B$2:$B$381,Dati!$A$2:$A$381,$H23,Dati!$H$2:$H$381,$Z23)+SUMIFS(Dati!$I$2:$I$381,Dati!$H$2:$H$381,$H23,Dati!$A$2:$A$381,$Z23),"-")</f>
        <v/>
      </c>
      <c r="AW23" s="22">
        <f>IF(AND($H23&lt;&gt;"",$AA23&lt;&gt;"",$H23&lt;&gt;$AA23,IFERROR(VLOOKUP($H23,areaCercaPuntiClassificaSquadra,3,FALSE),-1)=IFERROR(VLOOKUP($AA23,areaCercaPuntiClassificaSquadra,3,FALSE),-2)),SUMIFS(Dati!$B$2:$B$381,Dati!$A$2:$A$381,$H23,Dati!$H$2:$H$381,$AA23)+SUMIFS(Dati!$I$2:$I$381,Dati!$H$2:$H$381,$H23,Dati!$A$2:$A$381,$AA23),"-")</f>
        <v/>
      </c>
      <c r="AX23" s="22">
        <f>IF(AND($H23&lt;&gt;"",$AB23&lt;&gt;"",$H23&lt;&gt;$AB23,IFERROR(VLOOKUP($H23,areaCercaPuntiClassificaSquadra,3,FALSE),-1)=IFERROR(VLOOKUP($AB23,areaCercaPuntiClassificaSquadra,3,FALSE),-2)),SUMIFS(Dati!$B$2:$B$381,Dati!$A$2:$A$381,$H23,Dati!$H$2:$H$381,$AB23)+SUMIFS(Dati!$I$2:$I$381,Dati!$H$2:$H$381,$H23,Dati!$A$2:$A$381,$AB23),"-")</f>
        <v/>
      </c>
      <c r="AY23" s="22">
        <f>IF(AND($H23&lt;&gt;"",$AC23&lt;&gt;"",$H23&lt;&gt;$AC23,IFERROR(VLOOKUP($H23,areaCercaPuntiClassificaSquadra,3,FALSE),-1)=IFERROR(VLOOKUP($AC23,areaCercaPuntiClassificaSquadra,3,FALSE),-2)),SUMIFS(Dati!$B$2:$B$381,Dati!$A$2:$A$381,$H23,Dati!$H$2:$H$381,$AC23)+SUMIFS(Dati!$I$2:$I$381,Dati!$H$2:$H$381,$H23,Dati!$A$2:$A$381,$AC23),"-")</f>
        <v/>
      </c>
      <c r="AZ23" s="22">
        <f>IF(AND($H23&lt;&gt;"",$AD23&lt;&gt;"",$H23&lt;&gt;$AD23,IFERROR(VLOOKUP($H23,areaCercaPuntiClassificaSquadra,3,FALSE),-1)=IFERROR(VLOOKUP($AD23,areaCercaPuntiClassificaSquadra,3,FALSE),-2)),SUMIFS(Dati!$B$2:$B$381,Dati!$A$2:$A$381,$H23,Dati!$H$2:$H$381,$AD23)+SUMIFS(Dati!$I$2:$I$381,Dati!$H$2:$H$381,$H23,Dati!$A$2:$A$381,$AD23),"-")</f>
        <v/>
      </c>
      <c r="BA23" s="22">
        <f>IF(AND($H23&lt;&gt;"",$AE23&lt;&gt;"",$H23&lt;&gt;$AE23,IFERROR(VLOOKUP($H23,areaCercaPuntiClassificaSquadra,3,FALSE),-1)=IFERROR(VLOOKUP($AE23,areaCercaPuntiClassificaSquadra,3,FALSE),-2)),SUMIFS(Dati!$B$2:$B$381,Dati!$A$2:$A$381,$H23,Dati!$H$2:$H$381,$AE23)+SUMIFS(Dati!$I$2:$I$381,Dati!$H$2:$H$381,$H23,Dati!$A$2:$A$381,$AE23),"-")</f>
        <v/>
      </c>
      <c r="BB23" s="22">
        <f>IF(AND($H23&lt;&gt;"",$AF23&lt;&gt;"",$H23&lt;&gt;$AF23,IFERROR(VLOOKUP($H23,areaCercaPuntiClassificaSquadra,3,FALSE),-1)=IFERROR(VLOOKUP($AF23,areaCercaPuntiClassificaSquadra,3,FALSE),-2)),SUMIFS(Dati!$B$2:$B$381,Dati!$A$2:$A$381,$H23,Dati!$H$2:$H$381,$AF23)+SUMIFS(Dati!$I$2:$I$381,Dati!$H$2:$H$381,$H23,Dati!$A$2:$A$381,$AF23),"-")</f>
        <v/>
      </c>
      <c r="BC23" s="22">
        <f>IF(AND($H23&lt;&gt;"",$AG23&lt;&gt;"",$H23&lt;&gt;$AG23,IFERROR(VLOOKUP($H23,areaCercaPuntiClassificaSquadra,3,FALSE),-1)=IFERROR(VLOOKUP($AG23,areaCercaPuntiClassificaSquadra,3,FALSE),-2)),SUMIFS(Dati!$B$2:$B$381,Dati!$A$2:$A$381,$H23,Dati!$H$2:$H$381,$AG23)+SUMIFS(Dati!$I$2:$I$381,Dati!$H$2:$H$381,$H23,Dati!$A$2:$A$381,$AG23),"-")</f>
        <v/>
      </c>
      <c r="BD23" s="22">
        <f>IF(AND($H23&lt;&gt;"",$AH23&lt;&gt;"",$H23&lt;&gt;$AH23,IFERROR(VLOOKUP($H23,areaCercaPuntiClassificaSquadra,3,FALSE),-1)=IFERROR(VLOOKUP($AH23,areaCercaPuntiClassificaSquadra,3,FALSE),-2)),SUMIFS(Dati!$B$2:$B$381,Dati!$A$2:$A$381,$H23,Dati!$H$2:$H$381,$AH23)+SUMIFS(Dati!$I$2:$I$381,Dati!$H$2:$H$381,$H23,Dati!$A$2:$A$381,$AH23),"-")</f>
        <v/>
      </c>
      <c r="BE23" s="22">
        <f>IF(AND($H23&lt;&gt;"",$AI23&lt;&gt;"",$H23&lt;&gt;$AI23,IFERROR(VLOOKUP($H23,areaCercaPuntiClassificaSquadra,3,FALSE),-1)=IFERROR(VLOOKUP($AI23,areaCercaPuntiClassificaSquadra,3,FALSE),-2)),SUMIFS(Dati!$B$2:$B$381,Dati!$A$2:$A$381,$H23,Dati!$H$2:$H$381,$AI23)+SUMIFS(Dati!$I$2:$I$381,Dati!$H$2:$H$381,$H23,Dati!$A$2:$A$381,$AI23),"-")</f>
        <v/>
      </c>
      <c r="BF23" s="22">
        <f>IF(AND($H23&lt;&gt;"",$AJ23&lt;&gt;"",$H23&lt;&gt;$AJ23,IFERROR(VLOOKUP($H23,areaCercaPuntiClassificaSquadra,3,FALSE),-1)=IFERROR(VLOOKUP($AJ23,areaCercaPuntiClassificaSquadra,3,FALSE),-2)),SUMIFS(Dati!$B$2:$B$381,Dati!$A$2:$A$381,$H23,Dati!$H$2:$H$381,$AJ23)+SUMIFS(Dati!$I$2:$I$381,Dati!$H$2:$H$381,$H23,Dati!$A$2:$A$381,$AJ23),"-")</f>
        <v/>
      </c>
      <c r="BG23" s="22">
        <f>IF(AND($H23&lt;&gt;"",$AK23&lt;&gt;"",$H23&lt;&gt;$AK23,IFERROR(VLOOKUP($H23,areaCercaPuntiClassificaSquadra,3,FALSE),-1)=IFERROR(VLOOKUP($AK23,areaCercaPuntiClassificaSquadra,3,FALSE),-2)),SUMIFS(Dati!$B$2:$B$381,Dati!$A$2:$A$381,$H23,Dati!$H$2:$H$381,$AK23)+SUMIFS(Dati!$I$2:$I$381,Dati!$H$2:$H$381,$H23,Dati!$A$2:$A$381,$AK23),"-")</f>
        <v/>
      </c>
      <c r="BH23" s="22">
        <f>IF(AND($H23&lt;&gt;"",$AL23&lt;&gt;"",$H23&lt;&gt;$AL23,IFERROR(VLOOKUP($H23,areaCercaPuntiClassificaSquadra,3,FALSE),-1)=IFERROR(VLOOKUP($AL23,areaCercaPuntiClassificaSquadra,3,FALSE),-2)),SUMIFS(Dati!$B$2:$B$381,Dati!$A$2:$A$381,$H23,Dati!$H$2:$H$381,$AL23)+SUMIFS(Dati!$I$2:$I$381,Dati!$H$2:$H$381,$H23,Dati!$A$2:$A$381,$AL23),"-")</f>
        <v/>
      </c>
      <c r="BI23" s="22">
        <f>IF(AND($H23&lt;&gt;"",$AM23&lt;&gt;"",$H23&lt;&gt;$AM23,IFERROR(VLOOKUP($H23,areaCercaPuntiClassificaSquadra,3,FALSE),-1)=IFERROR(VLOOKUP($AM23,areaCercaPuntiClassificaSquadra,3,FALSE),-2)),SUMIFS(Dati!$B$2:$B$381,Dati!$A$2:$A$381,$H23,Dati!$H$2:$H$381,$AM23)+SUMIFS(Dati!$I$2:$I$381,Dati!$H$2:$H$381,$H23,Dati!$A$2:$A$381,$AM23),"-")</f>
        <v/>
      </c>
      <c r="BJ23" s="22">
        <f>IF(AND($H23&lt;&gt;"",$AN23&lt;&gt;"",$H23&lt;&gt;$AN23,IFERROR(VLOOKUP($H23,areaCercaPuntiClassificaSquadra,3,FALSE),-1)=IFERROR(VLOOKUP($AN23,areaCercaPuntiClassificaSquadra,3,FALSE),-2)),SUMIFS(Dati!$B$2:$B$381,Dati!$A$2:$A$381,$H23,Dati!$H$2:$H$381,$AN23)+SUMIFS(Dati!$I$2:$I$381,Dati!$H$2:$H$381,$H23,Dati!$A$2:$A$381,$AN23),"-")</f>
        <v/>
      </c>
      <c r="BK23" s="22">
        <f>IF(AND($H23&lt;&gt;"",$AO23&lt;&gt;"",$H23&lt;&gt;$AO23,IFERROR(VLOOKUP($H23,areaCercaPuntiClassificaSquadra,3,FALSE),-1)=IFERROR(VLOOKUP($AO23,areaCercaPuntiClassificaSquadra,3,FALSE),-2)),SUMIFS(Dati!$B$2:$B$381,Dati!$A$2:$A$381,$H23,Dati!$H$2:$H$381,$AO23)+SUMIFS(Dati!$I$2:$I$381,Dati!$H$2:$H$381,$H23,Dati!$A$2:$A$381,$AO23),"-")</f>
        <v/>
      </c>
      <c r="BL23" s="22">
        <f>IF(AND($H23&lt;&gt;"",$AP23&lt;&gt;"",$H23&lt;&gt;$AP23,IFERROR(VLOOKUP($H23,areaCercaPuntiClassificaSquadra,3,FALSE),-1)=IFERROR(VLOOKUP($AP23,areaCercaPuntiClassificaSquadra,3,FALSE),-2)),SUMIFS(Dati!$B$2:$B$381,Dati!$A$2:$A$381,$H23,Dati!$H$2:$H$381,$AP23)+SUMIFS(Dati!$I$2:$I$381,Dati!$H$2:$H$381,$H23,Dati!$A$2:$A$381,$AP23),"-")</f>
        <v/>
      </c>
      <c r="BM23" s="22">
        <f>IF(AND($H23&lt;&gt;"",$AQ23&lt;&gt;"",$H23&lt;&gt;$AQ23,IFERROR(VLOOKUP($H23,areaCercaPuntiClassificaSquadra,3,FALSE),-1)=IFERROR(VLOOKUP($AQ23,areaCercaPuntiClassificaSquadra,3,FALSE),-2)),SUMIFS(Dati!$B$2:$B$381,Dati!$A$2:$A$381,$H23,Dati!$H$2:$H$381,$AQ23)+SUMIFS(Dati!$I$2:$I$381,Dati!$H$2:$H$381,$H23,Dati!$A$2:$A$381,$AQ23),"-")</f>
        <v/>
      </c>
      <c r="BN23" s="22">
        <f>IF(AND($H23&lt;&gt;"",$AR23&lt;&gt;"",$H23&lt;&gt;$AR23,IFERROR(VLOOKUP($H23,areaCercaPuntiClassificaSquadra,3,FALSE),-1)=IFERROR(VLOOKUP($AR23,areaCercaPuntiClassificaSquadra,3,FALSE),-2)),SUMIFS(Dati!$B$2:$B$381,Dati!$A$2:$A$381,$H23,Dati!$H$2:$H$381,$AR23)+SUMIFS(Dati!$I$2:$I$381,Dati!$H$2:$H$381,$H23,Dati!$A$2:$A$381,$AR23),"-")</f>
        <v/>
      </c>
      <c r="BP23" s="21">
        <f>$C23</f>
        <v/>
      </c>
      <c r="BQ23" s="22">
        <f>IF(AND($H23&lt;&gt;"",$Y23&lt;&gt;"",$H23&lt;&gt;$Y23,IFERROR(VLOOKUP($H23,areaCercaPuntiClassificaSquadra,3,FALSE),-1)=IFERROR(VLOOKUP($Y23,areaCercaPuntiClassificaSquadra,3,FALSE),-2)),SUMIFS(Dati!$D$2:$D$381,Dati!$A$2:$A$381,$H23,Dati!$H$2:$H$381,$Y23)+SUMIFS(Dati!$K$2:$K$381,Dati!$H$2:$H$381,$H23,Dati!$A$2:$A$381,$Y23)+SUMIFS(Dati!$C$2:$C$381,Dati!$A$2:$A$381,$H23,Dati!$H$2:$H$381,$Y23)+SUMIFS(Dati!$J$2:$J$381,Dati!$H$2:$H$381,$H23,Dati!$A$2:$A$381,$Y23),"-")</f>
        <v/>
      </c>
      <c r="BR23" s="22">
        <f>IF(AND($H23&lt;&gt;"",$Z23&lt;&gt;"",$H23&lt;&gt;$Z23,IFERROR(VLOOKUP($H23,areaCercaPuntiClassificaSquadra,3,FALSE),-1)=IFERROR(VLOOKUP($Z23,areaCercaPuntiClassificaSquadra,3,FALSE),-2)),SUMIFS(Dati!$D$2:$D$381,Dati!$A$2:$A$381,$H23,Dati!$H$2:$H$381,$Z23)+SUMIFS(Dati!$K$2:$K$381,Dati!$H$2:$H$381,$H23,Dati!$A$2:$A$381,$Z23)+SUMIFS(Dati!$C$2:$C$381,Dati!$A$2:$A$381,$H23,Dati!$H$2:$H$381,$Z23)+SUMIFS(Dati!$J$2:$J$381,Dati!$H$2:$H$381,$H23,Dati!$A$2:$A$381,$Z23),"-")</f>
        <v/>
      </c>
      <c r="BS23" s="22">
        <f>IF(AND($H23&lt;&gt;"",$AA23&lt;&gt;"",$H23&lt;&gt;$AA23,IFERROR(VLOOKUP($H23,areaCercaPuntiClassificaSquadra,3,FALSE),-1)=IFERROR(VLOOKUP($AA23,areaCercaPuntiClassificaSquadra,3,FALSE),-2)),SUMIFS(Dati!$D$2:$D$381,Dati!$A$2:$A$381,$H23,Dati!$H$2:$H$381,$AA23)+SUMIFS(Dati!$K$2:$K$381,Dati!$H$2:$H$381,$H23,Dati!$A$2:$A$381,$AA23)+SUMIFS(Dati!$C$2:$C$381,Dati!$A$2:$A$381,$H23,Dati!$H$2:$H$381,$AA23)+SUMIFS(Dati!$J$2:$J$381,Dati!$H$2:$H$381,$H23,Dati!$A$2:$A$381,$AA23),"-")</f>
        <v/>
      </c>
      <c r="BT23" s="22">
        <f>IF(AND($H23&lt;&gt;"",$AB23&lt;&gt;"",$H23&lt;&gt;$AB23,IFERROR(VLOOKUP($H23,areaCercaPuntiClassificaSquadra,3,FALSE),-1)=IFERROR(VLOOKUP($AB23,areaCercaPuntiClassificaSquadra,3,FALSE),-2)),SUMIFS(Dati!$D$2:$D$381,Dati!$A$2:$A$381,$H23,Dati!$H$2:$H$381,$AB23)+SUMIFS(Dati!$K$2:$K$381,Dati!$H$2:$H$381,$H23,Dati!$A$2:$A$381,$AB23)+SUMIFS(Dati!$C$2:$C$381,Dati!$A$2:$A$381,$H23,Dati!$H$2:$H$381,$AB23)+SUMIFS(Dati!$J$2:$J$381,Dati!$H$2:$H$381,$H23,Dati!$A$2:$A$381,$AB23),"-")</f>
        <v/>
      </c>
      <c r="BU23" s="22">
        <f>IF(AND($H23&lt;&gt;"",$AC23&lt;&gt;"",$H23&lt;&gt;$AC23,IFERROR(VLOOKUP($H23,areaCercaPuntiClassificaSquadra,3,FALSE),-1)=IFERROR(VLOOKUP($AC23,areaCercaPuntiClassificaSquadra,3,FALSE),-2)),SUMIFS(Dati!$D$2:$D$381,Dati!$A$2:$A$381,$H23,Dati!$H$2:$H$381,$AC23)+SUMIFS(Dati!$K$2:$K$381,Dati!$H$2:$H$381,$H23,Dati!$A$2:$A$381,$AC23)+SUMIFS(Dati!$C$2:$C$381,Dati!$A$2:$A$381,$H23,Dati!$H$2:$H$381,$AC23)+SUMIFS(Dati!$J$2:$J$381,Dati!$H$2:$H$381,$H23,Dati!$A$2:$A$381,$AC23),"-")</f>
        <v/>
      </c>
      <c r="BV23" s="22">
        <f>IF(AND($H23&lt;&gt;"",$AD23&lt;&gt;"",$H23&lt;&gt;$AD23,IFERROR(VLOOKUP($H23,areaCercaPuntiClassificaSquadra,3,FALSE),-1)=IFERROR(VLOOKUP($AD23,areaCercaPuntiClassificaSquadra,3,FALSE),-2)),SUMIFS(Dati!$D$2:$D$381,Dati!$A$2:$A$381,$H23,Dati!$H$2:$H$381,$AD23)+SUMIFS(Dati!$K$2:$K$381,Dati!$H$2:$H$381,$H23,Dati!$A$2:$A$381,$AD23)+SUMIFS(Dati!$C$2:$C$381,Dati!$A$2:$A$381,$H23,Dati!$H$2:$H$381,$AD23)+SUMIFS(Dati!$J$2:$J$381,Dati!$H$2:$H$381,$H23,Dati!$A$2:$A$381,$AD23),"-")</f>
        <v/>
      </c>
      <c r="BW23" s="22">
        <f>IF(AND($H23&lt;&gt;"",$AE23&lt;&gt;"",$H23&lt;&gt;$AE23,IFERROR(VLOOKUP($H23,areaCercaPuntiClassificaSquadra,3,FALSE),-1)=IFERROR(VLOOKUP($AE23,areaCercaPuntiClassificaSquadra,3,FALSE),-2)),SUMIFS(Dati!$D$2:$D$381,Dati!$A$2:$A$381,$H23,Dati!$H$2:$H$381,$AE23)+SUMIFS(Dati!$K$2:$K$381,Dati!$H$2:$H$381,$H23,Dati!$A$2:$A$381,$AE23)+SUMIFS(Dati!$C$2:$C$381,Dati!$A$2:$A$381,$H23,Dati!$H$2:$H$381,$AE23)+SUMIFS(Dati!$J$2:$J$381,Dati!$H$2:$H$381,$H23,Dati!$A$2:$A$381,$AE23),"-")</f>
        <v/>
      </c>
      <c r="BX23" s="22">
        <f>IF(AND($H23&lt;&gt;"",$AF23&lt;&gt;"",$H23&lt;&gt;$AF23,IFERROR(VLOOKUP($H23,areaCercaPuntiClassificaSquadra,3,FALSE),-1)=IFERROR(VLOOKUP($AF23,areaCercaPuntiClassificaSquadra,3,FALSE),-2)),SUMIFS(Dati!$D$2:$D$381,Dati!$A$2:$A$381,$H23,Dati!$H$2:$H$381,$AF23)+SUMIFS(Dati!$K$2:$K$381,Dati!$H$2:$H$381,$H23,Dati!$A$2:$A$381,$AF23)+SUMIFS(Dati!$C$2:$C$381,Dati!$A$2:$A$381,$H23,Dati!$H$2:$H$381,$AF23)+SUMIFS(Dati!$J$2:$J$381,Dati!$H$2:$H$381,$H23,Dati!$A$2:$A$381,$AF23),"-")</f>
        <v/>
      </c>
      <c r="BY23" s="22">
        <f>IF(AND($H23&lt;&gt;"",$AG23&lt;&gt;"",$H23&lt;&gt;$AG23,IFERROR(VLOOKUP($H23,areaCercaPuntiClassificaSquadra,3,FALSE),-1)=IFERROR(VLOOKUP($AG23,areaCercaPuntiClassificaSquadra,3,FALSE),-2)),SUMIFS(Dati!$D$2:$D$381,Dati!$A$2:$A$381,$H23,Dati!$H$2:$H$381,$AG23)+SUMIFS(Dati!$K$2:$K$381,Dati!$H$2:$H$381,$H23,Dati!$A$2:$A$381,$AG23)+SUMIFS(Dati!$C$2:$C$381,Dati!$A$2:$A$381,$H23,Dati!$H$2:$H$381,$AG23)+SUMIFS(Dati!$J$2:$J$381,Dati!$H$2:$H$381,$H23,Dati!$A$2:$A$381,$AG23),"-")</f>
        <v/>
      </c>
      <c r="BZ23" s="22">
        <f>IF(AND($H23&lt;&gt;"",$AH23&lt;&gt;"",$H23&lt;&gt;$AH23,IFERROR(VLOOKUP($H23,areaCercaPuntiClassificaSquadra,3,FALSE),-1)=IFERROR(VLOOKUP($AH23,areaCercaPuntiClassificaSquadra,3,FALSE),-2)),SUMIFS(Dati!$D$2:$D$381,Dati!$A$2:$A$381,$H23,Dati!$H$2:$H$381,$AH23)+SUMIFS(Dati!$K$2:$K$381,Dati!$H$2:$H$381,$H23,Dati!$A$2:$A$381,$AH23)+SUMIFS(Dati!$C$2:$C$381,Dati!$A$2:$A$381,$H23,Dati!$H$2:$H$381,$AH23)+SUMIFS(Dati!$J$2:$J$381,Dati!$H$2:$H$381,$H23,Dati!$A$2:$A$381,$AH23),"-")</f>
        <v/>
      </c>
      <c r="CA23" s="22">
        <f>IF(AND($H23&lt;&gt;"",$AI23&lt;&gt;"",$H23&lt;&gt;$AI23,IFERROR(VLOOKUP($H23,areaCercaPuntiClassificaSquadra,3,FALSE),-1)=IFERROR(VLOOKUP($AI23,areaCercaPuntiClassificaSquadra,3,FALSE),-2)),SUMIFS(Dati!$D$2:$D$381,Dati!$A$2:$A$381,$H23,Dati!$H$2:$H$381,$AI23)+SUMIFS(Dati!$K$2:$K$381,Dati!$H$2:$H$381,$H23,Dati!$A$2:$A$381,$AI23)+SUMIFS(Dati!$C$2:$C$381,Dati!$A$2:$A$381,$H23,Dati!$H$2:$H$381,$AI23)+SUMIFS(Dati!$J$2:$J$381,Dati!$H$2:$H$381,$H23,Dati!$A$2:$A$381,$AI23),"-")</f>
        <v/>
      </c>
      <c r="CB23" s="22">
        <f>IF(AND($H23&lt;&gt;"",$AJ23&lt;&gt;"",$H23&lt;&gt;$AJ23,IFERROR(VLOOKUP($H23,areaCercaPuntiClassificaSquadra,3,FALSE),-1)=IFERROR(VLOOKUP($AJ23,areaCercaPuntiClassificaSquadra,3,FALSE),-2)),SUMIFS(Dati!$D$2:$D$381,Dati!$A$2:$A$381,$H23,Dati!$H$2:$H$381,$AJ23)+SUMIFS(Dati!$K$2:$K$381,Dati!$H$2:$H$381,$H23,Dati!$A$2:$A$381,$AJ23)+SUMIFS(Dati!$C$2:$C$381,Dati!$A$2:$A$381,$H23,Dati!$H$2:$H$381,$AJ23)+SUMIFS(Dati!$J$2:$J$381,Dati!$H$2:$H$381,$H23,Dati!$A$2:$A$381,$AJ23),"-")</f>
        <v/>
      </c>
      <c r="CC23" s="22">
        <f>IF(AND($H23&lt;&gt;"",$AK23&lt;&gt;"",$H23&lt;&gt;$AK23,IFERROR(VLOOKUP($H23,areaCercaPuntiClassificaSquadra,3,FALSE),-1)=IFERROR(VLOOKUP($AK23,areaCercaPuntiClassificaSquadra,3,FALSE),-2)),SUMIFS(Dati!$D$2:$D$381,Dati!$A$2:$A$381,$H23,Dati!$H$2:$H$381,$AK23)+SUMIFS(Dati!$K$2:$K$381,Dati!$H$2:$H$381,$H23,Dati!$A$2:$A$381,$AK23)+SUMIFS(Dati!$C$2:$C$381,Dati!$A$2:$A$381,$H23,Dati!$H$2:$H$381,$AK23)+SUMIFS(Dati!$J$2:$J$381,Dati!$H$2:$H$381,$H23,Dati!$A$2:$A$381,$AK23),"-")</f>
        <v/>
      </c>
      <c r="CD23" s="22">
        <f>IF(AND($H23&lt;&gt;"",$AL23&lt;&gt;"",$H23&lt;&gt;$AL23,IFERROR(VLOOKUP($H23,areaCercaPuntiClassificaSquadra,3,FALSE),-1)=IFERROR(VLOOKUP($AL23,areaCercaPuntiClassificaSquadra,3,FALSE),-2)),SUMIFS(Dati!$D$2:$D$381,Dati!$A$2:$A$381,$H23,Dati!$H$2:$H$381,$AL23)+SUMIFS(Dati!$K$2:$K$381,Dati!$H$2:$H$381,$H23,Dati!$A$2:$A$381,$AL23)+SUMIFS(Dati!$C$2:$C$381,Dati!$A$2:$A$381,$H23,Dati!$H$2:$H$381,$AL23)+SUMIFS(Dati!$J$2:$J$381,Dati!$H$2:$H$381,$H23,Dati!$A$2:$A$381,$AL23),"-")</f>
        <v/>
      </c>
      <c r="CE23" s="22">
        <f>IF(AND($H23&lt;&gt;"",$AM23&lt;&gt;"",$H23&lt;&gt;$AM23,IFERROR(VLOOKUP($H23,areaCercaPuntiClassificaSquadra,3,FALSE),-1)=IFERROR(VLOOKUP($AM23,areaCercaPuntiClassificaSquadra,3,FALSE),-2)),SUMIFS(Dati!$D$2:$D$381,Dati!$A$2:$A$381,$H23,Dati!$H$2:$H$381,$AM23)+SUMIFS(Dati!$K$2:$K$381,Dati!$H$2:$H$381,$H23,Dati!$A$2:$A$381,$AM23)+SUMIFS(Dati!$C$2:$C$381,Dati!$A$2:$A$381,$H23,Dati!$H$2:$H$381,$AM23)+SUMIFS(Dati!$J$2:$J$381,Dati!$H$2:$H$381,$H23,Dati!$A$2:$A$381,$AM23),"-")</f>
        <v/>
      </c>
      <c r="CF23" s="22">
        <f>IF(AND($H23&lt;&gt;"",$AN23&lt;&gt;"",$H23&lt;&gt;$AN23,IFERROR(VLOOKUP($H23,areaCercaPuntiClassificaSquadra,3,FALSE),-1)=IFERROR(VLOOKUP($AN23,areaCercaPuntiClassificaSquadra,3,FALSE),-2)),SUMIFS(Dati!$D$2:$D$381,Dati!$A$2:$A$381,$H23,Dati!$H$2:$H$381,$AN23)+SUMIFS(Dati!$K$2:$K$381,Dati!$H$2:$H$381,$H23,Dati!$A$2:$A$381,$AN23)+SUMIFS(Dati!$C$2:$C$381,Dati!$A$2:$A$381,$H23,Dati!$H$2:$H$381,$AN23)+SUMIFS(Dati!$J$2:$J$381,Dati!$H$2:$H$381,$H23,Dati!$A$2:$A$381,$AN23),"-")</f>
        <v/>
      </c>
      <c r="CG23" s="22">
        <f>IF(AND($H23&lt;&gt;"",$AO23&lt;&gt;"",$H23&lt;&gt;$AO23,IFERROR(VLOOKUP($H23,areaCercaPuntiClassificaSquadra,3,FALSE),-1)=IFERROR(VLOOKUP($AO23,areaCercaPuntiClassificaSquadra,3,FALSE),-2)),SUMIFS(Dati!$D$2:$D$381,Dati!$A$2:$A$381,$H23,Dati!$H$2:$H$381,$AO23)+SUMIFS(Dati!$K$2:$K$381,Dati!$H$2:$H$381,$H23,Dati!$A$2:$A$381,$AO23)+SUMIFS(Dati!$C$2:$C$381,Dati!$A$2:$A$381,$H23,Dati!$H$2:$H$381,$AO23)+SUMIFS(Dati!$J$2:$J$381,Dati!$H$2:$H$381,$H23,Dati!$A$2:$A$381,$AO23),"-")</f>
        <v/>
      </c>
      <c r="CH23" s="22">
        <f>IF(AND($H23&lt;&gt;"",$AP23&lt;&gt;"",$H23&lt;&gt;$AP23,IFERROR(VLOOKUP($H23,areaCercaPuntiClassificaSquadra,3,FALSE),-1)=IFERROR(VLOOKUP($AP23,areaCercaPuntiClassificaSquadra,3,FALSE),-2)),SUMIFS(Dati!$D$2:$D$381,Dati!$A$2:$A$381,$H23,Dati!$H$2:$H$381,$AP23)+SUMIFS(Dati!$K$2:$K$381,Dati!$H$2:$H$381,$H23,Dati!$A$2:$A$381,$AP23)+SUMIFS(Dati!$C$2:$C$381,Dati!$A$2:$A$381,$H23,Dati!$H$2:$H$381,$AP23)+SUMIFS(Dati!$J$2:$J$381,Dati!$H$2:$H$381,$H23,Dati!$A$2:$A$381,$AP23),"-")</f>
        <v/>
      </c>
      <c r="CI23" s="22">
        <f>IF(AND($H23&lt;&gt;"",$AQ23&lt;&gt;"",$H23&lt;&gt;$AQ23,IFERROR(VLOOKUP($H23,areaCercaPuntiClassificaSquadra,3,FALSE),-1)=IFERROR(VLOOKUP($AQ23,areaCercaPuntiClassificaSquadra,3,FALSE),-2)),SUMIFS(Dati!$D$2:$D$381,Dati!$A$2:$A$381,$H23,Dati!$H$2:$H$381,$AQ23)+SUMIFS(Dati!$K$2:$K$381,Dati!$H$2:$H$381,$H23,Dati!$A$2:$A$381,$AQ23)+SUMIFS(Dati!$C$2:$C$381,Dati!$A$2:$A$381,$H23,Dati!$H$2:$H$381,$AQ23)+SUMIFS(Dati!$J$2:$J$381,Dati!$H$2:$H$381,$H23,Dati!$A$2:$A$381,$AQ23),"-")</f>
        <v/>
      </c>
      <c r="CJ23" s="22">
        <f>IF(AND($H23&lt;&gt;"",$AR23&lt;&gt;"",$H23&lt;&gt;$AR23,IFERROR(VLOOKUP($H23,areaCercaPuntiClassificaSquadra,3,FALSE),-1)=IFERROR(VLOOKUP($AR23,areaCercaPuntiClassificaSquadra,3,FALSE),-2)),SUMIFS(Dati!$D$2:$D$381,Dati!$A$2:$A$381,$H23,Dati!$H$2:$H$381,$AR23)+SUMIFS(Dati!$K$2:$K$381,Dati!$H$2:$H$381,$H23,Dati!$A$2:$A$381,$AR23)+SUMIFS(Dati!$C$2:$C$381,Dati!$A$2:$A$381,$H23,Dati!$H$2:$H$381,$AR23)+SUMIFS(Dati!$J$2:$J$381,Dati!$H$2:$H$381,$H23,Dati!$A$2:$A$381,$AR23),"-")</f>
        <v/>
      </c>
      <c r="CL23" s="21">
        <f>$C23</f>
        <v/>
      </c>
      <c r="CM23" s="22">
        <f>IF(AND($H23&lt;&gt;"",$Y23&lt;&gt;"",$H23&lt;&gt;$Y23,IFERROR(VLOOKUP($H23,areaCercaPuntiClassificaSquadra,3,FALSE),-1)=IFERROR(VLOOKUP($Y23,areaCercaPuntiClassificaSquadra,3,FALSE),-2)),SUMIFS(Dati!$E$2:$E$381,Dati!$A$2:$A$381,$H23,Dati!$H$2:$H$381,$Y23)+SUMIFS(Dati!$L$2:$L$381,Dati!$H$2:$H$381,$H23,Dati!$A$2:$A$381,$Y23),"-")</f>
        <v/>
      </c>
      <c r="CN23" s="22">
        <f>IF(AND($H23&lt;&gt;"",$Z23&lt;&gt;"",$H23&lt;&gt;$Z23,IFERROR(VLOOKUP($H23,areaCercaPuntiClassificaSquadra,3,FALSE),-1)=IFERROR(VLOOKUP($Z23,areaCercaPuntiClassificaSquadra,3,FALSE),-2)),SUMIFS(Dati!$E$2:$E$381,Dati!$A$2:$A$381,$H23,Dati!$H$2:$H$381,$Z23)+SUMIFS(Dati!$L$2:$L$381,Dati!$H$2:$H$381,$H23,Dati!$A$2:$A$381,$Z23),"-")</f>
        <v/>
      </c>
      <c r="CO23" s="22">
        <f>IF(AND($H23&lt;&gt;"",$AA23&lt;&gt;"",$H23&lt;&gt;$AA23,IFERROR(VLOOKUP($H23,areaCercaPuntiClassificaSquadra,3,FALSE),-1)=IFERROR(VLOOKUP($AA23,areaCercaPuntiClassificaSquadra,3,FALSE),-2)),SUMIFS(Dati!$E$2:$E$381,Dati!$A$2:$A$381,$H23,Dati!$H$2:$H$381,$AA23)+SUMIFS(Dati!$L$2:$L$381,Dati!$H$2:$H$381,$H23,Dati!$A$2:$A$381,$AA23),"-")</f>
        <v/>
      </c>
      <c r="CP23" s="22">
        <f>IF(AND($H23&lt;&gt;"",$AB23&lt;&gt;"",$H23&lt;&gt;$AB23,IFERROR(VLOOKUP($H23,areaCercaPuntiClassificaSquadra,3,FALSE),-1)=IFERROR(VLOOKUP($AB23,areaCercaPuntiClassificaSquadra,3,FALSE),-2)),SUMIFS(Dati!$E$2:$E$381,Dati!$A$2:$A$381,$H23,Dati!$H$2:$H$381,$AB23)+SUMIFS(Dati!$L$2:$L$381,Dati!$H$2:$H$381,$H23,Dati!$A$2:$A$381,$AB23),"-")</f>
        <v/>
      </c>
      <c r="CQ23" s="22">
        <f>IF(AND($H23&lt;&gt;"",$AC23&lt;&gt;"",$H23&lt;&gt;$AC23,IFERROR(VLOOKUP($H23,areaCercaPuntiClassificaSquadra,3,FALSE),-1)=IFERROR(VLOOKUP($AC23,areaCercaPuntiClassificaSquadra,3,FALSE),-2)),SUMIFS(Dati!$E$2:$E$381,Dati!$A$2:$A$381,$H23,Dati!$H$2:$H$381,$AC23)+SUMIFS(Dati!$L$2:$L$381,Dati!$H$2:$H$381,$H23,Dati!$A$2:$A$381,$AC23),"-")</f>
        <v/>
      </c>
      <c r="CR23" s="22">
        <f>IF(AND($H23&lt;&gt;"",$AD23&lt;&gt;"",$H23&lt;&gt;$AD23,IFERROR(VLOOKUP($H23,areaCercaPuntiClassificaSquadra,3,FALSE),-1)=IFERROR(VLOOKUP($AD23,areaCercaPuntiClassificaSquadra,3,FALSE),-2)),SUMIFS(Dati!$E$2:$E$381,Dati!$A$2:$A$381,$H23,Dati!$H$2:$H$381,$AD23)+SUMIFS(Dati!$L$2:$L$381,Dati!$H$2:$H$381,$H23,Dati!$A$2:$A$381,$AD23),"-")</f>
        <v/>
      </c>
      <c r="CS23" s="22">
        <f>IF(AND($H23&lt;&gt;"",$AE23&lt;&gt;"",$H23&lt;&gt;$AE23,IFERROR(VLOOKUP($H23,areaCercaPuntiClassificaSquadra,3,FALSE),-1)=IFERROR(VLOOKUP($AE23,areaCercaPuntiClassificaSquadra,3,FALSE),-2)),SUMIFS(Dati!$E$2:$E$381,Dati!$A$2:$A$381,$H23,Dati!$H$2:$H$381,$AE23)+SUMIFS(Dati!$L$2:$L$381,Dati!$H$2:$H$381,$H23,Dati!$A$2:$A$381,$AE23),"-")</f>
        <v/>
      </c>
      <c r="CT23" s="22">
        <f>IF(AND($H23&lt;&gt;"",$AF23&lt;&gt;"",$H23&lt;&gt;$AF23,IFERROR(VLOOKUP($H23,areaCercaPuntiClassificaSquadra,3,FALSE),-1)=IFERROR(VLOOKUP($AF23,areaCercaPuntiClassificaSquadra,3,FALSE),-2)),SUMIFS(Dati!$E$2:$E$381,Dati!$A$2:$A$381,$H23,Dati!$H$2:$H$381,$AF23)+SUMIFS(Dati!$L$2:$L$381,Dati!$H$2:$H$381,$H23,Dati!$A$2:$A$381,$AF23),"-")</f>
        <v/>
      </c>
      <c r="CU23" s="22">
        <f>IF(AND($H23&lt;&gt;"",$AG23&lt;&gt;"",$H23&lt;&gt;$AG23,IFERROR(VLOOKUP($H23,areaCercaPuntiClassificaSquadra,3,FALSE),-1)=IFERROR(VLOOKUP($AG23,areaCercaPuntiClassificaSquadra,3,FALSE),-2)),SUMIFS(Dati!$E$2:$E$381,Dati!$A$2:$A$381,$H23,Dati!$H$2:$H$381,$AG23)+SUMIFS(Dati!$L$2:$L$381,Dati!$H$2:$H$381,$H23,Dati!$A$2:$A$381,$AG23),"-")</f>
        <v/>
      </c>
      <c r="CV23" s="22">
        <f>IF(AND($H23&lt;&gt;"",$AH23&lt;&gt;"",$H23&lt;&gt;$AH23,IFERROR(VLOOKUP($H23,areaCercaPuntiClassificaSquadra,3,FALSE),-1)=IFERROR(VLOOKUP($AH23,areaCercaPuntiClassificaSquadra,3,FALSE),-2)),SUMIFS(Dati!$E$2:$E$381,Dati!$A$2:$A$381,$H23,Dati!$H$2:$H$381,$AH23)+SUMIFS(Dati!$L$2:$L$381,Dati!$H$2:$H$381,$H23,Dati!$A$2:$A$381,$AH23),"-")</f>
        <v/>
      </c>
      <c r="CW23" s="22">
        <f>IF(AND($H23&lt;&gt;"",$AI23&lt;&gt;"",$H23&lt;&gt;$AI23,IFERROR(VLOOKUP($H23,areaCercaPuntiClassificaSquadra,3,FALSE),-1)=IFERROR(VLOOKUP($AI23,areaCercaPuntiClassificaSquadra,3,FALSE),-2)),SUMIFS(Dati!$E$2:$E$381,Dati!$A$2:$A$381,$H23,Dati!$H$2:$H$381,$AI23)+SUMIFS(Dati!$L$2:$L$381,Dati!$H$2:$H$381,$H23,Dati!$A$2:$A$381,$AI23),"-")</f>
        <v/>
      </c>
      <c r="CX23" s="22">
        <f>IF(AND($H23&lt;&gt;"",$AJ23&lt;&gt;"",$H23&lt;&gt;$AJ23,IFERROR(VLOOKUP($H23,areaCercaPuntiClassificaSquadra,3,FALSE),-1)=IFERROR(VLOOKUP($AJ23,areaCercaPuntiClassificaSquadra,3,FALSE),-2)),SUMIFS(Dati!$E$2:$E$381,Dati!$A$2:$A$381,$H23,Dati!$H$2:$H$381,$AJ23)+SUMIFS(Dati!$L$2:$L$381,Dati!$H$2:$H$381,$H23,Dati!$A$2:$A$381,$AJ23),"-")</f>
        <v/>
      </c>
      <c r="CY23" s="22">
        <f>IF(AND($H23&lt;&gt;"",$AK23&lt;&gt;"",$H23&lt;&gt;$AK23,IFERROR(VLOOKUP($H23,areaCercaPuntiClassificaSquadra,3,FALSE),-1)=IFERROR(VLOOKUP($AK23,areaCercaPuntiClassificaSquadra,3,FALSE),-2)),SUMIFS(Dati!$E$2:$E$381,Dati!$A$2:$A$381,$H23,Dati!$H$2:$H$381,$AK23)+SUMIFS(Dati!$L$2:$L$381,Dati!$H$2:$H$381,$H23,Dati!$A$2:$A$381,$AK23),"-")</f>
        <v/>
      </c>
      <c r="CZ23" s="22">
        <f>IF(AND($H23&lt;&gt;"",$AL23&lt;&gt;"",$H23&lt;&gt;$AL23,IFERROR(VLOOKUP($H23,areaCercaPuntiClassificaSquadra,3,FALSE),-1)=IFERROR(VLOOKUP($AL23,areaCercaPuntiClassificaSquadra,3,FALSE),-2)),SUMIFS(Dati!$E$2:$E$381,Dati!$A$2:$A$381,$H23,Dati!$H$2:$H$381,$AL23)+SUMIFS(Dati!$L$2:$L$381,Dati!$H$2:$H$381,$H23,Dati!$A$2:$A$381,$AL23),"-")</f>
        <v/>
      </c>
      <c r="DA23" s="22">
        <f>IF(AND($H23&lt;&gt;"",$AM23&lt;&gt;"",$H23&lt;&gt;$AM23,IFERROR(VLOOKUP($H23,areaCercaPuntiClassificaSquadra,3,FALSE),-1)=IFERROR(VLOOKUP($AM23,areaCercaPuntiClassificaSquadra,3,FALSE),-2)),SUMIFS(Dati!$E$2:$E$381,Dati!$A$2:$A$381,$H23,Dati!$H$2:$H$381,$AM23)+SUMIFS(Dati!$L$2:$L$381,Dati!$H$2:$H$381,$H23,Dati!$A$2:$A$381,$AM23),"-")</f>
        <v/>
      </c>
      <c r="DB23" s="22">
        <f>IF(AND($H23&lt;&gt;"",$AN23&lt;&gt;"",$H23&lt;&gt;$AN23,IFERROR(VLOOKUP($H23,areaCercaPuntiClassificaSquadra,3,FALSE),-1)=IFERROR(VLOOKUP($AN23,areaCercaPuntiClassificaSquadra,3,FALSE),-2)),SUMIFS(Dati!$E$2:$E$381,Dati!$A$2:$A$381,$H23,Dati!$H$2:$H$381,$AN23)+SUMIFS(Dati!$L$2:$L$381,Dati!$H$2:$H$381,$H23,Dati!$A$2:$A$381,$AN23),"-")</f>
        <v/>
      </c>
      <c r="DC23" s="22">
        <f>IF(AND($H23&lt;&gt;"",$AO23&lt;&gt;"",$H23&lt;&gt;$AO23,IFERROR(VLOOKUP($H23,areaCercaPuntiClassificaSquadra,3,FALSE),-1)=IFERROR(VLOOKUP($AO23,areaCercaPuntiClassificaSquadra,3,FALSE),-2)),SUMIFS(Dati!$E$2:$E$381,Dati!$A$2:$A$381,$H23,Dati!$H$2:$H$381,$AO23)+SUMIFS(Dati!$L$2:$L$381,Dati!$H$2:$H$381,$H23,Dati!$A$2:$A$381,$AO23),"-")</f>
        <v/>
      </c>
      <c r="DD23" s="22">
        <f>IF(AND($H23&lt;&gt;"",$AP23&lt;&gt;"",$H23&lt;&gt;$AP23,IFERROR(VLOOKUP($H23,areaCercaPuntiClassificaSquadra,3,FALSE),-1)=IFERROR(VLOOKUP($AP23,areaCercaPuntiClassificaSquadra,3,FALSE),-2)),SUMIFS(Dati!$E$2:$E$381,Dati!$A$2:$A$381,$H23,Dati!$H$2:$H$381,$AP23)+SUMIFS(Dati!$L$2:$L$381,Dati!$H$2:$H$381,$H23,Dati!$A$2:$A$381,$AP23),"-")</f>
        <v/>
      </c>
      <c r="DE23" s="22">
        <f>IF(AND($H23&lt;&gt;"",$AQ23&lt;&gt;"",$H23&lt;&gt;$AQ23,IFERROR(VLOOKUP($H23,areaCercaPuntiClassificaSquadra,3,FALSE),-1)=IFERROR(VLOOKUP($AQ23,areaCercaPuntiClassificaSquadra,3,FALSE),-2)),SUMIFS(Dati!$E$2:$E$381,Dati!$A$2:$A$381,$H23,Dati!$H$2:$H$381,$AQ23)+SUMIFS(Dati!$L$2:$L$381,Dati!$H$2:$H$381,$H23,Dati!$A$2:$A$381,$AQ23),"-")</f>
        <v/>
      </c>
      <c r="DF23" s="22">
        <f>IF(AND($H23&lt;&gt;"",$AR23&lt;&gt;"",$H23&lt;&gt;$AR23,IFERROR(VLOOKUP($H23,areaCercaPuntiClassificaSquadra,3,FALSE),-1)=IFERROR(VLOOKUP($AR23,areaCercaPuntiClassificaSquadra,3,FALSE),-2)),SUMIFS(Dati!$E$2:$E$381,Dati!$A$2:$A$381,$H23,Dati!$H$2:$H$381,$AR23)+SUMIFS(Dati!$L$2:$L$381,Dati!$H$2:$H$381,$H23,Dati!$A$2:$A$381,$AR23),"-")</f>
        <v/>
      </c>
      <c r="DH23" s="21">
        <f>$C23</f>
        <v/>
      </c>
      <c r="DI23" s="22">
        <f>IF(AND($H23&lt;&gt;"",$Y23&lt;&gt;"",$H23&lt;&gt;$Y23,IFERROR(VLOOKUP($H23,areaCercaPuntiClassificaSquadra,3,FALSE),-1)=IFERROR(VLOOKUP($Y23,areaCercaPuntiClassificaSquadra,3,FALSE),-2)),SUMIFS(Dati!$F$2:$F$381,Dati!$A$2:$A$381,$H23,Dati!$H$2:$H$381,$Y23)+SUMIFS(Dati!$M$2:$M$381,Dati!$H$2:$H$381,$H23,Dati!$A$2:$A$381,$Y23),"-")</f>
        <v/>
      </c>
      <c r="DJ23" s="22">
        <f>IF(AND($H23&lt;&gt;"",$Z23&lt;&gt;"",$H23&lt;&gt;$Z23,IFERROR(VLOOKUP($H23,areaCercaPuntiClassificaSquadra,3,FALSE),-1)=IFERROR(VLOOKUP($Z23,areaCercaPuntiClassificaSquadra,3,FALSE),-2)),SUMIFS(Dati!$F$2:$F$381,Dati!$A$2:$A$381,$H23,Dati!$H$2:$H$381,$Z23)+SUMIFS(Dati!$M$2:$M$381,Dati!$H$2:$H$381,$H23,Dati!$A$2:$A$381,$Z23),"-")</f>
        <v/>
      </c>
      <c r="DK23" s="22">
        <f>IF(AND($H23&lt;&gt;"",$AA23&lt;&gt;"",$H23&lt;&gt;$AA23,IFERROR(VLOOKUP($H23,areaCercaPuntiClassificaSquadra,3,FALSE),-1)=IFERROR(VLOOKUP($AA23,areaCercaPuntiClassificaSquadra,3,FALSE),-2)),SUMIFS(Dati!$F$2:$F$381,Dati!$A$2:$A$381,$H23,Dati!$H$2:$H$381,$AA23)+SUMIFS(Dati!$M$2:$M$381,Dati!$H$2:$H$381,$H23,Dati!$A$2:$A$381,$AA23),"-")</f>
        <v/>
      </c>
      <c r="DL23" s="22">
        <f>IF(AND($H23&lt;&gt;"",$AB23&lt;&gt;"",$H23&lt;&gt;$AB23,IFERROR(VLOOKUP($H23,areaCercaPuntiClassificaSquadra,3,FALSE),-1)=IFERROR(VLOOKUP($AB23,areaCercaPuntiClassificaSquadra,3,FALSE),-2)),SUMIFS(Dati!$F$2:$F$381,Dati!$A$2:$A$381,$H23,Dati!$H$2:$H$381,$AB23)+SUMIFS(Dati!$M$2:$M$381,Dati!$H$2:$H$381,$H23,Dati!$A$2:$A$381,$AB23),"-")</f>
        <v/>
      </c>
      <c r="DM23" s="22">
        <f>IF(AND($H23&lt;&gt;"",$AC23&lt;&gt;"",$H23&lt;&gt;$AC23,IFERROR(VLOOKUP($H23,areaCercaPuntiClassificaSquadra,3,FALSE),-1)=IFERROR(VLOOKUP($AC23,areaCercaPuntiClassificaSquadra,3,FALSE),-2)),SUMIFS(Dati!$F$2:$F$381,Dati!$A$2:$A$381,$H23,Dati!$H$2:$H$381,$AC23)+SUMIFS(Dati!$M$2:$M$381,Dati!$H$2:$H$381,$H23,Dati!$A$2:$A$381,$AC23),"-")</f>
        <v/>
      </c>
      <c r="DN23" s="22">
        <f>IF(AND($H23&lt;&gt;"",$AD23&lt;&gt;"",$H23&lt;&gt;$AD23,IFERROR(VLOOKUP($H23,areaCercaPuntiClassificaSquadra,3,FALSE),-1)=IFERROR(VLOOKUP($AD23,areaCercaPuntiClassificaSquadra,3,FALSE),-2)),SUMIFS(Dati!$F$2:$F$381,Dati!$A$2:$A$381,$H23,Dati!$H$2:$H$381,$AD23)+SUMIFS(Dati!$M$2:$M$381,Dati!$H$2:$H$381,$H23,Dati!$A$2:$A$381,$AD23),"-")</f>
        <v/>
      </c>
      <c r="DO23" s="22">
        <f>IF(AND($H23&lt;&gt;"",$AE23&lt;&gt;"",$H23&lt;&gt;$AE23,IFERROR(VLOOKUP($H23,areaCercaPuntiClassificaSquadra,3,FALSE),-1)=IFERROR(VLOOKUP($AE23,areaCercaPuntiClassificaSquadra,3,FALSE),-2)),SUMIFS(Dati!$F$2:$F$381,Dati!$A$2:$A$381,$H23,Dati!$H$2:$H$381,$AE23)+SUMIFS(Dati!$M$2:$M$381,Dati!$H$2:$H$381,$H23,Dati!$A$2:$A$381,$AE23),"-")</f>
        <v/>
      </c>
      <c r="DP23" s="22">
        <f>IF(AND($H23&lt;&gt;"",$AF23&lt;&gt;"",$H23&lt;&gt;$AF23,IFERROR(VLOOKUP($H23,areaCercaPuntiClassificaSquadra,3,FALSE),-1)=IFERROR(VLOOKUP($AF23,areaCercaPuntiClassificaSquadra,3,FALSE),-2)),SUMIFS(Dati!$F$2:$F$381,Dati!$A$2:$A$381,$H23,Dati!$H$2:$H$381,$AF23)+SUMIFS(Dati!$M$2:$M$381,Dati!$H$2:$H$381,$H23,Dati!$A$2:$A$381,$AF23),"-")</f>
        <v/>
      </c>
      <c r="DQ23" s="22">
        <f>IF(AND($H23&lt;&gt;"",$AG23&lt;&gt;"",$H23&lt;&gt;$AG23,IFERROR(VLOOKUP($H23,areaCercaPuntiClassificaSquadra,3,FALSE),-1)=IFERROR(VLOOKUP($AG23,areaCercaPuntiClassificaSquadra,3,FALSE),-2)),SUMIFS(Dati!$F$2:$F$381,Dati!$A$2:$A$381,$H23,Dati!$H$2:$H$381,$AG23)+SUMIFS(Dati!$M$2:$M$381,Dati!$H$2:$H$381,$H23,Dati!$A$2:$A$381,$AG23),"-")</f>
        <v/>
      </c>
      <c r="DR23" s="22">
        <f>IF(AND($H23&lt;&gt;"",$AH23&lt;&gt;"",$H23&lt;&gt;$AH23,IFERROR(VLOOKUP($H23,areaCercaPuntiClassificaSquadra,3,FALSE),-1)=IFERROR(VLOOKUP($AH23,areaCercaPuntiClassificaSquadra,3,FALSE),-2)),SUMIFS(Dati!$F$2:$F$381,Dati!$A$2:$A$381,$H23,Dati!$H$2:$H$381,$AH23)+SUMIFS(Dati!$M$2:$M$381,Dati!$H$2:$H$381,$H23,Dati!$A$2:$A$381,$AH23),"-")</f>
        <v/>
      </c>
      <c r="DS23" s="22">
        <f>IF(AND($H23&lt;&gt;"",$AI23&lt;&gt;"",$H23&lt;&gt;$AI23,IFERROR(VLOOKUP($H23,areaCercaPuntiClassificaSquadra,3,FALSE),-1)=IFERROR(VLOOKUP($AI23,areaCercaPuntiClassificaSquadra,3,FALSE),-2)),SUMIFS(Dati!$F$2:$F$381,Dati!$A$2:$A$381,$H23,Dati!$H$2:$H$381,$AI23)+SUMIFS(Dati!$M$2:$M$381,Dati!$H$2:$H$381,$H23,Dati!$A$2:$A$381,$AI23),"-")</f>
        <v/>
      </c>
      <c r="DT23" s="22">
        <f>IF(AND($H23&lt;&gt;"",$AJ23&lt;&gt;"",$H23&lt;&gt;$AJ23,IFERROR(VLOOKUP($H23,areaCercaPuntiClassificaSquadra,3,FALSE),-1)=IFERROR(VLOOKUP($AJ23,areaCercaPuntiClassificaSquadra,3,FALSE),-2)),SUMIFS(Dati!$F$2:$F$381,Dati!$A$2:$A$381,$H23,Dati!$H$2:$H$381,$AJ23)+SUMIFS(Dati!$M$2:$M$381,Dati!$H$2:$H$381,$H23,Dati!$A$2:$A$381,$AJ23),"-")</f>
        <v/>
      </c>
      <c r="DU23" s="22">
        <f>IF(AND($H23&lt;&gt;"",$AK23&lt;&gt;"",$H23&lt;&gt;$AK23,IFERROR(VLOOKUP($H23,areaCercaPuntiClassificaSquadra,3,FALSE),-1)=IFERROR(VLOOKUP($AK23,areaCercaPuntiClassificaSquadra,3,FALSE),-2)),SUMIFS(Dati!$F$2:$F$381,Dati!$A$2:$A$381,$H23,Dati!$H$2:$H$381,$AK23)+SUMIFS(Dati!$M$2:$M$381,Dati!$H$2:$H$381,$H23,Dati!$A$2:$A$381,$AK23),"-")</f>
        <v/>
      </c>
      <c r="DV23" s="22">
        <f>IF(AND($H23&lt;&gt;"",$AL23&lt;&gt;"",$H23&lt;&gt;$AL23,IFERROR(VLOOKUP($H23,areaCercaPuntiClassificaSquadra,3,FALSE),-1)=IFERROR(VLOOKUP($AL23,areaCercaPuntiClassificaSquadra,3,FALSE),-2)),SUMIFS(Dati!$F$2:$F$381,Dati!$A$2:$A$381,$H23,Dati!$H$2:$H$381,$AL23)+SUMIFS(Dati!$M$2:$M$381,Dati!$H$2:$H$381,$H23,Dati!$A$2:$A$381,$AL23),"-")</f>
        <v/>
      </c>
      <c r="DW23" s="22">
        <f>IF(AND($H23&lt;&gt;"",$AM23&lt;&gt;"",$H23&lt;&gt;$AM23,IFERROR(VLOOKUP($H23,areaCercaPuntiClassificaSquadra,3,FALSE),-1)=IFERROR(VLOOKUP($AM23,areaCercaPuntiClassificaSquadra,3,FALSE),-2)),SUMIFS(Dati!$F$2:$F$381,Dati!$A$2:$A$381,$H23,Dati!$H$2:$H$381,$AM23)+SUMIFS(Dati!$M$2:$M$381,Dati!$H$2:$H$381,$H23,Dati!$A$2:$A$381,$AM23),"-")</f>
        <v/>
      </c>
      <c r="DX23" s="22">
        <f>IF(AND($H23&lt;&gt;"",$AN23&lt;&gt;"",$H23&lt;&gt;$AN23,IFERROR(VLOOKUP($H23,areaCercaPuntiClassificaSquadra,3,FALSE),-1)=IFERROR(VLOOKUP($AN23,areaCercaPuntiClassificaSquadra,3,FALSE),-2)),SUMIFS(Dati!$F$2:$F$381,Dati!$A$2:$A$381,$H23,Dati!$H$2:$H$381,$AN23)+SUMIFS(Dati!$M$2:$M$381,Dati!$H$2:$H$381,$H23,Dati!$A$2:$A$381,$AN23),"-")</f>
        <v/>
      </c>
      <c r="DY23" s="22">
        <f>IF(AND($H23&lt;&gt;"",$AO23&lt;&gt;"",$H23&lt;&gt;$AO23,IFERROR(VLOOKUP($H23,areaCercaPuntiClassificaSquadra,3,FALSE),-1)=IFERROR(VLOOKUP($AO23,areaCercaPuntiClassificaSquadra,3,FALSE),-2)),SUMIFS(Dati!$F$2:$F$381,Dati!$A$2:$A$381,$H23,Dati!$H$2:$H$381,$AO23)+SUMIFS(Dati!$M$2:$M$381,Dati!$H$2:$H$381,$H23,Dati!$A$2:$A$381,$AO23),"-")</f>
        <v/>
      </c>
      <c r="DZ23" s="22">
        <f>IF(AND($H23&lt;&gt;"",$AP23&lt;&gt;"",$H23&lt;&gt;$AP23,IFERROR(VLOOKUP($H23,areaCercaPuntiClassificaSquadra,3,FALSE),-1)=IFERROR(VLOOKUP($AP23,areaCercaPuntiClassificaSquadra,3,FALSE),-2)),SUMIFS(Dati!$F$2:$F$381,Dati!$A$2:$A$381,$H23,Dati!$H$2:$H$381,$AP23)+SUMIFS(Dati!$M$2:$M$381,Dati!$H$2:$H$381,$H23,Dati!$A$2:$A$381,$AP23),"-")</f>
        <v/>
      </c>
      <c r="EA23" s="22">
        <f>IF(AND($H23&lt;&gt;"",$AQ23&lt;&gt;"",$H23&lt;&gt;$AQ23,IFERROR(VLOOKUP($H23,areaCercaPuntiClassificaSquadra,3,FALSE),-1)=IFERROR(VLOOKUP($AQ23,areaCercaPuntiClassificaSquadra,3,FALSE),-2)),SUMIFS(Dati!$F$2:$F$381,Dati!$A$2:$A$381,$H23,Dati!$H$2:$H$381,$AQ23)+SUMIFS(Dati!$M$2:$M$381,Dati!$H$2:$H$381,$H23,Dati!$A$2:$A$381,$AQ23),"-")</f>
        <v/>
      </c>
      <c r="EB23" s="22">
        <f>IF(AND($H23&lt;&gt;"",$AR23&lt;&gt;"",$H23&lt;&gt;$AR23,IFERROR(VLOOKUP($H23,areaCercaPuntiClassificaSquadra,3,FALSE),-1)=IFERROR(VLOOKUP($AR23,areaCercaPuntiClassificaSquadra,3,FALSE),-2)),SUMIFS(Dati!$F$2:$F$381,Dati!$A$2:$A$381,$H23,Dati!$H$2:$H$381,$AR23)+SUMIFS(Dati!$M$2:$M$381,Dati!$H$2:$H$381,$H23,Dati!$A$2:$A$381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inlineStr">
        <is>
          <t>Narvali Nobili-Narvaliopoli NA</t>
        </is>
      </c>
      <c r="D24" s="14" t="n"/>
      <c r="E24" s="15" t="inlineStr">
        <is>
          <t>A</t>
        </is>
      </c>
      <c r="G24" s="16">
        <f>IF($C24="","",$E24&amp;(COUNTIFS(I$14:I$53,"&gt;"&amp;I24,E$14:E$53,"="&amp;E24,C$14:C$53,"&lt;&gt;")+COUNTIFS(I$14:I$53,"="&amp;I24,H$14:H$53,"&lt;="&amp;H24,E$14:E$53,"="&amp;E24,C$14:C$53,"&lt;&gt;")))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L24*constPuntiVittoria+M24*constPuntiSconfitta+N24*constPuntiForfait+IF(D24="",0,D24)</f>
        <v/>
      </c>
      <c r="K24" s="12">
        <f>SUM(L24:N24)</f>
        <v/>
      </c>
      <c r="L24" s="12">
        <f>IF($H24="",0,SUMIF(Dati!$A$2:$A$381,$H24,Dati!$B$2:$B$381)+SUMIF(Dati!$H$2:$H$381,$H24,Dati!$I$2:$I$381))</f>
        <v/>
      </c>
      <c r="M24" s="12">
        <f>IF($H24="",0,SUMIF(Dati!$A$2:$A$381,$H24,Dati!$D$2:$D$381)+SUMIF(Dati!$H$2:$H$381,$H24,Dati!$K$2:$K$381))</f>
        <v/>
      </c>
      <c r="N24" s="12">
        <f>IF($H24="",0,SUMIF(Dati!$A$2:$A$381,$H24,Dati!$C$2:$C$381)+SUMIF(Dati!$H$2:$H$381,$H24,Dati!$J$2:$J$381))</f>
        <v/>
      </c>
      <c r="O24" s="12">
        <f>IF($H24="",0,SUMIF(Dati!$A$2:$A$381,$H24,Dati!$E$2:$E$381)+SUMIF(Dati!$H$2:$H$381,$H24,Dati!$L$2:$L$381))</f>
        <v/>
      </c>
      <c r="P24" s="12">
        <f>IF($H24="",0,SUMIF(Dati!$A$2:$A$381,$H24,Dati!$F$2:$F$381)+SUMIF(Dati!$H$2:$H$381,$H24,Dati!$M$2:$M$381))</f>
        <v/>
      </c>
      <c r="Q24" s="12">
        <f>IF($H24="",0,SUMIF(Dati!$A$2:$A$381,$H24,Dati!$G$2:$G$381)+SUMIF(Dati!$H$2:$H$381,$H24,Dati!$N$2:$N$381))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IF(COUNTIFS($E$14:$E$53,$E24,$J$14:$J$53,$J24,$C$14:$C$53,"&lt;&gt;")&lt;=1,"-",SUM(AU24:BN24)&amp;"-"&amp;SUM(BQ24:CJ24))</f>
        <v/>
      </c>
      <c r="V24" s="18">
        <f>IF(COUNTIFS($E$14:$E$53,$E24,$J$14:$J$53,$J24,$C$14:$C$53,"&lt;&gt;",$ED$14:$ED$53,$ED24)&lt;=1,"-",IF(SUM(DI24:EB24)=0,0,ROUND(SUM(CM24:DF24)/SUM(DI24:EB24),3)))</f>
        <v/>
      </c>
      <c r="W24" s="18">
        <f>IF(COUNTIFS($E$14:$E$53,$E24,$J$14:$J$53,$J24,$C$14:$C$53,"&lt;&gt;",$ED$14:$ED$53,$ED24,$V$14:$V$53,$V24)&lt;=1,"-",IF(P24=0,0,ROUND(O24/P24,3)))</f>
        <v/>
      </c>
      <c r="X24" s="19">
        <f>IF($C24="","",$E24&amp;"#"&amp;COUNTIFS($E$14:$E24,$E24,$C$14:$C24,"&lt;&gt;"))</f>
        <v/>
      </c>
      <c r="Y24" s="20">
        <f>IFERROR(INDEX($H$14:$H$53,MATCH($E24&amp;"#1",$X$14:$X$53,0)),"")</f>
        <v/>
      </c>
      <c r="Z24" s="20">
        <f>IFERROR(INDEX($H$14:$H$53,MATCH($E24&amp;"#2",$X$14:$X$53,0)),"")</f>
        <v/>
      </c>
      <c r="AA24" s="20">
        <f>IFERROR(INDEX($H$14:$H$53,MATCH($E24&amp;"#3",$X$14:$X$53,0)),"")</f>
        <v/>
      </c>
      <c r="AB24" s="20">
        <f>IFERROR(INDEX($H$14:$H$53,MATCH($E24&amp;"#4",$X$14:$X$53,0)),"")</f>
        <v/>
      </c>
      <c r="AC24" s="20">
        <f>IFERROR(INDEX($H$14:$H$53,MATCH($E24&amp;"#5",$X$14:$X$53,0)),"")</f>
        <v/>
      </c>
      <c r="AD24" s="20">
        <f>IFERROR(INDEX($H$14:$H$53,MATCH($E24&amp;"#6",$X$14:$X$53,0)),"")</f>
        <v/>
      </c>
      <c r="AE24" s="20">
        <f>IFERROR(INDEX($H$14:$H$53,MATCH($E24&amp;"#7",$X$14:$X$53,0)),"")</f>
        <v/>
      </c>
      <c r="AF24" s="20">
        <f>IFERROR(INDEX($H$14:$H$53,MATCH($E24&amp;"#8",$X$14:$X$53,0)),"")</f>
        <v/>
      </c>
      <c r="AG24" s="20">
        <f>IFERROR(INDEX($H$14:$H$53,MATCH($E24&amp;"#9",$X$14:$X$53,0)),"")</f>
        <v/>
      </c>
      <c r="AH24" s="20">
        <f>IFERROR(INDEX($H$14:$H$53,MATCH($E24&amp;"#10",$X$14:$X$53,0)),"")</f>
        <v/>
      </c>
      <c r="AI24" s="20">
        <f>IFERROR(INDEX($H$14:$H$53,MATCH($E24&amp;"#11",$X$14:$X$53,0)),"")</f>
        <v/>
      </c>
      <c r="AJ24" s="20">
        <f>IFERROR(INDEX($H$14:$H$53,MATCH($E24&amp;"#12",$X$14:$X$53,0)),"")</f>
        <v/>
      </c>
      <c r="AK24" s="20">
        <f>IFERROR(INDEX($H$14:$H$53,MATCH($E24&amp;"#13",$X$14:$X$53,0)),"")</f>
        <v/>
      </c>
      <c r="AL24" s="20">
        <f>IFERROR(INDEX($H$14:$H$53,MATCH($E24&amp;"#14",$X$14:$X$53,0)),"")</f>
        <v/>
      </c>
      <c r="AM24" s="20">
        <f>IFERROR(INDEX($H$14:$H$53,MATCH($E24&amp;"#15",$X$14:$X$53,0)),"")</f>
        <v/>
      </c>
      <c r="AN24" s="20">
        <f>IFERROR(INDEX($H$14:$H$53,MATCH($E24&amp;"#16",$X$14:$X$53,0)),"")</f>
        <v/>
      </c>
      <c r="AO24" s="20">
        <f>IFERROR(INDEX($H$14:$H$53,MATCH($E24&amp;"#17",$X$14:$X$53,0)),"")</f>
        <v/>
      </c>
      <c r="AP24" s="20">
        <f>IFERROR(INDEX($H$14:$H$53,MATCH($E24&amp;"#18",$X$14:$X$53,0)),"")</f>
        <v/>
      </c>
      <c r="AQ24" s="20">
        <f>IFERROR(INDEX($H$14:$H$53,MATCH($E24&amp;"#19",$X$14:$X$53,0)),"")</f>
        <v/>
      </c>
      <c r="AR24" s="20">
        <f>IFERROR(INDEX($H$14:$H$53,MATCH($E24&amp;"#20",$X$14:$X$53,0)),"")</f>
        <v/>
      </c>
      <c r="AT24" s="21">
        <f>$C24</f>
        <v/>
      </c>
      <c r="AU24" s="22">
        <f>IF(AND($H24&lt;&gt;"",$Y24&lt;&gt;"",$H24&lt;&gt;$Y24,IFERROR(VLOOKUP($H24,areaCercaPuntiClassificaSquadra,3,FALSE),-1)=IFERROR(VLOOKUP($Y24,areaCercaPuntiClassificaSquadra,3,FALSE),-2)),SUMIFS(Dati!$B$2:$B$381,Dati!$A$2:$A$381,$H24,Dati!$H$2:$H$381,$Y24)+SUMIFS(Dati!$I$2:$I$381,Dati!$H$2:$H$381,$H24,Dati!$A$2:$A$381,$Y24),"-")</f>
        <v/>
      </c>
      <c r="AV24" s="22">
        <f>IF(AND($H24&lt;&gt;"",$Z24&lt;&gt;"",$H24&lt;&gt;$Z24,IFERROR(VLOOKUP($H24,areaCercaPuntiClassificaSquadra,3,FALSE),-1)=IFERROR(VLOOKUP($Z24,areaCercaPuntiClassificaSquadra,3,FALSE),-2)),SUMIFS(Dati!$B$2:$B$381,Dati!$A$2:$A$381,$H24,Dati!$H$2:$H$381,$Z24)+SUMIFS(Dati!$I$2:$I$381,Dati!$H$2:$H$381,$H24,Dati!$A$2:$A$381,$Z24),"-")</f>
        <v/>
      </c>
      <c r="AW24" s="22">
        <f>IF(AND($H24&lt;&gt;"",$AA24&lt;&gt;"",$H24&lt;&gt;$AA24,IFERROR(VLOOKUP($H24,areaCercaPuntiClassificaSquadra,3,FALSE),-1)=IFERROR(VLOOKUP($AA24,areaCercaPuntiClassificaSquadra,3,FALSE),-2)),SUMIFS(Dati!$B$2:$B$381,Dati!$A$2:$A$381,$H24,Dati!$H$2:$H$381,$AA24)+SUMIFS(Dati!$I$2:$I$381,Dati!$H$2:$H$381,$H24,Dati!$A$2:$A$381,$AA24),"-")</f>
        <v/>
      </c>
      <c r="AX24" s="22">
        <f>IF(AND($H24&lt;&gt;"",$AB24&lt;&gt;"",$H24&lt;&gt;$AB24,IFERROR(VLOOKUP($H24,areaCercaPuntiClassificaSquadra,3,FALSE),-1)=IFERROR(VLOOKUP($AB24,areaCercaPuntiClassificaSquadra,3,FALSE),-2)),SUMIFS(Dati!$B$2:$B$381,Dati!$A$2:$A$381,$H24,Dati!$H$2:$H$381,$AB24)+SUMIFS(Dati!$I$2:$I$381,Dati!$H$2:$H$381,$H24,Dati!$A$2:$A$381,$AB24),"-")</f>
        <v/>
      </c>
      <c r="AY24" s="22">
        <f>IF(AND($H24&lt;&gt;"",$AC24&lt;&gt;"",$H24&lt;&gt;$AC24,IFERROR(VLOOKUP($H24,areaCercaPuntiClassificaSquadra,3,FALSE),-1)=IFERROR(VLOOKUP($AC24,areaCercaPuntiClassificaSquadra,3,FALSE),-2)),SUMIFS(Dati!$B$2:$B$381,Dati!$A$2:$A$381,$H24,Dati!$H$2:$H$381,$AC24)+SUMIFS(Dati!$I$2:$I$381,Dati!$H$2:$H$381,$H24,Dati!$A$2:$A$381,$AC24),"-")</f>
        <v/>
      </c>
      <c r="AZ24" s="22">
        <f>IF(AND($H24&lt;&gt;"",$AD24&lt;&gt;"",$H24&lt;&gt;$AD24,IFERROR(VLOOKUP($H24,areaCercaPuntiClassificaSquadra,3,FALSE),-1)=IFERROR(VLOOKUP($AD24,areaCercaPuntiClassificaSquadra,3,FALSE),-2)),SUMIFS(Dati!$B$2:$B$381,Dati!$A$2:$A$381,$H24,Dati!$H$2:$H$381,$AD24)+SUMIFS(Dati!$I$2:$I$381,Dati!$H$2:$H$381,$H24,Dati!$A$2:$A$381,$AD24),"-")</f>
        <v/>
      </c>
      <c r="BA24" s="22">
        <f>IF(AND($H24&lt;&gt;"",$AE24&lt;&gt;"",$H24&lt;&gt;$AE24,IFERROR(VLOOKUP($H24,areaCercaPuntiClassificaSquadra,3,FALSE),-1)=IFERROR(VLOOKUP($AE24,areaCercaPuntiClassificaSquadra,3,FALSE),-2)),SUMIFS(Dati!$B$2:$B$381,Dati!$A$2:$A$381,$H24,Dati!$H$2:$H$381,$AE24)+SUMIFS(Dati!$I$2:$I$381,Dati!$H$2:$H$381,$H24,Dati!$A$2:$A$381,$AE24),"-")</f>
        <v/>
      </c>
      <c r="BB24" s="22">
        <f>IF(AND($H24&lt;&gt;"",$AF24&lt;&gt;"",$H24&lt;&gt;$AF24,IFERROR(VLOOKUP($H24,areaCercaPuntiClassificaSquadra,3,FALSE),-1)=IFERROR(VLOOKUP($AF24,areaCercaPuntiClassificaSquadra,3,FALSE),-2)),SUMIFS(Dati!$B$2:$B$381,Dati!$A$2:$A$381,$H24,Dati!$H$2:$H$381,$AF24)+SUMIFS(Dati!$I$2:$I$381,Dati!$H$2:$H$381,$H24,Dati!$A$2:$A$381,$AF24),"-")</f>
        <v/>
      </c>
      <c r="BC24" s="22">
        <f>IF(AND($H24&lt;&gt;"",$AG24&lt;&gt;"",$H24&lt;&gt;$AG24,IFERROR(VLOOKUP($H24,areaCercaPuntiClassificaSquadra,3,FALSE),-1)=IFERROR(VLOOKUP($AG24,areaCercaPuntiClassificaSquadra,3,FALSE),-2)),SUMIFS(Dati!$B$2:$B$381,Dati!$A$2:$A$381,$H24,Dati!$H$2:$H$381,$AG24)+SUMIFS(Dati!$I$2:$I$381,Dati!$H$2:$H$381,$H24,Dati!$A$2:$A$381,$AG24),"-")</f>
        <v/>
      </c>
      <c r="BD24" s="22">
        <f>IF(AND($H24&lt;&gt;"",$AH24&lt;&gt;"",$H24&lt;&gt;$AH24,IFERROR(VLOOKUP($H24,areaCercaPuntiClassificaSquadra,3,FALSE),-1)=IFERROR(VLOOKUP($AH24,areaCercaPuntiClassificaSquadra,3,FALSE),-2)),SUMIFS(Dati!$B$2:$B$381,Dati!$A$2:$A$381,$H24,Dati!$H$2:$H$381,$AH24)+SUMIFS(Dati!$I$2:$I$381,Dati!$H$2:$H$381,$H24,Dati!$A$2:$A$381,$AH24),"-")</f>
        <v/>
      </c>
      <c r="BE24" s="22">
        <f>IF(AND($H24&lt;&gt;"",$AI24&lt;&gt;"",$H24&lt;&gt;$AI24,IFERROR(VLOOKUP($H24,areaCercaPuntiClassificaSquadra,3,FALSE),-1)=IFERROR(VLOOKUP($AI24,areaCercaPuntiClassificaSquadra,3,FALSE),-2)),SUMIFS(Dati!$B$2:$B$381,Dati!$A$2:$A$381,$H24,Dati!$H$2:$H$381,$AI24)+SUMIFS(Dati!$I$2:$I$381,Dati!$H$2:$H$381,$H24,Dati!$A$2:$A$381,$AI24),"-")</f>
        <v/>
      </c>
      <c r="BF24" s="22">
        <f>IF(AND($H24&lt;&gt;"",$AJ24&lt;&gt;"",$H24&lt;&gt;$AJ24,IFERROR(VLOOKUP($H24,areaCercaPuntiClassificaSquadra,3,FALSE),-1)=IFERROR(VLOOKUP($AJ24,areaCercaPuntiClassificaSquadra,3,FALSE),-2)),SUMIFS(Dati!$B$2:$B$381,Dati!$A$2:$A$381,$H24,Dati!$H$2:$H$381,$AJ24)+SUMIFS(Dati!$I$2:$I$381,Dati!$H$2:$H$381,$H24,Dati!$A$2:$A$381,$AJ24),"-")</f>
        <v/>
      </c>
      <c r="BG24" s="22">
        <f>IF(AND($H24&lt;&gt;"",$AK24&lt;&gt;"",$H24&lt;&gt;$AK24,IFERROR(VLOOKUP($H24,areaCercaPuntiClassificaSquadra,3,FALSE),-1)=IFERROR(VLOOKUP($AK24,areaCercaPuntiClassificaSquadra,3,FALSE),-2)),SUMIFS(Dati!$B$2:$B$381,Dati!$A$2:$A$381,$H24,Dati!$H$2:$H$381,$AK24)+SUMIFS(Dati!$I$2:$I$381,Dati!$H$2:$H$381,$H24,Dati!$A$2:$A$381,$AK24),"-")</f>
        <v/>
      </c>
      <c r="BH24" s="22">
        <f>IF(AND($H24&lt;&gt;"",$AL24&lt;&gt;"",$H24&lt;&gt;$AL24,IFERROR(VLOOKUP($H24,areaCercaPuntiClassificaSquadra,3,FALSE),-1)=IFERROR(VLOOKUP($AL24,areaCercaPuntiClassificaSquadra,3,FALSE),-2)),SUMIFS(Dati!$B$2:$B$381,Dati!$A$2:$A$381,$H24,Dati!$H$2:$H$381,$AL24)+SUMIFS(Dati!$I$2:$I$381,Dati!$H$2:$H$381,$H24,Dati!$A$2:$A$381,$AL24),"-")</f>
        <v/>
      </c>
      <c r="BI24" s="22">
        <f>IF(AND($H24&lt;&gt;"",$AM24&lt;&gt;"",$H24&lt;&gt;$AM24,IFERROR(VLOOKUP($H24,areaCercaPuntiClassificaSquadra,3,FALSE),-1)=IFERROR(VLOOKUP($AM24,areaCercaPuntiClassificaSquadra,3,FALSE),-2)),SUMIFS(Dati!$B$2:$B$381,Dati!$A$2:$A$381,$H24,Dati!$H$2:$H$381,$AM24)+SUMIFS(Dati!$I$2:$I$381,Dati!$H$2:$H$381,$H24,Dati!$A$2:$A$381,$AM24),"-")</f>
        <v/>
      </c>
      <c r="BJ24" s="22">
        <f>IF(AND($H24&lt;&gt;"",$AN24&lt;&gt;"",$H24&lt;&gt;$AN24,IFERROR(VLOOKUP($H24,areaCercaPuntiClassificaSquadra,3,FALSE),-1)=IFERROR(VLOOKUP($AN24,areaCercaPuntiClassificaSquadra,3,FALSE),-2)),SUMIFS(Dati!$B$2:$B$381,Dati!$A$2:$A$381,$H24,Dati!$H$2:$H$381,$AN24)+SUMIFS(Dati!$I$2:$I$381,Dati!$H$2:$H$381,$H24,Dati!$A$2:$A$381,$AN24),"-")</f>
        <v/>
      </c>
      <c r="BK24" s="22">
        <f>IF(AND($H24&lt;&gt;"",$AO24&lt;&gt;"",$H24&lt;&gt;$AO24,IFERROR(VLOOKUP($H24,areaCercaPuntiClassificaSquadra,3,FALSE),-1)=IFERROR(VLOOKUP($AO24,areaCercaPuntiClassificaSquadra,3,FALSE),-2)),SUMIFS(Dati!$B$2:$B$381,Dati!$A$2:$A$381,$H24,Dati!$H$2:$H$381,$AO24)+SUMIFS(Dati!$I$2:$I$381,Dati!$H$2:$H$381,$H24,Dati!$A$2:$A$381,$AO24),"-")</f>
        <v/>
      </c>
      <c r="BL24" s="22">
        <f>IF(AND($H24&lt;&gt;"",$AP24&lt;&gt;"",$H24&lt;&gt;$AP24,IFERROR(VLOOKUP($H24,areaCercaPuntiClassificaSquadra,3,FALSE),-1)=IFERROR(VLOOKUP($AP24,areaCercaPuntiClassificaSquadra,3,FALSE),-2)),SUMIFS(Dati!$B$2:$B$381,Dati!$A$2:$A$381,$H24,Dati!$H$2:$H$381,$AP24)+SUMIFS(Dati!$I$2:$I$381,Dati!$H$2:$H$381,$H24,Dati!$A$2:$A$381,$AP24),"-")</f>
        <v/>
      </c>
      <c r="BM24" s="22">
        <f>IF(AND($H24&lt;&gt;"",$AQ24&lt;&gt;"",$H24&lt;&gt;$AQ24,IFERROR(VLOOKUP($H24,areaCercaPuntiClassificaSquadra,3,FALSE),-1)=IFERROR(VLOOKUP($AQ24,areaCercaPuntiClassificaSquadra,3,FALSE),-2)),SUMIFS(Dati!$B$2:$B$381,Dati!$A$2:$A$381,$H24,Dati!$H$2:$H$381,$AQ24)+SUMIFS(Dati!$I$2:$I$381,Dati!$H$2:$H$381,$H24,Dati!$A$2:$A$381,$AQ24),"-")</f>
        <v/>
      </c>
      <c r="BN24" s="22">
        <f>IF(AND($H24&lt;&gt;"",$AR24&lt;&gt;"",$H24&lt;&gt;$AR24,IFERROR(VLOOKUP($H24,areaCercaPuntiClassificaSquadra,3,FALSE),-1)=IFERROR(VLOOKUP($AR24,areaCercaPuntiClassificaSquadra,3,FALSE),-2)),SUMIFS(Dati!$B$2:$B$381,Dati!$A$2:$A$381,$H24,Dati!$H$2:$H$381,$AR24)+SUMIFS(Dati!$I$2:$I$381,Dati!$H$2:$H$381,$H24,Dati!$A$2:$A$381,$AR24),"-")</f>
        <v/>
      </c>
      <c r="BP24" s="21">
        <f>$C24</f>
        <v/>
      </c>
      <c r="BQ24" s="22">
        <f>IF(AND($H24&lt;&gt;"",$Y24&lt;&gt;"",$H24&lt;&gt;$Y24,IFERROR(VLOOKUP($H24,areaCercaPuntiClassificaSquadra,3,FALSE),-1)=IFERROR(VLOOKUP($Y24,areaCercaPuntiClassificaSquadra,3,FALSE),-2)),SUMIFS(Dati!$D$2:$D$381,Dati!$A$2:$A$381,$H24,Dati!$H$2:$H$381,$Y24)+SUMIFS(Dati!$K$2:$K$381,Dati!$H$2:$H$381,$H24,Dati!$A$2:$A$381,$Y24)+SUMIFS(Dati!$C$2:$C$381,Dati!$A$2:$A$381,$H24,Dati!$H$2:$H$381,$Y24)+SUMIFS(Dati!$J$2:$J$381,Dati!$H$2:$H$381,$H24,Dati!$A$2:$A$381,$Y24),"-")</f>
        <v/>
      </c>
      <c r="BR24" s="22">
        <f>IF(AND($H24&lt;&gt;"",$Z24&lt;&gt;"",$H24&lt;&gt;$Z24,IFERROR(VLOOKUP($H24,areaCercaPuntiClassificaSquadra,3,FALSE),-1)=IFERROR(VLOOKUP($Z24,areaCercaPuntiClassificaSquadra,3,FALSE),-2)),SUMIFS(Dati!$D$2:$D$381,Dati!$A$2:$A$381,$H24,Dati!$H$2:$H$381,$Z24)+SUMIFS(Dati!$K$2:$K$381,Dati!$H$2:$H$381,$H24,Dati!$A$2:$A$381,$Z24)+SUMIFS(Dati!$C$2:$C$381,Dati!$A$2:$A$381,$H24,Dati!$H$2:$H$381,$Z24)+SUMIFS(Dati!$J$2:$J$381,Dati!$H$2:$H$381,$H24,Dati!$A$2:$A$381,$Z24),"-")</f>
        <v/>
      </c>
      <c r="BS24" s="22">
        <f>IF(AND($H24&lt;&gt;"",$AA24&lt;&gt;"",$H24&lt;&gt;$AA24,IFERROR(VLOOKUP($H24,areaCercaPuntiClassificaSquadra,3,FALSE),-1)=IFERROR(VLOOKUP($AA24,areaCercaPuntiClassificaSquadra,3,FALSE),-2)),SUMIFS(Dati!$D$2:$D$381,Dati!$A$2:$A$381,$H24,Dati!$H$2:$H$381,$AA24)+SUMIFS(Dati!$K$2:$K$381,Dati!$H$2:$H$381,$H24,Dati!$A$2:$A$381,$AA24)+SUMIFS(Dati!$C$2:$C$381,Dati!$A$2:$A$381,$H24,Dati!$H$2:$H$381,$AA24)+SUMIFS(Dati!$J$2:$J$381,Dati!$H$2:$H$381,$H24,Dati!$A$2:$A$381,$AA24),"-")</f>
        <v/>
      </c>
      <c r="BT24" s="22">
        <f>IF(AND($H24&lt;&gt;"",$AB24&lt;&gt;"",$H24&lt;&gt;$AB24,IFERROR(VLOOKUP($H24,areaCercaPuntiClassificaSquadra,3,FALSE),-1)=IFERROR(VLOOKUP($AB24,areaCercaPuntiClassificaSquadra,3,FALSE),-2)),SUMIFS(Dati!$D$2:$D$381,Dati!$A$2:$A$381,$H24,Dati!$H$2:$H$381,$AB24)+SUMIFS(Dati!$K$2:$K$381,Dati!$H$2:$H$381,$H24,Dati!$A$2:$A$381,$AB24)+SUMIFS(Dati!$C$2:$C$381,Dati!$A$2:$A$381,$H24,Dati!$H$2:$H$381,$AB24)+SUMIFS(Dati!$J$2:$J$381,Dati!$H$2:$H$381,$H24,Dati!$A$2:$A$381,$AB24),"-")</f>
        <v/>
      </c>
      <c r="BU24" s="22">
        <f>IF(AND($H24&lt;&gt;"",$AC24&lt;&gt;"",$H24&lt;&gt;$AC24,IFERROR(VLOOKUP($H24,areaCercaPuntiClassificaSquadra,3,FALSE),-1)=IFERROR(VLOOKUP($AC24,areaCercaPuntiClassificaSquadra,3,FALSE),-2)),SUMIFS(Dati!$D$2:$D$381,Dati!$A$2:$A$381,$H24,Dati!$H$2:$H$381,$AC24)+SUMIFS(Dati!$K$2:$K$381,Dati!$H$2:$H$381,$H24,Dati!$A$2:$A$381,$AC24)+SUMIFS(Dati!$C$2:$C$381,Dati!$A$2:$A$381,$H24,Dati!$H$2:$H$381,$AC24)+SUMIFS(Dati!$J$2:$J$381,Dati!$H$2:$H$381,$H24,Dati!$A$2:$A$381,$AC24),"-")</f>
        <v/>
      </c>
      <c r="BV24" s="22">
        <f>IF(AND($H24&lt;&gt;"",$AD24&lt;&gt;"",$H24&lt;&gt;$AD24,IFERROR(VLOOKUP($H24,areaCercaPuntiClassificaSquadra,3,FALSE),-1)=IFERROR(VLOOKUP($AD24,areaCercaPuntiClassificaSquadra,3,FALSE),-2)),SUMIFS(Dati!$D$2:$D$381,Dati!$A$2:$A$381,$H24,Dati!$H$2:$H$381,$AD24)+SUMIFS(Dati!$K$2:$K$381,Dati!$H$2:$H$381,$H24,Dati!$A$2:$A$381,$AD24)+SUMIFS(Dati!$C$2:$C$381,Dati!$A$2:$A$381,$H24,Dati!$H$2:$H$381,$AD24)+SUMIFS(Dati!$J$2:$J$381,Dati!$H$2:$H$381,$H24,Dati!$A$2:$A$381,$AD24),"-")</f>
        <v/>
      </c>
      <c r="BW24" s="22">
        <f>IF(AND($H24&lt;&gt;"",$AE24&lt;&gt;"",$H24&lt;&gt;$AE24,IFERROR(VLOOKUP($H24,areaCercaPuntiClassificaSquadra,3,FALSE),-1)=IFERROR(VLOOKUP($AE24,areaCercaPuntiClassificaSquadra,3,FALSE),-2)),SUMIFS(Dati!$D$2:$D$381,Dati!$A$2:$A$381,$H24,Dati!$H$2:$H$381,$AE24)+SUMIFS(Dati!$K$2:$K$381,Dati!$H$2:$H$381,$H24,Dati!$A$2:$A$381,$AE24)+SUMIFS(Dati!$C$2:$C$381,Dati!$A$2:$A$381,$H24,Dati!$H$2:$H$381,$AE24)+SUMIFS(Dati!$J$2:$J$381,Dati!$H$2:$H$381,$H24,Dati!$A$2:$A$381,$AE24),"-")</f>
        <v/>
      </c>
      <c r="BX24" s="22">
        <f>IF(AND($H24&lt;&gt;"",$AF24&lt;&gt;"",$H24&lt;&gt;$AF24,IFERROR(VLOOKUP($H24,areaCercaPuntiClassificaSquadra,3,FALSE),-1)=IFERROR(VLOOKUP($AF24,areaCercaPuntiClassificaSquadra,3,FALSE),-2)),SUMIFS(Dati!$D$2:$D$381,Dati!$A$2:$A$381,$H24,Dati!$H$2:$H$381,$AF24)+SUMIFS(Dati!$K$2:$K$381,Dati!$H$2:$H$381,$H24,Dati!$A$2:$A$381,$AF24)+SUMIFS(Dati!$C$2:$C$381,Dati!$A$2:$A$381,$H24,Dati!$H$2:$H$381,$AF24)+SUMIFS(Dati!$J$2:$J$381,Dati!$H$2:$H$381,$H24,Dati!$A$2:$A$381,$AF24),"-")</f>
        <v/>
      </c>
      <c r="BY24" s="22">
        <f>IF(AND($H24&lt;&gt;"",$AG24&lt;&gt;"",$H24&lt;&gt;$AG24,IFERROR(VLOOKUP($H24,areaCercaPuntiClassificaSquadra,3,FALSE),-1)=IFERROR(VLOOKUP($AG24,areaCercaPuntiClassificaSquadra,3,FALSE),-2)),SUMIFS(Dati!$D$2:$D$381,Dati!$A$2:$A$381,$H24,Dati!$H$2:$H$381,$AG24)+SUMIFS(Dati!$K$2:$K$381,Dati!$H$2:$H$381,$H24,Dati!$A$2:$A$381,$AG24)+SUMIFS(Dati!$C$2:$C$381,Dati!$A$2:$A$381,$H24,Dati!$H$2:$H$381,$AG24)+SUMIFS(Dati!$J$2:$J$381,Dati!$H$2:$H$381,$H24,Dati!$A$2:$A$381,$AG24),"-")</f>
        <v/>
      </c>
      <c r="BZ24" s="22">
        <f>IF(AND($H24&lt;&gt;"",$AH24&lt;&gt;"",$H24&lt;&gt;$AH24,IFERROR(VLOOKUP($H24,areaCercaPuntiClassificaSquadra,3,FALSE),-1)=IFERROR(VLOOKUP($AH24,areaCercaPuntiClassificaSquadra,3,FALSE),-2)),SUMIFS(Dati!$D$2:$D$381,Dati!$A$2:$A$381,$H24,Dati!$H$2:$H$381,$AH24)+SUMIFS(Dati!$K$2:$K$381,Dati!$H$2:$H$381,$H24,Dati!$A$2:$A$381,$AH24)+SUMIFS(Dati!$C$2:$C$381,Dati!$A$2:$A$381,$H24,Dati!$H$2:$H$381,$AH24)+SUMIFS(Dati!$J$2:$J$381,Dati!$H$2:$H$381,$H24,Dati!$A$2:$A$381,$AH24),"-")</f>
        <v/>
      </c>
      <c r="CA24" s="22">
        <f>IF(AND($H24&lt;&gt;"",$AI24&lt;&gt;"",$H24&lt;&gt;$AI24,IFERROR(VLOOKUP($H24,areaCercaPuntiClassificaSquadra,3,FALSE),-1)=IFERROR(VLOOKUP($AI24,areaCercaPuntiClassificaSquadra,3,FALSE),-2)),SUMIFS(Dati!$D$2:$D$381,Dati!$A$2:$A$381,$H24,Dati!$H$2:$H$381,$AI24)+SUMIFS(Dati!$K$2:$K$381,Dati!$H$2:$H$381,$H24,Dati!$A$2:$A$381,$AI24)+SUMIFS(Dati!$C$2:$C$381,Dati!$A$2:$A$381,$H24,Dati!$H$2:$H$381,$AI24)+SUMIFS(Dati!$J$2:$J$381,Dati!$H$2:$H$381,$H24,Dati!$A$2:$A$381,$AI24),"-")</f>
        <v/>
      </c>
      <c r="CB24" s="22">
        <f>IF(AND($H24&lt;&gt;"",$AJ24&lt;&gt;"",$H24&lt;&gt;$AJ24,IFERROR(VLOOKUP($H24,areaCercaPuntiClassificaSquadra,3,FALSE),-1)=IFERROR(VLOOKUP($AJ24,areaCercaPuntiClassificaSquadra,3,FALSE),-2)),SUMIFS(Dati!$D$2:$D$381,Dati!$A$2:$A$381,$H24,Dati!$H$2:$H$381,$AJ24)+SUMIFS(Dati!$K$2:$K$381,Dati!$H$2:$H$381,$H24,Dati!$A$2:$A$381,$AJ24)+SUMIFS(Dati!$C$2:$C$381,Dati!$A$2:$A$381,$H24,Dati!$H$2:$H$381,$AJ24)+SUMIFS(Dati!$J$2:$J$381,Dati!$H$2:$H$381,$H24,Dati!$A$2:$A$381,$AJ24),"-")</f>
        <v/>
      </c>
      <c r="CC24" s="22">
        <f>IF(AND($H24&lt;&gt;"",$AK24&lt;&gt;"",$H24&lt;&gt;$AK24,IFERROR(VLOOKUP($H24,areaCercaPuntiClassificaSquadra,3,FALSE),-1)=IFERROR(VLOOKUP($AK24,areaCercaPuntiClassificaSquadra,3,FALSE),-2)),SUMIFS(Dati!$D$2:$D$381,Dati!$A$2:$A$381,$H24,Dati!$H$2:$H$381,$AK24)+SUMIFS(Dati!$K$2:$K$381,Dati!$H$2:$H$381,$H24,Dati!$A$2:$A$381,$AK24)+SUMIFS(Dati!$C$2:$C$381,Dati!$A$2:$A$381,$H24,Dati!$H$2:$H$381,$AK24)+SUMIFS(Dati!$J$2:$J$381,Dati!$H$2:$H$381,$H24,Dati!$A$2:$A$381,$AK24),"-")</f>
        <v/>
      </c>
      <c r="CD24" s="22">
        <f>IF(AND($H24&lt;&gt;"",$AL24&lt;&gt;"",$H24&lt;&gt;$AL24,IFERROR(VLOOKUP($H24,areaCercaPuntiClassificaSquadra,3,FALSE),-1)=IFERROR(VLOOKUP($AL24,areaCercaPuntiClassificaSquadra,3,FALSE),-2)),SUMIFS(Dati!$D$2:$D$381,Dati!$A$2:$A$381,$H24,Dati!$H$2:$H$381,$AL24)+SUMIFS(Dati!$K$2:$K$381,Dati!$H$2:$H$381,$H24,Dati!$A$2:$A$381,$AL24)+SUMIFS(Dati!$C$2:$C$381,Dati!$A$2:$A$381,$H24,Dati!$H$2:$H$381,$AL24)+SUMIFS(Dati!$J$2:$J$381,Dati!$H$2:$H$381,$H24,Dati!$A$2:$A$381,$AL24),"-")</f>
        <v/>
      </c>
      <c r="CE24" s="22">
        <f>IF(AND($H24&lt;&gt;"",$AM24&lt;&gt;"",$H24&lt;&gt;$AM24,IFERROR(VLOOKUP($H24,areaCercaPuntiClassificaSquadra,3,FALSE),-1)=IFERROR(VLOOKUP($AM24,areaCercaPuntiClassificaSquadra,3,FALSE),-2)),SUMIFS(Dati!$D$2:$D$381,Dati!$A$2:$A$381,$H24,Dati!$H$2:$H$381,$AM24)+SUMIFS(Dati!$K$2:$K$381,Dati!$H$2:$H$381,$H24,Dati!$A$2:$A$381,$AM24)+SUMIFS(Dati!$C$2:$C$381,Dati!$A$2:$A$381,$H24,Dati!$H$2:$H$381,$AM24)+SUMIFS(Dati!$J$2:$J$381,Dati!$H$2:$H$381,$H24,Dati!$A$2:$A$381,$AM24),"-")</f>
        <v/>
      </c>
      <c r="CF24" s="22">
        <f>IF(AND($H24&lt;&gt;"",$AN24&lt;&gt;"",$H24&lt;&gt;$AN24,IFERROR(VLOOKUP($H24,areaCercaPuntiClassificaSquadra,3,FALSE),-1)=IFERROR(VLOOKUP($AN24,areaCercaPuntiClassificaSquadra,3,FALSE),-2)),SUMIFS(Dati!$D$2:$D$381,Dati!$A$2:$A$381,$H24,Dati!$H$2:$H$381,$AN24)+SUMIFS(Dati!$K$2:$K$381,Dati!$H$2:$H$381,$H24,Dati!$A$2:$A$381,$AN24)+SUMIFS(Dati!$C$2:$C$381,Dati!$A$2:$A$381,$H24,Dati!$H$2:$H$381,$AN24)+SUMIFS(Dati!$J$2:$J$381,Dati!$H$2:$H$381,$H24,Dati!$A$2:$A$381,$AN24),"-")</f>
        <v/>
      </c>
      <c r="CG24" s="22">
        <f>IF(AND($H24&lt;&gt;"",$AO24&lt;&gt;"",$H24&lt;&gt;$AO24,IFERROR(VLOOKUP($H24,areaCercaPuntiClassificaSquadra,3,FALSE),-1)=IFERROR(VLOOKUP($AO24,areaCercaPuntiClassificaSquadra,3,FALSE),-2)),SUMIFS(Dati!$D$2:$D$381,Dati!$A$2:$A$381,$H24,Dati!$H$2:$H$381,$AO24)+SUMIFS(Dati!$K$2:$K$381,Dati!$H$2:$H$381,$H24,Dati!$A$2:$A$381,$AO24)+SUMIFS(Dati!$C$2:$C$381,Dati!$A$2:$A$381,$H24,Dati!$H$2:$H$381,$AO24)+SUMIFS(Dati!$J$2:$J$381,Dati!$H$2:$H$381,$H24,Dati!$A$2:$A$381,$AO24),"-")</f>
        <v/>
      </c>
      <c r="CH24" s="22">
        <f>IF(AND($H24&lt;&gt;"",$AP24&lt;&gt;"",$H24&lt;&gt;$AP24,IFERROR(VLOOKUP($H24,areaCercaPuntiClassificaSquadra,3,FALSE),-1)=IFERROR(VLOOKUP($AP24,areaCercaPuntiClassificaSquadra,3,FALSE),-2)),SUMIFS(Dati!$D$2:$D$381,Dati!$A$2:$A$381,$H24,Dati!$H$2:$H$381,$AP24)+SUMIFS(Dati!$K$2:$K$381,Dati!$H$2:$H$381,$H24,Dati!$A$2:$A$381,$AP24)+SUMIFS(Dati!$C$2:$C$381,Dati!$A$2:$A$381,$H24,Dati!$H$2:$H$381,$AP24)+SUMIFS(Dati!$J$2:$J$381,Dati!$H$2:$H$381,$H24,Dati!$A$2:$A$381,$AP24),"-")</f>
        <v/>
      </c>
      <c r="CI24" s="22">
        <f>IF(AND($H24&lt;&gt;"",$AQ24&lt;&gt;"",$H24&lt;&gt;$AQ24,IFERROR(VLOOKUP($H24,areaCercaPuntiClassificaSquadra,3,FALSE),-1)=IFERROR(VLOOKUP($AQ24,areaCercaPuntiClassificaSquadra,3,FALSE),-2)),SUMIFS(Dati!$D$2:$D$381,Dati!$A$2:$A$381,$H24,Dati!$H$2:$H$381,$AQ24)+SUMIFS(Dati!$K$2:$K$381,Dati!$H$2:$H$381,$H24,Dati!$A$2:$A$381,$AQ24)+SUMIFS(Dati!$C$2:$C$381,Dati!$A$2:$A$381,$H24,Dati!$H$2:$H$381,$AQ24)+SUMIFS(Dati!$J$2:$J$381,Dati!$H$2:$H$381,$H24,Dati!$A$2:$A$381,$AQ24),"-")</f>
        <v/>
      </c>
      <c r="CJ24" s="22">
        <f>IF(AND($H24&lt;&gt;"",$AR24&lt;&gt;"",$H24&lt;&gt;$AR24,IFERROR(VLOOKUP($H24,areaCercaPuntiClassificaSquadra,3,FALSE),-1)=IFERROR(VLOOKUP($AR24,areaCercaPuntiClassificaSquadra,3,FALSE),-2)),SUMIFS(Dati!$D$2:$D$381,Dati!$A$2:$A$381,$H24,Dati!$H$2:$H$381,$AR24)+SUMIFS(Dati!$K$2:$K$381,Dati!$H$2:$H$381,$H24,Dati!$A$2:$A$381,$AR24)+SUMIFS(Dati!$C$2:$C$381,Dati!$A$2:$A$381,$H24,Dati!$H$2:$H$381,$AR24)+SUMIFS(Dati!$J$2:$J$381,Dati!$H$2:$H$381,$H24,Dati!$A$2:$A$381,$AR24),"-")</f>
        <v/>
      </c>
      <c r="CL24" s="21">
        <f>$C24</f>
        <v/>
      </c>
      <c r="CM24" s="22">
        <f>IF(AND($H24&lt;&gt;"",$Y24&lt;&gt;"",$H24&lt;&gt;$Y24,IFERROR(VLOOKUP($H24,areaCercaPuntiClassificaSquadra,3,FALSE),-1)=IFERROR(VLOOKUP($Y24,areaCercaPuntiClassificaSquadra,3,FALSE),-2)),SUMIFS(Dati!$E$2:$E$381,Dati!$A$2:$A$381,$H24,Dati!$H$2:$H$381,$Y24)+SUMIFS(Dati!$L$2:$L$381,Dati!$H$2:$H$381,$H24,Dati!$A$2:$A$381,$Y24),"-")</f>
        <v/>
      </c>
      <c r="CN24" s="22">
        <f>IF(AND($H24&lt;&gt;"",$Z24&lt;&gt;"",$H24&lt;&gt;$Z24,IFERROR(VLOOKUP($H24,areaCercaPuntiClassificaSquadra,3,FALSE),-1)=IFERROR(VLOOKUP($Z24,areaCercaPuntiClassificaSquadra,3,FALSE),-2)),SUMIFS(Dati!$E$2:$E$381,Dati!$A$2:$A$381,$H24,Dati!$H$2:$H$381,$Z24)+SUMIFS(Dati!$L$2:$L$381,Dati!$H$2:$H$381,$H24,Dati!$A$2:$A$381,$Z24),"-")</f>
        <v/>
      </c>
      <c r="CO24" s="22">
        <f>IF(AND($H24&lt;&gt;"",$AA24&lt;&gt;"",$H24&lt;&gt;$AA24,IFERROR(VLOOKUP($H24,areaCercaPuntiClassificaSquadra,3,FALSE),-1)=IFERROR(VLOOKUP($AA24,areaCercaPuntiClassificaSquadra,3,FALSE),-2)),SUMIFS(Dati!$E$2:$E$381,Dati!$A$2:$A$381,$H24,Dati!$H$2:$H$381,$AA24)+SUMIFS(Dati!$L$2:$L$381,Dati!$H$2:$H$381,$H24,Dati!$A$2:$A$381,$AA24),"-")</f>
        <v/>
      </c>
      <c r="CP24" s="22">
        <f>IF(AND($H24&lt;&gt;"",$AB24&lt;&gt;"",$H24&lt;&gt;$AB24,IFERROR(VLOOKUP($H24,areaCercaPuntiClassificaSquadra,3,FALSE),-1)=IFERROR(VLOOKUP($AB24,areaCercaPuntiClassificaSquadra,3,FALSE),-2)),SUMIFS(Dati!$E$2:$E$381,Dati!$A$2:$A$381,$H24,Dati!$H$2:$H$381,$AB24)+SUMIFS(Dati!$L$2:$L$381,Dati!$H$2:$H$381,$H24,Dati!$A$2:$A$381,$AB24),"-")</f>
        <v/>
      </c>
      <c r="CQ24" s="22">
        <f>IF(AND($H24&lt;&gt;"",$AC24&lt;&gt;"",$H24&lt;&gt;$AC24,IFERROR(VLOOKUP($H24,areaCercaPuntiClassificaSquadra,3,FALSE),-1)=IFERROR(VLOOKUP($AC24,areaCercaPuntiClassificaSquadra,3,FALSE),-2)),SUMIFS(Dati!$E$2:$E$381,Dati!$A$2:$A$381,$H24,Dati!$H$2:$H$381,$AC24)+SUMIFS(Dati!$L$2:$L$381,Dati!$H$2:$H$381,$H24,Dati!$A$2:$A$381,$AC24),"-")</f>
        <v/>
      </c>
      <c r="CR24" s="22">
        <f>IF(AND($H24&lt;&gt;"",$AD24&lt;&gt;"",$H24&lt;&gt;$AD24,IFERROR(VLOOKUP($H24,areaCercaPuntiClassificaSquadra,3,FALSE),-1)=IFERROR(VLOOKUP($AD24,areaCercaPuntiClassificaSquadra,3,FALSE),-2)),SUMIFS(Dati!$E$2:$E$381,Dati!$A$2:$A$381,$H24,Dati!$H$2:$H$381,$AD24)+SUMIFS(Dati!$L$2:$L$381,Dati!$H$2:$H$381,$H24,Dati!$A$2:$A$381,$AD24),"-")</f>
        <v/>
      </c>
      <c r="CS24" s="22">
        <f>IF(AND($H24&lt;&gt;"",$AE24&lt;&gt;"",$H24&lt;&gt;$AE24,IFERROR(VLOOKUP($H24,areaCercaPuntiClassificaSquadra,3,FALSE),-1)=IFERROR(VLOOKUP($AE24,areaCercaPuntiClassificaSquadra,3,FALSE),-2)),SUMIFS(Dati!$E$2:$E$381,Dati!$A$2:$A$381,$H24,Dati!$H$2:$H$381,$AE24)+SUMIFS(Dati!$L$2:$L$381,Dati!$H$2:$H$381,$H24,Dati!$A$2:$A$381,$AE24),"-")</f>
        <v/>
      </c>
      <c r="CT24" s="22">
        <f>IF(AND($H24&lt;&gt;"",$AF24&lt;&gt;"",$H24&lt;&gt;$AF24,IFERROR(VLOOKUP($H24,areaCercaPuntiClassificaSquadra,3,FALSE),-1)=IFERROR(VLOOKUP($AF24,areaCercaPuntiClassificaSquadra,3,FALSE),-2)),SUMIFS(Dati!$E$2:$E$381,Dati!$A$2:$A$381,$H24,Dati!$H$2:$H$381,$AF24)+SUMIFS(Dati!$L$2:$L$381,Dati!$H$2:$H$381,$H24,Dati!$A$2:$A$381,$AF24),"-")</f>
        <v/>
      </c>
      <c r="CU24" s="22">
        <f>IF(AND($H24&lt;&gt;"",$AG24&lt;&gt;"",$H24&lt;&gt;$AG24,IFERROR(VLOOKUP($H24,areaCercaPuntiClassificaSquadra,3,FALSE),-1)=IFERROR(VLOOKUP($AG24,areaCercaPuntiClassificaSquadra,3,FALSE),-2)),SUMIFS(Dati!$E$2:$E$381,Dati!$A$2:$A$381,$H24,Dati!$H$2:$H$381,$AG24)+SUMIFS(Dati!$L$2:$L$381,Dati!$H$2:$H$381,$H24,Dati!$A$2:$A$381,$AG24),"-")</f>
        <v/>
      </c>
      <c r="CV24" s="22">
        <f>IF(AND($H24&lt;&gt;"",$AH24&lt;&gt;"",$H24&lt;&gt;$AH24,IFERROR(VLOOKUP($H24,areaCercaPuntiClassificaSquadra,3,FALSE),-1)=IFERROR(VLOOKUP($AH24,areaCercaPuntiClassificaSquadra,3,FALSE),-2)),SUMIFS(Dati!$E$2:$E$381,Dati!$A$2:$A$381,$H24,Dati!$H$2:$H$381,$AH24)+SUMIFS(Dati!$L$2:$L$381,Dati!$H$2:$H$381,$H24,Dati!$A$2:$A$381,$AH24),"-")</f>
        <v/>
      </c>
      <c r="CW24" s="22">
        <f>IF(AND($H24&lt;&gt;"",$AI24&lt;&gt;"",$H24&lt;&gt;$AI24,IFERROR(VLOOKUP($H24,areaCercaPuntiClassificaSquadra,3,FALSE),-1)=IFERROR(VLOOKUP($AI24,areaCercaPuntiClassificaSquadra,3,FALSE),-2)),SUMIFS(Dati!$E$2:$E$381,Dati!$A$2:$A$381,$H24,Dati!$H$2:$H$381,$AI24)+SUMIFS(Dati!$L$2:$L$381,Dati!$H$2:$H$381,$H24,Dati!$A$2:$A$381,$AI24),"-")</f>
        <v/>
      </c>
      <c r="CX24" s="22">
        <f>IF(AND($H24&lt;&gt;"",$AJ24&lt;&gt;"",$H24&lt;&gt;$AJ24,IFERROR(VLOOKUP($H24,areaCercaPuntiClassificaSquadra,3,FALSE),-1)=IFERROR(VLOOKUP($AJ24,areaCercaPuntiClassificaSquadra,3,FALSE),-2)),SUMIFS(Dati!$E$2:$E$381,Dati!$A$2:$A$381,$H24,Dati!$H$2:$H$381,$AJ24)+SUMIFS(Dati!$L$2:$L$381,Dati!$H$2:$H$381,$H24,Dati!$A$2:$A$381,$AJ24),"-")</f>
        <v/>
      </c>
      <c r="CY24" s="22">
        <f>IF(AND($H24&lt;&gt;"",$AK24&lt;&gt;"",$H24&lt;&gt;$AK24,IFERROR(VLOOKUP($H24,areaCercaPuntiClassificaSquadra,3,FALSE),-1)=IFERROR(VLOOKUP($AK24,areaCercaPuntiClassificaSquadra,3,FALSE),-2)),SUMIFS(Dati!$E$2:$E$381,Dati!$A$2:$A$381,$H24,Dati!$H$2:$H$381,$AK24)+SUMIFS(Dati!$L$2:$L$381,Dati!$H$2:$H$381,$H24,Dati!$A$2:$A$381,$AK24),"-")</f>
        <v/>
      </c>
      <c r="CZ24" s="22">
        <f>IF(AND($H24&lt;&gt;"",$AL24&lt;&gt;"",$H24&lt;&gt;$AL24,IFERROR(VLOOKUP($H24,areaCercaPuntiClassificaSquadra,3,FALSE),-1)=IFERROR(VLOOKUP($AL24,areaCercaPuntiClassificaSquadra,3,FALSE),-2)),SUMIFS(Dati!$E$2:$E$381,Dati!$A$2:$A$381,$H24,Dati!$H$2:$H$381,$AL24)+SUMIFS(Dati!$L$2:$L$381,Dati!$H$2:$H$381,$H24,Dati!$A$2:$A$381,$AL24),"-")</f>
        <v/>
      </c>
      <c r="DA24" s="22">
        <f>IF(AND($H24&lt;&gt;"",$AM24&lt;&gt;"",$H24&lt;&gt;$AM24,IFERROR(VLOOKUP($H24,areaCercaPuntiClassificaSquadra,3,FALSE),-1)=IFERROR(VLOOKUP($AM24,areaCercaPuntiClassificaSquadra,3,FALSE),-2)),SUMIFS(Dati!$E$2:$E$381,Dati!$A$2:$A$381,$H24,Dati!$H$2:$H$381,$AM24)+SUMIFS(Dati!$L$2:$L$381,Dati!$H$2:$H$381,$H24,Dati!$A$2:$A$381,$AM24),"-")</f>
        <v/>
      </c>
      <c r="DB24" s="22">
        <f>IF(AND($H24&lt;&gt;"",$AN24&lt;&gt;"",$H24&lt;&gt;$AN24,IFERROR(VLOOKUP($H24,areaCercaPuntiClassificaSquadra,3,FALSE),-1)=IFERROR(VLOOKUP($AN24,areaCercaPuntiClassificaSquadra,3,FALSE),-2)),SUMIFS(Dati!$E$2:$E$381,Dati!$A$2:$A$381,$H24,Dati!$H$2:$H$381,$AN24)+SUMIFS(Dati!$L$2:$L$381,Dati!$H$2:$H$381,$H24,Dati!$A$2:$A$381,$AN24),"-")</f>
        <v/>
      </c>
      <c r="DC24" s="22">
        <f>IF(AND($H24&lt;&gt;"",$AO24&lt;&gt;"",$H24&lt;&gt;$AO24,IFERROR(VLOOKUP($H24,areaCercaPuntiClassificaSquadra,3,FALSE),-1)=IFERROR(VLOOKUP($AO24,areaCercaPuntiClassificaSquadra,3,FALSE),-2)),SUMIFS(Dati!$E$2:$E$381,Dati!$A$2:$A$381,$H24,Dati!$H$2:$H$381,$AO24)+SUMIFS(Dati!$L$2:$L$381,Dati!$H$2:$H$381,$H24,Dati!$A$2:$A$381,$AO24),"-")</f>
        <v/>
      </c>
      <c r="DD24" s="22">
        <f>IF(AND($H24&lt;&gt;"",$AP24&lt;&gt;"",$H24&lt;&gt;$AP24,IFERROR(VLOOKUP($H24,areaCercaPuntiClassificaSquadra,3,FALSE),-1)=IFERROR(VLOOKUP($AP24,areaCercaPuntiClassificaSquadra,3,FALSE),-2)),SUMIFS(Dati!$E$2:$E$381,Dati!$A$2:$A$381,$H24,Dati!$H$2:$H$381,$AP24)+SUMIFS(Dati!$L$2:$L$381,Dati!$H$2:$H$381,$H24,Dati!$A$2:$A$381,$AP24),"-")</f>
        <v/>
      </c>
      <c r="DE24" s="22">
        <f>IF(AND($H24&lt;&gt;"",$AQ24&lt;&gt;"",$H24&lt;&gt;$AQ24,IFERROR(VLOOKUP($H24,areaCercaPuntiClassificaSquadra,3,FALSE),-1)=IFERROR(VLOOKUP($AQ24,areaCercaPuntiClassificaSquadra,3,FALSE),-2)),SUMIFS(Dati!$E$2:$E$381,Dati!$A$2:$A$381,$H24,Dati!$H$2:$H$381,$AQ24)+SUMIFS(Dati!$L$2:$L$381,Dati!$H$2:$H$381,$H24,Dati!$A$2:$A$381,$AQ24),"-")</f>
        <v/>
      </c>
      <c r="DF24" s="22">
        <f>IF(AND($H24&lt;&gt;"",$AR24&lt;&gt;"",$H24&lt;&gt;$AR24,IFERROR(VLOOKUP($H24,areaCercaPuntiClassificaSquadra,3,FALSE),-1)=IFERROR(VLOOKUP($AR24,areaCercaPuntiClassificaSquadra,3,FALSE),-2)),SUMIFS(Dati!$E$2:$E$381,Dati!$A$2:$A$381,$H24,Dati!$H$2:$H$381,$AR24)+SUMIFS(Dati!$L$2:$L$381,Dati!$H$2:$H$381,$H24,Dati!$A$2:$A$381,$AR24),"-")</f>
        <v/>
      </c>
      <c r="DH24" s="21">
        <f>$C24</f>
        <v/>
      </c>
      <c r="DI24" s="22">
        <f>IF(AND($H24&lt;&gt;"",$Y24&lt;&gt;"",$H24&lt;&gt;$Y24,IFERROR(VLOOKUP($H24,areaCercaPuntiClassificaSquadra,3,FALSE),-1)=IFERROR(VLOOKUP($Y24,areaCercaPuntiClassificaSquadra,3,FALSE),-2)),SUMIFS(Dati!$F$2:$F$381,Dati!$A$2:$A$381,$H24,Dati!$H$2:$H$381,$Y24)+SUMIFS(Dati!$M$2:$M$381,Dati!$H$2:$H$381,$H24,Dati!$A$2:$A$381,$Y24),"-")</f>
        <v/>
      </c>
      <c r="DJ24" s="22">
        <f>IF(AND($H24&lt;&gt;"",$Z24&lt;&gt;"",$H24&lt;&gt;$Z24,IFERROR(VLOOKUP($H24,areaCercaPuntiClassificaSquadra,3,FALSE),-1)=IFERROR(VLOOKUP($Z24,areaCercaPuntiClassificaSquadra,3,FALSE),-2)),SUMIFS(Dati!$F$2:$F$381,Dati!$A$2:$A$381,$H24,Dati!$H$2:$H$381,$Z24)+SUMIFS(Dati!$M$2:$M$381,Dati!$H$2:$H$381,$H24,Dati!$A$2:$A$381,$Z24),"-")</f>
        <v/>
      </c>
      <c r="DK24" s="22">
        <f>IF(AND($H24&lt;&gt;"",$AA24&lt;&gt;"",$H24&lt;&gt;$AA24,IFERROR(VLOOKUP($H24,areaCercaPuntiClassificaSquadra,3,FALSE),-1)=IFERROR(VLOOKUP($AA24,areaCercaPuntiClassificaSquadra,3,FALSE),-2)),SUMIFS(Dati!$F$2:$F$381,Dati!$A$2:$A$381,$H24,Dati!$H$2:$H$381,$AA24)+SUMIFS(Dati!$M$2:$M$381,Dati!$H$2:$H$381,$H24,Dati!$A$2:$A$381,$AA24),"-")</f>
        <v/>
      </c>
      <c r="DL24" s="22">
        <f>IF(AND($H24&lt;&gt;"",$AB24&lt;&gt;"",$H24&lt;&gt;$AB24,IFERROR(VLOOKUP($H24,areaCercaPuntiClassificaSquadra,3,FALSE),-1)=IFERROR(VLOOKUP($AB24,areaCercaPuntiClassificaSquadra,3,FALSE),-2)),SUMIFS(Dati!$F$2:$F$381,Dati!$A$2:$A$381,$H24,Dati!$H$2:$H$381,$AB24)+SUMIFS(Dati!$M$2:$M$381,Dati!$H$2:$H$381,$H24,Dati!$A$2:$A$381,$AB24),"-")</f>
        <v/>
      </c>
      <c r="DM24" s="22">
        <f>IF(AND($H24&lt;&gt;"",$AC24&lt;&gt;"",$H24&lt;&gt;$AC24,IFERROR(VLOOKUP($H24,areaCercaPuntiClassificaSquadra,3,FALSE),-1)=IFERROR(VLOOKUP($AC24,areaCercaPuntiClassificaSquadra,3,FALSE),-2)),SUMIFS(Dati!$F$2:$F$381,Dati!$A$2:$A$381,$H24,Dati!$H$2:$H$381,$AC24)+SUMIFS(Dati!$M$2:$M$381,Dati!$H$2:$H$381,$H24,Dati!$A$2:$A$381,$AC24),"-")</f>
        <v/>
      </c>
      <c r="DN24" s="22">
        <f>IF(AND($H24&lt;&gt;"",$AD24&lt;&gt;"",$H24&lt;&gt;$AD24,IFERROR(VLOOKUP($H24,areaCercaPuntiClassificaSquadra,3,FALSE),-1)=IFERROR(VLOOKUP($AD24,areaCercaPuntiClassificaSquadra,3,FALSE),-2)),SUMIFS(Dati!$F$2:$F$381,Dati!$A$2:$A$381,$H24,Dati!$H$2:$H$381,$AD24)+SUMIFS(Dati!$M$2:$M$381,Dati!$H$2:$H$381,$H24,Dati!$A$2:$A$381,$AD24),"-")</f>
        <v/>
      </c>
      <c r="DO24" s="22">
        <f>IF(AND($H24&lt;&gt;"",$AE24&lt;&gt;"",$H24&lt;&gt;$AE24,IFERROR(VLOOKUP($H24,areaCercaPuntiClassificaSquadra,3,FALSE),-1)=IFERROR(VLOOKUP($AE24,areaCercaPuntiClassificaSquadra,3,FALSE),-2)),SUMIFS(Dati!$F$2:$F$381,Dati!$A$2:$A$381,$H24,Dati!$H$2:$H$381,$AE24)+SUMIFS(Dati!$M$2:$M$381,Dati!$H$2:$H$381,$H24,Dati!$A$2:$A$381,$AE24),"-")</f>
        <v/>
      </c>
      <c r="DP24" s="22">
        <f>IF(AND($H24&lt;&gt;"",$AF24&lt;&gt;"",$H24&lt;&gt;$AF24,IFERROR(VLOOKUP($H24,areaCercaPuntiClassificaSquadra,3,FALSE),-1)=IFERROR(VLOOKUP($AF24,areaCercaPuntiClassificaSquadra,3,FALSE),-2)),SUMIFS(Dati!$F$2:$F$381,Dati!$A$2:$A$381,$H24,Dati!$H$2:$H$381,$AF24)+SUMIFS(Dati!$M$2:$M$381,Dati!$H$2:$H$381,$H24,Dati!$A$2:$A$381,$AF24),"-")</f>
        <v/>
      </c>
      <c r="DQ24" s="22">
        <f>IF(AND($H24&lt;&gt;"",$AG24&lt;&gt;"",$H24&lt;&gt;$AG24,IFERROR(VLOOKUP($H24,areaCercaPuntiClassificaSquadra,3,FALSE),-1)=IFERROR(VLOOKUP($AG24,areaCercaPuntiClassificaSquadra,3,FALSE),-2)),SUMIFS(Dati!$F$2:$F$381,Dati!$A$2:$A$381,$H24,Dati!$H$2:$H$381,$AG24)+SUMIFS(Dati!$M$2:$M$381,Dati!$H$2:$H$381,$H24,Dati!$A$2:$A$381,$AG24),"-")</f>
        <v/>
      </c>
      <c r="DR24" s="22">
        <f>IF(AND($H24&lt;&gt;"",$AH24&lt;&gt;"",$H24&lt;&gt;$AH24,IFERROR(VLOOKUP($H24,areaCercaPuntiClassificaSquadra,3,FALSE),-1)=IFERROR(VLOOKUP($AH24,areaCercaPuntiClassificaSquadra,3,FALSE),-2)),SUMIFS(Dati!$F$2:$F$381,Dati!$A$2:$A$381,$H24,Dati!$H$2:$H$381,$AH24)+SUMIFS(Dati!$M$2:$M$381,Dati!$H$2:$H$381,$H24,Dati!$A$2:$A$381,$AH24),"-")</f>
        <v/>
      </c>
      <c r="DS24" s="22">
        <f>IF(AND($H24&lt;&gt;"",$AI24&lt;&gt;"",$H24&lt;&gt;$AI24,IFERROR(VLOOKUP($H24,areaCercaPuntiClassificaSquadra,3,FALSE),-1)=IFERROR(VLOOKUP($AI24,areaCercaPuntiClassificaSquadra,3,FALSE),-2)),SUMIFS(Dati!$F$2:$F$381,Dati!$A$2:$A$381,$H24,Dati!$H$2:$H$381,$AI24)+SUMIFS(Dati!$M$2:$M$381,Dati!$H$2:$H$381,$H24,Dati!$A$2:$A$381,$AI24),"-")</f>
        <v/>
      </c>
      <c r="DT24" s="22">
        <f>IF(AND($H24&lt;&gt;"",$AJ24&lt;&gt;"",$H24&lt;&gt;$AJ24,IFERROR(VLOOKUP($H24,areaCercaPuntiClassificaSquadra,3,FALSE),-1)=IFERROR(VLOOKUP($AJ24,areaCercaPuntiClassificaSquadra,3,FALSE),-2)),SUMIFS(Dati!$F$2:$F$381,Dati!$A$2:$A$381,$H24,Dati!$H$2:$H$381,$AJ24)+SUMIFS(Dati!$M$2:$M$381,Dati!$H$2:$H$381,$H24,Dati!$A$2:$A$381,$AJ24),"-")</f>
        <v/>
      </c>
      <c r="DU24" s="22">
        <f>IF(AND($H24&lt;&gt;"",$AK24&lt;&gt;"",$H24&lt;&gt;$AK24,IFERROR(VLOOKUP($H24,areaCercaPuntiClassificaSquadra,3,FALSE),-1)=IFERROR(VLOOKUP($AK24,areaCercaPuntiClassificaSquadra,3,FALSE),-2)),SUMIFS(Dati!$F$2:$F$381,Dati!$A$2:$A$381,$H24,Dati!$H$2:$H$381,$AK24)+SUMIFS(Dati!$M$2:$M$381,Dati!$H$2:$H$381,$H24,Dati!$A$2:$A$381,$AK24),"-")</f>
        <v/>
      </c>
      <c r="DV24" s="22">
        <f>IF(AND($H24&lt;&gt;"",$AL24&lt;&gt;"",$H24&lt;&gt;$AL24,IFERROR(VLOOKUP($H24,areaCercaPuntiClassificaSquadra,3,FALSE),-1)=IFERROR(VLOOKUP($AL24,areaCercaPuntiClassificaSquadra,3,FALSE),-2)),SUMIFS(Dati!$F$2:$F$381,Dati!$A$2:$A$381,$H24,Dati!$H$2:$H$381,$AL24)+SUMIFS(Dati!$M$2:$M$381,Dati!$H$2:$H$381,$H24,Dati!$A$2:$A$381,$AL24),"-")</f>
        <v/>
      </c>
      <c r="DW24" s="22">
        <f>IF(AND($H24&lt;&gt;"",$AM24&lt;&gt;"",$H24&lt;&gt;$AM24,IFERROR(VLOOKUP($H24,areaCercaPuntiClassificaSquadra,3,FALSE),-1)=IFERROR(VLOOKUP($AM24,areaCercaPuntiClassificaSquadra,3,FALSE),-2)),SUMIFS(Dati!$F$2:$F$381,Dati!$A$2:$A$381,$H24,Dati!$H$2:$H$381,$AM24)+SUMIFS(Dati!$M$2:$M$381,Dati!$H$2:$H$381,$H24,Dati!$A$2:$A$381,$AM24),"-")</f>
        <v/>
      </c>
      <c r="DX24" s="22">
        <f>IF(AND($H24&lt;&gt;"",$AN24&lt;&gt;"",$H24&lt;&gt;$AN24,IFERROR(VLOOKUP($H24,areaCercaPuntiClassificaSquadra,3,FALSE),-1)=IFERROR(VLOOKUP($AN24,areaCercaPuntiClassificaSquadra,3,FALSE),-2)),SUMIFS(Dati!$F$2:$F$381,Dati!$A$2:$A$381,$H24,Dati!$H$2:$H$381,$AN24)+SUMIFS(Dati!$M$2:$M$381,Dati!$H$2:$H$381,$H24,Dati!$A$2:$A$381,$AN24),"-")</f>
        <v/>
      </c>
      <c r="DY24" s="22">
        <f>IF(AND($H24&lt;&gt;"",$AO24&lt;&gt;"",$H24&lt;&gt;$AO24,IFERROR(VLOOKUP($H24,areaCercaPuntiClassificaSquadra,3,FALSE),-1)=IFERROR(VLOOKUP($AO24,areaCercaPuntiClassificaSquadra,3,FALSE),-2)),SUMIFS(Dati!$F$2:$F$381,Dati!$A$2:$A$381,$H24,Dati!$H$2:$H$381,$AO24)+SUMIFS(Dati!$M$2:$M$381,Dati!$H$2:$H$381,$H24,Dati!$A$2:$A$381,$AO24),"-")</f>
        <v/>
      </c>
      <c r="DZ24" s="22">
        <f>IF(AND($H24&lt;&gt;"",$AP24&lt;&gt;"",$H24&lt;&gt;$AP24,IFERROR(VLOOKUP($H24,areaCercaPuntiClassificaSquadra,3,FALSE),-1)=IFERROR(VLOOKUP($AP24,areaCercaPuntiClassificaSquadra,3,FALSE),-2)),SUMIFS(Dati!$F$2:$F$381,Dati!$A$2:$A$381,$H24,Dati!$H$2:$H$381,$AP24)+SUMIFS(Dati!$M$2:$M$381,Dati!$H$2:$H$381,$H24,Dati!$A$2:$A$381,$AP24),"-")</f>
        <v/>
      </c>
      <c r="EA24" s="22">
        <f>IF(AND($H24&lt;&gt;"",$AQ24&lt;&gt;"",$H24&lt;&gt;$AQ24,IFERROR(VLOOKUP($H24,areaCercaPuntiClassificaSquadra,3,FALSE),-1)=IFERROR(VLOOKUP($AQ24,areaCercaPuntiClassificaSquadra,3,FALSE),-2)),SUMIFS(Dati!$F$2:$F$381,Dati!$A$2:$A$381,$H24,Dati!$H$2:$H$381,$AQ24)+SUMIFS(Dati!$M$2:$M$381,Dati!$H$2:$H$381,$H24,Dati!$A$2:$A$381,$AQ24),"-")</f>
        <v/>
      </c>
      <c r="EB24" s="22">
        <f>IF(AND($H24&lt;&gt;"",$AR24&lt;&gt;"",$H24&lt;&gt;$AR24,IFERROR(VLOOKUP($H24,areaCercaPuntiClassificaSquadra,3,FALSE),-1)=IFERROR(VLOOKUP($AR24,areaCercaPuntiClassificaSquadra,3,FALSE),-2)),SUMIFS(Dati!$F$2:$F$381,Dati!$A$2:$A$381,$H24,Dati!$H$2:$H$381,$AR24)+SUMIFS(Dati!$M$2:$M$381,Dati!$H$2:$H$381,$H24,Dati!$A$2:$A$381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inlineStr">
        <is>
          <t>Orsi Onorevoli-Orsiopoli OE</t>
        </is>
      </c>
      <c r="D25" s="14" t="n"/>
      <c r="E25" s="15" t="inlineStr">
        <is>
          <t>A</t>
        </is>
      </c>
      <c r="G25" s="16">
        <f>IF($C25="","",$E25&amp;(COUNTIFS(I$14:I$53,"&gt;"&amp;I25,E$14:E$53,"="&amp;E25,C$14:C$53,"&lt;&gt;")+COUNTIFS(I$14:I$53,"="&amp;I25,H$14:H$53,"&lt;="&amp;H25,E$14:E$53,"="&amp;E25,C$14:C$53,"&lt;&gt;")))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L25*constPuntiVittoria+M25*constPuntiSconfitta+N25*constPuntiForfait+IF(D25="",0,D25)</f>
        <v/>
      </c>
      <c r="K25" s="12">
        <f>SUM(L25:N25)</f>
        <v/>
      </c>
      <c r="L25" s="12">
        <f>IF($H25="",0,SUMIF(Dati!$A$2:$A$381,$H25,Dati!$B$2:$B$381)+SUMIF(Dati!$H$2:$H$381,$H25,Dati!$I$2:$I$381))</f>
        <v/>
      </c>
      <c r="M25" s="12">
        <f>IF($H25="",0,SUMIF(Dati!$A$2:$A$381,$H25,Dati!$D$2:$D$381)+SUMIF(Dati!$H$2:$H$381,$H25,Dati!$K$2:$K$381))</f>
        <v/>
      </c>
      <c r="N25" s="12">
        <f>IF($H25="",0,SUMIF(Dati!$A$2:$A$381,$H25,Dati!$C$2:$C$381)+SUMIF(Dati!$H$2:$H$381,$H25,Dati!$J$2:$J$381))</f>
        <v/>
      </c>
      <c r="O25" s="12">
        <f>IF($H25="",0,SUMIF(Dati!$A$2:$A$381,$H25,Dati!$E$2:$E$381)+SUMIF(Dati!$H$2:$H$381,$H25,Dati!$L$2:$L$381))</f>
        <v/>
      </c>
      <c r="P25" s="12">
        <f>IF($H25="",0,SUMIF(Dati!$A$2:$A$381,$H25,Dati!$F$2:$F$381)+SUMIF(Dati!$H$2:$H$381,$H25,Dati!$M$2:$M$381))</f>
        <v/>
      </c>
      <c r="Q25" s="12">
        <f>IF($H25="",0,SUMIF(Dati!$A$2:$A$381,$H25,Dati!$G$2:$G$381)+SUMIF(Dati!$H$2:$H$381,$H25,Dati!$N$2:$N$381))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IF(COUNTIFS($E$14:$E$53,$E25,$J$14:$J$53,$J25,$C$14:$C$53,"&lt;&gt;")&lt;=1,"-",SUM(AU25:BN25)&amp;"-"&amp;SUM(BQ25:CJ25))</f>
        <v/>
      </c>
      <c r="V25" s="18">
        <f>IF(COUNTIFS($E$14:$E$53,$E25,$J$14:$J$53,$J25,$C$14:$C$53,"&lt;&gt;",$ED$14:$ED$53,$ED25)&lt;=1,"-",IF(SUM(DI25:EB25)=0,0,ROUND(SUM(CM25:DF25)/SUM(DI25:EB25),3)))</f>
        <v/>
      </c>
      <c r="W25" s="18">
        <f>IF(COUNTIFS($E$14:$E$53,$E25,$J$14:$J$53,$J25,$C$14:$C$53,"&lt;&gt;",$ED$14:$ED$53,$ED25,$V$14:$V$53,$V25)&lt;=1,"-",IF(P25=0,0,ROUND(O25/P25,3)))</f>
        <v/>
      </c>
      <c r="X25" s="19">
        <f>IF($C25="","",$E25&amp;"#"&amp;COUNTIFS($E$14:$E25,$E25,$C$14:$C25,"&lt;&gt;"))</f>
        <v/>
      </c>
      <c r="Y25" s="20">
        <f>IFERROR(INDEX($H$14:$H$53,MATCH($E25&amp;"#1",$X$14:$X$53,0)),"")</f>
        <v/>
      </c>
      <c r="Z25" s="20">
        <f>IFERROR(INDEX($H$14:$H$53,MATCH($E25&amp;"#2",$X$14:$X$53,0)),"")</f>
        <v/>
      </c>
      <c r="AA25" s="20">
        <f>IFERROR(INDEX($H$14:$H$53,MATCH($E25&amp;"#3",$X$14:$X$53,0)),"")</f>
        <v/>
      </c>
      <c r="AB25" s="20">
        <f>IFERROR(INDEX($H$14:$H$53,MATCH($E25&amp;"#4",$X$14:$X$53,0)),"")</f>
        <v/>
      </c>
      <c r="AC25" s="20">
        <f>IFERROR(INDEX($H$14:$H$53,MATCH($E25&amp;"#5",$X$14:$X$53,0)),"")</f>
        <v/>
      </c>
      <c r="AD25" s="20">
        <f>IFERROR(INDEX($H$14:$H$53,MATCH($E25&amp;"#6",$X$14:$X$53,0)),"")</f>
        <v/>
      </c>
      <c r="AE25" s="20">
        <f>IFERROR(INDEX($H$14:$H$53,MATCH($E25&amp;"#7",$X$14:$X$53,0)),"")</f>
        <v/>
      </c>
      <c r="AF25" s="20">
        <f>IFERROR(INDEX($H$14:$H$53,MATCH($E25&amp;"#8",$X$14:$X$53,0)),"")</f>
        <v/>
      </c>
      <c r="AG25" s="20">
        <f>IFERROR(INDEX($H$14:$H$53,MATCH($E25&amp;"#9",$X$14:$X$53,0)),"")</f>
        <v/>
      </c>
      <c r="AH25" s="20">
        <f>IFERROR(INDEX($H$14:$H$53,MATCH($E25&amp;"#10",$X$14:$X$53,0)),"")</f>
        <v/>
      </c>
      <c r="AI25" s="20">
        <f>IFERROR(INDEX($H$14:$H$53,MATCH($E25&amp;"#11",$X$14:$X$53,0)),"")</f>
        <v/>
      </c>
      <c r="AJ25" s="20">
        <f>IFERROR(INDEX($H$14:$H$53,MATCH($E25&amp;"#12",$X$14:$X$53,0)),"")</f>
        <v/>
      </c>
      <c r="AK25" s="20">
        <f>IFERROR(INDEX($H$14:$H$53,MATCH($E25&amp;"#13",$X$14:$X$53,0)),"")</f>
        <v/>
      </c>
      <c r="AL25" s="20">
        <f>IFERROR(INDEX($H$14:$H$53,MATCH($E25&amp;"#14",$X$14:$X$53,0)),"")</f>
        <v/>
      </c>
      <c r="AM25" s="20">
        <f>IFERROR(INDEX($H$14:$H$53,MATCH($E25&amp;"#15",$X$14:$X$53,0)),"")</f>
        <v/>
      </c>
      <c r="AN25" s="20">
        <f>IFERROR(INDEX($H$14:$H$53,MATCH($E25&amp;"#16",$X$14:$X$53,0)),"")</f>
        <v/>
      </c>
      <c r="AO25" s="20">
        <f>IFERROR(INDEX($H$14:$H$53,MATCH($E25&amp;"#17",$X$14:$X$53,0)),"")</f>
        <v/>
      </c>
      <c r="AP25" s="20">
        <f>IFERROR(INDEX($H$14:$H$53,MATCH($E25&amp;"#18",$X$14:$X$53,0)),"")</f>
        <v/>
      </c>
      <c r="AQ25" s="20">
        <f>IFERROR(INDEX($H$14:$H$53,MATCH($E25&amp;"#19",$X$14:$X$53,0)),"")</f>
        <v/>
      </c>
      <c r="AR25" s="20">
        <f>IFERROR(INDEX($H$14:$H$53,MATCH($E25&amp;"#20",$X$14:$X$53,0)),"")</f>
        <v/>
      </c>
      <c r="AT25" s="21">
        <f>$C25</f>
        <v/>
      </c>
      <c r="AU25" s="22">
        <f>IF(AND($H25&lt;&gt;"",$Y25&lt;&gt;"",$H25&lt;&gt;$Y25,IFERROR(VLOOKUP($H25,areaCercaPuntiClassificaSquadra,3,FALSE),-1)=IFERROR(VLOOKUP($Y25,areaCercaPuntiClassificaSquadra,3,FALSE),-2)),SUMIFS(Dati!$B$2:$B$381,Dati!$A$2:$A$381,$H25,Dati!$H$2:$H$381,$Y25)+SUMIFS(Dati!$I$2:$I$381,Dati!$H$2:$H$381,$H25,Dati!$A$2:$A$381,$Y25),"-")</f>
        <v/>
      </c>
      <c r="AV25" s="22">
        <f>IF(AND($H25&lt;&gt;"",$Z25&lt;&gt;"",$H25&lt;&gt;$Z25,IFERROR(VLOOKUP($H25,areaCercaPuntiClassificaSquadra,3,FALSE),-1)=IFERROR(VLOOKUP($Z25,areaCercaPuntiClassificaSquadra,3,FALSE),-2)),SUMIFS(Dati!$B$2:$B$381,Dati!$A$2:$A$381,$H25,Dati!$H$2:$H$381,$Z25)+SUMIFS(Dati!$I$2:$I$381,Dati!$H$2:$H$381,$H25,Dati!$A$2:$A$381,$Z25),"-")</f>
        <v/>
      </c>
      <c r="AW25" s="22">
        <f>IF(AND($H25&lt;&gt;"",$AA25&lt;&gt;"",$H25&lt;&gt;$AA25,IFERROR(VLOOKUP($H25,areaCercaPuntiClassificaSquadra,3,FALSE),-1)=IFERROR(VLOOKUP($AA25,areaCercaPuntiClassificaSquadra,3,FALSE),-2)),SUMIFS(Dati!$B$2:$B$381,Dati!$A$2:$A$381,$H25,Dati!$H$2:$H$381,$AA25)+SUMIFS(Dati!$I$2:$I$381,Dati!$H$2:$H$381,$H25,Dati!$A$2:$A$381,$AA25),"-")</f>
        <v/>
      </c>
      <c r="AX25" s="22">
        <f>IF(AND($H25&lt;&gt;"",$AB25&lt;&gt;"",$H25&lt;&gt;$AB25,IFERROR(VLOOKUP($H25,areaCercaPuntiClassificaSquadra,3,FALSE),-1)=IFERROR(VLOOKUP($AB25,areaCercaPuntiClassificaSquadra,3,FALSE),-2)),SUMIFS(Dati!$B$2:$B$381,Dati!$A$2:$A$381,$H25,Dati!$H$2:$H$381,$AB25)+SUMIFS(Dati!$I$2:$I$381,Dati!$H$2:$H$381,$H25,Dati!$A$2:$A$381,$AB25),"-")</f>
        <v/>
      </c>
      <c r="AY25" s="22">
        <f>IF(AND($H25&lt;&gt;"",$AC25&lt;&gt;"",$H25&lt;&gt;$AC25,IFERROR(VLOOKUP($H25,areaCercaPuntiClassificaSquadra,3,FALSE),-1)=IFERROR(VLOOKUP($AC25,areaCercaPuntiClassificaSquadra,3,FALSE),-2)),SUMIFS(Dati!$B$2:$B$381,Dati!$A$2:$A$381,$H25,Dati!$H$2:$H$381,$AC25)+SUMIFS(Dati!$I$2:$I$381,Dati!$H$2:$H$381,$H25,Dati!$A$2:$A$381,$AC25),"-")</f>
        <v/>
      </c>
      <c r="AZ25" s="22">
        <f>IF(AND($H25&lt;&gt;"",$AD25&lt;&gt;"",$H25&lt;&gt;$AD25,IFERROR(VLOOKUP($H25,areaCercaPuntiClassificaSquadra,3,FALSE),-1)=IFERROR(VLOOKUP($AD25,areaCercaPuntiClassificaSquadra,3,FALSE),-2)),SUMIFS(Dati!$B$2:$B$381,Dati!$A$2:$A$381,$H25,Dati!$H$2:$H$381,$AD25)+SUMIFS(Dati!$I$2:$I$381,Dati!$H$2:$H$381,$H25,Dati!$A$2:$A$381,$AD25),"-")</f>
        <v/>
      </c>
      <c r="BA25" s="22">
        <f>IF(AND($H25&lt;&gt;"",$AE25&lt;&gt;"",$H25&lt;&gt;$AE25,IFERROR(VLOOKUP($H25,areaCercaPuntiClassificaSquadra,3,FALSE),-1)=IFERROR(VLOOKUP($AE25,areaCercaPuntiClassificaSquadra,3,FALSE),-2)),SUMIFS(Dati!$B$2:$B$381,Dati!$A$2:$A$381,$H25,Dati!$H$2:$H$381,$AE25)+SUMIFS(Dati!$I$2:$I$381,Dati!$H$2:$H$381,$H25,Dati!$A$2:$A$381,$AE25),"-")</f>
        <v/>
      </c>
      <c r="BB25" s="22">
        <f>IF(AND($H25&lt;&gt;"",$AF25&lt;&gt;"",$H25&lt;&gt;$AF25,IFERROR(VLOOKUP($H25,areaCercaPuntiClassificaSquadra,3,FALSE),-1)=IFERROR(VLOOKUP($AF25,areaCercaPuntiClassificaSquadra,3,FALSE),-2)),SUMIFS(Dati!$B$2:$B$381,Dati!$A$2:$A$381,$H25,Dati!$H$2:$H$381,$AF25)+SUMIFS(Dati!$I$2:$I$381,Dati!$H$2:$H$381,$H25,Dati!$A$2:$A$381,$AF25),"-")</f>
        <v/>
      </c>
      <c r="BC25" s="22">
        <f>IF(AND($H25&lt;&gt;"",$AG25&lt;&gt;"",$H25&lt;&gt;$AG25,IFERROR(VLOOKUP($H25,areaCercaPuntiClassificaSquadra,3,FALSE),-1)=IFERROR(VLOOKUP($AG25,areaCercaPuntiClassificaSquadra,3,FALSE),-2)),SUMIFS(Dati!$B$2:$B$381,Dati!$A$2:$A$381,$H25,Dati!$H$2:$H$381,$AG25)+SUMIFS(Dati!$I$2:$I$381,Dati!$H$2:$H$381,$H25,Dati!$A$2:$A$381,$AG25),"-")</f>
        <v/>
      </c>
      <c r="BD25" s="22">
        <f>IF(AND($H25&lt;&gt;"",$AH25&lt;&gt;"",$H25&lt;&gt;$AH25,IFERROR(VLOOKUP($H25,areaCercaPuntiClassificaSquadra,3,FALSE),-1)=IFERROR(VLOOKUP($AH25,areaCercaPuntiClassificaSquadra,3,FALSE),-2)),SUMIFS(Dati!$B$2:$B$381,Dati!$A$2:$A$381,$H25,Dati!$H$2:$H$381,$AH25)+SUMIFS(Dati!$I$2:$I$381,Dati!$H$2:$H$381,$H25,Dati!$A$2:$A$381,$AH25),"-")</f>
        <v/>
      </c>
      <c r="BE25" s="22">
        <f>IF(AND($H25&lt;&gt;"",$AI25&lt;&gt;"",$H25&lt;&gt;$AI25,IFERROR(VLOOKUP($H25,areaCercaPuntiClassificaSquadra,3,FALSE),-1)=IFERROR(VLOOKUP($AI25,areaCercaPuntiClassificaSquadra,3,FALSE),-2)),SUMIFS(Dati!$B$2:$B$381,Dati!$A$2:$A$381,$H25,Dati!$H$2:$H$381,$AI25)+SUMIFS(Dati!$I$2:$I$381,Dati!$H$2:$H$381,$H25,Dati!$A$2:$A$381,$AI25),"-")</f>
        <v/>
      </c>
      <c r="BF25" s="22">
        <f>IF(AND($H25&lt;&gt;"",$AJ25&lt;&gt;"",$H25&lt;&gt;$AJ25,IFERROR(VLOOKUP($H25,areaCercaPuntiClassificaSquadra,3,FALSE),-1)=IFERROR(VLOOKUP($AJ25,areaCercaPuntiClassificaSquadra,3,FALSE),-2)),SUMIFS(Dati!$B$2:$B$381,Dati!$A$2:$A$381,$H25,Dati!$H$2:$H$381,$AJ25)+SUMIFS(Dati!$I$2:$I$381,Dati!$H$2:$H$381,$H25,Dati!$A$2:$A$381,$AJ25),"-")</f>
        <v/>
      </c>
      <c r="BG25" s="22">
        <f>IF(AND($H25&lt;&gt;"",$AK25&lt;&gt;"",$H25&lt;&gt;$AK25,IFERROR(VLOOKUP($H25,areaCercaPuntiClassificaSquadra,3,FALSE),-1)=IFERROR(VLOOKUP($AK25,areaCercaPuntiClassificaSquadra,3,FALSE),-2)),SUMIFS(Dati!$B$2:$B$381,Dati!$A$2:$A$381,$H25,Dati!$H$2:$H$381,$AK25)+SUMIFS(Dati!$I$2:$I$381,Dati!$H$2:$H$381,$H25,Dati!$A$2:$A$381,$AK25),"-")</f>
        <v/>
      </c>
      <c r="BH25" s="22">
        <f>IF(AND($H25&lt;&gt;"",$AL25&lt;&gt;"",$H25&lt;&gt;$AL25,IFERROR(VLOOKUP($H25,areaCercaPuntiClassificaSquadra,3,FALSE),-1)=IFERROR(VLOOKUP($AL25,areaCercaPuntiClassificaSquadra,3,FALSE),-2)),SUMIFS(Dati!$B$2:$B$381,Dati!$A$2:$A$381,$H25,Dati!$H$2:$H$381,$AL25)+SUMIFS(Dati!$I$2:$I$381,Dati!$H$2:$H$381,$H25,Dati!$A$2:$A$381,$AL25),"-")</f>
        <v/>
      </c>
      <c r="BI25" s="22">
        <f>IF(AND($H25&lt;&gt;"",$AM25&lt;&gt;"",$H25&lt;&gt;$AM25,IFERROR(VLOOKUP($H25,areaCercaPuntiClassificaSquadra,3,FALSE),-1)=IFERROR(VLOOKUP($AM25,areaCercaPuntiClassificaSquadra,3,FALSE),-2)),SUMIFS(Dati!$B$2:$B$381,Dati!$A$2:$A$381,$H25,Dati!$H$2:$H$381,$AM25)+SUMIFS(Dati!$I$2:$I$381,Dati!$H$2:$H$381,$H25,Dati!$A$2:$A$381,$AM25),"-")</f>
        <v/>
      </c>
      <c r="BJ25" s="22">
        <f>IF(AND($H25&lt;&gt;"",$AN25&lt;&gt;"",$H25&lt;&gt;$AN25,IFERROR(VLOOKUP($H25,areaCercaPuntiClassificaSquadra,3,FALSE),-1)=IFERROR(VLOOKUP($AN25,areaCercaPuntiClassificaSquadra,3,FALSE),-2)),SUMIFS(Dati!$B$2:$B$381,Dati!$A$2:$A$381,$H25,Dati!$H$2:$H$381,$AN25)+SUMIFS(Dati!$I$2:$I$381,Dati!$H$2:$H$381,$H25,Dati!$A$2:$A$381,$AN25),"-")</f>
        <v/>
      </c>
      <c r="BK25" s="22">
        <f>IF(AND($H25&lt;&gt;"",$AO25&lt;&gt;"",$H25&lt;&gt;$AO25,IFERROR(VLOOKUP($H25,areaCercaPuntiClassificaSquadra,3,FALSE),-1)=IFERROR(VLOOKUP($AO25,areaCercaPuntiClassificaSquadra,3,FALSE),-2)),SUMIFS(Dati!$B$2:$B$381,Dati!$A$2:$A$381,$H25,Dati!$H$2:$H$381,$AO25)+SUMIFS(Dati!$I$2:$I$381,Dati!$H$2:$H$381,$H25,Dati!$A$2:$A$381,$AO25),"-")</f>
        <v/>
      </c>
      <c r="BL25" s="22">
        <f>IF(AND($H25&lt;&gt;"",$AP25&lt;&gt;"",$H25&lt;&gt;$AP25,IFERROR(VLOOKUP($H25,areaCercaPuntiClassificaSquadra,3,FALSE),-1)=IFERROR(VLOOKUP($AP25,areaCercaPuntiClassificaSquadra,3,FALSE),-2)),SUMIFS(Dati!$B$2:$B$381,Dati!$A$2:$A$381,$H25,Dati!$H$2:$H$381,$AP25)+SUMIFS(Dati!$I$2:$I$381,Dati!$H$2:$H$381,$H25,Dati!$A$2:$A$381,$AP25),"-")</f>
        <v/>
      </c>
      <c r="BM25" s="22">
        <f>IF(AND($H25&lt;&gt;"",$AQ25&lt;&gt;"",$H25&lt;&gt;$AQ25,IFERROR(VLOOKUP($H25,areaCercaPuntiClassificaSquadra,3,FALSE),-1)=IFERROR(VLOOKUP($AQ25,areaCercaPuntiClassificaSquadra,3,FALSE),-2)),SUMIFS(Dati!$B$2:$B$381,Dati!$A$2:$A$381,$H25,Dati!$H$2:$H$381,$AQ25)+SUMIFS(Dati!$I$2:$I$381,Dati!$H$2:$H$381,$H25,Dati!$A$2:$A$381,$AQ25),"-")</f>
        <v/>
      </c>
      <c r="BN25" s="22">
        <f>IF(AND($H25&lt;&gt;"",$AR25&lt;&gt;"",$H25&lt;&gt;$AR25,IFERROR(VLOOKUP($H25,areaCercaPuntiClassificaSquadra,3,FALSE),-1)=IFERROR(VLOOKUP($AR25,areaCercaPuntiClassificaSquadra,3,FALSE),-2)),SUMIFS(Dati!$B$2:$B$381,Dati!$A$2:$A$381,$H25,Dati!$H$2:$H$381,$AR25)+SUMIFS(Dati!$I$2:$I$381,Dati!$H$2:$H$381,$H25,Dati!$A$2:$A$381,$AR25),"-")</f>
        <v/>
      </c>
      <c r="BP25" s="21">
        <f>$C25</f>
        <v/>
      </c>
      <c r="BQ25" s="22">
        <f>IF(AND($H25&lt;&gt;"",$Y25&lt;&gt;"",$H25&lt;&gt;$Y25,IFERROR(VLOOKUP($H25,areaCercaPuntiClassificaSquadra,3,FALSE),-1)=IFERROR(VLOOKUP($Y25,areaCercaPuntiClassificaSquadra,3,FALSE),-2)),SUMIFS(Dati!$D$2:$D$381,Dati!$A$2:$A$381,$H25,Dati!$H$2:$H$381,$Y25)+SUMIFS(Dati!$K$2:$K$381,Dati!$H$2:$H$381,$H25,Dati!$A$2:$A$381,$Y25)+SUMIFS(Dati!$C$2:$C$381,Dati!$A$2:$A$381,$H25,Dati!$H$2:$H$381,$Y25)+SUMIFS(Dati!$J$2:$J$381,Dati!$H$2:$H$381,$H25,Dati!$A$2:$A$381,$Y25),"-")</f>
        <v/>
      </c>
      <c r="BR25" s="22">
        <f>IF(AND($H25&lt;&gt;"",$Z25&lt;&gt;"",$H25&lt;&gt;$Z25,IFERROR(VLOOKUP($H25,areaCercaPuntiClassificaSquadra,3,FALSE),-1)=IFERROR(VLOOKUP($Z25,areaCercaPuntiClassificaSquadra,3,FALSE),-2)),SUMIFS(Dati!$D$2:$D$381,Dati!$A$2:$A$381,$H25,Dati!$H$2:$H$381,$Z25)+SUMIFS(Dati!$K$2:$K$381,Dati!$H$2:$H$381,$H25,Dati!$A$2:$A$381,$Z25)+SUMIFS(Dati!$C$2:$C$381,Dati!$A$2:$A$381,$H25,Dati!$H$2:$H$381,$Z25)+SUMIFS(Dati!$J$2:$J$381,Dati!$H$2:$H$381,$H25,Dati!$A$2:$A$381,$Z25),"-")</f>
        <v/>
      </c>
      <c r="BS25" s="22">
        <f>IF(AND($H25&lt;&gt;"",$AA25&lt;&gt;"",$H25&lt;&gt;$AA25,IFERROR(VLOOKUP($H25,areaCercaPuntiClassificaSquadra,3,FALSE),-1)=IFERROR(VLOOKUP($AA25,areaCercaPuntiClassificaSquadra,3,FALSE),-2)),SUMIFS(Dati!$D$2:$D$381,Dati!$A$2:$A$381,$H25,Dati!$H$2:$H$381,$AA25)+SUMIFS(Dati!$K$2:$K$381,Dati!$H$2:$H$381,$H25,Dati!$A$2:$A$381,$AA25)+SUMIFS(Dati!$C$2:$C$381,Dati!$A$2:$A$381,$H25,Dati!$H$2:$H$381,$AA25)+SUMIFS(Dati!$J$2:$J$381,Dati!$H$2:$H$381,$H25,Dati!$A$2:$A$381,$AA25),"-")</f>
        <v/>
      </c>
      <c r="BT25" s="22">
        <f>IF(AND($H25&lt;&gt;"",$AB25&lt;&gt;"",$H25&lt;&gt;$AB25,IFERROR(VLOOKUP($H25,areaCercaPuntiClassificaSquadra,3,FALSE),-1)=IFERROR(VLOOKUP($AB25,areaCercaPuntiClassificaSquadra,3,FALSE),-2)),SUMIFS(Dati!$D$2:$D$381,Dati!$A$2:$A$381,$H25,Dati!$H$2:$H$381,$AB25)+SUMIFS(Dati!$K$2:$K$381,Dati!$H$2:$H$381,$H25,Dati!$A$2:$A$381,$AB25)+SUMIFS(Dati!$C$2:$C$381,Dati!$A$2:$A$381,$H25,Dati!$H$2:$H$381,$AB25)+SUMIFS(Dati!$J$2:$J$381,Dati!$H$2:$H$381,$H25,Dati!$A$2:$A$381,$AB25),"-")</f>
        <v/>
      </c>
      <c r="BU25" s="22">
        <f>IF(AND($H25&lt;&gt;"",$AC25&lt;&gt;"",$H25&lt;&gt;$AC25,IFERROR(VLOOKUP($H25,areaCercaPuntiClassificaSquadra,3,FALSE),-1)=IFERROR(VLOOKUP($AC25,areaCercaPuntiClassificaSquadra,3,FALSE),-2)),SUMIFS(Dati!$D$2:$D$381,Dati!$A$2:$A$381,$H25,Dati!$H$2:$H$381,$AC25)+SUMIFS(Dati!$K$2:$K$381,Dati!$H$2:$H$381,$H25,Dati!$A$2:$A$381,$AC25)+SUMIFS(Dati!$C$2:$C$381,Dati!$A$2:$A$381,$H25,Dati!$H$2:$H$381,$AC25)+SUMIFS(Dati!$J$2:$J$381,Dati!$H$2:$H$381,$H25,Dati!$A$2:$A$381,$AC25),"-")</f>
        <v/>
      </c>
      <c r="BV25" s="22">
        <f>IF(AND($H25&lt;&gt;"",$AD25&lt;&gt;"",$H25&lt;&gt;$AD25,IFERROR(VLOOKUP($H25,areaCercaPuntiClassificaSquadra,3,FALSE),-1)=IFERROR(VLOOKUP($AD25,areaCercaPuntiClassificaSquadra,3,FALSE),-2)),SUMIFS(Dati!$D$2:$D$381,Dati!$A$2:$A$381,$H25,Dati!$H$2:$H$381,$AD25)+SUMIFS(Dati!$K$2:$K$381,Dati!$H$2:$H$381,$H25,Dati!$A$2:$A$381,$AD25)+SUMIFS(Dati!$C$2:$C$381,Dati!$A$2:$A$381,$H25,Dati!$H$2:$H$381,$AD25)+SUMIFS(Dati!$J$2:$J$381,Dati!$H$2:$H$381,$H25,Dati!$A$2:$A$381,$AD25),"-")</f>
        <v/>
      </c>
      <c r="BW25" s="22">
        <f>IF(AND($H25&lt;&gt;"",$AE25&lt;&gt;"",$H25&lt;&gt;$AE25,IFERROR(VLOOKUP($H25,areaCercaPuntiClassificaSquadra,3,FALSE),-1)=IFERROR(VLOOKUP($AE25,areaCercaPuntiClassificaSquadra,3,FALSE),-2)),SUMIFS(Dati!$D$2:$D$381,Dati!$A$2:$A$381,$H25,Dati!$H$2:$H$381,$AE25)+SUMIFS(Dati!$K$2:$K$381,Dati!$H$2:$H$381,$H25,Dati!$A$2:$A$381,$AE25)+SUMIFS(Dati!$C$2:$C$381,Dati!$A$2:$A$381,$H25,Dati!$H$2:$H$381,$AE25)+SUMIFS(Dati!$J$2:$J$381,Dati!$H$2:$H$381,$H25,Dati!$A$2:$A$381,$AE25),"-")</f>
        <v/>
      </c>
      <c r="BX25" s="22">
        <f>IF(AND($H25&lt;&gt;"",$AF25&lt;&gt;"",$H25&lt;&gt;$AF25,IFERROR(VLOOKUP($H25,areaCercaPuntiClassificaSquadra,3,FALSE),-1)=IFERROR(VLOOKUP($AF25,areaCercaPuntiClassificaSquadra,3,FALSE),-2)),SUMIFS(Dati!$D$2:$D$381,Dati!$A$2:$A$381,$H25,Dati!$H$2:$H$381,$AF25)+SUMIFS(Dati!$K$2:$K$381,Dati!$H$2:$H$381,$H25,Dati!$A$2:$A$381,$AF25)+SUMIFS(Dati!$C$2:$C$381,Dati!$A$2:$A$381,$H25,Dati!$H$2:$H$381,$AF25)+SUMIFS(Dati!$J$2:$J$381,Dati!$H$2:$H$381,$H25,Dati!$A$2:$A$381,$AF25),"-")</f>
        <v/>
      </c>
      <c r="BY25" s="22">
        <f>IF(AND($H25&lt;&gt;"",$AG25&lt;&gt;"",$H25&lt;&gt;$AG25,IFERROR(VLOOKUP($H25,areaCercaPuntiClassificaSquadra,3,FALSE),-1)=IFERROR(VLOOKUP($AG25,areaCercaPuntiClassificaSquadra,3,FALSE),-2)),SUMIFS(Dati!$D$2:$D$381,Dati!$A$2:$A$381,$H25,Dati!$H$2:$H$381,$AG25)+SUMIFS(Dati!$K$2:$K$381,Dati!$H$2:$H$381,$H25,Dati!$A$2:$A$381,$AG25)+SUMIFS(Dati!$C$2:$C$381,Dati!$A$2:$A$381,$H25,Dati!$H$2:$H$381,$AG25)+SUMIFS(Dati!$J$2:$J$381,Dati!$H$2:$H$381,$H25,Dati!$A$2:$A$381,$AG25),"-")</f>
        <v/>
      </c>
      <c r="BZ25" s="22">
        <f>IF(AND($H25&lt;&gt;"",$AH25&lt;&gt;"",$H25&lt;&gt;$AH25,IFERROR(VLOOKUP($H25,areaCercaPuntiClassificaSquadra,3,FALSE),-1)=IFERROR(VLOOKUP($AH25,areaCercaPuntiClassificaSquadra,3,FALSE),-2)),SUMIFS(Dati!$D$2:$D$381,Dati!$A$2:$A$381,$H25,Dati!$H$2:$H$381,$AH25)+SUMIFS(Dati!$K$2:$K$381,Dati!$H$2:$H$381,$H25,Dati!$A$2:$A$381,$AH25)+SUMIFS(Dati!$C$2:$C$381,Dati!$A$2:$A$381,$H25,Dati!$H$2:$H$381,$AH25)+SUMIFS(Dati!$J$2:$J$381,Dati!$H$2:$H$381,$H25,Dati!$A$2:$A$381,$AH25),"-")</f>
        <v/>
      </c>
      <c r="CA25" s="22">
        <f>IF(AND($H25&lt;&gt;"",$AI25&lt;&gt;"",$H25&lt;&gt;$AI25,IFERROR(VLOOKUP($H25,areaCercaPuntiClassificaSquadra,3,FALSE),-1)=IFERROR(VLOOKUP($AI25,areaCercaPuntiClassificaSquadra,3,FALSE),-2)),SUMIFS(Dati!$D$2:$D$381,Dati!$A$2:$A$381,$H25,Dati!$H$2:$H$381,$AI25)+SUMIFS(Dati!$K$2:$K$381,Dati!$H$2:$H$381,$H25,Dati!$A$2:$A$381,$AI25)+SUMIFS(Dati!$C$2:$C$381,Dati!$A$2:$A$381,$H25,Dati!$H$2:$H$381,$AI25)+SUMIFS(Dati!$J$2:$J$381,Dati!$H$2:$H$381,$H25,Dati!$A$2:$A$381,$AI25),"-")</f>
        <v/>
      </c>
      <c r="CB25" s="22">
        <f>IF(AND($H25&lt;&gt;"",$AJ25&lt;&gt;"",$H25&lt;&gt;$AJ25,IFERROR(VLOOKUP($H25,areaCercaPuntiClassificaSquadra,3,FALSE),-1)=IFERROR(VLOOKUP($AJ25,areaCercaPuntiClassificaSquadra,3,FALSE),-2)),SUMIFS(Dati!$D$2:$D$381,Dati!$A$2:$A$381,$H25,Dati!$H$2:$H$381,$AJ25)+SUMIFS(Dati!$K$2:$K$381,Dati!$H$2:$H$381,$H25,Dati!$A$2:$A$381,$AJ25)+SUMIFS(Dati!$C$2:$C$381,Dati!$A$2:$A$381,$H25,Dati!$H$2:$H$381,$AJ25)+SUMIFS(Dati!$J$2:$J$381,Dati!$H$2:$H$381,$H25,Dati!$A$2:$A$381,$AJ25),"-")</f>
        <v/>
      </c>
      <c r="CC25" s="22">
        <f>IF(AND($H25&lt;&gt;"",$AK25&lt;&gt;"",$H25&lt;&gt;$AK25,IFERROR(VLOOKUP($H25,areaCercaPuntiClassificaSquadra,3,FALSE),-1)=IFERROR(VLOOKUP($AK25,areaCercaPuntiClassificaSquadra,3,FALSE),-2)),SUMIFS(Dati!$D$2:$D$381,Dati!$A$2:$A$381,$H25,Dati!$H$2:$H$381,$AK25)+SUMIFS(Dati!$K$2:$K$381,Dati!$H$2:$H$381,$H25,Dati!$A$2:$A$381,$AK25)+SUMIFS(Dati!$C$2:$C$381,Dati!$A$2:$A$381,$H25,Dati!$H$2:$H$381,$AK25)+SUMIFS(Dati!$J$2:$J$381,Dati!$H$2:$H$381,$H25,Dati!$A$2:$A$381,$AK25),"-")</f>
        <v/>
      </c>
      <c r="CD25" s="22">
        <f>IF(AND($H25&lt;&gt;"",$AL25&lt;&gt;"",$H25&lt;&gt;$AL25,IFERROR(VLOOKUP($H25,areaCercaPuntiClassificaSquadra,3,FALSE),-1)=IFERROR(VLOOKUP($AL25,areaCercaPuntiClassificaSquadra,3,FALSE),-2)),SUMIFS(Dati!$D$2:$D$381,Dati!$A$2:$A$381,$H25,Dati!$H$2:$H$381,$AL25)+SUMIFS(Dati!$K$2:$K$381,Dati!$H$2:$H$381,$H25,Dati!$A$2:$A$381,$AL25)+SUMIFS(Dati!$C$2:$C$381,Dati!$A$2:$A$381,$H25,Dati!$H$2:$H$381,$AL25)+SUMIFS(Dati!$J$2:$J$381,Dati!$H$2:$H$381,$H25,Dati!$A$2:$A$381,$AL25),"-")</f>
        <v/>
      </c>
      <c r="CE25" s="22">
        <f>IF(AND($H25&lt;&gt;"",$AM25&lt;&gt;"",$H25&lt;&gt;$AM25,IFERROR(VLOOKUP($H25,areaCercaPuntiClassificaSquadra,3,FALSE),-1)=IFERROR(VLOOKUP($AM25,areaCercaPuntiClassificaSquadra,3,FALSE),-2)),SUMIFS(Dati!$D$2:$D$381,Dati!$A$2:$A$381,$H25,Dati!$H$2:$H$381,$AM25)+SUMIFS(Dati!$K$2:$K$381,Dati!$H$2:$H$381,$H25,Dati!$A$2:$A$381,$AM25)+SUMIFS(Dati!$C$2:$C$381,Dati!$A$2:$A$381,$H25,Dati!$H$2:$H$381,$AM25)+SUMIFS(Dati!$J$2:$J$381,Dati!$H$2:$H$381,$H25,Dati!$A$2:$A$381,$AM25),"-")</f>
        <v/>
      </c>
      <c r="CF25" s="22">
        <f>IF(AND($H25&lt;&gt;"",$AN25&lt;&gt;"",$H25&lt;&gt;$AN25,IFERROR(VLOOKUP($H25,areaCercaPuntiClassificaSquadra,3,FALSE),-1)=IFERROR(VLOOKUP($AN25,areaCercaPuntiClassificaSquadra,3,FALSE),-2)),SUMIFS(Dati!$D$2:$D$381,Dati!$A$2:$A$381,$H25,Dati!$H$2:$H$381,$AN25)+SUMIFS(Dati!$K$2:$K$381,Dati!$H$2:$H$381,$H25,Dati!$A$2:$A$381,$AN25)+SUMIFS(Dati!$C$2:$C$381,Dati!$A$2:$A$381,$H25,Dati!$H$2:$H$381,$AN25)+SUMIFS(Dati!$J$2:$J$381,Dati!$H$2:$H$381,$H25,Dati!$A$2:$A$381,$AN25),"-")</f>
        <v/>
      </c>
      <c r="CG25" s="22">
        <f>IF(AND($H25&lt;&gt;"",$AO25&lt;&gt;"",$H25&lt;&gt;$AO25,IFERROR(VLOOKUP($H25,areaCercaPuntiClassificaSquadra,3,FALSE),-1)=IFERROR(VLOOKUP($AO25,areaCercaPuntiClassificaSquadra,3,FALSE),-2)),SUMIFS(Dati!$D$2:$D$381,Dati!$A$2:$A$381,$H25,Dati!$H$2:$H$381,$AO25)+SUMIFS(Dati!$K$2:$K$381,Dati!$H$2:$H$381,$H25,Dati!$A$2:$A$381,$AO25)+SUMIFS(Dati!$C$2:$C$381,Dati!$A$2:$A$381,$H25,Dati!$H$2:$H$381,$AO25)+SUMIFS(Dati!$J$2:$J$381,Dati!$H$2:$H$381,$H25,Dati!$A$2:$A$381,$AO25),"-")</f>
        <v/>
      </c>
      <c r="CH25" s="22">
        <f>IF(AND($H25&lt;&gt;"",$AP25&lt;&gt;"",$H25&lt;&gt;$AP25,IFERROR(VLOOKUP($H25,areaCercaPuntiClassificaSquadra,3,FALSE),-1)=IFERROR(VLOOKUP($AP25,areaCercaPuntiClassificaSquadra,3,FALSE),-2)),SUMIFS(Dati!$D$2:$D$381,Dati!$A$2:$A$381,$H25,Dati!$H$2:$H$381,$AP25)+SUMIFS(Dati!$K$2:$K$381,Dati!$H$2:$H$381,$H25,Dati!$A$2:$A$381,$AP25)+SUMIFS(Dati!$C$2:$C$381,Dati!$A$2:$A$381,$H25,Dati!$H$2:$H$381,$AP25)+SUMIFS(Dati!$J$2:$J$381,Dati!$H$2:$H$381,$H25,Dati!$A$2:$A$381,$AP25),"-")</f>
        <v/>
      </c>
      <c r="CI25" s="22">
        <f>IF(AND($H25&lt;&gt;"",$AQ25&lt;&gt;"",$H25&lt;&gt;$AQ25,IFERROR(VLOOKUP($H25,areaCercaPuntiClassificaSquadra,3,FALSE),-1)=IFERROR(VLOOKUP($AQ25,areaCercaPuntiClassificaSquadra,3,FALSE),-2)),SUMIFS(Dati!$D$2:$D$381,Dati!$A$2:$A$381,$H25,Dati!$H$2:$H$381,$AQ25)+SUMIFS(Dati!$K$2:$K$381,Dati!$H$2:$H$381,$H25,Dati!$A$2:$A$381,$AQ25)+SUMIFS(Dati!$C$2:$C$381,Dati!$A$2:$A$381,$H25,Dati!$H$2:$H$381,$AQ25)+SUMIFS(Dati!$J$2:$J$381,Dati!$H$2:$H$381,$H25,Dati!$A$2:$A$381,$AQ25),"-")</f>
        <v/>
      </c>
      <c r="CJ25" s="22">
        <f>IF(AND($H25&lt;&gt;"",$AR25&lt;&gt;"",$H25&lt;&gt;$AR25,IFERROR(VLOOKUP($H25,areaCercaPuntiClassificaSquadra,3,FALSE),-1)=IFERROR(VLOOKUP($AR25,areaCercaPuntiClassificaSquadra,3,FALSE),-2)),SUMIFS(Dati!$D$2:$D$381,Dati!$A$2:$A$381,$H25,Dati!$H$2:$H$381,$AR25)+SUMIFS(Dati!$K$2:$K$381,Dati!$H$2:$H$381,$H25,Dati!$A$2:$A$381,$AR25)+SUMIFS(Dati!$C$2:$C$381,Dati!$A$2:$A$381,$H25,Dati!$H$2:$H$381,$AR25)+SUMIFS(Dati!$J$2:$J$381,Dati!$H$2:$H$381,$H25,Dati!$A$2:$A$381,$AR25),"-")</f>
        <v/>
      </c>
      <c r="CL25" s="21">
        <f>$C25</f>
        <v/>
      </c>
      <c r="CM25" s="22">
        <f>IF(AND($H25&lt;&gt;"",$Y25&lt;&gt;"",$H25&lt;&gt;$Y25,IFERROR(VLOOKUP($H25,areaCercaPuntiClassificaSquadra,3,FALSE),-1)=IFERROR(VLOOKUP($Y25,areaCercaPuntiClassificaSquadra,3,FALSE),-2)),SUMIFS(Dati!$E$2:$E$381,Dati!$A$2:$A$381,$H25,Dati!$H$2:$H$381,$Y25)+SUMIFS(Dati!$L$2:$L$381,Dati!$H$2:$H$381,$H25,Dati!$A$2:$A$381,$Y25),"-")</f>
        <v/>
      </c>
      <c r="CN25" s="22">
        <f>IF(AND($H25&lt;&gt;"",$Z25&lt;&gt;"",$H25&lt;&gt;$Z25,IFERROR(VLOOKUP($H25,areaCercaPuntiClassificaSquadra,3,FALSE),-1)=IFERROR(VLOOKUP($Z25,areaCercaPuntiClassificaSquadra,3,FALSE),-2)),SUMIFS(Dati!$E$2:$E$381,Dati!$A$2:$A$381,$H25,Dati!$H$2:$H$381,$Z25)+SUMIFS(Dati!$L$2:$L$381,Dati!$H$2:$H$381,$H25,Dati!$A$2:$A$381,$Z25),"-")</f>
        <v/>
      </c>
      <c r="CO25" s="22">
        <f>IF(AND($H25&lt;&gt;"",$AA25&lt;&gt;"",$H25&lt;&gt;$AA25,IFERROR(VLOOKUP($H25,areaCercaPuntiClassificaSquadra,3,FALSE),-1)=IFERROR(VLOOKUP($AA25,areaCercaPuntiClassificaSquadra,3,FALSE),-2)),SUMIFS(Dati!$E$2:$E$381,Dati!$A$2:$A$381,$H25,Dati!$H$2:$H$381,$AA25)+SUMIFS(Dati!$L$2:$L$381,Dati!$H$2:$H$381,$H25,Dati!$A$2:$A$381,$AA25),"-")</f>
        <v/>
      </c>
      <c r="CP25" s="22">
        <f>IF(AND($H25&lt;&gt;"",$AB25&lt;&gt;"",$H25&lt;&gt;$AB25,IFERROR(VLOOKUP($H25,areaCercaPuntiClassificaSquadra,3,FALSE),-1)=IFERROR(VLOOKUP($AB25,areaCercaPuntiClassificaSquadra,3,FALSE),-2)),SUMIFS(Dati!$E$2:$E$381,Dati!$A$2:$A$381,$H25,Dati!$H$2:$H$381,$AB25)+SUMIFS(Dati!$L$2:$L$381,Dati!$H$2:$H$381,$H25,Dati!$A$2:$A$381,$AB25),"-")</f>
        <v/>
      </c>
      <c r="CQ25" s="22">
        <f>IF(AND($H25&lt;&gt;"",$AC25&lt;&gt;"",$H25&lt;&gt;$AC25,IFERROR(VLOOKUP($H25,areaCercaPuntiClassificaSquadra,3,FALSE),-1)=IFERROR(VLOOKUP($AC25,areaCercaPuntiClassificaSquadra,3,FALSE),-2)),SUMIFS(Dati!$E$2:$E$381,Dati!$A$2:$A$381,$H25,Dati!$H$2:$H$381,$AC25)+SUMIFS(Dati!$L$2:$L$381,Dati!$H$2:$H$381,$H25,Dati!$A$2:$A$381,$AC25),"-")</f>
        <v/>
      </c>
      <c r="CR25" s="22">
        <f>IF(AND($H25&lt;&gt;"",$AD25&lt;&gt;"",$H25&lt;&gt;$AD25,IFERROR(VLOOKUP($H25,areaCercaPuntiClassificaSquadra,3,FALSE),-1)=IFERROR(VLOOKUP($AD25,areaCercaPuntiClassificaSquadra,3,FALSE),-2)),SUMIFS(Dati!$E$2:$E$381,Dati!$A$2:$A$381,$H25,Dati!$H$2:$H$381,$AD25)+SUMIFS(Dati!$L$2:$L$381,Dati!$H$2:$H$381,$H25,Dati!$A$2:$A$381,$AD25),"-")</f>
        <v/>
      </c>
      <c r="CS25" s="22">
        <f>IF(AND($H25&lt;&gt;"",$AE25&lt;&gt;"",$H25&lt;&gt;$AE25,IFERROR(VLOOKUP($H25,areaCercaPuntiClassificaSquadra,3,FALSE),-1)=IFERROR(VLOOKUP($AE25,areaCercaPuntiClassificaSquadra,3,FALSE),-2)),SUMIFS(Dati!$E$2:$E$381,Dati!$A$2:$A$381,$H25,Dati!$H$2:$H$381,$AE25)+SUMIFS(Dati!$L$2:$L$381,Dati!$H$2:$H$381,$H25,Dati!$A$2:$A$381,$AE25),"-")</f>
        <v/>
      </c>
      <c r="CT25" s="22">
        <f>IF(AND($H25&lt;&gt;"",$AF25&lt;&gt;"",$H25&lt;&gt;$AF25,IFERROR(VLOOKUP($H25,areaCercaPuntiClassificaSquadra,3,FALSE),-1)=IFERROR(VLOOKUP($AF25,areaCercaPuntiClassificaSquadra,3,FALSE),-2)),SUMIFS(Dati!$E$2:$E$381,Dati!$A$2:$A$381,$H25,Dati!$H$2:$H$381,$AF25)+SUMIFS(Dati!$L$2:$L$381,Dati!$H$2:$H$381,$H25,Dati!$A$2:$A$381,$AF25),"-")</f>
        <v/>
      </c>
      <c r="CU25" s="22">
        <f>IF(AND($H25&lt;&gt;"",$AG25&lt;&gt;"",$H25&lt;&gt;$AG25,IFERROR(VLOOKUP($H25,areaCercaPuntiClassificaSquadra,3,FALSE),-1)=IFERROR(VLOOKUP($AG25,areaCercaPuntiClassificaSquadra,3,FALSE),-2)),SUMIFS(Dati!$E$2:$E$381,Dati!$A$2:$A$381,$H25,Dati!$H$2:$H$381,$AG25)+SUMIFS(Dati!$L$2:$L$381,Dati!$H$2:$H$381,$H25,Dati!$A$2:$A$381,$AG25),"-")</f>
        <v/>
      </c>
      <c r="CV25" s="22">
        <f>IF(AND($H25&lt;&gt;"",$AH25&lt;&gt;"",$H25&lt;&gt;$AH25,IFERROR(VLOOKUP($H25,areaCercaPuntiClassificaSquadra,3,FALSE),-1)=IFERROR(VLOOKUP($AH25,areaCercaPuntiClassificaSquadra,3,FALSE),-2)),SUMIFS(Dati!$E$2:$E$381,Dati!$A$2:$A$381,$H25,Dati!$H$2:$H$381,$AH25)+SUMIFS(Dati!$L$2:$L$381,Dati!$H$2:$H$381,$H25,Dati!$A$2:$A$381,$AH25),"-")</f>
        <v/>
      </c>
      <c r="CW25" s="22">
        <f>IF(AND($H25&lt;&gt;"",$AI25&lt;&gt;"",$H25&lt;&gt;$AI25,IFERROR(VLOOKUP($H25,areaCercaPuntiClassificaSquadra,3,FALSE),-1)=IFERROR(VLOOKUP($AI25,areaCercaPuntiClassificaSquadra,3,FALSE),-2)),SUMIFS(Dati!$E$2:$E$381,Dati!$A$2:$A$381,$H25,Dati!$H$2:$H$381,$AI25)+SUMIFS(Dati!$L$2:$L$381,Dati!$H$2:$H$381,$H25,Dati!$A$2:$A$381,$AI25),"-")</f>
        <v/>
      </c>
      <c r="CX25" s="22">
        <f>IF(AND($H25&lt;&gt;"",$AJ25&lt;&gt;"",$H25&lt;&gt;$AJ25,IFERROR(VLOOKUP($H25,areaCercaPuntiClassificaSquadra,3,FALSE),-1)=IFERROR(VLOOKUP($AJ25,areaCercaPuntiClassificaSquadra,3,FALSE),-2)),SUMIFS(Dati!$E$2:$E$381,Dati!$A$2:$A$381,$H25,Dati!$H$2:$H$381,$AJ25)+SUMIFS(Dati!$L$2:$L$381,Dati!$H$2:$H$381,$H25,Dati!$A$2:$A$381,$AJ25),"-")</f>
        <v/>
      </c>
      <c r="CY25" s="22">
        <f>IF(AND($H25&lt;&gt;"",$AK25&lt;&gt;"",$H25&lt;&gt;$AK25,IFERROR(VLOOKUP($H25,areaCercaPuntiClassificaSquadra,3,FALSE),-1)=IFERROR(VLOOKUP($AK25,areaCercaPuntiClassificaSquadra,3,FALSE),-2)),SUMIFS(Dati!$E$2:$E$381,Dati!$A$2:$A$381,$H25,Dati!$H$2:$H$381,$AK25)+SUMIFS(Dati!$L$2:$L$381,Dati!$H$2:$H$381,$H25,Dati!$A$2:$A$381,$AK25),"-")</f>
        <v/>
      </c>
      <c r="CZ25" s="22">
        <f>IF(AND($H25&lt;&gt;"",$AL25&lt;&gt;"",$H25&lt;&gt;$AL25,IFERROR(VLOOKUP($H25,areaCercaPuntiClassificaSquadra,3,FALSE),-1)=IFERROR(VLOOKUP($AL25,areaCercaPuntiClassificaSquadra,3,FALSE),-2)),SUMIFS(Dati!$E$2:$E$381,Dati!$A$2:$A$381,$H25,Dati!$H$2:$H$381,$AL25)+SUMIFS(Dati!$L$2:$L$381,Dati!$H$2:$H$381,$H25,Dati!$A$2:$A$381,$AL25),"-")</f>
        <v/>
      </c>
      <c r="DA25" s="22">
        <f>IF(AND($H25&lt;&gt;"",$AM25&lt;&gt;"",$H25&lt;&gt;$AM25,IFERROR(VLOOKUP($H25,areaCercaPuntiClassificaSquadra,3,FALSE),-1)=IFERROR(VLOOKUP($AM25,areaCercaPuntiClassificaSquadra,3,FALSE),-2)),SUMIFS(Dati!$E$2:$E$381,Dati!$A$2:$A$381,$H25,Dati!$H$2:$H$381,$AM25)+SUMIFS(Dati!$L$2:$L$381,Dati!$H$2:$H$381,$H25,Dati!$A$2:$A$381,$AM25),"-")</f>
        <v/>
      </c>
      <c r="DB25" s="22">
        <f>IF(AND($H25&lt;&gt;"",$AN25&lt;&gt;"",$H25&lt;&gt;$AN25,IFERROR(VLOOKUP($H25,areaCercaPuntiClassificaSquadra,3,FALSE),-1)=IFERROR(VLOOKUP($AN25,areaCercaPuntiClassificaSquadra,3,FALSE),-2)),SUMIFS(Dati!$E$2:$E$381,Dati!$A$2:$A$381,$H25,Dati!$H$2:$H$381,$AN25)+SUMIFS(Dati!$L$2:$L$381,Dati!$H$2:$H$381,$H25,Dati!$A$2:$A$381,$AN25),"-")</f>
        <v/>
      </c>
      <c r="DC25" s="22">
        <f>IF(AND($H25&lt;&gt;"",$AO25&lt;&gt;"",$H25&lt;&gt;$AO25,IFERROR(VLOOKUP($H25,areaCercaPuntiClassificaSquadra,3,FALSE),-1)=IFERROR(VLOOKUP($AO25,areaCercaPuntiClassificaSquadra,3,FALSE),-2)),SUMIFS(Dati!$E$2:$E$381,Dati!$A$2:$A$381,$H25,Dati!$H$2:$H$381,$AO25)+SUMIFS(Dati!$L$2:$L$381,Dati!$H$2:$H$381,$H25,Dati!$A$2:$A$381,$AO25),"-")</f>
        <v/>
      </c>
      <c r="DD25" s="22">
        <f>IF(AND($H25&lt;&gt;"",$AP25&lt;&gt;"",$H25&lt;&gt;$AP25,IFERROR(VLOOKUP($H25,areaCercaPuntiClassificaSquadra,3,FALSE),-1)=IFERROR(VLOOKUP($AP25,areaCercaPuntiClassificaSquadra,3,FALSE),-2)),SUMIFS(Dati!$E$2:$E$381,Dati!$A$2:$A$381,$H25,Dati!$H$2:$H$381,$AP25)+SUMIFS(Dati!$L$2:$L$381,Dati!$H$2:$H$381,$H25,Dati!$A$2:$A$381,$AP25),"-")</f>
        <v/>
      </c>
      <c r="DE25" s="22">
        <f>IF(AND($H25&lt;&gt;"",$AQ25&lt;&gt;"",$H25&lt;&gt;$AQ25,IFERROR(VLOOKUP($H25,areaCercaPuntiClassificaSquadra,3,FALSE),-1)=IFERROR(VLOOKUP($AQ25,areaCercaPuntiClassificaSquadra,3,FALSE),-2)),SUMIFS(Dati!$E$2:$E$381,Dati!$A$2:$A$381,$H25,Dati!$H$2:$H$381,$AQ25)+SUMIFS(Dati!$L$2:$L$381,Dati!$H$2:$H$381,$H25,Dati!$A$2:$A$381,$AQ25),"-")</f>
        <v/>
      </c>
      <c r="DF25" s="22">
        <f>IF(AND($H25&lt;&gt;"",$AR25&lt;&gt;"",$H25&lt;&gt;$AR25,IFERROR(VLOOKUP($H25,areaCercaPuntiClassificaSquadra,3,FALSE),-1)=IFERROR(VLOOKUP($AR25,areaCercaPuntiClassificaSquadra,3,FALSE),-2)),SUMIFS(Dati!$E$2:$E$381,Dati!$A$2:$A$381,$H25,Dati!$H$2:$H$381,$AR25)+SUMIFS(Dati!$L$2:$L$381,Dati!$H$2:$H$381,$H25,Dati!$A$2:$A$381,$AR25),"-")</f>
        <v/>
      </c>
      <c r="DH25" s="21">
        <f>$C25</f>
        <v/>
      </c>
      <c r="DI25" s="22">
        <f>IF(AND($H25&lt;&gt;"",$Y25&lt;&gt;"",$H25&lt;&gt;$Y25,IFERROR(VLOOKUP($H25,areaCercaPuntiClassificaSquadra,3,FALSE),-1)=IFERROR(VLOOKUP($Y25,areaCercaPuntiClassificaSquadra,3,FALSE),-2)),SUMIFS(Dati!$F$2:$F$381,Dati!$A$2:$A$381,$H25,Dati!$H$2:$H$381,$Y25)+SUMIFS(Dati!$M$2:$M$381,Dati!$H$2:$H$381,$H25,Dati!$A$2:$A$381,$Y25),"-")</f>
        <v/>
      </c>
      <c r="DJ25" s="22">
        <f>IF(AND($H25&lt;&gt;"",$Z25&lt;&gt;"",$H25&lt;&gt;$Z25,IFERROR(VLOOKUP($H25,areaCercaPuntiClassificaSquadra,3,FALSE),-1)=IFERROR(VLOOKUP($Z25,areaCercaPuntiClassificaSquadra,3,FALSE),-2)),SUMIFS(Dati!$F$2:$F$381,Dati!$A$2:$A$381,$H25,Dati!$H$2:$H$381,$Z25)+SUMIFS(Dati!$M$2:$M$381,Dati!$H$2:$H$381,$H25,Dati!$A$2:$A$381,$Z25),"-")</f>
        <v/>
      </c>
      <c r="DK25" s="22">
        <f>IF(AND($H25&lt;&gt;"",$AA25&lt;&gt;"",$H25&lt;&gt;$AA25,IFERROR(VLOOKUP($H25,areaCercaPuntiClassificaSquadra,3,FALSE),-1)=IFERROR(VLOOKUP($AA25,areaCercaPuntiClassificaSquadra,3,FALSE),-2)),SUMIFS(Dati!$F$2:$F$381,Dati!$A$2:$A$381,$H25,Dati!$H$2:$H$381,$AA25)+SUMIFS(Dati!$M$2:$M$381,Dati!$H$2:$H$381,$H25,Dati!$A$2:$A$381,$AA25),"-")</f>
        <v/>
      </c>
      <c r="DL25" s="22">
        <f>IF(AND($H25&lt;&gt;"",$AB25&lt;&gt;"",$H25&lt;&gt;$AB25,IFERROR(VLOOKUP($H25,areaCercaPuntiClassificaSquadra,3,FALSE),-1)=IFERROR(VLOOKUP($AB25,areaCercaPuntiClassificaSquadra,3,FALSE),-2)),SUMIFS(Dati!$F$2:$F$381,Dati!$A$2:$A$381,$H25,Dati!$H$2:$H$381,$AB25)+SUMIFS(Dati!$M$2:$M$381,Dati!$H$2:$H$381,$H25,Dati!$A$2:$A$381,$AB25),"-")</f>
        <v/>
      </c>
      <c r="DM25" s="22">
        <f>IF(AND($H25&lt;&gt;"",$AC25&lt;&gt;"",$H25&lt;&gt;$AC25,IFERROR(VLOOKUP($H25,areaCercaPuntiClassificaSquadra,3,FALSE),-1)=IFERROR(VLOOKUP($AC25,areaCercaPuntiClassificaSquadra,3,FALSE),-2)),SUMIFS(Dati!$F$2:$F$381,Dati!$A$2:$A$381,$H25,Dati!$H$2:$H$381,$AC25)+SUMIFS(Dati!$M$2:$M$381,Dati!$H$2:$H$381,$H25,Dati!$A$2:$A$381,$AC25),"-")</f>
        <v/>
      </c>
      <c r="DN25" s="22">
        <f>IF(AND($H25&lt;&gt;"",$AD25&lt;&gt;"",$H25&lt;&gt;$AD25,IFERROR(VLOOKUP($H25,areaCercaPuntiClassificaSquadra,3,FALSE),-1)=IFERROR(VLOOKUP($AD25,areaCercaPuntiClassificaSquadra,3,FALSE),-2)),SUMIFS(Dati!$F$2:$F$381,Dati!$A$2:$A$381,$H25,Dati!$H$2:$H$381,$AD25)+SUMIFS(Dati!$M$2:$M$381,Dati!$H$2:$H$381,$H25,Dati!$A$2:$A$381,$AD25),"-")</f>
        <v/>
      </c>
      <c r="DO25" s="22">
        <f>IF(AND($H25&lt;&gt;"",$AE25&lt;&gt;"",$H25&lt;&gt;$AE25,IFERROR(VLOOKUP($H25,areaCercaPuntiClassificaSquadra,3,FALSE),-1)=IFERROR(VLOOKUP($AE25,areaCercaPuntiClassificaSquadra,3,FALSE),-2)),SUMIFS(Dati!$F$2:$F$381,Dati!$A$2:$A$381,$H25,Dati!$H$2:$H$381,$AE25)+SUMIFS(Dati!$M$2:$M$381,Dati!$H$2:$H$381,$H25,Dati!$A$2:$A$381,$AE25),"-")</f>
        <v/>
      </c>
      <c r="DP25" s="22">
        <f>IF(AND($H25&lt;&gt;"",$AF25&lt;&gt;"",$H25&lt;&gt;$AF25,IFERROR(VLOOKUP($H25,areaCercaPuntiClassificaSquadra,3,FALSE),-1)=IFERROR(VLOOKUP($AF25,areaCercaPuntiClassificaSquadra,3,FALSE),-2)),SUMIFS(Dati!$F$2:$F$381,Dati!$A$2:$A$381,$H25,Dati!$H$2:$H$381,$AF25)+SUMIFS(Dati!$M$2:$M$381,Dati!$H$2:$H$381,$H25,Dati!$A$2:$A$381,$AF25),"-")</f>
        <v/>
      </c>
      <c r="DQ25" s="22">
        <f>IF(AND($H25&lt;&gt;"",$AG25&lt;&gt;"",$H25&lt;&gt;$AG25,IFERROR(VLOOKUP($H25,areaCercaPuntiClassificaSquadra,3,FALSE),-1)=IFERROR(VLOOKUP($AG25,areaCercaPuntiClassificaSquadra,3,FALSE),-2)),SUMIFS(Dati!$F$2:$F$381,Dati!$A$2:$A$381,$H25,Dati!$H$2:$H$381,$AG25)+SUMIFS(Dati!$M$2:$M$381,Dati!$H$2:$H$381,$H25,Dati!$A$2:$A$381,$AG25),"-")</f>
        <v/>
      </c>
      <c r="DR25" s="22">
        <f>IF(AND($H25&lt;&gt;"",$AH25&lt;&gt;"",$H25&lt;&gt;$AH25,IFERROR(VLOOKUP($H25,areaCercaPuntiClassificaSquadra,3,FALSE),-1)=IFERROR(VLOOKUP($AH25,areaCercaPuntiClassificaSquadra,3,FALSE),-2)),SUMIFS(Dati!$F$2:$F$381,Dati!$A$2:$A$381,$H25,Dati!$H$2:$H$381,$AH25)+SUMIFS(Dati!$M$2:$M$381,Dati!$H$2:$H$381,$H25,Dati!$A$2:$A$381,$AH25),"-")</f>
        <v/>
      </c>
      <c r="DS25" s="22">
        <f>IF(AND($H25&lt;&gt;"",$AI25&lt;&gt;"",$H25&lt;&gt;$AI25,IFERROR(VLOOKUP($H25,areaCercaPuntiClassificaSquadra,3,FALSE),-1)=IFERROR(VLOOKUP($AI25,areaCercaPuntiClassificaSquadra,3,FALSE),-2)),SUMIFS(Dati!$F$2:$F$381,Dati!$A$2:$A$381,$H25,Dati!$H$2:$H$381,$AI25)+SUMIFS(Dati!$M$2:$M$381,Dati!$H$2:$H$381,$H25,Dati!$A$2:$A$381,$AI25),"-")</f>
        <v/>
      </c>
      <c r="DT25" s="22">
        <f>IF(AND($H25&lt;&gt;"",$AJ25&lt;&gt;"",$H25&lt;&gt;$AJ25,IFERROR(VLOOKUP($H25,areaCercaPuntiClassificaSquadra,3,FALSE),-1)=IFERROR(VLOOKUP($AJ25,areaCercaPuntiClassificaSquadra,3,FALSE),-2)),SUMIFS(Dati!$F$2:$F$381,Dati!$A$2:$A$381,$H25,Dati!$H$2:$H$381,$AJ25)+SUMIFS(Dati!$M$2:$M$381,Dati!$H$2:$H$381,$H25,Dati!$A$2:$A$381,$AJ25),"-")</f>
        <v/>
      </c>
      <c r="DU25" s="22">
        <f>IF(AND($H25&lt;&gt;"",$AK25&lt;&gt;"",$H25&lt;&gt;$AK25,IFERROR(VLOOKUP($H25,areaCercaPuntiClassificaSquadra,3,FALSE),-1)=IFERROR(VLOOKUP($AK25,areaCercaPuntiClassificaSquadra,3,FALSE),-2)),SUMIFS(Dati!$F$2:$F$381,Dati!$A$2:$A$381,$H25,Dati!$H$2:$H$381,$AK25)+SUMIFS(Dati!$M$2:$M$381,Dati!$H$2:$H$381,$H25,Dati!$A$2:$A$381,$AK25),"-")</f>
        <v/>
      </c>
      <c r="DV25" s="22">
        <f>IF(AND($H25&lt;&gt;"",$AL25&lt;&gt;"",$H25&lt;&gt;$AL25,IFERROR(VLOOKUP($H25,areaCercaPuntiClassificaSquadra,3,FALSE),-1)=IFERROR(VLOOKUP($AL25,areaCercaPuntiClassificaSquadra,3,FALSE),-2)),SUMIFS(Dati!$F$2:$F$381,Dati!$A$2:$A$381,$H25,Dati!$H$2:$H$381,$AL25)+SUMIFS(Dati!$M$2:$M$381,Dati!$H$2:$H$381,$H25,Dati!$A$2:$A$381,$AL25),"-")</f>
        <v/>
      </c>
      <c r="DW25" s="22">
        <f>IF(AND($H25&lt;&gt;"",$AM25&lt;&gt;"",$H25&lt;&gt;$AM25,IFERROR(VLOOKUP($H25,areaCercaPuntiClassificaSquadra,3,FALSE),-1)=IFERROR(VLOOKUP($AM25,areaCercaPuntiClassificaSquadra,3,FALSE),-2)),SUMIFS(Dati!$F$2:$F$381,Dati!$A$2:$A$381,$H25,Dati!$H$2:$H$381,$AM25)+SUMIFS(Dati!$M$2:$M$381,Dati!$H$2:$H$381,$H25,Dati!$A$2:$A$381,$AM25),"-")</f>
        <v/>
      </c>
      <c r="DX25" s="22">
        <f>IF(AND($H25&lt;&gt;"",$AN25&lt;&gt;"",$H25&lt;&gt;$AN25,IFERROR(VLOOKUP($H25,areaCercaPuntiClassificaSquadra,3,FALSE),-1)=IFERROR(VLOOKUP($AN25,areaCercaPuntiClassificaSquadra,3,FALSE),-2)),SUMIFS(Dati!$F$2:$F$381,Dati!$A$2:$A$381,$H25,Dati!$H$2:$H$381,$AN25)+SUMIFS(Dati!$M$2:$M$381,Dati!$H$2:$H$381,$H25,Dati!$A$2:$A$381,$AN25),"-")</f>
        <v/>
      </c>
      <c r="DY25" s="22">
        <f>IF(AND($H25&lt;&gt;"",$AO25&lt;&gt;"",$H25&lt;&gt;$AO25,IFERROR(VLOOKUP($H25,areaCercaPuntiClassificaSquadra,3,FALSE),-1)=IFERROR(VLOOKUP($AO25,areaCercaPuntiClassificaSquadra,3,FALSE),-2)),SUMIFS(Dati!$F$2:$F$381,Dati!$A$2:$A$381,$H25,Dati!$H$2:$H$381,$AO25)+SUMIFS(Dati!$M$2:$M$381,Dati!$H$2:$H$381,$H25,Dati!$A$2:$A$381,$AO25),"-")</f>
        <v/>
      </c>
      <c r="DZ25" s="22">
        <f>IF(AND($H25&lt;&gt;"",$AP25&lt;&gt;"",$H25&lt;&gt;$AP25,IFERROR(VLOOKUP($H25,areaCercaPuntiClassificaSquadra,3,FALSE),-1)=IFERROR(VLOOKUP($AP25,areaCercaPuntiClassificaSquadra,3,FALSE),-2)),SUMIFS(Dati!$F$2:$F$381,Dati!$A$2:$A$381,$H25,Dati!$H$2:$H$381,$AP25)+SUMIFS(Dati!$M$2:$M$381,Dati!$H$2:$H$381,$H25,Dati!$A$2:$A$381,$AP25),"-")</f>
        <v/>
      </c>
      <c r="EA25" s="22">
        <f>IF(AND($H25&lt;&gt;"",$AQ25&lt;&gt;"",$H25&lt;&gt;$AQ25,IFERROR(VLOOKUP($H25,areaCercaPuntiClassificaSquadra,3,FALSE),-1)=IFERROR(VLOOKUP($AQ25,areaCercaPuntiClassificaSquadra,3,FALSE),-2)),SUMIFS(Dati!$F$2:$F$381,Dati!$A$2:$A$381,$H25,Dati!$H$2:$H$381,$AQ25)+SUMIFS(Dati!$M$2:$M$381,Dati!$H$2:$H$381,$H25,Dati!$A$2:$A$381,$AQ25),"-")</f>
        <v/>
      </c>
      <c r="EB25" s="22">
        <f>IF(AND($H25&lt;&gt;"",$AR25&lt;&gt;"",$H25&lt;&gt;$AR25,IFERROR(VLOOKUP($H25,areaCercaPuntiClassificaSquadra,3,FALSE),-1)=IFERROR(VLOOKUP($AR25,areaCercaPuntiClassificaSquadra,3,FALSE),-2)),SUMIFS(Dati!$F$2:$F$381,Dati!$A$2:$A$381,$H25,Dati!$H$2:$H$381,$AR25)+SUMIFS(Dati!$M$2:$M$381,Dati!$H$2:$H$381,$H25,Dati!$A$2:$A$381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inlineStr">
        <is>
          <t>Pantere Prudenti-Pantereopoli PI</t>
        </is>
      </c>
      <c r="D26" s="14" t="n"/>
      <c r="E26" s="15" t="inlineStr">
        <is>
          <t>A</t>
        </is>
      </c>
      <c r="G26" s="16">
        <f>IF($C26="","",$E26&amp;(COUNTIFS(I$14:I$53,"&gt;"&amp;I26,E$14:E$53,"="&amp;E26,C$14:C$53,"&lt;&gt;")+COUNTIFS(I$14:I$53,"="&amp;I26,H$14:H$53,"&lt;="&amp;H26,E$14:E$53,"="&amp;E26,C$14:C$53,"&lt;&gt;")))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L26*constPuntiVittoria+M26*constPuntiSconfitta+N26*constPuntiForfait+IF(D26="",0,D26)</f>
        <v/>
      </c>
      <c r="K26" s="12">
        <f>SUM(L26:N26)</f>
        <v/>
      </c>
      <c r="L26" s="12">
        <f>IF($H26="",0,SUMIF(Dati!$A$2:$A$381,$H26,Dati!$B$2:$B$381)+SUMIF(Dati!$H$2:$H$381,$H26,Dati!$I$2:$I$381))</f>
        <v/>
      </c>
      <c r="M26" s="12">
        <f>IF($H26="",0,SUMIF(Dati!$A$2:$A$381,$H26,Dati!$D$2:$D$381)+SUMIF(Dati!$H$2:$H$381,$H26,Dati!$K$2:$K$381))</f>
        <v/>
      </c>
      <c r="N26" s="12">
        <f>IF($H26="",0,SUMIF(Dati!$A$2:$A$381,$H26,Dati!$C$2:$C$381)+SUMIF(Dati!$H$2:$H$381,$H26,Dati!$J$2:$J$381))</f>
        <v/>
      </c>
      <c r="O26" s="12">
        <f>IF($H26="",0,SUMIF(Dati!$A$2:$A$381,$H26,Dati!$E$2:$E$381)+SUMIF(Dati!$H$2:$H$381,$H26,Dati!$L$2:$L$381))</f>
        <v/>
      </c>
      <c r="P26" s="12">
        <f>IF($H26="",0,SUMIF(Dati!$A$2:$A$381,$H26,Dati!$F$2:$F$381)+SUMIF(Dati!$H$2:$H$381,$H26,Dati!$M$2:$M$381))</f>
        <v/>
      </c>
      <c r="Q26" s="12">
        <f>IF($H26="",0,SUMIF(Dati!$A$2:$A$381,$H26,Dati!$G$2:$G$381)+SUMIF(Dati!$H$2:$H$381,$H26,Dati!$N$2:$N$381))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IF(COUNTIFS($E$14:$E$53,$E26,$J$14:$J$53,$J26,$C$14:$C$53,"&lt;&gt;")&lt;=1,"-",SUM(AU26:BN26)&amp;"-"&amp;SUM(BQ26:CJ26))</f>
        <v/>
      </c>
      <c r="V26" s="18">
        <f>IF(COUNTIFS($E$14:$E$53,$E26,$J$14:$J$53,$J26,$C$14:$C$53,"&lt;&gt;",$ED$14:$ED$53,$ED26)&lt;=1,"-",IF(SUM(DI26:EB26)=0,0,ROUND(SUM(CM26:DF26)/SUM(DI26:EB26),3)))</f>
        <v/>
      </c>
      <c r="W26" s="18">
        <f>IF(COUNTIFS($E$14:$E$53,$E26,$J$14:$J$53,$J26,$C$14:$C$53,"&lt;&gt;",$ED$14:$ED$53,$ED26,$V$14:$V$53,$V26)&lt;=1,"-",IF(P26=0,0,ROUND(O26/P26,3)))</f>
        <v/>
      </c>
      <c r="X26" s="19">
        <f>IF($C26="","",$E26&amp;"#"&amp;COUNTIFS($E$14:$E26,$E26,$C$14:$C26,"&lt;&gt;"))</f>
        <v/>
      </c>
      <c r="Y26" s="20">
        <f>IFERROR(INDEX($H$14:$H$53,MATCH($E26&amp;"#1",$X$14:$X$53,0)),"")</f>
        <v/>
      </c>
      <c r="Z26" s="20">
        <f>IFERROR(INDEX($H$14:$H$53,MATCH($E26&amp;"#2",$X$14:$X$53,0)),"")</f>
        <v/>
      </c>
      <c r="AA26" s="20">
        <f>IFERROR(INDEX($H$14:$H$53,MATCH($E26&amp;"#3",$X$14:$X$53,0)),"")</f>
        <v/>
      </c>
      <c r="AB26" s="20">
        <f>IFERROR(INDEX($H$14:$H$53,MATCH($E26&amp;"#4",$X$14:$X$53,0)),"")</f>
        <v/>
      </c>
      <c r="AC26" s="20">
        <f>IFERROR(INDEX($H$14:$H$53,MATCH($E26&amp;"#5",$X$14:$X$53,0)),"")</f>
        <v/>
      </c>
      <c r="AD26" s="20">
        <f>IFERROR(INDEX($H$14:$H$53,MATCH($E26&amp;"#6",$X$14:$X$53,0)),"")</f>
        <v/>
      </c>
      <c r="AE26" s="20">
        <f>IFERROR(INDEX($H$14:$H$53,MATCH($E26&amp;"#7",$X$14:$X$53,0)),"")</f>
        <v/>
      </c>
      <c r="AF26" s="20">
        <f>IFERROR(INDEX($H$14:$H$53,MATCH($E26&amp;"#8",$X$14:$X$53,0)),"")</f>
        <v/>
      </c>
      <c r="AG26" s="20">
        <f>IFERROR(INDEX($H$14:$H$53,MATCH($E26&amp;"#9",$X$14:$X$53,0)),"")</f>
        <v/>
      </c>
      <c r="AH26" s="20">
        <f>IFERROR(INDEX($H$14:$H$53,MATCH($E26&amp;"#10",$X$14:$X$53,0)),"")</f>
        <v/>
      </c>
      <c r="AI26" s="20">
        <f>IFERROR(INDEX($H$14:$H$53,MATCH($E26&amp;"#11",$X$14:$X$53,0)),"")</f>
        <v/>
      </c>
      <c r="AJ26" s="20">
        <f>IFERROR(INDEX($H$14:$H$53,MATCH($E26&amp;"#12",$X$14:$X$53,0)),"")</f>
        <v/>
      </c>
      <c r="AK26" s="20">
        <f>IFERROR(INDEX($H$14:$H$53,MATCH($E26&amp;"#13",$X$14:$X$53,0)),"")</f>
        <v/>
      </c>
      <c r="AL26" s="20">
        <f>IFERROR(INDEX($H$14:$H$53,MATCH($E26&amp;"#14",$X$14:$X$53,0)),"")</f>
        <v/>
      </c>
      <c r="AM26" s="20">
        <f>IFERROR(INDEX($H$14:$H$53,MATCH($E26&amp;"#15",$X$14:$X$53,0)),"")</f>
        <v/>
      </c>
      <c r="AN26" s="20">
        <f>IFERROR(INDEX($H$14:$H$53,MATCH($E26&amp;"#16",$X$14:$X$53,0)),"")</f>
        <v/>
      </c>
      <c r="AO26" s="20">
        <f>IFERROR(INDEX($H$14:$H$53,MATCH($E26&amp;"#17",$X$14:$X$53,0)),"")</f>
        <v/>
      </c>
      <c r="AP26" s="20">
        <f>IFERROR(INDEX($H$14:$H$53,MATCH($E26&amp;"#18",$X$14:$X$53,0)),"")</f>
        <v/>
      </c>
      <c r="AQ26" s="20">
        <f>IFERROR(INDEX($H$14:$H$53,MATCH($E26&amp;"#19",$X$14:$X$53,0)),"")</f>
        <v/>
      </c>
      <c r="AR26" s="20">
        <f>IFERROR(INDEX($H$14:$H$53,MATCH($E26&amp;"#20",$X$14:$X$53,0)),"")</f>
        <v/>
      </c>
      <c r="AT26" s="21">
        <f>$C26</f>
        <v/>
      </c>
      <c r="AU26" s="22">
        <f>IF(AND($H26&lt;&gt;"",$Y26&lt;&gt;"",$H26&lt;&gt;$Y26,IFERROR(VLOOKUP($H26,areaCercaPuntiClassificaSquadra,3,FALSE),-1)=IFERROR(VLOOKUP($Y26,areaCercaPuntiClassificaSquadra,3,FALSE),-2)),SUMIFS(Dati!$B$2:$B$381,Dati!$A$2:$A$381,$H26,Dati!$H$2:$H$381,$Y26)+SUMIFS(Dati!$I$2:$I$381,Dati!$H$2:$H$381,$H26,Dati!$A$2:$A$381,$Y26),"-")</f>
        <v/>
      </c>
      <c r="AV26" s="22">
        <f>IF(AND($H26&lt;&gt;"",$Z26&lt;&gt;"",$H26&lt;&gt;$Z26,IFERROR(VLOOKUP($H26,areaCercaPuntiClassificaSquadra,3,FALSE),-1)=IFERROR(VLOOKUP($Z26,areaCercaPuntiClassificaSquadra,3,FALSE),-2)),SUMIFS(Dati!$B$2:$B$381,Dati!$A$2:$A$381,$H26,Dati!$H$2:$H$381,$Z26)+SUMIFS(Dati!$I$2:$I$381,Dati!$H$2:$H$381,$H26,Dati!$A$2:$A$381,$Z26),"-")</f>
        <v/>
      </c>
      <c r="AW26" s="22">
        <f>IF(AND($H26&lt;&gt;"",$AA26&lt;&gt;"",$H26&lt;&gt;$AA26,IFERROR(VLOOKUP($H26,areaCercaPuntiClassificaSquadra,3,FALSE),-1)=IFERROR(VLOOKUP($AA26,areaCercaPuntiClassificaSquadra,3,FALSE),-2)),SUMIFS(Dati!$B$2:$B$381,Dati!$A$2:$A$381,$H26,Dati!$H$2:$H$381,$AA26)+SUMIFS(Dati!$I$2:$I$381,Dati!$H$2:$H$381,$H26,Dati!$A$2:$A$381,$AA26),"-")</f>
        <v/>
      </c>
      <c r="AX26" s="22">
        <f>IF(AND($H26&lt;&gt;"",$AB26&lt;&gt;"",$H26&lt;&gt;$AB26,IFERROR(VLOOKUP($H26,areaCercaPuntiClassificaSquadra,3,FALSE),-1)=IFERROR(VLOOKUP($AB26,areaCercaPuntiClassificaSquadra,3,FALSE),-2)),SUMIFS(Dati!$B$2:$B$381,Dati!$A$2:$A$381,$H26,Dati!$H$2:$H$381,$AB26)+SUMIFS(Dati!$I$2:$I$381,Dati!$H$2:$H$381,$H26,Dati!$A$2:$A$381,$AB26),"-")</f>
        <v/>
      </c>
      <c r="AY26" s="22">
        <f>IF(AND($H26&lt;&gt;"",$AC26&lt;&gt;"",$H26&lt;&gt;$AC26,IFERROR(VLOOKUP($H26,areaCercaPuntiClassificaSquadra,3,FALSE),-1)=IFERROR(VLOOKUP($AC26,areaCercaPuntiClassificaSquadra,3,FALSE),-2)),SUMIFS(Dati!$B$2:$B$381,Dati!$A$2:$A$381,$H26,Dati!$H$2:$H$381,$AC26)+SUMIFS(Dati!$I$2:$I$381,Dati!$H$2:$H$381,$H26,Dati!$A$2:$A$381,$AC26),"-")</f>
        <v/>
      </c>
      <c r="AZ26" s="22">
        <f>IF(AND($H26&lt;&gt;"",$AD26&lt;&gt;"",$H26&lt;&gt;$AD26,IFERROR(VLOOKUP($H26,areaCercaPuntiClassificaSquadra,3,FALSE),-1)=IFERROR(VLOOKUP($AD26,areaCercaPuntiClassificaSquadra,3,FALSE),-2)),SUMIFS(Dati!$B$2:$B$381,Dati!$A$2:$A$381,$H26,Dati!$H$2:$H$381,$AD26)+SUMIFS(Dati!$I$2:$I$381,Dati!$H$2:$H$381,$H26,Dati!$A$2:$A$381,$AD26),"-")</f>
        <v/>
      </c>
      <c r="BA26" s="22">
        <f>IF(AND($H26&lt;&gt;"",$AE26&lt;&gt;"",$H26&lt;&gt;$AE26,IFERROR(VLOOKUP($H26,areaCercaPuntiClassificaSquadra,3,FALSE),-1)=IFERROR(VLOOKUP($AE26,areaCercaPuntiClassificaSquadra,3,FALSE),-2)),SUMIFS(Dati!$B$2:$B$381,Dati!$A$2:$A$381,$H26,Dati!$H$2:$H$381,$AE26)+SUMIFS(Dati!$I$2:$I$381,Dati!$H$2:$H$381,$H26,Dati!$A$2:$A$381,$AE26),"-")</f>
        <v/>
      </c>
      <c r="BB26" s="22">
        <f>IF(AND($H26&lt;&gt;"",$AF26&lt;&gt;"",$H26&lt;&gt;$AF26,IFERROR(VLOOKUP($H26,areaCercaPuntiClassificaSquadra,3,FALSE),-1)=IFERROR(VLOOKUP($AF26,areaCercaPuntiClassificaSquadra,3,FALSE),-2)),SUMIFS(Dati!$B$2:$B$381,Dati!$A$2:$A$381,$H26,Dati!$H$2:$H$381,$AF26)+SUMIFS(Dati!$I$2:$I$381,Dati!$H$2:$H$381,$H26,Dati!$A$2:$A$381,$AF26),"-")</f>
        <v/>
      </c>
      <c r="BC26" s="22">
        <f>IF(AND($H26&lt;&gt;"",$AG26&lt;&gt;"",$H26&lt;&gt;$AG26,IFERROR(VLOOKUP($H26,areaCercaPuntiClassificaSquadra,3,FALSE),-1)=IFERROR(VLOOKUP($AG26,areaCercaPuntiClassificaSquadra,3,FALSE),-2)),SUMIFS(Dati!$B$2:$B$381,Dati!$A$2:$A$381,$H26,Dati!$H$2:$H$381,$AG26)+SUMIFS(Dati!$I$2:$I$381,Dati!$H$2:$H$381,$H26,Dati!$A$2:$A$381,$AG26),"-")</f>
        <v/>
      </c>
      <c r="BD26" s="22">
        <f>IF(AND($H26&lt;&gt;"",$AH26&lt;&gt;"",$H26&lt;&gt;$AH26,IFERROR(VLOOKUP($H26,areaCercaPuntiClassificaSquadra,3,FALSE),-1)=IFERROR(VLOOKUP($AH26,areaCercaPuntiClassificaSquadra,3,FALSE),-2)),SUMIFS(Dati!$B$2:$B$381,Dati!$A$2:$A$381,$H26,Dati!$H$2:$H$381,$AH26)+SUMIFS(Dati!$I$2:$I$381,Dati!$H$2:$H$381,$H26,Dati!$A$2:$A$381,$AH26),"-")</f>
        <v/>
      </c>
      <c r="BE26" s="22">
        <f>IF(AND($H26&lt;&gt;"",$AI26&lt;&gt;"",$H26&lt;&gt;$AI26,IFERROR(VLOOKUP($H26,areaCercaPuntiClassificaSquadra,3,FALSE),-1)=IFERROR(VLOOKUP($AI26,areaCercaPuntiClassificaSquadra,3,FALSE),-2)),SUMIFS(Dati!$B$2:$B$381,Dati!$A$2:$A$381,$H26,Dati!$H$2:$H$381,$AI26)+SUMIFS(Dati!$I$2:$I$381,Dati!$H$2:$H$381,$H26,Dati!$A$2:$A$381,$AI26),"-")</f>
        <v/>
      </c>
      <c r="BF26" s="22">
        <f>IF(AND($H26&lt;&gt;"",$AJ26&lt;&gt;"",$H26&lt;&gt;$AJ26,IFERROR(VLOOKUP($H26,areaCercaPuntiClassificaSquadra,3,FALSE),-1)=IFERROR(VLOOKUP($AJ26,areaCercaPuntiClassificaSquadra,3,FALSE),-2)),SUMIFS(Dati!$B$2:$B$381,Dati!$A$2:$A$381,$H26,Dati!$H$2:$H$381,$AJ26)+SUMIFS(Dati!$I$2:$I$381,Dati!$H$2:$H$381,$H26,Dati!$A$2:$A$381,$AJ26),"-")</f>
        <v/>
      </c>
      <c r="BG26" s="22">
        <f>IF(AND($H26&lt;&gt;"",$AK26&lt;&gt;"",$H26&lt;&gt;$AK26,IFERROR(VLOOKUP($H26,areaCercaPuntiClassificaSquadra,3,FALSE),-1)=IFERROR(VLOOKUP($AK26,areaCercaPuntiClassificaSquadra,3,FALSE),-2)),SUMIFS(Dati!$B$2:$B$381,Dati!$A$2:$A$381,$H26,Dati!$H$2:$H$381,$AK26)+SUMIFS(Dati!$I$2:$I$381,Dati!$H$2:$H$381,$H26,Dati!$A$2:$A$381,$AK26),"-")</f>
        <v/>
      </c>
      <c r="BH26" s="22">
        <f>IF(AND($H26&lt;&gt;"",$AL26&lt;&gt;"",$H26&lt;&gt;$AL26,IFERROR(VLOOKUP($H26,areaCercaPuntiClassificaSquadra,3,FALSE),-1)=IFERROR(VLOOKUP($AL26,areaCercaPuntiClassificaSquadra,3,FALSE),-2)),SUMIFS(Dati!$B$2:$B$381,Dati!$A$2:$A$381,$H26,Dati!$H$2:$H$381,$AL26)+SUMIFS(Dati!$I$2:$I$381,Dati!$H$2:$H$381,$H26,Dati!$A$2:$A$381,$AL26),"-")</f>
        <v/>
      </c>
      <c r="BI26" s="22">
        <f>IF(AND($H26&lt;&gt;"",$AM26&lt;&gt;"",$H26&lt;&gt;$AM26,IFERROR(VLOOKUP($H26,areaCercaPuntiClassificaSquadra,3,FALSE),-1)=IFERROR(VLOOKUP($AM26,areaCercaPuntiClassificaSquadra,3,FALSE),-2)),SUMIFS(Dati!$B$2:$B$381,Dati!$A$2:$A$381,$H26,Dati!$H$2:$H$381,$AM26)+SUMIFS(Dati!$I$2:$I$381,Dati!$H$2:$H$381,$H26,Dati!$A$2:$A$381,$AM26),"-")</f>
        <v/>
      </c>
      <c r="BJ26" s="22">
        <f>IF(AND($H26&lt;&gt;"",$AN26&lt;&gt;"",$H26&lt;&gt;$AN26,IFERROR(VLOOKUP($H26,areaCercaPuntiClassificaSquadra,3,FALSE),-1)=IFERROR(VLOOKUP($AN26,areaCercaPuntiClassificaSquadra,3,FALSE),-2)),SUMIFS(Dati!$B$2:$B$381,Dati!$A$2:$A$381,$H26,Dati!$H$2:$H$381,$AN26)+SUMIFS(Dati!$I$2:$I$381,Dati!$H$2:$H$381,$H26,Dati!$A$2:$A$381,$AN26),"-")</f>
        <v/>
      </c>
      <c r="BK26" s="22">
        <f>IF(AND($H26&lt;&gt;"",$AO26&lt;&gt;"",$H26&lt;&gt;$AO26,IFERROR(VLOOKUP($H26,areaCercaPuntiClassificaSquadra,3,FALSE),-1)=IFERROR(VLOOKUP($AO26,areaCercaPuntiClassificaSquadra,3,FALSE),-2)),SUMIFS(Dati!$B$2:$B$381,Dati!$A$2:$A$381,$H26,Dati!$H$2:$H$381,$AO26)+SUMIFS(Dati!$I$2:$I$381,Dati!$H$2:$H$381,$H26,Dati!$A$2:$A$381,$AO26),"-")</f>
        <v/>
      </c>
      <c r="BL26" s="22">
        <f>IF(AND($H26&lt;&gt;"",$AP26&lt;&gt;"",$H26&lt;&gt;$AP26,IFERROR(VLOOKUP($H26,areaCercaPuntiClassificaSquadra,3,FALSE),-1)=IFERROR(VLOOKUP($AP26,areaCercaPuntiClassificaSquadra,3,FALSE),-2)),SUMIFS(Dati!$B$2:$B$381,Dati!$A$2:$A$381,$H26,Dati!$H$2:$H$381,$AP26)+SUMIFS(Dati!$I$2:$I$381,Dati!$H$2:$H$381,$H26,Dati!$A$2:$A$381,$AP26),"-")</f>
        <v/>
      </c>
      <c r="BM26" s="22">
        <f>IF(AND($H26&lt;&gt;"",$AQ26&lt;&gt;"",$H26&lt;&gt;$AQ26,IFERROR(VLOOKUP($H26,areaCercaPuntiClassificaSquadra,3,FALSE),-1)=IFERROR(VLOOKUP($AQ26,areaCercaPuntiClassificaSquadra,3,FALSE),-2)),SUMIFS(Dati!$B$2:$B$381,Dati!$A$2:$A$381,$H26,Dati!$H$2:$H$381,$AQ26)+SUMIFS(Dati!$I$2:$I$381,Dati!$H$2:$H$381,$H26,Dati!$A$2:$A$381,$AQ26),"-")</f>
        <v/>
      </c>
      <c r="BN26" s="22">
        <f>IF(AND($H26&lt;&gt;"",$AR26&lt;&gt;"",$H26&lt;&gt;$AR26,IFERROR(VLOOKUP($H26,areaCercaPuntiClassificaSquadra,3,FALSE),-1)=IFERROR(VLOOKUP($AR26,areaCercaPuntiClassificaSquadra,3,FALSE),-2)),SUMIFS(Dati!$B$2:$B$381,Dati!$A$2:$A$381,$H26,Dati!$H$2:$H$381,$AR26)+SUMIFS(Dati!$I$2:$I$381,Dati!$H$2:$H$381,$H26,Dati!$A$2:$A$381,$AR26),"-")</f>
        <v/>
      </c>
      <c r="BP26" s="21">
        <f>$C26</f>
        <v/>
      </c>
      <c r="BQ26" s="22">
        <f>IF(AND($H26&lt;&gt;"",$Y26&lt;&gt;"",$H26&lt;&gt;$Y26,IFERROR(VLOOKUP($H26,areaCercaPuntiClassificaSquadra,3,FALSE),-1)=IFERROR(VLOOKUP($Y26,areaCercaPuntiClassificaSquadra,3,FALSE),-2)),SUMIFS(Dati!$D$2:$D$381,Dati!$A$2:$A$381,$H26,Dati!$H$2:$H$381,$Y26)+SUMIFS(Dati!$K$2:$K$381,Dati!$H$2:$H$381,$H26,Dati!$A$2:$A$381,$Y26)+SUMIFS(Dati!$C$2:$C$381,Dati!$A$2:$A$381,$H26,Dati!$H$2:$H$381,$Y26)+SUMIFS(Dati!$J$2:$J$381,Dati!$H$2:$H$381,$H26,Dati!$A$2:$A$381,$Y26),"-")</f>
        <v/>
      </c>
      <c r="BR26" s="22">
        <f>IF(AND($H26&lt;&gt;"",$Z26&lt;&gt;"",$H26&lt;&gt;$Z26,IFERROR(VLOOKUP($H26,areaCercaPuntiClassificaSquadra,3,FALSE),-1)=IFERROR(VLOOKUP($Z26,areaCercaPuntiClassificaSquadra,3,FALSE),-2)),SUMIFS(Dati!$D$2:$D$381,Dati!$A$2:$A$381,$H26,Dati!$H$2:$H$381,$Z26)+SUMIFS(Dati!$K$2:$K$381,Dati!$H$2:$H$381,$H26,Dati!$A$2:$A$381,$Z26)+SUMIFS(Dati!$C$2:$C$381,Dati!$A$2:$A$381,$H26,Dati!$H$2:$H$381,$Z26)+SUMIFS(Dati!$J$2:$J$381,Dati!$H$2:$H$381,$H26,Dati!$A$2:$A$381,$Z26),"-")</f>
        <v/>
      </c>
      <c r="BS26" s="22">
        <f>IF(AND($H26&lt;&gt;"",$AA26&lt;&gt;"",$H26&lt;&gt;$AA26,IFERROR(VLOOKUP($H26,areaCercaPuntiClassificaSquadra,3,FALSE),-1)=IFERROR(VLOOKUP($AA26,areaCercaPuntiClassificaSquadra,3,FALSE),-2)),SUMIFS(Dati!$D$2:$D$381,Dati!$A$2:$A$381,$H26,Dati!$H$2:$H$381,$AA26)+SUMIFS(Dati!$K$2:$K$381,Dati!$H$2:$H$381,$H26,Dati!$A$2:$A$381,$AA26)+SUMIFS(Dati!$C$2:$C$381,Dati!$A$2:$A$381,$H26,Dati!$H$2:$H$381,$AA26)+SUMIFS(Dati!$J$2:$J$381,Dati!$H$2:$H$381,$H26,Dati!$A$2:$A$381,$AA26),"-")</f>
        <v/>
      </c>
      <c r="BT26" s="22">
        <f>IF(AND($H26&lt;&gt;"",$AB26&lt;&gt;"",$H26&lt;&gt;$AB26,IFERROR(VLOOKUP($H26,areaCercaPuntiClassificaSquadra,3,FALSE),-1)=IFERROR(VLOOKUP($AB26,areaCercaPuntiClassificaSquadra,3,FALSE),-2)),SUMIFS(Dati!$D$2:$D$381,Dati!$A$2:$A$381,$H26,Dati!$H$2:$H$381,$AB26)+SUMIFS(Dati!$K$2:$K$381,Dati!$H$2:$H$381,$H26,Dati!$A$2:$A$381,$AB26)+SUMIFS(Dati!$C$2:$C$381,Dati!$A$2:$A$381,$H26,Dati!$H$2:$H$381,$AB26)+SUMIFS(Dati!$J$2:$J$381,Dati!$H$2:$H$381,$H26,Dati!$A$2:$A$381,$AB26),"-")</f>
        <v/>
      </c>
      <c r="BU26" s="22">
        <f>IF(AND($H26&lt;&gt;"",$AC26&lt;&gt;"",$H26&lt;&gt;$AC26,IFERROR(VLOOKUP($H26,areaCercaPuntiClassificaSquadra,3,FALSE),-1)=IFERROR(VLOOKUP($AC26,areaCercaPuntiClassificaSquadra,3,FALSE),-2)),SUMIFS(Dati!$D$2:$D$381,Dati!$A$2:$A$381,$H26,Dati!$H$2:$H$381,$AC26)+SUMIFS(Dati!$K$2:$K$381,Dati!$H$2:$H$381,$H26,Dati!$A$2:$A$381,$AC26)+SUMIFS(Dati!$C$2:$C$381,Dati!$A$2:$A$381,$H26,Dati!$H$2:$H$381,$AC26)+SUMIFS(Dati!$J$2:$J$381,Dati!$H$2:$H$381,$H26,Dati!$A$2:$A$381,$AC26),"-")</f>
        <v/>
      </c>
      <c r="BV26" s="22">
        <f>IF(AND($H26&lt;&gt;"",$AD26&lt;&gt;"",$H26&lt;&gt;$AD26,IFERROR(VLOOKUP($H26,areaCercaPuntiClassificaSquadra,3,FALSE),-1)=IFERROR(VLOOKUP($AD26,areaCercaPuntiClassificaSquadra,3,FALSE),-2)),SUMIFS(Dati!$D$2:$D$381,Dati!$A$2:$A$381,$H26,Dati!$H$2:$H$381,$AD26)+SUMIFS(Dati!$K$2:$K$381,Dati!$H$2:$H$381,$H26,Dati!$A$2:$A$381,$AD26)+SUMIFS(Dati!$C$2:$C$381,Dati!$A$2:$A$381,$H26,Dati!$H$2:$H$381,$AD26)+SUMIFS(Dati!$J$2:$J$381,Dati!$H$2:$H$381,$H26,Dati!$A$2:$A$381,$AD26),"-")</f>
        <v/>
      </c>
      <c r="BW26" s="22">
        <f>IF(AND($H26&lt;&gt;"",$AE26&lt;&gt;"",$H26&lt;&gt;$AE26,IFERROR(VLOOKUP($H26,areaCercaPuntiClassificaSquadra,3,FALSE),-1)=IFERROR(VLOOKUP($AE26,areaCercaPuntiClassificaSquadra,3,FALSE),-2)),SUMIFS(Dati!$D$2:$D$381,Dati!$A$2:$A$381,$H26,Dati!$H$2:$H$381,$AE26)+SUMIFS(Dati!$K$2:$K$381,Dati!$H$2:$H$381,$H26,Dati!$A$2:$A$381,$AE26)+SUMIFS(Dati!$C$2:$C$381,Dati!$A$2:$A$381,$H26,Dati!$H$2:$H$381,$AE26)+SUMIFS(Dati!$J$2:$J$381,Dati!$H$2:$H$381,$H26,Dati!$A$2:$A$381,$AE26),"-")</f>
        <v/>
      </c>
      <c r="BX26" s="22">
        <f>IF(AND($H26&lt;&gt;"",$AF26&lt;&gt;"",$H26&lt;&gt;$AF26,IFERROR(VLOOKUP($H26,areaCercaPuntiClassificaSquadra,3,FALSE),-1)=IFERROR(VLOOKUP($AF26,areaCercaPuntiClassificaSquadra,3,FALSE),-2)),SUMIFS(Dati!$D$2:$D$381,Dati!$A$2:$A$381,$H26,Dati!$H$2:$H$381,$AF26)+SUMIFS(Dati!$K$2:$K$381,Dati!$H$2:$H$381,$H26,Dati!$A$2:$A$381,$AF26)+SUMIFS(Dati!$C$2:$C$381,Dati!$A$2:$A$381,$H26,Dati!$H$2:$H$381,$AF26)+SUMIFS(Dati!$J$2:$J$381,Dati!$H$2:$H$381,$H26,Dati!$A$2:$A$381,$AF26),"-")</f>
        <v/>
      </c>
      <c r="BY26" s="22">
        <f>IF(AND($H26&lt;&gt;"",$AG26&lt;&gt;"",$H26&lt;&gt;$AG26,IFERROR(VLOOKUP($H26,areaCercaPuntiClassificaSquadra,3,FALSE),-1)=IFERROR(VLOOKUP($AG26,areaCercaPuntiClassificaSquadra,3,FALSE),-2)),SUMIFS(Dati!$D$2:$D$381,Dati!$A$2:$A$381,$H26,Dati!$H$2:$H$381,$AG26)+SUMIFS(Dati!$K$2:$K$381,Dati!$H$2:$H$381,$H26,Dati!$A$2:$A$381,$AG26)+SUMIFS(Dati!$C$2:$C$381,Dati!$A$2:$A$381,$H26,Dati!$H$2:$H$381,$AG26)+SUMIFS(Dati!$J$2:$J$381,Dati!$H$2:$H$381,$H26,Dati!$A$2:$A$381,$AG26),"-")</f>
        <v/>
      </c>
      <c r="BZ26" s="22">
        <f>IF(AND($H26&lt;&gt;"",$AH26&lt;&gt;"",$H26&lt;&gt;$AH26,IFERROR(VLOOKUP($H26,areaCercaPuntiClassificaSquadra,3,FALSE),-1)=IFERROR(VLOOKUP($AH26,areaCercaPuntiClassificaSquadra,3,FALSE),-2)),SUMIFS(Dati!$D$2:$D$381,Dati!$A$2:$A$381,$H26,Dati!$H$2:$H$381,$AH26)+SUMIFS(Dati!$K$2:$K$381,Dati!$H$2:$H$381,$H26,Dati!$A$2:$A$381,$AH26)+SUMIFS(Dati!$C$2:$C$381,Dati!$A$2:$A$381,$H26,Dati!$H$2:$H$381,$AH26)+SUMIFS(Dati!$J$2:$J$381,Dati!$H$2:$H$381,$H26,Dati!$A$2:$A$381,$AH26),"-")</f>
        <v/>
      </c>
      <c r="CA26" s="22">
        <f>IF(AND($H26&lt;&gt;"",$AI26&lt;&gt;"",$H26&lt;&gt;$AI26,IFERROR(VLOOKUP($H26,areaCercaPuntiClassificaSquadra,3,FALSE),-1)=IFERROR(VLOOKUP($AI26,areaCercaPuntiClassificaSquadra,3,FALSE),-2)),SUMIFS(Dati!$D$2:$D$381,Dati!$A$2:$A$381,$H26,Dati!$H$2:$H$381,$AI26)+SUMIFS(Dati!$K$2:$K$381,Dati!$H$2:$H$381,$H26,Dati!$A$2:$A$381,$AI26)+SUMIFS(Dati!$C$2:$C$381,Dati!$A$2:$A$381,$H26,Dati!$H$2:$H$381,$AI26)+SUMIFS(Dati!$J$2:$J$381,Dati!$H$2:$H$381,$H26,Dati!$A$2:$A$381,$AI26),"-")</f>
        <v/>
      </c>
      <c r="CB26" s="22">
        <f>IF(AND($H26&lt;&gt;"",$AJ26&lt;&gt;"",$H26&lt;&gt;$AJ26,IFERROR(VLOOKUP($H26,areaCercaPuntiClassificaSquadra,3,FALSE),-1)=IFERROR(VLOOKUP($AJ26,areaCercaPuntiClassificaSquadra,3,FALSE),-2)),SUMIFS(Dati!$D$2:$D$381,Dati!$A$2:$A$381,$H26,Dati!$H$2:$H$381,$AJ26)+SUMIFS(Dati!$K$2:$K$381,Dati!$H$2:$H$381,$H26,Dati!$A$2:$A$381,$AJ26)+SUMIFS(Dati!$C$2:$C$381,Dati!$A$2:$A$381,$H26,Dati!$H$2:$H$381,$AJ26)+SUMIFS(Dati!$J$2:$J$381,Dati!$H$2:$H$381,$H26,Dati!$A$2:$A$381,$AJ26),"-")</f>
        <v/>
      </c>
      <c r="CC26" s="22">
        <f>IF(AND($H26&lt;&gt;"",$AK26&lt;&gt;"",$H26&lt;&gt;$AK26,IFERROR(VLOOKUP($H26,areaCercaPuntiClassificaSquadra,3,FALSE),-1)=IFERROR(VLOOKUP($AK26,areaCercaPuntiClassificaSquadra,3,FALSE),-2)),SUMIFS(Dati!$D$2:$D$381,Dati!$A$2:$A$381,$H26,Dati!$H$2:$H$381,$AK26)+SUMIFS(Dati!$K$2:$K$381,Dati!$H$2:$H$381,$H26,Dati!$A$2:$A$381,$AK26)+SUMIFS(Dati!$C$2:$C$381,Dati!$A$2:$A$381,$H26,Dati!$H$2:$H$381,$AK26)+SUMIFS(Dati!$J$2:$J$381,Dati!$H$2:$H$381,$H26,Dati!$A$2:$A$381,$AK26),"-")</f>
        <v/>
      </c>
      <c r="CD26" s="22">
        <f>IF(AND($H26&lt;&gt;"",$AL26&lt;&gt;"",$H26&lt;&gt;$AL26,IFERROR(VLOOKUP($H26,areaCercaPuntiClassificaSquadra,3,FALSE),-1)=IFERROR(VLOOKUP($AL26,areaCercaPuntiClassificaSquadra,3,FALSE),-2)),SUMIFS(Dati!$D$2:$D$381,Dati!$A$2:$A$381,$H26,Dati!$H$2:$H$381,$AL26)+SUMIFS(Dati!$K$2:$K$381,Dati!$H$2:$H$381,$H26,Dati!$A$2:$A$381,$AL26)+SUMIFS(Dati!$C$2:$C$381,Dati!$A$2:$A$381,$H26,Dati!$H$2:$H$381,$AL26)+SUMIFS(Dati!$J$2:$J$381,Dati!$H$2:$H$381,$H26,Dati!$A$2:$A$381,$AL26),"-")</f>
        <v/>
      </c>
      <c r="CE26" s="22">
        <f>IF(AND($H26&lt;&gt;"",$AM26&lt;&gt;"",$H26&lt;&gt;$AM26,IFERROR(VLOOKUP($H26,areaCercaPuntiClassificaSquadra,3,FALSE),-1)=IFERROR(VLOOKUP($AM26,areaCercaPuntiClassificaSquadra,3,FALSE),-2)),SUMIFS(Dati!$D$2:$D$381,Dati!$A$2:$A$381,$H26,Dati!$H$2:$H$381,$AM26)+SUMIFS(Dati!$K$2:$K$381,Dati!$H$2:$H$381,$H26,Dati!$A$2:$A$381,$AM26)+SUMIFS(Dati!$C$2:$C$381,Dati!$A$2:$A$381,$H26,Dati!$H$2:$H$381,$AM26)+SUMIFS(Dati!$J$2:$J$381,Dati!$H$2:$H$381,$H26,Dati!$A$2:$A$381,$AM26),"-")</f>
        <v/>
      </c>
      <c r="CF26" s="22">
        <f>IF(AND($H26&lt;&gt;"",$AN26&lt;&gt;"",$H26&lt;&gt;$AN26,IFERROR(VLOOKUP($H26,areaCercaPuntiClassificaSquadra,3,FALSE),-1)=IFERROR(VLOOKUP($AN26,areaCercaPuntiClassificaSquadra,3,FALSE),-2)),SUMIFS(Dati!$D$2:$D$381,Dati!$A$2:$A$381,$H26,Dati!$H$2:$H$381,$AN26)+SUMIFS(Dati!$K$2:$K$381,Dati!$H$2:$H$381,$H26,Dati!$A$2:$A$381,$AN26)+SUMIFS(Dati!$C$2:$C$381,Dati!$A$2:$A$381,$H26,Dati!$H$2:$H$381,$AN26)+SUMIFS(Dati!$J$2:$J$381,Dati!$H$2:$H$381,$H26,Dati!$A$2:$A$381,$AN26),"-")</f>
        <v/>
      </c>
      <c r="CG26" s="22">
        <f>IF(AND($H26&lt;&gt;"",$AO26&lt;&gt;"",$H26&lt;&gt;$AO26,IFERROR(VLOOKUP($H26,areaCercaPuntiClassificaSquadra,3,FALSE),-1)=IFERROR(VLOOKUP($AO26,areaCercaPuntiClassificaSquadra,3,FALSE),-2)),SUMIFS(Dati!$D$2:$D$381,Dati!$A$2:$A$381,$H26,Dati!$H$2:$H$381,$AO26)+SUMIFS(Dati!$K$2:$K$381,Dati!$H$2:$H$381,$H26,Dati!$A$2:$A$381,$AO26)+SUMIFS(Dati!$C$2:$C$381,Dati!$A$2:$A$381,$H26,Dati!$H$2:$H$381,$AO26)+SUMIFS(Dati!$J$2:$J$381,Dati!$H$2:$H$381,$H26,Dati!$A$2:$A$381,$AO26),"-")</f>
        <v/>
      </c>
      <c r="CH26" s="22">
        <f>IF(AND($H26&lt;&gt;"",$AP26&lt;&gt;"",$H26&lt;&gt;$AP26,IFERROR(VLOOKUP($H26,areaCercaPuntiClassificaSquadra,3,FALSE),-1)=IFERROR(VLOOKUP($AP26,areaCercaPuntiClassificaSquadra,3,FALSE),-2)),SUMIFS(Dati!$D$2:$D$381,Dati!$A$2:$A$381,$H26,Dati!$H$2:$H$381,$AP26)+SUMIFS(Dati!$K$2:$K$381,Dati!$H$2:$H$381,$H26,Dati!$A$2:$A$381,$AP26)+SUMIFS(Dati!$C$2:$C$381,Dati!$A$2:$A$381,$H26,Dati!$H$2:$H$381,$AP26)+SUMIFS(Dati!$J$2:$J$381,Dati!$H$2:$H$381,$H26,Dati!$A$2:$A$381,$AP26),"-")</f>
        <v/>
      </c>
      <c r="CI26" s="22">
        <f>IF(AND($H26&lt;&gt;"",$AQ26&lt;&gt;"",$H26&lt;&gt;$AQ26,IFERROR(VLOOKUP($H26,areaCercaPuntiClassificaSquadra,3,FALSE),-1)=IFERROR(VLOOKUP($AQ26,areaCercaPuntiClassificaSquadra,3,FALSE),-2)),SUMIFS(Dati!$D$2:$D$381,Dati!$A$2:$A$381,$H26,Dati!$H$2:$H$381,$AQ26)+SUMIFS(Dati!$K$2:$K$381,Dati!$H$2:$H$381,$H26,Dati!$A$2:$A$381,$AQ26)+SUMIFS(Dati!$C$2:$C$381,Dati!$A$2:$A$381,$H26,Dati!$H$2:$H$381,$AQ26)+SUMIFS(Dati!$J$2:$J$381,Dati!$H$2:$H$381,$H26,Dati!$A$2:$A$381,$AQ26),"-")</f>
        <v/>
      </c>
      <c r="CJ26" s="22">
        <f>IF(AND($H26&lt;&gt;"",$AR26&lt;&gt;"",$H26&lt;&gt;$AR26,IFERROR(VLOOKUP($H26,areaCercaPuntiClassificaSquadra,3,FALSE),-1)=IFERROR(VLOOKUP($AR26,areaCercaPuntiClassificaSquadra,3,FALSE),-2)),SUMIFS(Dati!$D$2:$D$381,Dati!$A$2:$A$381,$H26,Dati!$H$2:$H$381,$AR26)+SUMIFS(Dati!$K$2:$K$381,Dati!$H$2:$H$381,$H26,Dati!$A$2:$A$381,$AR26)+SUMIFS(Dati!$C$2:$C$381,Dati!$A$2:$A$381,$H26,Dati!$H$2:$H$381,$AR26)+SUMIFS(Dati!$J$2:$J$381,Dati!$H$2:$H$381,$H26,Dati!$A$2:$A$381,$AR26),"-")</f>
        <v/>
      </c>
      <c r="CL26" s="21">
        <f>$C26</f>
        <v/>
      </c>
      <c r="CM26" s="22">
        <f>IF(AND($H26&lt;&gt;"",$Y26&lt;&gt;"",$H26&lt;&gt;$Y26,IFERROR(VLOOKUP($H26,areaCercaPuntiClassificaSquadra,3,FALSE),-1)=IFERROR(VLOOKUP($Y26,areaCercaPuntiClassificaSquadra,3,FALSE),-2)),SUMIFS(Dati!$E$2:$E$381,Dati!$A$2:$A$381,$H26,Dati!$H$2:$H$381,$Y26)+SUMIFS(Dati!$L$2:$L$381,Dati!$H$2:$H$381,$H26,Dati!$A$2:$A$381,$Y26),"-")</f>
        <v/>
      </c>
      <c r="CN26" s="22">
        <f>IF(AND($H26&lt;&gt;"",$Z26&lt;&gt;"",$H26&lt;&gt;$Z26,IFERROR(VLOOKUP($H26,areaCercaPuntiClassificaSquadra,3,FALSE),-1)=IFERROR(VLOOKUP($Z26,areaCercaPuntiClassificaSquadra,3,FALSE),-2)),SUMIFS(Dati!$E$2:$E$381,Dati!$A$2:$A$381,$H26,Dati!$H$2:$H$381,$Z26)+SUMIFS(Dati!$L$2:$L$381,Dati!$H$2:$H$381,$H26,Dati!$A$2:$A$381,$Z26),"-")</f>
        <v/>
      </c>
      <c r="CO26" s="22">
        <f>IF(AND($H26&lt;&gt;"",$AA26&lt;&gt;"",$H26&lt;&gt;$AA26,IFERROR(VLOOKUP($H26,areaCercaPuntiClassificaSquadra,3,FALSE),-1)=IFERROR(VLOOKUP($AA26,areaCercaPuntiClassificaSquadra,3,FALSE),-2)),SUMIFS(Dati!$E$2:$E$381,Dati!$A$2:$A$381,$H26,Dati!$H$2:$H$381,$AA26)+SUMIFS(Dati!$L$2:$L$381,Dati!$H$2:$H$381,$H26,Dati!$A$2:$A$381,$AA26),"-")</f>
        <v/>
      </c>
      <c r="CP26" s="22">
        <f>IF(AND($H26&lt;&gt;"",$AB26&lt;&gt;"",$H26&lt;&gt;$AB26,IFERROR(VLOOKUP($H26,areaCercaPuntiClassificaSquadra,3,FALSE),-1)=IFERROR(VLOOKUP($AB26,areaCercaPuntiClassificaSquadra,3,FALSE),-2)),SUMIFS(Dati!$E$2:$E$381,Dati!$A$2:$A$381,$H26,Dati!$H$2:$H$381,$AB26)+SUMIFS(Dati!$L$2:$L$381,Dati!$H$2:$H$381,$H26,Dati!$A$2:$A$381,$AB26),"-")</f>
        <v/>
      </c>
      <c r="CQ26" s="22">
        <f>IF(AND($H26&lt;&gt;"",$AC26&lt;&gt;"",$H26&lt;&gt;$AC26,IFERROR(VLOOKUP($H26,areaCercaPuntiClassificaSquadra,3,FALSE),-1)=IFERROR(VLOOKUP($AC26,areaCercaPuntiClassificaSquadra,3,FALSE),-2)),SUMIFS(Dati!$E$2:$E$381,Dati!$A$2:$A$381,$H26,Dati!$H$2:$H$381,$AC26)+SUMIFS(Dati!$L$2:$L$381,Dati!$H$2:$H$381,$H26,Dati!$A$2:$A$381,$AC26),"-")</f>
        <v/>
      </c>
      <c r="CR26" s="22">
        <f>IF(AND($H26&lt;&gt;"",$AD26&lt;&gt;"",$H26&lt;&gt;$AD26,IFERROR(VLOOKUP($H26,areaCercaPuntiClassificaSquadra,3,FALSE),-1)=IFERROR(VLOOKUP($AD26,areaCercaPuntiClassificaSquadra,3,FALSE),-2)),SUMIFS(Dati!$E$2:$E$381,Dati!$A$2:$A$381,$H26,Dati!$H$2:$H$381,$AD26)+SUMIFS(Dati!$L$2:$L$381,Dati!$H$2:$H$381,$H26,Dati!$A$2:$A$381,$AD26),"-")</f>
        <v/>
      </c>
      <c r="CS26" s="22">
        <f>IF(AND($H26&lt;&gt;"",$AE26&lt;&gt;"",$H26&lt;&gt;$AE26,IFERROR(VLOOKUP($H26,areaCercaPuntiClassificaSquadra,3,FALSE),-1)=IFERROR(VLOOKUP($AE26,areaCercaPuntiClassificaSquadra,3,FALSE),-2)),SUMIFS(Dati!$E$2:$E$381,Dati!$A$2:$A$381,$H26,Dati!$H$2:$H$381,$AE26)+SUMIFS(Dati!$L$2:$L$381,Dati!$H$2:$H$381,$H26,Dati!$A$2:$A$381,$AE26),"-")</f>
        <v/>
      </c>
      <c r="CT26" s="22">
        <f>IF(AND($H26&lt;&gt;"",$AF26&lt;&gt;"",$H26&lt;&gt;$AF26,IFERROR(VLOOKUP($H26,areaCercaPuntiClassificaSquadra,3,FALSE),-1)=IFERROR(VLOOKUP($AF26,areaCercaPuntiClassificaSquadra,3,FALSE),-2)),SUMIFS(Dati!$E$2:$E$381,Dati!$A$2:$A$381,$H26,Dati!$H$2:$H$381,$AF26)+SUMIFS(Dati!$L$2:$L$381,Dati!$H$2:$H$381,$H26,Dati!$A$2:$A$381,$AF26),"-")</f>
        <v/>
      </c>
      <c r="CU26" s="22">
        <f>IF(AND($H26&lt;&gt;"",$AG26&lt;&gt;"",$H26&lt;&gt;$AG26,IFERROR(VLOOKUP($H26,areaCercaPuntiClassificaSquadra,3,FALSE),-1)=IFERROR(VLOOKUP($AG26,areaCercaPuntiClassificaSquadra,3,FALSE),-2)),SUMIFS(Dati!$E$2:$E$381,Dati!$A$2:$A$381,$H26,Dati!$H$2:$H$381,$AG26)+SUMIFS(Dati!$L$2:$L$381,Dati!$H$2:$H$381,$H26,Dati!$A$2:$A$381,$AG26),"-")</f>
        <v/>
      </c>
      <c r="CV26" s="22">
        <f>IF(AND($H26&lt;&gt;"",$AH26&lt;&gt;"",$H26&lt;&gt;$AH26,IFERROR(VLOOKUP($H26,areaCercaPuntiClassificaSquadra,3,FALSE),-1)=IFERROR(VLOOKUP($AH26,areaCercaPuntiClassificaSquadra,3,FALSE),-2)),SUMIFS(Dati!$E$2:$E$381,Dati!$A$2:$A$381,$H26,Dati!$H$2:$H$381,$AH26)+SUMIFS(Dati!$L$2:$L$381,Dati!$H$2:$H$381,$H26,Dati!$A$2:$A$381,$AH26),"-")</f>
        <v/>
      </c>
      <c r="CW26" s="22">
        <f>IF(AND($H26&lt;&gt;"",$AI26&lt;&gt;"",$H26&lt;&gt;$AI26,IFERROR(VLOOKUP($H26,areaCercaPuntiClassificaSquadra,3,FALSE),-1)=IFERROR(VLOOKUP($AI26,areaCercaPuntiClassificaSquadra,3,FALSE),-2)),SUMIFS(Dati!$E$2:$E$381,Dati!$A$2:$A$381,$H26,Dati!$H$2:$H$381,$AI26)+SUMIFS(Dati!$L$2:$L$381,Dati!$H$2:$H$381,$H26,Dati!$A$2:$A$381,$AI26),"-")</f>
        <v/>
      </c>
      <c r="CX26" s="22">
        <f>IF(AND($H26&lt;&gt;"",$AJ26&lt;&gt;"",$H26&lt;&gt;$AJ26,IFERROR(VLOOKUP($H26,areaCercaPuntiClassificaSquadra,3,FALSE),-1)=IFERROR(VLOOKUP($AJ26,areaCercaPuntiClassificaSquadra,3,FALSE),-2)),SUMIFS(Dati!$E$2:$E$381,Dati!$A$2:$A$381,$H26,Dati!$H$2:$H$381,$AJ26)+SUMIFS(Dati!$L$2:$L$381,Dati!$H$2:$H$381,$H26,Dati!$A$2:$A$381,$AJ26),"-")</f>
        <v/>
      </c>
      <c r="CY26" s="22">
        <f>IF(AND($H26&lt;&gt;"",$AK26&lt;&gt;"",$H26&lt;&gt;$AK26,IFERROR(VLOOKUP($H26,areaCercaPuntiClassificaSquadra,3,FALSE),-1)=IFERROR(VLOOKUP($AK26,areaCercaPuntiClassificaSquadra,3,FALSE),-2)),SUMIFS(Dati!$E$2:$E$381,Dati!$A$2:$A$381,$H26,Dati!$H$2:$H$381,$AK26)+SUMIFS(Dati!$L$2:$L$381,Dati!$H$2:$H$381,$H26,Dati!$A$2:$A$381,$AK26),"-")</f>
        <v/>
      </c>
      <c r="CZ26" s="22">
        <f>IF(AND($H26&lt;&gt;"",$AL26&lt;&gt;"",$H26&lt;&gt;$AL26,IFERROR(VLOOKUP($H26,areaCercaPuntiClassificaSquadra,3,FALSE),-1)=IFERROR(VLOOKUP($AL26,areaCercaPuntiClassificaSquadra,3,FALSE),-2)),SUMIFS(Dati!$E$2:$E$381,Dati!$A$2:$A$381,$H26,Dati!$H$2:$H$381,$AL26)+SUMIFS(Dati!$L$2:$L$381,Dati!$H$2:$H$381,$H26,Dati!$A$2:$A$381,$AL26),"-")</f>
        <v/>
      </c>
      <c r="DA26" s="22">
        <f>IF(AND($H26&lt;&gt;"",$AM26&lt;&gt;"",$H26&lt;&gt;$AM26,IFERROR(VLOOKUP($H26,areaCercaPuntiClassificaSquadra,3,FALSE),-1)=IFERROR(VLOOKUP($AM26,areaCercaPuntiClassificaSquadra,3,FALSE),-2)),SUMIFS(Dati!$E$2:$E$381,Dati!$A$2:$A$381,$H26,Dati!$H$2:$H$381,$AM26)+SUMIFS(Dati!$L$2:$L$381,Dati!$H$2:$H$381,$H26,Dati!$A$2:$A$381,$AM26),"-")</f>
        <v/>
      </c>
      <c r="DB26" s="22">
        <f>IF(AND($H26&lt;&gt;"",$AN26&lt;&gt;"",$H26&lt;&gt;$AN26,IFERROR(VLOOKUP($H26,areaCercaPuntiClassificaSquadra,3,FALSE),-1)=IFERROR(VLOOKUP($AN26,areaCercaPuntiClassificaSquadra,3,FALSE),-2)),SUMIFS(Dati!$E$2:$E$381,Dati!$A$2:$A$381,$H26,Dati!$H$2:$H$381,$AN26)+SUMIFS(Dati!$L$2:$L$381,Dati!$H$2:$H$381,$H26,Dati!$A$2:$A$381,$AN26),"-")</f>
        <v/>
      </c>
      <c r="DC26" s="22">
        <f>IF(AND($H26&lt;&gt;"",$AO26&lt;&gt;"",$H26&lt;&gt;$AO26,IFERROR(VLOOKUP($H26,areaCercaPuntiClassificaSquadra,3,FALSE),-1)=IFERROR(VLOOKUP($AO26,areaCercaPuntiClassificaSquadra,3,FALSE),-2)),SUMIFS(Dati!$E$2:$E$381,Dati!$A$2:$A$381,$H26,Dati!$H$2:$H$381,$AO26)+SUMIFS(Dati!$L$2:$L$381,Dati!$H$2:$H$381,$H26,Dati!$A$2:$A$381,$AO26),"-")</f>
        <v/>
      </c>
      <c r="DD26" s="22">
        <f>IF(AND($H26&lt;&gt;"",$AP26&lt;&gt;"",$H26&lt;&gt;$AP26,IFERROR(VLOOKUP($H26,areaCercaPuntiClassificaSquadra,3,FALSE),-1)=IFERROR(VLOOKUP($AP26,areaCercaPuntiClassificaSquadra,3,FALSE),-2)),SUMIFS(Dati!$E$2:$E$381,Dati!$A$2:$A$381,$H26,Dati!$H$2:$H$381,$AP26)+SUMIFS(Dati!$L$2:$L$381,Dati!$H$2:$H$381,$H26,Dati!$A$2:$A$381,$AP26),"-")</f>
        <v/>
      </c>
      <c r="DE26" s="22">
        <f>IF(AND($H26&lt;&gt;"",$AQ26&lt;&gt;"",$H26&lt;&gt;$AQ26,IFERROR(VLOOKUP($H26,areaCercaPuntiClassificaSquadra,3,FALSE),-1)=IFERROR(VLOOKUP($AQ26,areaCercaPuntiClassificaSquadra,3,FALSE),-2)),SUMIFS(Dati!$E$2:$E$381,Dati!$A$2:$A$381,$H26,Dati!$H$2:$H$381,$AQ26)+SUMIFS(Dati!$L$2:$L$381,Dati!$H$2:$H$381,$H26,Dati!$A$2:$A$381,$AQ26),"-")</f>
        <v/>
      </c>
      <c r="DF26" s="22">
        <f>IF(AND($H26&lt;&gt;"",$AR26&lt;&gt;"",$H26&lt;&gt;$AR26,IFERROR(VLOOKUP($H26,areaCercaPuntiClassificaSquadra,3,FALSE),-1)=IFERROR(VLOOKUP($AR26,areaCercaPuntiClassificaSquadra,3,FALSE),-2)),SUMIFS(Dati!$E$2:$E$381,Dati!$A$2:$A$381,$H26,Dati!$H$2:$H$381,$AR26)+SUMIFS(Dati!$L$2:$L$381,Dati!$H$2:$H$381,$H26,Dati!$A$2:$A$381,$AR26),"-")</f>
        <v/>
      </c>
      <c r="DH26" s="21">
        <f>$C26</f>
        <v/>
      </c>
      <c r="DI26" s="22">
        <f>IF(AND($H26&lt;&gt;"",$Y26&lt;&gt;"",$H26&lt;&gt;$Y26,IFERROR(VLOOKUP($H26,areaCercaPuntiClassificaSquadra,3,FALSE),-1)=IFERROR(VLOOKUP($Y26,areaCercaPuntiClassificaSquadra,3,FALSE),-2)),SUMIFS(Dati!$F$2:$F$381,Dati!$A$2:$A$381,$H26,Dati!$H$2:$H$381,$Y26)+SUMIFS(Dati!$M$2:$M$381,Dati!$H$2:$H$381,$H26,Dati!$A$2:$A$381,$Y26),"-")</f>
        <v/>
      </c>
      <c r="DJ26" s="22">
        <f>IF(AND($H26&lt;&gt;"",$Z26&lt;&gt;"",$H26&lt;&gt;$Z26,IFERROR(VLOOKUP($H26,areaCercaPuntiClassificaSquadra,3,FALSE),-1)=IFERROR(VLOOKUP($Z26,areaCercaPuntiClassificaSquadra,3,FALSE),-2)),SUMIFS(Dati!$F$2:$F$381,Dati!$A$2:$A$381,$H26,Dati!$H$2:$H$381,$Z26)+SUMIFS(Dati!$M$2:$M$381,Dati!$H$2:$H$381,$H26,Dati!$A$2:$A$381,$Z26),"-")</f>
        <v/>
      </c>
      <c r="DK26" s="22">
        <f>IF(AND($H26&lt;&gt;"",$AA26&lt;&gt;"",$H26&lt;&gt;$AA26,IFERROR(VLOOKUP($H26,areaCercaPuntiClassificaSquadra,3,FALSE),-1)=IFERROR(VLOOKUP($AA26,areaCercaPuntiClassificaSquadra,3,FALSE),-2)),SUMIFS(Dati!$F$2:$F$381,Dati!$A$2:$A$381,$H26,Dati!$H$2:$H$381,$AA26)+SUMIFS(Dati!$M$2:$M$381,Dati!$H$2:$H$381,$H26,Dati!$A$2:$A$381,$AA26),"-")</f>
        <v/>
      </c>
      <c r="DL26" s="22">
        <f>IF(AND($H26&lt;&gt;"",$AB26&lt;&gt;"",$H26&lt;&gt;$AB26,IFERROR(VLOOKUP($H26,areaCercaPuntiClassificaSquadra,3,FALSE),-1)=IFERROR(VLOOKUP($AB26,areaCercaPuntiClassificaSquadra,3,FALSE),-2)),SUMIFS(Dati!$F$2:$F$381,Dati!$A$2:$A$381,$H26,Dati!$H$2:$H$381,$AB26)+SUMIFS(Dati!$M$2:$M$381,Dati!$H$2:$H$381,$H26,Dati!$A$2:$A$381,$AB26),"-")</f>
        <v/>
      </c>
      <c r="DM26" s="22">
        <f>IF(AND($H26&lt;&gt;"",$AC26&lt;&gt;"",$H26&lt;&gt;$AC26,IFERROR(VLOOKUP($H26,areaCercaPuntiClassificaSquadra,3,FALSE),-1)=IFERROR(VLOOKUP($AC26,areaCercaPuntiClassificaSquadra,3,FALSE),-2)),SUMIFS(Dati!$F$2:$F$381,Dati!$A$2:$A$381,$H26,Dati!$H$2:$H$381,$AC26)+SUMIFS(Dati!$M$2:$M$381,Dati!$H$2:$H$381,$H26,Dati!$A$2:$A$381,$AC26),"-")</f>
        <v/>
      </c>
      <c r="DN26" s="22">
        <f>IF(AND($H26&lt;&gt;"",$AD26&lt;&gt;"",$H26&lt;&gt;$AD26,IFERROR(VLOOKUP($H26,areaCercaPuntiClassificaSquadra,3,FALSE),-1)=IFERROR(VLOOKUP($AD26,areaCercaPuntiClassificaSquadra,3,FALSE),-2)),SUMIFS(Dati!$F$2:$F$381,Dati!$A$2:$A$381,$H26,Dati!$H$2:$H$381,$AD26)+SUMIFS(Dati!$M$2:$M$381,Dati!$H$2:$H$381,$H26,Dati!$A$2:$A$381,$AD26),"-")</f>
        <v/>
      </c>
      <c r="DO26" s="22">
        <f>IF(AND($H26&lt;&gt;"",$AE26&lt;&gt;"",$H26&lt;&gt;$AE26,IFERROR(VLOOKUP($H26,areaCercaPuntiClassificaSquadra,3,FALSE),-1)=IFERROR(VLOOKUP($AE26,areaCercaPuntiClassificaSquadra,3,FALSE),-2)),SUMIFS(Dati!$F$2:$F$381,Dati!$A$2:$A$381,$H26,Dati!$H$2:$H$381,$AE26)+SUMIFS(Dati!$M$2:$M$381,Dati!$H$2:$H$381,$H26,Dati!$A$2:$A$381,$AE26),"-")</f>
        <v/>
      </c>
      <c r="DP26" s="22">
        <f>IF(AND($H26&lt;&gt;"",$AF26&lt;&gt;"",$H26&lt;&gt;$AF26,IFERROR(VLOOKUP($H26,areaCercaPuntiClassificaSquadra,3,FALSE),-1)=IFERROR(VLOOKUP($AF26,areaCercaPuntiClassificaSquadra,3,FALSE),-2)),SUMIFS(Dati!$F$2:$F$381,Dati!$A$2:$A$381,$H26,Dati!$H$2:$H$381,$AF26)+SUMIFS(Dati!$M$2:$M$381,Dati!$H$2:$H$381,$H26,Dati!$A$2:$A$381,$AF26),"-")</f>
        <v/>
      </c>
      <c r="DQ26" s="22">
        <f>IF(AND($H26&lt;&gt;"",$AG26&lt;&gt;"",$H26&lt;&gt;$AG26,IFERROR(VLOOKUP($H26,areaCercaPuntiClassificaSquadra,3,FALSE),-1)=IFERROR(VLOOKUP($AG26,areaCercaPuntiClassificaSquadra,3,FALSE),-2)),SUMIFS(Dati!$F$2:$F$381,Dati!$A$2:$A$381,$H26,Dati!$H$2:$H$381,$AG26)+SUMIFS(Dati!$M$2:$M$381,Dati!$H$2:$H$381,$H26,Dati!$A$2:$A$381,$AG26),"-")</f>
        <v/>
      </c>
      <c r="DR26" s="22">
        <f>IF(AND($H26&lt;&gt;"",$AH26&lt;&gt;"",$H26&lt;&gt;$AH26,IFERROR(VLOOKUP($H26,areaCercaPuntiClassificaSquadra,3,FALSE),-1)=IFERROR(VLOOKUP($AH26,areaCercaPuntiClassificaSquadra,3,FALSE),-2)),SUMIFS(Dati!$F$2:$F$381,Dati!$A$2:$A$381,$H26,Dati!$H$2:$H$381,$AH26)+SUMIFS(Dati!$M$2:$M$381,Dati!$H$2:$H$381,$H26,Dati!$A$2:$A$381,$AH26),"-")</f>
        <v/>
      </c>
      <c r="DS26" s="22">
        <f>IF(AND($H26&lt;&gt;"",$AI26&lt;&gt;"",$H26&lt;&gt;$AI26,IFERROR(VLOOKUP($H26,areaCercaPuntiClassificaSquadra,3,FALSE),-1)=IFERROR(VLOOKUP($AI26,areaCercaPuntiClassificaSquadra,3,FALSE),-2)),SUMIFS(Dati!$F$2:$F$381,Dati!$A$2:$A$381,$H26,Dati!$H$2:$H$381,$AI26)+SUMIFS(Dati!$M$2:$M$381,Dati!$H$2:$H$381,$H26,Dati!$A$2:$A$381,$AI26),"-")</f>
        <v/>
      </c>
      <c r="DT26" s="22">
        <f>IF(AND($H26&lt;&gt;"",$AJ26&lt;&gt;"",$H26&lt;&gt;$AJ26,IFERROR(VLOOKUP($H26,areaCercaPuntiClassificaSquadra,3,FALSE),-1)=IFERROR(VLOOKUP($AJ26,areaCercaPuntiClassificaSquadra,3,FALSE),-2)),SUMIFS(Dati!$F$2:$F$381,Dati!$A$2:$A$381,$H26,Dati!$H$2:$H$381,$AJ26)+SUMIFS(Dati!$M$2:$M$381,Dati!$H$2:$H$381,$H26,Dati!$A$2:$A$381,$AJ26),"-")</f>
        <v/>
      </c>
      <c r="DU26" s="22">
        <f>IF(AND($H26&lt;&gt;"",$AK26&lt;&gt;"",$H26&lt;&gt;$AK26,IFERROR(VLOOKUP($H26,areaCercaPuntiClassificaSquadra,3,FALSE),-1)=IFERROR(VLOOKUP($AK26,areaCercaPuntiClassificaSquadra,3,FALSE),-2)),SUMIFS(Dati!$F$2:$F$381,Dati!$A$2:$A$381,$H26,Dati!$H$2:$H$381,$AK26)+SUMIFS(Dati!$M$2:$M$381,Dati!$H$2:$H$381,$H26,Dati!$A$2:$A$381,$AK26),"-")</f>
        <v/>
      </c>
      <c r="DV26" s="22">
        <f>IF(AND($H26&lt;&gt;"",$AL26&lt;&gt;"",$H26&lt;&gt;$AL26,IFERROR(VLOOKUP($H26,areaCercaPuntiClassificaSquadra,3,FALSE),-1)=IFERROR(VLOOKUP($AL26,areaCercaPuntiClassificaSquadra,3,FALSE),-2)),SUMIFS(Dati!$F$2:$F$381,Dati!$A$2:$A$381,$H26,Dati!$H$2:$H$381,$AL26)+SUMIFS(Dati!$M$2:$M$381,Dati!$H$2:$H$381,$H26,Dati!$A$2:$A$381,$AL26),"-")</f>
        <v/>
      </c>
      <c r="DW26" s="22">
        <f>IF(AND($H26&lt;&gt;"",$AM26&lt;&gt;"",$H26&lt;&gt;$AM26,IFERROR(VLOOKUP($H26,areaCercaPuntiClassificaSquadra,3,FALSE),-1)=IFERROR(VLOOKUP($AM26,areaCercaPuntiClassificaSquadra,3,FALSE),-2)),SUMIFS(Dati!$F$2:$F$381,Dati!$A$2:$A$381,$H26,Dati!$H$2:$H$381,$AM26)+SUMIFS(Dati!$M$2:$M$381,Dati!$H$2:$H$381,$H26,Dati!$A$2:$A$381,$AM26),"-")</f>
        <v/>
      </c>
      <c r="DX26" s="22">
        <f>IF(AND($H26&lt;&gt;"",$AN26&lt;&gt;"",$H26&lt;&gt;$AN26,IFERROR(VLOOKUP($H26,areaCercaPuntiClassificaSquadra,3,FALSE),-1)=IFERROR(VLOOKUP($AN26,areaCercaPuntiClassificaSquadra,3,FALSE),-2)),SUMIFS(Dati!$F$2:$F$381,Dati!$A$2:$A$381,$H26,Dati!$H$2:$H$381,$AN26)+SUMIFS(Dati!$M$2:$M$381,Dati!$H$2:$H$381,$H26,Dati!$A$2:$A$381,$AN26),"-")</f>
        <v/>
      </c>
      <c r="DY26" s="22">
        <f>IF(AND($H26&lt;&gt;"",$AO26&lt;&gt;"",$H26&lt;&gt;$AO26,IFERROR(VLOOKUP($H26,areaCercaPuntiClassificaSquadra,3,FALSE),-1)=IFERROR(VLOOKUP($AO26,areaCercaPuntiClassificaSquadra,3,FALSE),-2)),SUMIFS(Dati!$F$2:$F$381,Dati!$A$2:$A$381,$H26,Dati!$H$2:$H$381,$AO26)+SUMIFS(Dati!$M$2:$M$381,Dati!$H$2:$H$381,$H26,Dati!$A$2:$A$381,$AO26),"-")</f>
        <v/>
      </c>
      <c r="DZ26" s="22">
        <f>IF(AND($H26&lt;&gt;"",$AP26&lt;&gt;"",$H26&lt;&gt;$AP26,IFERROR(VLOOKUP($H26,areaCercaPuntiClassificaSquadra,3,FALSE),-1)=IFERROR(VLOOKUP($AP26,areaCercaPuntiClassificaSquadra,3,FALSE),-2)),SUMIFS(Dati!$F$2:$F$381,Dati!$A$2:$A$381,$H26,Dati!$H$2:$H$381,$AP26)+SUMIFS(Dati!$M$2:$M$381,Dati!$H$2:$H$381,$H26,Dati!$A$2:$A$381,$AP26),"-")</f>
        <v/>
      </c>
      <c r="EA26" s="22">
        <f>IF(AND($H26&lt;&gt;"",$AQ26&lt;&gt;"",$H26&lt;&gt;$AQ26,IFERROR(VLOOKUP($H26,areaCercaPuntiClassificaSquadra,3,FALSE),-1)=IFERROR(VLOOKUP($AQ26,areaCercaPuntiClassificaSquadra,3,FALSE),-2)),SUMIFS(Dati!$F$2:$F$381,Dati!$A$2:$A$381,$H26,Dati!$H$2:$H$381,$AQ26)+SUMIFS(Dati!$M$2:$M$381,Dati!$H$2:$H$381,$H26,Dati!$A$2:$A$381,$AQ26),"-")</f>
        <v/>
      </c>
      <c r="EB26" s="22">
        <f>IF(AND($H26&lt;&gt;"",$AR26&lt;&gt;"",$H26&lt;&gt;$AR26,IFERROR(VLOOKUP($H26,areaCercaPuntiClassificaSquadra,3,FALSE),-1)=IFERROR(VLOOKUP($AR26,areaCercaPuntiClassificaSquadra,3,FALSE),-2)),SUMIFS(Dati!$F$2:$F$381,Dati!$A$2:$A$381,$H26,Dati!$H$2:$H$381,$AR26)+SUMIFS(Dati!$M$2:$M$381,Dati!$H$2:$H$381,$H26,Dati!$A$2:$A$381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inlineStr">
        <is>
          <t>Rinoceronti Regali-Rinocerontiopoli RO</t>
        </is>
      </c>
      <c r="D27" s="14" t="n"/>
      <c r="E27" s="15" t="inlineStr">
        <is>
          <t>A</t>
        </is>
      </c>
      <c r="G27" s="16">
        <f>IF($C27="","",$E27&amp;(COUNTIFS(I$14:I$53,"&gt;"&amp;I27,E$14:E$53,"="&amp;E27,C$14:C$53,"&lt;&gt;")+COUNTIFS(I$14:I$53,"="&amp;I27,H$14:H$53,"&lt;="&amp;H27,E$14:E$53,"="&amp;E27,C$14:C$53,"&lt;&gt;")))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L27*constPuntiVittoria+M27*constPuntiSconfitta+N27*constPuntiForfait+IF(D27="",0,D27)</f>
        <v/>
      </c>
      <c r="K27" s="12">
        <f>SUM(L27:N27)</f>
        <v/>
      </c>
      <c r="L27" s="12">
        <f>IF($H27="",0,SUMIF(Dati!$A$2:$A$381,$H27,Dati!$B$2:$B$381)+SUMIF(Dati!$H$2:$H$381,$H27,Dati!$I$2:$I$381))</f>
        <v/>
      </c>
      <c r="M27" s="12">
        <f>IF($H27="",0,SUMIF(Dati!$A$2:$A$381,$H27,Dati!$D$2:$D$381)+SUMIF(Dati!$H$2:$H$381,$H27,Dati!$K$2:$K$381))</f>
        <v/>
      </c>
      <c r="N27" s="12">
        <f>IF($H27="",0,SUMIF(Dati!$A$2:$A$381,$H27,Dati!$C$2:$C$381)+SUMIF(Dati!$H$2:$H$381,$H27,Dati!$J$2:$J$381))</f>
        <v/>
      </c>
      <c r="O27" s="12">
        <f>IF($H27="",0,SUMIF(Dati!$A$2:$A$381,$H27,Dati!$E$2:$E$381)+SUMIF(Dati!$H$2:$H$381,$H27,Dati!$L$2:$L$381))</f>
        <v/>
      </c>
      <c r="P27" s="12">
        <f>IF($H27="",0,SUMIF(Dati!$A$2:$A$381,$H27,Dati!$F$2:$F$381)+SUMIF(Dati!$H$2:$H$381,$H27,Dati!$M$2:$M$381))</f>
        <v/>
      </c>
      <c r="Q27" s="12">
        <f>IF($H27="",0,SUMIF(Dati!$A$2:$A$381,$H27,Dati!$G$2:$G$381)+SUMIF(Dati!$H$2:$H$381,$H27,Dati!$N$2:$N$381))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IF(COUNTIFS($E$14:$E$53,$E27,$J$14:$J$53,$J27,$C$14:$C$53,"&lt;&gt;")&lt;=1,"-",SUM(AU27:BN27)&amp;"-"&amp;SUM(BQ27:CJ27))</f>
        <v/>
      </c>
      <c r="V27" s="18">
        <f>IF(COUNTIFS($E$14:$E$53,$E27,$J$14:$J$53,$J27,$C$14:$C$53,"&lt;&gt;",$ED$14:$ED$53,$ED27)&lt;=1,"-",IF(SUM(DI27:EB27)=0,0,ROUND(SUM(CM27:DF27)/SUM(DI27:EB27),3)))</f>
        <v/>
      </c>
      <c r="W27" s="18">
        <f>IF(COUNTIFS($E$14:$E$53,$E27,$J$14:$J$53,$J27,$C$14:$C$53,"&lt;&gt;",$ED$14:$ED$53,$ED27,$V$14:$V$53,$V27)&lt;=1,"-",IF(P27=0,0,ROUND(O27/P27,3)))</f>
        <v/>
      </c>
      <c r="X27" s="19">
        <f>IF($C27="","",$E27&amp;"#"&amp;COUNTIFS($E$14:$E27,$E27,$C$14:$C27,"&lt;&gt;"))</f>
        <v/>
      </c>
      <c r="Y27" s="20">
        <f>IFERROR(INDEX($H$14:$H$53,MATCH($E27&amp;"#1",$X$14:$X$53,0)),"")</f>
        <v/>
      </c>
      <c r="Z27" s="20">
        <f>IFERROR(INDEX($H$14:$H$53,MATCH($E27&amp;"#2",$X$14:$X$53,0)),"")</f>
        <v/>
      </c>
      <c r="AA27" s="20">
        <f>IFERROR(INDEX($H$14:$H$53,MATCH($E27&amp;"#3",$X$14:$X$53,0)),"")</f>
        <v/>
      </c>
      <c r="AB27" s="20">
        <f>IFERROR(INDEX($H$14:$H$53,MATCH($E27&amp;"#4",$X$14:$X$53,0)),"")</f>
        <v/>
      </c>
      <c r="AC27" s="20">
        <f>IFERROR(INDEX($H$14:$H$53,MATCH($E27&amp;"#5",$X$14:$X$53,0)),"")</f>
        <v/>
      </c>
      <c r="AD27" s="20">
        <f>IFERROR(INDEX($H$14:$H$53,MATCH($E27&amp;"#6",$X$14:$X$53,0)),"")</f>
        <v/>
      </c>
      <c r="AE27" s="20">
        <f>IFERROR(INDEX($H$14:$H$53,MATCH($E27&amp;"#7",$X$14:$X$53,0)),"")</f>
        <v/>
      </c>
      <c r="AF27" s="20">
        <f>IFERROR(INDEX($H$14:$H$53,MATCH($E27&amp;"#8",$X$14:$X$53,0)),"")</f>
        <v/>
      </c>
      <c r="AG27" s="20">
        <f>IFERROR(INDEX($H$14:$H$53,MATCH($E27&amp;"#9",$X$14:$X$53,0)),"")</f>
        <v/>
      </c>
      <c r="AH27" s="20">
        <f>IFERROR(INDEX($H$14:$H$53,MATCH($E27&amp;"#10",$X$14:$X$53,0)),"")</f>
        <v/>
      </c>
      <c r="AI27" s="20">
        <f>IFERROR(INDEX($H$14:$H$53,MATCH($E27&amp;"#11",$X$14:$X$53,0)),"")</f>
        <v/>
      </c>
      <c r="AJ27" s="20">
        <f>IFERROR(INDEX($H$14:$H$53,MATCH($E27&amp;"#12",$X$14:$X$53,0)),"")</f>
        <v/>
      </c>
      <c r="AK27" s="20">
        <f>IFERROR(INDEX($H$14:$H$53,MATCH($E27&amp;"#13",$X$14:$X$53,0)),"")</f>
        <v/>
      </c>
      <c r="AL27" s="20">
        <f>IFERROR(INDEX($H$14:$H$53,MATCH($E27&amp;"#14",$X$14:$X$53,0)),"")</f>
        <v/>
      </c>
      <c r="AM27" s="20">
        <f>IFERROR(INDEX($H$14:$H$53,MATCH($E27&amp;"#15",$X$14:$X$53,0)),"")</f>
        <v/>
      </c>
      <c r="AN27" s="20">
        <f>IFERROR(INDEX($H$14:$H$53,MATCH($E27&amp;"#16",$X$14:$X$53,0)),"")</f>
        <v/>
      </c>
      <c r="AO27" s="20">
        <f>IFERROR(INDEX($H$14:$H$53,MATCH($E27&amp;"#17",$X$14:$X$53,0)),"")</f>
        <v/>
      </c>
      <c r="AP27" s="20">
        <f>IFERROR(INDEX($H$14:$H$53,MATCH($E27&amp;"#18",$X$14:$X$53,0)),"")</f>
        <v/>
      </c>
      <c r="AQ27" s="20">
        <f>IFERROR(INDEX($H$14:$H$53,MATCH($E27&amp;"#19",$X$14:$X$53,0)),"")</f>
        <v/>
      </c>
      <c r="AR27" s="20">
        <f>IFERROR(INDEX($H$14:$H$53,MATCH($E27&amp;"#20",$X$14:$X$53,0)),"")</f>
        <v/>
      </c>
      <c r="AT27" s="21">
        <f>$C27</f>
        <v/>
      </c>
      <c r="AU27" s="22">
        <f>IF(AND($H27&lt;&gt;"",$Y27&lt;&gt;"",$H27&lt;&gt;$Y27,IFERROR(VLOOKUP($H27,areaCercaPuntiClassificaSquadra,3,FALSE),-1)=IFERROR(VLOOKUP($Y27,areaCercaPuntiClassificaSquadra,3,FALSE),-2)),SUMIFS(Dati!$B$2:$B$381,Dati!$A$2:$A$381,$H27,Dati!$H$2:$H$381,$Y27)+SUMIFS(Dati!$I$2:$I$381,Dati!$H$2:$H$381,$H27,Dati!$A$2:$A$381,$Y27),"-")</f>
        <v/>
      </c>
      <c r="AV27" s="22">
        <f>IF(AND($H27&lt;&gt;"",$Z27&lt;&gt;"",$H27&lt;&gt;$Z27,IFERROR(VLOOKUP($H27,areaCercaPuntiClassificaSquadra,3,FALSE),-1)=IFERROR(VLOOKUP($Z27,areaCercaPuntiClassificaSquadra,3,FALSE),-2)),SUMIFS(Dati!$B$2:$B$381,Dati!$A$2:$A$381,$H27,Dati!$H$2:$H$381,$Z27)+SUMIFS(Dati!$I$2:$I$381,Dati!$H$2:$H$381,$H27,Dati!$A$2:$A$381,$Z27),"-")</f>
        <v/>
      </c>
      <c r="AW27" s="22">
        <f>IF(AND($H27&lt;&gt;"",$AA27&lt;&gt;"",$H27&lt;&gt;$AA27,IFERROR(VLOOKUP($H27,areaCercaPuntiClassificaSquadra,3,FALSE),-1)=IFERROR(VLOOKUP($AA27,areaCercaPuntiClassificaSquadra,3,FALSE),-2)),SUMIFS(Dati!$B$2:$B$381,Dati!$A$2:$A$381,$H27,Dati!$H$2:$H$381,$AA27)+SUMIFS(Dati!$I$2:$I$381,Dati!$H$2:$H$381,$H27,Dati!$A$2:$A$381,$AA27),"-")</f>
        <v/>
      </c>
      <c r="AX27" s="22">
        <f>IF(AND($H27&lt;&gt;"",$AB27&lt;&gt;"",$H27&lt;&gt;$AB27,IFERROR(VLOOKUP($H27,areaCercaPuntiClassificaSquadra,3,FALSE),-1)=IFERROR(VLOOKUP($AB27,areaCercaPuntiClassificaSquadra,3,FALSE),-2)),SUMIFS(Dati!$B$2:$B$381,Dati!$A$2:$A$381,$H27,Dati!$H$2:$H$381,$AB27)+SUMIFS(Dati!$I$2:$I$381,Dati!$H$2:$H$381,$H27,Dati!$A$2:$A$381,$AB27),"-")</f>
        <v/>
      </c>
      <c r="AY27" s="22">
        <f>IF(AND($H27&lt;&gt;"",$AC27&lt;&gt;"",$H27&lt;&gt;$AC27,IFERROR(VLOOKUP($H27,areaCercaPuntiClassificaSquadra,3,FALSE),-1)=IFERROR(VLOOKUP($AC27,areaCercaPuntiClassificaSquadra,3,FALSE),-2)),SUMIFS(Dati!$B$2:$B$381,Dati!$A$2:$A$381,$H27,Dati!$H$2:$H$381,$AC27)+SUMIFS(Dati!$I$2:$I$381,Dati!$H$2:$H$381,$H27,Dati!$A$2:$A$381,$AC27),"-")</f>
        <v/>
      </c>
      <c r="AZ27" s="22">
        <f>IF(AND($H27&lt;&gt;"",$AD27&lt;&gt;"",$H27&lt;&gt;$AD27,IFERROR(VLOOKUP($H27,areaCercaPuntiClassificaSquadra,3,FALSE),-1)=IFERROR(VLOOKUP($AD27,areaCercaPuntiClassificaSquadra,3,FALSE),-2)),SUMIFS(Dati!$B$2:$B$381,Dati!$A$2:$A$381,$H27,Dati!$H$2:$H$381,$AD27)+SUMIFS(Dati!$I$2:$I$381,Dati!$H$2:$H$381,$H27,Dati!$A$2:$A$381,$AD27),"-")</f>
        <v/>
      </c>
      <c r="BA27" s="22">
        <f>IF(AND($H27&lt;&gt;"",$AE27&lt;&gt;"",$H27&lt;&gt;$AE27,IFERROR(VLOOKUP($H27,areaCercaPuntiClassificaSquadra,3,FALSE),-1)=IFERROR(VLOOKUP($AE27,areaCercaPuntiClassificaSquadra,3,FALSE),-2)),SUMIFS(Dati!$B$2:$B$381,Dati!$A$2:$A$381,$H27,Dati!$H$2:$H$381,$AE27)+SUMIFS(Dati!$I$2:$I$381,Dati!$H$2:$H$381,$H27,Dati!$A$2:$A$381,$AE27),"-")</f>
        <v/>
      </c>
      <c r="BB27" s="22">
        <f>IF(AND($H27&lt;&gt;"",$AF27&lt;&gt;"",$H27&lt;&gt;$AF27,IFERROR(VLOOKUP($H27,areaCercaPuntiClassificaSquadra,3,FALSE),-1)=IFERROR(VLOOKUP($AF27,areaCercaPuntiClassificaSquadra,3,FALSE),-2)),SUMIFS(Dati!$B$2:$B$381,Dati!$A$2:$A$381,$H27,Dati!$H$2:$H$381,$AF27)+SUMIFS(Dati!$I$2:$I$381,Dati!$H$2:$H$381,$H27,Dati!$A$2:$A$381,$AF27),"-")</f>
        <v/>
      </c>
      <c r="BC27" s="22">
        <f>IF(AND($H27&lt;&gt;"",$AG27&lt;&gt;"",$H27&lt;&gt;$AG27,IFERROR(VLOOKUP($H27,areaCercaPuntiClassificaSquadra,3,FALSE),-1)=IFERROR(VLOOKUP($AG27,areaCercaPuntiClassificaSquadra,3,FALSE),-2)),SUMIFS(Dati!$B$2:$B$381,Dati!$A$2:$A$381,$H27,Dati!$H$2:$H$381,$AG27)+SUMIFS(Dati!$I$2:$I$381,Dati!$H$2:$H$381,$H27,Dati!$A$2:$A$381,$AG27),"-")</f>
        <v/>
      </c>
      <c r="BD27" s="22">
        <f>IF(AND($H27&lt;&gt;"",$AH27&lt;&gt;"",$H27&lt;&gt;$AH27,IFERROR(VLOOKUP($H27,areaCercaPuntiClassificaSquadra,3,FALSE),-1)=IFERROR(VLOOKUP($AH27,areaCercaPuntiClassificaSquadra,3,FALSE),-2)),SUMIFS(Dati!$B$2:$B$381,Dati!$A$2:$A$381,$H27,Dati!$H$2:$H$381,$AH27)+SUMIFS(Dati!$I$2:$I$381,Dati!$H$2:$H$381,$H27,Dati!$A$2:$A$381,$AH27),"-")</f>
        <v/>
      </c>
      <c r="BE27" s="22">
        <f>IF(AND($H27&lt;&gt;"",$AI27&lt;&gt;"",$H27&lt;&gt;$AI27,IFERROR(VLOOKUP($H27,areaCercaPuntiClassificaSquadra,3,FALSE),-1)=IFERROR(VLOOKUP($AI27,areaCercaPuntiClassificaSquadra,3,FALSE),-2)),SUMIFS(Dati!$B$2:$B$381,Dati!$A$2:$A$381,$H27,Dati!$H$2:$H$381,$AI27)+SUMIFS(Dati!$I$2:$I$381,Dati!$H$2:$H$381,$H27,Dati!$A$2:$A$381,$AI27),"-")</f>
        <v/>
      </c>
      <c r="BF27" s="22">
        <f>IF(AND($H27&lt;&gt;"",$AJ27&lt;&gt;"",$H27&lt;&gt;$AJ27,IFERROR(VLOOKUP($H27,areaCercaPuntiClassificaSquadra,3,FALSE),-1)=IFERROR(VLOOKUP($AJ27,areaCercaPuntiClassificaSquadra,3,FALSE),-2)),SUMIFS(Dati!$B$2:$B$381,Dati!$A$2:$A$381,$H27,Dati!$H$2:$H$381,$AJ27)+SUMIFS(Dati!$I$2:$I$381,Dati!$H$2:$H$381,$H27,Dati!$A$2:$A$381,$AJ27),"-")</f>
        <v/>
      </c>
      <c r="BG27" s="22">
        <f>IF(AND($H27&lt;&gt;"",$AK27&lt;&gt;"",$H27&lt;&gt;$AK27,IFERROR(VLOOKUP($H27,areaCercaPuntiClassificaSquadra,3,FALSE),-1)=IFERROR(VLOOKUP($AK27,areaCercaPuntiClassificaSquadra,3,FALSE),-2)),SUMIFS(Dati!$B$2:$B$381,Dati!$A$2:$A$381,$H27,Dati!$H$2:$H$381,$AK27)+SUMIFS(Dati!$I$2:$I$381,Dati!$H$2:$H$381,$H27,Dati!$A$2:$A$381,$AK27),"-")</f>
        <v/>
      </c>
      <c r="BH27" s="22">
        <f>IF(AND($H27&lt;&gt;"",$AL27&lt;&gt;"",$H27&lt;&gt;$AL27,IFERROR(VLOOKUP($H27,areaCercaPuntiClassificaSquadra,3,FALSE),-1)=IFERROR(VLOOKUP($AL27,areaCercaPuntiClassificaSquadra,3,FALSE),-2)),SUMIFS(Dati!$B$2:$B$381,Dati!$A$2:$A$381,$H27,Dati!$H$2:$H$381,$AL27)+SUMIFS(Dati!$I$2:$I$381,Dati!$H$2:$H$381,$H27,Dati!$A$2:$A$381,$AL27),"-")</f>
        <v/>
      </c>
      <c r="BI27" s="22">
        <f>IF(AND($H27&lt;&gt;"",$AM27&lt;&gt;"",$H27&lt;&gt;$AM27,IFERROR(VLOOKUP($H27,areaCercaPuntiClassificaSquadra,3,FALSE),-1)=IFERROR(VLOOKUP($AM27,areaCercaPuntiClassificaSquadra,3,FALSE),-2)),SUMIFS(Dati!$B$2:$B$381,Dati!$A$2:$A$381,$H27,Dati!$H$2:$H$381,$AM27)+SUMIFS(Dati!$I$2:$I$381,Dati!$H$2:$H$381,$H27,Dati!$A$2:$A$381,$AM27),"-")</f>
        <v/>
      </c>
      <c r="BJ27" s="22">
        <f>IF(AND($H27&lt;&gt;"",$AN27&lt;&gt;"",$H27&lt;&gt;$AN27,IFERROR(VLOOKUP($H27,areaCercaPuntiClassificaSquadra,3,FALSE),-1)=IFERROR(VLOOKUP($AN27,areaCercaPuntiClassificaSquadra,3,FALSE),-2)),SUMIFS(Dati!$B$2:$B$381,Dati!$A$2:$A$381,$H27,Dati!$H$2:$H$381,$AN27)+SUMIFS(Dati!$I$2:$I$381,Dati!$H$2:$H$381,$H27,Dati!$A$2:$A$381,$AN27),"-")</f>
        <v/>
      </c>
      <c r="BK27" s="22">
        <f>IF(AND($H27&lt;&gt;"",$AO27&lt;&gt;"",$H27&lt;&gt;$AO27,IFERROR(VLOOKUP($H27,areaCercaPuntiClassificaSquadra,3,FALSE),-1)=IFERROR(VLOOKUP($AO27,areaCercaPuntiClassificaSquadra,3,FALSE),-2)),SUMIFS(Dati!$B$2:$B$381,Dati!$A$2:$A$381,$H27,Dati!$H$2:$H$381,$AO27)+SUMIFS(Dati!$I$2:$I$381,Dati!$H$2:$H$381,$H27,Dati!$A$2:$A$381,$AO27),"-")</f>
        <v/>
      </c>
      <c r="BL27" s="22">
        <f>IF(AND($H27&lt;&gt;"",$AP27&lt;&gt;"",$H27&lt;&gt;$AP27,IFERROR(VLOOKUP($H27,areaCercaPuntiClassificaSquadra,3,FALSE),-1)=IFERROR(VLOOKUP($AP27,areaCercaPuntiClassificaSquadra,3,FALSE),-2)),SUMIFS(Dati!$B$2:$B$381,Dati!$A$2:$A$381,$H27,Dati!$H$2:$H$381,$AP27)+SUMIFS(Dati!$I$2:$I$381,Dati!$H$2:$H$381,$H27,Dati!$A$2:$A$381,$AP27),"-")</f>
        <v/>
      </c>
      <c r="BM27" s="22">
        <f>IF(AND($H27&lt;&gt;"",$AQ27&lt;&gt;"",$H27&lt;&gt;$AQ27,IFERROR(VLOOKUP($H27,areaCercaPuntiClassificaSquadra,3,FALSE),-1)=IFERROR(VLOOKUP($AQ27,areaCercaPuntiClassificaSquadra,3,FALSE),-2)),SUMIFS(Dati!$B$2:$B$381,Dati!$A$2:$A$381,$H27,Dati!$H$2:$H$381,$AQ27)+SUMIFS(Dati!$I$2:$I$381,Dati!$H$2:$H$381,$H27,Dati!$A$2:$A$381,$AQ27),"-")</f>
        <v/>
      </c>
      <c r="BN27" s="22">
        <f>IF(AND($H27&lt;&gt;"",$AR27&lt;&gt;"",$H27&lt;&gt;$AR27,IFERROR(VLOOKUP($H27,areaCercaPuntiClassificaSquadra,3,FALSE),-1)=IFERROR(VLOOKUP($AR27,areaCercaPuntiClassificaSquadra,3,FALSE),-2)),SUMIFS(Dati!$B$2:$B$381,Dati!$A$2:$A$381,$H27,Dati!$H$2:$H$381,$AR27)+SUMIFS(Dati!$I$2:$I$381,Dati!$H$2:$H$381,$H27,Dati!$A$2:$A$381,$AR27),"-")</f>
        <v/>
      </c>
      <c r="BP27" s="21">
        <f>$C27</f>
        <v/>
      </c>
      <c r="BQ27" s="22">
        <f>IF(AND($H27&lt;&gt;"",$Y27&lt;&gt;"",$H27&lt;&gt;$Y27,IFERROR(VLOOKUP($H27,areaCercaPuntiClassificaSquadra,3,FALSE),-1)=IFERROR(VLOOKUP($Y27,areaCercaPuntiClassificaSquadra,3,FALSE),-2)),SUMIFS(Dati!$D$2:$D$381,Dati!$A$2:$A$381,$H27,Dati!$H$2:$H$381,$Y27)+SUMIFS(Dati!$K$2:$K$381,Dati!$H$2:$H$381,$H27,Dati!$A$2:$A$381,$Y27)+SUMIFS(Dati!$C$2:$C$381,Dati!$A$2:$A$381,$H27,Dati!$H$2:$H$381,$Y27)+SUMIFS(Dati!$J$2:$J$381,Dati!$H$2:$H$381,$H27,Dati!$A$2:$A$381,$Y27),"-")</f>
        <v/>
      </c>
      <c r="BR27" s="22">
        <f>IF(AND($H27&lt;&gt;"",$Z27&lt;&gt;"",$H27&lt;&gt;$Z27,IFERROR(VLOOKUP($H27,areaCercaPuntiClassificaSquadra,3,FALSE),-1)=IFERROR(VLOOKUP($Z27,areaCercaPuntiClassificaSquadra,3,FALSE),-2)),SUMIFS(Dati!$D$2:$D$381,Dati!$A$2:$A$381,$H27,Dati!$H$2:$H$381,$Z27)+SUMIFS(Dati!$K$2:$K$381,Dati!$H$2:$H$381,$H27,Dati!$A$2:$A$381,$Z27)+SUMIFS(Dati!$C$2:$C$381,Dati!$A$2:$A$381,$H27,Dati!$H$2:$H$381,$Z27)+SUMIFS(Dati!$J$2:$J$381,Dati!$H$2:$H$381,$H27,Dati!$A$2:$A$381,$Z27),"-")</f>
        <v/>
      </c>
      <c r="BS27" s="22">
        <f>IF(AND($H27&lt;&gt;"",$AA27&lt;&gt;"",$H27&lt;&gt;$AA27,IFERROR(VLOOKUP($H27,areaCercaPuntiClassificaSquadra,3,FALSE),-1)=IFERROR(VLOOKUP($AA27,areaCercaPuntiClassificaSquadra,3,FALSE),-2)),SUMIFS(Dati!$D$2:$D$381,Dati!$A$2:$A$381,$H27,Dati!$H$2:$H$381,$AA27)+SUMIFS(Dati!$K$2:$K$381,Dati!$H$2:$H$381,$H27,Dati!$A$2:$A$381,$AA27)+SUMIFS(Dati!$C$2:$C$381,Dati!$A$2:$A$381,$H27,Dati!$H$2:$H$381,$AA27)+SUMIFS(Dati!$J$2:$J$381,Dati!$H$2:$H$381,$H27,Dati!$A$2:$A$381,$AA27),"-")</f>
        <v/>
      </c>
      <c r="BT27" s="22">
        <f>IF(AND($H27&lt;&gt;"",$AB27&lt;&gt;"",$H27&lt;&gt;$AB27,IFERROR(VLOOKUP($H27,areaCercaPuntiClassificaSquadra,3,FALSE),-1)=IFERROR(VLOOKUP($AB27,areaCercaPuntiClassificaSquadra,3,FALSE),-2)),SUMIFS(Dati!$D$2:$D$381,Dati!$A$2:$A$381,$H27,Dati!$H$2:$H$381,$AB27)+SUMIFS(Dati!$K$2:$K$381,Dati!$H$2:$H$381,$H27,Dati!$A$2:$A$381,$AB27)+SUMIFS(Dati!$C$2:$C$381,Dati!$A$2:$A$381,$H27,Dati!$H$2:$H$381,$AB27)+SUMIFS(Dati!$J$2:$J$381,Dati!$H$2:$H$381,$H27,Dati!$A$2:$A$381,$AB27),"-")</f>
        <v/>
      </c>
      <c r="BU27" s="22">
        <f>IF(AND($H27&lt;&gt;"",$AC27&lt;&gt;"",$H27&lt;&gt;$AC27,IFERROR(VLOOKUP($H27,areaCercaPuntiClassificaSquadra,3,FALSE),-1)=IFERROR(VLOOKUP($AC27,areaCercaPuntiClassificaSquadra,3,FALSE),-2)),SUMIFS(Dati!$D$2:$D$381,Dati!$A$2:$A$381,$H27,Dati!$H$2:$H$381,$AC27)+SUMIFS(Dati!$K$2:$K$381,Dati!$H$2:$H$381,$H27,Dati!$A$2:$A$381,$AC27)+SUMIFS(Dati!$C$2:$C$381,Dati!$A$2:$A$381,$H27,Dati!$H$2:$H$381,$AC27)+SUMIFS(Dati!$J$2:$J$381,Dati!$H$2:$H$381,$H27,Dati!$A$2:$A$381,$AC27),"-")</f>
        <v/>
      </c>
      <c r="BV27" s="22">
        <f>IF(AND($H27&lt;&gt;"",$AD27&lt;&gt;"",$H27&lt;&gt;$AD27,IFERROR(VLOOKUP($H27,areaCercaPuntiClassificaSquadra,3,FALSE),-1)=IFERROR(VLOOKUP($AD27,areaCercaPuntiClassificaSquadra,3,FALSE),-2)),SUMIFS(Dati!$D$2:$D$381,Dati!$A$2:$A$381,$H27,Dati!$H$2:$H$381,$AD27)+SUMIFS(Dati!$K$2:$K$381,Dati!$H$2:$H$381,$H27,Dati!$A$2:$A$381,$AD27)+SUMIFS(Dati!$C$2:$C$381,Dati!$A$2:$A$381,$H27,Dati!$H$2:$H$381,$AD27)+SUMIFS(Dati!$J$2:$J$381,Dati!$H$2:$H$381,$H27,Dati!$A$2:$A$381,$AD27),"-")</f>
        <v/>
      </c>
      <c r="BW27" s="22">
        <f>IF(AND($H27&lt;&gt;"",$AE27&lt;&gt;"",$H27&lt;&gt;$AE27,IFERROR(VLOOKUP($H27,areaCercaPuntiClassificaSquadra,3,FALSE),-1)=IFERROR(VLOOKUP($AE27,areaCercaPuntiClassificaSquadra,3,FALSE),-2)),SUMIFS(Dati!$D$2:$D$381,Dati!$A$2:$A$381,$H27,Dati!$H$2:$H$381,$AE27)+SUMIFS(Dati!$K$2:$K$381,Dati!$H$2:$H$381,$H27,Dati!$A$2:$A$381,$AE27)+SUMIFS(Dati!$C$2:$C$381,Dati!$A$2:$A$381,$H27,Dati!$H$2:$H$381,$AE27)+SUMIFS(Dati!$J$2:$J$381,Dati!$H$2:$H$381,$H27,Dati!$A$2:$A$381,$AE27),"-")</f>
        <v/>
      </c>
      <c r="BX27" s="22">
        <f>IF(AND($H27&lt;&gt;"",$AF27&lt;&gt;"",$H27&lt;&gt;$AF27,IFERROR(VLOOKUP($H27,areaCercaPuntiClassificaSquadra,3,FALSE),-1)=IFERROR(VLOOKUP($AF27,areaCercaPuntiClassificaSquadra,3,FALSE),-2)),SUMIFS(Dati!$D$2:$D$381,Dati!$A$2:$A$381,$H27,Dati!$H$2:$H$381,$AF27)+SUMIFS(Dati!$K$2:$K$381,Dati!$H$2:$H$381,$H27,Dati!$A$2:$A$381,$AF27)+SUMIFS(Dati!$C$2:$C$381,Dati!$A$2:$A$381,$H27,Dati!$H$2:$H$381,$AF27)+SUMIFS(Dati!$J$2:$J$381,Dati!$H$2:$H$381,$H27,Dati!$A$2:$A$381,$AF27),"-")</f>
        <v/>
      </c>
      <c r="BY27" s="22">
        <f>IF(AND($H27&lt;&gt;"",$AG27&lt;&gt;"",$H27&lt;&gt;$AG27,IFERROR(VLOOKUP($H27,areaCercaPuntiClassificaSquadra,3,FALSE),-1)=IFERROR(VLOOKUP($AG27,areaCercaPuntiClassificaSquadra,3,FALSE),-2)),SUMIFS(Dati!$D$2:$D$381,Dati!$A$2:$A$381,$H27,Dati!$H$2:$H$381,$AG27)+SUMIFS(Dati!$K$2:$K$381,Dati!$H$2:$H$381,$H27,Dati!$A$2:$A$381,$AG27)+SUMIFS(Dati!$C$2:$C$381,Dati!$A$2:$A$381,$H27,Dati!$H$2:$H$381,$AG27)+SUMIFS(Dati!$J$2:$J$381,Dati!$H$2:$H$381,$H27,Dati!$A$2:$A$381,$AG27),"-")</f>
        <v/>
      </c>
      <c r="BZ27" s="22">
        <f>IF(AND($H27&lt;&gt;"",$AH27&lt;&gt;"",$H27&lt;&gt;$AH27,IFERROR(VLOOKUP($H27,areaCercaPuntiClassificaSquadra,3,FALSE),-1)=IFERROR(VLOOKUP($AH27,areaCercaPuntiClassificaSquadra,3,FALSE),-2)),SUMIFS(Dati!$D$2:$D$381,Dati!$A$2:$A$381,$H27,Dati!$H$2:$H$381,$AH27)+SUMIFS(Dati!$K$2:$K$381,Dati!$H$2:$H$381,$H27,Dati!$A$2:$A$381,$AH27)+SUMIFS(Dati!$C$2:$C$381,Dati!$A$2:$A$381,$H27,Dati!$H$2:$H$381,$AH27)+SUMIFS(Dati!$J$2:$J$381,Dati!$H$2:$H$381,$H27,Dati!$A$2:$A$381,$AH27),"-")</f>
        <v/>
      </c>
      <c r="CA27" s="22">
        <f>IF(AND($H27&lt;&gt;"",$AI27&lt;&gt;"",$H27&lt;&gt;$AI27,IFERROR(VLOOKUP($H27,areaCercaPuntiClassificaSquadra,3,FALSE),-1)=IFERROR(VLOOKUP($AI27,areaCercaPuntiClassificaSquadra,3,FALSE),-2)),SUMIFS(Dati!$D$2:$D$381,Dati!$A$2:$A$381,$H27,Dati!$H$2:$H$381,$AI27)+SUMIFS(Dati!$K$2:$K$381,Dati!$H$2:$H$381,$H27,Dati!$A$2:$A$381,$AI27)+SUMIFS(Dati!$C$2:$C$381,Dati!$A$2:$A$381,$H27,Dati!$H$2:$H$381,$AI27)+SUMIFS(Dati!$J$2:$J$381,Dati!$H$2:$H$381,$H27,Dati!$A$2:$A$381,$AI27),"-")</f>
        <v/>
      </c>
      <c r="CB27" s="22">
        <f>IF(AND($H27&lt;&gt;"",$AJ27&lt;&gt;"",$H27&lt;&gt;$AJ27,IFERROR(VLOOKUP($H27,areaCercaPuntiClassificaSquadra,3,FALSE),-1)=IFERROR(VLOOKUP($AJ27,areaCercaPuntiClassificaSquadra,3,FALSE),-2)),SUMIFS(Dati!$D$2:$D$381,Dati!$A$2:$A$381,$H27,Dati!$H$2:$H$381,$AJ27)+SUMIFS(Dati!$K$2:$K$381,Dati!$H$2:$H$381,$H27,Dati!$A$2:$A$381,$AJ27)+SUMIFS(Dati!$C$2:$C$381,Dati!$A$2:$A$381,$H27,Dati!$H$2:$H$381,$AJ27)+SUMIFS(Dati!$J$2:$J$381,Dati!$H$2:$H$381,$H27,Dati!$A$2:$A$381,$AJ27),"-")</f>
        <v/>
      </c>
      <c r="CC27" s="22">
        <f>IF(AND($H27&lt;&gt;"",$AK27&lt;&gt;"",$H27&lt;&gt;$AK27,IFERROR(VLOOKUP($H27,areaCercaPuntiClassificaSquadra,3,FALSE),-1)=IFERROR(VLOOKUP($AK27,areaCercaPuntiClassificaSquadra,3,FALSE),-2)),SUMIFS(Dati!$D$2:$D$381,Dati!$A$2:$A$381,$H27,Dati!$H$2:$H$381,$AK27)+SUMIFS(Dati!$K$2:$K$381,Dati!$H$2:$H$381,$H27,Dati!$A$2:$A$381,$AK27)+SUMIFS(Dati!$C$2:$C$381,Dati!$A$2:$A$381,$H27,Dati!$H$2:$H$381,$AK27)+SUMIFS(Dati!$J$2:$J$381,Dati!$H$2:$H$381,$H27,Dati!$A$2:$A$381,$AK27),"-")</f>
        <v/>
      </c>
      <c r="CD27" s="22">
        <f>IF(AND($H27&lt;&gt;"",$AL27&lt;&gt;"",$H27&lt;&gt;$AL27,IFERROR(VLOOKUP($H27,areaCercaPuntiClassificaSquadra,3,FALSE),-1)=IFERROR(VLOOKUP($AL27,areaCercaPuntiClassificaSquadra,3,FALSE),-2)),SUMIFS(Dati!$D$2:$D$381,Dati!$A$2:$A$381,$H27,Dati!$H$2:$H$381,$AL27)+SUMIFS(Dati!$K$2:$K$381,Dati!$H$2:$H$381,$H27,Dati!$A$2:$A$381,$AL27)+SUMIFS(Dati!$C$2:$C$381,Dati!$A$2:$A$381,$H27,Dati!$H$2:$H$381,$AL27)+SUMIFS(Dati!$J$2:$J$381,Dati!$H$2:$H$381,$H27,Dati!$A$2:$A$381,$AL27),"-")</f>
        <v/>
      </c>
      <c r="CE27" s="22">
        <f>IF(AND($H27&lt;&gt;"",$AM27&lt;&gt;"",$H27&lt;&gt;$AM27,IFERROR(VLOOKUP($H27,areaCercaPuntiClassificaSquadra,3,FALSE),-1)=IFERROR(VLOOKUP($AM27,areaCercaPuntiClassificaSquadra,3,FALSE),-2)),SUMIFS(Dati!$D$2:$D$381,Dati!$A$2:$A$381,$H27,Dati!$H$2:$H$381,$AM27)+SUMIFS(Dati!$K$2:$K$381,Dati!$H$2:$H$381,$H27,Dati!$A$2:$A$381,$AM27)+SUMIFS(Dati!$C$2:$C$381,Dati!$A$2:$A$381,$H27,Dati!$H$2:$H$381,$AM27)+SUMIFS(Dati!$J$2:$J$381,Dati!$H$2:$H$381,$H27,Dati!$A$2:$A$381,$AM27),"-")</f>
        <v/>
      </c>
      <c r="CF27" s="22">
        <f>IF(AND($H27&lt;&gt;"",$AN27&lt;&gt;"",$H27&lt;&gt;$AN27,IFERROR(VLOOKUP($H27,areaCercaPuntiClassificaSquadra,3,FALSE),-1)=IFERROR(VLOOKUP($AN27,areaCercaPuntiClassificaSquadra,3,FALSE),-2)),SUMIFS(Dati!$D$2:$D$381,Dati!$A$2:$A$381,$H27,Dati!$H$2:$H$381,$AN27)+SUMIFS(Dati!$K$2:$K$381,Dati!$H$2:$H$381,$H27,Dati!$A$2:$A$381,$AN27)+SUMIFS(Dati!$C$2:$C$381,Dati!$A$2:$A$381,$H27,Dati!$H$2:$H$381,$AN27)+SUMIFS(Dati!$J$2:$J$381,Dati!$H$2:$H$381,$H27,Dati!$A$2:$A$381,$AN27),"-")</f>
        <v/>
      </c>
      <c r="CG27" s="22">
        <f>IF(AND($H27&lt;&gt;"",$AO27&lt;&gt;"",$H27&lt;&gt;$AO27,IFERROR(VLOOKUP($H27,areaCercaPuntiClassificaSquadra,3,FALSE),-1)=IFERROR(VLOOKUP($AO27,areaCercaPuntiClassificaSquadra,3,FALSE),-2)),SUMIFS(Dati!$D$2:$D$381,Dati!$A$2:$A$381,$H27,Dati!$H$2:$H$381,$AO27)+SUMIFS(Dati!$K$2:$K$381,Dati!$H$2:$H$381,$H27,Dati!$A$2:$A$381,$AO27)+SUMIFS(Dati!$C$2:$C$381,Dati!$A$2:$A$381,$H27,Dati!$H$2:$H$381,$AO27)+SUMIFS(Dati!$J$2:$J$381,Dati!$H$2:$H$381,$H27,Dati!$A$2:$A$381,$AO27),"-")</f>
        <v/>
      </c>
      <c r="CH27" s="22">
        <f>IF(AND($H27&lt;&gt;"",$AP27&lt;&gt;"",$H27&lt;&gt;$AP27,IFERROR(VLOOKUP($H27,areaCercaPuntiClassificaSquadra,3,FALSE),-1)=IFERROR(VLOOKUP($AP27,areaCercaPuntiClassificaSquadra,3,FALSE),-2)),SUMIFS(Dati!$D$2:$D$381,Dati!$A$2:$A$381,$H27,Dati!$H$2:$H$381,$AP27)+SUMIFS(Dati!$K$2:$K$381,Dati!$H$2:$H$381,$H27,Dati!$A$2:$A$381,$AP27)+SUMIFS(Dati!$C$2:$C$381,Dati!$A$2:$A$381,$H27,Dati!$H$2:$H$381,$AP27)+SUMIFS(Dati!$J$2:$J$381,Dati!$H$2:$H$381,$H27,Dati!$A$2:$A$381,$AP27),"-")</f>
        <v/>
      </c>
      <c r="CI27" s="22">
        <f>IF(AND($H27&lt;&gt;"",$AQ27&lt;&gt;"",$H27&lt;&gt;$AQ27,IFERROR(VLOOKUP($H27,areaCercaPuntiClassificaSquadra,3,FALSE),-1)=IFERROR(VLOOKUP($AQ27,areaCercaPuntiClassificaSquadra,3,FALSE),-2)),SUMIFS(Dati!$D$2:$D$381,Dati!$A$2:$A$381,$H27,Dati!$H$2:$H$381,$AQ27)+SUMIFS(Dati!$K$2:$K$381,Dati!$H$2:$H$381,$H27,Dati!$A$2:$A$381,$AQ27)+SUMIFS(Dati!$C$2:$C$381,Dati!$A$2:$A$381,$H27,Dati!$H$2:$H$381,$AQ27)+SUMIFS(Dati!$J$2:$J$381,Dati!$H$2:$H$381,$H27,Dati!$A$2:$A$381,$AQ27),"-")</f>
        <v/>
      </c>
      <c r="CJ27" s="22">
        <f>IF(AND($H27&lt;&gt;"",$AR27&lt;&gt;"",$H27&lt;&gt;$AR27,IFERROR(VLOOKUP($H27,areaCercaPuntiClassificaSquadra,3,FALSE),-1)=IFERROR(VLOOKUP($AR27,areaCercaPuntiClassificaSquadra,3,FALSE),-2)),SUMIFS(Dati!$D$2:$D$381,Dati!$A$2:$A$381,$H27,Dati!$H$2:$H$381,$AR27)+SUMIFS(Dati!$K$2:$K$381,Dati!$H$2:$H$381,$H27,Dati!$A$2:$A$381,$AR27)+SUMIFS(Dati!$C$2:$C$381,Dati!$A$2:$A$381,$H27,Dati!$H$2:$H$381,$AR27)+SUMIFS(Dati!$J$2:$J$381,Dati!$H$2:$H$381,$H27,Dati!$A$2:$A$381,$AR27),"-")</f>
        <v/>
      </c>
      <c r="CL27" s="21">
        <f>$C27</f>
        <v/>
      </c>
      <c r="CM27" s="22">
        <f>IF(AND($H27&lt;&gt;"",$Y27&lt;&gt;"",$H27&lt;&gt;$Y27,IFERROR(VLOOKUP($H27,areaCercaPuntiClassificaSquadra,3,FALSE),-1)=IFERROR(VLOOKUP($Y27,areaCercaPuntiClassificaSquadra,3,FALSE),-2)),SUMIFS(Dati!$E$2:$E$381,Dati!$A$2:$A$381,$H27,Dati!$H$2:$H$381,$Y27)+SUMIFS(Dati!$L$2:$L$381,Dati!$H$2:$H$381,$H27,Dati!$A$2:$A$381,$Y27),"-")</f>
        <v/>
      </c>
      <c r="CN27" s="22">
        <f>IF(AND($H27&lt;&gt;"",$Z27&lt;&gt;"",$H27&lt;&gt;$Z27,IFERROR(VLOOKUP($H27,areaCercaPuntiClassificaSquadra,3,FALSE),-1)=IFERROR(VLOOKUP($Z27,areaCercaPuntiClassificaSquadra,3,FALSE),-2)),SUMIFS(Dati!$E$2:$E$381,Dati!$A$2:$A$381,$H27,Dati!$H$2:$H$381,$Z27)+SUMIFS(Dati!$L$2:$L$381,Dati!$H$2:$H$381,$H27,Dati!$A$2:$A$381,$Z27),"-")</f>
        <v/>
      </c>
      <c r="CO27" s="22">
        <f>IF(AND($H27&lt;&gt;"",$AA27&lt;&gt;"",$H27&lt;&gt;$AA27,IFERROR(VLOOKUP($H27,areaCercaPuntiClassificaSquadra,3,FALSE),-1)=IFERROR(VLOOKUP($AA27,areaCercaPuntiClassificaSquadra,3,FALSE),-2)),SUMIFS(Dati!$E$2:$E$381,Dati!$A$2:$A$381,$H27,Dati!$H$2:$H$381,$AA27)+SUMIFS(Dati!$L$2:$L$381,Dati!$H$2:$H$381,$H27,Dati!$A$2:$A$381,$AA27),"-")</f>
        <v/>
      </c>
      <c r="CP27" s="22">
        <f>IF(AND($H27&lt;&gt;"",$AB27&lt;&gt;"",$H27&lt;&gt;$AB27,IFERROR(VLOOKUP($H27,areaCercaPuntiClassificaSquadra,3,FALSE),-1)=IFERROR(VLOOKUP($AB27,areaCercaPuntiClassificaSquadra,3,FALSE),-2)),SUMIFS(Dati!$E$2:$E$381,Dati!$A$2:$A$381,$H27,Dati!$H$2:$H$381,$AB27)+SUMIFS(Dati!$L$2:$L$381,Dati!$H$2:$H$381,$H27,Dati!$A$2:$A$381,$AB27),"-")</f>
        <v/>
      </c>
      <c r="CQ27" s="22">
        <f>IF(AND($H27&lt;&gt;"",$AC27&lt;&gt;"",$H27&lt;&gt;$AC27,IFERROR(VLOOKUP($H27,areaCercaPuntiClassificaSquadra,3,FALSE),-1)=IFERROR(VLOOKUP($AC27,areaCercaPuntiClassificaSquadra,3,FALSE),-2)),SUMIFS(Dati!$E$2:$E$381,Dati!$A$2:$A$381,$H27,Dati!$H$2:$H$381,$AC27)+SUMIFS(Dati!$L$2:$L$381,Dati!$H$2:$H$381,$H27,Dati!$A$2:$A$381,$AC27),"-")</f>
        <v/>
      </c>
      <c r="CR27" s="22">
        <f>IF(AND($H27&lt;&gt;"",$AD27&lt;&gt;"",$H27&lt;&gt;$AD27,IFERROR(VLOOKUP($H27,areaCercaPuntiClassificaSquadra,3,FALSE),-1)=IFERROR(VLOOKUP($AD27,areaCercaPuntiClassificaSquadra,3,FALSE),-2)),SUMIFS(Dati!$E$2:$E$381,Dati!$A$2:$A$381,$H27,Dati!$H$2:$H$381,$AD27)+SUMIFS(Dati!$L$2:$L$381,Dati!$H$2:$H$381,$H27,Dati!$A$2:$A$381,$AD27),"-")</f>
        <v/>
      </c>
      <c r="CS27" s="22">
        <f>IF(AND($H27&lt;&gt;"",$AE27&lt;&gt;"",$H27&lt;&gt;$AE27,IFERROR(VLOOKUP($H27,areaCercaPuntiClassificaSquadra,3,FALSE),-1)=IFERROR(VLOOKUP($AE27,areaCercaPuntiClassificaSquadra,3,FALSE),-2)),SUMIFS(Dati!$E$2:$E$381,Dati!$A$2:$A$381,$H27,Dati!$H$2:$H$381,$AE27)+SUMIFS(Dati!$L$2:$L$381,Dati!$H$2:$H$381,$H27,Dati!$A$2:$A$381,$AE27),"-")</f>
        <v/>
      </c>
      <c r="CT27" s="22">
        <f>IF(AND($H27&lt;&gt;"",$AF27&lt;&gt;"",$H27&lt;&gt;$AF27,IFERROR(VLOOKUP($H27,areaCercaPuntiClassificaSquadra,3,FALSE),-1)=IFERROR(VLOOKUP($AF27,areaCercaPuntiClassificaSquadra,3,FALSE),-2)),SUMIFS(Dati!$E$2:$E$381,Dati!$A$2:$A$381,$H27,Dati!$H$2:$H$381,$AF27)+SUMIFS(Dati!$L$2:$L$381,Dati!$H$2:$H$381,$H27,Dati!$A$2:$A$381,$AF27),"-")</f>
        <v/>
      </c>
      <c r="CU27" s="22">
        <f>IF(AND($H27&lt;&gt;"",$AG27&lt;&gt;"",$H27&lt;&gt;$AG27,IFERROR(VLOOKUP($H27,areaCercaPuntiClassificaSquadra,3,FALSE),-1)=IFERROR(VLOOKUP($AG27,areaCercaPuntiClassificaSquadra,3,FALSE),-2)),SUMIFS(Dati!$E$2:$E$381,Dati!$A$2:$A$381,$H27,Dati!$H$2:$H$381,$AG27)+SUMIFS(Dati!$L$2:$L$381,Dati!$H$2:$H$381,$H27,Dati!$A$2:$A$381,$AG27),"-")</f>
        <v/>
      </c>
      <c r="CV27" s="22">
        <f>IF(AND($H27&lt;&gt;"",$AH27&lt;&gt;"",$H27&lt;&gt;$AH27,IFERROR(VLOOKUP($H27,areaCercaPuntiClassificaSquadra,3,FALSE),-1)=IFERROR(VLOOKUP($AH27,areaCercaPuntiClassificaSquadra,3,FALSE),-2)),SUMIFS(Dati!$E$2:$E$381,Dati!$A$2:$A$381,$H27,Dati!$H$2:$H$381,$AH27)+SUMIFS(Dati!$L$2:$L$381,Dati!$H$2:$H$381,$H27,Dati!$A$2:$A$381,$AH27),"-")</f>
        <v/>
      </c>
      <c r="CW27" s="22">
        <f>IF(AND($H27&lt;&gt;"",$AI27&lt;&gt;"",$H27&lt;&gt;$AI27,IFERROR(VLOOKUP($H27,areaCercaPuntiClassificaSquadra,3,FALSE),-1)=IFERROR(VLOOKUP($AI27,areaCercaPuntiClassificaSquadra,3,FALSE),-2)),SUMIFS(Dati!$E$2:$E$381,Dati!$A$2:$A$381,$H27,Dati!$H$2:$H$381,$AI27)+SUMIFS(Dati!$L$2:$L$381,Dati!$H$2:$H$381,$H27,Dati!$A$2:$A$381,$AI27),"-")</f>
        <v/>
      </c>
      <c r="CX27" s="22">
        <f>IF(AND($H27&lt;&gt;"",$AJ27&lt;&gt;"",$H27&lt;&gt;$AJ27,IFERROR(VLOOKUP($H27,areaCercaPuntiClassificaSquadra,3,FALSE),-1)=IFERROR(VLOOKUP($AJ27,areaCercaPuntiClassificaSquadra,3,FALSE),-2)),SUMIFS(Dati!$E$2:$E$381,Dati!$A$2:$A$381,$H27,Dati!$H$2:$H$381,$AJ27)+SUMIFS(Dati!$L$2:$L$381,Dati!$H$2:$H$381,$H27,Dati!$A$2:$A$381,$AJ27),"-")</f>
        <v/>
      </c>
      <c r="CY27" s="22">
        <f>IF(AND($H27&lt;&gt;"",$AK27&lt;&gt;"",$H27&lt;&gt;$AK27,IFERROR(VLOOKUP($H27,areaCercaPuntiClassificaSquadra,3,FALSE),-1)=IFERROR(VLOOKUP($AK27,areaCercaPuntiClassificaSquadra,3,FALSE),-2)),SUMIFS(Dati!$E$2:$E$381,Dati!$A$2:$A$381,$H27,Dati!$H$2:$H$381,$AK27)+SUMIFS(Dati!$L$2:$L$381,Dati!$H$2:$H$381,$H27,Dati!$A$2:$A$381,$AK27),"-")</f>
        <v/>
      </c>
      <c r="CZ27" s="22">
        <f>IF(AND($H27&lt;&gt;"",$AL27&lt;&gt;"",$H27&lt;&gt;$AL27,IFERROR(VLOOKUP($H27,areaCercaPuntiClassificaSquadra,3,FALSE),-1)=IFERROR(VLOOKUP($AL27,areaCercaPuntiClassificaSquadra,3,FALSE),-2)),SUMIFS(Dati!$E$2:$E$381,Dati!$A$2:$A$381,$H27,Dati!$H$2:$H$381,$AL27)+SUMIFS(Dati!$L$2:$L$381,Dati!$H$2:$H$381,$H27,Dati!$A$2:$A$381,$AL27),"-")</f>
        <v/>
      </c>
      <c r="DA27" s="22">
        <f>IF(AND($H27&lt;&gt;"",$AM27&lt;&gt;"",$H27&lt;&gt;$AM27,IFERROR(VLOOKUP($H27,areaCercaPuntiClassificaSquadra,3,FALSE),-1)=IFERROR(VLOOKUP($AM27,areaCercaPuntiClassificaSquadra,3,FALSE),-2)),SUMIFS(Dati!$E$2:$E$381,Dati!$A$2:$A$381,$H27,Dati!$H$2:$H$381,$AM27)+SUMIFS(Dati!$L$2:$L$381,Dati!$H$2:$H$381,$H27,Dati!$A$2:$A$381,$AM27),"-")</f>
        <v/>
      </c>
      <c r="DB27" s="22">
        <f>IF(AND($H27&lt;&gt;"",$AN27&lt;&gt;"",$H27&lt;&gt;$AN27,IFERROR(VLOOKUP($H27,areaCercaPuntiClassificaSquadra,3,FALSE),-1)=IFERROR(VLOOKUP($AN27,areaCercaPuntiClassificaSquadra,3,FALSE),-2)),SUMIFS(Dati!$E$2:$E$381,Dati!$A$2:$A$381,$H27,Dati!$H$2:$H$381,$AN27)+SUMIFS(Dati!$L$2:$L$381,Dati!$H$2:$H$381,$H27,Dati!$A$2:$A$381,$AN27),"-")</f>
        <v/>
      </c>
      <c r="DC27" s="22">
        <f>IF(AND($H27&lt;&gt;"",$AO27&lt;&gt;"",$H27&lt;&gt;$AO27,IFERROR(VLOOKUP($H27,areaCercaPuntiClassificaSquadra,3,FALSE),-1)=IFERROR(VLOOKUP($AO27,areaCercaPuntiClassificaSquadra,3,FALSE),-2)),SUMIFS(Dati!$E$2:$E$381,Dati!$A$2:$A$381,$H27,Dati!$H$2:$H$381,$AO27)+SUMIFS(Dati!$L$2:$L$381,Dati!$H$2:$H$381,$H27,Dati!$A$2:$A$381,$AO27),"-")</f>
        <v/>
      </c>
      <c r="DD27" s="22">
        <f>IF(AND($H27&lt;&gt;"",$AP27&lt;&gt;"",$H27&lt;&gt;$AP27,IFERROR(VLOOKUP($H27,areaCercaPuntiClassificaSquadra,3,FALSE),-1)=IFERROR(VLOOKUP($AP27,areaCercaPuntiClassificaSquadra,3,FALSE),-2)),SUMIFS(Dati!$E$2:$E$381,Dati!$A$2:$A$381,$H27,Dati!$H$2:$H$381,$AP27)+SUMIFS(Dati!$L$2:$L$381,Dati!$H$2:$H$381,$H27,Dati!$A$2:$A$381,$AP27),"-")</f>
        <v/>
      </c>
      <c r="DE27" s="22">
        <f>IF(AND($H27&lt;&gt;"",$AQ27&lt;&gt;"",$H27&lt;&gt;$AQ27,IFERROR(VLOOKUP($H27,areaCercaPuntiClassificaSquadra,3,FALSE),-1)=IFERROR(VLOOKUP($AQ27,areaCercaPuntiClassificaSquadra,3,FALSE),-2)),SUMIFS(Dati!$E$2:$E$381,Dati!$A$2:$A$381,$H27,Dati!$H$2:$H$381,$AQ27)+SUMIFS(Dati!$L$2:$L$381,Dati!$H$2:$H$381,$H27,Dati!$A$2:$A$381,$AQ27),"-")</f>
        <v/>
      </c>
      <c r="DF27" s="22">
        <f>IF(AND($H27&lt;&gt;"",$AR27&lt;&gt;"",$H27&lt;&gt;$AR27,IFERROR(VLOOKUP($H27,areaCercaPuntiClassificaSquadra,3,FALSE),-1)=IFERROR(VLOOKUP($AR27,areaCercaPuntiClassificaSquadra,3,FALSE),-2)),SUMIFS(Dati!$E$2:$E$381,Dati!$A$2:$A$381,$H27,Dati!$H$2:$H$381,$AR27)+SUMIFS(Dati!$L$2:$L$381,Dati!$H$2:$H$381,$H27,Dati!$A$2:$A$381,$AR27),"-")</f>
        <v/>
      </c>
      <c r="DH27" s="21">
        <f>$C27</f>
        <v/>
      </c>
      <c r="DI27" s="22">
        <f>IF(AND($H27&lt;&gt;"",$Y27&lt;&gt;"",$H27&lt;&gt;$Y27,IFERROR(VLOOKUP($H27,areaCercaPuntiClassificaSquadra,3,FALSE),-1)=IFERROR(VLOOKUP($Y27,areaCercaPuntiClassificaSquadra,3,FALSE),-2)),SUMIFS(Dati!$F$2:$F$381,Dati!$A$2:$A$381,$H27,Dati!$H$2:$H$381,$Y27)+SUMIFS(Dati!$M$2:$M$381,Dati!$H$2:$H$381,$H27,Dati!$A$2:$A$381,$Y27),"-")</f>
        <v/>
      </c>
      <c r="DJ27" s="22">
        <f>IF(AND($H27&lt;&gt;"",$Z27&lt;&gt;"",$H27&lt;&gt;$Z27,IFERROR(VLOOKUP($H27,areaCercaPuntiClassificaSquadra,3,FALSE),-1)=IFERROR(VLOOKUP($Z27,areaCercaPuntiClassificaSquadra,3,FALSE),-2)),SUMIFS(Dati!$F$2:$F$381,Dati!$A$2:$A$381,$H27,Dati!$H$2:$H$381,$Z27)+SUMIFS(Dati!$M$2:$M$381,Dati!$H$2:$H$381,$H27,Dati!$A$2:$A$381,$Z27),"-")</f>
        <v/>
      </c>
      <c r="DK27" s="22">
        <f>IF(AND($H27&lt;&gt;"",$AA27&lt;&gt;"",$H27&lt;&gt;$AA27,IFERROR(VLOOKUP($H27,areaCercaPuntiClassificaSquadra,3,FALSE),-1)=IFERROR(VLOOKUP($AA27,areaCercaPuntiClassificaSquadra,3,FALSE),-2)),SUMIFS(Dati!$F$2:$F$381,Dati!$A$2:$A$381,$H27,Dati!$H$2:$H$381,$AA27)+SUMIFS(Dati!$M$2:$M$381,Dati!$H$2:$H$381,$H27,Dati!$A$2:$A$381,$AA27),"-")</f>
        <v/>
      </c>
      <c r="DL27" s="22">
        <f>IF(AND($H27&lt;&gt;"",$AB27&lt;&gt;"",$H27&lt;&gt;$AB27,IFERROR(VLOOKUP($H27,areaCercaPuntiClassificaSquadra,3,FALSE),-1)=IFERROR(VLOOKUP($AB27,areaCercaPuntiClassificaSquadra,3,FALSE),-2)),SUMIFS(Dati!$F$2:$F$381,Dati!$A$2:$A$381,$H27,Dati!$H$2:$H$381,$AB27)+SUMIFS(Dati!$M$2:$M$381,Dati!$H$2:$H$381,$H27,Dati!$A$2:$A$381,$AB27),"-")</f>
        <v/>
      </c>
      <c r="DM27" s="22">
        <f>IF(AND($H27&lt;&gt;"",$AC27&lt;&gt;"",$H27&lt;&gt;$AC27,IFERROR(VLOOKUP($H27,areaCercaPuntiClassificaSquadra,3,FALSE),-1)=IFERROR(VLOOKUP($AC27,areaCercaPuntiClassificaSquadra,3,FALSE),-2)),SUMIFS(Dati!$F$2:$F$381,Dati!$A$2:$A$381,$H27,Dati!$H$2:$H$381,$AC27)+SUMIFS(Dati!$M$2:$M$381,Dati!$H$2:$H$381,$H27,Dati!$A$2:$A$381,$AC27),"-")</f>
        <v/>
      </c>
      <c r="DN27" s="22">
        <f>IF(AND($H27&lt;&gt;"",$AD27&lt;&gt;"",$H27&lt;&gt;$AD27,IFERROR(VLOOKUP($H27,areaCercaPuntiClassificaSquadra,3,FALSE),-1)=IFERROR(VLOOKUP($AD27,areaCercaPuntiClassificaSquadra,3,FALSE),-2)),SUMIFS(Dati!$F$2:$F$381,Dati!$A$2:$A$381,$H27,Dati!$H$2:$H$381,$AD27)+SUMIFS(Dati!$M$2:$M$381,Dati!$H$2:$H$381,$H27,Dati!$A$2:$A$381,$AD27),"-")</f>
        <v/>
      </c>
      <c r="DO27" s="22">
        <f>IF(AND($H27&lt;&gt;"",$AE27&lt;&gt;"",$H27&lt;&gt;$AE27,IFERROR(VLOOKUP($H27,areaCercaPuntiClassificaSquadra,3,FALSE),-1)=IFERROR(VLOOKUP($AE27,areaCercaPuntiClassificaSquadra,3,FALSE),-2)),SUMIFS(Dati!$F$2:$F$381,Dati!$A$2:$A$381,$H27,Dati!$H$2:$H$381,$AE27)+SUMIFS(Dati!$M$2:$M$381,Dati!$H$2:$H$381,$H27,Dati!$A$2:$A$381,$AE27),"-")</f>
        <v/>
      </c>
      <c r="DP27" s="22">
        <f>IF(AND($H27&lt;&gt;"",$AF27&lt;&gt;"",$H27&lt;&gt;$AF27,IFERROR(VLOOKUP($H27,areaCercaPuntiClassificaSquadra,3,FALSE),-1)=IFERROR(VLOOKUP($AF27,areaCercaPuntiClassificaSquadra,3,FALSE),-2)),SUMIFS(Dati!$F$2:$F$381,Dati!$A$2:$A$381,$H27,Dati!$H$2:$H$381,$AF27)+SUMIFS(Dati!$M$2:$M$381,Dati!$H$2:$H$381,$H27,Dati!$A$2:$A$381,$AF27),"-")</f>
        <v/>
      </c>
      <c r="DQ27" s="22">
        <f>IF(AND($H27&lt;&gt;"",$AG27&lt;&gt;"",$H27&lt;&gt;$AG27,IFERROR(VLOOKUP($H27,areaCercaPuntiClassificaSquadra,3,FALSE),-1)=IFERROR(VLOOKUP($AG27,areaCercaPuntiClassificaSquadra,3,FALSE),-2)),SUMIFS(Dati!$F$2:$F$381,Dati!$A$2:$A$381,$H27,Dati!$H$2:$H$381,$AG27)+SUMIFS(Dati!$M$2:$M$381,Dati!$H$2:$H$381,$H27,Dati!$A$2:$A$381,$AG27),"-")</f>
        <v/>
      </c>
      <c r="DR27" s="22">
        <f>IF(AND($H27&lt;&gt;"",$AH27&lt;&gt;"",$H27&lt;&gt;$AH27,IFERROR(VLOOKUP($H27,areaCercaPuntiClassificaSquadra,3,FALSE),-1)=IFERROR(VLOOKUP($AH27,areaCercaPuntiClassificaSquadra,3,FALSE),-2)),SUMIFS(Dati!$F$2:$F$381,Dati!$A$2:$A$381,$H27,Dati!$H$2:$H$381,$AH27)+SUMIFS(Dati!$M$2:$M$381,Dati!$H$2:$H$381,$H27,Dati!$A$2:$A$381,$AH27),"-")</f>
        <v/>
      </c>
      <c r="DS27" s="22">
        <f>IF(AND($H27&lt;&gt;"",$AI27&lt;&gt;"",$H27&lt;&gt;$AI27,IFERROR(VLOOKUP($H27,areaCercaPuntiClassificaSquadra,3,FALSE),-1)=IFERROR(VLOOKUP($AI27,areaCercaPuntiClassificaSquadra,3,FALSE),-2)),SUMIFS(Dati!$F$2:$F$381,Dati!$A$2:$A$381,$H27,Dati!$H$2:$H$381,$AI27)+SUMIFS(Dati!$M$2:$M$381,Dati!$H$2:$H$381,$H27,Dati!$A$2:$A$381,$AI27),"-")</f>
        <v/>
      </c>
      <c r="DT27" s="22">
        <f>IF(AND($H27&lt;&gt;"",$AJ27&lt;&gt;"",$H27&lt;&gt;$AJ27,IFERROR(VLOOKUP($H27,areaCercaPuntiClassificaSquadra,3,FALSE),-1)=IFERROR(VLOOKUP($AJ27,areaCercaPuntiClassificaSquadra,3,FALSE),-2)),SUMIFS(Dati!$F$2:$F$381,Dati!$A$2:$A$381,$H27,Dati!$H$2:$H$381,$AJ27)+SUMIFS(Dati!$M$2:$M$381,Dati!$H$2:$H$381,$H27,Dati!$A$2:$A$381,$AJ27),"-")</f>
        <v/>
      </c>
      <c r="DU27" s="22">
        <f>IF(AND($H27&lt;&gt;"",$AK27&lt;&gt;"",$H27&lt;&gt;$AK27,IFERROR(VLOOKUP($H27,areaCercaPuntiClassificaSquadra,3,FALSE),-1)=IFERROR(VLOOKUP($AK27,areaCercaPuntiClassificaSquadra,3,FALSE),-2)),SUMIFS(Dati!$F$2:$F$381,Dati!$A$2:$A$381,$H27,Dati!$H$2:$H$381,$AK27)+SUMIFS(Dati!$M$2:$M$381,Dati!$H$2:$H$381,$H27,Dati!$A$2:$A$381,$AK27),"-")</f>
        <v/>
      </c>
      <c r="DV27" s="22">
        <f>IF(AND($H27&lt;&gt;"",$AL27&lt;&gt;"",$H27&lt;&gt;$AL27,IFERROR(VLOOKUP($H27,areaCercaPuntiClassificaSquadra,3,FALSE),-1)=IFERROR(VLOOKUP($AL27,areaCercaPuntiClassificaSquadra,3,FALSE),-2)),SUMIFS(Dati!$F$2:$F$381,Dati!$A$2:$A$381,$H27,Dati!$H$2:$H$381,$AL27)+SUMIFS(Dati!$M$2:$M$381,Dati!$H$2:$H$381,$H27,Dati!$A$2:$A$381,$AL27),"-")</f>
        <v/>
      </c>
      <c r="DW27" s="22">
        <f>IF(AND($H27&lt;&gt;"",$AM27&lt;&gt;"",$H27&lt;&gt;$AM27,IFERROR(VLOOKUP($H27,areaCercaPuntiClassificaSquadra,3,FALSE),-1)=IFERROR(VLOOKUP($AM27,areaCercaPuntiClassificaSquadra,3,FALSE),-2)),SUMIFS(Dati!$F$2:$F$381,Dati!$A$2:$A$381,$H27,Dati!$H$2:$H$381,$AM27)+SUMIFS(Dati!$M$2:$M$381,Dati!$H$2:$H$381,$H27,Dati!$A$2:$A$381,$AM27),"-")</f>
        <v/>
      </c>
      <c r="DX27" s="22">
        <f>IF(AND($H27&lt;&gt;"",$AN27&lt;&gt;"",$H27&lt;&gt;$AN27,IFERROR(VLOOKUP($H27,areaCercaPuntiClassificaSquadra,3,FALSE),-1)=IFERROR(VLOOKUP($AN27,areaCercaPuntiClassificaSquadra,3,FALSE),-2)),SUMIFS(Dati!$F$2:$F$381,Dati!$A$2:$A$381,$H27,Dati!$H$2:$H$381,$AN27)+SUMIFS(Dati!$M$2:$M$381,Dati!$H$2:$H$381,$H27,Dati!$A$2:$A$381,$AN27),"-")</f>
        <v/>
      </c>
      <c r="DY27" s="22">
        <f>IF(AND($H27&lt;&gt;"",$AO27&lt;&gt;"",$H27&lt;&gt;$AO27,IFERROR(VLOOKUP($H27,areaCercaPuntiClassificaSquadra,3,FALSE),-1)=IFERROR(VLOOKUP($AO27,areaCercaPuntiClassificaSquadra,3,FALSE),-2)),SUMIFS(Dati!$F$2:$F$381,Dati!$A$2:$A$381,$H27,Dati!$H$2:$H$381,$AO27)+SUMIFS(Dati!$M$2:$M$381,Dati!$H$2:$H$381,$H27,Dati!$A$2:$A$381,$AO27),"-")</f>
        <v/>
      </c>
      <c r="DZ27" s="22">
        <f>IF(AND($H27&lt;&gt;"",$AP27&lt;&gt;"",$H27&lt;&gt;$AP27,IFERROR(VLOOKUP($H27,areaCercaPuntiClassificaSquadra,3,FALSE),-1)=IFERROR(VLOOKUP($AP27,areaCercaPuntiClassificaSquadra,3,FALSE),-2)),SUMIFS(Dati!$F$2:$F$381,Dati!$A$2:$A$381,$H27,Dati!$H$2:$H$381,$AP27)+SUMIFS(Dati!$M$2:$M$381,Dati!$H$2:$H$381,$H27,Dati!$A$2:$A$381,$AP27),"-")</f>
        <v/>
      </c>
      <c r="EA27" s="22">
        <f>IF(AND($H27&lt;&gt;"",$AQ27&lt;&gt;"",$H27&lt;&gt;$AQ27,IFERROR(VLOOKUP($H27,areaCercaPuntiClassificaSquadra,3,FALSE),-1)=IFERROR(VLOOKUP($AQ27,areaCercaPuntiClassificaSquadra,3,FALSE),-2)),SUMIFS(Dati!$F$2:$F$381,Dati!$A$2:$A$381,$H27,Dati!$H$2:$H$381,$AQ27)+SUMIFS(Dati!$M$2:$M$381,Dati!$H$2:$H$381,$H27,Dati!$A$2:$A$381,$AQ27),"-")</f>
        <v/>
      </c>
      <c r="EB27" s="22">
        <f>IF(AND($H27&lt;&gt;"",$AR27&lt;&gt;"",$H27&lt;&gt;$AR27,IFERROR(VLOOKUP($H27,areaCercaPuntiClassificaSquadra,3,FALSE),-1)=IFERROR(VLOOKUP($AR27,areaCercaPuntiClassificaSquadra,3,FALSE),-2)),SUMIFS(Dati!$F$2:$F$381,Dati!$A$2:$A$381,$H27,Dati!$H$2:$H$381,$AR27)+SUMIFS(Dati!$M$2:$M$381,Dati!$H$2:$H$381,$H27,Dati!$A$2:$A$381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inlineStr">
        <is>
          <t>Squali Sagaci-Squaliopoli SU</t>
        </is>
      </c>
      <c r="D28" s="14" t="n"/>
      <c r="E28" s="15" t="inlineStr">
        <is>
          <t>A</t>
        </is>
      </c>
      <c r="G28" s="16">
        <f>IF($C28="","",$E28&amp;(COUNTIFS(I$14:I$53,"&gt;"&amp;I28,E$14:E$53,"="&amp;E28,C$14:C$53,"&lt;&gt;")+COUNTIFS(I$14:I$53,"="&amp;I28,H$14:H$53,"&lt;="&amp;H28,E$14:E$53,"="&amp;E28,C$14:C$53,"&lt;&gt;")))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L28*constPuntiVittoria+M28*constPuntiSconfitta+N28*constPuntiForfait+IF(D28="",0,D28)</f>
        <v/>
      </c>
      <c r="K28" s="12">
        <f>SUM(L28:N28)</f>
        <v/>
      </c>
      <c r="L28" s="12">
        <f>IF($H28="",0,SUMIF(Dati!$A$2:$A$381,$H28,Dati!$B$2:$B$381)+SUMIF(Dati!$H$2:$H$381,$H28,Dati!$I$2:$I$381))</f>
        <v/>
      </c>
      <c r="M28" s="12">
        <f>IF($H28="",0,SUMIF(Dati!$A$2:$A$381,$H28,Dati!$D$2:$D$381)+SUMIF(Dati!$H$2:$H$381,$H28,Dati!$K$2:$K$381))</f>
        <v/>
      </c>
      <c r="N28" s="12">
        <f>IF($H28="",0,SUMIF(Dati!$A$2:$A$381,$H28,Dati!$C$2:$C$381)+SUMIF(Dati!$H$2:$H$381,$H28,Dati!$J$2:$J$381))</f>
        <v/>
      </c>
      <c r="O28" s="12">
        <f>IF($H28="",0,SUMIF(Dati!$A$2:$A$381,$H28,Dati!$E$2:$E$381)+SUMIF(Dati!$H$2:$H$381,$H28,Dati!$L$2:$L$381))</f>
        <v/>
      </c>
      <c r="P28" s="12">
        <f>IF($H28="",0,SUMIF(Dati!$A$2:$A$381,$H28,Dati!$F$2:$F$381)+SUMIF(Dati!$H$2:$H$381,$H28,Dati!$M$2:$M$381))</f>
        <v/>
      </c>
      <c r="Q28" s="12">
        <f>IF($H28="",0,SUMIF(Dati!$A$2:$A$381,$H28,Dati!$G$2:$G$381)+SUMIF(Dati!$H$2:$H$381,$H28,Dati!$N$2:$N$381))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IF(COUNTIFS($E$14:$E$53,$E28,$J$14:$J$53,$J28,$C$14:$C$53,"&lt;&gt;")&lt;=1,"-",SUM(AU28:BN28)&amp;"-"&amp;SUM(BQ28:CJ28))</f>
        <v/>
      </c>
      <c r="V28" s="18">
        <f>IF(COUNTIFS($E$14:$E$53,$E28,$J$14:$J$53,$J28,$C$14:$C$53,"&lt;&gt;",$ED$14:$ED$53,$ED28)&lt;=1,"-",IF(SUM(DI28:EB28)=0,0,ROUND(SUM(CM28:DF28)/SUM(DI28:EB28),3)))</f>
        <v/>
      </c>
      <c r="W28" s="18">
        <f>IF(COUNTIFS($E$14:$E$53,$E28,$J$14:$J$53,$J28,$C$14:$C$53,"&lt;&gt;",$ED$14:$ED$53,$ED28,$V$14:$V$53,$V28)&lt;=1,"-",IF(P28=0,0,ROUND(O28/P28,3)))</f>
        <v/>
      </c>
      <c r="X28" s="19">
        <f>IF($C28="","",$E28&amp;"#"&amp;COUNTIFS($E$14:$E28,$E28,$C$14:$C28,"&lt;&gt;"))</f>
        <v/>
      </c>
      <c r="Y28" s="20">
        <f>IFERROR(INDEX($H$14:$H$53,MATCH($E28&amp;"#1",$X$14:$X$53,0)),"")</f>
        <v/>
      </c>
      <c r="Z28" s="20">
        <f>IFERROR(INDEX($H$14:$H$53,MATCH($E28&amp;"#2",$X$14:$X$53,0)),"")</f>
        <v/>
      </c>
      <c r="AA28" s="20">
        <f>IFERROR(INDEX($H$14:$H$53,MATCH($E28&amp;"#3",$X$14:$X$53,0)),"")</f>
        <v/>
      </c>
      <c r="AB28" s="20">
        <f>IFERROR(INDEX($H$14:$H$53,MATCH($E28&amp;"#4",$X$14:$X$53,0)),"")</f>
        <v/>
      </c>
      <c r="AC28" s="20">
        <f>IFERROR(INDEX($H$14:$H$53,MATCH($E28&amp;"#5",$X$14:$X$53,0)),"")</f>
        <v/>
      </c>
      <c r="AD28" s="20">
        <f>IFERROR(INDEX($H$14:$H$53,MATCH($E28&amp;"#6",$X$14:$X$53,0)),"")</f>
        <v/>
      </c>
      <c r="AE28" s="20">
        <f>IFERROR(INDEX($H$14:$H$53,MATCH($E28&amp;"#7",$X$14:$X$53,0)),"")</f>
        <v/>
      </c>
      <c r="AF28" s="20">
        <f>IFERROR(INDEX($H$14:$H$53,MATCH($E28&amp;"#8",$X$14:$X$53,0)),"")</f>
        <v/>
      </c>
      <c r="AG28" s="20">
        <f>IFERROR(INDEX($H$14:$H$53,MATCH($E28&amp;"#9",$X$14:$X$53,0)),"")</f>
        <v/>
      </c>
      <c r="AH28" s="20">
        <f>IFERROR(INDEX($H$14:$H$53,MATCH($E28&amp;"#10",$X$14:$X$53,0)),"")</f>
        <v/>
      </c>
      <c r="AI28" s="20">
        <f>IFERROR(INDEX($H$14:$H$53,MATCH($E28&amp;"#11",$X$14:$X$53,0)),"")</f>
        <v/>
      </c>
      <c r="AJ28" s="20">
        <f>IFERROR(INDEX($H$14:$H$53,MATCH($E28&amp;"#12",$X$14:$X$53,0)),"")</f>
        <v/>
      </c>
      <c r="AK28" s="20">
        <f>IFERROR(INDEX($H$14:$H$53,MATCH($E28&amp;"#13",$X$14:$X$53,0)),"")</f>
        <v/>
      </c>
      <c r="AL28" s="20">
        <f>IFERROR(INDEX($H$14:$H$53,MATCH($E28&amp;"#14",$X$14:$X$53,0)),"")</f>
        <v/>
      </c>
      <c r="AM28" s="20">
        <f>IFERROR(INDEX($H$14:$H$53,MATCH($E28&amp;"#15",$X$14:$X$53,0)),"")</f>
        <v/>
      </c>
      <c r="AN28" s="20">
        <f>IFERROR(INDEX($H$14:$H$53,MATCH($E28&amp;"#16",$X$14:$X$53,0)),"")</f>
        <v/>
      </c>
      <c r="AO28" s="20">
        <f>IFERROR(INDEX($H$14:$H$53,MATCH($E28&amp;"#17",$X$14:$X$53,0)),"")</f>
        <v/>
      </c>
      <c r="AP28" s="20">
        <f>IFERROR(INDEX($H$14:$H$53,MATCH($E28&amp;"#18",$X$14:$X$53,0)),"")</f>
        <v/>
      </c>
      <c r="AQ28" s="20">
        <f>IFERROR(INDEX($H$14:$H$53,MATCH($E28&amp;"#19",$X$14:$X$53,0)),"")</f>
        <v/>
      </c>
      <c r="AR28" s="20">
        <f>IFERROR(INDEX($H$14:$H$53,MATCH($E28&amp;"#20",$X$14:$X$53,0)),"")</f>
        <v/>
      </c>
      <c r="AT28" s="21">
        <f>$C28</f>
        <v/>
      </c>
      <c r="AU28" s="22">
        <f>IF(AND($H28&lt;&gt;"",$Y28&lt;&gt;"",$H28&lt;&gt;$Y28,IFERROR(VLOOKUP($H28,areaCercaPuntiClassificaSquadra,3,FALSE),-1)=IFERROR(VLOOKUP($Y28,areaCercaPuntiClassificaSquadra,3,FALSE),-2)),SUMIFS(Dati!$B$2:$B$381,Dati!$A$2:$A$381,$H28,Dati!$H$2:$H$381,$Y28)+SUMIFS(Dati!$I$2:$I$381,Dati!$H$2:$H$381,$H28,Dati!$A$2:$A$381,$Y28),"-")</f>
        <v/>
      </c>
      <c r="AV28" s="22">
        <f>IF(AND($H28&lt;&gt;"",$Z28&lt;&gt;"",$H28&lt;&gt;$Z28,IFERROR(VLOOKUP($H28,areaCercaPuntiClassificaSquadra,3,FALSE),-1)=IFERROR(VLOOKUP($Z28,areaCercaPuntiClassificaSquadra,3,FALSE),-2)),SUMIFS(Dati!$B$2:$B$381,Dati!$A$2:$A$381,$H28,Dati!$H$2:$H$381,$Z28)+SUMIFS(Dati!$I$2:$I$381,Dati!$H$2:$H$381,$H28,Dati!$A$2:$A$381,$Z28),"-")</f>
        <v/>
      </c>
      <c r="AW28" s="22">
        <f>IF(AND($H28&lt;&gt;"",$AA28&lt;&gt;"",$H28&lt;&gt;$AA28,IFERROR(VLOOKUP($H28,areaCercaPuntiClassificaSquadra,3,FALSE),-1)=IFERROR(VLOOKUP($AA28,areaCercaPuntiClassificaSquadra,3,FALSE),-2)),SUMIFS(Dati!$B$2:$B$381,Dati!$A$2:$A$381,$H28,Dati!$H$2:$H$381,$AA28)+SUMIFS(Dati!$I$2:$I$381,Dati!$H$2:$H$381,$H28,Dati!$A$2:$A$381,$AA28),"-")</f>
        <v/>
      </c>
      <c r="AX28" s="22">
        <f>IF(AND($H28&lt;&gt;"",$AB28&lt;&gt;"",$H28&lt;&gt;$AB28,IFERROR(VLOOKUP($H28,areaCercaPuntiClassificaSquadra,3,FALSE),-1)=IFERROR(VLOOKUP($AB28,areaCercaPuntiClassificaSquadra,3,FALSE),-2)),SUMIFS(Dati!$B$2:$B$381,Dati!$A$2:$A$381,$H28,Dati!$H$2:$H$381,$AB28)+SUMIFS(Dati!$I$2:$I$381,Dati!$H$2:$H$381,$H28,Dati!$A$2:$A$381,$AB28),"-")</f>
        <v/>
      </c>
      <c r="AY28" s="22">
        <f>IF(AND($H28&lt;&gt;"",$AC28&lt;&gt;"",$H28&lt;&gt;$AC28,IFERROR(VLOOKUP($H28,areaCercaPuntiClassificaSquadra,3,FALSE),-1)=IFERROR(VLOOKUP($AC28,areaCercaPuntiClassificaSquadra,3,FALSE),-2)),SUMIFS(Dati!$B$2:$B$381,Dati!$A$2:$A$381,$H28,Dati!$H$2:$H$381,$AC28)+SUMIFS(Dati!$I$2:$I$381,Dati!$H$2:$H$381,$H28,Dati!$A$2:$A$381,$AC28),"-")</f>
        <v/>
      </c>
      <c r="AZ28" s="22">
        <f>IF(AND($H28&lt;&gt;"",$AD28&lt;&gt;"",$H28&lt;&gt;$AD28,IFERROR(VLOOKUP($H28,areaCercaPuntiClassificaSquadra,3,FALSE),-1)=IFERROR(VLOOKUP($AD28,areaCercaPuntiClassificaSquadra,3,FALSE),-2)),SUMIFS(Dati!$B$2:$B$381,Dati!$A$2:$A$381,$H28,Dati!$H$2:$H$381,$AD28)+SUMIFS(Dati!$I$2:$I$381,Dati!$H$2:$H$381,$H28,Dati!$A$2:$A$381,$AD28),"-")</f>
        <v/>
      </c>
      <c r="BA28" s="22">
        <f>IF(AND($H28&lt;&gt;"",$AE28&lt;&gt;"",$H28&lt;&gt;$AE28,IFERROR(VLOOKUP($H28,areaCercaPuntiClassificaSquadra,3,FALSE),-1)=IFERROR(VLOOKUP($AE28,areaCercaPuntiClassificaSquadra,3,FALSE),-2)),SUMIFS(Dati!$B$2:$B$381,Dati!$A$2:$A$381,$H28,Dati!$H$2:$H$381,$AE28)+SUMIFS(Dati!$I$2:$I$381,Dati!$H$2:$H$381,$H28,Dati!$A$2:$A$381,$AE28),"-")</f>
        <v/>
      </c>
      <c r="BB28" s="22">
        <f>IF(AND($H28&lt;&gt;"",$AF28&lt;&gt;"",$H28&lt;&gt;$AF28,IFERROR(VLOOKUP($H28,areaCercaPuntiClassificaSquadra,3,FALSE),-1)=IFERROR(VLOOKUP($AF28,areaCercaPuntiClassificaSquadra,3,FALSE),-2)),SUMIFS(Dati!$B$2:$B$381,Dati!$A$2:$A$381,$H28,Dati!$H$2:$H$381,$AF28)+SUMIFS(Dati!$I$2:$I$381,Dati!$H$2:$H$381,$H28,Dati!$A$2:$A$381,$AF28),"-")</f>
        <v/>
      </c>
      <c r="BC28" s="22">
        <f>IF(AND($H28&lt;&gt;"",$AG28&lt;&gt;"",$H28&lt;&gt;$AG28,IFERROR(VLOOKUP($H28,areaCercaPuntiClassificaSquadra,3,FALSE),-1)=IFERROR(VLOOKUP($AG28,areaCercaPuntiClassificaSquadra,3,FALSE),-2)),SUMIFS(Dati!$B$2:$B$381,Dati!$A$2:$A$381,$H28,Dati!$H$2:$H$381,$AG28)+SUMIFS(Dati!$I$2:$I$381,Dati!$H$2:$H$381,$H28,Dati!$A$2:$A$381,$AG28),"-")</f>
        <v/>
      </c>
      <c r="BD28" s="22">
        <f>IF(AND($H28&lt;&gt;"",$AH28&lt;&gt;"",$H28&lt;&gt;$AH28,IFERROR(VLOOKUP($H28,areaCercaPuntiClassificaSquadra,3,FALSE),-1)=IFERROR(VLOOKUP($AH28,areaCercaPuntiClassificaSquadra,3,FALSE),-2)),SUMIFS(Dati!$B$2:$B$381,Dati!$A$2:$A$381,$H28,Dati!$H$2:$H$381,$AH28)+SUMIFS(Dati!$I$2:$I$381,Dati!$H$2:$H$381,$H28,Dati!$A$2:$A$381,$AH28),"-")</f>
        <v/>
      </c>
      <c r="BE28" s="22">
        <f>IF(AND($H28&lt;&gt;"",$AI28&lt;&gt;"",$H28&lt;&gt;$AI28,IFERROR(VLOOKUP($H28,areaCercaPuntiClassificaSquadra,3,FALSE),-1)=IFERROR(VLOOKUP($AI28,areaCercaPuntiClassificaSquadra,3,FALSE),-2)),SUMIFS(Dati!$B$2:$B$381,Dati!$A$2:$A$381,$H28,Dati!$H$2:$H$381,$AI28)+SUMIFS(Dati!$I$2:$I$381,Dati!$H$2:$H$381,$H28,Dati!$A$2:$A$381,$AI28),"-")</f>
        <v/>
      </c>
      <c r="BF28" s="22">
        <f>IF(AND($H28&lt;&gt;"",$AJ28&lt;&gt;"",$H28&lt;&gt;$AJ28,IFERROR(VLOOKUP($H28,areaCercaPuntiClassificaSquadra,3,FALSE),-1)=IFERROR(VLOOKUP($AJ28,areaCercaPuntiClassificaSquadra,3,FALSE),-2)),SUMIFS(Dati!$B$2:$B$381,Dati!$A$2:$A$381,$H28,Dati!$H$2:$H$381,$AJ28)+SUMIFS(Dati!$I$2:$I$381,Dati!$H$2:$H$381,$H28,Dati!$A$2:$A$381,$AJ28),"-")</f>
        <v/>
      </c>
      <c r="BG28" s="22">
        <f>IF(AND($H28&lt;&gt;"",$AK28&lt;&gt;"",$H28&lt;&gt;$AK28,IFERROR(VLOOKUP($H28,areaCercaPuntiClassificaSquadra,3,FALSE),-1)=IFERROR(VLOOKUP($AK28,areaCercaPuntiClassificaSquadra,3,FALSE),-2)),SUMIFS(Dati!$B$2:$B$381,Dati!$A$2:$A$381,$H28,Dati!$H$2:$H$381,$AK28)+SUMIFS(Dati!$I$2:$I$381,Dati!$H$2:$H$381,$H28,Dati!$A$2:$A$381,$AK28),"-")</f>
        <v/>
      </c>
      <c r="BH28" s="22">
        <f>IF(AND($H28&lt;&gt;"",$AL28&lt;&gt;"",$H28&lt;&gt;$AL28,IFERROR(VLOOKUP($H28,areaCercaPuntiClassificaSquadra,3,FALSE),-1)=IFERROR(VLOOKUP($AL28,areaCercaPuntiClassificaSquadra,3,FALSE),-2)),SUMIFS(Dati!$B$2:$B$381,Dati!$A$2:$A$381,$H28,Dati!$H$2:$H$381,$AL28)+SUMIFS(Dati!$I$2:$I$381,Dati!$H$2:$H$381,$H28,Dati!$A$2:$A$381,$AL28),"-")</f>
        <v/>
      </c>
      <c r="BI28" s="22">
        <f>IF(AND($H28&lt;&gt;"",$AM28&lt;&gt;"",$H28&lt;&gt;$AM28,IFERROR(VLOOKUP($H28,areaCercaPuntiClassificaSquadra,3,FALSE),-1)=IFERROR(VLOOKUP($AM28,areaCercaPuntiClassificaSquadra,3,FALSE),-2)),SUMIFS(Dati!$B$2:$B$381,Dati!$A$2:$A$381,$H28,Dati!$H$2:$H$381,$AM28)+SUMIFS(Dati!$I$2:$I$381,Dati!$H$2:$H$381,$H28,Dati!$A$2:$A$381,$AM28),"-")</f>
        <v/>
      </c>
      <c r="BJ28" s="22">
        <f>IF(AND($H28&lt;&gt;"",$AN28&lt;&gt;"",$H28&lt;&gt;$AN28,IFERROR(VLOOKUP($H28,areaCercaPuntiClassificaSquadra,3,FALSE),-1)=IFERROR(VLOOKUP($AN28,areaCercaPuntiClassificaSquadra,3,FALSE),-2)),SUMIFS(Dati!$B$2:$B$381,Dati!$A$2:$A$381,$H28,Dati!$H$2:$H$381,$AN28)+SUMIFS(Dati!$I$2:$I$381,Dati!$H$2:$H$381,$H28,Dati!$A$2:$A$381,$AN28),"-")</f>
        <v/>
      </c>
      <c r="BK28" s="22">
        <f>IF(AND($H28&lt;&gt;"",$AO28&lt;&gt;"",$H28&lt;&gt;$AO28,IFERROR(VLOOKUP($H28,areaCercaPuntiClassificaSquadra,3,FALSE),-1)=IFERROR(VLOOKUP($AO28,areaCercaPuntiClassificaSquadra,3,FALSE),-2)),SUMIFS(Dati!$B$2:$B$381,Dati!$A$2:$A$381,$H28,Dati!$H$2:$H$381,$AO28)+SUMIFS(Dati!$I$2:$I$381,Dati!$H$2:$H$381,$H28,Dati!$A$2:$A$381,$AO28),"-")</f>
        <v/>
      </c>
      <c r="BL28" s="22">
        <f>IF(AND($H28&lt;&gt;"",$AP28&lt;&gt;"",$H28&lt;&gt;$AP28,IFERROR(VLOOKUP($H28,areaCercaPuntiClassificaSquadra,3,FALSE),-1)=IFERROR(VLOOKUP($AP28,areaCercaPuntiClassificaSquadra,3,FALSE),-2)),SUMIFS(Dati!$B$2:$B$381,Dati!$A$2:$A$381,$H28,Dati!$H$2:$H$381,$AP28)+SUMIFS(Dati!$I$2:$I$381,Dati!$H$2:$H$381,$H28,Dati!$A$2:$A$381,$AP28),"-")</f>
        <v/>
      </c>
      <c r="BM28" s="22">
        <f>IF(AND($H28&lt;&gt;"",$AQ28&lt;&gt;"",$H28&lt;&gt;$AQ28,IFERROR(VLOOKUP($H28,areaCercaPuntiClassificaSquadra,3,FALSE),-1)=IFERROR(VLOOKUP($AQ28,areaCercaPuntiClassificaSquadra,3,FALSE),-2)),SUMIFS(Dati!$B$2:$B$381,Dati!$A$2:$A$381,$H28,Dati!$H$2:$H$381,$AQ28)+SUMIFS(Dati!$I$2:$I$381,Dati!$H$2:$H$381,$H28,Dati!$A$2:$A$381,$AQ28),"-")</f>
        <v/>
      </c>
      <c r="BN28" s="22">
        <f>IF(AND($H28&lt;&gt;"",$AR28&lt;&gt;"",$H28&lt;&gt;$AR28,IFERROR(VLOOKUP($H28,areaCercaPuntiClassificaSquadra,3,FALSE),-1)=IFERROR(VLOOKUP($AR28,areaCercaPuntiClassificaSquadra,3,FALSE),-2)),SUMIFS(Dati!$B$2:$B$381,Dati!$A$2:$A$381,$H28,Dati!$H$2:$H$381,$AR28)+SUMIFS(Dati!$I$2:$I$381,Dati!$H$2:$H$381,$H28,Dati!$A$2:$A$381,$AR28),"-")</f>
        <v/>
      </c>
      <c r="BP28" s="21">
        <f>$C28</f>
        <v/>
      </c>
      <c r="BQ28" s="22">
        <f>IF(AND($H28&lt;&gt;"",$Y28&lt;&gt;"",$H28&lt;&gt;$Y28,IFERROR(VLOOKUP($H28,areaCercaPuntiClassificaSquadra,3,FALSE),-1)=IFERROR(VLOOKUP($Y28,areaCercaPuntiClassificaSquadra,3,FALSE),-2)),SUMIFS(Dati!$D$2:$D$381,Dati!$A$2:$A$381,$H28,Dati!$H$2:$H$381,$Y28)+SUMIFS(Dati!$K$2:$K$381,Dati!$H$2:$H$381,$H28,Dati!$A$2:$A$381,$Y28)+SUMIFS(Dati!$C$2:$C$381,Dati!$A$2:$A$381,$H28,Dati!$H$2:$H$381,$Y28)+SUMIFS(Dati!$J$2:$J$381,Dati!$H$2:$H$381,$H28,Dati!$A$2:$A$381,$Y28),"-")</f>
        <v/>
      </c>
      <c r="BR28" s="22">
        <f>IF(AND($H28&lt;&gt;"",$Z28&lt;&gt;"",$H28&lt;&gt;$Z28,IFERROR(VLOOKUP($H28,areaCercaPuntiClassificaSquadra,3,FALSE),-1)=IFERROR(VLOOKUP($Z28,areaCercaPuntiClassificaSquadra,3,FALSE),-2)),SUMIFS(Dati!$D$2:$D$381,Dati!$A$2:$A$381,$H28,Dati!$H$2:$H$381,$Z28)+SUMIFS(Dati!$K$2:$K$381,Dati!$H$2:$H$381,$H28,Dati!$A$2:$A$381,$Z28)+SUMIFS(Dati!$C$2:$C$381,Dati!$A$2:$A$381,$H28,Dati!$H$2:$H$381,$Z28)+SUMIFS(Dati!$J$2:$J$381,Dati!$H$2:$H$381,$H28,Dati!$A$2:$A$381,$Z28),"-")</f>
        <v/>
      </c>
      <c r="BS28" s="22">
        <f>IF(AND($H28&lt;&gt;"",$AA28&lt;&gt;"",$H28&lt;&gt;$AA28,IFERROR(VLOOKUP($H28,areaCercaPuntiClassificaSquadra,3,FALSE),-1)=IFERROR(VLOOKUP($AA28,areaCercaPuntiClassificaSquadra,3,FALSE),-2)),SUMIFS(Dati!$D$2:$D$381,Dati!$A$2:$A$381,$H28,Dati!$H$2:$H$381,$AA28)+SUMIFS(Dati!$K$2:$K$381,Dati!$H$2:$H$381,$H28,Dati!$A$2:$A$381,$AA28)+SUMIFS(Dati!$C$2:$C$381,Dati!$A$2:$A$381,$H28,Dati!$H$2:$H$381,$AA28)+SUMIFS(Dati!$J$2:$J$381,Dati!$H$2:$H$381,$H28,Dati!$A$2:$A$381,$AA28),"-")</f>
        <v/>
      </c>
      <c r="BT28" s="22">
        <f>IF(AND($H28&lt;&gt;"",$AB28&lt;&gt;"",$H28&lt;&gt;$AB28,IFERROR(VLOOKUP($H28,areaCercaPuntiClassificaSquadra,3,FALSE),-1)=IFERROR(VLOOKUP($AB28,areaCercaPuntiClassificaSquadra,3,FALSE),-2)),SUMIFS(Dati!$D$2:$D$381,Dati!$A$2:$A$381,$H28,Dati!$H$2:$H$381,$AB28)+SUMIFS(Dati!$K$2:$K$381,Dati!$H$2:$H$381,$H28,Dati!$A$2:$A$381,$AB28)+SUMIFS(Dati!$C$2:$C$381,Dati!$A$2:$A$381,$H28,Dati!$H$2:$H$381,$AB28)+SUMIFS(Dati!$J$2:$J$381,Dati!$H$2:$H$381,$H28,Dati!$A$2:$A$381,$AB28),"-")</f>
        <v/>
      </c>
      <c r="BU28" s="22">
        <f>IF(AND($H28&lt;&gt;"",$AC28&lt;&gt;"",$H28&lt;&gt;$AC28,IFERROR(VLOOKUP($H28,areaCercaPuntiClassificaSquadra,3,FALSE),-1)=IFERROR(VLOOKUP($AC28,areaCercaPuntiClassificaSquadra,3,FALSE),-2)),SUMIFS(Dati!$D$2:$D$381,Dati!$A$2:$A$381,$H28,Dati!$H$2:$H$381,$AC28)+SUMIFS(Dati!$K$2:$K$381,Dati!$H$2:$H$381,$H28,Dati!$A$2:$A$381,$AC28)+SUMIFS(Dati!$C$2:$C$381,Dati!$A$2:$A$381,$H28,Dati!$H$2:$H$381,$AC28)+SUMIFS(Dati!$J$2:$J$381,Dati!$H$2:$H$381,$H28,Dati!$A$2:$A$381,$AC28),"-")</f>
        <v/>
      </c>
      <c r="BV28" s="22">
        <f>IF(AND($H28&lt;&gt;"",$AD28&lt;&gt;"",$H28&lt;&gt;$AD28,IFERROR(VLOOKUP($H28,areaCercaPuntiClassificaSquadra,3,FALSE),-1)=IFERROR(VLOOKUP($AD28,areaCercaPuntiClassificaSquadra,3,FALSE),-2)),SUMIFS(Dati!$D$2:$D$381,Dati!$A$2:$A$381,$H28,Dati!$H$2:$H$381,$AD28)+SUMIFS(Dati!$K$2:$K$381,Dati!$H$2:$H$381,$H28,Dati!$A$2:$A$381,$AD28)+SUMIFS(Dati!$C$2:$C$381,Dati!$A$2:$A$381,$H28,Dati!$H$2:$H$381,$AD28)+SUMIFS(Dati!$J$2:$J$381,Dati!$H$2:$H$381,$H28,Dati!$A$2:$A$381,$AD28),"-")</f>
        <v/>
      </c>
      <c r="BW28" s="22">
        <f>IF(AND($H28&lt;&gt;"",$AE28&lt;&gt;"",$H28&lt;&gt;$AE28,IFERROR(VLOOKUP($H28,areaCercaPuntiClassificaSquadra,3,FALSE),-1)=IFERROR(VLOOKUP($AE28,areaCercaPuntiClassificaSquadra,3,FALSE),-2)),SUMIFS(Dati!$D$2:$D$381,Dati!$A$2:$A$381,$H28,Dati!$H$2:$H$381,$AE28)+SUMIFS(Dati!$K$2:$K$381,Dati!$H$2:$H$381,$H28,Dati!$A$2:$A$381,$AE28)+SUMIFS(Dati!$C$2:$C$381,Dati!$A$2:$A$381,$H28,Dati!$H$2:$H$381,$AE28)+SUMIFS(Dati!$J$2:$J$381,Dati!$H$2:$H$381,$H28,Dati!$A$2:$A$381,$AE28),"-")</f>
        <v/>
      </c>
      <c r="BX28" s="22">
        <f>IF(AND($H28&lt;&gt;"",$AF28&lt;&gt;"",$H28&lt;&gt;$AF28,IFERROR(VLOOKUP($H28,areaCercaPuntiClassificaSquadra,3,FALSE),-1)=IFERROR(VLOOKUP($AF28,areaCercaPuntiClassificaSquadra,3,FALSE),-2)),SUMIFS(Dati!$D$2:$D$381,Dati!$A$2:$A$381,$H28,Dati!$H$2:$H$381,$AF28)+SUMIFS(Dati!$K$2:$K$381,Dati!$H$2:$H$381,$H28,Dati!$A$2:$A$381,$AF28)+SUMIFS(Dati!$C$2:$C$381,Dati!$A$2:$A$381,$H28,Dati!$H$2:$H$381,$AF28)+SUMIFS(Dati!$J$2:$J$381,Dati!$H$2:$H$381,$H28,Dati!$A$2:$A$381,$AF28),"-")</f>
        <v/>
      </c>
      <c r="BY28" s="22">
        <f>IF(AND($H28&lt;&gt;"",$AG28&lt;&gt;"",$H28&lt;&gt;$AG28,IFERROR(VLOOKUP($H28,areaCercaPuntiClassificaSquadra,3,FALSE),-1)=IFERROR(VLOOKUP($AG28,areaCercaPuntiClassificaSquadra,3,FALSE),-2)),SUMIFS(Dati!$D$2:$D$381,Dati!$A$2:$A$381,$H28,Dati!$H$2:$H$381,$AG28)+SUMIFS(Dati!$K$2:$K$381,Dati!$H$2:$H$381,$H28,Dati!$A$2:$A$381,$AG28)+SUMIFS(Dati!$C$2:$C$381,Dati!$A$2:$A$381,$H28,Dati!$H$2:$H$381,$AG28)+SUMIFS(Dati!$J$2:$J$381,Dati!$H$2:$H$381,$H28,Dati!$A$2:$A$381,$AG28),"-")</f>
        <v/>
      </c>
      <c r="BZ28" s="22">
        <f>IF(AND($H28&lt;&gt;"",$AH28&lt;&gt;"",$H28&lt;&gt;$AH28,IFERROR(VLOOKUP($H28,areaCercaPuntiClassificaSquadra,3,FALSE),-1)=IFERROR(VLOOKUP($AH28,areaCercaPuntiClassificaSquadra,3,FALSE),-2)),SUMIFS(Dati!$D$2:$D$381,Dati!$A$2:$A$381,$H28,Dati!$H$2:$H$381,$AH28)+SUMIFS(Dati!$K$2:$K$381,Dati!$H$2:$H$381,$H28,Dati!$A$2:$A$381,$AH28)+SUMIFS(Dati!$C$2:$C$381,Dati!$A$2:$A$381,$H28,Dati!$H$2:$H$381,$AH28)+SUMIFS(Dati!$J$2:$J$381,Dati!$H$2:$H$381,$H28,Dati!$A$2:$A$381,$AH28),"-")</f>
        <v/>
      </c>
      <c r="CA28" s="22">
        <f>IF(AND($H28&lt;&gt;"",$AI28&lt;&gt;"",$H28&lt;&gt;$AI28,IFERROR(VLOOKUP($H28,areaCercaPuntiClassificaSquadra,3,FALSE),-1)=IFERROR(VLOOKUP($AI28,areaCercaPuntiClassificaSquadra,3,FALSE),-2)),SUMIFS(Dati!$D$2:$D$381,Dati!$A$2:$A$381,$H28,Dati!$H$2:$H$381,$AI28)+SUMIFS(Dati!$K$2:$K$381,Dati!$H$2:$H$381,$H28,Dati!$A$2:$A$381,$AI28)+SUMIFS(Dati!$C$2:$C$381,Dati!$A$2:$A$381,$H28,Dati!$H$2:$H$381,$AI28)+SUMIFS(Dati!$J$2:$J$381,Dati!$H$2:$H$381,$H28,Dati!$A$2:$A$381,$AI28),"-")</f>
        <v/>
      </c>
      <c r="CB28" s="22">
        <f>IF(AND($H28&lt;&gt;"",$AJ28&lt;&gt;"",$H28&lt;&gt;$AJ28,IFERROR(VLOOKUP($H28,areaCercaPuntiClassificaSquadra,3,FALSE),-1)=IFERROR(VLOOKUP($AJ28,areaCercaPuntiClassificaSquadra,3,FALSE),-2)),SUMIFS(Dati!$D$2:$D$381,Dati!$A$2:$A$381,$H28,Dati!$H$2:$H$381,$AJ28)+SUMIFS(Dati!$K$2:$K$381,Dati!$H$2:$H$381,$H28,Dati!$A$2:$A$381,$AJ28)+SUMIFS(Dati!$C$2:$C$381,Dati!$A$2:$A$381,$H28,Dati!$H$2:$H$381,$AJ28)+SUMIFS(Dati!$J$2:$J$381,Dati!$H$2:$H$381,$H28,Dati!$A$2:$A$381,$AJ28),"-")</f>
        <v/>
      </c>
      <c r="CC28" s="22">
        <f>IF(AND($H28&lt;&gt;"",$AK28&lt;&gt;"",$H28&lt;&gt;$AK28,IFERROR(VLOOKUP($H28,areaCercaPuntiClassificaSquadra,3,FALSE),-1)=IFERROR(VLOOKUP($AK28,areaCercaPuntiClassificaSquadra,3,FALSE),-2)),SUMIFS(Dati!$D$2:$D$381,Dati!$A$2:$A$381,$H28,Dati!$H$2:$H$381,$AK28)+SUMIFS(Dati!$K$2:$K$381,Dati!$H$2:$H$381,$H28,Dati!$A$2:$A$381,$AK28)+SUMIFS(Dati!$C$2:$C$381,Dati!$A$2:$A$381,$H28,Dati!$H$2:$H$381,$AK28)+SUMIFS(Dati!$J$2:$J$381,Dati!$H$2:$H$381,$H28,Dati!$A$2:$A$381,$AK28),"-")</f>
        <v/>
      </c>
      <c r="CD28" s="22">
        <f>IF(AND($H28&lt;&gt;"",$AL28&lt;&gt;"",$H28&lt;&gt;$AL28,IFERROR(VLOOKUP($H28,areaCercaPuntiClassificaSquadra,3,FALSE),-1)=IFERROR(VLOOKUP($AL28,areaCercaPuntiClassificaSquadra,3,FALSE),-2)),SUMIFS(Dati!$D$2:$D$381,Dati!$A$2:$A$381,$H28,Dati!$H$2:$H$381,$AL28)+SUMIFS(Dati!$K$2:$K$381,Dati!$H$2:$H$381,$H28,Dati!$A$2:$A$381,$AL28)+SUMIFS(Dati!$C$2:$C$381,Dati!$A$2:$A$381,$H28,Dati!$H$2:$H$381,$AL28)+SUMIFS(Dati!$J$2:$J$381,Dati!$H$2:$H$381,$H28,Dati!$A$2:$A$381,$AL28),"-")</f>
        <v/>
      </c>
      <c r="CE28" s="22">
        <f>IF(AND($H28&lt;&gt;"",$AM28&lt;&gt;"",$H28&lt;&gt;$AM28,IFERROR(VLOOKUP($H28,areaCercaPuntiClassificaSquadra,3,FALSE),-1)=IFERROR(VLOOKUP($AM28,areaCercaPuntiClassificaSquadra,3,FALSE),-2)),SUMIFS(Dati!$D$2:$D$381,Dati!$A$2:$A$381,$H28,Dati!$H$2:$H$381,$AM28)+SUMIFS(Dati!$K$2:$K$381,Dati!$H$2:$H$381,$H28,Dati!$A$2:$A$381,$AM28)+SUMIFS(Dati!$C$2:$C$381,Dati!$A$2:$A$381,$H28,Dati!$H$2:$H$381,$AM28)+SUMIFS(Dati!$J$2:$J$381,Dati!$H$2:$H$381,$H28,Dati!$A$2:$A$381,$AM28),"-")</f>
        <v/>
      </c>
      <c r="CF28" s="22">
        <f>IF(AND($H28&lt;&gt;"",$AN28&lt;&gt;"",$H28&lt;&gt;$AN28,IFERROR(VLOOKUP($H28,areaCercaPuntiClassificaSquadra,3,FALSE),-1)=IFERROR(VLOOKUP($AN28,areaCercaPuntiClassificaSquadra,3,FALSE),-2)),SUMIFS(Dati!$D$2:$D$381,Dati!$A$2:$A$381,$H28,Dati!$H$2:$H$381,$AN28)+SUMIFS(Dati!$K$2:$K$381,Dati!$H$2:$H$381,$H28,Dati!$A$2:$A$381,$AN28)+SUMIFS(Dati!$C$2:$C$381,Dati!$A$2:$A$381,$H28,Dati!$H$2:$H$381,$AN28)+SUMIFS(Dati!$J$2:$J$381,Dati!$H$2:$H$381,$H28,Dati!$A$2:$A$381,$AN28),"-")</f>
        <v/>
      </c>
      <c r="CG28" s="22">
        <f>IF(AND($H28&lt;&gt;"",$AO28&lt;&gt;"",$H28&lt;&gt;$AO28,IFERROR(VLOOKUP($H28,areaCercaPuntiClassificaSquadra,3,FALSE),-1)=IFERROR(VLOOKUP($AO28,areaCercaPuntiClassificaSquadra,3,FALSE),-2)),SUMIFS(Dati!$D$2:$D$381,Dati!$A$2:$A$381,$H28,Dati!$H$2:$H$381,$AO28)+SUMIFS(Dati!$K$2:$K$381,Dati!$H$2:$H$381,$H28,Dati!$A$2:$A$381,$AO28)+SUMIFS(Dati!$C$2:$C$381,Dati!$A$2:$A$381,$H28,Dati!$H$2:$H$381,$AO28)+SUMIFS(Dati!$J$2:$J$381,Dati!$H$2:$H$381,$H28,Dati!$A$2:$A$381,$AO28),"-")</f>
        <v/>
      </c>
      <c r="CH28" s="22">
        <f>IF(AND($H28&lt;&gt;"",$AP28&lt;&gt;"",$H28&lt;&gt;$AP28,IFERROR(VLOOKUP($H28,areaCercaPuntiClassificaSquadra,3,FALSE),-1)=IFERROR(VLOOKUP($AP28,areaCercaPuntiClassificaSquadra,3,FALSE),-2)),SUMIFS(Dati!$D$2:$D$381,Dati!$A$2:$A$381,$H28,Dati!$H$2:$H$381,$AP28)+SUMIFS(Dati!$K$2:$K$381,Dati!$H$2:$H$381,$H28,Dati!$A$2:$A$381,$AP28)+SUMIFS(Dati!$C$2:$C$381,Dati!$A$2:$A$381,$H28,Dati!$H$2:$H$381,$AP28)+SUMIFS(Dati!$J$2:$J$381,Dati!$H$2:$H$381,$H28,Dati!$A$2:$A$381,$AP28),"-")</f>
        <v/>
      </c>
      <c r="CI28" s="22">
        <f>IF(AND($H28&lt;&gt;"",$AQ28&lt;&gt;"",$H28&lt;&gt;$AQ28,IFERROR(VLOOKUP($H28,areaCercaPuntiClassificaSquadra,3,FALSE),-1)=IFERROR(VLOOKUP($AQ28,areaCercaPuntiClassificaSquadra,3,FALSE),-2)),SUMIFS(Dati!$D$2:$D$381,Dati!$A$2:$A$381,$H28,Dati!$H$2:$H$381,$AQ28)+SUMIFS(Dati!$K$2:$K$381,Dati!$H$2:$H$381,$H28,Dati!$A$2:$A$381,$AQ28)+SUMIFS(Dati!$C$2:$C$381,Dati!$A$2:$A$381,$H28,Dati!$H$2:$H$381,$AQ28)+SUMIFS(Dati!$J$2:$J$381,Dati!$H$2:$H$381,$H28,Dati!$A$2:$A$381,$AQ28),"-")</f>
        <v/>
      </c>
      <c r="CJ28" s="22">
        <f>IF(AND($H28&lt;&gt;"",$AR28&lt;&gt;"",$H28&lt;&gt;$AR28,IFERROR(VLOOKUP($H28,areaCercaPuntiClassificaSquadra,3,FALSE),-1)=IFERROR(VLOOKUP($AR28,areaCercaPuntiClassificaSquadra,3,FALSE),-2)),SUMIFS(Dati!$D$2:$D$381,Dati!$A$2:$A$381,$H28,Dati!$H$2:$H$381,$AR28)+SUMIFS(Dati!$K$2:$K$381,Dati!$H$2:$H$381,$H28,Dati!$A$2:$A$381,$AR28)+SUMIFS(Dati!$C$2:$C$381,Dati!$A$2:$A$381,$H28,Dati!$H$2:$H$381,$AR28)+SUMIFS(Dati!$J$2:$J$381,Dati!$H$2:$H$381,$H28,Dati!$A$2:$A$381,$AR28),"-")</f>
        <v/>
      </c>
      <c r="CL28" s="21">
        <f>$C28</f>
        <v/>
      </c>
      <c r="CM28" s="22">
        <f>IF(AND($H28&lt;&gt;"",$Y28&lt;&gt;"",$H28&lt;&gt;$Y28,IFERROR(VLOOKUP($H28,areaCercaPuntiClassificaSquadra,3,FALSE),-1)=IFERROR(VLOOKUP($Y28,areaCercaPuntiClassificaSquadra,3,FALSE),-2)),SUMIFS(Dati!$E$2:$E$381,Dati!$A$2:$A$381,$H28,Dati!$H$2:$H$381,$Y28)+SUMIFS(Dati!$L$2:$L$381,Dati!$H$2:$H$381,$H28,Dati!$A$2:$A$381,$Y28),"-")</f>
        <v/>
      </c>
      <c r="CN28" s="22">
        <f>IF(AND($H28&lt;&gt;"",$Z28&lt;&gt;"",$H28&lt;&gt;$Z28,IFERROR(VLOOKUP($H28,areaCercaPuntiClassificaSquadra,3,FALSE),-1)=IFERROR(VLOOKUP($Z28,areaCercaPuntiClassificaSquadra,3,FALSE),-2)),SUMIFS(Dati!$E$2:$E$381,Dati!$A$2:$A$381,$H28,Dati!$H$2:$H$381,$Z28)+SUMIFS(Dati!$L$2:$L$381,Dati!$H$2:$H$381,$H28,Dati!$A$2:$A$381,$Z28),"-")</f>
        <v/>
      </c>
      <c r="CO28" s="22">
        <f>IF(AND($H28&lt;&gt;"",$AA28&lt;&gt;"",$H28&lt;&gt;$AA28,IFERROR(VLOOKUP($H28,areaCercaPuntiClassificaSquadra,3,FALSE),-1)=IFERROR(VLOOKUP($AA28,areaCercaPuntiClassificaSquadra,3,FALSE),-2)),SUMIFS(Dati!$E$2:$E$381,Dati!$A$2:$A$381,$H28,Dati!$H$2:$H$381,$AA28)+SUMIFS(Dati!$L$2:$L$381,Dati!$H$2:$H$381,$H28,Dati!$A$2:$A$381,$AA28),"-")</f>
        <v/>
      </c>
      <c r="CP28" s="22">
        <f>IF(AND($H28&lt;&gt;"",$AB28&lt;&gt;"",$H28&lt;&gt;$AB28,IFERROR(VLOOKUP($H28,areaCercaPuntiClassificaSquadra,3,FALSE),-1)=IFERROR(VLOOKUP($AB28,areaCercaPuntiClassificaSquadra,3,FALSE),-2)),SUMIFS(Dati!$E$2:$E$381,Dati!$A$2:$A$381,$H28,Dati!$H$2:$H$381,$AB28)+SUMIFS(Dati!$L$2:$L$381,Dati!$H$2:$H$381,$H28,Dati!$A$2:$A$381,$AB28),"-")</f>
        <v/>
      </c>
      <c r="CQ28" s="22">
        <f>IF(AND($H28&lt;&gt;"",$AC28&lt;&gt;"",$H28&lt;&gt;$AC28,IFERROR(VLOOKUP($H28,areaCercaPuntiClassificaSquadra,3,FALSE),-1)=IFERROR(VLOOKUP($AC28,areaCercaPuntiClassificaSquadra,3,FALSE),-2)),SUMIFS(Dati!$E$2:$E$381,Dati!$A$2:$A$381,$H28,Dati!$H$2:$H$381,$AC28)+SUMIFS(Dati!$L$2:$L$381,Dati!$H$2:$H$381,$H28,Dati!$A$2:$A$381,$AC28),"-")</f>
        <v/>
      </c>
      <c r="CR28" s="22">
        <f>IF(AND($H28&lt;&gt;"",$AD28&lt;&gt;"",$H28&lt;&gt;$AD28,IFERROR(VLOOKUP($H28,areaCercaPuntiClassificaSquadra,3,FALSE),-1)=IFERROR(VLOOKUP($AD28,areaCercaPuntiClassificaSquadra,3,FALSE),-2)),SUMIFS(Dati!$E$2:$E$381,Dati!$A$2:$A$381,$H28,Dati!$H$2:$H$381,$AD28)+SUMIFS(Dati!$L$2:$L$381,Dati!$H$2:$H$381,$H28,Dati!$A$2:$A$381,$AD28),"-")</f>
        <v/>
      </c>
      <c r="CS28" s="22">
        <f>IF(AND($H28&lt;&gt;"",$AE28&lt;&gt;"",$H28&lt;&gt;$AE28,IFERROR(VLOOKUP($H28,areaCercaPuntiClassificaSquadra,3,FALSE),-1)=IFERROR(VLOOKUP($AE28,areaCercaPuntiClassificaSquadra,3,FALSE),-2)),SUMIFS(Dati!$E$2:$E$381,Dati!$A$2:$A$381,$H28,Dati!$H$2:$H$381,$AE28)+SUMIFS(Dati!$L$2:$L$381,Dati!$H$2:$H$381,$H28,Dati!$A$2:$A$381,$AE28),"-")</f>
        <v/>
      </c>
      <c r="CT28" s="22">
        <f>IF(AND($H28&lt;&gt;"",$AF28&lt;&gt;"",$H28&lt;&gt;$AF28,IFERROR(VLOOKUP($H28,areaCercaPuntiClassificaSquadra,3,FALSE),-1)=IFERROR(VLOOKUP($AF28,areaCercaPuntiClassificaSquadra,3,FALSE),-2)),SUMIFS(Dati!$E$2:$E$381,Dati!$A$2:$A$381,$H28,Dati!$H$2:$H$381,$AF28)+SUMIFS(Dati!$L$2:$L$381,Dati!$H$2:$H$381,$H28,Dati!$A$2:$A$381,$AF28),"-")</f>
        <v/>
      </c>
      <c r="CU28" s="22">
        <f>IF(AND($H28&lt;&gt;"",$AG28&lt;&gt;"",$H28&lt;&gt;$AG28,IFERROR(VLOOKUP($H28,areaCercaPuntiClassificaSquadra,3,FALSE),-1)=IFERROR(VLOOKUP($AG28,areaCercaPuntiClassificaSquadra,3,FALSE),-2)),SUMIFS(Dati!$E$2:$E$381,Dati!$A$2:$A$381,$H28,Dati!$H$2:$H$381,$AG28)+SUMIFS(Dati!$L$2:$L$381,Dati!$H$2:$H$381,$H28,Dati!$A$2:$A$381,$AG28),"-")</f>
        <v/>
      </c>
      <c r="CV28" s="22">
        <f>IF(AND($H28&lt;&gt;"",$AH28&lt;&gt;"",$H28&lt;&gt;$AH28,IFERROR(VLOOKUP($H28,areaCercaPuntiClassificaSquadra,3,FALSE),-1)=IFERROR(VLOOKUP($AH28,areaCercaPuntiClassificaSquadra,3,FALSE),-2)),SUMIFS(Dati!$E$2:$E$381,Dati!$A$2:$A$381,$H28,Dati!$H$2:$H$381,$AH28)+SUMIFS(Dati!$L$2:$L$381,Dati!$H$2:$H$381,$H28,Dati!$A$2:$A$381,$AH28),"-")</f>
        <v/>
      </c>
      <c r="CW28" s="22">
        <f>IF(AND($H28&lt;&gt;"",$AI28&lt;&gt;"",$H28&lt;&gt;$AI28,IFERROR(VLOOKUP($H28,areaCercaPuntiClassificaSquadra,3,FALSE),-1)=IFERROR(VLOOKUP($AI28,areaCercaPuntiClassificaSquadra,3,FALSE),-2)),SUMIFS(Dati!$E$2:$E$381,Dati!$A$2:$A$381,$H28,Dati!$H$2:$H$381,$AI28)+SUMIFS(Dati!$L$2:$L$381,Dati!$H$2:$H$381,$H28,Dati!$A$2:$A$381,$AI28),"-")</f>
        <v/>
      </c>
      <c r="CX28" s="22">
        <f>IF(AND($H28&lt;&gt;"",$AJ28&lt;&gt;"",$H28&lt;&gt;$AJ28,IFERROR(VLOOKUP($H28,areaCercaPuntiClassificaSquadra,3,FALSE),-1)=IFERROR(VLOOKUP($AJ28,areaCercaPuntiClassificaSquadra,3,FALSE),-2)),SUMIFS(Dati!$E$2:$E$381,Dati!$A$2:$A$381,$H28,Dati!$H$2:$H$381,$AJ28)+SUMIFS(Dati!$L$2:$L$381,Dati!$H$2:$H$381,$H28,Dati!$A$2:$A$381,$AJ28),"-")</f>
        <v/>
      </c>
      <c r="CY28" s="22">
        <f>IF(AND($H28&lt;&gt;"",$AK28&lt;&gt;"",$H28&lt;&gt;$AK28,IFERROR(VLOOKUP($H28,areaCercaPuntiClassificaSquadra,3,FALSE),-1)=IFERROR(VLOOKUP($AK28,areaCercaPuntiClassificaSquadra,3,FALSE),-2)),SUMIFS(Dati!$E$2:$E$381,Dati!$A$2:$A$381,$H28,Dati!$H$2:$H$381,$AK28)+SUMIFS(Dati!$L$2:$L$381,Dati!$H$2:$H$381,$H28,Dati!$A$2:$A$381,$AK28),"-")</f>
        <v/>
      </c>
      <c r="CZ28" s="22">
        <f>IF(AND($H28&lt;&gt;"",$AL28&lt;&gt;"",$H28&lt;&gt;$AL28,IFERROR(VLOOKUP($H28,areaCercaPuntiClassificaSquadra,3,FALSE),-1)=IFERROR(VLOOKUP($AL28,areaCercaPuntiClassificaSquadra,3,FALSE),-2)),SUMIFS(Dati!$E$2:$E$381,Dati!$A$2:$A$381,$H28,Dati!$H$2:$H$381,$AL28)+SUMIFS(Dati!$L$2:$L$381,Dati!$H$2:$H$381,$H28,Dati!$A$2:$A$381,$AL28),"-")</f>
        <v/>
      </c>
      <c r="DA28" s="22">
        <f>IF(AND($H28&lt;&gt;"",$AM28&lt;&gt;"",$H28&lt;&gt;$AM28,IFERROR(VLOOKUP($H28,areaCercaPuntiClassificaSquadra,3,FALSE),-1)=IFERROR(VLOOKUP($AM28,areaCercaPuntiClassificaSquadra,3,FALSE),-2)),SUMIFS(Dati!$E$2:$E$381,Dati!$A$2:$A$381,$H28,Dati!$H$2:$H$381,$AM28)+SUMIFS(Dati!$L$2:$L$381,Dati!$H$2:$H$381,$H28,Dati!$A$2:$A$381,$AM28),"-")</f>
        <v/>
      </c>
      <c r="DB28" s="22">
        <f>IF(AND($H28&lt;&gt;"",$AN28&lt;&gt;"",$H28&lt;&gt;$AN28,IFERROR(VLOOKUP($H28,areaCercaPuntiClassificaSquadra,3,FALSE),-1)=IFERROR(VLOOKUP($AN28,areaCercaPuntiClassificaSquadra,3,FALSE),-2)),SUMIFS(Dati!$E$2:$E$381,Dati!$A$2:$A$381,$H28,Dati!$H$2:$H$381,$AN28)+SUMIFS(Dati!$L$2:$L$381,Dati!$H$2:$H$381,$H28,Dati!$A$2:$A$381,$AN28),"-")</f>
        <v/>
      </c>
      <c r="DC28" s="22">
        <f>IF(AND($H28&lt;&gt;"",$AO28&lt;&gt;"",$H28&lt;&gt;$AO28,IFERROR(VLOOKUP($H28,areaCercaPuntiClassificaSquadra,3,FALSE),-1)=IFERROR(VLOOKUP($AO28,areaCercaPuntiClassificaSquadra,3,FALSE),-2)),SUMIFS(Dati!$E$2:$E$381,Dati!$A$2:$A$381,$H28,Dati!$H$2:$H$381,$AO28)+SUMIFS(Dati!$L$2:$L$381,Dati!$H$2:$H$381,$H28,Dati!$A$2:$A$381,$AO28),"-")</f>
        <v/>
      </c>
      <c r="DD28" s="22">
        <f>IF(AND($H28&lt;&gt;"",$AP28&lt;&gt;"",$H28&lt;&gt;$AP28,IFERROR(VLOOKUP($H28,areaCercaPuntiClassificaSquadra,3,FALSE),-1)=IFERROR(VLOOKUP($AP28,areaCercaPuntiClassificaSquadra,3,FALSE),-2)),SUMIFS(Dati!$E$2:$E$381,Dati!$A$2:$A$381,$H28,Dati!$H$2:$H$381,$AP28)+SUMIFS(Dati!$L$2:$L$381,Dati!$H$2:$H$381,$H28,Dati!$A$2:$A$381,$AP28),"-")</f>
        <v/>
      </c>
      <c r="DE28" s="22">
        <f>IF(AND($H28&lt;&gt;"",$AQ28&lt;&gt;"",$H28&lt;&gt;$AQ28,IFERROR(VLOOKUP($H28,areaCercaPuntiClassificaSquadra,3,FALSE),-1)=IFERROR(VLOOKUP($AQ28,areaCercaPuntiClassificaSquadra,3,FALSE),-2)),SUMIFS(Dati!$E$2:$E$381,Dati!$A$2:$A$381,$H28,Dati!$H$2:$H$381,$AQ28)+SUMIFS(Dati!$L$2:$L$381,Dati!$H$2:$H$381,$H28,Dati!$A$2:$A$381,$AQ28),"-")</f>
        <v/>
      </c>
      <c r="DF28" s="22">
        <f>IF(AND($H28&lt;&gt;"",$AR28&lt;&gt;"",$H28&lt;&gt;$AR28,IFERROR(VLOOKUP($H28,areaCercaPuntiClassificaSquadra,3,FALSE),-1)=IFERROR(VLOOKUP($AR28,areaCercaPuntiClassificaSquadra,3,FALSE),-2)),SUMIFS(Dati!$E$2:$E$381,Dati!$A$2:$A$381,$H28,Dati!$H$2:$H$381,$AR28)+SUMIFS(Dati!$L$2:$L$381,Dati!$H$2:$H$381,$H28,Dati!$A$2:$A$381,$AR28),"-")</f>
        <v/>
      </c>
      <c r="DH28" s="21">
        <f>$C28</f>
        <v/>
      </c>
      <c r="DI28" s="22">
        <f>IF(AND($H28&lt;&gt;"",$Y28&lt;&gt;"",$H28&lt;&gt;$Y28,IFERROR(VLOOKUP($H28,areaCercaPuntiClassificaSquadra,3,FALSE),-1)=IFERROR(VLOOKUP($Y28,areaCercaPuntiClassificaSquadra,3,FALSE),-2)),SUMIFS(Dati!$F$2:$F$381,Dati!$A$2:$A$381,$H28,Dati!$H$2:$H$381,$Y28)+SUMIFS(Dati!$M$2:$M$381,Dati!$H$2:$H$381,$H28,Dati!$A$2:$A$381,$Y28),"-")</f>
        <v/>
      </c>
      <c r="DJ28" s="22">
        <f>IF(AND($H28&lt;&gt;"",$Z28&lt;&gt;"",$H28&lt;&gt;$Z28,IFERROR(VLOOKUP($H28,areaCercaPuntiClassificaSquadra,3,FALSE),-1)=IFERROR(VLOOKUP($Z28,areaCercaPuntiClassificaSquadra,3,FALSE),-2)),SUMIFS(Dati!$F$2:$F$381,Dati!$A$2:$A$381,$H28,Dati!$H$2:$H$381,$Z28)+SUMIFS(Dati!$M$2:$M$381,Dati!$H$2:$H$381,$H28,Dati!$A$2:$A$381,$Z28),"-")</f>
        <v/>
      </c>
      <c r="DK28" s="22">
        <f>IF(AND($H28&lt;&gt;"",$AA28&lt;&gt;"",$H28&lt;&gt;$AA28,IFERROR(VLOOKUP($H28,areaCercaPuntiClassificaSquadra,3,FALSE),-1)=IFERROR(VLOOKUP($AA28,areaCercaPuntiClassificaSquadra,3,FALSE),-2)),SUMIFS(Dati!$F$2:$F$381,Dati!$A$2:$A$381,$H28,Dati!$H$2:$H$381,$AA28)+SUMIFS(Dati!$M$2:$M$381,Dati!$H$2:$H$381,$H28,Dati!$A$2:$A$381,$AA28),"-")</f>
        <v/>
      </c>
      <c r="DL28" s="22">
        <f>IF(AND($H28&lt;&gt;"",$AB28&lt;&gt;"",$H28&lt;&gt;$AB28,IFERROR(VLOOKUP($H28,areaCercaPuntiClassificaSquadra,3,FALSE),-1)=IFERROR(VLOOKUP($AB28,areaCercaPuntiClassificaSquadra,3,FALSE),-2)),SUMIFS(Dati!$F$2:$F$381,Dati!$A$2:$A$381,$H28,Dati!$H$2:$H$381,$AB28)+SUMIFS(Dati!$M$2:$M$381,Dati!$H$2:$H$381,$H28,Dati!$A$2:$A$381,$AB28),"-")</f>
        <v/>
      </c>
      <c r="DM28" s="22">
        <f>IF(AND($H28&lt;&gt;"",$AC28&lt;&gt;"",$H28&lt;&gt;$AC28,IFERROR(VLOOKUP($H28,areaCercaPuntiClassificaSquadra,3,FALSE),-1)=IFERROR(VLOOKUP($AC28,areaCercaPuntiClassificaSquadra,3,FALSE),-2)),SUMIFS(Dati!$F$2:$F$381,Dati!$A$2:$A$381,$H28,Dati!$H$2:$H$381,$AC28)+SUMIFS(Dati!$M$2:$M$381,Dati!$H$2:$H$381,$H28,Dati!$A$2:$A$381,$AC28),"-")</f>
        <v/>
      </c>
      <c r="DN28" s="22">
        <f>IF(AND($H28&lt;&gt;"",$AD28&lt;&gt;"",$H28&lt;&gt;$AD28,IFERROR(VLOOKUP($H28,areaCercaPuntiClassificaSquadra,3,FALSE),-1)=IFERROR(VLOOKUP($AD28,areaCercaPuntiClassificaSquadra,3,FALSE),-2)),SUMIFS(Dati!$F$2:$F$381,Dati!$A$2:$A$381,$H28,Dati!$H$2:$H$381,$AD28)+SUMIFS(Dati!$M$2:$M$381,Dati!$H$2:$H$381,$H28,Dati!$A$2:$A$381,$AD28),"-")</f>
        <v/>
      </c>
      <c r="DO28" s="22">
        <f>IF(AND($H28&lt;&gt;"",$AE28&lt;&gt;"",$H28&lt;&gt;$AE28,IFERROR(VLOOKUP($H28,areaCercaPuntiClassificaSquadra,3,FALSE),-1)=IFERROR(VLOOKUP($AE28,areaCercaPuntiClassificaSquadra,3,FALSE),-2)),SUMIFS(Dati!$F$2:$F$381,Dati!$A$2:$A$381,$H28,Dati!$H$2:$H$381,$AE28)+SUMIFS(Dati!$M$2:$M$381,Dati!$H$2:$H$381,$H28,Dati!$A$2:$A$381,$AE28),"-")</f>
        <v/>
      </c>
      <c r="DP28" s="22">
        <f>IF(AND($H28&lt;&gt;"",$AF28&lt;&gt;"",$H28&lt;&gt;$AF28,IFERROR(VLOOKUP($H28,areaCercaPuntiClassificaSquadra,3,FALSE),-1)=IFERROR(VLOOKUP($AF28,areaCercaPuntiClassificaSquadra,3,FALSE),-2)),SUMIFS(Dati!$F$2:$F$381,Dati!$A$2:$A$381,$H28,Dati!$H$2:$H$381,$AF28)+SUMIFS(Dati!$M$2:$M$381,Dati!$H$2:$H$381,$H28,Dati!$A$2:$A$381,$AF28),"-")</f>
        <v/>
      </c>
      <c r="DQ28" s="22">
        <f>IF(AND($H28&lt;&gt;"",$AG28&lt;&gt;"",$H28&lt;&gt;$AG28,IFERROR(VLOOKUP($H28,areaCercaPuntiClassificaSquadra,3,FALSE),-1)=IFERROR(VLOOKUP($AG28,areaCercaPuntiClassificaSquadra,3,FALSE),-2)),SUMIFS(Dati!$F$2:$F$381,Dati!$A$2:$A$381,$H28,Dati!$H$2:$H$381,$AG28)+SUMIFS(Dati!$M$2:$M$381,Dati!$H$2:$H$381,$H28,Dati!$A$2:$A$381,$AG28),"-")</f>
        <v/>
      </c>
      <c r="DR28" s="22">
        <f>IF(AND($H28&lt;&gt;"",$AH28&lt;&gt;"",$H28&lt;&gt;$AH28,IFERROR(VLOOKUP($H28,areaCercaPuntiClassificaSquadra,3,FALSE),-1)=IFERROR(VLOOKUP($AH28,areaCercaPuntiClassificaSquadra,3,FALSE),-2)),SUMIFS(Dati!$F$2:$F$381,Dati!$A$2:$A$381,$H28,Dati!$H$2:$H$381,$AH28)+SUMIFS(Dati!$M$2:$M$381,Dati!$H$2:$H$381,$H28,Dati!$A$2:$A$381,$AH28),"-")</f>
        <v/>
      </c>
      <c r="DS28" s="22">
        <f>IF(AND($H28&lt;&gt;"",$AI28&lt;&gt;"",$H28&lt;&gt;$AI28,IFERROR(VLOOKUP($H28,areaCercaPuntiClassificaSquadra,3,FALSE),-1)=IFERROR(VLOOKUP($AI28,areaCercaPuntiClassificaSquadra,3,FALSE),-2)),SUMIFS(Dati!$F$2:$F$381,Dati!$A$2:$A$381,$H28,Dati!$H$2:$H$381,$AI28)+SUMIFS(Dati!$M$2:$M$381,Dati!$H$2:$H$381,$H28,Dati!$A$2:$A$381,$AI28),"-")</f>
        <v/>
      </c>
      <c r="DT28" s="22">
        <f>IF(AND($H28&lt;&gt;"",$AJ28&lt;&gt;"",$H28&lt;&gt;$AJ28,IFERROR(VLOOKUP($H28,areaCercaPuntiClassificaSquadra,3,FALSE),-1)=IFERROR(VLOOKUP($AJ28,areaCercaPuntiClassificaSquadra,3,FALSE),-2)),SUMIFS(Dati!$F$2:$F$381,Dati!$A$2:$A$381,$H28,Dati!$H$2:$H$381,$AJ28)+SUMIFS(Dati!$M$2:$M$381,Dati!$H$2:$H$381,$H28,Dati!$A$2:$A$381,$AJ28),"-")</f>
        <v/>
      </c>
      <c r="DU28" s="22">
        <f>IF(AND($H28&lt;&gt;"",$AK28&lt;&gt;"",$H28&lt;&gt;$AK28,IFERROR(VLOOKUP($H28,areaCercaPuntiClassificaSquadra,3,FALSE),-1)=IFERROR(VLOOKUP($AK28,areaCercaPuntiClassificaSquadra,3,FALSE),-2)),SUMIFS(Dati!$F$2:$F$381,Dati!$A$2:$A$381,$H28,Dati!$H$2:$H$381,$AK28)+SUMIFS(Dati!$M$2:$M$381,Dati!$H$2:$H$381,$H28,Dati!$A$2:$A$381,$AK28),"-")</f>
        <v/>
      </c>
      <c r="DV28" s="22">
        <f>IF(AND($H28&lt;&gt;"",$AL28&lt;&gt;"",$H28&lt;&gt;$AL28,IFERROR(VLOOKUP($H28,areaCercaPuntiClassificaSquadra,3,FALSE),-1)=IFERROR(VLOOKUP($AL28,areaCercaPuntiClassificaSquadra,3,FALSE),-2)),SUMIFS(Dati!$F$2:$F$381,Dati!$A$2:$A$381,$H28,Dati!$H$2:$H$381,$AL28)+SUMIFS(Dati!$M$2:$M$381,Dati!$H$2:$H$381,$H28,Dati!$A$2:$A$381,$AL28),"-")</f>
        <v/>
      </c>
      <c r="DW28" s="22">
        <f>IF(AND($H28&lt;&gt;"",$AM28&lt;&gt;"",$H28&lt;&gt;$AM28,IFERROR(VLOOKUP($H28,areaCercaPuntiClassificaSquadra,3,FALSE),-1)=IFERROR(VLOOKUP($AM28,areaCercaPuntiClassificaSquadra,3,FALSE),-2)),SUMIFS(Dati!$F$2:$F$381,Dati!$A$2:$A$381,$H28,Dati!$H$2:$H$381,$AM28)+SUMIFS(Dati!$M$2:$M$381,Dati!$H$2:$H$381,$H28,Dati!$A$2:$A$381,$AM28),"-")</f>
        <v/>
      </c>
      <c r="DX28" s="22">
        <f>IF(AND($H28&lt;&gt;"",$AN28&lt;&gt;"",$H28&lt;&gt;$AN28,IFERROR(VLOOKUP($H28,areaCercaPuntiClassificaSquadra,3,FALSE),-1)=IFERROR(VLOOKUP($AN28,areaCercaPuntiClassificaSquadra,3,FALSE),-2)),SUMIFS(Dati!$F$2:$F$381,Dati!$A$2:$A$381,$H28,Dati!$H$2:$H$381,$AN28)+SUMIFS(Dati!$M$2:$M$381,Dati!$H$2:$H$381,$H28,Dati!$A$2:$A$381,$AN28),"-")</f>
        <v/>
      </c>
      <c r="DY28" s="22">
        <f>IF(AND($H28&lt;&gt;"",$AO28&lt;&gt;"",$H28&lt;&gt;$AO28,IFERROR(VLOOKUP($H28,areaCercaPuntiClassificaSquadra,3,FALSE),-1)=IFERROR(VLOOKUP($AO28,areaCercaPuntiClassificaSquadra,3,FALSE),-2)),SUMIFS(Dati!$F$2:$F$381,Dati!$A$2:$A$381,$H28,Dati!$H$2:$H$381,$AO28)+SUMIFS(Dati!$M$2:$M$381,Dati!$H$2:$H$381,$H28,Dati!$A$2:$A$381,$AO28),"-")</f>
        <v/>
      </c>
      <c r="DZ28" s="22">
        <f>IF(AND($H28&lt;&gt;"",$AP28&lt;&gt;"",$H28&lt;&gt;$AP28,IFERROR(VLOOKUP($H28,areaCercaPuntiClassificaSquadra,3,FALSE),-1)=IFERROR(VLOOKUP($AP28,areaCercaPuntiClassificaSquadra,3,FALSE),-2)),SUMIFS(Dati!$F$2:$F$381,Dati!$A$2:$A$381,$H28,Dati!$H$2:$H$381,$AP28)+SUMIFS(Dati!$M$2:$M$381,Dati!$H$2:$H$381,$H28,Dati!$A$2:$A$381,$AP28),"-")</f>
        <v/>
      </c>
      <c r="EA28" s="22">
        <f>IF(AND($H28&lt;&gt;"",$AQ28&lt;&gt;"",$H28&lt;&gt;$AQ28,IFERROR(VLOOKUP($H28,areaCercaPuntiClassificaSquadra,3,FALSE),-1)=IFERROR(VLOOKUP($AQ28,areaCercaPuntiClassificaSquadra,3,FALSE),-2)),SUMIFS(Dati!$F$2:$F$381,Dati!$A$2:$A$381,$H28,Dati!$H$2:$H$381,$AQ28)+SUMIFS(Dati!$M$2:$M$381,Dati!$H$2:$H$381,$H28,Dati!$A$2:$A$381,$AQ28),"-")</f>
        <v/>
      </c>
      <c r="EB28" s="22">
        <f>IF(AND($H28&lt;&gt;"",$AR28&lt;&gt;"",$H28&lt;&gt;$AR28,IFERROR(VLOOKUP($H28,areaCercaPuntiClassificaSquadra,3,FALSE),-1)=IFERROR(VLOOKUP($AR28,areaCercaPuntiClassificaSquadra,3,FALSE),-2)),SUMIFS(Dati!$F$2:$F$381,Dati!$A$2:$A$381,$H28,Dati!$H$2:$H$381,$AR28)+SUMIFS(Dati!$M$2:$M$381,Dati!$H$2:$H$381,$H28,Dati!$A$2:$A$381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inlineStr">
        <is>
          <t>Tigri Tenaci-Tigriopoli TA</t>
        </is>
      </c>
      <c r="D29" s="14" t="n"/>
      <c r="E29" s="15" t="inlineStr">
        <is>
          <t>A</t>
        </is>
      </c>
      <c r="G29" s="16">
        <f>IF($C29="","",$E29&amp;(COUNTIFS(I$14:I$53,"&gt;"&amp;I29,E$14:E$53,"="&amp;E29,C$14:C$53,"&lt;&gt;")+COUNTIFS(I$14:I$53,"="&amp;I29,H$14:H$53,"&lt;="&amp;H29,E$14:E$53,"="&amp;E29,C$14:C$53,"&lt;&gt;")))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L29*constPuntiVittoria+M29*constPuntiSconfitta+N29*constPuntiForfait+IF(D29="",0,D29)</f>
        <v/>
      </c>
      <c r="K29" s="12">
        <f>SUM(L29:N29)</f>
        <v/>
      </c>
      <c r="L29" s="12">
        <f>IF($H29="",0,SUMIF(Dati!$A$2:$A$381,$H29,Dati!$B$2:$B$381)+SUMIF(Dati!$H$2:$H$381,$H29,Dati!$I$2:$I$381))</f>
        <v/>
      </c>
      <c r="M29" s="12">
        <f>IF($H29="",0,SUMIF(Dati!$A$2:$A$381,$H29,Dati!$D$2:$D$381)+SUMIF(Dati!$H$2:$H$381,$H29,Dati!$K$2:$K$381))</f>
        <v/>
      </c>
      <c r="N29" s="12">
        <f>IF($H29="",0,SUMIF(Dati!$A$2:$A$381,$H29,Dati!$C$2:$C$381)+SUMIF(Dati!$H$2:$H$381,$H29,Dati!$J$2:$J$381))</f>
        <v/>
      </c>
      <c r="O29" s="12">
        <f>IF($H29="",0,SUMIF(Dati!$A$2:$A$381,$H29,Dati!$E$2:$E$381)+SUMIF(Dati!$H$2:$H$381,$H29,Dati!$L$2:$L$381))</f>
        <v/>
      </c>
      <c r="P29" s="12">
        <f>IF($H29="",0,SUMIF(Dati!$A$2:$A$381,$H29,Dati!$F$2:$F$381)+SUMIF(Dati!$H$2:$H$381,$H29,Dati!$M$2:$M$381))</f>
        <v/>
      </c>
      <c r="Q29" s="12">
        <f>IF($H29="",0,SUMIF(Dati!$A$2:$A$381,$H29,Dati!$G$2:$G$381)+SUMIF(Dati!$H$2:$H$381,$H29,Dati!$N$2:$N$381))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IF(COUNTIFS($E$14:$E$53,$E29,$J$14:$J$53,$J29,$C$14:$C$53,"&lt;&gt;")&lt;=1,"-",SUM(AU29:BN29)&amp;"-"&amp;SUM(BQ29:CJ29))</f>
        <v/>
      </c>
      <c r="V29" s="18">
        <f>IF(COUNTIFS($E$14:$E$53,$E29,$J$14:$J$53,$J29,$C$14:$C$53,"&lt;&gt;",$ED$14:$ED$53,$ED29)&lt;=1,"-",IF(SUM(DI29:EB29)=0,0,ROUND(SUM(CM29:DF29)/SUM(DI29:EB29),3)))</f>
        <v/>
      </c>
      <c r="W29" s="18">
        <f>IF(COUNTIFS($E$14:$E$53,$E29,$J$14:$J$53,$J29,$C$14:$C$53,"&lt;&gt;",$ED$14:$ED$53,$ED29,$V$14:$V$53,$V29)&lt;=1,"-",IF(P29=0,0,ROUND(O29/P29,3)))</f>
        <v/>
      </c>
      <c r="X29" s="19">
        <f>IF($C29="","",$E29&amp;"#"&amp;COUNTIFS($E$14:$E29,$E29,$C$14:$C29,"&lt;&gt;"))</f>
        <v/>
      </c>
      <c r="Y29" s="20">
        <f>IFERROR(INDEX($H$14:$H$53,MATCH($E29&amp;"#1",$X$14:$X$53,0)),"")</f>
        <v/>
      </c>
      <c r="Z29" s="20">
        <f>IFERROR(INDEX($H$14:$H$53,MATCH($E29&amp;"#2",$X$14:$X$53,0)),"")</f>
        <v/>
      </c>
      <c r="AA29" s="20">
        <f>IFERROR(INDEX($H$14:$H$53,MATCH($E29&amp;"#3",$X$14:$X$53,0)),"")</f>
        <v/>
      </c>
      <c r="AB29" s="20">
        <f>IFERROR(INDEX($H$14:$H$53,MATCH($E29&amp;"#4",$X$14:$X$53,0)),"")</f>
        <v/>
      </c>
      <c r="AC29" s="20">
        <f>IFERROR(INDEX($H$14:$H$53,MATCH($E29&amp;"#5",$X$14:$X$53,0)),"")</f>
        <v/>
      </c>
      <c r="AD29" s="20">
        <f>IFERROR(INDEX($H$14:$H$53,MATCH($E29&amp;"#6",$X$14:$X$53,0)),"")</f>
        <v/>
      </c>
      <c r="AE29" s="20">
        <f>IFERROR(INDEX($H$14:$H$53,MATCH($E29&amp;"#7",$X$14:$X$53,0)),"")</f>
        <v/>
      </c>
      <c r="AF29" s="20">
        <f>IFERROR(INDEX($H$14:$H$53,MATCH($E29&amp;"#8",$X$14:$X$53,0)),"")</f>
        <v/>
      </c>
      <c r="AG29" s="20">
        <f>IFERROR(INDEX($H$14:$H$53,MATCH($E29&amp;"#9",$X$14:$X$53,0)),"")</f>
        <v/>
      </c>
      <c r="AH29" s="20">
        <f>IFERROR(INDEX($H$14:$H$53,MATCH($E29&amp;"#10",$X$14:$X$53,0)),"")</f>
        <v/>
      </c>
      <c r="AI29" s="20">
        <f>IFERROR(INDEX($H$14:$H$53,MATCH($E29&amp;"#11",$X$14:$X$53,0)),"")</f>
        <v/>
      </c>
      <c r="AJ29" s="20">
        <f>IFERROR(INDEX($H$14:$H$53,MATCH($E29&amp;"#12",$X$14:$X$53,0)),"")</f>
        <v/>
      </c>
      <c r="AK29" s="20">
        <f>IFERROR(INDEX($H$14:$H$53,MATCH($E29&amp;"#13",$X$14:$X$53,0)),"")</f>
        <v/>
      </c>
      <c r="AL29" s="20">
        <f>IFERROR(INDEX($H$14:$H$53,MATCH($E29&amp;"#14",$X$14:$X$53,0)),"")</f>
        <v/>
      </c>
      <c r="AM29" s="20">
        <f>IFERROR(INDEX($H$14:$H$53,MATCH($E29&amp;"#15",$X$14:$X$53,0)),"")</f>
        <v/>
      </c>
      <c r="AN29" s="20">
        <f>IFERROR(INDEX($H$14:$H$53,MATCH($E29&amp;"#16",$X$14:$X$53,0)),"")</f>
        <v/>
      </c>
      <c r="AO29" s="20">
        <f>IFERROR(INDEX($H$14:$H$53,MATCH($E29&amp;"#17",$X$14:$X$53,0)),"")</f>
        <v/>
      </c>
      <c r="AP29" s="20">
        <f>IFERROR(INDEX($H$14:$H$53,MATCH($E29&amp;"#18",$X$14:$X$53,0)),"")</f>
        <v/>
      </c>
      <c r="AQ29" s="20">
        <f>IFERROR(INDEX($H$14:$H$53,MATCH($E29&amp;"#19",$X$14:$X$53,0)),"")</f>
        <v/>
      </c>
      <c r="AR29" s="20">
        <f>IFERROR(INDEX($H$14:$H$53,MATCH($E29&amp;"#20",$X$14:$X$53,0)),"")</f>
        <v/>
      </c>
      <c r="AT29" s="21">
        <f>$C29</f>
        <v/>
      </c>
      <c r="AU29" s="22">
        <f>IF(AND($H29&lt;&gt;"",$Y29&lt;&gt;"",$H29&lt;&gt;$Y29,IFERROR(VLOOKUP($H29,areaCercaPuntiClassificaSquadra,3,FALSE),-1)=IFERROR(VLOOKUP($Y29,areaCercaPuntiClassificaSquadra,3,FALSE),-2)),SUMIFS(Dati!$B$2:$B$381,Dati!$A$2:$A$381,$H29,Dati!$H$2:$H$381,$Y29)+SUMIFS(Dati!$I$2:$I$381,Dati!$H$2:$H$381,$H29,Dati!$A$2:$A$381,$Y29),"-")</f>
        <v/>
      </c>
      <c r="AV29" s="22">
        <f>IF(AND($H29&lt;&gt;"",$Z29&lt;&gt;"",$H29&lt;&gt;$Z29,IFERROR(VLOOKUP($H29,areaCercaPuntiClassificaSquadra,3,FALSE),-1)=IFERROR(VLOOKUP($Z29,areaCercaPuntiClassificaSquadra,3,FALSE),-2)),SUMIFS(Dati!$B$2:$B$381,Dati!$A$2:$A$381,$H29,Dati!$H$2:$H$381,$Z29)+SUMIFS(Dati!$I$2:$I$381,Dati!$H$2:$H$381,$H29,Dati!$A$2:$A$381,$Z29),"-")</f>
        <v/>
      </c>
      <c r="AW29" s="22">
        <f>IF(AND($H29&lt;&gt;"",$AA29&lt;&gt;"",$H29&lt;&gt;$AA29,IFERROR(VLOOKUP($H29,areaCercaPuntiClassificaSquadra,3,FALSE),-1)=IFERROR(VLOOKUP($AA29,areaCercaPuntiClassificaSquadra,3,FALSE),-2)),SUMIFS(Dati!$B$2:$B$381,Dati!$A$2:$A$381,$H29,Dati!$H$2:$H$381,$AA29)+SUMIFS(Dati!$I$2:$I$381,Dati!$H$2:$H$381,$H29,Dati!$A$2:$A$381,$AA29),"-")</f>
        <v/>
      </c>
      <c r="AX29" s="22">
        <f>IF(AND($H29&lt;&gt;"",$AB29&lt;&gt;"",$H29&lt;&gt;$AB29,IFERROR(VLOOKUP($H29,areaCercaPuntiClassificaSquadra,3,FALSE),-1)=IFERROR(VLOOKUP($AB29,areaCercaPuntiClassificaSquadra,3,FALSE),-2)),SUMIFS(Dati!$B$2:$B$381,Dati!$A$2:$A$381,$H29,Dati!$H$2:$H$381,$AB29)+SUMIFS(Dati!$I$2:$I$381,Dati!$H$2:$H$381,$H29,Dati!$A$2:$A$381,$AB29),"-")</f>
        <v/>
      </c>
      <c r="AY29" s="22">
        <f>IF(AND($H29&lt;&gt;"",$AC29&lt;&gt;"",$H29&lt;&gt;$AC29,IFERROR(VLOOKUP($H29,areaCercaPuntiClassificaSquadra,3,FALSE),-1)=IFERROR(VLOOKUP($AC29,areaCercaPuntiClassificaSquadra,3,FALSE),-2)),SUMIFS(Dati!$B$2:$B$381,Dati!$A$2:$A$381,$H29,Dati!$H$2:$H$381,$AC29)+SUMIFS(Dati!$I$2:$I$381,Dati!$H$2:$H$381,$H29,Dati!$A$2:$A$381,$AC29),"-")</f>
        <v/>
      </c>
      <c r="AZ29" s="22">
        <f>IF(AND($H29&lt;&gt;"",$AD29&lt;&gt;"",$H29&lt;&gt;$AD29,IFERROR(VLOOKUP($H29,areaCercaPuntiClassificaSquadra,3,FALSE),-1)=IFERROR(VLOOKUP($AD29,areaCercaPuntiClassificaSquadra,3,FALSE),-2)),SUMIFS(Dati!$B$2:$B$381,Dati!$A$2:$A$381,$H29,Dati!$H$2:$H$381,$AD29)+SUMIFS(Dati!$I$2:$I$381,Dati!$H$2:$H$381,$H29,Dati!$A$2:$A$381,$AD29),"-")</f>
        <v/>
      </c>
      <c r="BA29" s="22">
        <f>IF(AND($H29&lt;&gt;"",$AE29&lt;&gt;"",$H29&lt;&gt;$AE29,IFERROR(VLOOKUP($H29,areaCercaPuntiClassificaSquadra,3,FALSE),-1)=IFERROR(VLOOKUP($AE29,areaCercaPuntiClassificaSquadra,3,FALSE),-2)),SUMIFS(Dati!$B$2:$B$381,Dati!$A$2:$A$381,$H29,Dati!$H$2:$H$381,$AE29)+SUMIFS(Dati!$I$2:$I$381,Dati!$H$2:$H$381,$H29,Dati!$A$2:$A$381,$AE29),"-")</f>
        <v/>
      </c>
      <c r="BB29" s="22">
        <f>IF(AND($H29&lt;&gt;"",$AF29&lt;&gt;"",$H29&lt;&gt;$AF29,IFERROR(VLOOKUP($H29,areaCercaPuntiClassificaSquadra,3,FALSE),-1)=IFERROR(VLOOKUP($AF29,areaCercaPuntiClassificaSquadra,3,FALSE),-2)),SUMIFS(Dati!$B$2:$B$381,Dati!$A$2:$A$381,$H29,Dati!$H$2:$H$381,$AF29)+SUMIFS(Dati!$I$2:$I$381,Dati!$H$2:$H$381,$H29,Dati!$A$2:$A$381,$AF29),"-")</f>
        <v/>
      </c>
      <c r="BC29" s="22">
        <f>IF(AND($H29&lt;&gt;"",$AG29&lt;&gt;"",$H29&lt;&gt;$AG29,IFERROR(VLOOKUP($H29,areaCercaPuntiClassificaSquadra,3,FALSE),-1)=IFERROR(VLOOKUP($AG29,areaCercaPuntiClassificaSquadra,3,FALSE),-2)),SUMIFS(Dati!$B$2:$B$381,Dati!$A$2:$A$381,$H29,Dati!$H$2:$H$381,$AG29)+SUMIFS(Dati!$I$2:$I$381,Dati!$H$2:$H$381,$H29,Dati!$A$2:$A$381,$AG29),"-")</f>
        <v/>
      </c>
      <c r="BD29" s="22">
        <f>IF(AND($H29&lt;&gt;"",$AH29&lt;&gt;"",$H29&lt;&gt;$AH29,IFERROR(VLOOKUP($H29,areaCercaPuntiClassificaSquadra,3,FALSE),-1)=IFERROR(VLOOKUP($AH29,areaCercaPuntiClassificaSquadra,3,FALSE),-2)),SUMIFS(Dati!$B$2:$B$381,Dati!$A$2:$A$381,$H29,Dati!$H$2:$H$381,$AH29)+SUMIFS(Dati!$I$2:$I$381,Dati!$H$2:$H$381,$H29,Dati!$A$2:$A$381,$AH29),"-")</f>
        <v/>
      </c>
      <c r="BE29" s="22">
        <f>IF(AND($H29&lt;&gt;"",$AI29&lt;&gt;"",$H29&lt;&gt;$AI29,IFERROR(VLOOKUP($H29,areaCercaPuntiClassificaSquadra,3,FALSE),-1)=IFERROR(VLOOKUP($AI29,areaCercaPuntiClassificaSquadra,3,FALSE),-2)),SUMIFS(Dati!$B$2:$B$381,Dati!$A$2:$A$381,$H29,Dati!$H$2:$H$381,$AI29)+SUMIFS(Dati!$I$2:$I$381,Dati!$H$2:$H$381,$H29,Dati!$A$2:$A$381,$AI29),"-")</f>
        <v/>
      </c>
      <c r="BF29" s="22">
        <f>IF(AND($H29&lt;&gt;"",$AJ29&lt;&gt;"",$H29&lt;&gt;$AJ29,IFERROR(VLOOKUP($H29,areaCercaPuntiClassificaSquadra,3,FALSE),-1)=IFERROR(VLOOKUP($AJ29,areaCercaPuntiClassificaSquadra,3,FALSE),-2)),SUMIFS(Dati!$B$2:$B$381,Dati!$A$2:$A$381,$H29,Dati!$H$2:$H$381,$AJ29)+SUMIFS(Dati!$I$2:$I$381,Dati!$H$2:$H$381,$H29,Dati!$A$2:$A$381,$AJ29),"-")</f>
        <v/>
      </c>
      <c r="BG29" s="22">
        <f>IF(AND($H29&lt;&gt;"",$AK29&lt;&gt;"",$H29&lt;&gt;$AK29,IFERROR(VLOOKUP($H29,areaCercaPuntiClassificaSquadra,3,FALSE),-1)=IFERROR(VLOOKUP($AK29,areaCercaPuntiClassificaSquadra,3,FALSE),-2)),SUMIFS(Dati!$B$2:$B$381,Dati!$A$2:$A$381,$H29,Dati!$H$2:$H$381,$AK29)+SUMIFS(Dati!$I$2:$I$381,Dati!$H$2:$H$381,$H29,Dati!$A$2:$A$381,$AK29),"-")</f>
        <v/>
      </c>
      <c r="BH29" s="22">
        <f>IF(AND($H29&lt;&gt;"",$AL29&lt;&gt;"",$H29&lt;&gt;$AL29,IFERROR(VLOOKUP($H29,areaCercaPuntiClassificaSquadra,3,FALSE),-1)=IFERROR(VLOOKUP($AL29,areaCercaPuntiClassificaSquadra,3,FALSE),-2)),SUMIFS(Dati!$B$2:$B$381,Dati!$A$2:$A$381,$H29,Dati!$H$2:$H$381,$AL29)+SUMIFS(Dati!$I$2:$I$381,Dati!$H$2:$H$381,$H29,Dati!$A$2:$A$381,$AL29),"-")</f>
        <v/>
      </c>
      <c r="BI29" s="22">
        <f>IF(AND($H29&lt;&gt;"",$AM29&lt;&gt;"",$H29&lt;&gt;$AM29,IFERROR(VLOOKUP($H29,areaCercaPuntiClassificaSquadra,3,FALSE),-1)=IFERROR(VLOOKUP($AM29,areaCercaPuntiClassificaSquadra,3,FALSE),-2)),SUMIFS(Dati!$B$2:$B$381,Dati!$A$2:$A$381,$H29,Dati!$H$2:$H$381,$AM29)+SUMIFS(Dati!$I$2:$I$381,Dati!$H$2:$H$381,$H29,Dati!$A$2:$A$381,$AM29),"-")</f>
        <v/>
      </c>
      <c r="BJ29" s="22">
        <f>IF(AND($H29&lt;&gt;"",$AN29&lt;&gt;"",$H29&lt;&gt;$AN29,IFERROR(VLOOKUP($H29,areaCercaPuntiClassificaSquadra,3,FALSE),-1)=IFERROR(VLOOKUP($AN29,areaCercaPuntiClassificaSquadra,3,FALSE),-2)),SUMIFS(Dati!$B$2:$B$381,Dati!$A$2:$A$381,$H29,Dati!$H$2:$H$381,$AN29)+SUMIFS(Dati!$I$2:$I$381,Dati!$H$2:$H$381,$H29,Dati!$A$2:$A$381,$AN29),"-")</f>
        <v/>
      </c>
      <c r="BK29" s="22">
        <f>IF(AND($H29&lt;&gt;"",$AO29&lt;&gt;"",$H29&lt;&gt;$AO29,IFERROR(VLOOKUP($H29,areaCercaPuntiClassificaSquadra,3,FALSE),-1)=IFERROR(VLOOKUP($AO29,areaCercaPuntiClassificaSquadra,3,FALSE),-2)),SUMIFS(Dati!$B$2:$B$381,Dati!$A$2:$A$381,$H29,Dati!$H$2:$H$381,$AO29)+SUMIFS(Dati!$I$2:$I$381,Dati!$H$2:$H$381,$H29,Dati!$A$2:$A$381,$AO29),"-")</f>
        <v/>
      </c>
      <c r="BL29" s="22">
        <f>IF(AND($H29&lt;&gt;"",$AP29&lt;&gt;"",$H29&lt;&gt;$AP29,IFERROR(VLOOKUP($H29,areaCercaPuntiClassificaSquadra,3,FALSE),-1)=IFERROR(VLOOKUP($AP29,areaCercaPuntiClassificaSquadra,3,FALSE),-2)),SUMIFS(Dati!$B$2:$B$381,Dati!$A$2:$A$381,$H29,Dati!$H$2:$H$381,$AP29)+SUMIFS(Dati!$I$2:$I$381,Dati!$H$2:$H$381,$H29,Dati!$A$2:$A$381,$AP29),"-")</f>
        <v/>
      </c>
      <c r="BM29" s="22">
        <f>IF(AND($H29&lt;&gt;"",$AQ29&lt;&gt;"",$H29&lt;&gt;$AQ29,IFERROR(VLOOKUP($H29,areaCercaPuntiClassificaSquadra,3,FALSE),-1)=IFERROR(VLOOKUP($AQ29,areaCercaPuntiClassificaSquadra,3,FALSE),-2)),SUMIFS(Dati!$B$2:$B$381,Dati!$A$2:$A$381,$H29,Dati!$H$2:$H$381,$AQ29)+SUMIFS(Dati!$I$2:$I$381,Dati!$H$2:$H$381,$H29,Dati!$A$2:$A$381,$AQ29),"-")</f>
        <v/>
      </c>
      <c r="BN29" s="22">
        <f>IF(AND($H29&lt;&gt;"",$AR29&lt;&gt;"",$H29&lt;&gt;$AR29,IFERROR(VLOOKUP($H29,areaCercaPuntiClassificaSquadra,3,FALSE),-1)=IFERROR(VLOOKUP($AR29,areaCercaPuntiClassificaSquadra,3,FALSE),-2)),SUMIFS(Dati!$B$2:$B$381,Dati!$A$2:$A$381,$H29,Dati!$H$2:$H$381,$AR29)+SUMIFS(Dati!$I$2:$I$381,Dati!$H$2:$H$381,$H29,Dati!$A$2:$A$381,$AR29),"-")</f>
        <v/>
      </c>
      <c r="BP29" s="21">
        <f>$C29</f>
        <v/>
      </c>
      <c r="BQ29" s="22">
        <f>IF(AND($H29&lt;&gt;"",$Y29&lt;&gt;"",$H29&lt;&gt;$Y29,IFERROR(VLOOKUP($H29,areaCercaPuntiClassificaSquadra,3,FALSE),-1)=IFERROR(VLOOKUP($Y29,areaCercaPuntiClassificaSquadra,3,FALSE),-2)),SUMIFS(Dati!$D$2:$D$381,Dati!$A$2:$A$381,$H29,Dati!$H$2:$H$381,$Y29)+SUMIFS(Dati!$K$2:$K$381,Dati!$H$2:$H$381,$H29,Dati!$A$2:$A$381,$Y29)+SUMIFS(Dati!$C$2:$C$381,Dati!$A$2:$A$381,$H29,Dati!$H$2:$H$381,$Y29)+SUMIFS(Dati!$J$2:$J$381,Dati!$H$2:$H$381,$H29,Dati!$A$2:$A$381,$Y29),"-")</f>
        <v/>
      </c>
      <c r="BR29" s="22">
        <f>IF(AND($H29&lt;&gt;"",$Z29&lt;&gt;"",$H29&lt;&gt;$Z29,IFERROR(VLOOKUP($H29,areaCercaPuntiClassificaSquadra,3,FALSE),-1)=IFERROR(VLOOKUP($Z29,areaCercaPuntiClassificaSquadra,3,FALSE),-2)),SUMIFS(Dati!$D$2:$D$381,Dati!$A$2:$A$381,$H29,Dati!$H$2:$H$381,$Z29)+SUMIFS(Dati!$K$2:$K$381,Dati!$H$2:$H$381,$H29,Dati!$A$2:$A$381,$Z29)+SUMIFS(Dati!$C$2:$C$381,Dati!$A$2:$A$381,$H29,Dati!$H$2:$H$381,$Z29)+SUMIFS(Dati!$J$2:$J$381,Dati!$H$2:$H$381,$H29,Dati!$A$2:$A$381,$Z29),"-")</f>
        <v/>
      </c>
      <c r="BS29" s="22">
        <f>IF(AND($H29&lt;&gt;"",$AA29&lt;&gt;"",$H29&lt;&gt;$AA29,IFERROR(VLOOKUP($H29,areaCercaPuntiClassificaSquadra,3,FALSE),-1)=IFERROR(VLOOKUP($AA29,areaCercaPuntiClassificaSquadra,3,FALSE),-2)),SUMIFS(Dati!$D$2:$D$381,Dati!$A$2:$A$381,$H29,Dati!$H$2:$H$381,$AA29)+SUMIFS(Dati!$K$2:$K$381,Dati!$H$2:$H$381,$H29,Dati!$A$2:$A$381,$AA29)+SUMIFS(Dati!$C$2:$C$381,Dati!$A$2:$A$381,$H29,Dati!$H$2:$H$381,$AA29)+SUMIFS(Dati!$J$2:$J$381,Dati!$H$2:$H$381,$H29,Dati!$A$2:$A$381,$AA29),"-")</f>
        <v/>
      </c>
      <c r="BT29" s="22">
        <f>IF(AND($H29&lt;&gt;"",$AB29&lt;&gt;"",$H29&lt;&gt;$AB29,IFERROR(VLOOKUP($H29,areaCercaPuntiClassificaSquadra,3,FALSE),-1)=IFERROR(VLOOKUP($AB29,areaCercaPuntiClassificaSquadra,3,FALSE),-2)),SUMIFS(Dati!$D$2:$D$381,Dati!$A$2:$A$381,$H29,Dati!$H$2:$H$381,$AB29)+SUMIFS(Dati!$K$2:$K$381,Dati!$H$2:$H$381,$H29,Dati!$A$2:$A$381,$AB29)+SUMIFS(Dati!$C$2:$C$381,Dati!$A$2:$A$381,$H29,Dati!$H$2:$H$381,$AB29)+SUMIFS(Dati!$J$2:$J$381,Dati!$H$2:$H$381,$H29,Dati!$A$2:$A$381,$AB29),"-")</f>
        <v/>
      </c>
      <c r="BU29" s="22">
        <f>IF(AND($H29&lt;&gt;"",$AC29&lt;&gt;"",$H29&lt;&gt;$AC29,IFERROR(VLOOKUP($H29,areaCercaPuntiClassificaSquadra,3,FALSE),-1)=IFERROR(VLOOKUP($AC29,areaCercaPuntiClassificaSquadra,3,FALSE),-2)),SUMIFS(Dati!$D$2:$D$381,Dati!$A$2:$A$381,$H29,Dati!$H$2:$H$381,$AC29)+SUMIFS(Dati!$K$2:$K$381,Dati!$H$2:$H$381,$H29,Dati!$A$2:$A$381,$AC29)+SUMIFS(Dati!$C$2:$C$381,Dati!$A$2:$A$381,$H29,Dati!$H$2:$H$381,$AC29)+SUMIFS(Dati!$J$2:$J$381,Dati!$H$2:$H$381,$H29,Dati!$A$2:$A$381,$AC29),"-")</f>
        <v/>
      </c>
      <c r="BV29" s="22">
        <f>IF(AND($H29&lt;&gt;"",$AD29&lt;&gt;"",$H29&lt;&gt;$AD29,IFERROR(VLOOKUP($H29,areaCercaPuntiClassificaSquadra,3,FALSE),-1)=IFERROR(VLOOKUP($AD29,areaCercaPuntiClassificaSquadra,3,FALSE),-2)),SUMIFS(Dati!$D$2:$D$381,Dati!$A$2:$A$381,$H29,Dati!$H$2:$H$381,$AD29)+SUMIFS(Dati!$K$2:$K$381,Dati!$H$2:$H$381,$H29,Dati!$A$2:$A$381,$AD29)+SUMIFS(Dati!$C$2:$C$381,Dati!$A$2:$A$381,$H29,Dati!$H$2:$H$381,$AD29)+SUMIFS(Dati!$J$2:$J$381,Dati!$H$2:$H$381,$H29,Dati!$A$2:$A$381,$AD29),"-")</f>
        <v/>
      </c>
      <c r="BW29" s="22">
        <f>IF(AND($H29&lt;&gt;"",$AE29&lt;&gt;"",$H29&lt;&gt;$AE29,IFERROR(VLOOKUP($H29,areaCercaPuntiClassificaSquadra,3,FALSE),-1)=IFERROR(VLOOKUP($AE29,areaCercaPuntiClassificaSquadra,3,FALSE),-2)),SUMIFS(Dati!$D$2:$D$381,Dati!$A$2:$A$381,$H29,Dati!$H$2:$H$381,$AE29)+SUMIFS(Dati!$K$2:$K$381,Dati!$H$2:$H$381,$H29,Dati!$A$2:$A$381,$AE29)+SUMIFS(Dati!$C$2:$C$381,Dati!$A$2:$A$381,$H29,Dati!$H$2:$H$381,$AE29)+SUMIFS(Dati!$J$2:$J$381,Dati!$H$2:$H$381,$H29,Dati!$A$2:$A$381,$AE29),"-")</f>
        <v/>
      </c>
      <c r="BX29" s="22">
        <f>IF(AND($H29&lt;&gt;"",$AF29&lt;&gt;"",$H29&lt;&gt;$AF29,IFERROR(VLOOKUP($H29,areaCercaPuntiClassificaSquadra,3,FALSE),-1)=IFERROR(VLOOKUP($AF29,areaCercaPuntiClassificaSquadra,3,FALSE),-2)),SUMIFS(Dati!$D$2:$D$381,Dati!$A$2:$A$381,$H29,Dati!$H$2:$H$381,$AF29)+SUMIFS(Dati!$K$2:$K$381,Dati!$H$2:$H$381,$H29,Dati!$A$2:$A$381,$AF29)+SUMIFS(Dati!$C$2:$C$381,Dati!$A$2:$A$381,$H29,Dati!$H$2:$H$381,$AF29)+SUMIFS(Dati!$J$2:$J$381,Dati!$H$2:$H$381,$H29,Dati!$A$2:$A$381,$AF29),"-")</f>
        <v/>
      </c>
      <c r="BY29" s="22">
        <f>IF(AND($H29&lt;&gt;"",$AG29&lt;&gt;"",$H29&lt;&gt;$AG29,IFERROR(VLOOKUP($H29,areaCercaPuntiClassificaSquadra,3,FALSE),-1)=IFERROR(VLOOKUP($AG29,areaCercaPuntiClassificaSquadra,3,FALSE),-2)),SUMIFS(Dati!$D$2:$D$381,Dati!$A$2:$A$381,$H29,Dati!$H$2:$H$381,$AG29)+SUMIFS(Dati!$K$2:$K$381,Dati!$H$2:$H$381,$H29,Dati!$A$2:$A$381,$AG29)+SUMIFS(Dati!$C$2:$C$381,Dati!$A$2:$A$381,$H29,Dati!$H$2:$H$381,$AG29)+SUMIFS(Dati!$J$2:$J$381,Dati!$H$2:$H$381,$H29,Dati!$A$2:$A$381,$AG29),"-")</f>
        <v/>
      </c>
      <c r="BZ29" s="22">
        <f>IF(AND($H29&lt;&gt;"",$AH29&lt;&gt;"",$H29&lt;&gt;$AH29,IFERROR(VLOOKUP($H29,areaCercaPuntiClassificaSquadra,3,FALSE),-1)=IFERROR(VLOOKUP($AH29,areaCercaPuntiClassificaSquadra,3,FALSE),-2)),SUMIFS(Dati!$D$2:$D$381,Dati!$A$2:$A$381,$H29,Dati!$H$2:$H$381,$AH29)+SUMIFS(Dati!$K$2:$K$381,Dati!$H$2:$H$381,$H29,Dati!$A$2:$A$381,$AH29)+SUMIFS(Dati!$C$2:$C$381,Dati!$A$2:$A$381,$H29,Dati!$H$2:$H$381,$AH29)+SUMIFS(Dati!$J$2:$J$381,Dati!$H$2:$H$381,$H29,Dati!$A$2:$A$381,$AH29),"-")</f>
        <v/>
      </c>
      <c r="CA29" s="22">
        <f>IF(AND($H29&lt;&gt;"",$AI29&lt;&gt;"",$H29&lt;&gt;$AI29,IFERROR(VLOOKUP($H29,areaCercaPuntiClassificaSquadra,3,FALSE),-1)=IFERROR(VLOOKUP($AI29,areaCercaPuntiClassificaSquadra,3,FALSE),-2)),SUMIFS(Dati!$D$2:$D$381,Dati!$A$2:$A$381,$H29,Dati!$H$2:$H$381,$AI29)+SUMIFS(Dati!$K$2:$K$381,Dati!$H$2:$H$381,$H29,Dati!$A$2:$A$381,$AI29)+SUMIFS(Dati!$C$2:$C$381,Dati!$A$2:$A$381,$H29,Dati!$H$2:$H$381,$AI29)+SUMIFS(Dati!$J$2:$J$381,Dati!$H$2:$H$381,$H29,Dati!$A$2:$A$381,$AI29),"-")</f>
        <v/>
      </c>
      <c r="CB29" s="22">
        <f>IF(AND($H29&lt;&gt;"",$AJ29&lt;&gt;"",$H29&lt;&gt;$AJ29,IFERROR(VLOOKUP($H29,areaCercaPuntiClassificaSquadra,3,FALSE),-1)=IFERROR(VLOOKUP($AJ29,areaCercaPuntiClassificaSquadra,3,FALSE),-2)),SUMIFS(Dati!$D$2:$D$381,Dati!$A$2:$A$381,$H29,Dati!$H$2:$H$381,$AJ29)+SUMIFS(Dati!$K$2:$K$381,Dati!$H$2:$H$381,$H29,Dati!$A$2:$A$381,$AJ29)+SUMIFS(Dati!$C$2:$C$381,Dati!$A$2:$A$381,$H29,Dati!$H$2:$H$381,$AJ29)+SUMIFS(Dati!$J$2:$J$381,Dati!$H$2:$H$381,$H29,Dati!$A$2:$A$381,$AJ29),"-")</f>
        <v/>
      </c>
      <c r="CC29" s="22">
        <f>IF(AND($H29&lt;&gt;"",$AK29&lt;&gt;"",$H29&lt;&gt;$AK29,IFERROR(VLOOKUP($H29,areaCercaPuntiClassificaSquadra,3,FALSE),-1)=IFERROR(VLOOKUP($AK29,areaCercaPuntiClassificaSquadra,3,FALSE),-2)),SUMIFS(Dati!$D$2:$D$381,Dati!$A$2:$A$381,$H29,Dati!$H$2:$H$381,$AK29)+SUMIFS(Dati!$K$2:$K$381,Dati!$H$2:$H$381,$H29,Dati!$A$2:$A$381,$AK29)+SUMIFS(Dati!$C$2:$C$381,Dati!$A$2:$A$381,$H29,Dati!$H$2:$H$381,$AK29)+SUMIFS(Dati!$J$2:$J$381,Dati!$H$2:$H$381,$H29,Dati!$A$2:$A$381,$AK29),"-")</f>
        <v/>
      </c>
      <c r="CD29" s="22">
        <f>IF(AND($H29&lt;&gt;"",$AL29&lt;&gt;"",$H29&lt;&gt;$AL29,IFERROR(VLOOKUP($H29,areaCercaPuntiClassificaSquadra,3,FALSE),-1)=IFERROR(VLOOKUP($AL29,areaCercaPuntiClassificaSquadra,3,FALSE),-2)),SUMIFS(Dati!$D$2:$D$381,Dati!$A$2:$A$381,$H29,Dati!$H$2:$H$381,$AL29)+SUMIFS(Dati!$K$2:$K$381,Dati!$H$2:$H$381,$H29,Dati!$A$2:$A$381,$AL29)+SUMIFS(Dati!$C$2:$C$381,Dati!$A$2:$A$381,$H29,Dati!$H$2:$H$381,$AL29)+SUMIFS(Dati!$J$2:$J$381,Dati!$H$2:$H$381,$H29,Dati!$A$2:$A$381,$AL29),"-")</f>
        <v/>
      </c>
      <c r="CE29" s="22">
        <f>IF(AND($H29&lt;&gt;"",$AM29&lt;&gt;"",$H29&lt;&gt;$AM29,IFERROR(VLOOKUP($H29,areaCercaPuntiClassificaSquadra,3,FALSE),-1)=IFERROR(VLOOKUP($AM29,areaCercaPuntiClassificaSquadra,3,FALSE),-2)),SUMIFS(Dati!$D$2:$D$381,Dati!$A$2:$A$381,$H29,Dati!$H$2:$H$381,$AM29)+SUMIFS(Dati!$K$2:$K$381,Dati!$H$2:$H$381,$H29,Dati!$A$2:$A$381,$AM29)+SUMIFS(Dati!$C$2:$C$381,Dati!$A$2:$A$381,$H29,Dati!$H$2:$H$381,$AM29)+SUMIFS(Dati!$J$2:$J$381,Dati!$H$2:$H$381,$H29,Dati!$A$2:$A$381,$AM29),"-")</f>
        <v/>
      </c>
      <c r="CF29" s="22">
        <f>IF(AND($H29&lt;&gt;"",$AN29&lt;&gt;"",$H29&lt;&gt;$AN29,IFERROR(VLOOKUP($H29,areaCercaPuntiClassificaSquadra,3,FALSE),-1)=IFERROR(VLOOKUP($AN29,areaCercaPuntiClassificaSquadra,3,FALSE),-2)),SUMIFS(Dati!$D$2:$D$381,Dati!$A$2:$A$381,$H29,Dati!$H$2:$H$381,$AN29)+SUMIFS(Dati!$K$2:$K$381,Dati!$H$2:$H$381,$H29,Dati!$A$2:$A$381,$AN29)+SUMIFS(Dati!$C$2:$C$381,Dati!$A$2:$A$381,$H29,Dati!$H$2:$H$381,$AN29)+SUMIFS(Dati!$J$2:$J$381,Dati!$H$2:$H$381,$H29,Dati!$A$2:$A$381,$AN29),"-")</f>
        <v/>
      </c>
      <c r="CG29" s="22">
        <f>IF(AND($H29&lt;&gt;"",$AO29&lt;&gt;"",$H29&lt;&gt;$AO29,IFERROR(VLOOKUP($H29,areaCercaPuntiClassificaSquadra,3,FALSE),-1)=IFERROR(VLOOKUP($AO29,areaCercaPuntiClassificaSquadra,3,FALSE),-2)),SUMIFS(Dati!$D$2:$D$381,Dati!$A$2:$A$381,$H29,Dati!$H$2:$H$381,$AO29)+SUMIFS(Dati!$K$2:$K$381,Dati!$H$2:$H$381,$H29,Dati!$A$2:$A$381,$AO29)+SUMIFS(Dati!$C$2:$C$381,Dati!$A$2:$A$381,$H29,Dati!$H$2:$H$381,$AO29)+SUMIFS(Dati!$J$2:$J$381,Dati!$H$2:$H$381,$H29,Dati!$A$2:$A$381,$AO29),"-")</f>
        <v/>
      </c>
      <c r="CH29" s="22">
        <f>IF(AND($H29&lt;&gt;"",$AP29&lt;&gt;"",$H29&lt;&gt;$AP29,IFERROR(VLOOKUP($H29,areaCercaPuntiClassificaSquadra,3,FALSE),-1)=IFERROR(VLOOKUP($AP29,areaCercaPuntiClassificaSquadra,3,FALSE),-2)),SUMIFS(Dati!$D$2:$D$381,Dati!$A$2:$A$381,$H29,Dati!$H$2:$H$381,$AP29)+SUMIFS(Dati!$K$2:$K$381,Dati!$H$2:$H$381,$H29,Dati!$A$2:$A$381,$AP29)+SUMIFS(Dati!$C$2:$C$381,Dati!$A$2:$A$381,$H29,Dati!$H$2:$H$381,$AP29)+SUMIFS(Dati!$J$2:$J$381,Dati!$H$2:$H$381,$H29,Dati!$A$2:$A$381,$AP29),"-")</f>
        <v/>
      </c>
      <c r="CI29" s="22">
        <f>IF(AND($H29&lt;&gt;"",$AQ29&lt;&gt;"",$H29&lt;&gt;$AQ29,IFERROR(VLOOKUP($H29,areaCercaPuntiClassificaSquadra,3,FALSE),-1)=IFERROR(VLOOKUP($AQ29,areaCercaPuntiClassificaSquadra,3,FALSE),-2)),SUMIFS(Dati!$D$2:$D$381,Dati!$A$2:$A$381,$H29,Dati!$H$2:$H$381,$AQ29)+SUMIFS(Dati!$K$2:$K$381,Dati!$H$2:$H$381,$H29,Dati!$A$2:$A$381,$AQ29)+SUMIFS(Dati!$C$2:$C$381,Dati!$A$2:$A$381,$H29,Dati!$H$2:$H$381,$AQ29)+SUMIFS(Dati!$J$2:$J$381,Dati!$H$2:$H$381,$H29,Dati!$A$2:$A$381,$AQ29),"-")</f>
        <v/>
      </c>
      <c r="CJ29" s="22">
        <f>IF(AND($H29&lt;&gt;"",$AR29&lt;&gt;"",$H29&lt;&gt;$AR29,IFERROR(VLOOKUP($H29,areaCercaPuntiClassificaSquadra,3,FALSE),-1)=IFERROR(VLOOKUP($AR29,areaCercaPuntiClassificaSquadra,3,FALSE),-2)),SUMIFS(Dati!$D$2:$D$381,Dati!$A$2:$A$381,$H29,Dati!$H$2:$H$381,$AR29)+SUMIFS(Dati!$K$2:$K$381,Dati!$H$2:$H$381,$H29,Dati!$A$2:$A$381,$AR29)+SUMIFS(Dati!$C$2:$C$381,Dati!$A$2:$A$381,$H29,Dati!$H$2:$H$381,$AR29)+SUMIFS(Dati!$J$2:$J$381,Dati!$H$2:$H$381,$H29,Dati!$A$2:$A$381,$AR29),"-")</f>
        <v/>
      </c>
      <c r="CL29" s="21">
        <f>$C29</f>
        <v/>
      </c>
      <c r="CM29" s="22">
        <f>IF(AND($H29&lt;&gt;"",$Y29&lt;&gt;"",$H29&lt;&gt;$Y29,IFERROR(VLOOKUP($H29,areaCercaPuntiClassificaSquadra,3,FALSE),-1)=IFERROR(VLOOKUP($Y29,areaCercaPuntiClassificaSquadra,3,FALSE),-2)),SUMIFS(Dati!$E$2:$E$381,Dati!$A$2:$A$381,$H29,Dati!$H$2:$H$381,$Y29)+SUMIFS(Dati!$L$2:$L$381,Dati!$H$2:$H$381,$H29,Dati!$A$2:$A$381,$Y29),"-")</f>
        <v/>
      </c>
      <c r="CN29" s="22">
        <f>IF(AND($H29&lt;&gt;"",$Z29&lt;&gt;"",$H29&lt;&gt;$Z29,IFERROR(VLOOKUP($H29,areaCercaPuntiClassificaSquadra,3,FALSE),-1)=IFERROR(VLOOKUP($Z29,areaCercaPuntiClassificaSquadra,3,FALSE),-2)),SUMIFS(Dati!$E$2:$E$381,Dati!$A$2:$A$381,$H29,Dati!$H$2:$H$381,$Z29)+SUMIFS(Dati!$L$2:$L$381,Dati!$H$2:$H$381,$H29,Dati!$A$2:$A$381,$Z29),"-")</f>
        <v/>
      </c>
      <c r="CO29" s="22">
        <f>IF(AND($H29&lt;&gt;"",$AA29&lt;&gt;"",$H29&lt;&gt;$AA29,IFERROR(VLOOKUP($H29,areaCercaPuntiClassificaSquadra,3,FALSE),-1)=IFERROR(VLOOKUP($AA29,areaCercaPuntiClassificaSquadra,3,FALSE),-2)),SUMIFS(Dati!$E$2:$E$381,Dati!$A$2:$A$381,$H29,Dati!$H$2:$H$381,$AA29)+SUMIFS(Dati!$L$2:$L$381,Dati!$H$2:$H$381,$H29,Dati!$A$2:$A$381,$AA29),"-")</f>
        <v/>
      </c>
      <c r="CP29" s="22">
        <f>IF(AND($H29&lt;&gt;"",$AB29&lt;&gt;"",$H29&lt;&gt;$AB29,IFERROR(VLOOKUP($H29,areaCercaPuntiClassificaSquadra,3,FALSE),-1)=IFERROR(VLOOKUP($AB29,areaCercaPuntiClassificaSquadra,3,FALSE),-2)),SUMIFS(Dati!$E$2:$E$381,Dati!$A$2:$A$381,$H29,Dati!$H$2:$H$381,$AB29)+SUMIFS(Dati!$L$2:$L$381,Dati!$H$2:$H$381,$H29,Dati!$A$2:$A$381,$AB29),"-")</f>
        <v/>
      </c>
      <c r="CQ29" s="22">
        <f>IF(AND($H29&lt;&gt;"",$AC29&lt;&gt;"",$H29&lt;&gt;$AC29,IFERROR(VLOOKUP($H29,areaCercaPuntiClassificaSquadra,3,FALSE),-1)=IFERROR(VLOOKUP($AC29,areaCercaPuntiClassificaSquadra,3,FALSE),-2)),SUMIFS(Dati!$E$2:$E$381,Dati!$A$2:$A$381,$H29,Dati!$H$2:$H$381,$AC29)+SUMIFS(Dati!$L$2:$L$381,Dati!$H$2:$H$381,$H29,Dati!$A$2:$A$381,$AC29),"-")</f>
        <v/>
      </c>
      <c r="CR29" s="22">
        <f>IF(AND($H29&lt;&gt;"",$AD29&lt;&gt;"",$H29&lt;&gt;$AD29,IFERROR(VLOOKUP($H29,areaCercaPuntiClassificaSquadra,3,FALSE),-1)=IFERROR(VLOOKUP($AD29,areaCercaPuntiClassificaSquadra,3,FALSE),-2)),SUMIFS(Dati!$E$2:$E$381,Dati!$A$2:$A$381,$H29,Dati!$H$2:$H$381,$AD29)+SUMIFS(Dati!$L$2:$L$381,Dati!$H$2:$H$381,$H29,Dati!$A$2:$A$381,$AD29),"-")</f>
        <v/>
      </c>
      <c r="CS29" s="22">
        <f>IF(AND($H29&lt;&gt;"",$AE29&lt;&gt;"",$H29&lt;&gt;$AE29,IFERROR(VLOOKUP($H29,areaCercaPuntiClassificaSquadra,3,FALSE),-1)=IFERROR(VLOOKUP($AE29,areaCercaPuntiClassificaSquadra,3,FALSE),-2)),SUMIFS(Dati!$E$2:$E$381,Dati!$A$2:$A$381,$H29,Dati!$H$2:$H$381,$AE29)+SUMIFS(Dati!$L$2:$L$381,Dati!$H$2:$H$381,$H29,Dati!$A$2:$A$381,$AE29),"-")</f>
        <v/>
      </c>
      <c r="CT29" s="22">
        <f>IF(AND($H29&lt;&gt;"",$AF29&lt;&gt;"",$H29&lt;&gt;$AF29,IFERROR(VLOOKUP($H29,areaCercaPuntiClassificaSquadra,3,FALSE),-1)=IFERROR(VLOOKUP($AF29,areaCercaPuntiClassificaSquadra,3,FALSE),-2)),SUMIFS(Dati!$E$2:$E$381,Dati!$A$2:$A$381,$H29,Dati!$H$2:$H$381,$AF29)+SUMIFS(Dati!$L$2:$L$381,Dati!$H$2:$H$381,$H29,Dati!$A$2:$A$381,$AF29),"-")</f>
        <v/>
      </c>
      <c r="CU29" s="22">
        <f>IF(AND($H29&lt;&gt;"",$AG29&lt;&gt;"",$H29&lt;&gt;$AG29,IFERROR(VLOOKUP($H29,areaCercaPuntiClassificaSquadra,3,FALSE),-1)=IFERROR(VLOOKUP($AG29,areaCercaPuntiClassificaSquadra,3,FALSE),-2)),SUMIFS(Dati!$E$2:$E$381,Dati!$A$2:$A$381,$H29,Dati!$H$2:$H$381,$AG29)+SUMIFS(Dati!$L$2:$L$381,Dati!$H$2:$H$381,$H29,Dati!$A$2:$A$381,$AG29),"-")</f>
        <v/>
      </c>
      <c r="CV29" s="22">
        <f>IF(AND($H29&lt;&gt;"",$AH29&lt;&gt;"",$H29&lt;&gt;$AH29,IFERROR(VLOOKUP($H29,areaCercaPuntiClassificaSquadra,3,FALSE),-1)=IFERROR(VLOOKUP($AH29,areaCercaPuntiClassificaSquadra,3,FALSE),-2)),SUMIFS(Dati!$E$2:$E$381,Dati!$A$2:$A$381,$H29,Dati!$H$2:$H$381,$AH29)+SUMIFS(Dati!$L$2:$L$381,Dati!$H$2:$H$381,$H29,Dati!$A$2:$A$381,$AH29),"-")</f>
        <v/>
      </c>
      <c r="CW29" s="22">
        <f>IF(AND($H29&lt;&gt;"",$AI29&lt;&gt;"",$H29&lt;&gt;$AI29,IFERROR(VLOOKUP($H29,areaCercaPuntiClassificaSquadra,3,FALSE),-1)=IFERROR(VLOOKUP($AI29,areaCercaPuntiClassificaSquadra,3,FALSE),-2)),SUMIFS(Dati!$E$2:$E$381,Dati!$A$2:$A$381,$H29,Dati!$H$2:$H$381,$AI29)+SUMIFS(Dati!$L$2:$L$381,Dati!$H$2:$H$381,$H29,Dati!$A$2:$A$381,$AI29),"-")</f>
        <v/>
      </c>
      <c r="CX29" s="22">
        <f>IF(AND($H29&lt;&gt;"",$AJ29&lt;&gt;"",$H29&lt;&gt;$AJ29,IFERROR(VLOOKUP($H29,areaCercaPuntiClassificaSquadra,3,FALSE),-1)=IFERROR(VLOOKUP($AJ29,areaCercaPuntiClassificaSquadra,3,FALSE),-2)),SUMIFS(Dati!$E$2:$E$381,Dati!$A$2:$A$381,$H29,Dati!$H$2:$H$381,$AJ29)+SUMIFS(Dati!$L$2:$L$381,Dati!$H$2:$H$381,$H29,Dati!$A$2:$A$381,$AJ29),"-")</f>
        <v/>
      </c>
      <c r="CY29" s="22">
        <f>IF(AND($H29&lt;&gt;"",$AK29&lt;&gt;"",$H29&lt;&gt;$AK29,IFERROR(VLOOKUP($H29,areaCercaPuntiClassificaSquadra,3,FALSE),-1)=IFERROR(VLOOKUP($AK29,areaCercaPuntiClassificaSquadra,3,FALSE),-2)),SUMIFS(Dati!$E$2:$E$381,Dati!$A$2:$A$381,$H29,Dati!$H$2:$H$381,$AK29)+SUMIFS(Dati!$L$2:$L$381,Dati!$H$2:$H$381,$H29,Dati!$A$2:$A$381,$AK29),"-")</f>
        <v/>
      </c>
      <c r="CZ29" s="22">
        <f>IF(AND($H29&lt;&gt;"",$AL29&lt;&gt;"",$H29&lt;&gt;$AL29,IFERROR(VLOOKUP($H29,areaCercaPuntiClassificaSquadra,3,FALSE),-1)=IFERROR(VLOOKUP($AL29,areaCercaPuntiClassificaSquadra,3,FALSE),-2)),SUMIFS(Dati!$E$2:$E$381,Dati!$A$2:$A$381,$H29,Dati!$H$2:$H$381,$AL29)+SUMIFS(Dati!$L$2:$L$381,Dati!$H$2:$H$381,$H29,Dati!$A$2:$A$381,$AL29),"-")</f>
        <v/>
      </c>
      <c r="DA29" s="22">
        <f>IF(AND($H29&lt;&gt;"",$AM29&lt;&gt;"",$H29&lt;&gt;$AM29,IFERROR(VLOOKUP($H29,areaCercaPuntiClassificaSquadra,3,FALSE),-1)=IFERROR(VLOOKUP($AM29,areaCercaPuntiClassificaSquadra,3,FALSE),-2)),SUMIFS(Dati!$E$2:$E$381,Dati!$A$2:$A$381,$H29,Dati!$H$2:$H$381,$AM29)+SUMIFS(Dati!$L$2:$L$381,Dati!$H$2:$H$381,$H29,Dati!$A$2:$A$381,$AM29),"-")</f>
        <v/>
      </c>
      <c r="DB29" s="22">
        <f>IF(AND($H29&lt;&gt;"",$AN29&lt;&gt;"",$H29&lt;&gt;$AN29,IFERROR(VLOOKUP($H29,areaCercaPuntiClassificaSquadra,3,FALSE),-1)=IFERROR(VLOOKUP($AN29,areaCercaPuntiClassificaSquadra,3,FALSE),-2)),SUMIFS(Dati!$E$2:$E$381,Dati!$A$2:$A$381,$H29,Dati!$H$2:$H$381,$AN29)+SUMIFS(Dati!$L$2:$L$381,Dati!$H$2:$H$381,$H29,Dati!$A$2:$A$381,$AN29),"-")</f>
        <v/>
      </c>
      <c r="DC29" s="22">
        <f>IF(AND($H29&lt;&gt;"",$AO29&lt;&gt;"",$H29&lt;&gt;$AO29,IFERROR(VLOOKUP($H29,areaCercaPuntiClassificaSquadra,3,FALSE),-1)=IFERROR(VLOOKUP($AO29,areaCercaPuntiClassificaSquadra,3,FALSE),-2)),SUMIFS(Dati!$E$2:$E$381,Dati!$A$2:$A$381,$H29,Dati!$H$2:$H$381,$AO29)+SUMIFS(Dati!$L$2:$L$381,Dati!$H$2:$H$381,$H29,Dati!$A$2:$A$381,$AO29),"-")</f>
        <v/>
      </c>
      <c r="DD29" s="22">
        <f>IF(AND($H29&lt;&gt;"",$AP29&lt;&gt;"",$H29&lt;&gt;$AP29,IFERROR(VLOOKUP($H29,areaCercaPuntiClassificaSquadra,3,FALSE),-1)=IFERROR(VLOOKUP($AP29,areaCercaPuntiClassificaSquadra,3,FALSE),-2)),SUMIFS(Dati!$E$2:$E$381,Dati!$A$2:$A$381,$H29,Dati!$H$2:$H$381,$AP29)+SUMIFS(Dati!$L$2:$L$381,Dati!$H$2:$H$381,$H29,Dati!$A$2:$A$381,$AP29),"-")</f>
        <v/>
      </c>
      <c r="DE29" s="22">
        <f>IF(AND($H29&lt;&gt;"",$AQ29&lt;&gt;"",$H29&lt;&gt;$AQ29,IFERROR(VLOOKUP($H29,areaCercaPuntiClassificaSquadra,3,FALSE),-1)=IFERROR(VLOOKUP($AQ29,areaCercaPuntiClassificaSquadra,3,FALSE),-2)),SUMIFS(Dati!$E$2:$E$381,Dati!$A$2:$A$381,$H29,Dati!$H$2:$H$381,$AQ29)+SUMIFS(Dati!$L$2:$L$381,Dati!$H$2:$H$381,$H29,Dati!$A$2:$A$381,$AQ29),"-")</f>
        <v/>
      </c>
      <c r="DF29" s="22">
        <f>IF(AND($H29&lt;&gt;"",$AR29&lt;&gt;"",$H29&lt;&gt;$AR29,IFERROR(VLOOKUP($H29,areaCercaPuntiClassificaSquadra,3,FALSE),-1)=IFERROR(VLOOKUP($AR29,areaCercaPuntiClassificaSquadra,3,FALSE),-2)),SUMIFS(Dati!$E$2:$E$381,Dati!$A$2:$A$381,$H29,Dati!$H$2:$H$381,$AR29)+SUMIFS(Dati!$L$2:$L$381,Dati!$H$2:$H$381,$H29,Dati!$A$2:$A$381,$AR29),"-")</f>
        <v/>
      </c>
      <c r="DH29" s="21">
        <f>$C29</f>
        <v/>
      </c>
      <c r="DI29" s="22">
        <f>IF(AND($H29&lt;&gt;"",$Y29&lt;&gt;"",$H29&lt;&gt;$Y29,IFERROR(VLOOKUP($H29,areaCercaPuntiClassificaSquadra,3,FALSE),-1)=IFERROR(VLOOKUP($Y29,areaCercaPuntiClassificaSquadra,3,FALSE),-2)),SUMIFS(Dati!$F$2:$F$381,Dati!$A$2:$A$381,$H29,Dati!$H$2:$H$381,$Y29)+SUMIFS(Dati!$M$2:$M$381,Dati!$H$2:$H$381,$H29,Dati!$A$2:$A$381,$Y29),"-")</f>
        <v/>
      </c>
      <c r="DJ29" s="22">
        <f>IF(AND($H29&lt;&gt;"",$Z29&lt;&gt;"",$H29&lt;&gt;$Z29,IFERROR(VLOOKUP($H29,areaCercaPuntiClassificaSquadra,3,FALSE),-1)=IFERROR(VLOOKUP($Z29,areaCercaPuntiClassificaSquadra,3,FALSE),-2)),SUMIFS(Dati!$F$2:$F$381,Dati!$A$2:$A$381,$H29,Dati!$H$2:$H$381,$Z29)+SUMIFS(Dati!$M$2:$M$381,Dati!$H$2:$H$381,$H29,Dati!$A$2:$A$381,$Z29),"-")</f>
        <v/>
      </c>
      <c r="DK29" s="22">
        <f>IF(AND($H29&lt;&gt;"",$AA29&lt;&gt;"",$H29&lt;&gt;$AA29,IFERROR(VLOOKUP($H29,areaCercaPuntiClassificaSquadra,3,FALSE),-1)=IFERROR(VLOOKUP($AA29,areaCercaPuntiClassificaSquadra,3,FALSE),-2)),SUMIFS(Dati!$F$2:$F$381,Dati!$A$2:$A$381,$H29,Dati!$H$2:$H$381,$AA29)+SUMIFS(Dati!$M$2:$M$381,Dati!$H$2:$H$381,$H29,Dati!$A$2:$A$381,$AA29),"-")</f>
        <v/>
      </c>
      <c r="DL29" s="22">
        <f>IF(AND($H29&lt;&gt;"",$AB29&lt;&gt;"",$H29&lt;&gt;$AB29,IFERROR(VLOOKUP($H29,areaCercaPuntiClassificaSquadra,3,FALSE),-1)=IFERROR(VLOOKUP($AB29,areaCercaPuntiClassificaSquadra,3,FALSE),-2)),SUMIFS(Dati!$F$2:$F$381,Dati!$A$2:$A$381,$H29,Dati!$H$2:$H$381,$AB29)+SUMIFS(Dati!$M$2:$M$381,Dati!$H$2:$H$381,$H29,Dati!$A$2:$A$381,$AB29),"-")</f>
        <v/>
      </c>
      <c r="DM29" s="22">
        <f>IF(AND($H29&lt;&gt;"",$AC29&lt;&gt;"",$H29&lt;&gt;$AC29,IFERROR(VLOOKUP($H29,areaCercaPuntiClassificaSquadra,3,FALSE),-1)=IFERROR(VLOOKUP($AC29,areaCercaPuntiClassificaSquadra,3,FALSE),-2)),SUMIFS(Dati!$F$2:$F$381,Dati!$A$2:$A$381,$H29,Dati!$H$2:$H$381,$AC29)+SUMIFS(Dati!$M$2:$M$381,Dati!$H$2:$H$381,$H29,Dati!$A$2:$A$381,$AC29),"-")</f>
        <v/>
      </c>
      <c r="DN29" s="22">
        <f>IF(AND($H29&lt;&gt;"",$AD29&lt;&gt;"",$H29&lt;&gt;$AD29,IFERROR(VLOOKUP($H29,areaCercaPuntiClassificaSquadra,3,FALSE),-1)=IFERROR(VLOOKUP($AD29,areaCercaPuntiClassificaSquadra,3,FALSE),-2)),SUMIFS(Dati!$F$2:$F$381,Dati!$A$2:$A$381,$H29,Dati!$H$2:$H$381,$AD29)+SUMIFS(Dati!$M$2:$M$381,Dati!$H$2:$H$381,$H29,Dati!$A$2:$A$381,$AD29),"-")</f>
        <v/>
      </c>
      <c r="DO29" s="22">
        <f>IF(AND($H29&lt;&gt;"",$AE29&lt;&gt;"",$H29&lt;&gt;$AE29,IFERROR(VLOOKUP($H29,areaCercaPuntiClassificaSquadra,3,FALSE),-1)=IFERROR(VLOOKUP($AE29,areaCercaPuntiClassificaSquadra,3,FALSE),-2)),SUMIFS(Dati!$F$2:$F$381,Dati!$A$2:$A$381,$H29,Dati!$H$2:$H$381,$AE29)+SUMIFS(Dati!$M$2:$M$381,Dati!$H$2:$H$381,$H29,Dati!$A$2:$A$381,$AE29),"-")</f>
        <v/>
      </c>
      <c r="DP29" s="22">
        <f>IF(AND($H29&lt;&gt;"",$AF29&lt;&gt;"",$H29&lt;&gt;$AF29,IFERROR(VLOOKUP($H29,areaCercaPuntiClassificaSquadra,3,FALSE),-1)=IFERROR(VLOOKUP($AF29,areaCercaPuntiClassificaSquadra,3,FALSE),-2)),SUMIFS(Dati!$F$2:$F$381,Dati!$A$2:$A$381,$H29,Dati!$H$2:$H$381,$AF29)+SUMIFS(Dati!$M$2:$M$381,Dati!$H$2:$H$381,$H29,Dati!$A$2:$A$381,$AF29),"-")</f>
        <v/>
      </c>
      <c r="DQ29" s="22">
        <f>IF(AND($H29&lt;&gt;"",$AG29&lt;&gt;"",$H29&lt;&gt;$AG29,IFERROR(VLOOKUP($H29,areaCercaPuntiClassificaSquadra,3,FALSE),-1)=IFERROR(VLOOKUP($AG29,areaCercaPuntiClassificaSquadra,3,FALSE),-2)),SUMIFS(Dati!$F$2:$F$381,Dati!$A$2:$A$381,$H29,Dati!$H$2:$H$381,$AG29)+SUMIFS(Dati!$M$2:$M$381,Dati!$H$2:$H$381,$H29,Dati!$A$2:$A$381,$AG29),"-")</f>
        <v/>
      </c>
      <c r="DR29" s="22">
        <f>IF(AND($H29&lt;&gt;"",$AH29&lt;&gt;"",$H29&lt;&gt;$AH29,IFERROR(VLOOKUP($H29,areaCercaPuntiClassificaSquadra,3,FALSE),-1)=IFERROR(VLOOKUP($AH29,areaCercaPuntiClassificaSquadra,3,FALSE),-2)),SUMIFS(Dati!$F$2:$F$381,Dati!$A$2:$A$381,$H29,Dati!$H$2:$H$381,$AH29)+SUMIFS(Dati!$M$2:$M$381,Dati!$H$2:$H$381,$H29,Dati!$A$2:$A$381,$AH29),"-")</f>
        <v/>
      </c>
      <c r="DS29" s="22">
        <f>IF(AND($H29&lt;&gt;"",$AI29&lt;&gt;"",$H29&lt;&gt;$AI29,IFERROR(VLOOKUP($H29,areaCercaPuntiClassificaSquadra,3,FALSE),-1)=IFERROR(VLOOKUP($AI29,areaCercaPuntiClassificaSquadra,3,FALSE),-2)),SUMIFS(Dati!$F$2:$F$381,Dati!$A$2:$A$381,$H29,Dati!$H$2:$H$381,$AI29)+SUMIFS(Dati!$M$2:$M$381,Dati!$H$2:$H$381,$H29,Dati!$A$2:$A$381,$AI29),"-")</f>
        <v/>
      </c>
      <c r="DT29" s="22">
        <f>IF(AND($H29&lt;&gt;"",$AJ29&lt;&gt;"",$H29&lt;&gt;$AJ29,IFERROR(VLOOKUP($H29,areaCercaPuntiClassificaSquadra,3,FALSE),-1)=IFERROR(VLOOKUP($AJ29,areaCercaPuntiClassificaSquadra,3,FALSE),-2)),SUMIFS(Dati!$F$2:$F$381,Dati!$A$2:$A$381,$H29,Dati!$H$2:$H$381,$AJ29)+SUMIFS(Dati!$M$2:$M$381,Dati!$H$2:$H$381,$H29,Dati!$A$2:$A$381,$AJ29),"-")</f>
        <v/>
      </c>
      <c r="DU29" s="22">
        <f>IF(AND($H29&lt;&gt;"",$AK29&lt;&gt;"",$H29&lt;&gt;$AK29,IFERROR(VLOOKUP($H29,areaCercaPuntiClassificaSquadra,3,FALSE),-1)=IFERROR(VLOOKUP($AK29,areaCercaPuntiClassificaSquadra,3,FALSE),-2)),SUMIFS(Dati!$F$2:$F$381,Dati!$A$2:$A$381,$H29,Dati!$H$2:$H$381,$AK29)+SUMIFS(Dati!$M$2:$M$381,Dati!$H$2:$H$381,$H29,Dati!$A$2:$A$381,$AK29),"-")</f>
        <v/>
      </c>
      <c r="DV29" s="22">
        <f>IF(AND($H29&lt;&gt;"",$AL29&lt;&gt;"",$H29&lt;&gt;$AL29,IFERROR(VLOOKUP($H29,areaCercaPuntiClassificaSquadra,3,FALSE),-1)=IFERROR(VLOOKUP($AL29,areaCercaPuntiClassificaSquadra,3,FALSE),-2)),SUMIFS(Dati!$F$2:$F$381,Dati!$A$2:$A$381,$H29,Dati!$H$2:$H$381,$AL29)+SUMIFS(Dati!$M$2:$M$381,Dati!$H$2:$H$381,$H29,Dati!$A$2:$A$381,$AL29),"-")</f>
        <v/>
      </c>
      <c r="DW29" s="22">
        <f>IF(AND($H29&lt;&gt;"",$AM29&lt;&gt;"",$H29&lt;&gt;$AM29,IFERROR(VLOOKUP($H29,areaCercaPuntiClassificaSquadra,3,FALSE),-1)=IFERROR(VLOOKUP($AM29,areaCercaPuntiClassificaSquadra,3,FALSE),-2)),SUMIFS(Dati!$F$2:$F$381,Dati!$A$2:$A$381,$H29,Dati!$H$2:$H$381,$AM29)+SUMIFS(Dati!$M$2:$M$381,Dati!$H$2:$H$381,$H29,Dati!$A$2:$A$381,$AM29),"-")</f>
        <v/>
      </c>
      <c r="DX29" s="22">
        <f>IF(AND($H29&lt;&gt;"",$AN29&lt;&gt;"",$H29&lt;&gt;$AN29,IFERROR(VLOOKUP($H29,areaCercaPuntiClassificaSquadra,3,FALSE),-1)=IFERROR(VLOOKUP($AN29,areaCercaPuntiClassificaSquadra,3,FALSE),-2)),SUMIFS(Dati!$F$2:$F$381,Dati!$A$2:$A$381,$H29,Dati!$H$2:$H$381,$AN29)+SUMIFS(Dati!$M$2:$M$381,Dati!$H$2:$H$381,$H29,Dati!$A$2:$A$381,$AN29),"-")</f>
        <v/>
      </c>
      <c r="DY29" s="22">
        <f>IF(AND($H29&lt;&gt;"",$AO29&lt;&gt;"",$H29&lt;&gt;$AO29,IFERROR(VLOOKUP($H29,areaCercaPuntiClassificaSquadra,3,FALSE),-1)=IFERROR(VLOOKUP($AO29,areaCercaPuntiClassificaSquadra,3,FALSE),-2)),SUMIFS(Dati!$F$2:$F$381,Dati!$A$2:$A$381,$H29,Dati!$H$2:$H$381,$AO29)+SUMIFS(Dati!$M$2:$M$381,Dati!$H$2:$H$381,$H29,Dati!$A$2:$A$381,$AO29),"-")</f>
        <v/>
      </c>
      <c r="DZ29" s="22">
        <f>IF(AND($H29&lt;&gt;"",$AP29&lt;&gt;"",$H29&lt;&gt;$AP29,IFERROR(VLOOKUP($H29,areaCercaPuntiClassificaSquadra,3,FALSE),-1)=IFERROR(VLOOKUP($AP29,areaCercaPuntiClassificaSquadra,3,FALSE),-2)),SUMIFS(Dati!$F$2:$F$381,Dati!$A$2:$A$381,$H29,Dati!$H$2:$H$381,$AP29)+SUMIFS(Dati!$M$2:$M$381,Dati!$H$2:$H$381,$H29,Dati!$A$2:$A$381,$AP29),"-")</f>
        <v/>
      </c>
      <c r="EA29" s="22">
        <f>IF(AND($H29&lt;&gt;"",$AQ29&lt;&gt;"",$H29&lt;&gt;$AQ29,IFERROR(VLOOKUP($H29,areaCercaPuntiClassificaSquadra,3,FALSE),-1)=IFERROR(VLOOKUP($AQ29,areaCercaPuntiClassificaSquadra,3,FALSE),-2)),SUMIFS(Dati!$F$2:$F$381,Dati!$A$2:$A$381,$H29,Dati!$H$2:$H$381,$AQ29)+SUMIFS(Dati!$M$2:$M$381,Dati!$H$2:$H$381,$H29,Dati!$A$2:$A$381,$AQ29),"-")</f>
        <v/>
      </c>
      <c r="EB29" s="22">
        <f>IF(AND($H29&lt;&gt;"",$AR29&lt;&gt;"",$H29&lt;&gt;$AR29,IFERROR(VLOOKUP($H29,areaCercaPuntiClassificaSquadra,3,FALSE),-1)=IFERROR(VLOOKUP($AR29,areaCercaPuntiClassificaSquadra,3,FALSE),-2)),SUMIFS(Dati!$F$2:$F$381,Dati!$A$2:$A$381,$H29,Dati!$H$2:$H$381,$AR29)+SUMIFS(Dati!$M$2:$M$381,Dati!$H$2:$H$381,$H29,Dati!$A$2:$A$381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inlineStr">
        <is>
          <t>Volpi Veloci-Volpiopoli VE</t>
        </is>
      </c>
      <c r="D30" s="14" t="n"/>
      <c r="E30" s="15" t="inlineStr">
        <is>
          <t>A</t>
        </is>
      </c>
      <c r="G30" s="16">
        <f>IF($C30="","",$E30&amp;(COUNTIFS(I$14:I$53,"&gt;"&amp;I30,E$14:E$53,"="&amp;E30,C$14:C$53,"&lt;&gt;")+COUNTIFS(I$14:I$53,"="&amp;I30,H$14:H$53,"&lt;="&amp;H30,E$14:E$53,"="&amp;E30,C$14:C$53,"&lt;&gt;")))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L30*constPuntiVittoria+M30*constPuntiSconfitta+N30*constPuntiForfait+IF(D30="",0,D30)</f>
        <v/>
      </c>
      <c r="K30" s="12">
        <f>SUM(L30:N30)</f>
        <v/>
      </c>
      <c r="L30" s="12">
        <f>IF($H30="",0,SUMIF(Dati!$A$2:$A$381,$H30,Dati!$B$2:$B$381)+SUMIF(Dati!$H$2:$H$381,$H30,Dati!$I$2:$I$381))</f>
        <v/>
      </c>
      <c r="M30" s="12">
        <f>IF($H30="",0,SUMIF(Dati!$A$2:$A$381,$H30,Dati!$D$2:$D$381)+SUMIF(Dati!$H$2:$H$381,$H30,Dati!$K$2:$K$381))</f>
        <v/>
      </c>
      <c r="N30" s="12">
        <f>IF($H30="",0,SUMIF(Dati!$A$2:$A$381,$H30,Dati!$C$2:$C$381)+SUMIF(Dati!$H$2:$H$381,$H30,Dati!$J$2:$J$381))</f>
        <v/>
      </c>
      <c r="O30" s="12">
        <f>IF($H30="",0,SUMIF(Dati!$A$2:$A$381,$H30,Dati!$E$2:$E$381)+SUMIF(Dati!$H$2:$H$381,$H30,Dati!$L$2:$L$381))</f>
        <v/>
      </c>
      <c r="P30" s="12">
        <f>IF($H30="",0,SUMIF(Dati!$A$2:$A$381,$H30,Dati!$F$2:$F$381)+SUMIF(Dati!$H$2:$H$381,$H30,Dati!$M$2:$M$381))</f>
        <v/>
      </c>
      <c r="Q30" s="12">
        <f>IF($H30="",0,SUMIF(Dati!$A$2:$A$381,$H30,Dati!$G$2:$G$381)+SUMIF(Dati!$H$2:$H$381,$H30,Dati!$N$2:$N$381))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IF(COUNTIFS($E$14:$E$53,$E30,$J$14:$J$53,$J30,$C$14:$C$53,"&lt;&gt;")&lt;=1,"-",SUM(AU30:BN30)&amp;"-"&amp;SUM(BQ30:CJ30))</f>
        <v/>
      </c>
      <c r="V30" s="18">
        <f>IF(COUNTIFS($E$14:$E$53,$E30,$J$14:$J$53,$J30,$C$14:$C$53,"&lt;&gt;",$ED$14:$ED$53,$ED30)&lt;=1,"-",IF(SUM(DI30:EB30)=0,0,ROUND(SUM(CM30:DF30)/SUM(DI30:EB30),3)))</f>
        <v/>
      </c>
      <c r="W30" s="18">
        <f>IF(COUNTIFS($E$14:$E$53,$E30,$J$14:$J$53,$J30,$C$14:$C$53,"&lt;&gt;",$ED$14:$ED$53,$ED30,$V$14:$V$53,$V30)&lt;=1,"-",IF(P30=0,0,ROUND(O30/P30,3)))</f>
        <v/>
      </c>
      <c r="X30" s="19">
        <f>IF($C30="","",$E30&amp;"#"&amp;COUNTIFS($E$14:$E30,$E30,$C$14:$C30,"&lt;&gt;"))</f>
        <v/>
      </c>
      <c r="Y30" s="20">
        <f>IFERROR(INDEX($H$14:$H$53,MATCH($E30&amp;"#1",$X$14:$X$53,0)),"")</f>
        <v/>
      </c>
      <c r="Z30" s="20">
        <f>IFERROR(INDEX($H$14:$H$53,MATCH($E30&amp;"#2",$X$14:$X$53,0)),"")</f>
        <v/>
      </c>
      <c r="AA30" s="20">
        <f>IFERROR(INDEX($H$14:$H$53,MATCH($E30&amp;"#3",$X$14:$X$53,0)),"")</f>
        <v/>
      </c>
      <c r="AB30" s="20">
        <f>IFERROR(INDEX($H$14:$H$53,MATCH($E30&amp;"#4",$X$14:$X$53,0)),"")</f>
        <v/>
      </c>
      <c r="AC30" s="20">
        <f>IFERROR(INDEX($H$14:$H$53,MATCH($E30&amp;"#5",$X$14:$X$53,0)),"")</f>
        <v/>
      </c>
      <c r="AD30" s="20">
        <f>IFERROR(INDEX($H$14:$H$53,MATCH($E30&amp;"#6",$X$14:$X$53,0)),"")</f>
        <v/>
      </c>
      <c r="AE30" s="20">
        <f>IFERROR(INDEX($H$14:$H$53,MATCH($E30&amp;"#7",$X$14:$X$53,0)),"")</f>
        <v/>
      </c>
      <c r="AF30" s="20">
        <f>IFERROR(INDEX($H$14:$H$53,MATCH($E30&amp;"#8",$X$14:$X$53,0)),"")</f>
        <v/>
      </c>
      <c r="AG30" s="20">
        <f>IFERROR(INDEX($H$14:$H$53,MATCH($E30&amp;"#9",$X$14:$X$53,0)),"")</f>
        <v/>
      </c>
      <c r="AH30" s="20">
        <f>IFERROR(INDEX($H$14:$H$53,MATCH($E30&amp;"#10",$X$14:$X$53,0)),"")</f>
        <v/>
      </c>
      <c r="AI30" s="20">
        <f>IFERROR(INDEX($H$14:$H$53,MATCH($E30&amp;"#11",$X$14:$X$53,0)),"")</f>
        <v/>
      </c>
      <c r="AJ30" s="20">
        <f>IFERROR(INDEX($H$14:$H$53,MATCH($E30&amp;"#12",$X$14:$X$53,0)),"")</f>
        <v/>
      </c>
      <c r="AK30" s="20">
        <f>IFERROR(INDEX($H$14:$H$53,MATCH($E30&amp;"#13",$X$14:$X$53,0)),"")</f>
        <v/>
      </c>
      <c r="AL30" s="20">
        <f>IFERROR(INDEX($H$14:$H$53,MATCH($E30&amp;"#14",$X$14:$X$53,0)),"")</f>
        <v/>
      </c>
      <c r="AM30" s="20">
        <f>IFERROR(INDEX($H$14:$H$53,MATCH($E30&amp;"#15",$X$14:$X$53,0)),"")</f>
        <v/>
      </c>
      <c r="AN30" s="20">
        <f>IFERROR(INDEX($H$14:$H$53,MATCH($E30&amp;"#16",$X$14:$X$53,0)),"")</f>
        <v/>
      </c>
      <c r="AO30" s="20">
        <f>IFERROR(INDEX($H$14:$H$53,MATCH($E30&amp;"#17",$X$14:$X$53,0)),"")</f>
        <v/>
      </c>
      <c r="AP30" s="20">
        <f>IFERROR(INDEX($H$14:$H$53,MATCH($E30&amp;"#18",$X$14:$X$53,0)),"")</f>
        <v/>
      </c>
      <c r="AQ30" s="20">
        <f>IFERROR(INDEX($H$14:$H$53,MATCH($E30&amp;"#19",$X$14:$X$53,0)),"")</f>
        <v/>
      </c>
      <c r="AR30" s="20">
        <f>IFERROR(INDEX($H$14:$H$53,MATCH($E30&amp;"#20",$X$14:$X$53,0)),"")</f>
        <v/>
      </c>
      <c r="AT30" s="21">
        <f>$C30</f>
        <v/>
      </c>
      <c r="AU30" s="22">
        <f>IF(AND($H30&lt;&gt;"",$Y30&lt;&gt;"",$H30&lt;&gt;$Y30,IFERROR(VLOOKUP($H30,areaCercaPuntiClassificaSquadra,3,FALSE),-1)=IFERROR(VLOOKUP($Y30,areaCercaPuntiClassificaSquadra,3,FALSE),-2)),SUMIFS(Dati!$B$2:$B$381,Dati!$A$2:$A$381,$H30,Dati!$H$2:$H$381,$Y30)+SUMIFS(Dati!$I$2:$I$381,Dati!$H$2:$H$381,$H30,Dati!$A$2:$A$381,$Y30),"-")</f>
        <v/>
      </c>
      <c r="AV30" s="22">
        <f>IF(AND($H30&lt;&gt;"",$Z30&lt;&gt;"",$H30&lt;&gt;$Z30,IFERROR(VLOOKUP($H30,areaCercaPuntiClassificaSquadra,3,FALSE),-1)=IFERROR(VLOOKUP($Z30,areaCercaPuntiClassificaSquadra,3,FALSE),-2)),SUMIFS(Dati!$B$2:$B$381,Dati!$A$2:$A$381,$H30,Dati!$H$2:$H$381,$Z30)+SUMIFS(Dati!$I$2:$I$381,Dati!$H$2:$H$381,$H30,Dati!$A$2:$A$381,$Z30),"-")</f>
        <v/>
      </c>
      <c r="AW30" s="22">
        <f>IF(AND($H30&lt;&gt;"",$AA30&lt;&gt;"",$H30&lt;&gt;$AA30,IFERROR(VLOOKUP($H30,areaCercaPuntiClassificaSquadra,3,FALSE),-1)=IFERROR(VLOOKUP($AA30,areaCercaPuntiClassificaSquadra,3,FALSE),-2)),SUMIFS(Dati!$B$2:$B$381,Dati!$A$2:$A$381,$H30,Dati!$H$2:$H$381,$AA30)+SUMIFS(Dati!$I$2:$I$381,Dati!$H$2:$H$381,$H30,Dati!$A$2:$A$381,$AA30),"-")</f>
        <v/>
      </c>
      <c r="AX30" s="22">
        <f>IF(AND($H30&lt;&gt;"",$AB30&lt;&gt;"",$H30&lt;&gt;$AB30,IFERROR(VLOOKUP($H30,areaCercaPuntiClassificaSquadra,3,FALSE),-1)=IFERROR(VLOOKUP($AB30,areaCercaPuntiClassificaSquadra,3,FALSE),-2)),SUMIFS(Dati!$B$2:$B$381,Dati!$A$2:$A$381,$H30,Dati!$H$2:$H$381,$AB30)+SUMIFS(Dati!$I$2:$I$381,Dati!$H$2:$H$381,$H30,Dati!$A$2:$A$381,$AB30),"-")</f>
        <v/>
      </c>
      <c r="AY30" s="22">
        <f>IF(AND($H30&lt;&gt;"",$AC30&lt;&gt;"",$H30&lt;&gt;$AC30,IFERROR(VLOOKUP($H30,areaCercaPuntiClassificaSquadra,3,FALSE),-1)=IFERROR(VLOOKUP($AC30,areaCercaPuntiClassificaSquadra,3,FALSE),-2)),SUMIFS(Dati!$B$2:$B$381,Dati!$A$2:$A$381,$H30,Dati!$H$2:$H$381,$AC30)+SUMIFS(Dati!$I$2:$I$381,Dati!$H$2:$H$381,$H30,Dati!$A$2:$A$381,$AC30),"-")</f>
        <v/>
      </c>
      <c r="AZ30" s="22">
        <f>IF(AND($H30&lt;&gt;"",$AD30&lt;&gt;"",$H30&lt;&gt;$AD30,IFERROR(VLOOKUP($H30,areaCercaPuntiClassificaSquadra,3,FALSE),-1)=IFERROR(VLOOKUP($AD30,areaCercaPuntiClassificaSquadra,3,FALSE),-2)),SUMIFS(Dati!$B$2:$B$381,Dati!$A$2:$A$381,$H30,Dati!$H$2:$H$381,$AD30)+SUMIFS(Dati!$I$2:$I$381,Dati!$H$2:$H$381,$H30,Dati!$A$2:$A$381,$AD30),"-")</f>
        <v/>
      </c>
      <c r="BA30" s="22">
        <f>IF(AND($H30&lt;&gt;"",$AE30&lt;&gt;"",$H30&lt;&gt;$AE30,IFERROR(VLOOKUP($H30,areaCercaPuntiClassificaSquadra,3,FALSE),-1)=IFERROR(VLOOKUP($AE30,areaCercaPuntiClassificaSquadra,3,FALSE),-2)),SUMIFS(Dati!$B$2:$B$381,Dati!$A$2:$A$381,$H30,Dati!$H$2:$H$381,$AE30)+SUMIFS(Dati!$I$2:$I$381,Dati!$H$2:$H$381,$H30,Dati!$A$2:$A$381,$AE30),"-")</f>
        <v/>
      </c>
      <c r="BB30" s="22">
        <f>IF(AND($H30&lt;&gt;"",$AF30&lt;&gt;"",$H30&lt;&gt;$AF30,IFERROR(VLOOKUP($H30,areaCercaPuntiClassificaSquadra,3,FALSE),-1)=IFERROR(VLOOKUP($AF30,areaCercaPuntiClassificaSquadra,3,FALSE),-2)),SUMIFS(Dati!$B$2:$B$381,Dati!$A$2:$A$381,$H30,Dati!$H$2:$H$381,$AF30)+SUMIFS(Dati!$I$2:$I$381,Dati!$H$2:$H$381,$H30,Dati!$A$2:$A$381,$AF30),"-")</f>
        <v/>
      </c>
      <c r="BC30" s="22">
        <f>IF(AND($H30&lt;&gt;"",$AG30&lt;&gt;"",$H30&lt;&gt;$AG30,IFERROR(VLOOKUP($H30,areaCercaPuntiClassificaSquadra,3,FALSE),-1)=IFERROR(VLOOKUP($AG30,areaCercaPuntiClassificaSquadra,3,FALSE),-2)),SUMIFS(Dati!$B$2:$B$381,Dati!$A$2:$A$381,$H30,Dati!$H$2:$H$381,$AG30)+SUMIFS(Dati!$I$2:$I$381,Dati!$H$2:$H$381,$H30,Dati!$A$2:$A$381,$AG30),"-")</f>
        <v/>
      </c>
      <c r="BD30" s="22">
        <f>IF(AND($H30&lt;&gt;"",$AH30&lt;&gt;"",$H30&lt;&gt;$AH30,IFERROR(VLOOKUP($H30,areaCercaPuntiClassificaSquadra,3,FALSE),-1)=IFERROR(VLOOKUP($AH30,areaCercaPuntiClassificaSquadra,3,FALSE),-2)),SUMIFS(Dati!$B$2:$B$381,Dati!$A$2:$A$381,$H30,Dati!$H$2:$H$381,$AH30)+SUMIFS(Dati!$I$2:$I$381,Dati!$H$2:$H$381,$H30,Dati!$A$2:$A$381,$AH30),"-")</f>
        <v/>
      </c>
      <c r="BE30" s="22">
        <f>IF(AND($H30&lt;&gt;"",$AI30&lt;&gt;"",$H30&lt;&gt;$AI30,IFERROR(VLOOKUP($H30,areaCercaPuntiClassificaSquadra,3,FALSE),-1)=IFERROR(VLOOKUP($AI30,areaCercaPuntiClassificaSquadra,3,FALSE),-2)),SUMIFS(Dati!$B$2:$B$381,Dati!$A$2:$A$381,$H30,Dati!$H$2:$H$381,$AI30)+SUMIFS(Dati!$I$2:$I$381,Dati!$H$2:$H$381,$H30,Dati!$A$2:$A$381,$AI30),"-")</f>
        <v/>
      </c>
      <c r="BF30" s="22">
        <f>IF(AND($H30&lt;&gt;"",$AJ30&lt;&gt;"",$H30&lt;&gt;$AJ30,IFERROR(VLOOKUP($H30,areaCercaPuntiClassificaSquadra,3,FALSE),-1)=IFERROR(VLOOKUP($AJ30,areaCercaPuntiClassificaSquadra,3,FALSE),-2)),SUMIFS(Dati!$B$2:$B$381,Dati!$A$2:$A$381,$H30,Dati!$H$2:$H$381,$AJ30)+SUMIFS(Dati!$I$2:$I$381,Dati!$H$2:$H$381,$H30,Dati!$A$2:$A$381,$AJ30),"-")</f>
        <v/>
      </c>
      <c r="BG30" s="22">
        <f>IF(AND($H30&lt;&gt;"",$AK30&lt;&gt;"",$H30&lt;&gt;$AK30,IFERROR(VLOOKUP($H30,areaCercaPuntiClassificaSquadra,3,FALSE),-1)=IFERROR(VLOOKUP($AK30,areaCercaPuntiClassificaSquadra,3,FALSE),-2)),SUMIFS(Dati!$B$2:$B$381,Dati!$A$2:$A$381,$H30,Dati!$H$2:$H$381,$AK30)+SUMIFS(Dati!$I$2:$I$381,Dati!$H$2:$H$381,$H30,Dati!$A$2:$A$381,$AK30),"-")</f>
        <v/>
      </c>
      <c r="BH30" s="22">
        <f>IF(AND($H30&lt;&gt;"",$AL30&lt;&gt;"",$H30&lt;&gt;$AL30,IFERROR(VLOOKUP($H30,areaCercaPuntiClassificaSquadra,3,FALSE),-1)=IFERROR(VLOOKUP($AL30,areaCercaPuntiClassificaSquadra,3,FALSE),-2)),SUMIFS(Dati!$B$2:$B$381,Dati!$A$2:$A$381,$H30,Dati!$H$2:$H$381,$AL30)+SUMIFS(Dati!$I$2:$I$381,Dati!$H$2:$H$381,$H30,Dati!$A$2:$A$381,$AL30),"-")</f>
        <v/>
      </c>
      <c r="BI30" s="22">
        <f>IF(AND($H30&lt;&gt;"",$AM30&lt;&gt;"",$H30&lt;&gt;$AM30,IFERROR(VLOOKUP($H30,areaCercaPuntiClassificaSquadra,3,FALSE),-1)=IFERROR(VLOOKUP($AM30,areaCercaPuntiClassificaSquadra,3,FALSE),-2)),SUMIFS(Dati!$B$2:$B$381,Dati!$A$2:$A$381,$H30,Dati!$H$2:$H$381,$AM30)+SUMIFS(Dati!$I$2:$I$381,Dati!$H$2:$H$381,$H30,Dati!$A$2:$A$381,$AM30),"-")</f>
        <v/>
      </c>
      <c r="BJ30" s="22">
        <f>IF(AND($H30&lt;&gt;"",$AN30&lt;&gt;"",$H30&lt;&gt;$AN30,IFERROR(VLOOKUP($H30,areaCercaPuntiClassificaSquadra,3,FALSE),-1)=IFERROR(VLOOKUP($AN30,areaCercaPuntiClassificaSquadra,3,FALSE),-2)),SUMIFS(Dati!$B$2:$B$381,Dati!$A$2:$A$381,$H30,Dati!$H$2:$H$381,$AN30)+SUMIFS(Dati!$I$2:$I$381,Dati!$H$2:$H$381,$H30,Dati!$A$2:$A$381,$AN30),"-")</f>
        <v/>
      </c>
      <c r="BK30" s="22">
        <f>IF(AND($H30&lt;&gt;"",$AO30&lt;&gt;"",$H30&lt;&gt;$AO30,IFERROR(VLOOKUP($H30,areaCercaPuntiClassificaSquadra,3,FALSE),-1)=IFERROR(VLOOKUP($AO30,areaCercaPuntiClassificaSquadra,3,FALSE),-2)),SUMIFS(Dati!$B$2:$B$381,Dati!$A$2:$A$381,$H30,Dati!$H$2:$H$381,$AO30)+SUMIFS(Dati!$I$2:$I$381,Dati!$H$2:$H$381,$H30,Dati!$A$2:$A$381,$AO30),"-")</f>
        <v/>
      </c>
      <c r="BL30" s="22">
        <f>IF(AND($H30&lt;&gt;"",$AP30&lt;&gt;"",$H30&lt;&gt;$AP30,IFERROR(VLOOKUP($H30,areaCercaPuntiClassificaSquadra,3,FALSE),-1)=IFERROR(VLOOKUP($AP30,areaCercaPuntiClassificaSquadra,3,FALSE),-2)),SUMIFS(Dati!$B$2:$B$381,Dati!$A$2:$A$381,$H30,Dati!$H$2:$H$381,$AP30)+SUMIFS(Dati!$I$2:$I$381,Dati!$H$2:$H$381,$H30,Dati!$A$2:$A$381,$AP30),"-")</f>
        <v/>
      </c>
      <c r="BM30" s="22">
        <f>IF(AND($H30&lt;&gt;"",$AQ30&lt;&gt;"",$H30&lt;&gt;$AQ30,IFERROR(VLOOKUP($H30,areaCercaPuntiClassificaSquadra,3,FALSE),-1)=IFERROR(VLOOKUP($AQ30,areaCercaPuntiClassificaSquadra,3,FALSE),-2)),SUMIFS(Dati!$B$2:$B$381,Dati!$A$2:$A$381,$H30,Dati!$H$2:$H$381,$AQ30)+SUMIFS(Dati!$I$2:$I$381,Dati!$H$2:$H$381,$H30,Dati!$A$2:$A$381,$AQ30),"-")</f>
        <v/>
      </c>
      <c r="BN30" s="22">
        <f>IF(AND($H30&lt;&gt;"",$AR30&lt;&gt;"",$H30&lt;&gt;$AR30,IFERROR(VLOOKUP($H30,areaCercaPuntiClassificaSquadra,3,FALSE),-1)=IFERROR(VLOOKUP($AR30,areaCercaPuntiClassificaSquadra,3,FALSE),-2)),SUMIFS(Dati!$B$2:$B$381,Dati!$A$2:$A$381,$H30,Dati!$H$2:$H$381,$AR30)+SUMIFS(Dati!$I$2:$I$381,Dati!$H$2:$H$381,$H30,Dati!$A$2:$A$381,$AR30),"-")</f>
        <v/>
      </c>
      <c r="BP30" s="21">
        <f>$C30</f>
        <v/>
      </c>
      <c r="BQ30" s="22">
        <f>IF(AND($H30&lt;&gt;"",$Y30&lt;&gt;"",$H30&lt;&gt;$Y30,IFERROR(VLOOKUP($H30,areaCercaPuntiClassificaSquadra,3,FALSE),-1)=IFERROR(VLOOKUP($Y30,areaCercaPuntiClassificaSquadra,3,FALSE),-2)),SUMIFS(Dati!$D$2:$D$381,Dati!$A$2:$A$381,$H30,Dati!$H$2:$H$381,$Y30)+SUMIFS(Dati!$K$2:$K$381,Dati!$H$2:$H$381,$H30,Dati!$A$2:$A$381,$Y30)+SUMIFS(Dati!$C$2:$C$381,Dati!$A$2:$A$381,$H30,Dati!$H$2:$H$381,$Y30)+SUMIFS(Dati!$J$2:$J$381,Dati!$H$2:$H$381,$H30,Dati!$A$2:$A$381,$Y30),"-")</f>
        <v/>
      </c>
      <c r="BR30" s="22">
        <f>IF(AND($H30&lt;&gt;"",$Z30&lt;&gt;"",$H30&lt;&gt;$Z30,IFERROR(VLOOKUP($H30,areaCercaPuntiClassificaSquadra,3,FALSE),-1)=IFERROR(VLOOKUP($Z30,areaCercaPuntiClassificaSquadra,3,FALSE),-2)),SUMIFS(Dati!$D$2:$D$381,Dati!$A$2:$A$381,$H30,Dati!$H$2:$H$381,$Z30)+SUMIFS(Dati!$K$2:$K$381,Dati!$H$2:$H$381,$H30,Dati!$A$2:$A$381,$Z30)+SUMIFS(Dati!$C$2:$C$381,Dati!$A$2:$A$381,$H30,Dati!$H$2:$H$381,$Z30)+SUMIFS(Dati!$J$2:$J$381,Dati!$H$2:$H$381,$H30,Dati!$A$2:$A$381,$Z30),"-")</f>
        <v/>
      </c>
      <c r="BS30" s="22">
        <f>IF(AND($H30&lt;&gt;"",$AA30&lt;&gt;"",$H30&lt;&gt;$AA30,IFERROR(VLOOKUP($H30,areaCercaPuntiClassificaSquadra,3,FALSE),-1)=IFERROR(VLOOKUP($AA30,areaCercaPuntiClassificaSquadra,3,FALSE),-2)),SUMIFS(Dati!$D$2:$D$381,Dati!$A$2:$A$381,$H30,Dati!$H$2:$H$381,$AA30)+SUMIFS(Dati!$K$2:$K$381,Dati!$H$2:$H$381,$H30,Dati!$A$2:$A$381,$AA30)+SUMIFS(Dati!$C$2:$C$381,Dati!$A$2:$A$381,$H30,Dati!$H$2:$H$381,$AA30)+SUMIFS(Dati!$J$2:$J$381,Dati!$H$2:$H$381,$H30,Dati!$A$2:$A$381,$AA30),"-")</f>
        <v/>
      </c>
      <c r="BT30" s="22">
        <f>IF(AND($H30&lt;&gt;"",$AB30&lt;&gt;"",$H30&lt;&gt;$AB30,IFERROR(VLOOKUP($H30,areaCercaPuntiClassificaSquadra,3,FALSE),-1)=IFERROR(VLOOKUP($AB30,areaCercaPuntiClassificaSquadra,3,FALSE),-2)),SUMIFS(Dati!$D$2:$D$381,Dati!$A$2:$A$381,$H30,Dati!$H$2:$H$381,$AB30)+SUMIFS(Dati!$K$2:$K$381,Dati!$H$2:$H$381,$H30,Dati!$A$2:$A$381,$AB30)+SUMIFS(Dati!$C$2:$C$381,Dati!$A$2:$A$381,$H30,Dati!$H$2:$H$381,$AB30)+SUMIFS(Dati!$J$2:$J$381,Dati!$H$2:$H$381,$H30,Dati!$A$2:$A$381,$AB30),"-")</f>
        <v/>
      </c>
      <c r="BU30" s="22">
        <f>IF(AND($H30&lt;&gt;"",$AC30&lt;&gt;"",$H30&lt;&gt;$AC30,IFERROR(VLOOKUP($H30,areaCercaPuntiClassificaSquadra,3,FALSE),-1)=IFERROR(VLOOKUP($AC30,areaCercaPuntiClassificaSquadra,3,FALSE),-2)),SUMIFS(Dati!$D$2:$D$381,Dati!$A$2:$A$381,$H30,Dati!$H$2:$H$381,$AC30)+SUMIFS(Dati!$K$2:$K$381,Dati!$H$2:$H$381,$H30,Dati!$A$2:$A$381,$AC30)+SUMIFS(Dati!$C$2:$C$381,Dati!$A$2:$A$381,$H30,Dati!$H$2:$H$381,$AC30)+SUMIFS(Dati!$J$2:$J$381,Dati!$H$2:$H$381,$H30,Dati!$A$2:$A$381,$AC30),"-")</f>
        <v/>
      </c>
      <c r="BV30" s="22">
        <f>IF(AND($H30&lt;&gt;"",$AD30&lt;&gt;"",$H30&lt;&gt;$AD30,IFERROR(VLOOKUP($H30,areaCercaPuntiClassificaSquadra,3,FALSE),-1)=IFERROR(VLOOKUP($AD30,areaCercaPuntiClassificaSquadra,3,FALSE),-2)),SUMIFS(Dati!$D$2:$D$381,Dati!$A$2:$A$381,$H30,Dati!$H$2:$H$381,$AD30)+SUMIFS(Dati!$K$2:$K$381,Dati!$H$2:$H$381,$H30,Dati!$A$2:$A$381,$AD30)+SUMIFS(Dati!$C$2:$C$381,Dati!$A$2:$A$381,$H30,Dati!$H$2:$H$381,$AD30)+SUMIFS(Dati!$J$2:$J$381,Dati!$H$2:$H$381,$H30,Dati!$A$2:$A$381,$AD30),"-")</f>
        <v/>
      </c>
      <c r="BW30" s="22">
        <f>IF(AND($H30&lt;&gt;"",$AE30&lt;&gt;"",$H30&lt;&gt;$AE30,IFERROR(VLOOKUP($H30,areaCercaPuntiClassificaSquadra,3,FALSE),-1)=IFERROR(VLOOKUP($AE30,areaCercaPuntiClassificaSquadra,3,FALSE),-2)),SUMIFS(Dati!$D$2:$D$381,Dati!$A$2:$A$381,$H30,Dati!$H$2:$H$381,$AE30)+SUMIFS(Dati!$K$2:$K$381,Dati!$H$2:$H$381,$H30,Dati!$A$2:$A$381,$AE30)+SUMIFS(Dati!$C$2:$C$381,Dati!$A$2:$A$381,$H30,Dati!$H$2:$H$381,$AE30)+SUMIFS(Dati!$J$2:$J$381,Dati!$H$2:$H$381,$H30,Dati!$A$2:$A$381,$AE30),"-")</f>
        <v/>
      </c>
      <c r="BX30" s="22">
        <f>IF(AND($H30&lt;&gt;"",$AF30&lt;&gt;"",$H30&lt;&gt;$AF30,IFERROR(VLOOKUP($H30,areaCercaPuntiClassificaSquadra,3,FALSE),-1)=IFERROR(VLOOKUP($AF30,areaCercaPuntiClassificaSquadra,3,FALSE),-2)),SUMIFS(Dati!$D$2:$D$381,Dati!$A$2:$A$381,$H30,Dati!$H$2:$H$381,$AF30)+SUMIFS(Dati!$K$2:$K$381,Dati!$H$2:$H$381,$H30,Dati!$A$2:$A$381,$AF30)+SUMIFS(Dati!$C$2:$C$381,Dati!$A$2:$A$381,$H30,Dati!$H$2:$H$381,$AF30)+SUMIFS(Dati!$J$2:$J$381,Dati!$H$2:$H$381,$H30,Dati!$A$2:$A$381,$AF30),"-")</f>
        <v/>
      </c>
      <c r="BY30" s="22">
        <f>IF(AND($H30&lt;&gt;"",$AG30&lt;&gt;"",$H30&lt;&gt;$AG30,IFERROR(VLOOKUP($H30,areaCercaPuntiClassificaSquadra,3,FALSE),-1)=IFERROR(VLOOKUP($AG30,areaCercaPuntiClassificaSquadra,3,FALSE),-2)),SUMIFS(Dati!$D$2:$D$381,Dati!$A$2:$A$381,$H30,Dati!$H$2:$H$381,$AG30)+SUMIFS(Dati!$K$2:$K$381,Dati!$H$2:$H$381,$H30,Dati!$A$2:$A$381,$AG30)+SUMIFS(Dati!$C$2:$C$381,Dati!$A$2:$A$381,$H30,Dati!$H$2:$H$381,$AG30)+SUMIFS(Dati!$J$2:$J$381,Dati!$H$2:$H$381,$H30,Dati!$A$2:$A$381,$AG30),"-")</f>
        <v/>
      </c>
      <c r="BZ30" s="22">
        <f>IF(AND($H30&lt;&gt;"",$AH30&lt;&gt;"",$H30&lt;&gt;$AH30,IFERROR(VLOOKUP($H30,areaCercaPuntiClassificaSquadra,3,FALSE),-1)=IFERROR(VLOOKUP($AH30,areaCercaPuntiClassificaSquadra,3,FALSE),-2)),SUMIFS(Dati!$D$2:$D$381,Dati!$A$2:$A$381,$H30,Dati!$H$2:$H$381,$AH30)+SUMIFS(Dati!$K$2:$K$381,Dati!$H$2:$H$381,$H30,Dati!$A$2:$A$381,$AH30)+SUMIFS(Dati!$C$2:$C$381,Dati!$A$2:$A$381,$H30,Dati!$H$2:$H$381,$AH30)+SUMIFS(Dati!$J$2:$J$381,Dati!$H$2:$H$381,$H30,Dati!$A$2:$A$381,$AH30),"-")</f>
        <v/>
      </c>
      <c r="CA30" s="22">
        <f>IF(AND($H30&lt;&gt;"",$AI30&lt;&gt;"",$H30&lt;&gt;$AI30,IFERROR(VLOOKUP($H30,areaCercaPuntiClassificaSquadra,3,FALSE),-1)=IFERROR(VLOOKUP($AI30,areaCercaPuntiClassificaSquadra,3,FALSE),-2)),SUMIFS(Dati!$D$2:$D$381,Dati!$A$2:$A$381,$H30,Dati!$H$2:$H$381,$AI30)+SUMIFS(Dati!$K$2:$K$381,Dati!$H$2:$H$381,$H30,Dati!$A$2:$A$381,$AI30)+SUMIFS(Dati!$C$2:$C$381,Dati!$A$2:$A$381,$H30,Dati!$H$2:$H$381,$AI30)+SUMIFS(Dati!$J$2:$J$381,Dati!$H$2:$H$381,$H30,Dati!$A$2:$A$381,$AI30),"-")</f>
        <v/>
      </c>
      <c r="CB30" s="22">
        <f>IF(AND($H30&lt;&gt;"",$AJ30&lt;&gt;"",$H30&lt;&gt;$AJ30,IFERROR(VLOOKUP($H30,areaCercaPuntiClassificaSquadra,3,FALSE),-1)=IFERROR(VLOOKUP($AJ30,areaCercaPuntiClassificaSquadra,3,FALSE),-2)),SUMIFS(Dati!$D$2:$D$381,Dati!$A$2:$A$381,$H30,Dati!$H$2:$H$381,$AJ30)+SUMIFS(Dati!$K$2:$K$381,Dati!$H$2:$H$381,$H30,Dati!$A$2:$A$381,$AJ30)+SUMIFS(Dati!$C$2:$C$381,Dati!$A$2:$A$381,$H30,Dati!$H$2:$H$381,$AJ30)+SUMIFS(Dati!$J$2:$J$381,Dati!$H$2:$H$381,$H30,Dati!$A$2:$A$381,$AJ30),"-")</f>
        <v/>
      </c>
      <c r="CC30" s="22">
        <f>IF(AND($H30&lt;&gt;"",$AK30&lt;&gt;"",$H30&lt;&gt;$AK30,IFERROR(VLOOKUP($H30,areaCercaPuntiClassificaSquadra,3,FALSE),-1)=IFERROR(VLOOKUP($AK30,areaCercaPuntiClassificaSquadra,3,FALSE),-2)),SUMIFS(Dati!$D$2:$D$381,Dati!$A$2:$A$381,$H30,Dati!$H$2:$H$381,$AK30)+SUMIFS(Dati!$K$2:$K$381,Dati!$H$2:$H$381,$H30,Dati!$A$2:$A$381,$AK30)+SUMIFS(Dati!$C$2:$C$381,Dati!$A$2:$A$381,$H30,Dati!$H$2:$H$381,$AK30)+SUMIFS(Dati!$J$2:$J$381,Dati!$H$2:$H$381,$H30,Dati!$A$2:$A$381,$AK30),"-")</f>
        <v/>
      </c>
      <c r="CD30" s="22">
        <f>IF(AND($H30&lt;&gt;"",$AL30&lt;&gt;"",$H30&lt;&gt;$AL30,IFERROR(VLOOKUP($H30,areaCercaPuntiClassificaSquadra,3,FALSE),-1)=IFERROR(VLOOKUP($AL30,areaCercaPuntiClassificaSquadra,3,FALSE),-2)),SUMIFS(Dati!$D$2:$D$381,Dati!$A$2:$A$381,$H30,Dati!$H$2:$H$381,$AL30)+SUMIFS(Dati!$K$2:$K$381,Dati!$H$2:$H$381,$H30,Dati!$A$2:$A$381,$AL30)+SUMIFS(Dati!$C$2:$C$381,Dati!$A$2:$A$381,$H30,Dati!$H$2:$H$381,$AL30)+SUMIFS(Dati!$J$2:$J$381,Dati!$H$2:$H$381,$H30,Dati!$A$2:$A$381,$AL30),"-")</f>
        <v/>
      </c>
      <c r="CE30" s="22">
        <f>IF(AND($H30&lt;&gt;"",$AM30&lt;&gt;"",$H30&lt;&gt;$AM30,IFERROR(VLOOKUP($H30,areaCercaPuntiClassificaSquadra,3,FALSE),-1)=IFERROR(VLOOKUP($AM30,areaCercaPuntiClassificaSquadra,3,FALSE),-2)),SUMIFS(Dati!$D$2:$D$381,Dati!$A$2:$A$381,$H30,Dati!$H$2:$H$381,$AM30)+SUMIFS(Dati!$K$2:$K$381,Dati!$H$2:$H$381,$H30,Dati!$A$2:$A$381,$AM30)+SUMIFS(Dati!$C$2:$C$381,Dati!$A$2:$A$381,$H30,Dati!$H$2:$H$381,$AM30)+SUMIFS(Dati!$J$2:$J$381,Dati!$H$2:$H$381,$H30,Dati!$A$2:$A$381,$AM30),"-")</f>
        <v/>
      </c>
      <c r="CF30" s="22">
        <f>IF(AND($H30&lt;&gt;"",$AN30&lt;&gt;"",$H30&lt;&gt;$AN30,IFERROR(VLOOKUP($H30,areaCercaPuntiClassificaSquadra,3,FALSE),-1)=IFERROR(VLOOKUP($AN30,areaCercaPuntiClassificaSquadra,3,FALSE),-2)),SUMIFS(Dati!$D$2:$D$381,Dati!$A$2:$A$381,$H30,Dati!$H$2:$H$381,$AN30)+SUMIFS(Dati!$K$2:$K$381,Dati!$H$2:$H$381,$H30,Dati!$A$2:$A$381,$AN30)+SUMIFS(Dati!$C$2:$C$381,Dati!$A$2:$A$381,$H30,Dati!$H$2:$H$381,$AN30)+SUMIFS(Dati!$J$2:$J$381,Dati!$H$2:$H$381,$H30,Dati!$A$2:$A$381,$AN30),"-")</f>
        <v/>
      </c>
      <c r="CG30" s="22">
        <f>IF(AND($H30&lt;&gt;"",$AO30&lt;&gt;"",$H30&lt;&gt;$AO30,IFERROR(VLOOKUP($H30,areaCercaPuntiClassificaSquadra,3,FALSE),-1)=IFERROR(VLOOKUP($AO30,areaCercaPuntiClassificaSquadra,3,FALSE),-2)),SUMIFS(Dati!$D$2:$D$381,Dati!$A$2:$A$381,$H30,Dati!$H$2:$H$381,$AO30)+SUMIFS(Dati!$K$2:$K$381,Dati!$H$2:$H$381,$H30,Dati!$A$2:$A$381,$AO30)+SUMIFS(Dati!$C$2:$C$381,Dati!$A$2:$A$381,$H30,Dati!$H$2:$H$381,$AO30)+SUMIFS(Dati!$J$2:$J$381,Dati!$H$2:$H$381,$H30,Dati!$A$2:$A$381,$AO30),"-")</f>
        <v/>
      </c>
      <c r="CH30" s="22">
        <f>IF(AND($H30&lt;&gt;"",$AP30&lt;&gt;"",$H30&lt;&gt;$AP30,IFERROR(VLOOKUP($H30,areaCercaPuntiClassificaSquadra,3,FALSE),-1)=IFERROR(VLOOKUP($AP30,areaCercaPuntiClassificaSquadra,3,FALSE),-2)),SUMIFS(Dati!$D$2:$D$381,Dati!$A$2:$A$381,$H30,Dati!$H$2:$H$381,$AP30)+SUMIFS(Dati!$K$2:$K$381,Dati!$H$2:$H$381,$H30,Dati!$A$2:$A$381,$AP30)+SUMIFS(Dati!$C$2:$C$381,Dati!$A$2:$A$381,$H30,Dati!$H$2:$H$381,$AP30)+SUMIFS(Dati!$J$2:$J$381,Dati!$H$2:$H$381,$H30,Dati!$A$2:$A$381,$AP30),"-")</f>
        <v/>
      </c>
      <c r="CI30" s="22">
        <f>IF(AND($H30&lt;&gt;"",$AQ30&lt;&gt;"",$H30&lt;&gt;$AQ30,IFERROR(VLOOKUP($H30,areaCercaPuntiClassificaSquadra,3,FALSE),-1)=IFERROR(VLOOKUP($AQ30,areaCercaPuntiClassificaSquadra,3,FALSE),-2)),SUMIFS(Dati!$D$2:$D$381,Dati!$A$2:$A$381,$H30,Dati!$H$2:$H$381,$AQ30)+SUMIFS(Dati!$K$2:$K$381,Dati!$H$2:$H$381,$H30,Dati!$A$2:$A$381,$AQ30)+SUMIFS(Dati!$C$2:$C$381,Dati!$A$2:$A$381,$H30,Dati!$H$2:$H$381,$AQ30)+SUMIFS(Dati!$J$2:$J$381,Dati!$H$2:$H$381,$H30,Dati!$A$2:$A$381,$AQ30),"-")</f>
        <v/>
      </c>
      <c r="CJ30" s="22">
        <f>IF(AND($H30&lt;&gt;"",$AR30&lt;&gt;"",$H30&lt;&gt;$AR30,IFERROR(VLOOKUP($H30,areaCercaPuntiClassificaSquadra,3,FALSE),-1)=IFERROR(VLOOKUP($AR30,areaCercaPuntiClassificaSquadra,3,FALSE),-2)),SUMIFS(Dati!$D$2:$D$381,Dati!$A$2:$A$381,$H30,Dati!$H$2:$H$381,$AR30)+SUMIFS(Dati!$K$2:$K$381,Dati!$H$2:$H$381,$H30,Dati!$A$2:$A$381,$AR30)+SUMIFS(Dati!$C$2:$C$381,Dati!$A$2:$A$381,$H30,Dati!$H$2:$H$381,$AR30)+SUMIFS(Dati!$J$2:$J$381,Dati!$H$2:$H$381,$H30,Dati!$A$2:$A$381,$AR30),"-")</f>
        <v/>
      </c>
      <c r="CL30" s="21">
        <f>$C30</f>
        <v/>
      </c>
      <c r="CM30" s="22">
        <f>IF(AND($H30&lt;&gt;"",$Y30&lt;&gt;"",$H30&lt;&gt;$Y30,IFERROR(VLOOKUP($H30,areaCercaPuntiClassificaSquadra,3,FALSE),-1)=IFERROR(VLOOKUP($Y30,areaCercaPuntiClassificaSquadra,3,FALSE),-2)),SUMIFS(Dati!$E$2:$E$381,Dati!$A$2:$A$381,$H30,Dati!$H$2:$H$381,$Y30)+SUMIFS(Dati!$L$2:$L$381,Dati!$H$2:$H$381,$H30,Dati!$A$2:$A$381,$Y30),"-")</f>
        <v/>
      </c>
      <c r="CN30" s="22">
        <f>IF(AND($H30&lt;&gt;"",$Z30&lt;&gt;"",$H30&lt;&gt;$Z30,IFERROR(VLOOKUP($H30,areaCercaPuntiClassificaSquadra,3,FALSE),-1)=IFERROR(VLOOKUP($Z30,areaCercaPuntiClassificaSquadra,3,FALSE),-2)),SUMIFS(Dati!$E$2:$E$381,Dati!$A$2:$A$381,$H30,Dati!$H$2:$H$381,$Z30)+SUMIFS(Dati!$L$2:$L$381,Dati!$H$2:$H$381,$H30,Dati!$A$2:$A$381,$Z30),"-")</f>
        <v/>
      </c>
      <c r="CO30" s="22">
        <f>IF(AND($H30&lt;&gt;"",$AA30&lt;&gt;"",$H30&lt;&gt;$AA30,IFERROR(VLOOKUP($H30,areaCercaPuntiClassificaSquadra,3,FALSE),-1)=IFERROR(VLOOKUP($AA30,areaCercaPuntiClassificaSquadra,3,FALSE),-2)),SUMIFS(Dati!$E$2:$E$381,Dati!$A$2:$A$381,$H30,Dati!$H$2:$H$381,$AA30)+SUMIFS(Dati!$L$2:$L$381,Dati!$H$2:$H$381,$H30,Dati!$A$2:$A$381,$AA30),"-")</f>
        <v/>
      </c>
      <c r="CP30" s="22">
        <f>IF(AND($H30&lt;&gt;"",$AB30&lt;&gt;"",$H30&lt;&gt;$AB30,IFERROR(VLOOKUP($H30,areaCercaPuntiClassificaSquadra,3,FALSE),-1)=IFERROR(VLOOKUP($AB30,areaCercaPuntiClassificaSquadra,3,FALSE),-2)),SUMIFS(Dati!$E$2:$E$381,Dati!$A$2:$A$381,$H30,Dati!$H$2:$H$381,$AB30)+SUMIFS(Dati!$L$2:$L$381,Dati!$H$2:$H$381,$H30,Dati!$A$2:$A$381,$AB30),"-")</f>
        <v/>
      </c>
      <c r="CQ30" s="22">
        <f>IF(AND($H30&lt;&gt;"",$AC30&lt;&gt;"",$H30&lt;&gt;$AC30,IFERROR(VLOOKUP($H30,areaCercaPuntiClassificaSquadra,3,FALSE),-1)=IFERROR(VLOOKUP($AC30,areaCercaPuntiClassificaSquadra,3,FALSE),-2)),SUMIFS(Dati!$E$2:$E$381,Dati!$A$2:$A$381,$H30,Dati!$H$2:$H$381,$AC30)+SUMIFS(Dati!$L$2:$L$381,Dati!$H$2:$H$381,$H30,Dati!$A$2:$A$381,$AC30),"-")</f>
        <v/>
      </c>
      <c r="CR30" s="22">
        <f>IF(AND($H30&lt;&gt;"",$AD30&lt;&gt;"",$H30&lt;&gt;$AD30,IFERROR(VLOOKUP($H30,areaCercaPuntiClassificaSquadra,3,FALSE),-1)=IFERROR(VLOOKUP($AD30,areaCercaPuntiClassificaSquadra,3,FALSE),-2)),SUMIFS(Dati!$E$2:$E$381,Dati!$A$2:$A$381,$H30,Dati!$H$2:$H$381,$AD30)+SUMIFS(Dati!$L$2:$L$381,Dati!$H$2:$H$381,$H30,Dati!$A$2:$A$381,$AD30),"-")</f>
        <v/>
      </c>
      <c r="CS30" s="22">
        <f>IF(AND($H30&lt;&gt;"",$AE30&lt;&gt;"",$H30&lt;&gt;$AE30,IFERROR(VLOOKUP($H30,areaCercaPuntiClassificaSquadra,3,FALSE),-1)=IFERROR(VLOOKUP($AE30,areaCercaPuntiClassificaSquadra,3,FALSE),-2)),SUMIFS(Dati!$E$2:$E$381,Dati!$A$2:$A$381,$H30,Dati!$H$2:$H$381,$AE30)+SUMIFS(Dati!$L$2:$L$381,Dati!$H$2:$H$381,$H30,Dati!$A$2:$A$381,$AE30),"-")</f>
        <v/>
      </c>
      <c r="CT30" s="22">
        <f>IF(AND($H30&lt;&gt;"",$AF30&lt;&gt;"",$H30&lt;&gt;$AF30,IFERROR(VLOOKUP($H30,areaCercaPuntiClassificaSquadra,3,FALSE),-1)=IFERROR(VLOOKUP($AF30,areaCercaPuntiClassificaSquadra,3,FALSE),-2)),SUMIFS(Dati!$E$2:$E$381,Dati!$A$2:$A$381,$H30,Dati!$H$2:$H$381,$AF30)+SUMIFS(Dati!$L$2:$L$381,Dati!$H$2:$H$381,$H30,Dati!$A$2:$A$381,$AF30),"-")</f>
        <v/>
      </c>
      <c r="CU30" s="22">
        <f>IF(AND($H30&lt;&gt;"",$AG30&lt;&gt;"",$H30&lt;&gt;$AG30,IFERROR(VLOOKUP($H30,areaCercaPuntiClassificaSquadra,3,FALSE),-1)=IFERROR(VLOOKUP($AG30,areaCercaPuntiClassificaSquadra,3,FALSE),-2)),SUMIFS(Dati!$E$2:$E$381,Dati!$A$2:$A$381,$H30,Dati!$H$2:$H$381,$AG30)+SUMIFS(Dati!$L$2:$L$381,Dati!$H$2:$H$381,$H30,Dati!$A$2:$A$381,$AG30),"-")</f>
        <v/>
      </c>
      <c r="CV30" s="22">
        <f>IF(AND($H30&lt;&gt;"",$AH30&lt;&gt;"",$H30&lt;&gt;$AH30,IFERROR(VLOOKUP($H30,areaCercaPuntiClassificaSquadra,3,FALSE),-1)=IFERROR(VLOOKUP($AH30,areaCercaPuntiClassificaSquadra,3,FALSE),-2)),SUMIFS(Dati!$E$2:$E$381,Dati!$A$2:$A$381,$H30,Dati!$H$2:$H$381,$AH30)+SUMIFS(Dati!$L$2:$L$381,Dati!$H$2:$H$381,$H30,Dati!$A$2:$A$381,$AH30),"-")</f>
        <v/>
      </c>
      <c r="CW30" s="22">
        <f>IF(AND($H30&lt;&gt;"",$AI30&lt;&gt;"",$H30&lt;&gt;$AI30,IFERROR(VLOOKUP($H30,areaCercaPuntiClassificaSquadra,3,FALSE),-1)=IFERROR(VLOOKUP($AI30,areaCercaPuntiClassificaSquadra,3,FALSE),-2)),SUMIFS(Dati!$E$2:$E$381,Dati!$A$2:$A$381,$H30,Dati!$H$2:$H$381,$AI30)+SUMIFS(Dati!$L$2:$L$381,Dati!$H$2:$H$381,$H30,Dati!$A$2:$A$381,$AI30),"-")</f>
        <v/>
      </c>
      <c r="CX30" s="22">
        <f>IF(AND($H30&lt;&gt;"",$AJ30&lt;&gt;"",$H30&lt;&gt;$AJ30,IFERROR(VLOOKUP($H30,areaCercaPuntiClassificaSquadra,3,FALSE),-1)=IFERROR(VLOOKUP($AJ30,areaCercaPuntiClassificaSquadra,3,FALSE),-2)),SUMIFS(Dati!$E$2:$E$381,Dati!$A$2:$A$381,$H30,Dati!$H$2:$H$381,$AJ30)+SUMIFS(Dati!$L$2:$L$381,Dati!$H$2:$H$381,$H30,Dati!$A$2:$A$381,$AJ30),"-")</f>
        <v/>
      </c>
      <c r="CY30" s="22">
        <f>IF(AND($H30&lt;&gt;"",$AK30&lt;&gt;"",$H30&lt;&gt;$AK30,IFERROR(VLOOKUP($H30,areaCercaPuntiClassificaSquadra,3,FALSE),-1)=IFERROR(VLOOKUP($AK30,areaCercaPuntiClassificaSquadra,3,FALSE),-2)),SUMIFS(Dati!$E$2:$E$381,Dati!$A$2:$A$381,$H30,Dati!$H$2:$H$381,$AK30)+SUMIFS(Dati!$L$2:$L$381,Dati!$H$2:$H$381,$H30,Dati!$A$2:$A$381,$AK30),"-")</f>
        <v/>
      </c>
      <c r="CZ30" s="22">
        <f>IF(AND($H30&lt;&gt;"",$AL30&lt;&gt;"",$H30&lt;&gt;$AL30,IFERROR(VLOOKUP($H30,areaCercaPuntiClassificaSquadra,3,FALSE),-1)=IFERROR(VLOOKUP($AL30,areaCercaPuntiClassificaSquadra,3,FALSE),-2)),SUMIFS(Dati!$E$2:$E$381,Dati!$A$2:$A$381,$H30,Dati!$H$2:$H$381,$AL30)+SUMIFS(Dati!$L$2:$L$381,Dati!$H$2:$H$381,$H30,Dati!$A$2:$A$381,$AL30),"-")</f>
        <v/>
      </c>
      <c r="DA30" s="22">
        <f>IF(AND($H30&lt;&gt;"",$AM30&lt;&gt;"",$H30&lt;&gt;$AM30,IFERROR(VLOOKUP($H30,areaCercaPuntiClassificaSquadra,3,FALSE),-1)=IFERROR(VLOOKUP($AM30,areaCercaPuntiClassificaSquadra,3,FALSE),-2)),SUMIFS(Dati!$E$2:$E$381,Dati!$A$2:$A$381,$H30,Dati!$H$2:$H$381,$AM30)+SUMIFS(Dati!$L$2:$L$381,Dati!$H$2:$H$381,$H30,Dati!$A$2:$A$381,$AM30),"-")</f>
        <v/>
      </c>
      <c r="DB30" s="22">
        <f>IF(AND($H30&lt;&gt;"",$AN30&lt;&gt;"",$H30&lt;&gt;$AN30,IFERROR(VLOOKUP($H30,areaCercaPuntiClassificaSquadra,3,FALSE),-1)=IFERROR(VLOOKUP($AN30,areaCercaPuntiClassificaSquadra,3,FALSE),-2)),SUMIFS(Dati!$E$2:$E$381,Dati!$A$2:$A$381,$H30,Dati!$H$2:$H$381,$AN30)+SUMIFS(Dati!$L$2:$L$381,Dati!$H$2:$H$381,$H30,Dati!$A$2:$A$381,$AN30),"-")</f>
        <v/>
      </c>
      <c r="DC30" s="22">
        <f>IF(AND($H30&lt;&gt;"",$AO30&lt;&gt;"",$H30&lt;&gt;$AO30,IFERROR(VLOOKUP($H30,areaCercaPuntiClassificaSquadra,3,FALSE),-1)=IFERROR(VLOOKUP($AO30,areaCercaPuntiClassificaSquadra,3,FALSE),-2)),SUMIFS(Dati!$E$2:$E$381,Dati!$A$2:$A$381,$H30,Dati!$H$2:$H$381,$AO30)+SUMIFS(Dati!$L$2:$L$381,Dati!$H$2:$H$381,$H30,Dati!$A$2:$A$381,$AO30),"-")</f>
        <v/>
      </c>
      <c r="DD30" s="22">
        <f>IF(AND($H30&lt;&gt;"",$AP30&lt;&gt;"",$H30&lt;&gt;$AP30,IFERROR(VLOOKUP($H30,areaCercaPuntiClassificaSquadra,3,FALSE),-1)=IFERROR(VLOOKUP($AP30,areaCercaPuntiClassificaSquadra,3,FALSE),-2)),SUMIFS(Dati!$E$2:$E$381,Dati!$A$2:$A$381,$H30,Dati!$H$2:$H$381,$AP30)+SUMIFS(Dati!$L$2:$L$381,Dati!$H$2:$H$381,$H30,Dati!$A$2:$A$381,$AP30),"-")</f>
        <v/>
      </c>
      <c r="DE30" s="22">
        <f>IF(AND($H30&lt;&gt;"",$AQ30&lt;&gt;"",$H30&lt;&gt;$AQ30,IFERROR(VLOOKUP($H30,areaCercaPuntiClassificaSquadra,3,FALSE),-1)=IFERROR(VLOOKUP($AQ30,areaCercaPuntiClassificaSquadra,3,FALSE),-2)),SUMIFS(Dati!$E$2:$E$381,Dati!$A$2:$A$381,$H30,Dati!$H$2:$H$381,$AQ30)+SUMIFS(Dati!$L$2:$L$381,Dati!$H$2:$H$381,$H30,Dati!$A$2:$A$381,$AQ30),"-")</f>
        <v/>
      </c>
      <c r="DF30" s="22">
        <f>IF(AND($H30&lt;&gt;"",$AR30&lt;&gt;"",$H30&lt;&gt;$AR30,IFERROR(VLOOKUP($H30,areaCercaPuntiClassificaSquadra,3,FALSE),-1)=IFERROR(VLOOKUP($AR30,areaCercaPuntiClassificaSquadra,3,FALSE),-2)),SUMIFS(Dati!$E$2:$E$381,Dati!$A$2:$A$381,$H30,Dati!$H$2:$H$381,$AR30)+SUMIFS(Dati!$L$2:$L$381,Dati!$H$2:$H$381,$H30,Dati!$A$2:$A$381,$AR30),"-")</f>
        <v/>
      </c>
      <c r="DH30" s="21">
        <f>$C30</f>
        <v/>
      </c>
      <c r="DI30" s="22">
        <f>IF(AND($H30&lt;&gt;"",$Y30&lt;&gt;"",$H30&lt;&gt;$Y30,IFERROR(VLOOKUP($H30,areaCercaPuntiClassificaSquadra,3,FALSE),-1)=IFERROR(VLOOKUP($Y30,areaCercaPuntiClassificaSquadra,3,FALSE),-2)),SUMIFS(Dati!$F$2:$F$381,Dati!$A$2:$A$381,$H30,Dati!$H$2:$H$381,$Y30)+SUMIFS(Dati!$M$2:$M$381,Dati!$H$2:$H$381,$H30,Dati!$A$2:$A$381,$Y30),"-")</f>
        <v/>
      </c>
      <c r="DJ30" s="22">
        <f>IF(AND($H30&lt;&gt;"",$Z30&lt;&gt;"",$H30&lt;&gt;$Z30,IFERROR(VLOOKUP($H30,areaCercaPuntiClassificaSquadra,3,FALSE),-1)=IFERROR(VLOOKUP($Z30,areaCercaPuntiClassificaSquadra,3,FALSE),-2)),SUMIFS(Dati!$F$2:$F$381,Dati!$A$2:$A$381,$H30,Dati!$H$2:$H$381,$Z30)+SUMIFS(Dati!$M$2:$M$381,Dati!$H$2:$H$381,$H30,Dati!$A$2:$A$381,$Z30),"-")</f>
        <v/>
      </c>
      <c r="DK30" s="22">
        <f>IF(AND($H30&lt;&gt;"",$AA30&lt;&gt;"",$H30&lt;&gt;$AA30,IFERROR(VLOOKUP($H30,areaCercaPuntiClassificaSquadra,3,FALSE),-1)=IFERROR(VLOOKUP($AA30,areaCercaPuntiClassificaSquadra,3,FALSE),-2)),SUMIFS(Dati!$F$2:$F$381,Dati!$A$2:$A$381,$H30,Dati!$H$2:$H$381,$AA30)+SUMIFS(Dati!$M$2:$M$381,Dati!$H$2:$H$381,$H30,Dati!$A$2:$A$381,$AA30),"-")</f>
        <v/>
      </c>
      <c r="DL30" s="22">
        <f>IF(AND($H30&lt;&gt;"",$AB30&lt;&gt;"",$H30&lt;&gt;$AB30,IFERROR(VLOOKUP($H30,areaCercaPuntiClassificaSquadra,3,FALSE),-1)=IFERROR(VLOOKUP($AB30,areaCercaPuntiClassificaSquadra,3,FALSE),-2)),SUMIFS(Dati!$F$2:$F$381,Dati!$A$2:$A$381,$H30,Dati!$H$2:$H$381,$AB30)+SUMIFS(Dati!$M$2:$M$381,Dati!$H$2:$H$381,$H30,Dati!$A$2:$A$381,$AB30),"-")</f>
        <v/>
      </c>
      <c r="DM30" s="22">
        <f>IF(AND($H30&lt;&gt;"",$AC30&lt;&gt;"",$H30&lt;&gt;$AC30,IFERROR(VLOOKUP($H30,areaCercaPuntiClassificaSquadra,3,FALSE),-1)=IFERROR(VLOOKUP($AC30,areaCercaPuntiClassificaSquadra,3,FALSE),-2)),SUMIFS(Dati!$F$2:$F$381,Dati!$A$2:$A$381,$H30,Dati!$H$2:$H$381,$AC30)+SUMIFS(Dati!$M$2:$M$381,Dati!$H$2:$H$381,$H30,Dati!$A$2:$A$381,$AC30),"-")</f>
        <v/>
      </c>
      <c r="DN30" s="22">
        <f>IF(AND($H30&lt;&gt;"",$AD30&lt;&gt;"",$H30&lt;&gt;$AD30,IFERROR(VLOOKUP($H30,areaCercaPuntiClassificaSquadra,3,FALSE),-1)=IFERROR(VLOOKUP($AD30,areaCercaPuntiClassificaSquadra,3,FALSE),-2)),SUMIFS(Dati!$F$2:$F$381,Dati!$A$2:$A$381,$H30,Dati!$H$2:$H$381,$AD30)+SUMIFS(Dati!$M$2:$M$381,Dati!$H$2:$H$381,$H30,Dati!$A$2:$A$381,$AD30),"-")</f>
        <v/>
      </c>
      <c r="DO30" s="22">
        <f>IF(AND($H30&lt;&gt;"",$AE30&lt;&gt;"",$H30&lt;&gt;$AE30,IFERROR(VLOOKUP($H30,areaCercaPuntiClassificaSquadra,3,FALSE),-1)=IFERROR(VLOOKUP($AE30,areaCercaPuntiClassificaSquadra,3,FALSE),-2)),SUMIFS(Dati!$F$2:$F$381,Dati!$A$2:$A$381,$H30,Dati!$H$2:$H$381,$AE30)+SUMIFS(Dati!$M$2:$M$381,Dati!$H$2:$H$381,$H30,Dati!$A$2:$A$381,$AE30),"-")</f>
        <v/>
      </c>
      <c r="DP30" s="22">
        <f>IF(AND($H30&lt;&gt;"",$AF30&lt;&gt;"",$H30&lt;&gt;$AF30,IFERROR(VLOOKUP($H30,areaCercaPuntiClassificaSquadra,3,FALSE),-1)=IFERROR(VLOOKUP($AF30,areaCercaPuntiClassificaSquadra,3,FALSE),-2)),SUMIFS(Dati!$F$2:$F$381,Dati!$A$2:$A$381,$H30,Dati!$H$2:$H$381,$AF30)+SUMIFS(Dati!$M$2:$M$381,Dati!$H$2:$H$381,$H30,Dati!$A$2:$A$381,$AF30),"-")</f>
        <v/>
      </c>
      <c r="DQ30" s="22">
        <f>IF(AND($H30&lt;&gt;"",$AG30&lt;&gt;"",$H30&lt;&gt;$AG30,IFERROR(VLOOKUP($H30,areaCercaPuntiClassificaSquadra,3,FALSE),-1)=IFERROR(VLOOKUP($AG30,areaCercaPuntiClassificaSquadra,3,FALSE),-2)),SUMIFS(Dati!$F$2:$F$381,Dati!$A$2:$A$381,$H30,Dati!$H$2:$H$381,$AG30)+SUMIFS(Dati!$M$2:$M$381,Dati!$H$2:$H$381,$H30,Dati!$A$2:$A$381,$AG30),"-")</f>
        <v/>
      </c>
      <c r="DR30" s="22">
        <f>IF(AND($H30&lt;&gt;"",$AH30&lt;&gt;"",$H30&lt;&gt;$AH30,IFERROR(VLOOKUP($H30,areaCercaPuntiClassificaSquadra,3,FALSE),-1)=IFERROR(VLOOKUP($AH30,areaCercaPuntiClassificaSquadra,3,FALSE),-2)),SUMIFS(Dati!$F$2:$F$381,Dati!$A$2:$A$381,$H30,Dati!$H$2:$H$381,$AH30)+SUMIFS(Dati!$M$2:$M$381,Dati!$H$2:$H$381,$H30,Dati!$A$2:$A$381,$AH30),"-")</f>
        <v/>
      </c>
      <c r="DS30" s="22">
        <f>IF(AND($H30&lt;&gt;"",$AI30&lt;&gt;"",$H30&lt;&gt;$AI30,IFERROR(VLOOKUP($H30,areaCercaPuntiClassificaSquadra,3,FALSE),-1)=IFERROR(VLOOKUP($AI30,areaCercaPuntiClassificaSquadra,3,FALSE),-2)),SUMIFS(Dati!$F$2:$F$381,Dati!$A$2:$A$381,$H30,Dati!$H$2:$H$381,$AI30)+SUMIFS(Dati!$M$2:$M$381,Dati!$H$2:$H$381,$H30,Dati!$A$2:$A$381,$AI30),"-")</f>
        <v/>
      </c>
      <c r="DT30" s="22">
        <f>IF(AND($H30&lt;&gt;"",$AJ30&lt;&gt;"",$H30&lt;&gt;$AJ30,IFERROR(VLOOKUP($H30,areaCercaPuntiClassificaSquadra,3,FALSE),-1)=IFERROR(VLOOKUP($AJ30,areaCercaPuntiClassificaSquadra,3,FALSE),-2)),SUMIFS(Dati!$F$2:$F$381,Dati!$A$2:$A$381,$H30,Dati!$H$2:$H$381,$AJ30)+SUMIFS(Dati!$M$2:$M$381,Dati!$H$2:$H$381,$H30,Dati!$A$2:$A$381,$AJ30),"-")</f>
        <v/>
      </c>
      <c r="DU30" s="22">
        <f>IF(AND($H30&lt;&gt;"",$AK30&lt;&gt;"",$H30&lt;&gt;$AK30,IFERROR(VLOOKUP($H30,areaCercaPuntiClassificaSquadra,3,FALSE),-1)=IFERROR(VLOOKUP($AK30,areaCercaPuntiClassificaSquadra,3,FALSE),-2)),SUMIFS(Dati!$F$2:$F$381,Dati!$A$2:$A$381,$H30,Dati!$H$2:$H$381,$AK30)+SUMIFS(Dati!$M$2:$M$381,Dati!$H$2:$H$381,$H30,Dati!$A$2:$A$381,$AK30),"-")</f>
        <v/>
      </c>
      <c r="DV30" s="22">
        <f>IF(AND($H30&lt;&gt;"",$AL30&lt;&gt;"",$H30&lt;&gt;$AL30,IFERROR(VLOOKUP($H30,areaCercaPuntiClassificaSquadra,3,FALSE),-1)=IFERROR(VLOOKUP($AL30,areaCercaPuntiClassificaSquadra,3,FALSE),-2)),SUMIFS(Dati!$F$2:$F$381,Dati!$A$2:$A$381,$H30,Dati!$H$2:$H$381,$AL30)+SUMIFS(Dati!$M$2:$M$381,Dati!$H$2:$H$381,$H30,Dati!$A$2:$A$381,$AL30),"-")</f>
        <v/>
      </c>
      <c r="DW30" s="22">
        <f>IF(AND($H30&lt;&gt;"",$AM30&lt;&gt;"",$H30&lt;&gt;$AM30,IFERROR(VLOOKUP($H30,areaCercaPuntiClassificaSquadra,3,FALSE),-1)=IFERROR(VLOOKUP($AM30,areaCercaPuntiClassificaSquadra,3,FALSE),-2)),SUMIFS(Dati!$F$2:$F$381,Dati!$A$2:$A$381,$H30,Dati!$H$2:$H$381,$AM30)+SUMIFS(Dati!$M$2:$M$381,Dati!$H$2:$H$381,$H30,Dati!$A$2:$A$381,$AM30),"-")</f>
        <v/>
      </c>
      <c r="DX30" s="22">
        <f>IF(AND($H30&lt;&gt;"",$AN30&lt;&gt;"",$H30&lt;&gt;$AN30,IFERROR(VLOOKUP($H30,areaCercaPuntiClassificaSquadra,3,FALSE),-1)=IFERROR(VLOOKUP($AN30,areaCercaPuntiClassificaSquadra,3,FALSE),-2)),SUMIFS(Dati!$F$2:$F$381,Dati!$A$2:$A$381,$H30,Dati!$H$2:$H$381,$AN30)+SUMIFS(Dati!$M$2:$M$381,Dati!$H$2:$H$381,$H30,Dati!$A$2:$A$381,$AN30),"-")</f>
        <v/>
      </c>
      <c r="DY30" s="22">
        <f>IF(AND($H30&lt;&gt;"",$AO30&lt;&gt;"",$H30&lt;&gt;$AO30,IFERROR(VLOOKUP($H30,areaCercaPuntiClassificaSquadra,3,FALSE),-1)=IFERROR(VLOOKUP($AO30,areaCercaPuntiClassificaSquadra,3,FALSE),-2)),SUMIFS(Dati!$F$2:$F$381,Dati!$A$2:$A$381,$H30,Dati!$H$2:$H$381,$AO30)+SUMIFS(Dati!$M$2:$M$381,Dati!$H$2:$H$381,$H30,Dati!$A$2:$A$381,$AO30),"-")</f>
        <v/>
      </c>
      <c r="DZ30" s="22">
        <f>IF(AND($H30&lt;&gt;"",$AP30&lt;&gt;"",$H30&lt;&gt;$AP30,IFERROR(VLOOKUP($H30,areaCercaPuntiClassificaSquadra,3,FALSE),-1)=IFERROR(VLOOKUP($AP30,areaCercaPuntiClassificaSquadra,3,FALSE),-2)),SUMIFS(Dati!$F$2:$F$381,Dati!$A$2:$A$381,$H30,Dati!$H$2:$H$381,$AP30)+SUMIFS(Dati!$M$2:$M$381,Dati!$H$2:$H$381,$H30,Dati!$A$2:$A$381,$AP30),"-")</f>
        <v/>
      </c>
      <c r="EA30" s="22">
        <f>IF(AND($H30&lt;&gt;"",$AQ30&lt;&gt;"",$H30&lt;&gt;$AQ30,IFERROR(VLOOKUP($H30,areaCercaPuntiClassificaSquadra,3,FALSE),-1)=IFERROR(VLOOKUP($AQ30,areaCercaPuntiClassificaSquadra,3,FALSE),-2)),SUMIFS(Dati!$F$2:$F$381,Dati!$A$2:$A$381,$H30,Dati!$H$2:$H$381,$AQ30)+SUMIFS(Dati!$M$2:$M$381,Dati!$H$2:$H$381,$H30,Dati!$A$2:$A$381,$AQ30),"-")</f>
        <v/>
      </c>
      <c r="EB30" s="22">
        <f>IF(AND($H30&lt;&gt;"",$AR30&lt;&gt;"",$H30&lt;&gt;$AR30,IFERROR(VLOOKUP($H30,areaCercaPuntiClassificaSquadra,3,FALSE),-1)=IFERROR(VLOOKUP($AR30,areaCercaPuntiClassificaSquadra,3,FALSE),-2)),SUMIFS(Dati!$F$2:$F$381,Dati!$A$2:$A$381,$H30,Dati!$H$2:$H$381,$AR30)+SUMIFS(Dati!$M$2:$M$381,Dati!$H$2:$H$381,$H30,Dati!$A$2:$A$381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inlineStr">
        <is>
          <t>Aquile Audaci-Aquileopoli AI</t>
        </is>
      </c>
      <c r="D31" s="14" t="n"/>
      <c r="E31" s="15" t="inlineStr">
        <is>
          <t>A</t>
        </is>
      </c>
      <c r="G31" s="16">
        <f>IF($C31="","",$E31&amp;(COUNTIFS(I$14:I$53,"&gt;"&amp;I31,E$14:E$53,"="&amp;E31,C$14:C$53,"&lt;&gt;")+COUNTIFS(I$14:I$53,"="&amp;I31,H$14:H$53,"&lt;="&amp;H31,E$14:E$53,"="&amp;E31,C$14:C$53,"&lt;&gt;")))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L31*constPuntiVittoria+M31*constPuntiSconfitta+N31*constPuntiForfait+IF(D31="",0,D31)</f>
        <v/>
      </c>
      <c r="K31" s="12">
        <f>SUM(L31:N31)</f>
        <v/>
      </c>
      <c r="L31" s="12">
        <f>IF($H31="",0,SUMIF(Dati!$A$2:$A$381,$H31,Dati!$B$2:$B$381)+SUMIF(Dati!$H$2:$H$381,$H31,Dati!$I$2:$I$381))</f>
        <v/>
      </c>
      <c r="M31" s="12">
        <f>IF($H31="",0,SUMIF(Dati!$A$2:$A$381,$H31,Dati!$D$2:$D$381)+SUMIF(Dati!$H$2:$H$381,$H31,Dati!$K$2:$K$381))</f>
        <v/>
      </c>
      <c r="N31" s="12">
        <f>IF($H31="",0,SUMIF(Dati!$A$2:$A$381,$H31,Dati!$C$2:$C$381)+SUMIF(Dati!$H$2:$H$381,$H31,Dati!$J$2:$J$381))</f>
        <v/>
      </c>
      <c r="O31" s="12">
        <f>IF($H31="",0,SUMIF(Dati!$A$2:$A$381,$H31,Dati!$E$2:$E$381)+SUMIF(Dati!$H$2:$H$381,$H31,Dati!$L$2:$L$381))</f>
        <v/>
      </c>
      <c r="P31" s="12">
        <f>IF($H31="",0,SUMIF(Dati!$A$2:$A$381,$H31,Dati!$F$2:$F$381)+SUMIF(Dati!$H$2:$H$381,$H31,Dati!$M$2:$M$381))</f>
        <v/>
      </c>
      <c r="Q31" s="12">
        <f>IF($H31="",0,SUMIF(Dati!$A$2:$A$381,$H31,Dati!$G$2:$G$381)+SUMIF(Dati!$H$2:$H$381,$H31,Dati!$N$2:$N$381))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IF(COUNTIFS($E$14:$E$53,$E31,$J$14:$J$53,$J31,$C$14:$C$53,"&lt;&gt;")&lt;=1,"-",SUM(AU31:BN31)&amp;"-"&amp;SUM(BQ31:CJ31))</f>
        <v/>
      </c>
      <c r="V31" s="18">
        <f>IF(COUNTIFS($E$14:$E$53,$E31,$J$14:$J$53,$J31,$C$14:$C$53,"&lt;&gt;",$ED$14:$ED$53,$ED31)&lt;=1,"-",IF(SUM(DI31:EB31)=0,0,ROUND(SUM(CM31:DF31)/SUM(DI31:EB31),3)))</f>
        <v/>
      </c>
      <c r="W31" s="18">
        <f>IF(COUNTIFS($E$14:$E$53,$E31,$J$14:$J$53,$J31,$C$14:$C$53,"&lt;&gt;",$ED$14:$ED$53,$ED31,$V$14:$V$53,$V31)&lt;=1,"-",IF(P31=0,0,ROUND(O31/P31,3)))</f>
        <v/>
      </c>
      <c r="X31" s="19">
        <f>IF($C31="","",$E31&amp;"#"&amp;COUNTIFS($E$14:$E31,$E31,$C$14:$C31,"&lt;&gt;"))</f>
        <v/>
      </c>
      <c r="Y31" s="20">
        <f>IFERROR(INDEX($H$14:$H$53,MATCH($E31&amp;"#1",$X$14:$X$53,0)),"")</f>
        <v/>
      </c>
      <c r="Z31" s="20">
        <f>IFERROR(INDEX($H$14:$H$53,MATCH($E31&amp;"#2",$X$14:$X$53,0)),"")</f>
        <v/>
      </c>
      <c r="AA31" s="20">
        <f>IFERROR(INDEX($H$14:$H$53,MATCH($E31&amp;"#3",$X$14:$X$53,0)),"")</f>
        <v/>
      </c>
      <c r="AB31" s="20">
        <f>IFERROR(INDEX($H$14:$H$53,MATCH($E31&amp;"#4",$X$14:$X$53,0)),"")</f>
        <v/>
      </c>
      <c r="AC31" s="20">
        <f>IFERROR(INDEX($H$14:$H$53,MATCH($E31&amp;"#5",$X$14:$X$53,0)),"")</f>
        <v/>
      </c>
      <c r="AD31" s="20">
        <f>IFERROR(INDEX($H$14:$H$53,MATCH($E31&amp;"#6",$X$14:$X$53,0)),"")</f>
        <v/>
      </c>
      <c r="AE31" s="20">
        <f>IFERROR(INDEX($H$14:$H$53,MATCH($E31&amp;"#7",$X$14:$X$53,0)),"")</f>
        <v/>
      </c>
      <c r="AF31" s="20">
        <f>IFERROR(INDEX($H$14:$H$53,MATCH($E31&amp;"#8",$X$14:$X$53,0)),"")</f>
        <v/>
      </c>
      <c r="AG31" s="20">
        <f>IFERROR(INDEX($H$14:$H$53,MATCH($E31&amp;"#9",$X$14:$X$53,0)),"")</f>
        <v/>
      </c>
      <c r="AH31" s="20">
        <f>IFERROR(INDEX($H$14:$H$53,MATCH($E31&amp;"#10",$X$14:$X$53,0)),"")</f>
        <v/>
      </c>
      <c r="AI31" s="20">
        <f>IFERROR(INDEX($H$14:$H$53,MATCH($E31&amp;"#11",$X$14:$X$53,0)),"")</f>
        <v/>
      </c>
      <c r="AJ31" s="20">
        <f>IFERROR(INDEX($H$14:$H$53,MATCH($E31&amp;"#12",$X$14:$X$53,0)),"")</f>
        <v/>
      </c>
      <c r="AK31" s="20">
        <f>IFERROR(INDEX($H$14:$H$53,MATCH($E31&amp;"#13",$X$14:$X$53,0)),"")</f>
        <v/>
      </c>
      <c r="AL31" s="20">
        <f>IFERROR(INDEX($H$14:$H$53,MATCH($E31&amp;"#14",$X$14:$X$53,0)),"")</f>
        <v/>
      </c>
      <c r="AM31" s="20">
        <f>IFERROR(INDEX($H$14:$H$53,MATCH($E31&amp;"#15",$X$14:$X$53,0)),"")</f>
        <v/>
      </c>
      <c r="AN31" s="20">
        <f>IFERROR(INDEX($H$14:$H$53,MATCH($E31&amp;"#16",$X$14:$X$53,0)),"")</f>
        <v/>
      </c>
      <c r="AO31" s="20">
        <f>IFERROR(INDEX($H$14:$H$53,MATCH($E31&amp;"#17",$X$14:$X$53,0)),"")</f>
        <v/>
      </c>
      <c r="AP31" s="20">
        <f>IFERROR(INDEX($H$14:$H$53,MATCH($E31&amp;"#18",$X$14:$X$53,0)),"")</f>
        <v/>
      </c>
      <c r="AQ31" s="20">
        <f>IFERROR(INDEX($H$14:$H$53,MATCH($E31&amp;"#19",$X$14:$X$53,0)),"")</f>
        <v/>
      </c>
      <c r="AR31" s="20">
        <f>IFERROR(INDEX($H$14:$H$53,MATCH($E31&amp;"#20",$X$14:$X$53,0)),"")</f>
        <v/>
      </c>
      <c r="AT31" s="21">
        <f>$C31</f>
        <v/>
      </c>
      <c r="AU31" s="22">
        <f>IF(AND($H31&lt;&gt;"",$Y31&lt;&gt;"",$H31&lt;&gt;$Y31,IFERROR(VLOOKUP($H31,areaCercaPuntiClassificaSquadra,3,FALSE),-1)=IFERROR(VLOOKUP($Y31,areaCercaPuntiClassificaSquadra,3,FALSE),-2)),SUMIFS(Dati!$B$2:$B$381,Dati!$A$2:$A$381,$H31,Dati!$H$2:$H$381,$Y31)+SUMIFS(Dati!$I$2:$I$381,Dati!$H$2:$H$381,$H31,Dati!$A$2:$A$381,$Y31),"-")</f>
        <v/>
      </c>
      <c r="AV31" s="22">
        <f>IF(AND($H31&lt;&gt;"",$Z31&lt;&gt;"",$H31&lt;&gt;$Z31,IFERROR(VLOOKUP($H31,areaCercaPuntiClassificaSquadra,3,FALSE),-1)=IFERROR(VLOOKUP($Z31,areaCercaPuntiClassificaSquadra,3,FALSE),-2)),SUMIFS(Dati!$B$2:$B$381,Dati!$A$2:$A$381,$H31,Dati!$H$2:$H$381,$Z31)+SUMIFS(Dati!$I$2:$I$381,Dati!$H$2:$H$381,$H31,Dati!$A$2:$A$381,$Z31),"-")</f>
        <v/>
      </c>
      <c r="AW31" s="22">
        <f>IF(AND($H31&lt;&gt;"",$AA31&lt;&gt;"",$H31&lt;&gt;$AA31,IFERROR(VLOOKUP($H31,areaCercaPuntiClassificaSquadra,3,FALSE),-1)=IFERROR(VLOOKUP($AA31,areaCercaPuntiClassificaSquadra,3,FALSE),-2)),SUMIFS(Dati!$B$2:$B$381,Dati!$A$2:$A$381,$H31,Dati!$H$2:$H$381,$AA31)+SUMIFS(Dati!$I$2:$I$381,Dati!$H$2:$H$381,$H31,Dati!$A$2:$A$381,$AA31),"-")</f>
        <v/>
      </c>
      <c r="AX31" s="22">
        <f>IF(AND($H31&lt;&gt;"",$AB31&lt;&gt;"",$H31&lt;&gt;$AB31,IFERROR(VLOOKUP($H31,areaCercaPuntiClassificaSquadra,3,FALSE),-1)=IFERROR(VLOOKUP($AB31,areaCercaPuntiClassificaSquadra,3,FALSE),-2)),SUMIFS(Dati!$B$2:$B$381,Dati!$A$2:$A$381,$H31,Dati!$H$2:$H$381,$AB31)+SUMIFS(Dati!$I$2:$I$381,Dati!$H$2:$H$381,$H31,Dati!$A$2:$A$381,$AB31),"-")</f>
        <v/>
      </c>
      <c r="AY31" s="22">
        <f>IF(AND($H31&lt;&gt;"",$AC31&lt;&gt;"",$H31&lt;&gt;$AC31,IFERROR(VLOOKUP($H31,areaCercaPuntiClassificaSquadra,3,FALSE),-1)=IFERROR(VLOOKUP($AC31,areaCercaPuntiClassificaSquadra,3,FALSE),-2)),SUMIFS(Dati!$B$2:$B$381,Dati!$A$2:$A$381,$H31,Dati!$H$2:$H$381,$AC31)+SUMIFS(Dati!$I$2:$I$381,Dati!$H$2:$H$381,$H31,Dati!$A$2:$A$381,$AC31),"-")</f>
        <v/>
      </c>
      <c r="AZ31" s="22">
        <f>IF(AND($H31&lt;&gt;"",$AD31&lt;&gt;"",$H31&lt;&gt;$AD31,IFERROR(VLOOKUP($H31,areaCercaPuntiClassificaSquadra,3,FALSE),-1)=IFERROR(VLOOKUP($AD31,areaCercaPuntiClassificaSquadra,3,FALSE),-2)),SUMIFS(Dati!$B$2:$B$381,Dati!$A$2:$A$381,$H31,Dati!$H$2:$H$381,$AD31)+SUMIFS(Dati!$I$2:$I$381,Dati!$H$2:$H$381,$H31,Dati!$A$2:$A$381,$AD31),"-")</f>
        <v/>
      </c>
      <c r="BA31" s="22">
        <f>IF(AND($H31&lt;&gt;"",$AE31&lt;&gt;"",$H31&lt;&gt;$AE31,IFERROR(VLOOKUP($H31,areaCercaPuntiClassificaSquadra,3,FALSE),-1)=IFERROR(VLOOKUP($AE31,areaCercaPuntiClassificaSquadra,3,FALSE),-2)),SUMIFS(Dati!$B$2:$B$381,Dati!$A$2:$A$381,$H31,Dati!$H$2:$H$381,$AE31)+SUMIFS(Dati!$I$2:$I$381,Dati!$H$2:$H$381,$H31,Dati!$A$2:$A$381,$AE31),"-")</f>
        <v/>
      </c>
      <c r="BB31" s="22">
        <f>IF(AND($H31&lt;&gt;"",$AF31&lt;&gt;"",$H31&lt;&gt;$AF31,IFERROR(VLOOKUP($H31,areaCercaPuntiClassificaSquadra,3,FALSE),-1)=IFERROR(VLOOKUP($AF31,areaCercaPuntiClassificaSquadra,3,FALSE),-2)),SUMIFS(Dati!$B$2:$B$381,Dati!$A$2:$A$381,$H31,Dati!$H$2:$H$381,$AF31)+SUMIFS(Dati!$I$2:$I$381,Dati!$H$2:$H$381,$H31,Dati!$A$2:$A$381,$AF31),"-")</f>
        <v/>
      </c>
      <c r="BC31" s="22">
        <f>IF(AND($H31&lt;&gt;"",$AG31&lt;&gt;"",$H31&lt;&gt;$AG31,IFERROR(VLOOKUP($H31,areaCercaPuntiClassificaSquadra,3,FALSE),-1)=IFERROR(VLOOKUP($AG31,areaCercaPuntiClassificaSquadra,3,FALSE),-2)),SUMIFS(Dati!$B$2:$B$381,Dati!$A$2:$A$381,$H31,Dati!$H$2:$H$381,$AG31)+SUMIFS(Dati!$I$2:$I$381,Dati!$H$2:$H$381,$H31,Dati!$A$2:$A$381,$AG31),"-")</f>
        <v/>
      </c>
      <c r="BD31" s="22">
        <f>IF(AND($H31&lt;&gt;"",$AH31&lt;&gt;"",$H31&lt;&gt;$AH31,IFERROR(VLOOKUP($H31,areaCercaPuntiClassificaSquadra,3,FALSE),-1)=IFERROR(VLOOKUP($AH31,areaCercaPuntiClassificaSquadra,3,FALSE),-2)),SUMIFS(Dati!$B$2:$B$381,Dati!$A$2:$A$381,$H31,Dati!$H$2:$H$381,$AH31)+SUMIFS(Dati!$I$2:$I$381,Dati!$H$2:$H$381,$H31,Dati!$A$2:$A$381,$AH31),"-")</f>
        <v/>
      </c>
      <c r="BE31" s="22">
        <f>IF(AND($H31&lt;&gt;"",$AI31&lt;&gt;"",$H31&lt;&gt;$AI31,IFERROR(VLOOKUP($H31,areaCercaPuntiClassificaSquadra,3,FALSE),-1)=IFERROR(VLOOKUP($AI31,areaCercaPuntiClassificaSquadra,3,FALSE),-2)),SUMIFS(Dati!$B$2:$B$381,Dati!$A$2:$A$381,$H31,Dati!$H$2:$H$381,$AI31)+SUMIFS(Dati!$I$2:$I$381,Dati!$H$2:$H$381,$H31,Dati!$A$2:$A$381,$AI31),"-")</f>
        <v/>
      </c>
      <c r="BF31" s="22">
        <f>IF(AND($H31&lt;&gt;"",$AJ31&lt;&gt;"",$H31&lt;&gt;$AJ31,IFERROR(VLOOKUP($H31,areaCercaPuntiClassificaSquadra,3,FALSE),-1)=IFERROR(VLOOKUP($AJ31,areaCercaPuntiClassificaSquadra,3,FALSE),-2)),SUMIFS(Dati!$B$2:$B$381,Dati!$A$2:$A$381,$H31,Dati!$H$2:$H$381,$AJ31)+SUMIFS(Dati!$I$2:$I$381,Dati!$H$2:$H$381,$H31,Dati!$A$2:$A$381,$AJ31),"-")</f>
        <v/>
      </c>
      <c r="BG31" s="22">
        <f>IF(AND($H31&lt;&gt;"",$AK31&lt;&gt;"",$H31&lt;&gt;$AK31,IFERROR(VLOOKUP($H31,areaCercaPuntiClassificaSquadra,3,FALSE),-1)=IFERROR(VLOOKUP($AK31,areaCercaPuntiClassificaSquadra,3,FALSE),-2)),SUMIFS(Dati!$B$2:$B$381,Dati!$A$2:$A$381,$H31,Dati!$H$2:$H$381,$AK31)+SUMIFS(Dati!$I$2:$I$381,Dati!$H$2:$H$381,$H31,Dati!$A$2:$A$381,$AK31),"-")</f>
        <v/>
      </c>
      <c r="BH31" s="22">
        <f>IF(AND($H31&lt;&gt;"",$AL31&lt;&gt;"",$H31&lt;&gt;$AL31,IFERROR(VLOOKUP($H31,areaCercaPuntiClassificaSquadra,3,FALSE),-1)=IFERROR(VLOOKUP($AL31,areaCercaPuntiClassificaSquadra,3,FALSE),-2)),SUMIFS(Dati!$B$2:$B$381,Dati!$A$2:$A$381,$H31,Dati!$H$2:$H$381,$AL31)+SUMIFS(Dati!$I$2:$I$381,Dati!$H$2:$H$381,$H31,Dati!$A$2:$A$381,$AL31),"-")</f>
        <v/>
      </c>
      <c r="BI31" s="22">
        <f>IF(AND($H31&lt;&gt;"",$AM31&lt;&gt;"",$H31&lt;&gt;$AM31,IFERROR(VLOOKUP($H31,areaCercaPuntiClassificaSquadra,3,FALSE),-1)=IFERROR(VLOOKUP($AM31,areaCercaPuntiClassificaSquadra,3,FALSE),-2)),SUMIFS(Dati!$B$2:$B$381,Dati!$A$2:$A$381,$H31,Dati!$H$2:$H$381,$AM31)+SUMIFS(Dati!$I$2:$I$381,Dati!$H$2:$H$381,$H31,Dati!$A$2:$A$381,$AM31),"-")</f>
        <v/>
      </c>
      <c r="BJ31" s="22">
        <f>IF(AND($H31&lt;&gt;"",$AN31&lt;&gt;"",$H31&lt;&gt;$AN31,IFERROR(VLOOKUP($H31,areaCercaPuntiClassificaSquadra,3,FALSE),-1)=IFERROR(VLOOKUP($AN31,areaCercaPuntiClassificaSquadra,3,FALSE),-2)),SUMIFS(Dati!$B$2:$B$381,Dati!$A$2:$A$381,$H31,Dati!$H$2:$H$381,$AN31)+SUMIFS(Dati!$I$2:$I$381,Dati!$H$2:$H$381,$H31,Dati!$A$2:$A$381,$AN31),"-")</f>
        <v/>
      </c>
      <c r="BK31" s="22">
        <f>IF(AND($H31&lt;&gt;"",$AO31&lt;&gt;"",$H31&lt;&gt;$AO31,IFERROR(VLOOKUP($H31,areaCercaPuntiClassificaSquadra,3,FALSE),-1)=IFERROR(VLOOKUP($AO31,areaCercaPuntiClassificaSquadra,3,FALSE),-2)),SUMIFS(Dati!$B$2:$B$381,Dati!$A$2:$A$381,$H31,Dati!$H$2:$H$381,$AO31)+SUMIFS(Dati!$I$2:$I$381,Dati!$H$2:$H$381,$H31,Dati!$A$2:$A$381,$AO31),"-")</f>
        <v/>
      </c>
      <c r="BL31" s="22">
        <f>IF(AND($H31&lt;&gt;"",$AP31&lt;&gt;"",$H31&lt;&gt;$AP31,IFERROR(VLOOKUP($H31,areaCercaPuntiClassificaSquadra,3,FALSE),-1)=IFERROR(VLOOKUP($AP31,areaCercaPuntiClassificaSquadra,3,FALSE),-2)),SUMIFS(Dati!$B$2:$B$381,Dati!$A$2:$A$381,$H31,Dati!$H$2:$H$381,$AP31)+SUMIFS(Dati!$I$2:$I$381,Dati!$H$2:$H$381,$H31,Dati!$A$2:$A$381,$AP31),"-")</f>
        <v/>
      </c>
      <c r="BM31" s="22">
        <f>IF(AND($H31&lt;&gt;"",$AQ31&lt;&gt;"",$H31&lt;&gt;$AQ31,IFERROR(VLOOKUP($H31,areaCercaPuntiClassificaSquadra,3,FALSE),-1)=IFERROR(VLOOKUP($AQ31,areaCercaPuntiClassificaSquadra,3,FALSE),-2)),SUMIFS(Dati!$B$2:$B$381,Dati!$A$2:$A$381,$H31,Dati!$H$2:$H$381,$AQ31)+SUMIFS(Dati!$I$2:$I$381,Dati!$H$2:$H$381,$H31,Dati!$A$2:$A$381,$AQ31),"-")</f>
        <v/>
      </c>
      <c r="BN31" s="22">
        <f>IF(AND($H31&lt;&gt;"",$AR31&lt;&gt;"",$H31&lt;&gt;$AR31,IFERROR(VLOOKUP($H31,areaCercaPuntiClassificaSquadra,3,FALSE),-1)=IFERROR(VLOOKUP($AR31,areaCercaPuntiClassificaSquadra,3,FALSE),-2)),SUMIFS(Dati!$B$2:$B$381,Dati!$A$2:$A$381,$H31,Dati!$H$2:$H$381,$AR31)+SUMIFS(Dati!$I$2:$I$381,Dati!$H$2:$H$381,$H31,Dati!$A$2:$A$381,$AR31),"-")</f>
        <v/>
      </c>
      <c r="BP31" s="21">
        <f>$C31</f>
        <v/>
      </c>
      <c r="BQ31" s="22">
        <f>IF(AND($H31&lt;&gt;"",$Y31&lt;&gt;"",$H31&lt;&gt;$Y31,IFERROR(VLOOKUP($H31,areaCercaPuntiClassificaSquadra,3,FALSE),-1)=IFERROR(VLOOKUP($Y31,areaCercaPuntiClassificaSquadra,3,FALSE),-2)),SUMIFS(Dati!$D$2:$D$381,Dati!$A$2:$A$381,$H31,Dati!$H$2:$H$381,$Y31)+SUMIFS(Dati!$K$2:$K$381,Dati!$H$2:$H$381,$H31,Dati!$A$2:$A$381,$Y31)+SUMIFS(Dati!$C$2:$C$381,Dati!$A$2:$A$381,$H31,Dati!$H$2:$H$381,$Y31)+SUMIFS(Dati!$J$2:$J$381,Dati!$H$2:$H$381,$H31,Dati!$A$2:$A$381,$Y31),"-")</f>
        <v/>
      </c>
      <c r="BR31" s="22">
        <f>IF(AND($H31&lt;&gt;"",$Z31&lt;&gt;"",$H31&lt;&gt;$Z31,IFERROR(VLOOKUP($H31,areaCercaPuntiClassificaSquadra,3,FALSE),-1)=IFERROR(VLOOKUP($Z31,areaCercaPuntiClassificaSquadra,3,FALSE),-2)),SUMIFS(Dati!$D$2:$D$381,Dati!$A$2:$A$381,$H31,Dati!$H$2:$H$381,$Z31)+SUMIFS(Dati!$K$2:$K$381,Dati!$H$2:$H$381,$H31,Dati!$A$2:$A$381,$Z31)+SUMIFS(Dati!$C$2:$C$381,Dati!$A$2:$A$381,$H31,Dati!$H$2:$H$381,$Z31)+SUMIFS(Dati!$J$2:$J$381,Dati!$H$2:$H$381,$H31,Dati!$A$2:$A$381,$Z31),"-")</f>
        <v/>
      </c>
      <c r="BS31" s="22">
        <f>IF(AND($H31&lt;&gt;"",$AA31&lt;&gt;"",$H31&lt;&gt;$AA31,IFERROR(VLOOKUP($H31,areaCercaPuntiClassificaSquadra,3,FALSE),-1)=IFERROR(VLOOKUP($AA31,areaCercaPuntiClassificaSquadra,3,FALSE),-2)),SUMIFS(Dati!$D$2:$D$381,Dati!$A$2:$A$381,$H31,Dati!$H$2:$H$381,$AA31)+SUMIFS(Dati!$K$2:$K$381,Dati!$H$2:$H$381,$H31,Dati!$A$2:$A$381,$AA31)+SUMIFS(Dati!$C$2:$C$381,Dati!$A$2:$A$381,$H31,Dati!$H$2:$H$381,$AA31)+SUMIFS(Dati!$J$2:$J$381,Dati!$H$2:$H$381,$H31,Dati!$A$2:$A$381,$AA31),"-")</f>
        <v/>
      </c>
      <c r="BT31" s="22">
        <f>IF(AND($H31&lt;&gt;"",$AB31&lt;&gt;"",$H31&lt;&gt;$AB31,IFERROR(VLOOKUP($H31,areaCercaPuntiClassificaSquadra,3,FALSE),-1)=IFERROR(VLOOKUP($AB31,areaCercaPuntiClassificaSquadra,3,FALSE),-2)),SUMIFS(Dati!$D$2:$D$381,Dati!$A$2:$A$381,$H31,Dati!$H$2:$H$381,$AB31)+SUMIFS(Dati!$K$2:$K$381,Dati!$H$2:$H$381,$H31,Dati!$A$2:$A$381,$AB31)+SUMIFS(Dati!$C$2:$C$381,Dati!$A$2:$A$381,$H31,Dati!$H$2:$H$381,$AB31)+SUMIFS(Dati!$J$2:$J$381,Dati!$H$2:$H$381,$H31,Dati!$A$2:$A$381,$AB31),"-")</f>
        <v/>
      </c>
      <c r="BU31" s="22">
        <f>IF(AND($H31&lt;&gt;"",$AC31&lt;&gt;"",$H31&lt;&gt;$AC31,IFERROR(VLOOKUP($H31,areaCercaPuntiClassificaSquadra,3,FALSE),-1)=IFERROR(VLOOKUP($AC31,areaCercaPuntiClassificaSquadra,3,FALSE),-2)),SUMIFS(Dati!$D$2:$D$381,Dati!$A$2:$A$381,$H31,Dati!$H$2:$H$381,$AC31)+SUMIFS(Dati!$K$2:$K$381,Dati!$H$2:$H$381,$H31,Dati!$A$2:$A$381,$AC31)+SUMIFS(Dati!$C$2:$C$381,Dati!$A$2:$A$381,$H31,Dati!$H$2:$H$381,$AC31)+SUMIFS(Dati!$J$2:$J$381,Dati!$H$2:$H$381,$H31,Dati!$A$2:$A$381,$AC31),"-")</f>
        <v/>
      </c>
      <c r="BV31" s="22">
        <f>IF(AND($H31&lt;&gt;"",$AD31&lt;&gt;"",$H31&lt;&gt;$AD31,IFERROR(VLOOKUP($H31,areaCercaPuntiClassificaSquadra,3,FALSE),-1)=IFERROR(VLOOKUP($AD31,areaCercaPuntiClassificaSquadra,3,FALSE),-2)),SUMIFS(Dati!$D$2:$D$381,Dati!$A$2:$A$381,$H31,Dati!$H$2:$H$381,$AD31)+SUMIFS(Dati!$K$2:$K$381,Dati!$H$2:$H$381,$H31,Dati!$A$2:$A$381,$AD31)+SUMIFS(Dati!$C$2:$C$381,Dati!$A$2:$A$381,$H31,Dati!$H$2:$H$381,$AD31)+SUMIFS(Dati!$J$2:$J$381,Dati!$H$2:$H$381,$H31,Dati!$A$2:$A$381,$AD31),"-")</f>
        <v/>
      </c>
      <c r="BW31" s="22">
        <f>IF(AND($H31&lt;&gt;"",$AE31&lt;&gt;"",$H31&lt;&gt;$AE31,IFERROR(VLOOKUP($H31,areaCercaPuntiClassificaSquadra,3,FALSE),-1)=IFERROR(VLOOKUP($AE31,areaCercaPuntiClassificaSquadra,3,FALSE),-2)),SUMIFS(Dati!$D$2:$D$381,Dati!$A$2:$A$381,$H31,Dati!$H$2:$H$381,$AE31)+SUMIFS(Dati!$K$2:$K$381,Dati!$H$2:$H$381,$H31,Dati!$A$2:$A$381,$AE31)+SUMIFS(Dati!$C$2:$C$381,Dati!$A$2:$A$381,$H31,Dati!$H$2:$H$381,$AE31)+SUMIFS(Dati!$J$2:$J$381,Dati!$H$2:$H$381,$H31,Dati!$A$2:$A$381,$AE31),"-")</f>
        <v/>
      </c>
      <c r="BX31" s="22">
        <f>IF(AND($H31&lt;&gt;"",$AF31&lt;&gt;"",$H31&lt;&gt;$AF31,IFERROR(VLOOKUP($H31,areaCercaPuntiClassificaSquadra,3,FALSE),-1)=IFERROR(VLOOKUP($AF31,areaCercaPuntiClassificaSquadra,3,FALSE),-2)),SUMIFS(Dati!$D$2:$D$381,Dati!$A$2:$A$381,$H31,Dati!$H$2:$H$381,$AF31)+SUMIFS(Dati!$K$2:$K$381,Dati!$H$2:$H$381,$H31,Dati!$A$2:$A$381,$AF31)+SUMIFS(Dati!$C$2:$C$381,Dati!$A$2:$A$381,$H31,Dati!$H$2:$H$381,$AF31)+SUMIFS(Dati!$J$2:$J$381,Dati!$H$2:$H$381,$H31,Dati!$A$2:$A$381,$AF31),"-")</f>
        <v/>
      </c>
      <c r="BY31" s="22">
        <f>IF(AND($H31&lt;&gt;"",$AG31&lt;&gt;"",$H31&lt;&gt;$AG31,IFERROR(VLOOKUP($H31,areaCercaPuntiClassificaSquadra,3,FALSE),-1)=IFERROR(VLOOKUP($AG31,areaCercaPuntiClassificaSquadra,3,FALSE),-2)),SUMIFS(Dati!$D$2:$D$381,Dati!$A$2:$A$381,$H31,Dati!$H$2:$H$381,$AG31)+SUMIFS(Dati!$K$2:$K$381,Dati!$H$2:$H$381,$H31,Dati!$A$2:$A$381,$AG31)+SUMIFS(Dati!$C$2:$C$381,Dati!$A$2:$A$381,$H31,Dati!$H$2:$H$381,$AG31)+SUMIFS(Dati!$J$2:$J$381,Dati!$H$2:$H$381,$H31,Dati!$A$2:$A$381,$AG31),"-")</f>
        <v/>
      </c>
      <c r="BZ31" s="22">
        <f>IF(AND($H31&lt;&gt;"",$AH31&lt;&gt;"",$H31&lt;&gt;$AH31,IFERROR(VLOOKUP($H31,areaCercaPuntiClassificaSquadra,3,FALSE),-1)=IFERROR(VLOOKUP($AH31,areaCercaPuntiClassificaSquadra,3,FALSE),-2)),SUMIFS(Dati!$D$2:$D$381,Dati!$A$2:$A$381,$H31,Dati!$H$2:$H$381,$AH31)+SUMIFS(Dati!$K$2:$K$381,Dati!$H$2:$H$381,$H31,Dati!$A$2:$A$381,$AH31)+SUMIFS(Dati!$C$2:$C$381,Dati!$A$2:$A$381,$H31,Dati!$H$2:$H$381,$AH31)+SUMIFS(Dati!$J$2:$J$381,Dati!$H$2:$H$381,$H31,Dati!$A$2:$A$381,$AH31),"-")</f>
        <v/>
      </c>
      <c r="CA31" s="22">
        <f>IF(AND($H31&lt;&gt;"",$AI31&lt;&gt;"",$H31&lt;&gt;$AI31,IFERROR(VLOOKUP($H31,areaCercaPuntiClassificaSquadra,3,FALSE),-1)=IFERROR(VLOOKUP($AI31,areaCercaPuntiClassificaSquadra,3,FALSE),-2)),SUMIFS(Dati!$D$2:$D$381,Dati!$A$2:$A$381,$H31,Dati!$H$2:$H$381,$AI31)+SUMIFS(Dati!$K$2:$K$381,Dati!$H$2:$H$381,$H31,Dati!$A$2:$A$381,$AI31)+SUMIFS(Dati!$C$2:$C$381,Dati!$A$2:$A$381,$H31,Dati!$H$2:$H$381,$AI31)+SUMIFS(Dati!$J$2:$J$381,Dati!$H$2:$H$381,$H31,Dati!$A$2:$A$381,$AI31),"-")</f>
        <v/>
      </c>
      <c r="CB31" s="22">
        <f>IF(AND($H31&lt;&gt;"",$AJ31&lt;&gt;"",$H31&lt;&gt;$AJ31,IFERROR(VLOOKUP($H31,areaCercaPuntiClassificaSquadra,3,FALSE),-1)=IFERROR(VLOOKUP($AJ31,areaCercaPuntiClassificaSquadra,3,FALSE),-2)),SUMIFS(Dati!$D$2:$D$381,Dati!$A$2:$A$381,$H31,Dati!$H$2:$H$381,$AJ31)+SUMIFS(Dati!$K$2:$K$381,Dati!$H$2:$H$381,$H31,Dati!$A$2:$A$381,$AJ31)+SUMIFS(Dati!$C$2:$C$381,Dati!$A$2:$A$381,$H31,Dati!$H$2:$H$381,$AJ31)+SUMIFS(Dati!$J$2:$J$381,Dati!$H$2:$H$381,$H31,Dati!$A$2:$A$381,$AJ31),"-")</f>
        <v/>
      </c>
      <c r="CC31" s="22">
        <f>IF(AND($H31&lt;&gt;"",$AK31&lt;&gt;"",$H31&lt;&gt;$AK31,IFERROR(VLOOKUP($H31,areaCercaPuntiClassificaSquadra,3,FALSE),-1)=IFERROR(VLOOKUP($AK31,areaCercaPuntiClassificaSquadra,3,FALSE),-2)),SUMIFS(Dati!$D$2:$D$381,Dati!$A$2:$A$381,$H31,Dati!$H$2:$H$381,$AK31)+SUMIFS(Dati!$K$2:$K$381,Dati!$H$2:$H$381,$H31,Dati!$A$2:$A$381,$AK31)+SUMIFS(Dati!$C$2:$C$381,Dati!$A$2:$A$381,$H31,Dati!$H$2:$H$381,$AK31)+SUMIFS(Dati!$J$2:$J$381,Dati!$H$2:$H$381,$H31,Dati!$A$2:$A$381,$AK31),"-")</f>
        <v/>
      </c>
      <c r="CD31" s="22">
        <f>IF(AND($H31&lt;&gt;"",$AL31&lt;&gt;"",$H31&lt;&gt;$AL31,IFERROR(VLOOKUP($H31,areaCercaPuntiClassificaSquadra,3,FALSE),-1)=IFERROR(VLOOKUP($AL31,areaCercaPuntiClassificaSquadra,3,FALSE),-2)),SUMIFS(Dati!$D$2:$D$381,Dati!$A$2:$A$381,$H31,Dati!$H$2:$H$381,$AL31)+SUMIFS(Dati!$K$2:$K$381,Dati!$H$2:$H$381,$H31,Dati!$A$2:$A$381,$AL31)+SUMIFS(Dati!$C$2:$C$381,Dati!$A$2:$A$381,$H31,Dati!$H$2:$H$381,$AL31)+SUMIFS(Dati!$J$2:$J$381,Dati!$H$2:$H$381,$H31,Dati!$A$2:$A$381,$AL31),"-")</f>
        <v/>
      </c>
      <c r="CE31" s="22">
        <f>IF(AND($H31&lt;&gt;"",$AM31&lt;&gt;"",$H31&lt;&gt;$AM31,IFERROR(VLOOKUP($H31,areaCercaPuntiClassificaSquadra,3,FALSE),-1)=IFERROR(VLOOKUP($AM31,areaCercaPuntiClassificaSquadra,3,FALSE),-2)),SUMIFS(Dati!$D$2:$D$381,Dati!$A$2:$A$381,$H31,Dati!$H$2:$H$381,$AM31)+SUMIFS(Dati!$K$2:$K$381,Dati!$H$2:$H$381,$H31,Dati!$A$2:$A$381,$AM31)+SUMIFS(Dati!$C$2:$C$381,Dati!$A$2:$A$381,$H31,Dati!$H$2:$H$381,$AM31)+SUMIFS(Dati!$J$2:$J$381,Dati!$H$2:$H$381,$H31,Dati!$A$2:$A$381,$AM31),"-")</f>
        <v/>
      </c>
      <c r="CF31" s="22">
        <f>IF(AND($H31&lt;&gt;"",$AN31&lt;&gt;"",$H31&lt;&gt;$AN31,IFERROR(VLOOKUP($H31,areaCercaPuntiClassificaSquadra,3,FALSE),-1)=IFERROR(VLOOKUP($AN31,areaCercaPuntiClassificaSquadra,3,FALSE),-2)),SUMIFS(Dati!$D$2:$D$381,Dati!$A$2:$A$381,$H31,Dati!$H$2:$H$381,$AN31)+SUMIFS(Dati!$K$2:$K$381,Dati!$H$2:$H$381,$H31,Dati!$A$2:$A$381,$AN31)+SUMIFS(Dati!$C$2:$C$381,Dati!$A$2:$A$381,$H31,Dati!$H$2:$H$381,$AN31)+SUMIFS(Dati!$J$2:$J$381,Dati!$H$2:$H$381,$H31,Dati!$A$2:$A$381,$AN31),"-")</f>
        <v/>
      </c>
      <c r="CG31" s="22">
        <f>IF(AND($H31&lt;&gt;"",$AO31&lt;&gt;"",$H31&lt;&gt;$AO31,IFERROR(VLOOKUP($H31,areaCercaPuntiClassificaSquadra,3,FALSE),-1)=IFERROR(VLOOKUP($AO31,areaCercaPuntiClassificaSquadra,3,FALSE),-2)),SUMIFS(Dati!$D$2:$D$381,Dati!$A$2:$A$381,$H31,Dati!$H$2:$H$381,$AO31)+SUMIFS(Dati!$K$2:$K$381,Dati!$H$2:$H$381,$H31,Dati!$A$2:$A$381,$AO31)+SUMIFS(Dati!$C$2:$C$381,Dati!$A$2:$A$381,$H31,Dati!$H$2:$H$381,$AO31)+SUMIFS(Dati!$J$2:$J$381,Dati!$H$2:$H$381,$H31,Dati!$A$2:$A$381,$AO31),"-")</f>
        <v/>
      </c>
      <c r="CH31" s="22">
        <f>IF(AND($H31&lt;&gt;"",$AP31&lt;&gt;"",$H31&lt;&gt;$AP31,IFERROR(VLOOKUP($H31,areaCercaPuntiClassificaSquadra,3,FALSE),-1)=IFERROR(VLOOKUP($AP31,areaCercaPuntiClassificaSquadra,3,FALSE),-2)),SUMIFS(Dati!$D$2:$D$381,Dati!$A$2:$A$381,$H31,Dati!$H$2:$H$381,$AP31)+SUMIFS(Dati!$K$2:$K$381,Dati!$H$2:$H$381,$H31,Dati!$A$2:$A$381,$AP31)+SUMIFS(Dati!$C$2:$C$381,Dati!$A$2:$A$381,$H31,Dati!$H$2:$H$381,$AP31)+SUMIFS(Dati!$J$2:$J$381,Dati!$H$2:$H$381,$H31,Dati!$A$2:$A$381,$AP31),"-")</f>
        <v/>
      </c>
      <c r="CI31" s="22">
        <f>IF(AND($H31&lt;&gt;"",$AQ31&lt;&gt;"",$H31&lt;&gt;$AQ31,IFERROR(VLOOKUP($H31,areaCercaPuntiClassificaSquadra,3,FALSE),-1)=IFERROR(VLOOKUP($AQ31,areaCercaPuntiClassificaSquadra,3,FALSE),-2)),SUMIFS(Dati!$D$2:$D$381,Dati!$A$2:$A$381,$H31,Dati!$H$2:$H$381,$AQ31)+SUMIFS(Dati!$K$2:$K$381,Dati!$H$2:$H$381,$H31,Dati!$A$2:$A$381,$AQ31)+SUMIFS(Dati!$C$2:$C$381,Dati!$A$2:$A$381,$H31,Dati!$H$2:$H$381,$AQ31)+SUMIFS(Dati!$J$2:$J$381,Dati!$H$2:$H$381,$H31,Dati!$A$2:$A$381,$AQ31),"-")</f>
        <v/>
      </c>
      <c r="CJ31" s="22">
        <f>IF(AND($H31&lt;&gt;"",$AR31&lt;&gt;"",$H31&lt;&gt;$AR31,IFERROR(VLOOKUP($H31,areaCercaPuntiClassificaSquadra,3,FALSE),-1)=IFERROR(VLOOKUP($AR31,areaCercaPuntiClassificaSquadra,3,FALSE),-2)),SUMIFS(Dati!$D$2:$D$381,Dati!$A$2:$A$381,$H31,Dati!$H$2:$H$381,$AR31)+SUMIFS(Dati!$K$2:$K$381,Dati!$H$2:$H$381,$H31,Dati!$A$2:$A$381,$AR31)+SUMIFS(Dati!$C$2:$C$381,Dati!$A$2:$A$381,$H31,Dati!$H$2:$H$381,$AR31)+SUMIFS(Dati!$J$2:$J$381,Dati!$H$2:$H$381,$H31,Dati!$A$2:$A$381,$AR31),"-")</f>
        <v/>
      </c>
      <c r="CL31" s="21">
        <f>$C31</f>
        <v/>
      </c>
      <c r="CM31" s="22">
        <f>IF(AND($H31&lt;&gt;"",$Y31&lt;&gt;"",$H31&lt;&gt;$Y31,IFERROR(VLOOKUP($H31,areaCercaPuntiClassificaSquadra,3,FALSE),-1)=IFERROR(VLOOKUP($Y31,areaCercaPuntiClassificaSquadra,3,FALSE),-2)),SUMIFS(Dati!$E$2:$E$381,Dati!$A$2:$A$381,$H31,Dati!$H$2:$H$381,$Y31)+SUMIFS(Dati!$L$2:$L$381,Dati!$H$2:$H$381,$H31,Dati!$A$2:$A$381,$Y31),"-")</f>
        <v/>
      </c>
      <c r="CN31" s="22">
        <f>IF(AND($H31&lt;&gt;"",$Z31&lt;&gt;"",$H31&lt;&gt;$Z31,IFERROR(VLOOKUP($H31,areaCercaPuntiClassificaSquadra,3,FALSE),-1)=IFERROR(VLOOKUP($Z31,areaCercaPuntiClassificaSquadra,3,FALSE),-2)),SUMIFS(Dati!$E$2:$E$381,Dati!$A$2:$A$381,$H31,Dati!$H$2:$H$381,$Z31)+SUMIFS(Dati!$L$2:$L$381,Dati!$H$2:$H$381,$H31,Dati!$A$2:$A$381,$Z31),"-")</f>
        <v/>
      </c>
      <c r="CO31" s="22">
        <f>IF(AND($H31&lt;&gt;"",$AA31&lt;&gt;"",$H31&lt;&gt;$AA31,IFERROR(VLOOKUP($H31,areaCercaPuntiClassificaSquadra,3,FALSE),-1)=IFERROR(VLOOKUP($AA31,areaCercaPuntiClassificaSquadra,3,FALSE),-2)),SUMIFS(Dati!$E$2:$E$381,Dati!$A$2:$A$381,$H31,Dati!$H$2:$H$381,$AA31)+SUMIFS(Dati!$L$2:$L$381,Dati!$H$2:$H$381,$H31,Dati!$A$2:$A$381,$AA31),"-")</f>
        <v/>
      </c>
      <c r="CP31" s="22">
        <f>IF(AND($H31&lt;&gt;"",$AB31&lt;&gt;"",$H31&lt;&gt;$AB31,IFERROR(VLOOKUP($H31,areaCercaPuntiClassificaSquadra,3,FALSE),-1)=IFERROR(VLOOKUP($AB31,areaCercaPuntiClassificaSquadra,3,FALSE),-2)),SUMIFS(Dati!$E$2:$E$381,Dati!$A$2:$A$381,$H31,Dati!$H$2:$H$381,$AB31)+SUMIFS(Dati!$L$2:$L$381,Dati!$H$2:$H$381,$H31,Dati!$A$2:$A$381,$AB31),"-")</f>
        <v/>
      </c>
      <c r="CQ31" s="22">
        <f>IF(AND($H31&lt;&gt;"",$AC31&lt;&gt;"",$H31&lt;&gt;$AC31,IFERROR(VLOOKUP($H31,areaCercaPuntiClassificaSquadra,3,FALSE),-1)=IFERROR(VLOOKUP($AC31,areaCercaPuntiClassificaSquadra,3,FALSE),-2)),SUMIFS(Dati!$E$2:$E$381,Dati!$A$2:$A$381,$H31,Dati!$H$2:$H$381,$AC31)+SUMIFS(Dati!$L$2:$L$381,Dati!$H$2:$H$381,$H31,Dati!$A$2:$A$381,$AC31),"-")</f>
        <v/>
      </c>
      <c r="CR31" s="22">
        <f>IF(AND($H31&lt;&gt;"",$AD31&lt;&gt;"",$H31&lt;&gt;$AD31,IFERROR(VLOOKUP($H31,areaCercaPuntiClassificaSquadra,3,FALSE),-1)=IFERROR(VLOOKUP($AD31,areaCercaPuntiClassificaSquadra,3,FALSE),-2)),SUMIFS(Dati!$E$2:$E$381,Dati!$A$2:$A$381,$H31,Dati!$H$2:$H$381,$AD31)+SUMIFS(Dati!$L$2:$L$381,Dati!$H$2:$H$381,$H31,Dati!$A$2:$A$381,$AD31),"-")</f>
        <v/>
      </c>
      <c r="CS31" s="22">
        <f>IF(AND($H31&lt;&gt;"",$AE31&lt;&gt;"",$H31&lt;&gt;$AE31,IFERROR(VLOOKUP($H31,areaCercaPuntiClassificaSquadra,3,FALSE),-1)=IFERROR(VLOOKUP($AE31,areaCercaPuntiClassificaSquadra,3,FALSE),-2)),SUMIFS(Dati!$E$2:$E$381,Dati!$A$2:$A$381,$H31,Dati!$H$2:$H$381,$AE31)+SUMIFS(Dati!$L$2:$L$381,Dati!$H$2:$H$381,$H31,Dati!$A$2:$A$381,$AE31),"-")</f>
        <v/>
      </c>
      <c r="CT31" s="22">
        <f>IF(AND($H31&lt;&gt;"",$AF31&lt;&gt;"",$H31&lt;&gt;$AF31,IFERROR(VLOOKUP($H31,areaCercaPuntiClassificaSquadra,3,FALSE),-1)=IFERROR(VLOOKUP($AF31,areaCercaPuntiClassificaSquadra,3,FALSE),-2)),SUMIFS(Dati!$E$2:$E$381,Dati!$A$2:$A$381,$H31,Dati!$H$2:$H$381,$AF31)+SUMIFS(Dati!$L$2:$L$381,Dati!$H$2:$H$381,$H31,Dati!$A$2:$A$381,$AF31),"-")</f>
        <v/>
      </c>
      <c r="CU31" s="22">
        <f>IF(AND($H31&lt;&gt;"",$AG31&lt;&gt;"",$H31&lt;&gt;$AG31,IFERROR(VLOOKUP($H31,areaCercaPuntiClassificaSquadra,3,FALSE),-1)=IFERROR(VLOOKUP($AG31,areaCercaPuntiClassificaSquadra,3,FALSE),-2)),SUMIFS(Dati!$E$2:$E$381,Dati!$A$2:$A$381,$H31,Dati!$H$2:$H$381,$AG31)+SUMIFS(Dati!$L$2:$L$381,Dati!$H$2:$H$381,$H31,Dati!$A$2:$A$381,$AG31),"-")</f>
        <v/>
      </c>
      <c r="CV31" s="22">
        <f>IF(AND($H31&lt;&gt;"",$AH31&lt;&gt;"",$H31&lt;&gt;$AH31,IFERROR(VLOOKUP($H31,areaCercaPuntiClassificaSquadra,3,FALSE),-1)=IFERROR(VLOOKUP($AH31,areaCercaPuntiClassificaSquadra,3,FALSE),-2)),SUMIFS(Dati!$E$2:$E$381,Dati!$A$2:$A$381,$H31,Dati!$H$2:$H$381,$AH31)+SUMIFS(Dati!$L$2:$L$381,Dati!$H$2:$H$381,$H31,Dati!$A$2:$A$381,$AH31),"-")</f>
        <v/>
      </c>
      <c r="CW31" s="22">
        <f>IF(AND($H31&lt;&gt;"",$AI31&lt;&gt;"",$H31&lt;&gt;$AI31,IFERROR(VLOOKUP($H31,areaCercaPuntiClassificaSquadra,3,FALSE),-1)=IFERROR(VLOOKUP($AI31,areaCercaPuntiClassificaSquadra,3,FALSE),-2)),SUMIFS(Dati!$E$2:$E$381,Dati!$A$2:$A$381,$H31,Dati!$H$2:$H$381,$AI31)+SUMIFS(Dati!$L$2:$L$381,Dati!$H$2:$H$381,$H31,Dati!$A$2:$A$381,$AI31),"-")</f>
        <v/>
      </c>
      <c r="CX31" s="22">
        <f>IF(AND($H31&lt;&gt;"",$AJ31&lt;&gt;"",$H31&lt;&gt;$AJ31,IFERROR(VLOOKUP($H31,areaCercaPuntiClassificaSquadra,3,FALSE),-1)=IFERROR(VLOOKUP($AJ31,areaCercaPuntiClassificaSquadra,3,FALSE),-2)),SUMIFS(Dati!$E$2:$E$381,Dati!$A$2:$A$381,$H31,Dati!$H$2:$H$381,$AJ31)+SUMIFS(Dati!$L$2:$L$381,Dati!$H$2:$H$381,$H31,Dati!$A$2:$A$381,$AJ31),"-")</f>
        <v/>
      </c>
      <c r="CY31" s="22">
        <f>IF(AND($H31&lt;&gt;"",$AK31&lt;&gt;"",$H31&lt;&gt;$AK31,IFERROR(VLOOKUP($H31,areaCercaPuntiClassificaSquadra,3,FALSE),-1)=IFERROR(VLOOKUP($AK31,areaCercaPuntiClassificaSquadra,3,FALSE),-2)),SUMIFS(Dati!$E$2:$E$381,Dati!$A$2:$A$381,$H31,Dati!$H$2:$H$381,$AK31)+SUMIFS(Dati!$L$2:$L$381,Dati!$H$2:$H$381,$H31,Dati!$A$2:$A$381,$AK31),"-")</f>
        <v/>
      </c>
      <c r="CZ31" s="22">
        <f>IF(AND($H31&lt;&gt;"",$AL31&lt;&gt;"",$H31&lt;&gt;$AL31,IFERROR(VLOOKUP($H31,areaCercaPuntiClassificaSquadra,3,FALSE),-1)=IFERROR(VLOOKUP($AL31,areaCercaPuntiClassificaSquadra,3,FALSE),-2)),SUMIFS(Dati!$E$2:$E$381,Dati!$A$2:$A$381,$H31,Dati!$H$2:$H$381,$AL31)+SUMIFS(Dati!$L$2:$L$381,Dati!$H$2:$H$381,$H31,Dati!$A$2:$A$381,$AL31),"-")</f>
        <v/>
      </c>
      <c r="DA31" s="22">
        <f>IF(AND($H31&lt;&gt;"",$AM31&lt;&gt;"",$H31&lt;&gt;$AM31,IFERROR(VLOOKUP($H31,areaCercaPuntiClassificaSquadra,3,FALSE),-1)=IFERROR(VLOOKUP($AM31,areaCercaPuntiClassificaSquadra,3,FALSE),-2)),SUMIFS(Dati!$E$2:$E$381,Dati!$A$2:$A$381,$H31,Dati!$H$2:$H$381,$AM31)+SUMIFS(Dati!$L$2:$L$381,Dati!$H$2:$H$381,$H31,Dati!$A$2:$A$381,$AM31),"-")</f>
        <v/>
      </c>
      <c r="DB31" s="22">
        <f>IF(AND($H31&lt;&gt;"",$AN31&lt;&gt;"",$H31&lt;&gt;$AN31,IFERROR(VLOOKUP($H31,areaCercaPuntiClassificaSquadra,3,FALSE),-1)=IFERROR(VLOOKUP($AN31,areaCercaPuntiClassificaSquadra,3,FALSE),-2)),SUMIFS(Dati!$E$2:$E$381,Dati!$A$2:$A$381,$H31,Dati!$H$2:$H$381,$AN31)+SUMIFS(Dati!$L$2:$L$381,Dati!$H$2:$H$381,$H31,Dati!$A$2:$A$381,$AN31),"-")</f>
        <v/>
      </c>
      <c r="DC31" s="22">
        <f>IF(AND($H31&lt;&gt;"",$AO31&lt;&gt;"",$H31&lt;&gt;$AO31,IFERROR(VLOOKUP($H31,areaCercaPuntiClassificaSquadra,3,FALSE),-1)=IFERROR(VLOOKUP($AO31,areaCercaPuntiClassificaSquadra,3,FALSE),-2)),SUMIFS(Dati!$E$2:$E$381,Dati!$A$2:$A$381,$H31,Dati!$H$2:$H$381,$AO31)+SUMIFS(Dati!$L$2:$L$381,Dati!$H$2:$H$381,$H31,Dati!$A$2:$A$381,$AO31),"-")</f>
        <v/>
      </c>
      <c r="DD31" s="22">
        <f>IF(AND($H31&lt;&gt;"",$AP31&lt;&gt;"",$H31&lt;&gt;$AP31,IFERROR(VLOOKUP($H31,areaCercaPuntiClassificaSquadra,3,FALSE),-1)=IFERROR(VLOOKUP($AP31,areaCercaPuntiClassificaSquadra,3,FALSE),-2)),SUMIFS(Dati!$E$2:$E$381,Dati!$A$2:$A$381,$H31,Dati!$H$2:$H$381,$AP31)+SUMIFS(Dati!$L$2:$L$381,Dati!$H$2:$H$381,$H31,Dati!$A$2:$A$381,$AP31),"-")</f>
        <v/>
      </c>
      <c r="DE31" s="22">
        <f>IF(AND($H31&lt;&gt;"",$AQ31&lt;&gt;"",$H31&lt;&gt;$AQ31,IFERROR(VLOOKUP($H31,areaCercaPuntiClassificaSquadra,3,FALSE),-1)=IFERROR(VLOOKUP($AQ31,areaCercaPuntiClassificaSquadra,3,FALSE),-2)),SUMIFS(Dati!$E$2:$E$381,Dati!$A$2:$A$381,$H31,Dati!$H$2:$H$381,$AQ31)+SUMIFS(Dati!$L$2:$L$381,Dati!$H$2:$H$381,$H31,Dati!$A$2:$A$381,$AQ31),"-")</f>
        <v/>
      </c>
      <c r="DF31" s="22">
        <f>IF(AND($H31&lt;&gt;"",$AR31&lt;&gt;"",$H31&lt;&gt;$AR31,IFERROR(VLOOKUP($H31,areaCercaPuntiClassificaSquadra,3,FALSE),-1)=IFERROR(VLOOKUP($AR31,areaCercaPuntiClassificaSquadra,3,FALSE),-2)),SUMIFS(Dati!$E$2:$E$381,Dati!$A$2:$A$381,$H31,Dati!$H$2:$H$381,$AR31)+SUMIFS(Dati!$L$2:$L$381,Dati!$H$2:$H$381,$H31,Dati!$A$2:$A$381,$AR31),"-")</f>
        <v/>
      </c>
      <c r="DH31" s="21">
        <f>$C31</f>
        <v/>
      </c>
      <c r="DI31" s="22">
        <f>IF(AND($H31&lt;&gt;"",$Y31&lt;&gt;"",$H31&lt;&gt;$Y31,IFERROR(VLOOKUP($H31,areaCercaPuntiClassificaSquadra,3,FALSE),-1)=IFERROR(VLOOKUP($Y31,areaCercaPuntiClassificaSquadra,3,FALSE),-2)),SUMIFS(Dati!$F$2:$F$381,Dati!$A$2:$A$381,$H31,Dati!$H$2:$H$381,$Y31)+SUMIFS(Dati!$M$2:$M$381,Dati!$H$2:$H$381,$H31,Dati!$A$2:$A$381,$Y31),"-")</f>
        <v/>
      </c>
      <c r="DJ31" s="22">
        <f>IF(AND($H31&lt;&gt;"",$Z31&lt;&gt;"",$H31&lt;&gt;$Z31,IFERROR(VLOOKUP($H31,areaCercaPuntiClassificaSquadra,3,FALSE),-1)=IFERROR(VLOOKUP($Z31,areaCercaPuntiClassificaSquadra,3,FALSE),-2)),SUMIFS(Dati!$F$2:$F$381,Dati!$A$2:$A$381,$H31,Dati!$H$2:$H$381,$Z31)+SUMIFS(Dati!$M$2:$M$381,Dati!$H$2:$H$381,$H31,Dati!$A$2:$A$381,$Z31),"-")</f>
        <v/>
      </c>
      <c r="DK31" s="22">
        <f>IF(AND($H31&lt;&gt;"",$AA31&lt;&gt;"",$H31&lt;&gt;$AA31,IFERROR(VLOOKUP($H31,areaCercaPuntiClassificaSquadra,3,FALSE),-1)=IFERROR(VLOOKUP($AA31,areaCercaPuntiClassificaSquadra,3,FALSE),-2)),SUMIFS(Dati!$F$2:$F$381,Dati!$A$2:$A$381,$H31,Dati!$H$2:$H$381,$AA31)+SUMIFS(Dati!$M$2:$M$381,Dati!$H$2:$H$381,$H31,Dati!$A$2:$A$381,$AA31),"-")</f>
        <v/>
      </c>
      <c r="DL31" s="22">
        <f>IF(AND($H31&lt;&gt;"",$AB31&lt;&gt;"",$H31&lt;&gt;$AB31,IFERROR(VLOOKUP($H31,areaCercaPuntiClassificaSquadra,3,FALSE),-1)=IFERROR(VLOOKUP($AB31,areaCercaPuntiClassificaSquadra,3,FALSE),-2)),SUMIFS(Dati!$F$2:$F$381,Dati!$A$2:$A$381,$H31,Dati!$H$2:$H$381,$AB31)+SUMIFS(Dati!$M$2:$M$381,Dati!$H$2:$H$381,$H31,Dati!$A$2:$A$381,$AB31),"-")</f>
        <v/>
      </c>
      <c r="DM31" s="22">
        <f>IF(AND($H31&lt;&gt;"",$AC31&lt;&gt;"",$H31&lt;&gt;$AC31,IFERROR(VLOOKUP($H31,areaCercaPuntiClassificaSquadra,3,FALSE),-1)=IFERROR(VLOOKUP($AC31,areaCercaPuntiClassificaSquadra,3,FALSE),-2)),SUMIFS(Dati!$F$2:$F$381,Dati!$A$2:$A$381,$H31,Dati!$H$2:$H$381,$AC31)+SUMIFS(Dati!$M$2:$M$381,Dati!$H$2:$H$381,$H31,Dati!$A$2:$A$381,$AC31),"-")</f>
        <v/>
      </c>
      <c r="DN31" s="22">
        <f>IF(AND($H31&lt;&gt;"",$AD31&lt;&gt;"",$H31&lt;&gt;$AD31,IFERROR(VLOOKUP($H31,areaCercaPuntiClassificaSquadra,3,FALSE),-1)=IFERROR(VLOOKUP($AD31,areaCercaPuntiClassificaSquadra,3,FALSE),-2)),SUMIFS(Dati!$F$2:$F$381,Dati!$A$2:$A$381,$H31,Dati!$H$2:$H$381,$AD31)+SUMIFS(Dati!$M$2:$M$381,Dati!$H$2:$H$381,$H31,Dati!$A$2:$A$381,$AD31),"-")</f>
        <v/>
      </c>
      <c r="DO31" s="22">
        <f>IF(AND($H31&lt;&gt;"",$AE31&lt;&gt;"",$H31&lt;&gt;$AE31,IFERROR(VLOOKUP($H31,areaCercaPuntiClassificaSquadra,3,FALSE),-1)=IFERROR(VLOOKUP($AE31,areaCercaPuntiClassificaSquadra,3,FALSE),-2)),SUMIFS(Dati!$F$2:$F$381,Dati!$A$2:$A$381,$H31,Dati!$H$2:$H$381,$AE31)+SUMIFS(Dati!$M$2:$M$381,Dati!$H$2:$H$381,$H31,Dati!$A$2:$A$381,$AE31),"-")</f>
        <v/>
      </c>
      <c r="DP31" s="22">
        <f>IF(AND($H31&lt;&gt;"",$AF31&lt;&gt;"",$H31&lt;&gt;$AF31,IFERROR(VLOOKUP($H31,areaCercaPuntiClassificaSquadra,3,FALSE),-1)=IFERROR(VLOOKUP($AF31,areaCercaPuntiClassificaSquadra,3,FALSE),-2)),SUMIFS(Dati!$F$2:$F$381,Dati!$A$2:$A$381,$H31,Dati!$H$2:$H$381,$AF31)+SUMIFS(Dati!$M$2:$M$381,Dati!$H$2:$H$381,$H31,Dati!$A$2:$A$381,$AF31),"-")</f>
        <v/>
      </c>
      <c r="DQ31" s="22">
        <f>IF(AND($H31&lt;&gt;"",$AG31&lt;&gt;"",$H31&lt;&gt;$AG31,IFERROR(VLOOKUP($H31,areaCercaPuntiClassificaSquadra,3,FALSE),-1)=IFERROR(VLOOKUP($AG31,areaCercaPuntiClassificaSquadra,3,FALSE),-2)),SUMIFS(Dati!$F$2:$F$381,Dati!$A$2:$A$381,$H31,Dati!$H$2:$H$381,$AG31)+SUMIFS(Dati!$M$2:$M$381,Dati!$H$2:$H$381,$H31,Dati!$A$2:$A$381,$AG31),"-")</f>
        <v/>
      </c>
      <c r="DR31" s="22">
        <f>IF(AND($H31&lt;&gt;"",$AH31&lt;&gt;"",$H31&lt;&gt;$AH31,IFERROR(VLOOKUP($H31,areaCercaPuntiClassificaSquadra,3,FALSE),-1)=IFERROR(VLOOKUP($AH31,areaCercaPuntiClassificaSquadra,3,FALSE),-2)),SUMIFS(Dati!$F$2:$F$381,Dati!$A$2:$A$381,$H31,Dati!$H$2:$H$381,$AH31)+SUMIFS(Dati!$M$2:$M$381,Dati!$H$2:$H$381,$H31,Dati!$A$2:$A$381,$AH31),"-")</f>
        <v/>
      </c>
      <c r="DS31" s="22">
        <f>IF(AND($H31&lt;&gt;"",$AI31&lt;&gt;"",$H31&lt;&gt;$AI31,IFERROR(VLOOKUP($H31,areaCercaPuntiClassificaSquadra,3,FALSE),-1)=IFERROR(VLOOKUP($AI31,areaCercaPuntiClassificaSquadra,3,FALSE),-2)),SUMIFS(Dati!$F$2:$F$381,Dati!$A$2:$A$381,$H31,Dati!$H$2:$H$381,$AI31)+SUMIFS(Dati!$M$2:$M$381,Dati!$H$2:$H$381,$H31,Dati!$A$2:$A$381,$AI31),"-")</f>
        <v/>
      </c>
      <c r="DT31" s="22">
        <f>IF(AND($H31&lt;&gt;"",$AJ31&lt;&gt;"",$H31&lt;&gt;$AJ31,IFERROR(VLOOKUP($H31,areaCercaPuntiClassificaSquadra,3,FALSE),-1)=IFERROR(VLOOKUP($AJ31,areaCercaPuntiClassificaSquadra,3,FALSE),-2)),SUMIFS(Dati!$F$2:$F$381,Dati!$A$2:$A$381,$H31,Dati!$H$2:$H$381,$AJ31)+SUMIFS(Dati!$M$2:$M$381,Dati!$H$2:$H$381,$H31,Dati!$A$2:$A$381,$AJ31),"-")</f>
        <v/>
      </c>
      <c r="DU31" s="22">
        <f>IF(AND($H31&lt;&gt;"",$AK31&lt;&gt;"",$H31&lt;&gt;$AK31,IFERROR(VLOOKUP($H31,areaCercaPuntiClassificaSquadra,3,FALSE),-1)=IFERROR(VLOOKUP($AK31,areaCercaPuntiClassificaSquadra,3,FALSE),-2)),SUMIFS(Dati!$F$2:$F$381,Dati!$A$2:$A$381,$H31,Dati!$H$2:$H$381,$AK31)+SUMIFS(Dati!$M$2:$M$381,Dati!$H$2:$H$381,$H31,Dati!$A$2:$A$381,$AK31),"-")</f>
        <v/>
      </c>
      <c r="DV31" s="22">
        <f>IF(AND($H31&lt;&gt;"",$AL31&lt;&gt;"",$H31&lt;&gt;$AL31,IFERROR(VLOOKUP($H31,areaCercaPuntiClassificaSquadra,3,FALSE),-1)=IFERROR(VLOOKUP($AL31,areaCercaPuntiClassificaSquadra,3,FALSE),-2)),SUMIFS(Dati!$F$2:$F$381,Dati!$A$2:$A$381,$H31,Dati!$H$2:$H$381,$AL31)+SUMIFS(Dati!$M$2:$M$381,Dati!$H$2:$H$381,$H31,Dati!$A$2:$A$381,$AL31),"-")</f>
        <v/>
      </c>
      <c r="DW31" s="22">
        <f>IF(AND($H31&lt;&gt;"",$AM31&lt;&gt;"",$H31&lt;&gt;$AM31,IFERROR(VLOOKUP($H31,areaCercaPuntiClassificaSquadra,3,FALSE),-1)=IFERROR(VLOOKUP($AM31,areaCercaPuntiClassificaSquadra,3,FALSE),-2)),SUMIFS(Dati!$F$2:$F$381,Dati!$A$2:$A$381,$H31,Dati!$H$2:$H$381,$AM31)+SUMIFS(Dati!$M$2:$M$381,Dati!$H$2:$H$381,$H31,Dati!$A$2:$A$381,$AM31),"-")</f>
        <v/>
      </c>
      <c r="DX31" s="22">
        <f>IF(AND($H31&lt;&gt;"",$AN31&lt;&gt;"",$H31&lt;&gt;$AN31,IFERROR(VLOOKUP($H31,areaCercaPuntiClassificaSquadra,3,FALSE),-1)=IFERROR(VLOOKUP($AN31,areaCercaPuntiClassificaSquadra,3,FALSE),-2)),SUMIFS(Dati!$F$2:$F$381,Dati!$A$2:$A$381,$H31,Dati!$H$2:$H$381,$AN31)+SUMIFS(Dati!$M$2:$M$381,Dati!$H$2:$H$381,$H31,Dati!$A$2:$A$381,$AN31),"-")</f>
        <v/>
      </c>
      <c r="DY31" s="22">
        <f>IF(AND($H31&lt;&gt;"",$AO31&lt;&gt;"",$H31&lt;&gt;$AO31,IFERROR(VLOOKUP($H31,areaCercaPuntiClassificaSquadra,3,FALSE),-1)=IFERROR(VLOOKUP($AO31,areaCercaPuntiClassificaSquadra,3,FALSE),-2)),SUMIFS(Dati!$F$2:$F$381,Dati!$A$2:$A$381,$H31,Dati!$H$2:$H$381,$AO31)+SUMIFS(Dati!$M$2:$M$381,Dati!$H$2:$H$381,$H31,Dati!$A$2:$A$381,$AO31),"-")</f>
        <v/>
      </c>
      <c r="DZ31" s="22">
        <f>IF(AND($H31&lt;&gt;"",$AP31&lt;&gt;"",$H31&lt;&gt;$AP31,IFERROR(VLOOKUP($H31,areaCercaPuntiClassificaSquadra,3,FALSE),-1)=IFERROR(VLOOKUP($AP31,areaCercaPuntiClassificaSquadra,3,FALSE),-2)),SUMIFS(Dati!$F$2:$F$381,Dati!$A$2:$A$381,$H31,Dati!$H$2:$H$381,$AP31)+SUMIFS(Dati!$M$2:$M$381,Dati!$H$2:$H$381,$H31,Dati!$A$2:$A$381,$AP31),"-")</f>
        <v/>
      </c>
      <c r="EA31" s="22">
        <f>IF(AND($H31&lt;&gt;"",$AQ31&lt;&gt;"",$H31&lt;&gt;$AQ31,IFERROR(VLOOKUP($H31,areaCercaPuntiClassificaSquadra,3,FALSE),-1)=IFERROR(VLOOKUP($AQ31,areaCercaPuntiClassificaSquadra,3,FALSE),-2)),SUMIFS(Dati!$F$2:$F$381,Dati!$A$2:$A$381,$H31,Dati!$H$2:$H$381,$AQ31)+SUMIFS(Dati!$M$2:$M$381,Dati!$H$2:$H$381,$H31,Dati!$A$2:$A$381,$AQ31),"-")</f>
        <v/>
      </c>
      <c r="EB31" s="22">
        <f>IF(AND($H31&lt;&gt;"",$AR31&lt;&gt;"",$H31&lt;&gt;$AR31,IFERROR(VLOOKUP($H31,areaCercaPuntiClassificaSquadra,3,FALSE),-1)=IFERROR(VLOOKUP($AR31,areaCercaPuntiClassificaSquadra,3,FALSE),-2)),SUMIFS(Dati!$F$2:$F$381,Dati!$A$2:$A$381,$H31,Dati!$H$2:$H$381,$AR31)+SUMIFS(Dati!$M$2:$M$381,Dati!$H$2:$H$381,$H31,Dati!$A$2:$A$381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inlineStr">
        <is>
          <t>Bisonti Belligeranti-Bisontiopoli BO</t>
        </is>
      </c>
      <c r="D32" s="14" t="n"/>
      <c r="E32" s="15" t="inlineStr">
        <is>
          <t>A</t>
        </is>
      </c>
      <c r="G32" s="16">
        <f>IF($C32="","",$E32&amp;(COUNTIFS(I$14:I$53,"&gt;"&amp;I32,E$14:E$53,"="&amp;E32,C$14:C$53,"&lt;&gt;")+COUNTIFS(I$14:I$53,"="&amp;I32,H$14:H$53,"&lt;="&amp;H32,E$14:E$53,"="&amp;E32,C$14:C$53,"&lt;&gt;")))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L32*constPuntiVittoria+M32*constPuntiSconfitta+N32*constPuntiForfait+IF(D32="",0,D32)</f>
        <v/>
      </c>
      <c r="K32" s="12">
        <f>SUM(L32:N32)</f>
        <v/>
      </c>
      <c r="L32" s="12">
        <f>IF($H32="",0,SUMIF(Dati!$A$2:$A$381,$H32,Dati!$B$2:$B$381)+SUMIF(Dati!$H$2:$H$381,$H32,Dati!$I$2:$I$381))</f>
        <v/>
      </c>
      <c r="M32" s="12">
        <f>IF($H32="",0,SUMIF(Dati!$A$2:$A$381,$H32,Dati!$D$2:$D$381)+SUMIF(Dati!$H$2:$H$381,$H32,Dati!$K$2:$K$381))</f>
        <v/>
      </c>
      <c r="N32" s="12">
        <f>IF($H32="",0,SUMIF(Dati!$A$2:$A$381,$H32,Dati!$C$2:$C$381)+SUMIF(Dati!$H$2:$H$381,$H32,Dati!$J$2:$J$381))</f>
        <v/>
      </c>
      <c r="O32" s="12">
        <f>IF($H32="",0,SUMIF(Dati!$A$2:$A$381,$H32,Dati!$E$2:$E$381)+SUMIF(Dati!$H$2:$H$381,$H32,Dati!$L$2:$L$381))</f>
        <v/>
      </c>
      <c r="P32" s="12">
        <f>IF($H32="",0,SUMIF(Dati!$A$2:$A$381,$H32,Dati!$F$2:$F$381)+SUMIF(Dati!$H$2:$H$381,$H32,Dati!$M$2:$M$381))</f>
        <v/>
      </c>
      <c r="Q32" s="12">
        <f>IF($H32="",0,SUMIF(Dati!$A$2:$A$381,$H32,Dati!$G$2:$G$381)+SUMIF(Dati!$H$2:$H$381,$H32,Dati!$N$2:$N$381))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IF(COUNTIFS($E$14:$E$53,$E32,$J$14:$J$53,$J32,$C$14:$C$53,"&lt;&gt;")&lt;=1,"-",SUM(AU32:BN32)&amp;"-"&amp;SUM(BQ32:CJ32))</f>
        <v/>
      </c>
      <c r="V32" s="18">
        <f>IF(COUNTIFS($E$14:$E$53,$E32,$J$14:$J$53,$J32,$C$14:$C$53,"&lt;&gt;",$ED$14:$ED$53,$ED32)&lt;=1,"-",IF(SUM(DI32:EB32)=0,0,ROUND(SUM(CM32:DF32)/SUM(DI32:EB32),3)))</f>
        <v/>
      </c>
      <c r="W32" s="18">
        <f>IF(COUNTIFS($E$14:$E$53,$E32,$J$14:$J$53,$J32,$C$14:$C$53,"&lt;&gt;",$ED$14:$ED$53,$ED32,$V$14:$V$53,$V32)&lt;=1,"-",IF(P32=0,0,ROUND(O32/P32,3)))</f>
        <v/>
      </c>
      <c r="X32" s="19">
        <f>IF($C32="","",$E32&amp;"#"&amp;COUNTIFS($E$14:$E32,$E32,$C$14:$C32,"&lt;&gt;"))</f>
        <v/>
      </c>
      <c r="Y32" s="20">
        <f>IFERROR(INDEX($H$14:$H$53,MATCH($E32&amp;"#1",$X$14:$X$53,0)),"")</f>
        <v/>
      </c>
      <c r="Z32" s="20">
        <f>IFERROR(INDEX($H$14:$H$53,MATCH($E32&amp;"#2",$X$14:$X$53,0)),"")</f>
        <v/>
      </c>
      <c r="AA32" s="20">
        <f>IFERROR(INDEX($H$14:$H$53,MATCH($E32&amp;"#3",$X$14:$X$53,0)),"")</f>
        <v/>
      </c>
      <c r="AB32" s="20">
        <f>IFERROR(INDEX($H$14:$H$53,MATCH($E32&amp;"#4",$X$14:$X$53,0)),"")</f>
        <v/>
      </c>
      <c r="AC32" s="20">
        <f>IFERROR(INDEX($H$14:$H$53,MATCH($E32&amp;"#5",$X$14:$X$53,0)),"")</f>
        <v/>
      </c>
      <c r="AD32" s="20">
        <f>IFERROR(INDEX($H$14:$H$53,MATCH($E32&amp;"#6",$X$14:$X$53,0)),"")</f>
        <v/>
      </c>
      <c r="AE32" s="20">
        <f>IFERROR(INDEX($H$14:$H$53,MATCH($E32&amp;"#7",$X$14:$X$53,0)),"")</f>
        <v/>
      </c>
      <c r="AF32" s="20">
        <f>IFERROR(INDEX($H$14:$H$53,MATCH($E32&amp;"#8",$X$14:$X$53,0)),"")</f>
        <v/>
      </c>
      <c r="AG32" s="20">
        <f>IFERROR(INDEX($H$14:$H$53,MATCH($E32&amp;"#9",$X$14:$X$53,0)),"")</f>
        <v/>
      </c>
      <c r="AH32" s="20">
        <f>IFERROR(INDEX($H$14:$H$53,MATCH($E32&amp;"#10",$X$14:$X$53,0)),"")</f>
        <v/>
      </c>
      <c r="AI32" s="20">
        <f>IFERROR(INDEX($H$14:$H$53,MATCH($E32&amp;"#11",$X$14:$X$53,0)),"")</f>
        <v/>
      </c>
      <c r="AJ32" s="20">
        <f>IFERROR(INDEX($H$14:$H$53,MATCH($E32&amp;"#12",$X$14:$X$53,0)),"")</f>
        <v/>
      </c>
      <c r="AK32" s="20">
        <f>IFERROR(INDEX($H$14:$H$53,MATCH($E32&amp;"#13",$X$14:$X$53,0)),"")</f>
        <v/>
      </c>
      <c r="AL32" s="20">
        <f>IFERROR(INDEX($H$14:$H$53,MATCH($E32&amp;"#14",$X$14:$X$53,0)),"")</f>
        <v/>
      </c>
      <c r="AM32" s="20">
        <f>IFERROR(INDEX($H$14:$H$53,MATCH($E32&amp;"#15",$X$14:$X$53,0)),"")</f>
        <v/>
      </c>
      <c r="AN32" s="20">
        <f>IFERROR(INDEX($H$14:$H$53,MATCH($E32&amp;"#16",$X$14:$X$53,0)),"")</f>
        <v/>
      </c>
      <c r="AO32" s="20">
        <f>IFERROR(INDEX($H$14:$H$53,MATCH($E32&amp;"#17",$X$14:$X$53,0)),"")</f>
        <v/>
      </c>
      <c r="AP32" s="20">
        <f>IFERROR(INDEX($H$14:$H$53,MATCH($E32&amp;"#18",$X$14:$X$53,0)),"")</f>
        <v/>
      </c>
      <c r="AQ32" s="20">
        <f>IFERROR(INDEX($H$14:$H$53,MATCH($E32&amp;"#19",$X$14:$X$53,0)),"")</f>
        <v/>
      </c>
      <c r="AR32" s="20">
        <f>IFERROR(INDEX($H$14:$H$53,MATCH($E32&amp;"#20",$X$14:$X$53,0)),"")</f>
        <v/>
      </c>
      <c r="AT32" s="21">
        <f>$C32</f>
        <v/>
      </c>
      <c r="AU32" s="22">
        <f>IF(AND($H32&lt;&gt;"",$Y32&lt;&gt;"",$H32&lt;&gt;$Y32,IFERROR(VLOOKUP($H32,areaCercaPuntiClassificaSquadra,3,FALSE),-1)=IFERROR(VLOOKUP($Y32,areaCercaPuntiClassificaSquadra,3,FALSE),-2)),SUMIFS(Dati!$B$2:$B$381,Dati!$A$2:$A$381,$H32,Dati!$H$2:$H$381,$Y32)+SUMIFS(Dati!$I$2:$I$381,Dati!$H$2:$H$381,$H32,Dati!$A$2:$A$381,$Y32),"-")</f>
        <v/>
      </c>
      <c r="AV32" s="22">
        <f>IF(AND($H32&lt;&gt;"",$Z32&lt;&gt;"",$H32&lt;&gt;$Z32,IFERROR(VLOOKUP($H32,areaCercaPuntiClassificaSquadra,3,FALSE),-1)=IFERROR(VLOOKUP($Z32,areaCercaPuntiClassificaSquadra,3,FALSE),-2)),SUMIFS(Dati!$B$2:$B$381,Dati!$A$2:$A$381,$H32,Dati!$H$2:$H$381,$Z32)+SUMIFS(Dati!$I$2:$I$381,Dati!$H$2:$H$381,$H32,Dati!$A$2:$A$381,$Z32),"-")</f>
        <v/>
      </c>
      <c r="AW32" s="22">
        <f>IF(AND($H32&lt;&gt;"",$AA32&lt;&gt;"",$H32&lt;&gt;$AA32,IFERROR(VLOOKUP($H32,areaCercaPuntiClassificaSquadra,3,FALSE),-1)=IFERROR(VLOOKUP($AA32,areaCercaPuntiClassificaSquadra,3,FALSE),-2)),SUMIFS(Dati!$B$2:$B$381,Dati!$A$2:$A$381,$H32,Dati!$H$2:$H$381,$AA32)+SUMIFS(Dati!$I$2:$I$381,Dati!$H$2:$H$381,$H32,Dati!$A$2:$A$381,$AA32),"-")</f>
        <v/>
      </c>
      <c r="AX32" s="22">
        <f>IF(AND($H32&lt;&gt;"",$AB32&lt;&gt;"",$H32&lt;&gt;$AB32,IFERROR(VLOOKUP($H32,areaCercaPuntiClassificaSquadra,3,FALSE),-1)=IFERROR(VLOOKUP($AB32,areaCercaPuntiClassificaSquadra,3,FALSE),-2)),SUMIFS(Dati!$B$2:$B$381,Dati!$A$2:$A$381,$H32,Dati!$H$2:$H$381,$AB32)+SUMIFS(Dati!$I$2:$I$381,Dati!$H$2:$H$381,$H32,Dati!$A$2:$A$381,$AB32),"-")</f>
        <v/>
      </c>
      <c r="AY32" s="22">
        <f>IF(AND($H32&lt;&gt;"",$AC32&lt;&gt;"",$H32&lt;&gt;$AC32,IFERROR(VLOOKUP($H32,areaCercaPuntiClassificaSquadra,3,FALSE),-1)=IFERROR(VLOOKUP($AC32,areaCercaPuntiClassificaSquadra,3,FALSE),-2)),SUMIFS(Dati!$B$2:$B$381,Dati!$A$2:$A$381,$H32,Dati!$H$2:$H$381,$AC32)+SUMIFS(Dati!$I$2:$I$381,Dati!$H$2:$H$381,$H32,Dati!$A$2:$A$381,$AC32),"-")</f>
        <v/>
      </c>
      <c r="AZ32" s="22">
        <f>IF(AND($H32&lt;&gt;"",$AD32&lt;&gt;"",$H32&lt;&gt;$AD32,IFERROR(VLOOKUP($H32,areaCercaPuntiClassificaSquadra,3,FALSE),-1)=IFERROR(VLOOKUP($AD32,areaCercaPuntiClassificaSquadra,3,FALSE),-2)),SUMIFS(Dati!$B$2:$B$381,Dati!$A$2:$A$381,$H32,Dati!$H$2:$H$381,$AD32)+SUMIFS(Dati!$I$2:$I$381,Dati!$H$2:$H$381,$H32,Dati!$A$2:$A$381,$AD32),"-")</f>
        <v/>
      </c>
      <c r="BA32" s="22">
        <f>IF(AND($H32&lt;&gt;"",$AE32&lt;&gt;"",$H32&lt;&gt;$AE32,IFERROR(VLOOKUP($H32,areaCercaPuntiClassificaSquadra,3,FALSE),-1)=IFERROR(VLOOKUP($AE32,areaCercaPuntiClassificaSquadra,3,FALSE),-2)),SUMIFS(Dati!$B$2:$B$381,Dati!$A$2:$A$381,$H32,Dati!$H$2:$H$381,$AE32)+SUMIFS(Dati!$I$2:$I$381,Dati!$H$2:$H$381,$H32,Dati!$A$2:$A$381,$AE32),"-")</f>
        <v/>
      </c>
      <c r="BB32" s="22">
        <f>IF(AND($H32&lt;&gt;"",$AF32&lt;&gt;"",$H32&lt;&gt;$AF32,IFERROR(VLOOKUP($H32,areaCercaPuntiClassificaSquadra,3,FALSE),-1)=IFERROR(VLOOKUP($AF32,areaCercaPuntiClassificaSquadra,3,FALSE),-2)),SUMIFS(Dati!$B$2:$B$381,Dati!$A$2:$A$381,$H32,Dati!$H$2:$H$381,$AF32)+SUMIFS(Dati!$I$2:$I$381,Dati!$H$2:$H$381,$H32,Dati!$A$2:$A$381,$AF32),"-")</f>
        <v/>
      </c>
      <c r="BC32" s="22">
        <f>IF(AND($H32&lt;&gt;"",$AG32&lt;&gt;"",$H32&lt;&gt;$AG32,IFERROR(VLOOKUP($H32,areaCercaPuntiClassificaSquadra,3,FALSE),-1)=IFERROR(VLOOKUP($AG32,areaCercaPuntiClassificaSquadra,3,FALSE),-2)),SUMIFS(Dati!$B$2:$B$381,Dati!$A$2:$A$381,$H32,Dati!$H$2:$H$381,$AG32)+SUMIFS(Dati!$I$2:$I$381,Dati!$H$2:$H$381,$H32,Dati!$A$2:$A$381,$AG32),"-")</f>
        <v/>
      </c>
      <c r="BD32" s="22">
        <f>IF(AND($H32&lt;&gt;"",$AH32&lt;&gt;"",$H32&lt;&gt;$AH32,IFERROR(VLOOKUP($H32,areaCercaPuntiClassificaSquadra,3,FALSE),-1)=IFERROR(VLOOKUP($AH32,areaCercaPuntiClassificaSquadra,3,FALSE),-2)),SUMIFS(Dati!$B$2:$B$381,Dati!$A$2:$A$381,$H32,Dati!$H$2:$H$381,$AH32)+SUMIFS(Dati!$I$2:$I$381,Dati!$H$2:$H$381,$H32,Dati!$A$2:$A$381,$AH32),"-")</f>
        <v/>
      </c>
      <c r="BE32" s="22">
        <f>IF(AND($H32&lt;&gt;"",$AI32&lt;&gt;"",$H32&lt;&gt;$AI32,IFERROR(VLOOKUP($H32,areaCercaPuntiClassificaSquadra,3,FALSE),-1)=IFERROR(VLOOKUP($AI32,areaCercaPuntiClassificaSquadra,3,FALSE),-2)),SUMIFS(Dati!$B$2:$B$381,Dati!$A$2:$A$381,$H32,Dati!$H$2:$H$381,$AI32)+SUMIFS(Dati!$I$2:$I$381,Dati!$H$2:$H$381,$H32,Dati!$A$2:$A$381,$AI32),"-")</f>
        <v/>
      </c>
      <c r="BF32" s="22">
        <f>IF(AND($H32&lt;&gt;"",$AJ32&lt;&gt;"",$H32&lt;&gt;$AJ32,IFERROR(VLOOKUP($H32,areaCercaPuntiClassificaSquadra,3,FALSE),-1)=IFERROR(VLOOKUP($AJ32,areaCercaPuntiClassificaSquadra,3,FALSE),-2)),SUMIFS(Dati!$B$2:$B$381,Dati!$A$2:$A$381,$H32,Dati!$H$2:$H$381,$AJ32)+SUMIFS(Dati!$I$2:$I$381,Dati!$H$2:$H$381,$H32,Dati!$A$2:$A$381,$AJ32),"-")</f>
        <v/>
      </c>
      <c r="BG32" s="22">
        <f>IF(AND($H32&lt;&gt;"",$AK32&lt;&gt;"",$H32&lt;&gt;$AK32,IFERROR(VLOOKUP($H32,areaCercaPuntiClassificaSquadra,3,FALSE),-1)=IFERROR(VLOOKUP($AK32,areaCercaPuntiClassificaSquadra,3,FALSE),-2)),SUMIFS(Dati!$B$2:$B$381,Dati!$A$2:$A$381,$H32,Dati!$H$2:$H$381,$AK32)+SUMIFS(Dati!$I$2:$I$381,Dati!$H$2:$H$381,$H32,Dati!$A$2:$A$381,$AK32),"-")</f>
        <v/>
      </c>
      <c r="BH32" s="22">
        <f>IF(AND($H32&lt;&gt;"",$AL32&lt;&gt;"",$H32&lt;&gt;$AL32,IFERROR(VLOOKUP($H32,areaCercaPuntiClassificaSquadra,3,FALSE),-1)=IFERROR(VLOOKUP($AL32,areaCercaPuntiClassificaSquadra,3,FALSE),-2)),SUMIFS(Dati!$B$2:$B$381,Dati!$A$2:$A$381,$H32,Dati!$H$2:$H$381,$AL32)+SUMIFS(Dati!$I$2:$I$381,Dati!$H$2:$H$381,$H32,Dati!$A$2:$A$381,$AL32),"-")</f>
        <v/>
      </c>
      <c r="BI32" s="22">
        <f>IF(AND($H32&lt;&gt;"",$AM32&lt;&gt;"",$H32&lt;&gt;$AM32,IFERROR(VLOOKUP($H32,areaCercaPuntiClassificaSquadra,3,FALSE),-1)=IFERROR(VLOOKUP($AM32,areaCercaPuntiClassificaSquadra,3,FALSE),-2)),SUMIFS(Dati!$B$2:$B$381,Dati!$A$2:$A$381,$H32,Dati!$H$2:$H$381,$AM32)+SUMIFS(Dati!$I$2:$I$381,Dati!$H$2:$H$381,$H32,Dati!$A$2:$A$381,$AM32),"-")</f>
        <v/>
      </c>
      <c r="BJ32" s="22">
        <f>IF(AND($H32&lt;&gt;"",$AN32&lt;&gt;"",$H32&lt;&gt;$AN32,IFERROR(VLOOKUP($H32,areaCercaPuntiClassificaSquadra,3,FALSE),-1)=IFERROR(VLOOKUP($AN32,areaCercaPuntiClassificaSquadra,3,FALSE),-2)),SUMIFS(Dati!$B$2:$B$381,Dati!$A$2:$A$381,$H32,Dati!$H$2:$H$381,$AN32)+SUMIFS(Dati!$I$2:$I$381,Dati!$H$2:$H$381,$H32,Dati!$A$2:$A$381,$AN32),"-")</f>
        <v/>
      </c>
      <c r="BK32" s="22">
        <f>IF(AND($H32&lt;&gt;"",$AO32&lt;&gt;"",$H32&lt;&gt;$AO32,IFERROR(VLOOKUP($H32,areaCercaPuntiClassificaSquadra,3,FALSE),-1)=IFERROR(VLOOKUP($AO32,areaCercaPuntiClassificaSquadra,3,FALSE),-2)),SUMIFS(Dati!$B$2:$B$381,Dati!$A$2:$A$381,$H32,Dati!$H$2:$H$381,$AO32)+SUMIFS(Dati!$I$2:$I$381,Dati!$H$2:$H$381,$H32,Dati!$A$2:$A$381,$AO32),"-")</f>
        <v/>
      </c>
      <c r="BL32" s="22">
        <f>IF(AND($H32&lt;&gt;"",$AP32&lt;&gt;"",$H32&lt;&gt;$AP32,IFERROR(VLOOKUP($H32,areaCercaPuntiClassificaSquadra,3,FALSE),-1)=IFERROR(VLOOKUP($AP32,areaCercaPuntiClassificaSquadra,3,FALSE),-2)),SUMIFS(Dati!$B$2:$B$381,Dati!$A$2:$A$381,$H32,Dati!$H$2:$H$381,$AP32)+SUMIFS(Dati!$I$2:$I$381,Dati!$H$2:$H$381,$H32,Dati!$A$2:$A$381,$AP32),"-")</f>
        <v/>
      </c>
      <c r="BM32" s="22">
        <f>IF(AND($H32&lt;&gt;"",$AQ32&lt;&gt;"",$H32&lt;&gt;$AQ32,IFERROR(VLOOKUP($H32,areaCercaPuntiClassificaSquadra,3,FALSE),-1)=IFERROR(VLOOKUP($AQ32,areaCercaPuntiClassificaSquadra,3,FALSE),-2)),SUMIFS(Dati!$B$2:$B$381,Dati!$A$2:$A$381,$H32,Dati!$H$2:$H$381,$AQ32)+SUMIFS(Dati!$I$2:$I$381,Dati!$H$2:$H$381,$H32,Dati!$A$2:$A$381,$AQ32),"-")</f>
        <v/>
      </c>
      <c r="BN32" s="22">
        <f>IF(AND($H32&lt;&gt;"",$AR32&lt;&gt;"",$H32&lt;&gt;$AR32,IFERROR(VLOOKUP($H32,areaCercaPuntiClassificaSquadra,3,FALSE),-1)=IFERROR(VLOOKUP($AR32,areaCercaPuntiClassificaSquadra,3,FALSE),-2)),SUMIFS(Dati!$B$2:$B$381,Dati!$A$2:$A$381,$H32,Dati!$H$2:$H$381,$AR32)+SUMIFS(Dati!$I$2:$I$381,Dati!$H$2:$H$381,$H32,Dati!$A$2:$A$381,$AR32),"-")</f>
        <v/>
      </c>
      <c r="BP32" s="21">
        <f>$C32</f>
        <v/>
      </c>
      <c r="BQ32" s="22">
        <f>IF(AND($H32&lt;&gt;"",$Y32&lt;&gt;"",$H32&lt;&gt;$Y32,IFERROR(VLOOKUP($H32,areaCercaPuntiClassificaSquadra,3,FALSE),-1)=IFERROR(VLOOKUP($Y32,areaCercaPuntiClassificaSquadra,3,FALSE),-2)),SUMIFS(Dati!$D$2:$D$381,Dati!$A$2:$A$381,$H32,Dati!$H$2:$H$381,$Y32)+SUMIFS(Dati!$K$2:$K$381,Dati!$H$2:$H$381,$H32,Dati!$A$2:$A$381,$Y32)+SUMIFS(Dati!$C$2:$C$381,Dati!$A$2:$A$381,$H32,Dati!$H$2:$H$381,$Y32)+SUMIFS(Dati!$J$2:$J$381,Dati!$H$2:$H$381,$H32,Dati!$A$2:$A$381,$Y32),"-")</f>
        <v/>
      </c>
      <c r="BR32" s="22">
        <f>IF(AND($H32&lt;&gt;"",$Z32&lt;&gt;"",$H32&lt;&gt;$Z32,IFERROR(VLOOKUP($H32,areaCercaPuntiClassificaSquadra,3,FALSE),-1)=IFERROR(VLOOKUP($Z32,areaCercaPuntiClassificaSquadra,3,FALSE),-2)),SUMIFS(Dati!$D$2:$D$381,Dati!$A$2:$A$381,$H32,Dati!$H$2:$H$381,$Z32)+SUMIFS(Dati!$K$2:$K$381,Dati!$H$2:$H$381,$H32,Dati!$A$2:$A$381,$Z32)+SUMIFS(Dati!$C$2:$C$381,Dati!$A$2:$A$381,$H32,Dati!$H$2:$H$381,$Z32)+SUMIFS(Dati!$J$2:$J$381,Dati!$H$2:$H$381,$H32,Dati!$A$2:$A$381,$Z32),"-")</f>
        <v/>
      </c>
      <c r="BS32" s="22">
        <f>IF(AND($H32&lt;&gt;"",$AA32&lt;&gt;"",$H32&lt;&gt;$AA32,IFERROR(VLOOKUP($H32,areaCercaPuntiClassificaSquadra,3,FALSE),-1)=IFERROR(VLOOKUP($AA32,areaCercaPuntiClassificaSquadra,3,FALSE),-2)),SUMIFS(Dati!$D$2:$D$381,Dati!$A$2:$A$381,$H32,Dati!$H$2:$H$381,$AA32)+SUMIFS(Dati!$K$2:$K$381,Dati!$H$2:$H$381,$H32,Dati!$A$2:$A$381,$AA32)+SUMIFS(Dati!$C$2:$C$381,Dati!$A$2:$A$381,$H32,Dati!$H$2:$H$381,$AA32)+SUMIFS(Dati!$J$2:$J$381,Dati!$H$2:$H$381,$H32,Dati!$A$2:$A$381,$AA32),"-")</f>
        <v/>
      </c>
      <c r="BT32" s="22">
        <f>IF(AND($H32&lt;&gt;"",$AB32&lt;&gt;"",$H32&lt;&gt;$AB32,IFERROR(VLOOKUP($H32,areaCercaPuntiClassificaSquadra,3,FALSE),-1)=IFERROR(VLOOKUP($AB32,areaCercaPuntiClassificaSquadra,3,FALSE),-2)),SUMIFS(Dati!$D$2:$D$381,Dati!$A$2:$A$381,$H32,Dati!$H$2:$H$381,$AB32)+SUMIFS(Dati!$K$2:$K$381,Dati!$H$2:$H$381,$H32,Dati!$A$2:$A$381,$AB32)+SUMIFS(Dati!$C$2:$C$381,Dati!$A$2:$A$381,$H32,Dati!$H$2:$H$381,$AB32)+SUMIFS(Dati!$J$2:$J$381,Dati!$H$2:$H$381,$H32,Dati!$A$2:$A$381,$AB32),"-")</f>
        <v/>
      </c>
      <c r="BU32" s="22">
        <f>IF(AND($H32&lt;&gt;"",$AC32&lt;&gt;"",$H32&lt;&gt;$AC32,IFERROR(VLOOKUP($H32,areaCercaPuntiClassificaSquadra,3,FALSE),-1)=IFERROR(VLOOKUP($AC32,areaCercaPuntiClassificaSquadra,3,FALSE),-2)),SUMIFS(Dati!$D$2:$D$381,Dati!$A$2:$A$381,$H32,Dati!$H$2:$H$381,$AC32)+SUMIFS(Dati!$K$2:$K$381,Dati!$H$2:$H$381,$H32,Dati!$A$2:$A$381,$AC32)+SUMIFS(Dati!$C$2:$C$381,Dati!$A$2:$A$381,$H32,Dati!$H$2:$H$381,$AC32)+SUMIFS(Dati!$J$2:$J$381,Dati!$H$2:$H$381,$H32,Dati!$A$2:$A$381,$AC32),"-")</f>
        <v/>
      </c>
      <c r="BV32" s="22">
        <f>IF(AND($H32&lt;&gt;"",$AD32&lt;&gt;"",$H32&lt;&gt;$AD32,IFERROR(VLOOKUP($H32,areaCercaPuntiClassificaSquadra,3,FALSE),-1)=IFERROR(VLOOKUP($AD32,areaCercaPuntiClassificaSquadra,3,FALSE),-2)),SUMIFS(Dati!$D$2:$D$381,Dati!$A$2:$A$381,$H32,Dati!$H$2:$H$381,$AD32)+SUMIFS(Dati!$K$2:$K$381,Dati!$H$2:$H$381,$H32,Dati!$A$2:$A$381,$AD32)+SUMIFS(Dati!$C$2:$C$381,Dati!$A$2:$A$381,$H32,Dati!$H$2:$H$381,$AD32)+SUMIFS(Dati!$J$2:$J$381,Dati!$H$2:$H$381,$H32,Dati!$A$2:$A$381,$AD32),"-")</f>
        <v/>
      </c>
      <c r="BW32" s="22">
        <f>IF(AND($H32&lt;&gt;"",$AE32&lt;&gt;"",$H32&lt;&gt;$AE32,IFERROR(VLOOKUP($H32,areaCercaPuntiClassificaSquadra,3,FALSE),-1)=IFERROR(VLOOKUP($AE32,areaCercaPuntiClassificaSquadra,3,FALSE),-2)),SUMIFS(Dati!$D$2:$D$381,Dati!$A$2:$A$381,$H32,Dati!$H$2:$H$381,$AE32)+SUMIFS(Dati!$K$2:$K$381,Dati!$H$2:$H$381,$H32,Dati!$A$2:$A$381,$AE32)+SUMIFS(Dati!$C$2:$C$381,Dati!$A$2:$A$381,$H32,Dati!$H$2:$H$381,$AE32)+SUMIFS(Dati!$J$2:$J$381,Dati!$H$2:$H$381,$H32,Dati!$A$2:$A$381,$AE32),"-")</f>
        <v/>
      </c>
      <c r="BX32" s="22">
        <f>IF(AND($H32&lt;&gt;"",$AF32&lt;&gt;"",$H32&lt;&gt;$AF32,IFERROR(VLOOKUP($H32,areaCercaPuntiClassificaSquadra,3,FALSE),-1)=IFERROR(VLOOKUP($AF32,areaCercaPuntiClassificaSquadra,3,FALSE),-2)),SUMIFS(Dati!$D$2:$D$381,Dati!$A$2:$A$381,$H32,Dati!$H$2:$H$381,$AF32)+SUMIFS(Dati!$K$2:$K$381,Dati!$H$2:$H$381,$H32,Dati!$A$2:$A$381,$AF32)+SUMIFS(Dati!$C$2:$C$381,Dati!$A$2:$A$381,$H32,Dati!$H$2:$H$381,$AF32)+SUMIFS(Dati!$J$2:$J$381,Dati!$H$2:$H$381,$H32,Dati!$A$2:$A$381,$AF32),"-")</f>
        <v/>
      </c>
      <c r="BY32" s="22">
        <f>IF(AND($H32&lt;&gt;"",$AG32&lt;&gt;"",$H32&lt;&gt;$AG32,IFERROR(VLOOKUP($H32,areaCercaPuntiClassificaSquadra,3,FALSE),-1)=IFERROR(VLOOKUP($AG32,areaCercaPuntiClassificaSquadra,3,FALSE),-2)),SUMIFS(Dati!$D$2:$D$381,Dati!$A$2:$A$381,$H32,Dati!$H$2:$H$381,$AG32)+SUMIFS(Dati!$K$2:$K$381,Dati!$H$2:$H$381,$H32,Dati!$A$2:$A$381,$AG32)+SUMIFS(Dati!$C$2:$C$381,Dati!$A$2:$A$381,$H32,Dati!$H$2:$H$381,$AG32)+SUMIFS(Dati!$J$2:$J$381,Dati!$H$2:$H$381,$H32,Dati!$A$2:$A$381,$AG32),"-")</f>
        <v/>
      </c>
      <c r="BZ32" s="22">
        <f>IF(AND($H32&lt;&gt;"",$AH32&lt;&gt;"",$H32&lt;&gt;$AH32,IFERROR(VLOOKUP($H32,areaCercaPuntiClassificaSquadra,3,FALSE),-1)=IFERROR(VLOOKUP($AH32,areaCercaPuntiClassificaSquadra,3,FALSE),-2)),SUMIFS(Dati!$D$2:$D$381,Dati!$A$2:$A$381,$H32,Dati!$H$2:$H$381,$AH32)+SUMIFS(Dati!$K$2:$K$381,Dati!$H$2:$H$381,$H32,Dati!$A$2:$A$381,$AH32)+SUMIFS(Dati!$C$2:$C$381,Dati!$A$2:$A$381,$H32,Dati!$H$2:$H$381,$AH32)+SUMIFS(Dati!$J$2:$J$381,Dati!$H$2:$H$381,$H32,Dati!$A$2:$A$381,$AH32),"-")</f>
        <v/>
      </c>
      <c r="CA32" s="22">
        <f>IF(AND($H32&lt;&gt;"",$AI32&lt;&gt;"",$H32&lt;&gt;$AI32,IFERROR(VLOOKUP($H32,areaCercaPuntiClassificaSquadra,3,FALSE),-1)=IFERROR(VLOOKUP($AI32,areaCercaPuntiClassificaSquadra,3,FALSE),-2)),SUMIFS(Dati!$D$2:$D$381,Dati!$A$2:$A$381,$H32,Dati!$H$2:$H$381,$AI32)+SUMIFS(Dati!$K$2:$K$381,Dati!$H$2:$H$381,$H32,Dati!$A$2:$A$381,$AI32)+SUMIFS(Dati!$C$2:$C$381,Dati!$A$2:$A$381,$H32,Dati!$H$2:$H$381,$AI32)+SUMIFS(Dati!$J$2:$J$381,Dati!$H$2:$H$381,$H32,Dati!$A$2:$A$381,$AI32),"-")</f>
        <v/>
      </c>
      <c r="CB32" s="22">
        <f>IF(AND($H32&lt;&gt;"",$AJ32&lt;&gt;"",$H32&lt;&gt;$AJ32,IFERROR(VLOOKUP($H32,areaCercaPuntiClassificaSquadra,3,FALSE),-1)=IFERROR(VLOOKUP($AJ32,areaCercaPuntiClassificaSquadra,3,FALSE),-2)),SUMIFS(Dati!$D$2:$D$381,Dati!$A$2:$A$381,$H32,Dati!$H$2:$H$381,$AJ32)+SUMIFS(Dati!$K$2:$K$381,Dati!$H$2:$H$381,$H32,Dati!$A$2:$A$381,$AJ32)+SUMIFS(Dati!$C$2:$C$381,Dati!$A$2:$A$381,$H32,Dati!$H$2:$H$381,$AJ32)+SUMIFS(Dati!$J$2:$J$381,Dati!$H$2:$H$381,$H32,Dati!$A$2:$A$381,$AJ32),"-")</f>
        <v/>
      </c>
      <c r="CC32" s="22">
        <f>IF(AND($H32&lt;&gt;"",$AK32&lt;&gt;"",$H32&lt;&gt;$AK32,IFERROR(VLOOKUP($H32,areaCercaPuntiClassificaSquadra,3,FALSE),-1)=IFERROR(VLOOKUP($AK32,areaCercaPuntiClassificaSquadra,3,FALSE),-2)),SUMIFS(Dati!$D$2:$D$381,Dati!$A$2:$A$381,$H32,Dati!$H$2:$H$381,$AK32)+SUMIFS(Dati!$K$2:$K$381,Dati!$H$2:$H$381,$H32,Dati!$A$2:$A$381,$AK32)+SUMIFS(Dati!$C$2:$C$381,Dati!$A$2:$A$381,$H32,Dati!$H$2:$H$381,$AK32)+SUMIFS(Dati!$J$2:$J$381,Dati!$H$2:$H$381,$H32,Dati!$A$2:$A$381,$AK32),"-")</f>
        <v/>
      </c>
      <c r="CD32" s="22">
        <f>IF(AND($H32&lt;&gt;"",$AL32&lt;&gt;"",$H32&lt;&gt;$AL32,IFERROR(VLOOKUP($H32,areaCercaPuntiClassificaSquadra,3,FALSE),-1)=IFERROR(VLOOKUP($AL32,areaCercaPuntiClassificaSquadra,3,FALSE),-2)),SUMIFS(Dati!$D$2:$D$381,Dati!$A$2:$A$381,$H32,Dati!$H$2:$H$381,$AL32)+SUMIFS(Dati!$K$2:$K$381,Dati!$H$2:$H$381,$H32,Dati!$A$2:$A$381,$AL32)+SUMIFS(Dati!$C$2:$C$381,Dati!$A$2:$A$381,$H32,Dati!$H$2:$H$381,$AL32)+SUMIFS(Dati!$J$2:$J$381,Dati!$H$2:$H$381,$H32,Dati!$A$2:$A$381,$AL32),"-")</f>
        <v/>
      </c>
      <c r="CE32" s="22">
        <f>IF(AND($H32&lt;&gt;"",$AM32&lt;&gt;"",$H32&lt;&gt;$AM32,IFERROR(VLOOKUP($H32,areaCercaPuntiClassificaSquadra,3,FALSE),-1)=IFERROR(VLOOKUP($AM32,areaCercaPuntiClassificaSquadra,3,FALSE),-2)),SUMIFS(Dati!$D$2:$D$381,Dati!$A$2:$A$381,$H32,Dati!$H$2:$H$381,$AM32)+SUMIFS(Dati!$K$2:$K$381,Dati!$H$2:$H$381,$H32,Dati!$A$2:$A$381,$AM32)+SUMIFS(Dati!$C$2:$C$381,Dati!$A$2:$A$381,$H32,Dati!$H$2:$H$381,$AM32)+SUMIFS(Dati!$J$2:$J$381,Dati!$H$2:$H$381,$H32,Dati!$A$2:$A$381,$AM32),"-")</f>
        <v/>
      </c>
      <c r="CF32" s="22">
        <f>IF(AND($H32&lt;&gt;"",$AN32&lt;&gt;"",$H32&lt;&gt;$AN32,IFERROR(VLOOKUP($H32,areaCercaPuntiClassificaSquadra,3,FALSE),-1)=IFERROR(VLOOKUP($AN32,areaCercaPuntiClassificaSquadra,3,FALSE),-2)),SUMIFS(Dati!$D$2:$D$381,Dati!$A$2:$A$381,$H32,Dati!$H$2:$H$381,$AN32)+SUMIFS(Dati!$K$2:$K$381,Dati!$H$2:$H$381,$H32,Dati!$A$2:$A$381,$AN32)+SUMIFS(Dati!$C$2:$C$381,Dati!$A$2:$A$381,$H32,Dati!$H$2:$H$381,$AN32)+SUMIFS(Dati!$J$2:$J$381,Dati!$H$2:$H$381,$H32,Dati!$A$2:$A$381,$AN32),"-")</f>
        <v/>
      </c>
      <c r="CG32" s="22">
        <f>IF(AND($H32&lt;&gt;"",$AO32&lt;&gt;"",$H32&lt;&gt;$AO32,IFERROR(VLOOKUP($H32,areaCercaPuntiClassificaSquadra,3,FALSE),-1)=IFERROR(VLOOKUP($AO32,areaCercaPuntiClassificaSquadra,3,FALSE),-2)),SUMIFS(Dati!$D$2:$D$381,Dati!$A$2:$A$381,$H32,Dati!$H$2:$H$381,$AO32)+SUMIFS(Dati!$K$2:$K$381,Dati!$H$2:$H$381,$H32,Dati!$A$2:$A$381,$AO32)+SUMIFS(Dati!$C$2:$C$381,Dati!$A$2:$A$381,$H32,Dati!$H$2:$H$381,$AO32)+SUMIFS(Dati!$J$2:$J$381,Dati!$H$2:$H$381,$H32,Dati!$A$2:$A$381,$AO32),"-")</f>
        <v/>
      </c>
      <c r="CH32" s="22">
        <f>IF(AND($H32&lt;&gt;"",$AP32&lt;&gt;"",$H32&lt;&gt;$AP32,IFERROR(VLOOKUP($H32,areaCercaPuntiClassificaSquadra,3,FALSE),-1)=IFERROR(VLOOKUP($AP32,areaCercaPuntiClassificaSquadra,3,FALSE),-2)),SUMIFS(Dati!$D$2:$D$381,Dati!$A$2:$A$381,$H32,Dati!$H$2:$H$381,$AP32)+SUMIFS(Dati!$K$2:$K$381,Dati!$H$2:$H$381,$H32,Dati!$A$2:$A$381,$AP32)+SUMIFS(Dati!$C$2:$C$381,Dati!$A$2:$A$381,$H32,Dati!$H$2:$H$381,$AP32)+SUMIFS(Dati!$J$2:$J$381,Dati!$H$2:$H$381,$H32,Dati!$A$2:$A$381,$AP32),"-")</f>
        <v/>
      </c>
      <c r="CI32" s="22">
        <f>IF(AND($H32&lt;&gt;"",$AQ32&lt;&gt;"",$H32&lt;&gt;$AQ32,IFERROR(VLOOKUP($H32,areaCercaPuntiClassificaSquadra,3,FALSE),-1)=IFERROR(VLOOKUP($AQ32,areaCercaPuntiClassificaSquadra,3,FALSE),-2)),SUMIFS(Dati!$D$2:$D$381,Dati!$A$2:$A$381,$H32,Dati!$H$2:$H$381,$AQ32)+SUMIFS(Dati!$K$2:$K$381,Dati!$H$2:$H$381,$H32,Dati!$A$2:$A$381,$AQ32)+SUMIFS(Dati!$C$2:$C$381,Dati!$A$2:$A$381,$H32,Dati!$H$2:$H$381,$AQ32)+SUMIFS(Dati!$J$2:$J$381,Dati!$H$2:$H$381,$H32,Dati!$A$2:$A$381,$AQ32),"-")</f>
        <v/>
      </c>
      <c r="CJ32" s="22">
        <f>IF(AND($H32&lt;&gt;"",$AR32&lt;&gt;"",$H32&lt;&gt;$AR32,IFERROR(VLOOKUP($H32,areaCercaPuntiClassificaSquadra,3,FALSE),-1)=IFERROR(VLOOKUP($AR32,areaCercaPuntiClassificaSquadra,3,FALSE),-2)),SUMIFS(Dati!$D$2:$D$381,Dati!$A$2:$A$381,$H32,Dati!$H$2:$H$381,$AR32)+SUMIFS(Dati!$K$2:$K$381,Dati!$H$2:$H$381,$H32,Dati!$A$2:$A$381,$AR32)+SUMIFS(Dati!$C$2:$C$381,Dati!$A$2:$A$381,$H32,Dati!$H$2:$H$381,$AR32)+SUMIFS(Dati!$J$2:$J$381,Dati!$H$2:$H$381,$H32,Dati!$A$2:$A$381,$AR32),"-")</f>
        <v/>
      </c>
      <c r="CL32" s="21">
        <f>$C32</f>
        <v/>
      </c>
      <c r="CM32" s="22">
        <f>IF(AND($H32&lt;&gt;"",$Y32&lt;&gt;"",$H32&lt;&gt;$Y32,IFERROR(VLOOKUP($H32,areaCercaPuntiClassificaSquadra,3,FALSE),-1)=IFERROR(VLOOKUP($Y32,areaCercaPuntiClassificaSquadra,3,FALSE),-2)),SUMIFS(Dati!$E$2:$E$381,Dati!$A$2:$A$381,$H32,Dati!$H$2:$H$381,$Y32)+SUMIFS(Dati!$L$2:$L$381,Dati!$H$2:$H$381,$H32,Dati!$A$2:$A$381,$Y32),"-")</f>
        <v/>
      </c>
      <c r="CN32" s="22">
        <f>IF(AND($H32&lt;&gt;"",$Z32&lt;&gt;"",$H32&lt;&gt;$Z32,IFERROR(VLOOKUP($H32,areaCercaPuntiClassificaSquadra,3,FALSE),-1)=IFERROR(VLOOKUP($Z32,areaCercaPuntiClassificaSquadra,3,FALSE),-2)),SUMIFS(Dati!$E$2:$E$381,Dati!$A$2:$A$381,$H32,Dati!$H$2:$H$381,$Z32)+SUMIFS(Dati!$L$2:$L$381,Dati!$H$2:$H$381,$H32,Dati!$A$2:$A$381,$Z32),"-")</f>
        <v/>
      </c>
      <c r="CO32" s="22">
        <f>IF(AND($H32&lt;&gt;"",$AA32&lt;&gt;"",$H32&lt;&gt;$AA32,IFERROR(VLOOKUP($H32,areaCercaPuntiClassificaSquadra,3,FALSE),-1)=IFERROR(VLOOKUP($AA32,areaCercaPuntiClassificaSquadra,3,FALSE),-2)),SUMIFS(Dati!$E$2:$E$381,Dati!$A$2:$A$381,$H32,Dati!$H$2:$H$381,$AA32)+SUMIFS(Dati!$L$2:$L$381,Dati!$H$2:$H$381,$H32,Dati!$A$2:$A$381,$AA32),"-")</f>
        <v/>
      </c>
      <c r="CP32" s="22">
        <f>IF(AND($H32&lt;&gt;"",$AB32&lt;&gt;"",$H32&lt;&gt;$AB32,IFERROR(VLOOKUP($H32,areaCercaPuntiClassificaSquadra,3,FALSE),-1)=IFERROR(VLOOKUP($AB32,areaCercaPuntiClassificaSquadra,3,FALSE),-2)),SUMIFS(Dati!$E$2:$E$381,Dati!$A$2:$A$381,$H32,Dati!$H$2:$H$381,$AB32)+SUMIFS(Dati!$L$2:$L$381,Dati!$H$2:$H$381,$H32,Dati!$A$2:$A$381,$AB32),"-")</f>
        <v/>
      </c>
      <c r="CQ32" s="22">
        <f>IF(AND($H32&lt;&gt;"",$AC32&lt;&gt;"",$H32&lt;&gt;$AC32,IFERROR(VLOOKUP($H32,areaCercaPuntiClassificaSquadra,3,FALSE),-1)=IFERROR(VLOOKUP($AC32,areaCercaPuntiClassificaSquadra,3,FALSE),-2)),SUMIFS(Dati!$E$2:$E$381,Dati!$A$2:$A$381,$H32,Dati!$H$2:$H$381,$AC32)+SUMIFS(Dati!$L$2:$L$381,Dati!$H$2:$H$381,$H32,Dati!$A$2:$A$381,$AC32),"-")</f>
        <v/>
      </c>
      <c r="CR32" s="22">
        <f>IF(AND($H32&lt;&gt;"",$AD32&lt;&gt;"",$H32&lt;&gt;$AD32,IFERROR(VLOOKUP($H32,areaCercaPuntiClassificaSquadra,3,FALSE),-1)=IFERROR(VLOOKUP($AD32,areaCercaPuntiClassificaSquadra,3,FALSE),-2)),SUMIFS(Dati!$E$2:$E$381,Dati!$A$2:$A$381,$H32,Dati!$H$2:$H$381,$AD32)+SUMIFS(Dati!$L$2:$L$381,Dati!$H$2:$H$381,$H32,Dati!$A$2:$A$381,$AD32),"-")</f>
        <v/>
      </c>
      <c r="CS32" s="22">
        <f>IF(AND($H32&lt;&gt;"",$AE32&lt;&gt;"",$H32&lt;&gt;$AE32,IFERROR(VLOOKUP($H32,areaCercaPuntiClassificaSquadra,3,FALSE),-1)=IFERROR(VLOOKUP($AE32,areaCercaPuntiClassificaSquadra,3,FALSE),-2)),SUMIFS(Dati!$E$2:$E$381,Dati!$A$2:$A$381,$H32,Dati!$H$2:$H$381,$AE32)+SUMIFS(Dati!$L$2:$L$381,Dati!$H$2:$H$381,$H32,Dati!$A$2:$A$381,$AE32),"-")</f>
        <v/>
      </c>
      <c r="CT32" s="22">
        <f>IF(AND($H32&lt;&gt;"",$AF32&lt;&gt;"",$H32&lt;&gt;$AF32,IFERROR(VLOOKUP($H32,areaCercaPuntiClassificaSquadra,3,FALSE),-1)=IFERROR(VLOOKUP($AF32,areaCercaPuntiClassificaSquadra,3,FALSE),-2)),SUMIFS(Dati!$E$2:$E$381,Dati!$A$2:$A$381,$H32,Dati!$H$2:$H$381,$AF32)+SUMIFS(Dati!$L$2:$L$381,Dati!$H$2:$H$381,$H32,Dati!$A$2:$A$381,$AF32),"-")</f>
        <v/>
      </c>
      <c r="CU32" s="22">
        <f>IF(AND($H32&lt;&gt;"",$AG32&lt;&gt;"",$H32&lt;&gt;$AG32,IFERROR(VLOOKUP($H32,areaCercaPuntiClassificaSquadra,3,FALSE),-1)=IFERROR(VLOOKUP($AG32,areaCercaPuntiClassificaSquadra,3,FALSE),-2)),SUMIFS(Dati!$E$2:$E$381,Dati!$A$2:$A$381,$H32,Dati!$H$2:$H$381,$AG32)+SUMIFS(Dati!$L$2:$L$381,Dati!$H$2:$H$381,$H32,Dati!$A$2:$A$381,$AG32),"-")</f>
        <v/>
      </c>
      <c r="CV32" s="22">
        <f>IF(AND($H32&lt;&gt;"",$AH32&lt;&gt;"",$H32&lt;&gt;$AH32,IFERROR(VLOOKUP($H32,areaCercaPuntiClassificaSquadra,3,FALSE),-1)=IFERROR(VLOOKUP($AH32,areaCercaPuntiClassificaSquadra,3,FALSE),-2)),SUMIFS(Dati!$E$2:$E$381,Dati!$A$2:$A$381,$H32,Dati!$H$2:$H$381,$AH32)+SUMIFS(Dati!$L$2:$L$381,Dati!$H$2:$H$381,$H32,Dati!$A$2:$A$381,$AH32),"-")</f>
        <v/>
      </c>
      <c r="CW32" s="22">
        <f>IF(AND($H32&lt;&gt;"",$AI32&lt;&gt;"",$H32&lt;&gt;$AI32,IFERROR(VLOOKUP($H32,areaCercaPuntiClassificaSquadra,3,FALSE),-1)=IFERROR(VLOOKUP($AI32,areaCercaPuntiClassificaSquadra,3,FALSE),-2)),SUMIFS(Dati!$E$2:$E$381,Dati!$A$2:$A$381,$H32,Dati!$H$2:$H$381,$AI32)+SUMIFS(Dati!$L$2:$L$381,Dati!$H$2:$H$381,$H32,Dati!$A$2:$A$381,$AI32),"-")</f>
        <v/>
      </c>
      <c r="CX32" s="22">
        <f>IF(AND($H32&lt;&gt;"",$AJ32&lt;&gt;"",$H32&lt;&gt;$AJ32,IFERROR(VLOOKUP($H32,areaCercaPuntiClassificaSquadra,3,FALSE),-1)=IFERROR(VLOOKUP($AJ32,areaCercaPuntiClassificaSquadra,3,FALSE),-2)),SUMIFS(Dati!$E$2:$E$381,Dati!$A$2:$A$381,$H32,Dati!$H$2:$H$381,$AJ32)+SUMIFS(Dati!$L$2:$L$381,Dati!$H$2:$H$381,$H32,Dati!$A$2:$A$381,$AJ32),"-")</f>
        <v/>
      </c>
      <c r="CY32" s="22">
        <f>IF(AND($H32&lt;&gt;"",$AK32&lt;&gt;"",$H32&lt;&gt;$AK32,IFERROR(VLOOKUP($H32,areaCercaPuntiClassificaSquadra,3,FALSE),-1)=IFERROR(VLOOKUP($AK32,areaCercaPuntiClassificaSquadra,3,FALSE),-2)),SUMIFS(Dati!$E$2:$E$381,Dati!$A$2:$A$381,$H32,Dati!$H$2:$H$381,$AK32)+SUMIFS(Dati!$L$2:$L$381,Dati!$H$2:$H$381,$H32,Dati!$A$2:$A$381,$AK32),"-")</f>
        <v/>
      </c>
      <c r="CZ32" s="22">
        <f>IF(AND($H32&lt;&gt;"",$AL32&lt;&gt;"",$H32&lt;&gt;$AL32,IFERROR(VLOOKUP($H32,areaCercaPuntiClassificaSquadra,3,FALSE),-1)=IFERROR(VLOOKUP($AL32,areaCercaPuntiClassificaSquadra,3,FALSE),-2)),SUMIFS(Dati!$E$2:$E$381,Dati!$A$2:$A$381,$H32,Dati!$H$2:$H$381,$AL32)+SUMIFS(Dati!$L$2:$L$381,Dati!$H$2:$H$381,$H32,Dati!$A$2:$A$381,$AL32),"-")</f>
        <v/>
      </c>
      <c r="DA32" s="22">
        <f>IF(AND($H32&lt;&gt;"",$AM32&lt;&gt;"",$H32&lt;&gt;$AM32,IFERROR(VLOOKUP($H32,areaCercaPuntiClassificaSquadra,3,FALSE),-1)=IFERROR(VLOOKUP($AM32,areaCercaPuntiClassificaSquadra,3,FALSE),-2)),SUMIFS(Dati!$E$2:$E$381,Dati!$A$2:$A$381,$H32,Dati!$H$2:$H$381,$AM32)+SUMIFS(Dati!$L$2:$L$381,Dati!$H$2:$H$381,$H32,Dati!$A$2:$A$381,$AM32),"-")</f>
        <v/>
      </c>
      <c r="DB32" s="22">
        <f>IF(AND($H32&lt;&gt;"",$AN32&lt;&gt;"",$H32&lt;&gt;$AN32,IFERROR(VLOOKUP($H32,areaCercaPuntiClassificaSquadra,3,FALSE),-1)=IFERROR(VLOOKUP($AN32,areaCercaPuntiClassificaSquadra,3,FALSE),-2)),SUMIFS(Dati!$E$2:$E$381,Dati!$A$2:$A$381,$H32,Dati!$H$2:$H$381,$AN32)+SUMIFS(Dati!$L$2:$L$381,Dati!$H$2:$H$381,$H32,Dati!$A$2:$A$381,$AN32),"-")</f>
        <v/>
      </c>
      <c r="DC32" s="22">
        <f>IF(AND($H32&lt;&gt;"",$AO32&lt;&gt;"",$H32&lt;&gt;$AO32,IFERROR(VLOOKUP($H32,areaCercaPuntiClassificaSquadra,3,FALSE),-1)=IFERROR(VLOOKUP($AO32,areaCercaPuntiClassificaSquadra,3,FALSE),-2)),SUMIFS(Dati!$E$2:$E$381,Dati!$A$2:$A$381,$H32,Dati!$H$2:$H$381,$AO32)+SUMIFS(Dati!$L$2:$L$381,Dati!$H$2:$H$381,$H32,Dati!$A$2:$A$381,$AO32),"-")</f>
        <v/>
      </c>
      <c r="DD32" s="22">
        <f>IF(AND($H32&lt;&gt;"",$AP32&lt;&gt;"",$H32&lt;&gt;$AP32,IFERROR(VLOOKUP($H32,areaCercaPuntiClassificaSquadra,3,FALSE),-1)=IFERROR(VLOOKUP($AP32,areaCercaPuntiClassificaSquadra,3,FALSE),-2)),SUMIFS(Dati!$E$2:$E$381,Dati!$A$2:$A$381,$H32,Dati!$H$2:$H$381,$AP32)+SUMIFS(Dati!$L$2:$L$381,Dati!$H$2:$H$381,$H32,Dati!$A$2:$A$381,$AP32),"-")</f>
        <v/>
      </c>
      <c r="DE32" s="22">
        <f>IF(AND($H32&lt;&gt;"",$AQ32&lt;&gt;"",$H32&lt;&gt;$AQ32,IFERROR(VLOOKUP($H32,areaCercaPuntiClassificaSquadra,3,FALSE),-1)=IFERROR(VLOOKUP($AQ32,areaCercaPuntiClassificaSquadra,3,FALSE),-2)),SUMIFS(Dati!$E$2:$E$381,Dati!$A$2:$A$381,$H32,Dati!$H$2:$H$381,$AQ32)+SUMIFS(Dati!$L$2:$L$381,Dati!$H$2:$H$381,$H32,Dati!$A$2:$A$381,$AQ32),"-")</f>
        <v/>
      </c>
      <c r="DF32" s="22">
        <f>IF(AND($H32&lt;&gt;"",$AR32&lt;&gt;"",$H32&lt;&gt;$AR32,IFERROR(VLOOKUP($H32,areaCercaPuntiClassificaSquadra,3,FALSE),-1)=IFERROR(VLOOKUP($AR32,areaCercaPuntiClassificaSquadra,3,FALSE),-2)),SUMIFS(Dati!$E$2:$E$381,Dati!$A$2:$A$381,$H32,Dati!$H$2:$H$381,$AR32)+SUMIFS(Dati!$L$2:$L$381,Dati!$H$2:$H$381,$H32,Dati!$A$2:$A$381,$AR32),"-")</f>
        <v/>
      </c>
      <c r="DH32" s="21">
        <f>$C32</f>
        <v/>
      </c>
      <c r="DI32" s="22">
        <f>IF(AND($H32&lt;&gt;"",$Y32&lt;&gt;"",$H32&lt;&gt;$Y32,IFERROR(VLOOKUP($H32,areaCercaPuntiClassificaSquadra,3,FALSE),-1)=IFERROR(VLOOKUP($Y32,areaCercaPuntiClassificaSquadra,3,FALSE),-2)),SUMIFS(Dati!$F$2:$F$381,Dati!$A$2:$A$381,$H32,Dati!$H$2:$H$381,$Y32)+SUMIFS(Dati!$M$2:$M$381,Dati!$H$2:$H$381,$H32,Dati!$A$2:$A$381,$Y32),"-")</f>
        <v/>
      </c>
      <c r="DJ32" s="22">
        <f>IF(AND($H32&lt;&gt;"",$Z32&lt;&gt;"",$H32&lt;&gt;$Z32,IFERROR(VLOOKUP($H32,areaCercaPuntiClassificaSquadra,3,FALSE),-1)=IFERROR(VLOOKUP($Z32,areaCercaPuntiClassificaSquadra,3,FALSE),-2)),SUMIFS(Dati!$F$2:$F$381,Dati!$A$2:$A$381,$H32,Dati!$H$2:$H$381,$Z32)+SUMIFS(Dati!$M$2:$M$381,Dati!$H$2:$H$381,$H32,Dati!$A$2:$A$381,$Z32),"-")</f>
        <v/>
      </c>
      <c r="DK32" s="22">
        <f>IF(AND($H32&lt;&gt;"",$AA32&lt;&gt;"",$H32&lt;&gt;$AA32,IFERROR(VLOOKUP($H32,areaCercaPuntiClassificaSquadra,3,FALSE),-1)=IFERROR(VLOOKUP($AA32,areaCercaPuntiClassificaSquadra,3,FALSE),-2)),SUMIFS(Dati!$F$2:$F$381,Dati!$A$2:$A$381,$H32,Dati!$H$2:$H$381,$AA32)+SUMIFS(Dati!$M$2:$M$381,Dati!$H$2:$H$381,$H32,Dati!$A$2:$A$381,$AA32),"-")</f>
        <v/>
      </c>
      <c r="DL32" s="22">
        <f>IF(AND($H32&lt;&gt;"",$AB32&lt;&gt;"",$H32&lt;&gt;$AB32,IFERROR(VLOOKUP($H32,areaCercaPuntiClassificaSquadra,3,FALSE),-1)=IFERROR(VLOOKUP($AB32,areaCercaPuntiClassificaSquadra,3,FALSE),-2)),SUMIFS(Dati!$F$2:$F$381,Dati!$A$2:$A$381,$H32,Dati!$H$2:$H$381,$AB32)+SUMIFS(Dati!$M$2:$M$381,Dati!$H$2:$H$381,$H32,Dati!$A$2:$A$381,$AB32),"-")</f>
        <v/>
      </c>
      <c r="DM32" s="22">
        <f>IF(AND($H32&lt;&gt;"",$AC32&lt;&gt;"",$H32&lt;&gt;$AC32,IFERROR(VLOOKUP($H32,areaCercaPuntiClassificaSquadra,3,FALSE),-1)=IFERROR(VLOOKUP($AC32,areaCercaPuntiClassificaSquadra,3,FALSE),-2)),SUMIFS(Dati!$F$2:$F$381,Dati!$A$2:$A$381,$H32,Dati!$H$2:$H$381,$AC32)+SUMIFS(Dati!$M$2:$M$381,Dati!$H$2:$H$381,$H32,Dati!$A$2:$A$381,$AC32),"-")</f>
        <v/>
      </c>
      <c r="DN32" s="22">
        <f>IF(AND($H32&lt;&gt;"",$AD32&lt;&gt;"",$H32&lt;&gt;$AD32,IFERROR(VLOOKUP($H32,areaCercaPuntiClassificaSquadra,3,FALSE),-1)=IFERROR(VLOOKUP($AD32,areaCercaPuntiClassificaSquadra,3,FALSE),-2)),SUMIFS(Dati!$F$2:$F$381,Dati!$A$2:$A$381,$H32,Dati!$H$2:$H$381,$AD32)+SUMIFS(Dati!$M$2:$M$381,Dati!$H$2:$H$381,$H32,Dati!$A$2:$A$381,$AD32),"-")</f>
        <v/>
      </c>
      <c r="DO32" s="22">
        <f>IF(AND($H32&lt;&gt;"",$AE32&lt;&gt;"",$H32&lt;&gt;$AE32,IFERROR(VLOOKUP($H32,areaCercaPuntiClassificaSquadra,3,FALSE),-1)=IFERROR(VLOOKUP($AE32,areaCercaPuntiClassificaSquadra,3,FALSE),-2)),SUMIFS(Dati!$F$2:$F$381,Dati!$A$2:$A$381,$H32,Dati!$H$2:$H$381,$AE32)+SUMIFS(Dati!$M$2:$M$381,Dati!$H$2:$H$381,$H32,Dati!$A$2:$A$381,$AE32),"-")</f>
        <v/>
      </c>
      <c r="DP32" s="22">
        <f>IF(AND($H32&lt;&gt;"",$AF32&lt;&gt;"",$H32&lt;&gt;$AF32,IFERROR(VLOOKUP($H32,areaCercaPuntiClassificaSquadra,3,FALSE),-1)=IFERROR(VLOOKUP($AF32,areaCercaPuntiClassificaSquadra,3,FALSE),-2)),SUMIFS(Dati!$F$2:$F$381,Dati!$A$2:$A$381,$H32,Dati!$H$2:$H$381,$AF32)+SUMIFS(Dati!$M$2:$M$381,Dati!$H$2:$H$381,$H32,Dati!$A$2:$A$381,$AF32),"-")</f>
        <v/>
      </c>
      <c r="DQ32" s="22">
        <f>IF(AND($H32&lt;&gt;"",$AG32&lt;&gt;"",$H32&lt;&gt;$AG32,IFERROR(VLOOKUP($H32,areaCercaPuntiClassificaSquadra,3,FALSE),-1)=IFERROR(VLOOKUP($AG32,areaCercaPuntiClassificaSquadra,3,FALSE),-2)),SUMIFS(Dati!$F$2:$F$381,Dati!$A$2:$A$381,$H32,Dati!$H$2:$H$381,$AG32)+SUMIFS(Dati!$M$2:$M$381,Dati!$H$2:$H$381,$H32,Dati!$A$2:$A$381,$AG32),"-")</f>
        <v/>
      </c>
      <c r="DR32" s="22">
        <f>IF(AND($H32&lt;&gt;"",$AH32&lt;&gt;"",$H32&lt;&gt;$AH32,IFERROR(VLOOKUP($H32,areaCercaPuntiClassificaSquadra,3,FALSE),-1)=IFERROR(VLOOKUP($AH32,areaCercaPuntiClassificaSquadra,3,FALSE),-2)),SUMIFS(Dati!$F$2:$F$381,Dati!$A$2:$A$381,$H32,Dati!$H$2:$H$381,$AH32)+SUMIFS(Dati!$M$2:$M$381,Dati!$H$2:$H$381,$H32,Dati!$A$2:$A$381,$AH32),"-")</f>
        <v/>
      </c>
      <c r="DS32" s="22">
        <f>IF(AND($H32&lt;&gt;"",$AI32&lt;&gt;"",$H32&lt;&gt;$AI32,IFERROR(VLOOKUP($H32,areaCercaPuntiClassificaSquadra,3,FALSE),-1)=IFERROR(VLOOKUP($AI32,areaCercaPuntiClassificaSquadra,3,FALSE),-2)),SUMIFS(Dati!$F$2:$F$381,Dati!$A$2:$A$381,$H32,Dati!$H$2:$H$381,$AI32)+SUMIFS(Dati!$M$2:$M$381,Dati!$H$2:$H$381,$H32,Dati!$A$2:$A$381,$AI32),"-")</f>
        <v/>
      </c>
      <c r="DT32" s="22">
        <f>IF(AND($H32&lt;&gt;"",$AJ32&lt;&gt;"",$H32&lt;&gt;$AJ32,IFERROR(VLOOKUP($H32,areaCercaPuntiClassificaSquadra,3,FALSE),-1)=IFERROR(VLOOKUP($AJ32,areaCercaPuntiClassificaSquadra,3,FALSE),-2)),SUMIFS(Dati!$F$2:$F$381,Dati!$A$2:$A$381,$H32,Dati!$H$2:$H$381,$AJ32)+SUMIFS(Dati!$M$2:$M$381,Dati!$H$2:$H$381,$H32,Dati!$A$2:$A$381,$AJ32),"-")</f>
        <v/>
      </c>
      <c r="DU32" s="22">
        <f>IF(AND($H32&lt;&gt;"",$AK32&lt;&gt;"",$H32&lt;&gt;$AK32,IFERROR(VLOOKUP($H32,areaCercaPuntiClassificaSquadra,3,FALSE),-1)=IFERROR(VLOOKUP($AK32,areaCercaPuntiClassificaSquadra,3,FALSE),-2)),SUMIFS(Dati!$F$2:$F$381,Dati!$A$2:$A$381,$H32,Dati!$H$2:$H$381,$AK32)+SUMIFS(Dati!$M$2:$M$381,Dati!$H$2:$H$381,$H32,Dati!$A$2:$A$381,$AK32),"-")</f>
        <v/>
      </c>
      <c r="DV32" s="22">
        <f>IF(AND($H32&lt;&gt;"",$AL32&lt;&gt;"",$H32&lt;&gt;$AL32,IFERROR(VLOOKUP($H32,areaCercaPuntiClassificaSquadra,3,FALSE),-1)=IFERROR(VLOOKUP($AL32,areaCercaPuntiClassificaSquadra,3,FALSE),-2)),SUMIFS(Dati!$F$2:$F$381,Dati!$A$2:$A$381,$H32,Dati!$H$2:$H$381,$AL32)+SUMIFS(Dati!$M$2:$M$381,Dati!$H$2:$H$381,$H32,Dati!$A$2:$A$381,$AL32),"-")</f>
        <v/>
      </c>
      <c r="DW32" s="22">
        <f>IF(AND($H32&lt;&gt;"",$AM32&lt;&gt;"",$H32&lt;&gt;$AM32,IFERROR(VLOOKUP($H32,areaCercaPuntiClassificaSquadra,3,FALSE),-1)=IFERROR(VLOOKUP($AM32,areaCercaPuntiClassificaSquadra,3,FALSE),-2)),SUMIFS(Dati!$F$2:$F$381,Dati!$A$2:$A$381,$H32,Dati!$H$2:$H$381,$AM32)+SUMIFS(Dati!$M$2:$M$381,Dati!$H$2:$H$381,$H32,Dati!$A$2:$A$381,$AM32),"-")</f>
        <v/>
      </c>
      <c r="DX32" s="22">
        <f>IF(AND($H32&lt;&gt;"",$AN32&lt;&gt;"",$H32&lt;&gt;$AN32,IFERROR(VLOOKUP($H32,areaCercaPuntiClassificaSquadra,3,FALSE),-1)=IFERROR(VLOOKUP($AN32,areaCercaPuntiClassificaSquadra,3,FALSE),-2)),SUMIFS(Dati!$F$2:$F$381,Dati!$A$2:$A$381,$H32,Dati!$H$2:$H$381,$AN32)+SUMIFS(Dati!$M$2:$M$381,Dati!$H$2:$H$381,$H32,Dati!$A$2:$A$381,$AN32),"-")</f>
        <v/>
      </c>
      <c r="DY32" s="22">
        <f>IF(AND($H32&lt;&gt;"",$AO32&lt;&gt;"",$H32&lt;&gt;$AO32,IFERROR(VLOOKUP($H32,areaCercaPuntiClassificaSquadra,3,FALSE),-1)=IFERROR(VLOOKUP($AO32,areaCercaPuntiClassificaSquadra,3,FALSE),-2)),SUMIFS(Dati!$F$2:$F$381,Dati!$A$2:$A$381,$H32,Dati!$H$2:$H$381,$AO32)+SUMIFS(Dati!$M$2:$M$381,Dati!$H$2:$H$381,$H32,Dati!$A$2:$A$381,$AO32),"-")</f>
        <v/>
      </c>
      <c r="DZ32" s="22">
        <f>IF(AND($H32&lt;&gt;"",$AP32&lt;&gt;"",$H32&lt;&gt;$AP32,IFERROR(VLOOKUP($H32,areaCercaPuntiClassificaSquadra,3,FALSE),-1)=IFERROR(VLOOKUP($AP32,areaCercaPuntiClassificaSquadra,3,FALSE),-2)),SUMIFS(Dati!$F$2:$F$381,Dati!$A$2:$A$381,$H32,Dati!$H$2:$H$381,$AP32)+SUMIFS(Dati!$M$2:$M$381,Dati!$H$2:$H$381,$H32,Dati!$A$2:$A$381,$AP32),"-")</f>
        <v/>
      </c>
      <c r="EA32" s="22">
        <f>IF(AND($H32&lt;&gt;"",$AQ32&lt;&gt;"",$H32&lt;&gt;$AQ32,IFERROR(VLOOKUP($H32,areaCercaPuntiClassificaSquadra,3,FALSE),-1)=IFERROR(VLOOKUP($AQ32,areaCercaPuntiClassificaSquadra,3,FALSE),-2)),SUMIFS(Dati!$F$2:$F$381,Dati!$A$2:$A$381,$H32,Dati!$H$2:$H$381,$AQ32)+SUMIFS(Dati!$M$2:$M$381,Dati!$H$2:$H$381,$H32,Dati!$A$2:$A$381,$AQ32),"-")</f>
        <v/>
      </c>
      <c r="EB32" s="22">
        <f>IF(AND($H32&lt;&gt;"",$AR32&lt;&gt;"",$H32&lt;&gt;$AR32,IFERROR(VLOOKUP($H32,areaCercaPuntiClassificaSquadra,3,FALSE),-1)=IFERROR(VLOOKUP($AR32,areaCercaPuntiClassificaSquadra,3,FALSE),-2)),SUMIFS(Dati!$F$2:$F$381,Dati!$A$2:$A$381,$H32,Dati!$H$2:$H$381,$AR32)+SUMIFS(Dati!$M$2:$M$381,Dati!$H$2:$H$381,$H32,Dati!$A$2:$A$381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inlineStr">
        <is>
          <t>Condor Celeri-Condoropoli CU</t>
        </is>
      </c>
      <c r="D33" s="14" t="n"/>
      <c r="E33" s="15" t="inlineStr">
        <is>
          <t>A</t>
        </is>
      </c>
      <c r="G33" s="16">
        <f>IF($C33="","",$E33&amp;(COUNTIFS(I$14:I$53,"&gt;"&amp;I33,E$14:E$53,"="&amp;E33,C$14:C$53,"&lt;&gt;")+COUNTIFS(I$14:I$53,"="&amp;I33,H$14:H$53,"&lt;="&amp;H33,E$14:E$53,"="&amp;E33,C$14:C$53,"&lt;&gt;")))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L33*constPuntiVittoria+M33*constPuntiSconfitta+N33*constPuntiForfait+IF(D33="",0,D33)</f>
        <v/>
      </c>
      <c r="K33" s="12">
        <f>SUM(L33:N33)</f>
        <v/>
      </c>
      <c r="L33" s="12">
        <f>IF($H33="",0,SUMIF(Dati!$A$2:$A$381,$H33,Dati!$B$2:$B$381)+SUMIF(Dati!$H$2:$H$381,$H33,Dati!$I$2:$I$381))</f>
        <v/>
      </c>
      <c r="M33" s="12">
        <f>IF($H33="",0,SUMIF(Dati!$A$2:$A$381,$H33,Dati!$D$2:$D$381)+SUMIF(Dati!$H$2:$H$381,$H33,Dati!$K$2:$K$381))</f>
        <v/>
      </c>
      <c r="N33" s="12">
        <f>IF($H33="",0,SUMIF(Dati!$A$2:$A$381,$H33,Dati!$C$2:$C$381)+SUMIF(Dati!$H$2:$H$381,$H33,Dati!$J$2:$J$381))</f>
        <v/>
      </c>
      <c r="O33" s="12">
        <f>IF($H33="",0,SUMIF(Dati!$A$2:$A$381,$H33,Dati!$E$2:$E$381)+SUMIF(Dati!$H$2:$H$381,$H33,Dati!$L$2:$L$381))</f>
        <v/>
      </c>
      <c r="P33" s="12">
        <f>IF($H33="",0,SUMIF(Dati!$A$2:$A$381,$H33,Dati!$F$2:$F$381)+SUMIF(Dati!$H$2:$H$381,$H33,Dati!$M$2:$M$381))</f>
        <v/>
      </c>
      <c r="Q33" s="12">
        <f>IF($H33="",0,SUMIF(Dati!$A$2:$A$381,$H33,Dati!$G$2:$G$381)+SUMIF(Dati!$H$2:$H$381,$H33,Dati!$N$2:$N$381))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IF(COUNTIFS($E$14:$E$53,$E33,$J$14:$J$53,$J33,$C$14:$C$53,"&lt;&gt;")&lt;=1,"-",SUM(AU33:BN33)&amp;"-"&amp;SUM(BQ33:CJ33))</f>
        <v/>
      </c>
      <c r="V33" s="18">
        <f>IF(COUNTIFS($E$14:$E$53,$E33,$J$14:$J$53,$J33,$C$14:$C$53,"&lt;&gt;",$ED$14:$ED$53,$ED33)&lt;=1,"-",IF(SUM(DI33:EB33)=0,0,ROUND(SUM(CM33:DF33)/SUM(DI33:EB33),3)))</f>
        <v/>
      </c>
      <c r="W33" s="18">
        <f>IF(COUNTIFS($E$14:$E$53,$E33,$J$14:$J$53,$J33,$C$14:$C$53,"&lt;&gt;",$ED$14:$ED$53,$ED33,$V$14:$V$53,$V33)&lt;=1,"-",IF(P33=0,0,ROUND(O33/P33,3)))</f>
        <v/>
      </c>
      <c r="X33" s="19">
        <f>IF($C33="","",$E33&amp;"#"&amp;COUNTIFS($E$14:$E33,$E33,$C$14:$C33,"&lt;&gt;"))</f>
        <v/>
      </c>
      <c r="Y33" s="20">
        <f>IFERROR(INDEX($H$14:$H$53,MATCH($E33&amp;"#1",$X$14:$X$53,0)),"")</f>
        <v/>
      </c>
      <c r="Z33" s="20">
        <f>IFERROR(INDEX($H$14:$H$53,MATCH($E33&amp;"#2",$X$14:$X$53,0)),"")</f>
        <v/>
      </c>
      <c r="AA33" s="20">
        <f>IFERROR(INDEX($H$14:$H$53,MATCH($E33&amp;"#3",$X$14:$X$53,0)),"")</f>
        <v/>
      </c>
      <c r="AB33" s="20">
        <f>IFERROR(INDEX($H$14:$H$53,MATCH($E33&amp;"#4",$X$14:$X$53,0)),"")</f>
        <v/>
      </c>
      <c r="AC33" s="20">
        <f>IFERROR(INDEX($H$14:$H$53,MATCH($E33&amp;"#5",$X$14:$X$53,0)),"")</f>
        <v/>
      </c>
      <c r="AD33" s="20">
        <f>IFERROR(INDEX($H$14:$H$53,MATCH($E33&amp;"#6",$X$14:$X$53,0)),"")</f>
        <v/>
      </c>
      <c r="AE33" s="20">
        <f>IFERROR(INDEX($H$14:$H$53,MATCH($E33&amp;"#7",$X$14:$X$53,0)),"")</f>
        <v/>
      </c>
      <c r="AF33" s="20">
        <f>IFERROR(INDEX($H$14:$H$53,MATCH($E33&amp;"#8",$X$14:$X$53,0)),"")</f>
        <v/>
      </c>
      <c r="AG33" s="20">
        <f>IFERROR(INDEX($H$14:$H$53,MATCH($E33&amp;"#9",$X$14:$X$53,0)),"")</f>
        <v/>
      </c>
      <c r="AH33" s="20">
        <f>IFERROR(INDEX($H$14:$H$53,MATCH($E33&amp;"#10",$X$14:$X$53,0)),"")</f>
        <v/>
      </c>
      <c r="AI33" s="20">
        <f>IFERROR(INDEX($H$14:$H$53,MATCH($E33&amp;"#11",$X$14:$X$53,0)),"")</f>
        <v/>
      </c>
      <c r="AJ33" s="20">
        <f>IFERROR(INDEX($H$14:$H$53,MATCH($E33&amp;"#12",$X$14:$X$53,0)),"")</f>
        <v/>
      </c>
      <c r="AK33" s="20">
        <f>IFERROR(INDEX($H$14:$H$53,MATCH($E33&amp;"#13",$X$14:$X$53,0)),"")</f>
        <v/>
      </c>
      <c r="AL33" s="20">
        <f>IFERROR(INDEX($H$14:$H$53,MATCH($E33&amp;"#14",$X$14:$X$53,0)),"")</f>
        <v/>
      </c>
      <c r="AM33" s="20">
        <f>IFERROR(INDEX($H$14:$H$53,MATCH($E33&amp;"#15",$X$14:$X$53,0)),"")</f>
        <v/>
      </c>
      <c r="AN33" s="20">
        <f>IFERROR(INDEX($H$14:$H$53,MATCH($E33&amp;"#16",$X$14:$X$53,0)),"")</f>
        <v/>
      </c>
      <c r="AO33" s="20">
        <f>IFERROR(INDEX($H$14:$H$53,MATCH($E33&amp;"#17",$X$14:$X$53,0)),"")</f>
        <v/>
      </c>
      <c r="AP33" s="20">
        <f>IFERROR(INDEX($H$14:$H$53,MATCH($E33&amp;"#18",$X$14:$X$53,0)),"")</f>
        <v/>
      </c>
      <c r="AQ33" s="20">
        <f>IFERROR(INDEX($H$14:$H$53,MATCH($E33&amp;"#19",$X$14:$X$53,0)),"")</f>
        <v/>
      </c>
      <c r="AR33" s="20">
        <f>IFERROR(INDEX($H$14:$H$53,MATCH($E33&amp;"#20",$X$14:$X$53,0)),"")</f>
        <v/>
      </c>
      <c r="AT33" s="21">
        <f>$C33</f>
        <v/>
      </c>
      <c r="AU33" s="22">
        <f>IF(AND($H33&lt;&gt;"",$Y33&lt;&gt;"",$H33&lt;&gt;$Y33,IFERROR(VLOOKUP($H33,areaCercaPuntiClassificaSquadra,3,FALSE),-1)=IFERROR(VLOOKUP($Y33,areaCercaPuntiClassificaSquadra,3,FALSE),-2)),SUMIFS(Dati!$B$2:$B$381,Dati!$A$2:$A$381,$H33,Dati!$H$2:$H$381,$Y33)+SUMIFS(Dati!$I$2:$I$381,Dati!$H$2:$H$381,$H33,Dati!$A$2:$A$381,$Y33),"-")</f>
        <v/>
      </c>
      <c r="AV33" s="22">
        <f>IF(AND($H33&lt;&gt;"",$Z33&lt;&gt;"",$H33&lt;&gt;$Z33,IFERROR(VLOOKUP($H33,areaCercaPuntiClassificaSquadra,3,FALSE),-1)=IFERROR(VLOOKUP($Z33,areaCercaPuntiClassificaSquadra,3,FALSE),-2)),SUMIFS(Dati!$B$2:$B$381,Dati!$A$2:$A$381,$H33,Dati!$H$2:$H$381,$Z33)+SUMIFS(Dati!$I$2:$I$381,Dati!$H$2:$H$381,$H33,Dati!$A$2:$A$381,$Z33),"-")</f>
        <v/>
      </c>
      <c r="AW33" s="22">
        <f>IF(AND($H33&lt;&gt;"",$AA33&lt;&gt;"",$H33&lt;&gt;$AA33,IFERROR(VLOOKUP($H33,areaCercaPuntiClassificaSquadra,3,FALSE),-1)=IFERROR(VLOOKUP($AA33,areaCercaPuntiClassificaSquadra,3,FALSE),-2)),SUMIFS(Dati!$B$2:$B$381,Dati!$A$2:$A$381,$H33,Dati!$H$2:$H$381,$AA33)+SUMIFS(Dati!$I$2:$I$381,Dati!$H$2:$H$381,$H33,Dati!$A$2:$A$381,$AA33),"-")</f>
        <v/>
      </c>
      <c r="AX33" s="22">
        <f>IF(AND($H33&lt;&gt;"",$AB33&lt;&gt;"",$H33&lt;&gt;$AB33,IFERROR(VLOOKUP($H33,areaCercaPuntiClassificaSquadra,3,FALSE),-1)=IFERROR(VLOOKUP($AB33,areaCercaPuntiClassificaSquadra,3,FALSE),-2)),SUMIFS(Dati!$B$2:$B$381,Dati!$A$2:$A$381,$H33,Dati!$H$2:$H$381,$AB33)+SUMIFS(Dati!$I$2:$I$381,Dati!$H$2:$H$381,$H33,Dati!$A$2:$A$381,$AB33),"-")</f>
        <v/>
      </c>
      <c r="AY33" s="22">
        <f>IF(AND($H33&lt;&gt;"",$AC33&lt;&gt;"",$H33&lt;&gt;$AC33,IFERROR(VLOOKUP($H33,areaCercaPuntiClassificaSquadra,3,FALSE),-1)=IFERROR(VLOOKUP($AC33,areaCercaPuntiClassificaSquadra,3,FALSE),-2)),SUMIFS(Dati!$B$2:$B$381,Dati!$A$2:$A$381,$H33,Dati!$H$2:$H$381,$AC33)+SUMIFS(Dati!$I$2:$I$381,Dati!$H$2:$H$381,$H33,Dati!$A$2:$A$381,$AC33),"-")</f>
        <v/>
      </c>
      <c r="AZ33" s="22">
        <f>IF(AND($H33&lt;&gt;"",$AD33&lt;&gt;"",$H33&lt;&gt;$AD33,IFERROR(VLOOKUP($H33,areaCercaPuntiClassificaSquadra,3,FALSE),-1)=IFERROR(VLOOKUP($AD33,areaCercaPuntiClassificaSquadra,3,FALSE),-2)),SUMIFS(Dati!$B$2:$B$381,Dati!$A$2:$A$381,$H33,Dati!$H$2:$H$381,$AD33)+SUMIFS(Dati!$I$2:$I$381,Dati!$H$2:$H$381,$H33,Dati!$A$2:$A$381,$AD33),"-")</f>
        <v/>
      </c>
      <c r="BA33" s="22">
        <f>IF(AND($H33&lt;&gt;"",$AE33&lt;&gt;"",$H33&lt;&gt;$AE33,IFERROR(VLOOKUP($H33,areaCercaPuntiClassificaSquadra,3,FALSE),-1)=IFERROR(VLOOKUP($AE33,areaCercaPuntiClassificaSquadra,3,FALSE),-2)),SUMIFS(Dati!$B$2:$B$381,Dati!$A$2:$A$381,$H33,Dati!$H$2:$H$381,$AE33)+SUMIFS(Dati!$I$2:$I$381,Dati!$H$2:$H$381,$H33,Dati!$A$2:$A$381,$AE33),"-")</f>
        <v/>
      </c>
      <c r="BB33" s="22">
        <f>IF(AND($H33&lt;&gt;"",$AF33&lt;&gt;"",$H33&lt;&gt;$AF33,IFERROR(VLOOKUP($H33,areaCercaPuntiClassificaSquadra,3,FALSE),-1)=IFERROR(VLOOKUP($AF33,areaCercaPuntiClassificaSquadra,3,FALSE),-2)),SUMIFS(Dati!$B$2:$B$381,Dati!$A$2:$A$381,$H33,Dati!$H$2:$H$381,$AF33)+SUMIFS(Dati!$I$2:$I$381,Dati!$H$2:$H$381,$H33,Dati!$A$2:$A$381,$AF33),"-")</f>
        <v/>
      </c>
      <c r="BC33" s="22">
        <f>IF(AND($H33&lt;&gt;"",$AG33&lt;&gt;"",$H33&lt;&gt;$AG33,IFERROR(VLOOKUP($H33,areaCercaPuntiClassificaSquadra,3,FALSE),-1)=IFERROR(VLOOKUP($AG33,areaCercaPuntiClassificaSquadra,3,FALSE),-2)),SUMIFS(Dati!$B$2:$B$381,Dati!$A$2:$A$381,$H33,Dati!$H$2:$H$381,$AG33)+SUMIFS(Dati!$I$2:$I$381,Dati!$H$2:$H$381,$H33,Dati!$A$2:$A$381,$AG33),"-")</f>
        <v/>
      </c>
      <c r="BD33" s="22">
        <f>IF(AND($H33&lt;&gt;"",$AH33&lt;&gt;"",$H33&lt;&gt;$AH33,IFERROR(VLOOKUP($H33,areaCercaPuntiClassificaSquadra,3,FALSE),-1)=IFERROR(VLOOKUP($AH33,areaCercaPuntiClassificaSquadra,3,FALSE),-2)),SUMIFS(Dati!$B$2:$B$381,Dati!$A$2:$A$381,$H33,Dati!$H$2:$H$381,$AH33)+SUMIFS(Dati!$I$2:$I$381,Dati!$H$2:$H$381,$H33,Dati!$A$2:$A$381,$AH33),"-")</f>
        <v/>
      </c>
      <c r="BE33" s="22">
        <f>IF(AND($H33&lt;&gt;"",$AI33&lt;&gt;"",$H33&lt;&gt;$AI33,IFERROR(VLOOKUP($H33,areaCercaPuntiClassificaSquadra,3,FALSE),-1)=IFERROR(VLOOKUP($AI33,areaCercaPuntiClassificaSquadra,3,FALSE),-2)),SUMIFS(Dati!$B$2:$B$381,Dati!$A$2:$A$381,$H33,Dati!$H$2:$H$381,$AI33)+SUMIFS(Dati!$I$2:$I$381,Dati!$H$2:$H$381,$H33,Dati!$A$2:$A$381,$AI33),"-")</f>
        <v/>
      </c>
      <c r="BF33" s="22">
        <f>IF(AND($H33&lt;&gt;"",$AJ33&lt;&gt;"",$H33&lt;&gt;$AJ33,IFERROR(VLOOKUP($H33,areaCercaPuntiClassificaSquadra,3,FALSE),-1)=IFERROR(VLOOKUP($AJ33,areaCercaPuntiClassificaSquadra,3,FALSE),-2)),SUMIFS(Dati!$B$2:$B$381,Dati!$A$2:$A$381,$H33,Dati!$H$2:$H$381,$AJ33)+SUMIFS(Dati!$I$2:$I$381,Dati!$H$2:$H$381,$H33,Dati!$A$2:$A$381,$AJ33),"-")</f>
        <v/>
      </c>
      <c r="BG33" s="22">
        <f>IF(AND($H33&lt;&gt;"",$AK33&lt;&gt;"",$H33&lt;&gt;$AK33,IFERROR(VLOOKUP($H33,areaCercaPuntiClassificaSquadra,3,FALSE),-1)=IFERROR(VLOOKUP($AK33,areaCercaPuntiClassificaSquadra,3,FALSE),-2)),SUMIFS(Dati!$B$2:$B$381,Dati!$A$2:$A$381,$H33,Dati!$H$2:$H$381,$AK33)+SUMIFS(Dati!$I$2:$I$381,Dati!$H$2:$H$381,$H33,Dati!$A$2:$A$381,$AK33),"-")</f>
        <v/>
      </c>
      <c r="BH33" s="22">
        <f>IF(AND($H33&lt;&gt;"",$AL33&lt;&gt;"",$H33&lt;&gt;$AL33,IFERROR(VLOOKUP($H33,areaCercaPuntiClassificaSquadra,3,FALSE),-1)=IFERROR(VLOOKUP($AL33,areaCercaPuntiClassificaSquadra,3,FALSE),-2)),SUMIFS(Dati!$B$2:$B$381,Dati!$A$2:$A$381,$H33,Dati!$H$2:$H$381,$AL33)+SUMIFS(Dati!$I$2:$I$381,Dati!$H$2:$H$381,$H33,Dati!$A$2:$A$381,$AL33),"-")</f>
        <v/>
      </c>
      <c r="BI33" s="22">
        <f>IF(AND($H33&lt;&gt;"",$AM33&lt;&gt;"",$H33&lt;&gt;$AM33,IFERROR(VLOOKUP($H33,areaCercaPuntiClassificaSquadra,3,FALSE),-1)=IFERROR(VLOOKUP($AM33,areaCercaPuntiClassificaSquadra,3,FALSE),-2)),SUMIFS(Dati!$B$2:$B$381,Dati!$A$2:$A$381,$H33,Dati!$H$2:$H$381,$AM33)+SUMIFS(Dati!$I$2:$I$381,Dati!$H$2:$H$381,$H33,Dati!$A$2:$A$381,$AM33),"-")</f>
        <v/>
      </c>
      <c r="BJ33" s="22">
        <f>IF(AND($H33&lt;&gt;"",$AN33&lt;&gt;"",$H33&lt;&gt;$AN33,IFERROR(VLOOKUP($H33,areaCercaPuntiClassificaSquadra,3,FALSE),-1)=IFERROR(VLOOKUP($AN33,areaCercaPuntiClassificaSquadra,3,FALSE),-2)),SUMIFS(Dati!$B$2:$B$381,Dati!$A$2:$A$381,$H33,Dati!$H$2:$H$381,$AN33)+SUMIFS(Dati!$I$2:$I$381,Dati!$H$2:$H$381,$H33,Dati!$A$2:$A$381,$AN33),"-")</f>
        <v/>
      </c>
      <c r="BK33" s="22">
        <f>IF(AND($H33&lt;&gt;"",$AO33&lt;&gt;"",$H33&lt;&gt;$AO33,IFERROR(VLOOKUP($H33,areaCercaPuntiClassificaSquadra,3,FALSE),-1)=IFERROR(VLOOKUP($AO33,areaCercaPuntiClassificaSquadra,3,FALSE),-2)),SUMIFS(Dati!$B$2:$B$381,Dati!$A$2:$A$381,$H33,Dati!$H$2:$H$381,$AO33)+SUMIFS(Dati!$I$2:$I$381,Dati!$H$2:$H$381,$H33,Dati!$A$2:$A$381,$AO33),"-")</f>
        <v/>
      </c>
      <c r="BL33" s="22">
        <f>IF(AND($H33&lt;&gt;"",$AP33&lt;&gt;"",$H33&lt;&gt;$AP33,IFERROR(VLOOKUP($H33,areaCercaPuntiClassificaSquadra,3,FALSE),-1)=IFERROR(VLOOKUP($AP33,areaCercaPuntiClassificaSquadra,3,FALSE),-2)),SUMIFS(Dati!$B$2:$B$381,Dati!$A$2:$A$381,$H33,Dati!$H$2:$H$381,$AP33)+SUMIFS(Dati!$I$2:$I$381,Dati!$H$2:$H$381,$H33,Dati!$A$2:$A$381,$AP33),"-")</f>
        <v/>
      </c>
      <c r="BM33" s="22">
        <f>IF(AND($H33&lt;&gt;"",$AQ33&lt;&gt;"",$H33&lt;&gt;$AQ33,IFERROR(VLOOKUP($H33,areaCercaPuntiClassificaSquadra,3,FALSE),-1)=IFERROR(VLOOKUP($AQ33,areaCercaPuntiClassificaSquadra,3,FALSE),-2)),SUMIFS(Dati!$B$2:$B$381,Dati!$A$2:$A$381,$H33,Dati!$H$2:$H$381,$AQ33)+SUMIFS(Dati!$I$2:$I$381,Dati!$H$2:$H$381,$H33,Dati!$A$2:$A$381,$AQ33),"-")</f>
        <v/>
      </c>
      <c r="BN33" s="22">
        <f>IF(AND($H33&lt;&gt;"",$AR33&lt;&gt;"",$H33&lt;&gt;$AR33,IFERROR(VLOOKUP($H33,areaCercaPuntiClassificaSquadra,3,FALSE),-1)=IFERROR(VLOOKUP($AR33,areaCercaPuntiClassificaSquadra,3,FALSE),-2)),SUMIFS(Dati!$B$2:$B$381,Dati!$A$2:$A$381,$H33,Dati!$H$2:$H$381,$AR33)+SUMIFS(Dati!$I$2:$I$381,Dati!$H$2:$H$381,$H33,Dati!$A$2:$A$381,$AR33),"-")</f>
        <v/>
      </c>
      <c r="BP33" s="21">
        <f>$C33</f>
        <v/>
      </c>
      <c r="BQ33" s="22">
        <f>IF(AND($H33&lt;&gt;"",$Y33&lt;&gt;"",$H33&lt;&gt;$Y33,IFERROR(VLOOKUP($H33,areaCercaPuntiClassificaSquadra,3,FALSE),-1)=IFERROR(VLOOKUP($Y33,areaCercaPuntiClassificaSquadra,3,FALSE),-2)),SUMIFS(Dati!$D$2:$D$381,Dati!$A$2:$A$381,$H33,Dati!$H$2:$H$381,$Y33)+SUMIFS(Dati!$K$2:$K$381,Dati!$H$2:$H$381,$H33,Dati!$A$2:$A$381,$Y33)+SUMIFS(Dati!$C$2:$C$381,Dati!$A$2:$A$381,$H33,Dati!$H$2:$H$381,$Y33)+SUMIFS(Dati!$J$2:$J$381,Dati!$H$2:$H$381,$H33,Dati!$A$2:$A$381,$Y33),"-")</f>
        <v/>
      </c>
      <c r="BR33" s="22">
        <f>IF(AND($H33&lt;&gt;"",$Z33&lt;&gt;"",$H33&lt;&gt;$Z33,IFERROR(VLOOKUP($H33,areaCercaPuntiClassificaSquadra,3,FALSE),-1)=IFERROR(VLOOKUP($Z33,areaCercaPuntiClassificaSquadra,3,FALSE),-2)),SUMIFS(Dati!$D$2:$D$381,Dati!$A$2:$A$381,$H33,Dati!$H$2:$H$381,$Z33)+SUMIFS(Dati!$K$2:$K$381,Dati!$H$2:$H$381,$H33,Dati!$A$2:$A$381,$Z33)+SUMIFS(Dati!$C$2:$C$381,Dati!$A$2:$A$381,$H33,Dati!$H$2:$H$381,$Z33)+SUMIFS(Dati!$J$2:$J$381,Dati!$H$2:$H$381,$H33,Dati!$A$2:$A$381,$Z33),"-")</f>
        <v/>
      </c>
      <c r="BS33" s="22">
        <f>IF(AND($H33&lt;&gt;"",$AA33&lt;&gt;"",$H33&lt;&gt;$AA33,IFERROR(VLOOKUP($H33,areaCercaPuntiClassificaSquadra,3,FALSE),-1)=IFERROR(VLOOKUP($AA33,areaCercaPuntiClassificaSquadra,3,FALSE),-2)),SUMIFS(Dati!$D$2:$D$381,Dati!$A$2:$A$381,$H33,Dati!$H$2:$H$381,$AA33)+SUMIFS(Dati!$K$2:$K$381,Dati!$H$2:$H$381,$H33,Dati!$A$2:$A$381,$AA33)+SUMIFS(Dati!$C$2:$C$381,Dati!$A$2:$A$381,$H33,Dati!$H$2:$H$381,$AA33)+SUMIFS(Dati!$J$2:$J$381,Dati!$H$2:$H$381,$H33,Dati!$A$2:$A$381,$AA33),"-")</f>
        <v/>
      </c>
      <c r="BT33" s="22">
        <f>IF(AND($H33&lt;&gt;"",$AB33&lt;&gt;"",$H33&lt;&gt;$AB33,IFERROR(VLOOKUP($H33,areaCercaPuntiClassificaSquadra,3,FALSE),-1)=IFERROR(VLOOKUP($AB33,areaCercaPuntiClassificaSquadra,3,FALSE),-2)),SUMIFS(Dati!$D$2:$D$381,Dati!$A$2:$A$381,$H33,Dati!$H$2:$H$381,$AB33)+SUMIFS(Dati!$K$2:$K$381,Dati!$H$2:$H$381,$H33,Dati!$A$2:$A$381,$AB33)+SUMIFS(Dati!$C$2:$C$381,Dati!$A$2:$A$381,$H33,Dati!$H$2:$H$381,$AB33)+SUMIFS(Dati!$J$2:$J$381,Dati!$H$2:$H$381,$H33,Dati!$A$2:$A$381,$AB33),"-")</f>
        <v/>
      </c>
      <c r="BU33" s="22">
        <f>IF(AND($H33&lt;&gt;"",$AC33&lt;&gt;"",$H33&lt;&gt;$AC33,IFERROR(VLOOKUP($H33,areaCercaPuntiClassificaSquadra,3,FALSE),-1)=IFERROR(VLOOKUP($AC33,areaCercaPuntiClassificaSquadra,3,FALSE),-2)),SUMIFS(Dati!$D$2:$D$381,Dati!$A$2:$A$381,$H33,Dati!$H$2:$H$381,$AC33)+SUMIFS(Dati!$K$2:$K$381,Dati!$H$2:$H$381,$H33,Dati!$A$2:$A$381,$AC33)+SUMIFS(Dati!$C$2:$C$381,Dati!$A$2:$A$381,$H33,Dati!$H$2:$H$381,$AC33)+SUMIFS(Dati!$J$2:$J$381,Dati!$H$2:$H$381,$H33,Dati!$A$2:$A$381,$AC33),"-")</f>
        <v/>
      </c>
      <c r="BV33" s="22">
        <f>IF(AND($H33&lt;&gt;"",$AD33&lt;&gt;"",$H33&lt;&gt;$AD33,IFERROR(VLOOKUP($H33,areaCercaPuntiClassificaSquadra,3,FALSE),-1)=IFERROR(VLOOKUP($AD33,areaCercaPuntiClassificaSquadra,3,FALSE),-2)),SUMIFS(Dati!$D$2:$D$381,Dati!$A$2:$A$381,$H33,Dati!$H$2:$H$381,$AD33)+SUMIFS(Dati!$K$2:$K$381,Dati!$H$2:$H$381,$H33,Dati!$A$2:$A$381,$AD33)+SUMIFS(Dati!$C$2:$C$381,Dati!$A$2:$A$381,$H33,Dati!$H$2:$H$381,$AD33)+SUMIFS(Dati!$J$2:$J$381,Dati!$H$2:$H$381,$H33,Dati!$A$2:$A$381,$AD33),"-")</f>
        <v/>
      </c>
      <c r="BW33" s="22">
        <f>IF(AND($H33&lt;&gt;"",$AE33&lt;&gt;"",$H33&lt;&gt;$AE33,IFERROR(VLOOKUP($H33,areaCercaPuntiClassificaSquadra,3,FALSE),-1)=IFERROR(VLOOKUP($AE33,areaCercaPuntiClassificaSquadra,3,FALSE),-2)),SUMIFS(Dati!$D$2:$D$381,Dati!$A$2:$A$381,$H33,Dati!$H$2:$H$381,$AE33)+SUMIFS(Dati!$K$2:$K$381,Dati!$H$2:$H$381,$H33,Dati!$A$2:$A$381,$AE33)+SUMIFS(Dati!$C$2:$C$381,Dati!$A$2:$A$381,$H33,Dati!$H$2:$H$381,$AE33)+SUMIFS(Dati!$J$2:$J$381,Dati!$H$2:$H$381,$H33,Dati!$A$2:$A$381,$AE33),"-")</f>
        <v/>
      </c>
      <c r="BX33" s="22">
        <f>IF(AND($H33&lt;&gt;"",$AF33&lt;&gt;"",$H33&lt;&gt;$AF33,IFERROR(VLOOKUP($H33,areaCercaPuntiClassificaSquadra,3,FALSE),-1)=IFERROR(VLOOKUP($AF33,areaCercaPuntiClassificaSquadra,3,FALSE),-2)),SUMIFS(Dati!$D$2:$D$381,Dati!$A$2:$A$381,$H33,Dati!$H$2:$H$381,$AF33)+SUMIFS(Dati!$K$2:$K$381,Dati!$H$2:$H$381,$H33,Dati!$A$2:$A$381,$AF33)+SUMIFS(Dati!$C$2:$C$381,Dati!$A$2:$A$381,$H33,Dati!$H$2:$H$381,$AF33)+SUMIFS(Dati!$J$2:$J$381,Dati!$H$2:$H$381,$H33,Dati!$A$2:$A$381,$AF33),"-")</f>
        <v/>
      </c>
      <c r="BY33" s="22">
        <f>IF(AND($H33&lt;&gt;"",$AG33&lt;&gt;"",$H33&lt;&gt;$AG33,IFERROR(VLOOKUP($H33,areaCercaPuntiClassificaSquadra,3,FALSE),-1)=IFERROR(VLOOKUP($AG33,areaCercaPuntiClassificaSquadra,3,FALSE),-2)),SUMIFS(Dati!$D$2:$D$381,Dati!$A$2:$A$381,$H33,Dati!$H$2:$H$381,$AG33)+SUMIFS(Dati!$K$2:$K$381,Dati!$H$2:$H$381,$H33,Dati!$A$2:$A$381,$AG33)+SUMIFS(Dati!$C$2:$C$381,Dati!$A$2:$A$381,$H33,Dati!$H$2:$H$381,$AG33)+SUMIFS(Dati!$J$2:$J$381,Dati!$H$2:$H$381,$H33,Dati!$A$2:$A$381,$AG33),"-")</f>
        <v/>
      </c>
      <c r="BZ33" s="22">
        <f>IF(AND($H33&lt;&gt;"",$AH33&lt;&gt;"",$H33&lt;&gt;$AH33,IFERROR(VLOOKUP($H33,areaCercaPuntiClassificaSquadra,3,FALSE),-1)=IFERROR(VLOOKUP($AH33,areaCercaPuntiClassificaSquadra,3,FALSE),-2)),SUMIFS(Dati!$D$2:$D$381,Dati!$A$2:$A$381,$H33,Dati!$H$2:$H$381,$AH33)+SUMIFS(Dati!$K$2:$K$381,Dati!$H$2:$H$381,$H33,Dati!$A$2:$A$381,$AH33)+SUMIFS(Dati!$C$2:$C$381,Dati!$A$2:$A$381,$H33,Dati!$H$2:$H$381,$AH33)+SUMIFS(Dati!$J$2:$J$381,Dati!$H$2:$H$381,$H33,Dati!$A$2:$A$381,$AH33),"-")</f>
        <v/>
      </c>
      <c r="CA33" s="22">
        <f>IF(AND($H33&lt;&gt;"",$AI33&lt;&gt;"",$H33&lt;&gt;$AI33,IFERROR(VLOOKUP($H33,areaCercaPuntiClassificaSquadra,3,FALSE),-1)=IFERROR(VLOOKUP($AI33,areaCercaPuntiClassificaSquadra,3,FALSE),-2)),SUMIFS(Dati!$D$2:$D$381,Dati!$A$2:$A$381,$H33,Dati!$H$2:$H$381,$AI33)+SUMIFS(Dati!$K$2:$K$381,Dati!$H$2:$H$381,$H33,Dati!$A$2:$A$381,$AI33)+SUMIFS(Dati!$C$2:$C$381,Dati!$A$2:$A$381,$H33,Dati!$H$2:$H$381,$AI33)+SUMIFS(Dati!$J$2:$J$381,Dati!$H$2:$H$381,$H33,Dati!$A$2:$A$381,$AI33),"-")</f>
        <v/>
      </c>
      <c r="CB33" s="22">
        <f>IF(AND($H33&lt;&gt;"",$AJ33&lt;&gt;"",$H33&lt;&gt;$AJ33,IFERROR(VLOOKUP($H33,areaCercaPuntiClassificaSquadra,3,FALSE),-1)=IFERROR(VLOOKUP($AJ33,areaCercaPuntiClassificaSquadra,3,FALSE),-2)),SUMIFS(Dati!$D$2:$D$381,Dati!$A$2:$A$381,$H33,Dati!$H$2:$H$381,$AJ33)+SUMIFS(Dati!$K$2:$K$381,Dati!$H$2:$H$381,$H33,Dati!$A$2:$A$381,$AJ33)+SUMIFS(Dati!$C$2:$C$381,Dati!$A$2:$A$381,$H33,Dati!$H$2:$H$381,$AJ33)+SUMIFS(Dati!$J$2:$J$381,Dati!$H$2:$H$381,$H33,Dati!$A$2:$A$381,$AJ33),"-")</f>
        <v/>
      </c>
      <c r="CC33" s="22">
        <f>IF(AND($H33&lt;&gt;"",$AK33&lt;&gt;"",$H33&lt;&gt;$AK33,IFERROR(VLOOKUP($H33,areaCercaPuntiClassificaSquadra,3,FALSE),-1)=IFERROR(VLOOKUP($AK33,areaCercaPuntiClassificaSquadra,3,FALSE),-2)),SUMIFS(Dati!$D$2:$D$381,Dati!$A$2:$A$381,$H33,Dati!$H$2:$H$381,$AK33)+SUMIFS(Dati!$K$2:$K$381,Dati!$H$2:$H$381,$H33,Dati!$A$2:$A$381,$AK33)+SUMIFS(Dati!$C$2:$C$381,Dati!$A$2:$A$381,$H33,Dati!$H$2:$H$381,$AK33)+SUMIFS(Dati!$J$2:$J$381,Dati!$H$2:$H$381,$H33,Dati!$A$2:$A$381,$AK33),"-")</f>
        <v/>
      </c>
      <c r="CD33" s="22">
        <f>IF(AND($H33&lt;&gt;"",$AL33&lt;&gt;"",$H33&lt;&gt;$AL33,IFERROR(VLOOKUP($H33,areaCercaPuntiClassificaSquadra,3,FALSE),-1)=IFERROR(VLOOKUP($AL33,areaCercaPuntiClassificaSquadra,3,FALSE),-2)),SUMIFS(Dati!$D$2:$D$381,Dati!$A$2:$A$381,$H33,Dati!$H$2:$H$381,$AL33)+SUMIFS(Dati!$K$2:$K$381,Dati!$H$2:$H$381,$H33,Dati!$A$2:$A$381,$AL33)+SUMIFS(Dati!$C$2:$C$381,Dati!$A$2:$A$381,$H33,Dati!$H$2:$H$381,$AL33)+SUMIFS(Dati!$J$2:$J$381,Dati!$H$2:$H$381,$H33,Dati!$A$2:$A$381,$AL33),"-")</f>
        <v/>
      </c>
      <c r="CE33" s="22">
        <f>IF(AND($H33&lt;&gt;"",$AM33&lt;&gt;"",$H33&lt;&gt;$AM33,IFERROR(VLOOKUP($H33,areaCercaPuntiClassificaSquadra,3,FALSE),-1)=IFERROR(VLOOKUP($AM33,areaCercaPuntiClassificaSquadra,3,FALSE),-2)),SUMIFS(Dati!$D$2:$D$381,Dati!$A$2:$A$381,$H33,Dati!$H$2:$H$381,$AM33)+SUMIFS(Dati!$K$2:$K$381,Dati!$H$2:$H$381,$H33,Dati!$A$2:$A$381,$AM33)+SUMIFS(Dati!$C$2:$C$381,Dati!$A$2:$A$381,$H33,Dati!$H$2:$H$381,$AM33)+SUMIFS(Dati!$J$2:$J$381,Dati!$H$2:$H$381,$H33,Dati!$A$2:$A$381,$AM33),"-")</f>
        <v/>
      </c>
      <c r="CF33" s="22">
        <f>IF(AND($H33&lt;&gt;"",$AN33&lt;&gt;"",$H33&lt;&gt;$AN33,IFERROR(VLOOKUP($H33,areaCercaPuntiClassificaSquadra,3,FALSE),-1)=IFERROR(VLOOKUP($AN33,areaCercaPuntiClassificaSquadra,3,FALSE),-2)),SUMIFS(Dati!$D$2:$D$381,Dati!$A$2:$A$381,$H33,Dati!$H$2:$H$381,$AN33)+SUMIFS(Dati!$K$2:$K$381,Dati!$H$2:$H$381,$H33,Dati!$A$2:$A$381,$AN33)+SUMIFS(Dati!$C$2:$C$381,Dati!$A$2:$A$381,$H33,Dati!$H$2:$H$381,$AN33)+SUMIFS(Dati!$J$2:$J$381,Dati!$H$2:$H$381,$H33,Dati!$A$2:$A$381,$AN33),"-")</f>
        <v/>
      </c>
      <c r="CG33" s="22">
        <f>IF(AND($H33&lt;&gt;"",$AO33&lt;&gt;"",$H33&lt;&gt;$AO33,IFERROR(VLOOKUP($H33,areaCercaPuntiClassificaSquadra,3,FALSE),-1)=IFERROR(VLOOKUP($AO33,areaCercaPuntiClassificaSquadra,3,FALSE),-2)),SUMIFS(Dati!$D$2:$D$381,Dati!$A$2:$A$381,$H33,Dati!$H$2:$H$381,$AO33)+SUMIFS(Dati!$K$2:$K$381,Dati!$H$2:$H$381,$H33,Dati!$A$2:$A$381,$AO33)+SUMIFS(Dati!$C$2:$C$381,Dati!$A$2:$A$381,$H33,Dati!$H$2:$H$381,$AO33)+SUMIFS(Dati!$J$2:$J$381,Dati!$H$2:$H$381,$H33,Dati!$A$2:$A$381,$AO33),"-")</f>
        <v/>
      </c>
      <c r="CH33" s="22">
        <f>IF(AND($H33&lt;&gt;"",$AP33&lt;&gt;"",$H33&lt;&gt;$AP33,IFERROR(VLOOKUP($H33,areaCercaPuntiClassificaSquadra,3,FALSE),-1)=IFERROR(VLOOKUP($AP33,areaCercaPuntiClassificaSquadra,3,FALSE),-2)),SUMIFS(Dati!$D$2:$D$381,Dati!$A$2:$A$381,$H33,Dati!$H$2:$H$381,$AP33)+SUMIFS(Dati!$K$2:$K$381,Dati!$H$2:$H$381,$H33,Dati!$A$2:$A$381,$AP33)+SUMIFS(Dati!$C$2:$C$381,Dati!$A$2:$A$381,$H33,Dati!$H$2:$H$381,$AP33)+SUMIFS(Dati!$J$2:$J$381,Dati!$H$2:$H$381,$H33,Dati!$A$2:$A$381,$AP33),"-")</f>
        <v/>
      </c>
      <c r="CI33" s="22">
        <f>IF(AND($H33&lt;&gt;"",$AQ33&lt;&gt;"",$H33&lt;&gt;$AQ33,IFERROR(VLOOKUP($H33,areaCercaPuntiClassificaSquadra,3,FALSE),-1)=IFERROR(VLOOKUP($AQ33,areaCercaPuntiClassificaSquadra,3,FALSE),-2)),SUMIFS(Dati!$D$2:$D$381,Dati!$A$2:$A$381,$H33,Dati!$H$2:$H$381,$AQ33)+SUMIFS(Dati!$K$2:$K$381,Dati!$H$2:$H$381,$H33,Dati!$A$2:$A$381,$AQ33)+SUMIFS(Dati!$C$2:$C$381,Dati!$A$2:$A$381,$H33,Dati!$H$2:$H$381,$AQ33)+SUMIFS(Dati!$J$2:$J$381,Dati!$H$2:$H$381,$H33,Dati!$A$2:$A$381,$AQ33),"-")</f>
        <v/>
      </c>
      <c r="CJ33" s="22">
        <f>IF(AND($H33&lt;&gt;"",$AR33&lt;&gt;"",$H33&lt;&gt;$AR33,IFERROR(VLOOKUP($H33,areaCercaPuntiClassificaSquadra,3,FALSE),-1)=IFERROR(VLOOKUP($AR33,areaCercaPuntiClassificaSquadra,3,FALSE),-2)),SUMIFS(Dati!$D$2:$D$381,Dati!$A$2:$A$381,$H33,Dati!$H$2:$H$381,$AR33)+SUMIFS(Dati!$K$2:$K$381,Dati!$H$2:$H$381,$H33,Dati!$A$2:$A$381,$AR33)+SUMIFS(Dati!$C$2:$C$381,Dati!$A$2:$A$381,$H33,Dati!$H$2:$H$381,$AR33)+SUMIFS(Dati!$J$2:$J$381,Dati!$H$2:$H$381,$H33,Dati!$A$2:$A$381,$AR33),"-")</f>
        <v/>
      </c>
      <c r="CL33" s="21">
        <f>$C33</f>
        <v/>
      </c>
      <c r="CM33" s="22">
        <f>IF(AND($H33&lt;&gt;"",$Y33&lt;&gt;"",$H33&lt;&gt;$Y33,IFERROR(VLOOKUP($H33,areaCercaPuntiClassificaSquadra,3,FALSE),-1)=IFERROR(VLOOKUP($Y33,areaCercaPuntiClassificaSquadra,3,FALSE),-2)),SUMIFS(Dati!$E$2:$E$381,Dati!$A$2:$A$381,$H33,Dati!$H$2:$H$381,$Y33)+SUMIFS(Dati!$L$2:$L$381,Dati!$H$2:$H$381,$H33,Dati!$A$2:$A$381,$Y33),"-")</f>
        <v/>
      </c>
      <c r="CN33" s="22">
        <f>IF(AND($H33&lt;&gt;"",$Z33&lt;&gt;"",$H33&lt;&gt;$Z33,IFERROR(VLOOKUP($H33,areaCercaPuntiClassificaSquadra,3,FALSE),-1)=IFERROR(VLOOKUP($Z33,areaCercaPuntiClassificaSquadra,3,FALSE),-2)),SUMIFS(Dati!$E$2:$E$381,Dati!$A$2:$A$381,$H33,Dati!$H$2:$H$381,$Z33)+SUMIFS(Dati!$L$2:$L$381,Dati!$H$2:$H$381,$H33,Dati!$A$2:$A$381,$Z33),"-")</f>
        <v/>
      </c>
      <c r="CO33" s="22">
        <f>IF(AND($H33&lt;&gt;"",$AA33&lt;&gt;"",$H33&lt;&gt;$AA33,IFERROR(VLOOKUP($H33,areaCercaPuntiClassificaSquadra,3,FALSE),-1)=IFERROR(VLOOKUP($AA33,areaCercaPuntiClassificaSquadra,3,FALSE),-2)),SUMIFS(Dati!$E$2:$E$381,Dati!$A$2:$A$381,$H33,Dati!$H$2:$H$381,$AA33)+SUMIFS(Dati!$L$2:$L$381,Dati!$H$2:$H$381,$H33,Dati!$A$2:$A$381,$AA33),"-")</f>
        <v/>
      </c>
      <c r="CP33" s="22">
        <f>IF(AND($H33&lt;&gt;"",$AB33&lt;&gt;"",$H33&lt;&gt;$AB33,IFERROR(VLOOKUP($H33,areaCercaPuntiClassificaSquadra,3,FALSE),-1)=IFERROR(VLOOKUP($AB33,areaCercaPuntiClassificaSquadra,3,FALSE),-2)),SUMIFS(Dati!$E$2:$E$381,Dati!$A$2:$A$381,$H33,Dati!$H$2:$H$381,$AB33)+SUMIFS(Dati!$L$2:$L$381,Dati!$H$2:$H$381,$H33,Dati!$A$2:$A$381,$AB33),"-")</f>
        <v/>
      </c>
      <c r="CQ33" s="22">
        <f>IF(AND($H33&lt;&gt;"",$AC33&lt;&gt;"",$H33&lt;&gt;$AC33,IFERROR(VLOOKUP($H33,areaCercaPuntiClassificaSquadra,3,FALSE),-1)=IFERROR(VLOOKUP($AC33,areaCercaPuntiClassificaSquadra,3,FALSE),-2)),SUMIFS(Dati!$E$2:$E$381,Dati!$A$2:$A$381,$H33,Dati!$H$2:$H$381,$AC33)+SUMIFS(Dati!$L$2:$L$381,Dati!$H$2:$H$381,$H33,Dati!$A$2:$A$381,$AC33),"-")</f>
        <v/>
      </c>
      <c r="CR33" s="22">
        <f>IF(AND($H33&lt;&gt;"",$AD33&lt;&gt;"",$H33&lt;&gt;$AD33,IFERROR(VLOOKUP($H33,areaCercaPuntiClassificaSquadra,3,FALSE),-1)=IFERROR(VLOOKUP($AD33,areaCercaPuntiClassificaSquadra,3,FALSE),-2)),SUMIFS(Dati!$E$2:$E$381,Dati!$A$2:$A$381,$H33,Dati!$H$2:$H$381,$AD33)+SUMIFS(Dati!$L$2:$L$381,Dati!$H$2:$H$381,$H33,Dati!$A$2:$A$381,$AD33),"-")</f>
        <v/>
      </c>
      <c r="CS33" s="22">
        <f>IF(AND($H33&lt;&gt;"",$AE33&lt;&gt;"",$H33&lt;&gt;$AE33,IFERROR(VLOOKUP($H33,areaCercaPuntiClassificaSquadra,3,FALSE),-1)=IFERROR(VLOOKUP($AE33,areaCercaPuntiClassificaSquadra,3,FALSE),-2)),SUMIFS(Dati!$E$2:$E$381,Dati!$A$2:$A$381,$H33,Dati!$H$2:$H$381,$AE33)+SUMIFS(Dati!$L$2:$L$381,Dati!$H$2:$H$381,$H33,Dati!$A$2:$A$381,$AE33),"-")</f>
        <v/>
      </c>
      <c r="CT33" s="22">
        <f>IF(AND($H33&lt;&gt;"",$AF33&lt;&gt;"",$H33&lt;&gt;$AF33,IFERROR(VLOOKUP($H33,areaCercaPuntiClassificaSquadra,3,FALSE),-1)=IFERROR(VLOOKUP($AF33,areaCercaPuntiClassificaSquadra,3,FALSE),-2)),SUMIFS(Dati!$E$2:$E$381,Dati!$A$2:$A$381,$H33,Dati!$H$2:$H$381,$AF33)+SUMIFS(Dati!$L$2:$L$381,Dati!$H$2:$H$381,$H33,Dati!$A$2:$A$381,$AF33),"-")</f>
        <v/>
      </c>
      <c r="CU33" s="22">
        <f>IF(AND($H33&lt;&gt;"",$AG33&lt;&gt;"",$H33&lt;&gt;$AG33,IFERROR(VLOOKUP($H33,areaCercaPuntiClassificaSquadra,3,FALSE),-1)=IFERROR(VLOOKUP($AG33,areaCercaPuntiClassificaSquadra,3,FALSE),-2)),SUMIFS(Dati!$E$2:$E$381,Dati!$A$2:$A$381,$H33,Dati!$H$2:$H$381,$AG33)+SUMIFS(Dati!$L$2:$L$381,Dati!$H$2:$H$381,$H33,Dati!$A$2:$A$381,$AG33),"-")</f>
        <v/>
      </c>
      <c r="CV33" s="22">
        <f>IF(AND($H33&lt;&gt;"",$AH33&lt;&gt;"",$H33&lt;&gt;$AH33,IFERROR(VLOOKUP($H33,areaCercaPuntiClassificaSquadra,3,FALSE),-1)=IFERROR(VLOOKUP($AH33,areaCercaPuntiClassificaSquadra,3,FALSE),-2)),SUMIFS(Dati!$E$2:$E$381,Dati!$A$2:$A$381,$H33,Dati!$H$2:$H$381,$AH33)+SUMIFS(Dati!$L$2:$L$381,Dati!$H$2:$H$381,$H33,Dati!$A$2:$A$381,$AH33),"-")</f>
        <v/>
      </c>
      <c r="CW33" s="22">
        <f>IF(AND($H33&lt;&gt;"",$AI33&lt;&gt;"",$H33&lt;&gt;$AI33,IFERROR(VLOOKUP($H33,areaCercaPuntiClassificaSquadra,3,FALSE),-1)=IFERROR(VLOOKUP($AI33,areaCercaPuntiClassificaSquadra,3,FALSE),-2)),SUMIFS(Dati!$E$2:$E$381,Dati!$A$2:$A$381,$H33,Dati!$H$2:$H$381,$AI33)+SUMIFS(Dati!$L$2:$L$381,Dati!$H$2:$H$381,$H33,Dati!$A$2:$A$381,$AI33),"-")</f>
        <v/>
      </c>
      <c r="CX33" s="22">
        <f>IF(AND($H33&lt;&gt;"",$AJ33&lt;&gt;"",$H33&lt;&gt;$AJ33,IFERROR(VLOOKUP($H33,areaCercaPuntiClassificaSquadra,3,FALSE),-1)=IFERROR(VLOOKUP($AJ33,areaCercaPuntiClassificaSquadra,3,FALSE),-2)),SUMIFS(Dati!$E$2:$E$381,Dati!$A$2:$A$381,$H33,Dati!$H$2:$H$381,$AJ33)+SUMIFS(Dati!$L$2:$L$381,Dati!$H$2:$H$381,$H33,Dati!$A$2:$A$381,$AJ33),"-")</f>
        <v/>
      </c>
      <c r="CY33" s="22">
        <f>IF(AND($H33&lt;&gt;"",$AK33&lt;&gt;"",$H33&lt;&gt;$AK33,IFERROR(VLOOKUP($H33,areaCercaPuntiClassificaSquadra,3,FALSE),-1)=IFERROR(VLOOKUP($AK33,areaCercaPuntiClassificaSquadra,3,FALSE),-2)),SUMIFS(Dati!$E$2:$E$381,Dati!$A$2:$A$381,$H33,Dati!$H$2:$H$381,$AK33)+SUMIFS(Dati!$L$2:$L$381,Dati!$H$2:$H$381,$H33,Dati!$A$2:$A$381,$AK33),"-")</f>
        <v/>
      </c>
      <c r="CZ33" s="22">
        <f>IF(AND($H33&lt;&gt;"",$AL33&lt;&gt;"",$H33&lt;&gt;$AL33,IFERROR(VLOOKUP($H33,areaCercaPuntiClassificaSquadra,3,FALSE),-1)=IFERROR(VLOOKUP($AL33,areaCercaPuntiClassificaSquadra,3,FALSE),-2)),SUMIFS(Dati!$E$2:$E$381,Dati!$A$2:$A$381,$H33,Dati!$H$2:$H$381,$AL33)+SUMIFS(Dati!$L$2:$L$381,Dati!$H$2:$H$381,$H33,Dati!$A$2:$A$381,$AL33),"-")</f>
        <v/>
      </c>
      <c r="DA33" s="22">
        <f>IF(AND($H33&lt;&gt;"",$AM33&lt;&gt;"",$H33&lt;&gt;$AM33,IFERROR(VLOOKUP($H33,areaCercaPuntiClassificaSquadra,3,FALSE),-1)=IFERROR(VLOOKUP($AM33,areaCercaPuntiClassificaSquadra,3,FALSE),-2)),SUMIFS(Dati!$E$2:$E$381,Dati!$A$2:$A$381,$H33,Dati!$H$2:$H$381,$AM33)+SUMIFS(Dati!$L$2:$L$381,Dati!$H$2:$H$381,$H33,Dati!$A$2:$A$381,$AM33),"-")</f>
        <v/>
      </c>
      <c r="DB33" s="22">
        <f>IF(AND($H33&lt;&gt;"",$AN33&lt;&gt;"",$H33&lt;&gt;$AN33,IFERROR(VLOOKUP($H33,areaCercaPuntiClassificaSquadra,3,FALSE),-1)=IFERROR(VLOOKUP($AN33,areaCercaPuntiClassificaSquadra,3,FALSE),-2)),SUMIFS(Dati!$E$2:$E$381,Dati!$A$2:$A$381,$H33,Dati!$H$2:$H$381,$AN33)+SUMIFS(Dati!$L$2:$L$381,Dati!$H$2:$H$381,$H33,Dati!$A$2:$A$381,$AN33),"-")</f>
        <v/>
      </c>
      <c r="DC33" s="22">
        <f>IF(AND($H33&lt;&gt;"",$AO33&lt;&gt;"",$H33&lt;&gt;$AO33,IFERROR(VLOOKUP($H33,areaCercaPuntiClassificaSquadra,3,FALSE),-1)=IFERROR(VLOOKUP($AO33,areaCercaPuntiClassificaSquadra,3,FALSE),-2)),SUMIFS(Dati!$E$2:$E$381,Dati!$A$2:$A$381,$H33,Dati!$H$2:$H$381,$AO33)+SUMIFS(Dati!$L$2:$L$381,Dati!$H$2:$H$381,$H33,Dati!$A$2:$A$381,$AO33),"-")</f>
        <v/>
      </c>
      <c r="DD33" s="22">
        <f>IF(AND($H33&lt;&gt;"",$AP33&lt;&gt;"",$H33&lt;&gt;$AP33,IFERROR(VLOOKUP($H33,areaCercaPuntiClassificaSquadra,3,FALSE),-1)=IFERROR(VLOOKUP($AP33,areaCercaPuntiClassificaSquadra,3,FALSE),-2)),SUMIFS(Dati!$E$2:$E$381,Dati!$A$2:$A$381,$H33,Dati!$H$2:$H$381,$AP33)+SUMIFS(Dati!$L$2:$L$381,Dati!$H$2:$H$381,$H33,Dati!$A$2:$A$381,$AP33),"-")</f>
        <v/>
      </c>
      <c r="DE33" s="22">
        <f>IF(AND($H33&lt;&gt;"",$AQ33&lt;&gt;"",$H33&lt;&gt;$AQ33,IFERROR(VLOOKUP($H33,areaCercaPuntiClassificaSquadra,3,FALSE),-1)=IFERROR(VLOOKUP($AQ33,areaCercaPuntiClassificaSquadra,3,FALSE),-2)),SUMIFS(Dati!$E$2:$E$381,Dati!$A$2:$A$381,$H33,Dati!$H$2:$H$381,$AQ33)+SUMIFS(Dati!$L$2:$L$381,Dati!$H$2:$H$381,$H33,Dati!$A$2:$A$381,$AQ33),"-")</f>
        <v/>
      </c>
      <c r="DF33" s="22">
        <f>IF(AND($H33&lt;&gt;"",$AR33&lt;&gt;"",$H33&lt;&gt;$AR33,IFERROR(VLOOKUP($H33,areaCercaPuntiClassificaSquadra,3,FALSE),-1)=IFERROR(VLOOKUP($AR33,areaCercaPuntiClassificaSquadra,3,FALSE),-2)),SUMIFS(Dati!$E$2:$E$381,Dati!$A$2:$A$381,$H33,Dati!$H$2:$H$381,$AR33)+SUMIFS(Dati!$L$2:$L$381,Dati!$H$2:$H$381,$H33,Dati!$A$2:$A$381,$AR33),"-")</f>
        <v/>
      </c>
      <c r="DH33" s="21">
        <f>$C33</f>
        <v/>
      </c>
      <c r="DI33" s="22">
        <f>IF(AND($H33&lt;&gt;"",$Y33&lt;&gt;"",$H33&lt;&gt;$Y33,IFERROR(VLOOKUP($H33,areaCercaPuntiClassificaSquadra,3,FALSE),-1)=IFERROR(VLOOKUP($Y33,areaCercaPuntiClassificaSquadra,3,FALSE),-2)),SUMIFS(Dati!$F$2:$F$381,Dati!$A$2:$A$381,$H33,Dati!$H$2:$H$381,$Y33)+SUMIFS(Dati!$M$2:$M$381,Dati!$H$2:$H$381,$H33,Dati!$A$2:$A$381,$Y33),"-")</f>
        <v/>
      </c>
      <c r="DJ33" s="22">
        <f>IF(AND($H33&lt;&gt;"",$Z33&lt;&gt;"",$H33&lt;&gt;$Z33,IFERROR(VLOOKUP($H33,areaCercaPuntiClassificaSquadra,3,FALSE),-1)=IFERROR(VLOOKUP($Z33,areaCercaPuntiClassificaSquadra,3,FALSE),-2)),SUMIFS(Dati!$F$2:$F$381,Dati!$A$2:$A$381,$H33,Dati!$H$2:$H$381,$Z33)+SUMIFS(Dati!$M$2:$M$381,Dati!$H$2:$H$381,$H33,Dati!$A$2:$A$381,$Z33),"-")</f>
        <v/>
      </c>
      <c r="DK33" s="22">
        <f>IF(AND($H33&lt;&gt;"",$AA33&lt;&gt;"",$H33&lt;&gt;$AA33,IFERROR(VLOOKUP($H33,areaCercaPuntiClassificaSquadra,3,FALSE),-1)=IFERROR(VLOOKUP($AA33,areaCercaPuntiClassificaSquadra,3,FALSE),-2)),SUMIFS(Dati!$F$2:$F$381,Dati!$A$2:$A$381,$H33,Dati!$H$2:$H$381,$AA33)+SUMIFS(Dati!$M$2:$M$381,Dati!$H$2:$H$381,$H33,Dati!$A$2:$A$381,$AA33),"-")</f>
        <v/>
      </c>
      <c r="DL33" s="22">
        <f>IF(AND($H33&lt;&gt;"",$AB33&lt;&gt;"",$H33&lt;&gt;$AB33,IFERROR(VLOOKUP($H33,areaCercaPuntiClassificaSquadra,3,FALSE),-1)=IFERROR(VLOOKUP($AB33,areaCercaPuntiClassificaSquadra,3,FALSE),-2)),SUMIFS(Dati!$F$2:$F$381,Dati!$A$2:$A$381,$H33,Dati!$H$2:$H$381,$AB33)+SUMIFS(Dati!$M$2:$M$381,Dati!$H$2:$H$381,$H33,Dati!$A$2:$A$381,$AB33),"-")</f>
        <v/>
      </c>
      <c r="DM33" s="22">
        <f>IF(AND($H33&lt;&gt;"",$AC33&lt;&gt;"",$H33&lt;&gt;$AC33,IFERROR(VLOOKUP($H33,areaCercaPuntiClassificaSquadra,3,FALSE),-1)=IFERROR(VLOOKUP($AC33,areaCercaPuntiClassificaSquadra,3,FALSE),-2)),SUMIFS(Dati!$F$2:$F$381,Dati!$A$2:$A$381,$H33,Dati!$H$2:$H$381,$AC33)+SUMIFS(Dati!$M$2:$M$381,Dati!$H$2:$H$381,$H33,Dati!$A$2:$A$381,$AC33),"-")</f>
        <v/>
      </c>
      <c r="DN33" s="22">
        <f>IF(AND($H33&lt;&gt;"",$AD33&lt;&gt;"",$H33&lt;&gt;$AD33,IFERROR(VLOOKUP($H33,areaCercaPuntiClassificaSquadra,3,FALSE),-1)=IFERROR(VLOOKUP($AD33,areaCercaPuntiClassificaSquadra,3,FALSE),-2)),SUMIFS(Dati!$F$2:$F$381,Dati!$A$2:$A$381,$H33,Dati!$H$2:$H$381,$AD33)+SUMIFS(Dati!$M$2:$M$381,Dati!$H$2:$H$381,$H33,Dati!$A$2:$A$381,$AD33),"-")</f>
        <v/>
      </c>
      <c r="DO33" s="22">
        <f>IF(AND($H33&lt;&gt;"",$AE33&lt;&gt;"",$H33&lt;&gt;$AE33,IFERROR(VLOOKUP($H33,areaCercaPuntiClassificaSquadra,3,FALSE),-1)=IFERROR(VLOOKUP($AE33,areaCercaPuntiClassificaSquadra,3,FALSE),-2)),SUMIFS(Dati!$F$2:$F$381,Dati!$A$2:$A$381,$H33,Dati!$H$2:$H$381,$AE33)+SUMIFS(Dati!$M$2:$M$381,Dati!$H$2:$H$381,$H33,Dati!$A$2:$A$381,$AE33),"-")</f>
        <v/>
      </c>
      <c r="DP33" s="22">
        <f>IF(AND($H33&lt;&gt;"",$AF33&lt;&gt;"",$H33&lt;&gt;$AF33,IFERROR(VLOOKUP($H33,areaCercaPuntiClassificaSquadra,3,FALSE),-1)=IFERROR(VLOOKUP($AF33,areaCercaPuntiClassificaSquadra,3,FALSE),-2)),SUMIFS(Dati!$F$2:$F$381,Dati!$A$2:$A$381,$H33,Dati!$H$2:$H$381,$AF33)+SUMIFS(Dati!$M$2:$M$381,Dati!$H$2:$H$381,$H33,Dati!$A$2:$A$381,$AF33),"-")</f>
        <v/>
      </c>
      <c r="DQ33" s="22">
        <f>IF(AND($H33&lt;&gt;"",$AG33&lt;&gt;"",$H33&lt;&gt;$AG33,IFERROR(VLOOKUP($H33,areaCercaPuntiClassificaSquadra,3,FALSE),-1)=IFERROR(VLOOKUP($AG33,areaCercaPuntiClassificaSquadra,3,FALSE),-2)),SUMIFS(Dati!$F$2:$F$381,Dati!$A$2:$A$381,$H33,Dati!$H$2:$H$381,$AG33)+SUMIFS(Dati!$M$2:$M$381,Dati!$H$2:$H$381,$H33,Dati!$A$2:$A$381,$AG33),"-")</f>
        <v/>
      </c>
      <c r="DR33" s="22">
        <f>IF(AND($H33&lt;&gt;"",$AH33&lt;&gt;"",$H33&lt;&gt;$AH33,IFERROR(VLOOKUP($H33,areaCercaPuntiClassificaSquadra,3,FALSE),-1)=IFERROR(VLOOKUP($AH33,areaCercaPuntiClassificaSquadra,3,FALSE),-2)),SUMIFS(Dati!$F$2:$F$381,Dati!$A$2:$A$381,$H33,Dati!$H$2:$H$381,$AH33)+SUMIFS(Dati!$M$2:$M$381,Dati!$H$2:$H$381,$H33,Dati!$A$2:$A$381,$AH33),"-")</f>
        <v/>
      </c>
      <c r="DS33" s="22">
        <f>IF(AND($H33&lt;&gt;"",$AI33&lt;&gt;"",$H33&lt;&gt;$AI33,IFERROR(VLOOKUP($H33,areaCercaPuntiClassificaSquadra,3,FALSE),-1)=IFERROR(VLOOKUP($AI33,areaCercaPuntiClassificaSquadra,3,FALSE),-2)),SUMIFS(Dati!$F$2:$F$381,Dati!$A$2:$A$381,$H33,Dati!$H$2:$H$381,$AI33)+SUMIFS(Dati!$M$2:$M$381,Dati!$H$2:$H$381,$H33,Dati!$A$2:$A$381,$AI33),"-")</f>
        <v/>
      </c>
      <c r="DT33" s="22">
        <f>IF(AND($H33&lt;&gt;"",$AJ33&lt;&gt;"",$H33&lt;&gt;$AJ33,IFERROR(VLOOKUP($H33,areaCercaPuntiClassificaSquadra,3,FALSE),-1)=IFERROR(VLOOKUP($AJ33,areaCercaPuntiClassificaSquadra,3,FALSE),-2)),SUMIFS(Dati!$F$2:$F$381,Dati!$A$2:$A$381,$H33,Dati!$H$2:$H$381,$AJ33)+SUMIFS(Dati!$M$2:$M$381,Dati!$H$2:$H$381,$H33,Dati!$A$2:$A$381,$AJ33),"-")</f>
        <v/>
      </c>
      <c r="DU33" s="22">
        <f>IF(AND($H33&lt;&gt;"",$AK33&lt;&gt;"",$H33&lt;&gt;$AK33,IFERROR(VLOOKUP($H33,areaCercaPuntiClassificaSquadra,3,FALSE),-1)=IFERROR(VLOOKUP($AK33,areaCercaPuntiClassificaSquadra,3,FALSE),-2)),SUMIFS(Dati!$F$2:$F$381,Dati!$A$2:$A$381,$H33,Dati!$H$2:$H$381,$AK33)+SUMIFS(Dati!$M$2:$M$381,Dati!$H$2:$H$381,$H33,Dati!$A$2:$A$381,$AK33),"-")</f>
        <v/>
      </c>
      <c r="DV33" s="22">
        <f>IF(AND($H33&lt;&gt;"",$AL33&lt;&gt;"",$H33&lt;&gt;$AL33,IFERROR(VLOOKUP($H33,areaCercaPuntiClassificaSquadra,3,FALSE),-1)=IFERROR(VLOOKUP($AL33,areaCercaPuntiClassificaSquadra,3,FALSE),-2)),SUMIFS(Dati!$F$2:$F$381,Dati!$A$2:$A$381,$H33,Dati!$H$2:$H$381,$AL33)+SUMIFS(Dati!$M$2:$M$381,Dati!$H$2:$H$381,$H33,Dati!$A$2:$A$381,$AL33),"-")</f>
        <v/>
      </c>
      <c r="DW33" s="22">
        <f>IF(AND($H33&lt;&gt;"",$AM33&lt;&gt;"",$H33&lt;&gt;$AM33,IFERROR(VLOOKUP($H33,areaCercaPuntiClassificaSquadra,3,FALSE),-1)=IFERROR(VLOOKUP($AM33,areaCercaPuntiClassificaSquadra,3,FALSE),-2)),SUMIFS(Dati!$F$2:$F$381,Dati!$A$2:$A$381,$H33,Dati!$H$2:$H$381,$AM33)+SUMIFS(Dati!$M$2:$M$381,Dati!$H$2:$H$381,$H33,Dati!$A$2:$A$381,$AM33),"-")</f>
        <v/>
      </c>
      <c r="DX33" s="22">
        <f>IF(AND($H33&lt;&gt;"",$AN33&lt;&gt;"",$H33&lt;&gt;$AN33,IFERROR(VLOOKUP($H33,areaCercaPuntiClassificaSquadra,3,FALSE),-1)=IFERROR(VLOOKUP($AN33,areaCercaPuntiClassificaSquadra,3,FALSE),-2)),SUMIFS(Dati!$F$2:$F$381,Dati!$A$2:$A$381,$H33,Dati!$H$2:$H$381,$AN33)+SUMIFS(Dati!$M$2:$M$381,Dati!$H$2:$H$381,$H33,Dati!$A$2:$A$381,$AN33),"-")</f>
        <v/>
      </c>
      <c r="DY33" s="22">
        <f>IF(AND($H33&lt;&gt;"",$AO33&lt;&gt;"",$H33&lt;&gt;$AO33,IFERROR(VLOOKUP($H33,areaCercaPuntiClassificaSquadra,3,FALSE),-1)=IFERROR(VLOOKUP($AO33,areaCercaPuntiClassificaSquadra,3,FALSE),-2)),SUMIFS(Dati!$F$2:$F$381,Dati!$A$2:$A$381,$H33,Dati!$H$2:$H$381,$AO33)+SUMIFS(Dati!$M$2:$M$381,Dati!$H$2:$H$381,$H33,Dati!$A$2:$A$381,$AO33),"-")</f>
        <v/>
      </c>
      <c r="DZ33" s="22">
        <f>IF(AND($H33&lt;&gt;"",$AP33&lt;&gt;"",$H33&lt;&gt;$AP33,IFERROR(VLOOKUP($H33,areaCercaPuntiClassificaSquadra,3,FALSE),-1)=IFERROR(VLOOKUP($AP33,areaCercaPuntiClassificaSquadra,3,FALSE),-2)),SUMIFS(Dati!$F$2:$F$381,Dati!$A$2:$A$381,$H33,Dati!$H$2:$H$381,$AP33)+SUMIFS(Dati!$M$2:$M$381,Dati!$H$2:$H$381,$H33,Dati!$A$2:$A$381,$AP33),"-")</f>
        <v/>
      </c>
      <c r="EA33" s="22">
        <f>IF(AND($H33&lt;&gt;"",$AQ33&lt;&gt;"",$H33&lt;&gt;$AQ33,IFERROR(VLOOKUP($H33,areaCercaPuntiClassificaSquadra,3,FALSE),-1)=IFERROR(VLOOKUP($AQ33,areaCercaPuntiClassificaSquadra,3,FALSE),-2)),SUMIFS(Dati!$F$2:$F$381,Dati!$A$2:$A$381,$H33,Dati!$H$2:$H$381,$AQ33)+SUMIFS(Dati!$M$2:$M$381,Dati!$H$2:$H$381,$H33,Dati!$A$2:$A$381,$AQ33),"-")</f>
        <v/>
      </c>
      <c r="EB33" s="22">
        <f>IF(AND($H33&lt;&gt;"",$AR33&lt;&gt;"",$H33&lt;&gt;$AR33,IFERROR(VLOOKUP($H33,areaCercaPuntiClassificaSquadra,3,FALSE),-1)=IFERROR(VLOOKUP($AR33,areaCercaPuntiClassificaSquadra,3,FALSE),-2)),SUMIFS(Dati!$F$2:$F$381,Dati!$A$2:$A$381,$H33,Dati!$H$2:$H$381,$AR33)+SUMIFS(Dati!$M$2:$M$381,Dati!$H$2:$H$381,$H33,Dati!$A$2:$A$381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inlineStr">
        <is>
          <t>Delfini Docili-Delfiniopoli DA</t>
        </is>
      </c>
      <c r="D34" s="14" t="n"/>
      <c r="E34" s="23" t="inlineStr">
        <is>
          <t>B</t>
        </is>
      </c>
      <c r="G34" s="24">
        <f>IF($C34="","",$E34&amp;(COUNTIFS(I$14:I$53,"&gt;"&amp;I34,E$14:E$53,"="&amp;E34,C$14:C$53,"&lt;&gt;")+COUNTIFS(I$14:I$53,"="&amp;I34,H$14:H$53,"&lt;="&amp;H34,E$14:E$53,"="&amp;E34,C$14:C$53,"&lt;&gt;")))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L34*constPuntiVittoria+M34*constPuntiSconfitta+N34*constPuntiForfait+IF(D34="",0,D34)</f>
        <v/>
      </c>
      <c r="K34" s="12">
        <f>SUM(L34:N34)</f>
        <v/>
      </c>
      <c r="L34" s="12">
        <f>IF($H34="",0,SUMIF(Dati!$A$2:$A$381,$H34,Dati!$B$2:$B$381)+SUMIF(Dati!$H$2:$H$381,$H34,Dati!$I$2:$I$381))</f>
        <v/>
      </c>
      <c r="M34" s="12">
        <f>IF($H34="",0,SUMIF(Dati!$A$2:$A$381,$H34,Dati!$D$2:$D$381)+SUMIF(Dati!$H$2:$H$381,$H34,Dati!$K$2:$K$381))</f>
        <v/>
      </c>
      <c r="N34" s="12">
        <f>IF($H34="",0,SUMIF(Dati!$A$2:$A$381,$H34,Dati!$C$2:$C$381)+SUMIF(Dati!$H$2:$H$381,$H34,Dati!$J$2:$J$381))</f>
        <v/>
      </c>
      <c r="O34" s="12">
        <f>IF($H34="",0,SUMIF(Dati!$A$2:$A$381,$H34,Dati!$E$2:$E$381)+SUMIF(Dati!$H$2:$H$381,$H34,Dati!$L$2:$L$381))</f>
        <v/>
      </c>
      <c r="P34" s="12">
        <f>IF($H34="",0,SUMIF(Dati!$A$2:$A$381,$H34,Dati!$F$2:$F$381)+SUMIF(Dati!$H$2:$H$381,$H34,Dati!$M$2:$M$381))</f>
        <v/>
      </c>
      <c r="Q34" s="12">
        <f>IF($H34="",0,SUMIF(Dati!$A$2:$A$381,$H34,Dati!$G$2:$G$381)+SUMIF(Dati!$H$2:$H$381,$H34,Dati!$N$2:$N$381))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IF(COUNTIFS($E$14:$E$53,$E34,$J$14:$J$53,$J34,$C$14:$C$53,"&lt;&gt;")&lt;=1,"-",SUM(AU34:BN34)&amp;"-"&amp;SUM(BQ34:CJ34))</f>
        <v/>
      </c>
      <c r="V34" s="18">
        <f>IF(COUNTIFS($E$14:$E$53,$E34,$J$14:$J$53,$J34,$C$14:$C$53,"&lt;&gt;",$ED$14:$ED$53,$ED34)&lt;=1,"-",IF(SUM(DI34:EB34)=0,0,ROUND(SUM(CM34:DF34)/SUM(DI34:EB34),3)))</f>
        <v/>
      </c>
      <c r="W34" s="18">
        <f>IF(COUNTIFS($E$14:$E$53,$E34,$J$14:$J$53,$J34,$C$14:$C$53,"&lt;&gt;",$ED$14:$ED$53,$ED34,$V$14:$V$53,$V34)&lt;=1,"-",IF(P34=0,0,ROUND(O34/P34,3)))</f>
        <v/>
      </c>
      <c r="X34" s="19">
        <f>IF($C34="","",$E34&amp;"#"&amp;COUNTIFS($E$14:$E34,$E34,$C$14:$C34,"&lt;&gt;"))</f>
        <v/>
      </c>
      <c r="Y34" s="20">
        <f>IFERROR(INDEX($H$14:$H$53,MATCH($E34&amp;"#1",$X$14:$X$53,0)),"")</f>
        <v/>
      </c>
      <c r="Z34" s="20">
        <f>IFERROR(INDEX($H$14:$H$53,MATCH($E34&amp;"#2",$X$14:$X$53,0)),"")</f>
        <v/>
      </c>
      <c r="AA34" s="20">
        <f>IFERROR(INDEX($H$14:$H$53,MATCH($E34&amp;"#3",$X$14:$X$53,0)),"")</f>
        <v/>
      </c>
      <c r="AB34" s="20">
        <f>IFERROR(INDEX($H$14:$H$53,MATCH($E34&amp;"#4",$X$14:$X$53,0)),"")</f>
        <v/>
      </c>
      <c r="AC34" s="20">
        <f>IFERROR(INDEX($H$14:$H$53,MATCH($E34&amp;"#5",$X$14:$X$53,0)),"")</f>
        <v/>
      </c>
      <c r="AD34" s="20">
        <f>IFERROR(INDEX($H$14:$H$53,MATCH($E34&amp;"#6",$X$14:$X$53,0)),"")</f>
        <v/>
      </c>
      <c r="AE34" s="20">
        <f>IFERROR(INDEX($H$14:$H$53,MATCH($E34&amp;"#7",$X$14:$X$53,0)),"")</f>
        <v/>
      </c>
      <c r="AF34" s="20">
        <f>IFERROR(INDEX($H$14:$H$53,MATCH($E34&amp;"#8",$X$14:$X$53,0)),"")</f>
        <v/>
      </c>
      <c r="AG34" s="20">
        <f>IFERROR(INDEX($H$14:$H$53,MATCH($E34&amp;"#9",$X$14:$X$53,0)),"")</f>
        <v/>
      </c>
      <c r="AH34" s="20">
        <f>IFERROR(INDEX($H$14:$H$53,MATCH($E34&amp;"#10",$X$14:$X$53,0)),"")</f>
        <v/>
      </c>
      <c r="AI34" s="20">
        <f>IFERROR(INDEX($H$14:$H$53,MATCH($E34&amp;"#11",$X$14:$X$53,0)),"")</f>
        <v/>
      </c>
      <c r="AJ34" s="20">
        <f>IFERROR(INDEX($H$14:$H$53,MATCH($E34&amp;"#12",$X$14:$X$53,0)),"")</f>
        <v/>
      </c>
      <c r="AK34" s="20">
        <f>IFERROR(INDEX($H$14:$H$53,MATCH($E34&amp;"#13",$X$14:$X$53,0)),"")</f>
        <v/>
      </c>
      <c r="AL34" s="20">
        <f>IFERROR(INDEX($H$14:$H$53,MATCH($E34&amp;"#14",$X$14:$X$53,0)),"")</f>
        <v/>
      </c>
      <c r="AM34" s="20">
        <f>IFERROR(INDEX($H$14:$H$53,MATCH($E34&amp;"#15",$X$14:$X$53,0)),"")</f>
        <v/>
      </c>
      <c r="AN34" s="20">
        <f>IFERROR(INDEX($H$14:$H$53,MATCH($E34&amp;"#16",$X$14:$X$53,0)),"")</f>
        <v/>
      </c>
      <c r="AO34" s="20">
        <f>IFERROR(INDEX($H$14:$H$53,MATCH($E34&amp;"#17",$X$14:$X$53,0)),"")</f>
        <v/>
      </c>
      <c r="AP34" s="20">
        <f>IFERROR(INDEX($H$14:$H$53,MATCH($E34&amp;"#18",$X$14:$X$53,0)),"")</f>
        <v/>
      </c>
      <c r="AQ34" s="20">
        <f>IFERROR(INDEX($H$14:$H$53,MATCH($E34&amp;"#19",$X$14:$X$53,0)),"")</f>
        <v/>
      </c>
      <c r="AR34" s="20">
        <f>IFERROR(INDEX($H$14:$H$53,MATCH($E34&amp;"#20",$X$14:$X$53,0)),"")</f>
        <v/>
      </c>
      <c r="AT34" s="21">
        <f>$C34</f>
        <v/>
      </c>
      <c r="AU34" s="22">
        <f>IF(AND($H34&lt;&gt;"",$Y34&lt;&gt;"",$H34&lt;&gt;$Y34,IFERROR(VLOOKUP($H34,areaCercaPuntiClassificaSquadra,3,FALSE),-1)=IFERROR(VLOOKUP($Y34,areaCercaPuntiClassificaSquadra,3,FALSE),-2)),SUMIFS(Dati!$B$2:$B$381,Dati!$A$2:$A$381,$H34,Dati!$H$2:$H$381,$Y34)+SUMIFS(Dati!$I$2:$I$381,Dati!$H$2:$H$381,$H34,Dati!$A$2:$A$381,$Y34),"-")</f>
        <v/>
      </c>
      <c r="AV34" s="22">
        <f>IF(AND($H34&lt;&gt;"",$Z34&lt;&gt;"",$H34&lt;&gt;$Z34,IFERROR(VLOOKUP($H34,areaCercaPuntiClassificaSquadra,3,FALSE),-1)=IFERROR(VLOOKUP($Z34,areaCercaPuntiClassificaSquadra,3,FALSE),-2)),SUMIFS(Dati!$B$2:$B$381,Dati!$A$2:$A$381,$H34,Dati!$H$2:$H$381,$Z34)+SUMIFS(Dati!$I$2:$I$381,Dati!$H$2:$H$381,$H34,Dati!$A$2:$A$381,$Z34),"-")</f>
        <v/>
      </c>
      <c r="AW34" s="22">
        <f>IF(AND($H34&lt;&gt;"",$AA34&lt;&gt;"",$H34&lt;&gt;$AA34,IFERROR(VLOOKUP($H34,areaCercaPuntiClassificaSquadra,3,FALSE),-1)=IFERROR(VLOOKUP($AA34,areaCercaPuntiClassificaSquadra,3,FALSE),-2)),SUMIFS(Dati!$B$2:$B$381,Dati!$A$2:$A$381,$H34,Dati!$H$2:$H$381,$AA34)+SUMIFS(Dati!$I$2:$I$381,Dati!$H$2:$H$381,$H34,Dati!$A$2:$A$381,$AA34),"-")</f>
        <v/>
      </c>
      <c r="AX34" s="22">
        <f>IF(AND($H34&lt;&gt;"",$AB34&lt;&gt;"",$H34&lt;&gt;$AB34,IFERROR(VLOOKUP($H34,areaCercaPuntiClassificaSquadra,3,FALSE),-1)=IFERROR(VLOOKUP($AB34,areaCercaPuntiClassificaSquadra,3,FALSE),-2)),SUMIFS(Dati!$B$2:$B$381,Dati!$A$2:$A$381,$H34,Dati!$H$2:$H$381,$AB34)+SUMIFS(Dati!$I$2:$I$381,Dati!$H$2:$H$381,$H34,Dati!$A$2:$A$381,$AB34),"-")</f>
        <v/>
      </c>
      <c r="AY34" s="22">
        <f>IF(AND($H34&lt;&gt;"",$AC34&lt;&gt;"",$H34&lt;&gt;$AC34,IFERROR(VLOOKUP($H34,areaCercaPuntiClassificaSquadra,3,FALSE),-1)=IFERROR(VLOOKUP($AC34,areaCercaPuntiClassificaSquadra,3,FALSE),-2)),SUMIFS(Dati!$B$2:$B$381,Dati!$A$2:$A$381,$H34,Dati!$H$2:$H$381,$AC34)+SUMIFS(Dati!$I$2:$I$381,Dati!$H$2:$H$381,$H34,Dati!$A$2:$A$381,$AC34),"-")</f>
        <v/>
      </c>
      <c r="AZ34" s="22">
        <f>IF(AND($H34&lt;&gt;"",$AD34&lt;&gt;"",$H34&lt;&gt;$AD34,IFERROR(VLOOKUP($H34,areaCercaPuntiClassificaSquadra,3,FALSE),-1)=IFERROR(VLOOKUP($AD34,areaCercaPuntiClassificaSquadra,3,FALSE),-2)),SUMIFS(Dati!$B$2:$B$381,Dati!$A$2:$A$381,$H34,Dati!$H$2:$H$381,$AD34)+SUMIFS(Dati!$I$2:$I$381,Dati!$H$2:$H$381,$H34,Dati!$A$2:$A$381,$AD34),"-")</f>
        <v/>
      </c>
      <c r="BA34" s="22">
        <f>IF(AND($H34&lt;&gt;"",$AE34&lt;&gt;"",$H34&lt;&gt;$AE34,IFERROR(VLOOKUP($H34,areaCercaPuntiClassificaSquadra,3,FALSE),-1)=IFERROR(VLOOKUP($AE34,areaCercaPuntiClassificaSquadra,3,FALSE),-2)),SUMIFS(Dati!$B$2:$B$381,Dati!$A$2:$A$381,$H34,Dati!$H$2:$H$381,$AE34)+SUMIFS(Dati!$I$2:$I$381,Dati!$H$2:$H$381,$H34,Dati!$A$2:$A$381,$AE34),"-")</f>
        <v/>
      </c>
      <c r="BB34" s="22">
        <f>IF(AND($H34&lt;&gt;"",$AF34&lt;&gt;"",$H34&lt;&gt;$AF34,IFERROR(VLOOKUP($H34,areaCercaPuntiClassificaSquadra,3,FALSE),-1)=IFERROR(VLOOKUP($AF34,areaCercaPuntiClassificaSquadra,3,FALSE),-2)),SUMIFS(Dati!$B$2:$B$381,Dati!$A$2:$A$381,$H34,Dati!$H$2:$H$381,$AF34)+SUMIFS(Dati!$I$2:$I$381,Dati!$H$2:$H$381,$H34,Dati!$A$2:$A$381,$AF34),"-")</f>
        <v/>
      </c>
      <c r="BC34" s="22">
        <f>IF(AND($H34&lt;&gt;"",$AG34&lt;&gt;"",$H34&lt;&gt;$AG34,IFERROR(VLOOKUP($H34,areaCercaPuntiClassificaSquadra,3,FALSE),-1)=IFERROR(VLOOKUP($AG34,areaCercaPuntiClassificaSquadra,3,FALSE),-2)),SUMIFS(Dati!$B$2:$B$381,Dati!$A$2:$A$381,$H34,Dati!$H$2:$H$381,$AG34)+SUMIFS(Dati!$I$2:$I$381,Dati!$H$2:$H$381,$H34,Dati!$A$2:$A$381,$AG34),"-")</f>
        <v/>
      </c>
      <c r="BD34" s="22">
        <f>IF(AND($H34&lt;&gt;"",$AH34&lt;&gt;"",$H34&lt;&gt;$AH34,IFERROR(VLOOKUP($H34,areaCercaPuntiClassificaSquadra,3,FALSE),-1)=IFERROR(VLOOKUP($AH34,areaCercaPuntiClassificaSquadra,3,FALSE),-2)),SUMIFS(Dati!$B$2:$B$381,Dati!$A$2:$A$381,$H34,Dati!$H$2:$H$381,$AH34)+SUMIFS(Dati!$I$2:$I$381,Dati!$H$2:$H$381,$H34,Dati!$A$2:$A$381,$AH34),"-")</f>
        <v/>
      </c>
      <c r="BE34" s="22">
        <f>IF(AND($H34&lt;&gt;"",$AI34&lt;&gt;"",$H34&lt;&gt;$AI34,IFERROR(VLOOKUP($H34,areaCercaPuntiClassificaSquadra,3,FALSE),-1)=IFERROR(VLOOKUP($AI34,areaCercaPuntiClassificaSquadra,3,FALSE),-2)),SUMIFS(Dati!$B$2:$B$381,Dati!$A$2:$A$381,$H34,Dati!$H$2:$H$381,$AI34)+SUMIFS(Dati!$I$2:$I$381,Dati!$H$2:$H$381,$H34,Dati!$A$2:$A$381,$AI34),"-")</f>
        <v/>
      </c>
      <c r="BF34" s="22">
        <f>IF(AND($H34&lt;&gt;"",$AJ34&lt;&gt;"",$H34&lt;&gt;$AJ34,IFERROR(VLOOKUP($H34,areaCercaPuntiClassificaSquadra,3,FALSE),-1)=IFERROR(VLOOKUP($AJ34,areaCercaPuntiClassificaSquadra,3,FALSE),-2)),SUMIFS(Dati!$B$2:$B$381,Dati!$A$2:$A$381,$H34,Dati!$H$2:$H$381,$AJ34)+SUMIFS(Dati!$I$2:$I$381,Dati!$H$2:$H$381,$H34,Dati!$A$2:$A$381,$AJ34),"-")</f>
        <v/>
      </c>
      <c r="BG34" s="22">
        <f>IF(AND($H34&lt;&gt;"",$AK34&lt;&gt;"",$H34&lt;&gt;$AK34,IFERROR(VLOOKUP($H34,areaCercaPuntiClassificaSquadra,3,FALSE),-1)=IFERROR(VLOOKUP($AK34,areaCercaPuntiClassificaSquadra,3,FALSE),-2)),SUMIFS(Dati!$B$2:$B$381,Dati!$A$2:$A$381,$H34,Dati!$H$2:$H$381,$AK34)+SUMIFS(Dati!$I$2:$I$381,Dati!$H$2:$H$381,$H34,Dati!$A$2:$A$381,$AK34),"-")</f>
        <v/>
      </c>
      <c r="BH34" s="22">
        <f>IF(AND($H34&lt;&gt;"",$AL34&lt;&gt;"",$H34&lt;&gt;$AL34,IFERROR(VLOOKUP($H34,areaCercaPuntiClassificaSquadra,3,FALSE),-1)=IFERROR(VLOOKUP($AL34,areaCercaPuntiClassificaSquadra,3,FALSE),-2)),SUMIFS(Dati!$B$2:$B$381,Dati!$A$2:$A$381,$H34,Dati!$H$2:$H$381,$AL34)+SUMIFS(Dati!$I$2:$I$381,Dati!$H$2:$H$381,$H34,Dati!$A$2:$A$381,$AL34),"-")</f>
        <v/>
      </c>
      <c r="BI34" s="22">
        <f>IF(AND($H34&lt;&gt;"",$AM34&lt;&gt;"",$H34&lt;&gt;$AM34,IFERROR(VLOOKUP($H34,areaCercaPuntiClassificaSquadra,3,FALSE),-1)=IFERROR(VLOOKUP($AM34,areaCercaPuntiClassificaSquadra,3,FALSE),-2)),SUMIFS(Dati!$B$2:$B$381,Dati!$A$2:$A$381,$H34,Dati!$H$2:$H$381,$AM34)+SUMIFS(Dati!$I$2:$I$381,Dati!$H$2:$H$381,$H34,Dati!$A$2:$A$381,$AM34),"-")</f>
        <v/>
      </c>
      <c r="BJ34" s="22">
        <f>IF(AND($H34&lt;&gt;"",$AN34&lt;&gt;"",$H34&lt;&gt;$AN34,IFERROR(VLOOKUP($H34,areaCercaPuntiClassificaSquadra,3,FALSE),-1)=IFERROR(VLOOKUP($AN34,areaCercaPuntiClassificaSquadra,3,FALSE),-2)),SUMIFS(Dati!$B$2:$B$381,Dati!$A$2:$A$381,$H34,Dati!$H$2:$H$381,$AN34)+SUMIFS(Dati!$I$2:$I$381,Dati!$H$2:$H$381,$H34,Dati!$A$2:$A$381,$AN34),"-")</f>
        <v/>
      </c>
      <c r="BK34" s="22">
        <f>IF(AND($H34&lt;&gt;"",$AO34&lt;&gt;"",$H34&lt;&gt;$AO34,IFERROR(VLOOKUP($H34,areaCercaPuntiClassificaSquadra,3,FALSE),-1)=IFERROR(VLOOKUP($AO34,areaCercaPuntiClassificaSquadra,3,FALSE),-2)),SUMIFS(Dati!$B$2:$B$381,Dati!$A$2:$A$381,$H34,Dati!$H$2:$H$381,$AO34)+SUMIFS(Dati!$I$2:$I$381,Dati!$H$2:$H$381,$H34,Dati!$A$2:$A$381,$AO34),"-")</f>
        <v/>
      </c>
      <c r="BL34" s="22">
        <f>IF(AND($H34&lt;&gt;"",$AP34&lt;&gt;"",$H34&lt;&gt;$AP34,IFERROR(VLOOKUP($H34,areaCercaPuntiClassificaSquadra,3,FALSE),-1)=IFERROR(VLOOKUP($AP34,areaCercaPuntiClassificaSquadra,3,FALSE),-2)),SUMIFS(Dati!$B$2:$B$381,Dati!$A$2:$A$381,$H34,Dati!$H$2:$H$381,$AP34)+SUMIFS(Dati!$I$2:$I$381,Dati!$H$2:$H$381,$H34,Dati!$A$2:$A$381,$AP34),"-")</f>
        <v/>
      </c>
      <c r="BM34" s="22">
        <f>IF(AND($H34&lt;&gt;"",$AQ34&lt;&gt;"",$H34&lt;&gt;$AQ34,IFERROR(VLOOKUP($H34,areaCercaPuntiClassificaSquadra,3,FALSE),-1)=IFERROR(VLOOKUP($AQ34,areaCercaPuntiClassificaSquadra,3,FALSE),-2)),SUMIFS(Dati!$B$2:$B$381,Dati!$A$2:$A$381,$H34,Dati!$H$2:$H$381,$AQ34)+SUMIFS(Dati!$I$2:$I$381,Dati!$H$2:$H$381,$H34,Dati!$A$2:$A$381,$AQ34),"-")</f>
        <v/>
      </c>
      <c r="BN34" s="22">
        <f>IF(AND($H34&lt;&gt;"",$AR34&lt;&gt;"",$H34&lt;&gt;$AR34,IFERROR(VLOOKUP($H34,areaCercaPuntiClassificaSquadra,3,FALSE),-1)=IFERROR(VLOOKUP($AR34,areaCercaPuntiClassificaSquadra,3,FALSE),-2)),SUMIFS(Dati!$B$2:$B$381,Dati!$A$2:$A$381,$H34,Dati!$H$2:$H$381,$AR34)+SUMIFS(Dati!$I$2:$I$381,Dati!$H$2:$H$381,$H34,Dati!$A$2:$A$381,$AR34),"-")</f>
        <v/>
      </c>
      <c r="BP34" s="21">
        <f>$C34</f>
        <v/>
      </c>
      <c r="BQ34" s="22">
        <f>IF(AND($H34&lt;&gt;"",$Y34&lt;&gt;"",$H34&lt;&gt;$Y34,IFERROR(VLOOKUP($H34,areaCercaPuntiClassificaSquadra,3,FALSE),-1)=IFERROR(VLOOKUP($Y34,areaCercaPuntiClassificaSquadra,3,FALSE),-2)),SUMIFS(Dati!$D$2:$D$381,Dati!$A$2:$A$381,$H34,Dati!$H$2:$H$381,$Y34)+SUMIFS(Dati!$K$2:$K$381,Dati!$H$2:$H$381,$H34,Dati!$A$2:$A$381,$Y34)+SUMIFS(Dati!$C$2:$C$381,Dati!$A$2:$A$381,$H34,Dati!$H$2:$H$381,$Y34)+SUMIFS(Dati!$J$2:$J$381,Dati!$H$2:$H$381,$H34,Dati!$A$2:$A$381,$Y34),"-")</f>
        <v/>
      </c>
      <c r="BR34" s="22">
        <f>IF(AND($H34&lt;&gt;"",$Z34&lt;&gt;"",$H34&lt;&gt;$Z34,IFERROR(VLOOKUP($H34,areaCercaPuntiClassificaSquadra,3,FALSE),-1)=IFERROR(VLOOKUP($Z34,areaCercaPuntiClassificaSquadra,3,FALSE),-2)),SUMIFS(Dati!$D$2:$D$381,Dati!$A$2:$A$381,$H34,Dati!$H$2:$H$381,$Z34)+SUMIFS(Dati!$K$2:$K$381,Dati!$H$2:$H$381,$H34,Dati!$A$2:$A$381,$Z34)+SUMIFS(Dati!$C$2:$C$381,Dati!$A$2:$A$381,$H34,Dati!$H$2:$H$381,$Z34)+SUMIFS(Dati!$J$2:$J$381,Dati!$H$2:$H$381,$H34,Dati!$A$2:$A$381,$Z34),"-")</f>
        <v/>
      </c>
      <c r="BS34" s="22">
        <f>IF(AND($H34&lt;&gt;"",$AA34&lt;&gt;"",$H34&lt;&gt;$AA34,IFERROR(VLOOKUP($H34,areaCercaPuntiClassificaSquadra,3,FALSE),-1)=IFERROR(VLOOKUP($AA34,areaCercaPuntiClassificaSquadra,3,FALSE),-2)),SUMIFS(Dati!$D$2:$D$381,Dati!$A$2:$A$381,$H34,Dati!$H$2:$H$381,$AA34)+SUMIFS(Dati!$K$2:$K$381,Dati!$H$2:$H$381,$H34,Dati!$A$2:$A$381,$AA34)+SUMIFS(Dati!$C$2:$C$381,Dati!$A$2:$A$381,$H34,Dati!$H$2:$H$381,$AA34)+SUMIFS(Dati!$J$2:$J$381,Dati!$H$2:$H$381,$H34,Dati!$A$2:$A$381,$AA34),"-")</f>
        <v/>
      </c>
      <c r="BT34" s="22">
        <f>IF(AND($H34&lt;&gt;"",$AB34&lt;&gt;"",$H34&lt;&gt;$AB34,IFERROR(VLOOKUP($H34,areaCercaPuntiClassificaSquadra,3,FALSE),-1)=IFERROR(VLOOKUP($AB34,areaCercaPuntiClassificaSquadra,3,FALSE),-2)),SUMIFS(Dati!$D$2:$D$381,Dati!$A$2:$A$381,$H34,Dati!$H$2:$H$381,$AB34)+SUMIFS(Dati!$K$2:$K$381,Dati!$H$2:$H$381,$H34,Dati!$A$2:$A$381,$AB34)+SUMIFS(Dati!$C$2:$C$381,Dati!$A$2:$A$381,$H34,Dati!$H$2:$H$381,$AB34)+SUMIFS(Dati!$J$2:$J$381,Dati!$H$2:$H$381,$H34,Dati!$A$2:$A$381,$AB34),"-")</f>
        <v/>
      </c>
      <c r="BU34" s="22">
        <f>IF(AND($H34&lt;&gt;"",$AC34&lt;&gt;"",$H34&lt;&gt;$AC34,IFERROR(VLOOKUP($H34,areaCercaPuntiClassificaSquadra,3,FALSE),-1)=IFERROR(VLOOKUP($AC34,areaCercaPuntiClassificaSquadra,3,FALSE),-2)),SUMIFS(Dati!$D$2:$D$381,Dati!$A$2:$A$381,$H34,Dati!$H$2:$H$381,$AC34)+SUMIFS(Dati!$K$2:$K$381,Dati!$H$2:$H$381,$H34,Dati!$A$2:$A$381,$AC34)+SUMIFS(Dati!$C$2:$C$381,Dati!$A$2:$A$381,$H34,Dati!$H$2:$H$381,$AC34)+SUMIFS(Dati!$J$2:$J$381,Dati!$H$2:$H$381,$H34,Dati!$A$2:$A$381,$AC34),"-")</f>
        <v/>
      </c>
      <c r="BV34" s="22">
        <f>IF(AND($H34&lt;&gt;"",$AD34&lt;&gt;"",$H34&lt;&gt;$AD34,IFERROR(VLOOKUP($H34,areaCercaPuntiClassificaSquadra,3,FALSE),-1)=IFERROR(VLOOKUP($AD34,areaCercaPuntiClassificaSquadra,3,FALSE),-2)),SUMIFS(Dati!$D$2:$D$381,Dati!$A$2:$A$381,$H34,Dati!$H$2:$H$381,$AD34)+SUMIFS(Dati!$K$2:$K$381,Dati!$H$2:$H$381,$H34,Dati!$A$2:$A$381,$AD34)+SUMIFS(Dati!$C$2:$C$381,Dati!$A$2:$A$381,$H34,Dati!$H$2:$H$381,$AD34)+SUMIFS(Dati!$J$2:$J$381,Dati!$H$2:$H$381,$H34,Dati!$A$2:$A$381,$AD34),"-")</f>
        <v/>
      </c>
      <c r="BW34" s="22">
        <f>IF(AND($H34&lt;&gt;"",$AE34&lt;&gt;"",$H34&lt;&gt;$AE34,IFERROR(VLOOKUP($H34,areaCercaPuntiClassificaSquadra,3,FALSE),-1)=IFERROR(VLOOKUP($AE34,areaCercaPuntiClassificaSquadra,3,FALSE),-2)),SUMIFS(Dati!$D$2:$D$381,Dati!$A$2:$A$381,$H34,Dati!$H$2:$H$381,$AE34)+SUMIFS(Dati!$K$2:$K$381,Dati!$H$2:$H$381,$H34,Dati!$A$2:$A$381,$AE34)+SUMIFS(Dati!$C$2:$C$381,Dati!$A$2:$A$381,$H34,Dati!$H$2:$H$381,$AE34)+SUMIFS(Dati!$J$2:$J$381,Dati!$H$2:$H$381,$H34,Dati!$A$2:$A$381,$AE34),"-")</f>
        <v/>
      </c>
      <c r="BX34" s="22">
        <f>IF(AND($H34&lt;&gt;"",$AF34&lt;&gt;"",$H34&lt;&gt;$AF34,IFERROR(VLOOKUP($H34,areaCercaPuntiClassificaSquadra,3,FALSE),-1)=IFERROR(VLOOKUP($AF34,areaCercaPuntiClassificaSquadra,3,FALSE),-2)),SUMIFS(Dati!$D$2:$D$381,Dati!$A$2:$A$381,$H34,Dati!$H$2:$H$381,$AF34)+SUMIFS(Dati!$K$2:$K$381,Dati!$H$2:$H$381,$H34,Dati!$A$2:$A$381,$AF34)+SUMIFS(Dati!$C$2:$C$381,Dati!$A$2:$A$381,$H34,Dati!$H$2:$H$381,$AF34)+SUMIFS(Dati!$J$2:$J$381,Dati!$H$2:$H$381,$H34,Dati!$A$2:$A$381,$AF34),"-")</f>
        <v/>
      </c>
      <c r="BY34" s="22">
        <f>IF(AND($H34&lt;&gt;"",$AG34&lt;&gt;"",$H34&lt;&gt;$AG34,IFERROR(VLOOKUP($H34,areaCercaPuntiClassificaSquadra,3,FALSE),-1)=IFERROR(VLOOKUP($AG34,areaCercaPuntiClassificaSquadra,3,FALSE),-2)),SUMIFS(Dati!$D$2:$D$381,Dati!$A$2:$A$381,$H34,Dati!$H$2:$H$381,$AG34)+SUMIFS(Dati!$K$2:$K$381,Dati!$H$2:$H$381,$H34,Dati!$A$2:$A$381,$AG34)+SUMIFS(Dati!$C$2:$C$381,Dati!$A$2:$A$381,$H34,Dati!$H$2:$H$381,$AG34)+SUMIFS(Dati!$J$2:$J$381,Dati!$H$2:$H$381,$H34,Dati!$A$2:$A$381,$AG34),"-")</f>
        <v/>
      </c>
      <c r="BZ34" s="22">
        <f>IF(AND($H34&lt;&gt;"",$AH34&lt;&gt;"",$H34&lt;&gt;$AH34,IFERROR(VLOOKUP($H34,areaCercaPuntiClassificaSquadra,3,FALSE),-1)=IFERROR(VLOOKUP($AH34,areaCercaPuntiClassificaSquadra,3,FALSE),-2)),SUMIFS(Dati!$D$2:$D$381,Dati!$A$2:$A$381,$H34,Dati!$H$2:$H$381,$AH34)+SUMIFS(Dati!$K$2:$K$381,Dati!$H$2:$H$381,$H34,Dati!$A$2:$A$381,$AH34)+SUMIFS(Dati!$C$2:$C$381,Dati!$A$2:$A$381,$H34,Dati!$H$2:$H$381,$AH34)+SUMIFS(Dati!$J$2:$J$381,Dati!$H$2:$H$381,$H34,Dati!$A$2:$A$381,$AH34),"-")</f>
        <v/>
      </c>
      <c r="CA34" s="22">
        <f>IF(AND($H34&lt;&gt;"",$AI34&lt;&gt;"",$H34&lt;&gt;$AI34,IFERROR(VLOOKUP($H34,areaCercaPuntiClassificaSquadra,3,FALSE),-1)=IFERROR(VLOOKUP($AI34,areaCercaPuntiClassificaSquadra,3,FALSE),-2)),SUMIFS(Dati!$D$2:$D$381,Dati!$A$2:$A$381,$H34,Dati!$H$2:$H$381,$AI34)+SUMIFS(Dati!$K$2:$K$381,Dati!$H$2:$H$381,$H34,Dati!$A$2:$A$381,$AI34)+SUMIFS(Dati!$C$2:$C$381,Dati!$A$2:$A$381,$H34,Dati!$H$2:$H$381,$AI34)+SUMIFS(Dati!$J$2:$J$381,Dati!$H$2:$H$381,$H34,Dati!$A$2:$A$381,$AI34),"-")</f>
        <v/>
      </c>
      <c r="CB34" s="22">
        <f>IF(AND($H34&lt;&gt;"",$AJ34&lt;&gt;"",$H34&lt;&gt;$AJ34,IFERROR(VLOOKUP($H34,areaCercaPuntiClassificaSquadra,3,FALSE),-1)=IFERROR(VLOOKUP($AJ34,areaCercaPuntiClassificaSquadra,3,FALSE),-2)),SUMIFS(Dati!$D$2:$D$381,Dati!$A$2:$A$381,$H34,Dati!$H$2:$H$381,$AJ34)+SUMIFS(Dati!$K$2:$K$381,Dati!$H$2:$H$381,$H34,Dati!$A$2:$A$381,$AJ34)+SUMIFS(Dati!$C$2:$C$381,Dati!$A$2:$A$381,$H34,Dati!$H$2:$H$381,$AJ34)+SUMIFS(Dati!$J$2:$J$381,Dati!$H$2:$H$381,$H34,Dati!$A$2:$A$381,$AJ34),"-")</f>
        <v/>
      </c>
      <c r="CC34" s="22">
        <f>IF(AND($H34&lt;&gt;"",$AK34&lt;&gt;"",$H34&lt;&gt;$AK34,IFERROR(VLOOKUP($H34,areaCercaPuntiClassificaSquadra,3,FALSE),-1)=IFERROR(VLOOKUP($AK34,areaCercaPuntiClassificaSquadra,3,FALSE),-2)),SUMIFS(Dati!$D$2:$D$381,Dati!$A$2:$A$381,$H34,Dati!$H$2:$H$381,$AK34)+SUMIFS(Dati!$K$2:$K$381,Dati!$H$2:$H$381,$H34,Dati!$A$2:$A$381,$AK34)+SUMIFS(Dati!$C$2:$C$381,Dati!$A$2:$A$381,$H34,Dati!$H$2:$H$381,$AK34)+SUMIFS(Dati!$J$2:$J$381,Dati!$H$2:$H$381,$H34,Dati!$A$2:$A$381,$AK34),"-")</f>
        <v/>
      </c>
      <c r="CD34" s="22">
        <f>IF(AND($H34&lt;&gt;"",$AL34&lt;&gt;"",$H34&lt;&gt;$AL34,IFERROR(VLOOKUP($H34,areaCercaPuntiClassificaSquadra,3,FALSE),-1)=IFERROR(VLOOKUP($AL34,areaCercaPuntiClassificaSquadra,3,FALSE),-2)),SUMIFS(Dati!$D$2:$D$381,Dati!$A$2:$A$381,$H34,Dati!$H$2:$H$381,$AL34)+SUMIFS(Dati!$K$2:$K$381,Dati!$H$2:$H$381,$H34,Dati!$A$2:$A$381,$AL34)+SUMIFS(Dati!$C$2:$C$381,Dati!$A$2:$A$381,$H34,Dati!$H$2:$H$381,$AL34)+SUMIFS(Dati!$J$2:$J$381,Dati!$H$2:$H$381,$H34,Dati!$A$2:$A$381,$AL34),"-")</f>
        <v/>
      </c>
      <c r="CE34" s="22">
        <f>IF(AND($H34&lt;&gt;"",$AM34&lt;&gt;"",$H34&lt;&gt;$AM34,IFERROR(VLOOKUP($H34,areaCercaPuntiClassificaSquadra,3,FALSE),-1)=IFERROR(VLOOKUP($AM34,areaCercaPuntiClassificaSquadra,3,FALSE),-2)),SUMIFS(Dati!$D$2:$D$381,Dati!$A$2:$A$381,$H34,Dati!$H$2:$H$381,$AM34)+SUMIFS(Dati!$K$2:$K$381,Dati!$H$2:$H$381,$H34,Dati!$A$2:$A$381,$AM34)+SUMIFS(Dati!$C$2:$C$381,Dati!$A$2:$A$381,$H34,Dati!$H$2:$H$381,$AM34)+SUMIFS(Dati!$J$2:$J$381,Dati!$H$2:$H$381,$H34,Dati!$A$2:$A$381,$AM34),"-")</f>
        <v/>
      </c>
      <c r="CF34" s="22">
        <f>IF(AND($H34&lt;&gt;"",$AN34&lt;&gt;"",$H34&lt;&gt;$AN34,IFERROR(VLOOKUP($H34,areaCercaPuntiClassificaSquadra,3,FALSE),-1)=IFERROR(VLOOKUP($AN34,areaCercaPuntiClassificaSquadra,3,FALSE),-2)),SUMIFS(Dati!$D$2:$D$381,Dati!$A$2:$A$381,$H34,Dati!$H$2:$H$381,$AN34)+SUMIFS(Dati!$K$2:$K$381,Dati!$H$2:$H$381,$H34,Dati!$A$2:$A$381,$AN34)+SUMIFS(Dati!$C$2:$C$381,Dati!$A$2:$A$381,$H34,Dati!$H$2:$H$381,$AN34)+SUMIFS(Dati!$J$2:$J$381,Dati!$H$2:$H$381,$H34,Dati!$A$2:$A$381,$AN34),"-")</f>
        <v/>
      </c>
      <c r="CG34" s="22">
        <f>IF(AND($H34&lt;&gt;"",$AO34&lt;&gt;"",$H34&lt;&gt;$AO34,IFERROR(VLOOKUP($H34,areaCercaPuntiClassificaSquadra,3,FALSE),-1)=IFERROR(VLOOKUP($AO34,areaCercaPuntiClassificaSquadra,3,FALSE),-2)),SUMIFS(Dati!$D$2:$D$381,Dati!$A$2:$A$381,$H34,Dati!$H$2:$H$381,$AO34)+SUMIFS(Dati!$K$2:$K$381,Dati!$H$2:$H$381,$H34,Dati!$A$2:$A$381,$AO34)+SUMIFS(Dati!$C$2:$C$381,Dati!$A$2:$A$381,$H34,Dati!$H$2:$H$381,$AO34)+SUMIFS(Dati!$J$2:$J$381,Dati!$H$2:$H$381,$H34,Dati!$A$2:$A$381,$AO34),"-")</f>
        <v/>
      </c>
      <c r="CH34" s="22">
        <f>IF(AND($H34&lt;&gt;"",$AP34&lt;&gt;"",$H34&lt;&gt;$AP34,IFERROR(VLOOKUP($H34,areaCercaPuntiClassificaSquadra,3,FALSE),-1)=IFERROR(VLOOKUP($AP34,areaCercaPuntiClassificaSquadra,3,FALSE),-2)),SUMIFS(Dati!$D$2:$D$381,Dati!$A$2:$A$381,$H34,Dati!$H$2:$H$381,$AP34)+SUMIFS(Dati!$K$2:$K$381,Dati!$H$2:$H$381,$H34,Dati!$A$2:$A$381,$AP34)+SUMIFS(Dati!$C$2:$C$381,Dati!$A$2:$A$381,$H34,Dati!$H$2:$H$381,$AP34)+SUMIFS(Dati!$J$2:$J$381,Dati!$H$2:$H$381,$H34,Dati!$A$2:$A$381,$AP34),"-")</f>
        <v/>
      </c>
      <c r="CI34" s="22">
        <f>IF(AND($H34&lt;&gt;"",$AQ34&lt;&gt;"",$H34&lt;&gt;$AQ34,IFERROR(VLOOKUP($H34,areaCercaPuntiClassificaSquadra,3,FALSE),-1)=IFERROR(VLOOKUP($AQ34,areaCercaPuntiClassificaSquadra,3,FALSE),-2)),SUMIFS(Dati!$D$2:$D$381,Dati!$A$2:$A$381,$H34,Dati!$H$2:$H$381,$AQ34)+SUMIFS(Dati!$K$2:$K$381,Dati!$H$2:$H$381,$H34,Dati!$A$2:$A$381,$AQ34)+SUMIFS(Dati!$C$2:$C$381,Dati!$A$2:$A$381,$H34,Dati!$H$2:$H$381,$AQ34)+SUMIFS(Dati!$J$2:$J$381,Dati!$H$2:$H$381,$H34,Dati!$A$2:$A$381,$AQ34),"-")</f>
        <v/>
      </c>
      <c r="CJ34" s="22">
        <f>IF(AND($H34&lt;&gt;"",$AR34&lt;&gt;"",$H34&lt;&gt;$AR34,IFERROR(VLOOKUP($H34,areaCercaPuntiClassificaSquadra,3,FALSE),-1)=IFERROR(VLOOKUP($AR34,areaCercaPuntiClassificaSquadra,3,FALSE),-2)),SUMIFS(Dati!$D$2:$D$381,Dati!$A$2:$A$381,$H34,Dati!$H$2:$H$381,$AR34)+SUMIFS(Dati!$K$2:$K$381,Dati!$H$2:$H$381,$H34,Dati!$A$2:$A$381,$AR34)+SUMIFS(Dati!$C$2:$C$381,Dati!$A$2:$A$381,$H34,Dati!$H$2:$H$381,$AR34)+SUMIFS(Dati!$J$2:$J$381,Dati!$H$2:$H$381,$H34,Dati!$A$2:$A$381,$AR34),"-")</f>
        <v/>
      </c>
      <c r="CL34" s="21">
        <f>$C34</f>
        <v/>
      </c>
      <c r="CM34" s="22">
        <f>IF(AND($H34&lt;&gt;"",$Y34&lt;&gt;"",$H34&lt;&gt;$Y34,IFERROR(VLOOKUP($H34,areaCercaPuntiClassificaSquadra,3,FALSE),-1)=IFERROR(VLOOKUP($Y34,areaCercaPuntiClassificaSquadra,3,FALSE),-2)),SUMIFS(Dati!$E$2:$E$381,Dati!$A$2:$A$381,$H34,Dati!$H$2:$H$381,$Y34)+SUMIFS(Dati!$L$2:$L$381,Dati!$H$2:$H$381,$H34,Dati!$A$2:$A$381,$Y34),"-")</f>
        <v/>
      </c>
      <c r="CN34" s="22">
        <f>IF(AND($H34&lt;&gt;"",$Z34&lt;&gt;"",$H34&lt;&gt;$Z34,IFERROR(VLOOKUP($H34,areaCercaPuntiClassificaSquadra,3,FALSE),-1)=IFERROR(VLOOKUP($Z34,areaCercaPuntiClassificaSquadra,3,FALSE),-2)),SUMIFS(Dati!$E$2:$E$381,Dati!$A$2:$A$381,$H34,Dati!$H$2:$H$381,$Z34)+SUMIFS(Dati!$L$2:$L$381,Dati!$H$2:$H$381,$H34,Dati!$A$2:$A$381,$Z34),"-")</f>
        <v/>
      </c>
      <c r="CO34" s="22">
        <f>IF(AND($H34&lt;&gt;"",$AA34&lt;&gt;"",$H34&lt;&gt;$AA34,IFERROR(VLOOKUP($H34,areaCercaPuntiClassificaSquadra,3,FALSE),-1)=IFERROR(VLOOKUP($AA34,areaCercaPuntiClassificaSquadra,3,FALSE),-2)),SUMIFS(Dati!$E$2:$E$381,Dati!$A$2:$A$381,$H34,Dati!$H$2:$H$381,$AA34)+SUMIFS(Dati!$L$2:$L$381,Dati!$H$2:$H$381,$H34,Dati!$A$2:$A$381,$AA34),"-")</f>
        <v/>
      </c>
      <c r="CP34" s="22">
        <f>IF(AND($H34&lt;&gt;"",$AB34&lt;&gt;"",$H34&lt;&gt;$AB34,IFERROR(VLOOKUP($H34,areaCercaPuntiClassificaSquadra,3,FALSE),-1)=IFERROR(VLOOKUP($AB34,areaCercaPuntiClassificaSquadra,3,FALSE),-2)),SUMIFS(Dati!$E$2:$E$381,Dati!$A$2:$A$381,$H34,Dati!$H$2:$H$381,$AB34)+SUMIFS(Dati!$L$2:$L$381,Dati!$H$2:$H$381,$H34,Dati!$A$2:$A$381,$AB34),"-")</f>
        <v/>
      </c>
      <c r="CQ34" s="22">
        <f>IF(AND($H34&lt;&gt;"",$AC34&lt;&gt;"",$H34&lt;&gt;$AC34,IFERROR(VLOOKUP($H34,areaCercaPuntiClassificaSquadra,3,FALSE),-1)=IFERROR(VLOOKUP($AC34,areaCercaPuntiClassificaSquadra,3,FALSE),-2)),SUMIFS(Dati!$E$2:$E$381,Dati!$A$2:$A$381,$H34,Dati!$H$2:$H$381,$AC34)+SUMIFS(Dati!$L$2:$L$381,Dati!$H$2:$H$381,$H34,Dati!$A$2:$A$381,$AC34),"-")</f>
        <v/>
      </c>
      <c r="CR34" s="22">
        <f>IF(AND($H34&lt;&gt;"",$AD34&lt;&gt;"",$H34&lt;&gt;$AD34,IFERROR(VLOOKUP($H34,areaCercaPuntiClassificaSquadra,3,FALSE),-1)=IFERROR(VLOOKUP($AD34,areaCercaPuntiClassificaSquadra,3,FALSE),-2)),SUMIFS(Dati!$E$2:$E$381,Dati!$A$2:$A$381,$H34,Dati!$H$2:$H$381,$AD34)+SUMIFS(Dati!$L$2:$L$381,Dati!$H$2:$H$381,$H34,Dati!$A$2:$A$381,$AD34),"-")</f>
        <v/>
      </c>
      <c r="CS34" s="22">
        <f>IF(AND($H34&lt;&gt;"",$AE34&lt;&gt;"",$H34&lt;&gt;$AE34,IFERROR(VLOOKUP($H34,areaCercaPuntiClassificaSquadra,3,FALSE),-1)=IFERROR(VLOOKUP($AE34,areaCercaPuntiClassificaSquadra,3,FALSE),-2)),SUMIFS(Dati!$E$2:$E$381,Dati!$A$2:$A$381,$H34,Dati!$H$2:$H$381,$AE34)+SUMIFS(Dati!$L$2:$L$381,Dati!$H$2:$H$381,$H34,Dati!$A$2:$A$381,$AE34),"-")</f>
        <v/>
      </c>
      <c r="CT34" s="22">
        <f>IF(AND($H34&lt;&gt;"",$AF34&lt;&gt;"",$H34&lt;&gt;$AF34,IFERROR(VLOOKUP($H34,areaCercaPuntiClassificaSquadra,3,FALSE),-1)=IFERROR(VLOOKUP($AF34,areaCercaPuntiClassificaSquadra,3,FALSE),-2)),SUMIFS(Dati!$E$2:$E$381,Dati!$A$2:$A$381,$H34,Dati!$H$2:$H$381,$AF34)+SUMIFS(Dati!$L$2:$L$381,Dati!$H$2:$H$381,$H34,Dati!$A$2:$A$381,$AF34),"-")</f>
        <v/>
      </c>
      <c r="CU34" s="22">
        <f>IF(AND($H34&lt;&gt;"",$AG34&lt;&gt;"",$H34&lt;&gt;$AG34,IFERROR(VLOOKUP($H34,areaCercaPuntiClassificaSquadra,3,FALSE),-1)=IFERROR(VLOOKUP($AG34,areaCercaPuntiClassificaSquadra,3,FALSE),-2)),SUMIFS(Dati!$E$2:$E$381,Dati!$A$2:$A$381,$H34,Dati!$H$2:$H$381,$AG34)+SUMIFS(Dati!$L$2:$L$381,Dati!$H$2:$H$381,$H34,Dati!$A$2:$A$381,$AG34),"-")</f>
        <v/>
      </c>
      <c r="CV34" s="22">
        <f>IF(AND($H34&lt;&gt;"",$AH34&lt;&gt;"",$H34&lt;&gt;$AH34,IFERROR(VLOOKUP($H34,areaCercaPuntiClassificaSquadra,3,FALSE),-1)=IFERROR(VLOOKUP($AH34,areaCercaPuntiClassificaSquadra,3,FALSE),-2)),SUMIFS(Dati!$E$2:$E$381,Dati!$A$2:$A$381,$H34,Dati!$H$2:$H$381,$AH34)+SUMIFS(Dati!$L$2:$L$381,Dati!$H$2:$H$381,$H34,Dati!$A$2:$A$381,$AH34),"-")</f>
        <v/>
      </c>
      <c r="CW34" s="22">
        <f>IF(AND($H34&lt;&gt;"",$AI34&lt;&gt;"",$H34&lt;&gt;$AI34,IFERROR(VLOOKUP($H34,areaCercaPuntiClassificaSquadra,3,FALSE),-1)=IFERROR(VLOOKUP($AI34,areaCercaPuntiClassificaSquadra,3,FALSE),-2)),SUMIFS(Dati!$E$2:$E$381,Dati!$A$2:$A$381,$H34,Dati!$H$2:$H$381,$AI34)+SUMIFS(Dati!$L$2:$L$381,Dati!$H$2:$H$381,$H34,Dati!$A$2:$A$381,$AI34),"-")</f>
        <v/>
      </c>
      <c r="CX34" s="22">
        <f>IF(AND($H34&lt;&gt;"",$AJ34&lt;&gt;"",$H34&lt;&gt;$AJ34,IFERROR(VLOOKUP($H34,areaCercaPuntiClassificaSquadra,3,FALSE),-1)=IFERROR(VLOOKUP($AJ34,areaCercaPuntiClassificaSquadra,3,FALSE),-2)),SUMIFS(Dati!$E$2:$E$381,Dati!$A$2:$A$381,$H34,Dati!$H$2:$H$381,$AJ34)+SUMIFS(Dati!$L$2:$L$381,Dati!$H$2:$H$381,$H34,Dati!$A$2:$A$381,$AJ34),"-")</f>
        <v/>
      </c>
      <c r="CY34" s="22">
        <f>IF(AND($H34&lt;&gt;"",$AK34&lt;&gt;"",$H34&lt;&gt;$AK34,IFERROR(VLOOKUP($H34,areaCercaPuntiClassificaSquadra,3,FALSE),-1)=IFERROR(VLOOKUP($AK34,areaCercaPuntiClassificaSquadra,3,FALSE),-2)),SUMIFS(Dati!$E$2:$E$381,Dati!$A$2:$A$381,$H34,Dati!$H$2:$H$381,$AK34)+SUMIFS(Dati!$L$2:$L$381,Dati!$H$2:$H$381,$H34,Dati!$A$2:$A$381,$AK34),"-")</f>
        <v/>
      </c>
      <c r="CZ34" s="22">
        <f>IF(AND($H34&lt;&gt;"",$AL34&lt;&gt;"",$H34&lt;&gt;$AL34,IFERROR(VLOOKUP($H34,areaCercaPuntiClassificaSquadra,3,FALSE),-1)=IFERROR(VLOOKUP($AL34,areaCercaPuntiClassificaSquadra,3,FALSE),-2)),SUMIFS(Dati!$E$2:$E$381,Dati!$A$2:$A$381,$H34,Dati!$H$2:$H$381,$AL34)+SUMIFS(Dati!$L$2:$L$381,Dati!$H$2:$H$381,$H34,Dati!$A$2:$A$381,$AL34),"-")</f>
        <v/>
      </c>
      <c r="DA34" s="22">
        <f>IF(AND($H34&lt;&gt;"",$AM34&lt;&gt;"",$H34&lt;&gt;$AM34,IFERROR(VLOOKUP($H34,areaCercaPuntiClassificaSquadra,3,FALSE),-1)=IFERROR(VLOOKUP($AM34,areaCercaPuntiClassificaSquadra,3,FALSE),-2)),SUMIFS(Dati!$E$2:$E$381,Dati!$A$2:$A$381,$H34,Dati!$H$2:$H$381,$AM34)+SUMIFS(Dati!$L$2:$L$381,Dati!$H$2:$H$381,$H34,Dati!$A$2:$A$381,$AM34),"-")</f>
        <v/>
      </c>
      <c r="DB34" s="22">
        <f>IF(AND($H34&lt;&gt;"",$AN34&lt;&gt;"",$H34&lt;&gt;$AN34,IFERROR(VLOOKUP($H34,areaCercaPuntiClassificaSquadra,3,FALSE),-1)=IFERROR(VLOOKUP($AN34,areaCercaPuntiClassificaSquadra,3,FALSE),-2)),SUMIFS(Dati!$E$2:$E$381,Dati!$A$2:$A$381,$H34,Dati!$H$2:$H$381,$AN34)+SUMIFS(Dati!$L$2:$L$381,Dati!$H$2:$H$381,$H34,Dati!$A$2:$A$381,$AN34),"-")</f>
        <v/>
      </c>
      <c r="DC34" s="22">
        <f>IF(AND($H34&lt;&gt;"",$AO34&lt;&gt;"",$H34&lt;&gt;$AO34,IFERROR(VLOOKUP($H34,areaCercaPuntiClassificaSquadra,3,FALSE),-1)=IFERROR(VLOOKUP($AO34,areaCercaPuntiClassificaSquadra,3,FALSE),-2)),SUMIFS(Dati!$E$2:$E$381,Dati!$A$2:$A$381,$H34,Dati!$H$2:$H$381,$AO34)+SUMIFS(Dati!$L$2:$L$381,Dati!$H$2:$H$381,$H34,Dati!$A$2:$A$381,$AO34),"-")</f>
        <v/>
      </c>
      <c r="DD34" s="22">
        <f>IF(AND($H34&lt;&gt;"",$AP34&lt;&gt;"",$H34&lt;&gt;$AP34,IFERROR(VLOOKUP($H34,areaCercaPuntiClassificaSquadra,3,FALSE),-1)=IFERROR(VLOOKUP($AP34,areaCercaPuntiClassificaSquadra,3,FALSE),-2)),SUMIFS(Dati!$E$2:$E$381,Dati!$A$2:$A$381,$H34,Dati!$H$2:$H$381,$AP34)+SUMIFS(Dati!$L$2:$L$381,Dati!$H$2:$H$381,$H34,Dati!$A$2:$A$381,$AP34),"-")</f>
        <v/>
      </c>
      <c r="DE34" s="22">
        <f>IF(AND($H34&lt;&gt;"",$AQ34&lt;&gt;"",$H34&lt;&gt;$AQ34,IFERROR(VLOOKUP($H34,areaCercaPuntiClassificaSquadra,3,FALSE),-1)=IFERROR(VLOOKUP($AQ34,areaCercaPuntiClassificaSquadra,3,FALSE),-2)),SUMIFS(Dati!$E$2:$E$381,Dati!$A$2:$A$381,$H34,Dati!$H$2:$H$381,$AQ34)+SUMIFS(Dati!$L$2:$L$381,Dati!$H$2:$H$381,$H34,Dati!$A$2:$A$381,$AQ34),"-")</f>
        <v/>
      </c>
      <c r="DF34" s="22">
        <f>IF(AND($H34&lt;&gt;"",$AR34&lt;&gt;"",$H34&lt;&gt;$AR34,IFERROR(VLOOKUP($H34,areaCercaPuntiClassificaSquadra,3,FALSE),-1)=IFERROR(VLOOKUP($AR34,areaCercaPuntiClassificaSquadra,3,FALSE),-2)),SUMIFS(Dati!$E$2:$E$381,Dati!$A$2:$A$381,$H34,Dati!$H$2:$H$381,$AR34)+SUMIFS(Dati!$L$2:$L$381,Dati!$H$2:$H$381,$H34,Dati!$A$2:$A$381,$AR34),"-")</f>
        <v/>
      </c>
      <c r="DH34" s="21">
        <f>$C34</f>
        <v/>
      </c>
      <c r="DI34" s="22">
        <f>IF(AND($H34&lt;&gt;"",$Y34&lt;&gt;"",$H34&lt;&gt;$Y34,IFERROR(VLOOKUP($H34,areaCercaPuntiClassificaSquadra,3,FALSE),-1)=IFERROR(VLOOKUP($Y34,areaCercaPuntiClassificaSquadra,3,FALSE),-2)),SUMIFS(Dati!$F$2:$F$381,Dati!$A$2:$A$381,$H34,Dati!$H$2:$H$381,$Y34)+SUMIFS(Dati!$M$2:$M$381,Dati!$H$2:$H$381,$H34,Dati!$A$2:$A$381,$Y34),"-")</f>
        <v/>
      </c>
      <c r="DJ34" s="22">
        <f>IF(AND($H34&lt;&gt;"",$Z34&lt;&gt;"",$H34&lt;&gt;$Z34,IFERROR(VLOOKUP($H34,areaCercaPuntiClassificaSquadra,3,FALSE),-1)=IFERROR(VLOOKUP($Z34,areaCercaPuntiClassificaSquadra,3,FALSE),-2)),SUMIFS(Dati!$F$2:$F$381,Dati!$A$2:$A$381,$H34,Dati!$H$2:$H$381,$Z34)+SUMIFS(Dati!$M$2:$M$381,Dati!$H$2:$H$381,$H34,Dati!$A$2:$A$381,$Z34),"-")</f>
        <v/>
      </c>
      <c r="DK34" s="22">
        <f>IF(AND($H34&lt;&gt;"",$AA34&lt;&gt;"",$H34&lt;&gt;$AA34,IFERROR(VLOOKUP($H34,areaCercaPuntiClassificaSquadra,3,FALSE),-1)=IFERROR(VLOOKUP($AA34,areaCercaPuntiClassificaSquadra,3,FALSE),-2)),SUMIFS(Dati!$F$2:$F$381,Dati!$A$2:$A$381,$H34,Dati!$H$2:$H$381,$AA34)+SUMIFS(Dati!$M$2:$M$381,Dati!$H$2:$H$381,$H34,Dati!$A$2:$A$381,$AA34),"-")</f>
        <v/>
      </c>
      <c r="DL34" s="22">
        <f>IF(AND($H34&lt;&gt;"",$AB34&lt;&gt;"",$H34&lt;&gt;$AB34,IFERROR(VLOOKUP($H34,areaCercaPuntiClassificaSquadra,3,FALSE),-1)=IFERROR(VLOOKUP($AB34,areaCercaPuntiClassificaSquadra,3,FALSE),-2)),SUMIFS(Dati!$F$2:$F$381,Dati!$A$2:$A$381,$H34,Dati!$H$2:$H$381,$AB34)+SUMIFS(Dati!$M$2:$M$381,Dati!$H$2:$H$381,$H34,Dati!$A$2:$A$381,$AB34),"-")</f>
        <v/>
      </c>
      <c r="DM34" s="22">
        <f>IF(AND($H34&lt;&gt;"",$AC34&lt;&gt;"",$H34&lt;&gt;$AC34,IFERROR(VLOOKUP($H34,areaCercaPuntiClassificaSquadra,3,FALSE),-1)=IFERROR(VLOOKUP($AC34,areaCercaPuntiClassificaSquadra,3,FALSE),-2)),SUMIFS(Dati!$F$2:$F$381,Dati!$A$2:$A$381,$H34,Dati!$H$2:$H$381,$AC34)+SUMIFS(Dati!$M$2:$M$381,Dati!$H$2:$H$381,$H34,Dati!$A$2:$A$381,$AC34),"-")</f>
        <v/>
      </c>
      <c r="DN34" s="22">
        <f>IF(AND($H34&lt;&gt;"",$AD34&lt;&gt;"",$H34&lt;&gt;$AD34,IFERROR(VLOOKUP($H34,areaCercaPuntiClassificaSquadra,3,FALSE),-1)=IFERROR(VLOOKUP($AD34,areaCercaPuntiClassificaSquadra,3,FALSE),-2)),SUMIFS(Dati!$F$2:$F$381,Dati!$A$2:$A$381,$H34,Dati!$H$2:$H$381,$AD34)+SUMIFS(Dati!$M$2:$M$381,Dati!$H$2:$H$381,$H34,Dati!$A$2:$A$381,$AD34),"-")</f>
        <v/>
      </c>
      <c r="DO34" s="22">
        <f>IF(AND($H34&lt;&gt;"",$AE34&lt;&gt;"",$H34&lt;&gt;$AE34,IFERROR(VLOOKUP($H34,areaCercaPuntiClassificaSquadra,3,FALSE),-1)=IFERROR(VLOOKUP($AE34,areaCercaPuntiClassificaSquadra,3,FALSE),-2)),SUMIFS(Dati!$F$2:$F$381,Dati!$A$2:$A$381,$H34,Dati!$H$2:$H$381,$AE34)+SUMIFS(Dati!$M$2:$M$381,Dati!$H$2:$H$381,$H34,Dati!$A$2:$A$381,$AE34),"-")</f>
        <v/>
      </c>
      <c r="DP34" s="22">
        <f>IF(AND($H34&lt;&gt;"",$AF34&lt;&gt;"",$H34&lt;&gt;$AF34,IFERROR(VLOOKUP($H34,areaCercaPuntiClassificaSquadra,3,FALSE),-1)=IFERROR(VLOOKUP($AF34,areaCercaPuntiClassificaSquadra,3,FALSE),-2)),SUMIFS(Dati!$F$2:$F$381,Dati!$A$2:$A$381,$H34,Dati!$H$2:$H$381,$AF34)+SUMIFS(Dati!$M$2:$M$381,Dati!$H$2:$H$381,$H34,Dati!$A$2:$A$381,$AF34),"-")</f>
        <v/>
      </c>
      <c r="DQ34" s="22">
        <f>IF(AND($H34&lt;&gt;"",$AG34&lt;&gt;"",$H34&lt;&gt;$AG34,IFERROR(VLOOKUP($H34,areaCercaPuntiClassificaSquadra,3,FALSE),-1)=IFERROR(VLOOKUP($AG34,areaCercaPuntiClassificaSquadra,3,FALSE),-2)),SUMIFS(Dati!$F$2:$F$381,Dati!$A$2:$A$381,$H34,Dati!$H$2:$H$381,$AG34)+SUMIFS(Dati!$M$2:$M$381,Dati!$H$2:$H$381,$H34,Dati!$A$2:$A$381,$AG34),"-")</f>
        <v/>
      </c>
      <c r="DR34" s="22">
        <f>IF(AND($H34&lt;&gt;"",$AH34&lt;&gt;"",$H34&lt;&gt;$AH34,IFERROR(VLOOKUP($H34,areaCercaPuntiClassificaSquadra,3,FALSE),-1)=IFERROR(VLOOKUP($AH34,areaCercaPuntiClassificaSquadra,3,FALSE),-2)),SUMIFS(Dati!$F$2:$F$381,Dati!$A$2:$A$381,$H34,Dati!$H$2:$H$381,$AH34)+SUMIFS(Dati!$M$2:$M$381,Dati!$H$2:$H$381,$H34,Dati!$A$2:$A$381,$AH34),"-")</f>
        <v/>
      </c>
      <c r="DS34" s="22">
        <f>IF(AND($H34&lt;&gt;"",$AI34&lt;&gt;"",$H34&lt;&gt;$AI34,IFERROR(VLOOKUP($H34,areaCercaPuntiClassificaSquadra,3,FALSE),-1)=IFERROR(VLOOKUP($AI34,areaCercaPuntiClassificaSquadra,3,FALSE),-2)),SUMIFS(Dati!$F$2:$F$381,Dati!$A$2:$A$381,$H34,Dati!$H$2:$H$381,$AI34)+SUMIFS(Dati!$M$2:$M$381,Dati!$H$2:$H$381,$H34,Dati!$A$2:$A$381,$AI34),"-")</f>
        <v/>
      </c>
      <c r="DT34" s="22">
        <f>IF(AND($H34&lt;&gt;"",$AJ34&lt;&gt;"",$H34&lt;&gt;$AJ34,IFERROR(VLOOKUP($H34,areaCercaPuntiClassificaSquadra,3,FALSE),-1)=IFERROR(VLOOKUP($AJ34,areaCercaPuntiClassificaSquadra,3,FALSE),-2)),SUMIFS(Dati!$F$2:$F$381,Dati!$A$2:$A$381,$H34,Dati!$H$2:$H$381,$AJ34)+SUMIFS(Dati!$M$2:$M$381,Dati!$H$2:$H$381,$H34,Dati!$A$2:$A$381,$AJ34),"-")</f>
        <v/>
      </c>
      <c r="DU34" s="22">
        <f>IF(AND($H34&lt;&gt;"",$AK34&lt;&gt;"",$H34&lt;&gt;$AK34,IFERROR(VLOOKUP($H34,areaCercaPuntiClassificaSquadra,3,FALSE),-1)=IFERROR(VLOOKUP($AK34,areaCercaPuntiClassificaSquadra,3,FALSE),-2)),SUMIFS(Dati!$F$2:$F$381,Dati!$A$2:$A$381,$H34,Dati!$H$2:$H$381,$AK34)+SUMIFS(Dati!$M$2:$M$381,Dati!$H$2:$H$381,$H34,Dati!$A$2:$A$381,$AK34),"-")</f>
        <v/>
      </c>
      <c r="DV34" s="22">
        <f>IF(AND($H34&lt;&gt;"",$AL34&lt;&gt;"",$H34&lt;&gt;$AL34,IFERROR(VLOOKUP($H34,areaCercaPuntiClassificaSquadra,3,FALSE),-1)=IFERROR(VLOOKUP($AL34,areaCercaPuntiClassificaSquadra,3,FALSE),-2)),SUMIFS(Dati!$F$2:$F$381,Dati!$A$2:$A$381,$H34,Dati!$H$2:$H$381,$AL34)+SUMIFS(Dati!$M$2:$M$381,Dati!$H$2:$H$381,$H34,Dati!$A$2:$A$381,$AL34),"-")</f>
        <v/>
      </c>
      <c r="DW34" s="22">
        <f>IF(AND($H34&lt;&gt;"",$AM34&lt;&gt;"",$H34&lt;&gt;$AM34,IFERROR(VLOOKUP($H34,areaCercaPuntiClassificaSquadra,3,FALSE),-1)=IFERROR(VLOOKUP($AM34,areaCercaPuntiClassificaSquadra,3,FALSE),-2)),SUMIFS(Dati!$F$2:$F$381,Dati!$A$2:$A$381,$H34,Dati!$H$2:$H$381,$AM34)+SUMIFS(Dati!$M$2:$M$381,Dati!$H$2:$H$381,$H34,Dati!$A$2:$A$381,$AM34),"-")</f>
        <v/>
      </c>
      <c r="DX34" s="22">
        <f>IF(AND($H34&lt;&gt;"",$AN34&lt;&gt;"",$H34&lt;&gt;$AN34,IFERROR(VLOOKUP($H34,areaCercaPuntiClassificaSquadra,3,FALSE),-1)=IFERROR(VLOOKUP($AN34,areaCercaPuntiClassificaSquadra,3,FALSE),-2)),SUMIFS(Dati!$F$2:$F$381,Dati!$A$2:$A$381,$H34,Dati!$H$2:$H$381,$AN34)+SUMIFS(Dati!$M$2:$M$381,Dati!$H$2:$H$381,$H34,Dati!$A$2:$A$381,$AN34),"-")</f>
        <v/>
      </c>
      <c r="DY34" s="22">
        <f>IF(AND($H34&lt;&gt;"",$AO34&lt;&gt;"",$H34&lt;&gt;$AO34,IFERROR(VLOOKUP($H34,areaCercaPuntiClassificaSquadra,3,FALSE),-1)=IFERROR(VLOOKUP($AO34,areaCercaPuntiClassificaSquadra,3,FALSE),-2)),SUMIFS(Dati!$F$2:$F$381,Dati!$A$2:$A$381,$H34,Dati!$H$2:$H$381,$AO34)+SUMIFS(Dati!$M$2:$M$381,Dati!$H$2:$H$381,$H34,Dati!$A$2:$A$381,$AO34),"-")</f>
        <v/>
      </c>
      <c r="DZ34" s="22">
        <f>IF(AND($H34&lt;&gt;"",$AP34&lt;&gt;"",$H34&lt;&gt;$AP34,IFERROR(VLOOKUP($H34,areaCercaPuntiClassificaSquadra,3,FALSE),-1)=IFERROR(VLOOKUP($AP34,areaCercaPuntiClassificaSquadra,3,FALSE),-2)),SUMIFS(Dati!$F$2:$F$381,Dati!$A$2:$A$381,$H34,Dati!$H$2:$H$381,$AP34)+SUMIFS(Dati!$M$2:$M$381,Dati!$H$2:$H$381,$H34,Dati!$A$2:$A$381,$AP34),"-")</f>
        <v/>
      </c>
      <c r="EA34" s="22">
        <f>IF(AND($H34&lt;&gt;"",$AQ34&lt;&gt;"",$H34&lt;&gt;$AQ34,IFERROR(VLOOKUP($H34,areaCercaPuntiClassificaSquadra,3,FALSE),-1)=IFERROR(VLOOKUP($AQ34,areaCercaPuntiClassificaSquadra,3,FALSE),-2)),SUMIFS(Dati!$F$2:$F$381,Dati!$A$2:$A$381,$H34,Dati!$H$2:$H$381,$AQ34)+SUMIFS(Dati!$M$2:$M$381,Dati!$H$2:$H$381,$H34,Dati!$A$2:$A$381,$AQ34),"-")</f>
        <v/>
      </c>
      <c r="EB34" s="22">
        <f>IF(AND($H34&lt;&gt;"",$AR34&lt;&gt;"",$H34&lt;&gt;$AR34,IFERROR(VLOOKUP($H34,areaCercaPuntiClassificaSquadra,3,FALSE),-1)=IFERROR(VLOOKUP($AR34,areaCercaPuntiClassificaSquadra,3,FALSE),-2)),SUMIFS(Dati!$F$2:$F$381,Dati!$A$2:$A$381,$H34,Dati!$H$2:$H$381,$AR34)+SUMIFS(Dati!$M$2:$M$381,Dati!$H$2:$H$381,$H34,Dati!$A$2:$A$381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inlineStr">
        <is>
          <t>Elefanti Eleganti-Elefantiopoli EE</t>
        </is>
      </c>
      <c r="D35" s="14" t="n"/>
      <c r="E35" s="23" t="inlineStr">
        <is>
          <t>B</t>
        </is>
      </c>
      <c r="G35" s="24">
        <f>IF($C35="","",$E35&amp;(COUNTIFS(I$14:I$53,"&gt;"&amp;I35,E$14:E$53,"="&amp;E35,C$14:C$53,"&lt;&gt;")+COUNTIFS(I$14:I$53,"="&amp;I35,H$14:H$53,"&lt;="&amp;H35,E$14:E$53,"="&amp;E35,C$14:C$53,"&lt;&gt;")))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L35*constPuntiVittoria+M35*constPuntiSconfitta+N35*constPuntiForfait+IF(D35="",0,D35)</f>
        <v/>
      </c>
      <c r="K35" s="12">
        <f>SUM(L35:N35)</f>
        <v/>
      </c>
      <c r="L35" s="12">
        <f>IF($H35="",0,SUMIF(Dati!$A$2:$A$381,$H35,Dati!$B$2:$B$381)+SUMIF(Dati!$H$2:$H$381,$H35,Dati!$I$2:$I$381))</f>
        <v/>
      </c>
      <c r="M35" s="12">
        <f>IF($H35="",0,SUMIF(Dati!$A$2:$A$381,$H35,Dati!$D$2:$D$381)+SUMIF(Dati!$H$2:$H$381,$H35,Dati!$K$2:$K$381))</f>
        <v/>
      </c>
      <c r="N35" s="12">
        <f>IF($H35="",0,SUMIF(Dati!$A$2:$A$381,$H35,Dati!$C$2:$C$381)+SUMIF(Dati!$H$2:$H$381,$H35,Dati!$J$2:$J$381))</f>
        <v/>
      </c>
      <c r="O35" s="12">
        <f>IF($H35="",0,SUMIF(Dati!$A$2:$A$381,$H35,Dati!$E$2:$E$381)+SUMIF(Dati!$H$2:$H$381,$H35,Dati!$L$2:$L$381))</f>
        <v/>
      </c>
      <c r="P35" s="12">
        <f>IF($H35="",0,SUMIF(Dati!$A$2:$A$381,$H35,Dati!$F$2:$F$381)+SUMIF(Dati!$H$2:$H$381,$H35,Dati!$M$2:$M$381))</f>
        <v/>
      </c>
      <c r="Q35" s="12">
        <f>IF($H35="",0,SUMIF(Dati!$A$2:$A$381,$H35,Dati!$G$2:$G$381)+SUMIF(Dati!$H$2:$H$381,$H35,Dati!$N$2:$N$381))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IF(COUNTIFS($E$14:$E$53,$E35,$J$14:$J$53,$J35,$C$14:$C$53,"&lt;&gt;")&lt;=1,"-",SUM(AU35:BN35)&amp;"-"&amp;SUM(BQ35:CJ35))</f>
        <v/>
      </c>
      <c r="V35" s="18">
        <f>IF(COUNTIFS($E$14:$E$53,$E35,$J$14:$J$53,$J35,$C$14:$C$53,"&lt;&gt;",$ED$14:$ED$53,$ED35)&lt;=1,"-",IF(SUM(DI35:EB35)=0,0,ROUND(SUM(CM35:DF35)/SUM(DI35:EB35),3)))</f>
        <v/>
      </c>
      <c r="W35" s="18">
        <f>IF(COUNTIFS($E$14:$E$53,$E35,$J$14:$J$53,$J35,$C$14:$C$53,"&lt;&gt;",$ED$14:$ED$53,$ED35,$V$14:$V$53,$V35)&lt;=1,"-",IF(P35=0,0,ROUND(O35/P35,3)))</f>
        <v/>
      </c>
      <c r="X35" s="19">
        <f>IF($C35="","",$E35&amp;"#"&amp;COUNTIFS($E$14:$E35,$E35,$C$14:$C35,"&lt;&gt;"))</f>
        <v/>
      </c>
      <c r="Y35" s="20">
        <f>IFERROR(INDEX($H$14:$H$53,MATCH($E35&amp;"#1",$X$14:$X$53,0)),"")</f>
        <v/>
      </c>
      <c r="Z35" s="20">
        <f>IFERROR(INDEX($H$14:$H$53,MATCH($E35&amp;"#2",$X$14:$X$53,0)),"")</f>
        <v/>
      </c>
      <c r="AA35" s="20">
        <f>IFERROR(INDEX($H$14:$H$53,MATCH($E35&amp;"#3",$X$14:$X$53,0)),"")</f>
        <v/>
      </c>
      <c r="AB35" s="20">
        <f>IFERROR(INDEX($H$14:$H$53,MATCH($E35&amp;"#4",$X$14:$X$53,0)),"")</f>
        <v/>
      </c>
      <c r="AC35" s="20">
        <f>IFERROR(INDEX($H$14:$H$53,MATCH($E35&amp;"#5",$X$14:$X$53,0)),"")</f>
        <v/>
      </c>
      <c r="AD35" s="20">
        <f>IFERROR(INDEX($H$14:$H$53,MATCH($E35&amp;"#6",$X$14:$X$53,0)),"")</f>
        <v/>
      </c>
      <c r="AE35" s="20">
        <f>IFERROR(INDEX($H$14:$H$53,MATCH($E35&amp;"#7",$X$14:$X$53,0)),"")</f>
        <v/>
      </c>
      <c r="AF35" s="20">
        <f>IFERROR(INDEX($H$14:$H$53,MATCH($E35&amp;"#8",$X$14:$X$53,0)),"")</f>
        <v/>
      </c>
      <c r="AG35" s="20">
        <f>IFERROR(INDEX($H$14:$H$53,MATCH($E35&amp;"#9",$X$14:$X$53,0)),"")</f>
        <v/>
      </c>
      <c r="AH35" s="20">
        <f>IFERROR(INDEX($H$14:$H$53,MATCH($E35&amp;"#10",$X$14:$X$53,0)),"")</f>
        <v/>
      </c>
      <c r="AI35" s="20">
        <f>IFERROR(INDEX($H$14:$H$53,MATCH($E35&amp;"#11",$X$14:$X$53,0)),"")</f>
        <v/>
      </c>
      <c r="AJ35" s="20">
        <f>IFERROR(INDEX($H$14:$H$53,MATCH($E35&amp;"#12",$X$14:$X$53,0)),"")</f>
        <v/>
      </c>
      <c r="AK35" s="20">
        <f>IFERROR(INDEX($H$14:$H$53,MATCH($E35&amp;"#13",$X$14:$X$53,0)),"")</f>
        <v/>
      </c>
      <c r="AL35" s="20">
        <f>IFERROR(INDEX($H$14:$H$53,MATCH($E35&amp;"#14",$X$14:$X$53,0)),"")</f>
        <v/>
      </c>
      <c r="AM35" s="20">
        <f>IFERROR(INDEX($H$14:$H$53,MATCH($E35&amp;"#15",$X$14:$X$53,0)),"")</f>
        <v/>
      </c>
      <c r="AN35" s="20">
        <f>IFERROR(INDEX($H$14:$H$53,MATCH($E35&amp;"#16",$X$14:$X$53,0)),"")</f>
        <v/>
      </c>
      <c r="AO35" s="20">
        <f>IFERROR(INDEX($H$14:$H$53,MATCH($E35&amp;"#17",$X$14:$X$53,0)),"")</f>
        <v/>
      </c>
      <c r="AP35" s="20">
        <f>IFERROR(INDEX($H$14:$H$53,MATCH($E35&amp;"#18",$X$14:$X$53,0)),"")</f>
        <v/>
      </c>
      <c r="AQ35" s="20">
        <f>IFERROR(INDEX($H$14:$H$53,MATCH($E35&amp;"#19",$X$14:$X$53,0)),"")</f>
        <v/>
      </c>
      <c r="AR35" s="20">
        <f>IFERROR(INDEX($H$14:$H$53,MATCH($E35&amp;"#20",$X$14:$X$53,0)),"")</f>
        <v/>
      </c>
      <c r="AT35" s="21">
        <f>$C35</f>
        <v/>
      </c>
      <c r="AU35" s="22">
        <f>IF(AND($H35&lt;&gt;"",$Y35&lt;&gt;"",$H35&lt;&gt;$Y35,IFERROR(VLOOKUP($H35,areaCercaPuntiClassificaSquadra,3,FALSE),-1)=IFERROR(VLOOKUP($Y35,areaCercaPuntiClassificaSquadra,3,FALSE),-2)),SUMIFS(Dati!$B$2:$B$381,Dati!$A$2:$A$381,$H35,Dati!$H$2:$H$381,$Y35)+SUMIFS(Dati!$I$2:$I$381,Dati!$H$2:$H$381,$H35,Dati!$A$2:$A$381,$Y35),"-")</f>
        <v/>
      </c>
      <c r="AV35" s="22">
        <f>IF(AND($H35&lt;&gt;"",$Z35&lt;&gt;"",$H35&lt;&gt;$Z35,IFERROR(VLOOKUP($H35,areaCercaPuntiClassificaSquadra,3,FALSE),-1)=IFERROR(VLOOKUP($Z35,areaCercaPuntiClassificaSquadra,3,FALSE),-2)),SUMIFS(Dati!$B$2:$B$381,Dati!$A$2:$A$381,$H35,Dati!$H$2:$H$381,$Z35)+SUMIFS(Dati!$I$2:$I$381,Dati!$H$2:$H$381,$H35,Dati!$A$2:$A$381,$Z35),"-")</f>
        <v/>
      </c>
      <c r="AW35" s="22">
        <f>IF(AND($H35&lt;&gt;"",$AA35&lt;&gt;"",$H35&lt;&gt;$AA35,IFERROR(VLOOKUP($H35,areaCercaPuntiClassificaSquadra,3,FALSE),-1)=IFERROR(VLOOKUP($AA35,areaCercaPuntiClassificaSquadra,3,FALSE),-2)),SUMIFS(Dati!$B$2:$B$381,Dati!$A$2:$A$381,$H35,Dati!$H$2:$H$381,$AA35)+SUMIFS(Dati!$I$2:$I$381,Dati!$H$2:$H$381,$H35,Dati!$A$2:$A$381,$AA35),"-")</f>
        <v/>
      </c>
      <c r="AX35" s="22">
        <f>IF(AND($H35&lt;&gt;"",$AB35&lt;&gt;"",$H35&lt;&gt;$AB35,IFERROR(VLOOKUP($H35,areaCercaPuntiClassificaSquadra,3,FALSE),-1)=IFERROR(VLOOKUP($AB35,areaCercaPuntiClassificaSquadra,3,FALSE),-2)),SUMIFS(Dati!$B$2:$B$381,Dati!$A$2:$A$381,$H35,Dati!$H$2:$H$381,$AB35)+SUMIFS(Dati!$I$2:$I$381,Dati!$H$2:$H$381,$H35,Dati!$A$2:$A$381,$AB35),"-")</f>
        <v/>
      </c>
      <c r="AY35" s="22">
        <f>IF(AND($H35&lt;&gt;"",$AC35&lt;&gt;"",$H35&lt;&gt;$AC35,IFERROR(VLOOKUP($H35,areaCercaPuntiClassificaSquadra,3,FALSE),-1)=IFERROR(VLOOKUP($AC35,areaCercaPuntiClassificaSquadra,3,FALSE),-2)),SUMIFS(Dati!$B$2:$B$381,Dati!$A$2:$A$381,$H35,Dati!$H$2:$H$381,$AC35)+SUMIFS(Dati!$I$2:$I$381,Dati!$H$2:$H$381,$H35,Dati!$A$2:$A$381,$AC35),"-")</f>
        <v/>
      </c>
      <c r="AZ35" s="22">
        <f>IF(AND($H35&lt;&gt;"",$AD35&lt;&gt;"",$H35&lt;&gt;$AD35,IFERROR(VLOOKUP($H35,areaCercaPuntiClassificaSquadra,3,FALSE),-1)=IFERROR(VLOOKUP($AD35,areaCercaPuntiClassificaSquadra,3,FALSE),-2)),SUMIFS(Dati!$B$2:$B$381,Dati!$A$2:$A$381,$H35,Dati!$H$2:$H$381,$AD35)+SUMIFS(Dati!$I$2:$I$381,Dati!$H$2:$H$381,$H35,Dati!$A$2:$A$381,$AD35),"-")</f>
        <v/>
      </c>
      <c r="BA35" s="22">
        <f>IF(AND($H35&lt;&gt;"",$AE35&lt;&gt;"",$H35&lt;&gt;$AE35,IFERROR(VLOOKUP($H35,areaCercaPuntiClassificaSquadra,3,FALSE),-1)=IFERROR(VLOOKUP($AE35,areaCercaPuntiClassificaSquadra,3,FALSE),-2)),SUMIFS(Dati!$B$2:$B$381,Dati!$A$2:$A$381,$H35,Dati!$H$2:$H$381,$AE35)+SUMIFS(Dati!$I$2:$I$381,Dati!$H$2:$H$381,$H35,Dati!$A$2:$A$381,$AE35),"-")</f>
        <v/>
      </c>
      <c r="BB35" s="22">
        <f>IF(AND($H35&lt;&gt;"",$AF35&lt;&gt;"",$H35&lt;&gt;$AF35,IFERROR(VLOOKUP($H35,areaCercaPuntiClassificaSquadra,3,FALSE),-1)=IFERROR(VLOOKUP($AF35,areaCercaPuntiClassificaSquadra,3,FALSE),-2)),SUMIFS(Dati!$B$2:$B$381,Dati!$A$2:$A$381,$H35,Dati!$H$2:$H$381,$AF35)+SUMIFS(Dati!$I$2:$I$381,Dati!$H$2:$H$381,$H35,Dati!$A$2:$A$381,$AF35),"-")</f>
        <v/>
      </c>
      <c r="BC35" s="22">
        <f>IF(AND($H35&lt;&gt;"",$AG35&lt;&gt;"",$H35&lt;&gt;$AG35,IFERROR(VLOOKUP($H35,areaCercaPuntiClassificaSquadra,3,FALSE),-1)=IFERROR(VLOOKUP($AG35,areaCercaPuntiClassificaSquadra,3,FALSE),-2)),SUMIFS(Dati!$B$2:$B$381,Dati!$A$2:$A$381,$H35,Dati!$H$2:$H$381,$AG35)+SUMIFS(Dati!$I$2:$I$381,Dati!$H$2:$H$381,$H35,Dati!$A$2:$A$381,$AG35),"-")</f>
        <v/>
      </c>
      <c r="BD35" s="22">
        <f>IF(AND($H35&lt;&gt;"",$AH35&lt;&gt;"",$H35&lt;&gt;$AH35,IFERROR(VLOOKUP($H35,areaCercaPuntiClassificaSquadra,3,FALSE),-1)=IFERROR(VLOOKUP($AH35,areaCercaPuntiClassificaSquadra,3,FALSE),-2)),SUMIFS(Dati!$B$2:$B$381,Dati!$A$2:$A$381,$H35,Dati!$H$2:$H$381,$AH35)+SUMIFS(Dati!$I$2:$I$381,Dati!$H$2:$H$381,$H35,Dati!$A$2:$A$381,$AH35),"-")</f>
        <v/>
      </c>
      <c r="BE35" s="22">
        <f>IF(AND($H35&lt;&gt;"",$AI35&lt;&gt;"",$H35&lt;&gt;$AI35,IFERROR(VLOOKUP($H35,areaCercaPuntiClassificaSquadra,3,FALSE),-1)=IFERROR(VLOOKUP($AI35,areaCercaPuntiClassificaSquadra,3,FALSE),-2)),SUMIFS(Dati!$B$2:$B$381,Dati!$A$2:$A$381,$H35,Dati!$H$2:$H$381,$AI35)+SUMIFS(Dati!$I$2:$I$381,Dati!$H$2:$H$381,$H35,Dati!$A$2:$A$381,$AI35),"-")</f>
        <v/>
      </c>
      <c r="BF35" s="22">
        <f>IF(AND($H35&lt;&gt;"",$AJ35&lt;&gt;"",$H35&lt;&gt;$AJ35,IFERROR(VLOOKUP($H35,areaCercaPuntiClassificaSquadra,3,FALSE),-1)=IFERROR(VLOOKUP($AJ35,areaCercaPuntiClassificaSquadra,3,FALSE),-2)),SUMIFS(Dati!$B$2:$B$381,Dati!$A$2:$A$381,$H35,Dati!$H$2:$H$381,$AJ35)+SUMIFS(Dati!$I$2:$I$381,Dati!$H$2:$H$381,$H35,Dati!$A$2:$A$381,$AJ35),"-")</f>
        <v/>
      </c>
      <c r="BG35" s="22">
        <f>IF(AND($H35&lt;&gt;"",$AK35&lt;&gt;"",$H35&lt;&gt;$AK35,IFERROR(VLOOKUP($H35,areaCercaPuntiClassificaSquadra,3,FALSE),-1)=IFERROR(VLOOKUP($AK35,areaCercaPuntiClassificaSquadra,3,FALSE),-2)),SUMIFS(Dati!$B$2:$B$381,Dati!$A$2:$A$381,$H35,Dati!$H$2:$H$381,$AK35)+SUMIFS(Dati!$I$2:$I$381,Dati!$H$2:$H$381,$H35,Dati!$A$2:$A$381,$AK35),"-")</f>
        <v/>
      </c>
      <c r="BH35" s="22">
        <f>IF(AND($H35&lt;&gt;"",$AL35&lt;&gt;"",$H35&lt;&gt;$AL35,IFERROR(VLOOKUP($H35,areaCercaPuntiClassificaSquadra,3,FALSE),-1)=IFERROR(VLOOKUP($AL35,areaCercaPuntiClassificaSquadra,3,FALSE),-2)),SUMIFS(Dati!$B$2:$B$381,Dati!$A$2:$A$381,$H35,Dati!$H$2:$H$381,$AL35)+SUMIFS(Dati!$I$2:$I$381,Dati!$H$2:$H$381,$H35,Dati!$A$2:$A$381,$AL35),"-")</f>
        <v/>
      </c>
      <c r="BI35" s="22">
        <f>IF(AND($H35&lt;&gt;"",$AM35&lt;&gt;"",$H35&lt;&gt;$AM35,IFERROR(VLOOKUP($H35,areaCercaPuntiClassificaSquadra,3,FALSE),-1)=IFERROR(VLOOKUP($AM35,areaCercaPuntiClassificaSquadra,3,FALSE),-2)),SUMIFS(Dati!$B$2:$B$381,Dati!$A$2:$A$381,$H35,Dati!$H$2:$H$381,$AM35)+SUMIFS(Dati!$I$2:$I$381,Dati!$H$2:$H$381,$H35,Dati!$A$2:$A$381,$AM35),"-")</f>
        <v/>
      </c>
      <c r="BJ35" s="22">
        <f>IF(AND($H35&lt;&gt;"",$AN35&lt;&gt;"",$H35&lt;&gt;$AN35,IFERROR(VLOOKUP($H35,areaCercaPuntiClassificaSquadra,3,FALSE),-1)=IFERROR(VLOOKUP($AN35,areaCercaPuntiClassificaSquadra,3,FALSE),-2)),SUMIFS(Dati!$B$2:$B$381,Dati!$A$2:$A$381,$H35,Dati!$H$2:$H$381,$AN35)+SUMIFS(Dati!$I$2:$I$381,Dati!$H$2:$H$381,$H35,Dati!$A$2:$A$381,$AN35),"-")</f>
        <v/>
      </c>
      <c r="BK35" s="22">
        <f>IF(AND($H35&lt;&gt;"",$AO35&lt;&gt;"",$H35&lt;&gt;$AO35,IFERROR(VLOOKUP($H35,areaCercaPuntiClassificaSquadra,3,FALSE),-1)=IFERROR(VLOOKUP($AO35,areaCercaPuntiClassificaSquadra,3,FALSE),-2)),SUMIFS(Dati!$B$2:$B$381,Dati!$A$2:$A$381,$H35,Dati!$H$2:$H$381,$AO35)+SUMIFS(Dati!$I$2:$I$381,Dati!$H$2:$H$381,$H35,Dati!$A$2:$A$381,$AO35),"-")</f>
        <v/>
      </c>
      <c r="BL35" s="22">
        <f>IF(AND($H35&lt;&gt;"",$AP35&lt;&gt;"",$H35&lt;&gt;$AP35,IFERROR(VLOOKUP($H35,areaCercaPuntiClassificaSquadra,3,FALSE),-1)=IFERROR(VLOOKUP($AP35,areaCercaPuntiClassificaSquadra,3,FALSE),-2)),SUMIFS(Dati!$B$2:$B$381,Dati!$A$2:$A$381,$H35,Dati!$H$2:$H$381,$AP35)+SUMIFS(Dati!$I$2:$I$381,Dati!$H$2:$H$381,$H35,Dati!$A$2:$A$381,$AP35),"-")</f>
        <v/>
      </c>
      <c r="BM35" s="22">
        <f>IF(AND($H35&lt;&gt;"",$AQ35&lt;&gt;"",$H35&lt;&gt;$AQ35,IFERROR(VLOOKUP($H35,areaCercaPuntiClassificaSquadra,3,FALSE),-1)=IFERROR(VLOOKUP($AQ35,areaCercaPuntiClassificaSquadra,3,FALSE),-2)),SUMIFS(Dati!$B$2:$B$381,Dati!$A$2:$A$381,$H35,Dati!$H$2:$H$381,$AQ35)+SUMIFS(Dati!$I$2:$I$381,Dati!$H$2:$H$381,$H35,Dati!$A$2:$A$381,$AQ35),"-")</f>
        <v/>
      </c>
      <c r="BN35" s="22">
        <f>IF(AND($H35&lt;&gt;"",$AR35&lt;&gt;"",$H35&lt;&gt;$AR35,IFERROR(VLOOKUP($H35,areaCercaPuntiClassificaSquadra,3,FALSE),-1)=IFERROR(VLOOKUP($AR35,areaCercaPuntiClassificaSquadra,3,FALSE),-2)),SUMIFS(Dati!$B$2:$B$381,Dati!$A$2:$A$381,$H35,Dati!$H$2:$H$381,$AR35)+SUMIFS(Dati!$I$2:$I$381,Dati!$H$2:$H$381,$H35,Dati!$A$2:$A$381,$AR35),"-")</f>
        <v/>
      </c>
      <c r="BP35" s="21">
        <f>$C35</f>
        <v/>
      </c>
      <c r="BQ35" s="22">
        <f>IF(AND($H35&lt;&gt;"",$Y35&lt;&gt;"",$H35&lt;&gt;$Y35,IFERROR(VLOOKUP($H35,areaCercaPuntiClassificaSquadra,3,FALSE),-1)=IFERROR(VLOOKUP($Y35,areaCercaPuntiClassificaSquadra,3,FALSE),-2)),SUMIFS(Dati!$D$2:$D$381,Dati!$A$2:$A$381,$H35,Dati!$H$2:$H$381,$Y35)+SUMIFS(Dati!$K$2:$K$381,Dati!$H$2:$H$381,$H35,Dati!$A$2:$A$381,$Y35)+SUMIFS(Dati!$C$2:$C$381,Dati!$A$2:$A$381,$H35,Dati!$H$2:$H$381,$Y35)+SUMIFS(Dati!$J$2:$J$381,Dati!$H$2:$H$381,$H35,Dati!$A$2:$A$381,$Y35),"-")</f>
        <v/>
      </c>
      <c r="BR35" s="22">
        <f>IF(AND($H35&lt;&gt;"",$Z35&lt;&gt;"",$H35&lt;&gt;$Z35,IFERROR(VLOOKUP($H35,areaCercaPuntiClassificaSquadra,3,FALSE),-1)=IFERROR(VLOOKUP($Z35,areaCercaPuntiClassificaSquadra,3,FALSE),-2)),SUMIFS(Dati!$D$2:$D$381,Dati!$A$2:$A$381,$H35,Dati!$H$2:$H$381,$Z35)+SUMIFS(Dati!$K$2:$K$381,Dati!$H$2:$H$381,$H35,Dati!$A$2:$A$381,$Z35)+SUMIFS(Dati!$C$2:$C$381,Dati!$A$2:$A$381,$H35,Dati!$H$2:$H$381,$Z35)+SUMIFS(Dati!$J$2:$J$381,Dati!$H$2:$H$381,$H35,Dati!$A$2:$A$381,$Z35),"-")</f>
        <v/>
      </c>
      <c r="BS35" s="22">
        <f>IF(AND($H35&lt;&gt;"",$AA35&lt;&gt;"",$H35&lt;&gt;$AA35,IFERROR(VLOOKUP($H35,areaCercaPuntiClassificaSquadra,3,FALSE),-1)=IFERROR(VLOOKUP($AA35,areaCercaPuntiClassificaSquadra,3,FALSE),-2)),SUMIFS(Dati!$D$2:$D$381,Dati!$A$2:$A$381,$H35,Dati!$H$2:$H$381,$AA35)+SUMIFS(Dati!$K$2:$K$381,Dati!$H$2:$H$381,$H35,Dati!$A$2:$A$381,$AA35)+SUMIFS(Dati!$C$2:$C$381,Dati!$A$2:$A$381,$H35,Dati!$H$2:$H$381,$AA35)+SUMIFS(Dati!$J$2:$J$381,Dati!$H$2:$H$381,$H35,Dati!$A$2:$A$381,$AA35),"-")</f>
        <v/>
      </c>
      <c r="BT35" s="22">
        <f>IF(AND($H35&lt;&gt;"",$AB35&lt;&gt;"",$H35&lt;&gt;$AB35,IFERROR(VLOOKUP($H35,areaCercaPuntiClassificaSquadra,3,FALSE),-1)=IFERROR(VLOOKUP($AB35,areaCercaPuntiClassificaSquadra,3,FALSE),-2)),SUMIFS(Dati!$D$2:$D$381,Dati!$A$2:$A$381,$H35,Dati!$H$2:$H$381,$AB35)+SUMIFS(Dati!$K$2:$K$381,Dati!$H$2:$H$381,$H35,Dati!$A$2:$A$381,$AB35)+SUMIFS(Dati!$C$2:$C$381,Dati!$A$2:$A$381,$H35,Dati!$H$2:$H$381,$AB35)+SUMIFS(Dati!$J$2:$J$381,Dati!$H$2:$H$381,$H35,Dati!$A$2:$A$381,$AB35),"-")</f>
        <v/>
      </c>
      <c r="BU35" s="22">
        <f>IF(AND($H35&lt;&gt;"",$AC35&lt;&gt;"",$H35&lt;&gt;$AC35,IFERROR(VLOOKUP($H35,areaCercaPuntiClassificaSquadra,3,FALSE),-1)=IFERROR(VLOOKUP($AC35,areaCercaPuntiClassificaSquadra,3,FALSE),-2)),SUMIFS(Dati!$D$2:$D$381,Dati!$A$2:$A$381,$H35,Dati!$H$2:$H$381,$AC35)+SUMIFS(Dati!$K$2:$K$381,Dati!$H$2:$H$381,$H35,Dati!$A$2:$A$381,$AC35)+SUMIFS(Dati!$C$2:$C$381,Dati!$A$2:$A$381,$H35,Dati!$H$2:$H$381,$AC35)+SUMIFS(Dati!$J$2:$J$381,Dati!$H$2:$H$381,$H35,Dati!$A$2:$A$381,$AC35),"-")</f>
        <v/>
      </c>
      <c r="BV35" s="22">
        <f>IF(AND($H35&lt;&gt;"",$AD35&lt;&gt;"",$H35&lt;&gt;$AD35,IFERROR(VLOOKUP($H35,areaCercaPuntiClassificaSquadra,3,FALSE),-1)=IFERROR(VLOOKUP($AD35,areaCercaPuntiClassificaSquadra,3,FALSE),-2)),SUMIFS(Dati!$D$2:$D$381,Dati!$A$2:$A$381,$H35,Dati!$H$2:$H$381,$AD35)+SUMIFS(Dati!$K$2:$K$381,Dati!$H$2:$H$381,$H35,Dati!$A$2:$A$381,$AD35)+SUMIFS(Dati!$C$2:$C$381,Dati!$A$2:$A$381,$H35,Dati!$H$2:$H$381,$AD35)+SUMIFS(Dati!$J$2:$J$381,Dati!$H$2:$H$381,$H35,Dati!$A$2:$A$381,$AD35),"-")</f>
        <v/>
      </c>
      <c r="BW35" s="22">
        <f>IF(AND($H35&lt;&gt;"",$AE35&lt;&gt;"",$H35&lt;&gt;$AE35,IFERROR(VLOOKUP($H35,areaCercaPuntiClassificaSquadra,3,FALSE),-1)=IFERROR(VLOOKUP($AE35,areaCercaPuntiClassificaSquadra,3,FALSE),-2)),SUMIFS(Dati!$D$2:$D$381,Dati!$A$2:$A$381,$H35,Dati!$H$2:$H$381,$AE35)+SUMIFS(Dati!$K$2:$K$381,Dati!$H$2:$H$381,$H35,Dati!$A$2:$A$381,$AE35)+SUMIFS(Dati!$C$2:$C$381,Dati!$A$2:$A$381,$H35,Dati!$H$2:$H$381,$AE35)+SUMIFS(Dati!$J$2:$J$381,Dati!$H$2:$H$381,$H35,Dati!$A$2:$A$381,$AE35),"-")</f>
        <v/>
      </c>
      <c r="BX35" s="22">
        <f>IF(AND($H35&lt;&gt;"",$AF35&lt;&gt;"",$H35&lt;&gt;$AF35,IFERROR(VLOOKUP($H35,areaCercaPuntiClassificaSquadra,3,FALSE),-1)=IFERROR(VLOOKUP($AF35,areaCercaPuntiClassificaSquadra,3,FALSE),-2)),SUMIFS(Dati!$D$2:$D$381,Dati!$A$2:$A$381,$H35,Dati!$H$2:$H$381,$AF35)+SUMIFS(Dati!$K$2:$K$381,Dati!$H$2:$H$381,$H35,Dati!$A$2:$A$381,$AF35)+SUMIFS(Dati!$C$2:$C$381,Dati!$A$2:$A$381,$H35,Dati!$H$2:$H$381,$AF35)+SUMIFS(Dati!$J$2:$J$381,Dati!$H$2:$H$381,$H35,Dati!$A$2:$A$381,$AF35),"-")</f>
        <v/>
      </c>
      <c r="BY35" s="22">
        <f>IF(AND($H35&lt;&gt;"",$AG35&lt;&gt;"",$H35&lt;&gt;$AG35,IFERROR(VLOOKUP($H35,areaCercaPuntiClassificaSquadra,3,FALSE),-1)=IFERROR(VLOOKUP($AG35,areaCercaPuntiClassificaSquadra,3,FALSE),-2)),SUMIFS(Dati!$D$2:$D$381,Dati!$A$2:$A$381,$H35,Dati!$H$2:$H$381,$AG35)+SUMIFS(Dati!$K$2:$K$381,Dati!$H$2:$H$381,$H35,Dati!$A$2:$A$381,$AG35)+SUMIFS(Dati!$C$2:$C$381,Dati!$A$2:$A$381,$H35,Dati!$H$2:$H$381,$AG35)+SUMIFS(Dati!$J$2:$J$381,Dati!$H$2:$H$381,$H35,Dati!$A$2:$A$381,$AG35),"-")</f>
        <v/>
      </c>
      <c r="BZ35" s="22">
        <f>IF(AND($H35&lt;&gt;"",$AH35&lt;&gt;"",$H35&lt;&gt;$AH35,IFERROR(VLOOKUP($H35,areaCercaPuntiClassificaSquadra,3,FALSE),-1)=IFERROR(VLOOKUP($AH35,areaCercaPuntiClassificaSquadra,3,FALSE),-2)),SUMIFS(Dati!$D$2:$D$381,Dati!$A$2:$A$381,$H35,Dati!$H$2:$H$381,$AH35)+SUMIFS(Dati!$K$2:$K$381,Dati!$H$2:$H$381,$H35,Dati!$A$2:$A$381,$AH35)+SUMIFS(Dati!$C$2:$C$381,Dati!$A$2:$A$381,$H35,Dati!$H$2:$H$381,$AH35)+SUMIFS(Dati!$J$2:$J$381,Dati!$H$2:$H$381,$H35,Dati!$A$2:$A$381,$AH35),"-")</f>
        <v/>
      </c>
      <c r="CA35" s="22">
        <f>IF(AND($H35&lt;&gt;"",$AI35&lt;&gt;"",$H35&lt;&gt;$AI35,IFERROR(VLOOKUP($H35,areaCercaPuntiClassificaSquadra,3,FALSE),-1)=IFERROR(VLOOKUP($AI35,areaCercaPuntiClassificaSquadra,3,FALSE),-2)),SUMIFS(Dati!$D$2:$D$381,Dati!$A$2:$A$381,$H35,Dati!$H$2:$H$381,$AI35)+SUMIFS(Dati!$K$2:$K$381,Dati!$H$2:$H$381,$H35,Dati!$A$2:$A$381,$AI35)+SUMIFS(Dati!$C$2:$C$381,Dati!$A$2:$A$381,$H35,Dati!$H$2:$H$381,$AI35)+SUMIFS(Dati!$J$2:$J$381,Dati!$H$2:$H$381,$H35,Dati!$A$2:$A$381,$AI35),"-")</f>
        <v/>
      </c>
      <c r="CB35" s="22">
        <f>IF(AND($H35&lt;&gt;"",$AJ35&lt;&gt;"",$H35&lt;&gt;$AJ35,IFERROR(VLOOKUP($H35,areaCercaPuntiClassificaSquadra,3,FALSE),-1)=IFERROR(VLOOKUP($AJ35,areaCercaPuntiClassificaSquadra,3,FALSE),-2)),SUMIFS(Dati!$D$2:$D$381,Dati!$A$2:$A$381,$H35,Dati!$H$2:$H$381,$AJ35)+SUMIFS(Dati!$K$2:$K$381,Dati!$H$2:$H$381,$H35,Dati!$A$2:$A$381,$AJ35)+SUMIFS(Dati!$C$2:$C$381,Dati!$A$2:$A$381,$H35,Dati!$H$2:$H$381,$AJ35)+SUMIFS(Dati!$J$2:$J$381,Dati!$H$2:$H$381,$H35,Dati!$A$2:$A$381,$AJ35),"-")</f>
        <v/>
      </c>
      <c r="CC35" s="22">
        <f>IF(AND($H35&lt;&gt;"",$AK35&lt;&gt;"",$H35&lt;&gt;$AK35,IFERROR(VLOOKUP($H35,areaCercaPuntiClassificaSquadra,3,FALSE),-1)=IFERROR(VLOOKUP($AK35,areaCercaPuntiClassificaSquadra,3,FALSE),-2)),SUMIFS(Dati!$D$2:$D$381,Dati!$A$2:$A$381,$H35,Dati!$H$2:$H$381,$AK35)+SUMIFS(Dati!$K$2:$K$381,Dati!$H$2:$H$381,$H35,Dati!$A$2:$A$381,$AK35)+SUMIFS(Dati!$C$2:$C$381,Dati!$A$2:$A$381,$H35,Dati!$H$2:$H$381,$AK35)+SUMIFS(Dati!$J$2:$J$381,Dati!$H$2:$H$381,$H35,Dati!$A$2:$A$381,$AK35),"-")</f>
        <v/>
      </c>
      <c r="CD35" s="22">
        <f>IF(AND($H35&lt;&gt;"",$AL35&lt;&gt;"",$H35&lt;&gt;$AL35,IFERROR(VLOOKUP($H35,areaCercaPuntiClassificaSquadra,3,FALSE),-1)=IFERROR(VLOOKUP($AL35,areaCercaPuntiClassificaSquadra,3,FALSE),-2)),SUMIFS(Dati!$D$2:$D$381,Dati!$A$2:$A$381,$H35,Dati!$H$2:$H$381,$AL35)+SUMIFS(Dati!$K$2:$K$381,Dati!$H$2:$H$381,$H35,Dati!$A$2:$A$381,$AL35)+SUMIFS(Dati!$C$2:$C$381,Dati!$A$2:$A$381,$H35,Dati!$H$2:$H$381,$AL35)+SUMIFS(Dati!$J$2:$J$381,Dati!$H$2:$H$381,$H35,Dati!$A$2:$A$381,$AL35),"-")</f>
        <v/>
      </c>
      <c r="CE35" s="22">
        <f>IF(AND($H35&lt;&gt;"",$AM35&lt;&gt;"",$H35&lt;&gt;$AM35,IFERROR(VLOOKUP($H35,areaCercaPuntiClassificaSquadra,3,FALSE),-1)=IFERROR(VLOOKUP($AM35,areaCercaPuntiClassificaSquadra,3,FALSE),-2)),SUMIFS(Dati!$D$2:$D$381,Dati!$A$2:$A$381,$H35,Dati!$H$2:$H$381,$AM35)+SUMIFS(Dati!$K$2:$K$381,Dati!$H$2:$H$381,$H35,Dati!$A$2:$A$381,$AM35)+SUMIFS(Dati!$C$2:$C$381,Dati!$A$2:$A$381,$H35,Dati!$H$2:$H$381,$AM35)+SUMIFS(Dati!$J$2:$J$381,Dati!$H$2:$H$381,$H35,Dati!$A$2:$A$381,$AM35),"-")</f>
        <v/>
      </c>
      <c r="CF35" s="22">
        <f>IF(AND($H35&lt;&gt;"",$AN35&lt;&gt;"",$H35&lt;&gt;$AN35,IFERROR(VLOOKUP($H35,areaCercaPuntiClassificaSquadra,3,FALSE),-1)=IFERROR(VLOOKUP($AN35,areaCercaPuntiClassificaSquadra,3,FALSE),-2)),SUMIFS(Dati!$D$2:$D$381,Dati!$A$2:$A$381,$H35,Dati!$H$2:$H$381,$AN35)+SUMIFS(Dati!$K$2:$K$381,Dati!$H$2:$H$381,$H35,Dati!$A$2:$A$381,$AN35)+SUMIFS(Dati!$C$2:$C$381,Dati!$A$2:$A$381,$H35,Dati!$H$2:$H$381,$AN35)+SUMIFS(Dati!$J$2:$J$381,Dati!$H$2:$H$381,$H35,Dati!$A$2:$A$381,$AN35),"-")</f>
        <v/>
      </c>
      <c r="CG35" s="22">
        <f>IF(AND($H35&lt;&gt;"",$AO35&lt;&gt;"",$H35&lt;&gt;$AO35,IFERROR(VLOOKUP($H35,areaCercaPuntiClassificaSquadra,3,FALSE),-1)=IFERROR(VLOOKUP($AO35,areaCercaPuntiClassificaSquadra,3,FALSE),-2)),SUMIFS(Dati!$D$2:$D$381,Dati!$A$2:$A$381,$H35,Dati!$H$2:$H$381,$AO35)+SUMIFS(Dati!$K$2:$K$381,Dati!$H$2:$H$381,$H35,Dati!$A$2:$A$381,$AO35)+SUMIFS(Dati!$C$2:$C$381,Dati!$A$2:$A$381,$H35,Dati!$H$2:$H$381,$AO35)+SUMIFS(Dati!$J$2:$J$381,Dati!$H$2:$H$381,$H35,Dati!$A$2:$A$381,$AO35),"-")</f>
        <v/>
      </c>
      <c r="CH35" s="22">
        <f>IF(AND($H35&lt;&gt;"",$AP35&lt;&gt;"",$H35&lt;&gt;$AP35,IFERROR(VLOOKUP($H35,areaCercaPuntiClassificaSquadra,3,FALSE),-1)=IFERROR(VLOOKUP($AP35,areaCercaPuntiClassificaSquadra,3,FALSE),-2)),SUMIFS(Dati!$D$2:$D$381,Dati!$A$2:$A$381,$H35,Dati!$H$2:$H$381,$AP35)+SUMIFS(Dati!$K$2:$K$381,Dati!$H$2:$H$381,$H35,Dati!$A$2:$A$381,$AP35)+SUMIFS(Dati!$C$2:$C$381,Dati!$A$2:$A$381,$H35,Dati!$H$2:$H$381,$AP35)+SUMIFS(Dati!$J$2:$J$381,Dati!$H$2:$H$381,$H35,Dati!$A$2:$A$381,$AP35),"-")</f>
        <v/>
      </c>
      <c r="CI35" s="22">
        <f>IF(AND($H35&lt;&gt;"",$AQ35&lt;&gt;"",$H35&lt;&gt;$AQ35,IFERROR(VLOOKUP($H35,areaCercaPuntiClassificaSquadra,3,FALSE),-1)=IFERROR(VLOOKUP($AQ35,areaCercaPuntiClassificaSquadra,3,FALSE),-2)),SUMIFS(Dati!$D$2:$D$381,Dati!$A$2:$A$381,$H35,Dati!$H$2:$H$381,$AQ35)+SUMIFS(Dati!$K$2:$K$381,Dati!$H$2:$H$381,$H35,Dati!$A$2:$A$381,$AQ35)+SUMIFS(Dati!$C$2:$C$381,Dati!$A$2:$A$381,$H35,Dati!$H$2:$H$381,$AQ35)+SUMIFS(Dati!$J$2:$J$381,Dati!$H$2:$H$381,$H35,Dati!$A$2:$A$381,$AQ35),"-")</f>
        <v/>
      </c>
      <c r="CJ35" s="22">
        <f>IF(AND($H35&lt;&gt;"",$AR35&lt;&gt;"",$H35&lt;&gt;$AR35,IFERROR(VLOOKUP($H35,areaCercaPuntiClassificaSquadra,3,FALSE),-1)=IFERROR(VLOOKUP($AR35,areaCercaPuntiClassificaSquadra,3,FALSE),-2)),SUMIFS(Dati!$D$2:$D$381,Dati!$A$2:$A$381,$H35,Dati!$H$2:$H$381,$AR35)+SUMIFS(Dati!$K$2:$K$381,Dati!$H$2:$H$381,$H35,Dati!$A$2:$A$381,$AR35)+SUMIFS(Dati!$C$2:$C$381,Dati!$A$2:$A$381,$H35,Dati!$H$2:$H$381,$AR35)+SUMIFS(Dati!$J$2:$J$381,Dati!$H$2:$H$381,$H35,Dati!$A$2:$A$381,$AR35),"-")</f>
        <v/>
      </c>
      <c r="CL35" s="21">
        <f>$C35</f>
        <v/>
      </c>
      <c r="CM35" s="22">
        <f>IF(AND($H35&lt;&gt;"",$Y35&lt;&gt;"",$H35&lt;&gt;$Y35,IFERROR(VLOOKUP($H35,areaCercaPuntiClassificaSquadra,3,FALSE),-1)=IFERROR(VLOOKUP($Y35,areaCercaPuntiClassificaSquadra,3,FALSE),-2)),SUMIFS(Dati!$E$2:$E$381,Dati!$A$2:$A$381,$H35,Dati!$H$2:$H$381,$Y35)+SUMIFS(Dati!$L$2:$L$381,Dati!$H$2:$H$381,$H35,Dati!$A$2:$A$381,$Y35),"-")</f>
        <v/>
      </c>
      <c r="CN35" s="22">
        <f>IF(AND($H35&lt;&gt;"",$Z35&lt;&gt;"",$H35&lt;&gt;$Z35,IFERROR(VLOOKUP($H35,areaCercaPuntiClassificaSquadra,3,FALSE),-1)=IFERROR(VLOOKUP($Z35,areaCercaPuntiClassificaSquadra,3,FALSE),-2)),SUMIFS(Dati!$E$2:$E$381,Dati!$A$2:$A$381,$H35,Dati!$H$2:$H$381,$Z35)+SUMIFS(Dati!$L$2:$L$381,Dati!$H$2:$H$381,$H35,Dati!$A$2:$A$381,$Z35),"-")</f>
        <v/>
      </c>
      <c r="CO35" s="22">
        <f>IF(AND($H35&lt;&gt;"",$AA35&lt;&gt;"",$H35&lt;&gt;$AA35,IFERROR(VLOOKUP($H35,areaCercaPuntiClassificaSquadra,3,FALSE),-1)=IFERROR(VLOOKUP($AA35,areaCercaPuntiClassificaSquadra,3,FALSE),-2)),SUMIFS(Dati!$E$2:$E$381,Dati!$A$2:$A$381,$H35,Dati!$H$2:$H$381,$AA35)+SUMIFS(Dati!$L$2:$L$381,Dati!$H$2:$H$381,$H35,Dati!$A$2:$A$381,$AA35),"-")</f>
        <v/>
      </c>
      <c r="CP35" s="22">
        <f>IF(AND($H35&lt;&gt;"",$AB35&lt;&gt;"",$H35&lt;&gt;$AB35,IFERROR(VLOOKUP($H35,areaCercaPuntiClassificaSquadra,3,FALSE),-1)=IFERROR(VLOOKUP($AB35,areaCercaPuntiClassificaSquadra,3,FALSE),-2)),SUMIFS(Dati!$E$2:$E$381,Dati!$A$2:$A$381,$H35,Dati!$H$2:$H$381,$AB35)+SUMIFS(Dati!$L$2:$L$381,Dati!$H$2:$H$381,$H35,Dati!$A$2:$A$381,$AB35),"-")</f>
        <v/>
      </c>
      <c r="CQ35" s="22">
        <f>IF(AND($H35&lt;&gt;"",$AC35&lt;&gt;"",$H35&lt;&gt;$AC35,IFERROR(VLOOKUP($H35,areaCercaPuntiClassificaSquadra,3,FALSE),-1)=IFERROR(VLOOKUP($AC35,areaCercaPuntiClassificaSquadra,3,FALSE),-2)),SUMIFS(Dati!$E$2:$E$381,Dati!$A$2:$A$381,$H35,Dati!$H$2:$H$381,$AC35)+SUMIFS(Dati!$L$2:$L$381,Dati!$H$2:$H$381,$H35,Dati!$A$2:$A$381,$AC35),"-")</f>
        <v/>
      </c>
      <c r="CR35" s="22">
        <f>IF(AND($H35&lt;&gt;"",$AD35&lt;&gt;"",$H35&lt;&gt;$AD35,IFERROR(VLOOKUP($H35,areaCercaPuntiClassificaSquadra,3,FALSE),-1)=IFERROR(VLOOKUP($AD35,areaCercaPuntiClassificaSquadra,3,FALSE),-2)),SUMIFS(Dati!$E$2:$E$381,Dati!$A$2:$A$381,$H35,Dati!$H$2:$H$381,$AD35)+SUMIFS(Dati!$L$2:$L$381,Dati!$H$2:$H$381,$H35,Dati!$A$2:$A$381,$AD35),"-")</f>
        <v/>
      </c>
      <c r="CS35" s="22">
        <f>IF(AND($H35&lt;&gt;"",$AE35&lt;&gt;"",$H35&lt;&gt;$AE35,IFERROR(VLOOKUP($H35,areaCercaPuntiClassificaSquadra,3,FALSE),-1)=IFERROR(VLOOKUP($AE35,areaCercaPuntiClassificaSquadra,3,FALSE),-2)),SUMIFS(Dati!$E$2:$E$381,Dati!$A$2:$A$381,$H35,Dati!$H$2:$H$381,$AE35)+SUMIFS(Dati!$L$2:$L$381,Dati!$H$2:$H$381,$H35,Dati!$A$2:$A$381,$AE35),"-")</f>
        <v/>
      </c>
      <c r="CT35" s="22">
        <f>IF(AND($H35&lt;&gt;"",$AF35&lt;&gt;"",$H35&lt;&gt;$AF35,IFERROR(VLOOKUP($H35,areaCercaPuntiClassificaSquadra,3,FALSE),-1)=IFERROR(VLOOKUP($AF35,areaCercaPuntiClassificaSquadra,3,FALSE),-2)),SUMIFS(Dati!$E$2:$E$381,Dati!$A$2:$A$381,$H35,Dati!$H$2:$H$381,$AF35)+SUMIFS(Dati!$L$2:$L$381,Dati!$H$2:$H$381,$H35,Dati!$A$2:$A$381,$AF35),"-")</f>
        <v/>
      </c>
      <c r="CU35" s="22">
        <f>IF(AND($H35&lt;&gt;"",$AG35&lt;&gt;"",$H35&lt;&gt;$AG35,IFERROR(VLOOKUP($H35,areaCercaPuntiClassificaSquadra,3,FALSE),-1)=IFERROR(VLOOKUP($AG35,areaCercaPuntiClassificaSquadra,3,FALSE),-2)),SUMIFS(Dati!$E$2:$E$381,Dati!$A$2:$A$381,$H35,Dati!$H$2:$H$381,$AG35)+SUMIFS(Dati!$L$2:$L$381,Dati!$H$2:$H$381,$H35,Dati!$A$2:$A$381,$AG35),"-")</f>
        <v/>
      </c>
      <c r="CV35" s="22">
        <f>IF(AND($H35&lt;&gt;"",$AH35&lt;&gt;"",$H35&lt;&gt;$AH35,IFERROR(VLOOKUP($H35,areaCercaPuntiClassificaSquadra,3,FALSE),-1)=IFERROR(VLOOKUP($AH35,areaCercaPuntiClassificaSquadra,3,FALSE),-2)),SUMIFS(Dati!$E$2:$E$381,Dati!$A$2:$A$381,$H35,Dati!$H$2:$H$381,$AH35)+SUMIFS(Dati!$L$2:$L$381,Dati!$H$2:$H$381,$H35,Dati!$A$2:$A$381,$AH35),"-")</f>
        <v/>
      </c>
      <c r="CW35" s="22">
        <f>IF(AND($H35&lt;&gt;"",$AI35&lt;&gt;"",$H35&lt;&gt;$AI35,IFERROR(VLOOKUP($H35,areaCercaPuntiClassificaSquadra,3,FALSE),-1)=IFERROR(VLOOKUP($AI35,areaCercaPuntiClassificaSquadra,3,FALSE),-2)),SUMIFS(Dati!$E$2:$E$381,Dati!$A$2:$A$381,$H35,Dati!$H$2:$H$381,$AI35)+SUMIFS(Dati!$L$2:$L$381,Dati!$H$2:$H$381,$H35,Dati!$A$2:$A$381,$AI35),"-")</f>
        <v/>
      </c>
      <c r="CX35" s="22">
        <f>IF(AND($H35&lt;&gt;"",$AJ35&lt;&gt;"",$H35&lt;&gt;$AJ35,IFERROR(VLOOKUP($H35,areaCercaPuntiClassificaSquadra,3,FALSE),-1)=IFERROR(VLOOKUP($AJ35,areaCercaPuntiClassificaSquadra,3,FALSE),-2)),SUMIFS(Dati!$E$2:$E$381,Dati!$A$2:$A$381,$H35,Dati!$H$2:$H$381,$AJ35)+SUMIFS(Dati!$L$2:$L$381,Dati!$H$2:$H$381,$H35,Dati!$A$2:$A$381,$AJ35),"-")</f>
        <v/>
      </c>
      <c r="CY35" s="22">
        <f>IF(AND($H35&lt;&gt;"",$AK35&lt;&gt;"",$H35&lt;&gt;$AK35,IFERROR(VLOOKUP($H35,areaCercaPuntiClassificaSquadra,3,FALSE),-1)=IFERROR(VLOOKUP($AK35,areaCercaPuntiClassificaSquadra,3,FALSE),-2)),SUMIFS(Dati!$E$2:$E$381,Dati!$A$2:$A$381,$H35,Dati!$H$2:$H$381,$AK35)+SUMIFS(Dati!$L$2:$L$381,Dati!$H$2:$H$381,$H35,Dati!$A$2:$A$381,$AK35),"-")</f>
        <v/>
      </c>
      <c r="CZ35" s="22">
        <f>IF(AND($H35&lt;&gt;"",$AL35&lt;&gt;"",$H35&lt;&gt;$AL35,IFERROR(VLOOKUP($H35,areaCercaPuntiClassificaSquadra,3,FALSE),-1)=IFERROR(VLOOKUP($AL35,areaCercaPuntiClassificaSquadra,3,FALSE),-2)),SUMIFS(Dati!$E$2:$E$381,Dati!$A$2:$A$381,$H35,Dati!$H$2:$H$381,$AL35)+SUMIFS(Dati!$L$2:$L$381,Dati!$H$2:$H$381,$H35,Dati!$A$2:$A$381,$AL35),"-")</f>
        <v/>
      </c>
      <c r="DA35" s="22">
        <f>IF(AND($H35&lt;&gt;"",$AM35&lt;&gt;"",$H35&lt;&gt;$AM35,IFERROR(VLOOKUP($H35,areaCercaPuntiClassificaSquadra,3,FALSE),-1)=IFERROR(VLOOKUP($AM35,areaCercaPuntiClassificaSquadra,3,FALSE),-2)),SUMIFS(Dati!$E$2:$E$381,Dati!$A$2:$A$381,$H35,Dati!$H$2:$H$381,$AM35)+SUMIFS(Dati!$L$2:$L$381,Dati!$H$2:$H$381,$H35,Dati!$A$2:$A$381,$AM35),"-")</f>
        <v/>
      </c>
      <c r="DB35" s="22">
        <f>IF(AND($H35&lt;&gt;"",$AN35&lt;&gt;"",$H35&lt;&gt;$AN35,IFERROR(VLOOKUP($H35,areaCercaPuntiClassificaSquadra,3,FALSE),-1)=IFERROR(VLOOKUP($AN35,areaCercaPuntiClassificaSquadra,3,FALSE),-2)),SUMIFS(Dati!$E$2:$E$381,Dati!$A$2:$A$381,$H35,Dati!$H$2:$H$381,$AN35)+SUMIFS(Dati!$L$2:$L$381,Dati!$H$2:$H$381,$H35,Dati!$A$2:$A$381,$AN35),"-")</f>
        <v/>
      </c>
      <c r="DC35" s="22">
        <f>IF(AND($H35&lt;&gt;"",$AO35&lt;&gt;"",$H35&lt;&gt;$AO35,IFERROR(VLOOKUP($H35,areaCercaPuntiClassificaSquadra,3,FALSE),-1)=IFERROR(VLOOKUP($AO35,areaCercaPuntiClassificaSquadra,3,FALSE),-2)),SUMIFS(Dati!$E$2:$E$381,Dati!$A$2:$A$381,$H35,Dati!$H$2:$H$381,$AO35)+SUMIFS(Dati!$L$2:$L$381,Dati!$H$2:$H$381,$H35,Dati!$A$2:$A$381,$AO35),"-")</f>
        <v/>
      </c>
      <c r="DD35" s="22">
        <f>IF(AND($H35&lt;&gt;"",$AP35&lt;&gt;"",$H35&lt;&gt;$AP35,IFERROR(VLOOKUP($H35,areaCercaPuntiClassificaSquadra,3,FALSE),-1)=IFERROR(VLOOKUP($AP35,areaCercaPuntiClassificaSquadra,3,FALSE),-2)),SUMIFS(Dati!$E$2:$E$381,Dati!$A$2:$A$381,$H35,Dati!$H$2:$H$381,$AP35)+SUMIFS(Dati!$L$2:$L$381,Dati!$H$2:$H$381,$H35,Dati!$A$2:$A$381,$AP35),"-")</f>
        <v/>
      </c>
      <c r="DE35" s="22">
        <f>IF(AND($H35&lt;&gt;"",$AQ35&lt;&gt;"",$H35&lt;&gt;$AQ35,IFERROR(VLOOKUP($H35,areaCercaPuntiClassificaSquadra,3,FALSE),-1)=IFERROR(VLOOKUP($AQ35,areaCercaPuntiClassificaSquadra,3,FALSE),-2)),SUMIFS(Dati!$E$2:$E$381,Dati!$A$2:$A$381,$H35,Dati!$H$2:$H$381,$AQ35)+SUMIFS(Dati!$L$2:$L$381,Dati!$H$2:$H$381,$H35,Dati!$A$2:$A$381,$AQ35),"-")</f>
        <v/>
      </c>
      <c r="DF35" s="22">
        <f>IF(AND($H35&lt;&gt;"",$AR35&lt;&gt;"",$H35&lt;&gt;$AR35,IFERROR(VLOOKUP($H35,areaCercaPuntiClassificaSquadra,3,FALSE),-1)=IFERROR(VLOOKUP($AR35,areaCercaPuntiClassificaSquadra,3,FALSE),-2)),SUMIFS(Dati!$E$2:$E$381,Dati!$A$2:$A$381,$H35,Dati!$H$2:$H$381,$AR35)+SUMIFS(Dati!$L$2:$L$381,Dati!$H$2:$H$381,$H35,Dati!$A$2:$A$381,$AR35),"-")</f>
        <v/>
      </c>
      <c r="DH35" s="21">
        <f>$C35</f>
        <v/>
      </c>
      <c r="DI35" s="22">
        <f>IF(AND($H35&lt;&gt;"",$Y35&lt;&gt;"",$H35&lt;&gt;$Y35,IFERROR(VLOOKUP($H35,areaCercaPuntiClassificaSquadra,3,FALSE),-1)=IFERROR(VLOOKUP($Y35,areaCercaPuntiClassificaSquadra,3,FALSE),-2)),SUMIFS(Dati!$F$2:$F$381,Dati!$A$2:$A$381,$H35,Dati!$H$2:$H$381,$Y35)+SUMIFS(Dati!$M$2:$M$381,Dati!$H$2:$H$381,$H35,Dati!$A$2:$A$381,$Y35),"-")</f>
        <v/>
      </c>
      <c r="DJ35" s="22">
        <f>IF(AND($H35&lt;&gt;"",$Z35&lt;&gt;"",$H35&lt;&gt;$Z35,IFERROR(VLOOKUP($H35,areaCercaPuntiClassificaSquadra,3,FALSE),-1)=IFERROR(VLOOKUP($Z35,areaCercaPuntiClassificaSquadra,3,FALSE),-2)),SUMIFS(Dati!$F$2:$F$381,Dati!$A$2:$A$381,$H35,Dati!$H$2:$H$381,$Z35)+SUMIFS(Dati!$M$2:$M$381,Dati!$H$2:$H$381,$H35,Dati!$A$2:$A$381,$Z35),"-")</f>
        <v/>
      </c>
      <c r="DK35" s="22">
        <f>IF(AND($H35&lt;&gt;"",$AA35&lt;&gt;"",$H35&lt;&gt;$AA35,IFERROR(VLOOKUP($H35,areaCercaPuntiClassificaSquadra,3,FALSE),-1)=IFERROR(VLOOKUP($AA35,areaCercaPuntiClassificaSquadra,3,FALSE),-2)),SUMIFS(Dati!$F$2:$F$381,Dati!$A$2:$A$381,$H35,Dati!$H$2:$H$381,$AA35)+SUMIFS(Dati!$M$2:$M$381,Dati!$H$2:$H$381,$H35,Dati!$A$2:$A$381,$AA35),"-")</f>
        <v/>
      </c>
      <c r="DL35" s="22">
        <f>IF(AND($H35&lt;&gt;"",$AB35&lt;&gt;"",$H35&lt;&gt;$AB35,IFERROR(VLOOKUP($H35,areaCercaPuntiClassificaSquadra,3,FALSE),-1)=IFERROR(VLOOKUP($AB35,areaCercaPuntiClassificaSquadra,3,FALSE),-2)),SUMIFS(Dati!$F$2:$F$381,Dati!$A$2:$A$381,$H35,Dati!$H$2:$H$381,$AB35)+SUMIFS(Dati!$M$2:$M$381,Dati!$H$2:$H$381,$H35,Dati!$A$2:$A$381,$AB35),"-")</f>
        <v/>
      </c>
      <c r="DM35" s="22">
        <f>IF(AND($H35&lt;&gt;"",$AC35&lt;&gt;"",$H35&lt;&gt;$AC35,IFERROR(VLOOKUP($H35,areaCercaPuntiClassificaSquadra,3,FALSE),-1)=IFERROR(VLOOKUP($AC35,areaCercaPuntiClassificaSquadra,3,FALSE),-2)),SUMIFS(Dati!$F$2:$F$381,Dati!$A$2:$A$381,$H35,Dati!$H$2:$H$381,$AC35)+SUMIFS(Dati!$M$2:$M$381,Dati!$H$2:$H$381,$H35,Dati!$A$2:$A$381,$AC35),"-")</f>
        <v/>
      </c>
      <c r="DN35" s="22">
        <f>IF(AND($H35&lt;&gt;"",$AD35&lt;&gt;"",$H35&lt;&gt;$AD35,IFERROR(VLOOKUP($H35,areaCercaPuntiClassificaSquadra,3,FALSE),-1)=IFERROR(VLOOKUP($AD35,areaCercaPuntiClassificaSquadra,3,FALSE),-2)),SUMIFS(Dati!$F$2:$F$381,Dati!$A$2:$A$381,$H35,Dati!$H$2:$H$381,$AD35)+SUMIFS(Dati!$M$2:$M$381,Dati!$H$2:$H$381,$H35,Dati!$A$2:$A$381,$AD35),"-")</f>
        <v/>
      </c>
      <c r="DO35" s="22">
        <f>IF(AND($H35&lt;&gt;"",$AE35&lt;&gt;"",$H35&lt;&gt;$AE35,IFERROR(VLOOKUP($H35,areaCercaPuntiClassificaSquadra,3,FALSE),-1)=IFERROR(VLOOKUP($AE35,areaCercaPuntiClassificaSquadra,3,FALSE),-2)),SUMIFS(Dati!$F$2:$F$381,Dati!$A$2:$A$381,$H35,Dati!$H$2:$H$381,$AE35)+SUMIFS(Dati!$M$2:$M$381,Dati!$H$2:$H$381,$H35,Dati!$A$2:$A$381,$AE35),"-")</f>
        <v/>
      </c>
      <c r="DP35" s="22">
        <f>IF(AND($H35&lt;&gt;"",$AF35&lt;&gt;"",$H35&lt;&gt;$AF35,IFERROR(VLOOKUP($H35,areaCercaPuntiClassificaSquadra,3,FALSE),-1)=IFERROR(VLOOKUP($AF35,areaCercaPuntiClassificaSquadra,3,FALSE),-2)),SUMIFS(Dati!$F$2:$F$381,Dati!$A$2:$A$381,$H35,Dati!$H$2:$H$381,$AF35)+SUMIFS(Dati!$M$2:$M$381,Dati!$H$2:$H$381,$H35,Dati!$A$2:$A$381,$AF35),"-")</f>
        <v/>
      </c>
      <c r="DQ35" s="22">
        <f>IF(AND($H35&lt;&gt;"",$AG35&lt;&gt;"",$H35&lt;&gt;$AG35,IFERROR(VLOOKUP($H35,areaCercaPuntiClassificaSquadra,3,FALSE),-1)=IFERROR(VLOOKUP($AG35,areaCercaPuntiClassificaSquadra,3,FALSE),-2)),SUMIFS(Dati!$F$2:$F$381,Dati!$A$2:$A$381,$H35,Dati!$H$2:$H$381,$AG35)+SUMIFS(Dati!$M$2:$M$381,Dati!$H$2:$H$381,$H35,Dati!$A$2:$A$381,$AG35),"-")</f>
        <v/>
      </c>
      <c r="DR35" s="22">
        <f>IF(AND($H35&lt;&gt;"",$AH35&lt;&gt;"",$H35&lt;&gt;$AH35,IFERROR(VLOOKUP($H35,areaCercaPuntiClassificaSquadra,3,FALSE),-1)=IFERROR(VLOOKUP($AH35,areaCercaPuntiClassificaSquadra,3,FALSE),-2)),SUMIFS(Dati!$F$2:$F$381,Dati!$A$2:$A$381,$H35,Dati!$H$2:$H$381,$AH35)+SUMIFS(Dati!$M$2:$M$381,Dati!$H$2:$H$381,$H35,Dati!$A$2:$A$381,$AH35),"-")</f>
        <v/>
      </c>
      <c r="DS35" s="22">
        <f>IF(AND($H35&lt;&gt;"",$AI35&lt;&gt;"",$H35&lt;&gt;$AI35,IFERROR(VLOOKUP($H35,areaCercaPuntiClassificaSquadra,3,FALSE),-1)=IFERROR(VLOOKUP($AI35,areaCercaPuntiClassificaSquadra,3,FALSE),-2)),SUMIFS(Dati!$F$2:$F$381,Dati!$A$2:$A$381,$H35,Dati!$H$2:$H$381,$AI35)+SUMIFS(Dati!$M$2:$M$381,Dati!$H$2:$H$381,$H35,Dati!$A$2:$A$381,$AI35),"-")</f>
        <v/>
      </c>
      <c r="DT35" s="22">
        <f>IF(AND($H35&lt;&gt;"",$AJ35&lt;&gt;"",$H35&lt;&gt;$AJ35,IFERROR(VLOOKUP($H35,areaCercaPuntiClassificaSquadra,3,FALSE),-1)=IFERROR(VLOOKUP($AJ35,areaCercaPuntiClassificaSquadra,3,FALSE),-2)),SUMIFS(Dati!$F$2:$F$381,Dati!$A$2:$A$381,$H35,Dati!$H$2:$H$381,$AJ35)+SUMIFS(Dati!$M$2:$M$381,Dati!$H$2:$H$381,$H35,Dati!$A$2:$A$381,$AJ35),"-")</f>
        <v/>
      </c>
      <c r="DU35" s="22">
        <f>IF(AND($H35&lt;&gt;"",$AK35&lt;&gt;"",$H35&lt;&gt;$AK35,IFERROR(VLOOKUP($H35,areaCercaPuntiClassificaSquadra,3,FALSE),-1)=IFERROR(VLOOKUP($AK35,areaCercaPuntiClassificaSquadra,3,FALSE),-2)),SUMIFS(Dati!$F$2:$F$381,Dati!$A$2:$A$381,$H35,Dati!$H$2:$H$381,$AK35)+SUMIFS(Dati!$M$2:$M$381,Dati!$H$2:$H$381,$H35,Dati!$A$2:$A$381,$AK35),"-")</f>
        <v/>
      </c>
      <c r="DV35" s="22">
        <f>IF(AND($H35&lt;&gt;"",$AL35&lt;&gt;"",$H35&lt;&gt;$AL35,IFERROR(VLOOKUP($H35,areaCercaPuntiClassificaSquadra,3,FALSE),-1)=IFERROR(VLOOKUP($AL35,areaCercaPuntiClassificaSquadra,3,FALSE),-2)),SUMIFS(Dati!$F$2:$F$381,Dati!$A$2:$A$381,$H35,Dati!$H$2:$H$381,$AL35)+SUMIFS(Dati!$M$2:$M$381,Dati!$H$2:$H$381,$H35,Dati!$A$2:$A$381,$AL35),"-")</f>
        <v/>
      </c>
      <c r="DW35" s="22">
        <f>IF(AND($H35&lt;&gt;"",$AM35&lt;&gt;"",$H35&lt;&gt;$AM35,IFERROR(VLOOKUP($H35,areaCercaPuntiClassificaSquadra,3,FALSE),-1)=IFERROR(VLOOKUP($AM35,areaCercaPuntiClassificaSquadra,3,FALSE),-2)),SUMIFS(Dati!$F$2:$F$381,Dati!$A$2:$A$381,$H35,Dati!$H$2:$H$381,$AM35)+SUMIFS(Dati!$M$2:$M$381,Dati!$H$2:$H$381,$H35,Dati!$A$2:$A$381,$AM35),"-")</f>
        <v/>
      </c>
      <c r="DX35" s="22">
        <f>IF(AND($H35&lt;&gt;"",$AN35&lt;&gt;"",$H35&lt;&gt;$AN35,IFERROR(VLOOKUP($H35,areaCercaPuntiClassificaSquadra,3,FALSE),-1)=IFERROR(VLOOKUP($AN35,areaCercaPuntiClassificaSquadra,3,FALSE),-2)),SUMIFS(Dati!$F$2:$F$381,Dati!$A$2:$A$381,$H35,Dati!$H$2:$H$381,$AN35)+SUMIFS(Dati!$M$2:$M$381,Dati!$H$2:$H$381,$H35,Dati!$A$2:$A$381,$AN35),"-")</f>
        <v/>
      </c>
      <c r="DY35" s="22">
        <f>IF(AND($H35&lt;&gt;"",$AO35&lt;&gt;"",$H35&lt;&gt;$AO35,IFERROR(VLOOKUP($H35,areaCercaPuntiClassificaSquadra,3,FALSE),-1)=IFERROR(VLOOKUP($AO35,areaCercaPuntiClassificaSquadra,3,FALSE),-2)),SUMIFS(Dati!$F$2:$F$381,Dati!$A$2:$A$381,$H35,Dati!$H$2:$H$381,$AO35)+SUMIFS(Dati!$M$2:$M$381,Dati!$H$2:$H$381,$H35,Dati!$A$2:$A$381,$AO35),"-")</f>
        <v/>
      </c>
      <c r="DZ35" s="22">
        <f>IF(AND($H35&lt;&gt;"",$AP35&lt;&gt;"",$H35&lt;&gt;$AP35,IFERROR(VLOOKUP($H35,areaCercaPuntiClassificaSquadra,3,FALSE),-1)=IFERROR(VLOOKUP($AP35,areaCercaPuntiClassificaSquadra,3,FALSE),-2)),SUMIFS(Dati!$F$2:$F$381,Dati!$A$2:$A$381,$H35,Dati!$H$2:$H$381,$AP35)+SUMIFS(Dati!$M$2:$M$381,Dati!$H$2:$H$381,$H35,Dati!$A$2:$A$381,$AP35),"-")</f>
        <v/>
      </c>
      <c r="EA35" s="22">
        <f>IF(AND($H35&lt;&gt;"",$AQ35&lt;&gt;"",$H35&lt;&gt;$AQ35,IFERROR(VLOOKUP($H35,areaCercaPuntiClassificaSquadra,3,FALSE),-1)=IFERROR(VLOOKUP($AQ35,areaCercaPuntiClassificaSquadra,3,FALSE),-2)),SUMIFS(Dati!$F$2:$F$381,Dati!$A$2:$A$381,$H35,Dati!$H$2:$H$381,$AQ35)+SUMIFS(Dati!$M$2:$M$381,Dati!$H$2:$H$381,$H35,Dati!$A$2:$A$381,$AQ35),"-")</f>
        <v/>
      </c>
      <c r="EB35" s="22">
        <f>IF(AND($H35&lt;&gt;"",$AR35&lt;&gt;"",$H35&lt;&gt;$AR35,IFERROR(VLOOKUP($H35,areaCercaPuntiClassificaSquadra,3,FALSE),-1)=IFERROR(VLOOKUP($AR35,areaCercaPuntiClassificaSquadra,3,FALSE),-2)),SUMIFS(Dati!$F$2:$F$381,Dati!$A$2:$A$381,$H35,Dati!$H$2:$H$381,$AR35)+SUMIFS(Dati!$M$2:$M$381,Dati!$H$2:$H$381,$H35,Dati!$A$2:$A$381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inlineStr">
        <is>
          <t>Fenicotteri Feroci-Fenicotteriopoli FI</t>
        </is>
      </c>
      <c r="D36" s="14" t="n"/>
      <c r="E36" s="23" t="inlineStr">
        <is>
          <t>B</t>
        </is>
      </c>
      <c r="G36" s="24">
        <f>IF($C36="","",$E36&amp;(COUNTIFS(I$14:I$53,"&gt;"&amp;I36,E$14:E$53,"="&amp;E36,C$14:C$53,"&lt;&gt;")+COUNTIFS(I$14:I$53,"="&amp;I36,H$14:H$53,"&lt;="&amp;H36,E$14:E$53,"="&amp;E36,C$14:C$53,"&lt;&gt;")))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L36*constPuntiVittoria+M36*constPuntiSconfitta+N36*constPuntiForfait+IF(D36="",0,D36)</f>
        <v/>
      </c>
      <c r="K36" s="12">
        <f>SUM(L36:N36)</f>
        <v/>
      </c>
      <c r="L36" s="12">
        <f>IF($H36="",0,SUMIF(Dati!$A$2:$A$381,$H36,Dati!$B$2:$B$381)+SUMIF(Dati!$H$2:$H$381,$H36,Dati!$I$2:$I$381))</f>
        <v/>
      </c>
      <c r="M36" s="12">
        <f>IF($H36="",0,SUMIF(Dati!$A$2:$A$381,$H36,Dati!$D$2:$D$381)+SUMIF(Dati!$H$2:$H$381,$H36,Dati!$K$2:$K$381))</f>
        <v/>
      </c>
      <c r="N36" s="12">
        <f>IF($H36="",0,SUMIF(Dati!$A$2:$A$381,$H36,Dati!$C$2:$C$381)+SUMIF(Dati!$H$2:$H$381,$H36,Dati!$J$2:$J$381))</f>
        <v/>
      </c>
      <c r="O36" s="12">
        <f>IF($H36="",0,SUMIF(Dati!$A$2:$A$381,$H36,Dati!$E$2:$E$381)+SUMIF(Dati!$H$2:$H$381,$H36,Dati!$L$2:$L$381))</f>
        <v/>
      </c>
      <c r="P36" s="12">
        <f>IF($H36="",0,SUMIF(Dati!$A$2:$A$381,$H36,Dati!$F$2:$F$381)+SUMIF(Dati!$H$2:$H$381,$H36,Dati!$M$2:$M$381))</f>
        <v/>
      </c>
      <c r="Q36" s="12">
        <f>IF($H36="",0,SUMIF(Dati!$A$2:$A$381,$H36,Dati!$G$2:$G$381)+SUMIF(Dati!$H$2:$H$381,$H36,Dati!$N$2:$N$381))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IF(COUNTIFS($E$14:$E$53,$E36,$J$14:$J$53,$J36,$C$14:$C$53,"&lt;&gt;")&lt;=1,"-",SUM(AU36:BN36)&amp;"-"&amp;SUM(BQ36:CJ36))</f>
        <v/>
      </c>
      <c r="V36" s="18">
        <f>IF(COUNTIFS($E$14:$E$53,$E36,$J$14:$J$53,$J36,$C$14:$C$53,"&lt;&gt;",$ED$14:$ED$53,$ED36)&lt;=1,"-",IF(SUM(DI36:EB36)=0,0,ROUND(SUM(CM36:DF36)/SUM(DI36:EB36),3)))</f>
        <v/>
      </c>
      <c r="W36" s="18">
        <f>IF(COUNTIFS($E$14:$E$53,$E36,$J$14:$J$53,$J36,$C$14:$C$53,"&lt;&gt;",$ED$14:$ED$53,$ED36,$V$14:$V$53,$V36)&lt;=1,"-",IF(P36=0,0,ROUND(O36/P36,3)))</f>
        <v/>
      </c>
      <c r="X36" s="19">
        <f>IF($C36="","",$E36&amp;"#"&amp;COUNTIFS($E$14:$E36,$E36,$C$14:$C36,"&lt;&gt;"))</f>
        <v/>
      </c>
      <c r="Y36" s="20">
        <f>IFERROR(INDEX($H$14:$H$53,MATCH($E36&amp;"#1",$X$14:$X$53,0)),"")</f>
        <v/>
      </c>
      <c r="Z36" s="20">
        <f>IFERROR(INDEX($H$14:$H$53,MATCH($E36&amp;"#2",$X$14:$X$53,0)),"")</f>
        <v/>
      </c>
      <c r="AA36" s="20">
        <f>IFERROR(INDEX($H$14:$H$53,MATCH($E36&amp;"#3",$X$14:$X$53,0)),"")</f>
        <v/>
      </c>
      <c r="AB36" s="20">
        <f>IFERROR(INDEX($H$14:$H$53,MATCH($E36&amp;"#4",$X$14:$X$53,0)),"")</f>
        <v/>
      </c>
      <c r="AC36" s="20">
        <f>IFERROR(INDEX($H$14:$H$53,MATCH($E36&amp;"#5",$X$14:$X$53,0)),"")</f>
        <v/>
      </c>
      <c r="AD36" s="20">
        <f>IFERROR(INDEX($H$14:$H$53,MATCH($E36&amp;"#6",$X$14:$X$53,0)),"")</f>
        <v/>
      </c>
      <c r="AE36" s="20">
        <f>IFERROR(INDEX($H$14:$H$53,MATCH($E36&amp;"#7",$X$14:$X$53,0)),"")</f>
        <v/>
      </c>
      <c r="AF36" s="20">
        <f>IFERROR(INDEX($H$14:$H$53,MATCH($E36&amp;"#8",$X$14:$X$53,0)),"")</f>
        <v/>
      </c>
      <c r="AG36" s="20">
        <f>IFERROR(INDEX($H$14:$H$53,MATCH($E36&amp;"#9",$X$14:$X$53,0)),"")</f>
        <v/>
      </c>
      <c r="AH36" s="20">
        <f>IFERROR(INDEX($H$14:$H$53,MATCH($E36&amp;"#10",$X$14:$X$53,0)),"")</f>
        <v/>
      </c>
      <c r="AI36" s="20">
        <f>IFERROR(INDEX($H$14:$H$53,MATCH($E36&amp;"#11",$X$14:$X$53,0)),"")</f>
        <v/>
      </c>
      <c r="AJ36" s="20">
        <f>IFERROR(INDEX($H$14:$H$53,MATCH($E36&amp;"#12",$X$14:$X$53,0)),"")</f>
        <v/>
      </c>
      <c r="AK36" s="20">
        <f>IFERROR(INDEX($H$14:$H$53,MATCH($E36&amp;"#13",$X$14:$X$53,0)),"")</f>
        <v/>
      </c>
      <c r="AL36" s="20">
        <f>IFERROR(INDEX($H$14:$H$53,MATCH($E36&amp;"#14",$X$14:$X$53,0)),"")</f>
        <v/>
      </c>
      <c r="AM36" s="20">
        <f>IFERROR(INDEX($H$14:$H$53,MATCH($E36&amp;"#15",$X$14:$X$53,0)),"")</f>
        <v/>
      </c>
      <c r="AN36" s="20">
        <f>IFERROR(INDEX($H$14:$H$53,MATCH($E36&amp;"#16",$X$14:$X$53,0)),"")</f>
        <v/>
      </c>
      <c r="AO36" s="20">
        <f>IFERROR(INDEX($H$14:$H$53,MATCH($E36&amp;"#17",$X$14:$X$53,0)),"")</f>
        <v/>
      </c>
      <c r="AP36" s="20">
        <f>IFERROR(INDEX($H$14:$H$53,MATCH($E36&amp;"#18",$X$14:$X$53,0)),"")</f>
        <v/>
      </c>
      <c r="AQ36" s="20">
        <f>IFERROR(INDEX($H$14:$H$53,MATCH($E36&amp;"#19",$X$14:$X$53,0)),"")</f>
        <v/>
      </c>
      <c r="AR36" s="20">
        <f>IFERROR(INDEX($H$14:$H$53,MATCH($E36&amp;"#20",$X$14:$X$53,0)),"")</f>
        <v/>
      </c>
      <c r="AT36" s="21">
        <f>$C36</f>
        <v/>
      </c>
      <c r="AU36" s="22">
        <f>IF(AND($H36&lt;&gt;"",$Y36&lt;&gt;"",$H36&lt;&gt;$Y36,IFERROR(VLOOKUP($H36,areaCercaPuntiClassificaSquadra,3,FALSE),-1)=IFERROR(VLOOKUP($Y36,areaCercaPuntiClassificaSquadra,3,FALSE),-2)),SUMIFS(Dati!$B$2:$B$381,Dati!$A$2:$A$381,$H36,Dati!$H$2:$H$381,$Y36)+SUMIFS(Dati!$I$2:$I$381,Dati!$H$2:$H$381,$H36,Dati!$A$2:$A$381,$Y36),"-")</f>
        <v/>
      </c>
      <c r="AV36" s="22">
        <f>IF(AND($H36&lt;&gt;"",$Z36&lt;&gt;"",$H36&lt;&gt;$Z36,IFERROR(VLOOKUP($H36,areaCercaPuntiClassificaSquadra,3,FALSE),-1)=IFERROR(VLOOKUP($Z36,areaCercaPuntiClassificaSquadra,3,FALSE),-2)),SUMIFS(Dati!$B$2:$B$381,Dati!$A$2:$A$381,$H36,Dati!$H$2:$H$381,$Z36)+SUMIFS(Dati!$I$2:$I$381,Dati!$H$2:$H$381,$H36,Dati!$A$2:$A$381,$Z36),"-")</f>
        <v/>
      </c>
      <c r="AW36" s="22">
        <f>IF(AND($H36&lt;&gt;"",$AA36&lt;&gt;"",$H36&lt;&gt;$AA36,IFERROR(VLOOKUP($H36,areaCercaPuntiClassificaSquadra,3,FALSE),-1)=IFERROR(VLOOKUP($AA36,areaCercaPuntiClassificaSquadra,3,FALSE),-2)),SUMIFS(Dati!$B$2:$B$381,Dati!$A$2:$A$381,$H36,Dati!$H$2:$H$381,$AA36)+SUMIFS(Dati!$I$2:$I$381,Dati!$H$2:$H$381,$H36,Dati!$A$2:$A$381,$AA36),"-")</f>
        <v/>
      </c>
      <c r="AX36" s="22">
        <f>IF(AND($H36&lt;&gt;"",$AB36&lt;&gt;"",$H36&lt;&gt;$AB36,IFERROR(VLOOKUP($H36,areaCercaPuntiClassificaSquadra,3,FALSE),-1)=IFERROR(VLOOKUP($AB36,areaCercaPuntiClassificaSquadra,3,FALSE),-2)),SUMIFS(Dati!$B$2:$B$381,Dati!$A$2:$A$381,$H36,Dati!$H$2:$H$381,$AB36)+SUMIFS(Dati!$I$2:$I$381,Dati!$H$2:$H$381,$H36,Dati!$A$2:$A$381,$AB36),"-")</f>
        <v/>
      </c>
      <c r="AY36" s="22">
        <f>IF(AND($H36&lt;&gt;"",$AC36&lt;&gt;"",$H36&lt;&gt;$AC36,IFERROR(VLOOKUP($H36,areaCercaPuntiClassificaSquadra,3,FALSE),-1)=IFERROR(VLOOKUP($AC36,areaCercaPuntiClassificaSquadra,3,FALSE),-2)),SUMIFS(Dati!$B$2:$B$381,Dati!$A$2:$A$381,$H36,Dati!$H$2:$H$381,$AC36)+SUMIFS(Dati!$I$2:$I$381,Dati!$H$2:$H$381,$H36,Dati!$A$2:$A$381,$AC36),"-")</f>
        <v/>
      </c>
      <c r="AZ36" s="22">
        <f>IF(AND($H36&lt;&gt;"",$AD36&lt;&gt;"",$H36&lt;&gt;$AD36,IFERROR(VLOOKUP($H36,areaCercaPuntiClassificaSquadra,3,FALSE),-1)=IFERROR(VLOOKUP($AD36,areaCercaPuntiClassificaSquadra,3,FALSE),-2)),SUMIFS(Dati!$B$2:$B$381,Dati!$A$2:$A$381,$H36,Dati!$H$2:$H$381,$AD36)+SUMIFS(Dati!$I$2:$I$381,Dati!$H$2:$H$381,$H36,Dati!$A$2:$A$381,$AD36),"-")</f>
        <v/>
      </c>
      <c r="BA36" s="22">
        <f>IF(AND($H36&lt;&gt;"",$AE36&lt;&gt;"",$H36&lt;&gt;$AE36,IFERROR(VLOOKUP($H36,areaCercaPuntiClassificaSquadra,3,FALSE),-1)=IFERROR(VLOOKUP($AE36,areaCercaPuntiClassificaSquadra,3,FALSE),-2)),SUMIFS(Dati!$B$2:$B$381,Dati!$A$2:$A$381,$H36,Dati!$H$2:$H$381,$AE36)+SUMIFS(Dati!$I$2:$I$381,Dati!$H$2:$H$381,$H36,Dati!$A$2:$A$381,$AE36),"-")</f>
        <v/>
      </c>
      <c r="BB36" s="22">
        <f>IF(AND($H36&lt;&gt;"",$AF36&lt;&gt;"",$H36&lt;&gt;$AF36,IFERROR(VLOOKUP($H36,areaCercaPuntiClassificaSquadra,3,FALSE),-1)=IFERROR(VLOOKUP($AF36,areaCercaPuntiClassificaSquadra,3,FALSE),-2)),SUMIFS(Dati!$B$2:$B$381,Dati!$A$2:$A$381,$H36,Dati!$H$2:$H$381,$AF36)+SUMIFS(Dati!$I$2:$I$381,Dati!$H$2:$H$381,$H36,Dati!$A$2:$A$381,$AF36),"-")</f>
        <v/>
      </c>
      <c r="BC36" s="22">
        <f>IF(AND($H36&lt;&gt;"",$AG36&lt;&gt;"",$H36&lt;&gt;$AG36,IFERROR(VLOOKUP($H36,areaCercaPuntiClassificaSquadra,3,FALSE),-1)=IFERROR(VLOOKUP($AG36,areaCercaPuntiClassificaSquadra,3,FALSE),-2)),SUMIFS(Dati!$B$2:$B$381,Dati!$A$2:$A$381,$H36,Dati!$H$2:$H$381,$AG36)+SUMIFS(Dati!$I$2:$I$381,Dati!$H$2:$H$381,$H36,Dati!$A$2:$A$381,$AG36),"-")</f>
        <v/>
      </c>
      <c r="BD36" s="22">
        <f>IF(AND($H36&lt;&gt;"",$AH36&lt;&gt;"",$H36&lt;&gt;$AH36,IFERROR(VLOOKUP($H36,areaCercaPuntiClassificaSquadra,3,FALSE),-1)=IFERROR(VLOOKUP($AH36,areaCercaPuntiClassificaSquadra,3,FALSE),-2)),SUMIFS(Dati!$B$2:$B$381,Dati!$A$2:$A$381,$H36,Dati!$H$2:$H$381,$AH36)+SUMIFS(Dati!$I$2:$I$381,Dati!$H$2:$H$381,$H36,Dati!$A$2:$A$381,$AH36),"-")</f>
        <v/>
      </c>
      <c r="BE36" s="22">
        <f>IF(AND($H36&lt;&gt;"",$AI36&lt;&gt;"",$H36&lt;&gt;$AI36,IFERROR(VLOOKUP($H36,areaCercaPuntiClassificaSquadra,3,FALSE),-1)=IFERROR(VLOOKUP($AI36,areaCercaPuntiClassificaSquadra,3,FALSE),-2)),SUMIFS(Dati!$B$2:$B$381,Dati!$A$2:$A$381,$H36,Dati!$H$2:$H$381,$AI36)+SUMIFS(Dati!$I$2:$I$381,Dati!$H$2:$H$381,$H36,Dati!$A$2:$A$381,$AI36),"-")</f>
        <v/>
      </c>
      <c r="BF36" s="22">
        <f>IF(AND($H36&lt;&gt;"",$AJ36&lt;&gt;"",$H36&lt;&gt;$AJ36,IFERROR(VLOOKUP($H36,areaCercaPuntiClassificaSquadra,3,FALSE),-1)=IFERROR(VLOOKUP($AJ36,areaCercaPuntiClassificaSquadra,3,FALSE),-2)),SUMIFS(Dati!$B$2:$B$381,Dati!$A$2:$A$381,$H36,Dati!$H$2:$H$381,$AJ36)+SUMIFS(Dati!$I$2:$I$381,Dati!$H$2:$H$381,$H36,Dati!$A$2:$A$381,$AJ36),"-")</f>
        <v/>
      </c>
      <c r="BG36" s="22">
        <f>IF(AND($H36&lt;&gt;"",$AK36&lt;&gt;"",$H36&lt;&gt;$AK36,IFERROR(VLOOKUP($H36,areaCercaPuntiClassificaSquadra,3,FALSE),-1)=IFERROR(VLOOKUP($AK36,areaCercaPuntiClassificaSquadra,3,FALSE),-2)),SUMIFS(Dati!$B$2:$B$381,Dati!$A$2:$A$381,$H36,Dati!$H$2:$H$381,$AK36)+SUMIFS(Dati!$I$2:$I$381,Dati!$H$2:$H$381,$H36,Dati!$A$2:$A$381,$AK36),"-")</f>
        <v/>
      </c>
      <c r="BH36" s="22">
        <f>IF(AND($H36&lt;&gt;"",$AL36&lt;&gt;"",$H36&lt;&gt;$AL36,IFERROR(VLOOKUP($H36,areaCercaPuntiClassificaSquadra,3,FALSE),-1)=IFERROR(VLOOKUP($AL36,areaCercaPuntiClassificaSquadra,3,FALSE),-2)),SUMIFS(Dati!$B$2:$B$381,Dati!$A$2:$A$381,$H36,Dati!$H$2:$H$381,$AL36)+SUMIFS(Dati!$I$2:$I$381,Dati!$H$2:$H$381,$H36,Dati!$A$2:$A$381,$AL36),"-")</f>
        <v/>
      </c>
      <c r="BI36" s="22">
        <f>IF(AND($H36&lt;&gt;"",$AM36&lt;&gt;"",$H36&lt;&gt;$AM36,IFERROR(VLOOKUP($H36,areaCercaPuntiClassificaSquadra,3,FALSE),-1)=IFERROR(VLOOKUP($AM36,areaCercaPuntiClassificaSquadra,3,FALSE),-2)),SUMIFS(Dati!$B$2:$B$381,Dati!$A$2:$A$381,$H36,Dati!$H$2:$H$381,$AM36)+SUMIFS(Dati!$I$2:$I$381,Dati!$H$2:$H$381,$H36,Dati!$A$2:$A$381,$AM36),"-")</f>
        <v/>
      </c>
      <c r="BJ36" s="22">
        <f>IF(AND($H36&lt;&gt;"",$AN36&lt;&gt;"",$H36&lt;&gt;$AN36,IFERROR(VLOOKUP($H36,areaCercaPuntiClassificaSquadra,3,FALSE),-1)=IFERROR(VLOOKUP($AN36,areaCercaPuntiClassificaSquadra,3,FALSE),-2)),SUMIFS(Dati!$B$2:$B$381,Dati!$A$2:$A$381,$H36,Dati!$H$2:$H$381,$AN36)+SUMIFS(Dati!$I$2:$I$381,Dati!$H$2:$H$381,$H36,Dati!$A$2:$A$381,$AN36),"-")</f>
        <v/>
      </c>
      <c r="BK36" s="22">
        <f>IF(AND($H36&lt;&gt;"",$AO36&lt;&gt;"",$H36&lt;&gt;$AO36,IFERROR(VLOOKUP($H36,areaCercaPuntiClassificaSquadra,3,FALSE),-1)=IFERROR(VLOOKUP($AO36,areaCercaPuntiClassificaSquadra,3,FALSE),-2)),SUMIFS(Dati!$B$2:$B$381,Dati!$A$2:$A$381,$H36,Dati!$H$2:$H$381,$AO36)+SUMIFS(Dati!$I$2:$I$381,Dati!$H$2:$H$381,$H36,Dati!$A$2:$A$381,$AO36),"-")</f>
        <v/>
      </c>
      <c r="BL36" s="22">
        <f>IF(AND($H36&lt;&gt;"",$AP36&lt;&gt;"",$H36&lt;&gt;$AP36,IFERROR(VLOOKUP($H36,areaCercaPuntiClassificaSquadra,3,FALSE),-1)=IFERROR(VLOOKUP($AP36,areaCercaPuntiClassificaSquadra,3,FALSE),-2)),SUMIFS(Dati!$B$2:$B$381,Dati!$A$2:$A$381,$H36,Dati!$H$2:$H$381,$AP36)+SUMIFS(Dati!$I$2:$I$381,Dati!$H$2:$H$381,$H36,Dati!$A$2:$A$381,$AP36),"-")</f>
        <v/>
      </c>
      <c r="BM36" s="22">
        <f>IF(AND($H36&lt;&gt;"",$AQ36&lt;&gt;"",$H36&lt;&gt;$AQ36,IFERROR(VLOOKUP($H36,areaCercaPuntiClassificaSquadra,3,FALSE),-1)=IFERROR(VLOOKUP($AQ36,areaCercaPuntiClassificaSquadra,3,FALSE),-2)),SUMIFS(Dati!$B$2:$B$381,Dati!$A$2:$A$381,$H36,Dati!$H$2:$H$381,$AQ36)+SUMIFS(Dati!$I$2:$I$381,Dati!$H$2:$H$381,$H36,Dati!$A$2:$A$381,$AQ36),"-")</f>
        <v/>
      </c>
      <c r="BN36" s="22">
        <f>IF(AND($H36&lt;&gt;"",$AR36&lt;&gt;"",$H36&lt;&gt;$AR36,IFERROR(VLOOKUP($H36,areaCercaPuntiClassificaSquadra,3,FALSE),-1)=IFERROR(VLOOKUP($AR36,areaCercaPuntiClassificaSquadra,3,FALSE),-2)),SUMIFS(Dati!$B$2:$B$381,Dati!$A$2:$A$381,$H36,Dati!$H$2:$H$381,$AR36)+SUMIFS(Dati!$I$2:$I$381,Dati!$H$2:$H$381,$H36,Dati!$A$2:$A$381,$AR36),"-")</f>
        <v/>
      </c>
      <c r="BP36" s="21">
        <f>$C36</f>
        <v/>
      </c>
      <c r="BQ36" s="22">
        <f>IF(AND($H36&lt;&gt;"",$Y36&lt;&gt;"",$H36&lt;&gt;$Y36,IFERROR(VLOOKUP($H36,areaCercaPuntiClassificaSquadra,3,FALSE),-1)=IFERROR(VLOOKUP($Y36,areaCercaPuntiClassificaSquadra,3,FALSE),-2)),SUMIFS(Dati!$D$2:$D$381,Dati!$A$2:$A$381,$H36,Dati!$H$2:$H$381,$Y36)+SUMIFS(Dati!$K$2:$K$381,Dati!$H$2:$H$381,$H36,Dati!$A$2:$A$381,$Y36)+SUMIFS(Dati!$C$2:$C$381,Dati!$A$2:$A$381,$H36,Dati!$H$2:$H$381,$Y36)+SUMIFS(Dati!$J$2:$J$381,Dati!$H$2:$H$381,$H36,Dati!$A$2:$A$381,$Y36),"-")</f>
        <v/>
      </c>
      <c r="BR36" s="22">
        <f>IF(AND($H36&lt;&gt;"",$Z36&lt;&gt;"",$H36&lt;&gt;$Z36,IFERROR(VLOOKUP($H36,areaCercaPuntiClassificaSquadra,3,FALSE),-1)=IFERROR(VLOOKUP($Z36,areaCercaPuntiClassificaSquadra,3,FALSE),-2)),SUMIFS(Dati!$D$2:$D$381,Dati!$A$2:$A$381,$H36,Dati!$H$2:$H$381,$Z36)+SUMIFS(Dati!$K$2:$K$381,Dati!$H$2:$H$381,$H36,Dati!$A$2:$A$381,$Z36)+SUMIFS(Dati!$C$2:$C$381,Dati!$A$2:$A$381,$H36,Dati!$H$2:$H$381,$Z36)+SUMIFS(Dati!$J$2:$J$381,Dati!$H$2:$H$381,$H36,Dati!$A$2:$A$381,$Z36),"-")</f>
        <v/>
      </c>
      <c r="BS36" s="22">
        <f>IF(AND($H36&lt;&gt;"",$AA36&lt;&gt;"",$H36&lt;&gt;$AA36,IFERROR(VLOOKUP($H36,areaCercaPuntiClassificaSquadra,3,FALSE),-1)=IFERROR(VLOOKUP($AA36,areaCercaPuntiClassificaSquadra,3,FALSE),-2)),SUMIFS(Dati!$D$2:$D$381,Dati!$A$2:$A$381,$H36,Dati!$H$2:$H$381,$AA36)+SUMIFS(Dati!$K$2:$K$381,Dati!$H$2:$H$381,$H36,Dati!$A$2:$A$381,$AA36)+SUMIFS(Dati!$C$2:$C$381,Dati!$A$2:$A$381,$H36,Dati!$H$2:$H$381,$AA36)+SUMIFS(Dati!$J$2:$J$381,Dati!$H$2:$H$381,$H36,Dati!$A$2:$A$381,$AA36),"-")</f>
        <v/>
      </c>
      <c r="BT36" s="22">
        <f>IF(AND($H36&lt;&gt;"",$AB36&lt;&gt;"",$H36&lt;&gt;$AB36,IFERROR(VLOOKUP($H36,areaCercaPuntiClassificaSquadra,3,FALSE),-1)=IFERROR(VLOOKUP($AB36,areaCercaPuntiClassificaSquadra,3,FALSE),-2)),SUMIFS(Dati!$D$2:$D$381,Dati!$A$2:$A$381,$H36,Dati!$H$2:$H$381,$AB36)+SUMIFS(Dati!$K$2:$K$381,Dati!$H$2:$H$381,$H36,Dati!$A$2:$A$381,$AB36)+SUMIFS(Dati!$C$2:$C$381,Dati!$A$2:$A$381,$H36,Dati!$H$2:$H$381,$AB36)+SUMIFS(Dati!$J$2:$J$381,Dati!$H$2:$H$381,$H36,Dati!$A$2:$A$381,$AB36),"-")</f>
        <v/>
      </c>
      <c r="BU36" s="22">
        <f>IF(AND($H36&lt;&gt;"",$AC36&lt;&gt;"",$H36&lt;&gt;$AC36,IFERROR(VLOOKUP($H36,areaCercaPuntiClassificaSquadra,3,FALSE),-1)=IFERROR(VLOOKUP($AC36,areaCercaPuntiClassificaSquadra,3,FALSE),-2)),SUMIFS(Dati!$D$2:$D$381,Dati!$A$2:$A$381,$H36,Dati!$H$2:$H$381,$AC36)+SUMIFS(Dati!$K$2:$K$381,Dati!$H$2:$H$381,$H36,Dati!$A$2:$A$381,$AC36)+SUMIFS(Dati!$C$2:$C$381,Dati!$A$2:$A$381,$H36,Dati!$H$2:$H$381,$AC36)+SUMIFS(Dati!$J$2:$J$381,Dati!$H$2:$H$381,$H36,Dati!$A$2:$A$381,$AC36),"-")</f>
        <v/>
      </c>
      <c r="BV36" s="22">
        <f>IF(AND($H36&lt;&gt;"",$AD36&lt;&gt;"",$H36&lt;&gt;$AD36,IFERROR(VLOOKUP($H36,areaCercaPuntiClassificaSquadra,3,FALSE),-1)=IFERROR(VLOOKUP($AD36,areaCercaPuntiClassificaSquadra,3,FALSE),-2)),SUMIFS(Dati!$D$2:$D$381,Dati!$A$2:$A$381,$H36,Dati!$H$2:$H$381,$AD36)+SUMIFS(Dati!$K$2:$K$381,Dati!$H$2:$H$381,$H36,Dati!$A$2:$A$381,$AD36)+SUMIFS(Dati!$C$2:$C$381,Dati!$A$2:$A$381,$H36,Dati!$H$2:$H$381,$AD36)+SUMIFS(Dati!$J$2:$J$381,Dati!$H$2:$H$381,$H36,Dati!$A$2:$A$381,$AD36),"-")</f>
        <v/>
      </c>
      <c r="BW36" s="22">
        <f>IF(AND($H36&lt;&gt;"",$AE36&lt;&gt;"",$H36&lt;&gt;$AE36,IFERROR(VLOOKUP($H36,areaCercaPuntiClassificaSquadra,3,FALSE),-1)=IFERROR(VLOOKUP($AE36,areaCercaPuntiClassificaSquadra,3,FALSE),-2)),SUMIFS(Dati!$D$2:$D$381,Dati!$A$2:$A$381,$H36,Dati!$H$2:$H$381,$AE36)+SUMIFS(Dati!$K$2:$K$381,Dati!$H$2:$H$381,$H36,Dati!$A$2:$A$381,$AE36)+SUMIFS(Dati!$C$2:$C$381,Dati!$A$2:$A$381,$H36,Dati!$H$2:$H$381,$AE36)+SUMIFS(Dati!$J$2:$J$381,Dati!$H$2:$H$381,$H36,Dati!$A$2:$A$381,$AE36),"-")</f>
        <v/>
      </c>
      <c r="BX36" s="22">
        <f>IF(AND($H36&lt;&gt;"",$AF36&lt;&gt;"",$H36&lt;&gt;$AF36,IFERROR(VLOOKUP($H36,areaCercaPuntiClassificaSquadra,3,FALSE),-1)=IFERROR(VLOOKUP($AF36,areaCercaPuntiClassificaSquadra,3,FALSE),-2)),SUMIFS(Dati!$D$2:$D$381,Dati!$A$2:$A$381,$H36,Dati!$H$2:$H$381,$AF36)+SUMIFS(Dati!$K$2:$K$381,Dati!$H$2:$H$381,$H36,Dati!$A$2:$A$381,$AF36)+SUMIFS(Dati!$C$2:$C$381,Dati!$A$2:$A$381,$H36,Dati!$H$2:$H$381,$AF36)+SUMIFS(Dati!$J$2:$J$381,Dati!$H$2:$H$381,$H36,Dati!$A$2:$A$381,$AF36),"-")</f>
        <v/>
      </c>
      <c r="BY36" s="22">
        <f>IF(AND($H36&lt;&gt;"",$AG36&lt;&gt;"",$H36&lt;&gt;$AG36,IFERROR(VLOOKUP($H36,areaCercaPuntiClassificaSquadra,3,FALSE),-1)=IFERROR(VLOOKUP($AG36,areaCercaPuntiClassificaSquadra,3,FALSE),-2)),SUMIFS(Dati!$D$2:$D$381,Dati!$A$2:$A$381,$H36,Dati!$H$2:$H$381,$AG36)+SUMIFS(Dati!$K$2:$K$381,Dati!$H$2:$H$381,$H36,Dati!$A$2:$A$381,$AG36)+SUMIFS(Dati!$C$2:$C$381,Dati!$A$2:$A$381,$H36,Dati!$H$2:$H$381,$AG36)+SUMIFS(Dati!$J$2:$J$381,Dati!$H$2:$H$381,$H36,Dati!$A$2:$A$381,$AG36),"-")</f>
        <v/>
      </c>
      <c r="BZ36" s="22">
        <f>IF(AND($H36&lt;&gt;"",$AH36&lt;&gt;"",$H36&lt;&gt;$AH36,IFERROR(VLOOKUP($H36,areaCercaPuntiClassificaSquadra,3,FALSE),-1)=IFERROR(VLOOKUP($AH36,areaCercaPuntiClassificaSquadra,3,FALSE),-2)),SUMIFS(Dati!$D$2:$D$381,Dati!$A$2:$A$381,$H36,Dati!$H$2:$H$381,$AH36)+SUMIFS(Dati!$K$2:$K$381,Dati!$H$2:$H$381,$H36,Dati!$A$2:$A$381,$AH36)+SUMIFS(Dati!$C$2:$C$381,Dati!$A$2:$A$381,$H36,Dati!$H$2:$H$381,$AH36)+SUMIFS(Dati!$J$2:$J$381,Dati!$H$2:$H$381,$H36,Dati!$A$2:$A$381,$AH36),"-")</f>
        <v/>
      </c>
      <c r="CA36" s="22">
        <f>IF(AND($H36&lt;&gt;"",$AI36&lt;&gt;"",$H36&lt;&gt;$AI36,IFERROR(VLOOKUP($H36,areaCercaPuntiClassificaSquadra,3,FALSE),-1)=IFERROR(VLOOKUP($AI36,areaCercaPuntiClassificaSquadra,3,FALSE),-2)),SUMIFS(Dati!$D$2:$D$381,Dati!$A$2:$A$381,$H36,Dati!$H$2:$H$381,$AI36)+SUMIFS(Dati!$K$2:$K$381,Dati!$H$2:$H$381,$H36,Dati!$A$2:$A$381,$AI36)+SUMIFS(Dati!$C$2:$C$381,Dati!$A$2:$A$381,$H36,Dati!$H$2:$H$381,$AI36)+SUMIFS(Dati!$J$2:$J$381,Dati!$H$2:$H$381,$H36,Dati!$A$2:$A$381,$AI36),"-")</f>
        <v/>
      </c>
      <c r="CB36" s="22">
        <f>IF(AND($H36&lt;&gt;"",$AJ36&lt;&gt;"",$H36&lt;&gt;$AJ36,IFERROR(VLOOKUP($H36,areaCercaPuntiClassificaSquadra,3,FALSE),-1)=IFERROR(VLOOKUP($AJ36,areaCercaPuntiClassificaSquadra,3,FALSE),-2)),SUMIFS(Dati!$D$2:$D$381,Dati!$A$2:$A$381,$H36,Dati!$H$2:$H$381,$AJ36)+SUMIFS(Dati!$K$2:$K$381,Dati!$H$2:$H$381,$H36,Dati!$A$2:$A$381,$AJ36)+SUMIFS(Dati!$C$2:$C$381,Dati!$A$2:$A$381,$H36,Dati!$H$2:$H$381,$AJ36)+SUMIFS(Dati!$J$2:$J$381,Dati!$H$2:$H$381,$H36,Dati!$A$2:$A$381,$AJ36),"-")</f>
        <v/>
      </c>
      <c r="CC36" s="22">
        <f>IF(AND($H36&lt;&gt;"",$AK36&lt;&gt;"",$H36&lt;&gt;$AK36,IFERROR(VLOOKUP($H36,areaCercaPuntiClassificaSquadra,3,FALSE),-1)=IFERROR(VLOOKUP($AK36,areaCercaPuntiClassificaSquadra,3,FALSE),-2)),SUMIFS(Dati!$D$2:$D$381,Dati!$A$2:$A$381,$H36,Dati!$H$2:$H$381,$AK36)+SUMIFS(Dati!$K$2:$K$381,Dati!$H$2:$H$381,$H36,Dati!$A$2:$A$381,$AK36)+SUMIFS(Dati!$C$2:$C$381,Dati!$A$2:$A$381,$H36,Dati!$H$2:$H$381,$AK36)+SUMIFS(Dati!$J$2:$J$381,Dati!$H$2:$H$381,$H36,Dati!$A$2:$A$381,$AK36),"-")</f>
        <v/>
      </c>
      <c r="CD36" s="22">
        <f>IF(AND($H36&lt;&gt;"",$AL36&lt;&gt;"",$H36&lt;&gt;$AL36,IFERROR(VLOOKUP($H36,areaCercaPuntiClassificaSquadra,3,FALSE),-1)=IFERROR(VLOOKUP($AL36,areaCercaPuntiClassificaSquadra,3,FALSE),-2)),SUMIFS(Dati!$D$2:$D$381,Dati!$A$2:$A$381,$H36,Dati!$H$2:$H$381,$AL36)+SUMIFS(Dati!$K$2:$K$381,Dati!$H$2:$H$381,$H36,Dati!$A$2:$A$381,$AL36)+SUMIFS(Dati!$C$2:$C$381,Dati!$A$2:$A$381,$H36,Dati!$H$2:$H$381,$AL36)+SUMIFS(Dati!$J$2:$J$381,Dati!$H$2:$H$381,$H36,Dati!$A$2:$A$381,$AL36),"-")</f>
        <v/>
      </c>
      <c r="CE36" s="22">
        <f>IF(AND($H36&lt;&gt;"",$AM36&lt;&gt;"",$H36&lt;&gt;$AM36,IFERROR(VLOOKUP($H36,areaCercaPuntiClassificaSquadra,3,FALSE),-1)=IFERROR(VLOOKUP($AM36,areaCercaPuntiClassificaSquadra,3,FALSE),-2)),SUMIFS(Dati!$D$2:$D$381,Dati!$A$2:$A$381,$H36,Dati!$H$2:$H$381,$AM36)+SUMIFS(Dati!$K$2:$K$381,Dati!$H$2:$H$381,$H36,Dati!$A$2:$A$381,$AM36)+SUMIFS(Dati!$C$2:$C$381,Dati!$A$2:$A$381,$H36,Dati!$H$2:$H$381,$AM36)+SUMIFS(Dati!$J$2:$J$381,Dati!$H$2:$H$381,$H36,Dati!$A$2:$A$381,$AM36),"-")</f>
        <v/>
      </c>
      <c r="CF36" s="22">
        <f>IF(AND($H36&lt;&gt;"",$AN36&lt;&gt;"",$H36&lt;&gt;$AN36,IFERROR(VLOOKUP($H36,areaCercaPuntiClassificaSquadra,3,FALSE),-1)=IFERROR(VLOOKUP($AN36,areaCercaPuntiClassificaSquadra,3,FALSE),-2)),SUMIFS(Dati!$D$2:$D$381,Dati!$A$2:$A$381,$H36,Dati!$H$2:$H$381,$AN36)+SUMIFS(Dati!$K$2:$K$381,Dati!$H$2:$H$381,$H36,Dati!$A$2:$A$381,$AN36)+SUMIFS(Dati!$C$2:$C$381,Dati!$A$2:$A$381,$H36,Dati!$H$2:$H$381,$AN36)+SUMIFS(Dati!$J$2:$J$381,Dati!$H$2:$H$381,$H36,Dati!$A$2:$A$381,$AN36),"-")</f>
        <v/>
      </c>
      <c r="CG36" s="22">
        <f>IF(AND($H36&lt;&gt;"",$AO36&lt;&gt;"",$H36&lt;&gt;$AO36,IFERROR(VLOOKUP($H36,areaCercaPuntiClassificaSquadra,3,FALSE),-1)=IFERROR(VLOOKUP($AO36,areaCercaPuntiClassificaSquadra,3,FALSE),-2)),SUMIFS(Dati!$D$2:$D$381,Dati!$A$2:$A$381,$H36,Dati!$H$2:$H$381,$AO36)+SUMIFS(Dati!$K$2:$K$381,Dati!$H$2:$H$381,$H36,Dati!$A$2:$A$381,$AO36)+SUMIFS(Dati!$C$2:$C$381,Dati!$A$2:$A$381,$H36,Dati!$H$2:$H$381,$AO36)+SUMIFS(Dati!$J$2:$J$381,Dati!$H$2:$H$381,$H36,Dati!$A$2:$A$381,$AO36),"-")</f>
        <v/>
      </c>
      <c r="CH36" s="22">
        <f>IF(AND($H36&lt;&gt;"",$AP36&lt;&gt;"",$H36&lt;&gt;$AP36,IFERROR(VLOOKUP($H36,areaCercaPuntiClassificaSquadra,3,FALSE),-1)=IFERROR(VLOOKUP($AP36,areaCercaPuntiClassificaSquadra,3,FALSE),-2)),SUMIFS(Dati!$D$2:$D$381,Dati!$A$2:$A$381,$H36,Dati!$H$2:$H$381,$AP36)+SUMIFS(Dati!$K$2:$K$381,Dati!$H$2:$H$381,$H36,Dati!$A$2:$A$381,$AP36)+SUMIFS(Dati!$C$2:$C$381,Dati!$A$2:$A$381,$H36,Dati!$H$2:$H$381,$AP36)+SUMIFS(Dati!$J$2:$J$381,Dati!$H$2:$H$381,$H36,Dati!$A$2:$A$381,$AP36),"-")</f>
        <v/>
      </c>
      <c r="CI36" s="22">
        <f>IF(AND($H36&lt;&gt;"",$AQ36&lt;&gt;"",$H36&lt;&gt;$AQ36,IFERROR(VLOOKUP($H36,areaCercaPuntiClassificaSquadra,3,FALSE),-1)=IFERROR(VLOOKUP($AQ36,areaCercaPuntiClassificaSquadra,3,FALSE),-2)),SUMIFS(Dati!$D$2:$D$381,Dati!$A$2:$A$381,$H36,Dati!$H$2:$H$381,$AQ36)+SUMIFS(Dati!$K$2:$K$381,Dati!$H$2:$H$381,$H36,Dati!$A$2:$A$381,$AQ36)+SUMIFS(Dati!$C$2:$C$381,Dati!$A$2:$A$381,$H36,Dati!$H$2:$H$381,$AQ36)+SUMIFS(Dati!$J$2:$J$381,Dati!$H$2:$H$381,$H36,Dati!$A$2:$A$381,$AQ36),"-")</f>
        <v/>
      </c>
      <c r="CJ36" s="22">
        <f>IF(AND($H36&lt;&gt;"",$AR36&lt;&gt;"",$H36&lt;&gt;$AR36,IFERROR(VLOOKUP($H36,areaCercaPuntiClassificaSquadra,3,FALSE),-1)=IFERROR(VLOOKUP($AR36,areaCercaPuntiClassificaSquadra,3,FALSE),-2)),SUMIFS(Dati!$D$2:$D$381,Dati!$A$2:$A$381,$H36,Dati!$H$2:$H$381,$AR36)+SUMIFS(Dati!$K$2:$K$381,Dati!$H$2:$H$381,$H36,Dati!$A$2:$A$381,$AR36)+SUMIFS(Dati!$C$2:$C$381,Dati!$A$2:$A$381,$H36,Dati!$H$2:$H$381,$AR36)+SUMIFS(Dati!$J$2:$J$381,Dati!$H$2:$H$381,$H36,Dati!$A$2:$A$381,$AR36),"-")</f>
        <v/>
      </c>
      <c r="CL36" s="21">
        <f>$C36</f>
        <v/>
      </c>
      <c r="CM36" s="22">
        <f>IF(AND($H36&lt;&gt;"",$Y36&lt;&gt;"",$H36&lt;&gt;$Y36,IFERROR(VLOOKUP($H36,areaCercaPuntiClassificaSquadra,3,FALSE),-1)=IFERROR(VLOOKUP($Y36,areaCercaPuntiClassificaSquadra,3,FALSE),-2)),SUMIFS(Dati!$E$2:$E$381,Dati!$A$2:$A$381,$H36,Dati!$H$2:$H$381,$Y36)+SUMIFS(Dati!$L$2:$L$381,Dati!$H$2:$H$381,$H36,Dati!$A$2:$A$381,$Y36),"-")</f>
        <v/>
      </c>
      <c r="CN36" s="22">
        <f>IF(AND($H36&lt;&gt;"",$Z36&lt;&gt;"",$H36&lt;&gt;$Z36,IFERROR(VLOOKUP($H36,areaCercaPuntiClassificaSquadra,3,FALSE),-1)=IFERROR(VLOOKUP($Z36,areaCercaPuntiClassificaSquadra,3,FALSE),-2)),SUMIFS(Dati!$E$2:$E$381,Dati!$A$2:$A$381,$H36,Dati!$H$2:$H$381,$Z36)+SUMIFS(Dati!$L$2:$L$381,Dati!$H$2:$H$381,$H36,Dati!$A$2:$A$381,$Z36),"-")</f>
        <v/>
      </c>
      <c r="CO36" s="22">
        <f>IF(AND($H36&lt;&gt;"",$AA36&lt;&gt;"",$H36&lt;&gt;$AA36,IFERROR(VLOOKUP($H36,areaCercaPuntiClassificaSquadra,3,FALSE),-1)=IFERROR(VLOOKUP($AA36,areaCercaPuntiClassificaSquadra,3,FALSE),-2)),SUMIFS(Dati!$E$2:$E$381,Dati!$A$2:$A$381,$H36,Dati!$H$2:$H$381,$AA36)+SUMIFS(Dati!$L$2:$L$381,Dati!$H$2:$H$381,$H36,Dati!$A$2:$A$381,$AA36),"-")</f>
        <v/>
      </c>
      <c r="CP36" s="22">
        <f>IF(AND($H36&lt;&gt;"",$AB36&lt;&gt;"",$H36&lt;&gt;$AB36,IFERROR(VLOOKUP($H36,areaCercaPuntiClassificaSquadra,3,FALSE),-1)=IFERROR(VLOOKUP($AB36,areaCercaPuntiClassificaSquadra,3,FALSE),-2)),SUMIFS(Dati!$E$2:$E$381,Dati!$A$2:$A$381,$H36,Dati!$H$2:$H$381,$AB36)+SUMIFS(Dati!$L$2:$L$381,Dati!$H$2:$H$381,$H36,Dati!$A$2:$A$381,$AB36),"-")</f>
        <v/>
      </c>
      <c r="CQ36" s="22">
        <f>IF(AND($H36&lt;&gt;"",$AC36&lt;&gt;"",$H36&lt;&gt;$AC36,IFERROR(VLOOKUP($H36,areaCercaPuntiClassificaSquadra,3,FALSE),-1)=IFERROR(VLOOKUP($AC36,areaCercaPuntiClassificaSquadra,3,FALSE),-2)),SUMIFS(Dati!$E$2:$E$381,Dati!$A$2:$A$381,$H36,Dati!$H$2:$H$381,$AC36)+SUMIFS(Dati!$L$2:$L$381,Dati!$H$2:$H$381,$H36,Dati!$A$2:$A$381,$AC36),"-")</f>
        <v/>
      </c>
      <c r="CR36" s="22">
        <f>IF(AND($H36&lt;&gt;"",$AD36&lt;&gt;"",$H36&lt;&gt;$AD36,IFERROR(VLOOKUP($H36,areaCercaPuntiClassificaSquadra,3,FALSE),-1)=IFERROR(VLOOKUP($AD36,areaCercaPuntiClassificaSquadra,3,FALSE),-2)),SUMIFS(Dati!$E$2:$E$381,Dati!$A$2:$A$381,$H36,Dati!$H$2:$H$381,$AD36)+SUMIFS(Dati!$L$2:$L$381,Dati!$H$2:$H$381,$H36,Dati!$A$2:$A$381,$AD36),"-")</f>
        <v/>
      </c>
      <c r="CS36" s="22">
        <f>IF(AND($H36&lt;&gt;"",$AE36&lt;&gt;"",$H36&lt;&gt;$AE36,IFERROR(VLOOKUP($H36,areaCercaPuntiClassificaSquadra,3,FALSE),-1)=IFERROR(VLOOKUP($AE36,areaCercaPuntiClassificaSquadra,3,FALSE),-2)),SUMIFS(Dati!$E$2:$E$381,Dati!$A$2:$A$381,$H36,Dati!$H$2:$H$381,$AE36)+SUMIFS(Dati!$L$2:$L$381,Dati!$H$2:$H$381,$H36,Dati!$A$2:$A$381,$AE36),"-")</f>
        <v/>
      </c>
      <c r="CT36" s="22">
        <f>IF(AND($H36&lt;&gt;"",$AF36&lt;&gt;"",$H36&lt;&gt;$AF36,IFERROR(VLOOKUP($H36,areaCercaPuntiClassificaSquadra,3,FALSE),-1)=IFERROR(VLOOKUP($AF36,areaCercaPuntiClassificaSquadra,3,FALSE),-2)),SUMIFS(Dati!$E$2:$E$381,Dati!$A$2:$A$381,$H36,Dati!$H$2:$H$381,$AF36)+SUMIFS(Dati!$L$2:$L$381,Dati!$H$2:$H$381,$H36,Dati!$A$2:$A$381,$AF36),"-")</f>
        <v/>
      </c>
      <c r="CU36" s="22">
        <f>IF(AND($H36&lt;&gt;"",$AG36&lt;&gt;"",$H36&lt;&gt;$AG36,IFERROR(VLOOKUP($H36,areaCercaPuntiClassificaSquadra,3,FALSE),-1)=IFERROR(VLOOKUP($AG36,areaCercaPuntiClassificaSquadra,3,FALSE),-2)),SUMIFS(Dati!$E$2:$E$381,Dati!$A$2:$A$381,$H36,Dati!$H$2:$H$381,$AG36)+SUMIFS(Dati!$L$2:$L$381,Dati!$H$2:$H$381,$H36,Dati!$A$2:$A$381,$AG36),"-")</f>
        <v/>
      </c>
      <c r="CV36" s="22">
        <f>IF(AND($H36&lt;&gt;"",$AH36&lt;&gt;"",$H36&lt;&gt;$AH36,IFERROR(VLOOKUP($H36,areaCercaPuntiClassificaSquadra,3,FALSE),-1)=IFERROR(VLOOKUP($AH36,areaCercaPuntiClassificaSquadra,3,FALSE),-2)),SUMIFS(Dati!$E$2:$E$381,Dati!$A$2:$A$381,$H36,Dati!$H$2:$H$381,$AH36)+SUMIFS(Dati!$L$2:$L$381,Dati!$H$2:$H$381,$H36,Dati!$A$2:$A$381,$AH36),"-")</f>
        <v/>
      </c>
      <c r="CW36" s="22">
        <f>IF(AND($H36&lt;&gt;"",$AI36&lt;&gt;"",$H36&lt;&gt;$AI36,IFERROR(VLOOKUP($H36,areaCercaPuntiClassificaSquadra,3,FALSE),-1)=IFERROR(VLOOKUP($AI36,areaCercaPuntiClassificaSquadra,3,FALSE),-2)),SUMIFS(Dati!$E$2:$E$381,Dati!$A$2:$A$381,$H36,Dati!$H$2:$H$381,$AI36)+SUMIFS(Dati!$L$2:$L$381,Dati!$H$2:$H$381,$H36,Dati!$A$2:$A$381,$AI36),"-")</f>
        <v/>
      </c>
      <c r="CX36" s="22">
        <f>IF(AND($H36&lt;&gt;"",$AJ36&lt;&gt;"",$H36&lt;&gt;$AJ36,IFERROR(VLOOKUP($H36,areaCercaPuntiClassificaSquadra,3,FALSE),-1)=IFERROR(VLOOKUP($AJ36,areaCercaPuntiClassificaSquadra,3,FALSE),-2)),SUMIFS(Dati!$E$2:$E$381,Dati!$A$2:$A$381,$H36,Dati!$H$2:$H$381,$AJ36)+SUMIFS(Dati!$L$2:$L$381,Dati!$H$2:$H$381,$H36,Dati!$A$2:$A$381,$AJ36),"-")</f>
        <v/>
      </c>
      <c r="CY36" s="22">
        <f>IF(AND($H36&lt;&gt;"",$AK36&lt;&gt;"",$H36&lt;&gt;$AK36,IFERROR(VLOOKUP($H36,areaCercaPuntiClassificaSquadra,3,FALSE),-1)=IFERROR(VLOOKUP($AK36,areaCercaPuntiClassificaSquadra,3,FALSE),-2)),SUMIFS(Dati!$E$2:$E$381,Dati!$A$2:$A$381,$H36,Dati!$H$2:$H$381,$AK36)+SUMIFS(Dati!$L$2:$L$381,Dati!$H$2:$H$381,$H36,Dati!$A$2:$A$381,$AK36),"-")</f>
        <v/>
      </c>
      <c r="CZ36" s="22">
        <f>IF(AND($H36&lt;&gt;"",$AL36&lt;&gt;"",$H36&lt;&gt;$AL36,IFERROR(VLOOKUP($H36,areaCercaPuntiClassificaSquadra,3,FALSE),-1)=IFERROR(VLOOKUP($AL36,areaCercaPuntiClassificaSquadra,3,FALSE),-2)),SUMIFS(Dati!$E$2:$E$381,Dati!$A$2:$A$381,$H36,Dati!$H$2:$H$381,$AL36)+SUMIFS(Dati!$L$2:$L$381,Dati!$H$2:$H$381,$H36,Dati!$A$2:$A$381,$AL36),"-")</f>
        <v/>
      </c>
      <c r="DA36" s="22">
        <f>IF(AND($H36&lt;&gt;"",$AM36&lt;&gt;"",$H36&lt;&gt;$AM36,IFERROR(VLOOKUP($H36,areaCercaPuntiClassificaSquadra,3,FALSE),-1)=IFERROR(VLOOKUP($AM36,areaCercaPuntiClassificaSquadra,3,FALSE),-2)),SUMIFS(Dati!$E$2:$E$381,Dati!$A$2:$A$381,$H36,Dati!$H$2:$H$381,$AM36)+SUMIFS(Dati!$L$2:$L$381,Dati!$H$2:$H$381,$H36,Dati!$A$2:$A$381,$AM36),"-")</f>
        <v/>
      </c>
      <c r="DB36" s="22">
        <f>IF(AND($H36&lt;&gt;"",$AN36&lt;&gt;"",$H36&lt;&gt;$AN36,IFERROR(VLOOKUP($H36,areaCercaPuntiClassificaSquadra,3,FALSE),-1)=IFERROR(VLOOKUP($AN36,areaCercaPuntiClassificaSquadra,3,FALSE),-2)),SUMIFS(Dati!$E$2:$E$381,Dati!$A$2:$A$381,$H36,Dati!$H$2:$H$381,$AN36)+SUMIFS(Dati!$L$2:$L$381,Dati!$H$2:$H$381,$H36,Dati!$A$2:$A$381,$AN36),"-")</f>
        <v/>
      </c>
      <c r="DC36" s="22">
        <f>IF(AND($H36&lt;&gt;"",$AO36&lt;&gt;"",$H36&lt;&gt;$AO36,IFERROR(VLOOKUP($H36,areaCercaPuntiClassificaSquadra,3,FALSE),-1)=IFERROR(VLOOKUP($AO36,areaCercaPuntiClassificaSquadra,3,FALSE),-2)),SUMIFS(Dati!$E$2:$E$381,Dati!$A$2:$A$381,$H36,Dati!$H$2:$H$381,$AO36)+SUMIFS(Dati!$L$2:$L$381,Dati!$H$2:$H$381,$H36,Dati!$A$2:$A$381,$AO36),"-")</f>
        <v/>
      </c>
      <c r="DD36" s="22">
        <f>IF(AND($H36&lt;&gt;"",$AP36&lt;&gt;"",$H36&lt;&gt;$AP36,IFERROR(VLOOKUP($H36,areaCercaPuntiClassificaSquadra,3,FALSE),-1)=IFERROR(VLOOKUP($AP36,areaCercaPuntiClassificaSquadra,3,FALSE),-2)),SUMIFS(Dati!$E$2:$E$381,Dati!$A$2:$A$381,$H36,Dati!$H$2:$H$381,$AP36)+SUMIFS(Dati!$L$2:$L$381,Dati!$H$2:$H$381,$H36,Dati!$A$2:$A$381,$AP36),"-")</f>
        <v/>
      </c>
      <c r="DE36" s="22">
        <f>IF(AND($H36&lt;&gt;"",$AQ36&lt;&gt;"",$H36&lt;&gt;$AQ36,IFERROR(VLOOKUP($H36,areaCercaPuntiClassificaSquadra,3,FALSE),-1)=IFERROR(VLOOKUP($AQ36,areaCercaPuntiClassificaSquadra,3,FALSE),-2)),SUMIFS(Dati!$E$2:$E$381,Dati!$A$2:$A$381,$H36,Dati!$H$2:$H$381,$AQ36)+SUMIFS(Dati!$L$2:$L$381,Dati!$H$2:$H$381,$H36,Dati!$A$2:$A$381,$AQ36),"-")</f>
        <v/>
      </c>
      <c r="DF36" s="22">
        <f>IF(AND($H36&lt;&gt;"",$AR36&lt;&gt;"",$H36&lt;&gt;$AR36,IFERROR(VLOOKUP($H36,areaCercaPuntiClassificaSquadra,3,FALSE),-1)=IFERROR(VLOOKUP($AR36,areaCercaPuntiClassificaSquadra,3,FALSE),-2)),SUMIFS(Dati!$E$2:$E$381,Dati!$A$2:$A$381,$H36,Dati!$H$2:$H$381,$AR36)+SUMIFS(Dati!$L$2:$L$381,Dati!$H$2:$H$381,$H36,Dati!$A$2:$A$381,$AR36),"-")</f>
        <v/>
      </c>
      <c r="DH36" s="21">
        <f>$C36</f>
        <v/>
      </c>
      <c r="DI36" s="22">
        <f>IF(AND($H36&lt;&gt;"",$Y36&lt;&gt;"",$H36&lt;&gt;$Y36,IFERROR(VLOOKUP($H36,areaCercaPuntiClassificaSquadra,3,FALSE),-1)=IFERROR(VLOOKUP($Y36,areaCercaPuntiClassificaSquadra,3,FALSE),-2)),SUMIFS(Dati!$F$2:$F$381,Dati!$A$2:$A$381,$H36,Dati!$H$2:$H$381,$Y36)+SUMIFS(Dati!$M$2:$M$381,Dati!$H$2:$H$381,$H36,Dati!$A$2:$A$381,$Y36),"-")</f>
        <v/>
      </c>
      <c r="DJ36" s="22">
        <f>IF(AND($H36&lt;&gt;"",$Z36&lt;&gt;"",$H36&lt;&gt;$Z36,IFERROR(VLOOKUP($H36,areaCercaPuntiClassificaSquadra,3,FALSE),-1)=IFERROR(VLOOKUP($Z36,areaCercaPuntiClassificaSquadra,3,FALSE),-2)),SUMIFS(Dati!$F$2:$F$381,Dati!$A$2:$A$381,$H36,Dati!$H$2:$H$381,$Z36)+SUMIFS(Dati!$M$2:$M$381,Dati!$H$2:$H$381,$H36,Dati!$A$2:$A$381,$Z36),"-")</f>
        <v/>
      </c>
      <c r="DK36" s="22">
        <f>IF(AND($H36&lt;&gt;"",$AA36&lt;&gt;"",$H36&lt;&gt;$AA36,IFERROR(VLOOKUP($H36,areaCercaPuntiClassificaSquadra,3,FALSE),-1)=IFERROR(VLOOKUP($AA36,areaCercaPuntiClassificaSquadra,3,FALSE),-2)),SUMIFS(Dati!$F$2:$F$381,Dati!$A$2:$A$381,$H36,Dati!$H$2:$H$381,$AA36)+SUMIFS(Dati!$M$2:$M$381,Dati!$H$2:$H$381,$H36,Dati!$A$2:$A$381,$AA36),"-")</f>
        <v/>
      </c>
      <c r="DL36" s="22">
        <f>IF(AND($H36&lt;&gt;"",$AB36&lt;&gt;"",$H36&lt;&gt;$AB36,IFERROR(VLOOKUP($H36,areaCercaPuntiClassificaSquadra,3,FALSE),-1)=IFERROR(VLOOKUP($AB36,areaCercaPuntiClassificaSquadra,3,FALSE),-2)),SUMIFS(Dati!$F$2:$F$381,Dati!$A$2:$A$381,$H36,Dati!$H$2:$H$381,$AB36)+SUMIFS(Dati!$M$2:$M$381,Dati!$H$2:$H$381,$H36,Dati!$A$2:$A$381,$AB36),"-")</f>
        <v/>
      </c>
      <c r="DM36" s="22">
        <f>IF(AND($H36&lt;&gt;"",$AC36&lt;&gt;"",$H36&lt;&gt;$AC36,IFERROR(VLOOKUP($H36,areaCercaPuntiClassificaSquadra,3,FALSE),-1)=IFERROR(VLOOKUP($AC36,areaCercaPuntiClassificaSquadra,3,FALSE),-2)),SUMIFS(Dati!$F$2:$F$381,Dati!$A$2:$A$381,$H36,Dati!$H$2:$H$381,$AC36)+SUMIFS(Dati!$M$2:$M$381,Dati!$H$2:$H$381,$H36,Dati!$A$2:$A$381,$AC36),"-")</f>
        <v/>
      </c>
      <c r="DN36" s="22">
        <f>IF(AND($H36&lt;&gt;"",$AD36&lt;&gt;"",$H36&lt;&gt;$AD36,IFERROR(VLOOKUP($H36,areaCercaPuntiClassificaSquadra,3,FALSE),-1)=IFERROR(VLOOKUP($AD36,areaCercaPuntiClassificaSquadra,3,FALSE),-2)),SUMIFS(Dati!$F$2:$F$381,Dati!$A$2:$A$381,$H36,Dati!$H$2:$H$381,$AD36)+SUMIFS(Dati!$M$2:$M$381,Dati!$H$2:$H$381,$H36,Dati!$A$2:$A$381,$AD36),"-")</f>
        <v/>
      </c>
      <c r="DO36" s="22">
        <f>IF(AND($H36&lt;&gt;"",$AE36&lt;&gt;"",$H36&lt;&gt;$AE36,IFERROR(VLOOKUP($H36,areaCercaPuntiClassificaSquadra,3,FALSE),-1)=IFERROR(VLOOKUP($AE36,areaCercaPuntiClassificaSquadra,3,FALSE),-2)),SUMIFS(Dati!$F$2:$F$381,Dati!$A$2:$A$381,$H36,Dati!$H$2:$H$381,$AE36)+SUMIFS(Dati!$M$2:$M$381,Dati!$H$2:$H$381,$H36,Dati!$A$2:$A$381,$AE36),"-")</f>
        <v/>
      </c>
      <c r="DP36" s="22">
        <f>IF(AND($H36&lt;&gt;"",$AF36&lt;&gt;"",$H36&lt;&gt;$AF36,IFERROR(VLOOKUP($H36,areaCercaPuntiClassificaSquadra,3,FALSE),-1)=IFERROR(VLOOKUP($AF36,areaCercaPuntiClassificaSquadra,3,FALSE),-2)),SUMIFS(Dati!$F$2:$F$381,Dati!$A$2:$A$381,$H36,Dati!$H$2:$H$381,$AF36)+SUMIFS(Dati!$M$2:$M$381,Dati!$H$2:$H$381,$H36,Dati!$A$2:$A$381,$AF36),"-")</f>
        <v/>
      </c>
      <c r="DQ36" s="22">
        <f>IF(AND($H36&lt;&gt;"",$AG36&lt;&gt;"",$H36&lt;&gt;$AG36,IFERROR(VLOOKUP($H36,areaCercaPuntiClassificaSquadra,3,FALSE),-1)=IFERROR(VLOOKUP($AG36,areaCercaPuntiClassificaSquadra,3,FALSE),-2)),SUMIFS(Dati!$F$2:$F$381,Dati!$A$2:$A$381,$H36,Dati!$H$2:$H$381,$AG36)+SUMIFS(Dati!$M$2:$M$381,Dati!$H$2:$H$381,$H36,Dati!$A$2:$A$381,$AG36),"-")</f>
        <v/>
      </c>
      <c r="DR36" s="22">
        <f>IF(AND($H36&lt;&gt;"",$AH36&lt;&gt;"",$H36&lt;&gt;$AH36,IFERROR(VLOOKUP($H36,areaCercaPuntiClassificaSquadra,3,FALSE),-1)=IFERROR(VLOOKUP($AH36,areaCercaPuntiClassificaSquadra,3,FALSE),-2)),SUMIFS(Dati!$F$2:$F$381,Dati!$A$2:$A$381,$H36,Dati!$H$2:$H$381,$AH36)+SUMIFS(Dati!$M$2:$M$381,Dati!$H$2:$H$381,$H36,Dati!$A$2:$A$381,$AH36),"-")</f>
        <v/>
      </c>
      <c r="DS36" s="22">
        <f>IF(AND($H36&lt;&gt;"",$AI36&lt;&gt;"",$H36&lt;&gt;$AI36,IFERROR(VLOOKUP($H36,areaCercaPuntiClassificaSquadra,3,FALSE),-1)=IFERROR(VLOOKUP($AI36,areaCercaPuntiClassificaSquadra,3,FALSE),-2)),SUMIFS(Dati!$F$2:$F$381,Dati!$A$2:$A$381,$H36,Dati!$H$2:$H$381,$AI36)+SUMIFS(Dati!$M$2:$M$381,Dati!$H$2:$H$381,$H36,Dati!$A$2:$A$381,$AI36),"-")</f>
        <v/>
      </c>
      <c r="DT36" s="22">
        <f>IF(AND($H36&lt;&gt;"",$AJ36&lt;&gt;"",$H36&lt;&gt;$AJ36,IFERROR(VLOOKUP($H36,areaCercaPuntiClassificaSquadra,3,FALSE),-1)=IFERROR(VLOOKUP($AJ36,areaCercaPuntiClassificaSquadra,3,FALSE),-2)),SUMIFS(Dati!$F$2:$F$381,Dati!$A$2:$A$381,$H36,Dati!$H$2:$H$381,$AJ36)+SUMIFS(Dati!$M$2:$M$381,Dati!$H$2:$H$381,$H36,Dati!$A$2:$A$381,$AJ36),"-")</f>
        <v/>
      </c>
      <c r="DU36" s="22">
        <f>IF(AND($H36&lt;&gt;"",$AK36&lt;&gt;"",$H36&lt;&gt;$AK36,IFERROR(VLOOKUP($H36,areaCercaPuntiClassificaSquadra,3,FALSE),-1)=IFERROR(VLOOKUP($AK36,areaCercaPuntiClassificaSquadra,3,FALSE),-2)),SUMIFS(Dati!$F$2:$F$381,Dati!$A$2:$A$381,$H36,Dati!$H$2:$H$381,$AK36)+SUMIFS(Dati!$M$2:$M$381,Dati!$H$2:$H$381,$H36,Dati!$A$2:$A$381,$AK36),"-")</f>
        <v/>
      </c>
      <c r="DV36" s="22">
        <f>IF(AND($H36&lt;&gt;"",$AL36&lt;&gt;"",$H36&lt;&gt;$AL36,IFERROR(VLOOKUP($H36,areaCercaPuntiClassificaSquadra,3,FALSE),-1)=IFERROR(VLOOKUP($AL36,areaCercaPuntiClassificaSquadra,3,FALSE),-2)),SUMIFS(Dati!$F$2:$F$381,Dati!$A$2:$A$381,$H36,Dati!$H$2:$H$381,$AL36)+SUMIFS(Dati!$M$2:$M$381,Dati!$H$2:$H$381,$H36,Dati!$A$2:$A$381,$AL36),"-")</f>
        <v/>
      </c>
      <c r="DW36" s="22">
        <f>IF(AND($H36&lt;&gt;"",$AM36&lt;&gt;"",$H36&lt;&gt;$AM36,IFERROR(VLOOKUP($H36,areaCercaPuntiClassificaSquadra,3,FALSE),-1)=IFERROR(VLOOKUP($AM36,areaCercaPuntiClassificaSquadra,3,FALSE),-2)),SUMIFS(Dati!$F$2:$F$381,Dati!$A$2:$A$381,$H36,Dati!$H$2:$H$381,$AM36)+SUMIFS(Dati!$M$2:$M$381,Dati!$H$2:$H$381,$H36,Dati!$A$2:$A$381,$AM36),"-")</f>
        <v/>
      </c>
      <c r="DX36" s="22">
        <f>IF(AND($H36&lt;&gt;"",$AN36&lt;&gt;"",$H36&lt;&gt;$AN36,IFERROR(VLOOKUP($H36,areaCercaPuntiClassificaSquadra,3,FALSE),-1)=IFERROR(VLOOKUP($AN36,areaCercaPuntiClassificaSquadra,3,FALSE),-2)),SUMIFS(Dati!$F$2:$F$381,Dati!$A$2:$A$381,$H36,Dati!$H$2:$H$381,$AN36)+SUMIFS(Dati!$M$2:$M$381,Dati!$H$2:$H$381,$H36,Dati!$A$2:$A$381,$AN36),"-")</f>
        <v/>
      </c>
      <c r="DY36" s="22">
        <f>IF(AND($H36&lt;&gt;"",$AO36&lt;&gt;"",$H36&lt;&gt;$AO36,IFERROR(VLOOKUP($H36,areaCercaPuntiClassificaSquadra,3,FALSE),-1)=IFERROR(VLOOKUP($AO36,areaCercaPuntiClassificaSquadra,3,FALSE),-2)),SUMIFS(Dati!$F$2:$F$381,Dati!$A$2:$A$381,$H36,Dati!$H$2:$H$381,$AO36)+SUMIFS(Dati!$M$2:$M$381,Dati!$H$2:$H$381,$H36,Dati!$A$2:$A$381,$AO36),"-")</f>
        <v/>
      </c>
      <c r="DZ36" s="22">
        <f>IF(AND($H36&lt;&gt;"",$AP36&lt;&gt;"",$H36&lt;&gt;$AP36,IFERROR(VLOOKUP($H36,areaCercaPuntiClassificaSquadra,3,FALSE),-1)=IFERROR(VLOOKUP($AP36,areaCercaPuntiClassificaSquadra,3,FALSE),-2)),SUMIFS(Dati!$F$2:$F$381,Dati!$A$2:$A$381,$H36,Dati!$H$2:$H$381,$AP36)+SUMIFS(Dati!$M$2:$M$381,Dati!$H$2:$H$381,$H36,Dati!$A$2:$A$381,$AP36),"-")</f>
        <v/>
      </c>
      <c r="EA36" s="22">
        <f>IF(AND($H36&lt;&gt;"",$AQ36&lt;&gt;"",$H36&lt;&gt;$AQ36,IFERROR(VLOOKUP($H36,areaCercaPuntiClassificaSquadra,3,FALSE),-1)=IFERROR(VLOOKUP($AQ36,areaCercaPuntiClassificaSquadra,3,FALSE),-2)),SUMIFS(Dati!$F$2:$F$381,Dati!$A$2:$A$381,$H36,Dati!$H$2:$H$381,$AQ36)+SUMIFS(Dati!$M$2:$M$381,Dati!$H$2:$H$381,$H36,Dati!$A$2:$A$381,$AQ36),"-")</f>
        <v/>
      </c>
      <c r="EB36" s="22">
        <f>IF(AND($H36&lt;&gt;"",$AR36&lt;&gt;"",$H36&lt;&gt;$AR36,IFERROR(VLOOKUP($H36,areaCercaPuntiClassificaSquadra,3,FALSE),-1)=IFERROR(VLOOKUP($AR36,areaCercaPuntiClassificaSquadra,3,FALSE),-2)),SUMIFS(Dati!$F$2:$F$381,Dati!$A$2:$A$381,$H36,Dati!$H$2:$H$381,$AR36)+SUMIFS(Dati!$M$2:$M$381,Dati!$H$2:$H$381,$H36,Dati!$A$2:$A$381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inlineStr">
        <is>
          <t>Gufi Gentili-Gufiopoli GO</t>
        </is>
      </c>
      <c r="D37" s="14" t="n"/>
      <c r="E37" s="23" t="inlineStr">
        <is>
          <t>B</t>
        </is>
      </c>
      <c r="G37" s="24">
        <f>IF($C37="","",$E37&amp;(COUNTIFS(I$14:I$53,"&gt;"&amp;I37,E$14:E$53,"="&amp;E37,C$14:C$53,"&lt;&gt;")+COUNTIFS(I$14:I$53,"="&amp;I37,H$14:H$53,"&lt;="&amp;H37,E$14:E$53,"="&amp;E37,C$14:C$53,"&lt;&gt;")))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L37*constPuntiVittoria+M37*constPuntiSconfitta+N37*constPuntiForfait+IF(D37="",0,D37)</f>
        <v/>
      </c>
      <c r="K37" s="12">
        <f>SUM(L37:N37)</f>
        <v/>
      </c>
      <c r="L37" s="12">
        <f>IF($H37="",0,SUMIF(Dati!$A$2:$A$381,$H37,Dati!$B$2:$B$381)+SUMIF(Dati!$H$2:$H$381,$H37,Dati!$I$2:$I$381))</f>
        <v/>
      </c>
      <c r="M37" s="12">
        <f>IF($H37="",0,SUMIF(Dati!$A$2:$A$381,$H37,Dati!$D$2:$D$381)+SUMIF(Dati!$H$2:$H$381,$H37,Dati!$K$2:$K$381))</f>
        <v/>
      </c>
      <c r="N37" s="12">
        <f>IF($H37="",0,SUMIF(Dati!$A$2:$A$381,$H37,Dati!$C$2:$C$381)+SUMIF(Dati!$H$2:$H$381,$H37,Dati!$J$2:$J$381))</f>
        <v/>
      </c>
      <c r="O37" s="12">
        <f>IF($H37="",0,SUMIF(Dati!$A$2:$A$381,$H37,Dati!$E$2:$E$381)+SUMIF(Dati!$H$2:$H$381,$H37,Dati!$L$2:$L$381))</f>
        <v/>
      </c>
      <c r="P37" s="12">
        <f>IF($H37="",0,SUMIF(Dati!$A$2:$A$381,$H37,Dati!$F$2:$F$381)+SUMIF(Dati!$H$2:$H$381,$H37,Dati!$M$2:$M$381))</f>
        <v/>
      </c>
      <c r="Q37" s="12">
        <f>IF($H37="",0,SUMIF(Dati!$A$2:$A$381,$H37,Dati!$G$2:$G$381)+SUMIF(Dati!$H$2:$H$381,$H37,Dati!$N$2:$N$381))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IF(COUNTIFS($E$14:$E$53,$E37,$J$14:$J$53,$J37,$C$14:$C$53,"&lt;&gt;")&lt;=1,"-",SUM(AU37:BN37)&amp;"-"&amp;SUM(BQ37:CJ37))</f>
        <v/>
      </c>
      <c r="V37" s="18">
        <f>IF(COUNTIFS($E$14:$E$53,$E37,$J$14:$J$53,$J37,$C$14:$C$53,"&lt;&gt;",$ED$14:$ED$53,$ED37)&lt;=1,"-",IF(SUM(DI37:EB37)=0,0,ROUND(SUM(CM37:DF37)/SUM(DI37:EB37),3)))</f>
        <v/>
      </c>
      <c r="W37" s="18">
        <f>IF(COUNTIFS($E$14:$E$53,$E37,$J$14:$J$53,$J37,$C$14:$C$53,"&lt;&gt;",$ED$14:$ED$53,$ED37,$V$14:$V$53,$V37)&lt;=1,"-",IF(P37=0,0,ROUND(O37/P37,3)))</f>
        <v/>
      </c>
      <c r="X37" s="19">
        <f>IF($C37="","",$E37&amp;"#"&amp;COUNTIFS($E$14:$E37,$E37,$C$14:$C37,"&lt;&gt;"))</f>
        <v/>
      </c>
      <c r="Y37" s="20">
        <f>IFERROR(INDEX($H$14:$H$53,MATCH($E37&amp;"#1",$X$14:$X$53,0)),"")</f>
        <v/>
      </c>
      <c r="Z37" s="20">
        <f>IFERROR(INDEX($H$14:$H$53,MATCH($E37&amp;"#2",$X$14:$X$53,0)),"")</f>
        <v/>
      </c>
      <c r="AA37" s="20">
        <f>IFERROR(INDEX($H$14:$H$53,MATCH($E37&amp;"#3",$X$14:$X$53,0)),"")</f>
        <v/>
      </c>
      <c r="AB37" s="20">
        <f>IFERROR(INDEX($H$14:$H$53,MATCH($E37&amp;"#4",$X$14:$X$53,0)),"")</f>
        <v/>
      </c>
      <c r="AC37" s="20">
        <f>IFERROR(INDEX($H$14:$H$53,MATCH($E37&amp;"#5",$X$14:$X$53,0)),"")</f>
        <v/>
      </c>
      <c r="AD37" s="20">
        <f>IFERROR(INDEX($H$14:$H$53,MATCH($E37&amp;"#6",$X$14:$X$53,0)),"")</f>
        <v/>
      </c>
      <c r="AE37" s="20">
        <f>IFERROR(INDEX($H$14:$H$53,MATCH($E37&amp;"#7",$X$14:$X$53,0)),"")</f>
        <v/>
      </c>
      <c r="AF37" s="20">
        <f>IFERROR(INDEX($H$14:$H$53,MATCH($E37&amp;"#8",$X$14:$X$53,0)),"")</f>
        <v/>
      </c>
      <c r="AG37" s="20">
        <f>IFERROR(INDEX($H$14:$H$53,MATCH($E37&amp;"#9",$X$14:$X$53,0)),"")</f>
        <v/>
      </c>
      <c r="AH37" s="20">
        <f>IFERROR(INDEX($H$14:$H$53,MATCH($E37&amp;"#10",$X$14:$X$53,0)),"")</f>
        <v/>
      </c>
      <c r="AI37" s="20">
        <f>IFERROR(INDEX($H$14:$H$53,MATCH($E37&amp;"#11",$X$14:$X$53,0)),"")</f>
        <v/>
      </c>
      <c r="AJ37" s="20">
        <f>IFERROR(INDEX($H$14:$H$53,MATCH($E37&amp;"#12",$X$14:$X$53,0)),"")</f>
        <v/>
      </c>
      <c r="AK37" s="20">
        <f>IFERROR(INDEX($H$14:$H$53,MATCH($E37&amp;"#13",$X$14:$X$53,0)),"")</f>
        <v/>
      </c>
      <c r="AL37" s="20">
        <f>IFERROR(INDEX($H$14:$H$53,MATCH($E37&amp;"#14",$X$14:$X$53,0)),"")</f>
        <v/>
      </c>
      <c r="AM37" s="20">
        <f>IFERROR(INDEX($H$14:$H$53,MATCH($E37&amp;"#15",$X$14:$X$53,0)),"")</f>
        <v/>
      </c>
      <c r="AN37" s="20">
        <f>IFERROR(INDEX($H$14:$H$53,MATCH($E37&amp;"#16",$X$14:$X$53,0)),"")</f>
        <v/>
      </c>
      <c r="AO37" s="20">
        <f>IFERROR(INDEX($H$14:$H$53,MATCH($E37&amp;"#17",$X$14:$X$53,0)),"")</f>
        <v/>
      </c>
      <c r="AP37" s="20">
        <f>IFERROR(INDEX($H$14:$H$53,MATCH($E37&amp;"#18",$X$14:$X$53,0)),"")</f>
        <v/>
      </c>
      <c r="AQ37" s="20">
        <f>IFERROR(INDEX($H$14:$H$53,MATCH($E37&amp;"#19",$X$14:$X$53,0)),"")</f>
        <v/>
      </c>
      <c r="AR37" s="20">
        <f>IFERROR(INDEX($H$14:$H$53,MATCH($E37&amp;"#20",$X$14:$X$53,0)),"")</f>
        <v/>
      </c>
      <c r="AT37" s="21">
        <f>$C37</f>
        <v/>
      </c>
      <c r="AU37" s="22">
        <f>IF(AND($H37&lt;&gt;"",$Y37&lt;&gt;"",$H37&lt;&gt;$Y37,IFERROR(VLOOKUP($H37,areaCercaPuntiClassificaSquadra,3,FALSE),-1)=IFERROR(VLOOKUP($Y37,areaCercaPuntiClassificaSquadra,3,FALSE),-2)),SUMIFS(Dati!$B$2:$B$381,Dati!$A$2:$A$381,$H37,Dati!$H$2:$H$381,$Y37)+SUMIFS(Dati!$I$2:$I$381,Dati!$H$2:$H$381,$H37,Dati!$A$2:$A$381,$Y37),"-")</f>
        <v/>
      </c>
      <c r="AV37" s="22">
        <f>IF(AND($H37&lt;&gt;"",$Z37&lt;&gt;"",$H37&lt;&gt;$Z37,IFERROR(VLOOKUP($H37,areaCercaPuntiClassificaSquadra,3,FALSE),-1)=IFERROR(VLOOKUP($Z37,areaCercaPuntiClassificaSquadra,3,FALSE),-2)),SUMIFS(Dati!$B$2:$B$381,Dati!$A$2:$A$381,$H37,Dati!$H$2:$H$381,$Z37)+SUMIFS(Dati!$I$2:$I$381,Dati!$H$2:$H$381,$H37,Dati!$A$2:$A$381,$Z37),"-")</f>
        <v/>
      </c>
      <c r="AW37" s="22">
        <f>IF(AND($H37&lt;&gt;"",$AA37&lt;&gt;"",$H37&lt;&gt;$AA37,IFERROR(VLOOKUP($H37,areaCercaPuntiClassificaSquadra,3,FALSE),-1)=IFERROR(VLOOKUP($AA37,areaCercaPuntiClassificaSquadra,3,FALSE),-2)),SUMIFS(Dati!$B$2:$B$381,Dati!$A$2:$A$381,$H37,Dati!$H$2:$H$381,$AA37)+SUMIFS(Dati!$I$2:$I$381,Dati!$H$2:$H$381,$H37,Dati!$A$2:$A$381,$AA37),"-")</f>
        <v/>
      </c>
      <c r="AX37" s="22">
        <f>IF(AND($H37&lt;&gt;"",$AB37&lt;&gt;"",$H37&lt;&gt;$AB37,IFERROR(VLOOKUP($H37,areaCercaPuntiClassificaSquadra,3,FALSE),-1)=IFERROR(VLOOKUP($AB37,areaCercaPuntiClassificaSquadra,3,FALSE),-2)),SUMIFS(Dati!$B$2:$B$381,Dati!$A$2:$A$381,$H37,Dati!$H$2:$H$381,$AB37)+SUMIFS(Dati!$I$2:$I$381,Dati!$H$2:$H$381,$H37,Dati!$A$2:$A$381,$AB37),"-")</f>
        <v/>
      </c>
      <c r="AY37" s="22">
        <f>IF(AND($H37&lt;&gt;"",$AC37&lt;&gt;"",$H37&lt;&gt;$AC37,IFERROR(VLOOKUP($H37,areaCercaPuntiClassificaSquadra,3,FALSE),-1)=IFERROR(VLOOKUP($AC37,areaCercaPuntiClassificaSquadra,3,FALSE),-2)),SUMIFS(Dati!$B$2:$B$381,Dati!$A$2:$A$381,$H37,Dati!$H$2:$H$381,$AC37)+SUMIFS(Dati!$I$2:$I$381,Dati!$H$2:$H$381,$H37,Dati!$A$2:$A$381,$AC37),"-")</f>
        <v/>
      </c>
      <c r="AZ37" s="22">
        <f>IF(AND($H37&lt;&gt;"",$AD37&lt;&gt;"",$H37&lt;&gt;$AD37,IFERROR(VLOOKUP($H37,areaCercaPuntiClassificaSquadra,3,FALSE),-1)=IFERROR(VLOOKUP($AD37,areaCercaPuntiClassificaSquadra,3,FALSE),-2)),SUMIFS(Dati!$B$2:$B$381,Dati!$A$2:$A$381,$H37,Dati!$H$2:$H$381,$AD37)+SUMIFS(Dati!$I$2:$I$381,Dati!$H$2:$H$381,$H37,Dati!$A$2:$A$381,$AD37),"-")</f>
        <v/>
      </c>
      <c r="BA37" s="22">
        <f>IF(AND($H37&lt;&gt;"",$AE37&lt;&gt;"",$H37&lt;&gt;$AE37,IFERROR(VLOOKUP($H37,areaCercaPuntiClassificaSquadra,3,FALSE),-1)=IFERROR(VLOOKUP($AE37,areaCercaPuntiClassificaSquadra,3,FALSE),-2)),SUMIFS(Dati!$B$2:$B$381,Dati!$A$2:$A$381,$H37,Dati!$H$2:$H$381,$AE37)+SUMIFS(Dati!$I$2:$I$381,Dati!$H$2:$H$381,$H37,Dati!$A$2:$A$381,$AE37),"-")</f>
        <v/>
      </c>
      <c r="BB37" s="22">
        <f>IF(AND($H37&lt;&gt;"",$AF37&lt;&gt;"",$H37&lt;&gt;$AF37,IFERROR(VLOOKUP($H37,areaCercaPuntiClassificaSquadra,3,FALSE),-1)=IFERROR(VLOOKUP($AF37,areaCercaPuntiClassificaSquadra,3,FALSE),-2)),SUMIFS(Dati!$B$2:$B$381,Dati!$A$2:$A$381,$H37,Dati!$H$2:$H$381,$AF37)+SUMIFS(Dati!$I$2:$I$381,Dati!$H$2:$H$381,$H37,Dati!$A$2:$A$381,$AF37),"-")</f>
        <v/>
      </c>
      <c r="BC37" s="22">
        <f>IF(AND($H37&lt;&gt;"",$AG37&lt;&gt;"",$H37&lt;&gt;$AG37,IFERROR(VLOOKUP($H37,areaCercaPuntiClassificaSquadra,3,FALSE),-1)=IFERROR(VLOOKUP($AG37,areaCercaPuntiClassificaSquadra,3,FALSE),-2)),SUMIFS(Dati!$B$2:$B$381,Dati!$A$2:$A$381,$H37,Dati!$H$2:$H$381,$AG37)+SUMIFS(Dati!$I$2:$I$381,Dati!$H$2:$H$381,$H37,Dati!$A$2:$A$381,$AG37),"-")</f>
        <v/>
      </c>
      <c r="BD37" s="22">
        <f>IF(AND($H37&lt;&gt;"",$AH37&lt;&gt;"",$H37&lt;&gt;$AH37,IFERROR(VLOOKUP($H37,areaCercaPuntiClassificaSquadra,3,FALSE),-1)=IFERROR(VLOOKUP($AH37,areaCercaPuntiClassificaSquadra,3,FALSE),-2)),SUMIFS(Dati!$B$2:$B$381,Dati!$A$2:$A$381,$H37,Dati!$H$2:$H$381,$AH37)+SUMIFS(Dati!$I$2:$I$381,Dati!$H$2:$H$381,$H37,Dati!$A$2:$A$381,$AH37),"-")</f>
        <v/>
      </c>
      <c r="BE37" s="22">
        <f>IF(AND($H37&lt;&gt;"",$AI37&lt;&gt;"",$H37&lt;&gt;$AI37,IFERROR(VLOOKUP($H37,areaCercaPuntiClassificaSquadra,3,FALSE),-1)=IFERROR(VLOOKUP($AI37,areaCercaPuntiClassificaSquadra,3,FALSE),-2)),SUMIFS(Dati!$B$2:$B$381,Dati!$A$2:$A$381,$H37,Dati!$H$2:$H$381,$AI37)+SUMIFS(Dati!$I$2:$I$381,Dati!$H$2:$H$381,$H37,Dati!$A$2:$A$381,$AI37),"-")</f>
        <v/>
      </c>
      <c r="BF37" s="22">
        <f>IF(AND($H37&lt;&gt;"",$AJ37&lt;&gt;"",$H37&lt;&gt;$AJ37,IFERROR(VLOOKUP($H37,areaCercaPuntiClassificaSquadra,3,FALSE),-1)=IFERROR(VLOOKUP($AJ37,areaCercaPuntiClassificaSquadra,3,FALSE),-2)),SUMIFS(Dati!$B$2:$B$381,Dati!$A$2:$A$381,$H37,Dati!$H$2:$H$381,$AJ37)+SUMIFS(Dati!$I$2:$I$381,Dati!$H$2:$H$381,$H37,Dati!$A$2:$A$381,$AJ37),"-")</f>
        <v/>
      </c>
      <c r="BG37" s="22">
        <f>IF(AND($H37&lt;&gt;"",$AK37&lt;&gt;"",$H37&lt;&gt;$AK37,IFERROR(VLOOKUP($H37,areaCercaPuntiClassificaSquadra,3,FALSE),-1)=IFERROR(VLOOKUP($AK37,areaCercaPuntiClassificaSquadra,3,FALSE),-2)),SUMIFS(Dati!$B$2:$B$381,Dati!$A$2:$A$381,$H37,Dati!$H$2:$H$381,$AK37)+SUMIFS(Dati!$I$2:$I$381,Dati!$H$2:$H$381,$H37,Dati!$A$2:$A$381,$AK37),"-")</f>
        <v/>
      </c>
      <c r="BH37" s="22">
        <f>IF(AND($H37&lt;&gt;"",$AL37&lt;&gt;"",$H37&lt;&gt;$AL37,IFERROR(VLOOKUP($H37,areaCercaPuntiClassificaSquadra,3,FALSE),-1)=IFERROR(VLOOKUP($AL37,areaCercaPuntiClassificaSquadra,3,FALSE),-2)),SUMIFS(Dati!$B$2:$B$381,Dati!$A$2:$A$381,$H37,Dati!$H$2:$H$381,$AL37)+SUMIFS(Dati!$I$2:$I$381,Dati!$H$2:$H$381,$H37,Dati!$A$2:$A$381,$AL37),"-")</f>
        <v/>
      </c>
      <c r="BI37" s="22">
        <f>IF(AND($H37&lt;&gt;"",$AM37&lt;&gt;"",$H37&lt;&gt;$AM37,IFERROR(VLOOKUP($H37,areaCercaPuntiClassificaSquadra,3,FALSE),-1)=IFERROR(VLOOKUP($AM37,areaCercaPuntiClassificaSquadra,3,FALSE),-2)),SUMIFS(Dati!$B$2:$B$381,Dati!$A$2:$A$381,$H37,Dati!$H$2:$H$381,$AM37)+SUMIFS(Dati!$I$2:$I$381,Dati!$H$2:$H$381,$H37,Dati!$A$2:$A$381,$AM37),"-")</f>
        <v/>
      </c>
      <c r="BJ37" s="22">
        <f>IF(AND($H37&lt;&gt;"",$AN37&lt;&gt;"",$H37&lt;&gt;$AN37,IFERROR(VLOOKUP($H37,areaCercaPuntiClassificaSquadra,3,FALSE),-1)=IFERROR(VLOOKUP($AN37,areaCercaPuntiClassificaSquadra,3,FALSE),-2)),SUMIFS(Dati!$B$2:$B$381,Dati!$A$2:$A$381,$H37,Dati!$H$2:$H$381,$AN37)+SUMIFS(Dati!$I$2:$I$381,Dati!$H$2:$H$381,$H37,Dati!$A$2:$A$381,$AN37),"-")</f>
        <v/>
      </c>
      <c r="BK37" s="22">
        <f>IF(AND($H37&lt;&gt;"",$AO37&lt;&gt;"",$H37&lt;&gt;$AO37,IFERROR(VLOOKUP($H37,areaCercaPuntiClassificaSquadra,3,FALSE),-1)=IFERROR(VLOOKUP($AO37,areaCercaPuntiClassificaSquadra,3,FALSE),-2)),SUMIFS(Dati!$B$2:$B$381,Dati!$A$2:$A$381,$H37,Dati!$H$2:$H$381,$AO37)+SUMIFS(Dati!$I$2:$I$381,Dati!$H$2:$H$381,$H37,Dati!$A$2:$A$381,$AO37),"-")</f>
        <v/>
      </c>
      <c r="BL37" s="22">
        <f>IF(AND($H37&lt;&gt;"",$AP37&lt;&gt;"",$H37&lt;&gt;$AP37,IFERROR(VLOOKUP($H37,areaCercaPuntiClassificaSquadra,3,FALSE),-1)=IFERROR(VLOOKUP($AP37,areaCercaPuntiClassificaSquadra,3,FALSE),-2)),SUMIFS(Dati!$B$2:$B$381,Dati!$A$2:$A$381,$H37,Dati!$H$2:$H$381,$AP37)+SUMIFS(Dati!$I$2:$I$381,Dati!$H$2:$H$381,$H37,Dati!$A$2:$A$381,$AP37),"-")</f>
        <v/>
      </c>
      <c r="BM37" s="22">
        <f>IF(AND($H37&lt;&gt;"",$AQ37&lt;&gt;"",$H37&lt;&gt;$AQ37,IFERROR(VLOOKUP($H37,areaCercaPuntiClassificaSquadra,3,FALSE),-1)=IFERROR(VLOOKUP($AQ37,areaCercaPuntiClassificaSquadra,3,FALSE),-2)),SUMIFS(Dati!$B$2:$B$381,Dati!$A$2:$A$381,$H37,Dati!$H$2:$H$381,$AQ37)+SUMIFS(Dati!$I$2:$I$381,Dati!$H$2:$H$381,$H37,Dati!$A$2:$A$381,$AQ37),"-")</f>
        <v/>
      </c>
      <c r="BN37" s="22">
        <f>IF(AND($H37&lt;&gt;"",$AR37&lt;&gt;"",$H37&lt;&gt;$AR37,IFERROR(VLOOKUP($H37,areaCercaPuntiClassificaSquadra,3,FALSE),-1)=IFERROR(VLOOKUP($AR37,areaCercaPuntiClassificaSquadra,3,FALSE),-2)),SUMIFS(Dati!$B$2:$B$381,Dati!$A$2:$A$381,$H37,Dati!$H$2:$H$381,$AR37)+SUMIFS(Dati!$I$2:$I$381,Dati!$H$2:$H$381,$H37,Dati!$A$2:$A$381,$AR37),"-")</f>
        <v/>
      </c>
      <c r="BP37" s="21">
        <f>$C37</f>
        <v/>
      </c>
      <c r="BQ37" s="22">
        <f>IF(AND($H37&lt;&gt;"",$Y37&lt;&gt;"",$H37&lt;&gt;$Y37,IFERROR(VLOOKUP($H37,areaCercaPuntiClassificaSquadra,3,FALSE),-1)=IFERROR(VLOOKUP($Y37,areaCercaPuntiClassificaSquadra,3,FALSE),-2)),SUMIFS(Dati!$D$2:$D$381,Dati!$A$2:$A$381,$H37,Dati!$H$2:$H$381,$Y37)+SUMIFS(Dati!$K$2:$K$381,Dati!$H$2:$H$381,$H37,Dati!$A$2:$A$381,$Y37)+SUMIFS(Dati!$C$2:$C$381,Dati!$A$2:$A$381,$H37,Dati!$H$2:$H$381,$Y37)+SUMIFS(Dati!$J$2:$J$381,Dati!$H$2:$H$381,$H37,Dati!$A$2:$A$381,$Y37),"-")</f>
        <v/>
      </c>
      <c r="BR37" s="22">
        <f>IF(AND($H37&lt;&gt;"",$Z37&lt;&gt;"",$H37&lt;&gt;$Z37,IFERROR(VLOOKUP($H37,areaCercaPuntiClassificaSquadra,3,FALSE),-1)=IFERROR(VLOOKUP($Z37,areaCercaPuntiClassificaSquadra,3,FALSE),-2)),SUMIFS(Dati!$D$2:$D$381,Dati!$A$2:$A$381,$H37,Dati!$H$2:$H$381,$Z37)+SUMIFS(Dati!$K$2:$K$381,Dati!$H$2:$H$381,$H37,Dati!$A$2:$A$381,$Z37)+SUMIFS(Dati!$C$2:$C$381,Dati!$A$2:$A$381,$H37,Dati!$H$2:$H$381,$Z37)+SUMIFS(Dati!$J$2:$J$381,Dati!$H$2:$H$381,$H37,Dati!$A$2:$A$381,$Z37),"-")</f>
        <v/>
      </c>
      <c r="BS37" s="22">
        <f>IF(AND($H37&lt;&gt;"",$AA37&lt;&gt;"",$H37&lt;&gt;$AA37,IFERROR(VLOOKUP($H37,areaCercaPuntiClassificaSquadra,3,FALSE),-1)=IFERROR(VLOOKUP($AA37,areaCercaPuntiClassificaSquadra,3,FALSE),-2)),SUMIFS(Dati!$D$2:$D$381,Dati!$A$2:$A$381,$H37,Dati!$H$2:$H$381,$AA37)+SUMIFS(Dati!$K$2:$K$381,Dati!$H$2:$H$381,$H37,Dati!$A$2:$A$381,$AA37)+SUMIFS(Dati!$C$2:$C$381,Dati!$A$2:$A$381,$H37,Dati!$H$2:$H$381,$AA37)+SUMIFS(Dati!$J$2:$J$381,Dati!$H$2:$H$381,$H37,Dati!$A$2:$A$381,$AA37),"-")</f>
        <v/>
      </c>
      <c r="BT37" s="22">
        <f>IF(AND($H37&lt;&gt;"",$AB37&lt;&gt;"",$H37&lt;&gt;$AB37,IFERROR(VLOOKUP($H37,areaCercaPuntiClassificaSquadra,3,FALSE),-1)=IFERROR(VLOOKUP($AB37,areaCercaPuntiClassificaSquadra,3,FALSE),-2)),SUMIFS(Dati!$D$2:$D$381,Dati!$A$2:$A$381,$H37,Dati!$H$2:$H$381,$AB37)+SUMIFS(Dati!$K$2:$K$381,Dati!$H$2:$H$381,$H37,Dati!$A$2:$A$381,$AB37)+SUMIFS(Dati!$C$2:$C$381,Dati!$A$2:$A$381,$H37,Dati!$H$2:$H$381,$AB37)+SUMIFS(Dati!$J$2:$J$381,Dati!$H$2:$H$381,$H37,Dati!$A$2:$A$381,$AB37),"-")</f>
        <v/>
      </c>
      <c r="BU37" s="22">
        <f>IF(AND($H37&lt;&gt;"",$AC37&lt;&gt;"",$H37&lt;&gt;$AC37,IFERROR(VLOOKUP($H37,areaCercaPuntiClassificaSquadra,3,FALSE),-1)=IFERROR(VLOOKUP($AC37,areaCercaPuntiClassificaSquadra,3,FALSE),-2)),SUMIFS(Dati!$D$2:$D$381,Dati!$A$2:$A$381,$H37,Dati!$H$2:$H$381,$AC37)+SUMIFS(Dati!$K$2:$K$381,Dati!$H$2:$H$381,$H37,Dati!$A$2:$A$381,$AC37)+SUMIFS(Dati!$C$2:$C$381,Dati!$A$2:$A$381,$H37,Dati!$H$2:$H$381,$AC37)+SUMIFS(Dati!$J$2:$J$381,Dati!$H$2:$H$381,$H37,Dati!$A$2:$A$381,$AC37),"-")</f>
        <v/>
      </c>
      <c r="BV37" s="22">
        <f>IF(AND($H37&lt;&gt;"",$AD37&lt;&gt;"",$H37&lt;&gt;$AD37,IFERROR(VLOOKUP($H37,areaCercaPuntiClassificaSquadra,3,FALSE),-1)=IFERROR(VLOOKUP($AD37,areaCercaPuntiClassificaSquadra,3,FALSE),-2)),SUMIFS(Dati!$D$2:$D$381,Dati!$A$2:$A$381,$H37,Dati!$H$2:$H$381,$AD37)+SUMIFS(Dati!$K$2:$K$381,Dati!$H$2:$H$381,$H37,Dati!$A$2:$A$381,$AD37)+SUMIFS(Dati!$C$2:$C$381,Dati!$A$2:$A$381,$H37,Dati!$H$2:$H$381,$AD37)+SUMIFS(Dati!$J$2:$J$381,Dati!$H$2:$H$381,$H37,Dati!$A$2:$A$381,$AD37),"-")</f>
        <v/>
      </c>
      <c r="BW37" s="22">
        <f>IF(AND($H37&lt;&gt;"",$AE37&lt;&gt;"",$H37&lt;&gt;$AE37,IFERROR(VLOOKUP($H37,areaCercaPuntiClassificaSquadra,3,FALSE),-1)=IFERROR(VLOOKUP($AE37,areaCercaPuntiClassificaSquadra,3,FALSE),-2)),SUMIFS(Dati!$D$2:$D$381,Dati!$A$2:$A$381,$H37,Dati!$H$2:$H$381,$AE37)+SUMIFS(Dati!$K$2:$K$381,Dati!$H$2:$H$381,$H37,Dati!$A$2:$A$381,$AE37)+SUMIFS(Dati!$C$2:$C$381,Dati!$A$2:$A$381,$H37,Dati!$H$2:$H$381,$AE37)+SUMIFS(Dati!$J$2:$J$381,Dati!$H$2:$H$381,$H37,Dati!$A$2:$A$381,$AE37),"-")</f>
        <v/>
      </c>
      <c r="BX37" s="22">
        <f>IF(AND($H37&lt;&gt;"",$AF37&lt;&gt;"",$H37&lt;&gt;$AF37,IFERROR(VLOOKUP($H37,areaCercaPuntiClassificaSquadra,3,FALSE),-1)=IFERROR(VLOOKUP($AF37,areaCercaPuntiClassificaSquadra,3,FALSE),-2)),SUMIFS(Dati!$D$2:$D$381,Dati!$A$2:$A$381,$H37,Dati!$H$2:$H$381,$AF37)+SUMIFS(Dati!$K$2:$K$381,Dati!$H$2:$H$381,$H37,Dati!$A$2:$A$381,$AF37)+SUMIFS(Dati!$C$2:$C$381,Dati!$A$2:$A$381,$H37,Dati!$H$2:$H$381,$AF37)+SUMIFS(Dati!$J$2:$J$381,Dati!$H$2:$H$381,$H37,Dati!$A$2:$A$381,$AF37),"-")</f>
        <v/>
      </c>
      <c r="BY37" s="22">
        <f>IF(AND($H37&lt;&gt;"",$AG37&lt;&gt;"",$H37&lt;&gt;$AG37,IFERROR(VLOOKUP($H37,areaCercaPuntiClassificaSquadra,3,FALSE),-1)=IFERROR(VLOOKUP($AG37,areaCercaPuntiClassificaSquadra,3,FALSE),-2)),SUMIFS(Dati!$D$2:$D$381,Dati!$A$2:$A$381,$H37,Dati!$H$2:$H$381,$AG37)+SUMIFS(Dati!$K$2:$K$381,Dati!$H$2:$H$381,$H37,Dati!$A$2:$A$381,$AG37)+SUMIFS(Dati!$C$2:$C$381,Dati!$A$2:$A$381,$H37,Dati!$H$2:$H$381,$AG37)+SUMIFS(Dati!$J$2:$J$381,Dati!$H$2:$H$381,$H37,Dati!$A$2:$A$381,$AG37),"-")</f>
        <v/>
      </c>
      <c r="BZ37" s="22">
        <f>IF(AND($H37&lt;&gt;"",$AH37&lt;&gt;"",$H37&lt;&gt;$AH37,IFERROR(VLOOKUP($H37,areaCercaPuntiClassificaSquadra,3,FALSE),-1)=IFERROR(VLOOKUP($AH37,areaCercaPuntiClassificaSquadra,3,FALSE),-2)),SUMIFS(Dati!$D$2:$D$381,Dati!$A$2:$A$381,$H37,Dati!$H$2:$H$381,$AH37)+SUMIFS(Dati!$K$2:$K$381,Dati!$H$2:$H$381,$H37,Dati!$A$2:$A$381,$AH37)+SUMIFS(Dati!$C$2:$C$381,Dati!$A$2:$A$381,$H37,Dati!$H$2:$H$381,$AH37)+SUMIFS(Dati!$J$2:$J$381,Dati!$H$2:$H$381,$H37,Dati!$A$2:$A$381,$AH37),"-")</f>
        <v/>
      </c>
      <c r="CA37" s="22">
        <f>IF(AND($H37&lt;&gt;"",$AI37&lt;&gt;"",$H37&lt;&gt;$AI37,IFERROR(VLOOKUP($H37,areaCercaPuntiClassificaSquadra,3,FALSE),-1)=IFERROR(VLOOKUP($AI37,areaCercaPuntiClassificaSquadra,3,FALSE),-2)),SUMIFS(Dati!$D$2:$D$381,Dati!$A$2:$A$381,$H37,Dati!$H$2:$H$381,$AI37)+SUMIFS(Dati!$K$2:$K$381,Dati!$H$2:$H$381,$H37,Dati!$A$2:$A$381,$AI37)+SUMIFS(Dati!$C$2:$C$381,Dati!$A$2:$A$381,$H37,Dati!$H$2:$H$381,$AI37)+SUMIFS(Dati!$J$2:$J$381,Dati!$H$2:$H$381,$H37,Dati!$A$2:$A$381,$AI37),"-")</f>
        <v/>
      </c>
      <c r="CB37" s="22">
        <f>IF(AND($H37&lt;&gt;"",$AJ37&lt;&gt;"",$H37&lt;&gt;$AJ37,IFERROR(VLOOKUP($H37,areaCercaPuntiClassificaSquadra,3,FALSE),-1)=IFERROR(VLOOKUP($AJ37,areaCercaPuntiClassificaSquadra,3,FALSE),-2)),SUMIFS(Dati!$D$2:$D$381,Dati!$A$2:$A$381,$H37,Dati!$H$2:$H$381,$AJ37)+SUMIFS(Dati!$K$2:$K$381,Dati!$H$2:$H$381,$H37,Dati!$A$2:$A$381,$AJ37)+SUMIFS(Dati!$C$2:$C$381,Dati!$A$2:$A$381,$H37,Dati!$H$2:$H$381,$AJ37)+SUMIFS(Dati!$J$2:$J$381,Dati!$H$2:$H$381,$H37,Dati!$A$2:$A$381,$AJ37),"-")</f>
        <v/>
      </c>
      <c r="CC37" s="22">
        <f>IF(AND($H37&lt;&gt;"",$AK37&lt;&gt;"",$H37&lt;&gt;$AK37,IFERROR(VLOOKUP($H37,areaCercaPuntiClassificaSquadra,3,FALSE),-1)=IFERROR(VLOOKUP($AK37,areaCercaPuntiClassificaSquadra,3,FALSE),-2)),SUMIFS(Dati!$D$2:$D$381,Dati!$A$2:$A$381,$H37,Dati!$H$2:$H$381,$AK37)+SUMIFS(Dati!$K$2:$K$381,Dati!$H$2:$H$381,$H37,Dati!$A$2:$A$381,$AK37)+SUMIFS(Dati!$C$2:$C$381,Dati!$A$2:$A$381,$H37,Dati!$H$2:$H$381,$AK37)+SUMIFS(Dati!$J$2:$J$381,Dati!$H$2:$H$381,$H37,Dati!$A$2:$A$381,$AK37),"-")</f>
        <v/>
      </c>
      <c r="CD37" s="22">
        <f>IF(AND($H37&lt;&gt;"",$AL37&lt;&gt;"",$H37&lt;&gt;$AL37,IFERROR(VLOOKUP($H37,areaCercaPuntiClassificaSquadra,3,FALSE),-1)=IFERROR(VLOOKUP($AL37,areaCercaPuntiClassificaSquadra,3,FALSE),-2)),SUMIFS(Dati!$D$2:$D$381,Dati!$A$2:$A$381,$H37,Dati!$H$2:$H$381,$AL37)+SUMIFS(Dati!$K$2:$K$381,Dati!$H$2:$H$381,$H37,Dati!$A$2:$A$381,$AL37)+SUMIFS(Dati!$C$2:$C$381,Dati!$A$2:$A$381,$H37,Dati!$H$2:$H$381,$AL37)+SUMIFS(Dati!$J$2:$J$381,Dati!$H$2:$H$381,$H37,Dati!$A$2:$A$381,$AL37),"-")</f>
        <v/>
      </c>
      <c r="CE37" s="22">
        <f>IF(AND($H37&lt;&gt;"",$AM37&lt;&gt;"",$H37&lt;&gt;$AM37,IFERROR(VLOOKUP($H37,areaCercaPuntiClassificaSquadra,3,FALSE),-1)=IFERROR(VLOOKUP($AM37,areaCercaPuntiClassificaSquadra,3,FALSE),-2)),SUMIFS(Dati!$D$2:$D$381,Dati!$A$2:$A$381,$H37,Dati!$H$2:$H$381,$AM37)+SUMIFS(Dati!$K$2:$K$381,Dati!$H$2:$H$381,$H37,Dati!$A$2:$A$381,$AM37)+SUMIFS(Dati!$C$2:$C$381,Dati!$A$2:$A$381,$H37,Dati!$H$2:$H$381,$AM37)+SUMIFS(Dati!$J$2:$J$381,Dati!$H$2:$H$381,$H37,Dati!$A$2:$A$381,$AM37),"-")</f>
        <v/>
      </c>
      <c r="CF37" s="22">
        <f>IF(AND($H37&lt;&gt;"",$AN37&lt;&gt;"",$H37&lt;&gt;$AN37,IFERROR(VLOOKUP($H37,areaCercaPuntiClassificaSquadra,3,FALSE),-1)=IFERROR(VLOOKUP($AN37,areaCercaPuntiClassificaSquadra,3,FALSE),-2)),SUMIFS(Dati!$D$2:$D$381,Dati!$A$2:$A$381,$H37,Dati!$H$2:$H$381,$AN37)+SUMIFS(Dati!$K$2:$K$381,Dati!$H$2:$H$381,$H37,Dati!$A$2:$A$381,$AN37)+SUMIFS(Dati!$C$2:$C$381,Dati!$A$2:$A$381,$H37,Dati!$H$2:$H$381,$AN37)+SUMIFS(Dati!$J$2:$J$381,Dati!$H$2:$H$381,$H37,Dati!$A$2:$A$381,$AN37),"-")</f>
        <v/>
      </c>
      <c r="CG37" s="22">
        <f>IF(AND($H37&lt;&gt;"",$AO37&lt;&gt;"",$H37&lt;&gt;$AO37,IFERROR(VLOOKUP($H37,areaCercaPuntiClassificaSquadra,3,FALSE),-1)=IFERROR(VLOOKUP($AO37,areaCercaPuntiClassificaSquadra,3,FALSE),-2)),SUMIFS(Dati!$D$2:$D$381,Dati!$A$2:$A$381,$H37,Dati!$H$2:$H$381,$AO37)+SUMIFS(Dati!$K$2:$K$381,Dati!$H$2:$H$381,$H37,Dati!$A$2:$A$381,$AO37)+SUMIFS(Dati!$C$2:$C$381,Dati!$A$2:$A$381,$H37,Dati!$H$2:$H$381,$AO37)+SUMIFS(Dati!$J$2:$J$381,Dati!$H$2:$H$381,$H37,Dati!$A$2:$A$381,$AO37),"-")</f>
        <v/>
      </c>
      <c r="CH37" s="22">
        <f>IF(AND($H37&lt;&gt;"",$AP37&lt;&gt;"",$H37&lt;&gt;$AP37,IFERROR(VLOOKUP($H37,areaCercaPuntiClassificaSquadra,3,FALSE),-1)=IFERROR(VLOOKUP($AP37,areaCercaPuntiClassificaSquadra,3,FALSE),-2)),SUMIFS(Dati!$D$2:$D$381,Dati!$A$2:$A$381,$H37,Dati!$H$2:$H$381,$AP37)+SUMIFS(Dati!$K$2:$K$381,Dati!$H$2:$H$381,$H37,Dati!$A$2:$A$381,$AP37)+SUMIFS(Dati!$C$2:$C$381,Dati!$A$2:$A$381,$H37,Dati!$H$2:$H$381,$AP37)+SUMIFS(Dati!$J$2:$J$381,Dati!$H$2:$H$381,$H37,Dati!$A$2:$A$381,$AP37),"-")</f>
        <v/>
      </c>
      <c r="CI37" s="22">
        <f>IF(AND($H37&lt;&gt;"",$AQ37&lt;&gt;"",$H37&lt;&gt;$AQ37,IFERROR(VLOOKUP($H37,areaCercaPuntiClassificaSquadra,3,FALSE),-1)=IFERROR(VLOOKUP($AQ37,areaCercaPuntiClassificaSquadra,3,FALSE),-2)),SUMIFS(Dati!$D$2:$D$381,Dati!$A$2:$A$381,$H37,Dati!$H$2:$H$381,$AQ37)+SUMIFS(Dati!$K$2:$K$381,Dati!$H$2:$H$381,$H37,Dati!$A$2:$A$381,$AQ37)+SUMIFS(Dati!$C$2:$C$381,Dati!$A$2:$A$381,$H37,Dati!$H$2:$H$381,$AQ37)+SUMIFS(Dati!$J$2:$J$381,Dati!$H$2:$H$381,$H37,Dati!$A$2:$A$381,$AQ37),"-")</f>
        <v/>
      </c>
      <c r="CJ37" s="22">
        <f>IF(AND($H37&lt;&gt;"",$AR37&lt;&gt;"",$H37&lt;&gt;$AR37,IFERROR(VLOOKUP($H37,areaCercaPuntiClassificaSquadra,3,FALSE),-1)=IFERROR(VLOOKUP($AR37,areaCercaPuntiClassificaSquadra,3,FALSE),-2)),SUMIFS(Dati!$D$2:$D$381,Dati!$A$2:$A$381,$H37,Dati!$H$2:$H$381,$AR37)+SUMIFS(Dati!$K$2:$K$381,Dati!$H$2:$H$381,$H37,Dati!$A$2:$A$381,$AR37)+SUMIFS(Dati!$C$2:$C$381,Dati!$A$2:$A$381,$H37,Dati!$H$2:$H$381,$AR37)+SUMIFS(Dati!$J$2:$J$381,Dati!$H$2:$H$381,$H37,Dati!$A$2:$A$381,$AR37),"-")</f>
        <v/>
      </c>
      <c r="CL37" s="21">
        <f>$C37</f>
        <v/>
      </c>
      <c r="CM37" s="22">
        <f>IF(AND($H37&lt;&gt;"",$Y37&lt;&gt;"",$H37&lt;&gt;$Y37,IFERROR(VLOOKUP($H37,areaCercaPuntiClassificaSquadra,3,FALSE),-1)=IFERROR(VLOOKUP($Y37,areaCercaPuntiClassificaSquadra,3,FALSE),-2)),SUMIFS(Dati!$E$2:$E$381,Dati!$A$2:$A$381,$H37,Dati!$H$2:$H$381,$Y37)+SUMIFS(Dati!$L$2:$L$381,Dati!$H$2:$H$381,$H37,Dati!$A$2:$A$381,$Y37),"-")</f>
        <v/>
      </c>
      <c r="CN37" s="22">
        <f>IF(AND($H37&lt;&gt;"",$Z37&lt;&gt;"",$H37&lt;&gt;$Z37,IFERROR(VLOOKUP($H37,areaCercaPuntiClassificaSquadra,3,FALSE),-1)=IFERROR(VLOOKUP($Z37,areaCercaPuntiClassificaSquadra,3,FALSE),-2)),SUMIFS(Dati!$E$2:$E$381,Dati!$A$2:$A$381,$H37,Dati!$H$2:$H$381,$Z37)+SUMIFS(Dati!$L$2:$L$381,Dati!$H$2:$H$381,$H37,Dati!$A$2:$A$381,$Z37),"-")</f>
        <v/>
      </c>
      <c r="CO37" s="22">
        <f>IF(AND($H37&lt;&gt;"",$AA37&lt;&gt;"",$H37&lt;&gt;$AA37,IFERROR(VLOOKUP($H37,areaCercaPuntiClassificaSquadra,3,FALSE),-1)=IFERROR(VLOOKUP($AA37,areaCercaPuntiClassificaSquadra,3,FALSE),-2)),SUMIFS(Dati!$E$2:$E$381,Dati!$A$2:$A$381,$H37,Dati!$H$2:$H$381,$AA37)+SUMIFS(Dati!$L$2:$L$381,Dati!$H$2:$H$381,$H37,Dati!$A$2:$A$381,$AA37),"-")</f>
        <v/>
      </c>
      <c r="CP37" s="22">
        <f>IF(AND($H37&lt;&gt;"",$AB37&lt;&gt;"",$H37&lt;&gt;$AB37,IFERROR(VLOOKUP($H37,areaCercaPuntiClassificaSquadra,3,FALSE),-1)=IFERROR(VLOOKUP($AB37,areaCercaPuntiClassificaSquadra,3,FALSE),-2)),SUMIFS(Dati!$E$2:$E$381,Dati!$A$2:$A$381,$H37,Dati!$H$2:$H$381,$AB37)+SUMIFS(Dati!$L$2:$L$381,Dati!$H$2:$H$381,$H37,Dati!$A$2:$A$381,$AB37),"-")</f>
        <v/>
      </c>
      <c r="CQ37" s="22">
        <f>IF(AND($H37&lt;&gt;"",$AC37&lt;&gt;"",$H37&lt;&gt;$AC37,IFERROR(VLOOKUP($H37,areaCercaPuntiClassificaSquadra,3,FALSE),-1)=IFERROR(VLOOKUP($AC37,areaCercaPuntiClassificaSquadra,3,FALSE),-2)),SUMIFS(Dati!$E$2:$E$381,Dati!$A$2:$A$381,$H37,Dati!$H$2:$H$381,$AC37)+SUMIFS(Dati!$L$2:$L$381,Dati!$H$2:$H$381,$H37,Dati!$A$2:$A$381,$AC37),"-")</f>
        <v/>
      </c>
      <c r="CR37" s="22">
        <f>IF(AND($H37&lt;&gt;"",$AD37&lt;&gt;"",$H37&lt;&gt;$AD37,IFERROR(VLOOKUP($H37,areaCercaPuntiClassificaSquadra,3,FALSE),-1)=IFERROR(VLOOKUP($AD37,areaCercaPuntiClassificaSquadra,3,FALSE),-2)),SUMIFS(Dati!$E$2:$E$381,Dati!$A$2:$A$381,$H37,Dati!$H$2:$H$381,$AD37)+SUMIFS(Dati!$L$2:$L$381,Dati!$H$2:$H$381,$H37,Dati!$A$2:$A$381,$AD37),"-")</f>
        <v/>
      </c>
      <c r="CS37" s="22">
        <f>IF(AND($H37&lt;&gt;"",$AE37&lt;&gt;"",$H37&lt;&gt;$AE37,IFERROR(VLOOKUP($H37,areaCercaPuntiClassificaSquadra,3,FALSE),-1)=IFERROR(VLOOKUP($AE37,areaCercaPuntiClassificaSquadra,3,FALSE),-2)),SUMIFS(Dati!$E$2:$E$381,Dati!$A$2:$A$381,$H37,Dati!$H$2:$H$381,$AE37)+SUMIFS(Dati!$L$2:$L$381,Dati!$H$2:$H$381,$H37,Dati!$A$2:$A$381,$AE37),"-")</f>
        <v/>
      </c>
      <c r="CT37" s="22">
        <f>IF(AND($H37&lt;&gt;"",$AF37&lt;&gt;"",$H37&lt;&gt;$AF37,IFERROR(VLOOKUP($H37,areaCercaPuntiClassificaSquadra,3,FALSE),-1)=IFERROR(VLOOKUP($AF37,areaCercaPuntiClassificaSquadra,3,FALSE),-2)),SUMIFS(Dati!$E$2:$E$381,Dati!$A$2:$A$381,$H37,Dati!$H$2:$H$381,$AF37)+SUMIFS(Dati!$L$2:$L$381,Dati!$H$2:$H$381,$H37,Dati!$A$2:$A$381,$AF37),"-")</f>
        <v/>
      </c>
      <c r="CU37" s="22">
        <f>IF(AND($H37&lt;&gt;"",$AG37&lt;&gt;"",$H37&lt;&gt;$AG37,IFERROR(VLOOKUP($H37,areaCercaPuntiClassificaSquadra,3,FALSE),-1)=IFERROR(VLOOKUP($AG37,areaCercaPuntiClassificaSquadra,3,FALSE),-2)),SUMIFS(Dati!$E$2:$E$381,Dati!$A$2:$A$381,$H37,Dati!$H$2:$H$381,$AG37)+SUMIFS(Dati!$L$2:$L$381,Dati!$H$2:$H$381,$H37,Dati!$A$2:$A$381,$AG37),"-")</f>
        <v/>
      </c>
      <c r="CV37" s="22">
        <f>IF(AND($H37&lt;&gt;"",$AH37&lt;&gt;"",$H37&lt;&gt;$AH37,IFERROR(VLOOKUP($H37,areaCercaPuntiClassificaSquadra,3,FALSE),-1)=IFERROR(VLOOKUP($AH37,areaCercaPuntiClassificaSquadra,3,FALSE),-2)),SUMIFS(Dati!$E$2:$E$381,Dati!$A$2:$A$381,$H37,Dati!$H$2:$H$381,$AH37)+SUMIFS(Dati!$L$2:$L$381,Dati!$H$2:$H$381,$H37,Dati!$A$2:$A$381,$AH37),"-")</f>
        <v/>
      </c>
      <c r="CW37" s="22">
        <f>IF(AND($H37&lt;&gt;"",$AI37&lt;&gt;"",$H37&lt;&gt;$AI37,IFERROR(VLOOKUP($H37,areaCercaPuntiClassificaSquadra,3,FALSE),-1)=IFERROR(VLOOKUP($AI37,areaCercaPuntiClassificaSquadra,3,FALSE),-2)),SUMIFS(Dati!$E$2:$E$381,Dati!$A$2:$A$381,$H37,Dati!$H$2:$H$381,$AI37)+SUMIFS(Dati!$L$2:$L$381,Dati!$H$2:$H$381,$H37,Dati!$A$2:$A$381,$AI37),"-")</f>
        <v/>
      </c>
      <c r="CX37" s="22">
        <f>IF(AND($H37&lt;&gt;"",$AJ37&lt;&gt;"",$H37&lt;&gt;$AJ37,IFERROR(VLOOKUP($H37,areaCercaPuntiClassificaSquadra,3,FALSE),-1)=IFERROR(VLOOKUP($AJ37,areaCercaPuntiClassificaSquadra,3,FALSE),-2)),SUMIFS(Dati!$E$2:$E$381,Dati!$A$2:$A$381,$H37,Dati!$H$2:$H$381,$AJ37)+SUMIFS(Dati!$L$2:$L$381,Dati!$H$2:$H$381,$H37,Dati!$A$2:$A$381,$AJ37),"-")</f>
        <v/>
      </c>
      <c r="CY37" s="22">
        <f>IF(AND($H37&lt;&gt;"",$AK37&lt;&gt;"",$H37&lt;&gt;$AK37,IFERROR(VLOOKUP($H37,areaCercaPuntiClassificaSquadra,3,FALSE),-1)=IFERROR(VLOOKUP($AK37,areaCercaPuntiClassificaSquadra,3,FALSE),-2)),SUMIFS(Dati!$E$2:$E$381,Dati!$A$2:$A$381,$H37,Dati!$H$2:$H$381,$AK37)+SUMIFS(Dati!$L$2:$L$381,Dati!$H$2:$H$381,$H37,Dati!$A$2:$A$381,$AK37),"-")</f>
        <v/>
      </c>
      <c r="CZ37" s="22">
        <f>IF(AND($H37&lt;&gt;"",$AL37&lt;&gt;"",$H37&lt;&gt;$AL37,IFERROR(VLOOKUP($H37,areaCercaPuntiClassificaSquadra,3,FALSE),-1)=IFERROR(VLOOKUP($AL37,areaCercaPuntiClassificaSquadra,3,FALSE),-2)),SUMIFS(Dati!$E$2:$E$381,Dati!$A$2:$A$381,$H37,Dati!$H$2:$H$381,$AL37)+SUMIFS(Dati!$L$2:$L$381,Dati!$H$2:$H$381,$H37,Dati!$A$2:$A$381,$AL37),"-")</f>
        <v/>
      </c>
      <c r="DA37" s="22">
        <f>IF(AND($H37&lt;&gt;"",$AM37&lt;&gt;"",$H37&lt;&gt;$AM37,IFERROR(VLOOKUP($H37,areaCercaPuntiClassificaSquadra,3,FALSE),-1)=IFERROR(VLOOKUP($AM37,areaCercaPuntiClassificaSquadra,3,FALSE),-2)),SUMIFS(Dati!$E$2:$E$381,Dati!$A$2:$A$381,$H37,Dati!$H$2:$H$381,$AM37)+SUMIFS(Dati!$L$2:$L$381,Dati!$H$2:$H$381,$H37,Dati!$A$2:$A$381,$AM37),"-")</f>
        <v/>
      </c>
      <c r="DB37" s="22">
        <f>IF(AND($H37&lt;&gt;"",$AN37&lt;&gt;"",$H37&lt;&gt;$AN37,IFERROR(VLOOKUP($H37,areaCercaPuntiClassificaSquadra,3,FALSE),-1)=IFERROR(VLOOKUP($AN37,areaCercaPuntiClassificaSquadra,3,FALSE),-2)),SUMIFS(Dati!$E$2:$E$381,Dati!$A$2:$A$381,$H37,Dati!$H$2:$H$381,$AN37)+SUMIFS(Dati!$L$2:$L$381,Dati!$H$2:$H$381,$H37,Dati!$A$2:$A$381,$AN37),"-")</f>
        <v/>
      </c>
      <c r="DC37" s="22">
        <f>IF(AND($H37&lt;&gt;"",$AO37&lt;&gt;"",$H37&lt;&gt;$AO37,IFERROR(VLOOKUP($H37,areaCercaPuntiClassificaSquadra,3,FALSE),-1)=IFERROR(VLOOKUP($AO37,areaCercaPuntiClassificaSquadra,3,FALSE),-2)),SUMIFS(Dati!$E$2:$E$381,Dati!$A$2:$A$381,$H37,Dati!$H$2:$H$381,$AO37)+SUMIFS(Dati!$L$2:$L$381,Dati!$H$2:$H$381,$H37,Dati!$A$2:$A$381,$AO37),"-")</f>
        <v/>
      </c>
      <c r="DD37" s="22">
        <f>IF(AND($H37&lt;&gt;"",$AP37&lt;&gt;"",$H37&lt;&gt;$AP37,IFERROR(VLOOKUP($H37,areaCercaPuntiClassificaSquadra,3,FALSE),-1)=IFERROR(VLOOKUP($AP37,areaCercaPuntiClassificaSquadra,3,FALSE),-2)),SUMIFS(Dati!$E$2:$E$381,Dati!$A$2:$A$381,$H37,Dati!$H$2:$H$381,$AP37)+SUMIFS(Dati!$L$2:$L$381,Dati!$H$2:$H$381,$H37,Dati!$A$2:$A$381,$AP37),"-")</f>
        <v/>
      </c>
      <c r="DE37" s="22">
        <f>IF(AND($H37&lt;&gt;"",$AQ37&lt;&gt;"",$H37&lt;&gt;$AQ37,IFERROR(VLOOKUP($H37,areaCercaPuntiClassificaSquadra,3,FALSE),-1)=IFERROR(VLOOKUP($AQ37,areaCercaPuntiClassificaSquadra,3,FALSE),-2)),SUMIFS(Dati!$E$2:$E$381,Dati!$A$2:$A$381,$H37,Dati!$H$2:$H$381,$AQ37)+SUMIFS(Dati!$L$2:$L$381,Dati!$H$2:$H$381,$H37,Dati!$A$2:$A$381,$AQ37),"-")</f>
        <v/>
      </c>
      <c r="DF37" s="22">
        <f>IF(AND($H37&lt;&gt;"",$AR37&lt;&gt;"",$H37&lt;&gt;$AR37,IFERROR(VLOOKUP($H37,areaCercaPuntiClassificaSquadra,3,FALSE),-1)=IFERROR(VLOOKUP($AR37,areaCercaPuntiClassificaSquadra,3,FALSE),-2)),SUMIFS(Dati!$E$2:$E$381,Dati!$A$2:$A$381,$H37,Dati!$H$2:$H$381,$AR37)+SUMIFS(Dati!$L$2:$L$381,Dati!$H$2:$H$381,$H37,Dati!$A$2:$A$381,$AR37),"-")</f>
        <v/>
      </c>
      <c r="DH37" s="21">
        <f>$C37</f>
        <v/>
      </c>
      <c r="DI37" s="22">
        <f>IF(AND($H37&lt;&gt;"",$Y37&lt;&gt;"",$H37&lt;&gt;$Y37,IFERROR(VLOOKUP($H37,areaCercaPuntiClassificaSquadra,3,FALSE),-1)=IFERROR(VLOOKUP($Y37,areaCercaPuntiClassificaSquadra,3,FALSE),-2)),SUMIFS(Dati!$F$2:$F$381,Dati!$A$2:$A$381,$H37,Dati!$H$2:$H$381,$Y37)+SUMIFS(Dati!$M$2:$M$381,Dati!$H$2:$H$381,$H37,Dati!$A$2:$A$381,$Y37),"-")</f>
        <v/>
      </c>
      <c r="DJ37" s="22">
        <f>IF(AND($H37&lt;&gt;"",$Z37&lt;&gt;"",$H37&lt;&gt;$Z37,IFERROR(VLOOKUP($H37,areaCercaPuntiClassificaSquadra,3,FALSE),-1)=IFERROR(VLOOKUP($Z37,areaCercaPuntiClassificaSquadra,3,FALSE),-2)),SUMIFS(Dati!$F$2:$F$381,Dati!$A$2:$A$381,$H37,Dati!$H$2:$H$381,$Z37)+SUMIFS(Dati!$M$2:$M$381,Dati!$H$2:$H$381,$H37,Dati!$A$2:$A$381,$Z37),"-")</f>
        <v/>
      </c>
      <c r="DK37" s="22">
        <f>IF(AND($H37&lt;&gt;"",$AA37&lt;&gt;"",$H37&lt;&gt;$AA37,IFERROR(VLOOKUP($H37,areaCercaPuntiClassificaSquadra,3,FALSE),-1)=IFERROR(VLOOKUP($AA37,areaCercaPuntiClassificaSquadra,3,FALSE),-2)),SUMIFS(Dati!$F$2:$F$381,Dati!$A$2:$A$381,$H37,Dati!$H$2:$H$381,$AA37)+SUMIFS(Dati!$M$2:$M$381,Dati!$H$2:$H$381,$H37,Dati!$A$2:$A$381,$AA37),"-")</f>
        <v/>
      </c>
      <c r="DL37" s="22">
        <f>IF(AND($H37&lt;&gt;"",$AB37&lt;&gt;"",$H37&lt;&gt;$AB37,IFERROR(VLOOKUP($H37,areaCercaPuntiClassificaSquadra,3,FALSE),-1)=IFERROR(VLOOKUP($AB37,areaCercaPuntiClassificaSquadra,3,FALSE),-2)),SUMIFS(Dati!$F$2:$F$381,Dati!$A$2:$A$381,$H37,Dati!$H$2:$H$381,$AB37)+SUMIFS(Dati!$M$2:$M$381,Dati!$H$2:$H$381,$H37,Dati!$A$2:$A$381,$AB37),"-")</f>
        <v/>
      </c>
      <c r="DM37" s="22">
        <f>IF(AND($H37&lt;&gt;"",$AC37&lt;&gt;"",$H37&lt;&gt;$AC37,IFERROR(VLOOKUP($H37,areaCercaPuntiClassificaSquadra,3,FALSE),-1)=IFERROR(VLOOKUP($AC37,areaCercaPuntiClassificaSquadra,3,FALSE),-2)),SUMIFS(Dati!$F$2:$F$381,Dati!$A$2:$A$381,$H37,Dati!$H$2:$H$381,$AC37)+SUMIFS(Dati!$M$2:$M$381,Dati!$H$2:$H$381,$H37,Dati!$A$2:$A$381,$AC37),"-")</f>
        <v/>
      </c>
      <c r="DN37" s="22">
        <f>IF(AND($H37&lt;&gt;"",$AD37&lt;&gt;"",$H37&lt;&gt;$AD37,IFERROR(VLOOKUP($H37,areaCercaPuntiClassificaSquadra,3,FALSE),-1)=IFERROR(VLOOKUP($AD37,areaCercaPuntiClassificaSquadra,3,FALSE),-2)),SUMIFS(Dati!$F$2:$F$381,Dati!$A$2:$A$381,$H37,Dati!$H$2:$H$381,$AD37)+SUMIFS(Dati!$M$2:$M$381,Dati!$H$2:$H$381,$H37,Dati!$A$2:$A$381,$AD37),"-")</f>
        <v/>
      </c>
      <c r="DO37" s="22">
        <f>IF(AND($H37&lt;&gt;"",$AE37&lt;&gt;"",$H37&lt;&gt;$AE37,IFERROR(VLOOKUP($H37,areaCercaPuntiClassificaSquadra,3,FALSE),-1)=IFERROR(VLOOKUP($AE37,areaCercaPuntiClassificaSquadra,3,FALSE),-2)),SUMIFS(Dati!$F$2:$F$381,Dati!$A$2:$A$381,$H37,Dati!$H$2:$H$381,$AE37)+SUMIFS(Dati!$M$2:$M$381,Dati!$H$2:$H$381,$H37,Dati!$A$2:$A$381,$AE37),"-")</f>
        <v/>
      </c>
      <c r="DP37" s="22">
        <f>IF(AND($H37&lt;&gt;"",$AF37&lt;&gt;"",$H37&lt;&gt;$AF37,IFERROR(VLOOKUP($H37,areaCercaPuntiClassificaSquadra,3,FALSE),-1)=IFERROR(VLOOKUP($AF37,areaCercaPuntiClassificaSquadra,3,FALSE),-2)),SUMIFS(Dati!$F$2:$F$381,Dati!$A$2:$A$381,$H37,Dati!$H$2:$H$381,$AF37)+SUMIFS(Dati!$M$2:$M$381,Dati!$H$2:$H$381,$H37,Dati!$A$2:$A$381,$AF37),"-")</f>
        <v/>
      </c>
      <c r="DQ37" s="22">
        <f>IF(AND($H37&lt;&gt;"",$AG37&lt;&gt;"",$H37&lt;&gt;$AG37,IFERROR(VLOOKUP($H37,areaCercaPuntiClassificaSquadra,3,FALSE),-1)=IFERROR(VLOOKUP($AG37,areaCercaPuntiClassificaSquadra,3,FALSE),-2)),SUMIFS(Dati!$F$2:$F$381,Dati!$A$2:$A$381,$H37,Dati!$H$2:$H$381,$AG37)+SUMIFS(Dati!$M$2:$M$381,Dati!$H$2:$H$381,$H37,Dati!$A$2:$A$381,$AG37),"-")</f>
        <v/>
      </c>
      <c r="DR37" s="22">
        <f>IF(AND($H37&lt;&gt;"",$AH37&lt;&gt;"",$H37&lt;&gt;$AH37,IFERROR(VLOOKUP($H37,areaCercaPuntiClassificaSquadra,3,FALSE),-1)=IFERROR(VLOOKUP($AH37,areaCercaPuntiClassificaSquadra,3,FALSE),-2)),SUMIFS(Dati!$F$2:$F$381,Dati!$A$2:$A$381,$H37,Dati!$H$2:$H$381,$AH37)+SUMIFS(Dati!$M$2:$M$381,Dati!$H$2:$H$381,$H37,Dati!$A$2:$A$381,$AH37),"-")</f>
        <v/>
      </c>
      <c r="DS37" s="22">
        <f>IF(AND($H37&lt;&gt;"",$AI37&lt;&gt;"",$H37&lt;&gt;$AI37,IFERROR(VLOOKUP($H37,areaCercaPuntiClassificaSquadra,3,FALSE),-1)=IFERROR(VLOOKUP($AI37,areaCercaPuntiClassificaSquadra,3,FALSE),-2)),SUMIFS(Dati!$F$2:$F$381,Dati!$A$2:$A$381,$H37,Dati!$H$2:$H$381,$AI37)+SUMIFS(Dati!$M$2:$M$381,Dati!$H$2:$H$381,$H37,Dati!$A$2:$A$381,$AI37),"-")</f>
        <v/>
      </c>
      <c r="DT37" s="22">
        <f>IF(AND($H37&lt;&gt;"",$AJ37&lt;&gt;"",$H37&lt;&gt;$AJ37,IFERROR(VLOOKUP($H37,areaCercaPuntiClassificaSquadra,3,FALSE),-1)=IFERROR(VLOOKUP($AJ37,areaCercaPuntiClassificaSquadra,3,FALSE),-2)),SUMIFS(Dati!$F$2:$F$381,Dati!$A$2:$A$381,$H37,Dati!$H$2:$H$381,$AJ37)+SUMIFS(Dati!$M$2:$M$381,Dati!$H$2:$H$381,$H37,Dati!$A$2:$A$381,$AJ37),"-")</f>
        <v/>
      </c>
      <c r="DU37" s="22">
        <f>IF(AND($H37&lt;&gt;"",$AK37&lt;&gt;"",$H37&lt;&gt;$AK37,IFERROR(VLOOKUP($H37,areaCercaPuntiClassificaSquadra,3,FALSE),-1)=IFERROR(VLOOKUP($AK37,areaCercaPuntiClassificaSquadra,3,FALSE),-2)),SUMIFS(Dati!$F$2:$F$381,Dati!$A$2:$A$381,$H37,Dati!$H$2:$H$381,$AK37)+SUMIFS(Dati!$M$2:$M$381,Dati!$H$2:$H$381,$H37,Dati!$A$2:$A$381,$AK37),"-")</f>
        <v/>
      </c>
      <c r="DV37" s="22">
        <f>IF(AND($H37&lt;&gt;"",$AL37&lt;&gt;"",$H37&lt;&gt;$AL37,IFERROR(VLOOKUP($H37,areaCercaPuntiClassificaSquadra,3,FALSE),-1)=IFERROR(VLOOKUP($AL37,areaCercaPuntiClassificaSquadra,3,FALSE),-2)),SUMIFS(Dati!$F$2:$F$381,Dati!$A$2:$A$381,$H37,Dati!$H$2:$H$381,$AL37)+SUMIFS(Dati!$M$2:$M$381,Dati!$H$2:$H$381,$H37,Dati!$A$2:$A$381,$AL37),"-")</f>
        <v/>
      </c>
      <c r="DW37" s="22">
        <f>IF(AND($H37&lt;&gt;"",$AM37&lt;&gt;"",$H37&lt;&gt;$AM37,IFERROR(VLOOKUP($H37,areaCercaPuntiClassificaSquadra,3,FALSE),-1)=IFERROR(VLOOKUP($AM37,areaCercaPuntiClassificaSquadra,3,FALSE),-2)),SUMIFS(Dati!$F$2:$F$381,Dati!$A$2:$A$381,$H37,Dati!$H$2:$H$381,$AM37)+SUMIFS(Dati!$M$2:$M$381,Dati!$H$2:$H$381,$H37,Dati!$A$2:$A$381,$AM37),"-")</f>
        <v/>
      </c>
      <c r="DX37" s="22">
        <f>IF(AND($H37&lt;&gt;"",$AN37&lt;&gt;"",$H37&lt;&gt;$AN37,IFERROR(VLOOKUP($H37,areaCercaPuntiClassificaSquadra,3,FALSE),-1)=IFERROR(VLOOKUP($AN37,areaCercaPuntiClassificaSquadra,3,FALSE),-2)),SUMIFS(Dati!$F$2:$F$381,Dati!$A$2:$A$381,$H37,Dati!$H$2:$H$381,$AN37)+SUMIFS(Dati!$M$2:$M$381,Dati!$H$2:$H$381,$H37,Dati!$A$2:$A$381,$AN37),"-")</f>
        <v/>
      </c>
      <c r="DY37" s="22">
        <f>IF(AND($H37&lt;&gt;"",$AO37&lt;&gt;"",$H37&lt;&gt;$AO37,IFERROR(VLOOKUP($H37,areaCercaPuntiClassificaSquadra,3,FALSE),-1)=IFERROR(VLOOKUP($AO37,areaCercaPuntiClassificaSquadra,3,FALSE),-2)),SUMIFS(Dati!$F$2:$F$381,Dati!$A$2:$A$381,$H37,Dati!$H$2:$H$381,$AO37)+SUMIFS(Dati!$M$2:$M$381,Dati!$H$2:$H$381,$H37,Dati!$A$2:$A$381,$AO37),"-")</f>
        <v/>
      </c>
      <c r="DZ37" s="22">
        <f>IF(AND($H37&lt;&gt;"",$AP37&lt;&gt;"",$H37&lt;&gt;$AP37,IFERROR(VLOOKUP($H37,areaCercaPuntiClassificaSquadra,3,FALSE),-1)=IFERROR(VLOOKUP($AP37,areaCercaPuntiClassificaSquadra,3,FALSE),-2)),SUMIFS(Dati!$F$2:$F$381,Dati!$A$2:$A$381,$H37,Dati!$H$2:$H$381,$AP37)+SUMIFS(Dati!$M$2:$M$381,Dati!$H$2:$H$381,$H37,Dati!$A$2:$A$381,$AP37),"-")</f>
        <v/>
      </c>
      <c r="EA37" s="22">
        <f>IF(AND($H37&lt;&gt;"",$AQ37&lt;&gt;"",$H37&lt;&gt;$AQ37,IFERROR(VLOOKUP($H37,areaCercaPuntiClassificaSquadra,3,FALSE),-1)=IFERROR(VLOOKUP($AQ37,areaCercaPuntiClassificaSquadra,3,FALSE),-2)),SUMIFS(Dati!$F$2:$F$381,Dati!$A$2:$A$381,$H37,Dati!$H$2:$H$381,$AQ37)+SUMIFS(Dati!$M$2:$M$381,Dati!$H$2:$H$381,$H37,Dati!$A$2:$A$381,$AQ37),"-")</f>
        <v/>
      </c>
      <c r="EB37" s="22">
        <f>IF(AND($H37&lt;&gt;"",$AR37&lt;&gt;"",$H37&lt;&gt;$AR37,IFERROR(VLOOKUP($H37,areaCercaPuntiClassificaSquadra,3,FALSE),-1)=IFERROR(VLOOKUP($AR37,areaCercaPuntiClassificaSquadra,3,FALSE),-2)),SUMIFS(Dati!$F$2:$F$381,Dati!$A$2:$A$381,$H37,Dati!$H$2:$H$381,$AR37)+SUMIFS(Dati!$M$2:$M$381,Dati!$H$2:$H$381,$H37,Dati!$A$2:$A$381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inlineStr">
        <is>
          <t>Iene Instancabili-Ieneopoli IU</t>
        </is>
      </c>
      <c r="D38" s="14" t="n"/>
      <c r="E38" s="23" t="inlineStr">
        <is>
          <t>B</t>
        </is>
      </c>
      <c r="G38" s="24">
        <f>IF($C38="","",$E38&amp;(COUNTIFS(I$14:I$53,"&gt;"&amp;I38,E$14:E$53,"="&amp;E38,C$14:C$53,"&lt;&gt;")+COUNTIFS(I$14:I$53,"="&amp;I38,H$14:H$53,"&lt;="&amp;H38,E$14:E$53,"="&amp;E38,C$14:C$53,"&lt;&gt;")))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L38*constPuntiVittoria+M38*constPuntiSconfitta+N38*constPuntiForfait+IF(D38="",0,D38)</f>
        <v/>
      </c>
      <c r="K38" s="12">
        <f>SUM(L38:N38)</f>
        <v/>
      </c>
      <c r="L38" s="12">
        <f>IF($H38="",0,SUMIF(Dati!$A$2:$A$381,$H38,Dati!$B$2:$B$381)+SUMIF(Dati!$H$2:$H$381,$H38,Dati!$I$2:$I$381))</f>
        <v/>
      </c>
      <c r="M38" s="12">
        <f>IF($H38="",0,SUMIF(Dati!$A$2:$A$381,$H38,Dati!$D$2:$D$381)+SUMIF(Dati!$H$2:$H$381,$H38,Dati!$K$2:$K$381))</f>
        <v/>
      </c>
      <c r="N38" s="12">
        <f>IF($H38="",0,SUMIF(Dati!$A$2:$A$381,$H38,Dati!$C$2:$C$381)+SUMIF(Dati!$H$2:$H$381,$H38,Dati!$J$2:$J$381))</f>
        <v/>
      </c>
      <c r="O38" s="12">
        <f>IF($H38="",0,SUMIF(Dati!$A$2:$A$381,$H38,Dati!$E$2:$E$381)+SUMIF(Dati!$H$2:$H$381,$H38,Dati!$L$2:$L$381))</f>
        <v/>
      </c>
      <c r="P38" s="12">
        <f>IF($H38="",0,SUMIF(Dati!$A$2:$A$381,$H38,Dati!$F$2:$F$381)+SUMIF(Dati!$H$2:$H$381,$H38,Dati!$M$2:$M$381))</f>
        <v/>
      </c>
      <c r="Q38" s="12">
        <f>IF($H38="",0,SUMIF(Dati!$A$2:$A$381,$H38,Dati!$G$2:$G$381)+SUMIF(Dati!$H$2:$H$381,$H38,Dati!$N$2:$N$381))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IF(COUNTIFS($E$14:$E$53,$E38,$J$14:$J$53,$J38,$C$14:$C$53,"&lt;&gt;")&lt;=1,"-",SUM(AU38:BN38)&amp;"-"&amp;SUM(BQ38:CJ38))</f>
        <v/>
      </c>
      <c r="V38" s="18">
        <f>IF(COUNTIFS($E$14:$E$53,$E38,$J$14:$J$53,$J38,$C$14:$C$53,"&lt;&gt;",$ED$14:$ED$53,$ED38)&lt;=1,"-",IF(SUM(DI38:EB38)=0,0,ROUND(SUM(CM38:DF38)/SUM(DI38:EB38),3)))</f>
        <v/>
      </c>
      <c r="W38" s="18">
        <f>IF(COUNTIFS($E$14:$E$53,$E38,$J$14:$J$53,$J38,$C$14:$C$53,"&lt;&gt;",$ED$14:$ED$53,$ED38,$V$14:$V$53,$V38)&lt;=1,"-",IF(P38=0,0,ROUND(O38/P38,3)))</f>
        <v/>
      </c>
      <c r="X38" s="19">
        <f>IF($C38="","",$E38&amp;"#"&amp;COUNTIFS($E$14:$E38,$E38,$C$14:$C38,"&lt;&gt;"))</f>
        <v/>
      </c>
      <c r="Y38" s="20">
        <f>IFERROR(INDEX($H$14:$H$53,MATCH($E38&amp;"#1",$X$14:$X$53,0)),"")</f>
        <v/>
      </c>
      <c r="Z38" s="20">
        <f>IFERROR(INDEX($H$14:$H$53,MATCH($E38&amp;"#2",$X$14:$X$53,0)),"")</f>
        <v/>
      </c>
      <c r="AA38" s="20">
        <f>IFERROR(INDEX($H$14:$H$53,MATCH($E38&amp;"#3",$X$14:$X$53,0)),"")</f>
        <v/>
      </c>
      <c r="AB38" s="20">
        <f>IFERROR(INDEX($H$14:$H$53,MATCH($E38&amp;"#4",$X$14:$X$53,0)),"")</f>
        <v/>
      </c>
      <c r="AC38" s="20">
        <f>IFERROR(INDEX($H$14:$H$53,MATCH($E38&amp;"#5",$X$14:$X$53,0)),"")</f>
        <v/>
      </c>
      <c r="AD38" s="20">
        <f>IFERROR(INDEX($H$14:$H$53,MATCH($E38&amp;"#6",$X$14:$X$53,0)),"")</f>
        <v/>
      </c>
      <c r="AE38" s="20">
        <f>IFERROR(INDEX($H$14:$H$53,MATCH($E38&amp;"#7",$X$14:$X$53,0)),"")</f>
        <v/>
      </c>
      <c r="AF38" s="20">
        <f>IFERROR(INDEX($H$14:$H$53,MATCH($E38&amp;"#8",$X$14:$X$53,0)),"")</f>
        <v/>
      </c>
      <c r="AG38" s="20">
        <f>IFERROR(INDEX($H$14:$H$53,MATCH($E38&amp;"#9",$X$14:$X$53,0)),"")</f>
        <v/>
      </c>
      <c r="AH38" s="20">
        <f>IFERROR(INDEX($H$14:$H$53,MATCH($E38&amp;"#10",$X$14:$X$53,0)),"")</f>
        <v/>
      </c>
      <c r="AI38" s="20">
        <f>IFERROR(INDEX($H$14:$H$53,MATCH($E38&amp;"#11",$X$14:$X$53,0)),"")</f>
        <v/>
      </c>
      <c r="AJ38" s="20">
        <f>IFERROR(INDEX($H$14:$H$53,MATCH($E38&amp;"#12",$X$14:$X$53,0)),"")</f>
        <v/>
      </c>
      <c r="AK38" s="20">
        <f>IFERROR(INDEX($H$14:$H$53,MATCH($E38&amp;"#13",$X$14:$X$53,0)),"")</f>
        <v/>
      </c>
      <c r="AL38" s="20">
        <f>IFERROR(INDEX($H$14:$H$53,MATCH($E38&amp;"#14",$X$14:$X$53,0)),"")</f>
        <v/>
      </c>
      <c r="AM38" s="20">
        <f>IFERROR(INDEX($H$14:$H$53,MATCH($E38&amp;"#15",$X$14:$X$53,0)),"")</f>
        <v/>
      </c>
      <c r="AN38" s="20">
        <f>IFERROR(INDEX($H$14:$H$53,MATCH($E38&amp;"#16",$X$14:$X$53,0)),"")</f>
        <v/>
      </c>
      <c r="AO38" s="20">
        <f>IFERROR(INDEX($H$14:$H$53,MATCH($E38&amp;"#17",$X$14:$X$53,0)),"")</f>
        <v/>
      </c>
      <c r="AP38" s="20">
        <f>IFERROR(INDEX($H$14:$H$53,MATCH($E38&amp;"#18",$X$14:$X$53,0)),"")</f>
        <v/>
      </c>
      <c r="AQ38" s="20">
        <f>IFERROR(INDEX($H$14:$H$53,MATCH($E38&amp;"#19",$X$14:$X$53,0)),"")</f>
        <v/>
      </c>
      <c r="AR38" s="20">
        <f>IFERROR(INDEX($H$14:$H$53,MATCH($E38&amp;"#20",$X$14:$X$53,0)),"")</f>
        <v/>
      </c>
      <c r="AT38" s="21">
        <f>$C38</f>
        <v/>
      </c>
      <c r="AU38" s="22">
        <f>IF(AND($H38&lt;&gt;"",$Y38&lt;&gt;"",$H38&lt;&gt;$Y38,IFERROR(VLOOKUP($H38,areaCercaPuntiClassificaSquadra,3,FALSE),-1)=IFERROR(VLOOKUP($Y38,areaCercaPuntiClassificaSquadra,3,FALSE),-2)),SUMIFS(Dati!$B$2:$B$381,Dati!$A$2:$A$381,$H38,Dati!$H$2:$H$381,$Y38)+SUMIFS(Dati!$I$2:$I$381,Dati!$H$2:$H$381,$H38,Dati!$A$2:$A$381,$Y38),"-")</f>
        <v/>
      </c>
      <c r="AV38" s="22">
        <f>IF(AND($H38&lt;&gt;"",$Z38&lt;&gt;"",$H38&lt;&gt;$Z38,IFERROR(VLOOKUP($H38,areaCercaPuntiClassificaSquadra,3,FALSE),-1)=IFERROR(VLOOKUP($Z38,areaCercaPuntiClassificaSquadra,3,FALSE),-2)),SUMIFS(Dati!$B$2:$B$381,Dati!$A$2:$A$381,$H38,Dati!$H$2:$H$381,$Z38)+SUMIFS(Dati!$I$2:$I$381,Dati!$H$2:$H$381,$H38,Dati!$A$2:$A$381,$Z38),"-")</f>
        <v/>
      </c>
      <c r="AW38" s="22">
        <f>IF(AND($H38&lt;&gt;"",$AA38&lt;&gt;"",$H38&lt;&gt;$AA38,IFERROR(VLOOKUP($H38,areaCercaPuntiClassificaSquadra,3,FALSE),-1)=IFERROR(VLOOKUP($AA38,areaCercaPuntiClassificaSquadra,3,FALSE),-2)),SUMIFS(Dati!$B$2:$B$381,Dati!$A$2:$A$381,$H38,Dati!$H$2:$H$381,$AA38)+SUMIFS(Dati!$I$2:$I$381,Dati!$H$2:$H$381,$H38,Dati!$A$2:$A$381,$AA38),"-")</f>
        <v/>
      </c>
      <c r="AX38" s="22">
        <f>IF(AND($H38&lt;&gt;"",$AB38&lt;&gt;"",$H38&lt;&gt;$AB38,IFERROR(VLOOKUP($H38,areaCercaPuntiClassificaSquadra,3,FALSE),-1)=IFERROR(VLOOKUP($AB38,areaCercaPuntiClassificaSquadra,3,FALSE),-2)),SUMIFS(Dati!$B$2:$B$381,Dati!$A$2:$A$381,$H38,Dati!$H$2:$H$381,$AB38)+SUMIFS(Dati!$I$2:$I$381,Dati!$H$2:$H$381,$H38,Dati!$A$2:$A$381,$AB38),"-")</f>
        <v/>
      </c>
      <c r="AY38" s="22">
        <f>IF(AND($H38&lt;&gt;"",$AC38&lt;&gt;"",$H38&lt;&gt;$AC38,IFERROR(VLOOKUP($H38,areaCercaPuntiClassificaSquadra,3,FALSE),-1)=IFERROR(VLOOKUP($AC38,areaCercaPuntiClassificaSquadra,3,FALSE),-2)),SUMIFS(Dati!$B$2:$B$381,Dati!$A$2:$A$381,$H38,Dati!$H$2:$H$381,$AC38)+SUMIFS(Dati!$I$2:$I$381,Dati!$H$2:$H$381,$H38,Dati!$A$2:$A$381,$AC38),"-")</f>
        <v/>
      </c>
      <c r="AZ38" s="22">
        <f>IF(AND($H38&lt;&gt;"",$AD38&lt;&gt;"",$H38&lt;&gt;$AD38,IFERROR(VLOOKUP($H38,areaCercaPuntiClassificaSquadra,3,FALSE),-1)=IFERROR(VLOOKUP($AD38,areaCercaPuntiClassificaSquadra,3,FALSE),-2)),SUMIFS(Dati!$B$2:$B$381,Dati!$A$2:$A$381,$H38,Dati!$H$2:$H$381,$AD38)+SUMIFS(Dati!$I$2:$I$381,Dati!$H$2:$H$381,$H38,Dati!$A$2:$A$381,$AD38),"-")</f>
        <v/>
      </c>
      <c r="BA38" s="22">
        <f>IF(AND($H38&lt;&gt;"",$AE38&lt;&gt;"",$H38&lt;&gt;$AE38,IFERROR(VLOOKUP($H38,areaCercaPuntiClassificaSquadra,3,FALSE),-1)=IFERROR(VLOOKUP($AE38,areaCercaPuntiClassificaSquadra,3,FALSE),-2)),SUMIFS(Dati!$B$2:$B$381,Dati!$A$2:$A$381,$H38,Dati!$H$2:$H$381,$AE38)+SUMIFS(Dati!$I$2:$I$381,Dati!$H$2:$H$381,$H38,Dati!$A$2:$A$381,$AE38),"-")</f>
        <v/>
      </c>
      <c r="BB38" s="22">
        <f>IF(AND($H38&lt;&gt;"",$AF38&lt;&gt;"",$H38&lt;&gt;$AF38,IFERROR(VLOOKUP($H38,areaCercaPuntiClassificaSquadra,3,FALSE),-1)=IFERROR(VLOOKUP($AF38,areaCercaPuntiClassificaSquadra,3,FALSE),-2)),SUMIFS(Dati!$B$2:$B$381,Dati!$A$2:$A$381,$H38,Dati!$H$2:$H$381,$AF38)+SUMIFS(Dati!$I$2:$I$381,Dati!$H$2:$H$381,$H38,Dati!$A$2:$A$381,$AF38),"-")</f>
        <v/>
      </c>
      <c r="BC38" s="22">
        <f>IF(AND($H38&lt;&gt;"",$AG38&lt;&gt;"",$H38&lt;&gt;$AG38,IFERROR(VLOOKUP($H38,areaCercaPuntiClassificaSquadra,3,FALSE),-1)=IFERROR(VLOOKUP($AG38,areaCercaPuntiClassificaSquadra,3,FALSE),-2)),SUMIFS(Dati!$B$2:$B$381,Dati!$A$2:$A$381,$H38,Dati!$H$2:$H$381,$AG38)+SUMIFS(Dati!$I$2:$I$381,Dati!$H$2:$H$381,$H38,Dati!$A$2:$A$381,$AG38),"-")</f>
        <v/>
      </c>
      <c r="BD38" s="22">
        <f>IF(AND($H38&lt;&gt;"",$AH38&lt;&gt;"",$H38&lt;&gt;$AH38,IFERROR(VLOOKUP($H38,areaCercaPuntiClassificaSquadra,3,FALSE),-1)=IFERROR(VLOOKUP($AH38,areaCercaPuntiClassificaSquadra,3,FALSE),-2)),SUMIFS(Dati!$B$2:$B$381,Dati!$A$2:$A$381,$H38,Dati!$H$2:$H$381,$AH38)+SUMIFS(Dati!$I$2:$I$381,Dati!$H$2:$H$381,$H38,Dati!$A$2:$A$381,$AH38),"-")</f>
        <v/>
      </c>
      <c r="BE38" s="22">
        <f>IF(AND($H38&lt;&gt;"",$AI38&lt;&gt;"",$H38&lt;&gt;$AI38,IFERROR(VLOOKUP($H38,areaCercaPuntiClassificaSquadra,3,FALSE),-1)=IFERROR(VLOOKUP($AI38,areaCercaPuntiClassificaSquadra,3,FALSE),-2)),SUMIFS(Dati!$B$2:$B$381,Dati!$A$2:$A$381,$H38,Dati!$H$2:$H$381,$AI38)+SUMIFS(Dati!$I$2:$I$381,Dati!$H$2:$H$381,$H38,Dati!$A$2:$A$381,$AI38),"-")</f>
        <v/>
      </c>
      <c r="BF38" s="22">
        <f>IF(AND($H38&lt;&gt;"",$AJ38&lt;&gt;"",$H38&lt;&gt;$AJ38,IFERROR(VLOOKUP($H38,areaCercaPuntiClassificaSquadra,3,FALSE),-1)=IFERROR(VLOOKUP($AJ38,areaCercaPuntiClassificaSquadra,3,FALSE),-2)),SUMIFS(Dati!$B$2:$B$381,Dati!$A$2:$A$381,$H38,Dati!$H$2:$H$381,$AJ38)+SUMIFS(Dati!$I$2:$I$381,Dati!$H$2:$H$381,$H38,Dati!$A$2:$A$381,$AJ38),"-")</f>
        <v/>
      </c>
      <c r="BG38" s="22">
        <f>IF(AND($H38&lt;&gt;"",$AK38&lt;&gt;"",$H38&lt;&gt;$AK38,IFERROR(VLOOKUP($H38,areaCercaPuntiClassificaSquadra,3,FALSE),-1)=IFERROR(VLOOKUP($AK38,areaCercaPuntiClassificaSquadra,3,FALSE),-2)),SUMIFS(Dati!$B$2:$B$381,Dati!$A$2:$A$381,$H38,Dati!$H$2:$H$381,$AK38)+SUMIFS(Dati!$I$2:$I$381,Dati!$H$2:$H$381,$H38,Dati!$A$2:$A$381,$AK38),"-")</f>
        <v/>
      </c>
      <c r="BH38" s="22">
        <f>IF(AND($H38&lt;&gt;"",$AL38&lt;&gt;"",$H38&lt;&gt;$AL38,IFERROR(VLOOKUP($H38,areaCercaPuntiClassificaSquadra,3,FALSE),-1)=IFERROR(VLOOKUP($AL38,areaCercaPuntiClassificaSquadra,3,FALSE),-2)),SUMIFS(Dati!$B$2:$B$381,Dati!$A$2:$A$381,$H38,Dati!$H$2:$H$381,$AL38)+SUMIFS(Dati!$I$2:$I$381,Dati!$H$2:$H$381,$H38,Dati!$A$2:$A$381,$AL38),"-")</f>
        <v/>
      </c>
      <c r="BI38" s="22">
        <f>IF(AND($H38&lt;&gt;"",$AM38&lt;&gt;"",$H38&lt;&gt;$AM38,IFERROR(VLOOKUP($H38,areaCercaPuntiClassificaSquadra,3,FALSE),-1)=IFERROR(VLOOKUP($AM38,areaCercaPuntiClassificaSquadra,3,FALSE),-2)),SUMIFS(Dati!$B$2:$B$381,Dati!$A$2:$A$381,$H38,Dati!$H$2:$H$381,$AM38)+SUMIFS(Dati!$I$2:$I$381,Dati!$H$2:$H$381,$H38,Dati!$A$2:$A$381,$AM38),"-")</f>
        <v/>
      </c>
      <c r="BJ38" s="22">
        <f>IF(AND($H38&lt;&gt;"",$AN38&lt;&gt;"",$H38&lt;&gt;$AN38,IFERROR(VLOOKUP($H38,areaCercaPuntiClassificaSquadra,3,FALSE),-1)=IFERROR(VLOOKUP($AN38,areaCercaPuntiClassificaSquadra,3,FALSE),-2)),SUMIFS(Dati!$B$2:$B$381,Dati!$A$2:$A$381,$H38,Dati!$H$2:$H$381,$AN38)+SUMIFS(Dati!$I$2:$I$381,Dati!$H$2:$H$381,$H38,Dati!$A$2:$A$381,$AN38),"-")</f>
        <v/>
      </c>
      <c r="BK38" s="22">
        <f>IF(AND($H38&lt;&gt;"",$AO38&lt;&gt;"",$H38&lt;&gt;$AO38,IFERROR(VLOOKUP($H38,areaCercaPuntiClassificaSquadra,3,FALSE),-1)=IFERROR(VLOOKUP($AO38,areaCercaPuntiClassificaSquadra,3,FALSE),-2)),SUMIFS(Dati!$B$2:$B$381,Dati!$A$2:$A$381,$H38,Dati!$H$2:$H$381,$AO38)+SUMIFS(Dati!$I$2:$I$381,Dati!$H$2:$H$381,$H38,Dati!$A$2:$A$381,$AO38),"-")</f>
        <v/>
      </c>
      <c r="BL38" s="22">
        <f>IF(AND($H38&lt;&gt;"",$AP38&lt;&gt;"",$H38&lt;&gt;$AP38,IFERROR(VLOOKUP($H38,areaCercaPuntiClassificaSquadra,3,FALSE),-1)=IFERROR(VLOOKUP($AP38,areaCercaPuntiClassificaSquadra,3,FALSE),-2)),SUMIFS(Dati!$B$2:$B$381,Dati!$A$2:$A$381,$H38,Dati!$H$2:$H$381,$AP38)+SUMIFS(Dati!$I$2:$I$381,Dati!$H$2:$H$381,$H38,Dati!$A$2:$A$381,$AP38),"-")</f>
        <v/>
      </c>
      <c r="BM38" s="22">
        <f>IF(AND($H38&lt;&gt;"",$AQ38&lt;&gt;"",$H38&lt;&gt;$AQ38,IFERROR(VLOOKUP($H38,areaCercaPuntiClassificaSquadra,3,FALSE),-1)=IFERROR(VLOOKUP($AQ38,areaCercaPuntiClassificaSquadra,3,FALSE),-2)),SUMIFS(Dati!$B$2:$B$381,Dati!$A$2:$A$381,$H38,Dati!$H$2:$H$381,$AQ38)+SUMIFS(Dati!$I$2:$I$381,Dati!$H$2:$H$381,$H38,Dati!$A$2:$A$381,$AQ38),"-")</f>
        <v/>
      </c>
      <c r="BN38" s="22">
        <f>IF(AND($H38&lt;&gt;"",$AR38&lt;&gt;"",$H38&lt;&gt;$AR38,IFERROR(VLOOKUP($H38,areaCercaPuntiClassificaSquadra,3,FALSE),-1)=IFERROR(VLOOKUP($AR38,areaCercaPuntiClassificaSquadra,3,FALSE),-2)),SUMIFS(Dati!$B$2:$B$381,Dati!$A$2:$A$381,$H38,Dati!$H$2:$H$381,$AR38)+SUMIFS(Dati!$I$2:$I$381,Dati!$H$2:$H$381,$H38,Dati!$A$2:$A$381,$AR38),"-")</f>
        <v/>
      </c>
      <c r="BP38" s="21">
        <f>$C38</f>
        <v/>
      </c>
      <c r="BQ38" s="22">
        <f>IF(AND($H38&lt;&gt;"",$Y38&lt;&gt;"",$H38&lt;&gt;$Y38,IFERROR(VLOOKUP($H38,areaCercaPuntiClassificaSquadra,3,FALSE),-1)=IFERROR(VLOOKUP($Y38,areaCercaPuntiClassificaSquadra,3,FALSE),-2)),SUMIFS(Dati!$D$2:$D$381,Dati!$A$2:$A$381,$H38,Dati!$H$2:$H$381,$Y38)+SUMIFS(Dati!$K$2:$K$381,Dati!$H$2:$H$381,$H38,Dati!$A$2:$A$381,$Y38)+SUMIFS(Dati!$C$2:$C$381,Dati!$A$2:$A$381,$H38,Dati!$H$2:$H$381,$Y38)+SUMIFS(Dati!$J$2:$J$381,Dati!$H$2:$H$381,$H38,Dati!$A$2:$A$381,$Y38),"-")</f>
        <v/>
      </c>
      <c r="BR38" s="22">
        <f>IF(AND($H38&lt;&gt;"",$Z38&lt;&gt;"",$H38&lt;&gt;$Z38,IFERROR(VLOOKUP($H38,areaCercaPuntiClassificaSquadra,3,FALSE),-1)=IFERROR(VLOOKUP($Z38,areaCercaPuntiClassificaSquadra,3,FALSE),-2)),SUMIFS(Dati!$D$2:$D$381,Dati!$A$2:$A$381,$H38,Dati!$H$2:$H$381,$Z38)+SUMIFS(Dati!$K$2:$K$381,Dati!$H$2:$H$381,$H38,Dati!$A$2:$A$381,$Z38)+SUMIFS(Dati!$C$2:$C$381,Dati!$A$2:$A$381,$H38,Dati!$H$2:$H$381,$Z38)+SUMIFS(Dati!$J$2:$J$381,Dati!$H$2:$H$381,$H38,Dati!$A$2:$A$381,$Z38),"-")</f>
        <v/>
      </c>
      <c r="BS38" s="22">
        <f>IF(AND($H38&lt;&gt;"",$AA38&lt;&gt;"",$H38&lt;&gt;$AA38,IFERROR(VLOOKUP($H38,areaCercaPuntiClassificaSquadra,3,FALSE),-1)=IFERROR(VLOOKUP($AA38,areaCercaPuntiClassificaSquadra,3,FALSE),-2)),SUMIFS(Dati!$D$2:$D$381,Dati!$A$2:$A$381,$H38,Dati!$H$2:$H$381,$AA38)+SUMIFS(Dati!$K$2:$K$381,Dati!$H$2:$H$381,$H38,Dati!$A$2:$A$381,$AA38)+SUMIFS(Dati!$C$2:$C$381,Dati!$A$2:$A$381,$H38,Dati!$H$2:$H$381,$AA38)+SUMIFS(Dati!$J$2:$J$381,Dati!$H$2:$H$381,$H38,Dati!$A$2:$A$381,$AA38),"-")</f>
        <v/>
      </c>
      <c r="BT38" s="22">
        <f>IF(AND($H38&lt;&gt;"",$AB38&lt;&gt;"",$H38&lt;&gt;$AB38,IFERROR(VLOOKUP($H38,areaCercaPuntiClassificaSquadra,3,FALSE),-1)=IFERROR(VLOOKUP($AB38,areaCercaPuntiClassificaSquadra,3,FALSE),-2)),SUMIFS(Dati!$D$2:$D$381,Dati!$A$2:$A$381,$H38,Dati!$H$2:$H$381,$AB38)+SUMIFS(Dati!$K$2:$K$381,Dati!$H$2:$H$381,$H38,Dati!$A$2:$A$381,$AB38)+SUMIFS(Dati!$C$2:$C$381,Dati!$A$2:$A$381,$H38,Dati!$H$2:$H$381,$AB38)+SUMIFS(Dati!$J$2:$J$381,Dati!$H$2:$H$381,$H38,Dati!$A$2:$A$381,$AB38),"-")</f>
        <v/>
      </c>
      <c r="BU38" s="22">
        <f>IF(AND($H38&lt;&gt;"",$AC38&lt;&gt;"",$H38&lt;&gt;$AC38,IFERROR(VLOOKUP($H38,areaCercaPuntiClassificaSquadra,3,FALSE),-1)=IFERROR(VLOOKUP($AC38,areaCercaPuntiClassificaSquadra,3,FALSE),-2)),SUMIFS(Dati!$D$2:$D$381,Dati!$A$2:$A$381,$H38,Dati!$H$2:$H$381,$AC38)+SUMIFS(Dati!$K$2:$K$381,Dati!$H$2:$H$381,$H38,Dati!$A$2:$A$381,$AC38)+SUMIFS(Dati!$C$2:$C$381,Dati!$A$2:$A$381,$H38,Dati!$H$2:$H$381,$AC38)+SUMIFS(Dati!$J$2:$J$381,Dati!$H$2:$H$381,$H38,Dati!$A$2:$A$381,$AC38),"-")</f>
        <v/>
      </c>
      <c r="BV38" s="22">
        <f>IF(AND($H38&lt;&gt;"",$AD38&lt;&gt;"",$H38&lt;&gt;$AD38,IFERROR(VLOOKUP($H38,areaCercaPuntiClassificaSquadra,3,FALSE),-1)=IFERROR(VLOOKUP($AD38,areaCercaPuntiClassificaSquadra,3,FALSE),-2)),SUMIFS(Dati!$D$2:$D$381,Dati!$A$2:$A$381,$H38,Dati!$H$2:$H$381,$AD38)+SUMIFS(Dati!$K$2:$K$381,Dati!$H$2:$H$381,$H38,Dati!$A$2:$A$381,$AD38)+SUMIFS(Dati!$C$2:$C$381,Dati!$A$2:$A$381,$H38,Dati!$H$2:$H$381,$AD38)+SUMIFS(Dati!$J$2:$J$381,Dati!$H$2:$H$381,$H38,Dati!$A$2:$A$381,$AD38),"-")</f>
        <v/>
      </c>
      <c r="BW38" s="22">
        <f>IF(AND($H38&lt;&gt;"",$AE38&lt;&gt;"",$H38&lt;&gt;$AE38,IFERROR(VLOOKUP($H38,areaCercaPuntiClassificaSquadra,3,FALSE),-1)=IFERROR(VLOOKUP($AE38,areaCercaPuntiClassificaSquadra,3,FALSE),-2)),SUMIFS(Dati!$D$2:$D$381,Dati!$A$2:$A$381,$H38,Dati!$H$2:$H$381,$AE38)+SUMIFS(Dati!$K$2:$K$381,Dati!$H$2:$H$381,$H38,Dati!$A$2:$A$381,$AE38)+SUMIFS(Dati!$C$2:$C$381,Dati!$A$2:$A$381,$H38,Dati!$H$2:$H$381,$AE38)+SUMIFS(Dati!$J$2:$J$381,Dati!$H$2:$H$381,$H38,Dati!$A$2:$A$381,$AE38),"-")</f>
        <v/>
      </c>
      <c r="BX38" s="22">
        <f>IF(AND($H38&lt;&gt;"",$AF38&lt;&gt;"",$H38&lt;&gt;$AF38,IFERROR(VLOOKUP($H38,areaCercaPuntiClassificaSquadra,3,FALSE),-1)=IFERROR(VLOOKUP($AF38,areaCercaPuntiClassificaSquadra,3,FALSE),-2)),SUMIFS(Dati!$D$2:$D$381,Dati!$A$2:$A$381,$H38,Dati!$H$2:$H$381,$AF38)+SUMIFS(Dati!$K$2:$K$381,Dati!$H$2:$H$381,$H38,Dati!$A$2:$A$381,$AF38)+SUMIFS(Dati!$C$2:$C$381,Dati!$A$2:$A$381,$H38,Dati!$H$2:$H$381,$AF38)+SUMIFS(Dati!$J$2:$J$381,Dati!$H$2:$H$381,$H38,Dati!$A$2:$A$381,$AF38),"-")</f>
        <v/>
      </c>
      <c r="BY38" s="22">
        <f>IF(AND($H38&lt;&gt;"",$AG38&lt;&gt;"",$H38&lt;&gt;$AG38,IFERROR(VLOOKUP($H38,areaCercaPuntiClassificaSquadra,3,FALSE),-1)=IFERROR(VLOOKUP($AG38,areaCercaPuntiClassificaSquadra,3,FALSE),-2)),SUMIFS(Dati!$D$2:$D$381,Dati!$A$2:$A$381,$H38,Dati!$H$2:$H$381,$AG38)+SUMIFS(Dati!$K$2:$K$381,Dati!$H$2:$H$381,$H38,Dati!$A$2:$A$381,$AG38)+SUMIFS(Dati!$C$2:$C$381,Dati!$A$2:$A$381,$H38,Dati!$H$2:$H$381,$AG38)+SUMIFS(Dati!$J$2:$J$381,Dati!$H$2:$H$381,$H38,Dati!$A$2:$A$381,$AG38),"-")</f>
        <v/>
      </c>
      <c r="BZ38" s="22">
        <f>IF(AND($H38&lt;&gt;"",$AH38&lt;&gt;"",$H38&lt;&gt;$AH38,IFERROR(VLOOKUP($H38,areaCercaPuntiClassificaSquadra,3,FALSE),-1)=IFERROR(VLOOKUP($AH38,areaCercaPuntiClassificaSquadra,3,FALSE),-2)),SUMIFS(Dati!$D$2:$D$381,Dati!$A$2:$A$381,$H38,Dati!$H$2:$H$381,$AH38)+SUMIFS(Dati!$K$2:$K$381,Dati!$H$2:$H$381,$H38,Dati!$A$2:$A$381,$AH38)+SUMIFS(Dati!$C$2:$C$381,Dati!$A$2:$A$381,$H38,Dati!$H$2:$H$381,$AH38)+SUMIFS(Dati!$J$2:$J$381,Dati!$H$2:$H$381,$H38,Dati!$A$2:$A$381,$AH38),"-")</f>
        <v/>
      </c>
      <c r="CA38" s="22">
        <f>IF(AND($H38&lt;&gt;"",$AI38&lt;&gt;"",$H38&lt;&gt;$AI38,IFERROR(VLOOKUP($H38,areaCercaPuntiClassificaSquadra,3,FALSE),-1)=IFERROR(VLOOKUP($AI38,areaCercaPuntiClassificaSquadra,3,FALSE),-2)),SUMIFS(Dati!$D$2:$D$381,Dati!$A$2:$A$381,$H38,Dati!$H$2:$H$381,$AI38)+SUMIFS(Dati!$K$2:$K$381,Dati!$H$2:$H$381,$H38,Dati!$A$2:$A$381,$AI38)+SUMIFS(Dati!$C$2:$C$381,Dati!$A$2:$A$381,$H38,Dati!$H$2:$H$381,$AI38)+SUMIFS(Dati!$J$2:$J$381,Dati!$H$2:$H$381,$H38,Dati!$A$2:$A$381,$AI38),"-")</f>
        <v/>
      </c>
      <c r="CB38" s="22">
        <f>IF(AND($H38&lt;&gt;"",$AJ38&lt;&gt;"",$H38&lt;&gt;$AJ38,IFERROR(VLOOKUP($H38,areaCercaPuntiClassificaSquadra,3,FALSE),-1)=IFERROR(VLOOKUP($AJ38,areaCercaPuntiClassificaSquadra,3,FALSE),-2)),SUMIFS(Dati!$D$2:$D$381,Dati!$A$2:$A$381,$H38,Dati!$H$2:$H$381,$AJ38)+SUMIFS(Dati!$K$2:$K$381,Dati!$H$2:$H$381,$H38,Dati!$A$2:$A$381,$AJ38)+SUMIFS(Dati!$C$2:$C$381,Dati!$A$2:$A$381,$H38,Dati!$H$2:$H$381,$AJ38)+SUMIFS(Dati!$J$2:$J$381,Dati!$H$2:$H$381,$H38,Dati!$A$2:$A$381,$AJ38),"-")</f>
        <v/>
      </c>
      <c r="CC38" s="22">
        <f>IF(AND($H38&lt;&gt;"",$AK38&lt;&gt;"",$H38&lt;&gt;$AK38,IFERROR(VLOOKUP($H38,areaCercaPuntiClassificaSquadra,3,FALSE),-1)=IFERROR(VLOOKUP($AK38,areaCercaPuntiClassificaSquadra,3,FALSE),-2)),SUMIFS(Dati!$D$2:$D$381,Dati!$A$2:$A$381,$H38,Dati!$H$2:$H$381,$AK38)+SUMIFS(Dati!$K$2:$K$381,Dati!$H$2:$H$381,$H38,Dati!$A$2:$A$381,$AK38)+SUMIFS(Dati!$C$2:$C$381,Dati!$A$2:$A$381,$H38,Dati!$H$2:$H$381,$AK38)+SUMIFS(Dati!$J$2:$J$381,Dati!$H$2:$H$381,$H38,Dati!$A$2:$A$381,$AK38),"-")</f>
        <v/>
      </c>
      <c r="CD38" s="22">
        <f>IF(AND($H38&lt;&gt;"",$AL38&lt;&gt;"",$H38&lt;&gt;$AL38,IFERROR(VLOOKUP($H38,areaCercaPuntiClassificaSquadra,3,FALSE),-1)=IFERROR(VLOOKUP($AL38,areaCercaPuntiClassificaSquadra,3,FALSE),-2)),SUMIFS(Dati!$D$2:$D$381,Dati!$A$2:$A$381,$H38,Dati!$H$2:$H$381,$AL38)+SUMIFS(Dati!$K$2:$K$381,Dati!$H$2:$H$381,$H38,Dati!$A$2:$A$381,$AL38)+SUMIFS(Dati!$C$2:$C$381,Dati!$A$2:$A$381,$H38,Dati!$H$2:$H$381,$AL38)+SUMIFS(Dati!$J$2:$J$381,Dati!$H$2:$H$381,$H38,Dati!$A$2:$A$381,$AL38),"-")</f>
        <v/>
      </c>
      <c r="CE38" s="22">
        <f>IF(AND($H38&lt;&gt;"",$AM38&lt;&gt;"",$H38&lt;&gt;$AM38,IFERROR(VLOOKUP($H38,areaCercaPuntiClassificaSquadra,3,FALSE),-1)=IFERROR(VLOOKUP($AM38,areaCercaPuntiClassificaSquadra,3,FALSE),-2)),SUMIFS(Dati!$D$2:$D$381,Dati!$A$2:$A$381,$H38,Dati!$H$2:$H$381,$AM38)+SUMIFS(Dati!$K$2:$K$381,Dati!$H$2:$H$381,$H38,Dati!$A$2:$A$381,$AM38)+SUMIFS(Dati!$C$2:$C$381,Dati!$A$2:$A$381,$H38,Dati!$H$2:$H$381,$AM38)+SUMIFS(Dati!$J$2:$J$381,Dati!$H$2:$H$381,$H38,Dati!$A$2:$A$381,$AM38),"-")</f>
        <v/>
      </c>
      <c r="CF38" s="22">
        <f>IF(AND($H38&lt;&gt;"",$AN38&lt;&gt;"",$H38&lt;&gt;$AN38,IFERROR(VLOOKUP($H38,areaCercaPuntiClassificaSquadra,3,FALSE),-1)=IFERROR(VLOOKUP($AN38,areaCercaPuntiClassificaSquadra,3,FALSE),-2)),SUMIFS(Dati!$D$2:$D$381,Dati!$A$2:$A$381,$H38,Dati!$H$2:$H$381,$AN38)+SUMIFS(Dati!$K$2:$K$381,Dati!$H$2:$H$381,$H38,Dati!$A$2:$A$381,$AN38)+SUMIFS(Dati!$C$2:$C$381,Dati!$A$2:$A$381,$H38,Dati!$H$2:$H$381,$AN38)+SUMIFS(Dati!$J$2:$J$381,Dati!$H$2:$H$381,$H38,Dati!$A$2:$A$381,$AN38),"-")</f>
        <v/>
      </c>
      <c r="CG38" s="22">
        <f>IF(AND($H38&lt;&gt;"",$AO38&lt;&gt;"",$H38&lt;&gt;$AO38,IFERROR(VLOOKUP($H38,areaCercaPuntiClassificaSquadra,3,FALSE),-1)=IFERROR(VLOOKUP($AO38,areaCercaPuntiClassificaSquadra,3,FALSE),-2)),SUMIFS(Dati!$D$2:$D$381,Dati!$A$2:$A$381,$H38,Dati!$H$2:$H$381,$AO38)+SUMIFS(Dati!$K$2:$K$381,Dati!$H$2:$H$381,$H38,Dati!$A$2:$A$381,$AO38)+SUMIFS(Dati!$C$2:$C$381,Dati!$A$2:$A$381,$H38,Dati!$H$2:$H$381,$AO38)+SUMIFS(Dati!$J$2:$J$381,Dati!$H$2:$H$381,$H38,Dati!$A$2:$A$381,$AO38),"-")</f>
        <v/>
      </c>
      <c r="CH38" s="22">
        <f>IF(AND($H38&lt;&gt;"",$AP38&lt;&gt;"",$H38&lt;&gt;$AP38,IFERROR(VLOOKUP($H38,areaCercaPuntiClassificaSquadra,3,FALSE),-1)=IFERROR(VLOOKUP($AP38,areaCercaPuntiClassificaSquadra,3,FALSE),-2)),SUMIFS(Dati!$D$2:$D$381,Dati!$A$2:$A$381,$H38,Dati!$H$2:$H$381,$AP38)+SUMIFS(Dati!$K$2:$K$381,Dati!$H$2:$H$381,$H38,Dati!$A$2:$A$381,$AP38)+SUMIFS(Dati!$C$2:$C$381,Dati!$A$2:$A$381,$H38,Dati!$H$2:$H$381,$AP38)+SUMIFS(Dati!$J$2:$J$381,Dati!$H$2:$H$381,$H38,Dati!$A$2:$A$381,$AP38),"-")</f>
        <v/>
      </c>
      <c r="CI38" s="22">
        <f>IF(AND($H38&lt;&gt;"",$AQ38&lt;&gt;"",$H38&lt;&gt;$AQ38,IFERROR(VLOOKUP($H38,areaCercaPuntiClassificaSquadra,3,FALSE),-1)=IFERROR(VLOOKUP($AQ38,areaCercaPuntiClassificaSquadra,3,FALSE),-2)),SUMIFS(Dati!$D$2:$D$381,Dati!$A$2:$A$381,$H38,Dati!$H$2:$H$381,$AQ38)+SUMIFS(Dati!$K$2:$K$381,Dati!$H$2:$H$381,$H38,Dati!$A$2:$A$381,$AQ38)+SUMIFS(Dati!$C$2:$C$381,Dati!$A$2:$A$381,$H38,Dati!$H$2:$H$381,$AQ38)+SUMIFS(Dati!$J$2:$J$381,Dati!$H$2:$H$381,$H38,Dati!$A$2:$A$381,$AQ38),"-")</f>
        <v/>
      </c>
      <c r="CJ38" s="22">
        <f>IF(AND($H38&lt;&gt;"",$AR38&lt;&gt;"",$H38&lt;&gt;$AR38,IFERROR(VLOOKUP($H38,areaCercaPuntiClassificaSquadra,3,FALSE),-1)=IFERROR(VLOOKUP($AR38,areaCercaPuntiClassificaSquadra,3,FALSE),-2)),SUMIFS(Dati!$D$2:$D$381,Dati!$A$2:$A$381,$H38,Dati!$H$2:$H$381,$AR38)+SUMIFS(Dati!$K$2:$K$381,Dati!$H$2:$H$381,$H38,Dati!$A$2:$A$381,$AR38)+SUMIFS(Dati!$C$2:$C$381,Dati!$A$2:$A$381,$H38,Dati!$H$2:$H$381,$AR38)+SUMIFS(Dati!$J$2:$J$381,Dati!$H$2:$H$381,$H38,Dati!$A$2:$A$381,$AR38),"-")</f>
        <v/>
      </c>
      <c r="CL38" s="21">
        <f>$C38</f>
        <v/>
      </c>
      <c r="CM38" s="22">
        <f>IF(AND($H38&lt;&gt;"",$Y38&lt;&gt;"",$H38&lt;&gt;$Y38,IFERROR(VLOOKUP($H38,areaCercaPuntiClassificaSquadra,3,FALSE),-1)=IFERROR(VLOOKUP($Y38,areaCercaPuntiClassificaSquadra,3,FALSE),-2)),SUMIFS(Dati!$E$2:$E$381,Dati!$A$2:$A$381,$H38,Dati!$H$2:$H$381,$Y38)+SUMIFS(Dati!$L$2:$L$381,Dati!$H$2:$H$381,$H38,Dati!$A$2:$A$381,$Y38),"-")</f>
        <v/>
      </c>
      <c r="CN38" s="22">
        <f>IF(AND($H38&lt;&gt;"",$Z38&lt;&gt;"",$H38&lt;&gt;$Z38,IFERROR(VLOOKUP($H38,areaCercaPuntiClassificaSquadra,3,FALSE),-1)=IFERROR(VLOOKUP($Z38,areaCercaPuntiClassificaSquadra,3,FALSE),-2)),SUMIFS(Dati!$E$2:$E$381,Dati!$A$2:$A$381,$H38,Dati!$H$2:$H$381,$Z38)+SUMIFS(Dati!$L$2:$L$381,Dati!$H$2:$H$381,$H38,Dati!$A$2:$A$381,$Z38),"-")</f>
        <v/>
      </c>
      <c r="CO38" s="22">
        <f>IF(AND($H38&lt;&gt;"",$AA38&lt;&gt;"",$H38&lt;&gt;$AA38,IFERROR(VLOOKUP($H38,areaCercaPuntiClassificaSquadra,3,FALSE),-1)=IFERROR(VLOOKUP($AA38,areaCercaPuntiClassificaSquadra,3,FALSE),-2)),SUMIFS(Dati!$E$2:$E$381,Dati!$A$2:$A$381,$H38,Dati!$H$2:$H$381,$AA38)+SUMIFS(Dati!$L$2:$L$381,Dati!$H$2:$H$381,$H38,Dati!$A$2:$A$381,$AA38),"-")</f>
        <v/>
      </c>
      <c r="CP38" s="22">
        <f>IF(AND($H38&lt;&gt;"",$AB38&lt;&gt;"",$H38&lt;&gt;$AB38,IFERROR(VLOOKUP($H38,areaCercaPuntiClassificaSquadra,3,FALSE),-1)=IFERROR(VLOOKUP($AB38,areaCercaPuntiClassificaSquadra,3,FALSE),-2)),SUMIFS(Dati!$E$2:$E$381,Dati!$A$2:$A$381,$H38,Dati!$H$2:$H$381,$AB38)+SUMIFS(Dati!$L$2:$L$381,Dati!$H$2:$H$381,$H38,Dati!$A$2:$A$381,$AB38),"-")</f>
        <v/>
      </c>
      <c r="CQ38" s="22">
        <f>IF(AND($H38&lt;&gt;"",$AC38&lt;&gt;"",$H38&lt;&gt;$AC38,IFERROR(VLOOKUP($H38,areaCercaPuntiClassificaSquadra,3,FALSE),-1)=IFERROR(VLOOKUP($AC38,areaCercaPuntiClassificaSquadra,3,FALSE),-2)),SUMIFS(Dati!$E$2:$E$381,Dati!$A$2:$A$381,$H38,Dati!$H$2:$H$381,$AC38)+SUMIFS(Dati!$L$2:$L$381,Dati!$H$2:$H$381,$H38,Dati!$A$2:$A$381,$AC38),"-")</f>
        <v/>
      </c>
      <c r="CR38" s="22">
        <f>IF(AND($H38&lt;&gt;"",$AD38&lt;&gt;"",$H38&lt;&gt;$AD38,IFERROR(VLOOKUP($H38,areaCercaPuntiClassificaSquadra,3,FALSE),-1)=IFERROR(VLOOKUP($AD38,areaCercaPuntiClassificaSquadra,3,FALSE),-2)),SUMIFS(Dati!$E$2:$E$381,Dati!$A$2:$A$381,$H38,Dati!$H$2:$H$381,$AD38)+SUMIFS(Dati!$L$2:$L$381,Dati!$H$2:$H$381,$H38,Dati!$A$2:$A$381,$AD38),"-")</f>
        <v/>
      </c>
      <c r="CS38" s="22">
        <f>IF(AND($H38&lt;&gt;"",$AE38&lt;&gt;"",$H38&lt;&gt;$AE38,IFERROR(VLOOKUP($H38,areaCercaPuntiClassificaSquadra,3,FALSE),-1)=IFERROR(VLOOKUP($AE38,areaCercaPuntiClassificaSquadra,3,FALSE),-2)),SUMIFS(Dati!$E$2:$E$381,Dati!$A$2:$A$381,$H38,Dati!$H$2:$H$381,$AE38)+SUMIFS(Dati!$L$2:$L$381,Dati!$H$2:$H$381,$H38,Dati!$A$2:$A$381,$AE38),"-")</f>
        <v/>
      </c>
      <c r="CT38" s="22">
        <f>IF(AND($H38&lt;&gt;"",$AF38&lt;&gt;"",$H38&lt;&gt;$AF38,IFERROR(VLOOKUP($H38,areaCercaPuntiClassificaSquadra,3,FALSE),-1)=IFERROR(VLOOKUP($AF38,areaCercaPuntiClassificaSquadra,3,FALSE),-2)),SUMIFS(Dati!$E$2:$E$381,Dati!$A$2:$A$381,$H38,Dati!$H$2:$H$381,$AF38)+SUMIFS(Dati!$L$2:$L$381,Dati!$H$2:$H$381,$H38,Dati!$A$2:$A$381,$AF38),"-")</f>
        <v/>
      </c>
      <c r="CU38" s="22">
        <f>IF(AND($H38&lt;&gt;"",$AG38&lt;&gt;"",$H38&lt;&gt;$AG38,IFERROR(VLOOKUP($H38,areaCercaPuntiClassificaSquadra,3,FALSE),-1)=IFERROR(VLOOKUP($AG38,areaCercaPuntiClassificaSquadra,3,FALSE),-2)),SUMIFS(Dati!$E$2:$E$381,Dati!$A$2:$A$381,$H38,Dati!$H$2:$H$381,$AG38)+SUMIFS(Dati!$L$2:$L$381,Dati!$H$2:$H$381,$H38,Dati!$A$2:$A$381,$AG38),"-")</f>
        <v/>
      </c>
      <c r="CV38" s="22">
        <f>IF(AND($H38&lt;&gt;"",$AH38&lt;&gt;"",$H38&lt;&gt;$AH38,IFERROR(VLOOKUP($H38,areaCercaPuntiClassificaSquadra,3,FALSE),-1)=IFERROR(VLOOKUP($AH38,areaCercaPuntiClassificaSquadra,3,FALSE),-2)),SUMIFS(Dati!$E$2:$E$381,Dati!$A$2:$A$381,$H38,Dati!$H$2:$H$381,$AH38)+SUMIFS(Dati!$L$2:$L$381,Dati!$H$2:$H$381,$H38,Dati!$A$2:$A$381,$AH38),"-")</f>
        <v/>
      </c>
      <c r="CW38" s="22">
        <f>IF(AND($H38&lt;&gt;"",$AI38&lt;&gt;"",$H38&lt;&gt;$AI38,IFERROR(VLOOKUP($H38,areaCercaPuntiClassificaSquadra,3,FALSE),-1)=IFERROR(VLOOKUP($AI38,areaCercaPuntiClassificaSquadra,3,FALSE),-2)),SUMIFS(Dati!$E$2:$E$381,Dati!$A$2:$A$381,$H38,Dati!$H$2:$H$381,$AI38)+SUMIFS(Dati!$L$2:$L$381,Dati!$H$2:$H$381,$H38,Dati!$A$2:$A$381,$AI38),"-")</f>
        <v/>
      </c>
      <c r="CX38" s="22">
        <f>IF(AND($H38&lt;&gt;"",$AJ38&lt;&gt;"",$H38&lt;&gt;$AJ38,IFERROR(VLOOKUP($H38,areaCercaPuntiClassificaSquadra,3,FALSE),-1)=IFERROR(VLOOKUP($AJ38,areaCercaPuntiClassificaSquadra,3,FALSE),-2)),SUMIFS(Dati!$E$2:$E$381,Dati!$A$2:$A$381,$H38,Dati!$H$2:$H$381,$AJ38)+SUMIFS(Dati!$L$2:$L$381,Dati!$H$2:$H$381,$H38,Dati!$A$2:$A$381,$AJ38),"-")</f>
        <v/>
      </c>
      <c r="CY38" s="22">
        <f>IF(AND($H38&lt;&gt;"",$AK38&lt;&gt;"",$H38&lt;&gt;$AK38,IFERROR(VLOOKUP($H38,areaCercaPuntiClassificaSquadra,3,FALSE),-1)=IFERROR(VLOOKUP($AK38,areaCercaPuntiClassificaSquadra,3,FALSE),-2)),SUMIFS(Dati!$E$2:$E$381,Dati!$A$2:$A$381,$H38,Dati!$H$2:$H$381,$AK38)+SUMIFS(Dati!$L$2:$L$381,Dati!$H$2:$H$381,$H38,Dati!$A$2:$A$381,$AK38),"-")</f>
        <v/>
      </c>
      <c r="CZ38" s="22">
        <f>IF(AND($H38&lt;&gt;"",$AL38&lt;&gt;"",$H38&lt;&gt;$AL38,IFERROR(VLOOKUP($H38,areaCercaPuntiClassificaSquadra,3,FALSE),-1)=IFERROR(VLOOKUP($AL38,areaCercaPuntiClassificaSquadra,3,FALSE),-2)),SUMIFS(Dati!$E$2:$E$381,Dati!$A$2:$A$381,$H38,Dati!$H$2:$H$381,$AL38)+SUMIFS(Dati!$L$2:$L$381,Dati!$H$2:$H$381,$H38,Dati!$A$2:$A$381,$AL38),"-")</f>
        <v/>
      </c>
      <c r="DA38" s="22">
        <f>IF(AND($H38&lt;&gt;"",$AM38&lt;&gt;"",$H38&lt;&gt;$AM38,IFERROR(VLOOKUP($H38,areaCercaPuntiClassificaSquadra,3,FALSE),-1)=IFERROR(VLOOKUP($AM38,areaCercaPuntiClassificaSquadra,3,FALSE),-2)),SUMIFS(Dati!$E$2:$E$381,Dati!$A$2:$A$381,$H38,Dati!$H$2:$H$381,$AM38)+SUMIFS(Dati!$L$2:$L$381,Dati!$H$2:$H$381,$H38,Dati!$A$2:$A$381,$AM38),"-")</f>
        <v/>
      </c>
      <c r="DB38" s="22">
        <f>IF(AND($H38&lt;&gt;"",$AN38&lt;&gt;"",$H38&lt;&gt;$AN38,IFERROR(VLOOKUP($H38,areaCercaPuntiClassificaSquadra,3,FALSE),-1)=IFERROR(VLOOKUP($AN38,areaCercaPuntiClassificaSquadra,3,FALSE),-2)),SUMIFS(Dati!$E$2:$E$381,Dati!$A$2:$A$381,$H38,Dati!$H$2:$H$381,$AN38)+SUMIFS(Dati!$L$2:$L$381,Dati!$H$2:$H$381,$H38,Dati!$A$2:$A$381,$AN38),"-")</f>
        <v/>
      </c>
      <c r="DC38" s="22">
        <f>IF(AND($H38&lt;&gt;"",$AO38&lt;&gt;"",$H38&lt;&gt;$AO38,IFERROR(VLOOKUP($H38,areaCercaPuntiClassificaSquadra,3,FALSE),-1)=IFERROR(VLOOKUP($AO38,areaCercaPuntiClassificaSquadra,3,FALSE),-2)),SUMIFS(Dati!$E$2:$E$381,Dati!$A$2:$A$381,$H38,Dati!$H$2:$H$381,$AO38)+SUMIFS(Dati!$L$2:$L$381,Dati!$H$2:$H$381,$H38,Dati!$A$2:$A$381,$AO38),"-")</f>
        <v/>
      </c>
      <c r="DD38" s="22">
        <f>IF(AND($H38&lt;&gt;"",$AP38&lt;&gt;"",$H38&lt;&gt;$AP38,IFERROR(VLOOKUP($H38,areaCercaPuntiClassificaSquadra,3,FALSE),-1)=IFERROR(VLOOKUP($AP38,areaCercaPuntiClassificaSquadra,3,FALSE),-2)),SUMIFS(Dati!$E$2:$E$381,Dati!$A$2:$A$381,$H38,Dati!$H$2:$H$381,$AP38)+SUMIFS(Dati!$L$2:$L$381,Dati!$H$2:$H$381,$H38,Dati!$A$2:$A$381,$AP38),"-")</f>
        <v/>
      </c>
      <c r="DE38" s="22">
        <f>IF(AND($H38&lt;&gt;"",$AQ38&lt;&gt;"",$H38&lt;&gt;$AQ38,IFERROR(VLOOKUP($H38,areaCercaPuntiClassificaSquadra,3,FALSE),-1)=IFERROR(VLOOKUP($AQ38,areaCercaPuntiClassificaSquadra,3,FALSE),-2)),SUMIFS(Dati!$E$2:$E$381,Dati!$A$2:$A$381,$H38,Dati!$H$2:$H$381,$AQ38)+SUMIFS(Dati!$L$2:$L$381,Dati!$H$2:$H$381,$H38,Dati!$A$2:$A$381,$AQ38),"-")</f>
        <v/>
      </c>
      <c r="DF38" s="22">
        <f>IF(AND($H38&lt;&gt;"",$AR38&lt;&gt;"",$H38&lt;&gt;$AR38,IFERROR(VLOOKUP($H38,areaCercaPuntiClassificaSquadra,3,FALSE),-1)=IFERROR(VLOOKUP($AR38,areaCercaPuntiClassificaSquadra,3,FALSE),-2)),SUMIFS(Dati!$E$2:$E$381,Dati!$A$2:$A$381,$H38,Dati!$H$2:$H$381,$AR38)+SUMIFS(Dati!$L$2:$L$381,Dati!$H$2:$H$381,$H38,Dati!$A$2:$A$381,$AR38),"-")</f>
        <v/>
      </c>
      <c r="DH38" s="21">
        <f>$C38</f>
        <v/>
      </c>
      <c r="DI38" s="22">
        <f>IF(AND($H38&lt;&gt;"",$Y38&lt;&gt;"",$H38&lt;&gt;$Y38,IFERROR(VLOOKUP($H38,areaCercaPuntiClassificaSquadra,3,FALSE),-1)=IFERROR(VLOOKUP($Y38,areaCercaPuntiClassificaSquadra,3,FALSE),-2)),SUMIFS(Dati!$F$2:$F$381,Dati!$A$2:$A$381,$H38,Dati!$H$2:$H$381,$Y38)+SUMIFS(Dati!$M$2:$M$381,Dati!$H$2:$H$381,$H38,Dati!$A$2:$A$381,$Y38),"-")</f>
        <v/>
      </c>
      <c r="DJ38" s="22">
        <f>IF(AND($H38&lt;&gt;"",$Z38&lt;&gt;"",$H38&lt;&gt;$Z38,IFERROR(VLOOKUP($H38,areaCercaPuntiClassificaSquadra,3,FALSE),-1)=IFERROR(VLOOKUP($Z38,areaCercaPuntiClassificaSquadra,3,FALSE),-2)),SUMIFS(Dati!$F$2:$F$381,Dati!$A$2:$A$381,$H38,Dati!$H$2:$H$381,$Z38)+SUMIFS(Dati!$M$2:$M$381,Dati!$H$2:$H$381,$H38,Dati!$A$2:$A$381,$Z38),"-")</f>
        <v/>
      </c>
      <c r="DK38" s="22">
        <f>IF(AND($H38&lt;&gt;"",$AA38&lt;&gt;"",$H38&lt;&gt;$AA38,IFERROR(VLOOKUP($H38,areaCercaPuntiClassificaSquadra,3,FALSE),-1)=IFERROR(VLOOKUP($AA38,areaCercaPuntiClassificaSquadra,3,FALSE),-2)),SUMIFS(Dati!$F$2:$F$381,Dati!$A$2:$A$381,$H38,Dati!$H$2:$H$381,$AA38)+SUMIFS(Dati!$M$2:$M$381,Dati!$H$2:$H$381,$H38,Dati!$A$2:$A$381,$AA38),"-")</f>
        <v/>
      </c>
      <c r="DL38" s="22">
        <f>IF(AND($H38&lt;&gt;"",$AB38&lt;&gt;"",$H38&lt;&gt;$AB38,IFERROR(VLOOKUP($H38,areaCercaPuntiClassificaSquadra,3,FALSE),-1)=IFERROR(VLOOKUP($AB38,areaCercaPuntiClassificaSquadra,3,FALSE),-2)),SUMIFS(Dati!$F$2:$F$381,Dati!$A$2:$A$381,$H38,Dati!$H$2:$H$381,$AB38)+SUMIFS(Dati!$M$2:$M$381,Dati!$H$2:$H$381,$H38,Dati!$A$2:$A$381,$AB38),"-")</f>
        <v/>
      </c>
      <c r="DM38" s="22">
        <f>IF(AND($H38&lt;&gt;"",$AC38&lt;&gt;"",$H38&lt;&gt;$AC38,IFERROR(VLOOKUP($H38,areaCercaPuntiClassificaSquadra,3,FALSE),-1)=IFERROR(VLOOKUP($AC38,areaCercaPuntiClassificaSquadra,3,FALSE),-2)),SUMIFS(Dati!$F$2:$F$381,Dati!$A$2:$A$381,$H38,Dati!$H$2:$H$381,$AC38)+SUMIFS(Dati!$M$2:$M$381,Dati!$H$2:$H$381,$H38,Dati!$A$2:$A$381,$AC38),"-")</f>
        <v/>
      </c>
      <c r="DN38" s="22">
        <f>IF(AND($H38&lt;&gt;"",$AD38&lt;&gt;"",$H38&lt;&gt;$AD38,IFERROR(VLOOKUP($H38,areaCercaPuntiClassificaSquadra,3,FALSE),-1)=IFERROR(VLOOKUP($AD38,areaCercaPuntiClassificaSquadra,3,FALSE),-2)),SUMIFS(Dati!$F$2:$F$381,Dati!$A$2:$A$381,$H38,Dati!$H$2:$H$381,$AD38)+SUMIFS(Dati!$M$2:$M$381,Dati!$H$2:$H$381,$H38,Dati!$A$2:$A$381,$AD38),"-")</f>
        <v/>
      </c>
      <c r="DO38" s="22">
        <f>IF(AND($H38&lt;&gt;"",$AE38&lt;&gt;"",$H38&lt;&gt;$AE38,IFERROR(VLOOKUP($H38,areaCercaPuntiClassificaSquadra,3,FALSE),-1)=IFERROR(VLOOKUP($AE38,areaCercaPuntiClassificaSquadra,3,FALSE),-2)),SUMIFS(Dati!$F$2:$F$381,Dati!$A$2:$A$381,$H38,Dati!$H$2:$H$381,$AE38)+SUMIFS(Dati!$M$2:$M$381,Dati!$H$2:$H$381,$H38,Dati!$A$2:$A$381,$AE38),"-")</f>
        <v/>
      </c>
      <c r="DP38" s="22">
        <f>IF(AND($H38&lt;&gt;"",$AF38&lt;&gt;"",$H38&lt;&gt;$AF38,IFERROR(VLOOKUP($H38,areaCercaPuntiClassificaSquadra,3,FALSE),-1)=IFERROR(VLOOKUP($AF38,areaCercaPuntiClassificaSquadra,3,FALSE),-2)),SUMIFS(Dati!$F$2:$F$381,Dati!$A$2:$A$381,$H38,Dati!$H$2:$H$381,$AF38)+SUMIFS(Dati!$M$2:$M$381,Dati!$H$2:$H$381,$H38,Dati!$A$2:$A$381,$AF38),"-")</f>
        <v/>
      </c>
      <c r="DQ38" s="22">
        <f>IF(AND($H38&lt;&gt;"",$AG38&lt;&gt;"",$H38&lt;&gt;$AG38,IFERROR(VLOOKUP($H38,areaCercaPuntiClassificaSquadra,3,FALSE),-1)=IFERROR(VLOOKUP($AG38,areaCercaPuntiClassificaSquadra,3,FALSE),-2)),SUMIFS(Dati!$F$2:$F$381,Dati!$A$2:$A$381,$H38,Dati!$H$2:$H$381,$AG38)+SUMIFS(Dati!$M$2:$M$381,Dati!$H$2:$H$381,$H38,Dati!$A$2:$A$381,$AG38),"-")</f>
        <v/>
      </c>
      <c r="DR38" s="22">
        <f>IF(AND($H38&lt;&gt;"",$AH38&lt;&gt;"",$H38&lt;&gt;$AH38,IFERROR(VLOOKUP($H38,areaCercaPuntiClassificaSquadra,3,FALSE),-1)=IFERROR(VLOOKUP($AH38,areaCercaPuntiClassificaSquadra,3,FALSE),-2)),SUMIFS(Dati!$F$2:$F$381,Dati!$A$2:$A$381,$H38,Dati!$H$2:$H$381,$AH38)+SUMIFS(Dati!$M$2:$M$381,Dati!$H$2:$H$381,$H38,Dati!$A$2:$A$381,$AH38),"-")</f>
        <v/>
      </c>
      <c r="DS38" s="22">
        <f>IF(AND($H38&lt;&gt;"",$AI38&lt;&gt;"",$H38&lt;&gt;$AI38,IFERROR(VLOOKUP($H38,areaCercaPuntiClassificaSquadra,3,FALSE),-1)=IFERROR(VLOOKUP($AI38,areaCercaPuntiClassificaSquadra,3,FALSE),-2)),SUMIFS(Dati!$F$2:$F$381,Dati!$A$2:$A$381,$H38,Dati!$H$2:$H$381,$AI38)+SUMIFS(Dati!$M$2:$M$381,Dati!$H$2:$H$381,$H38,Dati!$A$2:$A$381,$AI38),"-")</f>
        <v/>
      </c>
      <c r="DT38" s="22">
        <f>IF(AND($H38&lt;&gt;"",$AJ38&lt;&gt;"",$H38&lt;&gt;$AJ38,IFERROR(VLOOKUP($H38,areaCercaPuntiClassificaSquadra,3,FALSE),-1)=IFERROR(VLOOKUP($AJ38,areaCercaPuntiClassificaSquadra,3,FALSE),-2)),SUMIFS(Dati!$F$2:$F$381,Dati!$A$2:$A$381,$H38,Dati!$H$2:$H$381,$AJ38)+SUMIFS(Dati!$M$2:$M$381,Dati!$H$2:$H$381,$H38,Dati!$A$2:$A$381,$AJ38),"-")</f>
        <v/>
      </c>
      <c r="DU38" s="22">
        <f>IF(AND($H38&lt;&gt;"",$AK38&lt;&gt;"",$H38&lt;&gt;$AK38,IFERROR(VLOOKUP($H38,areaCercaPuntiClassificaSquadra,3,FALSE),-1)=IFERROR(VLOOKUP($AK38,areaCercaPuntiClassificaSquadra,3,FALSE),-2)),SUMIFS(Dati!$F$2:$F$381,Dati!$A$2:$A$381,$H38,Dati!$H$2:$H$381,$AK38)+SUMIFS(Dati!$M$2:$M$381,Dati!$H$2:$H$381,$H38,Dati!$A$2:$A$381,$AK38),"-")</f>
        <v/>
      </c>
      <c r="DV38" s="22">
        <f>IF(AND($H38&lt;&gt;"",$AL38&lt;&gt;"",$H38&lt;&gt;$AL38,IFERROR(VLOOKUP($H38,areaCercaPuntiClassificaSquadra,3,FALSE),-1)=IFERROR(VLOOKUP($AL38,areaCercaPuntiClassificaSquadra,3,FALSE),-2)),SUMIFS(Dati!$F$2:$F$381,Dati!$A$2:$A$381,$H38,Dati!$H$2:$H$381,$AL38)+SUMIFS(Dati!$M$2:$M$381,Dati!$H$2:$H$381,$H38,Dati!$A$2:$A$381,$AL38),"-")</f>
        <v/>
      </c>
      <c r="DW38" s="22">
        <f>IF(AND($H38&lt;&gt;"",$AM38&lt;&gt;"",$H38&lt;&gt;$AM38,IFERROR(VLOOKUP($H38,areaCercaPuntiClassificaSquadra,3,FALSE),-1)=IFERROR(VLOOKUP($AM38,areaCercaPuntiClassificaSquadra,3,FALSE),-2)),SUMIFS(Dati!$F$2:$F$381,Dati!$A$2:$A$381,$H38,Dati!$H$2:$H$381,$AM38)+SUMIFS(Dati!$M$2:$M$381,Dati!$H$2:$H$381,$H38,Dati!$A$2:$A$381,$AM38),"-")</f>
        <v/>
      </c>
      <c r="DX38" s="22">
        <f>IF(AND($H38&lt;&gt;"",$AN38&lt;&gt;"",$H38&lt;&gt;$AN38,IFERROR(VLOOKUP($H38,areaCercaPuntiClassificaSquadra,3,FALSE),-1)=IFERROR(VLOOKUP($AN38,areaCercaPuntiClassificaSquadra,3,FALSE),-2)),SUMIFS(Dati!$F$2:$F$381,Dati!$A$2:$A$381,$H38,Dati!$H$2:$H$381,$AN38)+SUMIFS(Dati!$M$2:$M$381,Dati!$H$2:$H$381,$H38,Dati!$A$2:$A$381,$AN38),"-")</f>
        <v/>
      </c>
      <c r="DY38" s="22">
        <f>IF(AND($H38&lt;&gt;"",$AO38&lt;&gt;"",$H38&lt;&gt;$AO38,IFERROR(VLOOKUP($H38,areaCercaPuntiClassificaSquadra,3,FALSE),-1)=IFERROR(VLOOKUP($AO38,areaCercaPuntiClassificaSquadra,3,FALSE),-2)),SUMIFS(Dati!$F$2:$F$381,Dati!$A$2:$A$381,$H38,Dati!$H$2:$H$381,$AO38)+SUMIFS(Dati!$M$2:$M$381,Dati!$H$2:$H$381,$H38,Dati!$A$2:$A$381,$AO38),"-")</f>
        <v/>
      </c>
      <c r="DZ38" s="22">
        <f>IF(AND($H38&lt;&gt;"",$AP38&lt;&gt;"",$H38&lt;&gt;$AP38,IFERROR(VLOOKUP($H38,areaCercaPuntiClassificaSquadra,3,FALSE),-1)=IFERROR(VLOOKUP($AP38,areaCercaPuntiClassificaSquadra,3,FALSE),-2)),SUMIFS(Dati!$F$2:$F$381,Dati!$A$2:$A$381,$H38,Dati!$H$2:$H$381,$AP38)+SUMIFS(Dati!$M$2:$M$381,Dati!$H$2:$H$381,$H38,Dati!$A$2:$A$381,$AP38),"-")</f>
        <v/>
      </c>
      <c r="EA38" s="22">
        <f>IF(AND($H38&lt;&gt;"",$AQ38&lt;&gt;"",$H38&lt;&gt;$AQ38,IFERROR(VLOOKUP($H38,areaCercaPuntiClassificaSquadra,3,FALSE),-1)=IFERROR(VLOOKUP($AQ38,areaCercaPuntiClassificaSquadra,3,FALSE),-2)),SUMIFS(Dati!$F$2:$F$381,Dati!$A$2:$A$381,$H38,Dati!$H$2:$H$381,$AQ38)+SUMIFS(Dati!$M$2:$M$381,Dati!$H$2:$H$381,$H38,Dati!$A$2:$A$381,$AQ38),"-")</f>
        <v/>
      </c>
      <c r="EB38" s="22">
        <f>IF(AND($H38&lt;&gt;"",$AR38&lt;&gt;"",$H38&lt;&gt;$AR38,IFERROR(VLOOKUP($H38,areaCercaPuntiClassificaSquadra,3,FALSE),-1)=IFERROR(VLOOKUP($AR38,areaCercaPuntiClassificaSquadra,3,FALSE),-2)),SUMIFS(Dati!$F$2:$F$381,Dati!$A$2:$A$381,$H38,Dati!$H$2:$H$381,$AR38)+SUMIFS(Dati!$M$2:$M$381,Dati!$H$2:$H$381,$H38,Dati!$A$2:$A$381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inlineStr">
        <is>
          <t>Leoni Leali-Leoniopoli LA</t>
        </is>
      </c>
      <c r="D39" s="14" t="n"/>
      <c r="E39" s="23" t="inlineStr">
        <is>
          <t>B</t>
        </is>
      </c>
      <c r="G39" s="24">
        <f>IF($C39="","",$E39&amp;(COUNTIFS(I$14:I$53,"&gt;"&amp;I39,E$14:E$53,"="&amp;E39,C$14:C$53,"&lt;&gt;")+COUNTIFS(I$14:I$53,"="&amp;I39,H$14:H$53,"&lt;="&amp;H39,E$14:E$53,"="&amp;E39,C$14:C$53,"&lt;&gt;")))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L39*constPuntiVittoria+M39*constPuntiSconfitta+N39*constPuntiForfait+IF(D39="",0,D39)</f>
        <v/>
      </c>
      <c r="K39" s="12">
        <f>SUM(L39:N39)</f>
        <v/>
      </c>
      <c r="L39" s="12">
        <f>IF($H39="",0,SUMIF(Dati!$A$2:$A$381,$H39,Dati!$B$2:$B$381)+SUMIF(Dati!$H$2:$H$381,$H39,Dati!$I$2:$I$381))</f>
        <v/>
      </c>
      <c r="M39" s="12">
        <f>IF($H39="",0,SUMIF(Dati!$A$2:$A$381,$H39,Dati!$D$2:$D$381)+SUMIF(Dati!$H$2:$H$381,$H39,Dati!$K$2:$K$381))</f>
        <v/>
      </c>
      <c r="N39" s="12">
        <f>IF($H39="",0,SUMIF(Dati!$A$2:$A$381,$H39,Dati!$C$2:$C$381)+SUMIF(Dati!$H$2:$H$381,$H39,Dati!$J$2:$J$381))</f>
        <v/>
      </c>
      <c r="O39" s="12">
        <f>IF($H39="",0,SUMIF(Dati!$A$2:$A$381,$H39,Dati!$E$2:$E$381)+SUMIF(Dati!$H$2:$H$381,$H39,Dati!$L$2:$L$381))</f>
        <v/>
      </c>
      <c r="P39" s="12">
        <f>IF($H39="",0,SUMIF(Dati!$A$2:$A$381,$H39,Dati!$F$2:$F$381)+SUMIF(Dati!$H$2:$H$381,$H39,Dati!$M$2:$M$381))</f>
        <v/>
      </c>
      <c r="Q39" s="12">
        <f>IF($H39="",0,SUMIF(Dati!$A$2:$A$381,$H39,Dati!$G$2:$G$381)+SUMIF(Dati!$H$2:$H$381,$H39,Dati!$N$2:$N$381))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IF(COUNTIFS($E$14:$E$53,$E39,$J$14:$J$53,$J39,$C$14:$C$53,"&lt;&gt;")&lt;=1,"-",SUM(AU39:BN39)&amp;"-"&amp;SUM(BQ39:CJ39))</f>
        <v/>
      </c>
      <c r="V39" s="18">
        <f>IF(COUNTIFS($E$14:$E$53,$E39,$J$14:$J$53,$J39,$C$14:$C$53,"&lt;&gt;",$ED$14:$ED$53,$ED39)&lt;=1,"-",IF(SUM(DI39:EB39)=0,0,ROUND(SUM(CM39:DF39)/SUM(DI39:EB39),3)))</f>
        <v/>
      </c>
      <c r="W39" s="18">
        <f>IF(COUNTIFS($E$14:$E$53,$E39,$J$14:$J$53,$J39,$C$14:$C$53,"&lt;&gt;",$ED$14:$ED$53,$ED39,$V$14:$V$53,$V39)&lt;=1,"-",IF(P39=0,0,ROUND(O39/P39,3)))</f>
        <v/>
      </c>
      <c r="X39" s="19">
        <f>IF($C39="","",$E39&amp;"#"&amp;COUNTIFS($E$14:$E39,$E39,$C$14:$C39,"&lt;&gt;"))</f>
        <v/>
      </c>
      <c r="Y39" s="20">
        <f>IFERROR(INDEX($H$14:$H$53,MATCH($E39&amp;"#1",$X$14:$X$53,0)),"")</f>
        <v/>
      </c>
      <c r="Z39" s="20">
        <f>IFERROR(INDEX($H$14:$H$53,MATCH($E39&amp;"#2",$X$14:$X$53,0)),"")</f>
        <v/>
      </c>
      <c r="AA39" s="20">
        <f>IFERROR(INDEX($H$14:$H$53,MATCH($E39&amp;"#3",$X$14:$X$53,0)),"")</f>
        <v/>
      </c>
      <c r="AB39" s="20">
        <f>IFERROR(INDEX($H$14:$H$53,MATCH($E39&amp;"#4",$X$14:$X$53,0)),"")</f>
        <v/>
      </c>
      <c r="AC39" s="20">
        <f>IFERROR(INDEX($H$14:$H$53,MATCH($E39&amp;"#5",$X$14:$X$53,0)),"")</f>
        <v/>
      </c>
      <c r="AD39" s="20">
        <f>IFERROR(INDEX($H$14:$H$53,MATCH($E39&amp;"#6",$X$14:$X$53,0)),"")</f>
        <v/>
      </c>
      <c r="AE39" s="20">
        <f>IFERROR(INDEX($H$14:$H$53,MATCH($E39&amp;"#7",$X$14:$X$53,0)),"")</f>
        <v/>
      </c>
      <c r="AF39" s="20">
        <f>IFERROR(INDEX($H$14:$H$53,MATCH($E39&amp;"#8",$X$14:$X$53,0)),"")</f>
        <v/>
      </c>
      <c r="AG39" s="20">
        <f>IFERROR(INDEX($H$14:$H$53,MATCH($E39&amp;"#9",$X$14:$X$53,0)),"")</f>
        <v/>
      </c>
      <c r="AH39" s="20">
        <f>IFERROR(INDEX($H$14:$H$53,MATCH($E39&amp;"#10",$X$14:$X$53,0)),"")</f>
        <v/>
      </c>
      <c r="AI39" s="20">
        <f>IFERROR(INDEX($H$14:$H$53,MATCH($E39&amp;"#11",$X$14:$X$53,0)),"")</f>
        <v/>
      </c>
      <c r="AJ39" s="20">
        <f>IFERROR(INDEX($H$14:$H$53,MATCH($E39&amp;"#12",$X$14:$X$53,0)),"")</f>
        <v/>
      </c>
      <c r="AK39" s="20">
        <f>IFERROR(INDEX($H$14:$H$53,MATCH($E39&amp;"#13",$X$14:$X$53,0)),"")</f>
        <v/>
      </c>
      <c r="AL39" s="20">
        <f>IFERROR(INDEX($H$14:$H$53,MATCH($E39&amp;"#14",$X$14:$X$53,0)),"")</f>
        <v/>
      </c>
      <c r="AM39" s="20">
        <f>IFERROR(INDEX($H$14:$H$53,MATCH($E39&amp;"#15",$X$14:$X$53,0)),"")</f>
        <v/>
      </c>
      <c r="AN39" s="20">
        <f>IFERROR(INDEX($H$14:$H$53,MATCH($E39&amp;"#16",$X$14:$X$53,0)),"")</f>
        <v/>
      </c>
      <c r="AO39" s="20">
        <f>IFERROR(INDEX($H$14:$H$53,MATCH($E39&amp;"#17",$X$14:$X$53,0)),"")</f>
        <v/>
      </c>
      <c r="AP39" s="20">
        <f>IFERROR(INDEX($H$14:$H$53,MATCH($E39&amp;"#18",$X$14:$X$53,0)),"")</f>
        <v/>
      </c>
      <c r="AQ39" s="20">
        <f>IFERROR(INDEX($H$14:$H$53,MATCH($E39&amp;"#19",$X$14:$X$53,0)),"")</f>
        <v/>
      </c>
      <c r="AR39" s="20">
        <f>IFERROR(INDEX($H$14:$H$53,MATCH($E39&amp;"#20",$X$14:$X$53,0)),"")</f>
        <v/>
      </c>
      <c r="AT39" s="21">
        <f>$C39</f>
        <v/>
      </c>
      <c r="AU39" s="22">
        <f>IF(AND($H39&lt;&gt;"",$Y39&lt;&gt;"",$H39&lt;&gt;$Y39,IFERROR(VLOOKUP($H39,areaCercaPuntiClassificaSquadra,3,FALSE),-1)=IFERROR(VLOOKUP($Y39,areaCercaPuntiClassificaSquadra,3,FALSE),-2)),SUMIFS(Dati!$B$2:$B$381,Dati!$A$2:$A$381,$H39,Dati!$H$2:$H$381,$Y39)+SUMIFS(Dati!$I$2:$I$381,Dati!$H$2:$H$381,$H39,Dati!$A$2:$A$381,$Y39),"-")</f>
        <v/>
      </c>
      <c r="AV39" s="22">
        <f>IF(AND($H39&lt;&gt;"",$Z39&lt;&gt;"",$H39&lt;&gt;$Z39,IFERROR(VLOOKUP($H39,areaCercaPuntiClassificaSquadra,3,FALSE),-1)=IFERROR(VLOOKUP($Z39,areaCercaPuntiClassificaSquadra,3,FALSE),-2)),SUMIFS(Dati!$B$2:$B$381,Dati!$A$2:$A$381,$H39,Dati!$H$2:$H$381,$Z39)+SUMIFS(Dati!$I$2:$I$381,Dati!$H$2:$H$381,$H39,Dati!$A$2:$A$381,$Z39),"-")</f>
        <v/>
      </c>
      <c r="AW39" s="22">
        <f>IF(AND($H39&lt;&gt;"",$AA39&lt;&gt;"",$H39&lt;&gt;$AA39,IFERROR(VLOOKUP($H39,areaCercaPuntiClassificaSquadra,3,FALSE),-1)=IFERROR(VLOOKUP($AA39,areaCercaPuntiClassificaSquadra,3,FALSE),-2)),SUMIFS(Dati!$B$2:$B$381,Dati!$A$2:$A$381,$H39,Dati!$H$2:$H$381,$AA39)+SUMIFS(Dati!$I$2:$I$381,Dati!$H$2:$H$381,$H39,Dati!$A$2:$A$381,$AA39),"-")</f>
        <v/>
      </c>
      <c r="AX39" s="22">
        <f>IF(AND($H39&lt;&gt;"",$AB39&lt;&gt;"",$H39&lt;&gt;$AB39,IFERROR(VLOOKUP($H39,areaCercaPuntiClassificaSquadra,3,FALSE),-1)=IFERROR(VLOOKUP($AB39,areaCercaPuntiClassificaSquadra,3,FALSE),-2)),SUMIFS(Dati!$B$2:$B$381,Dati!$A$2:$A$381,$H39,Dati!$H$2:$H$381,$AB39)+SUMIFS(Dati!$I$2:$I$381,Dati!$H$2:$H$381,$H39,Dati!$A$2:$A$381,$AB39),"-")</f>
        <v/>
      </c>
      <c r="AY39" s="22">
        <f>IF(AND($H39&lt;&gt;"",$AC39&lt;&gt;"",$H39&lt;&gt;$AC39,IFERROR(VLOOKUP($H39,areaCercaPuntiClassificaSquadra,3,FALSE),-1)=IFERROR(VLOOKUP($AC39,areaCercaPuntiClassificaSquadra,3,FALSE),-2)),SUMIFS(Dati!$B$2:$B$381,Dati!$A$2:$A$381,$H39,Dati!$H$2:$H$381,$AC39)+SUMIFS(Dati!$I$2:$I$381,Dati!$H$2:$H$381,$H39,Dati!$A$2:$A$381,$AC39),"-")</f>
        <v/>
      </c>
      <c r="AZ39" s="22">
        <f>IF(AND($H39&lt;&gt;"",$AD39&lt;&gt;"",$H39&lt;&gt;$AD39,IFERROR(VLOOKUP($H39,areaCercaPuntiClassificaSquadra,3,FALSE),-1)=IFERROR(VLOOKUP($AD39,areaCercaPuntiClassificaSquadra,3,FALSE),-2)),SUMIFS(Dati!$B$2:$B$381,Dati!$A$2:$A$381,$H39,Dati!$H$2:$H$381,$AD39)+SUMIFS(Dati!$I$2:$I$381,Dati!$H$2:$H$381,$H39,Dati!$A$2:$A$381,$AD39),"-")</f>
        <v/>
      </c>
      <c r="BA39" s="22">
        <f>IF(AND($H39&lt;&gt;"",$AE39&lt;&gt;"",$H39&lt;&gt;$AE39,IFERROR(VLOOKUP($H39,areaCercaPuntiClassificaSquadra,3,FALSE),-1)=IFERROR(VLOOKUP($AE39,areaCercaPuntiClassificaSquadra,3,FALSE),-2)),SUMIFS(Dati!$B$2:$B$381,Dati!$A$2:$A$381,$H39,Dati!$H$2:$H$381,$AE39)+SUMIFS(Dati!$I$2:$I$381,Dati!$H$2:$H$381,$H39,Dati!$A$2:$A$381,$AE39),"-")</f>
        <v/>
      </c>
      <c r="BB39" s="22">
        <f>IF(AND($H39&lt;&gt;"",$AF39&lt;&gt;"",$H39&lt;&gt;$AF39,IFERROR(VLOOKUP($H39,areaCercaPuntiClassificaSquadra,3,FALSE),-1)=IFERROR(VLOOKUP($AF39,areaCercaPuntiClassificaSquadra,3,FALSE),-2)),SUMIFS(Dati!$B$2:$B$381,Dati!$A$2:$A$381,$H39,Dati!$H$2:$H$381,$AF39)+SUMIFS(Dati!$I$2:$I$381,Dati!$H$2:$H$381,$H39,Dati!$A$2:$A$381,$AF39),"-")</f>
        <v/>
      </c>
      <c r="BC39" s="22">
        <f>IF(AND($H39&lt;&gt;"",$AG39&lt;&gt;"",$H39&lt;&gt;$AG39,IFERROR(VLOOKUP($H39,areaCercaPuntiClassificaSquadra,3,FALSE),-1)=IFERROR(VLOOKUP($AG39,areaCercaPuntiClassificaSquadra,3,FALSE),-2)),SUMIFS(Dati!$B$2:$B$381,Dati!$A$2:$A$381,$H39,Dati!$H$2:$H$381,$AG39)+SUMIFS(Dati!$I$2:$I$381,Dati!$H$2:$H$381,$H39,Dati!$A$2:$A$381,$AG39),"-")</f>
        <v/>
      </c>
      <c r="BD39" s="22">
        <f>IF(AND($H39&lt;&gt;"",$AH39&lt;&gt;"",$H39&lt;&gt;$AH39,IFERROR(VLOOKUP($H39,areaCercaPuntiClassificaSquadra,3,FALSE),-1)=IFERROR(VLOOKUP($AH39,areaCercaPuntiClassificaSquadra,3,FALSE),-2)),SUMIFS(Dati!$B$2:$B$381,Dati!$A$2:$A$381,$H39,Dati!$H$2:$H$381,$AH39)+SUMIFS(Dati!$I$2:$I$381,Dati!$H$2:$H$381,$H39,Dati!$A$2:$A$381,$AH39),"-")</f>
        <v/>
      </c>
      <c r="BE39" s="22">
        <f>IF(AND($H39&lt;&gt;"",$AI39&lt;&gt;"",$H39&lt;&gt;$AI39,IFERROR(VLOOKUP($H39,areaCercaPuntiClassificaSquadra,3,FALSE),-1)=IFERROR(VLOOKUP($AI39,areaCercaPuntiClassificaSquadra,3,FALSE),-2)),SUMIFS(Dati!$B$2:$B$381,Dati!$A$2:$A$381,$H39,Dati!$H$2:$H$381,$AI39)+SUMIFS(Dati!$I$2:$I$381,Dati!$H$2:$H$381,$H39,Dati!$A$2:$A$381,$AI39),"-")</f>
        <v/>
      </c>
      <c r="BF39" s="22">
        <f>IF(AND($H39&lt;&gt;"",$AJ39&lt;&gt;"",$H39&lt;&gt;$AJ39,IFERROR(VLOOKUP($H39,areaCercaPuntiClassificaSquadra,3,FALSE),-1)=IFERROR(VLOOKUP($AJ39,areaCercaPuntiClassificaSquadra,3,FALSE),-2)),SUMIFS(Dati!$B$2:$B$381,Dati!$A$2:$A$381,$H39,Dati!$H$2:$H$381,$AJ39)+SUMIFS(Dati!$I$2:$I$381,Dati!$H$2:$H$381,$H39,Dati!$A$2:$A$381,$AJ39),"-")</f>
        <v/>
      </c>
      <c r="BG39" s="22">
        <f>IF(AND($H39&lt;&gt;"",$AK39&lt;&gt;"",$H39&lt;&gt;$AK39,IFERROR(VLOOKUP($H39,areaCercaPuntiClassificaSquadra,3,FALSE),-1)=IFERROR(VLOOKUP($AK39,areaCercaPuntiClassificaSquadra,3,FALSE),-2)),SUMIFS(Dati!$B$2:$B$381,Dati!$A$2:$A$381,$H39,Dati!$H$2:$H$381,$AK39)+SUMIFS(Dati!$I$2:$I$381,Dati!$H$2:$H$381,$H39,Dati!$A$2:$A$381,$AK39),"-")</f>
        <v/>
      </c>
      <c r="BH39" s="22">
        <f>IF(AND($H39&lt;&gt;"",$AL39&lt;&gt;"",$H39&lt;&gt;$AL39,IFERROR(VLOOKUP($H39,areaCercaPuntiClassificaSquadra,3,FALSE),-1)=IFERROR(VLOOKUP($AL39,areaCercaPuntiClassificaSquadra,3,FALSE),-2)),SUMIFS(Dati!$B$2:$B$381,Dati!$A$2:$A$381,$H39,Dati!$H$2:$H$381,$AL39)+SUMIFS(Dati!$I$2:$I$381,Dati!$H$2:$H$381,$H39,Dati!$A$2:$A$381,$AL39),"-")</f>
        <v/>
      </c>
      <c r="BI39" s="22">
        <f>IF(AND($H39&lt;&gt;"",$AM39&lt;&gt;"",$H39&lt;&gt;$AM39,IFERROR(VLOOKUP($H39,areaCercaPuntiClassificaSquadra,3,FALSE),-1)=IFERROR(VLOOKUP($AM39,areaCercaPuntiClassificaSquadra,3,FALSE),-2)),SUMIFS(Dati!$B$2:$B$381,Dati!$A$2:$A$381,$H39,Dati!$H$2:$H$381,$AM39)+SUMIFS(Dati!$I$2:$I$381,Dati!$H$2:$H$381,$H39,Dati!$A$2:$A$381,$AM39),"-")</f>
        <v/>
      </c>
      <c r="BJ39" s="22">
        <f>IF(AND($H39&lt;&gt;"",$AN39&lt;&gt;"",$H39&lt;&gt;$AN39,IFERROR(VLOOKUP($H39,areaCercaPuntiClassificaSquadra,3,FALSE),-1)=IFERROR(VLOOKUP($AN39,areaCercaPuntiClassificaSquadra,3,FALSE),-2)),SUMIFS(Dati!$B$2:$B$381,Dati!$A$2:$A$381,$H39,Dati!$H$2:$H$381,$AN39)+SUMIFS(Dati!$I$2:$I$381,Dati!$H$2:$H$381,$H39,Dati!$A$2:$A$381,$AN39),"-")</f>
        <v/>
      </c>
      <c r="BK39" s="22">
        <f>IF(AND($H39&lt;&gt;"",$AO39&lt;&gt;"",$H39&lt;&gt;$AO39,IFERROR(VLOOKUP($H39,areaCercaPuntiClassificaSquadra,3,FALSE),-1)=IFERROR(VLOOKUP($AO39,areaCercaPuntiClassificaSquadra,3,FALSE),-2)),SUMIFS(Dati!$B$2:$B$381,Dati!$A$2:$A$381,$H39,Dati!$H$2:$H$381,$AO39)+SUMIFS(Dati!$I$2:$I$381,Dati!$H$2:$H$381,$H39,Dati!$A$2:$A$381,$AO39),"-")</f>
        <v/>
      </c>
      <c r="BL39" s="22">
        <f>IF(AND($H39&lt;&gt;"",$AP39&lt;&gt;"",$H39&lt;&gt;$AP39,IFERROR(VLOOKUP($H39,areaCercaPuntiClassificaSquadra,3,FALSE),-1)=IFERROR(VLOOKUP($AP39,areaCercaPuntiClassificaSquadra,3,FALSE),-2)),SUMIFS(Dati!$B$2:$B$381,Dati!$A$2:$A$381,$H39,Dati!$H$2:$H$381,$AP39)+SUMIFS(Dati!$I$2:$I$381,Dati!$H$2:$H$381,$H39,Dati!$A$2:$A$381,$AP39),"-")</f>
        <v/>
      </c>
      <c r="BM39" s="22">
        <f>IF(AND($H39&lt;&gt;"",$AQ39&lt;&gt;"",$H39&lt;&gt;$AQ39,IFERROR(VLOOKUP($H39,areaCercaPuntiClassificaSquadra,3,FALSE),-1)=IFERROR(VLOOKUP($AQ39,areaCercaPuntiClassificaSquadra,3,FALSE),-2)),SUMIFS(Dati!$B$2:$B$381,Dati!$A$2:$A$381,$H39,Dati!$H$2:$H$381,$AQ39)+SUMIFS(Dati!$I$2:$I$381,Dati!$H$2:$H$381,$H39,Dati!$A$2:$A$381,$AQ39),"-")</f>
        <v/>
      </c>
      <c r="BN39" s="22">
        <f>IF(AND($H39&lt;&gt;"",$AR39&lt;&gt;"",$H39&lt;&gt;$AR39,IFERROR(VLOOKUP($H39,areaCercaPuntiClassificaSquadra,3,FALSE),-1)=IFERROR(VLOOKUP($AR39,areaCercaPuntiClassificaSquadra,3,FALSE),-2)),SUMIFS(Dati!$B$2:$B$381,Dati!$A$2:$A$381,$H39,Dati!$H$2:$H$381,$AR39)+SUMIFS(Dati!$I$2:$I$381,Dati!$H$2:$H$381,$H39,Dati!$A$2:$A$381,$AR39),"-")</f>
        <v/>
      </c>
      <c r="BP39" s="21">
        <f>$C39</f>
        <v/>
      </c>
      <c r="BQ39" s="22">
        <f>IF(AND($H39&lt;&gt;"",$Y39&lt;&gt;"",$H39&lt;&gt;$Y39,IFERROR(VLOOKUP($H39,areaCercaPuntiClassificaSquadra,3,FALSE),-1)=IFERROR(VLOOKUP($Y39,areaCercaPuntiClassificaSquadra,3,FALSE),-2)),SUMIFS(Dati!$D$2:$D$381,Dati!$A$2:$A$381,$H39,Dati!$H$2:$H$381,$Y39)+SUMIFS(Dati!$K$2:$K$381,Dati!$H$2:$H$381,$H39,Dati!$A$2:$A$381,$Y39)+SUMIFS(Dati!$C$2:$C$381,Dati!$A$2:$A$381,$H39,Dati!$H$2:$H$381,$Y39)+SUMIFS(Dati!$J$2:$J$381,Dati!$H$2:$H$381,$H39,Dati!$A$2:$A$381,$Y39),"-")</f>
        <v/>
      </c>
      <c r="BR39" s="22">
        <f>IF(AND($H39&lt;&gt;"",$Z39&lt;&gt;"",$H39&lt;&gt;$Z39,IFERROR(VLOOKUP($H39,areaCercaPuntiClassificaSquadra,3,FALSE),-1)=IFERROR(VLOOKUP($Z39,areaCercaPuntiClassificaSquadra,3,FALSE),-2)),SUMIFS(Dati!$D$2:$D$381,Dati!$A$2:$A$381,$H39,Dati!$H$2:$H$381,$Z39)+SUMIFS(Dati!$K$2:$K$381,Dati!$H$2:$H$381,$H39,Dati!$A$2:$A$381,$Z39)+SUMIFS(Dati!$C$2:$C$381,Dati!$A$2:$A$381,$H39,Dati!$H$2:$H$381,$Z39)+SUMIFS(Dati!$J$2:$J$381,Dati!$H$2:$H$381,$H39,Dati!$A$2:$A$381,$Z39),"-")</f>
        <v/>
      </c>
      <c r="BS39" s="22">
        <f>IF(AND($H39&lt;&gt;"",$AA39&lt;&gt;"",$H39&lt;&gt;$AA39,IFERROR(VLOOKUP($H39,areaCercaPuntiClassificaSquadra,3,FALSE),-1)=IFERROR(VLOOKUP($AA39,areaCercaPuntiClassificaSquadra,3,FALSE),-2)),SUMIFS(Dati!$D$2:$D$381,Dati!$A$2:$A$381,$H39,Dati!$H$2:$H$381,$AA39)+SUMIFS(Dati!$K$2:$K$381,Dati!$H$2:$H$381,$H39,Dati!$A$2:$A$381,$AA39)+SUMIFS(Dati!$C$2:$C$381,Dati!$A$2:$A$381,$H39,Dati!$H$2:$H$381,$AA39)+SUMIFS(Dati!$J$2:$J$381,Dati!$H$2:$H$381,$H39,Dati!$A$2:$A$381,$AA39),"-")</f>
        <v/>
      </c>
      <c r="BT39" s="22">
        <f>IF(AND($H39&lt;&gt;"",$AB39&lt;&gt;"",$H39&lt;&gt;$AB39,IFERROR(VLOOKUP($H39,areaCercaPuntiClassificaSquadra,3,FALSE),-1)=IFERROR(VLOOKUP($AB39,areaCercaPuntiClassificaSquadra,3,FALSE),-2)),SUMIFS(Dati!$D$2:$D$381,Dati!$A$2:$A$381,$H39,Dati!$H$2:$H$381,$AB39)+SUMIFS(Dati!$K$2:$K$381,Dati!$H$2:$H$381,$H39,Dati!$A$2:$A$381,$AB39)+SUMIFS(Dati!$C$2:$C$381,Dati!$A$2:$A$381,$H39,Dati!$H$2:$H$381,$AB39)+SUMIFS(Dati!$J$2:$J$381,Dati!$H$2:$H$381,$H39,Dati!$A$2:$A$381,$AB39),"-")</f>
        <v/>
      </c>
      <c r="BU39" s="22">
        <f>IF(AND($H39&lt;&gt;"",$AC39&lt;&gt;"",$H39&lt;&gt;$AC39,IFERROR(VLOOKUP($H39,areaCercaPuntiClassificaSquadra,3,FALSE),-1)=IFERROR(VLOOKUP($AC39,areaCercaPuntiClassificaSquadra,3,FALSE),-2)),SUMIFS(Dati!$D$2:$D$381,Dati!$A$2:$A$381,$H39,Dati!$H$2:$H$381,$AC39)+SUMIFS(Dati!$K$2:$K$381,Dati!$H$2:$H$381,$H39,Dati!$A$2:$A$381,$AC39)+SUMIFS(Dati!$C$2:$C$381,Dati!$A$2:$A$381,$H39,Dati!$H$2:$H$381,$AC39)+SUMIFS(Dati!$J$2:$J$381,Dati!$H$2:$H$381,$H39,Dati!$A$2:$A$381,$AC39),"-")</f>
        <v/>
      </c>
      <c r="BV39" s="22">
        <f>IF(AND($H39&lt;&gt;"",$AD39&lt;&gt;"",$H39&lt;&gt;$AD39,IFERROR(VLOOKUP($H39,areaCercaPuntiClassificaSquadra,3,FALSE),-1)=IFERROR(VLOOKUP($AD39,areaCercaPuntiClassificaSquadra,3,FALSE),-2)),SUMIFS(Dati!$D$2:$D$381,Dati!$A$2:$A$381,$H39,Dati!$H$2:$H$381,$AD39)+SUMIFS(Dati!$K$2:$K$381,Dati!$H$2:$H$381,$H39,Dati!$A$2:$A$381,$AD39)+SUMIFS(Dati!$C$2:$C$381,Dati!$A$2:$A$381,$H39,Dati!$H$2:$H$381,$AD39)+SUMIFS(Dati!$J$2:$J$381,Dati!$H$2:$H$381,$H39,Dati!$A$2:$A$381,$AD39),"-")</f>
        <v/>
      </c>
      <c r="BW39" s="22">
        <f>IF(AND($H39&lt;&gt;"",$AE39&lt;&gt;"",$H39&lt;&gt;$AE39,IFERROR(VLOOKUP($H39,areaCercaPuntiClassificaSquadra,3,FALSE),-1)=IFERROR(VLOOKUP($AE39,areaCercaPuntiClassificaSquadra,3,FALSE),-2)),SUMIFS(Dati!$D$2:$D$381,Dati!$A$2:$A$381,$H39,Dati!$H$2:$H$381,$AE39)+SUMIFS(Dati!$K$2:$K$381,Dati!$H$2:$H$381,$H39,Dati!$A$2:$A$381,$AE39)+SUMIFS(Dati!$C$2:$C$381,Dati!$A$2:$A$381,$H39,Dati!$H$2:$H$381,$AE39)+SUMIFS(Dati!$J$2:$J$381,Dati!$H$2:$H$381,$H39,Dati!$A$2:$A$381,$AE39),"-")</f>
        <v/>
      </c>
      <c r="BX39" s="22">
        <f>IF(AND($H39&lt;&gt;"",$AF39&lt;&gt;"",$H39&lt;&gt;$AF39,IFERROR(VLOOKUP($H39,areaCercaPuntiClassificaSquadra,3,FALSE),-1)=IFERROR(VLOOKUP($AF39,areaCercaPuntiClassificaSquadra,3,FALSE),-2)),SUMIFS(Dati!$D$2:$D$381,Dati!$A$2:$A$381,$H39,Dati!$H$2:$H$381,$AF39)+SUMIFS(Dati!$K$2:$K$381,Dati!$H$2:$H$381,$H39,Dati!$A$2:$A$381,$AF39)+SUMIFS(Dati!$C$2:$C$381,Dati!$A$2:$A$381,$H39,Dati!$H$2:$H$381,$AF39)+SUMIFS(Dati!$J$2:$J$381,Dati!$H$2:$H$381,$H39,Dati!$A$2:$A$381,$AF39),"-")</f>
        <v/>
      </c>
      <c r="BY39" s="22">
        <f>IF(AND($H39&lt;&gt;"",$AG39&lt;&gt;"",$H39&lt;&gt;$AG39,IFERROR(VLOOKUP($H39,areaCercaPuntiClassificaSquadra,3,FALSE),-1)=IFERROR(VLOOKUP($AG39,areaCercaPuntiClassificaSquadra,3,FALSE),-2)),SUMIFS(Dati!$D$2:$D$381,Dati!$A$2:$A$381,$H39,Dati!$H$2:$H$381,$AG39)+SUMIFS(Dati!$K$2:$K$381,Dati!$H$2:$H$381,$H39,Dati!$A$2:$A$381,$AG39)+SUMIFS(Dati!$C$2:$C$381,Dati!$A$2:$A$381,$H39,Dati!$H$2:$H$381,$AG39)+SUMIFS(Dati!$J$2:$J$381,Dati!$H$2:$H$381,$H39,Dati!$A$2:$A$381,$AG39),"-")</f>
        <v/>
      </c>
      <c r="BZ39" s="22">
        <f>IF(AND($H39&lt;&gt;"",$AH39&lt;&gt;"",$H39&lt;&gt;$AH39,IFERROR(VLOOKUP($H39,areaCercaPuntiClassificaSquadra,3,FALSE),-1)=IFERROR(VLOOKUP($AH39,areaCercaPuntiClassificaSquadra,3,FALSE),-2)),SUMIFS(Dati!$D$2:$D$381,Dati!$A$2:$A$381,$H39,Dati!$H$2:$H$381,$AH39)+SUMIFS(Dati!$K$2:$K$381,Dati!$H$2:$H$381,$H39,Dati!$A$2:$A$381,$AH39)+SUMIFS(Dati!$C$2:$C$381,Dati!$A$2:$A$381,$H39,Dati!$H$2:$H$381,$AH39)+SUMIFS(Dati!$J$2:$J$381,Dati!$H$2:$H$381,$H39,Dati!$A$2:$A$381,$AH39),"-")</f>
        <v/>
      </c>
      <c r="CA39" s="22">
        <f>IF(AND($H39&lt;&gt;"",$AI39&lt;&gt;"",$H39&lt;&gt;$AI39,IFERROR(VLOOKUP($H39,areaCercaPuntiClassificaSquadra,3,FALSE),-1)=IFERROR(VLOOKUP($AI39,areaCercaPuntiClassificaSquadra,3,FALSE),-2)),SUMIFS(Dati!$D$2:$D$381,Dati!$A$2:$A$381,$H39,Dati!$H$2:$H$381,$AI39)+SUMIFS(Dati!$K$2:$K$381,Dati!$H$2:$H$381,$H39,Dati!$A$2:$A$381,$AI39)+SUMIFS(Dati!$C$2:$C$381,Dati!$A$2:$A$381,$H39,Dati!$H$2:$H$381,$AI39)+SUMIFS(Dati!$J$2:$J$381,Dati!$H$2:$H$381,$H39,Dati!$A$2:$A$381,$AI39),"-")</f>
        <v/>
      </c>
      <c r="CB39" s="22">
        <f>IF(AND($H39&lt;&gt;"",$AJ39&lt;&gt;"",$H39&lt;&gt;$AJ39,IFERROR(VLOOKUP($H39,areaCercaPuntiClassificaSquadra,3,FALSE),-1)=IFERROR(VLOOKUP($AJ39,areaCercaPuntiClassificaSquadra,3,FALSE),-2)),SUMIFS(Dati!$D$2:$D$381,Dati!$A$2:$A$381,$H39,Dati!$H$2:$H$381,$AJ39)+SUMIFS(Dati!$K$2:$K$381,Dati!$H$2:$H$381,$H39,Dati!$A$2:$A$381,$AJ39)+SUMIFS(Dati!$C$2:$C$381,Dati!$A$2:$A$381,$H39,Dati!$H$2:$H$381,$AJ39)+SUMIFS(Dati!$J$2:$J$381,Dati!$H$2:$H$381,$H39,Dati!$A$2:$A$381,$AJ39),"-")</f>
        <v/>
      </c>
      <c r="CC39" s="22">
        <f>IF(AND($H39&lt;&gt;"",$AK39&lt;&gt;"",$H39&lt;&gt;$AK39,IFERROR(VLOOKUP($H39,areaCercaPuntiClassificaSquadra,3,FALSE),-1)=IFERROR(VLOOKUP($AK39,areaCercaPuntiClassificaSquadra,3,FALSE),-2)),SUMIFS(Dati!$D$2:$D$381,Dati!$A$2:$A$381,$H39,Dati!$H$2:$H$381,$AK39)+SUMIFS(Dati!$K$2:$K$381,Dati!$H$2:$H$381,$H39,Dati!$A$2:$A$381,$AK39)+SUMIFS(Dati!$C$2:$C$381,Dati!$A$2:$A$381,$H39,Dati!$H$2:$H$381,$AK39)+SUMIFS(Dati!$J$2:$J$381,Dati!$H$2:$H$381,$H39,Dati!$A$2:$A$381,$AK39),"-")</f>
        <v/>
      </c>
      <c r="CD39" s="22">
        <f>IF(AND($H39&lt;&gt;"",$AL39&lt;&gt;"",$H39&lt;&gt;$AL39,IFERROR(VLOOKUP($H39,areaCercaPuntiClassificaSquadra,3,FALSE),-1)=IFERROR(VLOOKUP($AL39,areaCercaPuntiClassificaSquadra,3,FALSE),-2)),SUMIFS(Dati!$D$2:$D$381,Dati!$A$2:$A$381,$H39,Dati!$H$2:$H$381,$AL39)+SUMIFS(Dati!$K$2:$K$381,Dati!$H$2:$H$381,$H39,Dati!$A$2:$A$381,$AL39)+SUMIFS(Dati!$C$2:$C$381,Dati!$A$2:$A$381,$H39,Dati!$H$2:$H$381,$AL39)+SUMIFS(Dati!$J$2:$J$381,Dati!$H$2:$H$381,$H39,Dati!$A$2:$A$381,$AL39),"-")</f>
        <v/>
      </c>
      <c r="CE39" s="22">
        <f>IF(AND($H39&lt;&gt;"",$AM39&lt;&gt;"",$H39&lt;&gt;$AM39,IFERROR(VLOOKUP($H39,areaCercaPuntiClassificaSquadra,3,FALSE),-1)=IFERROR(VLOOKUP($AM39,areaCercaPuntiClassificaSquadra,3,FALSE),-2)),SUMIFS(Dati!$D$2:$D$381,Dati!$A$2:$A$381,$H39,Dati!$H$2:$H$381,$AM39)+SUMIFS(Dati!$K$2:$K$381,Dati!$H$2:$H$381,$H39,Dati!$A$2:$A$381,$AM39)+SUMIFS(Dati!$C$2:$C$381,Dati!$A$2:$A$381,$H39,Dati!$H$2:$H$381,$AM39)+SUMIFS(Dati!$J$2:$J$381,Dati!$H$2:$H$381,$H39,Dati!$A$2:$A$381,$AM39),"-")</f>
        <v/>
      </c>
      <c r="CF39" s="22">
        <f>IF(AND($H39&lt;&gt;"",$AN39&lt;&gt;"",$H39&lt;&gt;$AN39,IFERROR(VLOOKUP($H39,areaCercaPuntiClassificaSquadra,3,FALSE),-1)=IFERROR(VLOOKUP($AN39,areaCercaPuntiClassificaSquadra,3,FALSE),-2)),SUMIFS(Dati!$D$2:$D$381,Dati!$A$2:$A$381,$H39,Dati!$H$2:$H$381,$AN39)+SUMIFS(Dati!$K$2:$K$381,Dati!$H$2:$H$381,$H39,Dati!$A$2:$A$381,$AN39)+SUMIFS(Dati!$C$2:$C$381,Dati!$A$2:$A$381,$H39,Dati!$H$2:$H$381,$AN39)+SUMIFS(Dati!$J$2:$J$381,Dati!$H$2:$H$381,$H39,Dati!$A$2:$A$381,$AN39),"-")</f>
        <v/>
      </c>
      <c r="CG39" s="22">
        <f>IF(AND($H39&lt;&gt;"",$AO39&lt;&gt;"",$H39&lt;&gt;$AO39,IFERROR(VLOOKUP($H39,areaCercaPuntiClassificaSquadra,3,FALSE),-1)=IFERROR(VLOOKUP($AO39,areaCercaPuntiClassificaSquadra,3,FALSE),-2)),SUMIFS(Dati!$D$2:$D$381,Dati!$A$2:$A$381,$H39,Dati!$H$2:$H$381,$AO39)+SUMIFS(Dati!$K$2:$K$381,Dati!$H$2:$H$381,$H39,Dati!$A$2:$A$381,$AO39)+SUMIFS(Dati!$C$2:$C$381,Dati!$A$2:$A$381,$H39,Dati!$H$2:$H$381,$AO39)+SUMIFS(Dati!$J$2:$J$381,Dati!$H$2:$H$381,$H39,Dati!$A$2:$A$381,$AO39),"-")</f>
        <v/>
      </c>
      <c r="CH39" s="22">
        <f>IF(AND($H39&lt;&gt;"",$AP39&lt;&gt;"",$H39&lt;&gt;$AP39,IFERROR(VLOOKUP($H39,areaCercaPuntiClassificaSquadra,3,FALSE),-1)=IFERROR(VLOOKUP($AP39,areaCercaPuntiClassificaSquadra,3,FALSE),-2)),SUMIFS(Dati!$D$2:$D$381,Dati!$A$2:$A$381,$H39,Dati!$H$2:$H$381,$AP39)+SUMIFS(Dati!$K$2:$K$381,Dati!$H$2:$H$381,$H39,Dati!$A$2:$A$381,$AP39)+SUMIFS(Dati!$C$2:$C$381,Dati!$A$2:$A$381,$H39,Dati!$H$2:$H$381,$AP39)+SUMIFS(Dati!$J$2:$J$381,Dati!$H$2:$H$381,$H39,Dati!$A$2:$A$381,$AP39),"-")</f>
        <v/>
      </c>
      <c r="CI39" s="22">
        <f>IF(AND($H39&lt;&gt;"",$AQ39&lt;&gt;"",$H39&lt;&gt;$AQ39,IFERROR(VLOOKUP($H39,areaCercaPuntiClassificaSquadra,3,FALSE),-1)=IFERROR(VLOOKUP($AQ39,areaCercaPuntiClassificaSquadra,3,FALSE),-2)),SUMIFS(Dati!$D$2:$D$381,Dati!$A$2:$A$381,$H39,Dati!$H$2:$H$381,$AQ39)+SUMIFS(Dati!$K$2:$K$381,Dati!$H$2:$H$381,$H39,Dati!$A$2:$A$381,$AQ39)+SUMIFS(Dati!$C$2:$C$381,Dati!$A$2:$A$381,$H39,Dati!$H$2:$H$381,$AQ39)+SUMIFS(Dati!$J$2:$J$381,Dati!$H$2:$H$381,$H39,Dati!$A$2:$A$381,$AQ39),"-")</f>
        <v/>
      </c>
      <c r="CJ39" s="22">
        <f>IF(AND($H39&lt;&gt;"",$AR39&lt;&gt;"",$H39&lt;&gt;$AR39,IFERROR(VLOOKUP($H39,areaCercaPuntiClassificaSquadra,3,FALSE),-1)=IFERROR(VLOOKUP($AR39,areaCercaPuntiClassificaSquadra,3,FALSE),-2)),SUMIFS(Dati!$D$2:$D$381,Dati!$A$2:$A$381,$H39,Dati!$H$2:$H$381,$AR39)+SUMIFS(Dati!$K$2:$K$381,Dati!$H$2:$H$381,$H39,Dati!$A$2:$A$381,$AR39)+SUMIFS(Dati!$C$2:$C$381,Dati!$A$2:$A$381,$H39,Dati!$H$2:$H$381,$AR39)+SUMIFS(Dati!$J$2:$J$381,Dati!$H$2:$H$381,$H39,Dati!$A$2:$A$381,$AR39),"-")</f>
        <v/>
      </c>
      <c r="CL39" s="21">
        <f>$C39</f>
        <v/>
      </c>
      <c r="CM39" s="22">
        <f>IF(AND($H39&lt;&gt;"",$Y39&lt;&gt;"",$H39&lt;&gt;$Y39,IFERROR(VLOOKUP($H39,areaCercaPuntiClassificaSquadra,3,FALSE),-1)=IFERROR(VLOOKUP($Y39,areaCercaPuntiClassificaSquadra,3,FALSE),-2)),SUMIFS(Dati!$E$2:$E$381,Dati!$A$2:$A$381,$H39,Dati!$H$2:$H$381,$Y39)+SUMIFS(Dati!$L$2:$L$381,Dati!$H$2:$H$381,$H39,Dati!$A$2:$A$381,$Y39),"-")</f>
        <v/>
      </c>
      <c r="CN39" s="22">
        <f>IF(AND($H39&lt;&gt;"",$Z39&lt;&gt;"",$H39&lt;&gt;$Z39,IFERROR(VLOOKUP($H39,areaCercaPuntiClassificaSquadra,3,FALSE),-1)=IFERROR(VLOOKUP($Z39,areaCercaPuntiClassificaSquadra,3,FALSE),-2)),SUMIFS(Dati!$E$2:$E$381,Dati!$A$2:$A$381,$H39,Dati!$H$2:$H$381,$Z39)+SUMIFS(Dati!$L$2:$L$381,Dati!$H$2:$H$381,$H39,Dati!$A$2:$A$381,$Z39),"-")</f>
        <v/>
      </c>
      <c r="CO39" s="22">
        <f>IF(AND($H39&lt;&gt;"",$AA39&lt;&gt;"",$H39&lt;&gt;$AA39,IFERROR(VLOOKUP($H39,areaCercaPuntiClassificaSquadra,3,FALSE),-1)=IFERROR(VLOOKUP($AA39,areaCercaPuntiClassificaSquadra,3,FALSE),-2)),SUMIFS(Dati!$E$2:$E$381,Dati!$A$2:$A$381,$H39,Dati!$H$2:$H$381,$AA39)+SUMIFS(Dati!$L$2:$L$381,Dati!$H$2:$H$381,$H39,Dati!$A$2:$A$381,$AA39),"-")</f>
        <v/>
      </c>
      <c r="CP39" s="22">
        <f>IF(AND($H39&lt;&gt;"",$AB39&lt;&gt;"",$H39&lt;&gt;$AB39,IFERROR(VLOOKUP($H39,areaCercaPuntiClassificaSquadra,3,FALSE),-1)=IFERROR(VLOOKUP($AB39,areaCercaPuntiClassificaSquadra,3,FALSE),-2)),SUMIFS(Dati!$E$2:$E$381,Dati!$A$2:$A$381,$H39,Dati!$H$2:$H$381,$AB39)+SUMIFS(Dati!$L$2:$L$381,Dati!$H$2:$H$381,$H39,Dati!$A$2:$A$381,$AB39),"-")</f>
        <v/>
      </c>
      <c r="CQ39" s="22">
        <f>IF(AND($H39&lt;&gt;"",$AC39&lt;&gt;"",$H39&lt;&gt;$AC39,IFERROR(VLOOKUP($H39,areaCercaPuntiClassificaSquadra,3,FALSE),-1)=IFERROR(VLOOKUP($AC39,areaCercaPuntiClassificaSquadra,3,FALSE),-2)),SUMIFS(Dati!$E$2:$E$381,Dati!$A$2:$A$381,$H39,Dati!$H$2:$H$381,$AC39)+SUMIFS(Dati!$L$2:$L$381,Dati!$H$2:$H$381,$H39,Dati!$A$2:$A$381,$AC39),"-")</f>
        <v/>
      </c>
      <c r="CR39" s="22">
        <f>IF(AND($H39&lt;&gt;"",$AD39&lt;&gt;"",$H39&lt;&gt;$AD39,IFERROR(VLOOKUP($H39,areaCercaPuntiClassificaSquadra,3,FALSE),-1)=IFERROR(VLOOKUP($AD39,areaCercaPuntiClassificaSquadra,3,FALSE),-2)),SUMIFS(Dati!$E$2:$E$381,Dati!$A$2:$A$381,$H39,Dati!$H$2:$H$381,$AD39)+SUMIFS(Dati!$L$2:$L$381,Dati!$H$2:$H$381,$H39,Dati!$A$2:$A$381,$AD39),"-")</f>
        <v/>
      </c>
      <c r="CS39" s="22">
        <f>IF(AND($H39&lt;&gt;"",$AE39&lt;&gt;"",$H39&lt;&gt;$AE39,IFERROR(VLOOKUP($H39,areaCercaPuntiClassificaSquadra,3,FALSE),-1)=IFERROR(VLOOKUP($AE39,areaCercaPuntiClassificaSquadra,3,FALSE),-2)),SUMIFS(Dati!$E$2:$E$381,Dati!$A$2:$A$381,$H39,Dati!$H$2:$H$381,$AE39)+SUMIFS(Dati!$L$2:$L$381,Dati!$H$2:$H$381,$H39,Dati!$A$2:$A$381,$AE39),"-")</f>
        <v/>
      </c>
      <c r="CT39" s="22">
        <f>IF(AND($H39&lt;&gt;"",$AF39&lt;&gt;"",$H39&lt;&gt;$AF39,IFERROR(VLOOKUP($H39,areaCercaPuntiClassificaSquadra,3,FALSE),-1)=IFERROR(VLOOKUP($AF39,areaCercaPuntiClassificaSquadra,3,FALSE),-2)),SUMIFS(Dati!$E$2:$E$381,Dati!$A$2:$A$381,$H39,Dati!$H$2:$H$381,$AF39)+SUMIFS(Dati!$L$2:$L$381,Dati!$H$2:$H$381,$H39,Dati!$A$2:$A$381,$AF39),"-")</f>
        <v/>
      </c>
      <c r="CU39" s="22">
        <f>IF(AND($H39&lt;&gt;"",$AG39&lt;&gt;"",$H39&lt;&gt;$AG39,IFERROR(VLOOKUP($H39,areaCercaPuntiClassificaSquadra,3,FALSE),-1)=IFERROR(VLOOKUP($AG39,areaCercaPuntiClassificaSquadra,3,FALSE),-2)),SUMIFS(Dati!$E$2:$E$381,Dati!$A$2:$A$381,$H39,Dati!$H$2:$H$381,$AG39)+SUMIFS(Dati!$L$2:$L$381,Dati!$H$2:$H$381,$H39,Dati!$A$2:$A$381,$AG39),"-")</f>
        <v/>
      </c>
      <c r="CV39" s="22">
        <f>IF(AND($H39&lt;&gt;"",$AH39&lt;&gt;"",$H39&lt;&gt;$AH39,IFERROR(VLOOKUP($H39,areaCercaPuntiClassificaSquadra,3,FALSE),-1)=IFERROR(VLOOKUP($AH39,areaCercaPuntiClassificaSquadra,3,FALSE),-2)),SUMIFS(Dati!$E$2:$E$381,Dati!$A$2:$A$381,$H39,Dati!$H$2:$H$381,$AH39)+SUMIFS(Dati!$L$2:$L$381,Dati!$H$2:$H$381,$H39,Dati!$A$2:$A$381,$AH39),"-")</f>
        <v/>
      </c>
      <c r="CW39" s="22">
        <f>IF(AND($H39&lt;&gt;"",$AI39&lt;&gt;"",$H39&lt;&gt;$AI39,IFERROR(VLOOKUP($H39,areaCercaPuntiClassificaSquadra,3,FALSE),-1)=IFERROR(VLOOKUP($AI39,areaCercaPuntiClassificaSquadra,3,FALSE),-2)),SUMIFS(Dati!$E$2:$E$381,Dati!$A$2:$A$381,$H39,Dati!$H$2:$H$381,$AI39)+SUMIFS(Dati!$L$2:$L$381,Dati!$H$2:$H$381,$H39,Dati!$A$2:$A$381,$AI39),"-")</f>
        <v/>
      </c>
      <c r="CX39" s="22">
        <f>IF(AND($H39&lt;&gt;"",$AJ39&lt;&gt;"",$H39&lt;&gt;$AJ39,IFERROR(VLOOKUP($H39,areaCercaPuntiClassificaSquadra,3,FALSE),-1)=IFERROR(VLOOKUP($AJ39,areaCercaPuntiClassificaSquadra,3,FALSE),-2)),SUMIFS(Dati!$E$2:$E$381,Dati!$A$2:$A$381,$H39,Dati!$H$2:$H$381,$AJ39)+SUMIFS(Dati!$L$2:$L$381,Dati!$H$2:$H$381,$H39,Dati!$A$2:$A$381,$AJ39),"-")</f>
        <v/>
      </c>
      <c r="CY39" s="22">
        <f>IF(AND($H39&lt;&gt;"",$AK39&lt;&gt;"",$H39&lt;&gt;$AK39,IFERROR(VLOOKUP($H39,areaCercaPuntiClassificaSquadra,3,FALSE),-1)=IFERROR(VLOOKUP($AK39,areaCercaPuntiClassificaSquadra,3,FALSE),-2)),SUMIFS(Dati!$E$2:$E$381,Dati!$A$2:$A$381,$H39,Dati!$H$2:$H$381,$AK39)+SUMIFS(Dati!$L$2:$L$381,Dati!$H$2:$H$381,$H39,Dati!$A$2:$A$381,$AK39),"-")</f>
        <v/>
      </c>
      <c r="CZ39" s="22">
        <f>IF(AND($H39&lt;&gt;"",$AL39&lt;&gt;"",$H39&lt;&gt;$AL39,IFERROR(VLOOKUP($H39,areaCercaPuntiClassificaSquadra,3,FALSE),-1)=IFERROR(VLOOKUP($AL39,areaCercaPuntiClassificaSquadra,3,FALSE),-2)),SUMIFS(Dati!$E$2:$E$381,Dati!$A$2:$A$381,$H39,Dati!$H$2:$H$381,$AL39)+SUMIFS(Dati!$L$2:$L$381,Dati!$H$2:$H$381,$H39,Dati!$A$2:$A$381,$AL39),"-")</f>
        <v/>
      </c>
      <c r="DA39" s="22">
        <f>IF(AND($H39&lt;&gt;"",$AM39&lt;&gt;"",$H39&lt;&gt;$AM39,IFERROR(VLOOKUP($H39,areaCercaPuntiClassificaSquadra,3,FALSE),-1)=IFERROR(VLOOKUP($AM39,areaCercaPuntiClassificaSquadra,3,FALSE),-2)),SUMIFS(Dati!$E$2:$E$381,Dati!$A$2:$A$381,$H39,Dati!$H$2:$H$381,$AM39)+SUMIFS(Dati!$L$2:$L$381,Dati!$H$2:$H$381,$H39,Dati!$A$2:$A$381,$AM39),"-")</f>
        <v/>
      </c>
      <c r="DB39" s="22">
        <f>IF(AND($H39&lt;&gt;"",$AN39&lt;&gt;"",$H39&lt;&gt;$AN39,IFERROR(VLOOKUP($H39,areaCercaPuntiClassificaSquadra,3,FALSE),-1)=IFERROR(VLOOKUP($AN39,areaCercaPuntiClassificaSquadra,3,FALSE),-2)),SUMIFS(Dati!$E$2:$E$381,Dati!$A$2:$A$381,$H39,Dati!$H$2:$H$381,$AN39)+SUMIFS(Dati!$L$2:$L$381,Dati!$H$2:$H$381,$H39,Dati!$A$2:$A$381,$AN39),"-")</f>
        <v/>
      </c>
      <c r="DC39" s="22">
        <f>IF(AND($H39&lt;&gt;"",$AO39&lt;&gt;"",$H39&lt;&gt;$AO39,IFERROR(VLOOKUP($H39,areaCercaPuntiClassificaSquadra,3,FALSE),-1)=IFERROR(VLOOKUP($AO39,areaCercaPuntiClassificaSquadra,3,FALSE),-2)),SUMIFS(Dati!$E$2:$E$381,Dati!$A$2:$A$381,$H39,Dati!$H$2:$H$381,$AO39)+SUMIFS(Dati!$L$2:$L$381,Dati!$H$2:$H$381,$H39,Dati!$A$2:$A$381,$AO39),"-")</f>
        <v/>
      </c>
      <c r="DD39" s="22">
        <f>IF(AND($H39&lt;&gt;"",$AP39&lt;&gt;"",$H39&lt;&gt;$AP39,IFERROR(VLOOKUP($H39,areaCercaPuntiClassificaSquadra,3,FALSE),-1)=IFERROR(VLOOKUP($AP39,areaCercaPuntiClassificaSquadra,3,FALSE),-2)),SUMIFS(Dati!$E$2:$E$381,Dati!$A$2:$A$381,$H39,Dati!$H$2:$H$381,$AP39)+SUMIFS(Dati!$L$2:$L$381,Dati!$H$2:$H$381,$H39,Dati!$A$2:$A$381,$AP39),"-")</f>
        <v/>
      </c>
      <c r="DE39" s="22">
        <f>IF(AND($H39&lt;&gt;"",$AQ39&lt;&gt;"",$H39&lt;&gt;$AQ39,IFERROR(VLOOKUP($H39,areaCercaPuntiClassificaSquadra,3,FALSE),-1)=IFERROR(VLOOKUP($AQ39,areaCercaPuntiClassificaSquadra,3,FALSE),-2)),SUMIFS(Dati!$E$2:$E$381,Dati!$A$2:$A$381,$H39,Dati!$H$2:$H$381,$AQ39)+SUMIFS(Dati!$L$2:$L$381,Dati!$H$2:$H$381,$H39,Dati!$A$2:$A$381,$AQ39),"-")</f>
        <v/>
      </c>
      <c r="DF39" s="22">
        <f>IF(AND($H39&lt;&gt;"",$AR39&lt;&gt;"",$H39&lt;&gt;$AR39,IFERROR(VLOOKUP($H39,areaCercaPuntiClassificaSquadra,3,FALSE),-1)=IFERROR(VLOOKUP($AR39,areaCercaPuntiClassificaSquadra,3,FALSE),-2)),SUMIFS(Dati!$E$2:$E$381,Dati!$A$2:$A$381,$H39,Dati!$H$2:$H$381,$AR39)+SUMIFS(Dati!$L$2:$L$381,Dati!$H$2:$H$381,$H39,Dati!$A$2:$A$381,$AR39),"-")</f>
        <v/>
      </c>
      <c r="DH39" s="21">
        <f>$C39</f>
        <v/>
      </c>
      <c r="DI39" s="22">
        <f>IF(AND($H39&lt;&gt;"",$Y39&lt;&gt;"",$H39&lt;&gt;$Y39,IFERROR(VLOOKUP($H39,areaCercaPuntiClassificaSquadra,3,FALSE),-1)=IFERROR(VLOOKUP($Y39,areaCercaPuntiClassificaSquadra,3,FALSE),-2)),SUMIFS(Dati!$F$2:$F$381,Dati!$A$2:$A$381,$H39,Dati!$H$2:$H$381,$Y39)+SUMIFS(Dati!$M$2:$M$381,Dati!$H$2:$H$381,$H39,Dati!$A$2:$A$381,$Y39),"-")</f>
        <v/>
      </c>
      <c r="DJ39" s="22">
        <f>IF(AND($H39&lt;&gt;"",$Z39&lt;&gt;"",$H39&lt;&gt;$Z39,IFERROR(VLOOKUP($H39,areaCercaPuntiClassificaSquadra,3,FALSE),-1)=IFERROR(VLOOKUP($Z39,areaCercaPuntiClassificaSquadra,3,FALSE),-2)),SUMIFS(Dati!$F$2:$F$381,Dati!$A$2:$A$381,$H39,Dati!$H$2:$H$381,$Z39)+SUMIFS(Dati!$M$2:$M$381,Dati!$H$2:$H$381,$H39,Dati!$A$2:$A$381,$Z39),"-")</f>
        <v/>
      </c>
      <c r="DK39" s="22">
        <f>IF(AND($H39&lt;&gt;"",$AA39&lt;&gt;"",$H39&lt;&gt;$AA39,IFERROR(VLOOKUP($H39,areaCercaPuntiClassificaSquadra,3,FALSE),-1)=IFERROR(VLOOKUP($AA39,areaCercaPuntiClassificaSquadra,3,FALSE),-2)),SUMIFS(Dati!$F$2:$F$381,Dati!$A$2:$A$381,$H39,Dati!$H$2:$H$381,$AA39)+SUMIFS(Dati!$M$2:$M$381,Dati!$H$2:$H$381,$H39,Dati!$A$2:$A$381,$AA39),"-")</f>
        <v/>
      </c>
      <c r="DL39" s="22">
        <f>IF(AND($H39&lt;&gt;"",$AB39&lt;&gt;"",$H39&lt;&gt;$AB39,IFERROR(VLOOKUP($H39,areaCercaPuntiClassificaSquadra,3,FALSE),-1)=IFERROR(VLOOKUP($AB39,areaCercaPuntiClassificaSquadra,3,FALSE),-2)),SUMIFS(Dati!$F$2:$F$381,Dati!$A$2:$A$381,$H39,Dati!$H$2:$H$381,$AB39)+SUMIFS(Dati!$M$2:$M$381,Dati!$H$2:$H$381,$H39,Dati!$A$2:$A$381,$AB39),"-")</f>
        <v/>
      </c>
      <c r="DM39" s="22">
        <f>IF(AND($H39&lt;&gt;"",$AC39&lt;&gt;"",$H39&lt;&gt;$AC39,IFERROR(VLOOKUP($H39,areaCercaPuntiClassificaSquadra,3,FALSE),-1)=IFERROR(VLOOKUP($AC39,areaCercaPuntiClassificaSquadra,3,FALSE),-2)),SUMIFS(Dati!$F$2:$F$381,Dati!$A$2:$A$381,$H39,Dati!$H$2:$H$381,$AC39)+SUMIFS(Dati!$M$2:$M$381,Dati!$H$2:$H$381,$H39,Dati!$A$2:$A$381,$AC39),"-")</f>
        <v/>
      </c>
      <c r="DN39" s="22">
        <f>IF(AND($H39&lt;&gt;"",$AD39&lt;&gt;"",$H39&lt;&gt;$AD39,IFERROR(VLOOKUP($H39,areaCercaPuntiClassificaSquadra,3,FALSE),-1)=IFERROR(VLOOKUP($AD39,areaCercaPuntiClassificaSquadra,3,FALSE),-2)),SUMIFS(Dati!$F$2:$F$381,Dati!$A$2:$A$381,$H39,Dati!$H$2:$H$381,$AD39)+SUMIFS(Dati!$M$2:$M$381,Dati!$H$2:$H$381,$H39,Dati!$A$2:$A$381,$AD39),"-")</f>
        <v/>
      </c>
      <c r="DO39" s="22">
        <f>IF(AND($H39&lt;&gt;"",$AE39&lt;&gt;"",$H39&lt;&gt;$AE39,IFERROR(VLOOKUP($H39,areaCercaPuntiClassificaSquadra,3,FALSE),-1)=IFERROR(VLOOKUP($AE39,areaCercaPuntiClassificaSquadra,3,FALSE),-2)),SUMIFS(Dati!$F$2:$F$381,Dati!$A$2:$A$381,$H39,Dati!$H$2:$H$381,$AE39)+SUMIFS(Dati!$M$2:$M$381,Dati!$H$2:$H$381,$H39,Dati!$A$2:$A$381,$AE39),"-")</f>
        <v/>
      </c>
      <c r="DP39" s="22">
        <f>IF(AND($H39&lt;&gt;"",$AF39&lt;&gt;"",$H39&lt;&gt;$AF39,IFERROR(VLOOKUP($H39,areaCercaPuntiClassificaSquadra,3,FALSE),-1)=IFERROR(VLOOKUP($AF39,areaCercaPuntiClassificaSquadra,3,FALSE),-2)),SUMIFS(Dati!$F$2:$F$381,Dati!$A$2:$A$381,$H39,Dati!$H$2:$H$381,$AF39)+SUMIFS(Dati!$M$2:$M$381,Dati!$H$2:$H$381,$H39,Dati!$A$2:$A$381,$AF39),"-")</f>
        <v/>
      </c>
      <c r="DQ39" s="22">
        <f>IF(AND($H39&lt;&gt;"",$AG39&lt;&gt;"",$H39&lt;&gt;$AG39,IFERROR(VLOOKUP($H39,areaCercaPuntiClassificaSquadra,3,FALSE),-1)=IFERROR(VLOOKUP($AG39,areaCercaPuntiClassificaSquadra,3,FALSE),-2)),SUMIFS(Dati!$F$2:$F$381,Dati!$A$2:$A$381,$H39,Dati!$H$2:$H$381,$AG39)+SUMIFS(Dati!$M$2:$M$381,Dati!$H$2:$H$381,$H39,Dati!$A$2:$A$381,$AG39),"-")</f>
        <v/>
      </c>
      <c r="DR39" s="22">
        <f>IF(AND($H39&lt;&gt;"",$AH39&lt;&gt;"",$H39&lt;&gt;$AH39,IFERROR(VLOOKUP($H39,areaCercaPuntiClassificaSquadra,3,FALSE),-1)=IFERROR(VLOOKUP($AH39,areaCercaPuntiClassificaSquadra,3,FALSE),-2)),SUMIFS(Dati!$F$2:$F$381,Dati!$A$2:$A$381,$H39,Dati!$H$2:$H$381,$AH39)+SUMIFS(Dati!$M$2:$M$381,Dati!$H$2:$H$381,$H39,Dati!$A$2:$A$381,$AH39),"-")</f>
        <v/>
      </c>
      <c r="DS39" s="22">
        <f>IF(AND($H39&lt;&gt;"",$AI39&lt;&gt;"",$H39&lt;&gt;$AI39,IFERROR(VLOOKUP($H39,areaCercaPuntiClassificaSquadra,3,FALSE),-1)=IFERROR(VLOOKUP($AI39,areaCercaPuntiClassificaSquadra,3,FALSE),-2)),SUMIFS(Dati!$F$2:$F$381,Dati!$A$2:$A$381,$H39,Dati!$H$2:$H$381,$AI39)+SUMIFS(Dati!$M$2:$M$381,Dati!$H$2:$H$381,$H39,Dati!$A$2:$A$381,$AI39),"-")</f>
        <v/>
      </c>
      <c r="DT39" s="22">
        <f>IF(AND($H39&lt;&gt;"",$AJ39&lt;&gt;"",$H39&lt;&gt;$AJ39,IFERROR(VLOOKUP($H39,areaCercaPuntiClassificaSquadra,3,FALSE),-1)=IFERROR(VLOOKUP($AJ39,areaCercaPuntiClassificaSquadra,3,FALSE),-2)),SUMIFS(Dati!$F$2:$F$381,Dati!$A$2:$A$381,$H39,Dati!$H$2:$H$381,$AJ39)+SUMIFS(Dati!$M$2:$M$381,Dati!$H$2:$H$381,$H39,Dati!$A$2:$A$381,$AJ39),"-")</f>
        <v/>
      </c>
      <c r="DU39" s="22">
        <f>IF(AND($H39&lt;&gt;"",$AK39&lt;&gt;"",$H39&lt;&gt;$AK39,IFERROR(VLOOKUP($H39,areaCercaPuntiClassificaSquadra,3,FALSE),-1)=IFERROR(VLOOKUP($AK39,areaCercaPuntiClassificaSquadra,3,FALSE),-2)),SUMIFS(Dati!$F$2:$F$381,Dati!$A$2:$A$381,$H39,Dati!$H$2:$H$381,$AK39)+SUMIFS(Dati!$M$2:$M$381,Dati!$H$2:$H$381,$H39,Dati!$A$2:$A$381,$AK39),"-")</f>
        <v/>
      </c>
      <c r="DV39" s="22">
        <f>IF(AND($H39&lt;&gt;"",$AL39&lt;&gt;"",$H39&lt;&gt;$AL39,IFERROR(VLOOKUP($H39,areaCercaPuntiClassificaSquadra,3,FALSE),-1)=IFERROR(VLOOKUP($AL39,areaCercaPuntiClassificaSquadra,3,FALSE),-2)),SUMIFS(Dati!$F$2:$F$381,Dati!$A$2:$A$381,$H39,Dati!$H$2:$H$381,$AL39)+SUMIFS(Dati!$M$2:$M$381,Dati!$H$2:$H$381,$H39,Dati!$A$2:$A$381,$AL39),"-")</f>
        <v/>
      </c>
      <c r="DW39" s="22">
        <f>IF(AND($H39&lt;&gt;"",$AM39&lt;&gt;"",$H39&lt;&gt;$AM39,IFERROR(VLOOKUP($H39,areaCercaPuntiClassificaSquadra,3,FALSE),-1)=IFERROR(VLOOKUP($AM39,areaCercaPuntiClassificaSquadra,3,FALSE),-2)),SUMIFS(Dati!$F$2:$F$381,Dati!$A$2:$A$381,$H39,Dati!$H$2:$H$381,$AM39)+SUMIFS(Dati!$M$2:$M$381,Dati!$H$2:$H$381,$H39,Dati!$A$2:$A$381,$AM39),"-")</f>
        <v/>
      </c>
      <c r="DX39" s="22">
        <f>IF(AND($H39&lt;&gt;"",$AN39&lt;&gt;"",$H39&lt;&gt;$AN39,IFERROR(VLOOKUP($H39,areaCercaPuntiClassificaSquadra,3,FALSE),-1)=IFERROR(VLOOKUP($AN39,areaCercaPuntiClassificaSquadra,3,FALSE),-2)),SUMIFS(Dati!$F$2:$F$381,Dati!$A$2:$A$381,$H39,Dati!$H$2:$H$381,$AN39)+SUMIFS(Dati!$M$2:$M$381,Dati!$H$2:$H$381,$H39,Dati!$A$2:$A$381,$AN39),"-")</f>
        <v/>
      </c>
      <c r="DY39" s="22">
        <f>IF(AND($H39&lt;&gt;"",$AO39&lt;&gt;"",$H39&lt;&gt;$AO39,IFERROR(VLOOKUP($H39,areaCercaPuntiClassificaSquadra,3,FALSE),-1)=IFERROR(VLOOKUP($AO39,areaCercaPuntiClassificaSquadra,3,FALSE),-2)),SUMIFS(Dati!$F$2:$F$381,Dati!$A$2:$A$381,$H39,Dati!$H$2:$H$381,$AO39)+SUMIFS(Dati!$M$2:$M$381,Dati!$H$2:$H$381,$H39,Dati!$A$2:$A$381,$AO39),"-")</f>
        <v/>
      </c>
      <c r="DZ39" s="22">
        <f>IF(AND($H39&lt;&gt;"",$AP39&lt;&gt;"",$H39&lt;&gt;$AP39,IFERROR(VLOOKUP($H39,areaCercaPuntiClassificaSquadra,3,FALSE),-1)=IFERROR(VLOOKUP($AP39,areaCercaPuntiClassificaSquadra,3,FALSE),-2)),SUMIFS(Dati!$F$2:$F$381,Dati!$A$2:$A$381,$H39,Dati!$H$2:$H$381,$AP39)+SUMIFS(Dati!$M$2:$M$381,Dati!$H$2:$H$381,$H39,Dati!$A$2:$A$381,$AP39),"-")</f>
        <v/>
      </c>
      <c r="EA39" s="22">
        <f>IF(AND($H39&lt;&gt;"",$AQ39&lt;&gt;"",$H39&lt;&gt;$AQ39,IFERROR(VLOOKUP($H39,areaCercaPuntiClassificaSquadra,3,FALSE),-1)=IFERROR(VLOOKUP($AQ39,areaCercaPuntiClassificaSquadra,3,FALSE),-2)),SUMIFS(Dati!$F$2:$F$381,Dati!$A$2:$A$381,$H39,Dati!$H$2:$H$381,$AQ39)+SUMIFS(Dati!$M$2:$M$381,Dati!$H$2:$H$381,$H39,Dati!$A$2:$A$381,$AQ39),"-")</f>
        <v/>
      </c>
      <c r="EB39" s="22">
        <f>IF(AND($H39&lt;&gt;"",$AR39&lt;&gt;"",$H39&lt;&gt;$AR39,IFERROR(VLOOKUP($H39,areaCercaPuntiClassificaSquadra,3,FALSE),-1)=IFERROR(VLOOKUP($AR39,areaCercaPuntiClassificaSquadra,3,FALSE),-2)),SUMIFS(Dati!$F$2:$F$381,Dati!$A$2:$A$381,$H39,Dati!$H$2:$H$381,$AR39)+SUMIFS(Dati!$M$2:$M$381,Dati!$H$2:$H$381,$H39,Dati!$A$2:$A$381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inlineStr">
        <is>
          <t>Mufloni Mobili-Mufloniopoli ME</t>
        </is>
      </c>
      <c r="D40" s="14" t="n"/>
      <c r="E40" s="23" t="inlineStr">
        <is>
          <t>B</t>
        </is>
      </c>
      <c r="G40" s="24">
        <f>IF($C40="","",$E40&amp;(COUNTIFS(I$14:I$53,"&gt;"&amp;I40,E$14:E$53,"="&amp;E40,C$14:C$53,"&lt;&gt;")+COUNTIFS(I$14:I$53,"="&amp;I40,H$14:H$53,"&lt;="&amp;H40,E$14:E$53,"="&amp;E40,C$14:C$53,"&lt;&gt;")))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L40*constPuntiVittoria+M40*constPuntiSconfitta+N40*constPuntiForfait+IF(D40="",0,D40)</f>
        <v/>
      </c>
      <c r="K40" s="12">
        <f>SUM(L40:N40)</f>
        <v/>
      </c>
      <c r="L40" s="12">
        <f>IF($H40="",0,SUMIF(Dati!$A$2:$A$381,$H40,Dati!$B$2:$B$381)+SUMIF(Dati!$H$2:$H$381,$H40,Dati!$I$2:$I$381))</f>
        <v/>
      </c>
      <c r="M40" s="12">
        <f>IF($H40="",0,SUMIF(Dati!$A$2:$A$381,$H40,Dati!$D$2:$D$381)+SUMIF(Dati!$H$2:$H$381,$H40,Dati!$K$2:$K$381))</f>
        <v/>
      </c>
      <c r="N40" s="12">
        <f>IF($H40="",0,SUMIF(Dati!$A$2:$A$381,$H40,Dati!$C$2:$C$381)+SUMIF(Dati!$H$2:$H$381,$H40,Dati!$J$2:$J$381))</f>
        <v/>
      </c>
      <c r="O40" s="12">
        <f>IF($H40="",0,SUMIF(Dati!$A$2:$A$381,$H40,Dati!$E$2:$E$381)+SUMIF(Dati!$H$2:$H$381,$H40,Dati!$L$2:$L$381))</f>
        <v/>
      </c>
      <c r="P40" s="12">
        <f>IF($H40="",0,SUMIF(Dati!$A$2:$A$381,$H40,Dati!$F$2:$F$381)+SUMIF(Dati!$H$2:$H$381,$H40,Dati!$M$2:$M$381))</f>
        <v/>
      </c>
      <c r="Q40" s="12">
        <f>IF($H40="",0,SUMIF(Dati!$A$2:$A$381,$H40,Dati!$G$2:$G$381)+SUMIF(Dati!$H$2:$H$381,$H40,Dati!$N$2:$N$381))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IF(COUNTIFS($E$14:$E$53,$E40,$J$14:$J$53,$J40,$C$14:$C$53,"&lt;&gt;")&lt;=1,"-",SUM(AU40:BN40)&amp;"-"&amp;SUM(BQ40:CJ40))</f>
        <v/>
      </c>
      <c r="V40" s="18">
        <f>IF(COUNTIFS($E$14:$E$53,$E40,$J$14:$J$53,$J40,$C$14:$C$53,"&lt;&gt;",$ED$14:$ED$53,$ED40)&lt;=1,"-",IF(SUM(DI40:EB40)=0,0,ROUND(SUM(CM40:DF40)/SUM(DI40:EB40),3)))</f>
        <v/>
      </c>
      <c r="W40" s="18">
        <f>IF(COUNTIFS($E$14:$E$53,$E40,$J$14:$J$53,$J40,$C$14:$C$53,"&lt;&gt;",$ED$14:$ED$53,$ED40,$V$14:$V$53,$V40)&lt;=1,"-",IF(P40=0,0,ROUND(O40/P40,3)))</f>
        <v/>
      </c>
      <c r="X40" s="19">
        <f>IF($C40="","",$E40&amp;"#"&amp;COUNTIFS($E$14:$E40,$E40,$C$14:$C40,"&lt;&gt;"))</f>
        <v/>
      </c>
      <c r="Y40" s="20">
        <f>IFERROR(INDEX($H$14:$H$53,MATCH($E40&amp;"#1",$X$14:$X$53,0)),"")</f>
        <v/>
      </c>
      <c r="Z40" s="20">
        <f>IFERROR(INDEX($H$14:$H$53,MATCH($E40&amp;"#2",$X$14:$X$53,0)),"")</f>
        <v/>
      </c>
      <c r="AA40" s="20">
        <f>IFERROR(INDEX($H$14:$H$53,MATCH($E40&amp;"#3",$X$14:$X$53,0)),"")</f>
        <v/>
      </c>
      <c r="AB40" s="20">
        <f>IFERROR(INDEX($H$14:$H$53,MATCH($E40&amp;"#4",$X$14:$X$53,0)),"")</f>
        <v/>
      </c>
      <c r="AC40" s="20">
        <f>IFERROR(INDEX($H$14:$H$53,MATCH($E40&amp;"#5",$X$14:$X$53,0)),"")</f>
        <v/>
      </c>
      <c r="AD40" s="20">
        <f>IFERROR(INDEX($H$14:$H$53,MATCH($E40&amp;"#6",$X$14:$X$53,0)),"")</f>
        <v/>
      </c>
      <c r="AE40" s="20">
        <f>IFERROR(INDEX($H$14:$H$53,MATCH($E40&amp;"#7",$X$14:$X$53,0)),"")</f>
        <v/>
      </c>
      <c r="AF40" s="20">
        <f>IFERROR(INDEX($H$14:$H$53,MATCH($E40&amp;"#8",$X$14:$X$53,0)),"")</f>
        <v/>
      </c>
      <c r="AG40" s="20">
        <f>IFERROR(INDEX($H$14:$H$53,MATCH($E40&amp;"#9",$X$14:$X$53,0)),"")</f>
        <v/>
      </c>
      <c r="AH40" s="20">
        <f>IFERROR(INDEX($H$14:$H$53,MATCH($E40&amp;"#10",$X$14:$X$53,0)),"")</f>
        <v/>
      </c>
      <c r="AI40" s="20">
        <f>IFERROR(INDEX($H$14:$H$53,MATCH($E40&amp;"#11",$X$14:$X$53,0)),"")</f>
        <v/>
      </c>
      <c r="AJ40" s="20">
        <f>IFERROR(INDEX($H$14:$H$53,MATCH($E40&amp;"#12",$X$14:$X$53,0)),"")</f>
        <v/>
      </c>
      <c r="AK40" s="20">
        <f>IFERROR(INDEX($H$14:$H$53,MATCH($E40&amp;"#13",$X$14:$X$53,0)),"")</f>
        <v/>
      </c>
      <c r="AL40" s="20">
        <f>IFERROR(INDEX($H$14:$H$53,MATCH($E40&amp;"#14",$X$14:$X$53,0)),"")</f>
        <v/>
      </c>
      <c r="AM40" s="20">
        <f>IFERROR(INDEX($H$14:$H$53,MATCH($E40&amp;"#15",$X$14:$X$53,0)),"")</f>
        <v/>
      </c>
      <c r="AN40" s="20">
        <f>IFERROR(INDEX($H$14:$H$53,MATCH($E40&amp;"#16",$X$14:$X$53,0)),"")</f>
        <v/>
      </c>
      <c r="AO40" s="20">
        <f>IFERROR(INDEX($H$14:$H$53,MATCH($E40&amp;"#17",$X$14:$X$53,0)),"")</f>
        <v/>
      </c>
      <c r="AP40" s="20">
        <f>IFERROR(INDEX($H$14:$H$53,MATCH($E40&amp;"#18",$X$14:$X$53,0)),"")</f>
        <v/>
      </c>
      <c r="AQ40" s="20">
        <f>IFERROR(INDEX($H$14:$H$53,MATCH($E40&amp;"#19",$X$14:$X$53,0)),"")</f>
        <v/>
      </c>
      <c r="AR40" s="20">
        <f>IFERROR(INDEX($H$14:$H$53,MATCH($E40&amp;"#20",$X$14:$X$53,0)),"")</f>
        <v/>
      </c>
      <c r="AT40" s="21">
        <f>$C40</f>
        <v/>
      </c>
      <c r="AU40" s="22">
        <f>IF(AND($H40&lt;&gt;"",$Y40&lt;&gt;"",$H40&lt;&gt;$Y40,IFERROR(VLOOKUP($H40,areaCercaPuntiClassificaSquadra,3,FALSE),-1)=IFERROR(VLOOKUP($Y40,areaCercaPuntiClassificaSquadra,3,FALSE),-2)),SUMIFS(Dati!$B$2:$B$381,Dati!$A$2:$A$381,$H40,Dati!$H$2:$H$381,$Y40)+SUMIFS(Dati!$I$2:$I$381,Dati!$H$2:$H$381,$H40,Dati!$A$2:$A$381,$Y40),"-")</f>
        <v/>
      </c>
      <c r="AV40" s="22">
        <f>IF(AND($H40&lt;&gt;"",$Z40&lt;&gt;"",$H40&lt;&gt;$Z40,IFERROR(VLOOKUP($H40,areaCercaPuntiClassificaSquadra,3,FALSE),-1)=IFERROR(VLOOKUP($Z40,areaCercaPuntiClassificaSquadra,3,FALSE),-2)),SUMIFS(Dati!$B$2:$B$381,Dati!$A$2:$A$381,$H40,Dati!$H$2:$H$381,$Z40)+SUMIFS(Dati!$I$2:$I$381,Dati!$H$2:$H$381,$H40,Dati!$A$2:$A$381,$Z40),"-")</f>
        <v/>
      </c>
      <c r="AW40" s="22">
        <f>IF(AND($H40&lt;&gt;"",$AA40&lt;&gt;"",$H40&lt;&gt;$AA40,IFERROR(VLOOKUP($H40,areaCercaPuntiClassificaSquadra,3,FALSE),-1)=IFERROR(VLOOKUP($AA40,areaCercaPuntiClassificaSquadra,3,FALSE),-2)),SUMIFS(Dati!$B$2:$B$381,Dati!$A$2:$A$381,$H40,Dati!$H$2:$H$381,$AA40)+SUMIFS(Dati!$I$2:$I$381,Dati!$H$2:$H$381,$H40,Dati!$A$2:$A$381,$AA40),"-")</f>
        <v/>
      </c>
      <c r="AX40" s="22">
        <f>IF(AND($H40&lt;&gt;"",$AB40&lt;&gt;"",$H40&lt;&gt;$AB40,IFERROR(VLOOKUP($H40,areaCercaPuntiClassificaSquadra,3,FALSE),-1)=IFERROR(VLOOKUP($AB40,areaCercaPuntiClassificaSquadra,3,FALSE),-2)),SUMIFS(Dati!$B$2:$B$381,Dati!$A$2:$A$381,$H40,Dati!$H$2:$H$381,$AB40)+SUMIFS(Dati!$I$2:$I$381,Dati!$H$2:$H$381,$H40,Dati!$A$2:$A$381,$AB40),"-")</f>
        <v/>
      </c>
      <c r="AY40" s="22">
        <f>IF(AND($H40&lt;&gt;"",$AC40&lt;&gt;"",$H40&lt;&gt;$AC40,IFERROR(VLOOKUP($H40,areaCercaPuntiClassificaSquadra,3,FALSE),-1)=IFERROR(VLOOKUP($AC40,areaCercaPuntiClassificaSquadra,3,FALSE),-2)),SUMIFS(Dati!$B$2:$B$381,Dati!$A$2:$A$381,$H40,Dati!$H$2:$H$381,$AC40)+SUMIFS(Dati!$I$2:$I$381,Dati!$H$2:$H$381,$H40,Dati!$A$2:$A$381,$AC40),"-")</f>
        <v/>
      </c>
      <c r="AZ40" s="22">
        <f>IF(AND($H40&lt;&gt;"",$AD40&lt;&gt;"",$H40&lt;&gt;$AD40,IFERROR(VLOOKUP($H40,areaCercaPuntiClassificaSquadra,3,FALSE),-1)=IFERROR(VLOOKUP($AD40,areaCercaPuntiClassificaSquadra,3,FALSE),-2)),SUMIFS(Dati!$B$2:$B$381,Dati!$A$2:$A$381,$H40,Dati!$H$2:$H$381,$AD40)+SUMIFS(Dati!$I$2:$I$381,Dati!$H$2:$H$381,$H40,Dati!$A$2:$A$381,$AD40),"-")</f>
        <v/>
      </c>
      <c r="BA40" s="22">
        <f>IF(AND($H40&lt;&gt;"",$AE40&lt;&gt;"",$H40&lt;&gt;$AE40,IFERROR(VLOOKUP($H40,areaCercaPuntiClassificaSquadra,3,FALSE),-1)=IFERROR(VLOOKUP($AE40,areaCercaPuntiClassificaSquadra,3,FALSE),-2)),SUMIFS(Dati!$B$2:$B$381,Dati!$A$2:$A$381,$H40,Dati!$H$2:$H$381,$AE40)+SUMIFS(Dati!$I$2:$I$381,Dati!$H$2:$H$381,$H40,Dati!$A$2:$A$381,$AE40),"-")</f>
        <v/>
      </c>
      <c r="BB40" s="22">
        <f>IF(AND($H40&lt;&gt;"",$AF40&lt;&gt;"",$H40&lt;&gt;$AF40,IFERROR(VLOOKUP($H40,areaCercaPuntiClassificaSquadra,3,FALSE),-1)=IFERROR(VLOOKUP($AF40,areaCercaPuntiClassificaSquadra,3,FALSE),-2)),SUMIFS(Dati!$B$2:$B$381,Dati!$A$2:$A$381,$H40,Dati!$H$2:$H$381,$AF40)+SUMIFS(Dati!$I$2:$I$381,Dati!$H$2:$H$381,$H40,Dati!$A$2:$A$381,$AF40),"-")</f>
        <v/>
      </c>
      <c r="BC40" s="22">
        <f>IF(AND($H40&lt;&gt;"",$AG40&lt;&gt;"",$H40&lt;&gt;$AG40,IFERROR(VLOOKUP($H40,areaCercaPuntiClassificaSquadra,3,FALSE),-1)=IFERROR(VLOOKUP($AG40,areaCercaPuntiClassificaSquadra,3,FALSE),-2)),SUMIFS(Dati!$B$2:$B$381,Dati!$A$2:$A$381,$H40,Dati!$H$2:$H$381,$AG40)+SUMIFS(Dati!$I$2:$I$381,Dati!$H$2:$H$381,$H40,Dati!$A$2:$A$381,$AG40),"-")</f>
        <v/>
      </c>
      <c r="BD40" s="22">
        <f>IF(AND($H40&lt;&gt;"",$AH40&lt;&gt;"",$H40&lt;&gt;$AH40,IFERROR(VLOOKUP($H40,areaCercaPuntiClassificaSquadra,3,FALSE),-1)=IFERROR(VLOOKUP($AH40,areaCercaPuntiClassificaSquadra,3,FALSE),-2)),SUMIFS(Dati!$B$2:$B$381,Dati!$A$2:$A$381,$H40,Dati!$H$2:$H$381,$AH40)+SUMIFS(Dati!$I$2:$I$381,Dati!$H$2:$H$381,$H40,Dati!$A$2:$A$381,$AH40),"-")</f>
        <v/>
      </c>
      <c r="BE40" s="22">
        <f>IF(AND($H40&lt;&gt;"",$AI40&lt;&gt;"",$H40&lt;&gt;$AI40,IFERROR(VLOOKUP($H40,areaCercaPuntiClassificaSquadra,3,FALSE),-1)=IFERROR(VLOOKUP($AI40,areaCercaPuntiClassificaSquadra,3,FALSE),-2)),SUMIFS(Dati!$B$2:$B$381,Dati!$A$2:$A$381,$H40,Dati!$H$2:$H$381,$AI40)+SUMIFS(Dati!$I$2:$I$381,Dati!$H$2:$H$381,$H40,Dati!$A$2:$A$381,$AI40),"-")</f>
        <v/>
      </c>
      <c r="BF40" s="22">
        <f>IF(AND($H40&lt;&gt;"",$AJ40&lt;&gt;"",$H40&lt;&gt;$AJ40,IFERROR(VLOOKUP($H40,areaCercaPuntiClassificaSquadra,3,FALSE),-1)=IFERROR(VLOOKUP($AJ40,areaCercaPuntiClassificaSquadra,3,FALSE),-2)),SUMIFS(Dati!$B$2:$B$381,Dati!$A$2:$A$381,$H40,Dati!$H$2:$H$381,$AJ40)+SUMIFS(Dati!$I$2:$I$381,Dati!$H$2:$H$381,$H40,Dati!$A$2:$A$381,$AJ40),"-")</f>
        <v/>
      </c>
      <c r="BG40" s="22">
        <f>IF(AND($H40&lt;&gt;"",$AK40&lt;&gt;"",$H40&lt;&gt;$AK40,IFERROR(VLOOKUP($H40,areaCercaPuntiClassificaSquadra,3,FALSE),-1)=IFERROR(VLOOKUP($AK40,areaCercaPuntiClassificaSquadra,3,FALSE),-2)),SUMIFS(Dati!$B$2:$B$381,Dati!$A$2:$A$381,$H40,Dati!$H$2:$H$381,$AK40)+SUMIFS(Dati!$I$2:$I$381,Dati!$H$2:$H$381,$H40,Dati!$A$2:$A$381,$AK40),"-")</f>
        <v/>
      </c>
      <c r="BH40" s="22">
        <f>IF(AND($H40&lt;&gt;"",$AL40&lt;&gt;"",$H40&lt;&gt;$AL40,IFERROR(VLOOKUP($H40,areaCercaPuntiClassificaSquadra,3,FALSE),-1)=IFERROR(VLOOKUP($AL40,areaCercaPuntiClassificaSquadra,3,FALSE),-2)),SUMIFS(Dati!$B$2:$B$381,Dati!$A$2:$A$381,$H40,Dati!$H$2:$H$381,$AL40)+SUMIFS(Dati!$I$2:$I$381,Dati!$H$2:$H$381,$H40,Dati!$A$2:$A$381,$AL40),"-")</f>
        <v/>
      </c>
      <c r="BI40" s="22">
        <f>IF(AND($H40&lt;&gt;"",$AM40&lt;&gt;"",$H40&lt;&gt;$AM40,IFERROR(VLOOKUP($H40,areaCercaPuntiClassificaSquadra,3,FALSE),-1)=IFERROR(VLOOKUP($AM40,areaCercaPuntiClassificaSquadra,3,FALSE),-2)),SUMIFS(Dati!$B$2:$B$381,Dati!$A$2:$A$381,$H40,Dati!$H$2:$H$381,$AM40)+SUMIFS(Dati!$I$2:$I$381,Dati!$H$2:$H$381,$H40,Dati!$A$2:$A$381,$AM40),"-")</f>
        <v/>
      </c>
      <c r="BJ40" s="22">
        <f>IF(AND($H40&lt;&gt;"",$AN40&lt;&gt;"",$H40&lt;&gt;$AN40,IFERROR(VLOOKUP($H40,areaCercaPuntiClassificaSquadra,3,FALSE),-1)=IFERROR(VLOOKUP($AN40,areaCercaPuntiClassificaSquadra,3,FALSE),-2)),SUMIFS(Dati!$B$2:$B$381,Dati!$A$2:$A$381,$H40,Dati!$H$2:$H$381,$AN40)+SUMIFS(Dati!$I$2:$I$381,Dati!$H$2:$H$381,$H40,Dati!$A$2:$A$381,$AN40),"-")</f>
        <v/>
      </c>
      <c r="BK40" s="22">
        <f>IF(AND($H40&lt;&gt;"",$AO40&lt;&gt;"",$H40&lt;&gt;$AO40,IFERROR(VLOOKUP($H40,areaCercaPuntiClassificaSquadra,3,FALSE),-1)=IFERROR(VLOOKUP($AO40,areaCercaPuntiClassificaSquadra,3,FALSE),-2)),SUMIFS(Dati!$B$2:$B$381,Dati!$A$2:$A$381,$H40,Dati!$H$2:$H$381,$AO40)+SUMIFS(Dati!$I$2:$I$381,Dati!$H$2:$H$381,$H40,Dati!$A$2:$A$381,$AO40),"-")</f>
        <v/>
      </c>
      <c r="BL40" s="22">
        <f>IF(AND($H40&lt;&gt;"",$AP40&lt;&gt;"",$H40&lt;&gt;$AP40,IFERROR(VLOOKUP($H40,areaCercaPuntiClassificaSquadra,3,FALSE),-1)=IFERROR(VLOOKUP($AP40,areaCercaPuntiClassificaSquadra,3,FALSE),-2)),SUMIFS(Dati!$B$2:$B$381,Dati!$A$2:$A$381,$H40,Dati!$H$2:$H$381,$AP40)+SUMIFS(Dati!$I$2:$I$381,Dati!$H$2:$H$381,$H40,Dati!$A$2:$A$381,$AP40),"-")</f>
        <v/>
      </c>
      <c r="BM40" s="22">
        <f>IF(AND($H40&lt;&gt;"",$AQ40&lt;&gt;"",$H40&lt;&gt;$AQ40,IFERROR(VLOOKUP($H40,areaCercaPuntiClassificaSquadra,3,FALSE),-1)=IFERROR(VLOOKUP($AQ40,areaCercaPuntiClassificaSquadra,3,FALSE),-2)),SUMIFS(Dati!$B$2:$B$381,Dati!$A$2:$A$381,$H40,Dati!$H$2:$H$381,$AQ40)+SUMIFS(Dati!$I$2:$I$381,Dati!$H$2:$H$381,$H40,Dati!$A$2:$A$381,$AQ40),"-")</f>
        <v/>
      </c>
      <c r="BN40" s="22">
        <f>IF(AND($H40&lt;&gt;"",$AR40&lt;&gt;"",$H40&lt;&gt;$AR40,IFERROR(VLOOKUP($H40,areaCercaPuntiClassificaSquadra,3,FALSE),-1)=IFERROR(VLOOKUP($AR40,areaCercaPuntiClassificaSquadra,3,FALSE),-2)),SUMIFS(Dati!$B$2:$B$381,Dati!$A$2:$A$381,$H40,Dati!$H$2:$H$381,$AR40)+SUMIFS(Dati!$I$2:$I$381,Dati!$H$2:$H$381,$H40,Dati!$A$2:$A$381,$AR40),"-")</f>
        <v/>
      </c>
      <c r="BP40" s="21">
        <f>$C40</f>
        <v/>
      </c>
      <c r="BQ40" s="22">
        <f>IF(AND($H40&lt;&gt;"",$Y40&lt;&gt;"",$H40&lt;&gt;$Y40,IFERROR(VLOOKUP($H40,areaCercaPuntiClassificaSquadra,3,FALSE),-1)=IFERROR(VLOOKUP($Y40,areaCercaPuntiClassificaSquadra,3,FALSE),-2)),SUMIFS(Dati!$D$2:$D$381,Dati!$A$2:$A$381,$H40,Dati!$H$2:$H$381,$Y40)+SUMIFS(Dati!$K$2:$K$381,Dati!$H$2:$H$381,$H40,Dati!$A$2:$A$381,$Y40)+SUMIFS(Dati!$C$2:$C$381,Dati!$A$2:$A$381,$H40,Dati!$H$2:$H$381,$Y40)+SUMIFS(Dati!$J$2:$J$381,Dati!$H$2:$H$381,$H40,Dati!$A$2:$A$381,$Y40),"-")</f>
        <v/>
      </c>
      <c r="BR40" s="22">
        <f>IF(AND($H40&lt;&gt;"",$Z40&lt;&gt;"",$H40&lt;&gt;$Z40,IFERROR(VLOOKUP($H40,areaCercaPuntiClassificaSquadra,3,FALSE),-1)=IFERROR(VLOOKUP($Z40,areaCercaPuntiClassificaSquadra,3,FALSE),-2)),SUMIFS(Dati!$D$2:$D$381,Dati!$A$2:$A$381,$H40,Dati!$H$2:$H$381,$Z40)+SUMIFS(Dati!$K$2:$K$381,Dati!$H$2:$H$381,$H40,Dati!$A$2:$A$381,$Z40)+SUMIFS(Dati!$C$2:$C$381,Dati!$A$2:$A$381,$H40,Dati!$H$2:$H$381,$Z40)+SUMIFS(Dati!$J$2:$J$381,Dati!$H$2:$H$381,$H40,Dati!$A$2:$A$381,$Z40),"-")</f>
        <v/>
      </c>
      <c r="BS40" s="22">
        <f>IF(AND($H40&lt;&gt;"",$AA40&lt;&gt;"",$H40&lt;&gt;$AA40,IFERROR(VLOOKUP($H40,areaCercaPuntiClassificaSquadra,3,FALSE),-1)=IFERROR(VLOOKUP($AA40,areaCercaPuntiClassificaSquadra,3,FALSE),-2)),SUMIFS(Dati!$D$2:$D$381,Dati!$A$2:$A$381,$H40,Dati!$H$2:$H$381,$AA40)+SUMIFS(Dati!$K$2:$K$381,Dati!$H$2:$H$381,$H40,Dati!$A$2:$A$381,$AA40)+SUMIFS(Dati!$C$2:$C$381,Dati!$A$2:$A$381,$H40,Dati!$H$2:$H$381,$AA40)+SUMIFS(Dati!$J$2:$J$381,Dati!$H$2:$H$381,$H40,Dati!$A$2:$A$381,$AA40),"-")</f>
        <v/>
      </c>
      <c r="BT40" s="22">
        <f>IF(AND($H40&lt;&gt;"",$AB40&lt;&gt;"",$H40&lt;&gt;$AB40,IFERROR(VLOOKUP($H40,areaCercaPuntiClassificaSquadra,3,FALSE),-1)=IFERROR(VLOOKUP($AB40,areaCercaPuntiClassificaSquadra,3,FALSE),-2)),SUMIFS(Dati!$D$2:$D$381,Dati!$A$2:$A$381,$H40,Dati!$H$2:$H$381,$AB40)+SUMIFS(Dati!$K$2:$K$381,Dati!$H$2:$H$381,$H40,Dati!$A$2:$A$381,$AB40)+SUMIFS(Dati!$C$2:$C$381,Dati!$A$2:$A$381,$H40,Dati!$H$2:$H$381,$AB40)+SUMIFS(Dati!$J$2:$J$381,Dati!$H$2:$H$381,$H40,Dati!$A$2:$A$381,$AB40),"-")</f>
        <v/>
      </c>
      <c r="BU40" s="22">
        <f>IF(AND($H40&lt;&gt;"",$AC40&lt;&gt;"",$H40&lt;&gt;$AC40,IFERROR(VLOOKUP($H40,areaCercaPuntiClassificaSquadra,3,FALSE),-1)=IFERROR(VLOOKUP($AC40,areaCercaPuntiClassificaSquadra,3,FALSE),-2)),SUMIFS(Dati!$D$2:$D$381,Dati!$A$2:$A$381,$H40,Dati!$H$2:$H$381,$AC40)+SUMIFS(Dati!$K$2:$K$381,Dati!$H$2:$H$381,$H40,Dati!$A$2:$A$381,$AC40)+SUMIFS(Dati!$C$2:$C$381,Dati!$A$2:$A$381,$H40,Dati!$H$2:$H$381,$AC40)+SUMIFS(Dati!$J$2:$J$381,Dati!$H$2:$H$381,$H40,Dati!$A$2:$A$381,$AC40),"-")</f>
        <v/>
      </c>
      <c r="BV40" s="22">
        <f>IF(AND($H40&lt;&gt;"",$AD40&lt;&gt;"",$H40&lt;&gt;$AD40,IFERROR(VLOOKUP($H40,areaCercaPuntiClassificaSquadra,3,FALSE),-1)=IFERROR(VLOOKUP($AD40,areaCercaPuntiClassificaSquadra,3,FALSE),-2)),SUMIFS(Dati!$D$2:$D$381,Dati!$A$2:$A$381,$H40,Dati!$H$2:$H$381,$AD40)+SUMIFS(Dati!$K$2:$K$381,Dati!$H$2:$H$381,$H40,Dati!$A$2:$A$381,$AD40)+SUMIFS(Dati!$C$2:$C$381,Dati!$A$2:$A$381,$H40,Dati!$H$2:$H$381,$AD40)+SUMIFS(Dati!$J$2:$J$381,Dati!$H$2:$H$381,$H40,Dati!$A$2:$A$381,$AD40),"-")</f>
        <v/>
      </c>
      <c r="BW40" s="22">
        <f>IF(AND($H40&lt;&gt;"",$AE40&lt;&gt;"",$H40&lt;&gt;$AE40,IFERROR(VLOOKUP($H40,areaCercaPuntiClassificaSquadra,3,FALSE),-1)=IFERROR(VLOOKUP($AE40,areaCercaPuntiClassificaSquadra,3,FALSE),-2)),SUMIFS(Dati!$D$2:$D$381,Dati!$A$2:$A$381,$H40,Dati!$H$2:$H$381,$AE40)+SUMIFS(Dati!$K$2:$K$381,Dati!$H$2:$H$381,$H40,Dati!$A$2:$A$381,$AE40)+SUMIFS(Dati!$C$2:$C$381,Dati!$A$2:$A$381,$H40,Dati!$H$2:$H$381,$AE40)+SUMIFS(Dati!$J$2:$J$381,Dati!$H$2:$H$381,$H40,Dati!$A$2:$A$381,$AE40),"-")</f>
        <v/>
      </c>
      <c r="BX40" s="22">
        <f>IF(AND($H40&lt;&gt;"",$AF40&lt;&gt;"",$H40&lt;&gt;$AF40,IFERROR(VLOOKUP($H40,areaCercaPuntiClassificaSquadra,3,FALSE),-1)=IFERROR(VLOOKUP($AF40,areaCercaPuntiClassificaSquadra,3,FALSE),-2)),SUMIFS(Dati!$D$2:$D$381,Dati!$A$2:$A$381,$H40,Dati!$H$2:$H$381,$AF40)+SUMIFS(Dati!$K$2:$K$381,Dati!$H$2:$H$381,$H40,Dati!$A$2:$A$381,$AF40)+SUMIFS(Dati!$C$2:$C$381,Dati!$A$2:$A$381,$H40,Dati!$H$2:$H$381,$AF40)+SUMIFS(Dati!$J$2:$J$381,Dati!$H$2:$H$381,$H40,Dati!$A$2:$A$381,$AF40),"-")</f>
        <v/>
      </c>
      <c r="BY40" s="22">
        <f>IF(AND($H40&lt;&gt;"",$AG40&lt;&gt;"",$H40&lt;&gt;$AG40,IFERROR(VLOOKUP($H40,areaCercaPuntiClassificaSquadra,3,FALSE),-1)=IFERROR(VLOOKUP($AG40,areaCercaPuntiClassificaSquadra,3,FALSE),-2)),SUMIFS(Dati!$D$2:$D$381,Dati!$A$2:$A$381,$H40,Dati!$H$2:$H$381,$AG40)+SUMIFS(Dati!$K$2:$K$381,Dati!$H$2:$H$381,$H40,Dati!$A$2:$A$381,$AG40)+SUMIFS(Dati!$C$2:$C$381,Dati!$A$2:$A$381,$H40,Dati!$H$2:$H$381,$AG40)+SUMIFS(Dati!$J$2:$J$381,Dati!$H$2:$H$381,$H40,Dati!$A$2:$A$381,$AG40),"-")</f>
        <v/>
      </c>
      <c r="BZ40" s="22">
        <f>IF(AND($H40&lt;&gt;"",$AH40&lt;&gt;"",$H40&lt;&gt;$AH40,IFERROR(VLOOKUP($H40,areaCercaPuntiClassificaSquadra,3,FALSE),-1)=IFERROR(VLOOKUP($AH40,areaCercaPuntiClassificaSquadra,3,FALSE),-2)),SUMIFS(Dati!$D$2:$D$381,Dati!$A$2:$A$381,$H40,Dati!$H$2:$H$381,$AH40)+SUMIFS(Dati!$K$2:$K$381,Dati!$H$2:$H$381,$H40,Dati!$A$2:$A$381,$AH40)+SUMIFS(Dati!$C$2:$C$381,Dati!$A$2:$A$381,$H40,Dati!$H$2:$H$381,$AH40)+SUMIFS(Dati!$J$2:$J$381,Dati!$H$2:$H$381,$H40,Dati!$A$2:$A$381,$AH40),"-")</f>
        <v/>
      </c>
      <c r="CA40" s="22">
        <f>IF(AND($H40&lt;&gt;"",$AI40&lt;&gt;"",$H40&lt;&gt;$AI40,IFERROR(VLOOKUP($H40,areaCercaPuntiClassificaSquadra,3,FALSE),-1)=IFERROR(VLOOKUP($AI40,areaCercaPuntiClassificaSquadra,3,FALSE),-2)),SUMIFS(Dati!$D$2:$D$381,Dati!$A$2:$A$381,$H40,Dati!$H$2:$H$381,$AI40)+SUMIFS(Dati!$K$2:$K$381,Dati!$H$2:$H$381,$H40,Dati!$A$2:$A$381,$AI40)+SUMIFS(Dati!$C$2:$C$381,Dati!$A$2:$A$381,$H40,Dati!$H$2:$H$381,$AI40)+SUMIFS(Dati!$J$2:$J$381,Dati!$H$2:$H$381,$H40,Dati!$A$2:$A$381,$AI40),"-")</f>
        <v/>
      </c>
      <c r="CB40" s="22">
        <f>IF(AND($H40&lt;&gt;"",$AJ40&lt;&gt;"",$H40&lt;&gt;$AJ40,IFERROR(VLOOKUP($H40,areaCercaPuntiClassificaSquadra,3,FALSE),-1)=IFERROR(VLOOKUP($AJ40,areaCercaPuntiClassificaSquadra,3,FALSE),-2)),SUMIFS(Dati!$D$2:$D$381,Dati!$A$2:$A$381,$H40,Dati!$H$2:$H$381,$AJ40)+SUMIFS(Dati!$K$2:$K$381,Dati!$H$2:$H$381,$H40,Dati!$A$2:$A$381,$AJ40)+SUMIFS(Dati!$C$2:$C$381,Dati!$A$2:$A$381,$H40,Dati!$H$2:$H$381,$AJ40)+SUMIFS(Dati!$J$2:$J$381,Dati!$H$2:$H$381,$H40,Dati!$A$2:$A$381,$AJ40),"-")</f>
        <v/>
      </c>
      <c r="CC40" s="22">
        <f>IF(AND($H40&lt;&gt;"",$AK40&lt;&gt;"",$H40&lt;&gt;$AK40,IFERROR(VLOOKUP($H40,areaCercaPuntiClassificaSquadra,3,FALSE),-1)=IFERROR(VLOOKUP($AK40,areaCercaPuntiClassificaSquadra,3,FALSE),-2)),SUMIFS(Dati!$D$2:$D$381,Dati!$A$2:$A$381,$H40,Dati!$H$2:$H$381,$AK40)+SUMIFS(Dati!$K$2:$K$381,Dati!$H$2:$H$381,$H40,Dati!$A$2:$A$381,$AK40)+SUMIFS(Dati!$C$2:$C$381,Dati!$A$2:$A$381,$H40,Dati!$H$2:$H$381,$AK40)+SUMIFS(Dati!$J$2:$J$381,Dati!$H$2:$H$381,$H40,Dati!$A$2:$A$381,$AK40),"-")</f>
        <v/>
      </c>
      <c r="CD40" s="22">
        <f>IF(AND($H40&lt;&gt;"",$AL40&lt;&gt;"",$H40&lt;&gt;$AL40,IFERROR(VLOOKUP($H40,areaCercaPuntiClassificaSquadra,3,FALSE),-1)=IFERROR(VLOOKUP($AL40,areaCercaPuntiClassificaSquadra,3,FALSE),-2)),SUMIFS(Dati!$D$2:$D$381,Dati!$A$2:$A$381,$H40,Dati!$H$2:$H$381,$AL40)+SUMIFS(Dati!$K$2:$K$381,Dati!$H$2:$H$381,$H40,Dati!$A$2:$A$381,$AL40)+SUMIFS(Dati!$C$2:$C$381,Dati!$A$2:$A$381,$H40,Dati!$H$2:$H$381,$AL40)+SUMIFS(Dati!$J$2:$J$381,Dati!$H$2:$H$381,$H40,Dati!$A$2:$A$381,$AL40),"-")</f>
        <v/>
      </c>
      <c r="CE40" s="22">
        <f>IF(AND($H40&lt;&gt;"",$AM40&lt;&gt;"",$H40&lt;&gt;$AM40,IFERROR(VLOOKUP($H40,areaCercaPuntiClassificaSquadra,3,FALSE),-1)=IFERROR(VLOOKUP($AM40,areaCercaPuntiClassificaSquadra,3,FALSE),-2)),SUMIFS(Dati!$D$2:$D$381,Dati!$A$2:$A$381,$H40,Dati!$H$2:$H$381,$AM40)+SUMIFS(Dati!$K$2:$K$381,Dati!$H$2:$H$381,$H40,Dati!$A$2:$A$381,$AM40)+SUMIFS(Dati!$C$2:$C$381,Dati!$A$2:$A$381,$H40,Dati!$H$2:$H$381,$AM40)+SUMIFS(Dati!$J$2:$J$381,Dati!$H$2:$H$381,$H40,Dati!$A$2:$A$381,$AM40),"-")</f>
        <v/>
      </c>
      <c r="CF40" s="22">
        <f>IF(AND($H40&lt;&gt;"",$AN40&lt;&gt;"",$H40&lt;&gt;$AN40,IFERROR(VLOOKUP($H40,areaCercaPuntiClassificaSquadra,3,FALSE),-1)=IFERROR(VLOOKUP($AN40,areaCercaPuntiClassificaSquadra,3,FALSE),-2)),SUMIFS(Dati!$D$2:$D$381,Dati!$A$2:$A$381,$H40,Dati!$H$2:$H$381,$AN40)+SUMIFS(Dati!$K$2:$K$381,Dati!$H$2:$H$381,$H40,Dati!$A$2:$A$381,$AN40)+SUMIFS(Dati!$C$2:$C$381,Dati!$A$2:$A$381,$H40,Dati!$H$2:$H$381,$AN40)+SUMIFS(Dati!$J$2:$J$381,Dati!$H$2:$H$381,$H40,Dati!$A$2:$A$381,$AN40),"-")</f>
        <v/>
      </c>
      <c r="CG40" s="22">
        <f>IF(AND($H40&lt;&gt;"",$AO40&lt;&gt;"",$H40&lt;&gt;$AO40,IFERROR(VLOOKUP($H40,areaCercaPuntiClassificaSquadra,3,FALSE),-1)=IFERROR(VLOOKUP($AO40,areaCercaPuntiClassificaSquadra,3,FALSE),-2)),SUMIFS(Dati!$D$2:$D$381,Dati!$A$2:$A$381,$H40,Dati!$H$2:$H$381,$AO40)+SUMIFS(Dati!$K$2:$K$381,Dati!$H$2:$H$381,$H40,Dati!$A$2:$A$381,$AO40)+SUMIFS(Dati!$C$2:$C$381,Dati!$A$2:$A$381,$H40,Dati!$H$2:$H$381,$AO40)+SUMIFS(Dati!$J$2:$J$381,Dati!$H$2:$H$381,$H40,Dati!$A$2:$A$381,$AO40),"-")</f>
        <v/>
      </c>
      <c r="CH40" s="22">
        <f>IF(AND($H40&lt;&gt;"",$AP40&lt;&gt;"",$H40&lt;&gt;$AP40,IFERROR(VLOOKUP($H40,areaCercaPuntiClassificaSquadra,3,FALSE),-1)=IFERROR(VLOOKUP($AP40,areaCercaPuntiClassificaSquadra,3,FALSE),-2)),SUMIFS(Dati!$D$2:$D$381,Dati!$A$2:$A$381,$H40,Dati!$H$2:$H$381,$AP40)+SUMIFS(Dati!$K$2:$K$381,Dati!$H$2:$H$381,$H40,Dati!$A$2:$A$381,$AP40)+SUMIFS(Dati!$C$2:$C$381,Dati!$A$2:$A$381,$H40,Dati!$H$2:$H$381,$AP40)+SUMIFS(Dati!$J$2:$J$381,Dati!$H$2:$H$381,$H40,Dati!$A$2:$A$381,$AP40),"-")</f>
        <v/>
      </c>
      <c r="CI40" s="22">
        <f>IF(AND($H40&lt;&gt;"",$AQ40&lt;&gt;"",$H40&lt;&gt;$AQ40,IFERROR(VLOOKUP($H40,areaCercaPuntiClassificaSquadra,3,FALSE),-1)=IFERROR(VLOOKUP($AQ40,areaCercaPuntiClassificaSquadra,3,FALSE),-2)),SUMIFS(Dati!$D$2:$D$381,Dati!$A$2:$A$381,$H40,Dati!$H$2:$H$381,$AQ40)+SUMIFS(Dati!$K$2:$K$381,Dati!$H$2:$H$381,$H40,Dati!$A$2:$A$381,$AQ40)+SUMIFS(Dati!$C$2:$C$381,Dati!$A$2:$A$381,$H40,Dati!$H$2:$H$381,$AQ40)+SUMIFS(Dati!$J$2:$J$381,Dati!$H$2:$H$381,$H40,Dati!$A$2:$A$381,$AQ40),"-")</f>
        <v/>
      </c>
      <c r="CJ40" s="22">
        <f>IF(AND($H40&lt;&gt;"",$AR40&lt;&gt;"",$H40&lt;&gt;$AR40,IFERROR(VLOOKUP($H40,areaCercaPuntiClassificaSquadra,3,FALSE),-1)=IFERROR(VLOOKUP($AR40,areaCercaPuntiClassificaSquadra,3,FALSE),-2)),SUMIFS(Dati!$D$2:$D$381,Dati!$A$2:$A$381,$H40,Dati!$H$2:$H$381,$AR40)+SUMIFS(Dati!$K$2:$K$381,Dati!$H$2:$H$381,$H40,Dati!$A$2:$A$381,$AR40)+SUMIFS(Dati!$C$2:$C$381,Dati!$A$2:$A$381,$H40,Dati!$H$2:$H$381,$AR40)+SUMIFS(Dati!$J$2:$J$381,Dati!$H$2:$H$381,$H40,Dati!$A$2:$A$381,$AR40),"-")</f>
        <v/>
      </c>
      <c r="CL40" s="21">
        <f>$C40</f>
        <v/>
      </c>
      <c r="CM40" s="22">
        <f>IF(AND($H40&lt;&gt;"",$Y40&lt;&gt;"",$H40&lt;&gt;$Y40,IFERROR(VLOOKUP($H40,areaCercaPuntiClassificaSquadra,3,FALSE),-1)=IFERROR(VLOOKUP($Y40,areaCercaPuntiClassificaSquadra,3,FALSE),-2)),SUMIFS(Dati!$E$2:$E$381,Dati!$A$2:$A$381,$H40,Dati!$H$2:$H$381,$Y40)+SUMIFS(Dati!$L$2:$L$381,Dati!$H$2:$H$381,$H40,Dati!$A$2:$A$381,$Y40),"-")</f>
        <v/>
      </c>
      <c r="CN40" s="22">
        <f>IF(AND($H40&lt;&gt;"",$Z40&lt;&gt;"",$H40&lt;&gt;$Z40,IFERROR(VLOOKUP($H40,areaCercaPuntiClassificaSquadra,3,FALSE),-1)=IFERROR(VLOOKUP($Z40,areaCercaPuntiClassificaSquadra,3,FALSE),-2)),SUMIFS(Dati!$E$2:$E$381,Dati!$A$2:$A$381,$H40,Dati!$H$2:$H$381,$Z40)+SUMIFS(Dati!$L$2:$L$381,Dati!$H$2:$H$381,$H40,Dati!$A$2:$A$381,$Z40),"-")</f>
        <v/>
      </c>
      <c r="CO40" s="22">
        <f>IF(AND($H40&lt;&gt;"",$AA40&lt;&gt;"",$H40&lt;&gt;$AA40,IFERROR(VLOOKUP($H40,areaCercaPuntiClassificaSquadra,3,FALSE),-1)=IFERROR(VLOOKUP($AA40,areaCercaPuntiClassificaSquadra,3,FALSE),-2)),SUMIFS(Dati!$E$2:$E$381,Dati!$A$2:$A$381,$H40,Dati!$H$2:$H$381,$AA40)+SUMIFS(Dati!$L$2:$L$381,Dati!$H$2:$H$381,$H40,Dati!$A$2:$A$381,$AA40),"-")</f>
        <v/>
      </c>
      <c r="CP40" s="22">
        <f>IF(AND($H40&lt;&gt;"",$AB40&lt;&gt;"",$H40&lt;&gt;$AB40,IFERROR(VLOOKUP($H40,areaCercaPuntiClassificaSquadra,3,FALSE),-1)=IFERROR(VLOOKUP($AB40,areaCercaPuntiClassificaSquadra,3,FALSE),-2)),SUMIFS(Dati!$E$2:$E$381,Dati!$A$2:$A$381,$H40,Dati!$H$2:$H$381,$AB40)+SUMIFS(Dati!$L$2:$L$381,Dati!$H$2:$H$381,$H40,Dati!$A$2:$A$381,$AB40),"-")</f>
        <v/>
      </c>
      <c r="CQ40" s="22">
        <f>IF(AND($H40&lt;&gt;"",$AC40&lt;&gt;"",$H40&lt;&gt;$AC40,IFERROR(VLOOKUP($H40,areaCercaPuntiClassificaSquadra,3,FALSE),-1)=IFERROR(VLOOKUP($AC40,areaCercaPuntiClassificaSquadra,3,FALSE),-2)),SUMIFS(Dati!$E$2:$E$381,Dati!$A$2:$A$381,$H40,Dati!$H$2:$H$381,$AC40)+SUMIFS(Dati!$L$2:$L$381,Dati!$H$2:$H$381,$H40,Dati!$A$2:$A$381,$AC40),"-")</f>
        <v/>
      </c>
      <c r="CR40" s="22">
        <f>IF(AND($H40&lt;&gt;"",$AD40&lt;&gt;"",$H40&lt;&gt;$AD40,IFERROR(VLOOKUP($H40,areaCercaPuntiClassificaSquadra,3,FALSE),-1)=IFERROR(VLOOKUP($AD40,areaCercaPuntiClassificaSquadra,3,FALSE),-2)),SUMIFS(Dati!$E$2:$E$381,Dati!$A$2:$A$381,$H40,Dati!$H$2:$H$381,$AD40)+SUMIFS(Dati!$L$2:$L$381,Dati!$H$2:$H$381,$H40,Dati!$A$2:$A$381,$AD40),"-")</f>
        <v/>
      </c>
      <c r="CS40" s="22">
        <f>IF(AND($H40&lt;&gt;"",$AE40&lt;&gt;"",$H40&lt;&gt;$AE40,IFERROR(VLOOKUP($H40,areaCercaPuntiClassificaSquadra,3,FALSE),-1)=IFERROR(VLOOKUP($AE40,areaCercaPuntiClassificaSquadra,3,FALSE),-2)),SUMIFS(Dati!$E$2:$E$381,Dati!$A$2:$A$381,$H40,Dati!$H$2:$H$381,$AE40)+SUMIFS(Dati!$L$2:$L$381,Dati!$H$2:$H$381,$H40,Dati!$A$2:$A$381,$AE40),"-")</f>
        <v/>
      </c>
      <c r="CT40" s="22">
        <f>IF(AND($H40&lt;&gt;"",$AF40&lt;&gt;"",$H40&lt;&gt;$AF40,IFERROR(VLOOKUP($H40,areaCercaPuntiClassificaSquadra,3,FALSE),-1)=IFERROR(VLOOKUP($AF40,areaCercaPuntiClassificaSquadra,3,FALSE),-2)),SUMIFS(Dati!$E$2:$E$381,Dati!$A$2:$A$381,$H40,Dati!$H$2:$H$381,$AF40)+SUMIFS(Dati!$L$2:$L$381,Dati!$H$2:$H$381,$H40,Dati!$A$2:$A$381,$AF40),"-")</f>
        <v/>
      </c>
      <c r="CU40" s="22">
        <f>IF(AND($H40&lt;&gt;"",$AG40&lt;&gt;"",$H40&lt;&gt;$AG40,IFERROR(VLOOKUP($H40,areaCercaPuntiClassificaSquadra,3,FALSE),-1)=IFERROR(VLOOKUP($AG40,areaCercaPuntiClassificaSquadra,3,FALSE),-2)),SUMIFS(Dati!$E$2:$E$381,Dati!$A$2:$A$381,$H40,Dati!$H$2:$H$381,$AG40)+SUMIFS(Dati!$L$2:$L$381,Dati!$H$2:$H$381,$H40,Dati!$A$2:$A$381,$AG40),"-")</f>
        <v/>
      </c>
      <c r="CV40" s="22">
        <f>IF(AND($H40&lt;&gt;"",$AH40&lt;&gt;"",$H40&lt;&gt;$AH40,IFERROR(VLOOKUP($H40,areaCercaPuntiClassificaSquadra,3,FALSE),-1)=IFERROR(VLOOKUP($AH40,areaCercaPuntiClassificaSquadra,3,FALSE),-2)),SUMIFS(Dati!$E$2:$E$381,Dati!$A$2:$A$381,$H40,Dati!$H$2:$H$381,$AH40)+SUMIFS(Dati!$L$2:$L$381,Dati!$H$2:$H$381,$H40,Dati!$A$2:$A$381,$AH40),"-")</f>
        <v/>
      </c>
      <c r="CW40" s="22">
        <f>IF(AND($H40&lt;&gt;"",$AI40&lt;&gt;"",$H40&lt;&gt;$AI40,IFERROR(VLOOKUP($H40,areaCercaPuntiClassificaSquadra,3,FALSE),-1)=IFERROR(VLOOKUP($AI40,areaCercaPuntiClassificaSquadra,3,FALSE),-2)),SUMIFS(Dati!$E$2:$E$381,Dati!$A$2:$A$381,$H40,Dati!$H$2:$H$381,$AI40)+SUMIFS(Dati!$L$2:$L$381,Dati!$H$2:$H$381,$H40,Dati!$A$2:$A$381,$AI40),"-")</f>
        <v/>
      </c>
      <c r="CX40" s="22">
        <f>IF(AND($H40&lt;&gt;"",$AJ40&lt;&gt;"",$H40&lt;&gt;$AJ40,IFERROR(VLOOKUP($H40,areaCercaPuntiClassificaSquadra,3,FALSE),-1)=IFERROR(VLOOKUP($AJ40,areaCercaPuntiClassificaSquadra,3,FALSE),-2)),SUMIFS(Dati!$E$2:$E$381,Dati!$A$2:$A$381,$H40,Dati!$H$2:$H$381,$AJ40)+SUMIFS(Dati!$L$2:$L$381,Dati!$H$2:$H$381,$H40,Dati!$A$2:$A$381,$AJ40),"-")</f>
        <v/>
      </c>
      <c r="CY40" s="22">
        <f>IF(AND($H40&lt;&gt;"",$AK40&lt;&gt;"",$H40&lt;&gt;$AK40,IFERROR(VLOOKUP($H40,areaCercaPuntiClassificaSquadra,3,FALSE),-1)=IFERROR(VLOOKUP($AK40,areaCercaPuntiClassificaSquadra,3,FALSE),-2)),SUMIFS(Dati!$E$2:$E$381,Dati!$A$2:$A$381,$H40,Dati!$H$2:$H$381,$AK40)+SUMIFS(Dati!$L$2:$L$381,Dati!$H$2:$H$381,$H40,Dati!$A$2:$A$381,$AK40),"-")</f>
        <v/>
      </c>
      <c r="CZ40" s="22">
        <f>IF(AND($H40&lt;&gt;"",$AL40&lt;&gt;"",$H40&lt;&gt;$AL40,IFERROR(VLOOKUP($H40,areaCercaPuntiClassificaSquadra,3,FALSE),-1)=IFERROR(VLOOKUP($AL40,areaCercaPuntiClassificaSquadra,3,FALSE),-2)),SUMIFS(Dati!$E$2:$E$381,Dati!$A$2:$A$381,$H40,Dati!$H$2:$H$381,$AL40)+SUMIFS(Dati!$L$2:$L$381,Dati!$H$2:$H$381,$H40,Dati!$A$2:$A$381,$AL40),"-")</f>
        <v/>
      </c>
      <c r="DA40" s="22">
        <f>IF(AND($H40&lt;&gt;"",$AM40&lt;&gt;"",$H40&lt;&gt;$AM40,IFERROR(VLOOKUP($H40,areaCercaPuntiClassificaSquadra,3,FALSE),-1)=IFERROR(VLOOKUP($AM40,areaCercaPuntiClassificaSquadra,3,FALSE),-2)),SUMIFS(Dati!$E$2:$E$381,Dati!$A$2:$A$381,$H40,Dati!$H$2:$H$381,$AM40)+SUMIFS(Dati!$L$2:$L$381,Dati!$H$2:$H$381,$H40,Dati!$A$2:$A$381,$AM40),"-")</f>
        <v/>
      </c>
      <c r="DB40" s="22">
        <f>IF(AND($H40&lt;&gt;"",$AN40&lt;&gt;"",$H40&lt;&gt;$AN40,IFERROR(VLOOKUP($H40,areaCercaPuntiClassificaSquadra,3,FALSE),-1)=IFERROR(VLOOKUP($AN40,areaCercaPuntiClassificaSquadra,3,FALSE),-2)),SUMIFS(Dati!$E$2:$E$381,Dati!$A$2:$A$381,$H40,Dati!$H$2:$H$381,$AN40)+SUMIFS(Dati!$L$2:$L$381,Dati!$H$2:$H$381,$H40,Dati!$A$2:$A$381,$AN40),"-")</f>
        <v/>
      </c>
      <c r="DC40" s="22">
        <f>IF(AND($H40&lt;&gt;"",$AO40&lt;&gt;"",$H40&lt;&gt;$AO40,IFERROR(VLOOKUP($H40,areaCercaPuntiClassificaSquadra,3,FALSE),-1)=IFERROR(VLOOKUP($AO40,areaCercaPuntiClassificaSquadra,3,FALSE),-2)),SUMIFS(Dati!$E$2:$E$381,Dati!$A$2:$A$381,$H40,Dati!$H$2:$H$381,$AO40)+SUMIFS(Dati!$L$2:$L$381,Dati!$H$2:$H$381,$H40,Dati!$A$2:$A$381,$AO40),"-")</f>
        <v/>
      </c>
      <c r="DD40" s="22">
        <f>IF(AND($H40&lt;&gt;"",$AP40&lt;&gt;"",$H40&lt;&gt;$AP40,IFERROR(VLOOKUP($H40,areaCercaPuntiClassificaSquadra,3,FALSE),-1)=IFERROR(VLOOKUP($AP40,areaCercaPuntiClassificaSquadra,3,FALSE),-2)),SUMIFS(Dati!$E$2:$E$381,Dati!$A$2:$A$381,$H40,Dati!$H$2:$H$381,$AP40)+SUMIFS(Dati!$L$2:$L$381,Dati!$H$2:$H$381,$H40,Dati!$A$2:$A$381,$AP40),"-")</f>
        <v/>
      </c>
      <c r="DE40" s="22">
        <f>IF(AND($H40&lt;&gt;"",$AQ40&lt;&gt;"",$H40&lt;&gt;$AQ40,IFERROR(VLOOKUP($H40,areaCercaPuntiClassificaSquadra,3,FALSE),-1)=IFERROR(VLOOKUP($AQ40,areaCercaPuntiClassificaSquadra,3,FALSE),-2)),SUMIFS(Dati!$E$2:$E$381,Dati!$A$2:$A$381,$H40,Dati!$H$2:$H$381,$AQ40)+SUMIFS(Dati!$L$2:$L$381,Dati!$H$2:$H$381,$H40,Dati!$A$2:$A$381,$AQ40),"-")</f>
        <v/>
      </c>
      <c r="DF40" s="22">
        <f>IF(AND($H40&lt;&gt;"",$AR40&lt;&gt;"",$H40&lt;&gt;$AR40,IFERROR(VLOOKUP($H40,areaCercaPuntiClassificaSquadra,3,FALSE),-1)=IFERROR(VLOOKUP($AR40,areaCercaPuntiClassificaSquadra,3,FALSE),-2)),SUMIFS(Dati!$E$2:$E$381,Dati!$A$2:$A$381,$H40,Dati!$H$2:$H$381,$AR40)+SUMIFS(Dati!$L$2:$L$381,Dati!$H$2:$H$381,$H40,Dati!$A$2:$A$381,$AR40),"-")</f>
        <v/>
      </c>
      <c r="DH40" s="21">
        <f>$C40</f>
        <v/>
      </c>
      <c r="DI40" s="22">
        <f>IF(AND($H40&lt;&gt;"",$Y40&lt;&gt;"",$H40&lt;&gt;$Y40,IFERROR(VLOOKUP($H40,areaCercaPuntiClassificaSquadra,3,FALSE),-1)=IFERROR(VLOOKUP($Y40,areaCercaPuntiClassificaSquadra,3,FALSE),-2)),SUMIFS(Dati!$F$2:$F$381,Dati!$A$2:$A$381,$H40,Dati!$H$2:$H$381,$Y40)+SUMIFS(Dati!$M$2:$M$381,Dati!$H$2:$H$381,$H40,Dati!$A$2:$A$381,$Y40),"-")</f>
        <v/>
      </c>
      <c r="DJ40" s="22">
        <f>IF(AND($H40&lt;&gt;"",$Z40&lt;&gt;"",$H40&lt;&gt;$Z40,IFERROR(VLOOKUP($H40,areaCercaPuntiClassificaSquadra,3,FALSE),-1)=IFERROR(VLOOKUP($Z40,areaCercaPuntiClassificaSquadra,3,FALSE),-2)),SUMIFS(Dati!$F$2:$F$381,Dati!$A$2:$A$381,$H40,Dati!$H$2:$H$381,$Z40)+SUMIFS(Dati!$M$2:$M$381,Dati!$H$2:$H$381,$H40,Dati!$A$2:$A$381,$Z40),"-")</f>
        <v/>
      </c>
      <c r="DK40" s="22">
        <f>IF(AND($H40&lt;&gt;"",$AA40&lt;&gt;"",$H40&lt;&gt;$AA40,IFERROR(VLOOKUP($H40,areaCercaPuntiClassificaSquadra,3,FALSE),-1)=IFERROR(VLOOKUP($AA40,areaCercaPuntiClassificaSquadra,3,FALSE),-2)),SUMIFS(Dati!$F$2:$F$381,Dati!$A$2:$A$381,$H40,Dati!$H$2:$H$381,$AA40)+SUMIFS(Dati!$M$2:$M$381,Dati!$H$2:$H$381,$H40,Dati!$A$2:$A$381,$AA40),"-")</f>
        <v/>
      </c>
      <c r="DL40" s="22">
        <f>IF(AND($H40&lt;&gt;"",$AB40&lt;&gt;"",$H40&lt;&gt;$AB40,IFERROR(VLOOKUP($H40,areaCercaPuntiClassificaSquadra,3,FALSE),-1)=IFERROR(VLOOKUP($AB40,areaCercaPuntiClassificaSquadra,3,FALSE),-2)),SUMIFS(Dati!$F$2:$F$381,Dati!$A$2:$A$381,$H40,Dati!$H$2:$H$381,$AB40)+SUMIFS(Dati!$M$2:$M$381,Dati!$H$2:$H$381,$H40,Dati!$A$2:$A$381,$AB40),"-")</f>
        <v/>
      </c>
      <c r="DM40" s="22">
        <f>IF(AND($H40&lt;&gt;"",$AC40&lt;&gt;"",$H40&lt;&gt;$AC40,IFERROR(VLOOKUP($H40,areaCercaPuntiClassificaSquadra,3,FALSE),-1)=IFERROR(VLOOKUP($AC40,areaCercaPuntiClassificaSquadra,3,FALSE),-2)),SUMIFS(Dati!$F$2:$F$381,Dati!$A$2:$A$381,$H40,Dati!$H$2:$H$381,$AC40)+SUMIFS(Dati!$M$2:$M$381,Dati!$H$2:$H$381,$H40,Dati!$A$2:$A$381,$AC40),"-")</f>
        <v/>
      </c>
      <c r="DN40" s="22">
        <f>IF(AND($H40&lt;&gt;"",$AD40&lt;&gt;"",$H40&lt;&gt;$AD40,IFERROR(VLOOKUP($H40,areaCercaPuntiClassificaSquadra,3,FALSE),-1)=IFERROR(VLOOKUP($AD40,areaCercaPuntiClassificaSquadra,3,FALSE),-2)),SUMIFS(Dati!$F$2:$F$381,Dati!$A$2:$A$381,$H40,Dati!$H$2:$H$381,$AD40)+SUMIFS(Dati!$M$2:$M$381,Dati!$H$2:$H$381,$H40,Dati!$A$2:$A$381,$AD40),"-")</f>
        <v/>
      </c>
      <c r="DO40" s="22">
        <f>IF(AND($H40&lt;&gt;"",$AE40&lt;&gt;"",$H40&lt;&gt;$AE40,IFERROR(VLOOKUP($H40,areaCercaPuntiClassificaSquadra,3,FALSE),-1)=IFERROR(VLOOKUP($AE40,areaCercaPuntiClassificaSquadra,3,FALSE),-2)),SUMIFS(Dati!$F$2:$F$381,Dati!$A$2:$A$381,$H40,Dati!$H$2:$H$381,$AE40)+SUMIFS(Dati!$M$2:$M$381,Dati!$H$2:$H$381,$H40,Dati!$A$2:$A$381,$AE40),"-")</f>
        <v/>
      </c>
      <c r="DP40" s="22">
        <f>IF(AND($H40&lt;&gt;"",$AF40&lt;&gt;"",$H40&lt;&gt;$AF40,IFERROR(VLOOKUP($H40,areaCercaPuntiClassificaSquadra,3,FALSE),-1)=IFERROR(VLOOKUP($AF40,areaCercaPuntiClassificaSquadra,3,FALSE),-2)),SUMIFS(Dati!$F$2:$F$381,Dati!$A$2:$A$381,$H40,Dati!$H$2:$H$381,$AF40)+SUMIFS(Dati!$M$2:$M$381,Dati!$H$2:$H$381,$H40,Dati!$A$2:$A$381,$AF40),"-")</f>
        <v/>
      </c>
      <c r="DQ40" s="22">
        <f>IF(AND($H40&lt;&gt;"",$AG40&lt;&gt;"",$H40&lt;&gt;$AG40,IFERROR(VLOOKUP($H40,areaCercaPuntiClassificaSquadra,3,FALSE),-1)=IFERROR(VLOOKUP($AG40,areaCercaPuntiClassificaSquadra,3,FALSE),-2)),SUMIFS(Dati!$F$2:$F$381,Dati!$A$2:$A$381,$H40,Dati!$H$2:$H$381,$AG40)+SUMIFS(Dati!$M$2:$M$381,Dati!$H$2:$H$381,$H40,Dati!$A$2:$A$381,$AG40),"-")</f>
        <v/>
      </c>
      <c r="DR40" s="22">
        <f>IF(AND($H40&lt;&gt;"",$AH40&lt;&gt;"",$H40&lt;&gt;$AH40,IFERROR(VLOOKUP($H40,areaCercaPuntiClassificaSquadra,3,FALSE),-1)=IFERROR(VLOOKUP($AH40,areaCercaPuntiClassificaSquadra,3,FALSE),-2)),SUMIFS(Dati!$F$2:$F$381,Dati!$A$2:$A$381,$H40,Dati!$H$2:$H$381,$AH40)+SUMIFS(Dati!$M$2:$M$381,Dati!$H$2:$H$381,$H40,Dati!$A$2:$A$381,$AH40),"-")</f>
        <v/>
      </c>
      <c r="DS40" s="22">
        <f>IF(AND($H40&lt;&gt;"",$AI40&lt;&gt;"",$H40&lt;&gt;$AI40,IFERROR(VLOOKUP($H40,areaCercaPuntiClassificaSquadra,3,FALSE),-1)=IFERROR(VLOOKUP($AI40,areaCercaPuntiClassificaSquadra,3,FALSE),-2)),SUMIFS(Dati!$F$2:$F$381,Dati!$A$2:$A$381,$H40,Dati!$H$2:$H$381,$AI40)+SUMIFS(Dati!$M$2:$M$381,Dati!$H$2:$H$381,$H40,Dati!$A$2:$A$381,$AI40),"-")</f>
        <v/>
      </c>
      <c r="DT40" s="22">
        <f>IF(AND($H40&lt;&gt;"",$AJ40&lt;&gt;"",$H40&lt;&gt;$AJ40,IFERROR(VLOOKUP($H40,areaCercaPuntiClassificaSquadra,3,FALSE),-1)=IFERROR(VLOOKUP($AJ40,areaCercaPuntiClassificaSquadra,3,FALSE),-2)),SUMIFS(Dati!$F$2:$F$381,Dati!$A$2:$A$381,$H40,Dati!$H$2:$H$381,$AJ40)+SUMIFS(Dati!$M$2:$M$381,Dati!$H$2:$H$381,$H40,Dati!$A$2:$A$381,$AJ40),"-")</f>
        <v/>
      </c>
      <c r="DU40" s="22">
        <f>IF(AND($H40&lt;&gt;"",$AK40&lt;&gt;"",$H40&lt;&gt;$AK40,IFERROR(VLOOKUP($H40,areaCercaPuntiClassificaSquadra,3,FALSE),-1)=IFERROR(VLOOKUP($AK40,areaCercaPuntiClassificaSquadra,3,FALSE),-2)),SUMIFS(Dati!$F$2:$F$381,Dati!$A$2:$A$381,$H40,Dati!$H$2:$H$381,$AK40)+SUMIFS(Dati!$M$2:$M$381,Dati!$H$2:$H$381,$H40,Dati!$A$2:$A$381,$AK40),"-")</f>
        <v/>
      </c>
      <c r="DV40" s="22">
        <f>IF(AND($H40&lt;&gt;"",$AL40&lt;&gt;"",$H40&lt;&gt;$AL40,IFERROR(VLOOKUP($H40,areaCercaPuntiClassificaSquadra,3,FALSE),-1)=IFERROR(VLOOKUP($AL40,areaCercaPuntiClassificaSquadra,3,FALSE),-2)),SUMIFS(Dati!$F$2:$F$381,Dati!$A$2:$A$381,$H40,Dati!$H$2:$H$381,$AL40)+SUMIFS(Dati!$M$2:$M$381,Dati!$H$2:$H$381,$H40,Dati!$A$2:$A$381,$AL40),"-")</f>
        <v/>
      </c>
      <c r="DW40" s="22">
        <f>IF(AND($H40&lt;&gt;"",$AM40&lt;&gt;"",$H40&lt;&gt;$AM40,IFERROR(VLOOKUP($H40,areaCercaPuntiClassificaSquadra,3,FALSE),-1)=IFERROR(VLOOKUP($AM40,areaCercaPuntiClassificaSquadra,3,FALSE),-2)),SUMIFS(Dati!$F$2:$F$381,Dati!$A$2:$A$381,$H40,Dati!$H$2:$H$381,$AM40)+SUMIFS(Dati!$M$2:$M$381,Dati!$H$2:$H$381,$H40,Dati!$A$2:$A$381,$AM40),"-")</f>
        <v/>
      </c>
      <c r="DX40" s="22">
        <f>IF(AND($H40&lt;&gt;"",$AN40&lt;&gt;"",$H40&lt;&gt;$AN40,IFERROR(VLOOKUP($H40,areaCercaPuntiClassificaSquadra,3,FALSE),-1)=IFERROR(VLOOKUP($AN40,areaCercaPuntiClassificaSquadra,3,FALSE),-2)),SUMIFS(Dati!$F$2:$F$381,Dati!$A$2:$A$381,$H40,Dati!$H$2:$H$381,$AN40)+SUMIFS(Dati!$M$2:$M$381,Dati!$H$2:$H$381,$H40,Dati!$A$2:$A$381,$AN40),"-")</f>
        <v/>
      </c>
      <c r="DY40" s="22">
        <f>IF(AND($H40&lt;&gt;"",$AO40&lt;&gt;"",$H40&lt;&gt;$AO40,IFERROR(VLOOKUP($H40,areaCercaPuntiClassificaSquadra,3,FALSE),-1)=IFERROR(VLOOKUP($AO40,areaCercaPuntiClassificaSquadra,3,FALSE),-2)),SUMIFS(Dati!$F$2:$F$381,Dati!$A$2:$A$381,$H40,Dati!$H$2:$H$381,$AO40)+SUMIFS(Dati!$M$2:$M$381,Dati!$H$2:$H$381,$H40,Dati!$A$2:$A$381,$AO40),"-")</f>
        <v/>
      </c>
      <c r="DZ40" s="22">
        <f>IF(AND($H40&lt;&gt;"",$AP40&lt;&gt;"",$H40&lt;&gt;$AP40,IFERROR(VLOOKUP($H40,areaCercaPuntiClassificaSquadra,3,FALSE),-1)=IFERROR(VLOOKUP($AP40,areaCercaPuntiClassificaSquadra,3,FALSE),-2)),SUMIFS(Dati!$F$2:$F$381,Dati!$A$2:$A$381,$H40,Dati!$H$2:$H$381,$AP40)+SUMIFS(Dati!$M$2:$M$381,Dati!$H$2:$H$381,$H40,Dati!$A$2:$A$381,$AP40),"-")</f>
        <v/>
      </c>
      <c r="EA40" s="22">
        <f>IF(AND($H40&lt;&gt;"",$AQ40&lt;&gt;"",$H40&lt;&gt;$AQ40,IFERROR(VLOOKUP($H40,areaCercaPuntiClassificaSquadra,3,FALSE),-1)=IFERROR(VLOOKUP($AQ40,areaCercaPuntiClassificaSquadra,3,FALSE),-2)),SUMIFS(Dati!$F$2:$F$381,Dati!$A$2:$A$381,$H40,Dati!$H$2:$H$381,$AQ40)+SUMIFS(Dati!$M$2:$M$381,Dati!$H$2:$H$381,$H40,Dati!$A$2:$A$381,$AQ40),"-")</f>
        <v/>
      </c>
      <c r="EB40" s="22">
        <f>IF(AND($H40&lt;&gt;"",$AR40&lt;&gt;"",$H40&lt;&gt;$AR40,IFERROR(VLOOKUP($H40,areaCercaPuntiClassificaSquadra,3,FALSE),-1)=IFERROR(VLOOKUP($AR40,areaCercaPuntiClassificaSquadra,3,FALSE),-2)),SUMIFS(Dati!$F$2:$F$381,Dati!$A$2:$A$381,$H40,Dati!$H$2:$H$381,$AR40)+SUMIFS(Dati!$M$2:$M$381,Dati!$H$2:$H$381,$H40,Dati!$A$2:$A$381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inlineStr">
        <is>
          <t>Nutrie Nobili-Nutrieopoli NI</t>
        </is>
      </c>
      <c r="D41" s="14" t="n"/>
      <c r="E41" s="23" t="inlineStr">
        <is>
          <t>B</t>
        </is>
      </c>
      <c r="G41" s="24">
        <f>IF($C41="","",$E41&amp;(COUNTIFS(I$14:I$53,"&gt;"&amp;I41,E$14:E$53,"="&amp;E41,C$14:C$53,"&lt;&gt;")+COUNTIFS(I$14:I$53,"="&amp;I41,H$14:H$53,"&lt;="&amp;H41,E$14:E$53,"="&amp;E41,C$14:C$53,"&lt;&gt;")))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L41*constPuntiVittoria+M41*constPuntiSconfitta+N41*constPuntiForfait+IF(D41="",0,D41)</f>
        <v/>
      </c>
      <c r="K41" s="12">
        <f>SUM(L41:N41)</f>
        <v/>
      </c>
      <c r="L41" s="12">
        <f>IF($H41="",0,SUMIF(Dati!$A$2:$A$381,$H41,Dati!$B$2:$B$381)+SUMIF(Dati!$H$2:$H$381,$H41,Dati!$I$2:$I$381))</f>
        <v/>
      </c>
      <c r="M41" s="12">
        <f>IF($H41="",0,SUMIF(Dati!$A$2:$A$381,$H41,Dati!$D$2:$D$381)+SUMIF(Dati!$H$2:$H$381,$H41,Dati!$K$2:$K$381))</f>
        <v/>
      </c>
      <c r="N41" s="12">
        <f>IF($H41="",0,SUMIF(Dati!$A$2:$A$381,$H41,Dati!$C$2:$C$381)+SUMIF(Dati!$H$2:$H$381,$H41,Dati!$J$2:$J$381))</f>
        <v/>
      </c>
      <c r="O41" s="12">
        <f>IF($H41="",0,SUMIF(Dati!$A$2:$A$381,$H41,Dati!$E$2:$E$381)+SUMIF(Dati!$H$2:$H$381,$H41,Dati!$L$2:$L$381))</f>
        <v/>
      </c>
      <c r="P41" s="12">
        <f>IF($H41="",0,SUMIF(Dati!$A$2:$A$381,$H41,Dati!$F$2:$F$381)+SUMIF(Dati!$H$2:$H$381,$H41,Dati!$M$2:$M$381))</f>
        <v/>
      </c>
      <c r="Q41" s="12">
        <f>IF($H41="",0,SUMIF(Dati!$A$2:$A$381,$H41,Dati!$G$2:$G$381)+SUMIF(Dati!$H$2:$H$381,$H41,Dati!$N$2:$N$381))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IF(COUNTIFS($E$14:$E$53,$E41,$J$14:$J$53,$J41,$C$14:$C$53,"&lt;&gt;")&lt;=1,"-",SUM(AU41:BN41)&amp;"-"&amp;SUM(BQ41:CJ41))</f>
        <v/>
      </c>
      <c r="V41" s="18">
        <f>IF(COUNTIFS($E$14:$E$53,$E41,$J$14:$J$53,$J41,$C$14:$C$53,"&lt;&gt;",$ED$14:$ED$53,$ED41)&lt;=1,"-",IF(SUM(DI41:EB41)=0,0,ROUND(SUM(CM41:DF41)/SUM(DI41:EB41),3)))</f>
        <v/>
      </c>
      <c r="W41" s="18">
        <f>IF(COUNTIFS($E$14:$E$53,$E41,$J$14:$J$53,$J41,$C$14:$C$53,"&lt;&gt;",$ED$14:$ED$53,$ED41,$V$14:$V$53,$V41)&lt;=1,"-",IF(P41=0,0,ROUND(O41/P41,3)))</f>
        <v/>
      </c>
      <c r="X41" s="19">
        <f>IF($C41="","",$E41&amp;"#"&amp;COUNTIFS($E$14:$E41,$E41,$C$14:$C41,"&lt;&gt;"))</f>
        <v/>
      </c>
      <c r="Y41" s="20">
        <f>IFERROR(INDEX($H$14:$H$53,MATCH($E41&amp;"#1",$X$14:$X$53,0)),"")</f>
        <v/>
      </c>
      <c r="Z41" s="20">
        <f>IFERROR(INDEX($H$14:$H$53,MATCH($E41&amp;"#2",$X$14:$X$53,0)),"")</f>
        <v/>
      </c>
      <c r="AA41" s="20">
        <f>IFERROR(INDEX($H$14:$H$53,MATCH($E41&amp;"#3",$X$14:$X$53,0)),"")</f>
        <v/>
      </c>
      <c r="AB41" s="20">
        <f>IFERROR(INDEX($H$14:$H$53,MATCH($E41&amp;"#4",$X$14:$X$53,0)),"")</f>
        <v/>
      </c>
      <c r="AC41" s="20">
        <f>IFERROR(INDEX($H$14:$H$53,MATCH($E41&amp;"#5",$X$14:$X$53,0)),"")</f>
        <v/>
      </c>
      <c r="AD41" s="20">
        <f>IFERROR(INDEX($H$14:$H$53,MATCH($E41&amp;"#6",$X$14:$X$53,0)),"")</f>
        <v/>
      </c>
      <c r="AE41" s="20">
        <f>IFERROR(INDEX($H$14:$H$53,MATCH($E41&amp;"#7",$X$14:$X$53,0)),"")</f>
        <v/>
      </c>
      <c r="AF41" s="20">
        <f>IFERROR(INDEX($H$14:$H$53,MATCH($E41&amp;"#8",$X$14:$X$53,0)),"")</f>
        <v/>
      </c>
      <c r="AG41" s="20">
        <f>IFERROR(INDEX($H$14:$H$53,MATCH($E41&amp;"#9",$X$14:$X$53,0)),"")</f>
        <v/>
      </c>
      <c r="AH41" s="20">
        <f>IFERROR(INDEX($H$14:$H$53,MATCH($E41&amp;"#10",$X$14:$X$53,0)),"")</f>
        <v/>
      </c>
      <c r="AI41" s="20">
        <f>IFERROR(INDEX($H$14:$H$53,MATCH($E41&amp;"#11",$X$14:$X$53,0)),"")</f>
        <v/>
      </c>
      <c r="AJ41" s="20">
        <f>IFERROR(INDEX($H$14:$H$53,MATCH($E41&amp;"#12",$X$14:$X$53,0)),"")</f>
        <v/>
      </c>
      <c r="AK41" s="20">
        <f>IFERROR(INDEX($H$14:$H$53,MATCH($E41&amp;"#13",$X$14:$X$53,0)),"")</f>
        <v/>
      </c>
      <c r="AL41" s="20">
        <f>IFERROR(INDEX($H$14:$H$53,MATCH($E41&amp;"#14",$X$14:$X$53,0)),"")</f>
        <v/>
      </c>
      <c r="AM41" s="20">
        <f>IFERROR(INDEX($H$14:$H$53,MATCH($E41&amp;"#15",$X$14:$X$53,0)),"")</f>
        <v/>
      </c>
      <c r="AN41" s="20">
        <f>IFERROR(INDEX($H$14:$H$53,MATCH($E41&amp;"#16",$X$14:$X$53,0)),"")</f>
        <v/>
      </c>
      <c r="AO41" s="20">
        <f>IFERROR(INDEX($H$14:$H$53,MATCH($E41&amp;"#17",$X$14:$X$53,0)),"")</f>
        <v/>
      </c>
      <c r="AP41" s="20">
        <f>IFERROR(INDEX($H$14:$H$53,MATCH($E41&amp;"#18",$X$14:$X$53,0)),"")</f>
        <v/>
      </c>
      <c r="AQ41" s="20">
        <f>IFERROR(INDEX($H$14:$H$53,MATCH($E41&amp;"#19",$X$14:$X$53,0)),"")</f>
        <v/>
      </c>
      <c r="AR41" s="20">
        <f>IFERROR(INDEX($H$14:$H$53,MATCH($E41&amp;"#20",$X$14:$X$53,0)),"")</f>
        <v/>
      </c>
      <c r="AT41" s="21">
        <f>$C41</f>
        <v/>
      </c>
      <c r="AU41" s="22">
        <f>IF(AND($H41&lt;&gt;"",$Y41&lt;&gt;"",$H41&lt;&gt;$Y41,IFERROR(VLOOKUP($H41,areaCercaPuntiClassificaSquadra,3,FALSE),-1)=IFERROR(VLOOKUP($Y41,areaCercaPuntiClassificaSquadra,3,FALSE),-2)),SUMIFS(Dati!$B$2:$B$381,Dati!$A$2:$A$381,$H41,Dati!$H$2:$H$381,$Y41)+SUMIFS(Dati!$I$2:$I$381,Dati!$H$2:$H$381,$H41,Dati!$A$2:$A$381,$Y41),"-")</f>
        <v/>
      </c>
      <c r="AV41" s="22">
        <f>IF(AND($H41&lt;&gt;"",$Z41&lt;&gt;"",$H41&lt;&gt;$Z41,IFERROR(VLOOKUP($H41,areaCercaPuntiClassificaSquadra,3,FALSE),-1)=IFERROR(VLOOKUP($Z41,areaCercaPuntiClassificaSquadra,3,FALSE),-2)),SUMIFS(Dati!$B$2:$B$381,Dati!$A$2:$A$381,$H41,Dati!$H$2:$H$381,$Z41)+SUMIFS(Dati!$I$2:$I$381,Dati!$H$2:$H$381,$H41,Dati!$A$2:$A$381,$Z41),"-")</f>
        <v/>
      </c>
      <c r="AW41" s="22">
        <f>IF(AND($H41&lt;&gt;"",$AA41&lt;&gt;"",$H41&lt;&gt;$AA41,IFERROR(VLOOKUP($H41,areaCercaPuntiClassificaSquadra,3,FALSE),-1)=IFERROR(VLOOKUP($AA41,areaCercaPuntiClassificaSquadra,3,FALSE),-2)),SUMIFS(Dati!$B$2:$B$381,Dati!$A$2:$A$381,$H41,Dati!$H$2:$H$381,$AA41)+SUMIFS(Dati!$I$2:$I$381,Dati!$H$2:$H$381,$H41,Dati!$A$2:$A$381,$AA41),"-")</f>
        <v/>
      </c>
      <c r="AX41" s="22">
        <f>IF(AND($H41&lt;&gt;"",$AB41&lt;&gt;"",$H41&lt;&gt;$AB41,IFERROR(VLOOKUP($H41,areaCercaPuntiClassificaSquadra,3,FALSE),-1)=IFERROR(VLOOKUP($AB41,areaCercaPuntiClassificaSquadra,3,FALSE),-2)),SUMIFS(Dati!$B$2:$B$381,Dati!$A$2:$A$381,$H41,Dati!$H$2:$H$381,$AB41)+SUMIFS(Dati!$I$2:$I$381,Dati!$H$2:$H$381,$H41,Dati!$A$2:$A$381,$AB41),"-")</f>
        <v/>
      </c>
      <c r="AY41" s="22">
        <f>IF(AND($H41&lt;&gt;"",$AC41&lt;&gt;"",$H41&lt;&gt;$AC41,IFERROR(VLOOKUP($H41,areaCercaPuntiClassificaSquadra,3,FALSE),-1)=IFERROR(VLOOKUP($AC41,areaCercaPuntiClassificaSquadra,3,FALSE),-2)),SUMIFS(Dati!$B$2:$B$381,Dati!$A$2:$A$381,$H41,Dati!$H$2:$H$381,$AC41)+SUMIFS(Dati!$I$2:$I$381,Dati!$H$2:$H$381,$H41,Dati!$A$2:$A$381,$AC41),"-")</f>
        <v/>
      </c>
      <c r="AZ41" s="22">
        <f>IF(AND($H41&lt;&gt;"",$AD41&lt;&gt;"",$H41&lt;&gt;$AD41,IFERROR(VLOOKUP($H41,areaCercaPuntiClassificaSquadra,3,FALSE),-1)=IFERROR(VLOOKUP($AD41,areaCercaPuntiClassificaSquadra,3,FALSE),-2)),SUMIFS(Dati!$B$2:$B$381,Dati!$A$2:$A$381,$H41,Dati!$H$2:$H$381,$AD41)+SUMIFS(Dati!$I$2:$I$381,Dati!$H$2:$H$381,$H41,Dati!$A$2:$A$381,$AD41),"-")</f>
        <v/>
      </c>
      <c r="BA41" s="22">
        <f>IF(AND($H41&lt;&gt;"",$AE41&lt;&gt;"",$H41&lt;&gt;$AE41,IFERROR(VLOOKUP($H41,areaCercaPuntiClassificaSquadra,3,FALSE),-1)=IFERROR(VLOOKUP($AE41,areaCercaPuntiClassificaSquadra,3,FALSE),-2)),SUMIFS(Dati!$B$2:$B$381,Dati!$A$2:$A$381,$H41,Dati!$H$2:$H$381,$AE41)+SUMIFS(Dati!$I$2:$I$381,Dati!$H$2:$H$381,$H41,Dati!$A$2:$A$381,$AE41),"-")</f>
        <v/>
      </c>
      <c r="BB41" s="22">
        <f>IF(AND($H41&lt;&gt;"",$AF41&lt;&gt;"",$H41&lt;&gt;$AF41,IFERROR(VLOOKUP($H41,areaCercaPuntiClassificaSquadra,3,FALSE),-1)=IFERROR(VLOOKUP($AF41,areaCercaPuntiClassificaSquadra,3,FALSE),-2)),SUMIFS(Dati!$B$2:$B$381,Dati!$A$2:$A$381,$H41,Dati!$H$2:$H$381,$AF41)+SUMIFS(Dati!$I$2:$I$381,Dati!$H$2:$H$381,$H41,Dati!$A$2:$A$381,$AF41),"-")</f>
        <v/>
      </c>
      <c r="BC41" s="22">
        <f>IF(AND($H41&lt;&gt;"",$AG41&lt;&gt;"",$H41&lt;&gt;$AG41,IFERROR(VLOOKUP($H41,areaCercaPuntiClassificaSquadra,3,FALSE),-1)=IFERROR(VLOOKUP($AG41,areaCercaPuntiClassificaSquadra,3,FALSE),-2)),SUMIFS(Dati!$B$2:$B$381,Dati!$A$2:$A$381,$H41,Dati!$H$2:$H$381,$AG41)+SUMIFS(Dati!$I$2:$I$381,Dati!$H$2:$H$381,$H41,Dati!$A$2:$A$381,$AG41),"-")</f>
        <v/>
      </c>
      <c r="BD41" s="22">
        <f>IF(AND($H41&lt;&gt;"",$AH41&lt;&gt;"",$H41&lt;&gt;$AH41,IFERROR(VLOOKUP($H41,areaCercaPuntiClassificaSquadra,3,FALSE),-1)=IFERROR(VLOOKUP($AH41,areaCercaPuntiClassificaSquadra,3,FALSE),-2)),SUMIFS(Dati!$B$2:$B$381,Dati!$A$2:$A$381,$H41,Dati!$H$2:$H$381,$AH41)+SUMIFS(Dati!$I$2:$I$381,Dati!$H$2:$H$381,$H41,Dati!$A$2:$A$381,$AH41),"-")</f>
        <v/>
      </c>
      <c r="BE41" s="22">
        <f>IF(AND($H41&lt;&gt;"",$AI41&lt;&gt;"",$H41&lt;&gt;$AI41,IFERROR(VLOOKUP($H41,areaCercaPuntiClassificaSquadra,3,FALSE),-1)=IFERROR(VLOOKUP($AI41,areaCercaPuntiClassificaSquadra,3,FALSE),-2)),SUMIFS(Dati!$B$2:$B$381,Dati!$A$2:$A$381,$H41,Dati!$H$2:$H$381,$AI41)+SUMIFS(Dati!$I$2:$I$381,Dati!$H$2:$H$381,$H41,Dati!$A$2:$A$381,$AI41),"-")</f>
        <v/>
      </c>
      <c r="BF41" s="22">
        <f>IF(AND($H41&lt;&gt;"",$AJ41&lt;&gt;"",$H41&lt;&gt;$AJ41,IFERROR(VLOOKUP($H41,areaCercaPuntiClassificaSquadra,3,FALSE),-1)=IFERROR(VLOOKUP($AJ41,areaCercaPuntiClassificaSquadra,3,FALSE),-2)),SUMIFS(Dati!$B$2:$B$381,Dati!$A$2:$A$381,$H41,Dati!$H$2:$H$381,$AJ41)+SUMIFS(Dati!$I$2:$I$381,Dati!$H$2:$H$381,$H41,Dati!$A$2:$A$381,$AJ41),"-")</f>
        <v/>
      </c>
      <c r="BG41" s="22">
        <f>IF(AND($H41&lt;&gt;"",$AK41&lt;&gt;"",$H41&lt;&gt;$AK41,IFERROR(VLOOKUP($H41,areaCercaPuntiClassificaSquadra,3,FALSE),-1)=IFERROR(VLOOKUP($AK41,areaCercaPuntiClassificaSquadra,3,FALSE),-2)),SUMIFS(Dati!$B$2:$B$381,Dati!$A$2:$A$381,$H41,Dati!$H$2:$H$381,$AK41)+SUMIFS(Dati!$I$2:$I$381,Dati!$H$2:$H$381,$H41,Dati!$A$2:$A$381,$AK41),"-")</f>
        <v/>
      </c>
      <c r="BH41" s="22">
        <f>IF(AND($H41&lt;&gt;"",$AL41&lt;&gt;"",$H41&lt;&gt;$AL41,IFERROR(VLOOKUP($H41,areaCercaPuntiClassificaSquadra,3,FALSE),-1)=IFERROR(VLOOKUP($AL41,areaCercaPuntiClassificaSquadra,3,FALSE),-2)),SUMIFS(Dati!$B$2:$B$381,Dati!$A$2:$A$381,$H41,Dati!$H$2:$H$381,$AL41)+SUMIFS(Dati!$I$2:$I$381,Dati!$H$2:$H$381,$H41,Dati!$A$2:$A$381,$AL41),"-")</f>
        <v/>
      </c>
      <c r="BI41" s="22">
        <f>IF(AND($H41&lt;&gt;"",$AM41&lt;&gt;"",$H41&lt;&gt;$AM41,IFERROR(VLOOKUP($H41,areaCercaPuntiClassificaSquadra,3,FALSE),-1)=IFERROR(VLOOKUP($AM41,areaCercaPuntiClassificaSquadra,3,FALSE),-2)),SUMIFS(Dati!$B$2:$B$381,Dati!$A$2:$A$381,$H41,Dati!$H$2:$H$381,$AM41)+SUMIFS(Dati!$I$2:$I$381,Dati!$H$2:$H$381,$H41,Dati!$A$2:$A$381,$AM41),"-")</f>
        <v/>
      </c>
      <c r="BJ41" s="22">
        <f>IF(AND($H41&lt;&gt;"",$AN41&lt;&gt;"",$H41&lt;&gt;$AN41,IFERROR(VLOOKUP($H41,areaCercaPuntiClassificaSquadra,3,FALSE),-1)=IFERROR(VLOOKUP($AN41,areaCercaPuntiClassificaSquadra,3,FALSE),-2)),SUMIFS(Dati!$B$2:$B$381,Dati!$A$2:$A$381,$H41,Dati!$H$2:$H$381,$AN41)+SUMIFS(Dati!$I$2:$I$381,Dati!$H$2:$H$381,$H41,Dati!$A$2:$A$381,$AN41),"-")</f>
        <v/>
      </c>
      <c r="BK41" s="22">
        <f>IF(AND($H41&lt;&gt;"",$AO41&lt;&gt;"",$H41&lt;&gt;$AO41,IFERROR(VLOOKUP($H41,areaCercaPuntiClassificaSquadra,3,FALSE),-1)=IFERROR(VLOOKUP($AO41,areaCercaPuntiClassificaSquadra,3,FALSE),-2)),SUMIFS(Dati!$B$2:$B$381,Dati!$A$2:$A$381,$H41,Dati!$H$2:$H$381,$AO41)+SUMIFS(Dati!$I$2:$I$381,Dati!$H$2:$H$381,$H41,Dati!$A$2:$A$381,$AO41),"-")</f>
        <v/>
      </c>
      <c r="BL41" s="22">
        <f>IF(AND($H41&lt;&gt;"",$AP41&lt;&gt;"",$H41&lt;&gt;$AP41,IFERROR(VLOOKUP($H41,areaCercaPuntiClassificaSquadra,3,FALSE),-1)=IFERROR(VLOOKUP($AP41,areaCercaPuntiClassificaSquadra,3,FALSE),-2)),SUMIFS(Dati!$B$2:$B$381,Dati!$A$2:$A$381,$H41,Dati!$H$2:$H$381,$AP41)+SUMIFS(Dati!$I$2:$I$381,Dati!$H$2:$H$381,$H41,Dati!$A$2:$A$381,$AP41),"-")</f>
        <v/>
      </c>
      <c r="BM41" s="22">
        <f>IF(AND($H41&lt;&gt;"",$AQ41&lt;&gt;"",$H41&lt;&gt;$AQ41,IFERROR(VLOOKUP($H41,areaCercaPuntiClassificaSquadra,3,FALSE),-1)=IFERROR(VLOOKUP($AQ41,areaCercaPuntiClassificaSquadra,3,FALSE),-2)),SUMIFS(Dati!$B$2:$B$381,Dati!$A$2:$A$381,$H41,Dati!$H$2:$H$381,$AQ41)+SUMIFS(Dati!$I$2:$I$381,Dati!$H$2:$H$381,$H41,Dati!$A$2:$A$381,$AQ41),"-")</f>
        <v/>
      </c>
      <c r="BN41" s="22">
        <f>IF(AND($H41&lt;&gt;"",$AR41&lt;&gt;"",$H41&lt;&gt;$AR41,IFERROR(VLOOKUP($H41,areaCercaPuntiClassificaSquadra,3,FALSE),-1)=IFERROR(VLOOKUP($AR41,areaCercaPuntiClassificaSquadra,3,FALSE),-2)),SUMIFS(Dati!$B$2:$B$381,Dati!$A$2:$A$381,$H41,Dati!$H$2:$H$381,$AR41)+SUMIFS(Dati!$I$2:$I$381,Dati!$H$2:$H$381,$H41,Dati!$A$2:$A$381,$AR41),"-")</f>
        <v/>
      </c>
      <c r="BP41" s="21">
        <f>$C41</f>
        <v/>
      </c>
      <c r="BQ41" s="22">
        <f>IF(AND($H41&lt;&gt;"",$Y41&lt;&gt;"",$H41&lt;&gt;$Y41,IFERROR(VLOOKUP($H41,areaCercaPuntiClassificaSquadra,3,FALSE),-1)=IFERROR(VLOOKUP($Y41,areaCercaPuntiClassificaSquadra,3,FALSE),-2)),SUMIFS(Dati!$D$2:$D$381,Dati!$A$2:$A$381,$H41,Dati!$H$2:$H$381,$Y41)+SUMIFS(Dati!$K$2:$K$381,Dati!$H$2:$H$381,$H41,Dati!$A$2:$A$381,$Y41)+SUMIFS(Dati!$C$2:$C$381,Dati!$A$2:$A$381,$H41,Dati!$H$2:$H$381,$Y41)+SUMIFS(Dati!$J$2:$J$381,Dati!$H$2:$H$381,$H41,Dati!$A$2:$A$381,$Y41),"-")</f>
        <v/>
      </c>
      <c r="BR41" s="22">
        <f>IF(AND($H41&lt;&gt;"",$Z41&lt;&gt;"",$H41&lt;&gt;$Z41,IFERROR(VLOOKUP($H41,areaCercaPuntiClassificaSquadra,3,FALSE),-1)=IFERROR(VLOOKUP($Z41,areaCercaPuntiClassificaSquadra,3,FALSE),-2)),SUMIFS(Dati!$D$2:$D$381,Dati!$A$2:$A$381,$H41,Dati!$H$2:$H$381,$Z41)+SUMIFS(Dati!$K$2:$K$381,Dati!$H$2:$H$381,$H41,Dati!$A$2:$A$381,$Z41)+SUMIFS(Dati!$C$2:$C$381,Dati!$A$2:$A$381,$H41,Dati!$H$2:$H$381,$Z41)+SUMIFS(Dati!$J$2:$J$381,Dati!$H$2:$H$381,$H41,Dati!$A$2:$A$381,$Z41),"-")</f>
        <v/>
      </c>
      <c r="BS41" s="22">
        <f>IF(AND($H41&lt;&gt;"",$AA41&lt;&gt;"",$H41&lt;&gt;$AA41,IFERROR(VLOOKUP($H41,areaCercaPuntiClassificaSquadra,3,FALSE),-1)=IFERROR(VLOOKUP($AA41,areaCercaPuntiClassificaSquadra,3,FALSE),-2)),SUMIFS(Dati!$D$2:$D$381,Dati!$A$2:$A$381,$H41,Dati!$H$2:$H$381,$AA41)+SUMIFS(Dati!$K$2:$K$381,Dati!$H$2:$H$381,$H41,Dati!$A$2:$A$381,$AA41)+SUMIFS(Dati!$C$2:$C$381,Dati!$A$2:$A$381,$H41,Dati!$H$2:$H$381,$AA41)+SUMIFS(Dati!$J$2:$J$381,Dati!$H$2:$H$381,$H41,Dati!$A$2:$A$381,$AA41),"-")</f>
        <v/>
      </c>
      <c r="BT41" s="22">
        <f>IF(AND($H41&lt;&gt;"",$AB41&lt;&gt;"",$H41&lt;&gt;$AB41,IFERROR(VLOOKUP($H41,areaCercaPuntiClassificaSquadra,3,FALSE),-1)=IFERROR(VLOOKUP($AB41,areaCercaPuntiClassificaSquadra,3,FALSE),-2)),SUMIFS(Dati!$D$2:$D$381,Dati!$A$2:$A$381,$H41,Dati!$H$2:$H$381,$AB41)+SUMIFS(Dati!$K$2:$K$381,Dati!$H$2:$H$381,$H41,Dati!$A$2:$A$381,$AB41)+SUMIFS(Dati!$C$2:$C$381,Dati!$A$2:$A$381,$H41,Dati!$H$2:$H$381,$AB41)+SUMIFS(Dati!$J$2:$J$381,Dati!$H$2:$H$381,$H41,Dati!$A$2:$A$381,$AB41),"-")</f>
        <v/>
      </c>
      <c r="BU41" s="22">
        <f>IF(AND($H41&lt;&gt;"",$AC41&lt;&gt;"",$H41&lt;&gt;$AC41,IFERROR(VLOOKUP($H41,areaCercaPuntiClassificaSquadra,3,FALSE),-1)=IFERROR(VLOOKUP($AC41,areaCercaPuntiClassificaSquadra,3,FALSE),-2)),SUMIFS(Dati!$D$2:$D$381,Dati!$A$2:$A$381,$H41,Dati!$H$2:$H$381,$AC41)+SUMIFS(Dati!$K$2:$K$381,Dati!$H$2:$H$381,$H41,Dati!$A$2:$A$381,$AC41)+SUMIFS(Dati!$C$2:$C$381,Dati!$A$2:$A$381,$H41,Dati!$H$2:$H$381,$AC41)+SUMIFS(Dati!$J$2:$J$381,Dati!$H$2:$H$381,$H41,Dati!$A$2:$A$381,$AC41),"-")</f>
        <v/>
      </c>
      <c r="BV41" s="22">
        <f>IF(AND($H41&lt;&gt;"",$AD41&lt;&gt;"",$H41&lt;&gt;$AD41,IFERROR(VLOOKUP($H41,areaCercaPuntiClassificaSquadra,3,FALSE),-1)=IFERROR(VLOOKUP($AD41,areaCercaPuntiClassificaSquadra,3,FALSE),-2)),SUMIFS(Dati!$D$2:$D$381,Dati!$A$2:$A$381,$H41,Dati!$H$2:$H$381,$AD41)+SUMIFS(Dati!$K$2:$K$381,Dati!$H$2:$H$381,$H41,Dati!$A$2:$A$381,$AD41)+SUMIFS(Dati!$C$2:$C$381,Dati!$A$2:$A$381,$H41,Dati!$H$2:$H$381,$AD41)+SUMIFS(Dati!$J$2:$J$381,Dati!$H$2:$H$381,$H41,Dati!$A$2:$A$381,$AD41),"-")</f>
        <v/>
      </c>
      <c r="BW41" s="22">
        <f>IF(AND($H41&lt;&gt;"",$AE41&lt;&gt;"",$H41&lt;&gt;$AE41,IFERROR(VLOOKUP($H41,areaCercaPuntiClassificaSquadra,3,FALSE),-1)=IFERROR(VLOOKUP($AE41,areaCercaPuntiClassificaSquadra,3,FALSE),-2)),SUMIFS(Dati!$D$2:$D$381,Dati!$A$2:$A$381,$H41,Dati!$H$2:$H$381,$AE41)+SUMIFS(Dati!$K$2:$K$381,Dati!$H$2:$H$381,$H41,Dati!$A$2:$A$381,$AE41)+SUMIFS(Dati!$C$2:$C$381,Dati!$A$2:$A$381,$H41,Dati!$H$2:$H$381,$AE41)+SUMIFS(Dati!$J$2:$J$381,Dati!$H$2:$H$381,$H41,Dati!$A$2:$A$381,$AE41),"-")</f>
        <v/>
      </c>
      <c r="BX41" s="22">
        <f>IF(AND($H41&lt;&gt;"",$AF41&lt;&gt;"",$H41&lt;&gt;$AF41,IFERROR(VLOOKUP($H41,areaCercaPuntiClassificaSquadra,3,FALSE),-1)=IFERROR(VLOOKUP($AF41,areaCercaPuntiClassificaSquadra,3,FALSE),-2)),SUMIFS(Dati!$D$2:$D$381,Dati!$A$2:$A$381,$H41,Dati!$H$2:$H$381,$AF41)+SUMIFS(Dati!$K$2:$K$381,Dati!$H$2:$H$381,$H41,Dati!$A$2:$A$381,$AF41)+SUMIFS(Dati!$C$2:$C$381,Dati!$A$2:$A$381,$H41,Dati!$H$2:$H$381,$AF41)+SUMIFS(Dati!$J$2:$J$381,Dati!$H$2:$H$381,$H41,Dati!$A$2:$A$381,$AF41),"-")</f>
        <v/>
      </c>
      <c r="BY41" s="22">
        <f>IF(AND($H41&lt;&gt;"",$AG41&lt;&gt;"",$H41&lt;&gt;$AG41,IFERROR(VLOOKUP($H41,areaCercaPuntiClassificaSquadra,3,FALSE),-1)=IFERROR(VLOOKUP($AG41,areaCercaPuntiClassificaSquadra,3,FALSE),-2)),SUMIFS(Dati!$D$2:$D$381,Dati!$A$2:$A$381,$H41,Dati!$H$2:$H$381,$AG41)+SUMIFS(Dati!$K$2:$K$381,Dati!$H$2:$H$381,$H41,Dati!$A$2:$A$381,$AG41)+SUMIFS(Dati!$C$2:$C$381,Dati!$A$2:$A$381,$H41,Dati!$H$2:$H$381,$AG41)+SUMIFS(Dati!$J$2:$J$381,Dati!$H$2:$H$381,$H41,Dati!$A$2:$A$381,$AG41),"-")</f>
        <v/>
      </c>
      <c r="BZ41" s="22">
        <f>IF(AND($H41&lt;&gt;"",$AH41&lt;&gt;"",$H41&lt;&gt;$AH41,IFERROR(VLOOKUP($H41,areaCercaPuntiClassificaSquadra,3,FALSE),-1)=IFERROR(VLOOKUP($AH41,areaCercaPuntiClassificaSquadra,3,FALSE),-2)),SUMIFS(Dati!$D$2:$D$381,Dati!$A$2:$A$381,$H41,Dati!$H$2:$H$381,$AH41)+SUMIFS(Dati!$K$2:$K$381,Dati!$H$2:$H$381,$H41,Dati!$A$2:$A$381,$AH41)+SUMIFS(Dati!$C$2:$C$381,Dati!$A$2:$A$381,$H41,Dati!$H$2:$H$381,$AH41)+SUMIFS(Dati!$J$2:$J$381,Dati!$H$2:$H$381,$H41,Dati!$A$2:$A$381,$AH41),"-")</f>
        <v/>
      </c>
      <c r="CA41" s="22">
        <f>IF(AND($H41&lt;&gt;"",$AI41&lt;&gt;"",$H41&lt;&gt;$AI41,IFERROR(VLOOKUP($H41,areaCercaPuntiClassificaSquadra,3,FALSE),-1)=IFERROR(VLOOKUP($AI41,areaCercaPuntiClassificaSquadra,3,FALSE),-2)),SUMIFS(Dati!$D$2:$D$381,Dati!$A$2:$A$381,$H41,Dati!$H$2:$H$381,$AI41)+SUMIFS(Dati!$K$2:$K$381,Dati!$H$2:$H$381,$H41,Dati!$A$2:$A$381,$AI41)+SUMIFS(Dati!$C$2:$C$381,Dati!$A$2:$A$381,$H41,Dati!$H$2:$H$381,$AI41)+SUMIFS(Dati!$J$2:$J$381,Dati!$H$2:$H$381,$H41,Dati!$A$2:$A$381,$AI41),"-")</f>
        <v/>
      </c>
      <c r="CB41" s="22">
        <f>IF(AND($H41&lt;&gt;"",$AJ41&lt;&gt;"",$H41&lt;&gt;$AJ41,IFERROR(VLOOKUP($H41,areaCercaPuntiClassificaSquadra,3,FALSE),-1)=IFERROR(VLOOKUP($AJ41,areaCercaPuntiClassificaSquadra,3,FALSE),-2)),SUMIFS(Dati!$D$2:$D$381,Dati!$A$2:$A$381,$H41,Dati!$H$2:$H$381,$AJ41)+SUMIFS(Dati!$K$2:$K$381,Dati!$H$2:$H$381,$H41,Dati!$A$2:$A$381,$AJ41)+SUMIFS(Dati!$C$2:$C$381,Dati!$A$2:$A$381,$H41,Dati!$H$2:$H$381,$AJ41)+SUMIFS(Dati!$J$2:$J$381,Dati!$H$2:$H$381,$H41,Dati!$A$2:$A$381,$AJ41),"-")</f>
        <v/>
      </c>
      <c r="CC41" s="22">
        <f>IF(AND($H41&lt;&gt;"",$AK41&lt;&gt;"",$H41&lt;&gt;$AK41,IFERROR(VLOOKUP($H41,areaCercaPuntiClassificaSquadra,3,FALSE),-1)=IFERROR(VLOOKUP($AK41,areaCercaPuntiClassificaSquadra,3,FALSE),-2)),SUMIFS(Dati!$D$2:$D$381,Dati!$A$2:$A$381,$H41,Dati!$H$2:$H$381,$AK41)+SUMIFS(Dati!$K$2:$K$381,Dati!$H$2:$H$381,$H41,Dati!$A$2:$A$381,$AK41)+SUMIFS(Dati!$C$2:$C$381,Dati!$A$2:$A$381,$H41,Dati!$H$2:$H$381,$AK41)+SUMIFS(Dati!$J$2:$J$381,Dati!$H$2:$H$381,$H41,Dati!$A$2:$A$381,$AK41),"-")</f>
        <v/>
      </c>
      <c r="CD41" s="22">
        <f>IF(AND($H41&lt;&gt;"",$AL41&lt;&gt;"",$H41&lt;&gt;$AL41,IFERROR(VLOOKUP($H41,areaCercaPuntiClassificaSquadra,3,FALSE),-1)=IFERROR(VLOOKUP($AL41,areaCercaPuntiClassificaSquadra,3,FALSE),-2)),SUMIFS(Dati!$D$2:$D$381,Dati!$A$2:$A$381,$H41,Dati!$H$2:$H$381,$AL41)+SUMIFS(Dati!$K$2:$K$381,Dati!$H$2:$H$381,$H41,Dati!$A$2:$A$381,$AL41)+SUMIFS(Dati!$C$2:$C$381,Dati!$A$2:$A$381,$H41,Dati!$H$2:$H$381,$AL41)+SUMIFS(Dati!$J$2:$J$381,Dati!$H$2:$H$381,$H41,Dati!$A$2:$A$381,$AL41),"-")</f>
        <v/>
      </c>
      <c r="CE41" s="22">
        <f>IF(AND($H41&lt;&gt;"",$AM41&lt;&gt;"",$H41&lt;&gt;$AM41,IFERROR(VLOOKUP($H41,areaCercaPuntiClassificaSquadra,3,FALSE),-1)=IFERROR(VLOOKUP($AM41,areaCercaPuntiClassificaSquadra,3,FALSE),-2)),SUMIFS(Dati!$D$2:$D$381,Dati!$A$2:$A$381,$H41,Dati!$H$2:$H$381,$AM41)+SUMIFS(Dati!$K$2:$K$381,Dati!$H$2:$H$381,$H41,Dati!$A$2:$A$381,$AM41)+SUMIFS(Dati!$C$2:$C$381,Dati!$A$2:$A$381,$H41,Dati!$H$2:$H$381,$AM41)+SUMIFS(Dati!$J$2:$J$381,Dati!$H$2:$H$381,$H41,Dati!$A$2:$A$381,$AM41),"-")</f>
        <v/>
      </c>
      <c r="CF41" s="22">
        <f>IF(AND($H41&lt;&gt;"",$AN41&lt;&gt;"",$H41&lt;&gt;$AN41,IFERROR(VLOOKUP($H41,areaCercaPuntiClassificaSquadra,3,FALSE),-1)=IFERROR(VLOOKUP($AN41,areaCercaPuntiClassificaSquadra,3,FALSE),-2)),SUMIFS(Dati!$D$2:$D$381,Dati!$A$2:$A$381,$H41,Dati!$H$2:$H$381,$AN41)+SUMIFS(Dati!$K$2:$K$381,Dati!$H$2:$H$381,$H41,Dati!$A$2:$A$381,$AN41)+SUMIFS(Dati!$C$2:$C$381,Dati!$A$2:$A$381,$H41,Dati!$H$2:$H$381,$AN41)+SUMIFS(Dati!$J$2:$J$381,Dati!$H$2:$H$381,$H41,Dati!$A$2:$A$381,$AN41),"-")</f>
        <v/>
      </c>
      <c r="CG41" s="22">
        <f>IF(AND($H41&lt;&gt;"",$AO41&lt;&gt;"",$H41&lt;&gt;$AO41,IFERROR(VLOOKUP($H41,areaCercaPuntiClassificaSquadra,3,FALSE),-1)=IFERROR(VLOOKUP($AO41,areaCercaPuntiClassificaSquadra,3,FALSE),-2)),SUMIFS(Dati!$D$2:$D$381,Dati!$A$2:$A$381,$H41,Dati!$H$2:$H$381,$AO41)+SUMIFS(Dati!$K$2:$K$381,Dati!$H$2:$H$381,$H41,Dati!$A$2:$A$381,$AO41)+SUMIFS(Dati!$C$2:$C$381,Dati!$A$2:$A$381,$H41,Dati!$H$2:$H$381,$AO41)+SUMIFS(Dati!$J$2:$J$381,Dati!$H$2:$H$381,$H41,Dati!$A$2:$A$381,$AO41),"-")</f>
        <v/>
      </c>
      <c r="CH41" s="22">
        <f>IF(AND($H41&lt;&gt;"",$AP41&lt;&gt;"",$H41&lt;&gt;$AP41,IFERROR(VLOOKUP($H41,areaCercaPuntiClassificaSquadra,3,FALSE),-1)=IFERROR(VLOOKUP($AP41,areaCercaPuntiClassificaSquadra,3,FALSE),-2)),SUMIFS(Dati!$D$2:$D$381,Dati!$A$2:$A$381,$H41,Dati!$H$2:$H$381,$AP41)+SUMIFS(Dati!$K$2:$K$381,Dati!$H$2:$H$381,$H41,Dati!$A$2:$A$381,$AP41)+SUMIFS(Dati!$C$2:$C$381,Dati!$A$2:$A$381,$H41,Dati!$H$2:$H$381,$AP41)+SUMIFS(Dati!$J$2:$J$381,Dati!$H$2:$H$381,$H41,Dati!$A$2:$A$381,$AP41),"-")</f>
        <v/>
      </c>
      <c r="CI41" s="22">
        <f>IF(AND($H41&lt;&gt;"",$AQ41&lt;&gt;"",$H41&lt;&gt;$AQ41,IFERROR(VLOOKUP($H41,areaCercaPuntiClassificaSquadra,3,FALSE),-1)=IFERROR(VLOOKUP($AQ41,areaCercaPuntiClassificaSquadra,3,FALSE),-2)),SUMIFS(Dati!$D$2:$D$381,Dati!$A$2:$A$381,$H41,Dati!$H$2:$H$381,$AQ41)+SUMIFS(Dati!$K$2:$K$381,Dati!$H$2:$H$381,$H41,Dati!$A$2:$A$381,$AQ41)+SUMIFS(Dati!$C$2:$C$381,Dati!$A$2:$A$381,$H41,Dati!$H$2:$H$381,$AQ41)+SUMIFS(Dati!$J$2:$J$381,Dati!$H$2:$H$381,$H41,Dati!$A$2:$A$381,$AQ41),"-")</f>
        <v/>
      </c>
      <c r="CJ41" s="22">
        <f>IF(AND($H41&lt;&gt;"",$AR41&lt;&gt;"",$H41&lt;&gt;$AR41,IFERROR(VLOOKUP($H41,areaCercaPuntiClassificaSquadra,3,FALSE),-1)=IFERROR(VLOOKUP($AR41,areaCercaPuntiClassificaSquadra,3,FALSE),-2)),SUMIFS(Dati!$D$2:$D$381,Dati!$A$2:$A$381,$H41,Dati!$H$2:$H$381,$AR41)+SUMIFS(Dati!$K$2:$K$381,Dati!$H$2:$H$381,$H41,Dati!$A$2:$A$381,$AR41)+SUMIFS(Dati!$C$2:$C$381,Dati!$A$2:$A$381,$H41,Dati!$H$2:$H$381,$AR41)+SUMIFS(Dati!$J$2:$J$381,Dati!$H$2:$H$381,$H41,Dati!$A$2:$A$381,$AR41),"-")</f>
        <v/>
      </c>
      <c r="CL41" s="21">
        <f>$C41</f>
        <v/>
      </c>
      <c r="CM41" s="22">
        <f>IF(AND($H41&lt;&gt;"",$Y41&lt;&gt;"",$H41&lt;&gt;$Y41,IFERROR(VLOOKUP($H41,areaCercaPuntiClassificaSquadra,3,FALSE),-1)=IFERROR(VLOOKUP($Y41,areaCercaPuntiClassificaSquadra,3,FALSE),-2)),SUMIFS(Dati!$E$2:$E$381,Dati!$A$2:$A$381,$H41,Dati!$H$2:$H$381,$Y41)+SUMIFS(Dati!$L$2:$L$381,Dati!$H$2:$H$381,$H41,Dati!$A$2:$A$381,$Y41),"-")</f>
        <v/>
      </c>
      <c r="CN41" s="22">
        <f>IF(AND($H41&lt;&gt;"",$Z41&lt;&gt;"",$H41&lt;&gt;$Z41,IFERROR(VLOOKUP($H41,areaCercaPuntiClassificaSquadra,3,FALSE),-1)=IFERROR(VLOOKUP($Z41,areaCercaPuntiClassificaSquadra,3,FALSE),-2)),SUMIFS(Dati!$E$2:$E$381,Dati!$A$2:$A$381,$H41,Dati!$H$2:$H$381,$Z41)+SUMIFS(Dati!$L$2:$L$381,Dati!$H$2:$H$381,$H41,Dati!$A$2:$A$381,$Z41),"-")</f>
        <v/>
      </c>
      <c r="CO41" s="22">
        <f>IF(AND($H41&lt;&gt;"",$AA41&lt;&gt;"",$H41&lt;&gt;$AA41,IFERROR(VLOOKUP($H41,areaCercaPuntiClassificaSquadra,3,FALSE),-1)=IFERROR(VLOOKUP($AA41,areaCercaPuntiClassificaSquadra,3,FALSE),-2)),SUMIFS(Dati!$E$2:$E$381,Dati!$A$2:$A$381,$H41,Dati!$H$2:$H$381,$AA41)+SUMIFS(Dati!$L$2:$L$381,Dati!$H$2:$H$381,$H41,Dati!$A$2:$A$381,$AA41),"-")</f>
        <v/>
      </c>
      <c r="CP41" s="22">
        <f>IF(AND($H41&lt;&gt;"",$AB41&lt;&gt;"",$H41&lt;&gt;$AB41,IFERROR(VLOOKUP($H41,areaCercaPuntiClassificaSquadra,3,FALSE),-1)=IFERROR(VLOOKUP($AB41,areaCercaPuntiClassificaSquadra,3,FALSE),-2)),SUMIFS(Dati!$E$2:$E$381,Dati!$A$2:$A$381,$H41,Dati!$H$2:$H$381,$AB41)+SUMIFS(Dati!$L$2:$L$381,Dati!$H$2:$H$381,$H41,Dati!$A$2:$A$381,$AB41),"-")</f>
        <v/>
      </c>
      <c r="CQ41" s="22">
        <f>IF(AND($H41&lt;&gt;"",$AC41&lt;&gt;"",$H41&lt;&gt;$AC41,IFERROR(VLOOKUP($H41,areaCercaPuntiClassificaSquadra,3,FALSE),-1)=IFERROR(VLOOKUP($AC41,areaCercaPuntiClassificaSquadra,3,FALSE),-2)),SUMIFS(Dati!$E$2:$E$381,Dati!$A$2:$A$381,$H41,Dati!$H$2:$H$381,$AC41)+SUMIFS(Dati!$L$2:$L$381,Dati!$H$2:$H$381,$H41,Dati!$A$2:$A$381,$AC41),"-")</f>
        <v/>
      </c>
      <c r="CR41" s="22">
        <f>IF(AND($H41&lt;&gt;"",$AD41&lt;&gt;"",$H41&lt;&gt;$AD41,IFERROR(VLOOKUP($H41,areaCercaPuntiClassificaSquadra,3,FALSE),-1)=IFERROR(VLOOKUP($AD41,areaCercaPuntiClassificaSquadra,3,FALSE),-2)),SUMIFS(Dati!$E$2:$E$381,Dati!$A$2:$A$381,$H41,Dati!$H$2:$H$381,$AD41)+SUMIFS(Dati!$L$2:$L$381,Dati!$H$2:$H$381,$H41,Dati!$A$2:$A$381,$AD41),"-")</f>
        <v/>
      </c>
      <c r="CS41" s="22">
        <f>IF(AND($H41&lt;&gt;"",$AE41&lt;&gt;"",$H41&lt;&gt;$AE41,IFERROR(VLOOKUP($H41,areaCercaPuntiClassificaSquadra,3,FALSE),-1)=IFERROR(VLOOKUP($AE41,areaCercaPuntiClassificaSquadra,3,FALSE),-2)),SUMIFS(Dati!$E$2:$E$381,Dati!$A$2:$A$381,$H41,Dati!$H$2:$H$381,$AE41)+SUMIFS(Dati!$L$2:$L$381,Dati!$H$2:$H$381,$H41,Dati!$A$2:$A$381,$AE41),"-")</f>
        <v/>
      </c>
      <c r="CT41" s="22">
        <f>IF(AND($H41&lt;&gt;"",$AF41&lt;&gt;"",$H41&lt;&gt;$AF41,IFERROR(VLOOKUP($H41,areaCercaPuntiClassificaSquadra,3,FALSE),-1)=IFERROR(VLOOKUP($AF41,areaCercaPuntiClassificaSquadra,3,FALSE),-2)),SUMIFS(Dati!$E$2:$E$381,Dati!$A$2:$A$381,$H41,Dati!$H$2:$H$381,$AF41)+SUMIFS(Dati!$L$2:$L$381,Dati!$H$2:$H$381,$H41,Dati!$A$2:$A$381,$AF41),"-")</f>
        <v/>
      </c>
      <c r="CU41" s="22">
        <f>IF(AND($H41&lt;&gt;"",$AG41&lt;&gt;"",$H41&lt;&gt;$AG41,IFERROR(VLOOKUP($H41,areaCercaPuntiClassificaSquadra,3,FALSE),-1)=IFERROR(VLOOKUP($AG41,areaCercaPuntiClassificaSquadra,3,FALSE),-2)),SUMIFS(Dati!$E$2:$E$381,Dati!$A$2:$A$381,$H41,Dati!$H$2:$H$381,$AG41)+SUMIFS(Dati!$L$2:$L$381,Dati!$H$2:$H$381,$H41,Dati!$A$2:$A$381,$AG41),"-")</f>
        <v/>
      </c>
      <c r="CV41" s="22">
        <f>IF(AND($H41&lt;&gt;"",$AH41&lt;&gt;"",$H41&lt;&gt;$AH41,IFERROR(VLOOKUP($H41,areaCercaPuntiClassificaSquadra,3,FALSE),-1)=IFERROR(VLOOKUP($AH41,areaCercaPuntiClassificaSquadra,3,FALSE),-2)),SUMIFS(Dati!$E$2:$E$381,Dati!$A$2:$A$381,$H41,Dati!$H$2:$H$381,$AH41)+SUMIFS(Dati!$L$2:$L$381,Dati!$H$2:$H$381,$H41,Dati!$A$2:$A$381,$AH41),"-")</f>
        <v/>
      </c>
      <c r="CW41" s="22">
        <f>IF(AND($H41&lt;&gt;"",$AI41&lt;&gt;"",$H41&lt;&gt;$AI41,IFERROR(VLOOKUP($H41,areaCercaPuntiClassificaSquadra,3,FALSE),-1)=IFERROR(VLOOKUP($AI41,areaCercaPuntiClassificaSquadra,3,FALSE),-2)),SUMIFS(Dati!$E$2:$E$381,Dati!$A$2:$A$381,$H41,Dati!$H$2:$H$381,$AI41)+SUMIFS(Dati!$L$2:$L$381,Dati!$H$2:$H$381,$H41,Dati!$A$2:$A$381,$AI41),"-")</f>
        <v/>
      </c>
      <c r="CX41" s="22">
        <f>IF(AND($H41&lt;&gt;"",$AJ41&lt;&gt;"",$H41&lt;&gt;$AJ41,IFERROR(VLOOKUP($H41,areaCercaPuntiClassificaSquadra,3,FALSE),-1)=IFERROR(VLOOKUP($AJ41,areaCercaPuntiClassificaSquadra,3,FALSE),-2)),SUMIFS(Dati!$E$2:$E$381,Dati!$A$2:$A$381,$H41,Dati!$H$2:$H$381,$AJ41)+SUMIFS(Dati!$L$2:$L$381,Dati!$H$2:$H$381,$H41,Dati!$A$2:$A$381,$AJ41),"-")</f>
        <v/>
      </c>
      <c r="CY41" s="22">
        <f>IF(AND($H41&lt;&gt;"",$AK41&lt;&gt;"",$H41&lt;&gt;$AK41,IFERROR(VLOOKUP($H41,areaCercaPuntiClassificaSquadra,3,FALSE),-1)=IFERROR(VLOOKUP($AK41,areaCercaPuntiClassificaSquadra,3,FALSE),-2)),SUMIFS(Dati!$E$2:$E$381,Dati!$A$2:$A$381,$H41,Dati!$H$2:$H$381,$AK41)+SUMIFS(Dati!$L$2:$L$381,Dati!$H$2:$H$381,$H41,Dati!$A$2:$A$381,$AK41),"-")</f>
        <v/>
      </c>
      <c r="CZ41" s="22">
        <f>IF(AND($H41&lt;&gt;"",$AL41&lt;&gt;"",$H41&lt;&gt;$AL41,IFERROR(VLOOKUP($H41,areaCercaPuntiClassificaSquadra,3,FALSE),-1)=IFERROR(VLOOKUP($AL41,areaCercaPuntiClassificaSquadra,3,FALSE),-2)),SUMIFS(Dati!$E$2:$E$381,Dati!$A$2:$A$381,$H41,Dati!$H$2:$H$381,$AL41)+SUMIFS(Dati!$L$2:$L$381,Dati!$H$2:$H$381,$H41,Dati!$A$2:$A$381,$AL41),"-")</f>
        <v/>
      </c>
      <c r="DA41" s="22">
        <f>IF(AND($H41&lt;&gt;"",$AM41&lt;&gt;"",$H41&lt;&gt;$AM41,IFERROR(VLOOKUP($H41,areaCercaPuntiClassificaSquadra,3,FALSE),-1)=IFERROR(VLOOKUP($AM41,areaCercaPuntiClassificaSquadra,3,FALSE),-2)),SUMIFS(Dati!$E$2:$E$381,Dati!$A$2:$A$381,$H41,Dati!$H$2:$H$381,$AM41)+SUMIFS(Dati!$L$2:$L$381,Dati!$H$2:$H$381,$H41,Dati!$A$2:$A$381,$AM41),"-")</f>
        <v/>
      </c>
      <c r="DB41" s="22">
        <f>IF(AND($H41&lt;&gt;"",$AN41&lt;&gt;"",$H41&lt;&gt;$AN41,IFERROR(VLOOKUP($H41,areaCercaPuntiClassificaSquadra,3,FALSE),-1)=IFERROR(VLOOKUP($AN41,areaCercaPuntiClassificaSquadra,3,FALSE),-2)),SUMIFS(Dati!$E$2:$E$381,Dati!$A$2:$A$381,$H41,Dati!$H$2:$H$381,$AN41)+SUMIFS(Dati!$L$2:$L$381,Dati!$H$2:$H$381,$H41,Dati!$A$2:$A$381,$AN41),"-")</f>
        <v/>
      </c>
      <c r="DC41" s="22">
        <f>IF(AND($H41&lt;&gt;"",$AO41&lt;&gt;"",$H41&lt;&gt;$AO41,IFERROR(VLOOKUP($H41,areaCercaPuntiClassificaSquadra,3,FALSE),-1)=IFERROR(VLOOKUP($AO41,areaCercaPuntiClassificaSquadra,3,FALSE),-2)),SUMIFS(Dati!$E$2:$E$381,Dati!$A$2:$A$381,$H41,Dati!$H$2:$H$381,$AO41)+SUMIFS(Dati!$L$2:$L$381,Dati!$H$2:$H$381,$H41,Dati!$A$2:$A$381,$AO41),"-")</f>
        <v/>
      </c>
      <c r="DD41" s="22">
        <f>IF(AND($H41&lt;&gt;"",$AP41&lt;&gt;"",$H41&lt;&gt;$AP41,IFERROR(VLOOKUP($H41,areaCercaPuntiClassificaSquadra,3,FALSE),-1)=IFERROR(VLOOKUP($AP41,areaCercaPuntiClassificaSquadra,3,FALSE),-2)),SUMIFS(Dati!$E$2:$E$381,Dati!$A$2:$A$381,$H41,Dati!$H$2:$H$381,$AP41)+SUMIFS(Dati!$L$2:$L$381,Dati!$H$2:$H$381,$H41,Dati!$A$2:$A$381,$AP41),"-")</f>
        <v/>
      </c>
      <c r="DE41" s="22">
        <f>IF(AND($H41&lt;&gt;"",$AQ41&lt;&gt;"",$H41&lt;&gt;$AQ41,IFERROR(VLOOKUP($H41,areaCercaPuntiClassificaSquadra,3,FALSE),-1)=IFERROR(VLOOKUP($AQ41,areaCercaPuntiClassificaSquadra,3,FALSE),-2)),SUMIFS(Dati!$E$2:$E$381,Dati!$A$2:$A$381,$H41,Dati!$H$2:$H$381,$AQ41)+SUMIFS(Dati!$L$2:$L$381,Dati!$H$2:$H$381,$H41,Dati!$A$2:$A$381,$AQ41),"-")</f>
        <v/>
      </c>
      <c r="DF41" s="22">
        <f>IF(AND($H41&lt;&gt;"",$AR41&lt;&gt;"",$H41&lt;&gt;$AR41,IFERROR(VLOOKUP($H41,areaCercaPuntiClassificaSquadra,3,FALSE),-1)=IFERROR(VLOOKUP($AR41,areaCercaPuntiClassificaSquadra,3,FALSE),-2)),SUMIFS(Dati!$E$2:$E$381,Dati!$A$2:$A$381,$H41,Dati!$H$2:$H$381,$AR41)+SUMIFS(Dati!$L$2:$L$381,Dati!$H$2:$H$381,$H41,Dati!$A$2:$A$381,$AR41),"-")</f>
        <v/>
      </c>
      <c r="DH41" s="21">
        <f>$C41</f>
        <v/>
      </c>
      <c r="DI41" s="22">
        <f>IF(AND($H41&lt;&gt;"",$Y41&lt;&gt;"",$H41&lt;&gt;$Y41,IFERROR(VLOOKUP($H41,areaCercaPuntiClassificaSquadra,3,FALSE),-1)=IFERROR(VLOOKUP($Y41,areaCercaPuntiClassificaSquadra,3,FALSE),-2)),SUMIFS(Dati!$F$2:$F$381,Dati!$A$2:$A$381,$H41,Dati!$H$2:$H$381,$Y41)+SUMIFS(Dati!$M$2:$M$381,Dati!$H$2:$H$381,$H41,Dati!$A$2:$A$381,$Y41),"-")</f>
        <v/>
      </c>
      <c r="DJ41" s="22">
        <f>IF(AND($H41&lt;&gt;"",$Z41&lt;&gt;"",$H41&lt;&gt;$Z41,IFERROR(VLOOKUP($H41,areaCercaPuntiClassificaSquadra,3,FALSE),-1)=IFERROR(VLOOKUP($Z41,areaCercaPuntiClassificaSquadra,3,FALSE),-2)),SUMIFS(Dati!$F$2:$F$381,Dati!$A$2:$A$381,$H41,Dati!$H$2:$H$381,$Z41)+SUMIFS(Dati!$M$2:$M$381,Dati!$H$2:$H$381,$H41,Dati!$A$2:$A$381,$Z41),"-")</f>
        <v/>
      </c>
      <c r="DK41" s="22">
        <f>IF(AND($H41&lt;&gt;"",$AA41&lt;&gt;"",$H41&lt;&gt;$AA41,IFERROR(VLOOKUP($H41,areaCercaPuntiClassificaSquadra,3,FALSE),-1)=IFERROR(VLOOKUP($AA41,areaCercaPuntiClassificaSquadra,3,FALSE),-2)),SUMIFS(Dati!$F$2:$F$381,Dati!$A$2:$A$381,$H41,Dati!$H$2:$H$381,$AA41)+SUMIFS(Dati!$M$2:$M$381,Dati!$H$2:$H$381,$H41,Dati!$A$2:$A$381,$AA41),"-")</f>
        <v/>
      </c>
      <c r="DL41" s="22">
        <f>IF(AND($H41&lt;&gt;"",$AB41&lt;&gt;"",$H41&lt;&gt;$AB41,IFERROR(VLOOKUP($H41,areaCercaPuntiClassificaSquadra,3,FALSE),-1)=IFERROR(VLOOKUP($AB41,areaCercaPuntiClassificaSquadra,3,FALSE),-2)),SUMIFS(Dati!$F$2:$F$381,Dati!$A$2:$A$381,$H41,Dati!$H$2:$H$381,$AB41)+SUMIFS(Dati!$M$2:$M$381,Dati!$H$2:$H$381,$H41,Dati!$A$2:$A$381,$AB41),"-")</f>
        <v/>
      </c>
      <c r="DM41" s="22">
        <f>IF(AND($H41&lt;&gt;"",$AC41&lt;&gt;"",$H41&lt;&gt;$AC41,IFERROR(VLOOKUP($H41,areaCercaPuntiClassificaSquadra,3,FALSE),-1)=IFERROR(VLOOKUP($AC41,areaCercaPuntiClassificaSquadra,3,FALSE),-2)),SUMIFS(Dati!$F$2:$F$381,Dati!$A$2:$A$381,$H41,Dati!$H$2:$H$381,$AC41)+SUMIFS(Dati!$M$2:$M$381,Dati!$H$2:$H$381,$H41,Dati!$A$2:$A$381,$AC41),"-")</f>
        <v/>
      </c>
      <c r="DN41" s="22">
        <f>IF(AND($H41&lt;&gt;"",$AD41&lt;&gt;"",$H41&lt;&gt;$AD41,IFERROR(VLOOKUP($H41,areaCercaPuntiClassificaSquadra,3,FALSE),-1)=IFERROR(VLOOKUP($AD41,areaCercaPuntiClassificaSquadra,3,FALSE),-2)),SUMIFS(Dati!$F$2:$F$381,Dati!$A$2:$A$381,$H41,Dati!$H$2:$H$381,$AD41)+SUMIFS(Dati!$M$2:$M$381,Dati!$H$2:$H$381,$H41,Dati!$A$2:$A$381,$AD41),"-")</f>
        <v/>
      </c>
      <c r="DO41" s="22">
        <f>IF(AND($H41&lt;&gt;"",$AE41&lt;&gt;"",$H41&lt;&gt;$AE41,IFERROR(VLOOKUP($H41,areaCercaPuntiClassificaSquadra,3,FALSE),-1)=IFERROR(VLOOKUP($AE41,areaCercaPuntiClassificaSquadra,3,FALSE),-2)),SUMIFS(Dati!$F$2:$F$381,Dati!$A$2:$A$381,$H41,Dati!$H$2:$H$381,$AE41)+SUMIFS(Dati!$M$2:$M$381,Dati!$H$2:$H$381,$H41,Dati!$A$2:$A$381,$AE41),"-")</f>
        <v/>
      </c>
      <c r="DP41" s="22">
        <f>IF(AND($H41&lt;&gt;"",$AF41&lt;&gt;"",$H41&lt;&gt;$AF41,IFERROR(VLOOKUP($H41,areaCercaPuntiClassificaSquadra,3,FALSE),-1)=IFERROR(VLOOKUP($AF41,areaCercaPuntiClassificaSquadra,3,FALSE),-2)),SUMIFS(Dati!$F$2:$F$381,Dati!$A$2:$A$381,$H41,Dati!$H$2:$H$381,$AF41)+SUMIFS(Dati!$M$2:$M$381,Dati!$H$2:$H$381,$H41,Dati!$A$2:$A$381,$AF41),"-")</f>
        <v/>
      </c>
      <c r="DQ41" s="22">
        <f>IF(AND($H41&lt;&gt;"",$AG41&lt;&gt;"",$H41&lt;&gt;$AG41,IFERROR(VLOOKUP($H41,areaCercaPuntiClassificaSquadra,3,FALSE),-1)=IFERROR(VLOOKUP($AG41,areaCercaPuntiClassificaSquadra,3,FALSE),-2)),SUMIFS(Dati!$F$2:$F$381,Dati!$A$2:$A$381,$H41,Dati!$H$2:$H$381,$AG41)+SUMIFS(Dati!$M$2:$M$381,Dati!$H$2:$H$381,$H41,Dati!$A$2:$A$381,$AG41),"-")</f>
        <v/>
      </c>
      <c r="DR41" s="22">
        <f>IF(AND($H41&lt;&gt;"",$AH41&lt;&gt;"",$H41&lt;&gt;$AH41,IFERROR(VLOOKUP($H41,areaCercaPuntiClassificaSquadra,3,FALSE),-1)=IFERROR(VLOOKUP($AH41,areaCercaPuntiClassificaSquadra,3,FALSE),-2)),SUMIFS(Dati!$F$2:$F$381,Dati!$A$2:$A$381,$H41,Dati!$H$2:$H$381,$AH41)+SUMIFS(Dati!$M$2:$M$381,Dati!$H$2:$H$381,$H41,Dati!$A$2:$A$381,$AH41),"-")</f>
        <v/>
      </c>
      <c r="DS41" s="22">
        <f>IF(AND($H41&lt;&gt;"",$AI41&lt;&gt;"",$H41&lt;&gt;$AI41,IFERROR(VLOOKUP($H41,areaCercaPuntiClassificaSquadra,3,FALSE),-1)=IFERROR(VLOOKUP($AI41,areaCercaPuntiClassificaSquadra,3,FALSE),-2)),SUMIFS(Dati!$F$2:$F$381,Dati!$A$2:$A$381,$H41,Dati!$H$2:$H$381,$AI41)+SUMIFS(Dati!$M$2:$M$381,Dati!$H$2:$H$381,$H41,Dati!$A$2:$A$381,$AI41),"-")</f>
        <v/>
      </c>
      <c r="DT41" s="22">
        <f>IF(AND($H41&lt;&gt;"",$AJ41&lt;&gt;"",$H41&lt;&gt;$AJ41,IFERROR(VLOOKUP($H41,areaCercaPuntiClassificaSquadra,3,FALSE),-1)=IFERROR(VLOOKUP($AJ41,areaCercaPuntiClassificaSquadra,3,FALSE),-2)),SUMIFS(Dati!$F$2:$F$381,Dati!$A$2:$A$381,$H41,Dati!$H$2:$H$381,$AJ41)+SUMIFS(Dati!$M$2:$M$381,Dati!$H$2:$H$381,$H41,Dati!$A$2:$A$381,$AJ41),"-")</f>
        <v/>
      </c>
      <c r="DU41" s="22">
        <f>IF(AND($H41&lt;&gt;"",$AK41&lt;&gt;"",$H41&lt;&gt;$AK41,IFERROR(VLOOKUP($H41,areaCercaPuntiClassificaSquadra,3,FALSE),-1)=IFERROR(VLOOKUP($AK41,areaCercaPuntiClassificaSquadra,3,FALSE),-2)),SUMIFS(Dati!$F$2:$F$381,Dati!$A$2:$A$381,$H41,Dati!$H$2:$H$381,$AK41)+SUMIFS(Dati!$M$2:$M$381,Dati!$H$2:$H$381,$H41,Dati!$A$2:$A$381,$AK41),"-")</f>
        <v/>
      </c>
      <c r="DV41" s="22">
        <f>IF(AND($H41&lt;&gt;"",$AL41&lt;&gt;"",$H41&lt;&gt;$AL41,IFERROR(VLOOKUP($H41,areaCercaPuntiClassificaSquadra,3,FALSE),-1)=IFERROR(VLOOKUP($AL41,areaCercaPuntiClassificaSquadra,3,FALSE),-2)),SUMIFS(Dati!$F$2:$F$381,Dati!$A$2:$A$381,$H41,Dati!$H$2:$H$381,$AL41)+SUMIFS(Dati!$M$2:$M$381,Dati!$H$2:$H$381,$H41,Dati!$A$2:$A$381,$AL41),"-")</f>
        <v/>
      </c>
      <c r="DW41" s="22">
        <f>IF(AND($H41&lt;&gt;"",$AM41&lt;&gt;"",$H41&lt;&gt;$AM41,IFERROR(VLOOKUP($H41,areaCercaPuntiClassificaSquadra,3,FALSE),-1)=IFERROR(VLOOKUP($AM41,areaCercaPuntiClassificaSquadra,3,FALSE),-2)),SUMIFS(Dati!$F$2:$F$381,Dati!$A$2:$A$381,$H41,Dati!$H$2:$H$381,$AM41)+SUMIFS(Dati!$M$2:$M$381,Dati!$H$2:$H$381,$H41,Dati!$A$2:$A$381,$AM41),"-")</f>
        <v/>
      </c>
      <c r="DX41" s="22">
        <f>IF(AND($H41&lt;&gt;"",$AN41&lt;&gt;"",$H41&lt;&gt;$AN41,IFERROR(VLOOKUP($H41,areaCercaPuntiClassificaSquadra,3,FALSE),-1)=IFERROR(VLOOKUP($AN41,areaCercaPuntiClassificaSquadra,3,FALSE),-2)),SUMIFS(Dati!$F$2:$F$381,Dati!$A$2:$A$381,$H41,Dati!$H$2:$H$381,$AN41)+SUMIFS(Dati!$M$2:$M$381,Dati!$H$2:$H$381,$H41,Dati!$A$2:$A$381,$AN41),"-")</f>
        <v/>
      </c>
      <c r="DY41" s="22">
        <f>IF(AND($H41&lt;&gt;"",$AO41&lt;&gt;"",$H41&lt;&gt;$AO41,IFERROR(VLOOKUP($H41,areaCercaPuntiClassificaSquadra,3,FALSE),-1)=IFERROR(VLOOKUP($AO41,areaCercaPuntiClassificaSquadra,3,FALSE),-2)),SUMIFS(Dati!$F$2:$F$381,Dati!$A$2:$A$381,$H41,Dati!$H$2:$H$381,$AO41)+SUMIFS(Dati!$M$2:$M$381,Dati!$H$2:$H$381,$H41,Dati!$A$2:$A$381,$AO41),"-")</f>
        <v/>
      </c>
      <c r="DZ41" s="22">
        <f>IF(AND($H41&lt;&gt;"",$AP41&lt;&gt;"",$H41&lt;&gt;$AP41,IFERROR(VLOOKUP($H41,areaCercaPuntiClassificaSquadra,3,FALSE),-1)=IFERROR(VLOOKUP($AP41,areaCercaPuntiClassificaSquadra,3,FALSE),-2)),SUMIFS(Dati!$F$2:$F$381,Dati!$A$2:$A$381,$H41,Dati!$H$2:$H$381,$AP41)+SUMIFS(Dati!$M$2:$M$381,Dati!$H$2:$H$381,$H41,Dati!$A$2:$A$381,$AP41),"-")</f>
        <v/>
      </c>
      <c r="EA41" s="22">
        <f>IF(AND($H41&lt;&gt;"",$AQ41&lt;&gt;"",$H41&lt;&gt;$AQ41,IFERROR(VLOOKUP($H41,areaCercaPuntiClassificaSquadra,3,FALSE),-1)=IFERROR(VLOOKUP($AQ41,areaCercaPuntiClassificaSquadra,3,FALSE),-2)),SUMIFS(Dati!$F$2:$F$381,Dati!$A$2:$A$381,$H41,Dati!$H$2:$H$381,$AQ41)+SUMIFS(Dati!$M$2:$M$381,Dati!$H$2:$H$381,$H41,Dati!$A$2:$A$381,$AQ41),"-")</f>
        <v/>
      </c>
      <c r="EB41" s="22">
        <f>IF(AND($H41&lt;&gt;"",$AR41&lt;&gt;"",$H41&lt;&gt;$AR41,IFERROR(VLOOKUP($H41,areaCercaPuntiClassificaSquadra,3,FALSE),-1)=IFERROR(VLOOKUP($AR41,areaCercaPuntiClassificaSquadra,3,FALSE),-2)),SUMIFS(Dati!$F$2:$F$381,Dati!$A$2:$A$381,$H41,Dati!$H$2:$H$381,$AR41)+SUMIFS(Dati!$M$2:$M$381,Dati!$H$2:$H$381,$H41,Dati!$A$2:$A$381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inlineStr">
        <is>
          <t>Ocelot Onorevoli-Ocelotopoli OO</t>
        </is>
      </c>
      <c r="D42" s="14" t="n"/>
      <c r="E42" s="23" t="inlineStr">
        <is>
          <t>B</t>
        </is>
      </c>
      <c r="G42" s="24">
        <f>IF($C42="","",$E42&amp;(COUNTIFS(I$14:I$53,"&gt;"&amp;I42,E$14:E$53,"="&amp;E42,C$14:C$53,"&lt;&gt;")+COUNTIFS(I$14:I$53,"="&amp;I42,H$14:H$53,"&lt;="&amp;H42,E$14:E$53,"="&amp;E42,C$14:C$53,"&lt;&gt;")))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L42*constPuntiVittoria+M42*constPuntiSconfitta+N42*constPuntiForfait+IF(D42="",0,D42)</f>
        <v/>
      </c>
      <c r="K42" s="12">
        <f>SUM(L42:N42)</f>
        <v/>
      </c>
      <c r="L42" s="12">
        <f>IF($H42="",0,SUMIF(Dati!$A$2:$A$381,$H42,Dati!$B$2:$B$381)+SUMIF(Dati!$H$2:$H$381,$H42,Dati!$I$2:$I$381))</f>
        <v/>
      </c>
      <c r="M42" s="12">
        <f>IF($H42="",0,SUMIF(Dati!$A$2:$A$381,$H42,Dati!$D$2:$D$381)+SUMIF(Dati!$H$2:$H$381,$H42,Dati!$K$2:$K$381))</f>
        <v/>
      </c>
      <c r="N42" s="12">
        <f>IF($H42="",0,SUMIF(Dati!$A$2:$A$381,$H42,Dati!$C$2:$C$381)+SUMIF(Dati!$H$2:$H$381,$H42,Dati!$J$2:$J$381))</f>
        <v/>
      </c>
      <c r="O42" s="12">
        <f>IF($H42="",0,SUMIF(Dati!$A$2:$A$381,$H42,Dati!$E$2:$E$381)+SUMIF(Dati!$H$2:$H$381,$H42,Dati!$L$2:$L$381))</f>
        <v/>
      </c>
      <c r="P42" s="12">
        <f>IF($H42="",0,SUMIF(Dati!$A$2:$A$381,$H42,Dati!$F$2:$F$381)+SUMIF(Dati!$H$2:$H$381,$H42,Dati!$M$2:$M$381))</f>
        <v/>
      </c>
      <c r="Q42" s="12">
        <f>IF($H42="",0,SUMIF(Dati!$A$2:$A$381,$H42,Dati!$G$2:$G$381)+SUMIF(Dati!$H$2:$H$381,$H42,Dati!$N$2:$N$381))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IF(COUNTIFS($E$14:$E$53,$E42,$J$14:$J$53,$J42,$C$14:$C$53,"&lt;&gt;")&lt;=1,"-",SUM(AU42:BN42)&amp;"-"&amp;SUM(BQ42:CJ42))</f>
        <v/>
      </c>
      <c r="V42" s="18">
        <f>IF(COUNTIFS($E$14:$E$53,$E42,$J$14:$J$53,$J42,$C$14:$C$53,"&lt;&gt;",$ED$14:$ED$53,$ED42)&lt;=1,"-",IF(SUM(DI42:EB42)=0,0,ROUND(SUM(CM42:DF42)/SUM(DI42:EB42),3)))</f>
        <v/>
      </c>
      <c r="W42" s="18">
        <f>IF(COUNTIFS($E$14:$E$53,$E42,$J$14:$J$53,$J42,$C$14:$C$53,"&lt;&gt;",$ED$14:$ED$53,$ED42,$V$14:$V$53,$V42)&lt;=1,"-",IF(P42=0,0,ROUND(O42/P42,3)))</f>
        <v/>
      </c>
      <c r="X42" s="19">
        <f>IF($C42="","",$E42&amp;"#"&amp;COUNTIFS($E$14:$E42,$E42,$C$14:$C42,"&lt;&gt;"))</f>
        <v/>
      </c>
      <c r="Y42" s="20">
        <f>IFERROR(INDEX($H$14:$H$53,MATCH($E42&amp;"#1",$X$14:$X$53,0)),"")</f>
        <v/>
      </c>
      <c r="Z42" s="20">
        <f>IFERROR(INDEX($H$14:$H$53,MATCH($E42&amp;"#2",$X$14:$X$53,0)),"")</f>
        <v/>
      </c>
      <c r="AA42" s="20">
        <f>IFERROR(INDEX($H$14:$H$53,MATCH($E42&amp;"#3",$X$14:$X$53,0)),"")</f>
        <v/>
      </c>
      <c r="AB42" s="20">
        <f>IFERROR(INDEX($H$14:$H$53,MATCH($E42&amp;"#4",$X$14:$X$53,0)),"")</f>
        <v/>
      </c>
      <c r="AC42" s="20">
        <f>IFERROR(INDEX($H$14:$H$53,MATCH($E42&amp;"#5",$X$14:$X$53,0)),"")</f>
        <v/>
      </c>
      <c r="AD42" s="20">
        <f>IFERROR(INDEX($H$14:$H$53,MATCH($E42&amp;"#6",$X$14:$X$53,0)),"")</f>
        <v/>
      </c>
      <c r="AE42" s="20">
        <f>IFERROR(INDEX($H$14:$H$53,MATCH($E42&amp;"#7",$X$14:$X$53,0)),"")</f>
        <v/>
      </c>
      <c r="AF42" s="20">
        <f>IFERROR(INDEX($H$14:$H$53,MATCH($E42&amp;"#8",$X$14:$X$53,0)),"")</f>
        <v/>
      </c>
      <c r="AG42" s="20">
        <f>IFERROR(INDEX($H$14:$H$53,MATCH($E42&amp;"#9",$X$14:$X$53,0)),"")</f>
        <v/>
      </c>
      <c r="AH42" s="20">
        <f>IFERROR(INDEX($H$14:$H$53,MATCH($E42&amp;"#10",$X$14:$X$53,0)),"")</f>
        <v/>
      </c>
      <c r="AI42" s="20">
        <f>IFERROR(INDEX($H$14:$H$53,MATCH($E42&amp;"#11",$X$14:$X$53,0)),"")</f>
        <v/>
      </c>
      <c r="AJ42" s="20">
        <f>IFERROR(INDEX($H$14:$H$53,MATCH($E42&amp;"#12",$X$14:$X$53,0)),"")</f>
        <v/>
      </c>
      <c r="AK42" s="20">
        <f>IFERROR(INDEX($H$14:$H$53,MATCH($E42&amp;"#13",$X$14:$X$53,0)),"")</f>
        <v/>
      </c>
      <c r="AL42" s="20">
        <f>IFERROR(INDEX($H$14:$H$53,MATCH($E42&amp;"#14",$X$14:$X$53,0)),"")</f>
        <v/>
      </c>
      <c r="AM42" s="20">
        <f>IFERROR(INDEX($H$14:$H$53,MATCH($E42&amp;"#15",$X$14:$X$53,0)),"")</f>
        <v/>
      </c>
      <c r="AN42" s="20">
        <f>IFERROR(INDEX($H$14:$H$53,MATCH($E42&amp;"#16",$X$14:$X$53,0)),"")</f>
        <v/>
      </c>
      <c r="AO42" s="20">
        <f>IFERROR(INDEX($H$14:$H$53,MATCH($E42&amp;"#17",$X$14:$X$53,0)),"")</f>
        <v/>
      </c>
      <c r="AP42" s="20">
        <f>IFERROR(INDEX($H$14:$H$53,MATCH($E42&amp;"#18",$X$14:$X$53,0)),"")</f>
        <v/>
      </c>
      <c r="AQ42" s="20">
        <f>IFERROR(INDEX($H$14:$H$53,MATCH($E42&amp;"#19",$X$14:$X$53,0)),"")</f>
        <v/>
      </c>
      <c r="AR42" s="20">
        <f>IFERROR(INDEX($H$14:$H$53,MATCH($E42&amp;"#20",$X$14:$X$53,0)),"")</f>
        <v/>
      </c>
      <c r="AT42" s="21">
        <f>$C42</f>
        <v/>
      </c>
      <c r="AU42" s="22">
        <f>IF(AND($H42&lt;&gt;"",$Y42&lt;&gt;"",$H42&lt;&gt;$Y42,IFERROR(VLOOKUP($H42,areaCercaPuntiClassificaSquadra,3,FALSE),-1)=IFERROR(VLOOKUP($Y42,areaCercaPuntiClassificaSquadra,3,FALSE),-2)),SUMIFS(Dati!$B$2:$B$381,Dati!$A$2:$A$381,$H42,Dati!$H$2:$H$381,$Y42)+SUMIFS(Dati!$I$2:$I$381,Dati!$H$2:$H$381,$H42,Dati!$A$2:$A$381,$Y42),"-")</f>
        <v/>
      </c>
      <c r="AV42" s="22">
        <f>IF(AND($H42&lt;&gt;"",$Z42&lt;&gt;"",$H42&lt;&gt;$Z42,IFERROR(VLOOKUP($H42,areaCercaPuntiClassificaSquadra,3,FALSE),-1)=IFERROR(VLOOKUP($Z42,areaCercaPuntiClassificaSquadra,3,FALSE),-2)),SUMIFS(Dati!$B$2:$B$381,Dati!$A$2:$A$381,$H42,Dati!$H$2:$H$381,$Z42)+SUMIFS(Dati!$I$2:$I$381,Dati!$H$2:$H$381,$H42,Dati!$A$2:$A$381,$Z42),"-")</f>
        <v/>
      </c>
      <c r="AW42" s="22">
        <f>IF(AND($H42&lt;&gt;"",$AA42&lt;&gt;"",$H42&lt;&gt;$AA42,IFERROR(VLOOKUP($H42,areaCercaPuntiClassificaSquadra,3,FALSE),-1)=IFERROR(VLOOKUP($AA42,areaCercaPuntiClassificaSquadra,3,FALSE),-2)),SUMIFS(Dati!$B$2:$B$381,Dati!$A$2:$A$381,$H42,Dati!$H$2:$H$381,$AA42)+SUMIFS(Dati!$I$2:$I$381,Dati!$H$2:$H$381,$H42,Dati!$A$2:$A$381,$AA42),"-")</f>
        <v/>
      </c>
      <c r="AX42" s="22">
        <f>IF(AND($H42&lt;&gt;"",$AB42&lt;&gt;"",$H42&lt;&gt;$AB42,IFERROR(VLOOKUP($H42,areaCercaPuntiClassificaSquadra,3,FALSE),-1)=IFERROR(VLOOKUP($AB42,areaCercaPuntiClassificaSquadra,3,FALSE),-2)),SUMIFS(Dati!$B$2:$B$381,Dati!$A$2:$A$381,$H42,Dati!$H$2:$H$381,$AB42)+SUMIFS(Dati!$I$2:$I$381,Dati!$H$2:$H$381,$H42,Dati!$A$2:$A$381,$AB42),"-")</f>
        <v/>
      </c>
      <c r="AY42" s="22">
        <f>IF(AND($H42&lt;&gt;"",$AC42&lt;&gt;"",$H42&lt;&gt;$AC42,IFERROR(VLOOKUP($H42,areaCercaPuntiClassificaSquadra,3,FALSE),-1)=IFERROR(VLOOKUP($AC42,areaCercaPuntiClassificaSquadra,3,FALSE),-2)),SUMIFS(Dati!$B$2:$B$381,Dati!$A$2:$A$381,$H42,Dati!$H$2:$H$381,$AC42)+SUMIFS(Dati!$I$2:$I$381,Dati!$H$2:$H$381,$H42,Dati!$A$2:$A$381,$AC42),"-")</f>
        <v/>
      </c>
      <c r="AZ42" s="22">
        <f>IF(AND($H42&lt;&gt;"",$AD42&lt;&gt;"",$H42&lt;&gt;$AD42,IFERROR(VLOOKUP($H42,areaCercaPuntiClassificaSquadra,3,FALSE),-1)=IFERROR(VLOOKUP($AD42,areaCercaPuntiClassificaSquadra,3,FALSE),-2)),SUMIFS(Dati!$B$2:$B$381,Dati!$A$2:$A$381,$H42,Dati!$H$2:$H$381,$AD42)+SUMIFS(Dati!$I$2:$I$381,Dati!$H$2:$H$381,$H42,Dati!$A$2:$A$381,$AD42),"-")</f>
        <v/>
      </c>
      <c r="BA42" s="22">
        <f>IF(AND($H42&lt;&gt;"",$AE42&lt;&gt;"",$H42&lt;&gt;$AE42,IFERROR(VLOOKUP($H42,areaCercaPuntiClassificaSquadra,3,FALSE),-1)=IFERROR(VLOOKUP($AE42,areaCercaPuntiClassificaSquadra,3,FALSE),-2)),SUMIFS(Dati!$B$2:$B$381,Dati!$A$2:$A$381,$H42,Dati!$H$2:$H$381,$AE42)+SUMIFS(Dati!$I$2:$I$381,Dati!$H$2:$H$381,$H42,Dati!$A$2:$A$381,$AE42),"-")</f>
        <v/>
      </c>
      <c r="BB42" s="22">
        <f>IF(AND($H42&lt;&gt;"",$AF42&lt;&gt;"",$H42&lt;&gt;$AF42,IFERROR(VLOOKUP($H42,areaCercaPuntiClassificaSquadra,3,FALSE),-1)=IFERROR(VLOOKUP($AF42,areaCercaPuntiClassificaSquadra,3,FALSE),-2)),SUMIFS(Dati!$B$2:$B$381,Dati!$A$2:$A$381,$H42,Dati!$H$2:$H$381,$AF42)+SUMIFS(Dati!$I$2:$I$381,Dati!$H$2:$H$381,$H42,Dati!$A$2:$A$381,$AF42),"-")</f>
        <v/>
      </c>
      <c r="BC42" s="22">
        <f>IF(AND($H42&lt;&gt;"",$AG42&lt;&gt;"",$H42&lt;&gt;$AG42,IFERROR(VLOOKUP($H42,areaCercaPuntiClassificaSquadra,3,FALSE),-1)=IFERROR(VLOOKUP($AG42,areaCercaPuntiClassificaSquadra,3,FALSE),-2)),SUMIFS(Dati!$B$2:$B$381,Dati!$A$2:$A$381,$H42,Dati!$H$2:$H$381,$AG42)+SUMIFS(Dati!$I$2:$I$381,Dati!$H$2:$H$381,$H42,Dati!$A$2:$A$381,$AG42),"-")</f>
        <v/>
      </c>
      <c r="BD42" s="22">
        <f>IF(AND($H42&lt;&gt;"",$AH42&lt;&gt;"",$H42&lt;&gt;$AH42,IFERROR(VLOOKUP($H42,areaCercaPuntiClassificaSquadra,3,FALSE),-1)=IFERROR(VLOOKUP($AH42,areaCercaPuntiClassificaSquadra,3,FALSE),-2)),SUMIFS(Dati!$B$2:$B$381,Dati!$A$2:$A$381,$H42,Dati!$H$2:$H$381,$AH42)+SUMIFS(Dati!$I$2:$I$381,Dati!$H$2:$H$381,$H42,Dati!$A$2:$A$381,$AH42),"-")</f>
        <v/>
      </c>
      <c r="BE42" s="22">
        <f>IF(AND($H42&lt;&gt;"",$AI42&lt;&gt;"",$H42&lt;&gt;$AI42,IFERROR(VLOOKUP($H42,areaCercaPuntiClassificaSquadra,3,FALSE),-1)=IFERROR(VLOOKUP($AI42,areaCercaPuntiClassificaSquadra,3,FALSE),-2)),SUMIFS(Dati!$B$2:$B$381,Dati!$A$2:$A$381,$H42,Dati!$H$2:$H$381,$AI42)+SUMIFS(Dati!$I$2:$I$381,Dati!$H$2:$H$381,$H42,Dati!$A$2:$A$381,$AI42),"-")</f>
        <v/>
      </c>
      <c r="BF42" s="22">
        <f>IF(AND($H42&lt;&gt;"",$AJ42&lt;&gt;"",$H42&lt;&gt;$AJ42,IFERROR(VLOOKUP($H42,areaCercaPuntiClassificaSquadra,3,FALSE),-1)=IFERROR(VLOOKUP($AJ42,areaCercaPuntiClassificaSquadra,3,FALSE),-2)),SUMIFS(Dati!$B$2:$B$381,Dati!$A$2:$A$381,$H42,Dati!$H$2:$H$381,$AJ42)+SUMIFS(Dati!$I$2:$I$381,Dati!$H$2:$H$381,$H42,Dati!$A$2:$A$381,$AJ42),"-")</f>
        <v/>
      </c>
      <c r="BG42" s="22">
        <f>IF(AND($H42&lt;&gt;"",$AK42&lt;&gt;"",$H42&lt;&gt;$AK42,IFERROR(VLOOKUP($H42,areaCercaPuntiClassificaSquadra,3,FALSE),-1)=IFERROR(VLOOKUP($AK42,areaCercaPuntiClassificaSquadra,3,FALSE),-2)),SUMIFS(Dati!$B$2:$B$381,Dati!$A$2:$A$381,$H42,Dati!$H$2:$H$381,$AK42)+SUMIFS(Dati!$I$2:$I$381,Dati!$H$2:$H$381,$H42,Dati!$A$2:$A$381,$AK42),"-")</f>
        <v/>
      </c>
      <c r="BH42" s="22">
        <f>IF(AND($H42&lt;&gt;"",$AL42&lt;&gt;"",$H42&lt;&gt;$AL42,IFERROR(VLOOKUP($H42,areaCercaPuntiClassificaSquadra,3,FALSE),-1)=IFERROR(VLOOKUP($AL42,areaCercaPuntiClassificaSquadra,3,FALSE),-2)),SUMIFS(Dati!$B$2:$B$381,Dati!$A$2:$A$381,$H42,Dati!$H$2:$H$381,$AL42)+SUMIFS(Dati!$I$2:$I$381,Dati!$H$2:$H$381,$H42,Dati!$A$2:$A$381,$AL42),"-")</f>
        <v/>
      </c>
      <c r="BI42" s="22">
        <f>IF(AND($H42&lt;&gt;"",$AM42&lt;&gt;"",$H42&lt;&gt;$AM42,IFERROR(VLOOKUP($H42,areaCercaPuntiClassificaSquadra,3,FALSE),-1)=IFERROR(VLOOKUP($AM42,areaCercaPuntiClassificaSquadra,3,FALSE),-2)),SUMIFS(Dati!$B$2:$B$381,Dati!$A$2:$A$381,$H42,Dati!$H$2:$H$381,$AM42)+SUMIFS(Dati!$I$2:$I$381,Dati!$H$2:$H$381,$H42,Dati!$A$2:$A$381,$AM42),"-")</f>
        <v/>
      </c>
      <c r="BJ42" s="22">
        <f>IF(AND($H42&lt;&gt;"",$AN42&lt;&gt;"",$H42&lt;&gt;$AN42,IFERROR(VLOOKUP($H42,areaCercaPuntiClassificaSquadra,3,FALSE),-1)=IFERROR(VLOOKUP($AN42,areaCercaPuntiClassificaSquadra,3,FALSE),-2)),SUMIFS(Dati!$B$2:$B$381,Dati!$A$2:$A$381,$H42,Dati!$H$2:$H$381,$AN42)+SUMIFS(Dati!$I$2:$I$381,Dati!$H$2:$H$381,$H42,Dati!$A$2:$A$381,$AN42),"-")</f>
        <v/>
      </c>
      <c r="BK42" s="22">
        <f>IF(AND($H42&lt;&gt;"",$AO42&lt;&gt;"",$H42&lt;&gt;$AO42,IFERROR(VLOOKUP($H42,areaCercaPuntiClassificaSquadra,3,FALSE),-1)=IFERROR(VLOOKUP($AO42,areaCercaPuntiClassificaSquadra,3,FALSE),-2)),SUMIFS(Dati!$B$2:$B$381,Dati!$A$2:$A$381,$H42,Dati!$H$2:$H$381,$AO42)+SUMIFS(Dati!$I$2:$I$381,Dati!$H$2:$H$381,$H42,Dati!$A$2:$A$381,$AO42),"-")</f>
        <v/>
      </c>
      <c r="BL42" s="22">
        <f>IF(AND($H42&lt;&gt;"",$AP42&lt;&gt;"",$H42&lt;&gt;$AP42,IFERROR(VLOOKUP($H42,areaCercaPuntiClassificaSquadra,3,FALSE),-1)=IFERROR(VLOOKUP($AP42,areaCercaPuntiClassificaSquadra,3,FALSE),-2)),SUMIFS(Dati!$B$2:$B$381,Dati!$A$2:$A$381,$H42,Dati!$H$2:$H$381,$AP42)+SUMIFS(Dati!$I$2:$I$381,Dati!$H$2:$H$381,$H42,Dati!$A$2:$A$381,$AP42),"-")</f>
        <v/>
      </c>
      <c r="BM42" s="22">
        <f>IF(AND($H42&lt;&gt;"",$AQ42&lt;&gt;"",$H42&lt;&gt;$AQ42,IFERROR(VLOOKUP($H42,areaCercaPuntiClassificaSquadra,3,FALSE),-1)=IFERROR(VLOOKUP($AQ42,areaCercaPuntiClassificaSquadra,3,FALSE),-2)),SUMIFS(Dati!$B$2:$B$381,Dati!$A$2:$A$381,$H42,Dati!$H$2:$H$381,$AQ42)+SUMIFS(Dati!$I$2:$I$381,Dati!$H$2:$H$381,$H42,Dati!$A$2:$A$381,$AQ42),"-")</f>
        <v/>
      </c>
      <c r="BN42" s="22">
        <f>IF(AND($H42&lt;&gt;"",$AR42&lt;&gt;"",$H42&lt;&gt;$AR42,IFERROR(VLOOKUP($H42,areaCercaPuntiClassificaSquadra,3,FALSE),-1)=IFERROR(VLOOKUP($AR42,areaCercaPuntiClassificaSquadra,3,FALSE),-2)),SUMIFS(Dati!$B$2:$B$381,Dati!$A$2:$A$381,$H42,Dati!$H$2:$H$381,$AR42)+SUMIFS(Dati!$I$2:$I$381,Dati!$H$2:$H$381,$H42,Dati!$A$2:$A$381,$AR42),"-")</f>
        <v/>
      </c>
      <c r="BP42" s="21">
        <f>$C42</f>
        <v/>
      </c>
      <c r="BQ42" s="22">
        <f>IF(AND($H42&lt;&gt;"",$Y42&lt;&gt;"",$H42&lt;&gt;$Y42,IFERROR(VLOOKUP($H42,areaCercaPuntiClassificaSquadra,3,FALSE),-1)=IFERROR(VLOOKUP($Y42,areaCercaPuntiClassificaSquadra,3,FALSE),-2)),SUMIFS(Dati!$D$2:$D$381,Dati!$A$2:$A$381,$H42,Dati!$H$2:$H$381,$Y42)+SUMIFS(Dati!$K$2:$K$381,Dati!$H$2:$H$381,$H42,Dati!$A$2:$A$381,$Y42)+SUMIFS(Dati!$C$2:$C$381,Dati!$A$2:$A$381,$H42,Dati!$H$2:$H$381,$Y42)+SUMIFS(Dati!$J$2:$J$381,Dati!$H$2:$H$381,$H42,Dati!$A$2:$A$381,$Y42),"-")</f>
        <v/>
      </c>
      <c r="BR42" s="22">
        <f>IF(AND($H42&lt;&gt;"",$Z42&lt;&gt;"",$H42&lt;&gt;$Z42,IFERROR(VLOOKUP($H42,areaCercaPuntiClassificaSquadra,3,FALSE),-1)=IFERROR(VLOOKUP($Z42,areaCercaPuntiClassificaSquadra,3,FALSE),-2)),SUMIFS(Dati!$D$2:$D$381,Dati!$A$2:$A$381,$H42,Dati!$H$2:$H$381,$Z42)+SUMIFS(Dati!$K$2:$K$381,Dati!$H$2:$H$381,$H42,Dati!$A$2:$A$381,$Z42)+SUMIFS(Dati!$C$2:$C$381,Dati!$A$2:$A$381,$H42,Dati!$H$2:$H$381,$Z42)+SUMIFS(Dati!$J$2:$J$381,Dati!$H$2:$H$381,$H42,Dati!$A$2:$A$381,$Z42),"-")</f>
        <v/>
      </c>
      <c r="BS42" s="22">
        <f>IF(AND($H42&lt;&gt;"",$AA42&lt;&gt;"",$H42&lt;&gt;$AA42,IFERROR(VLOOKUP($H42,areaCercaPuntiClassificaSquadra,3,FALSE),-1)=IFERROR(VLOOKUP($AA42,areaCercaPuntiClassificaSquadra,3,FALSE),-2)),SUMIFS(Dati!$D$2:$D$381,Dati!$A$2:$A$381,$H42,Dati!$H$2:$H$381,$AA42)+SUMIFS(Dati!$K$2:$K$381,Dati!$H$2:$H$381,$H42,Dati!$A$2:$A$381,$AA42)+SUMIFS(Dati!$C$2:$C$381,Dati!$A$2:$A$381,$H42,Dati!$H$2:$H$381,$AA42)+SUMIFS(Dati!$J$2:$J$381,Dati!$H$2:$H$381,$H42,Dati!$A$2:$A$381,$AA42),"-")</f>
        <v/>
      </c>
      <c r="BT42" s="22">
        <f>IF(AND($H42&lt;&gt;"",$AB42&lt;&gt;"",$H42&lt;&gt;$AB42,IFERROR(VLOOKUP($H42,areaCercaPuntiClassificaSquadra,3,FALSE),-1)=IFERROR(VLOOKUP($AB42,areaCercaPuntiClassificaSquadra,3,FALSE),-2)),SUMIFS(Dati!$D$2:$D$381,Dati!$A$2:$A$381,$H42,Dati!$H$2:$H$381,$AB42)+SUMIFS(Dati!$K$2:$K$381,Dati!$H$2:$H$381,$H42,Dati!$A$2:$A$381,$AB42)+SUMIFS(Dati!$C$2:$C$381,Dati!$A$2:$A$381,$H42,Dati!$H$2:$H$381,$AB42)+SUMIFS(Dati!$J$2:$J$381,Dati!$H$2:$H$381,$H42,Dati!$A$2:$A$381,$AB42),"-")</f>
        <v/>
      </c>
      <c r="BU42" s="22">
        <f>IF(AND($H42&lt;&gt;"",$AC42&lt;&gt;"",$H42&lt;&gt;$AC42,IFERROR(VLOOKUP($H42,areaCercaPuntiClassificaSquadra,3,FALSE),-1)=IFERROR(VLOOKUP($AC42,areaCercaPuntiClassificaSquadra,3,FALSE),-2)),SUMIFS(Dati!$D$2:$D$381,Dati!$A$2:$A$381,$H42,Dati!$H$2:$H$381,$AC42)+SUMIFS(Dati!$K$2:$K$381,Dati!$H$2:$H$381,$H42,Dati!$A$2:$A$381,$AC42)+SUMIFS(Dati!$C$2:$C$381,Dati!$A$2:$A$381,$H42,Dati!$H$2:$H$381,$AC42)+SUMIFS(Dati!$J$2:$J$381,Dati!$H$2:$H$381,$H42,Dati!$A$2:$A$381,$AC42),"-")</f>
        <v/>
      </c>
      <c r="BV42" s="22">
        <f>IF(AND($H42&lt;&gt;"",$AD42&lt;&gt;"",$H42&lt;&gt;$AD42,IFERROR(VLOOKUP($H42,areaCercaPuntiClassificaSquadra,3,FALSE),-1)=IFERROR(VLOOKUP($AD42,areaCercaPuntiClassificaSquadra,3,FALSE),-2)),SUMIFS(Dati!$D$2:$D$381,Dati!$A$2:$A$381,$H42,Dati!$H$2:$H$381,$AD42)+SUMIFS(Dati!$K$2:$K$381,Dati!$H$2:$H$381,$H42,Dati!$A$2:$A$381,$AD42)+SUMIFS(Dati!$C$2:$C$381,Dati!$A$2:$A$381,$H42,Dati!$H$2:$H$381,$AD42)+SUMIFS(Dati!$J$2:$J$381,Dati!$H$2:$H$381,$H42,Dati!$A$2:$A$381,$AD42),"-")</f>
        <v/>
      </c>
      <c r="BW42" s="22">
        <f>IF(AND($H42&lt;&gt;"",$AE42&lt;&gt;"",$H42&lt;&gt;$AE42,IFERROR(VLOOKUP($H42,areaCercaPuntiClassificaSquadra,3,FALSE),-1)=IFERROR(VLOOKUP($AE42,areaCercaPuntiClassificaSquadra,3,FALSE),-2)),SUMIFS(Dati!$D$2:$D$381,Dati!$A$2:$A$381,$H42,Dati!$H$2:$H$381,$AE42)+SUMIFS(Dati!$K$2:$K$381,Dati!$H$2:$H$381,$H42,Dati!$A$2:$A$381,$AE42)+SUMIFS(Dati!$C$2:$C$381,Dati!$A$2:$A$381,$H42,Dati!$H$2:$H$381,$AE42)+SUMIFS(Dati!$J$2:$J$381,Dati!$H$2:$H$381,$H42,Dati!$A$2:$A$381,$AE42),"-")</f>
        <v/>
      </c>
      <c r="BX42" s="22">
        <f>IF(AND($H42&lt;&gt;"",$AF42&lt;&gt;"",$H42&lt;&gt;$AF42,IFERROR(VLOOKUP($H42,areaCercaPuntiClassificaSquadra,3,FALSE),-1)=IFERROR(VLOOKUP($AF42,areaCercaPuntiClassificaSquadra,3,FALSE),-2)),SUMIFS(Dati!$D$2:$D$381,Dati!$A$2:$A$381,$H42,Dati!$H$2:$H$381,$AF42)+SUMIFS(Dati!$K$2:$K$381,Dati!$H$2:$H$381,$H42,Dati!$A$2:$A$381,$AF42)+SUMIFS(Dati!$C$2:$C$381,Dati!$A$2:$A$381,$H42,Dati!$H$2:$H$381,$AF42)+SUMIFS(Dati!$J$2:$J$381,Dati!$H$2:$H$381,$H42,Dati!$A$2:$A$381,$AF42),"-")</f>
        <v/>
      </c>
      <c r="BY42" s="22">
        <f>IF(AND($H42&lt;&gt;"",$AG42&lt;&gt;"",$H42&lt;&gt;$AG42,IFERROR(VLOOKUP($H42,areaCercaPuntiClassificaSquadra,3,FALSE),-1)=IFERROR(VLOOKUP($AG42,areaCercaPuntiClassificaSquadra,3,FALSE),-2)),SUMIFS(Dati!$D$2:$D$381,Dati!$A$2:$A$381,$H42,Dati!$H$2:$H$381,$AG42)+SUMIFS(Dati!$K$2:$K$381,Dati!$H$2:$H$381,$H42,Dati!$A$2:$A$381,$AG42)+SUMIFS(Dati!$C$2:$C$381,Dati!$A$2:$A$381,$H42,Dati!$H$2:$H$381,$AG42)+SUMIFS(Dati!$J$2:$J$381,Dati!$H$2:$H$381,$H42,Dati!$A$2:$A$381,$AG42),"-")</f>
        <v/>
      </c>
      <c r="BZ42" s="22">
        <f>IF(AND($H42&lt;&gt;"",$AH42&lt;&gt;"",$H42&lt;&gt;$AH42,IFERROR(VLOOKUP($H42,areaCercaPuntiClassificaSquadra,3,FALSE),-1)=IFERROR(VLOOKUP($AH42,areaCercaPuntiClassificaSquadra,3,FALSE),-2)),SUMIFS(Dati!$D$2:$D$381,Dati!$A$2:$A$381,$H42,Dati!$H$2:$H$381,$AH42)+SUMIFS(Dati!$K$2:$K$381,Dati!$H$2:$H$381,$H42,Dati!$A$2:$A$381,$AH42)+SUMIFS(Dati!$C$2:$C$381,Dati!$A$2:$A$381,$H42,Dati!$H$2:$H$381,$AH42)+SUMIFS(Dati!$J$2:$J$381,Dati!$H$2:$H$381,$H42,Dati!$A$2:$A$381,$AH42),"-")</f>
        <v/>
      </c>
      <c r="CA42" s="22">
        <f>IF(AND($H42&lt;&gt;"",$AI42&lt;&gt;"",$H42&lt;&gt;$AI42,IFERROR(VLOOKUP($H42,areaCercaPuntiClassificaSquadra,3,FALSE),-1)=IFERROR(VLOOKUP($AI42,areaCercaPuntiClassificaSquadra,3,FALSE),-2)),SUMIFS(Dati!$D$2:$D$381,Dati!$A$2:$A$381,$H42,Dati!$H$2:$H$381,$AI42)+SUMIFS(Dati!$K$2:$K$381,Dati!$H$2:$H$381,$H42,Dati!$A$2:$A$381,$AI42)+SUMIFS(Dati!$C$2:$C$381,Dati!$A$2:$A$381,$H42,Dati!$H$2:$H$381,$AI42)+SUMIFS(Dati!$J$2:$J$381,Dati!$H$2:$H$381,$H42,Dati!$A$2:$A$381,$AI42),"-")</f>
        <v/>
      </c>
      <c r="CB42" s="22">
        <f>IF(AND($H42&lt;&gt;"",$AJ42&lt;&gt;"",$H42&lt;&gt;$AJ42,IFERROR(VLOOKUP($H42,areaCercaPuntiClassificaSquadra,3,FALSE),-1)=IFERROR(VLOOKUP($AJ42,areaCercaPuntiClassificaSquadra,3,FALSE),-2)),SUMIFS(Dati!$D$2:$D$381,Dati!$A$2:$A$381,$H42,Dati!$H$2:$H$381,$AJ42)+SUMIFS(Dati!$K$2:$K$381,Dati!$H$2:$H$381,$H42,Dati!$A$2:$A$381,$AJ42)+SUMIFS(Dati!$C$2:$C$381,Dati!$A$2:$A$381,$H42,Dati!$H$2:$H$381,$AJ42)+SUMIFS(Dati!$J$2:$J$381,Dati!$H$2:$H$381,$H42,Dati!$A$2:$A$381,$AJ42),"-")</f>
        <v/>
      </c>
      <c r="CC42" s="22">
        <f>IF(AND($H42&lt;&gt;"",$AK42&lt;&gt;"",$H42&lt;&gt;$AK42,IFERROR(VLOOKUP($H42,areaCercaPuntiClassificaSquadra,3,FALSE),-1)=IFERROR(VLOOKUP($AK42,areaCercaPuntiClassificaSquadra,3,FALSE),-2)),SUMIFS(Dati!$D$2:$D$381,Dati!$A$2:$A$381,$H42,Dati!$H$2:$H$381,$AK42)+SUMIFS(Dati!$K$2:$K$381,Dati!$H$2:$H$381,$H42,Dati!$A$2:$A$381,$AK42)+SUMIFS(Dati!$C$2:$C$381,Dati!$A$2:$A$381,$H42,Dati!$H$2:$H$381,$AK42)+SUMIFS(Dati!$J$2:$J$381,Dati!$H$2:$H$381,$H42,Dati!$A$2:$A$381,$AK42),"-")</f>
        <v/>
      </c>
      <c r="CD42" s="22">
        <f>IF(AND($H42&lt;&gt;"",$AL42&lt;&gt;"",$H42&lt;&gt;$AL42,IFERROR(VLOOKUP($H42,areaCercaPuntiClassificaSquadra,3,FALSE),-1)=IFERROR(VLOOKUP($AL42,areaCercaPuntiClassificaSquadra,3,FALSE),-2)),SUMIFS(Dati!$D$2:$D$381,Dati!$A$2:$A$381,$H42,Dati!$H$2:$H$381,$AL42)+SUMIFS(Dati!$K$2:$K$381,Dati!$H$2:$H$381,$H42,Dati!$A$2:$A$381,$AL42)+SUMIFS(Dati!$C$2:$C$381,Dati!$A$2:$A$381,$H42,Dati!$H$2:$H$381,$AL42)+SUMIFS(Dati!$J$2:$J$381,Dati!$H$2:$H$381,$H42,Dati!$A$2:$A$381,$AL42),"-")</f>
        <v/>
      </c>
      <c r="CE42" s="22">
        <f>IF(AND($H42&lt;&gt;"",$AM42&lt;&gt;"",$H42&lt;&gt;$AM42,IFERROR(VLOOKUP($H42,areaCercaPuntiClassificaSquadra,3,FALSE),-1)=IFERROR(VLOOKUP($AM42,areaCercaPuntiClassificaSquadra,3,FALSE),-2)),SUMIFS(Dati!$D$2:$D$381,Dati!$A$2:$A$381,$H42,Dati!$H$2:$H$381,$AM42)+SUMIFS(Dati!$K$2:$K$381,Dati!$H$2:$H$381,$H42,Dati!$A$2:$A$381,$AM42)+SUMIFS(Dati!$C$2:$C$381,Dati!$A$2:$A$381,$H42,Dati!$H$2:$H$381,$AM42)+SUMIFS(Dati!$J$2:$J$381,Dati!$H$2:$H$381,$H42,Dati!$A$2:$A$381,$AM42),"-")</f>
        <v/>
      </c>
      <c r="CF42" s="22">
        <f>IF(AND($H42&lt;&gt;"",$AN42&lt;&gt;"",$H42&lt;&gt;$AN42,IFERROR(VLOOKUP($H42,areaCercaPuntiClassificaSquadra,3,FALSE),-1)=IFERROR(VLOOKUP($AN42,areaCercaPuntiClassificaSquadra,3,FALSE),-2)),SUMIFS(Dati!$D$2:$D$381,Dati!$A$2:$A$381,$H42,Dati!$H$2:$H$381,$AN42)+SUMIFS(Dati!$K$2:$K$381,Dati!$H$2:$H$381,$H42,Dati!$A$2:$A$381,$AN42)+SUMIFS(Dati!$C$2:$C$381,Dati!$A$2:$A$381,$H42,Dati!$H$2:$H$381,$AN42)+SUMIFS(Dati!$J$2:$J$381,Dati!$H$2:$H$381,$H42,Dati!$A$2:$A$381,$AN42),"-")</f>
        <v/>
      </c>
      <c r="CG42" s="22">
        <f>IF(AND($H42&lt;&gt;"",$AO42&lt;&gt;"",$H42&lt;&gt;$AO42,IFERROR(VLOOKUP($H42,areaCercaPuntiClassificaSquadra,3,FALSE),-1)=IFERROR(VLOOKUP($AO42,areaCercaPuntiClassificaSquadra,3,FALSE),-2)),SUMIFS(Dati!$D$2:$D$381,Dati!$A$2:$A$381,$H42,Dati!$H$2:$H$381,$AO42)+SUMIFS(Dati!$K$2:$K$381,Dati!$H$2:$H$381,$H42,Dati!$A$2:$A$381,$AO42)+SUMIFS(Dati!$C$2:$C$381,Dati!$A$2:$A$381,$H42,Dati!$H$2:$H$381,$AO42)+SUMIFS(Dati!$J$2:$J$381,Dati!$H$2:$H$381,$H42,Dati!$A$2:$A$381,$AO42),"-")</f>
        <v/>
      </c>
      <c r="CH42" s="22">
        <f>IF(AND($H42&lt;&gt;"",$AP42&lt;&gt;"",$H42&lt;&gt;$AP42,IFERROR(VLOOKUP($H42,areaCercaPuntiClassificaSquadra,3,FALSE),-1)=IFERROR(VLOOKUP($AP42,areaCercaPuntiClassificaSquadra,3,FALSE),-2)),SUMIFS(Dati!$D$2:$D$381,Dati!$A$2:$A$381,$H42,Dati!$H$2:$H$381,$AP42)+SUMIFS(Dati!$K$2:$K$381,Dati!$H$2:$H$381,$H42,Dati!$A$2:$A$381,$AP42)+SUMIFS(Dati!$C$2:$C$381,Dati!$A$2:$A$381,$H42,Dati!$H$2:$H$381,$AP42)+SUMIFS(Dati!$J$2:$J$381,Dati!$H$2:$H$381,$H42,Dati!$A$2:$A$381,$AP42),"-")</f>
        <v/>
      </c>
      <c r="CI42" s="22">
        <f>IF(AND($H42&lt;&gt;"",$AQ42&lt;&gt;"",$H42&lt;&gt;$AQ42,IFERROR(VLOOKUP($H42,areaCercaPuntiClassificaSquadra,3,FALSE),-1)=IFERROR(VLOOKUP($AQ42,areaCercaPuntiClassificaSquadra,3,FALSE),-2)),SUMIFS(Dati!$D$2:$D$381,Dati!$A$2:$A$381,$H42,Dati!$H$2:$H$381,$AQ42)+SUMIFS(Dati!$K$2:$K$381,Dati!$H$2:$H$381,$H42,Dati!$A$2:$A$381,$AQ42)+SUMIFS(Dati!$C$2:$C$381,Dati!$A$2:$A$381,$H42,Dati!$H$2:$H$381,$AQ42)+SUMIFS(Dati!$J$2:$J$381,Dati!$H$2:$H$381,$H42,Dati!$A$2:$A$381,$AQ42),"-")</f>
        <v/>
      </c>
      <c r="CJ42" s="22">
        <f>IF(AND($H42&lt;&gt;"",$AR42&lt;&gt;"",$H42&lt;&gt;$AR42,IFERROR(VLOOKUP($H42,areaCercaPuntiClassificaSquadra,3,FALSE),-1)=IFERROR(VLOOKUP($AR42,areaCercaPuntiClassificaSquadra,3,FALSE),-2)),SUMIFS(Dati!$D$2:$D$381,Dati!$A$2:$A$381,$H42,Dati!$H$2:$H$381,$AR42)+SUMIFS(Dati!$K$2:$K$381,Dati!$H$2:$H$381,$H42,Dati!$A$2:$A$381,$AR42)+SUMIFS(Dati!$C$2:$C$381,Dati!$A$2:$A$381,$H42,Dati!$H$2:$H$381,$AR42)+SUMIFS(Dati!$J$2:$J$381,Dati!$H$2:$H$381,$H42,Dati!$A$2:$A$381,$AR42),"-")</f>
        <v/>
      </c>
      <c r="CL42" s="21">
        <f>$C42</f>
        <v/>
      </c>
      <c r="CM42" s="22">
        <f>IF(AND($H42&lt;&gt;"",$Y42&lt;&gt;"",$H42&lt;&gt;$Y42,IFERROR(VLOOKUP($H42,areaCercaPuntiClassificaSquadra,3,FALSE),-1)=IFERROR(VLOOKUP($Y42,areaCercaPuntiClassificaSquadra,3,FALSE),-2)),SUMIFS(Dati!$E$2:$E$381,Dati!$A$2:$A$381,$H42,Dati!$H$2:$H$381,$Y42)+SUMIFS(Dati!$L$2:$L$381,Dati!$H$2:$H$381,$H42,Dati!$A$2:$A$381,$Y42),"-")</f>
        <v/>
      </c>
      <c r="CN42" s="22">
        <f>IF(AND($H42&lt;&gt;"",$Z42&lt;&gt;"",$H42&lt;&gt;$Z42,IFERROR(VLOOKUP($H42,areaCercaPuntiClassificaSquadra,3,FALSE),-1)=IFERROR(VLOOKUP($Z42,areaCercaPuntiClassificaSquadra,3,FALSE),-2)),SUMIFS(Dati!$E$2:$E$381,Dati!$A$2:$A$381,$H42,Dati!$H$2:$H$381,$Z42)+SUMIFS(Dati!$L$2:$L$381,Dati!$H$2:$H$381,$H42,Dati!$A$2:$A$381,$Z42),"-")</f>
        <v/>
      </c>
      <c r="CO42" s="22">
        <f>IF(AND($H42&lt;&gt;"",$AA42&lt;&gt;"",$H42&lt;&gt;$AA42,IFERROR(VLOOKUP($H42,areaCercaPuntiClassificaSquadra,3,FALSE),-1)=IFERROR(VLOOKUP($AA42,areaCercaPuntiClassificaSquadra,3,FALSE),-2)),SUMIFS(Dati!$E$2:$E$381,Dati!$A$2:$A$381,$H42,Dati!$H$2:$H$381,$AA42)+SUMIFS(Dati!$L$2:$L$381,Dati!$H$2:$H$381,$H42,Dati!$A$2:$A$381,$AA42),"-")</f>
        <v/>
      </c>
      <c r="CP42" s="22">
        <f>IF(AND($H42&lt;&gt;"",$AB42&lt;&gt;"",$H42&lt;&gt;$AB42,IFERROR(VLOOKUP($H42,areaCercaPuntiClassificaSquadra,3,FALSE),-1)=IFERROR(VLOOKUP($AB42,areaCercaPuntiClassificaSquadra,3,FALSE),-2)),SUMIFS(Dati!$E$2:$E$381,Dati!$A$2:$A$381,$H42,Dati!$H$2:$H$381,$AB42)+SUMIFS(Dati!$L$2:$L$381,Dati!$H$2:$H$381,$H42,Dati!$A$2:$A$381,$AB42),"-")</f>
        <v/>
      </c>
      <c r="CQ42" s="22">
        <f>IF(AND($H42&lt;&gt;"",$AC42&lt;&gt;"",$H42&lt;&gt;$AC42,IFERROR(VLOOKUP($H42,areaCercaPuntiClassificaSquadra,3,FALSE),-1)=IFERROR(VLOOKUP($AC42,areaCercaPuntiClassificaSquadra,3,FALSE),-2)),SUMIFS(Dati!$E$2:$E$381,Dati!$A$2:$A$381,$H42,Dati!$H$2:$H$381,$AC42)+SUMIFS(Dati!$L$2:$L$381,Dati!$H$2:$H$381,$H42,Dati!$A$2:$A$381,$AC42),"-")</f>
        <v/>
      </c>
      <c r="CR42" s="22">
        <f>IF(AND($H42&lt;&gt;"",$AD42&lt;&gt;"",$H42&lt;&gt;$AD42,IFERROR(VLOOKUP($H42,areaCercaPuntiClassificaSquadra,3,FALSE),-1)=IFERROR(VLOOKUP($AD42,areaCercaPuntiClassificaSquadra,3,FALSE),-2)),SUMIFS(Dati!$E$2:$E$381,Dati!$A$2:$A$381,$H42,Dati!$H$2:$H$381,$AD42)+SUMIFS(Dati!$L$2:$L$381,Dati!$H$2:$H$381,$H42,Dati!$A$2:$A$381,$AD42),"-")</f>
        <v/>
      </c>
      <c r="CS42" s="22">
        <f>IF(AND($H42&lt;&gt;"",$AE42&lt;&gt;"",$H42&lt;&gt;$AE42,IFERROR(VLOOKUP($H42,areaCercaPuntiClassificaSquadra,3,FALSE),-1)=IFERROR(VLOOKUP($AE42,areaCercaPuntiClassificaSquadra,3,FALSE),-2)),SUMIFS(Dati!$E$2:$E$381,Dati!$A$2:$A$381,$H42,Dati!$H$2:$H$381,$AE42)+SUMIFS(Dati!$L$2:$L$381,Dati!$H$2:$H$381,$H42,Dati!$A$2:$A$381,$AE42),"-")</f>
        <v/>
      </c>
      <c r="CT42" s="22">
        <f>IF(AND($H42&lt;&gt;"",$AF42&lt;&gt;"",$H42&lt;&gt;$AF42,IFERROR(VLOOKUP($H42,areaCercaPuntiClassificaSquadra,3,FALSE),-1)=IFERROR(VLOOKUP($AF42,areaCercaPuntiClassificaSquadra,3,FALSE),-2)),SUMIFS(Dati!$E$2:$E$381,Dati!$A$2:$A$381,$H42,Dati!$H$2:$H$381,$AF42)+SUMIFS(Dati!$L$2:$L$381,Dati!$H$2:$H$381,$H42,Dati!$A$2:$A$381,$AF42),"-")</f>
        <v/>
      </c>
      <c r="CU42" s="22">
        <f>IF(AND($H42&lt;&gt;"",$AG42&lt;&gt;"",$H42&lt;&gt;$AG42,IFERROR(VLOOKUP($H42,areaCercaPuntiClassificaSquadra,3,FALSE),-1)=IFERROR(VLOOKUP($AG42,areaCercaPuntiClassificaSquadra,3,FALSE),-2)),SUMIFS(Dati!$E$2:$E$381,Dati!$A$2:$A$381,$H42,Dati!$H$2:$H$381,$AG42)+SUMIFS(Dati!$L$2:$L$381,Dati!$H$2:$H$381,$H42,Dati!$A$2:$A$381,$AG42),"-")</f>
        <v/>
      </c>
      <c r="CV42" s="22">
        <f>IF(AND($H42&lt;&gt;"",$AH42&lt;&gt;"",$H42&lt;&gt;$AH42,IFERROR(VLOOKUP($H42,areaCercaPuntiClassificaSquadra,3,FALSE),-1)=IFERROR(VLOOKUP($AH42,areaCercaPuntiClassificaSquadra,3,FALSE),-2)),SUMIFS(Dati!$E$2:$E$381,Dati!$A$2:$A$381,$H42,Dati!$H$2:$H$381,$AH42)+SUMIFS(Dati!$L$2:$L$381,Dati!$H$2:$H$381,$H42,Dati!$A$2:$A$381,$AH42),"-")</f>
        <v/>
      </c>
      <c r="CW42" s="22">
        <f>IF(AND($H42&lt;&gt;"",$AI42&lt;&gt;"",$H42&lt;&gt;$AI42,IFERROR(VLOOKUP($H42,areaCercaPuntiClassificaSquadra,3,FALSE),-1)=IFERROR(VLOOKUP($AI42,areaCercaPuntiClassificaSquadra,3,FALSE),-2)),SUMIFS(Dati!$E$2:$E$381,Dati!$A$2:$A$381,$H42,Dati!$H$2:$H$381,$AI42)+SUMIFS(Dati!$L$2:$L$381,Dati!$H$2:$H$381,$H42,Dati!$A$2:$A$381,$AI42),"-")</f>
        <v/>
      </c>
      <c r="CX42" s="22">
        <f>IF(AND($H42&lt;&gt;"",$AJ42&lt;&gt;"",$H42&lt;&gt;$AJ42,IFERROR(VLOOKUP($H42,areaCercaPuntiClassificaSquadra,3,FALSE),-1)=IFERROR(VLOOKUP($AJ42,areaCercaPuntiClassificaSquadra,3,FALSE),-2)),SUMIFS(Dati!$E$2:$E$381,Dati!$A$2:$A$381,$H42,Dati!$H$2:$H$381,$AJ42)+SUMIFS(Dati!$L$2:$L$381,Dati!$H$2:$H$381,$H42,Dati!$A$2:$A$381,$AJ42),"-")</f>
        <v/>
      </c>
      <c r="CY42" s="22">
        <f>IF(AND($H42&lt;&gt;"",$AK42&lt;&gt;"",$H42&lt;&gt;$AK42,IFERROR(VLOOKUP($H42,areaCercaPuntiClassificaSquadra,3,FALSE),-1)=IFERROR(VLOOKUP($AK42,areaCercaPuntiClassificaSquadra,3,FALSE),-2)),SUMIFS(Dati!$E$2:$E$381,Dati!$A$2:$A$381,$H42,Dati!$H$2:$H$381,$AK42)+SUMIFS(Dati!$L$2:$L$381,Dati!$H$2:$H$381,$H42,Dati!$A$2:$A$381,$AK42),"-")</f>
        <v/>
      </c>
      <c r="CZ42" s="22">
        <f>IF(AND($H42&lt;&gt;"",$AL42&lt;&gt;"",$H42&lt;&gt;$AL42,IFERROR(VLOOKUP($H42,areaCercaPuntiClassificaSquadra,3,FALSE),-1)=IFERROR(VLOOKUP($AL42,areaCercaPuntiClassificaSquadra,3,FALSE),-2)),SUMIFS(Dati!$E$2:$E$381,Dati!$A$2:$A$381,$H42,Dati!$H$2:$H$381,$AL42)+SUMIFS(Dati!$L$2:$L$381,Dati!$H$2:$H$381,$H42,Dati!$A$2:$A$381,$AL42),"-")</f>
        <v/>
      </c>
      <c r="DA42" s="22">
        <f>IF(AND($H42&lt;&gt;"",$AM42&lt;&gt;"",$H42&lt;&gt;$AM42,IFERROR(VLOOKUP($H42,areaCercaPuntiClassificaSquadra,3,FALSE),-1)=IFERROR(VLOOKUP($AM42,areaCercaPuntiClassificaSquadra,3,FALSE),-2)),SUMIFS(Dati!$E$2:$E$381,Dati!$A$2:$A$381,$H42,Dati!$H$2:$H$381,$AM42)+SUMIFS(Dati!$L$2:$L$381,Dati!$H$2:$H$381,$H42,Dati!$A$2:$A$381,$AM42),"-")</f>
        <v/>
      </c>
      <c r="DB42" s="22">
        <f>IF(AND($H42&lt;&gt;"",$AN42&lt;&gt;"",$H42&lt;&gt;$AN42,IFERROR(VLOOKUP($H42,areaCercaPuntiClassificaSquadra,3,FALSE),-1)=IFERROR(VLOOKUP($AN42,areaCercaPuntiClassificaSquadra,3,FALSE),-2)),SUMIFS(Dati!$E$2:$E$381,Dati!$A$2:$A$381,$H42,Dati!$H$2:$H$381,$AN42)+SUMIFS(Dati!$L$2:$L$381,Dati!$H$2:$H$381,$H42,Dati!$A$2:$A$381,$AN42),"-")</f>
        <v/>
      </c>
      <c r="DC42" s="22">
        <f>IF(AND($H42&lt;&gt;"",$AO42&lt;&gt;"",$H42&lt;&gt;$AO42,IFERROR(VLOOKUP($H42,areaCercaPuntiClassificaSquadra,3,FALSE),-1)=IFERROR(VLOOKUP($AO42,areaCercaPuntiClassificaSquadra,3,FALSE),-2)),SUMIFS(Dati!$E$2:$E$381,Dati!$A$2:$A$381,$H42,Dati!$H$2:$H$381,$AO42)+SUMIFS(Dati!$L$2:$L$381,Dati!$H$2:$H$381,$H42,Dati!$A$2:$A$381,$AO42),"-")</f>
        <v/>
      </c>
      <c r="DD42" s="22">
        <f>IF(AND($H42&lt;&gt;"",$AP42&lt;&gt;"",$H42&lt;&gt;$AP42,IFERROR(VLOOKUP($H42,areaCercaPuntiClassificaSquadra,3,FALSE),-1)=IFERROR(VLOOKUP($AP42,areaCercaPuntiClassificaSquadra,3,FALSE),-2)),SUMIFS(Dati!$E$2:$E$381,Dati!$A$2:$A$381,$H42,Dati!$H$2:$H$381,$AP42)+SUMIFS(Dati!$L$2:$L$381,Dati!$H$2:$H$381,$H42,Dati!$A$2:$A$381,$AP42),"-")</f>
        <v/>
      </c>
      <c r="DE42" s="22">
        <f>IF(AND($H42&lt;&gt;"",$AQ42&lt;&gt;"",$H42&lt;&gt;$AQ42,IFERROR(VLOOKUP($H42,areaCercaPuntiClassificaSquadra,3,FALSE),-1)=IFERROR(VLOOKUP($AQ42,areaCercaPuntiClassificaSquadra,3,FALSE),-2)),SUMIFS(Dati!$E$2:$E$381,Dati!$A$2:$A$381,$H42,Dati!$H$2:$H$381,$AQ42)+SUMIFS(Dati!$L$2:$L$381,Dati!$H$2:$H$381,$H42,Dati!$A$2:$A$381,$AQ42),"-")</f>
        <v/>
      </c>
      <c r="DF42" s="22">
        <f>IF(AND($H42&lt;&gt;"",$AR42&lt;&gt;"",$H42&lt;&gt;$AR42,IFERROR(VLOOKUP($H42,areaCercaPuntiClassificaSquadra,3,FALSE),-1)=IFERROR(VLOOKUP($AR42,areaCercaPuntiClassificaSquadra,3,FALSE),-2)),SUMIFS(Dati!$E$2:$E$381,Dati!$A$2:$A$381,$H42,Dati!$H$2:$H$381,$AR42)+SUMIFS(Dati!$L$2:$L$381,Dati!$H$2:$H$381,$H42,Dati!$A$2:$A$381,$AR42),"-")</f>
        <v/>
      </c>
      <c r="DH42" s="21">
        <f>$C42</f>
        <v/>
      </c>
      <c r="DI42" s="22">
        <f>IF(AND($H42&lt;&gt;"",$Y42&lt;&gt;"",$H42&lt;&gt;$Y42,IFERROR(VLOOKUP($H42,areaCercaPuntiClassificaSquadra,3,FALSE),-1)=IFERROR(VLOOKUP($Y42,areaCercaPuntiClassificaSquadra,3,FALSE),-2)),SUMIFS(Dati!$F$2:$F$381,Dati!$A$2:$A$381,$H42,Dati!$H$2:$H$381,$Y42)+SUMIFS(Dati!$M$2:$M$381,Dati!$H$2:$H$381,$H42,Dati!$A$2:$A$381,$Y42),"-")</f>
        <v/>
      </c>
      <c r="DJ42" s="22">
        <f>IF(AND($H42&lt;&gt;"",$Z42&lt;&gt;"",$H42&lt;&gt;$Z42,IFERROR(VLOOKUP($H42,areaCercaPuntiClassificaSquadra,3,FALSE),-1)=IFERROR(VLOOKUP($Z42,areaCercaPuntiClassificaSquadra,3,FALSE),-2)),SUMIFS(Dati!$F$2:$F$381,Dati!$A$2:$A$381,$H42,Dati!$H$2:$H$381,$Z42)+SUMIFS(Dati!$M$2:$M$381,Dati!$H$2:$H$381,$H42,Dati!$A$2:$A$381,$Z42),"-")</f>
        <v/>
      </c>
      <c r="DK42" s="22">
        <f>IF(AND($H42&lt;&gt;"",$AA42&lt;&gt;"",$H42&lt;&gt;$AA42,IFERROR(VLOOKUP($H42,areaCercaPuntiClassificaSquadra,3,FALSE),-1)=IFERROR(VLOOKUP($AA42,areaCercaPuntiClassificaSquadra,3,FALSE),-2)),SUMIFS(Dati!$F$2:$F$381,Dati!$A$2:$A$381,$H42,Dati!$H$2:$H$381,$AA42)+SUMIFS(Dati!$M$2:$M$381,Dati!$H$2:$H$381,$H42,Dati!$A$2:$A$381,$AA42),"-")</f>
        <v/>
      </c>
      <c r="DL42" s="22">
        <f>IF(AND($H42&lt;&gt;"",$AB42&lt;&gt;"",$H42&lt;&gt;$AB42,IFERROR(VLOOKUP($H42,areaCercaPuntiClassificaSquadra,3,FALSE),-1)=IFERROR(VLOOKUP($AB42,areaCercaPuntiClassificaSquadra,3,FALSE),-2)),SUMIFS(Dati!$F$2:$F$381,Dati!$A$2:$A$381,$H42,Dati!$H$2:$H$381,$AB42)+SUMIFS(Dati!$M$2:$M$381,Dati!$H$2:$H$381,$H42,Dati!$A$2:$A$381,$AB42),"-")</f>
        <v/>
      </c>
      <c r="DM42" s="22">
        <f>IF(AND($H42&lt;&gt;"",$AC42&lt;&gt;"",$H42&lt;&gt;$AC42,IFERROR(VLOOKUP($H42,areaCercaPuntiClassificaSquadra,3,FALSE),-1)=IFERROR(VLOOKUP($AC42,areaCercaPuntiClassificaSquadra,3,FALSE),-2)),SUMIFS(Dati!$F$2:$F$381,Dati!$A$2:$A$381,$H42,Dati!$H$2:$H$381,$AC42)+SUMIFS(Dati!$M$2:$M$381,Dati!$H$2:$H$381,$H42,Dati!$A$2:$A$381,$AC42),"-")</f>
        <v/>
      </c>
      <c r="DN42" s="22">
        <f>IF(AND($H42&lt;&gt;"",$AD42&lt;&gt;"",$H42&lt;&gt;$AD42,IFERROR(VLOOKUP($H42,areaCercaPuntiClassificaSquadra,3,FALSE),-1)=IFERROR(VLOOKUP($AD42,areaCercaPuntiClassificaSquadra,3,FALSE),-2)),SUMIFS(Dati!$F$2:$F$381,Dati!$A$2:$A$381,$H42,Dati!$H$2:$H$381,$AD42)+SUMIFS(Dati!$M$2:$M$381,Dati!$H$2:$H$381,$H42,Dati!$A$2:$A$381,$AD42),"-")</f>
        <v/>
      </c>
      <c r="DO42" s="22">
        <f>IF(AND($H42&lt;&gt;"",$AE42&lt;&gt;"",$H42&lt;&gt;$AE42,IFERROR(VLOOKUP($H42,areaCercaPuntiClassificaSquadra,3,FALSE),-1)=IFERROR(VLOOKUP($AE42,areaCercaPuntiClassificaSquadra,3,FALSE),-2)),SUMIFS(Dati!$F$2:$F$381,Dati!$A$2:$A$381,$H42,Dati!$H$2:$H$381,$AE42)+SUMIFS(Dati!$M$2:$M$381,Dati!$H$2:$H$381,$H42,Dati!$A$2:$A$381,$AE42),"-")</f>
        <v/>
      </c>
      <c r="DP42" s="22">
        <f>IF(AND($H42&lt;&gt;"",$AF42&lt;&gt;"",$H42&lt;&gt;$AF42,IFERROR(VLOOKUP($H42,areaCercaPuntiClassificaSquadra,3,FALSE),-1)=IFERROR(VLOOKUP($AF42,areaCercaPuntiClassificaSquadra,3,FALSE),-2)),SUMIFS(Dati!$F$2:$F$381,Dati!$A$2:$A$381,$H42,Dati!$H$2:$H$381,$AF42)+SUMIFS(Dati!$M$2:$M$381,Dati!$H$2:$H$381,$H42,Dati!$A$2:$A$381,$AF42),"-")</f>
        <v/>
      </c>
      <c r="DQ42" s="22">
        <f>IF(AND($H42&lt;&gt;"",$AG42&lt;&gt;"",$H42&lt;&gt;$AG42,IFERROR(VLOOKUP($H42,areaCercaPuntiClassificaSquadra,3,FALSE),-1)=IFERROR(VLOOKUP($AG42,areaCercaPuntiClassificaSquadra,3,FALSE),-2)),SUMIFS(Dati!$F$2:$F$381,Dati!$A$2:$A$381,$H42,Dati!$H$2:$H$381,$AG42)+SUMIFS(Dati!$M$2:$M$381,Dati!$H$2:$H$381,$H42,Dati!$A$2:$A$381,$AG42),"-")</f>
        <v/>
      </c>
      <c r="DR42" s="22">
        <f>IF(AND($H42&lt;&gt;"",$AH42&lt;&gt;"",$H42&lt;&gt;$AH42,IFERROR(VLOOKUP($H42,areaCercaPuntiClassificaSquadra,3,FALSE),-1)=IFERROR(VLOOKUP($AH42,areaCercaPuntiClassificaSquadra,3,FALSE),-2)),SUMIFS(Dati!$F$2:$F$381,Dati!$A$2:$A$381,$H42,Dati!$H$2:$H$381,$AH42)+SUMIFS(Dati!$M$2:$M$381,Dati!$H$2:$H$381,$H42,Dati!$A$2:$A$381,$AH42),"-")</f>
        <v/>
      </c>
      <c r="DS42" s="22">
        <f>IF(AND($H42&lt;&gt;"",$AI42&lt;&gt;"",$H42&lt;&gt;$AI42,IFERROR(VLOOKUP($H42,areaCercaPuntiClassificaSquadra,3,FALSE),-1)=IFERROR(VLOOKUP($AI42,areaCercaPuntiClassificaSquadra,3,FALSE),-2)),SUMIFS(Dati!$F$2:$F$381,Dati!$A$2:$A$381,$H42,Dati!$H$2:$H$381,$AI42)+SUMIFS(Dati!$M$2:$M$381,Dati!$H$2:$H$381,$H42,Dati!$A$2:$A$381,$AI42),"-")</f>
        <v/>
      </c>
      <c r="DT42" s="22">
        <f>IF(AND($H42&lt;&gt;"",$AJ42&lt;&gt;"",$H42&lt;&gt;$AJ42,IFERROR(VLOOKUP($H42,areaCercaPuntiClassificaSquadra,3,FALSE),-1)=IFERROR(VLOOKUP($AJ42,areaCercaPuntiClassificaSquadra,3,FALSE),-2)),SUMIFS(Dati!$F$2:$F$381,Dati!$A$2:$A$381,$H42,Dati!$H$2:$H$381,$AJ42)+SUMIFS(Dati!$M$2:$M$381,Dati!$H$2:$H$381,$H42,Dati!$A$2:$A$381,$AJ42),"-")</f>
        <v/>
      </c>
      <c r="DU42" s="22">
        <f>IF(AND($H42&lt;&gt;"",$AK42&lt;&gt;"",$H42&lt;&gt;$AK42,IFERROR(VLOOKUP($H42,areaCercaPuntiClassificaSquadra,3,FALSE),-1)=IFERROR(VLOOKUP($AK42,areaCercaPuntiClassificaSquadra,3,FALSE),-2)),SUMIFS(Dati!$F$2:$F$381,Dati!$A$2:$A$381,$H42,Dati!$H$2:$H$381,$AK42)+SUMIFS(Dati!$M$2:$M$381,Dati!$H$2:$H$381,$H42,Dati!$A$2:$A$381,$AK42),"-")</f>
        <v/>
      </c>
      <c r="DV42" s="22">
        <f>IF(AND($H42&lt;&gt;"",$AL42&lt;&gt;"",$H42&lt;&gt;$AL42,IFERROR(VLOOKUP($H42,areaCercaPuntiClassificaSquadra,3,FALSE),-1)=IFERROR(VLOOKUP($AL42,areaCercaPuntiClassificaSquadra,3,FALSE),-2)),SUMIFS(Dati!$F$2:$F$381,Dati!$A$2:$A$381,$H42,Dati!$H$2:$H$381,$AL42)+SUMIFS(Dati!$M$2:$M$381,Dati!$H$2:$H$381,$H42,Dati!$A$2:$A$381,$AL42),"-")</f>
        <v/>
      </c>
      <c r="DW42" s="22">
        <f>IF(AND($H42&lt;&gt;"",$AM42&lt;&gt;"",$H42&lt;&gt;$AM42,IFERROR(VLOOKUP($H42,areaCercaPuntiClassificaSquadra,3,FALSE),-1)=IFERROR(VLOOKUP($AM42,areaCercaPuntiClassificaSquadra,3,FALSE),-2)),SUMIFS(Dati!$F$2:$F$381,Dati!$A$2:$A$381,$H42,Dati!$H$2:$H$381,$AM42)+SUMIFS(Dati!$M$2:$M$381,Dati!$H$2:$H$381,$H42,Dati!$A$2:$A$381,$AM42),"-")</f>
        <v/>
      </c>
      <c r="DX42" s="22">
        <f>IF(AND($H42&lt;&gt;"",$AN42&lt;&gt;"",$H42&lt;&gt;$AN42,IFERROR(VLOOKUP($H42,areaCercaPuntiClassificaSquadra,3,FALSE),-1)=IFERROR(VLOOKUP($AN42,areaCercaPuntiClassificaSquadra,3,FALSE),-2)),SUMIFS(Dati!$F$2:$F$381,Dati!$A$2:$A$381,$H42,Dati!$H$2:$H$381,$AN42)+SUMIFS(Dati!$M$2:$M$381,Dati!$H$2:$H$381,$H42,Dati!$A$2:$A$381,$AN42),"-")</f>
        <v/>
      </c>
      <c r="DY42" s="22">
        <f>IF(AND($H42&lt;&gt;"",$AO42&lt;&gt;"",$H42&lt;&gt;$AO42,IFERROR(VLOOKUP($H42,areaCercaPuntiClassificaSquadra,3,FALSE),-1)=IFERROR(VLOOKUP($AO42,areaCercaPuntiClassificaSquadra,3,FALSE),-2)),SUMIFS(Dati!$F$2:$F$381,Dati!$A$2:$A$381,$H42,Dati!$H$2:$H$381,$AO42)+SUMIFS(Dati!$M$2:$M$381,Dati!$H$2:$H$381,$H42,Dati!$A$2:$A$381,$AO42),"-")</f>
        <v/>
      </c>
      <c r="DZ42" s="22">
        <f>IF(AND($H42&lt;&gt;"",$AP42&lt;&gt;"",$H42&lt;&gt;$AP42,IFERROR(VLOOKUP($H42,areaCercaPuntiClassificaSquadra,3,FALSE),-1)=IFERROR(VLOOKUP($AP42,areaCercaPuntiClassificaSquadra,3,FALSE),-2)),SUMIFS(Dati!$F$2:$F$381,Dati!$A$2:$A$381,$H42,Dati!$H$2:$H$381,$AP42)+SUMIFS(Dati!$M$2:$M$381,Dati!$H$2:$H$381,$H42,Dati!$A$2:$A$381,$AP42),"-")</f>
        <v/>
      </c>
      <c r="EA42" s="22">
        <f>IF(AND($H42&lt;&gt;"",$AQ42&lt;&gt;"",$H42&lt;&gt;$AQ42,IFERROR(VLOOKUP($H42,areaCercaPuntiClassificaSquadra,3,FALSE),-1)=IFERROR(VLOOKUP($AQ42,areaCercaPuntiClassificaSquadra,3,FALSE),-2)),SUMIFS(Dati!$F$2:$F$381,Dati!$A$2:$A$381,$H42,Dati!$H$2:$H$381,$AQ42)+SUMIFS(Dati!$M$2:$M$381,Dati!$H$2:$H$381,$H42,Dati!$A$2:$A$381,$AQ42),"-")</f>
        <v/>
      </c>
      <c r="EB42" s="22">
        <f>IF(AND($H42&lt;&gt;"",$AR42&lt;&gt;"",$H42&lt;&gt;$AR42,IFERROR(VLOOKUP($H42,areaCercaPuntiClassificaSquadra,3,FALSE),-1)=IFERROR(VLOOKUP($AR42,areaCercaPuntiClassificaSquadra,3,FALSE),-2)),SUMIFS(Dati!$F$2:$F$381,Dati!$A$2:$A$381,$H42,Dati!$H$2:$H$381,$AR42)+SUMIFS(Dati!$M$2:$M$381,Dati!$H$2:$H$381,$H42,Dati!$A$2:$A$381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inlineStr">
        <is>
          <t>Pinguini Prudenti-Pinguiniopoli PU</t>
        </is>
      </c>
      <c r="D43" s="14" t="n"/>
      <c r="E43" s="23" t="inlineStr">
        <is>
          <t>B</t>
        </is>
      </c>
      <c r="G43" s="24">
        <f>IF($C43="","",$E43&amp;(COUNTIFS(I$14:I$53,"&gt;"&amp;I43,E$14:E$53,"="&amp;E43,C$14:C$53,"&lt;&gt;")+COUNTIFS(I$14:I$53,"="&amp;I43,H$14:H$53,"&lt;="&amp;H43,E$14:E$53,"="&amp;E43,C$14:C$53,"&lt;&gt;")))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L43*constPuntiVittoria+M43*constPuntiSconfitta+N43*constPuntiForfait+IF(D43="",0,D43)</f>
        <v/>
      </c>
      <c r="K43" s="12">
        <f>SUM(L43:N43)</f>
        <v/>
      </c>
      <c r="L43" s="12">
        <f>IF($H43="",0,SUMIF(Dati!$A$2:$A$381,$H43,Dati!$B$2:$B$381)+SUMIF(Dati!$H$2:$H$381,$H43,Dati!$I$2:$I$381))</f>
        <v/>
      </c>
      <c r="M43" s="12">
        <f>IF($H43="",0,SUMIF(Dati!$A$2:$A$381,$H43,Dati!$D$2:$D$381)+SUMIF(Dati!$H$2:$H$381,$H43,Dati!$K$2:$K$381))</f>
        <v/>
      </c>
      <c r="N43" s="12">
        <f>IF($H43="",0,SUMIF(Dati!$A$2:$A$381,$H43,Dati!$C$2:$C$381)+SUMIF(Dati!$H$2:$H$381,$H43,Dati!$J$2:$J$381))</f>
        <v/>
      </c>
      <c r="O43" s="12">
        <f>IF($H43="",0,SUMIF(Dati!$A$2:$A$381,$H43,Dati!$E$2:$E$381)+SUMIF(Dati!$H$2:$H$381,$H43,Dati!$L$2:$L$381))</f>
        <v/>
      </c>
      <c r="P43" s="12">
        <f>IF($H43="",0,SUMIF(Dati!$A$2:$A$381,$H43,Dati!$F$2:$F$381)+SUMIF(Dati!$H$2:$H$381,$H43,Dati!$M$2:$M$381))</f>
        <v/>
      </c>
      <c r="Q43" s="12">
        <f>IF($H43="",0,SUMIF(Dati!$A$2:$A$381,$H43,Dati!$G$2:$G$381)+SUMIF(Dati!$H$2:$H$381,$H43,Dati!$N$2:$N$381))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IF(COUNTIFS($E$14:$E$53,$E43,$J$14:$J$53,$J43,$C$14:$C$53,"&lt;&gt;")&lt;=1,"-",SUM(AU43:BN43)&amp;"-"&amp;SUM(BQ43:CJ43))</f>
        <v/>
      </c>
      <c r="V43" s="18">
        <f>IF(COUNTIFS($E$14:$E$53,$E43,$J$14:$J$53,$J43,$C$14:$C$53,"&lt;&gt;",$ED$14:$ED$53,$ED43)&lt;=1,"-",IF(SUM(DI43:EB43)=0,0,ROUND(SUM(CM43:DF43)/SUM(DI43:EB43),3)))</f>
        <v/>
      </c>
      <c r="W43" s="18">
        <f>IF(COUNTIFS($E$14:$E$53,$E43,$J$14:$J$53,$J43,$C$14:$C$53,"&lt;&gt;",$ED$14:$ED$53,$ED43,$V$14:$V$53,$V43)&lt;=1,"-",IF(P43=0,0,ROUND(O43/P43,3)))</f>
        <v/>
      </c>
      <c r="X43" s="19">
        <f>IF($C43="","",$E43&amp;"#"&amp;COUNTIFS($E$14:$E43,$E43,$C$14:$C43,"&lt;&gt;"))</f>
        <v/>
      </c>
      <c r="Y43" s="20">
        <f>IFERROR(INDEX($H$14:$H$53,MATCH($E43&amp;"#1",$X$14:$X$53,0)),"")</f>
        <v/>
      </c>
      <c r="Z43" s="20">
        <f>IFERROR(INDEX($H$14:$H$53,MATCH($E43&amp;"#2",$X$14:$X$53,0)),"")</f>
        <v/>
      </c>
      <c r="AA43" s="20">
        <f>IFERROR(INDEX($H$14:$H$53,MATCH($E43&amp;"#3",$X$14:$X$53,0)),"")</f>
        <v/>
      </c>
      <c r="AB43" s="20">
        <f>IFERROR(INDEX($H$14:$H$53,MATCH($E43&amp;"#4",$X$14:$X$53,0)),"")</f>
        <v/>
      </c>
      <c r="AC43" s="20">
        <f>IFERROR(INDEX($H$14:$H$53,MATCH($E43&amp;"#5",$X$14:$X$53,0)),"")</f>
        <v/>
      </c>
      <c r="AD43" s="20">
        <f>IFERROR(INDEX($H$14:$H$53,MATCH($E43&amp;"#6",$X$14:$X$53,0)),"")</f>
        <v/>
      </c>
      <c r="AE43" s="20">
        <f>IFERROR(INDEX($H$14:$H$53,MATCH($E43&amp;"#7",$X$14:$X$53,0)),"")</f>
        <v/>
      </c>
      <c r="AF43" s="20">
        <f>IFERROR(INDEX($H$14:$H$53,MATCH($E43&amp;"#8",$X$14:$X$53,0)),"")</f>
        <v/>
      </c>
      <c r="AG43" s="20">
        <f>IFERROR(INDEX($H$14:$H$53,MATCH($E43&amp;"#9",$X$14:$X$53,0)),"")</f>
        <v/>
      </c>
      <c r="AH43" s="20">
        <f>IFERROR(INDEX($H$14:$H$53,MATCH($E43&amp;"#10",$X$14:$X$53,0)),"")</f>
        <v/>
      </c>
      <c r="AI43" s="20">
        <f>IFERROR(INDEX($H$14:$H$53,MATCH($E43&amp;"#11",$X$14:$X$53,0)),"")</f>
        <v/>
      </c>
      <c r="AJ43" s="20">
        <f>IFERROR(INDEX($H$14:$H$53,MATCH($E43&amp;"#12",$X$14:$X$53,0)),"")</f>
        <v/>
      </c>
      <c r="AK43" s="20">
        <f>IFERROR(INDEX($H$14:$H$53,MATCH($E43&amp;"#13",$X$14:$X$53,0)),"")</f>
        <v/>
      </c>
      <c r="AL43" s="20">
        <f>IFERROR(INDEX($H$14:$H$53,MATCH($E43&amp;"#14",$X$14:$X$53,0)),"")</f>
        <v/>
      </c>
      <c r="AM43" s="20">
        <f>IFERROR(INDEX($H$14:$H$53,MATCH($E43&amp;"#15",$X$14:$X$53,0)),"")</f>
        <v/>
      </c>
      <c r="AN43" s="20">
        <f>IFERROR(INDEX($H$14:$H$53,MATCH($E43&amp;"#16",$X$14:$X$53,0)),"")</f>
        <v/>
      </c>
      <c r="AO43" s="20">
        <f>IFERROR(INDEX($H$14:$H$53,MATCH($E43&amp;"#17",$X$14:$X$53,0)),"")</f>
        <v/>
      </c>
      <c r="AP43" s="20">
        <f>IFERROR(INDEX($H$14:$H$53,MATCH($E43&amp;"#18",$X$14:$X$53,0)),"")</f>
        <v/>
      </c>
      <c r="AQ43" s="20">
        <f>IFERROR(INDEX($H$14:$H$53,MATCH($E43&amp;"#19",$X$14:$X$53,0)),"")</f>
        <v/>
      </c>
      <c r="AR43" s="20">
        <f>IFERROR(INDEX($H$14:$H$53,MATCH($E43&amp;"#20",$X$14:$X$53,0)),"")</f>
        <v/>
      </c>
      <c r="AT43" s="21">
        <f>$C43</f>
        <v/>
      </c>
      <c r="AU43" s="22">
        <f>IF(AND($H43&lt;&gt;"",$Y43&lt;&gt;"",$H43&lt;&gt;$Y43,IFERROR(VLOOKUP($H43,areaCercaPuntiClassificaSquadra,3,FALSE),-1)=IFERROR(VLOOKUP($Y43,areaCercaPuntiClassificaSquadra,3,FALSE),-2)),SUMIFS(Dati!$B$2:$B$381,Dati!$A$2:$A$381,$H43,Dati!$H$2:$H$381,$Y43)+SUMIFS(Dati!$I$2:$I$381,Dati!$H$2:$H$381,$H43,Dati!$A$2:$A$381,$Y43),"-")</f>
        <v/>
      </c>
      <c r="AV43" s="22">
        <f>IF(AND($H43&lt;&gt;"",$Z43&lt;&gt;"",$H43&lt;&gt;$Z43,IFERROR(VLOOKUP($H43,areaCercaPuntiClassificaSquadra,3,FALSE),-1)=IFERROR(VLOOKUP($Z43,areaCercaPuntiClassificaSquadra,3,FALSE),-2)),SUMIFS(Dati!$B$2:$B$381,Dati!$A$2:$A$381,$H43,Dati!$H$2:$H$381,$Z43)+SUMIFS(Dati!$I$2:$I$381,Dati!$H$2:$H$381,$H43,Dati!$A$2:$A$381,$Z43),"-")</f>
        <v/>
      </c>
      <c r="AW43" s="22">
        <f>IF(AND($H43&lt;&gt;"",$AA43&lt;&gt;"",$H43&lt;&gt;$AA43,IFERROR(VLOOKUP($H43,areaCercaPuntiClassificaSquadra,3,FALSE),-1)=IFERROR(VLOOKUP($AA43,areaCercaPuntiClassificaSquadra,3,FALSE),-2)),SUMIFS(Dati!$B$2:$B$381,Dati!$A$2:$A$381,$H43,Dati!$H$2:$H$381,$AA43)+SUMIFS(Dati!$I$2:$I$381,Dati!$H$2:$H$381,$H43,Dati!$A$2:$A$381,$AA43),"-")</f>
        <v/>
      </c>
      <c r="AX43" s="22">
        <f>IF(AND($H43&lt;&gt;"",$AB43&lt;&gt;"",$H43&lt;&gt;$AB43,IFERROR(VLOOKUP($H43,areaCercaPuntiClassificaSquadra,3,FALSE),-1)=IFERROR(VLOOKUP($AB43,areaCercaPuntiClassificaSquadra,3,FALSE),-2)),SUMIFS(Dati!$B$2:$B$381,Dati!$A$2:$A$381,$H43,Dati!$H$2:$H$381,$AB43)+SUMIFS(Dati!$I$2:$I$381,Dati!$H$2:$H$381,$H43,Dati!$A$2:$A$381,$AB43),"-")</f>
        <v/>
      </c>
      <c r="AY43" s="22">
        <f>IF(AND($H43&lt;&gt;"",$AC43&lt;&gt;"",$H43&lt;&gt;$AC43,IFERROR(VLOOKUP($H43,areaCercaPuntiClassificaSquadra,3,FALSE),-1)=IFERROR(VLOOKUP($AC43,areaCercaPuntiClassificaSquadra,3,FALSE),-2)),SUMIFS(Dati!$B$2:$B$381,Dati!$A$2:$A$381,$H43,Dati!$H$2:$H$381,$AC43)+SUMIFS(Dati!$I$2:$I$381,Dati!$H$2:$H$381,$H43,Dati!$A$2:$A$381,$AC43),"-")</f>
        <v/>
      </c>
      <c r="AZ43" s="22">
        <f>IF(AND($H43&lt;&gt;"",$AD43&lt;&gt;"",$H43&lt;&gt;$AD43,IFERROR(VLOOKUP($H43,areaCercaPuntiClassificaSquadra,3,FALSE),-1)=IFERROR(VLOOKUP($AD43,areaCercaPuntiClassificaSquadra,3,FALSE),-2)),SUMIFS(Dati!$B$2:$B$381,Dati!$A$2:$A$381,$H43,Dati!$H$2:$H$381,$AD43)+SUMIFS(Dati!$I$2:$I$381,Dati!$H$2:$H$381,$H43,Dati!$A$2:$A$381,$AD43),"-")</f>
        <v/>
      </c>
      <c r="BA43" s="22">
        <f>IF(AND($H43&lt;&gt;"",$AE43&lt;&gt;"",$H43&lt;&gt;$AE43,IFERROR(VLOOKUP($H43,areaCercaPuntiClassificaSquadra,3,FALSE),-1)=IFERROR(VLOOKUP($AE43,areaCercaPuntiClassificaSquadra,3,FALSE),-2)),SUMIFS(Dati!$B$2:$B$381,Dati!$A$2:$A$381,$H43,Dati!$H$2:$H$381,$AE43)+SUMIFS(Dati!$I$2:$I$381,Dati!$H$2:$H$381,$H43,Dati!$A$2:$A$381,$AE43),"-")</f>
        <v/>
      </c>
      <c r="BB43" s="22">
        <f>IF(AND($H43&lt;&gt;"",$AF43&lt;&gt;"",$H43&lt;&gt;$AF43,IFERROR(VLOOKUP($H43,areaCercaPuntiClassificaSquadra,3,FALSE),-1)=IFERROR(VLOOKUP($AF43,areaCercaPuntiClassificaSquadra,3,FALSE),-2)),SUMIFS(Dati!$B$2:$B$381,Dati!$A$2:$A$381,$H43,Dati!$H$2:$H$381,$AF43)+SUMIFS(Dati!$I$2:$I$381,Dati!$H$2:$H$381,$H43,Dati!$A$2:$A$381,$AF43),"-")</f>
        <v/>
      </c>
      <c r="BC43" s="22">
        <f>IF(AND($H43&lt;&gt;"",$AG43&lt;&gt;"",$H43&lt;&gt;$AG43,IFERROR(VLOOKUP($H43,areaCercaPuntiClassificaSquadra,3,FALSE),-1)=IFERROR(VLOOKUP($AG43,areaCercaPuntiClassificaSquadra,3,FALSE),-2)),SUMIFS(Dati!$B$2:$B$381,Dati!$A$2:$A$381,$H43,Dati!$H$2:$H$381,$AG43)+SUMIFS(Dati!$I$2:$I$381,Dati!$H$2:$H$381,$H43,Dati!$A$2:$A$381,$AG43),"-")</f>
        <v/>
      </c>
      <c r="BD43" s="22">
        <f>IF(AND($H43&lt;&gt;"",$AH43&lt;&gt;"",$H43&lt;&gt;$AH43,IFERROR(VLOOKUP($H43,areaCercaPuntiClassificaSquadra,3,FALSE),-1)=IFERROR(VLOOKUP($AH43,areaCercaPuntiClassificaSquadra,3,FALSE),-2)),SUMIFS(Dati!$B$2:$B$381,Dati!$A$2:$A$381,$H43,Dati!$H$2:$H$381,$AH43)+SUMIFS(Dati!$I$2:$I$381,Dati!$H$2:$H$381,$H43,Dati!$A$2:$A$381,$AH43),"-")</f>
        <v/>
      </c>
      <c r="BE43" s="22">
        <f>IF(AND($H43&lt;&gt;"",$AI43&lt;&gt;"",$H43&lt;&gt;$AI43,IFERROR(VLOOKUP($H43,areaCercaPuntiClassificaSquadra,3,FALSE),-1)=IFERROR(VLOOKUP($AI43,areaCercaPuntiClassificaSquadra,3,FALSE),-2)),SUMIFS(Dati!$B$2:$B$381,Dati!$A$2:$A$381,$H43,Dati!$H$2:$H$381,$AI43)+SUMIFS(Dati!$I$2:$I$381,Dati!$H$2:$H$381,$H43,Dati!$A$2:$A$381,$AI43),"-")</f>
        <v/>
      </c>
      <c r="BF43" s="22">
        <f>IF(AND($H43&lt;&gt;"",$AJ43&lt;&gt;"",$H43&lt;&gt;$AJ43,IFERROR(VLOOKUP($H43,areaCercaPuntiClassificaSquadra,3,FALSE),-1)=IFERROR(VLOOKUP($AJ43,areaCercaPuntiClassificaSquadra,3,FALSE),-2)),SUMIFS(Dati!$B$2:$B$381,Dati!$A$2:$A$381,$H43,Dati!$H$2:$H$381,$AJ43)+SUMIFS(Dati!$I$2:$I$381,Dati!$H$2:$H$381,$H43,Dati!$A$2:$A$381,$AJ43),"-")</f>
        <v/>
      </c>
      <c r="BG43" s="22">
        <f>IF(AND($H43&lt;&gt;"",$AK43&lt;&gt;"",$H43&lt;&gt;$AK43,IFERROR(VLOOKUP($H43,areaCercaPuntiClassificaSquadra,3,FALSE),-1)=IFERROR(VLOOKUP($AK43,areaCercaPuntiClassificaSquadra,3,FALSE),-2)),SUMIFS(Dati!$B$2:$B$381,Dati!$A$2:$A$381,$H43,Dati!$H$2:$H$381,$AK43)+SUMIFS(Dati!$I$2:$I$381,Dati!$H$2:$H$381,$H43,Dati!$A$2:$A$381,$AK43),"-")</f>
        <v/>
      </c>
      <c r="BH43" s="22">
        <f>IF(AND($H43&lt;&gt;"",$AL43&lt;&gt;"",$H43&lt;&gt;$AL43,IFERROR(VLOOKUP($H43,areaCercaPuntiClassificaSquadra,3,FALSE),-1)=IFERROR(VLOOKUP($AL43,areaCercaPuntiClassificaSquadra,3,FALSE),-2)),SUMIFS(Dati!$B$2:$B$381,Dati!$A$2:$A$381,$H43,Dati!$H$2:$H$381,$AL43)+SUMIFS(Dati!$I$2:$I$381,Dati!$H$2:$H$381,$H43,Dati!$A$2:$A$381,$AL43),"-")</f>
        <v/>
      </c>
      <c r="BI43" s="22">
        <f>IF(AND($H43&lt;&gt;"",$AM43&lt;&gt;"",$H43&lt;&gt;$AM43,IFERROR(VLOOKUP($H43,areaCercaPuntiClassificaSquadra,3,FALSE),-1)=IFERROR(VLOOKUP($AM43,areaCercaPuntiClassificaSquadra,3,FALSE),-2)),SUMIFS(Dati!$B$2:$B$381,Dati!$A$2:$A$381,$H43,Dati!$H$2:$H$381,$AM43)+SUMIFS(Dati!$I$2:$I$381,Dati!$H$2:$H$381,$H43,Dati!$A$2:$A$381,$AM43),"-")</f>
        <v/>
      </c>
      <c r="BJ43" s="22">
        <f>IF(AND($H43&lt;&gt;"",$AN43&lt;&gt;"",$H43&lt;&gt;$AN43,IFERROR(VLOOKUP($H43,areaCercaPuntiClassificaSquadra,3,FALSE),-1)=IFERROR(VLOOKUP($AN43,areaCercaPuntiClassificaSquadra,3,FALSE),-2)),SUMIFS(Dati!$B$2:$B$381,Dati!$A$2:$A$381,$H43,Dati!$H$2:$H$381,$AN43)+SUMIFS(Dati!$I$2:$I$381,Dati!$H$2:$H$381,$H43,Dati!$A$2:$A$381,$AN43),"-")</f>
        <v/>
      </c>
      <c r="BK43" s="22">
        <f>IF(AND($H43&lt;&gt;"",$AO43&lt;&gt;"",$H43&lt;&gt;$AO43,IFERROR(VLOOKUP($H43,areaCercaPuntiClassificaSquadra,3,FALSE),-1)=IFERROR(VLOOKUP($AO43,areaCercaPuntiClassificaSquadra,3,FALSE),-2)),SUMIFS(Dati!$B$2:$B$381,Dati!$A$2:$A$381,$H43,Dati!$H$2:$H$381,$AO43)+SUMIFS(Dati!$I$2:$I$381,Dati!$H$2:$H$381,$H43,Dati!$A$2:$A$381,$AO43),"-")</f>
        <v/>
      </c>
      <c r="BL43" s="22">
        <f>IF(AND($H43&lt;&gt;"",$AP43&lt;&gt;"",$H43&lt;&gt;$AP43,IFERROR(VLOOKUP($H43,areaCercaPuntiClassificaSquadra,3,FALSE),-1)=IFERROR(VLOOKUP($AP43,areaCercaPuntiClassificaSquadra,3,FALSE),-2)),SUMIFS(Dati!$B$2:$B$381,Dati!$A$2:$A$381,$H43,Dati!$H$2:$H$381,$AP43)+SUMIFS(Dati!$I$2:$I$381,Dati!$H$2:$H$381,$H43,Dati!$A$2:$A$381,$AP43),"-")</f>
        <v/>
      </c>
      <c r="BM43" s="22">
        <f>IF(AND($H43&lt;&gt;"",$AQ43&lt;&gt;"",$H43&lt;&gt;$AQ43,IFERROR(VLOOKUP($H43,areaCercaPuntiClassificaSquadra,3,FALSE),-1)=IFERROR(VLOOKUP($AQ43,areaCercaPuntiClassificaSquadra,3,FALSE),-2)),SUMIFS(Dati!$B$2:$B$381,Dati!$A$2:$A$381,$H43,Dati!$H$2:$H$381,$AQ43)+SUMIFS(Dati!$I$2:$I$381,Dati!$H$2:$H$381,$H43,Dati!$A$2:$A$381,$AQ43),"-")</f>
        <v/>
      </c>
      <c r="BN43" s="22">
        <f>IF(AND($H43&lt;&gt;"",$AR43&lt;&gt;"",$H43&lt;&gt;$AR43,IFERROR(VLOOKUP($H43,areaCercaPuntiClassificaSquadra,3,FALSE),-1)=IFERROR(VLOOKUP($AR43,areaCercaPuntiClassificaSquadra,3,FALSE),-2)),SUMIFS(Dati!$B$2:$B$381,Dati!$A$2:$A$381,$H43,Dati!$H$2:$H$381,$AR43)+SUMIFS(Dati!$I$2:$I$381,Dati!$H$2:$H$381,$H43,Dati!$A$2:$A$381,$AR43),"-")</f>
        <v/>
      </c>
      <c r="BP43" s="21">
        <f>$C43</f>
        <v/>
      </c>
      <c r="BQ43" s="22">
        <f>IF(AND($H43&lt;&gt;"",$Y43&lt;&gt;"",$H43&lt;&gt;$Y43,IFERROR(VLOOKUP($H43,areaCercaPuntiClassificaSquadra,3,FALSE),-1)=IFERROR(VLOOKUP($Y43,areaCercaPuntiClassificaSquadra,3,FALSE),-2)),SUMIFS(Dati!$D$2:$D$381,Dati!$A$2:$A$381,$H43,Dati!$H$2:$H$381,$Y43)+SUMIFS(Dati!$K$2:$K$381,Dati!$H$2:$H$381,$H43,Dati!$A$2:$A$381,$Y43)+SUMIFS(Dati!$C$2:$C$381,Dati!$A$2:$A$381,$H43,Dati!$H$2:$H$381,$Y43)+SUMIFS(Dati!$J$2:$J$381,Dati!$H$2:$H$381,$H43,Dati!$A$2:$A$381,$Y43),"-")</f>
        <v/>
      </c>
      <c r="BR43" s="22">
        <f>IF(AND($H43&lt;&gt;"",$Z43&lt;&gt;"",$H43&lt;&gt;$Z43,IFERROR(VLOOKUP($H43,areaCercaPuntiClassificaSquadra,3,FALSE),-1)=IFERROR(VLOOKUP($Z43,areaCercaPuntiClassificaSquadra,3,FALSE),-2)),SUMIFS(Dati!$D$2:$D$381,Dati!$A$2:$A$381,$H43,Dati!$H$2:$H$381,$Z43)+SUMIFS(Dati!$K$2:$K$381,Dati!$H$2:$H$381,$H43,Dati!$A$2:$A$381,$Z43)+SUMIFS(Dati!$C$2:$C$381,Dati!$A$2:$A$381,$H43,Dati!$H$2:$H$381,$Z43)+SUMIFS(Dati!$J$2:$J$381,Dati!$H$2:$H$381,$H43,Dati!$A$2:$A$381,$Z43),"-")</f>
        <v/>
      </c>
      <c r="BS43" s="22">
        <f>IF(AND($H43&lt;&gt;"",$AA43&lt;&gt;"",$H43&lt;&gt;$AA43,IFERROR(VLOOKUP($H43,areaCercaPuntiClassificaSquadra,3,FALSE),-1)=IFERROR(VLOOKUP($AA43,areaCercaPuntiClassificaSquadra,3,FALSE),-2)),SUMIFS(Dati!$D$2:$D$381,Dati!$A$2:$A$381,$H43,Dati!$H$2:$H$381,$AA43)+SUMIFS(Dati!$K$2:$K$381,Dati!$H$2:$H$381,$H43,Dati!$A$2:$A$381,$AA43)+SUMIFS(Dati!$C$2:$C$381,Dati!$A$2:$A$381,$H43,Dati!$H$2:$H$381,$AA43)+SUMIFS(Dati!$J$2:$J$381,Dati!$H$2:$H$381,$H43,Dati!$A$2:$A$381,$AA43),"-")</f>
        <v/>
      </c>
      <c r="BT43" s="22">
        <f>IF(AND($H43&lt;&gt;"",$AB43&lt;&gt;"",$H43&lt;&gt;$AB43,IFERROR(VLOOKUP($H43,areaCercaPuntiClassificaSquadra,3,FALSE),-1)=IFERROR(VLOOKUP($AB43,areaCercaPuntiClassificaSquadra,3,FALSE),-2)),SUMIFS(Dati!$D$2:$D$381,Dati!$A$2:$A$381,$H43,Dati!$H$2:$H$381,$AB43)+SUMIFS(Dati!$K$2:$K$381,Dati!$H$2:$H$381,$H43,Dati!$A$2:$A$381,$AB43)+SUMIFS(Dati!$C$2:$C$381,Dati!$A$2:$A$381,$H43,Dati!$H$2:$H$381,$AB43)+SUMIFS(Dati!$J$2:$J$381,Dati!$H$2:$H$381,$H43,Dati!$A$2:$A$381,$AB43),"-")</f>
        <v/>
      </c>
      <c r="BU43" s="22">
        <f>IF(AND($H43&lt;&gt;"",$AC43&lt;&gt;"",$H43&lt;&gt;$AC43,IFERROR(VLOOKUP($H43,areaCercaPuntiClassificaSquadra,3,FALSE),-1)=IFERROR(VLOOKUP($AC43,areaCercaPuntiClassificaSquadra,3,FALSE),-2)),SUMIFS(Dati!$D$2:$D$381,Dati!$A$2:$A$381,$H43,Dati!$H$2:$H$381,$AC43)+SUMIFS(Dati!$K$2:$K$381,Dati!$H$2:$H$381,$H43,Dati!$A$2:$A$381,$AC43)+SUMIFS(Dati!$C$2:$C$381,Dati!$A$2:$A$381,$H43,Dati!$H$2:$H$381,$AC43)+SUMIFS(Dati!$J$2:$J$381,Dati!$H$2:$H$381,$H43,Dati!$A$2:$A$381,$AC43),"-")</f>
        <v/>
      </c>
      <c r="BV43" s="22">
        <f>IF(AND($H43&lt;&gt;"",$AD43&lt;&gt;"",$H43&lt;&gt;$AD43,IFERROR(VLOOKUP($H43,areaCercaPuntiClassificaSquadra,3,FALSE),-1)=IFERROR(VLOOKUP($AD43,areaCercaPuntiClassificaSquadra,3,FALSE),-2)),SUMIFS(Dati!$D$2:$D$381,Dati!$A$2:$A$381,$H43,Dati!$H$2:$H$381,$AD43)+SUMIFS(Dati!$K$2:$K$381,Dati!$H$2:$H$381,$H43,Dati!$A$2:$A$381,$AD43)+SUMIFS(Dati!$C$2:$C$381,Dati!$A$2:$A$381,$H43,Dati!$H$2:$H$381,$AD43)+SUMIFS(Dati!$J$2:$J$381,Dati!$H$2:$H$381,$H43,Dati!$A$2:$A$381,$AD43),"-")</f>
        <v/>
      </c>
      <c r="BW43" s="22">
        <f>IF(AND($H43&lt;&gt;"",$AE43&lt;&gt;"",$H43&lt;&gt;$AE43,IFERROR(VLOOKUP($H43,areaCercaPuntiClassificaSquadra,3,FALSE),-1)=IFERROR(VLOOKUP($AE43,areaCercaPuntiClassificaSquadra,3,FALSE),-2)),SUMIFS(Dati!$D$2:$D$381,Dati!$A$2:$A$381,$H43,Dati!$H$2:$H$381,$AE43)+SUMIFS(Dati!$K$2:$K$381,Dati!$H$2:$H$381,$H43,Dati!$A$2:$A$381,$AE43)+SUMIFS(Dati!$C$2:$C$381,Dati!$A$2:$A$381,$H43,Dati!$H$2:$H$381,$AE43)+SUMIFS(Dati!$J$2:$J$381,Dati!$H$2:$H$381,$H43,Dati!$A$2:$A$381,$AE43),"-")</f>
        <v/>
      </c>
      <c r="BX43" s="22">
        <f>IF(AND($H43&lt;&gt;"",$AF43&lt;&gt;"",$H43&lt;&gt;$AF43,IFERROR(VLOOKUP($H43,areaCercaPuntiClassificaSquadra,3,FALSE),-1)=IFERROR(VLOOKUP($AF43,areaCercaPuntiClassificaSquadra,3,FALSE),-2)),SUMIFS(Dati!$D$2:$D$381,Dati!$A$2:$A$381,$H43,Dati!$H$2:$H$381,$AF43)+SUMIFS(Dati!$K$2:$K$381,Dati!$H$2:$H$381,$H43,Dati!$A$2:$A$381,$AF43)+SUMIFS(Dati!$C$2:$C$381,Dati!$A$2:$A$381,$H43,Dati!$H$2:$H$381,$AF43)+SUMIFS(Dati!$J$2:$J$381,Dati!$H$2:$H$381,$H43,Dati!$A$2:$A$381,$AF43),"-")</f>
        <v/>
      </c>
      <c r="BY43" s="22">
        <f>IF(AND($H43&lt;&gt;"",$AG43&lt;&gt;"",$H43&lt;&gt;$AG43,IFERROR(VLOOKUP($H43,areaCercaPuntiClassificaSquadra,3,FALSE),-1)=IFERROR(VLOOKUP($AG43,areaCercaPuntiClassificaSquadra,3,FALSE),-2)),SUMIFS(Dati!$D$2:$D$381,Dati!$A$2:$A$381,$H43,Dati!$H$2:$H$381,$AG43)+SUMIFS(Dati!$K$2:$K$381,Dati!$H$2:$H$381,$H43,Dati!$A$2:$A$381,$AG43)+SUMIFS(Dati!$C$2:$C$381,Dati!$A$2:$A$381,$H43,Dati!$H$2:$H$381,$AG43)+SUMIFS(Dati!$J$2:$J$381,Dati!$H$2:$H$381,$H43,Dati!$A$2:$A$381,$AG43),"-")</f>
        <v/>
      </c>
      <c r="BZ43" s="22">
        <f>IF(AND($H43&lt;&gt;"",$AH43&lt;&gt;"",$H43&lt;&gt;$AH43,IFERROR(VLOOKUP($H43,areaCercaPuntiClassificaSquadra,3,FALSE),-1)=IFERROR(VLOOKUP($AH43,areaCercaPuntiClassificaSquadra,3,FALSE),-2)),SUMIFS(Dati!$D$2:$D$381,Dati!$A$2:$A$381,$H43,Dati!$H$2:$H$381,$AH43)+SUMIFS(Dati!$K$2:$K$381,Dati!$H$2:$H$381,$H43,Dati!$A$2:$A$381,$AH43)+SUMIFS(Dati!$C$2:$C$381,Dati!$A$2:$A$381,$H43,Dati!$H$2:$H$381,$AH43)+SUMIFS(Dati!$J$2:$J$381,Dati!$H$2:$H$381,$H43,Dati!$A$2:$A$381,$AH43),"-")</f>
        <v/>
      </c>
      <c r="CA43" s="22">
        <f>IF(AND($H43&lt;&gt;"",$AI43&lt;&gt;"",$H43&lt;&gt;$AI43,IFERROR(VLOOKUP($H43,areaCercaPuntiClassificaSquadra,3,FALSE),-1)=IFERROR(VLOOKUP($AI43,areaCercaPuntiClassificaSquadra,3,FALSE),-2)),SUMIFS(Dati!$D$2:$D$381,Dati!$A$2:$A$381,$H43,Dati!$H$2:$H$381,$AI43)+SUMIFS(Dati!$K$2:$K$381,Dati!$H$2:$H$381,$H43,Dati!$A$2:$A$381,$AI43)+SUMIFS(Dati!$C$2:$C$381,Dati!$A$2:$A$381,$H43,Dati!$H$2:$H$381,$AI43)+SUMIFS(Dati!$J$2:$J$381,Dati!$H$2:$H$381,$H43,Dati!$A$2:$A$381,$AI43),"-")</f>
        <v/>
      </c>
      <c r="CB43" s="22">
        <f>IF(AND($H43&lt;&gt;"",$AJ43&lt;&gt;"",$H43&lt;&gt;$AJ43,IFERROR(VLOOKUP($H43,areaCercaPuntiClassificaSquadra,3,FALSE),-1)=IFERROR(VLOOKUP($AJ43,areaCercaPuntiClassificaSquadra,3,FALSE),-2)),SUMIFS(Dati!$D$2:$D$381,Dati!$A$2:$A$381,$H43,Dati!$H$2:$H$381,$AJ43)+SUMIFS(Dati!$K$2:$K$381,Dati!$H$2:$H$381,$H43,Dati!$A$2:$A$381,$AJ43)+SUMIFS(Dati!$C$2:$C$381,Dati!$A$2:$A$381,$H43,Dati!$H$2:$H$381,$AJ43)+SUMIFS(Dati!$J$2:$J$381,Dati!$H$2:$H$381,$H43,Dati!$A$2:$A$381,$AJ43),"-")</f>
        <v/>
      </c>
      <c r="CC43" s="22">
        <f>IF(AND($H43&lt;&gt;"",$AK43&lt;&gt;"",$H43&lt;&gt;$AK43,IFERROR(VLOOKUP($H43,areaCercaPuntiClassificaSquadra,3,FALSE),-1)=IFERROR(VLOOKUP($AK43,areaCercaPuntiClassificaSquadra,3,FALSE),-2)),SUMIFS(Dati!$D$2:$D$381,Dati!$A$2:$A$381,$H43,Dati!$H$2:$H$381,$AK43)+SUMIFS(Dati!$K$2:$K$381,Dati!$H$2:$H$381,$H43,Dati!$A$2:$A$381,$AK43)+SUMIFS(Dati!$C$2:$C$381,Dati!$A$2:$A$381,$H43,Dati!$H$2:$H$381,$AK43)+SUMIFS(Dati!$J$2:$J$381,Dati!$H$2:$H$381,$H43,Dati!$A$2:$A$381,$AK43),"-")</f>
        <v/>
      </c>
      <c r="CD43" s="22">
        <f>IF(AND($H43&lt;&gt;"",$AL43&lt;&gt;"",$H43&lt;&gt;$AL43,IFERROR(VLOOKUP($H43,areaCercaPuntiClassificaSquadra,3,FALSE),-1)=IFERROR(VLOOKUP($AL43,areaCercaPuntiClassificaSquadra,3,FALSE),-2)),SUMIFS(Dati!$D$2:$D$381,Dati!$A$2:$A$381,$H43,Dati!$H$2:$H$381,$AL43)+SUMIFS(Dati!$K$2:$K$381,Dati!$H$2:$H$381,$H43,Dati!$A$2:$A$381,$AL43)+SUMIFS(Dati!$C$2:$C$381,Dati!$A$2:$A$381,$H43,Dati!$H$2:$H$381,$AL43)+SUMIFS(Dati!$J$2:$J$381,Dati!$H$2:$H$381,$H43,Dati!$A$2:$A$381,$AL43),"-")</f>
        <v/>
      </c>
      <c r="CE43" s="22">
        <f>IF(AND($H43&lt;&gt;"",$AM43&lt;&gt;"",$H43&lt;&gt;$AM43,IFERROR(VLOOKUP($H43,areaCercaPuntiClassificaSquadra,3,FALSE),-1)=IFERROR(VLOOKUP($AM43,areaCercaPuntiClassificaSquadra,3,FALSE),-2)),SUMIFS(Dati!$D$2:$D$381,Dati!$A$2:$A$381,$H43,Dati!$H$2:$H$381,$AM43)+SUMIFS(Dati!$K$2:$K$381,Dati!$H$2:$H$381,$H43,Dati!$A$2:$A$381,$AM43)+SUMIFS(Dati!$C$2:$C$381,Dati!$A$2:$A$381,$H43,Dati!$H$2:$H$381,$AM43)+SUMIFS(Dati!$J$2:$J$381,Dati!$H$2:$H$381,$H43,Dati!$A$2:$A$381,$AM43),"-")</f>
        <v/>
      </c>
      <c r="CF43" s="22">
        <f>IF(AND($H43&lt;&gt;"",$AN43&lt;&gt;"",$H43&lt;&gt;$AN43,IFERROR(VLOOKUP($H43,areaCercaPuntiClassificaSquadra,3,FALSE),-1)=IFERROR(VLOOKUP($AN43,areaCercaPuntiClassificaSquadra,3,FALSE),-2)),SUMIFS(Dati!$D$2:$D$381,Dati!$A$2:$A$381,$H43,Dati!$H$2:$H$381,$AN43)+SUMIFS(Dati!$K$2:$K$381,Dati!$H$2:$H$381,$H43,Dati!$A$2:$A$381,$AN43)+SUMIFS(Dati!$C$2:$C$381,Dati!$A$2:$A$381,$H43,Dati!$H$2:$H$381,$AN43)+SUMIFS(Dati!$J$2:$J$381,Dati!$H$2:$H$381,$H43,Dati!$A$2:$A$381,$AN43),"-")</f>
        <v/>
      </c>
      <c r="CG43" s="22">
        <f>IF(AND($H43&lt;&gt;"",$AO43&lt;&gt;"",$H43&lt;&gt;$AO43,IFERROR(VLOOKUP($H43,areaCercaPuntiClassificaSquadra,3,FALSE),-1)=IFERROR(VLOOKUP($AO43,areaCercaPuntiClassificaSquadra,3,FALSE),-2)),SUMIFS(Dati!$D$2:$D$381,Dati!$A$2:$A$381,$H43,Dati!$H$2:$H$381,$AO43)+SUMIFS(Dati!$K$2:$K$381,Dati!$H$2:$H$381,$H43,Dati!$A$2:$A$381,$AO43)+SUMIFS(Dati!$C$2:$C$381,Dati!$A$2:$A$381,$H43,Dati!$H$2:$H$381,$AO43)+SUMIFS(Dati!$J$2:$J$381,Dati!$H$2:$H$381,$H43,Dati!$A$2:$A$381,$AO43),"-")</f>
        <v/>
      </c>
      <c r="CH43" s="22">
        <f>IF(AND($H43&lt;&gt;"",$AP43&lt;&gt;"",$H43&lt;&gt;$AP43,IFERROR(VLOOKUP($H43,areaCercaPuntiClassificaSquadra,3,FALSE),-1)=IFERROR(VLOOKUP($AP43,areaCercaPuntiClassificaSquadra,3,FALSE),-2)),SUMIFS(Dati!$D$2:$D$381,Dati!$A$2:$A$381,$H43,Dati!$H$2:$H$381,$AP43)+SUMIFS(Dati!$K$2:$K$381,Dati!$H$2:$H$381,$H43,Dati!$A$2:$A$381,$AP43)+SUMIFS(Dati!$C$2:$C$381,Dati!$A$2:$A$381,$H43,Dati!$H$2:$H$381,$AP43)+SUMIFS(Dati!$J$2:$J$381,Dati!$H$2:$H$381,$H43,Dati!$A$2:$A$381,$AP43),"-")</f>
        <v/>
      </c>
      <c r="CI43" s="22">
        <f>IF(AND($H43&lt;&gt;"",$AQ43&lt;&gt;"",$H43&lt;&gt;$AQ43,IFERROR(VLOOKUP($H43,areaCercaPuntiClassificaSquadra,3,FALSE),-1)=IFERROR(VLOOKUP($AQ43,areaCercaPuntiClassificaSquadra,3,FALSE),-2)),SUMIFS(Dati!$D$2:$D$381,Dati!$A$2:$A$381,$H43,Dati!$H$2:$H$381,$AQ43)+SUMIFS(Dati!$K$2:$K$381,Dati!$H$2:$H$381,$H43,Dati!$A$2:$A$381,$AQ43)+SUMIFS(Dati!$C$2:$C$381,Dati!$A$2:$A$381,$H43,Dati!$H$2:$H$381,$AQ43)+SUMIFS(Dati!$J$2:$J$381,Dati!$H$2:$H$381,$H43,Dati!$A$2:$A$381,$AQ43),"-")</f>
        <v/>
      </c>
      <c r="CJ43" s="22">
        <f>IF(AND($H43&lt;&gt;"",$AR43&lt;&gt;"",$H43&lt;&gt;$AR43,IFERROR(VLOOKUP($H43,areaCercaPuntiClassificaSquadra,3,FALSE),-1)=IFERROR(VLOOKUP($AR43,areaCercaPuntiClassificaSquadra,3,FALSE),-2)),SUMIFS(Dati!$D$2:$D$381,Dati!$A$2:$A$381,$H43,Dati!$H$2:$H$381,$AR43)+SUMIFS(Dati!$K$2:$K$381,Dati!$H$2:$H$381,$H43,Dati!$A$2:$A$381,$AR43)+SUMIFS(Dati!$C$2:$C$381,Dati!$A$2:$A$381,$H43,Dati!$H$2:$H$381,$AR43)+SUMIFS(Dati!$J$2:$J$381,Dati!$H$2:$H$381,$H43,Dati!$A$2:$A$381,$AR43),"-")</f>
        <v/>
      </c>
      <c r="CL43" s="21">
        <f>$C43</f>
        <v/>
      </c>
      <c r="CM43" s="22">
        <f>IF(AND($H43&lt;&gt;"",$Y43&lt;&gt;"",$H43&lt;&gt;$Y43,IFERROR(VLOOKUP($H43,areaCercaPuntiClassificaSquadra,3,FALSE),-1)=IFERROR(VLOOKUP($Y43,areaCercaPuntiClassificaSquadra,3,FALSE),-2)),SUMIFS(Dati!$E$2:$E$381,Dati!$A$2:$A$381,$H43,Dati!$H$2:$H$381,$Y43)+SUMIFS(Dati!$L$2:$L$381,Dati!$H$2:$H$381,$H43,Dati!$A$2:$A$381,$Y43),"-")</f>
        <v/>
      </c>
      <c r="CN43" s="22">
        <f>IF(AND($H43&lt;&gt;"",$Z43&lt;&gt;"",$H43&lt;&gt;$Z43,IFERROR(VLOOKUP($H43,areaCercaPuntiClassificaSquadra,3,FALSE),-1)=IFERROR(VLOOKUP($Z43,areaCercaPuntiClassificaSquadra,3,FALSE),-2)),SUMIFS(Dati!$E$2:$E$381,Dati!$A$2:$A$381,$H43,Dati!$H$2:$H$381,$Z43)+SUMIFS(Dati!$L$2:$L$381,Dati!$H$2:$H$381,$H43,Dati!$A$2:$A$381,$Z43),"-")</f>
        <v/>
      </c>
      <c r="CO43" s="22">
        <f>IF(AND($H43&lt;&gt;"",$AA43&lt;&gt;"",$H43&lt;&gt;$AA43,IFERROR(VLOOKUP($H43,areaCercaPuntiClassificaSquadra,3,FALSE),-1)=IFERROR(VLOOKUP($AA43,areaCercaPuntiClassificaSquadra,3,FALSE),-2)),SUMIFS(Dati!$E$2:$E$381,Dati!$A$2:$A$381,$H43,Dati!$H$2:$H$381,$AA43)+SUMIFS(Dati!$L$2:$L$381,Dati!$H$2:$H$381,$H43,Dati!$A$2:$A$381,$AA43),"-")</f>
        <v/>
      </c>
      <c r="CP43" s="22">
        <f>IF(AND($H43&lt;&gt;"",$AB43&lt;&gt;"",$H43&lt;&gt;$AB43,IFERROR(VLOOKUP($H43,areaCercaPuntiClassificaSquadra,3,FALSE),-1)=IFERROR(VLOOKUP($AB43,areaCercaPuntiClassificaSquadra,3,FALSE),-2)),SUMIFS(Dati!$E$2:$E$381,Dati!$A$2:$A$381,$H43,Dati!$H$2:$H$381,$AB43)+SUMIFS(Dati!$L$2:$L$381,Dati!$H$2:$H$381,$H43,Dati!$A$2:$A$381,$AB43),"-")</f>
        <v/>
      </c>
      <c r="CQ43" s="22">
        <f>IF(AND($H43&lt;&gt;"",$AC43&lt;&gt;"",$H43&lt;&gt;$AC43,IFERROR(VLOOKUP($H43,areaCercaPuntiClassificaSquadra,3,FALSE),-1)=IFERROR(VLOOKUP($AC43,areaCercaPuntiClassificaSquadra,3,FALSE),-2)),SUMIFS(Dati!$E$2:$E$381,Dati!$A$2:$A$381,$H43,Dati!$H$2:$H$381,$AC43)+SUMIFS(Dati!$L$2:$L$381,Dati!$H$2:$H$381,$H43,Dati!$A$2:$A$381,$AC43),"-")</f>
        <v/>
      </c>
      <c r="CR43" s="22">
        <f>IF(AND($H43&lt;&gt;"",$AD43&lt;&gt;"",$H43&lt;&gt;$AD43,IFERROR(VLOOKUP($H43,areaCercaPuntiClassificaSquadra,3,FALSE),-1)=IFERROR(VLOOKUP($AD43,areaCercaPuntiClassificaSquadra,3,FALSE),-2)),SUMIFS(Dati!$E$2:$E$381,Dati!$A$2:$A$381,$H43,Dati!$H$2:$H$381,$AD43)+SUMIFS(Dati!$L$2:$L$381,Dati!$H$2:$H$381,$H43,Dati!$A$2:$A$381,$AD43),"-")</f>
        <v/>
      </c>
      <c r="CS43" s="22">
        <f>IF(AND($H43&lt;&gt;"",$AE43&lt;&gt;"",$H43&lt;&gt;$AE43,IFERROR(VLOOKUP($H43,areaCercaPuntiClassificaSquadra,3,FALSE),-1)=IFERROR(VLOOKUP($AE43,areaCercaPuntiClassificaSquadra,3,FALSE),-2)),SUMIFS(Dati!$E$2:$E$381,Dati!$A$2:$A$381,$H43,Dati!$H$2:$H$381,$AE43)+SUMIFS(Dati!$L$2:$L$381,Dati!$H$2:$H$381,$H43,Dati!$A$2:$A$381,$AE43),"-")</f>
        <v/>
      </c>
      <c r="CT43" s="22">
        <f>IF(AND($H43&lt;&gt;"",$AF43&lt;&gt;"",$H43&lt;&gt;$AF43,IFERROR(VLOOKUP($H43,areaCercaPuntiClassificaSquadra,3,FALSE),-1)=IFERROR(VLOOKUP($AF43,areaCercaPuntiClassificaSquadra,3,FALSE),-2)),SUMIFS(Dati!$E$2:$E$381,Dati!$A$2:$A$381,$H43,Dati!$H$2:$H$381,$AF43)+SUMIFS(Dati!$L$2:$L$381,Dati!$H$2:$H$381,$H43,Dati!$A$2:$A$381,$AF43),"-")</f>
        <v/>
      </c>
      <c r="CU43" s="22">
        <f>IF(AND($H43&lt;&gt;"",$AG43&lt;&gt;"",$H43&lt;&gt;$AG43,IFERROR(VLOOKUP($H43,areaCercaPuntiClassificaSquadra,3,FALSE),-1)=IFERROR(VLOOKUP($AG43,areaCercaPuntiClassificaSquadra,3,FALSE),-2)),SUMIFS(Dati!$E$2:$E$381,Dati!$A$2:$A$381,$H43,Dati!$H$2:$H$381,$AG43)+SUMIFS(Dati!$L$2:$L$381,Dati!$H$2:$H$381,$H43,Dati!$A$2:$A$381,$AG43),"-")</f>
        <v/>
      </c>
      <c r="CV43" s="22">
        <f>IF(AND($H43&lt;&gt;"",$AH43&lt;&gt;"",$H43&lt;&gt;$AH43,IFERROR(VLOOKUP($H43,areaCercaPuntiClassificaSquadra,3,FALSE),-1)=IFERROR(VLOOKUP($AH43,areaCercaPuntiClassificaSquadra,3,FALSE),-2)),SUMIFS(Dati!$E$2:$E$381,Dati!$A$2:$A$381,$H43,Dati!$H$2:$H$381,$AH43)+SUMIFS(Dati!$L$2:$L$381,Dati!$H$2:$H$381,$H43,Dati!$A$2:$A$381,$AH43),"-")</f>
        <v/>
      </c>
      <c r="CW43" s="22">
        <f>IF(AND($H43&lt;&gt;"",$AI43&lt;&gt;"",$H43&lt;&gt;$AI43,IFERROR(VLOOKUP($H43,areaCercaPuntiClassificaSquadra,3,FALSE),-1)=IFERROR(VLOOKUP($AI43,areaCercaPuntiClassificaSquadra,3,FALSE),-2)),SUMIFS(Dati!$E$2:$E$381,Dati!$A$2:$A$381,$H43,Dati!$H$2:$H$381,$AI43)+SUMIFS(Dati!$L$2:$L$381,Dati!$H$2:$H$381,$H43,Dati!$A$2:$A$381,$AI43),"-")</f>
        <v/>
      </c>
      <c r="CX43" s="22">
        <f>IF(AND($H43&lt;&gt;"",$AJ43&lt;&gt;"",$H43&lt;&gt;$AJ43,IFERROR(VLOOKUP($H43,areaCercaPuntiClassificaSquadra,3,FALSE),-1)=IFERROR(VLOOKUP($AJ43,areaCercaPuntiClassificaSquadra,3,FALSE),-2)),SUMIFS(Dati!$E$2:$E$381,Dati!$A$2:$A$381,$H43,Dati!$H$2:$H$381,$AJ43)+SUMIFS(Dati!$L$2:$L$381,Dati!$H$2:$H$381,$H43,Dati!$A$2:$A$381,$AJ43),"-")</f>
        <v/>
      </c>
      <c r="CY43" s="22">
        <f>IF(AND($H43&lt;&gt;"",$AK43&lt;&gt;"",$H43&lt;&gt;$AK43,IFERROR(VLOOKUP($H43,areaCercaPuntiClassificaSquadra,3,FALSE),-1)=IFERROR(VLOOKUP($AK43,areaCercaPuntiClassificaSquadra,3,FALSE),-2)),SUMIFS(Dati!$E$2:$E$381,Dati!$A$2:$A$381,$H43,Dati!$H$2:$H$381,$AK43)+SUMIFS(Dati!$L$2:$L$381,Dati!$H$2:$H$381,$H43,Dati!$A$2:$A$381,$AK43),"-")</f>
        <v/>
      </c>
      <c r="CZ43" s="22">
        <f>IF(AND($H43&lt;&gt;"",$AL43&lt;&gt;"",$H43&lt;&gt;$AL43,IFERROR(VLOOKUP($H43,areaCercaPuntiClassificaSquadra,3,FALSE),-1)=IFERROR(VLOOKUP($AL43,areaCercaPuntiClassificaSquadra,3,FALSE),-2)),SUMIFS(Dati!$E$2:$E$381,Dati!$A$2:$A$381,$H43,Dati!$H$2:$H$381,$AL43)+SUMIFS(Dati!$L$2:$L$381,Dati!$H$2:$H$381,$H43,Dati!$A$2:$A$381,$AL43),"-")</f>
        <v/>
      </c>
      <c r="DA43" s="22">
        <f>IF(AND($H43&lt;&gt;"",$AM43&lt;&gt;"",$H43&lt;&gt;$AM43,IFERROR(VLOOKUP($H43,areaCercaPuntiClassificaSquadra,3,FALSE),-1)=IFERROR(VLOOKUP($AM43,areaCercaPuntiClassificaSquadra,3,FALSE),-2)),SUMIFS(Dati!$E$2:$E$381,Dati!$A$2:$A$381,$H43,Dati!$H$2:$H$381,$AM43)+SUMIFS(Dati!$L$2:$L$381,Dati!$H$2:$H$381,$H43,Dati!$A$2:$A$381,$AM43),"-")</f>
        <v/>
      </c>
      <c r="DB43" s="22">
        <f>IF(AND($H43&lt;&gt;"",$AN43&lt;&gt;"",$H43&lt;&gt;$AN43,IFERROR(VLOOKUP($H43,areaCercaPuntiClassificaSquadra,3,FALSE),-1)=IFERROR(VLOOKUP($AN43,areaCercaPuntiClassificaSquadra,3,FALSE),-2)),SUMIFS(Dati!$E$2:$E$381,Dati!$A$2:$A$381,$H43,Dati!$H$2:$H$381,$AN43)+SUMIFS(Dati!$L$2:$L$381,Dati!$H$2:$H$381,$H43,Dati!$A$2:$A$381,$AN43),"-")</f>
        <v/>
      </c>
      <c r="DC43" s="22">
        <f>IF(AND($H43&lt;&gt;"",$AO43&lt;&gt;"",$H43&lt;&gt;$AO43,IFERROR(VLOOKUP($H43,areaCercaPuntiClassificaSquadra,3,FALSE),-1)=IFERROR(VLOOKUP($AO43,areaCercaPuntiClassificaSquadra,3,FALSE),-2)),SUMIFS(Dati!$E$2:$E$381,Dati!$A$2:$A$381,$H43,Dati!$H$2:$H$381,$AO43)+SUMIFS(Dati!$L$2:$L$381,Dati!$H$2:$H$381,$H43,Dati!$A$2:$A$381,$AO43),"-")</f>
        <v/>
      </c>
      <c r="DD43" s="22">
        <f>IF(AND($H43&lt;&gt;"",$AP43&lt;&gt;"",$H43&lt;&gt;$AP43,IFERROR(VLOOKUP($H43,areaCercaPuntiClassificaSquadra,3,FALSE),-1)=IFERROR(VLOOKUP($AP43,areaCercaPuntiClassificaSquadra,3,FALSE),-2)),SUMIFS(Dati!$E$2:$E$381,Dati!$A$2:$A$381,$H43,Dati!$H$2:$H$381,$AP43)+SUMIFS(Dati!$L$2:$L$381,Dati!$H$2:$H$381,$H43,Dati!$A$2:$A$381,$AP43),"-")</f>
        <v/>
      </c>
      <c r="DE43" s="22">
        <f>IF(AND($H43&lt;&gt;"",$AQ43&lt;&gt;"",$H43&lt;&gt;$AQ43,IFERROR(VLOOKUP($H43,areaCercaPuntiClassificaSquadra,3,FALSE),-1)=IFERROR(VLOOKUP($AQ43,areaCercaPuntiClassificaSquadra,3,FALSE),-2)),SUMIFS(Dati!$E$2:$E$381,Dati!$A$2:$A$381,$H43,Dati!$H$2:$H$381,$AQ43)+SUMIFS(Dati!$L$2:$L$381,Dati!$H$2:$H$381,$H43,Dati!$A$2:$A$381,$AQ43),"-")</f>
        <v/>
      </c>
      <c r="DF43" s="22">
        <f>IF(AND($H43&lt;&gt;"",$AR43&lt;&gt;"",$H43&lt;&gt;$AR43,IFERROR(VLOOKUP($H43,areaCercaPuntiClassificaSquadra,3,FALSE),-1)=IFERROR(VLOOKUP($AR43,areaCercaPuntiClassificaSquadra,3,FALSE),-2)),SUMIFS(Dati!$E$2:$E$381,Dati!$A$2:$A$381,$H43,Dati!$H$2:$H$381,$AR43)+SUMIFS(Dati!$L$2:$L$381,Dati!$H$2:$H$381,$H43,Dati!$A$2:$A$381,$AR43),"-")</f>
        <v/>
      </c>
      <c r="DH43" s="21">
        <f>$C43</f>
        <v/>
      </c>
      <c r="DI43" s="22">
        <f>IF(AND($H43&lt;&gt;"",$Y43&lt;&gt;"",$H43&lt;&gt;$Y43,IFERROR(VLOOKUP($H43,areaCercaPuntiClassificaSquadra,3,FALSE),-1)=IFERROR(VLOOKUP($Y43,areaCercaPuntiClassificaSquadra,3,FALSE),-2)),SUMIFS(Dati!$F$2:$F$381,Dati!$A$2:$A$381,$H43,Dati!$H$2:$H$381,$Y43)+SUMIFS(Dati!$M$2:$M$381,Dati!$H$2:$H$381,$H43,Dati!$A$2:$A$381,$Y43),"-")</f>
        <v/>
      </c>
      <c r="DJ43" s="22">
        <f>IF(AND($H43&lt;&gt;"",$Z43&lt;&gt;"",$H43&lt;&gt;$Z43,IFERROR(VLOOKUP($H43,areaCercaPuntiClassificaSquadra,3,FALSE),-1)=IFERROR(VLOOKUP($Z43,areaCercaPuntiClassificaSquadra,3,FALSE),-2)),SUMIFS(Dati!$F$2:$F$381,Dati!$A$2:$A$381,$H43,Dati!$H$2:$H$381,$Z43)+SUMIFS(Dati!$M$2:$M$381,Dati!$H$2:$H$381,$H43,Dati!$A$2:$A$381,$Z43),"-")</f>
        <v/>
      </c>
      <c r="DK43" s="22">
        <f>IF(AND($H43&lt;&gt;"",$AA43&lt;&gt;"",$H43&lt;&gt;$AA43,IFERROR(VLOOKUP($H43,areaCercaPuntiClassificaSquadra,3,FALSE),-1)=IFERROR(VLOOKUP($AA43,areaCercaPuntiClassificaSquadra,3,FALSE),-2)),SUMIFS(Dati!$F$2:$F$381,Dati!$A$2:$A$381,$H43,Dati!$H$2:$H$381,$AA43)+SUMIFS(Dati!$M$2:$M$381,Dati!$H$2:$H$381,$H43,Dati!$A$2:$A$381,$AA43),"-")</f>
        <v/>
      </c>
      <c r="DL43" s="22">
        <f>IF(AND($H43&lt;&gt;"",$AB43&lt;&gt;"",$H43&lt;&gt;$AB43,IFERROR(VLOOKUP($H43,areaCercaPuntiClassificaSquadra,3,FALSE),-1)=IFERROR(VLOOKUP($AB43,areaCercaPuntiClassificaSquadra,3,FALSE),-2)),SUMIFS(Dati!$F$2:$F$381,Dati!$A$2:$A$381,$H43,Dati!$H$2:$H$381,$AB43)+SUMIFS(Dati!$M$2:$M$381,Dati!$H$2:$H$381,$H43,Dati!$A$2:$A$381,$AB43),"-")</f>
        <v/>
      </c>
      <c r="DM43" s="22">
        <f>IF(AND($H43&lt;&gt;"",$AC43&lt;&gt;"",$H43&lt;&gt;$AC43,IFERROR(VLOOKUP($H43,areaCercaPuntiClassificaSquadra,3,FALSE),-1)=IFERROR(VLOOKUP($AC43,areaCercaPuntiClassificaSquadra,3,FALSE),-2)),SUMIFS(Dati!$F$2:$F$381,Dati!$A$2:$A$381,$H43,Dati!$H$2:$H$381,$AC43)+SUMIFS(Dati!$M$2:$M$381,Dati!$H$2:$H$381,$H43,Dati!$A$2:$A$381,$AC43),"-")</f>
        <v/>
      </c>
      <c r="DN43" s="22">
        <f>IF(AND($H43&lt;&gt;"",$AD43&lt;&gt;"",$H43&lt;&gt;$AD43,IFERROR(VLOOKUP($H43,areaCercaPuntiClassificaSquadra,3,FALSE),-1)=IFERROR(VLOOKUP($AD43,areaCercaPuntiClassificaSquadra,3,FALSE),-2)),SUMIFS(Dati!$F$2:$F$381,Dati!$A$2:$A$381,$H43,Dati!$H$2:$H$381,$AD43)+SUMIFS(Dati!$M$2:$M$381,Dati!$H$2:$H$381,$H43,Dati!$A$2:$A$381,$AD43),"-")</f>
        <v/>
      </c>
      <c r="DO43" s="22">
        <f>IF(AND($H43&lt;&gt;"",$AE43&lt;&gt;"",$H43&lt;&gt;$AE43,IFERROR(VLOOKUP($H43,areaCercaPuntiClassificaSquadra,3,FALSE),-1)=IFERROR(VLOOKUP($AE43,areaCercaPuntiClassificaSquadra,3,FALSE),-2)),SUMIFS(Dati!$F$2:$F$381,Dati!$A$2:$A$381,$H43,Dati!$H$2:$H$381,$AE43)+SUMIFS(Dati!$M$2:$M$381,Dati!$H$2:$H$381,$H43,Dati!$A$2:$A$381,$AE43),"-")</f>
        <v/>
      </c>
      <c r="DP43" s="22">
        <f>IF(AND($H43&lt;&gt;"",$AF43&lt;&gt;"",$H43&lt;&gt;$AF43,IFERROR(VLOOKUP($H43,areaCercaPuntiClassificaSquadra,3,FALSE),-1)=IFERROR(VLOOKUP($AF43,areaCercaPuntiClassificaSquadra,3,FALSE),-2)),SUMIFS(Dati!$F$2:$F$381,Dati!$A$2:$A$381,$H43,Dati!$H$2:$H$381,$AF43)+SUMIFS(Dati!$M$2:$M$381,Dati!$H$2:$H$381,$H43,Dati!$A$2:$A$381,$AF43),"-")</f>
        <v/>
      </c>
      <c r="DQ43" s="22">
        <f>IF(AND($H43&lt;&gt;"",$AG43&lt;&gt;"",$H43&lt;&gt;$AG43,IFERROR(VLOOKUP($H43,areaCercaPuntiClassificaSquadra,3,FALSE),-1)=IFERROR(VLOOKUP($AG43,areaCercaPuntiClassificaSquadra,3,FALSE),-2)),SUMIFS(Dati!$F$2:$F$381,Dati!$A$2:$A$381,$H43,Dati!$H$2:$H$381,$AG43)+SUMIFS(Dati!$M$2:$M$381,Dati!$H$2:$H$381,$H43,Dati!$A$2:$A$381,$AG43),"-")</f>
        <v/>
      </c>
      <c r="DR43" s="22">
        <f>IF(AND($H43&lt;&gt;"",$AH43&lt;&gt;"",$H43&lt;&gt;$AH43,IFERROR(VLOOKUP($H43,areaCercaPuntiClassificaSquadra,3,FALSE),-1)=IFERROR(VLOOKUP($AH43,areaCercaPuntiClassificaSquadra,3,FALSE),-2)),SUMIFS(Dati!$F$2:$F$381,Dati!$A$2:$A$381,$H43,Dati!$H$2:$H$381,$AH43)+SUMIFS(Dati!$M$2:$M$381,Dati!$H$2:$H$381,$H43,Dati!$A$2:$A$381,$AH43),"-")</f>
        <v/>
      </c>
      <c r="DS43" s="22">
        <f>IF(AND($H43&lt;&gt;"",$AI43&lt;&gt;"",$H43&lt;&gt;$AI43,IFERROR(VLOOKUP($H43,areaCercaPuntiClassificaSquadra,3,FALSE),-1)=IFERROR(VLOOKUP($AI43,areaCercaPuntiClassificaSquadra,3,FALSE),-2)),SUMIFS(Dati!$F$2:$F$381,Dati!$A$2:$A$381,$H43,Dati!$H$2:$H$381,$AI43)+SUMIFS(Dati!$M$2:$M$381,Dati!$H$2:$H$381,$H43,Dati!$A$2:$A$381,$AI43),"-")</f>
        <v/>
      </c>
      <c r="DT43" s="22">
        <f>IF(AND($H43&lt;&gt;"",$AJ43&lt;&gt;"",$H43&lt;&gt;$AJ43,IFERROR(VLOOKUP($H43,areaCercaPuntiClassificaSquadra,3,FALSE),-1)=IFERROR(VLOOKUP($AJ43,areaCercaPuntiClassificaSquadra,3,FALSE),-2)),SUMIFS(Dati!$F$2:$F$381,Dati!$A$2:$A$381,$H43,Dati!$H$2:$H$381,$AJ43)+SUMIFS(Dati!$M$2:$M$381,Dati!$H$2:$H$381,$H43,Dati!$A$2:$A$381,$AJ43),"-")</f>
        <v/>
      </c>
      <c r="DU43" s="22">
        <f>IF(AND($H43&lt;&gt;"",$AK43&lt;&gt;"",$H43&lt;&gt;$AK43,IFERROR(VLOOKUP($H43,areaCercaPuntiClassificaSquadra,3,FALSE),-1)=IFERROR(VLOOKUP($AK43,areaCercaPuntiClassificaSquadra,3,FALSE),-2)),SUMIFS(Dati!$F$2:$F$381,Dati!$A$2:$A$381,$H43,Dati!$H$2:$H$381,$AK43)+SUMIFS(Dati!$M$2:$M$381,Dati!$H$2:$H$381,$H43,Dati!$A$2:$A$381,$AK43),"-")</f>
        <v/>
      </c>
      <c r="DV43" s="22">
        <f>IF(AND($H43&lt;&gt;"",$AL43&lt;&gt;"",$H43&lt;&gt;$AL43,IFERROR(VLOOKUP($H43,areaCercaPuntiClassificaSquadra,3,FALSE),-1)=IFERROR(VLOOKUP($AL43,areaCercaPuntiClassificaSquadra,3,FALSE),-2)),SUMIFS(Dati!$F$2:$F$381,Dati!$A$2:$A$381,$H43,Dati!$H$2:$H$381,$AL43)+SUMIFS(Dati!$M$2:$M$381,Dati!$H$2:$H$381,$H43,Dati!$A$2:$A$381,$AL43),"-")</f>
        <v/>
      </c>
      <c r="DW43" s="22">
        <f>IF(AND($H43&lt;&gt;"",$AM43&lt;&gt;"",$H43&lt;&gt;$AM43,IFERROR(VLOOKUP($H43,areaCercaPuntiClassificaSquadra,3,FALSE),-1)=IFERROR(VLOOKUP($AM43,areaCercaPuntiClassificaSquadra,3,FALSE),-2)),SUMIFS(Dati!$F$2:$F$381,Dati!$A$2:$A$381,$H43,Dati!$H$2:$H$381,$AM43)+SUMIFS(Dati!$M$2:$M$381,Dati!$H$2:$H$381,$H43,Dati!$A$2:$A$381,$AM43),"-")</f>
        <v/>
      </c>
      <c r="DX43" s="22">
        <f>IF(AND($H43&lt;&gt;"",$AN43&lt;&gt;"",$H43&lt;&gt;$AN43,IFERROR(VLOOKUP($H43,areaCercaPuntiClassificaSquadra,3,FALSE),-1)=IFERROR(VLOOKUP($AN43,areaCercaPuntiClassificaSquadra,3,FALSE),-2)),SUMIFS(Dati!$F$2:$F$381,Dati!$A$2:$A$381,$H43,Dati!$H$2:$H$381,$AN43)+SUMIFS(Dati!$M$2:$M$381,Dati!$H$2:$H$381,$H43,Dati!$A$2:$A$381,$AN43),"-")</f>
        <v/>
      </c>
      <c r="DY43" s="22">
        <f>IF(AND($H43&lt;&gt;"",$AO43&lt;&gt;"",$H43&lt;&gt;$AO43,IFERROR(VLOOKUP($H43,areaCercaPuntiClassificaSquadra,3,FALSE),-1)=IFERROR(VLOOKUP($AO43,areaCercaPuntiClassificaSquadra,3,FALSE),-2)),SUMIFS(Dati!$F$2:$F$381,Dati!$A$2:$A$381,$H43,Dati!$H$2:$H$381,$AO43)+SUMIFS(Dati!$M$2:$M$381,Dati!$H$2:$H$381,$H43,Dati!$A$2:$A$381,$AO43),"-")</f>
        <v/>
      </c>
      <c r="DZ43" s="22">
        <f>IF(AND($H43&lt;&gt;"",$AP43&lt;&gt;"",$H43&lt;&gt;$AP43,IFERROR(VLOOKUP($H43,areaCercaPuntiClassificaSquadra,3,FALSE),-1)=IFERROR(VLOOKUP($AP43,areaCercaPuntiClassificaSquadra,3,FALSE),-2)),SUMIFS(Dati!$F$2:$F$381,Dati!$A$2:$A$381,$H43,Dati!$H$2:$H$381,$AP43)+SUMIFS(Dati!$M$2:$M$381,Dati!$H$2:$H$381,$H43,Dati!$A$2:$A$381,$AP43),"-")</f>
        <v/>
      </c>
      <c r="EA43" s="22">
        <f>IF(AND($H43&lt;&gt;"",$AQ43&lt;&gt;"",$H43&lt;&gt;$AQ43,IFERROR(VLOOKUP($H43,areaCercaPuntiClassificaSquadra,3,FALSE),-1)=IFERROR(VLOOKUP($AQ43,areaCercaPuntiClassificaSquadra,3,FALSE),-2)),SUMIFS(Dati!$F$2:$F$381,Dati!$A$2:$A$381,$H43,Dati!$H$2:$H$381,$AQ43)+SUMIFS(Dati!$M$2:$M$381,Dati!$H$2:$H$381,$H43,Dati!$A$2:$A$381,$AQ43),"-")</f>
        <v/>
      </c>
      <c r="EB43" s="22">
        <f>IF(AND($H43&lt;&gt;"",$AR43&lt;&gt;"",$H43&lt;&gt;$AR43,IFERROR(VLOOKUP($H43,areaCercaPuntiClassificaSquadra,3,FALSE),-1)=IFERROR(VLOOKUP($AR43,areaCercaPuntiClassificaSquadra,3,FALSE),-2)),SUMIFS(Dati!$F$2:$F$381,Dati!$A$2:$A$381,$H43,Dati!$H$2:$H$381,$AR43)+SUMIFS(Dati!$M$2:$M$381,Dati!$H$2:$H$381,$H43,Dati!$A$2:$A$381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inlineStr">
        <is>
          <t>Renne Regali-Renneopoli RA</t>
        </is>
      </c>
      <c r="D44" s="14" t="n"/>
      <c r="E44" s="23" t="inlineStr">
        <is>
          <t>B</t>
        </is>
      </c>
      <c r="G44" s="24">
        <f>IF($C44="","",$E44&amp;(COUNTIFS(I$14:I$53,"&gt;"&amp;I44,E$14:E$53,"="&amp;E44,C$14:C$53,"&lt;&gt;")+COUNTIFS(I$14:I$53,"="&amp;I44,H$14:H$53,"&lt;="&amp;H44,E$14:E$53,"="&amp;E44,C$14:C$53,"&lt;&gt;")))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L44*constPuntiVittoria+M44*constPuntiSconfitta+N44*constPuntiForfait+IF(D44="",0,D44)</f>
        <v/>
      </c>
      <c r="K44" s="12">
        <f>SUM(L44:N44)</f>
        <v/>
      </c>
      <c r="L44" s="12">
        <f>IF($H44="",0,SUMIF(Dati!$A$2:$A$381,$H44,Dati!$B$2:$B$381)+SUMIF(Dati!$H$2:$H$381,$H44,Dati!$I$2:$I$381))</f>
        <v/>
      </c>
      <c r="M44" s="12">
        <f>IF($H44="",0,SUMIF(Dati!$A$2:$A$381,$H44,Dati!$D$2:$D$381)+SUMIF(Dati!$H$2:$H$381,$H44,Dati!$K$2:$K$381))</f>
        <v/>
      </c>
      <c r="N44" s="12">
        <f>IF($H44="",0,SUMIF(Dati!$A$2:$A$381,$H44,Dati!$C$2:$C$381)+SUMIF(Dati!$H$2:$H$381,$H44,Dati!$J$2:$J$381))</f>
        <v/>
      </c>
      <c r="O44" s="12">
        <f>IF($H44="",0,SUMIF(Dati!$A$2:$A$381,$H44,Dati!$E$2:$E$381)+SUMIF(Dati!$H$2:$H$381,$H44,Dati!$L$2:$L$381))</f>
        <v/>
      </c>
      <c r="P44" s="12">
        <f>IF($H44="",0,SUMIF(Dati!$A$2:$A$381,$H44,Dati!$F$2:$F$381)+SUMIF(Dati!$H$2:$H$381,$H44,Dati!$M$2:$M$381))</f>
        <v/>
      </c>
      <c r="Q44" s="12">
        <f>IF($H44="",0,SUMIF(Dati!$A$2:$A$381,$H44,Dati!$G$2:$G$381)+SUMIF(Dati!$H$2:$H$381,$H44,Dati!$N$2:$N$381))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IF(COUNTIFS($E$14:$E$53,$E44,$J$14:$J$53,$J44,$C$14:$C$53,"&lt;&gt;")&lt;=1,"-",SUM(AU44:BN44)&amp;"-"&amp;SUM(BQ44:CJ44))</f>
        <v/>
      </c>
      <c r="V44" s="18">
        <f>IF(COUNTIFS($E$14:$E$53,$E44,$J$14:$J$53,$J44,$C$14:$C$53,"&lt;&gt;",$ED$14:$ED$53,$ED44)&lt;=1,"-",IF(SUM(DI44:EB44)=0,0,ROUND(SUM(CM44:DF44)/SUM(DI44:EB44),3)))</f>
        <v/>
      </c>
      <c r="W44" s="18">
        <f>IF(COUNTIFS($E$14:$E$53,$E44,$J$14:$J$53,$J44,$C$14:$C$53,"&lt;&gt;",$ED$14:$ED$53,$ED44,$V$14:$V$53,$V44)&lt;=1,"-",IF(P44=0,0,ROUND(O44/P44,3)))</f>
        <v/>
      </c>
      <c r="X44" s="19">
        <f>IF($C44="","",$E44&amp;"#"&amp;COUNTIFS($E$14:$E44,$E44,$C$14:$C44,"&lt;&gt;"))</f>
        <v/>
      </c>
      <c r="Y44" s="20">
        <f>IFERROR(INDEX($H$14:$H$53,MATCH($E44&amp;"#1",$X$14:$X$53,0)),"")</f>
        <v/>
      </c>
      <c r="Z44" s="20">
        <f>IFERROR(INDEX($H$14:$H$53,MATCH($E44&amp;"#2",$X$14:$X$53,0)),"")</f>
        <v/>
      </c>
      <c r="AA44" s="20">
        <f>IFERROR(INDEX($H$14:$H$53,MATCH($E44&amp;"#3",$X$14:$X$53,0)),"")</f>
        <v/>
      </c>
      <c r="AB44" s="20">
        <f>IFERROR(INDEX($H$14:$H$53,MATCH($E44&amp;"#4",$X$14:$X$53,0)),"")</f>
        <v/>
      </c>
      <c r="AC44" s="20">
        <f>IFERROR(INDEX($H$14:$H$53,MATCH($E44&amp;"#5",$X$14:$X$53,0)),"")</f>
        <v/>
      </c>
      <c r="AD44" s="20">
        <f>IFERROR(INDEX($H$14:$H$53,MATCH($E44&amp;"#6",$X$14:$X$53,0)),"")</f>
        <v/>
      </c>
      <c r="AE44" s="20">
        <f>IFERROR(INDEX($H$14:$H$53,MATCH($E44&amp;"#7",$X$14:$X$53,0)),"")</f>
        <v/>
      </c>
      <c r="AF44" s="20">
        <f>IFERROR(INDEX($H$14:$H$53,MATCH($E44&amp;"#8",$X$14:$X$53,0)),"")</f>
        <v/>
      </c>
      <c r="AG44" s="20">
        <f>IFERROR(INDEX($H$14:$H$53,MATCH($E44&amp;"#9",$X$14:$X$53,0)),"")</f>
        <v/>
      </c>
      <c r="AH44" s="20">
        <f>IFERROR(INDEX($H$14:$H$53,MATCH($E44&amp;"#10",$X$14:$X$53,0)),"")</f>
        <v/>
      </c>
      <c r="AI44" s="20">
        <f>IFERROR(INDEX($H$14:$H$53,MATCH($E44&amp;"#11",$X$14:$X$53,0)),"")</f>
        <v/>
      </c>
      <c r="AJ44" s="20">
        <f>IFERROR(INDEX($H$14:$H$53,MATCH($E44&amp;"#12",$X$14:$X$53,0)),"")</f>
        <v/>
      </c>
      <c r="AK44" s="20">
        <f>IFERROR(INDEX($H$14:$H$53,MATCH($E44&amp;"#13",$X$14:$X$53,0)),"")</f>
        <v/>
      </c>
      <c r="AL44" s="20">
        <f>IFERROR(INDEX($H$14:$H$53,MATCH($E44&amp;"#14",$X$14:$X$53,0)),"")</f>
        <v/>
      </c>
      <c r="AM44" s="20">
        <f>IFERROR(INDEX($H$14:$H$53,MATCH($E44&amp;"#15",$X$14:$X$53,0)),"")</f>
        <v/>
      </c>
      <c r="AN44" s="20">
        <f>IFERROR(INDEX($H$14:$H$53,MATCH($E44&amp;"#16",$X$14:$X$53,0)),"")</f>
        <v/>
      </c>
      <c r="AO44" s="20">
        <f>IFERROR(INDEX($H$14:$H$53,MATCH($E44&amp;"#17",$X$14:$X$53,0)),"")</f>
        <v/>
      </c>
      <c r="AP44" s="20">
        <f>IFERROR(INDEX($H$14:$H$53,MATCH($E44&amp;"#18",$X$14:$X$53,0)),"")</f>
        <v/>
      </c>
      <c r="AQ44" s="20">
        <f>IFERROR(INDEX($H$14:$H$53,MATCH($E44&amp;"#19",$X$14:$X$53,0)),"")</f>
        <v/>
      </c>
      <c r="AR44" s="20">
        <f>IFERROR(INDEX($H$14:$H$53,MATCH($E44&amp;"#20",$X$14:$X$53,0)),"")</f>
        <v/>
      </c>
      <c r="AT44" s="21">
        <f>$C44</f>
        <v/>
      </c>
      <c r="AU44" s="22">
        <f>IF(AND($H44&lt;&gt;"",$Y44&lt;&gt;"",$H44&lt;&gt;$Y44,IFERROR(VLOOKUP($H44,areaCercaPuntiClassificaSquadra,3,FALSE),-1)=IFERROR(VLOOKUP($Y44,areaCercaPuntiClassificaSquadra,3,FALSE),-2)),SUMIFS(Dati!$B$2:$B$381,Dati!$A$2:$A$381,$H44,Dati!$H$2:$H$381,$Y44)+SUMIFS(Dati!$I$2:$I$381,Dati!$H$2:$H$381,$H44,Dati!$A$2:$A$381,$Y44),"-")</f>
        <v/>
      </c>
      <c r="AV44" s="22">
        <f>IF(AND($H44&lt;&gt;"",$Z44&lt;&gt;"",$H44&lt;&gt;$Z44,IFERROR(VLOOKUP($H44,areaCercaPuntiClassificaSquadra,3,FALSE),-1)=IFERROR(VLOOKUP($Z44,areaCercaPuntiClassificaSquadra,3,FALSE),-2)),SUMIFS(Dati!$B$2:$B$381,Dati!$A$2:$A$381,$H44,Dati!$H$2:$H$381,$Z44)+SUMIFS(Dati!$I$2:$I$381,Dati!$H$2:$H$381,$H44,Dati!$A$2:$A$381,$Z44),"-")</f>
        <v/>
      </c>
      <c r="AW44" s="22">
        <f>IF(AND($H44&lt;&gt;"",$AA44&lt;&gt;"",$H44&lt;&gt;$AA44,IFERROR(VLOOKUP($H44,areaCercaPuntiClassificaSquadra,3,FALSE),-1)=IFERROR(VLOOKUP($AA44,areaCercaPuntiClassificaSquadra,3,FALSE),-2)),SUMIFS(Dati!$B$2:$B$381,Dati!$A$2:$A$381,$H44,Dati!$H$2:$H$381,$AA44)+SUMIFS(Dati!$I$2:$I$381,Dati!$H$2:$H$381,$H44,Dati!$A$2:$A$381,$AA44),"-")</f>
        <v/>
      </c>
      <c r="AX44" s="22">
        <f>IF(AND($H44&lt;&gt;"",$AB44&lt;&gt;"",$H44&lt;&gt;$AB44,IFERROR(VLOOKUP($H44,areaCercaPuntiClassificaSquadra,3,FALSE),-1)=IFERROR(VLOOKUP($AB44,areaCercaPuntiClassificaSquadra,3,FALSE),-2)),SUMIFS(Dati!$B$2:$B$381,Dati!$A$2:$A$381,$H44,Dati!$H$2:$H$381,$AB44)+SUMIFS(Dati!$I$2:$I$381,Dati!$H$2:$H$381,$H44,Dati!$A$2:$A$381,$AB44),"-")</f>
        <v/>
      </c>
      <c r="AY44" s="22">
        <f>IF(AND($H44&lt;&gt;"",$AC44&lt;&gt;"",$H44&lt;&gt;$AC44,IFERROR(VLOOKUP($H44,areaCercaPuntiClassificaSquadra,3,FALSE),-1)=IFERROR(VLOOKUP($AC44,areaCercaPuntiClassificaSquadra,3,FALSE),-2)),SUMIFS(Dati!$B$2:$B$381,Dati!$A$2:$A$381,$H44,Dati!$H$2:$H$381,$AC44)+SUMIFS(Dati!$I$2:$I$381,Dati!$H$2:$H$381,$H44,Dati!$A$2:$A$381,$AC44),"-")</f>
        <v/>
      </c>
      <c r="AZ44" s="22">
        <f>IF(AND($H44&lt;&gt;"",$AD44&lt;&gt;"",$H44&lt;&gt;$AD44,IFERROR(VLOOKUP($H44,areaCercaPuntiClassificaSquadra,3,FALSE),-1)=IFERROR(VLOOKUP($AD44,areaCercaPuntiClassificaSquadra,3,FALSE),-2)),SUMIFS(Dati!$B$2:$B$381,Dati!$A$2:$A$381,$H44,Dati!$H$2:$H$381,$AD44)+SUMIFS(Dati!$I$2:$I$381,Dati!$H$2:$H$381,$H44,Dati!$A$2:$A$381,$AD44),"-")</f>
        <v/>
      </c>
      <c r="BA44" s="22">
        <f>IF(AND($H44&lt;&gt;"",$AE44&lt;&gt;"",$H44&lt;&gt;$AE44,IFERROR(VLOOKUP($H44,areaCercaPuntiClassificaSquadra,3,FALSE),-1)=IFERROR(VLOOKUP($AE44,areaCercaPuntiClassificaSquadra,3,FALSE),-2)),SUMIFS(Dati!$B$2:$B$381,Dati!$A$2:$A$381,$H44,Dati!$H$2:$H$381,$AE44)+SUMIFS(Dati!$I$2:$I$381,Dati!$H$2:$H$381,$H44,Dati!$A$2:$A$381,$AE44),"-")</f>
        <v/>
      </c>
      <c r="BB44" s="22">
        <f>IF(AND($H44&lt;&gt;"",$AF44&lt;&gt;"",$H44&lt;&gt;$AF44,IFERROR(VLOOKUP($H44,areaCercaPuntiClassificaSquadra,3,FALSE),-1)=IFERROR(VLOOKUP($AF44,areaCercaPuntiClassificaSquadra,3,FALSE),-2)),SUMIFS(Dati!$B$2:$B$381,Dati!$A$2:$A$381,$H44,Dati!$H$2:$H$381,$AF44)+SUMIFS(Dati!$I$2:$I$381,Dati!$H$2:$H$381,$H44,Dati!$A$2:$A$381,$AF44),"-")</f>
        <v/>
      </c>
      <c r="BC44" s="22">
        <f>IF(AND($H44&lt;&gt;"",$AG44&lt;&gt;"",$H44&lt;&gt;$AG44,IFERROR(VLOOKUP($H44,areaCercaPuntiClassificaSquadra,3,FALSE),-1)=IFERROR(VLOOKUP($AG44,areaCercaPuntiClassificaSquadra,3,FALSE),-2)),SUMIFS(Dati!$B$2:$B$381,Dati!$A$2:$A$381,$H44,Dati!$H$2:$H$381,$AG44)+SUMIFS(Dati!$I$2:$I$381,Dati!$H$2:$H$381,$H44,Dati!$A$2:$A$381,$AG44),"-")</f>
        <v/>
      </c>
      <c r="BD44" s="22">
        <f>IF(AND($H44&lt;&gt;"",$AH44&lt;&gt;"",$H44&lt;&gt;$AH44,IFERROR(VLOOKUP($H44,areaCercaPuntiClassificaSquadra,3,FALSE),-1)=IFERROR(VLOOKUP($AH44,areaCercaPuntiClassificaSquadra,3,FALSE),-2)),SUMIFS(Dati!$B$2:$B$381,Dati!$A$2:$A$381,$H44,Dati!$H$2:$H$381,$AH44)+SUMIFS(Dati!$I$2:$I$381,Dati!$H$2:$H$381,$H44,Dati!$A$2:$A$381,$AH44),"-")</f>
        <v/>
      </c>
      <c r="BE44" s="22">
        <f>IF(AND($H44&lt;&gt;"",$AI44&lt;&gt;"",$H44&lt;&gt;$AI44,IFERROR(VLOOKUP($H44,areaCercaPuntiClassificaSquadra,3,FALSE),-1)=IFERROR(VLOOKUP($AI44,areaCercaPuntiClassificaSquadra,3,FALSE),-2)),SUMIFS(Dati!$B$2:$B$381,Dati!$A$2:$A$381,$H44,Dati!$H$2:$H$381,$AI44)+SUMIFS(Dati!$I$2:$I$381,Dati!$H$2:$H$381,$H44,Dati!$A$2:$A$381,$AI44),"-")</f>
        <v/>
      </c>
      <c r="BF44" s="22">
        <f>IF(AND($H44&lt;&gt;"",$AJ44&lt;&gt;"",$H44&lt;&gt;$AJ44,IFERROR(VLOOKUP($H44,areaCercaPuntiClassificaSquadra,3,FALSE),-1)=IFERROR(VLOOKUP($AJ44,areaCercaPuntiClassificaSquadra,3,FALSE),-2)),SUMIFS(Dati!$B$2:$B$381,Dati!$A$2:$A$381,$H44,Dati!$H$2:$H$381,$AJ44)+SUMIFS(Dati!$I$2:$I$381,Dati!$H$2:$H$381,$H44,Dati!$A$2:$A$381,$AJ44),"-")</f>
        <v/>
      </c>
      <c r="BG44" s="22">
        <f>IF(AND($H44&lt;&gt;"",$AK44&lt;&gt;"",$H44&lt;&gt;$AK44,IFERROR(VLOOKUP($H44,areaCercaPuntiClassificaSquadra,3,FALSE),-1)=IFERROR(VLOOKUP($AK44,areaCercaPuntiClassificaSquadra,3,FALSE),-2)),SUMIFS(Dati!$B$2:$B$381,Dati!$A$2:$A$381,$H44,Dati!$H$2:$H$381,$AK44)+SUMIFS(Dati!$I$2:$I$381,Dati!$H$2:$H$381,$H44,Dati!$A$2:$A$381,$AK44),"-")</f>
        <v/>
      </c>
      <c r="BH44" s="22">
        <f>IF(AND($H44&lt;&gt;"",$AL44&lt;&gt;"",$H44&lt;&gt;$AL44,IFERROR(VLOOKUP($H44,areaCercaPuntiClassificaSquadra,3,FALSE),-1)=IFERROR(VLOOKUP($AL44,areaCercaPuntiClassificaSquadra,3,FALSE),-2)),SUMIFS(Dati!$B$2:$B$381,Dati!$A$2:$A$381,$H44,Dati!$H$2:$H$381,$AL44)+SUMIFS(Dati!$I$2:$I$381,Dati!$H$2:$H$381,$H44,Dati!$A$2:$A$381,$AL44),"-")</f>
        <v/>
      </c>
      <c r="BI44" s="22">
        <f>IF(AND($H44&lt;&gt;"",$AM44&lt;&gt;"",$H44&lt;&gt;$AM44,IFERROR(VLOOKUP($H44,areaCercaPuntiClassificaSquadra,3,FALSE),-1)=IFERROR(VLOOKUP($AM44,areaCercaPuntiClassificaSquadra,3,FALSE),-2)),SUMIFS(Dati!$B$2:$B$381,Dati!$A$2:$A$381,$H44,Dati!$H$2:$H$381,$AM44)+SUMIFS(Dati!$I$2:$I$381,Dati!$H$2:$H$381,$H44,Dati!$A$2:$A$381,$AM44),"-")</f>
        <v/>
      </c>
      <c r="BJ44" s="22">
        <f>IF(AND($H44&lt;&gt;"",$AN44&lt;&gt;"",$H44&lt;&gt;$AN44,IFERROR(VLOOKUP($H44,areaCercaPuntiClassificaSquadra,3,FALSE),-1)=IFERROR(VLOOKUP($AN44,areaCercaPuntiClassificaSquadra,3,FALSE),-2)),SUMIFS(Dati!$B$2:$B$381,Dati!$A$2:$A$381,$H44,Dati!$H$2:$H$381,$AN44)+SUMIFS(Dati!$I$2:$I$381,Dati!$H$2:$H$381,$H44,Dati!$A$2:$A$381,$AN44),"-")</f>
        <v/>
      </c>
      <c r="BK44" s="22">
        <f>IF(AND($H44&lt;&gt;"",$AO44&lt;&gt;"",$H44&lt;&gt;$AO44,IFERROR(VLOOKUP($H44,areaCercaPuntiClassificaSquadra,3,FALSE),-1)=IFERROR(VLOOKUP($AO44,areaCercaPuntiClassificaSquadra,3,FALSE),-2)),SUMIFS(Dati!$B$2:$B$381,Dati!$A$2:$A$381,$H44,Dati!$H$2:$H$381,$AO44)+SUMIFS(Dati!$I$2:$I$381,Dati!$H$2:$H$381,$H44,Dati!$A$2:$A$381,$AO44),"-")</f>
        <v/>
      </c>
      <c r="BL44" s="22">
        <f>IF(AND($H44&lt;&gt;"",$AP44&lt;&gt;"",$H44&lt;&gt;$AP44,IFERROR(VLOOKUP($H44,areaCercaPuntiClassificaSquadra,3,FALSE),-1)=IFERROR(VLOOKUP($AP44,areaCercaPuntiClassificaSquadra,3,FALSE),-2)),SUMIFS(Dati!$B$2:$B$381,Dati!$A$2:$A$381,$H44,Dati!$H$2:$H$381,$AP44)+SUMIFS(Dati!$I$2:$I$381,Dati!$H$2:$H$381,$H44,Dati!$A$2:$A$381,$AP44),"-")</f>
        <v/>
      </c>
      <c r="BM44" s="22">
        <f>IF(AND($H44&lt;&gt;"",$AQ44&lt;&gt;"",$H44&lt;&gt;$AQ44,IFERROR(VLOOKUP($H44,areaCercaPuntiClassificaSquadra,3,FALSE),-1)=IFERROR(VLOOKUP($AQ44,areaCercaPuntiClassificaSquadra,3,FALSE),-2)),SUMIFS(Dati!$B$2:$B$381,Dati!$A$2:$A$381,$H44,Dati!$H$2:$H$381,$AQ44)+SUMIFS(Dati!$I$2:$I$381,Dati!$H$2:$H$381,$H44,Dati!$A$2:$A$381,$AQ44),"-")</f>
        <v/>
      </c>
      <c r="BN44" s="22">
        <f>IF(AND($H44&lt;&gt;"",$AR44&lt;&gt;"",$H44&lt;&gt;$AR44,IFERROR(VLOOKUP($H44,areaCercaPuntiClassificaSquadra,3,FALSE),-1)=IFERROR(VLOOKUP($AR44,areaCercaPuntiClassificaSquadra,3,FALSE),-2)),SUMIFS(Dati!$B$2:$B$381,Dati!$A$2:$A$381,$H44,Dati!$H$2:$H$381,$AR44)+SUMIFS(Dati!$I$2:$I$381,Dati!$H$2:$H$381,$H44,Dati!$A$2:$A$381,$AR44),"-")</f>
        <v/>
      </c>
      <c r="BP44" s="21">
        <f>$C44</f>
        <v/>
      </c>
      <c r="BQ44" s="22">
        <f>IF(AND($H44&lt;&gt;"",$Y44&lt;&gt;"",$H44&lt;&gt;$Y44,IFERROR(VLOOKUP($H44,areaCercaPuntiClassificaSquadra,3,FALSE),-1)=IFERROR(VLOOKUP($Y44,areaCercaPuntiClassificaSquadra,3,FALSE),-2)),SUMIFS(Dati!$D$2:$D$381,Dati!$A$2:$A$381,$H44,Dati!$H$2:$H$381,$Y44)+SUMIFS(Dati!$K$2:$K$381,Dati!$H$2:$H$381,$H44,Dati!$A$2:$A$381,$Y44)+SUMIFS(Dati!$C$2:$C$381,Dati!$A$2:$A$381,$H44,Dati!$H$2:$H$381,$Y44)+SUMIFS(Dati!$J$2:$J$381,Dati!$H$2:$H$381,$H44,Dati!$A$2:$A$381,$Y44),"-")</f>
        <v/>
      </c>
      <c r="BR44" s="22">
        <f>IF(AND($H44&lt;&gt;"",$Z44&lt;&gt;"",$H44&lt;&gt;$Z44,IFERROR(VLOOKUP($H44,areaCercaPuntiClassificaSquadra,3,FALSE),-1)=IFERROR(VLOOKUP($Z44,areaCercaPuntiClassificaSquadra,3,FALSE),-2)),SUMIFS(Dati!$D$2:$D$381,Dati!$A$2:$A$381,$H44,Dati!$H$2:$H$381,$Z44)+SUMIFS(Dati!$K$2:$K$381,Dati!$H$2:$H$381,$H44,Dati!$A$2:$A$381,$Z44)+SUMIFS(Dati!$C$2:$C$381,Dati!$A$2:$A$381,$H44,Dati!$H$2:$H$381,$Z44)+SUMIFS(Dati!$J$2:$J$381,Dati!$H$2:$H$381,$H44,Dati!$A$2:$A$381,$Z44),"-")</f>
        <v/>
      </c>
      <c r="BS44" s="22">
        <f>IF(AND($H44&lt;&gt;"",$AA44&lt;&gt;"",$H44&lt;&gt;$AA44,IFERROR(VLOOKUP($H44,areaCercaPuntiClassificaSquadra,3,FALSE),-1)=IFERROR(VLOOKUP($AA44,areaCercaPuntiClassificaSquadra,3,FALSE),-2)),SUMIFS(Dati!$D$2:$D$381,Dati!$A$2:$A$381,$H44,Dati!$H$2:$H$381,$AA44)+SUMIFS(Dati!$K$2:$K$381,Dati!$H$2:$H$381,$H44,Dati!$A$2:$A$381,$AA44)+SUMIFS(Dati!$C$2:$C$381,Dati!$A$2:$A$381,$H44,Dati!$H$2:$H$381,$AA44)+SUMIFS(Dati!$J$2:$J$381,Dati!$H$2:$H$381,$H44,Dati!$A$2:$A$381,$AA44),"-")</f>
        <v/>
      </c>
      <c r="BT44" s="22">
        <f>IF(AND($H44&lt;&gt;"",$AB44&lt;&gt;"",$H44&lt;&gt;$AB44,IFERROR(VLOOKUP($H44,areaCercaPuntiClassificaSquadra,3,FALSE),-1)=IFERROR(VLOOKUP($AB44,areaCercaPuntiClassificaSquadra,3,FALSE),-2)),SUMIFS(Dati!$D$2:$D$381,Dati!$A$2:$A$381,$H44,Dati!$H$2:$H$381,$AB44)+SUMIFS(Dati!$K$2:$K$381,Dati!$H$2:$H$381,$H44,Dati!$A$2:$A$381,$AB44)+SUMIFS(Dati!$C$2:$C$381,Dati!$A$2:$A$381,$H44,Dati!$H$2:$H$381,$AB44)+SUMIFS(Dati!$J$2:$J$381,Dati!$H$2:$H$381,$H44,Dati!$A$2:$A$381,$AB44),"-")</f>
        <v/>
      </c>
      <c r="BU44" s="22">
        <f>IF(AND($H44&lt;&gt;"",$AC44&lt;&gt;"",$H44&lt;&gt;$AC44,IFERROR(VLOOKUP($H44,areaCercaPuntiClassificaSquadra,3,FALSE),-1)=IFERROR(VLOOKUP($AC44,areaCercaPuntiClassificaSquadra,3,FALSE),-2)),SUMIFS(Dati!$D$2:$D$381,Dati!$A$2:$A$381,$H44,Dati!$H$2:$H$381,$AC44)+SUMIFS(Dati!$K$2:$K$381,Dati!$H$2:$H$381,$H44,Dati!$A$2:$A$381,$AC44)+SUMIFS(Dati!$C$2:$C$381,Dati!$A$2:$A$381,$H44,Dati!$H$2:$H$381,$AC44)+SUMIFS(Dati!$J$2:$J$381,Dati!$H$2:$H$381,$H44,Dati!$A$2:$A$381,$AC44),"-")</f>
        <v/>
      </c>
      <c r="BV44" s="22">
        <f>IF(AND($H44&lt;&gt;"",$AD44&lt;&gt;"",$H44&lt;&gt;$AD44,IFERROR(VLOOKUP($H44,areaCercaPuntiClassificaSquadra,3,FALSE),-1)=IFERROR(VLOOKUP($AD44,areaCercaPuntiClassificaSquadra,3,FALSE),-2)),SUMIFS(Dati!$D$2:$D$381,Dati!$A$2:$A$381,$H44,Dati!$H$2:$H$381,$AD44)+SUMIFS(Dati!$K$2:$K$381,Dati!$H$2:$H$381,$H44,Dati!$A$2:$A$381,$AD44)+SUMIFS(Dati!$C$2:$C$381,Dati!$A$2:$A$381,$H44,Dati!$H$2:$H$381,$AD44)+SUMIFS(Dati!$J$2:$J$381,Dati!$H$2:$H$381,$H44,Dati!$A$2:$A$381,$AD44),"-")</f>
        <v/>
      </c>
      <c r="BW44" s="22">
        <f>IF(AND($H44&lt;&gt;"",$AE44&lt;&gt;"",$H44&lt;&gt;$AE44,IFERROR(VLOOKUP($H44,areaCercaPuntiClassificaSquadra,3,FALSE),-1)=IFERROR(VLOOKUP($AE44,areaCercaPuntiClassificaSquadra,3,FALSE),-2)),SUMIFS(Dati!$D$2:$D$381,Dati!$A$2:$A$381,$H44,Dati!$H$2:$H$381,$AE44)+SUMIFS(Dati!$K$2:$K$381,Dati!$H$2:$H$381,$H44,Dati!$A$2:$A$381,$AE44)+SUMIFS(Dati!$C$2:$C$381,Dati!$A$2:$A$381,$H44,Dati!$H$2:$H$381,$AE44)+SUMIFS(Dati!$J$2:$J$381,Dati!$H$2:$H$381,$H44,Dati!$A$2:$A$381,$AE44),"-")</f>
        <v/>
      </c>
      <c r="BX44" s="22">
        <f>IF(AND($H44&lt;&gt;"",$AF44&lt;&gt;"",$H44&lt;&gt;$AF44,IFERROR(VLOOKUP($H44,areaCercaPuntiClassificaSquadra,3,FALSE),-1)=IFERROR(VLOOKUP($AF44,areaCercaPuntiClassificaSquadra,3,FALSE),-2)),SUMIFS(Dati!$D$2:$D$381,Dati!$A$2:$A$381,$H44,Dati!$H$2:$H$381,$AF44)+SUMIFS(Dati!$K$2:$K$381,Dati!$H$2:$H$381,$H44,Dati!$A$2:$A$381,$AF44)+SUMIFS(Dati!$C$2:$C$381,Dati!$A$2:$A$381,$H44,Dati!$H$2:$H$381,$AF44)+SUMIFS(Dati!$J$2:$J$381,Dati!$H$2:$H$381,$H44,Dati!$A$2:$A$381,$AF44),"-")</f>
        <v/>
      </c>
      <c r="BY44" s="22">
        <f>IF(AND($H44&lt;&gt;"",$AG44&lt;&gt;"",$H44&lt;&gt;$AG44,IFERROR(VLOOKUP($H44,areaCercaPuntiClassificaSquadra,3,FALSE),-1)=IFERROR(VLOOKUP($AG44,areaCercaPuntiClassificaSquadra,3,FALSE),-2)),SUMIFS(Dati!$D$2:$D$381,Dati!$A$2:$A$381,$H44,Dati!$H$2:$H$381,$AG44)+SUMIFS(Dati!$K$2:$K$381,Dati!$H$2:$H$381,$H44,Dati!$A$2:$A$381,$AG44)+SUMIFS(Dati!$C$2:$C$381,Dati!$A$2:$A$381,$H44,Dati!$H$2:$H$381,$AG44)+SUMIFS(Dati!$J$2:$J$381,Dati!$H$2:$H$381,$H44,Dati!$A$2:$A$381,$AG44),"-")</f>
        <v/>
      </c>
      <c r="BZ44" s="22">
        <f>IF(AND($H44&lt;&gt;"",$AH44&lt;&gt;"",$H44&lt;&gt;$AH44,IFERROR(VLOOKUP($H44,areaCercaPuntiClassificaSquadra,3,FALSE),-1)=IFERROR(VLOOKUP($AH44,areaCercaPuntiClassificaSquadra,3,FALSE),-2)),SUMIFS(Dati!$D$2:$D$381,Dati!$A$2:$A$381,$H44,Dati!$H$2:$H$381,$AH44)+SUMIFS(Dati!$K$2:$K$381,Dati!$H$2:$H$381,$H44,Dati!$A$2:$A$381,$AH44)+SUMIFS(Dati!$C$2:$C$381,Dati!$A$2:$A$381,$H44,Dati!$H$2:$H$381,$AH44)+SUMIFS(Dati!$J$2:$J$381,Dati!$H$2:$H$381,$H44,Dati!$A$2:$A$381,$AH44),"-")</f>
        <v/>
      </c>
      <c r="CA44" s="22">
        <f>IF(AND($H44&lt;&gt;"",$AI44&lt;&gt;"",$H44&lt;&gt;$AI44,IFERROR(VLOOKUP($H44,areaCercaPuntiClassificaSquadra,3,FALSE),-1)=IFERROR(VLOOKUP($AI44,areaCercaPuntiClassificaSquadra,3,FALSE),-2)),SUMIFS(Dati!$D$2:$D$381,Dati!$A$2:$A$381,$H44,Dati!$H$2:$H$381,$AI44)+SUMIFS(Dati!$K$2:$K$381,Dati!$H$2:$H$381,$H44,Dati!$A$2:$A$381,$AI44)+SUMIFS(Dati!$C$2:$C$381,Dati!$A$2:$A$381,$H44,Dati!$H$2:$H$381,$AI44)+SUMIFS(Dati!$J$2:$J$381,Dati!$H$2:$H$381,$H44,Dati!$A$2:$A$381,$AI44),"-")</f>
        <v/>
      </c>
      <c r="CB44" s="22">
        <f>IF(AND($H44&lt;&gt;"",$AJ44&lt;&gt;"",$H44&lt;&gt;$AJ44,IFERROR(VLOOKUP($H44,areaCercaPuntiClassificaSquadra,3,FALSE),-1)=IFERROR(VLOOKUP($AJ44,areaCercaPuntiClassificaSquadra,3,FALSE),-2)),SUMIFS(Dati!$D$2:$D$381,Dati!$A$2:$A$381,$H44,Dati!$H$2:$H$381,$AJ44)+SUMIFS(Dati!$K$2:$K$381,Dati!$H$2:$H$381,$H44,Dati!$A$2:$A$381,$AJ44)+SUMIFS(Dati!$C$2:$C$381,Dati!$A$2:$A$381,$H44,Dati!$H$2:$H$381,$AJ44)+SUMIFS(Dati!$J$2:$J$381,Dati!$H$2:$H$381,$H44,Dati!$A$2:$A$381,$AJ44),"-")</f>
        <v/>
      </c>
      <c r="CC44" s="22">
        <f>IF(AND($H44&lt;&gt;"",$AK44&lt;&gt;"",$H44&lt;&gt;$AK44,IFERROR(VLOOKUP($H44,areaCercaPuntiClassificaSquadra,3,FALSE),-1)=IFERROR(VLOOKUP($AK44,areaCercaPuntiClassificaSquadra,3,FALSE),-2)),SUMIFS(Dati!$D$2:$D$381,Dati!$A$2:$A$381,$H44,Dati!$H$2:$H$381,$AK44)+SUMIFS(Dati!$K$2:$K$381,Dati!$H$2:$H$381,$H44,Dati!$A$2:$A$381,$AK44)+SUMIFS(Dati!$C$2:$C$381,Dati!$A$2:$A$381,$H44,Dati!$H$2:$H$381,$AK44)+SUMIFS(Dati!$J$2:$J$381,Dati!$H$2:$H$381,$H44,Dati!$A$2:$A$381,$AK44),"-")</f>
        <v/>
      </c>
      <c r="CD44" s="22">
        <f>IF(AND($H44&lt;&gt;"",$AL44&lt;&gt;"",$H44&lt;&gt;$AL44,IFERROR(VLOOKUP($H44,areaCercaPuntiClassificaSquadra,3,FALSE),-1)=IFERROR(VLOOKUP($AL44,areaCercaPuntiClassificaSquadra,3,FALSE),-2)),SUMIFS(Dati!$D$2:$D$381,Dati!$A$2:$A$381,$H44,Dati!$H$2:$H$381,$AL44)+SUMIFS(Dati!$K$2:$K$381,Dati!$H$2:$H$381,$H44,Dati!$A$2:$A$381,$AL44)+SUMIFS(Dati!$C$2:$C$381,Dati!$A$2:$A$381,$H44,Dati!$H$2:$H$381,$AL44)+SUMIFS(Dati!$J$2:$J$381,Dati!$H$2:$H$381,$H44,Dati!$A$2:$A$381,$AL44),"-")</f>
        <v/>
      </c>
      <c r="CE44" s="22">
        <f>IF(AND($H44&lt;&gt;"",$AM44&lt;&gt;"",$H44&lt;&gt;$AM44,IFERROR(VLOOKUP($H44,areaCercaPuntiClassificaSquadra,3,FALSE),-1)=IFERROR(VLOOKUP($AM44,areaCercaPuntiClassificaSquadra,3,FALSE),-2)),SUMIFS(Dati!$D$2:$D$381,Dati!$A$2:$A$381,$H44,Dati!$H$2:$H$381,$AM44)+SUMIFS(Dati!$K$2:$K$381,Dati!$H$2:$H$381,$H44,Dati!$A$2:$A$381,$AM44)+SUMIFS(Dati!$C$2:$C$381,Dati!$A$2:$A$381,$H44,Dati!$H$2:$H$381,$AM44)+SUMIFS(Dati!$J$2:$J$381,Dati!$H$2:$H$381,$H44,Dati!$A$2:$A$381,$AM44),"-")</f>
        <v/>
      </c>
      <c r="CF44" s="22">
        <f>IF(AND($H44&lt;&gt;"",$AN44&lt;&gt;"",$H44&lt;&gt;$AN44,IFERROR(VLOOKUP($H44,areaCercaPuntiClassificaSquadra,3,FALSE),-1)=IFERROR(VLOOKUP($AN44,areaCercaPuntiClassificaSquadra,3,FALSE),-2)),SUMIFS(Dati!$D$2:$D$381,Dati!$A$2:$A$381,$H44,Dati!$H$2:$H$381,$AN44)+SUMIFS(Dati!$K$2:$K$381,Dati!$H$2:$H$381,$H44,Dati!$A$2:$A$381,$AN44)+SUMIFS(Dati!$C$2:$C$381,Dati!$A$2:$A$381,$H44,Dati!$H$2:$H$381,$AN44)+SUMIFS(Dati!$J$2:$J$381,Dati!$H$2:$H$381,$H44,Dati!$A$2:$A$381,$AN44),"-")</f>
        <v/>
      </c>
      <c r="CG44" s="22">
        <f>IF(AND($H44&lt;&gt;"",$AO44&lt;&gt;"",$H44&lt;&gt;$AO44,IFERROR(VLOOKUP($H44,areaCercaPuntiClassificaSquadra,3,FALSE),-1)=IFERROR(VLOOKUP($AO44,areaCercaPuntiClassificaSquadra,3,FALSE),-2)),SUMIFS(Dati!$D$2:$D$381,Dati!$A$2:$A$381,$H44,Dati!$H$2:$H$381,$AO44)+SUMIFS(Dati!$K$2:$K$381,Dati!$H$2:$H$381,$H44,Dati!$A$2:$A$381,$AO44)+SUMIFS(Dati!$C$2:$C$381,Dati!$A$2:$A$381,$H44,Dati!$H$2:$H$381,$AO44)+SUMIFS(Dati!$J$2:$J$381,Dati!$H$2:$H$381,$H44,Dati!$A$2:$A$381,$AO44),"-")</f>
        <v/>
      </c>
      <c r="CH44" s="22">
        <f>IF(AND($H44&lt;&gt;"",$AP44&lt;&gt;"",$H44&lt;&gt;$AP44,IFERROR(VLOOKUP($H44,areaCercaPuntiClassificaSquadra,3,FALSE),-1)=IFERROR(VLOOKUP($AP44,areaCercaPuntiClassificaSquadra,3,FALSE),-2)),SUMIFS(Dati!$D$2:$D$381,Dati!$A$2:$A$381,$H44,Dati!$H$2:$H$381,$AP44)+SUMIFS(Dati!$K$2:$K$381,Dati!$H$2:$H$381,$H44,Dati!$A$2:$A$381,$AP44)+SUMIFS(Dati!$C$2:$C$381,Dati!$A$2:$A$381,$H44,Dati!$H$2:$H$381,$AP44)+SUMIFS(Dati!$J$2:$J$381,Dati!$H$2:$H$381,$H44,Dati!$A$2:$A$381,$AP44),"-")</f>
        <v/>
      </c>
      <c r="CI44" s="22">
        <f>IF(AND($H44&lt;&gt;"",$AQ44&lt;&gt;"",$H44&lt;&gt;$AQ44,IFERROR(VLOOKUP($H44,areaCercaPuntiClassificaSquadra,3,FALSE),-1)=IFERROR(VLOOKUP($AQ44,areaCercaPuntiClassificaSquadra,3,FALSE),-2)),SUMIFS(Dati!$D$2:$D$381,Dati!$A$2:$A$381,$H44,Dati!$H$2:$H$381,$AQ44)+SUMIFS(Dati!$K$2:$K$381,Dati!$H$2:$H$381,$H44,Dati!$A$2:$A$381,$AQ44)+SUMIFS(Dati!$C$2:$C$381,Dati!$A$2:$A$381,$H44,Dati!$H$2:$H$381,$AQ44)+SUMIFS(Dati!$J$2:$J$381,Dati!$H$2:$H$381,$H44,Dati!$A$2:$A$381,$AQ44),"-")</f>
        <v/>
      </c>
      <c r="CJ44" s="22">
        <f>IF(AND($H44&lt;&gt;"",$AR44&lt;&gt;"",$H44&lt;&gt;$AR44,IFERROR(VLOOKUP($H44,areaCercaPuntiClassificaSquadra,3,FALSE),-1)=IFERROR(VLOOKUP($AR44,areaCercaPuntiClassificaSquadra,3,FALSE),-2)),SUMIFS(Dati!$D$2:$D$381,Dati!$A$2:$A$381,$H44,Dati!$H$2:$H$381,$AR44)+SUMIFS(Dati!$K$2:$K$381,Dati!$H$2:$H$381,$H44,Dati!$A$2:$A$381,$AR44)+SUMIFS(Dati!$C$2:$C$381,Dati!$A$2:$A$381,$H44,Dati!$H$2:$H$381,$AR44)+SUMIFS(Dati!$J$2:$J$381,Dati!$H$2:$H$381,$H44,Dati!$A$2:$A$381,$AR44),"-")</f>
        <v/>
      </c>
      <c r="CL44" s="21">
        <f>$C44</f>
        <v/>
      </c>
      <c r="CM44" s="22">
        <f>IF(AND($H44&lt;&gt;"",$Y44&lt;&gt;"",$H44&lt;&gt;$Y44,IFERROR(VLOOKUP($H44,areaCercaPuntiClassificaSquadra,3,FALSE),-1)=IFERROR(VLOOKUP($Y44,areaCercaPuntiClassificaSquadra,3,FALSE),-2)),SUMIFS(Dati!$E$2:$E$381,Dati!$A$2:$A$381,$H44,Dati!$H$2:$H$381,$Y44)+SUMIFS(Dati!$L$2:$L$381,Dati!$H$2:$H$381,$H44,Dati!$A$2:$A$381,$Y44),"-")</f>
        <v/>
      </c>
      <c r="CN44" s="22">
        <f>IF(AND($H44&lt;&gt;"",$Z44&lt;&gt;"",$H44&lt;&gt;$Z44,IFERROR(VLOOKUP($H44,areaCercaPuntiClassificaSquadra,3,FALSE),-1)=IFERROR(VLOOKUP($Z44,areaCercaPuntiClassificaSquadra,3,FALSE),-2)),SUMIFS(Dati!$E$2:$E$381,Dati!$A$2:$A$381,$H44,Dati!$H$2:$H$381,$Z44)+SUMIFS(Dati!$L$2:$L$381,Dati!$H$2:$H$381,$H44,Dati!$A$2:$A$381,$Z44),"-")</f>
        <v/>
      </c>
      <c r="CO44" s="22">
        <f>IF(AND($H44&lt;&gt;"",$AA44&lt;&gt;"",$H44&lt;&gt;$AA44,IFERROR(VLOOKUP($H44,areaCercaPuntiClassificaSquadra,3,FALSE),-1)=IFERROR(VLOOKUP($AA44,areaCercaPuntiClassificaSquadra,3,FALSE),-2)),SUMIFS(Dati!$E$2:$E$381,Dati!$A$2:$A$381,$H44,Dati!$H$2:$H$381,$AA44)+SUMIFS(Dati!$L$2:$L$381,Dati!$H$2:$H$381,$H44,Dati!$A$2:$A$381,$AA44),"-")</f>
        <v/>
      </c>
      <c r="CP44" s="22">
        <f>IF(AND($H44&lt;&gt;"",$AB44&lt;&gt;"",$H44&lt;&gt;$AB44,IFERROR(VLOOKUP($H44,areaCercaPuntiClassificaSquadra,3,FALSE),-1)=IFERROR(VLOOKUP($AB44,areaCercaPuntiClassificaSquadra,3,FALSE),-2)),SUMIFS(Dati!$E$2:$E$381,Dati!$A$2:$A$381,$H44,Dati!$H$2:$H$381,$AB44)+SUMIFS(Dati!$L$2:$L$381,Dati!$H$2:$H$381,$H44,Dati!$A$2:$A$381,$AB44),"-")</f>
        <v/>
      </c>
      <c r="CQ44" s="22">
        <f>IF(AND($H44&lt;&gt;"",$AC44&lt;&gt;"",$H44&lt;&gt;$AC44,IFERROR(VLOOKUP($H44,areaCercaPuntiClassificaSquadra,3,FALSE),-1)=IFERROR(VLOOKUP($AC44,areaCercaPuntiClassificaSquadra,3,FALSE),-2)),SUMIFS(Dati!$E$2:$E$381,Dati!$A$2:$A$381,$H44,Dati!$H$2:$H$381,$AC44)+SUMIFS(Dati!$L$2:$L$381,Dati!$H$2:$H$381,$H44,Dati!$A$2:$A$381,$AC44),"-")</f>
        <v/>
      </c>
      <c r="CR44" s="22">
        <f>IF(AND($H44&lt;&gt;"",$AD44&lt;&gt;"",$H44&lt;&gt;$AD44,IFERROR(VLOOKUP($H44,areaCercaPuntiClassificaSquadra,3,FALSE),-1)=IFERROR(VLOOKUP($AD44,areaCercaPuntiClassificaSquadra,3,FALSE),-2)),SUMIFS(Dati!$E$2:$E$381,Dati!$A$2:$A$381,$H44,Dati!$H$2:$H$381,$AD44)+SUMIFS(Dati!$L$2:$L$381,Dati!$H$2:$H$381,$H44,Dati!$A$2:$A$381,$AD44),"-")</f>
        <v/>
      </c>
      <c r="CS44" s="22">
        <f>IF(AND($H44&lt;&gt;"",$AE44&lt;&gt;"",$H44&lt;&gt;$AE44,IFERROR(VLOOKUP($H44,areaCercaPuntiClassificaSquadra,3,FALSE),-1)=IFERROR(VLOOKUP($AE44,areaCercaPuntiClassificaSquadra,3,FALSE),-2)),SUMIFS(Dati!$E$2:$E$381,Dati!$A$2:$A$381,$H44,Dati!$H$2:$H$381,$AE44)+SUMIFS(Dati!$L$2:$L$381,Dati!$H$2:$H$381,$H44,Dati!$A$2:$A$381,$AE44),"-")</f>
        <v/>
      </c>
      <c r="CT44" s="22">
        <f>IF(AND($H44&lt;&gt;"",$AF44&lt;&gt;"",$H44&lt;&gt;$AF44,IFERROR(VLOOKUP($H44,areaCercaPuntiClassificaSquadra,3,FALSE),-1)=IFERROR(VLOOKUP($AF44,areaCercaPuntiClassificaSquadra,3,FALSE),-2)),SUMIFS(Dati!$E$2:$E$381,Dati!$A$2:$A$381,$H44,Dati!$H$2:$H$381,$AF44)+SUMIFS(Dati!$L$2:$L$381,Dati!$H$2:$H$381,$H44,Dati!$A$2:$A$381,$AF44),"-")</f>
        <v/>
      </c>
      <c r="CU44" s="22">
        <f>IF(AND($H44&lt;&gt;"",$AG44&lt;&gt;"",$H44&lt;&gt;$AG44,IFERROR(VLOOKUP($H44,areaCercaPuntiClassificaSquadra,3,FALSE),-1)=IFERROR(VLOOKUP($AG44,areaCercaPuntiClassificaSquadra,3,FALSE),-2)),SUMIFS(Dati!$E$2:$E$381,Dati!$A$2:$A$381,$H44,Dati!$H$2:$H$381,$AG44)+SUMIFS(Dati!$L$2:$L$381,Dati!$H$2:$H$381,$H44,Dati!$A$2:$A$381,$AG44),"-")</f>
        <v/>
      </c>
      <c r="CV44" s="22">
        <f>IF(AND($H44&lt;&gt;"",$AH44&lt;&gt;"",$H44&lt;&gt;$AH44,IFERROR(VLOOKUP($H44,areaCercaPuntiClassificaSquadra,3,FALSE),-1)=IFERROR(VLOOKUP($AH44,areaCercaPuntiClassificaSquadra,3,FALSE),-2)),SUMIFS(Dati!$E$2:$E$381,Dati!$A$2:$A$381,$H44,Dati!$H$2:$H$381,$AH44)+SUMIFS(Dati!$L$2:$L$381,Dati!$H$2:$H$381,$H44,Dati!$A$2:$A$381,$AH44),"-")</f>
        <v/>
      </c>
      <c r="CW44" s="22">
        <f>IF(AND($H44&lt;&gt;"",$AI44&lt;&gt;"",$H44&lt;&gt;$AI44,IFERROR(VLOOKUP($H44,areaCercaPuntiClassificaSquadra,3,FALSE),-1)=IFERROR(VLOOKUP($AI44,areaCercaPuntiClassificaSquadra,3,FALSE),-2)),SUMIFS(Dati!$E$2:$E$381,Dati!$A$2:$A$381,$H44,Dati!$H$2:$H$381,$AI44)+SUMIFS(Dati!$L$2:$L$381,Dati!$H$2:$H$381,$H44,Dati!$A$2:$A$381,$AI44),"-")</f>
        <v/>
      </c>
      <c r="CX44" s="22">
        <f>IF(AND($H44&lt;&gt;"",$AJ44&lt;&gt;"",$H44&lt;&gt;$AJ44,IFERROR(VLOOKUP($H44,areaCercaPuntiClassificaSquadra,3,FALSE),-1)=IFERROR(VLOOKUP($AJ44,areaCercaPuntiClassificaSquadra,3,FALSE),-2)),SUMIFS(Dati!$E$2:$E$381,Dati!$A$2:$A$381,$H44,Dati!$H$2:$H$381,$AJ44)+SUMIFS(Dati!$L$2:$L$381,Dati!$H$2:$H$381,$H44,Dati!$A$2:$A$381,$AJ44),"-")</f>
        <v/>
      </c>
      <c r="CY44" s="22">
        <f>IF(AND($H44&lt;&gt;"",$AK44&lt;&gt;"",$H44&lt;&gt;$AK44,IFERROR(VLOOKUP($H44,areaCercaPuntiClassificaSquadra,3,FALSE),-1)=IFERROR(VLOOKUP($AK44,areaCercaPuntiClassificaSquadra,3,FALSE),-2)),SUMIFS(Dati!$E$2:$E$381,Dati!$A$2:$A$381,$H44,Dati!$H$2:$H$381,$AK44)+SUMIFS(Dati!$L$2:$L$381,Dati!$H$2:$H$381,$H44,Dati!$A$2:$A$381,$AK44),"-")</f>
        <v/>
      </c>
      <c r="CZ44" s="22">
        <f>IF(AND($H44&lt;&gt;"",$AL44&lt;&gt;"",$H44&lt;&gt;$AL44,IFERROR(VLOOKUP($H44,areaCercaPuntiClassificaSquadra,3,FALSE),-1)=IFERROR(VLOOKUP($AL44,areaCercaPuntiClassificaSquadra,3,FALSE),-2)),SUMIFS(Dati!$E$2:$E$381,Dati!$A$2:$A$381,$H44,Dati!$H$2:$H$381,$AL44)+SUMIFS(Dati!$L$2:$L$381,Dati!$H$2:$H$381,$H44,Dati!$A$2:$A$381,$AL44),"-")</f>
        <v/>
      </c>
      <c r="DA44" s="22">
        <f>IF(AND($H44&lt;&gt;"",$AM44&lt;&gt;"",$H44&lt;&gt;$AM44,IFERROR(VLOOKUP($H44,areaCercaPuntiClassificaSquadra,3,FALSE),-1)=IFERROR(VLOOKUP($AM44,areaCercaPuntiClassificaSquadra,3,FALSE),-2)),SUMIFS(Dati!$E$2:$E$381,Dati!$A$2:$A$381,$H44,Dati!$H$2:$H$381,$AM44)+SUMIFS(Dati!$L$2:$L$381,Dati!$H$2:$H$381,$H44,Dati!$A$2:$A$381,$AM44),"-")</f>
        <v/>
      </c>
      <c r="DB44" s="22">
        <f>IF(AND($H44&lt;&gt;"",$AN44&lt;&gt;"",$H44&lt;&gt;$AN44,IFERROR(VLOOKUP($H44,areaCercaPuntiClassificaSquadra,3,FALSE),-1)=IFERROR(VLOOKUP($AN44,areaCercaPuntiClassificaSquadra,3,FALSE),-2)),SUMIFS(Dati!$E$2:$E$381,Dati!$A$2:$A$381,$H44,Dati!$H$2:$H$381,$AN44)+SUMIFS(Dati!$L$2:$L$381,Dati!$H$2:$H$381,$H44,Dati!$A$2:$A$381,$AN44),"-")</f>
        <v/>
      </c>
      <c r="DC44" s="22">
        <f>IF(AND($H44&lt;&gt;"",$AO44&lt;&gt;"",$H44&lt;&gt;$AO44,IFERROR(VLOOKUP($H44,areaCercaPuntiClassificaSquadra,3,FALSE),-1)=IFERROR(VLOOKUP($AO44,areaCercaPuntiClassificaSquadra,3,FALSE),-2)),SUMIFS(Dati!$E$2:$E$381,Dati!$A$2:$A$381,$H44,Dati!$H$2:$H$381,$AO44)+SUMIFS(Dati!$L$2:$L$381,Dati!$H$2:$H$381,$H44,Dati!$A$2:$A$381,$AO44),"-")</f>
        <v/>
      </c>
      <c r="DD44" s="22">
        <f>IF(AND($H44&lt;&gt;"",$AP44&lt;&gt;"",$H44&lt;&gt;$AP44,IFERROR(VLOOKUP($H44,areaCercaPuntiClassificaSquadra,3,FALSE),-1)=IFERROR(VLOOKUP($AP44,areaCercaPuntiClassificaSquadra,3,FALSE),-2)),SUMIFS(Dati!$E$2:$E$381,Dati!$A$2:$A$381,$H44,Dati!$H$2:$H$381,$AP44)+SUMIFS(Dati!$L$2:$L$381,Dati!$H$2:$H$381,$H44,Dati!$A$2:$A$381,$AP44),"-")</f>
        <v/>
      </c>
      <c r="DE44" s="22">
        <f>IF(AND($H44&lt;&gt;"",$AQ44&lt;&gt;"",$H44&lt;&gt;$AQ44,IFERROR(VLOOKUP($H44,areaCercaPuntiClassificaSquadra,3,FALSE),-1)=IFERROR(VLOOKUP($AQ44,areaCercaPuntiClassificaSquadra,3,FALSE),-2)),SUMIFS(Dati!$E$2:$E$381,Dati!$A$2:$A$381,$H44,Dati!$H$2:$H$381,$AQ44)+SUMIFS(Dati!$L$2:$L$381,Dati!$H$2:$H$381,$H44,Dati!$A$2:$A$381,$AQ44),"-")</f>
        <v/>
      </c>
      <c r="DF44" s="22">
        <f>IF(AND($H44&lt;&gt;"",$AR44&lt;&gt;"",$H44&lt;&gt;$AR44,IFERROR(VLOOKUP($H44,areaCercaPuntiClassificaSquadra,3,FALSE),-1)=IFERROR(VLOOKUP($AR44,areaCercaPuntiClassificaSquadra,3,FALSE),-2)),SUMIFS(Dati!$E$2:$E$381,Dati!$A$2:$A$381,$H44,Dati!$H$2:$H$381,$AR44)+SUMIFS(Dati!$L$2:$L$381,Dati!$H$2:$H$381,$H44,Dati!$A$2:$A$381,$AR44),"-")</f>
        <v/>
      </c>
      <c r="DH44" s="21">
        <f>$C44</f>
        <v/>
      </c>
      <c r="DI44" s="22">
        <f>IF(AND($H44&lt;&gt;"",$Y44&lt;&gt;"",$H44&lt;&gt;$Y44,IFERROR(VLOOKUP($H44,areaCercaPuntiClassificaSquadra,3,FALSE),-1)=IFERROR(VLOOKUP($Y44,areaCercaPuntiClassificaSquadra,3,FALSE),-2)),SUMIFS(Dati!$F$2:$F$381,Dati!$A$2:$A$381,$H44,Dati!$H$2:$H$381,$Y44)+SUMIFS(Dati!$M$2:$M$381,Dati!$H$2:$H$381,$H44,Dati!$A$2:$A$381,$Y44),"-")</f>
        <v/>
      </c>
      <c r="DJ44" s="22">
        <f>IF(AND($H44&lt;&gt;"",$Z44&lt;&gt;"",$H44&lt;&gt;$Z44,IFERROR(VLOOKUP($H44,areaCercaPuntiClassificaSquadra,3,FALSE),-1)=IFERROR(VLOOKUP($Z44,areaCercaPuntiClassificaSquadra,3,FALSE),-2)),SUMIFS(Dati!$F$2:$F$381,Dati!$A$2:$A$381,$H44,Dati!$H$2:$H$381,$Z44)+SUMIFS(Dati!$M$2:$M$381,Dati!$H$2:$H$381,$H44,Dati!$A$2:$A$381,$Z44),"-")</f>
        <v/>
      </c>
      <c r="DK44" s="22">
        <f>IF(AND($H44&lt;&gt;"",$AA44&lt;&gt;"",$H44&lt;&gt;$AA44,IFERROR(VLOOKUP($H44,areaCercaPuntiClassificaSquadra,3,FALSE),-1)=IFERROR(VLOOKUP($AA44,areaCercaPuntiClassificaSquadra,3,FALSE),-2)),SUMIFS(Dati!$F$2:$F$381,Dati!$A$2:$A$381,$H44,Dati!$H$2:$H$381,$AA44)+SUMIFS(Dati!$M$2:$M$381,Dati!$H$2:$H$381,$H44,Dati!$A$2:$A$381,$AA44),"-")</f>
        <v/>
      </c>
      <c r="DL44" s="22">
        <f>IF(AND($H44&lt;&gt;"",$AB44&lt;&gt;"",$H44&lt;&gt;$AB44,IFERROR(VLOOKUP($H44,areaCercaPuntiClassificaSquadra,3,FALSE),-1)=IFERROR(VLOOKUP($AB44,areaCercaPuntiClassificaSquadra,3,FALSE),-2)),SUMIFS(Dati!$F$2:$F$381,Dati!$A$2:$A$381,$H44,Dati!$H$2:$H$381,$AB44)+SUMIFS(Dati!$M$2:$M$381,Dati!$H$2:$H$381,$H44,Dati!$A$2:$A$381,$AB44),"-")</f>
        <v/>
      </c>
      <c r="DM44" s="22">
        <f>IF(AND($H44&lt;&gt;"",$AC44&lt;&gt;"",$H44&lt;&gt;$AC44,IFERROR(VLOOKUP($H44,areaCercaPuntiClassificaSquadra,3,FALSE),-1)=IFERROR(VLOOKUP($AC44,areaCercaPuntiClassificaSquadra,3,FALSE),-2)),SUMIFS(Dati!$F$2:$F$381,Dati!$A$2:$A$381,$H44,Dati!$H$2:$H$381,$AC44)+SUMIFS(Dati!$M$2:$M$381,Dati!$H$2:$H$381,$H44,Dati!$A$2:$A$381,$AC44),"-")</f>
        <v/>
      </c>
      <c r="DN44" s="22">
        <f>IF(AND($H44&lt;&gt;"",$AD44&lt;&gt;"",$H44&lt;&gt;$AD44,IFERROR(VLOOKUP($H44,areaCercaPuntiClassificaSquadra,3,FALSE),-1)=IFERROR(VLOOKUP($AD44,areaCercaPuntiClassificaSquadra,3,FALSE),-2)),SUMIFS(Dati!$F$2:$F$381,Dati!$A$2:$A$381,$H44,Dati!$H$2:$H$381,$AD44)+SUMIFS(Dati!$M$2:$M$381,Dati!$H$2:$H$381,$H44,Dati!$A$2:$A$381,$AD44),"-")</f>
        <v/>
      </c>
      <c r="DO44" s="22">
        <f>IF(AND($H44&lt;&gt;"",$AE44&lt;&gt;"",$H44&lt;&gt;$AE44,IFERROR(VLOOKUP($H44,areaCercaPuntiClassificaSquadra,3,FALSE),-1)=IFERROR(VLOOKUP($AE44,areaCercaPuntiClassificaSquadra,3,FALSE),-2)),SUMIFS(Dati!$F$2:$F$381,Dati!$A$2:$A$381,$H44,Dati!$H$2:$H$381,$AE44)+SUMIFS(Dati!$M$2:$M$381,Dati!$H$2:$H$381,$H44,Dati!$A$2:$A$381,$AE44),"-")</f>
        <v/>
      </c>
      <c r="DP44" s="22">
        <f>IF(AND($H44&lt;&gt;"",$AF44&lt;&gt;"",$H44&lt;&gt;$AF44,IFERROR(VLOOKUP($H44,areaCercaPuntiClassificaSquadra,3,FALSE),-1)=IFERROR(VLOOKUP($AF44,areaCercaPuntiClassificaSquadra,3,FALSE),-2)),SUMIFS(Dati!$F$2:$F$381,Dati!$A$2:$A$381,$H44,Dati!$H$2:$H$381,$AF44)+SUMIFS(Dati!$M$2:$M$381,Dati!$H$2:$H$381,$H44,Dati!$A$2:$A$381,$AF44),"-")</f>
        <v/>
      </c>
      <c r="DQ44" s="22">
        <f>IF(AND($H44&lt;&gt;"",$AG44&lt;&gt;"",$H44&lt;&gt;$AG44,IFERROR(VLOOKUP($H44,areaCercaPuntiClassificaSquadra,3,FALSE),-1)=IFERROR(VLOOKUP($AG44,areaCercaPuntiClassificaSquadra,3,FALSE),-2)),SUMIFS(Dati!$F$2:$F$381,Dati!$A$2:$A$381,$H44,Dati!$H$2:$H$381,$AG44)+SUMIFS(Dati!$M$2:$M$381,Dati!$H$2:$H$381,$H44,Dati!$A$2:$A$381,$AG44),"-")</f>
        <v/>
      </c>
      <c r="DR44" s="22">
        <f>IF(AND($H44&lt;&gt;"",$AH44&lt;&gt;"",$H44&lt;&gt;$AH44,IFERROR(VLOOKUP($H44,areaCercaPuntiClassificaSquadra,3,FALSE),-1)=IFERROR(VLOOKUP($AH44,areaCercaPuntiClassificaSquadra,3,FALSE),-2)),SUMIFS(Dati!$F$2:$F$381,Dati!$A$2:$A$381,$H44,Dati!$H$2:$H$381,$AH44)+SUMIFS(Dati!$M$2:$M$381,Dati!$H$2:$H$381,$H44,Dati!$A$2:$A$381,$AH44),"-")</f>
        <v/>
      </c>
      <c r="DS44" s="22">
        <f>IF(AND($H44&lt;&gt;"",$AI44&lt;&gt;"",$H44&lt;&gt;$AI44,IFERROR(VLOOKUP($H44,areaCercaPuntiClassificaSquadra,3,FALSE),-1)=IFERROR(VLOOKUP($AI44,areaCercaPuntiClassificaSquadra,3,FALSE),-2)),SUMIFS(Dati!$F$2:$F$381,Dati!$A$2:$A$381,$H44,Dati!$H$2:$H$381,$AI44)+SUMIFS(Dati!$M$2:$M$381,Dati!$H$2:$H$381,$H44,Dati!$A$2:$A$381,$AI44),"-")</f>
        <v/>
      </c>
      <c r="DT44" s="22">
        <f>IF(AND($H44&lt;&gt;"",$AJ44&lt;&gt;"",$H44&lt;&gt;$AJ44,IFERROR(VLOOKUP($H44,areaCercaPuntiClassificaSquadra,3,FALSE),-1)=IFERROR(VLOOKUP($AJ44,areaCercaPuntiClassificaSquadra,3,FALSE),-2)),SUMIFS(Dati!$F$2:$F$381,Dati!$A$2:$A$381,$H44,Dati!$H$2:$H$381,$AJ44)+SUMIFS(Dati!$M$2:$M$381,Dati!$H$2:$H$381,$H44,Dati!$A$2:$A$381,$AJ44),"-")</f>
        <v/>
      </c>
      <c r="DU44" s="22">
        <f>IF(AND($H44&lt;&gt;"",$AK44&lt;&gt;"",$H44&lt;&gt;$AK44,IFERROR(VLOOKUP($H44,areaCercaPuntiClassificaSquadra,3,FALSE),-1)=IFERROR(VLOOKUP($AK44,areaCercaPuntiClassificaSquadra,3,FALSE),-2)),SUMIFS(Dati!$F$2:$F$381,Dati!$A$2:$A$381,$H44,Dati!$H$2:$H$381,$AK44)+SUMIFS(Dati!$M$2:$M$381,Dati!$H$2:$H$381,$H44,Dati!$A$2:$A$381,$AK44),"-")</f>
        <v/>
      </c>
      <c r="DV44" s="22">
        <f>IF(AND($H44&lt;&gt;"",$AL44&lt;&gt;"",$H44&lt;&gt;$AL44,IFERROR(VLOOKUP($H44,areaCercaPuntiClassificaSquadra,3,FALSE),-1)=IFERROR(VLOOKUP($AL44,areaCercaPuntiClassificaSquadra,3,FALSE),-2)),SUMIFS(Dati!$F$2:$F$381,Dati!$A$2:$A$381,$H44,Dati!$H$2:$H$381,$AL44)+SUMIFS(Dati!$M$2:$M$381,Dati!$H$2:$H$381,$H44,Dati!$A$2:$A$381,$AL44),"-")</f>
        <v/>
      </c>
      <c r="DW44" s="22">
        <f>IF(AND($H44&lt;&gt;"",$AM44&lt;&gt;"",$H44&lt;&gt;$AM44,IFERROR(VLOOKUP($H44,areaCercaPuntiClassificaSquadra,3,FALSE),-1)=IFERROR(VLOOKUP($AM44,areaCercaPuntiClassificaSquadra,3,FALSE),-2)),SUMIFS(Dati!$F$2:$F$381,Dati!$A$2:$A$381,$H44,Dati!$H$2:$H$381,$AM44)+SUMIFS(Dati!$M$2:$M$381,Dati!$H$2:$H$381,$H44,Dati!$A$2:$A$381,$AM44),"-")</f>
        <v/>
      </c>
      <c r="DX44" s="22">
        <f>IF(AND($H44&lt;&gt;"",$AN44&lt;&gt;"",$H44&lt;&gt;$AN44,IFERROR(VLOOKUP($H44,areaCercaPuntiClassificaSquadra,3,FALSE),-1)=IFERROR(VLOOKUP($AN44,areaCercaPuntiClassificaSquadra,3,FALSE),-2)),SUMIFS(Dati!$F$2:$F$381,Dati!$A$2:$A$381,$H44,Dati!$H$2:$H$381,$AN44)+SUMIFS(Dati!$M$2:$M$381,Dati!$H$2:$H$381,$H44,Dati!$A$2:$A$381,$AN44),"-")</f>
        <v/>
      </c>
      <c r="DY44" s="22">
        <f>IF(AND($H44&lt;&gt;"",$AO44&lt;&gt;"",$H44&lt;&gt;$AO44,IFERROR(VLOOKUP($H44,areaCercaPuntiClassificaSquadra,3,FALSE),-1)=IFERROR(VLOOKUP($AO44,areaCercaPuntiClassificaSquadra,3,FALSE),-2)),SUMIFS(Dati!$F$2:$F$381,Dati!$A$2:$A$381,$H44,Dati!$H$2:$H$381,$AO44)+SUMIFS(Dati!$M$2:$M$381,Dati!$H$2:$H$381,$H44,Dati!$A$2:$A$381,$AO44),"-")</f>
        <v/>
      </c>
      <c r="DZ44" s="22">
        <f>IF(AND($H44&lt;&gt;"",$AP44&lt;&gt;"",$H44&lt;&gt;$AP44,IFERROR(VLOOKUP($H44,areaCercaPuntiClassificaSquadra,3,FALSE),-1)=IFERROR(VLOOKUP($AP44,areaCercaPuntiClassificaSquadra,3,FALSE),-2)),SUMIFS(Dati!$F$2:$F$381,Dati!$A$2:$A$381,$H44,Dati!$H$2:$H$381,$AP44)+SUMIFS(Dati!$M$2:$M$381,Dati!$H$2:$H$381,$H44,Dati!$A$2:$A$381,$AP44),"-")</f>
        <v/>
      </c>
      <c r="EA44" s="22">
        <f>IF(AND($H44&lt;&gt;"",$AQ44&lt;&gt;"",$H44&lt;&gt;$AQ44,IFERROR(VLOOKUP($H44,areaCercaPuntiClassificaSquadra,3,FALSE),-1)=IFERROR(VLOOKUP($AQ44,areaCercaPuntiClassificaSquadra,3,FALSE),-2)),SUMIFS(Dati!$F$2:$F$381,Dati!$A$2:$A$381,$H44,Dati!$H$2:$H$381,$AQ44)+SUMIFS(Dati!$M$2:$M$381,Dati!$H$2:$H$381,$H44,Dati!$A$2:$A$381,$AQ44),"-")</f>
        <v/>
      </c>
      <c r="EB44" s="22">
        <f>IF(AND($H44&lt;&gt;"",$AR44&lt;&gt;"",$H44&lt;&gt;$AR44,IFERROR(VLOOKUP($H44,areaCercaPuntiClassificaSquadra,3,FALSE),-1)=IFERROR(VLOOKUP($AR44,areaCercaPuntiClassificaSquadra,3,FALSE),-2)),SUMIFS(Dati!$F$2:$F$381,Dati!$A$2:$A$381,$H44,Dati!$H$2:$H$381,$AR44)+SUMIFS(Dati!$M$2:$M$381,Dati!$H$2:$H$381,$H44,Dati!$A$2:$A$381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inlineStr">
        <is>
          <t>Serpenti Sagaci-Serpentiopoli SE</t>
        </is>
      </c>
      <c r="D45" s="14" t="n"/>
      <c r="E45" s="23" t="inlineStr">
        <is>
          <t>B</t>
        </is>
      </c>
      <c r="G45" s="24">
        <f>IF($C45="","",$E45&amp;(COUNTIFS(I$14:I$53,"&gt;"&amp;I45,E$14:E$53,"="&amp;E45,C$14:C$53,"&lt;&gt;")+COUNTIFS(I$14:I$53,"="&amp;I45,H$14:H$53,"&lt;="&amp;H45,E$14:E$53,"="&amp;E45,C$14:C$53,"&lt;&gt;")))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L45*constPuntiVittoria+M45*constPuntiSconfitta+N45*constPuntiForfait+IF(D45="",0,D45)</f>
        <v/>
      </c>
      <c r="K45" s="12">
        <f>SUM(L45:N45)</f>
        <v/>
      </c>
      <c r="L45" s="12">
        <f>IF($H45="",0,SUMIF(Dati!$A$2:$A$381,$H45,Dati!$B$2:$B$381)+SUMIF(Dati!$H$2:$H$381,$H45,Dati!$I$2:$I$381))</f>
        <v/>
      </c>
      <c r="M45" s="12">
        <f>IF($H45="",0,SUMIF(Dati!$A$2:$A$381,$H45,Dati!$D$2:$D$381)+SUMIF(Dati!$H$2:$H$381,$H45,Dati!$K$2:$K$381))</f>
        <v/>
      </c>
      <c r="N45" s="12">
        <f>IF($H45="",0,SUMIF(Dati!$A$2:$A$381,$H45,Dati!$C$2:$C$381)+SUMIF(Dati!$H$2:$H$381,$H45,Dati!$J$2:$J$381))</f>
        <v/>
      </c>
      <c r="O45" s="12">
        <f>IF($H45="",0,SUMIF(Dati!$A$2:$A$381,$H45,Dati!$E$2:$E$381)+SUMIF(Dati!$H$2:$H$381,$H45,Dati!$L$2:$L$381))</f>
        <v/>
      </c>
      <c r="P45" s="12">
        <f>IF($H45="",0,SUMIF(Dati!$A$2:$A$381,$H45,Dati!$F$2:$F$381)+SUMIF(Dati!$H$2:$H$381,$H45,Dati!$M$2:$M$381))</f>
        <v/>
      </c>
      <c r="Q45" s="12">
        <f>IF($H45="",0,SUMIF(Dati!$A$2:$A$381,$H45,Dati!$G$2:$G$381)+SUMIF(Dati!$H$2:$H$381,$H45,Dati!$N$2:$N$381))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IF(COUNTIFS($E$14:$E$53,$E45,$J$14:$J$53,$J45,$C$14:$C$53,"&lt;&gt;")&lt;=1,"-",SUM(AU45:BN45)&amp;"-"&amp;SUM(BQ45:CJ45))</f>
        <v/>
      </c>
      <c r="V45" s="18">
        <f>IF(COUNTIFS($E$14:$E$53,$E45,$J$14:$J$53,$J45,$C$14:$C$53,"&lt;&gt;",$ED$14:$ED$53,$ED45)&lt;=1,"-",IF(SUM(DI45:EB45)=0,0,ROUND(SUM(CM45:DF45)/SUM(DI45:EB45),3)))</f>
        <v/>
      </c>
      <c r="W45" s="18">
        <f>IF(COUNTIFS($E$14:$E$53,$E45,$J$14:$J$53,$J45,$C$14:$C$53,"&lt;&gt;",$ED$14:$ED$53,$ED45,$V$14:$V$53,$V45)&lt;=1,"-",IF(P45=0,0,ROUND(O45/P45,3)))</f>
        <v/>
      </c>
      <c r="X45" s="19">
        <f>IF($C45="","",$E45&amp;"#"&amp;COUNTIFS($E$14:$E45,$E45,$C$14:$C45,"&lt;&gt;"))</f>
        <v/>
      </c>
      <c r="Y45" s="20">
        <f>IFERROR(INDEX($H$14:$H$53,MATCH($E45&amp;"#1",$X$14:$X$53,0)),"")</f>
        <v/>
      </c>
      <c r="Z45" s="20">
        <f>IFERROR(INDEX($H$14:$H$53,MATCH($E45&amp;"#2",$X$14:$X$53,0)),"")</f>
        <v/>
      </c>
      <c r="AA45" s="20">
        <f>IFERROR(INDEX($H$14:$H$53,MATCH($E45&amp;"#3",$X$14:$X$53,0)),"")</f>
        <v/>
      </c>
      <c r="AB45" s="20">
        <f>IFERROR(INDEX($H$14:$H$53,MATCH($E45&amp;"#4",$X$14:$X$53,0)),"")</f>
        <v/>
      </c>
      <c r="AC45" s="20">
        <f>IFERROR(INDEX($H$14:$H$53,MATCH($E45&amp;"#5",$X$14:$X$53,0)),"")</f>
        <v/>
      </c>
      <c r="AD45" s="20">
        <f>IFERROR(INDEX($H$14:$H$53,MATCH($E45&amp;"#6",$X$14:$X$53,0)),"")</f>
        <v/>
      </c>
      <c r="AE45" s="20">
        <f>IFERROR(INDEX($H$14:$H$53,MATCH($E45&amp;"#7",$X$14:$X$53,0)),"")</f>
        <v/>
      </c>
      <c r="AF45" s="20">
        <f>IFERROR(INDEX($H$14:$H$53,MATCH($E45&amp;"#8",$X$14:$X$53,0)),"")</f>
        <v/>
      </c>
      <c r="AG45" s="20">
        <f>IFERROR(INDEX($H$14:$H$53,MATCH($E45&amp;"#9",$X$14:$X$53,0)),"")</f>
        <v/>
      </c>
      <c r="AH45" s="20">
        <f>IFERROR(INDEX($H$14:$H$53,MATCH($E45&amp;"#10",$X$14:$X$53,0)),"")</f>
        <v/>
      </c>
      <c r="AI45" s="20">
        <f>IFERROR(INDEX($H$14:$H$53,MATCH($E45&amp;"#11",$X$14:$X$53,0)),"")</f>
        <v/>
      </c>
      <c r="AJ45" s="20">
        <f>IFERROR(INDEX($H$14:$H$53,MATCH($E45&amp;"#12",$X$14:$X$53,0)),"")</f>
        <v/>
      </c>
      <c r="AK45" s="20">
        <f>IFERROR(INDEX($H$14:$H$53,MATCH($E45&amp;"#13",$X$14:$X$53,0)),"")</f>
        <v/>
      </c>
      <c r="AL45" s="20">
        <f>IFERROR(INDEX($H$14:$H$53,MATCH($E45&amp;"#14",$X$14:$X$53,0)),"")</f>
        <v/>
      </c>
      <c r="AM45" s="20">
        <f>IFERROR(INDEX($H$14:$H$53,MATCH($E45&amp;"#15",$X$14:$X$53,0)),"")</f>
        <v/>
      </c>
      <c r="AN45" s="20">
        <f>IFERROR(INDEX($H$14:$H$53,MATCH($E45&amp;"#16",$X$14:$X$53,0)),"")</f>
        <v/>
      </c>
      <c r="AO45" s="20">
        <f>IFERROR(INDEX($H$14:$H$53,MATCH($E45&amp;"#17",$X$14:$X$53,0)),"")</f>
        <v/>
      </c>
      <c r="AP45" s="20">
        <f>IFERROR(INDEX($H$14:$H$53,MATCH($E45&amp;"#18",$X$14:$X$53,0)),"")</f>
        <v/>
      </c>
      <c r="AQ45" s="20">
        <f>IFERROR(INDEX($H$14:$H$53,MATCH($E45&amp;"#19",$X$14:$X$53,0)),"")</f>
        <v/>
      </c>
      <c r="AR45" s="20">
        <f>IFERROR(INDEX($H$14:$H$53,MATCH($E45&amp;"#20",$X$14:$X$53,0)),"")</f>
        <v/>
      </c>
      <c r="AT45" s="21">
        <f>$C45</f>
        <v/>
      </c>
      <c r="AU45" s="22">
        <f>IF(AND($H45&lt;&gt;"",$Y45&lt;&gt;"",$H45&lt;&gt;$Y45,IFERROR(VLOOKUP($H45,areaCercaPuntiClassificaSquadra,3,FALSE),-1)=IFERROR(VLOOKUP($Y45,areaCercaPuntiClassificaSquadra,3,FALSE),-2)),SUMIFS(Dati!$B$2:$B$381,Dati!$A$2:$A$381,$H45,Dati!$H$2:$H$381,$Y45)+SUMIFS(Dati!$I$2:$I$381,Dati!$H$2:$H$381,$H45,Dati!$A$2:$A$381,$Y45),"-")</f>
        <v/>
      </c>
      <c r="AV45" s="22">
        <f>IF(AND($H45&lt;&gt;"",$Z45&lt;&gt;"",$H45&lt;&gt;$Z45,IFERROR(VLOOKUP($H45,areaCercaPuntiClassificaSquadra,3,FALSE),-1)=IFERROR(VLOOKUP($Z45,areaCercaPuntiClassificaSquadra,3,FALSE),-2)),SUMIFS(Dati!$B$2:$B$381,Dati!$A$2:$A$381,$H45,Dati!$H$2:$H$381,$Z45)+SUMIFS(Dati!$I$2:$I$381,Dati!$H$2:$H$381,$H45,Dati!$A$2:$A$381,$Z45),"-")</f>
        <v/>
      </c>
      <c r="AW45" s="22">
        <f>IF(AND($H45&lt;&gt;"",$AA45&lt;&gt;"",$H45&lt;&gt;$AA45,IFERROR(VLOOKUP($H45,areaCercaPuntiClassificaSquadra,3,FALSE),-1)=IFERROR(VLOOKUP($AA45,areaCercaPuntiClassificaSquadra,3,FALSE),-2)),SUMIFS(Dati!$B$2:$B$381,Dati!$A$2:$A$381,$H45,Dati!$H$2:$H$381,$AA45)+SUMIFS(Dati!$I$2:$I$381,Dati!$H$2:$H$381,$H45,Dati!$A$2:$A$381,$AA45),"-")</f>
        <v/>
      </c>
      <c r="AX45" s="22">
        <f>IF(AND($H45&lt;&gt;"",$AB45&lt;&gt;"",$H45&lt;&gt;$AB45,IFERROR(VLOOKUP($H45,areaCercaPuntiClassificaSquadra,3,FALSE),-1)=IFERROR(VLOOKUP($AB45,areaCercaPuntiClassificaSquadra,3,FALSE),-2)),SUMIFS(Dati!$B$2:$B$381,Dati!$A$2:$A$381,$H45,Dati!$H$2:$H$381,$AB45)+SUMIFS(Dati!$I$2:$I$381,Dati!$H$2:$H$381,$H45,Dati!$A$2:$A$381,$AB45),"-")</f>
        <v/>
      </c>
      <c r="AY45" s="22">
        <f>IF(AND($H45&lt;&gt;"",$AC45&lt;&gt;"",$H45&lt;&gt;$AC45,IFERROR(VLOOKUP($H45,areaCercaPuntiClassificaSquadra,3,FALSE),-1)=IFERROR(VLOOKUP($AC45,areaCercaPuntiClassificaSquadra,3,FALSE),-2)),SUMIFS(Dati!$B$2:$B$381,Dati!$A$2:$A$381,$H45,Dati!$H$2:$H$381,$AC45)+SUMIFS(Dati!$I$2:$I$381,Dati!$H$2:$H$381,$H45,Dati!$A$2:$A$381,$AC45),"-")</f>
        <v/>
      </c>
      <c r="AZ45" s="22">
        <f>IF(AND($H45&lt;&gt;"",$AD45&lt;&gt;"",$H45&lt;&gt;$AD45,IFERROR(VLOOKUP($H45,areaCercaPuntiClassificaSquadra,3,FALSE),-1)=IFERROR(VLOOKUP($AD45,areaCercaPuntiClassificaSquadra,3,FALSE),-2)),SUMIFS(Dati!$B$2:$B$381,Dati!$A$2:$A$381,$H45,Dati!$H$2:$H$381,$AD45)+SUMIFS(Dati!$I$2:$I$381,Dati!$H$2:$H$381,$H45,Dati!$A$2:$A$381,$AD45),"-")</f>
        <v/>
      </c>
      <c r="BA45" s="22">
        <f>IF(AND($H45&lt;&gt;"",$AE45&lt;&gt;"",$H45&lt;&gt;$AE45,IFERROR(VLOOKUP($H45,areaCercaPuntiClassificaSquadra,3,FALSE),-1)=IFERROR(VLOOKUP($AE45,areaCercaPuntiClassificaSquadra,3,FALSE),-2)),SUMIFS(Dati!$B$2:$B$381,Dati!$A$2:$A$381,$H45,Dati!$H$2:$H$381,$AE45)+SUMIFS(Dati!$I$2:$I$381,Dati!$H$2:$H$381,$H45,Dati!$A$2:$A$381,$AE45),"-")</f>
        <v/>
      </c>
      <c r="BB45" s="22">
        <f>IF(AND($H45&lt;&gt;"",$AF45&lt;&gt;"",$H45&lt;&gt;$AF45,IFERROR(VLOOKUP($H45,areaCercaPuntiClassificaSquadra,3,FALSE),-1)=IFERROR(VLOOKUP($AF45,areaCercaPuntiClassificaSquadra,3,FALSE),-2)),SUMIFS(Dati!$B$2:$B$381,Dati!$A$2:$A$381,$H45,Dati!$H$2:$H$381,$AF45)+SUMIFS(Dati!$I$2:$I$381,Dati!$H$2:$H$381,$H45,Dati!$A$2:$A$381,$AF45),"-")</f>
        <v/>
      </c>
      <c r="BC45" s="22">
        <f>IF(AND($H45&lt;&gt;"",$AG45&lt;&gt;"",$H45&lt;&gt;$AG45,IFERROR(VLOOKUP($H45,areaCercaPuntiClassificaSquadra,3,FALSE),-1)=IFERROR(VLOOKUP($AG45,areaCercaPuntiClassificaSquadra,3,FALSE),-2)),SUMIFS(Dati!$B$2:$B$381,Dati!$A$2:$A$381,$H45,Dati!$H$2:$H$381,$AG45)+SUMIFS(Dati!$I$2:$I$381,Dati!$H$2:$H$381,$H45,Dati!$A$2:$A$381,$AG45),"-")</f>
        <v/>
      </c>
      <c r="BD45" s="22">
        <f>IF(AND($H45&lt;&gt;"",$AH45&lt;&gt;"",$H45&lt;&gt;$AH45,IFERROR(VLOOKUP($H45,areaCercaPuntiClassificaSquadra,3,FALSE),-1)=IFERROR(VLOOKUP($AH45,areaCercaPuntiClassificaSquadra,3,FALSE),-2)),SUMIFS(Dati!$B$2:$B$381,Dati!$A$2:$A$381,$H45,Dati!$H$2:$H$381,$AH45)+SUMIFS(Dati!$I$2:$I$381,Dati!$H$2:$H$381,$H45,Dati!$A$2:$A$381,$AH45),"-")</f>
        <v/>
      </c>
      <c r="BE45" s="22">
        <f>IF(AND($H45&lt;&gt;"",$AI45&lt;&gt;"",$H45&lt;&gt;$AI45,IFERROR(VLOOKUP($H45,areaCercaPuntiClassificaSquadra,3,FALSE),-1)=IFERROR(VLOOKUP($AI45,areaCercaPuntiClassificaSquadra,3,FALSE),-2)),SUMIFS(Dati!$B$2:$B$381,Dati!$A$2:$A$381,$H45,Dati!$H$2:$H$381,$AI45)+SUMIFS(Dati!$I$2:$I$381,Dati!$H$2:$H$381,$H45,Dati!$A$2:$A$381,$AI45),"-")</f>
        <v/>
      </c>
      <c r="BF45" s="22">
        <f>IF(AND($H45&lt;&gt;"",$AJ45&lt;&gt;"",$H45&lt;&gt;$AJ45,IFERROR(VLOOKUP($H45,areaCercaPuntiClassificaSquadra,3,FALSE),-1)=IFERROR(VLOOKUP($AJ45,areaCercaPuntiClassificaSquadra,3,FALSE),-2)),SUMIFS(Dati!$B$2:$B$381,Dati!$A$2:$A$381,$H45,Dati!$H$2:$H$381,$AJ45)+SUMIFS(Dati!$I$2:$I$381,Dati!$H$2:$H$381,$H45,Dati!$A$2:$A$381,$AJ45),"-")</f>
        <v/>
      </c>
      <c r="BG45" s="22">
        <f>IF(AND($H45&lt;&gt;"",$AK45&lt;&gt;"",$H45&lt;&gt;$AK45,IFERROR(VLOOKUP($H45,areaCercaPuntiClassificaSquadra,3,FALSE),-1)=IFERROR(VLOOKUP($AK45,areaCercaPuntiClassificaSquadra,3,FALSE),-2)),SUMIFS(Dati!$B$2:$B$381,Dati!$A$2:$A$381,$H45,Dati!$H$2:$H$381,$AK45)+SUMIFS(Dati!$I$2:$I$381,Dati!$H$2:$H$381,$H45,Dati!$A$2:$A$381,$AK45),"-")</f>
        <v/>
      </c>
      <c r="BH45" s="22">
        <f>IF(AND($H45&lt;&gt;"",$AL45&lt;&gt;"",$H45&lt;&gt;$AL45,IFERROR(VLOOKUP($H45,areaCercaPuntiClassificaSquadra,3,FALSE),-1)=IFERROR(VLOOKUP($AL45,areaCercaPuntiClassificaSquadra,3,FALSE),-2)),SUMIFS(Dati!$B$2:$B$381,Dati!$A$2:$A$381,$H45,Dati!$H$2:$H$381,$AL45)+SUMIFS(Dati!$I$2:$I$381,Dati!$H$2:$H$381,$H45,Dati!$A$2:$A$381,$AL45),"-")</f>
        <v/>
      </c>
      <c r="BI45" s="22">
        <f>IF(AND($H45&lt;&gt;"",$AM45&lt;&gt;"",$H45&lt;&gt;$AM45,IFERROR(VLOOKUP($H45,areaCercaPuntiClassificaSquadra,3,FALSE),-1)=IFERROR(VLOOKUP($AM45,areaCercaPuntiClassificaSquadra,3,FALSE),-2)),SUMIFS(Dati!$B$2:$B$381,Dati!$A$2:$A$381,$H45,Dati!$H$2:$H$381,$AM45)+SUMIFS(Dati!$I$2:$I$381,Dati!$H$2:$H$381,$H45,Dati!$A$2:$A$381,$AM45),"-")</f>
        <v/>
      </c>
      <c r="BJ45" s="22">
        <f>IF(AND($H45&lt;&gt;"",$AN45&lt;&gt;"",$H45&lt;&gt;$AN45,IFERROR(VLOOKUP($H45,areaCercaPuntiClassificaSquadra,3,FALSE),-1)=IFERROR(VLOOKUP($AN45,areaCercaPuntiClassificaSquadra,3,FALSE),-2)),SUMIFS(Dati!$B$2:$B$381,Dati!$A$2:$A$381,$H45,Dati!$H$2:$H$381,$AN45)+SUMIFS(Dati!$I$2:$I$381,Dati!$H$2:$H$381,$H45,Dati!$A$2:$A$381,$AN45),"-")</f>
        <v/>
      </c>
      <c r="BK45" s="22">
        <f>IF(AND($H45&lt;&gt;"",$AO45&lt;&gt;"",$H45&lt;&gt;$AO45,IFERROR(VLOOKUP($H45,areaCercaPuntiClassificaSquadra,3,FALSE),-1)=IFERROR(VLOOKUP($AO45,areaCercaPuntiClassificaSquadra,3,FALSE),-2)),SUMIFS(Dati!$B$2:$B$381,Dati!$A$2:$A$381,$H45,Dati!$H$2:$H$381,$AO45)+SUMIFS(Dati!$I$2:$I$381,Dati!$H$2:$H$381,$H45,Dati!$A$2:$A$381,$AO45),"-")</f>
        <v/>
      </c>
      <c r="BL45" s="22">
        <f>IF(AND($H45&lt;&gt;"",$AP45&lt;&gt;"",$H45&lt;&gt;$AP45,IFERROR(VLOOKUP($H45,areaCercaPuntiClassificaSquadra,3,FALSE),-1)=IFERROR(VLOOKUP($AP45,areaCercaPuntiClassificaSquadra,3,FALSE),-2)),SUMIFS(Dati!$B$2:$B$381,Dati!$A$2:$A$381,$H45,Dati!$H$2:$H$381,$AP45)+SUMIFS(Dati!$I$2:$I$381,Dati!$H$2:$H$381,$H45,Dati!$A$2:$A$381,$AP45),"-")</f>
        <v/>
      </c>
      <c r="BM45" s="22">
        <f>IF(AND($H45&lt;&gt;"",$AQ45&lt;&gt;"",$H45&lt;&gt;$AQ45,IFERROR(VLOOKUP($H45,areaCercaPuntiClassificaSquadra,3,FALSE),-1)=IFERROR(VLOOKUP($AQ45,areaCercaPuntiClassificaSquadra,3,FALSE),-2)),SUMIFS(Dati!$B$2:$B$381,Dati!$A$2:$A$381,$H45,Dati!$H$2:$H$381,$AQ45)+SUMIFS(Dati!$I$2:$I$381,Dati!$H$2:$H$381,$H45,Dati!$A$2:$A$381,$AQ45),"-")</f>
        <v/>
      </c>
      <c r="BN45" s="22">
        <f>IF(AND($H45&lt;&gt;"",$AR45&lt;&gt;"",$H45&lt;&gt;$AR45,IFERROR(VLOOKUP($H45,areaCercaPuntiClassificaSquadra,3,FALSE),-1)=IFERROR(VLOOKUP($AR45,areaCercaPuntiClassificaSquadra,3,FALSE),-2)),SUMIFS(Dati!$B$2:$B$381,Dati!$A$2:$A$381,$H45,Dati!$H$2:$H$381,$AR45)+SUMIFS(Dati!$I$2:$I$381,Dati!$H$2:$H$381,$H45,Dati!$A$2:$A$381,$AR45),"-")</f>
        <v/>
      </c>
      <c r="BP45" s="21">
        <f>$C45</f>
        <v/>
      </c>
      <c r="BQ45" s="22">
        <f>IF(AND($H45&lt;&gt;"",$Y45&lt;&gt;"",$H45&lt;&gt;$Y45,IFERROR(VLOOKUP($H45,areaCercaPuntiClassificaSquadra,3,FALSE),-1)=IFERROR(VLOOKUP($Y45,areaCercaPuntiClassificaSquadra,3,FALSE),-2)),SUMIFS(Dati!$D$2:$D$381,Dati!$A$2:$A$381,$H45,Dati!$H$2:$H$381,$Y45)+SUMIFS(Dati!$K$2:$K$381,Dati!$H$2:$H$381,$H45,Dati!$A$2:$A$381,$Y45)+SUMIFS(Dati!$C$2:$C$381,Dati!$A$2:$A$381,$H45,Dati!$H$2:$H$381,$Y45)+SUMIFS(Dati!$J$2:$J$381,Dati!$H$2:$H$381,$H45,Dati!$A$2:$A$381,$Y45),"-")</f>
        <v/>
      </c>
      <c r="BR45" s="22">
        <f>IF(AND($H45&lt;&gt;"",$Z45&lt;&gt;"",$H45&lt;&gt;$Z45,IFERROR(VLOOKUP($H45,areaCercaPuntiClassificaSquadra,3,FALSE),-1)=IFERROR(VLOOKUP($Z45,areaCercaPuntiClassificaSquadra,3,FALSE),-2)),SUMIFS(Dati!$D$2:$D$381,Dati!$A$2:$A$381,$H45,Dati!$H$2:$H$381,$Z45)+SUMIFS(Dati!$K$2:$K$381,Dati!$H$2:$H$381,$H45,Dati!$A$2:$A$381,$Z45)+SUMIFS(Dati!$C$2:$C$381,Dati!$A$2:$A$381,$H45,Dati!$H$2:$H$381,$Z45)+SUMIFS(Dati!$J$2:$J$381,Dati!$H$2:$H$381,$H45,Dati!$A$2:$A$381,$Z45),"-")</f>
        <v/>
      </c>
      <c r="BS45" s="22">
        <f>IF(AND($H45&lt;&gt;"",$AA45&lt;&gt;"",$H45&lt;&gt;$AA45,IFERROR(VLOOKUP($H45,areaCercaPuntiClassificaSquadra,3,FALSE),-1)=IFERROR(VLOOKUP($AA45,areaCercaPuntiClassificaSquadra,3,FALSE),-2)),SUMIFS(Dati!$D$2:$D$381,Dati!$A$2:$A$381,$H45,Dati!$H$2:$H$381,$AA45)+SUMIFS(Dati!$K$2:$K$381,Dati!$H$2:$H$381,$H45,Dati!$A$2:$A$381,$AA45)+SUMIFS(Dati!$C$2:$C$381,Dati!$A$2:$A$381,$H45,Dati!$H$2:$H$381,$AA45)+SUMIFS(Dati!$J$2:$J$381,Dati!$H$2:$H$381,$H45,Dati!$A$2:$A$381,$AA45),"-")</f>
        <v/>
      </c>
      <c r="BT45" s="22">
        <f>IF(AND($H45&lt;&gt;"",$AB45&lt;&gt;"",$H45&lt;&gt;$AB45,IFERROR(VLOOKUP($H45,areaCercaPuntiClassificaSquadra,3,FALSE),-1)=IFERROR(VLOOKUP($AB45,areaCercaPuntiClassificaSquadra,3,FALSE),-2)),SUMIFS(Dati!$D$2:$D$381,Dati!$A$2:$A$381,$H45,Dati!$H$2:$H$381,$AB45)+SUMIFS(Dati!$K$2:$K$381,Dati!$H$2:$H$381,$H45,Dati!$A$2:$A$381,$AB45)+SUMIFS(Dati!$C$2:$C$381,Dati!$A$2:$A$381,$H45,Dati!$H$2:$H$381,$AB45)+SUMIFS(Dati!$J$2:$J$381,Dati!$H$2:$H$381,$H45,Dati!$A$2:$A$381,$AB45),"-")</f>
        <v/>
      </c>
      <c r="BU45" s="22">
        <f>IF(AND($H45&lt;&gt;"",$AC45&lt;&gt;"",$H45&lt;&gt;$AC45,IFERROR(VLOOKUP($H45,areaCercaPuntiClassificaSquadra,3,FALSE),-1)=IFERROR(VLOOKUP($AC45,areaCercaPuntiClassificaSquadra,3,FALSE),-2)),SUMIFS(Dati!$D$2:$D$381,Dati!$A$2:$A$381,$H45,Dati!$H$2:$H$381,$AC45)+SUMIFS(Dati!$K$2:$K$381,Dati!$H$2:$H$381,$H45,Dati!$A$2:$A$381,$AC45)+SUMIFS(Dati!$C$2:$C$381,Dati!$A$2:$A$381,$H45,Dati!$H$2:$H$381,$AC45)+SUMIFS(Dati!$J$2:$J$381,Dati!$H$2:$H$381,$H45,Dati!$A$2:$A$381,$AC45),"-")</f>
        <v/>
      </c>
      <c r="BV45" s="22">
        <f>IF(AND($H45&lt;&gt;"",$AD45&lt;&gt;"",$H45&lt;&gt;$AD45,IFERROR(VLOOKUP($H45,areaCercaPuntiClassificaSquadra,3,FALSE),-1)=IFERROR(VLOOKUP($AD45,areaCercaPuntiClassificaSquadra,3,FALSE),-2)),SUMIFS(Dati!$D$2:$D$381,Dati!$A$2:$A$381,$H45,Dati!$H$2:$H$381,$AD45)+SUMIFS(Dati!$K$2:$K$381,Dati!$H$2:$H$381,$H45,Dati!$A$2:$A$381,$AD45)+SUMIFS(Dati!$C$2:$C$381,Dati!$A$2:$A$381,$H45,Dati!$H$2:$H$381,$AD45)+SUMIFS(Dati!$J$2:$J$381,Dati!$H$2:$H$381,$H45,Dati!$A$2:$A$381,$AD45),"-")</f>
        <v/>
      </c>
      <c r="BW45" s="22">
        <f>IF(AND($H45&lt;&gt;"",$AE45&lt;&gt;"",$H45&lt;&gt;$AE45,IFERROR(VLOOKUP($H45,areaCercaPuntiClassificaSquadra,3,FALSE),-1)=IFERROR(VLOOKUP($AE45,areaCercaPuntiClassificaSquadra,3,FALSE),-2)),SUMIFS(Dati!$D$2:$D$381,Dati!$A$2:$A$381,$H45,Dati!$H$2:$H$381,$AE45)+SUMIFS(Dati!$K$2:$K$381,Dati!$H$2:$H$381,$H45,Dati!$A$2:$A$381,$AE45)+SUMIFS(Dati!$C$2:$C$381,Dati!$A$2:$A$381,$H45,Dati!$H$2:$H$381,$AE45)+SUMIFS(Dati!$J$2:$J$381,Dati!$H$2:$H$381,$H45,Dati!$A$2:$A$381,$AE45),"-")</f>
        <v/>
      </c>
      <c r="BX45" s="22">
        <f>IF(AND($H45&lt;&gt;"",$AF45&lt;&gt;"",$H45&lt;&gt;$AF45,IFERROR(VLOOKUP($H45,areaCercaPuntiClassificaSquadra,3,FALSE),-1)=IFERROR(VLOOKUP($AF45,areaCercaPuntiClassificaSquadra,3,FALSE),-2)),SUMIFS(Dati!$D$2:$D$381,Dati!$A$2:$A$381,$H45,Dati!$H$2:$H$381,$AF45)+SUMIFS(Dati!$K$2:$K$381,Dati!$H$2:$H$381,$H45,Dati!$A$2:$A$381,$AF45)+SUMIFS(Dati!$C$2:$C$381,Dati!$A$2:$A$381,$H45,Dati!$H$2:$H$381,$AF45)+SUMIFS(Dati!$J$2:$J$381,Dati!$H$2:$H$381,$H45,Dati!$A$2:$A$381,$AF45),"-")</f>
        <v/>
      </c>
      <c r="BY45" s="22">
        <f>IF(AND($H45&lt;&gt;"",$AG45&lt;&gt;"",$H45&lt;&gt;$AG45,IFERROR(VLOOKUP($H45,areaCercaPuntiClassificaSquadra,3,FALSE),-1)=IFERROR(VLOOKUP($AG45,areaCercaPuntiClassificaSquadra,3,FALSE),-2)),SUMIFS(Dati!$D$2:$D$381,Dati!$A$2:$A$381,$H45,Dati!$H$2:$H$381,$AG45)+SUMIFS(Dati!$K$2:$K$381,Dati!$H$2:$H$381,$H45,Dati!$A$2:$A$381,$AG45)+SUMIFS(Dati!$C$2:$C$381,Dati!$A$2:$A$381,$H45,Dati!$H$2:$H$381,$AG45)+SUMIFS(Dati!$J$2:$J$381,Dati!$H$2:$H$381,$H45,Dati!$A$2:$A$381,$AG45),"-")</f>
        <v/>
      </c>
      <c r="BZ45" s="22">
        <f>IF(AND($H45&lt;&gt;"",$AH45&lt;&gt;"",$H45&lt;&gt;$AH45,IFERROR(VLOOKUP($H45,areaCercaPuntiClassificaSquadra,3,FALSE),-1)=IFERROR(VLOOKUP($AH45,areaCercaPuntiClassificaSquadra,3,FALSE),-2)),SUMIFS(Dati!$D$2:$D$381,Dati!$A$2:$A$381,$H45,Dati!$H$2:$H$381,$AH45)+SUMIFS(Dati!$K$2:$K$381,Dati!$H$2:$H$381,$H45,Dati!$A$2:$A$381,$AH45)+SUMIFS(Dati!$C$2:$C$381,Dati!$A$2:$A$381,$H45,Dati!$H$2:$H$381,$AH45)+SUMIFS(Dati!$J$2:$J$381,Dati!$H$2:$H$381,$H45,Dati!$A$2:$A$381,$AH45),"-")</f>
        <v/>
      </c>
      <c r="CA45" s="22">
        <f>IF(AND($H45&lt;&gt;"",$AI45&lt;&gt;"",$H45&lt;&gt;$AI45,IFERROR(VLOOKUP($H45,areaCercaPuntiClassificaSquadra,3,FALSE),-1)=IFERROR(VLOOKUP($AI45,areaCercaPuntiClassificaSquadra,3,FALSE),-2)),SUMIFS(Dati!$D$2:$D$381,Dati!$A$2:$A$381,$H45,Dati!$H$2:$H$381,$AI45)+SUMIFS(Dati!$K$2:$K$381,Dati!$H$2:$H$381,$H45,Dati!$A$2:$A$381,$AI45)+SUMIFS(Dati!$C$2:$C$381,Dati!$A$2:$A$381,$H45,Dati!$H$2:$H$381,$AI45)+SUMIFS(Dati!$J$2:$J$381,Dati!$H$2:$H$381,$H45,Dati!$A$2:$A$381,$AI45),"-")</f>
        <v/>
      </c>
      <c r="CB45" s="22">
        <f>IF(AND($H45&lt;&gt;"",$AJ45&lt;&gt;"",$H45&lt;&gt;$AJ45,IFERROR(VLOOKUP($H45,areaCercaPuntiClassificaSquadra,3,FALSE),-1)=IFERROR(VLOOKUP($AJ45,areaCercaPuntiClassificaSquadra,3,FALSE),-2)),SUMIFS(Dati!$D$2:$D$381,Dati!$A$2:$A$381,$H45,Dati!$H$2:$H$381,$AJ45)+SUMIFS(Dati!$K$2:$K$381,Dati!$H$2:$H$381,$H45,Dati!$A$2:$A$381,$AJ45)+SUMIFS(Dati!$C$2:$C$381,Dati!$A$2:$A$381,$H45,Dati!$H$2:$H$381,$AJ45)+SUMIFS(Dati!$J$2:$J$381,Dati!$H$2:$H$381,$H45,Dati!$A$2:$A$381,$AJ45),"-")</f>
        <v/>
      </c>
      <c r="CC45" s="22">
        <f>IF(AND($H45&lt;&gt;"",$AK45&lt;&gt;"",$H45&lt;&gt;$AK45,IFERROR(VLOOKUP($H45,areaCercaPuntiClassificaSquadra,3,FALSE),-1)=IFERROR(VLOOKUP($AK45,areaCercaPuntiClassificaSquadra,3,FALSE),-2)),SUMIFS(Dati!$D$2:$D$381,Dati!$A$2:$A$381,$H45,Dati!$H$2:$H$381,$AK45)+SUMIFS(Dati!$K$2:$K$381,Dati!$H$2:$H$381,$H45,Dati!$A$2:$A$381,$AK45)+SUMIFS(Dati!$C$2:$C$381,Dati!$A$2:$A$381,$H45,Dati!$H$2:$H$381,$AK45)+SUMIFS(Dati!$J$2:$J$381,Dati!$H$2:$H$381,$H45,Dati!$A$2:$A$381,$AK45),"-")</f>
        <v/>
      </c>
      <c r="CD45" s="22">
        <f>IF(AND($H45&lt;&gt;"",$AL45&lt;&gt;"",$H45&lt;&gt;$AL45,IFERROR(VLOOKUP($H45,areaCercaPuntiClassificaSquadra,3,FALSE),-1)=IFERROR(VLOOKUP($AL45,areaCercaPuntiClassificaSquadra,3,FALSE),-2)),SUMIFS(Dati!$D$2:$D$381,Dati!$A$2:$A$381,$H45,Dati!$H$2:$H$381,$AL45)+SUMIFS(Dati!$K$2:$K$381,Dati!$H$2:$H$381,$H45,Dati!$A$2:$A$381,$AL45)+SUMIFS(Dati!$C$2:$C$381,Dati!$A$2:$A$381,$H45,Dati!$H$2:$H$381,$AL45)+SUMIFS(Dati!$J$2:$J$381,Dati!$H$2:$H$381,$H45,Dati!$A$2:$A$381,$AL45),"-")</f>
        <v/>
      </c>
      <c r="CE45" s="22">
        <f>IF(AND($H45&lt;&gt;"",$AM45&lt;&gt;"",$H45&lt;&gt;$AM45,IFERROR(VLOOKUP($H45,areaCercaPuntiClassificaSquadra,3,FALSE),-1)=IFERROR(VLOOKUP($AM45,areaCercaPuntiClassificaSquadra,3,FALSE),-2)),SUMIFS(Dati!$D$2:$D$381,Dati!$A$2:$A$381,$H45,Dati!$H$2:$H$381,$AM45)+SUMIFS(Dati!$K$2:$K$381,Dati!$H$2:$H$381,$H45,Dati!$A$2:$A$381,$AM45)+SUMIFS(Dati!$C$2:$C$381,Dati!$A$2:$A$381,$H45,Dati!$H$2:$H$381,$AM45)+SUMIFS(Dati!$J$2:$J$381,Dati!$H$2:$H$381,$H45,Dati!$A$2:$A$381,$AM45),"-")</f>
        <v/>
      </c>
      <c r="CF45" s="22">
        <f>IF(AND($H45&lt;&gt;"",$AN45&lt;&gt;"",$H45&lt;&gt;$AN45,IFERROR(VLOOKUP($H45,areaCercaPuntiClassificaSquadra,3,FALSE),-1)=IFERROR(VLOOKUP($AN45,areaCercaPuntiClassificaSquadra,3,FALSE),-2)),SUMIFS(Dati!$D$2:$D$381,Dati!$A$2:$A$381,$H45,Dati!$H$2:$H$381,$AN45)+SUMIFS(Dati!$K$2:$K$381,Dati!$H$2:$H$381,$H45,Dati!$A$2:$A$381,$AN45)+SUMIFS(Dati!$C$2:$C$381,Dati!$A$2:$A$381,$H45,Dati!$H$2:$H$381,$AN45)+SUMIFS(Dati!$J$2:$J$381,Dati!$H$2:$H$381,$H45,Dati!$A$2:$A$381,$AN45),"-")</f>
        <v/>
      </c>
      <c r="CG45" s="22">
        <f>IF(AND($H45&lt;&gt;"",$AO45&lt;&gt;"",$H45&lt;&gt;$AO45,IFERROR(VLOOKUP($H45,areaCercaPuntiClassificaSquadra,3,FALSE),-1)=IFERROR(VLOOKUP($AO45,areaCercaPuntiClassificaSquadra,3,FALSE),-2)),SUMIFS(Dati!$D$2:$D$381,Dati!$A$2:$A$381,$H45,Dati!$H$2:$H$381,$AO45)+SUMIFS(Dati!$K$2:$K$381,Dati!$H$2:$H$381,$H45,Dati!$A$2:$A$381,$AO45)+SUMIFS(Dati!$C$2:$C$381,Dati!$A$2:$A$381,$H45,Dati!$H$2:$H$381,$AO45)+SUMIFS(Dati!$J$2:$J$381,Dati!$H$2:$H$381,$H45,Dati!$A$2:$A$381,$AO45),"-")</f>
        <v/>
      </c>
      <c r="CH45" s="22">
        <f>IF(AND($H45&lt;&gt;"",$AP45&lt;&gt;"",$H45&lt;&gt;$AP45,IFERROR(VLOOKUP($H45,areaCercaPuntiClassificaSquadra,3,FALSE),-1)=IFERROR(VLOOKUP($AP45,areaCercaPuntiClassificaSquadra,3,FALSE),-2)),SUMIFS(Dati!$D$2:$D$381,Dati!$A$2:$A$381,$H45,Dati!$H$2:$H$381,$AP45)+SUMIFS(Dati!$K$2:$K$381,Dati!$H$2:$H$381,$H45,Dati!$A$2:$A$381,$AP45)+SUMIFS(Dati!$C$2:$C$381,Dati!$A$2:$A$381,$H45,Dati!$H$2:$H$381,$AP45)+SUMIFS(Dati!$J$2:$J$381,Dati!$H$2:$H$381,$H45,Dati!$A$2:$A$381,$AP45),"-")</f>
        <v/>
      </c>
      <c r="CI45" s="22">
        <f>IF(AND($H45&lt;&gt;"",$AQ45&lt;&gt;"",$H45&lt;&gt;$AQ45,IFERROR(VLOOKUP($H45,areaCercaPuntiClassificaSquadra,3,FALSE),-1)=IFERROR(VLOOKUP($AQ45,areaCercaPuntiClassificaSquadra,3,FALSE),-2)),SUMIFS(Dati!$D$2:$D$381,Dati!$A$2:$A$381,$H45,Dati!$H$2:$H$381,$AQ45)+SUMIFS(Dati!$K$2:$K$381,Dati!$H$2:$H$381,$H45,Dati!$A$2:$A$381,$AQ45)+SUMIFS(Dati!$C$2:$C$381,Dati!$A$2:$A$381,$H45,Dati!$H$2:$H$381,$AQ45)+SUMIFS(Dati!$J$2:$J$381,Dati!$H$2:$H$381,$H45,Dati!$A$2:$A$381,$AQ45),"-")</f>
        <v/>
      </c>
      <c r="CJ45" s="22">
        <f>IF(AND($H45&lt;&gt;"",$AR45&lt;&gt;"",$H45&lt;&gt;$AR45,IFERROR(VLOOKUP($H45,areaCercaPuntiClassificaSquadra,3,FALSE),-1)=IFERROR(VLOOKUP($AR45,areaCercaPuntiClassificaSquadra,3,FALSE),-2)),SUMIFS(Dati!$D$2:$D$381,Dati!$A$2:$A$381,$H45,Dati!$H$2:$H$381,$AR45)+SUMIFS(Dati!$K$2:$K$381,Dati!$H$2:$H$381,$H45,Dati!$A$2:$A$381,$AR45)+SUMIFS(Dati!$C$2:$C$381,Dati!$A$2:$A$381,$H45,Dati!$H$2:$H$381,$AR45)+SUMIFS(Dati!$J$2:$J$381,Dati!$H$2:$H$381,$H45,Dati!$A$2:$A$381,$AR45),"-")</f>
        <v/>
      </c>
      <c r="CL45" s="21">
        <f>$C45</f>
        <v/>
      </c>
      <c r="CM45" s="22">
        <f>IF(AND($H45&lt;&gt;"",$Y45&lt;&gt;"",$H45&lt;&gt;$Y45,IFERROR(VLOOKUP($H45,areaCercaPuntiClassificaSquadra,3,FALSE),-1)=IFERROR(VLOOKUP($Y45,areaCercaPuntiClassificaSquadra,3,FALSE),-2)),SUMIFS(Dati!$E$2:$E$381,Dati!$A$2:$A$381,$H45,Dati!$H$2:$H$381,$Y45)+SUMIFS(Dati!$L$2:$L$381,Dati!$H$2:$H$381,$H45,Dati!$A$2:$A$381,$Y45),"-")</f>
        <v/>
      </c>
      <c r="CN45" s="22">
        <f>IF(AND($H45&lt;&gt;"",$Z45&lt;&gt;"",$H45&lt;&gt;$Z45,IFERROR(VLOOKUP($H45,areaCercaPuntiClassificaSquadra,3,FALSE),-1)=IFERROR(VLOOKUP($Z45,areaCercaPuntiClassificaSquadra,3,FALSE),-2)),SUMIFS(Dati!$E$2:$E$381,Dati!$A$2:$A$381,$H45,Dati!$H$2:$H$381,$Z45)+SUMIFS(Dati!$L$2:$L$381,Dati!$H$2:$H$381,$H45,Dati!$A$2:$A$381,$Z45),"-")</f>
        <v/>
      </c>
      <c r="CO45" s="22">
        <f>IF(AND($H45&lt;&gt;"",$AA45&lt;&gt;"",$H45&lt;&gt;$AA45,IFERROR(VLOOKUP($H45,areaCercaPuntiClassificaSquadra,3,FALSE),-1)=IFERROR(VLOOKUP($AA45,areaCercaPuntiClassificaSquadra,3,FALSE),-2)),SUMIFS(Dati!$E$2:$E$381,Dati!$A$2:$A$381,$H45,Dati!$H$2:$H$381,$AA45)+SUMIFS(Dati!$L$2:$L$381,Dati!$H$2:$H$381,$H45,Dati!$A$2:$A$381,$AA45),"-")</f>
        <v/>
      </c>
      <c r="CP45" s="22">
        <f>IF(AND($H45&lt;&gt;"",$AB45&lt;&gt;"",$H45&lt;&gt;$AB45,IFERROR(VLOOKUP($H45,areaCercaPuntiClassificaSquadra,3,FALSE),-1)=IFERROR(VLOOKUP($AB45,areaCercaPuntiClassificaSquadra,3,FALSE),-2)),SUMIFS(Dati!$E$2:$E$381,Dati!$A$2:$A$381,$H45,Dati!$H$2:$H$381,$AB45)+SUMIFS(Dati!$L$2:$L$381,Dati!$H$2:$H$381,$H45,Dati!$A$2:$A$381,$AB45),"-")</f>
        <v/>
      </c>
      <c r="CQ45" s="22">
        <f>IF(AND($H45&lt;&gt;"",$AC45&lt;&gt;"",$H45&lt;&gt;$AC45,IFERROR(VLOOKUP($H45,areaCercaPuntiClassificaSquadra,3,FALSE),-1)=IFERROR(VLOOKUP($AC45,areaCercaPuntiClassificaSquadra,3,FALSE),-2)),SUMIFS(Dati!$E$2:$E$381,Dati!$A$2:$A$381,$H45,Dati!$H$2:$H$381,$AC45)+SUMIFS(Dati!$L$2:$L$381,Dati!$H$2:$H$381,$H45,Dati!$A$2:$A$381,$AC45),"-")</f>
        <v/>
      </c>
      <c r="CR45" s="22">
        <f>IF(AND($H45&lt;&gt;"",$AD45&lt;&gt;"",$H45&lt;&gt;$AD45,IFERROR(VLOOKUP($H45,areaCercaPuntiClassificaSquadra,3,FALSE),-1)=IFERROR(VLOOKUP($AD45,areaCercaPuntiClassificaSquadra,3,FALSE),-2)),SUMIFS(Dati!$E$2:$E$381,Dati!$A$2:$A$381,$H45,Dati!$H$2:$H$381,$AD45)+SUMIFS(Dati!$L$2:$L$381,Dati!$H$2:$H$381,$H45,Dati!$A$2:$A$381,$AD45),"-")</f>
        <v/>
      </c>
      <c r="CS45" s="22">
        <f>IF(AND($H45&lt;&gt;"",$AE45&lt;&gt;"",$H45&lt;&gt;$AE45,IFERROR(VLOOKUP($H45,areaCercaPuntiClassificaSquadra,3,FALSE),-1)=IFERROR(VLOOKUP($AE45,areaCercaPuntiClassificaSquadra,3,FALSE),-2)),SUMIFS(Dati!$E$2:$E$381,Dati!$A$2:$A$381,$H45,Dati!$H$2:$H$381,$AE45)+SUMIFS(Dati!$L$2:$L$381,Dati!$H$2:$H$381,$H45,Dati!$A$2:$A$381,$AE45),"-")</f>
        <v/>
      </c>
      <c r="CT45" s="22">
        <f>IF(AND($H45&lt;&gt;"",$AF45&lt;&gt;"",$H45&lt;&gt;$AF45,IFERROR(VLOOKUP($H45,areaCercaPuntiClassificaSquadra,3,FALSE),-1)=IFERROR(VLOOKUP($AF45,areaCercaPuntiClassificaSquadra,3,FALSE),-2)),SUMIFS(Dati!$E$2:$E$381,Dati!$A$2:$A$381,$H45,Dati!$H$2:$H$381,$AF45)+SUMIFS(Dati!$L$2:$L$381,Dati!$H$2:$H$381,$H45,Dati!$A$2:$A$381,$AF45),"-")</f>
        <v/>
      </c>
      <c r="CU45" s="22">
        <f>IF(AND($H45&lt;&gt;"",$AG45&lt;&gt;"",$H45&lt;&gt;$AG45,IFERROR(VLOOKUP($H45,areaCercaPuntiClassificaSquadra,3,FALSE),-1)=IFERROR(VLOOKUP($AG45,areaCercaPuntiClassificaSquadra,3,FALSE),-2)),SUMIFS(Dati!$E$2:$E$381,Dati!$A$2:$A$381,$H45,Dati!$H$2:$H$381,$AG45)+SUMIFS(Dati!$L$2:$L$381,Dati!$H$2:$H$381,$H45,Dati!$A$2:$A$381,$AG45),"-")</f>
        <v/>
      </c>
      <c r="CV45" s="22">
        <f>IF(AND($H45&lt;&gt;"",$AH45&lt;&gt;"",$H45&lt;&gt;$AH45,IFERROR(VLOOKUP($H45,areaCercaPuntiClassificaSquadra,3,FALSE),-1)=IFERROR(VLOOKUP($AH45,areaCercaPuntiClassificaSquadra,3,FALSE),-2)),SUMIFS(Dati!$E$2:$E$381,Dati!$A$2:$A$381,$H45,Dati!$H$2:$H$381,$AH45)+SUMIFS(Dati!$L$2:$L$381,Dati!$H$2:$H$381,$H45,Dati!$A$2:$A$381,$AH45),"-")</f>
        <v/>
      </c>
      <c r="CW45" s="22">
        <f>IF(AND($H45&lt;&gt;"",$AI45&lt;&gt;"",$H45&lt;&gt;$AI45,IFERROR(VLOOKUP($H45,areaCercaPuntiClassificaSquadra,3,FALSE),-1)=IFERROR(VLOOKUP($AI45,areaCercaPuntiClassificaSquadra,3,FALSE),-2)),SUMIFS(Dati!$E$2:$E$381,Dati!$A$2:$A$381,$H45,Dati!$H$2:$H$381,$AI45)+SUMIFS(Dati!$L$2:$L$381,Dati!$H$2:$H$381,$H45,Dati!$A$2:$A$381,$AI45),"-")</f>
        <v/>
      </c>
      <c r="CX45" s="22">
        <f>IF(AND($H45&lt;&gt;"",$AJ45&lt;&gt;"",$H45&lt;&gt;$AJ45,IFERROR(VLOOKUP($H45,areaCercaPuntiClassificaSquadra,3,FALSE),-1)=IFERROR(VLOOKUP($AJ45,areaCercaPuntiClassificaSquadra,3,FALSE),-2)),SUMIFS(Dati!$E$2:$E$381,Dati!$A$2:$A$381,$H45,Dati!$H$2:$H$381,$AJ45)+SUMIFS(Dati!$L$2:$L$381,Dati!$H$2:$H$381,$H45,Dati!$A$2:$A$381,$AJ45),"-")</f>
        <v/>
      </c>
      <c r="CY45" s="22">
        <f>IF(AND($H45&lt;&gt;"",$AK45&lt;&gt;"",$H45&lt;&gt;$AK45,IFERROR(VLOOKUP($H45,areaCercaPuntiClassificaSquadra,3,FALSE),-1)=IFERROR(VLOOKUP($AK45,areaCercaPuntiClassificaSquadra,3,FALSE),-2)),SUMIFS(Dati!$E$2:$E$381,Dati!$A$2:$A$381,$H45,Dati!$H$2:$H$381,$AK45)+SUMIFS(Dati!$L$2:$L$381,Dati!$H$2:$H$381,$H45,Dati!$A$2:$A$381,$AK45),"-")</f>
        <v/>
      </c>
      <c r="CZ45" s="22">
        <f>IF(AND($H45&lt;&gt;"",$AL45&lt;&gt;"",$H45&lt;&gt;$AL45,IFERROR(VLOOKUP($H45,areaCercaPuntiClassificaSquadra,3,FALSE),-1)=IFERROR(VLOOKUP($AL45,areaCercaPuntiClassificaSquadra,3,FALSE),-2)),SUMIFS(Dati!$E$2:$E$381,Dati!$A$2:$A$381,$H45,Dati!$H$2:$H$381,$AL45)+SUMIFS(Dati!$L$2:$L$381,Dati!$H$2:$H$381,$H45,Dati!$A$2:$A$381,$AL45),"-")</f>
        <v/>
      </c>
      <c r="DA45" s="22">
        <f>IF(AND($H45&lt;&gt;"",$AM45&lt;&gt;"",$H45&lt;&gt;$AM45,IFERROR(VLOOKUP($H45,areaCercaPuntiClassificaSquadra,3,FALSE),-1)=IFERROR(VLOOKUP($AM45,areaCercaPuntiClassificaSquadra,3,FALSE),-2)),SUMIFS(Dati!$E$2:$E$381,Dati!$A$2:$A$381,$H45,Dati!$H$2:$H$381,$AM45)+SUMIFS(Dati!$L$2:$L$381,Dati!$H$2:$H$381,$H45,Dati!$A$2:$A$381,$AM45),"-")</f>
        <v/>
      </c>
      <c r="DB45" s="22">
        <f>IF(AND($H45&lt;&gt;"",$AN45&lt;&gt;"",$H45&lt;&gt;$AN45,IFERROR(VLOOKUP($H45,areaCercaPuntiClassificaSquadra,3,FALSE),-1)=IFERROR(VLOOKUP($AN45,areaCercaPuntiClassificaSquadra,3,FALSE),-2)),SUMIFS(Dati!$E$2:$E$381,Dati!$A$2:$A$381,$H45,Dati!$H$2:$H$381,$AN45)+SUMIFS(Dati!$L$2:$L$381,Dati!$H$2:$H$381,$H45,Dati!$A$2:$A$381,$AN45),"-")</f>
        <v/>
      </c>
      <c r="DC45" s="22">
        <f>IF(AND($H45&lt;&gt;"",$AO45&lt;&gt;"",$H45&lt;&gt;$AO45,IFERROR(VLOOKUP($H45,areaCercaPuntiClassificaSquadra,3,FALSE),-1)=IFERROR(VLOOKUP($AO45,areaCercaPuntiClassificaSquadra,3,FALSE),-2)),SUMIFS(Dati!$E$2:$E$381,Dati!$A$2:$A$381,$H45,Dati!$H$2:$H$381,$AO45)+SUMIFS(Dati!$L$2:$L$381,Dati!$H$2:$H$381,$H45,Dati!$A$2:$A$381,$AO45),"-")</f>
        <v/>
      </c>
      <c r="DD45" s="22">
        <f>IF(AND($H45&lt;&gt;"",$AP45&lt;&gt;"",$H45&lt;&gt;$AP45,IFERROR(VLOOKUP($H45,areaCercaPuntiClassificaSquadra,3,FALSE),-1)=IFERROR(VLOOKUP($AP45,areaCercaPuntiClassificaSquadra,3,FALSE),-2)),SUMIFS(Dati!$E$2:$E$381,Dati!$A$2:$A$381,$H45,Dati!$H$2:$H$381,$AP45)+SUMIFS(Dati!$L$2:$L$381,Dati!$H$2:$H$381,$H45,Dati!$A$2:$A$381,$AP45),"-")</f>
        <v/>
      </c>
      <c r="DE45" s="22">
        <f>IF(AND($H45&lt;&gt;"",$AQ45&lt;&gt;"",$H45&lt;&gt;$AQ45,IFERROR(VLOOKUP($H45,areaCercaPuntiClassificaSquadra,3,FALSE),-1)=IFERROR(VLOOKUP($AQ45,areaCercaPuntiClassificaSquadra,3,FALSE),-2)),SUMIFS(Dati!$E$2:$E$381,Dati!$A$2:$A$381,$H45,Dati!$H$2:$H$381,$AQ45)+SUMIFS(Dati!$L$2:$L$381,Dati!$H$2:$H$381,$H45,Dati!$A$2:$A$381,$AQ45),"-")</f>
        <v/>
      </c>
      <c r="DF45" s="22">
        <f>IF(AND($H45&lt;&gt;"",$AR45&lt;&gt;"",$H45&lt;&gt;$AR45,IFERROR(VLOOKUP($H45,areaCercaPuntiClassificaSquadra,3,FALSE),-1)=IFERROR(VLOOKUP($AR45,areaCercaPuntiClassificaSquadra,3,FALSE),-2)),SUMIFS(Dati!$E$2:$E$381,Dati!$A$2:$A$381,$H45,Dati!$H$2:$H$381,$AR45)+SUMIFS(Dati!$L$2:$L$381,Dati!$H$2:$H$381,$H45,Dati!$A$2:$A$381,$AR45),"-")</f>
        <v/>
      </c>
      <c r="DH45" s="21">
        <f>$C45</f>
        <v/>
      </c>
      <c r="DI45" s="22">
        <f>IF(AND($H45&lt;&gt;"",$Y45&lt;&gt;"",$H45&lt;&gt;$Y45,IFERROR(VLOOKUP($H45,areaCercaPuntiClassificaSquadra,3,FALSE),-1)=IFERROR(VLOOKUP($Y45,areaCercaPuntiClassificaSquadra,3,FALSE),-2)),SUMIFS(Dati!$F$2:$F$381,Dati!$A$2:$A$381,$H45,Dati!$H$2:$H$381,$Y45)+SUMIFS(Dati!$M$2:$M$381,Dati!$H$2:$H$381,$H45,Dati!$A$2:$A$381,$Y45),"-")</f>
        <v/>
      </c>
      <c r="DJ45" s="22">
        <f>IF(AND($H45&lt;&gt;"",$Z45&lt;&gt;"",$H45&lt;&gt;$Z45,IFERROR(VLOOKUP($H45,areaCercaPuntiClassificaSquadra,3,FALSE),-1)=IFERROR(VLOOKUP($Z45,areaCercaPuntiClassificaSquadra,3,FALSE),-2)),SUMIFS(Dati!$F$2:$F$381,Dati!$A$2:$A$381,$H45,Dati!$H$2:$H$381,$Z45)+SUMIFS(Dati!$M$2:$M$381,Dati!$H$2:$H$381,$H45,Dati!$A$2:$A$381,$Z45),"-")</f>
        <v/>
      </c>
      <c r="DK45" s="22">
        <f>IF(AND($H45&lt;&gt;"",$AA45&lt;&gt;"",$H45&lt;&gt;$AA45,IFERROR(VLOOKUP($H45,areaCercaPuntiClassificaSquadra,3,FALSE),-1)=IFERROR(VLOOKUP($AA45,areaCercaPuntiClassificaSquadra,3,FALSE),-2)),SUMIFS(Dati!$F$2:$F$381,Dati!$A$2:$A$381,$H45,Dati!$H$2:$H$381,$AA45)+SUMIFS(Dati!$M$2:$M$381,Dati!$H$2:$H$381,$H45,Dati!$A$2:$A$381,$AA45),"-")</f>
        <v/>
      </c>
      <c r="DL45" s="22">
        <f>IF(AND($H45&lt;&gt;"",$AB45&lt;&gt;"",$H45&lt;&gt;$AB45,IFERROR(VLOOKUP($H45,areaCercaPuntiClassificaSquadra,3,FALSE),-1)=IFERROR(VLOOKUP($AB45,areaCercaPuntiClassificaSquadra,3,FALSE),-2)),SUMIFS(Dati!$F$2:$F$381,Dati!$A$2:$A$381,$H45,Dati!$H$2:$H$381,$AB45)+SUMIFS(Dati!$M$2:$M$381,Dati!$H$2:$H$381,$H45,Dati!$A$2:$A$381,$AB45),"-")</f>
        <v/>
      </c>
      <c r="DM45" s="22">
        <f>IF(AND($H45&lt;&gt;"",$AC45&lt;&gt;"",$H45&lt;&gt;$AC45,IFERROR(VLOOKUP($H45,areaCercaPuntiClassificaSquadra,3,FALSE),-1)=IFERROR(VLOOKUP($AC45,areaCercaPuntiClassificaSquadra,3,FALSE),-2)),SUMIFS(Dati!$F$2:$F$381,Dati!$A$2:$A$381,$H45,Dati!$H$2:$H$381,$AC45)+SUMIFS(Dati!$M$2:$M$381,Dati!$H$2:$H$381,$H45,Dati!$A$2:$A$381,$AC45),"-")</f>
        <v/>
      </c>
      <c r="DN45" s="22">
        <f>IF(AND($H45&lt;&gt;"",$AD45&lt;&gt;"",$H45&lt;&gt;$AD45,IFERROR(VLOOKUP($H45,areaCercaPuntiClassificaSquadra,3,FALSE),-1)=IFERROR(VLOOKUP($AD45,areaCercaPuntiClassificaSquadra,3,FALSE),-2)),SUMIFS(Dati!$F$2:$F$381,Dati!$A$2:$A$381,$H45,Dati!$H$2:$H$381,$AD45)+SUMIFS(Dati!$M$2:$M$381,Dati!$H$2:$H$381,$H45,Dati!$A$2:$A$381,$AD45),"-")</f>
        <v/>
      </c>
      <c r="DO45" s="22">
        <f>IF(AND($H45&lt;&gt;"",$AE45&lt;&gt;"",$H45&lt;&gt;$AE45,IFERROR(VLOOKUP($H45,areaCercaPuntiClassificaSquadra,3,FALSE),-1)=IFERROR(VLOOKUP($AE45,areaCercaPuntiClassificaSquadra,3,FALSE),-2)),SUMIFS(Dati!$F$2:$F$381,Dati!$A$2:$A$381,$H45,Dati!$H$2:$H$381,$AE45)+SUMIFS(Dati!$M$2:$M$381,Dati!$H$2:$H$381,$H45,Dati!$A$2:$A$381,$AE45),"-")</f>
        <v/>
      </c>
      <c r="DP45" s="22">
        <f>IF(AND($H45&lt;&gt;"",$AF45&lt;&gt;"",$H45&lt;&gt;$AF45,IFERROR(VLOOKUP($H45,areaCercaPuntiClassificaSquadra,3,FALSE),-1)=IFERROR(VLOOKUP($AF45,areaCercaPuntiClassificaSquadra,3,FALSE),-2)),SUMIFS(Dati!$F$2:$F$381,Dati!$A$2:$A$381,$H45,Dati!$H$2:$H$381,$AF45)+SUMIFS(Dati!$M$2:$M$381,Dati!$H$2:$H$381,$H45,Dati!$A$2:$A$381,$AF45),"-")</f>
        <v/>
      </c>
      <c r="DQ45" s="22">
        <f>IF(AND($H45&lt;&gt;"",$AG45&lt;&gt;"",$H45&lt;&gt;$AG45,IFERROR(VLOOKUP($H45,areaCercaPuntiClassificaSquadra,3,FALSE),-1)=IFERROR(VLOOKUP($AG45,areaCercaPuntiClassificaSquadra,3,FALSE),-2)),SUMIFS(Dati!$F$2:$F$381,Dati!$A$2:$A$381,$H45,Dati!$H$2:$H$381,$AG45)+SUMIFS(Dati!$M$2:$M$381,Dati!$H$2:$H$381,$H45,Dati!$A$2:$A$381,$AG45),"-")</f>
        <v/>
      </c>
      <c r="DR45" s="22">
        <f>IF(AND($H45&lt;&gt;"",$AH45&lt;&gt;"",$H45&lt;&gt;$AH45,IFERROR(VLOOKUP($H45,areaCercaPuntiClassificaSquadra,3,FALSE),-1)=IFERROR(VLOOKUP($AH45,areaCercaPuntiClassificaSquadra,3,FALSE),-2)),SUMIFS(Dati!$F$2:$F$381,Dati!$A$2:$A$381,$H45,Dati!$H$2:$H$381,$AH45)+SUMIFS(Dati!$M$2:$M$381,Dati!$H$2:$H$381,$H45,Dati!$A$2:$A$381,$AH45),"-")</f>
        <v/>
      </c>
      <c r="DS45" s="22">
        <f>IF(AND($H45&lt;&gt;"",$AI45&lt;&gt;"",$H45&lt;&gt;$AI45,IFERROR(VLOOKUP($H45,areaCercaPuntiClassificaSquadra,3,FALSE),-1)=IFERROR(VLOOKUP($AI45,areaCercaPuntiClassificaSquadra,3,FALSE),-2)),SUMIFS(Dati!$F$2:$F$381,Dati!$A$2:$A$381,$H45,Dati!$H$2:$H$381,$AI45)+SUMIFS(Dati!$M$2:$M$381,Dati!$H$2:$H$381,$H45,Dati!$A$2:$A$381,$AI45),"-")</f>
        <v/>
      </c>
      <c r="DT45" s="22">
        <f>IF(AND($H45&lt;&gt;"",$AJ45&lt;&gt;"",$H45&lt;&gt;$AJ45,IFERROR(VLOOKUP($H45,areaCercaPuntiClassificaSquadra,3,FALSE),-1)=IFERROR(VLOOKUP($AJ45,areaCercaPuntiClassificaSquadra,3,FALSE),-2)),SUMIFS(Dati!$F$2:$F$381,Dati!$A$2:$A$381,$H45,Dati!$H$2:$H$381,$AJ45)+SUMIFS(Dati!$M$2:$M$381,Dati!$H$2:$H$381,$H45,Dati!$A$2:$A$381,$AJ45),"-")</f>
        <v/>
      </c>
      <c r="DU45" s="22">
        <f>IF(AND($H45&lt;&gt;"",$AK45&lt;&gt;"",$H45&lt;&gt;$AK45,IFERROR(VLOOKUP($H45,areaCercaPuntiClassificaSquadra,3,FALSE),-1)=IFERROR(VLOOKUP($AK45,areaCercaPuntiClassificaSquadra,3,FALSE),-2)),SUMIFS(Dati!$F$2:$F$381,Dati!$A$2:$A$381,$H45,Dati!$H$2:$H$381,$AK45)+SUMIFS(Dati!$M$2:$M$381,Dati!$H$2:$H$381,$H45,Dati!$A$2:$A$381,$AK45),"-")</f>
        <v/>
      </c>
      <c r="DV45" s="22">
        <f>IF(AND($H45&lt;&gt;"",$AL45&lt;&gt;"",$H45&lt;&gt;$AL45,IFERROR(VLOOKUP($H45,areaCercaPuntiClassificaSquadra,3,FALSE),-1)=IFERROR(VLOOKUP($AL45,areaCercaPuntiClassificaSquadra,3,FALSE),-2)),SUMIFS(Dati!$F$2:$F$381,Dati!$A$2:$A$381,$H45,Dati!$H$2:$H$381,$AL45)+SUMIFS(Dati!$M$2:$M$381,Dati!$H$2:$H$381,$H45,Dati!$A$2:$A$381,$AL45),"-")</f>
        <v/>
      </c>
      <c r="DW45" s="22">
        <f>IF(AND($H45&lt;&gt;"",$AM45&lt;&gt;"",$H45&lt;&gt;$AM45,IFERROR(VLOOKUP($H45,areaCercaPuntiClassificaSquadra,3,FALSE),-1)=IFERROR(VLOOKUP($AM45,areaCercaPuntiClassificaSquadra,3,FALSE),-2)),SUMIFS(Dati!$F$2:$F$381,Dati!$A$2:$A$381,$H45,Dati!$H$2:$H$381,$AM45)+SUMIFS(Dati!$M$2:$M$381,Dati!$H$2:$H$381,$H45,Dati!$A$2:$A$381,$AM45),"-")</f>
        <v/>
      </c>
      <c r="DX45" s="22">
        <f>IF(AND($H45&lt;&gt;"",$AN45&lt;&gt;"",$H45&lt;&gt;$AN45,IFERROR(VLOOKUP($H45,areaCercaPuntiClassificaSquadra,3,FALSE),-1)=IFERROR(VLOOKUP($AN45,areaCercaPuntiClassificaSquadra,3,FALSE),-2)),SUMIFS(Dati!$F$2:$F$381,Dati!$A$2:$A$381,$H45,Dati!$H$2:$H$381,$AN45)+SUMIFS(Dati!$M$2:$M$381,Dati!$H$2:$H$381,$H45,Dati!$A$2:$A$381,$AN45),"-")</f>
        <v/>
      </c>
      <c r="DY45" s="22">
        <f>IF(AND($H45&lt;&gt;"",$AO45&lt;&gt;"",$H45&lt;&gt;$AO45,IFERROR(VLOOKUP($H45,areaCercaPuntiClassificaSquadra,3,FALSE),-1)=IFERROR(VLOOKUP($AO45,areaCercaPuntiClassificaSquadra,3,FALSE),-2)),SUMIFS(Dati!$F$2:$F$381,Dati!$A$2:$A$381,$H45,Dati!$H$2:$H$381,$AO45)+SUMIFS(Dati!$M$2:$M$381,Dati!$H$2:$H$381,$H45,Dati!$A$2:$A$381,$AO45),"-")</f>
        <v/>
      </c>
      <c r="DZ45" s="22">
        <f>IF(AND($H45&lt;&gt;"",$AP45&lt;&gt;"",$H45&lt;&gt;$AP45,IFERROR(VLOOKUP($H45,areaCercaPuntiClassificaSquadra,3,FALSE),-1)=IFERROR(VLOOKUP($AP45,areaCercaPuntiClassificaSquadra,3,FALSE),-2)),SUMIFS(Dati!$F$2:$F$381,Dati!$A$2:$A$381,$H45,Dati!$H$2:$H$381,$AP45)+SUMIFS(Dati!$M$2:$M$381,Dati!$H$2:$H$381,$H45,Dati!$A$2:$A$381,$AP45),"-")</f>
        <v/>
      </c>
      <c r="EA45" s="22">
        <f>IF(AND($H45&lt;&gt;"",$AQ45&lt;&gt;"",$H45&lt;&gt;$AQ45,IFERROR(VLOOKUP($H45,areaCercaPuntiClassificaSquadra,3,FALSE),-1)=IFERROR(VLOOKUP($AQ45,areaCercaPuntiClassificaSquadra,3,FALSE),-2)),SUMIFS(Dati!$F$2:$F$381,Dati!$A$2:$A$381,$H45,Dati!$H$2:$H$381,$AQ45)+SUMIFS(Dati!$M$2:$M$381,Dati!$H$2:$H$381,$H45,Dati!$A$2:$A$381,$AQ45),"-")</f>
        <v/>
      </c>
      <c r="EB45" s="22">
        <f>IF(AND($H45&lt;&gt;"",$AR45&lt;&gt;"",$H45&lt;&gt;$AR45,IFERROR(VLOOKUP($H45,areaCercaPuntiClassificaSquadra,3,FALSE),-1)=IFERROR(VLOOKUP($AR45,areaCercaPuntiClassificaSquadra,3,FALSE),-2)),SUMIFS(Dati!$F$2:$F$381,Dati!$A$2:$A$381,$H45,Dati!$H$2:$H$381,$AR45)+SUMIFS(Dati!$M$2:$M$381,Dati!$H$2:$H$381,$H45,Dati!$A$2:$A$381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inlineStr">
        <is>
          <t>Tucani Tenaci-Tucaniopoli TI</t>
        </is>
      </c>
      <c r="D46" s="14" t="n"/>
      <c r="E46" s="23" t="inlineStr">
        <is>
          <t>B</t>
        </is>
      </c>
      <c r="G46" s="24">
        <f>IF($C46="","",$E46&amp;(COUNTIFS(I$14:I$53,"&gt;"&amp;I46,E$14:E$53,"="&amp;E46,C$14:C$53,"&lt;&gt;")+COUNTIFS(I$14:I$53,"="&amp;I46,H$14:H$53,"&lt;="&amp;H46,E$14:E$53,"="&amp;E46,C$14:C$53,"&lt;&gt;")))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L46*constPuntiVittoria+M46*constPuntiSconfitta+N46*constPuntiForfait+IF(D46="",0,D46)</f>
        <v/>
      </c>
      <c r="K46" s="12">
        <f>SUM(L46:N46)</f>
        <v/>
      </c>
      <c r="L46" s="12">
        <f>IF($H46="",0,SUMIF(Dati!$A$2:$A$381,$H46,Dati!$B$2:$B$381)+SUMIF(Dati!$H$2:$H$381,$H46,Dati!$I$2:$I$381))</f>
        <v/>
      </c>
      <c r="M46" s="12">
        <f>IF($H46="",0,SUMIF(Dati!$A$2:$A$381,$H46,Dati!$D$2:$D$381)+SUMIF(Dati!$H$2:$H$381,$H46,Dati!$K$2:$K$381))</f>
        <v/>
      </c>
      <c r="N46" s="12">
        <f>IF($H46="",0,SUMIF(Dati!$A$2:$A$381,$H46,Dati!$C$2:$C$381)+SUMIF(Dati!$H$2:$H$381,$H46,Dati!$J$2:$J$381))</f>
        <v/>
      </c>
      <c r="O46" s="12">
        <f>IF($H46="",0,SUMIF(Dati!$A$2:$A$381,$H46,Dati!$E$2:$E$381)+SUMIF(Dati!$H$2:$H$381,$H46,Dati!$L$2:$L$381))</f>
        <v/>
      </c>
      <c r="P46" s="12">
        <f>IF($H46="",0,SUMIF(Dati!$A$2:$A$381,$H46,Dati!$F$2:$F$381)+SUMIF(Dati!$H$2:$H$381,$H46,Dati!$M$2:$M$381))</f>
        <v/>
      </c>
      <c r="Q46" s="12">
        <f>IF($H46="",0,SUMIF(Dati!$A$2:$A$381,$H46,Dati!$G$2:$G$381)+SUMIF(Dati!$H$2:$H$381,$H46,Dati!$N$2:$N$381))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IF(COUNTIFS($E$14:$E$53,$E46,$J$14:$J$53,$J46,$C$14:$C$53,"&lt;&gt;")&lt;=1,"-",SUM(AU46:BN46)&amp;"-"&amp;SUM(BQ46:CJ46))</f>
        <v/>
      </c>
      <c r="V46" s="18">
        <f>IF(COUNTIFS($E$14:$E$53,$E46,$J$14:$J$53,$J46,$C$14:$C$53,"&lt;&gt;",$ED$14:$ED$53,$ED46)&lt;=1,"-",IF(SUM(DI46:EB46)=0,0,ROUND(SUM(CM46:DF46)/SUM(DI46:EB46),3)))</f>
        <v/>
      </c>
      <c r="W46" s="18">
        <f>IF(COUNTIFS($E$14:$E$53,$E46,$J$14:$J$53,$J46,$C$14:$C$53,"&lt;&gt;",$ED$14:$ED$53,$ED46,$V$14:$V$53,$V46)&lt;=1,"-",IF(P46=0,0,ROUND(O46/P46,3)))</f>
        <v/>
      </c>
      <c r="X46" s="19">
        <f>IF($C46="","",$E46&amp;"#"&amp;COUNTIFS($E$14:$E46,$E46,$C$14:$C46,"&lt;&gt;"))</f>
        <v/>
      </c>
      <c r="Y46" s="20">
        <f>IFERROR(INDEX($H$14:$H$53,MATCH($E46&amp;"#1",$X$14:$X$53,0)),"")</f>
        <v/>
      </c>
      <c r="Z46" s="20">
        <f>IFERROR(INDEX($H$14:$H$53,MATCH($E46&amp;"#2",$X$14:$X$53,0)),"")</f>
        <v/>
      </c>
      <c r="AA46" s="20">
        <f>IFERROR(INDEX($H$14:$H$53,MATCH($E46&amp;"#3",$X$14:$X$53,0)),"")</f>
        <v/>
      </c>
      <c r="AB46" s="20">
        <f>IFERROR(INDEX($H$14:$H$53,MATCH($E46&amp;"#4",$X$14:$X$53,0)),"")</f>
        <v/>
      </c>
      <c r="AC46" s="20">
        <f>IFERROR(INDEX($H$14:$H$53,MATCH($E46&amp;"#5",$X$14:$X$53,0)),"")</f>
        <v/>
      </c>
      <c r="AD46" s="20">
        <f>IFERROR(INDEX($H$14:$H$53,MATCH($E46&amp;"#6",$X$14:$X$53,0)),"")</f>
        <v/>
      </c>
      <c r="AE46" s="20">
        <f>IFERROR(INDEX($H$14:$H$53,MATCH($E46&amp;"#7",$X$14:$X$53,0)),"")</f>
        <v/>
      </c>
      <c r="AF46" s="20">
        <f>IFERROR(INDEX($H$14:$H$53,MATCH($E46&amp;"#8",$X$14:$X$53,0)),"")</f>
        <v/>
      </c>
      <c r="AG46" s="20">
        <f>IFERROR(INDEX($H$14:$H$53,MATCH($E46&amp;"#9",$X$14:$X$53,0)),"")</f>
        <v/>
      </c>
      <c r="AH46" s="20">
        <f>IFERROR(INDEX($H$14:$H$53,MATCH($E46&amp;"#10",$X$14:$X$53,0)),"")</f>
        <v/>
      </c>
      <c r="AI46" s="20">
        <f>IFERROR(INDEX($H$14:$H$53,MATCH($E46&amp;"#11",$X$14:$X$53,0)),"")</f>
        <v/>
      </c>
      <c r="AJ46" s="20">
        <f>IFERROR(INDEX($H$14:$H$53,MATCH($E46&amp;"#12",$X$14:$X$53,0)),"")</f>
        <v/>
      </c>
      <c r="AK46" s="20">
        <f>IFERROR(INDEX($H$14:$H$53,MATCH($E46&amp;"#13",$X$14:$X$53,0)),"")</f>
        <v/>
      </c>
      <c r="AL46" s="20">
        <f>IFERROR(INDEX($H$14:$H$53,MATCH($E46&amp;"#14",$X$14:$X$53,0)),"")</f>
        <v/>
      </c>
      <c r="AM46" s="20">
        <f>IFERROR(INDEX($H$14:$H$53,MATCH($E46&amp;"#15",$X$14:$X$53,0)),"")</f>
        <v/>
      </c>
      <c r="AN46" s="20">
        <f>IFERROR(INDEX($H$14:$H$53,MATCH($E46&amp;"#16",$X$14:$X$53,0)),"")</f>
        <v/>
      </c>
      <c r="AO46" s="20">
        <f>IFERROR(INDEX($H$14:$H$53,MATCH($E46&amp;"#17",$X$14:$X$53,0)),"")</f>
        <v/>
      </c>
      <c r="AP46" s="20">
        <f>IFERROR(INDEX($H$14:$H$53,MATCH($E46&amp;"#18",$X$14:$X$53,0)),"")</f>
        <v/>
      </c>
      <c r="AQ46" s="20">
        <f>IFERROR(INDEX($H$14:$H$53,MATCH($E46&amp;"#19",$X$14:$X$53,0)),"")</f>
        <v/>
      </c>
      <c r="AR46" s="20">
        <f>IFERROR(INDEX($H$14:$H$53,MATCH($E46&amp;"#20",$X$14:$X$53,0)),"")</f>
        <v/>
      </c>
      <c r="AT46" s="21">
        <f>$C46</f>
        <v/>
      </c>
      <c r="AU46" s="22">
        <f>IF(AND($H46&lt;&gt;"",$Y46&lt;&gt;"",$H46&lt;&gt;$Y46,IFERROR(VLOOKUP($H46,areaCercaPuntiClassificaSquadra,3,FALSE),-1)=IFERROR(VLOOKUP($Y46,areaCercaPuntiClassificaSquadra,3,FALSE),-2)),SUMIFS(Dati!$B$2:$B$381,Dati!$A$2:$A$381,$H46,Dati!$H$2:$H$381,$Y46)+SUMIFS(Dati!$I$2:$I$381,Dati!$H$2:$H$381,$H46,Dati!$A$2:$A$381,$Y46),"-")</f>
        <v/>
      </c>
      <c r="AV46" s="22">
        <f>IF(AND($H46&lt;&gt;"",$Z46&lt;&gt;"",$H46&lt;&gt;$Z46,IFERROR(VLOOKUP($H46,areaCercaPuntiClassificaSquadra,3,FALSE),-1)=IFERROR(VLOOKUP($Z46,areaCercaPuntiClassificaSquadra,3,FALSE),-2)),SUMIFS(Dati!$B$2:$B$381,Dati!$A$2:$A$381,$H46,Dati!$H$2:$H$381,$Z46)+SUMIFS(Dati!$I$2:$I$381,Dati!$H$2:$H$381,$H46,Dati!$A$2:$A$381,$Z46),"-")</f>
        <v/>
      </c>
      <c r="AW46" s="22">
        <f>IF(AND($H46&lt;&gt;"",$AA46&lt;&gt;"",$H46&lt;&gt;$AA46,IFERROR(VLOOKUP($H46,areaCercaPuntiClassificaSquadra,3,FALSE),-1)=IFERROR(VLOOKUP($AA46,areaCercaPuntiClassificaSquadra,3,FALSE),-2)),SUMIFS(Dati!$B$2:$B$381,Dati!$A$2:$A$381,$H46,Dati!$H$2:$H$381,$AA46)+SUMIFS(Dati!$I$2:$I$381,Dati!$H$2:$H$381,$H46,Dati!$A$2:$A$381,$AA46),"-")</f>
        <v/>
      </c>
      <c r="AX46" s="22">
        <f>IF(AND($H46&lt;&gt;"",$AB46&lt;&gt;"",$H46&lt;&gt;$AB46,IFERROR(VLOOKUP($H46,areaCercaPuntiClassificaSquadra,3,FALSE),-1)=IFERROR(VLOOKUP($AB46,areaCercaPuntiClassificaSquadra,3,FALSE),-2)),SUMIFS(Dati!$B$2:$B$381,Dati!$A$2:$A$381,$H46,Dati!$H$2:$H$381,$AB46)+SUMIFS(Dati!$I$2:$I$381,Dati!$H$2:$H$381,$H46,Dati!$A$2:$A$381,$AB46),"-")</f>
        <v/>
      </c>
      <c r="AY46" s="22">
        <f>IF(AND($H46&lt;&gt;"",$AC46&lt;&gt;"",$H46&lt;&gt;$AC46,IFERROR(VLOOKUP($H46,areaCercaPuntiClassificaSquadra,3,FALSE),-1)=IFERROR(VLOOKUP($AC46,areaCercaPuntiClassificaSquadra,3,FALSE),-2)),SUMIFS(Dati!$B$2:$B$381,Dati!$A$2:$A$381,$H46,Dati!$H$2:$H$381,$AC46)+SUMIFS(Dati!$I$2:$I$381,Dati!$H$2:$H$381,$H46,Dati!$A$2:$A$381,$AC46),"-")</f>
        <v/>
      </c>
      <c r="AZ46" s="22">
        <f>IF(AND($H46&lt;&gt;"",$AD46&lt;&gt;"",$H46&lt;&gt;$AD46,IFERROR(VLOOKUP($H46,areaCercaPuntiClassificaSquadra,3,FALSE),-1)=IFERROR(VLOOKUP($AD46,areaCercaPuntiClassificaSquadra,3,FALSE),-2)),SUMIFS(Dati!$B$2:$B$381,Dati!$A$2:$A$381,$H46,Dati!$H$2:$H$381,$AD46)+SUMIFS(Dati!$I$2:$I$381,Dati!$H$2:$H$381,$H46,Dati!$A$2:$A$381,$AD46),"-")</f>
        <v/>
      </c>
      <c r="BA46" s="22">
        <f>IF(AND($H46&lt;&gt;"",$AE46&lt;&gt;"",$H46&lt;&gt;$AE46,IFERROR(VLOOKUP($H46,areaCercaPuntiClassificaSquadra,3,FALSE),-1)=IFERROR(VLOOKUP($AE46,areaCercaPuntiClassificaSquadra,3,FALSE),-2)),SUMIFS(Dati!$B$2:$B$381,Dati!$A$2:$A$381,$H46,Dati!$H$2:$H$381,$AE46)+SUMIFS(Dati!$I$2:$I$381,Dati!$H$2:$H$381,$H46,Dati!$A$2:$A$381,$AE46),"-")</f>
        <v/>
      </c>
      <c r="BB46" s="22">
        <f>IF(AND($H46&lt;&gt;"",$AF46&lt;&gt;"",$H46&lt;&gt;$AF46,IFERROR(VLOOKUP($H46,areaCercaPuntiClassificaSquadra,3,FALSE),-1)=IFERROR(VLOOKUP($AF46,areaCercaPuntiClassificaSquadra,3,FALSE),-2)),SUMIFS(Dati!$B$2:$B$381,Dati!$A$2:$A$381,$H46,Dati!$H$2:$H$381,$AF46)+SUMIFS(Dati!$I$2:$I$381,Dati!$H$2:$H$381,$H46,Dati!$A$2:$A$381,$AF46),"-")</f>
        <v/>
      </c>
      <c r="BC46" s="22">
        <f>IF(AND($H46&lt;&gt;"",$AG46&lt;&gt;"",$H46&lt;&gt;$AG46,IFERROR(VLOOKUP($H46,areaCercaPuntiClassificaSquadra,3,FALSE),-1)=IFERROR(VLOOKUP($AG46,areaCercaPuntiClassificaSquadra,3,FALSE),-2)),SUMIFS(Dati!$B$2:$B$381,Dati!$A$2:$A$381,$H46,Dati!$H$2:$H$381,$AG46)+SUMIFS(Dati!$I$2:$I$381,Dati!$H$2:$H$381,$H46,Dati!$A$2:$A$381,$AG46),"-")</f>
        <v/>
      </c>
      <c r="BD46" s="22">
        <f>IF(AND($H46&lt;&gt;"",$AH46&lt;&gt;"",$H46&lt;&gt;$AH46,IFERROR(VLOOKUP($H46,areaCercaPuntiClassificaSquadra,3,FALSE),-1)=IFERROR(VLOOKUP($AH46,areaCercaPuntiClassificaSquadra,3,FALSE),-2)),SUMIFS(Dati!$B$2:$B$381,Dati!$A$2:$A$381,$H46,Dati!$H$2:$H$381,$AH46)+SUMIFS(Dati!$I$2:$I$381,Dati!$H$2:$H$381,$H46,Dati!$A$2:$A$381,$AH46),"-")</f>
        <v/>
      </c>
      <c r="BE46" s="22">
        <f>IF(AND($H46&lt;&gt;"",$AI46&lt;&gt;"",$H46&lt;&gt;$AI46,IFERROR(VLOOKUP($H46,areaCercaPuntiClassificaSquadra,3,FALSE),-1)=IFERROR(VLOOKUP($AI46,areaCercaPuntiClassificaSquadra,3,FALSE),-2)),SUMIFS(Dati!$B$2:$B$381,Dati!$A$2:$A$381,$H46,Dati!$H$2:$H$381,$AI46)+SUMIFS(Dati!$I$2:$I$381,Dati!$H$2:$H$381,$H46,Dati!$A$2:$A$381,$AI46),"-")</f>
        <v/>
      </c>
      <c r="BF46" s="22">
        <f>IF(AND($H46&lt;&gt;"",$AJ46&lt;&gt;"",$H46&lt;&gt;$AJ46,IFERROR(VLOOKUP($H46,areaCercaPuntiClassificaSquadra,3,FALSE),-1)=IFERROR(VLOOKUP($AJ46,areaCercaPuntiClassificaSquadra,3,FALSE),-2)),SUMIFS(Dati!$B$2:$B$381,Dati!$A$2:$A$381,$H46,Dati!$H$2:$H$381,$AJ46)+SUMIFS(Dati!$I$2:$I$381,Dati!$H$2:$H$381,$H46,Dati!$A$2:$A$381,$AJ46),"-")</f>
        <v/>
      </c>
      <c r="BG46" s="22">
        <f>IF(AND($H46&lt;&gt;"",$AK46&lt;&gt;"",$H46&lt;&gt;$AK46,IFERROR(VLOOKUP($H46,areaCercaPuntiClassificaSquadra,3,FALSE),-1)=IFERROR(VLOOKUP($AK46,areaCercaPuntiClassificaSquadra,3,FALSE),-2)),SUMIFS(Dati!$B$2:$B$381,Dati!$A$2:$A$381,$H46,Dati!$H$2:$H$381,$AK46)+SUMIFS(Dati!$I$2:$I$381,Dati!$H$2:$H$381,$H46,Dati!$A$2:$A$381,$AK46),"-")</f>
        <v/>
      </c>
      <c r="BH46" s="22">
        <f>IF(AND($H46&lt;&gt;"",$AL46&lt;&gt;"",$H46&lt;&gt;$AL46,IFERROR(VLOOKUP($H46,areaCercaPuntiClassificaSquadra,3,FALSE),-1)=IFERROR(VLOOKUP($AL46,areaCercaPuntiClassificaSquadra,3,FALSE),-2)),SUMIFS(Dati!$B$2:$B$381,Dati!$A$2:$A$381,$H46,Dati!$H$2:$H$381,$AL46)+SUMIFS(Dati!$I$2:$I$381,Dati!$H$2:$H$381,$H46,Dati!$A$2:$A$381,$AL46),"-")</f>
        <v/>
      </c>
      <c r="BI46" s="22">
        <f>IF(AND($H46&lt;&gt;"",$AM46&lt;&gt;"",$H46&lt;&gt;$AM46,IFERROR(VLOOKUP($H46,areaCercaPuntiClassificaSquadra,3,FALSE),-1)=IFERROR(VLOOKUP($AM46,areaCercaPuntiClassificaSquadra,3,FALSE),-2)),SUMIFS(Dati!$B$2:$B$381,Dati!$A$2:$A$381,$H46,Dati!$H$2:$H$381,$AM46)+SUMIFS(Dati!$I$2:$I$381,Dati!$H$2:$H$381,$H46,Dati!$A$2:$A$381,$AM46),"-")</f>
        <v/>
      </c>
      <c r="BJ46" s="22">
        <f>IF(AND($H46&lt;&gt;"",$AN46&lt;&gt;"",$H46&lt;&gt;$AN46,IFERROR(VLOOKUP($H46,areaCercaPuntiClassificaSquadra,3,FALSE),-1)=IFERROR(VLOOKUP($AN46,areaCercaPuntiClassificaSquadra,3,FALSE),-2)),SUMIFS(Dati!$B$2:$B$381,Dati!$A$2:$A$381,$H46,Dati!$H$2:$H$381,$AN46)+SUMIFS(Dati!$I$2:$I$381,Dati!$H$2:$H$381,$H46,Dati!$A$2:$A$381,$AN46),"-")</f>
        <v/>
      </c>
      <c r="BK46" s="22">
        <f>IF(AND($H46&lt;&gt;"",$AO46&lt;&gt;"",$H46&lt;&gt;$AO46,IFERROR(VLOOKUP($H46,areaCercaPuntiClassificaSquadra,3,FALSE),-1)=IFERROR(VLOOKUP($AO46,areaCercaPuntiClassificaSquadra,3,FALSE),-2)),SUMIFS(Dati!$B$2:$B$381,Dati!$A$2:$A$381,$H46,Dati!$H$2:$H$381,$AO46)+SUMIFS(Dati!$I$2:$I$381,Dati!$H$2:$H$381,$H46,Dati!$A$2:$A$381,$AO46),"-")</f>
        <v/>
      </c>
      <c r="BL46" s="22">
        <f>IF(AND($H46&lt;&gt;"",$AP46&lt;&gt;"",$H46&lt;&gt;$AP46,IFERROR(VLOOKUP($H46,areaCercaPuntiClassificaSquadra,3,FALSE),-1)=IFERROR(VLOOKUP($AP46,areaCercaPuntiClassificaSquadra,3,FALSE),-2)),SUMIFS(Dati!$B$2:$B$381,Dati!$A$2:$A$381,$H46,Dati!$H$2:$H$381,$AP46)+SUMIFS(Dati!$I$2:$I$381,Dati!$H$2:$H$381,$H46,Dati!$A$2:$A$381,$AP46),"-")</f>
        <v/>
      </c>
      <c r="BM46" s="22">
        <f>IF(AND($H46&lt;&gt;"",$AQ46&lt;&gt;"",$H46&lt;&gt;$AQ46,IFERROR(VLOOKUP($H46,areaCercaPuntiClassificaSquadra,3,FALSE),-1)=IFERROR(VLOOKUP($AQ46,areaCercaPuntiClassificaSquadra,3,FALSE),-2)),SUMIFS(Dati!$B$2:$B$381,Dati!$A$2:$A$381,$H46,Dati!$H$2:$H$381,$AQ46)+SUMIFS(Dati!$I$2:$I$381,Dati!$H$2:$H$381,$H46,Dati!$A$2:$A$381,$AQ46),"-")</f>
        <v/>
      </c>
      <c r="BN46" s="22">
        <f>IF(AND($H46&lt;&gt;"",$AR46&lt;&gt;"",$H46&lt;&gt;$AR46,IFERROR(VLOOKUP($H46,areaCercaPuntiClassificaSquadra,3,FALSE),-1)=IFERROR(VLOOKUP($AR46,areaCercaPuntiClassificaSquadra,3,FALSE),-2)),SUMIFS(Dati!$B$2:$B$381,Dati!$A$2:$A$381,$H46,Dati!$H$2:$H$381,$AR46)+SUMIFS(Dati!$I$2:$I$381,Dati!$H$2:$H$381,$H46,Dati!$A$2:$A$381,$AR46),"-")</f>
        <v/>
      </c>
      <c r="BP46" s="21">
        <f>$C46</f>
        <v/>
      </c>
      <c r="BQ46" s="22">
        <f>IF(AND($H46&lt;&gt;"",$Y46&lt;&gt;"",$H46&lt;&gt;$Y46,IFERROR(VLOOKUP($H46,areaCercaPuntiClassificaSquadra,3,FALSE),-1)=IFERROR(VLOOKUP($Y46,areaCercaPuntiClassificaSquadra,3,FALSE),-2)),SUMIFS(Dati!$D$2:$D$381,Dati!$A$2:$A$381,$H46,Dati!$H$2:$H$381,$Y46)+SUMIFS(Dati!$K$2:$K$381,Dati!$H$2:$H$381,$H46,Dati!$A$2:$A$381,$Y46)+SUMIFS(Dati!$C$2:$C$381,Dati!$A$2:$A$381,$H46,Dati!$H$2:$H$381,$Y46)+SUMIFS(Dati!$J$2:$J$381,Dati!$H$2:$H$381,$H46,Dati!$A$2:$A$381,$Y46),"-")</f>
        <v/>
      </c>
      <c r="BR46" s="22">
        <f>IF(AND($H46&lt;&gt;"",$Z46&lt;&gt;"",$H46&lt;&gt;$Z46,IFERROR(VLOOKUP($H46,areaCercaPuntiClassificaSquadra,3,FALSE),-1)=IFERROR(VLOOKUP($Z46,areaCercaPuntiClassificaSquadra,3,FALSE),-2)),SUMIFS(Dati!$D$2:$D$381,Dati!$A$2:$A$381,$H46,Dati!$H$2:$H$381,$Z46)+SUMIFS(Dati!$K$2:$K$381,Dati!$H$2:$H$381,$H46,Dati!$A$2:$A$381,$Z46)+SUMIFS(Dati!$C$2:$C$381,Dati!$A$2:$A$381,$H46,Dati!$H$2:$H$381,$Z46)+SUMIFS(Dati!$J$2:$J$381,Dati!$H$2:$H$381,$H46,Dati!$A$2:$A$381,$Z46),"-")</f>
        <v/>
      </c>
      <c r="BS46" s="22">
        <f>IF(AND($H46&lt;&gt;"",$AA46&lt;&gt;"",$H46&lt;&gt;$AA46,IFERROR(VLOOKUP($H46,areaCercaPuntiClassificaSquadra,3,FALSE),-1)=IFERROR(VLOOKUP($AA46,areaCercaPuntiClassificaSquadra,3,FALSE),-2)),SUMIFS(Dati!$D$2:$D$381,Dati!$A$2:$A$381,$H46,Dati!$H$2:$H$381,$AA46)+SUMIFS(Dati!$K$2:$K$381,Dati!$H$2:$H$381,$H46,Dati!$A$2:$A$381,$AA46)+SUMIFS(Dati!$C$2:$C$381,Dati!$A$2:$A$381,$H46,Dati!$H$2:$H$381,$AA46)+SUMIFS(Dati!$J$2:$J$381,Dati!$H$2:$H$381,$H46,Dati!$A$2:$A$381,$AA46),"-")</f>
        <v/>
      </c>
      <c r="BT46" s="22">
        <f>IF(AND($H46&lt;&gt;"",$AB46&lt;&gt;"",$H46&lt;&gt;$AB46,IFERROR(VLOOKUP($H46,areaCercaPuntiClassificaSquadra,3,FALSE),-1)=IFERROR(VLOOKUP($AB46,areaCercaPuntiClassificaSquadra,3,FALSE),-2)),SUMIFS(Dati!$D$2:$D$381,Dati!$A$2:$A$381,$H46,Dati!$H$2:$H$381,$AB46)+SUMIFS(Dati!$K$2:$K$381,Dati!$H$2:$H$381,$H46,Dati!$A$2:$A$381,$AB46)+SUMIFS(Dati!$C$2:$C$381,Dati!$A$2:$A$381,$H46,Dati!$H$2:$H$381,$AB46)+SUMIFS(Dati!$J$2:$J$381,Dati!$H$2:$H$381,$H46,Dati!$A$2:$A$381,$AB46),"-")</f>
        <v/>
      </c>
      <c r="BU46" s="22">
        <f>IF(AND($H46&lt;&gt;"",$AC46&lt;&gt;"",$H46&lt;&gt;$AC46,IFERROR(VLOOKUP($H46,areaCercaPuntiClassificaSquadra,3,FALSE),-1)=IFERROR(VLOOKUP($AC46,areaCercaPuntiClassificaSquadra,3,FALSE),-2)),SUMIFS(Dati!$D$2:$D$381,Dati!$A$2:$A$381,$H46,Dati!$H$2:$H$381,$AC46)+SUMIFS(Dati!$K$2:$K$381,Dati!$H$2:$H$381,$H46,Dati!$A$2:$A$381,$AC46)+SUMIFS(Dati!$C$2:$C$381,Dati!$A$2:$A$381,$H46,Dati!$H$2:$H$381,$AC46)+SUMIFS(Dati!$J$2:$J$381,Dati!$H$2:$H$381,$H46,Dati!$A$2:$A$381,$AC46),"-")</f>
        <v/>
      </c>
      <c r="BV46" s="22">
        <f>IF(AND($H46&lt;&gt;"",$AD46&lt;&gt;"",$H46&lt;&gt;$AD46,IFERROR(VLOOKUP($H46,areaCercaPuntiClassificaSquadra,3,FALSE),-1)=IFERROR(VLOOKUP($AD46,areaCercaPuntiClassificaSquadra,3,FALSE),-2)),SUMIFS(Dati!$D$2:$D$381,Dati!$A$2:$A$381,$H46,Dati!$H$2:$H$381,$AD46)+SUMIFS(Dati!$K$2:$K$381,Dati!$H$2:$H$381,$H46,Dati!$A$2:$A$381,$AD46)+SUMIFS(Dati!$C$2:$C$381,Dati!$A$2:$A$381,$H46,Dati!$H$2:$H$381,$AD46)+SUMIFS(Dati!$J$2:$J$381,Dati!$H$2:$H$381,$H46,Dati!$A$2:$A$381,$AD46),"-")</f>
        <v/>
      </c>
      <c r="BW46" s="22">
        <f>IF(AND($H46&lt;&gt;"",$AE46&lt;&gt;"",$H46&lt;&gt;$AE46,IFERROR(VLOOKUP($H46,areaCercaPuntiClassificaSquadra,3,FALSE),-1)=IFERROR(VLOOKUP($AE46,areaCercaPuntiClassificaSquadra,3,FALSE),-2)),SUMIFS(Dati!$D$2:$D$381,Dati!$A$2:$A$381,$H46,Dati!$H$2:$H$381,$AE46)+SUMIFS(Dati!$K$2:$K$381,Dati!$H$2:$H$381,$H46,Dati!$A$2:$A$381,$AE46)+SUMIFS(Dati!$C$2:$C$381,Dati!$A$2:$A$381,$H46,Dati!$H$2:$H$381,$AE46)+SUMIFS(Dati!$J$2:$J$381,Dati!$H$2:$H$381,$H46,Dati!$A$2:$A$381,$AE46),"-")</f>
        <v/>
      </c>
      <c r="BX46" s="22">
        <f>IF(AND($H46&lt;&gt;"",$AF46&lt;&gt;"",$H46&lt;&gt;$AF46,IFERROR(VLOOKUP($H46,areaCercaPuntiClassificaSquadra,3,FALSE),-1)=IFERROR(VLOOKUP($AF46,areaCercaPuntiClassificaSquadra,3,FALSE),-2)),SUMIFS(Dati!$D$2:$D$381,Dati!$A$2:$A$381,$H46,Dati!$H$2:$H$381,$AF46)+SUMIFS(Dati!$K$2:$K$381,Dati!$H$2:$H$381,$H46,Dati!$A$2:$A$381,$AF46)+SUMIFS(Dati!$C$2:$C$381,Dati!$A$2:$A$381,$H46,Dati!$H$2:$H$381,$AF46)+SUMIFS(Dati!$J$2:$J$381,Dati!$H$2:$H$381,$H46,Dati!$A$2:$A$381,$AF46),"-")</f>
        <v/>
      </c>
      <c r="BY46" s="22">
        <f>IF(AND($H46&lt;&gt;"",$AG46&lt;&gt;"",$H46&lt;&gt;$AG46,IFERROR(VLOOKUP($H46,areaCercaPuntiClassificaSquadra,3,FALSE),-1)=IFERROR(VLOOKUP($AG46,areaCercaPuntiClassificaSquadra,3,FALSE),-2)),SUMIFS(Dati!$D$2:$D$381,Dati!$A$2:$A$381,$H46,Dati!$H$2:$H$381,$AG46)+SUMIFS(Dati!$K$2:$K$381,Dati!$H$2:$H$381,$H46,Dati!$A$2:$A$381,$AG46)+SUMIFS(Dati!$C$2:$C$381,Dati!$A$2:$A$381,$H46,Dati!$H$2:$H$381,$AG46)+SUMIFS(Dati!$J$2:$J$381,Dati!$H$2:$H$381,$H46,Dati!$A$2:$A$381,$AG46),"-")</f>
        <v/>
      </c>
      <c r="BZ46" s="22">
        <f>IF(AND($H46&lt;&gt;"",$AH46&lt;&gt;"",$H46&lt;&gt;$AH46,IFERROR(VLOOKUP($H46,areaCercaPuntiClassificaSquadra,3,FALSE),-1)=IFERROR(VLOOKUP($AH46,areaCercaPuntiClassificaSquadra,3,FALSE),-2)),SUMIFS(Dati!$D$2:$D$381,Dati!$A$2:$A$381,$H46,Dati!$H$2:$H$381,$AH46)+SUMIFS(Dati!$K$2:$K$381,Dati!$H$2:$H$381,$H46,Dati!$A$2:$A$381,$AH46)+SUMIFS(Dati!$C$2:$C$381,Dati!$A$2:$A$381,$H46,Dati!$H$2:$H$381,$AH46)+SUMIFS(Dati!$J$2:$J$381,Dati!$H$2:$H$381,$H46,Dati!$A$2:$A$381,$AH46),"-")</f>
        <v/>
      </c>
      <c r="CA46" s="22">
        <f>IF(AND($H46&lt;&gt;"",$AI46&lt;&gt;"",$H46&lt;&gt;$AI46,IFERROR(VLOOKUP($H46,areaCercaPuntiClassificaSquadra,3,FALSE),-1)=IFERROR(VLOOKUP($AI46,areaCercaPuntiClassificaSquadra,3,FALSE),-2)),SUMIFS(Dati!$D$2:$D$381,Dati!$A$2:$A$381,$H46,Dati!$H$2:$H$381,$AI46)+SUMIFS(Dati!$K$2:$K$381,Dati!$H$2:$H$381,$H46,Dati!$A$2:$A$381,$AI46)+SUMIFS(Dati!$C$2:$C$381,Dati!$A$2:$A$381,$H46,Dati!$H$2:$H$381,$AI46)+SUMIFS(Dati!$J$2:$J$381,Dati!$H$2:$H$381,$H46,Dati!$A$2:$A$381,$AI46),"-")</f>
        <v/>
      </c>
      <c r="CB46" s="22">
        <f>IF(AND($H46&lt;&gt;"",$AJ46&lt;&gt;"",$H46&lt;&gt;$AJ46,IFERROR(VLOOKUP($H46,areaCercaPuntiClassificaSquadra,3,FALSE),-1)=IFERROR(VLOOKUP($AJ46,areaCercaPuntiClassificaSquadra,3,FALSE),-2)),SUMIFS(Dati!$D$2:$D$381,Dati!$A$2:$A$381,$H46,Dati!$H$2:$H$381,$AJ46)+SUMIFS(Dati!$K$2:$K$381,Dati!$H$2:$H$381,$H46,Dati!$A$2:$A$381,$AJ46)+SUMIFS(Dati!$C$2:$C$381,Dati!$A$2:$A$381,$H46,Dati!$H$2:$H$381,$AJ46)+SUMIFS(Dati!$J$2:$J$381,Dati!$H$2:$H$381,$H46,Dati!$A$2:$A$381,$AJ46),"-")</f>
        <v/>
      </c>
      <c r="CC46" s="22">
        <f>IF(AND($H46&lt;&gt;"",$AK46&lt;&gt;"",$H46&lt;&gt;$AK46,IFERROR(VLOOKUP($H46,areaCercaPuntiClassificaSquadra,3,FALSE),-1)=IFERROR(VLOOKUP($AK46,areaCercaPuntiClassificaSquadra,3,FALSE),-2)),SUMIFS(Dati!$D$2:$D$381,Dati!$A$2:$A$381,$H46,Dati!$H$2:$H$381,$AK46)+SUMIFS(Dati!$K$2:$K$381,Dati!$H$2:$H$381,$H46,Dati!$A$2:$A$381,$AK46)+SUMIFS(Dati!$C$2:$C$381,Dati!$A$2:$A$381,$H46,Dati!$H$2:$H$381,$AK46)+SUMIFS(Dati!$J$2:$J$381,Dati!$H$2:$H$381,$H46,Dati!$A$2:$A$381,$AK46),"-")</f>
        <v/>
      </c>
      <c r="CD46" s="22">
        <f>IF(AND($H46&lt;&gt;"",$AL46&lt;&gt;"",$H46&lt;&gt;$AL46,IFERROR(VLOOKUP($H46,areaCercaPuntiClassificaSquadra,3,FALSE),-1)=IFERROR(VLOOKUP($AL46,areaCercaPuntiClassificaSquadra,3,FALSE),-2)),SUMIFS(Dati!$D$2:$D$381,Dati!$A$2:$A$381,$H46,Dati!$H$2:$H$381,$AL46)+SUMIFS(Dati!$K$2:$K$381,Dati!$H$2:$H$381,$H46,Dati!$A$2:$A$381,$AL46)+SUMIFS(Dati!$C$2:$C$381,Dati!$A$2:$A$381,$H46,Dati!$H$2:$H$381,$AL46)+SUMIFS(Dati!$J$2:$J$381,Dati!$H$2:$H$381,$H46,Dati!$A$2:$A$381,$AL46),"-")</f>
        <v/>
      </c>
      <c r="CE46" s="22">
        <f>IF(AND($H46&lt;&gt;"",$AM46&lt;&gt;"",$H46&lt;&gt;$AM46,IFERROR(VLOOKUP($H46,areaCercaPuntiClassificaSquadra,3,FALSE),-1)=IFERROR(VLOOKUP($AM46,areaCercaPuntiClassificaSquadra,3,FALSE),-2)),SUMIFS(Dati!$D$2:$D$381,Dati!$A$2:$A$381,$H46,Dati!$H$2:$H$381,$AM46)+SUMIFS(Dati!$K$2:$K$381,Dati!$H$2:$H$381,$H46,Dati!$A$2:$A$381,$AM46)+SUMIFS(Dati!$C$2:$C$381,Dati!$A$2:$A$381,$H46,Dati!$H$2:$H$381,$AM46)+SUMIFS(Dati!$J$2:$J$381,Dati!$H$2:$H$381,$H46,Dati!$A$2:$A$381,$AM46),"-")</f>
        <v/>
      </c>
      <c r="CF46" s="22">
        <f>IF(AND($H46&lt;&gt;"",$AN46&lt;&gt;"",$H46&lt;&gt;$AN46,IFERROR(VLOOKUP($H46,areaCercaPuntiClassificaSquadra,3,FALSE),-1)=IFERROR(VLOOKUP($AN46,areaCercaPuntiClassificaSquadra,3,FALSE),-2)),SUMIFS(Dati!$D$2:$D$381,Dati!$A$2:$A$381,$H46,Dati!$H$2:$H$381,$AN46)+SUMIFS(Dati!$K$2:$K$381,Dati!$H$2:$H$381,$H46,Dati!$A$2:$A$381,$AN46)+SUMIFS(Dati!$C$2:$C$381,Dati!$A$2:$A$381,$H46,Dati!$H$2:$H$381,$AN46)+SUMIFS(Dati!$J$2:$J$381,Dati!$H$2:$H$381,$H46,Dati!$A$2:$A$381,$AN46),"-")</f>
        <v/>
      </c>
      <c r="CG46" s="22">
        <f>IF(AND($H46&lt;&gt;"",$AO46&lt;&gt;"",$H46&lt;&gt;$AO46,IFERROR(VLOOKUP($H46,areaCercaPuntiClassificaSquadra,3,FALSE),-1)=IFERROR(VLOOKUP($AO46,areaCercaPuntiClassificaSquadra,3,FALSE),-2)),SUMIFS(Dati!$D$2:$D$381,Dati!$A$2:$A$381,$H46,Dati!$H$2:$H$381,$AO46)+SUMIFS(Dati!$K$2:$K$381,Dati!$H$2:$H$381,$H46,Dati!$A$2:$A$381,$AO46)+SUMIFS(Dati!$C$2:$C$381,Dati!$A$2:$A$381,$H46,Dati!$H$2:$H$381,$AO46)+SUMIFS(Dati!$J$2:$J$381,Dati!$H$2:$H$381,$H46,Dati!$A$2:$A$381,$AO46),"-")</f>
        <v/>
      </c>
      <c r="CH46" s="22">
        <f>IF(AND($H46&lt;&gt;"",$AP46&lt;&gt;"",$H46&lt;&gt;$AP46,IFERROR(VLOOKUP($H46,areaCercaPuntiClassificaSquadra,3,FALSE),-1)=IFERROR(VLOOKUP($AP46,areaCercaPuntiClassificaSquadra,3,FALSE),-2)),SUMIFS(Dati!$D$2:$D$381,Dati!$A$2:$A$381,$H46,Dati!$H$2:$H$381,$AP46)+SUMIFS(Dati!$K$2:$K$381,Dati!$H$2:$H$381,$H46,Dati!$A$2:$A$381,$AP46)+SUMIFS(Dati!$C$2:$C$381,Dati!$A$2:$A$381,$H46,Dati!$H$2:$H$381,$AP46)+SUMIFS(Dati!$J$2:$J$381,Dati!$H$2:$H$381,$H46,Dati!$A$2:$A$381,$AP46),"-")</f>
        <v/>
      </c>
      <c r="CI46" s="22">
        <f>IF(AND($H46&lt;&gt;"",$AQ46&lt;&gt;"",$H46&lt;&gt;$AQ46,IFERROR(VLOOKUP($H46,areaCercaPuntiClassificaSquadra,3,FALSE),-1)=IFERROR(VLOOKUP($AQ46,areaCercaPuntiClassificaSquadra,3,FALSE),-2)),SUMIFS(Dati!$D$2:$D$381,Dati!$A$2:$A$381,$H46,Dati!$H$2:$H$381,$AQ46)+SUMIFS(Dati!$K$2:$K$381,Dati!$H$2:$H$381,$H46,Dati!$A$2:$A$381,$AQ46)+SUMIFS(Dati!$C$2:$C$381,Dati!$A$2:$A$381,$H46,Dati!$H$2:$H$381,$AQ46)+SUMIFS(Dati!$J$2:$J$381,Dati!$H$2:$H$381,$H46,Dati!$A$2:$A$381,$AQ46),"-")</f>
        <v/>
      </c>
      <c r="CJ46" s="22">
        <f>IF(AND($H46&lt;&gt;"",$AR46&lt;&gt;"",$H46&lt;&gt;$AR46,IFERROR(VLOOKUP($H46,areaCercaPuntiClassificaSquadra,3,FALSE),-1)=IFERROR(VLOOKUP($AR46,areaCercaPuntiClassificaSquadra,3,FALSE),-2)),SUMIFS(Dati!$D$2:$D$381,Dati!$A$2:$A$381,$H46,Dati!$H$2:$H$381,$AR46)+SUMIFS(Dati!$K$2:$K$381,Dati!$H$2:$H$381,$H46,Dati!$A$2:$A$381,$AR46)+SUMIFS(Dati!$C$2:$C$381,Dati!$A$2:$A$381,$H46,Dati!$H$2:$H$381,$AR46)+SUMIFS(Dati!$J$2:$J$381,Dati!$H$2:$H$381,$H46,Dati!$A$2:$A$381,$AR46),"-")</f>
        <v/>
      </c>
      <c r="CL46" s="21">
        <f>$C46</f>
        <v/>
      </c>
      <c r="CM46" s="22">
        <f>IF(AND($H46&lt;&gt;"",$Y46&lt;&gt;"",$H46&lt;&gt;$Y46,IFERROR(VLOOKUP($H46,areaCercaPuntiClassificaSquadra,3,FALSE),-1)=IFERROR(VLOOKUP($Y46,areaCercaPuntiClassificaSquadra,3,FALSE),-2)),SUMIFS(Dati!$E$2:$E$381,Dati!$A$2:$A$381,$H46,Dati!$H$2:$H$381,$Y46)+SUMIFS(Dati!$L$2:$L$381,Dati!$H$2:$H$381,$H46,Dati!$A$2:$A$381,$Y46),"-")</f>
        <v/>
      </c>
      <c r="CN46" s="22">
        <f>IF(AND($H46&lt;&gt;"",$Z46&lt;&gt;"",$H46&lt;&gt;$Z46,IFERROR(VLOOKUP($H46,areaCercaPuntiClassificaSquadra,3,FALSE),-1)=IFERROR(VLOOKUP($Z46,areaCercaPuntiClassificaSquadra,3,FALSE),-2)),SUMIFS(Dati!$E$2:$E$381,Dati!$A$2:$A$381,$H46,Dati!$H$2:$H$381,$Z46)+SUMIFS(Dati!$L$2:$L$381,Dati!$H$2:$H$381,$H46,Dati!$A$2:$A$381,$Z46),"-")</f>
        <v/>
      </c>
      <c r="CO46" s="22">
        <f>IF(AND($H46&lt;&gt;"",$AA46&lt;&gt;"",$H46&lt;&gt;$AA46,IFERROR(VLOOKUP($H46,areaCercaPuntiClassificaSquadra,3,FALSE),-1)=IFERROR(VLOOKUP($AA46,areaCercaPuntiClassificaSquadra,3,FALSE),-2)),SUMIFS(Dati!$E$2:$E$381,Dati!$A$2:$A$381,$H46,Dati!$H$2:$H$381,$AA46)+SUMIFS(Dati!$L$2:$L$381,Dati!$H$2:$H$381,$H46,Dati!$A$2:$A$381,$AA46),"-")</f>
        <v/>
      </c>
      <c r="CP46" s="22">
        <f>IF(AND($H46&lt;&gt;"",$AB46&lt;&gt;"",$H46&lt;&gt;$AB46,IFERROR(VLOOKUP($H46,areaCercaPuntiClassificaSquadra,3,FALSE),-1)=IFERROR(VLOOKUP($AB46,areaCercaPuntiClassificaSquadra,3,FALSE),-2)),SUMIFS(Dati!$E$2:$E$381,Dati!$A$2:$A$381,$H46,Dati!$H$2:$H$381,$AB46)+SUMIFS(Dati!$L$2:$L$381,Dati!$H$2:$H$381,$H46,Dati!$A$2:$A$381,$AB46),"-")</f>
        <v/>
      </c>
      <c r="CQ46" s="22">
        <f>IF(AND($H46&lt;&gt;"",$AC46&lt;&gt;"",$H46&lt;&gt;$AC46,IFERROR(VLOOKUP($H46,areaCercaPuntiClassificaSquadra,3,FALSE),-1)=IFERROR(VLOOKUP($AC46,areaCercaPuntiClassificaSquadra,3,FALSE),-2)),SUMIFS(Dati!$E$2:$E$381,Dati!$A$2:$A$381,$H46,Dati!$H$2:$H$381,$AC46)+SUMIFS(Dati!$L$2:$L$381,Dati!$H$2:$H$381,$H46,Dati!$A$2:$A$381,$AC46),"-")</f>
        <v/>
      </c>
      <c r="CR46" s="22">
        <f>IF(AND($H46&lt;&gt;"",$AD46&lt;&gt;"",$H46&lt;&gt;$AD46,IFERROR(VLOOKUP($H46,areaCercaPuntiClassificaSquadra,3,FALSE),-1)=IFERROR(VLOOKUP($AD46,areaCercaPuntiClassificaSquadra,3,FALSE),-2)),SUMIFS(Dati!$E$2:$E$381,Dati!$A$2:$A$381,$H46,Dati!$H$2:$H$381,$AD46)+SUMIFS(Dati!$L$2:$L$381,Dati!$H$2:$H$381,$H46,Dati!$A$2:$A$381,$AD46),"-")</f>
        <v/>
      </c>
      <c r="CS46" s="22">
        <f>IF(AND($H46&lt;&gt;"",$AE46&lt;&gt;"",$H46&lt;&gt;$AE46,IFERROR(VLOOKUP($H46,areaCercaPuntiClassificaSquadra,3,FALSE),-1)=IFERROR(VLOOKUP($AE46,areaCercaPuntiClassificaSquadra,3,FALSE),-2)),SUMIFS(Dati!$E$2:$E$381,Dati!$A$2:$A$381,$H46,Dati!$H$2:$H$381,$AE46)+SUMIFS(Dati!$L$2:$L$381,Dati!$H$2:$H$381,$H46,Dati!$A$2:$A$381,$AE46),"-")</f>
        <v/>
      </c>
      <c r="CT46" s="22">
        <f>IF(AND($H46&lt;&gt;"",$AF46&lt;&gt;"",$H46&lt;&gt;$AF46,IFERROR(VLOOKUP($H46,areaCercaPuntiClassificaSquadra,3,FALSE),-1)=IFERROR(VLOOKUP($AF46,areaCercaPuntiClassificaSquadra,3,FALSE),-2)),SUMIFS(Dati!$E$2:$E$381,Dati!$A$2:$A$381,$H46,Dati!$H$2:$H$381,$AF46)+SUMIFS(Dati!$L$2:$L$381,Dati!$H$2:$H$381,$H46,Dati!$A$2:$A$381,$AF46),"-")</f>
        <v/>
      </c>
      <c r="CU46" s="22">
        <f>IF(AND($H46&lt;&gt;"",$AG46&lt;&gt;"",$H46&lt;&gt;$AG46,IFERROR(VLOOKUP($H46,areaCercaPuntiClassificaSquadra,3,FALSE),-1)=IFERROR(VLOOKUP($AG46,areaCercaPuntiClassificaSquadra,3,FALSE),-2)),SUMIFS(Dati!$E$2:$E$381,Dati!$A$2:$A$381,$H46,Dati!$H$2:$H$381,$AG46)+SUMIFS(Dati!$L$2:$L$381,Dati!$H$2:$H$381,$H46,Dati!$A$2:$A$381,$AG46),"-")</f>
        <v/>
      </c>
      <c r="CV46" s="22">
        <f>IF(AND($H46&lt;&gt;"",$AH46&lt;&gt;"",$H46&lt;&gt;$AH46,IFERROR(VLOOKUP($H46,areaCercaPuntiClassificaSquadra,3,FALSE),-1)=IFERROR(VLOOKUP($AH46,areaCercaPuntiClassificaSquadra,3,FALSE),-2)),SUMIFS(Dati!$E$2:$E$381,Dati!$A$2:$A$381,$H46,Dati!$H$2:$H$381,$AH46)+SUMIFS(Dati!$L$2:$L$381,Dati!$H$2:$H$381,$H46,Dati!$A$2:$A$381,$AH46),"-")</f>
        <v/>
      </c>
      <c r="CW46" s="22">
        <f>IF(AND($H46&lt;&gt;"",$AI46&lt;&gt;"",$H46&lt;&gt;$AI46,IFERROR(VLOOKUP($H46,areaCercaPuntiClassificaSquadra,3,FALSE),-1)=IFERROR(VLOOKUP($AI46,areaCercaPuntiClassificaSquadra,3,FALSE),-2)),SUMIFS(Dati!$E$2:$E$381,Dati!$A$2:$A$381,$H46,Dati!$H$2:$H$381,$AI46)+SUMIFS(Dati!$L$2:$L$381,Dati!$H$2:$H$381,$H46,Dati!$A$2:$A$381,$AI46),"-")</f>
        <v/>
      </c>
      <c r="CX46" s="22">
        <f>IF(AND($H46&lt;&gt;"",$AJ46&lt;&gt;"",$H46&lt;&gt;$AJ46,IFERROR(VLOOKUP($H46,areaCercaPuntiClassificaSquadra,3,FALSE),-1)=IFERROR(VLOOKUP($AJ46,areaCercaPuntiClassificaSquadra,3,FALSE),-2)),SUMIFS(Dati!$E$2:$E$381,Dati!$A$2:$A$381,$H46,Dati!$H$2:$H$381,$AJ46)+SUMIFS(Dati!$L$2:$L$381,Dati!$H$2:$H$381,$H46,Dati!$A$2:$A$381,$AJ46),"-")</f>
        <v/>
      </c>
      <c r="CY46" s="22">
        <f>IF(AND($H46&lt;&gt;"",$AK46&lt;&gt;"",$H46&lt;&gt;$AK46,IFERROR(VLOOKUP($H46,areaCercaPuntiClassificaSquadra,3,FALSE),-1)=IFERROR(VLOOKUP($AK46,areaCercaPuntiClassificaSquadra,3,FALSE),-2)),SUMIFS(Dati!$E$2:$E$381,Dati!$A$2:$A$381,$H46,Dati!$H$2:$H$381,$AK46)+SUMIFS(Dati!$L$2:$L$381,Dati!$H$2:$H$381,$H46,Dati!$A$2:$A$381,$AK46),"-")</f>
        <v/>
      </c>
      <c r="CZ46" s="22">
        <f>IF(AND($H46&lt;&gt;"",$AL46&lt;&gt;"",$H46&lt;&gt;$AL46,IFERROR(VLOOKUP($H46,areaCercaPuntiClassificaSquadra,3,FALSE),-1)=IFERROR(VLOOKUP($AL46,areaCercaPuntiClassificaSquadra,3,FALSE),-2)),SUMIFS(Dati!$E$2:$E$381,Dati!$A$2:$A$381,$H46,Dati!$H$2:$H$381,$AL46)+SUMIFS(Dati!$L$2:$L$381,Dati!$H$2:$H$381,$H46,Dati!$A$2:$A$381,$AL46),"-")</f>
        <v/>
      </c>
      <c r="DA46" s="22">
        <f>IF(AND($H46&lt;&gt;"",$AM46&lt;&gt;"",$H46&lt;&gt;$AM46,IFERROR(VLOOKUP($H46,areaCercaPuntiClassificaSquadra,3,FALSE),-1)=IFERROR(VLOOKUP($AM46,areaCercaPuntiClassificaSquadra,3,FALSE),-2)),SUMIFS(Dati!$E$2:$E$381,Dati!$A$2:$A$381,$H46,Dati!$H$2:$H$381,$AM46)+SUMIFS(Dati!$L$2:$L$381,Dati!$H$2:$H$381,$H46,Dati!$A$2:$A$381,$AM46),"-")</f>
        <v/>
      </c>
      <c r="DB46" s="22">
        <f>IF(AND($H46&lt;&gt;"",$AN46&lt;&gt;"",$H46&lt;&gt;$AN46,IFERROR(VLOOKUP($H46,areaCercaPuntiClassificaSquadra,3,FALSE),-1)=IFERROR(VLOOKUP($AN46,areaCercaPuntiClassificaSquadra,3,FALSE),-2)),SUMIFS(Dati!$E$2:$E$381,Dati!$A$2:$A$381,$H46,Dati!$H$2:$H$381,$AN46)+SUMIFS(Dati!$L$2:$L$381,Dati!$H$2:$H$381,$H46,Dati!$A$2:$A$381,$AN46),"-")</f>
        <v/>
      </c>
      <c r="DC46" s="22">
        <f>IF(AND($H46&lt;&gt;"",$AO46&lt;&gt;"",$H46&lt;&gt;$AO46,IFERROR(VLOOKUP($H46,areaCercaPuntiClassificaSquadra,3,FALSE),-1)=IFERROR(VLOOKUP($AO46,areaCercaPuntiClassificaSquadra,3,FALSE),-2)),SUMIFS(Dati!$E$2:$E$381,Dati!$A$2:$A$381,$H46,Dati!$H$2:$H$381,$AO46)+SUMIFS(Dati!$L$2:$L$381,Dati!$H$2:$H$381,$H46,Dati!$A$2:$A$381,$AO46),"-")</f>
        <v/>
      </c>
      <c r="DD46" s="22">
        <f>IF(AND($H46&lt;&gt;"",$AP46&lt;&gt;"",$H46&lt;&gt;$AP46,IFERROR(VLOOKUP($H46,areaCercaPuntiClassificaSquadra,3,FALSE),-1)=IFERROR(VLOOKUP($AP46,areaCercaPuntiClassificaSquadra,3,FALSE),-2)),SUMIFS(Dati!$E$2:$E$381,Dati!$A$2:$A$381,$H46,Dati!$H$2:$H$381,$AP46)+SUMIFS(Dati!$L$2:$L$381,Dati!$H$2:$H$381,$H46,Dati!$A$2:$A$381,$AP46),"-")</f>
        <v/>
      </c>
      <c r="DE46" s="22">
        <f>IF(AND($H46&lt;&gt;"",$AQ46&lt;&gt;"",$H46&lt;&gt;$AQ46,IFERROR(VLOOKUP($H46,areaCercaPuntiClassificaSquadra,3,FALSE),-1)=IFERROR(VLOOKUP($AQ46,areaCercaPuntiClassificaSquadra,3,FALSE),-2)),SUMIFS(Dati!$E$2:$E$381,Dati!$A$2:$A$381,$H46,Dati!$H$2:$H$381,$AQ46)+SUMIFS(Dati!$L$2:$L$381,Dati!$H$2:$H$381,$H46,Dati!$A$2:$A$381,$AQ46),"-")</f>
        <v/>
      </c>
      <c r="DF46" s="22">
        <f>IF(AND($H46&lt;&gt;"",$AR46&lt;&gt;"",$H46&lt;&gt;$AR46,IFERROR(VLOOKUP($H46,areaCercaPuntiClassificaSquadra,3,FALSE),-1)=IFERROR(VLOOKUP($AR46,areaCercaPuntiClassificaSquadra,3,FALSE),-2)),SUMIFS(Dati!$E$2:$E$381,Dati!$A$2:$A$381,$H46,Dati!$H$2:$H$381,$AR46)+SUMIFS(Dati!$L$2:$L$381,Dati!$H$2:$H$381,$H46,Dati!$A$2:$A$381,$AR46),"-")</f>
        <v/>
      </c>
      <c r="DH46" s="21">
        <f>$C46</f>
        <v/>
      </c>
      <c r="DI46" s="22">
        <f>IF(AND($H46&lt;&gt;"",$Y46&lt;&gt;"",$H46&lt;&gt;$Y46,IFERROR(VLOOKUP($H46,areaCercaPuntiClassificaSquadra,3,FALSE),-1)=IFERROR(VLOOKUP($Y46,areaCercaPuntiClassificaSquadra,3,FALSE),-2)),SUMIFS(Dati!$F$2:$F$381,Dati!$A$2:$A$381,$H46,Dati!$H$2:$H$381,$Y46)+SUMIFS(Dati!$M$2:$M$381,Dati!$H$2:$H$381,$H46,Dati!$A$2:$A$381,$Y46),"-")</f>
        <v/>
      </c>
      <c r="DJ46" s="22">
        <f>IF(AND($H46&lt;&gt;"",$Z46&lt;&gt;"",$H46&lt;&gt;$Z46,IFERROR(VLOOKUP($H46,areaCercaPuntiClassificaSquadra,3,FALSE),-1)=IFERROR(VLOOKUP($Z46,areaCercaPuntiClassificaSquadra,3,FALSE),-2)),SUMIFS(Dati!$F$2:$F$381,Dati!$A$2:$A$381,$H46,Dati!$H$2:$H$381,$Z46)+SUMIFS(Dati!$M$2:$M$381,Dati!$H$2:$H$381,$H46,Dati!$A$2:$A$381,$Z46),"-")</f>
        <v/>
      </c>
      <c r="DK46" s="22">
        <f>IF(AND($H46&lt;&gt;"",$AA46&lt;&gt;"",$H46&lt;&gt;$AA46,IFERROR(VLOOKUP($H46,areaCercaPuntiClassificaSquadra,3,FALSE),-1)=IFERROR(VLOOKUP($AA46,areaCercaPuntiClassificaSquadra,3,FALSE),-2)),SUMIFS(Dati!$F$2:$F$381,Dati!$A$2:$A$381,$H46,Dati!$H$2:$H$381,$AA46)+SUMIFS(Dati!$M$2:$M$381,Dati!$H$2:$H$381,$H46,Dati!$A$2:$A$381,$AA46),"-")</f>
        <v/>
      </c>
      <c r="DL46" s="22">
        <f>IF(AND($H46&lt;&gt;"",$AB46&lt;&gt;"",$H46&lt;&gt;$AB46,IFERROR(VLOOKUP($H46,areaCercaPuntiClassificaSquadra,3,FALSE),-1)=IFERROR(VLOOKUP($AB46,areaCercaPuntiClassificaSquadra,3,FALSE),-2)),SUMIFS(Dati!$F$2:$F$381,Dati!$A$2:$A$381,$H46,Dati!$H$2:$H$381,$AB46)+SUMIFS(Dati!$M$2:$M$381,Dati!$H$2:$H$381,$H46,Dati!$A$2:$A$381,$AB46),"-")</f>
        <v/>
      </c>
      <c r="DM46" s="22">
        <f>IF(AND($H46&lt;&gt;"",$AC46&lt;&gt;"",$H46&lt;&gt;$AC46,IFERROR(VLOOKUP($H46,areaCercaPuntiClassificaSquadra,3,FALSE),-1)=IFERROR(VLOOKUP($AC46,areaCercaPuntiClassificaSquadra,3,FALSE),-2)),SUMIFS(Dati!$F$2:$F$381,Dati!$A$2:$A$381,$H46,Dati!$H$2:$H$381,$AC46)+SUMIFS(Dati!$M$2:$M$381,Dati!$H$2:$H$381,$H46,Dati!$A$2:$A$381,$AC46),"-")</f>
        <v/>
      </c>
      <c r="DN46" s="22">
        <f>IF(AND($H46&lt;&gt;"",$AD46&lt;&gt;"",$H46&lt;&gt;$AD46,IFERROR(VLOOKUP($H46,areaCercaPuntiClassificaSquadra,3,FALSE),-1)=IFERROR(VLOOKUP($AD46,areaCercaPuntiClassificaSquadra,3,FALSE),-2)),SUMIFS(Dati!$F$2:$F$381,Dati!$A$2:$A$381,$H46,Dati!$H$2:$H$381,$AD46)+SUMIFS(Dati!$M$2:$M$381,Dati!$H$2:$H$381,$H46,Dati!$A$2:$A$381,$AD46),"-")</f>
        <v/>
      </c>
      <c r="DO46" s="22">
        <f>IF(AND($H46&lt;&gt;"",$AE46&lt;&gt;"",$H46&lt;&gt;$AE46,IFERROR(VLOOKUP($H46,areaCercaPuntiClassificaSquadra,3,FALSE),-1)=IFERROR(VLOOKUP($AE46,areaCercaPuntiClassificaSquadra,3,FALSE),-2)),SUMIFS(Dati!$F$2:$F$381,Dati!$A$2:$A$381,$H46,Dati!$H$2:$H$381,$AE46)+SUMIFS(Dati!$M$2:$M$381,Dati!$H$2:$H$381,$H46,Dati!$A$2:$A$381,$AE46),"-")</f>
        <v/>
      </c>
      <c r="DP46" s="22">
        <f>IF(AND($H46&lt;&gt;"",$AF46&lt;&gt;"",$H46&lt;&gt;$AF46,IFERROR(VLOOKUP($H46,areaCercaPuntiClassificaSquadra,3,FALSE),-1)=IFERROR(VLOOKUP($AF46,areaCercaPuntiClassificaSquadra,3,FALSE),-2)),SUMIFS(Dati!$F$2:$F$381,Dati!$A$2:$A$381,$H46,Dati!$H$2:$H$381,$AF46)+SUMIFS(Dati!$M$2:$M$381,Dati!$H$2:$H$381,$H46,Dati!$A$2:$A$381,$AF46),"-")</f>
        <v/>
      </c>
      <c r="DQ46" s="22">
        <f>IF(AND($H46&lt;&gt;"",$AG46&lt;&gt;"",$H46&lt;&gt;$AG46,IFERROR(VLOOKUP($H46,areaCercaPuntiClassificaSquadra,3,FALSE),-1)=IFERROR(VLOOKUP($AG46,areaCercaPuntiClassificaSquadra,3,FALSE),-2)),SUMIFS(Dati!$F$2:$F$381,Dati!$A$2:$A$381,$H46,Dati!$H$2:$H$381,$AG46)+SUMIFS(Dati!$M$2:$M$381,Dati!$H$2:$H$381,$H46,Dati!$A$2:$A$381,$AG46),"-")</f>
        <v/>
      </c>
      <c r="DR46" s="22">
        <f>IF(AND($H46&lt;&gt;"",$AH46&lt;&gt;"",$H46&lt;&gt;$AH46,IFERROR(VLOOKUP($H46,areaCercaPuntiClassificaSquadra,3,FALSE),-1)=IFERROR(VLOOKUP($AH46,areaCercaPuntiClassificaSquadra,3,FALSE),-2)),SUMIFS(Dati!$F$2:$F$381,Dati!$A$2:$A$381,$H46,Dati!$H$2:$H$381,$AH46)+SUMIFS(Dati!$M$2:$M$381,Dati!$H$2:$H$381,$H46,Dati!$A$2:$A$381,$AH46),"-")</f>
        <v/>
      </c>
      <c r="DS46" s="22">
        <f>IF(AND($H46&lt;&gt;"",$AI46&lt;&gt;"",$H46&lt;&gt;$AI46,IFERROR(VLOOKUP($H46,areaCercaPuntiClassificaSquadra,3,FALSE),-1)=IFERROR(VLOOKUP($AI46,areaCercaPuntiClassificaSquadra,3,FALSE),-2)),SUMIFS(Dati!$F$2:$F$381,Dati!$A$2:$A$381,$H46,Dati!$H$2:$H$381,$AI46)+SUMIFS(Dati!$M$2:$M$381,Dati!$H$2:$H$381,$H46,Dati!$A$2:$A$381,$AI46),"-")</f>
        <v/>
      </c>
      <c r="DT46" s="22">
        <f>IF(AND($H46&lt;&gt;"",$AJ46&lt;&gt;"",$H46&lt;&gt;$AJ46,IFERROR(VLOOKUP($H46,areaCercaPuntiClassificaSquadra,3,FALSE),-1)=IFERROR(VLOOKUP($AJ46,areaCercaPuntiClassificaSquadra,3,FALSE),-2)),SUMIFS(Dati!$F$2:$F$381,Dati!$A$2:$A$381,$H46,Dati!$H$2:$H$381,$AJ46)+SUMIFS(Dati!$M$2:$M$381,Dati!$H$2:$H$381,$H46,Dati!$A$2:$A$381,$AJ46),"-")</f>
        <v/>
      </c>
      <c r="DU46" s="22">
        <f>IF(AND($H46&lt;&gt;"",$AK46&lt;&gt;"",$H46&lt;&gt;$AK46,IFERROR(VLOOKUP($H46,areaCercaPuntiClassificaSquadra,3,FALSE),-1)=IFERROR(VLOOKUP($AK46,areaCercaPuntiClassificaSquadra,3,FALSE),-2)),SUMIFS(Dati!$F$2:$F$381,Dati!$A$2:$A$381,$H46,Dati!$H$2:$H$381,$AK46)+SUMIFS(Dati!$M$2:$M$381,Dati!$H$2:$H$381,$H46,Dati!$A$2:$A$381,$AK46),"-")</f>
        <v/>
      </c>
      <c r="DV46" s="22">
        <f>IF(AND($H46&lt;&gt;"",$AL46&lt;&gt;"",$H46&lt;&gt;$AL46,IFERROR(VLOOKUP($H46,areaCercaPuntiClassificaSquadra,3,FALSE),-1)=IFERROR(VLOOKUP($AL46,areaCercaPuntiClassificaSquadra,3,FALSE),-2)),SUMIFS(Dati!$F$2:$F$381,Dati!$A$2:$A$381,$H46,Dati!$H$2:$H$381,$AL46)+SUMIFS(Dati!$M$2:$M$381,Dati!$H$2:$H$381,$H46,Dati!$A$2:$A$381,$AL46),"-")</f>
        <v/>
      </c>
      <c r="DW46" s="22">
        <f>IF(AND($H46&lt;&gt;"",$AM46&lt;&gt;"",$H46&lt;&gt;$AM46,IFERROR(VLOOKUP($H46,areaCercaPuntiClassificaSquadra,3,FALSE),-1)=IFERROR(VLOOKUP($AM46,areaCercaPuntiClassificaSquadra,3,FALSE),-2)),SUMIFS(Dati!$F$2:$F$381,Dati!$A$2:$A$381,$H46,Dati!$H$2:$H$381,$AM46)+SUMIFS(Dati!$M$2:$M$381,Dati!$H$2:$H$381,$H46,Dati!$A$2:$A$381,$AM46),"-")</f>
        <v/>
      </c>
      <c r="DX46" s="22">
        <f>IF(AND($H46&lt;&gt;"",$AN46&lt;&gt;"",$H46&lt;&gt;$AN46,IFERROR(VLOOKUP($H46,areaCercaPuntiClassificaSquadra,3,FALSE),-1)=IFERROR(VLOOKUP($AN46,areaCercaPuntiClassificaSquadra,3,FALSE),-2)),SUMIFS(Dati!$F$2:$F$381,Dati!$A$2:$A$381,$H46,Dati!$H$2:$H$381,$AN46)+SUMIFS(Dati!$M$2:$M$381,Dati!$H$2:$H$381,$H46,Dati!$A$2:$A$381,$AN46),"-")</f>
        <v/>
      </c>
      <c r="DY46" s="22">
        <f>IF(AND($H46&lt;&gt;"",$AO46&lt;&gt;"",$H46&lt;&gt;$AO46,IFERROR(VLOOKUP($H46,areaCercaPuntiClassificaSquadra,3,FALSE),-1)=IFERROR(VLOOKUP($AO46,areaCercaPuntiClassificaSquadra,3,FALSE),-2)),SUMIFS(Dati!$F$2:$F$381,Dati!$A$2:$A$381,$H46,Dati!$H$2:$H$381,$AO46)+SUMIFS(Dati!$M$2:$M$381,Dati!$H$2:$H$381,$H46,Dati!$A$2:$A$381,$AO46),"-")</f>
        <v/>
      </c>
      <c r="DZ46" s="22">
        <f>IF(AND($H46&lt;&gt;"",$AP46&lt;&gt;"",$H46&lt;&gt;$AP46,IFERROR(VLOOKUP($H46,areaCercaPuntiClassificaSquadra,3,FALSE),-1)=IFERROR(VLOOKUP($AP46,areaCercaPuntiClassificaSquadra,3,FALSE),-2)),SUMIFS(Dati!$F$2:$F$381,Dati!$A$2:$A$381,$H46,Dati!$H$2:$H$381,$AP46)+SUMIFS(Dati!$M$2:$M$381,Dati!$H$2:$H$381,$H46,Dati!$A$2:$A$381,$AP46),"-")</f>
        <v/>
      </c>
      <c r="EA46" s="22">
        <f>IF(AND($H46&lt;&gt;"",$AQ46&lt;&gt;"",$H46&lt;&gt;$AQ46,IFERROR(VLOOKUP($H46,areaCercaPuntiClassificaSquadra,3,FALSE),-1)=IFERROR(VLOOKUP($AQ46,areaCercaPuntiClassificaSquadra,3,FALSE),-2)),SUMIFS(Dati!$F$2:$F$381,Dati!$A$2:$A$381,$H46,Dati!$H$2:$H$381,$AQ46)+SUMIFS(Dati!$M$2:$M$381,Dati!$H$2:$H$381,$H46,Dati!$A$2:$A$381,$AQ46),"-")</f>
        <v/>
      </c>
      <c r="EB46" s="22">
        <f>IF(AND($H46&lt;&gt;"",$AR46&lt;&gt;"",$H46&lt;&gt;$AR46,IFERROR(VLOOKUP($H46,areaCercaPuntiClassificaSquadra,3,FALSE),-1)=IFERROR(VLOOKUP($AR46,areaCercaPuntiClassificaSquadra,3,FALSE),-2)),SUMIFS(Dati!$F$2:$F$381,Dati!$A$2:$A$381,$H46,Dati!$H$2:$H$381,$AR46)+SUMIFS(Dati!$M$2:$M$381,Dati!$H$2:$H$381,$H46,Dati!$A$2:$A$381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inlineStr">
        <is>
          <t>Vipere Veloci-Vipereopoli VO</t>
        </is>
      </c>
      <c r="D47" s="14" t="n"/>
      <c r="E47" s="23" t="inlineStr">
        <is>
          <t>B</t>
        </is>
      </c>
      <c r="G47" s="24">
        <f>IF($C47="","",$E47&amp;(COUNTIFS(I$14:I$53,"&gt;"&amp;I47,E$14:E$53,"="&amp;E47,C$14:C$53,"&lt;&gt;")+COUNTIFS(I$14:I$53,"="&amp;I47,H$14:H$53,"&lt;="&amp;H47,E$14:E$53,"="&amp;E47,C$14:C$53,"&lt;&gt;")))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L47*constPuntiVittoria+M47*constPuntiSconfitta+N47*constPuntiForfait+IF(D47="",0,D47)</f>
        <v/>
      </c>
      <c r="K47" s="12">
        <f>SUM(L47:N47)</f>
        <v/>
      </c>
      <c r="L47" s="12">
        <f>IF($H47="",0,SUMIF(Dati!$A$2:$A$381,$H47,Dati!$B$2:$B$381)+SUMIF(Dati!$H$2:$H$381,$H47,Dati!$I$2:$I$381))</f>
        <v/>
      </c>
      <c r="M47" s="12">
        <f>IF($H47="",0,SUMIF(Dati!$A$2:$A$381,$H47,Dati!$D$2:$D$381)+SUMIF(Dati!$H$2:$H$381,$H47,Dati!$K$2:$K$381))</f>
        <v/>
      </c>
      <c r="N47" s="12">
        <f>IF($H47="",0,SUMIF(Dati!$A$2:$A$381,$H47,Dati!$C$2:$C$381)+SUMIF(Dati!$H$2:$H$381,$H47,Dati!$J$2:$J$381))</f>
        <v/>
      </c>
      <c r="O47" s="12">
        <f>IF($H47="",0,SUMIF(Dati!$A$2:$A$381,$H47,Dati!$E$2:$E$381)+SUMIF(Dati!$H$2:$H$381,$H47,Dati!$L$2:$L$381))</f>
        <v/>
      </c>
      <c r="P47" s="12">
        <f>IF($H47="",0,SUMIF(Dati!$A$2:$A$381,$H47,Dati!$F$2:$F$381)+SUMIF(Dati!$H$2:$H$381,$H47,Dati!$M$2:$M$381))</f>
        <v/>
      </c>
      <c r="Q47" s="12">
        <f>IF($H47="",0,SUMIF(Dati!$A$2:$A$381,$H47,Dati!$G$2:$G$381)+SUMIF(Dati!$H$2:$H$381,$H47,Dati!$N$2:$N$381))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IF(COUNTIFS($E$14:$E$53,$E47,$J$14:$J$53,$J47,$C$14:$C$53,"&lt;&gt;")&lt;=1,"-",SUM(AU47:BN47)&amp;"-"&amp;SUM(BQ47:CJ47))</f>
        <v/>
      </c>
      <c r="V47" s="18">
        <f>IF(COUNTIFS($E$14:$E$53,$E47,$J$14:$J$53,$J47,$C$14:$C$53,"&lt;&gt;",$ED$14:$ED$53,$ED47)&lt;=1,"-",IF(SUM(DI47:EB47)=0,0,ROUND(SUM(CM47:DF47)/SUM(DI47:EB47),3)))</f>
        <v/>
      </c>
      <c r="W47" s="18">
        <f>IF(COUNTIFS($E$14:$E$53,$E47,$J$14:$J$53,$J47,$C$14:$C$53,"&lt;&gt;",$ED$14:$ED$53,$ED47,$V$14:$V$53,$V47)&lt;=1,"-",IF(P47=0,0,ROUND(O47/P47,3)))</f>
        <v/>
      </c>
      <c r="X47" s="19">
        <f>IF($C47="","",$E47&amp;"#"&amp;COUNTIFS($E$14:$E47,$E47,$C$14:$C47,"&lt;&gt;"))</f>
        <v/>
      </c>
      <c r="Y47" s="20">
        <f>IFERROR(INDEX($H$14:$H$53,MATCH($E47&amp;"#1",$X$14:$X$53,0)),"")</f>
        <v/>
      </c>
      <c r="Z47" s="20">
        <f>IFERROR(INDEX($H$14:$H$53,MATCH($E47&amp;"#2",$X$14:$X$53,0)),"")</f>
        <v/>
      </c>
      <c r="AA47" s="20">
        <f>IFERROR(INDEX($H$14:$H$53,MATCH($E47&amp;"#3",$X$14:$X$53,0)),"")</f>
        <v/>
      </c>
      <c r="AB47" s="20">
        <f>IFERROR(INDEX($H$14:$H$53,MATCH($E47&amp;"#4",$X$14:$X$53,0)),"")</f>
        <v/>
      </c>
      <c r="AC47" s="20">
        <f>IFERROR(INDEX($H$14:$H$53,MATCH($E47&amp;"#5",$X$14:$X$53,0)),"")</f>
        <v/>
      </c>
      <c r="AD47" s="20">
        <f>IFERROR(INDEX($H$14:$H$53,MATCH($E47&amp;"#6",$X$14:$X$53,0)),"")</f>
        <v/>
      </c>
      <c r="AE47" s="20">
        <f>IFERROR(INDEX($H$14:$H$53,MATCH($E47&amp;"#7",$X$14:$X$53,0)),"")</f>
        <v/>
      </c>
      <c r="AF47" s="20">
        <f>IFERROR(INDEX($H$14:$H$53,MATCH($E47&amp;"#8",$X$14:$X$53,0)),"")</f>
        <v/>
      </c>
      <c r="AG47" s="20">
        <f>IFERROR(INDEX($H$14:$H$53,MATCH($E47&amp;"#9",$X$14:$X$53,0)),"")</f>
        <v/>
      </c>
      <c r="AH47" s="20">
        <f>IFERROR(INDEX($H$14:$H$53,MATCH($E47&amp;"#10",$X$14:$X$53,0)),"")</f>
        <v/>
      </c>
      <c r="AI47" s="20">
        <f>IFERROR(INDEX($H$14:$H$53,MATCH($E47&amp;"#11",$X$14:$X$53,0)),"")</f>
        <v/>
      </c>
      <c r="AJ47" s="20">
        <f>IFERROR(INDEX($H$14:$H$53,MATCH($E47&amp;"#12",$X$14:$X$53,0)),"")</f>
        <v/>
      </c>
      <c r="AK47" s="20">
        <f>IFERROR(INDEX($H$14:$H$53,MATCH($E47&amp;"#13",$X$14:$X$53,0)),"")</f>
        <v/>
      </c>
      <c r="AL47" s="20">
        <f>IFERROR(INDEX($H$14:$H$53,MATCH($E47&amp;"#14",$X$14:$X$53,0)),"")</f>
        <v/>
      </c>
      <c r="AM47" s="20">
        <f>IFERROR(INDEX($H$14:$H$53,MATCH($E47&amp;"#15",$X$14:$X$53,0)),"")</f>
        <v/>
      </c>
      <c r="AN47" s="20">
        <f>IFERROR(INDEX($H$14:$H$53,MATCH($E47&amp;"#16",$X$14:$X$53,0)),"")</f>
        <v/>
      </c>
      <c r="AO47" s="20">
        <f>IFERROR(INDEX($H$14:$H$53,MATCH($E47&amp;"#17",$X$14:$X$53,0)),"")</f>
        <v/>
      </c>
      <c r="AP47" s="20">
        <f>IFERROR(INDEX($H$14:$H$53,MATCH($E47&amp;"#18",$X$14:$X$53,0)),"")</f>
        <v/>
      </c>
      <c r="AQ47" s="20">
        <f>IFERROR(INDEX($H$14:$H$53,MATCH($E47&amp;"#19",$X$14:$X$53,0)),"")</f>
        <v/>
      </c>
      <c r="AR47" s="20">
        <f>IFERROR(INDEX($H$14:$H$53,MATCH($E47&amp;"#20",$X$14:$X$53,0)),"")</f>
        <v/>
      </c>
      <c r="AT47" s="21">
        <f>$C47</f>
        <v/>
      </c>
      <c r="AU47" s="22">
        <f>IF(AND($H47&lt;&gt;"",$Y47&lt;&gt;"",$H47&lt;&gt;$Y47,IFERROR(VLOOKUP($H47,areaCercaPuntiClassificaSquadra,3,FALSE),-1)=IFERROR(VLOOKUP($Y47,areaCercaPuntiClassificaSquadra,3,FALSE),-2)),SUMIFS(Dati!$B$2:$B$381,Dati!$A$2:$A$381,$H47,Dati!$H$2:$H$381,$Y47)+SUMIFS(Dati!$I$2:$I$381,Dati!$H$2:$H$381,$H47,Dati!$A$2:$A$381,$Y47),"-")</f>
        <v/>
      </c>
      <c r="AV47" s="22">
        <f>IF(AND($H47&lt;&gt;"",$Z47&lt;&gt;"",$H47&lt;&gt;$Z47,IFERROR(VLOOKUP($H47,areaCercaPuntiClassificaSquadra,3,FALSE),-1)=IFERROR(VLOOKUP($Z47,areaCercaPuntiClassificaSquadra,3,FALSE),-2)),SUMIFS(Dati!$B$2:$B$381,Dati!$A$2:$A$381,$H47,Dati!$H$2:$H$381,$Z47)+SUMIFS(Dati!$I$2:$I$381,Dati!$H$2:$H$381,$H47,Dati!$A$2:$A$381,$Z47),"-")</f>
        <v/>
      </c>
      <c r="AW47" s="22">
        <f>IF(AND($H47&lt;&gt;"",$AA47&lt;&gt;"",$H47&lt;&gt;$AA47,IFERROR(VLOOKUP($H47,areaCercaPuntiClassificaSquadra,3,FALSE),-1)=IFERROR(VLOOKUP($AA47,areaCercaPuntiClassificaSquadra,3,FALSE),-2)),SUMIFS(Dati!$B$2:$B$381,Dati!$A$2:$A$381,$H47,Dati!$H$2:$H$381,$AA47)+SUMIFS(Dati!$I$2:$I$381,Dati!$H$2:$H$381,$H47,Dati!$A$2:$A$381,$AA47),"-")</f>
        <v/>
      </c>
      <c r="AX47" s="22">
        <f>IF(AND($H47&lt;&gt;"",$AB47&lt;&gt;"",$H47&lt;&gt;$AB47,IFERROR(VLOOKUP($H47,areaCercaPuntiClassificaSquadra,3,FALSE),-1)=IFERROR(VLOOKUP($AB47,areaCercaPuntiClassificaSquadra,3,FALSE),-2)),SUMIFS(Dati!$B$2:$B$381,Dati!$A$2:$A$381,$H47,Dati!$H$2:$H$381,$AB47)+SUMIFS(Dati!$I$2:$I$381,Dati!$H$2:$H$381,$H47,Dati!$A$2:$A$381,$AB47),"-")</f>
        <v/>
      </c>
      <c r="AY47" s="22">
        <f>IF(AND($H47&lt;&gt;"",$AC47&lt;&gt;"",$H47&lt;&gt;$AC47,IFERROR(VLOOKUP($H47,areaCercaPuntiClassificaSquadra,3,FALSE),-1)=IFERROR(VLOOKUP($AC47,areaCercaPuntiClassificaSquadra,3,FALSE),-2)),SUMIFS(Dati!$B$2:$B$381,Dati!$A$2:$A$381,$H47,Dati!$H$2:$H$381,$AC47)+SUMIFS(Dati!$I$2:$I$381,Dati!$H$2:$H$381,$H47,Dati!$A$2:$A$381,$AC47),"-")</f>
        <v/>
      </c>
      <c r="AZ47" s="22">
        <f>IF(AND($H47&lt;&gt;"",$AD47&lt;&gt;"",$H47&lt;&gt;$AD47,IFERROR(VLOOKUP($H47,areaCercaPuntiClassificaSquadra,3,FALSE),-1)=IFERROR(VLOOKUP($AD47,areaCercaPuntiClassificaSquadra,3,FALSE),-2)),SUMIFS(Dati!$B$2:$B$381,Dati!$A$2:$A$381,$H47,Dati!$H$2:$H$381,$AD47)+SUMIFS(Dati!$I$2:$I$381,Dati!$H$2:$H$381,$H47,Dati!$A$2:$A$381,$AD47),"-")</f>
        <v/>
      </c>
      <c r="BA47" s="22">
        <f>IF(AND($H47&lt;&gt;"",$AE47&lt;&gt;"",$H47&lt;&gt;$AE47,IFERROR(VLOOKUP($H47,areaCercaPuntiClassificaSquadra,3,FALSE),-1)=IFERROR(VLOOKUP($AE47,areaCercaPuntiClassificaSquadra,3,FALSE),-2)),SUMIFS(Dati!$B$2:$B$381,Dati!$A$2:$A$381,$H47,Dati!$H$2:$H$381,$AE47)+SUMIFS(Dati!$I$2:$I$381,Dati!$H$2:$H$381,$H47,Dati!$A$2:$A$381,$AE47),"-")</f>
        <v/>
      </c>
      <c r="BB47" s="22">
        <f>IF(AND($H47&lt;&gt;"",$AF47&lt;&gt;"",$H47&lt;&gt;$AF47,IFERROR(VLOOKUP($H47,areaCercaPuntiClassificaSquadra,3,FALSE),-1)=IFERROR(VLOOKUP($AF47,areaCercaPuntiClassificaSquadra,3,FALSE),-2)),SUMIFS(Dati!$B$2:$B$381,Dati!$A$2:$A$381,$H47,Dati!$H$2:$H$381,$AF47)+SUMIFS(Dati!$I$2:$I$381,Dati!$H$2:$H$381,$H47,Dati!$A$2:$A$381,$AF47),"-")</f>
        <v/>
      </c>
      <c r="BC47" s="22">
        <f>IF(AND($H47&lt;&gt;"",$AG47&lt;&gt;"",$H47&lt;&gt;$AG47,IFERROR(VLOOKUP($H47,areaCercaPuntiClassificaSquadra,3,FALSE),-1)=IFERROR(VLOOKUP($AG47,areaCercaPuntiClassificaSquadra,3,FALSE),-2)),SUMIFS(Dati!$B$2:$B$381,Dati!$A$2:$A$381,$H47,Dati!$H$2:$H$381,$AG47)+SUMIFS(Dati!$I$2:$I$381,Dati!$H$2:$H$381,$H47,Dati!$A$2:$A$381,$AG47),"-")</f>
        <v/>
      </c>
      <c r="BD47" s="22">
        <f>IF(AND($H47&lt;&gt;"",$AH47&lt;&gt;"",$H47&lt;&gt;$AH47,IFERROR(VLOOKUP($H47,areaCercaPuntiClassificaSquadra,3,FALSE),-1)=IFERROR(VLOOKUP($AH47,areaCercaPuntiClassificaSquadra,3,FALSE),-2)),SUMIFS(Dati!$B$2:$B$381,Dati!$A$2:$A$381,$H47,Dati!$H$2:$H$381,$AH47)+SUMIFS(Dati!$I$2:$I$381,Dati!$H$2:$H$381,$H47,Dati!$A$2:$A$381,$AH47),"-")</f>
        <v/>
      </c>
      <c r="BE47" s="22">
        <f>IF(AND($H47&lt;&gt;"",$AI47&lt;&gt;"",$H47&lt;&gt;$AI47,IFERROR(VLOOKUP($H47,areaCercaPuntiClassificaSquadra,3,FALSE),-1)=IFERROR(VLOOKUP($AI47,areaCercaPuntiClassificaSquadra,3,FALSE),-2)),SUMIFS(Dati!$B$2:$B$381,Dati!$A$2:$A$381,$H47,Dati!$H$2:$H$381,$AI47)+SUMIFS(Dati!$I$2:$I$381,Dati!$H$2:$H$381,$H47,Dati!$A$2:$A$381,$AI47),"-")</f>
        <v/>
      </c>
      <c r="BF47" s="22">
        <f>IF(AND($H47&lt;&gt;"",$AJ47&lt;&gt;"",$H47&lt;&gt;$AJ47,IFERROR(VLOOKUP($H47,areaCercaPuntiClassificaSquadra,3,FALSE),-1)=IFERROR(VLOOKUP($AJ47,areaCercaPuntiClassificaSquadra,3,FALSE),-2)),SUMIFS(Dati!$B$2:$B$381,Dati!$A$2:$A$381,$H47,Dati!$H$2:$H$381,$AJ47)+SUMIFS(Dati!$I$2:$I$381,Dati!$H$2:$H$381,$H47,Dati!$A$2:$A$381,$AJ47),"-")</f>
        <v/>
      </c>
      <c r="BG47" s="22">
        <f>IF(AND($H47&lt;&gt;"",$AK47&lt;&gt;"",$H47&lt;&gt;$AK47,IFERROR(VLOOKUP($H47,areaCercaPuntiClassificaSquadra,3,FALSE),-1)=IFERROR(VLOOKUP($AK47,areaCercaPuntiClassificaSquadra,3,FALSE),-2)),SUMIFS(Dati!$B$2:$B$381,Dati!$A$2:$A$381,$H47,Dati!$H$2:$H$381,$AK47)+SUMIFS(Dati!$I$2:$I$381,Dati!$H$2:$H$381,$H47,Dati!$A$2:$A$381,$AK47),"-")</f>
        <v/>
      </c>
      <c r="BH47" s="22">
        <f>IF(AND($H47&lt;&gt;"",$AL47&lt;&gt;"",$H47&lt;&gt;$AL47,IFERROR(VLOOKUP($H47,areaCercaPuntiClassificaSquadra,3,FALSE),-1)=IFERROR(VLOOKUP($AL47,areaCercaPuntiClassificaSquadra,3,FALSE),-2)),SUMIFS(Dati!$B$2:$B$381,Dati!$A$2:$A$381,$H47,Dati!$H$2:$H$381,$AL47)+SUMIFS(Dati!$I$2:$I$381,Dati!$H$2:$H$381,$H47,Dati!$A$2:$A$381,$AL47),"-")</f>
        <v/>
      </c>
      <c r="BI47" s="22">
        <f>IF(AND($H47&lt;&gt;"",$AM47&lt;&gt;"",$H47&lt;&gt;$AM47,IFERROR(VLOOKUP($H47,areaCercaPuntiClassificaSquadra,3,FALSE),-1)=IFERROR(VLOOKUP($AM47,areaCercaPuntiClassificaSquadra,3,FALSE),-2)),SUMIFS(Dati!$B$2:$B$381,Dati!$A$2:$A$381,$H47,Dati!$H$2:$H$381,$AM47)+SUMIFS(Dati!$I$2:$I$381,Dati!$H$2:$H$381,$H47,Dati!$A$2:$A$381,$AM47),"-")</f>
        <v/>
      </c>
      <c r="BJ47" s="22">
        <f>IF(AND($H47&lt;&gt;"",$AN47&lt;&gt;"",$H47&lt;&gt;$AN47,IFERROR(VLOOKUP($H47,areaCercaPuntiClassificaSquadra,3,FALSE),-1)=IFERROR(VLOOKUP($AN47,areaCercaPuntiClassificaSquadra,3,FALSE),-2)),SUMIFS(Dati!$B$2:$B$381,Dati!$A$2:$A$381,$H47,Dati!$H$2:$H$381,$AN47)+SUMIFS(Dati!$I$2:$I$381,Dati!$H$2:$H$381,$H47,Dati!$A$2:$A$381,$AN47),"-")</f>
        <v/>
      </c>
      <c r="BK47" s="22">
        <f>IF(AND($H47&lt;&gt;"",$AO47&lt;&gt;"",$H47&lt;&gt;$AO47,IFERROR(VLOOKUP($H47,areaCercaPuntiClassificaSquadra,3,FALSE),-1)=IFERROR(VLOOKUP($AO47,areaCercaPuntiClassificaSquadra,3,FALSE),-2)),SUMIFS(Dati!$B$2:$B$381,Dati!$A$2:$A$381,$H47,Dati!$H$2:$H$381,$AO47)+SUMIFS(Dati!$I$2:$I$381,Dati!$H$2:$H$381,$H47,Dati!$A$2:$A$381,$AO47),"-")</f>
        <v/>
      </c>
      <c r="BL47" s="22">
        <f>IF(AND($H47&lt;&gt;"",$AP47&lt;&gt;"",$H47&lt;&gt;$AP47,IFERROR(VLOOKUP($H47,areaCercaPuntiClassificaSquadra,3,FALSE),-1)=IFERROR(VLOOKUP($AP47,areaCercaPuntiClassificaSquadra,3,FALSE),-2)),SUMIFS(Dati!$B$2:$B$381,Dati!$A$2:$A$381,$H47,Dati!$H$2:$H$381,$AP47)+SUMIFS(Dati!$I$2:$I$381,Dati!$H$2:$H$381,$H47,Dati!$A$2:$A$381,$AP47),"-")</f>
        <v/>
      </c>
      <c r="BM47" s="22">
        <f>IF(AND($H47&lt;&gt;"",$AQ47&lt;&gt;"",$H47&lt;&gt;$AQ47,IFERROR(VLOOKUP($H47,areaCercaPuntiClassificaSquadra,3,FALSE),-1)=IFERROR(VLOOKUP($AQ47,areaCercaPuntiClassificaSquadra,3,FALSE),-2)),SUMIFS(Dati!$B$2:$B$381,Dati!$A$2:$A$381,$H47,Dati!$H$2:$H$381,$AQ47)+SUMIFS(Dati!$I$2:$I$381,Dati!$H$2:$H$381,$H47,Dati!$A$2:$A$381,$AQ47),"-")</f>
        <v/>
      </c>
      <c r="BN47" s="22">
        <f>IF(AND($H47&lt;&gt;"",$AR47&lt;&gt;"",$H47&lt;&gt;$AR47,IFERROR(VLOOKUP($H47,areaCercaPuntiClassificaSquadra,3,FALSE),-1)=IFERROR(VLOOKUP($AR47,areaCercaPuntiClassificaSquadra,3,FALSE),-2)),SUMIFS(Dati!$B$2:$B$381,Dati!$A$2:$A$381,$H47,Dati!$H$2:$H$381,$AR47)+SUMIFS(Dati!$I$2:$I$381,Dati!$H$2:$H$381,$H47,Dati!$A$2:$A$381,$AR47),"-")</f>
        <v/>
      </c>
      <c r="BP47" s="21">
        <f>$C47</f>
        <v/>
      </c>
      <c r="BQ47" s="22">
        <f>IF(AND($H47&lt;&gt;"",$Y47&lt;&gt;"",$H47&lt;&gt;$Y47,IFERROR(VLOOKUP($H47,areaCercaPuntiClassificaSquadra,3,FALSE),-1)=IFERROR(VLOOKUP($Y47,areaCercaPuntiClassificaSquadra,3,FALSE),-2)),SUMIFS(Dati!$D$2:$D$381,Dati!$A$2:$A$381,$H47,Dati!$H$2:$H$381,$Y47)+SUMIFS(Dati!$K$2:$K$381,Dati!$H$2:$H$381,$H47,Dati!$A$2:$A$381,$Y47)+SUMIFS(Dati!$C$2:$C$381,Dati!$A$2:$A$381,$H47,Dati!$H$2:$H$381,$Y47)+SUMIFS(Dati!$J$2:$J$381,Dati!$H$2:$H$381,$H47,Dati!$A$2:$A$381,$Y47),"-")</f>
        <v/>
      </c>
      <c r="BR47" s="22">
        <f>IF(AND($H47&lt;&gt;"",$Z47&lt;&gt;"",$H47&lt;&gt;$Z47,IFERROR(VLOOKUP($H47,areaCercaPuntiClassificaSquadra,3,FALSE),-1)=IFERROR(VLOOKUP($Z47,areaCercaPuntiClassificaSquadra,3,FALSE),-2)),SUMIFS(Dati!$D$2:$D$381,Dati!$A$2:$A$381,$H47,Dati!$H$2:$H$381,$Z47)+SUMIFS(Dati!$K$2:$K$381,Dati!$H$2:$H$381,$H47,Dati!$A$2:$A$381,$Z47)+SUMIFS(Dati!$C$2:$C$381,Dati!$A$2:$A$381,$H47,Dati!$H$2:$H$381,$Z47)+SUMIFS(Dati!$J$2:$J$381,Dati!$H$2:$H$381,$H47,Dati!$A$2:$A$381,$Z47),"-")</f>
        <v/>
      </c>
      <c r="BS47" s="22">
        <f>IF(AND($H47&lt;&gt;"",$AA47&lt;&gt;"",$H47&lt;&gt;$AA47,IFERROR(VLOOKUP($H47,areaCercaPuntiClassificaSquadra,3,FALSE),-1)=IFERROR(VLOOKUP($AA47,areaCercaPuntiClassificaSquadra,3,FALSE),-2)),SUMIFS(Dati!$D$2:$D$381,Dati!$A$2:$A$381,$H47,Dati!$H$2:$H$381,$AA47)+SUMIFS(Dati!$K$2:$K$381,Dati!$H$2:$H$381,$H47,Dati!$A$2:$A$381,$AA47)+SUMIFS(Dati!$C$2:$C$381,Dati!$A$2:$A$381,$H47,Dati!$H$2:$H$381,$AA47)+SUMIFS(Dati!$J$2:$J$381,Dati!$H$2:$H$381,$H47,Dati!$A$2:$A$381,$AA47),"-")</f>
        <v/>
      </c>
      <c r="BT47" s="22">
        <f>IF(AND($H47&lt;&gt;"",$AB47&lt;&gt;"",$H47&lt;&gt;$AB47,IFERROR(VLOOKUP($H47,areaCercaPuntiClassificaSquadra,3,FALSE),-1)=IFERROR(VLOOKUP($AB47,areaCercaPuntiClassificaSquadra,3,FALSE),-2)),SUMIFS(Dati!$D$2:$D$381,Dati!$A$2:$A$381,$H47,Dati!$H$2:$H$381,$AB47)+SUMIFS(Dati!$K$2:$K$381,Dati!$H$2:$H$381,$H47,Dati!$A$2:$A$381,$AB47)+SUMIFS(Dati!$C$2:$C$381,Dati!$A$2:$A$381,$H47,Dati!$H$2:$H$381,$AB47)+SUMIFS(Dati!$J$2:$J$381,Dati!$H$2:$H$381,$H47,Dati!$A$2:$A$381,$AB47),"-")</f>
        <v/>
      </c>
      <c r="BU47" s="22">
        <f>IF(AND($H47&lt;&gt;"",$AC47&lt;&gt;"",$H47&lt;&gt;$AC47,IFERROR(VLOOKUP($H47,areaCercaPuntiClassificaSquadra,3,FALSE),-1)=IFERROR(VLOOKUP($AC47,areaCercaPuntiClassificaSquadra,3,FALSE),-2)),SUMIFS(Dati!$D$2:$D$381,Dati!$A$2:$A$381,$H47,Dati!$H$2:$H$381,$AC47)+SUMIFS(Dati!$K$2:$K$381,Dati!$H$2:$H$381,$H47,Dati!$A$2:$A$381,$AC47)+SUMIFS(Dati!$C$2:$C$381,Dati!$A$2:$A$381,$H47,Dati!$H$2:$H$381,$AC47)+SUMIFS(Dati!$J$2:$J$381,Dati!$H$2:$H$381,$H47,Dati!$A$2:$A$381,$AC47),"-")</f>
        <v/>
      </c>
      <c r="BV47" s="22">
        <f>IF(AND($H47&lt;&gt;"",$AD47&lt;&gt;"",$H47&lt;&gt;$AD47,IFERROR(VLOOKUP($H47,areaCercaPuntiClassificaSquadra,3,FALSE),-1)=IFERROR(VLOOKUP($AD47,areaCercaPuntiClassificaSquadra,3,FALSE),-2)),SUMIFS(Dati!$D$2:$D$381,Dati!$A$2:$A$381,$H47,Dati!$H$2:$H$381,$AD47)+SUMIFS(Dati!$K$2:$K$381,Dati!$H$2:$H$381,$H47,Dati!$A$2:$A$381,$AD47)+SUMIFS(Dati!$C$2:$C$381,Dati!$A$2:$A$381,$H47,Dati!$H$2:$H$381,$AD47)+SUMIFS(Dati!$J$2:$J$381,Dati!$H$2:$H$381,$H47,Dati!$A$2:$A$381,$AD47),"-")</f>
        <v/>
      </c>
      <c r="BW47" s="22">
        <f>IF(AND($H47&lt;&gt;"",$AE47&lt;&gt;"",$H47&lt;&gt;$AE47,IFERROR(VLOOKUP($H47,areaCercaPuntiClassificaSquadra,3,FALSE),-1)=IFERROR(VLOOKUP($AE47,areaCercaPuntiClassificaSquadra,3,FALSE),-2)),SUMIFS(Dati!$D$2:$D$381,Dati!$A$2:$A$381,$H47,Dati!$H$2:$H$381,$AE47)+SUMIFS(Dati!$K$2:$K$381,Dati!$H$2:$H$381,$H47,Dati!$A$2:$A$381,$AE47)+SUMIFS(Dati!$C$2:$C$381,Dati!$A$2:$A$381,$H47,Dati!$H$2:$H$381,$AE47)+SUMIFS(Dati!$J$2:$J$381,Dati!$H$2:$H$381,$H47,Dati!$A$2:$A$381,$AE47),"-")</f>
        <v/>
      </c>
      <c r="BX47" s="22">
        <f>IF(AND($H47&lt;&gt;"",$AF47&lt;&gt;"",$H47&lt;&gt;$AF47,IFERROR(VLOOKUP($H47,areaCercaPuntiClassificaSquadra,3,FALSE),-1)=IFERROR(VLOOKUP($AF47,areaCercaPuntiClassificaSquadra,3,FALSE),-2)),SUMIFS(Dati!$D$2:$D$381,Dati!$A$2:$A$381,$H47,Dati!$H$2:$H$381,$AF47)+SUMIFS(Dati!$K$2:$K$381,Dati!$H$2:$H$381,$H47,Dati!$A$2:$A$381,$AF47)+SUMIFS(Dati!$C$2:$C$381,Dati!$A$2:$A$381,$H47,Dati!$H$2:$H$381,$AF47)+SUMIFS(Dati!$J$2:$J$381,Dati!$H$2:$H$381,$H47,Dati!$A$2:$A$381,$AF47),"-")</f>
        <v/>
      </c>
      <c r="BY47" s="22">
        <f>IF(AND($H47&lt;&gt;"",$AG47&lt;&gt;"",$H47&lt;&gt;$AG47,IFERROR(VLOOKUP($H47,areaCercaPuntiClassificaSquadra,3,FALSE),-1)=IFERROR(VLOOKUP($AG47,areaCercaPuntiClassificaSquadra,3,FALSE),-2)),SUMIFS(Dati!$D$2:$D$381,Dati!$A$2:$A$381,$H47,Dati!$H$2:$H$381,$AG47)+SUMIFS(Dati!$K$2:$K$381,Dati!$H$2:$H$381,$H47,Dati!$A$2:$A$381,$AG47)+SUMIFS(Dati!$C$2:$C$381,Dati!$A$2:$A$381,$H47,Dati!$H$2:$H$381,$AG47)+SUMIFS(Dati!$J$2:$J$381,Dati!$H$2:$H$381,$H47,Dati!$A$2:$A$381,$AG47),"-")</f>
        <v/>
      </c>
      <c r="BZ47" s="22">
        <f>IF(AND($H47&lt;&gt;"",$AH47&lt;&gt;"",$H47&lt;&gt;$AH47,IFERROR(VLOOKUP($H47,areaCercaPuntiClassificaSquadra,3,FALSE),-1)=IFERROR(VLOOKUP($AH47,areaCercaPuntiClassificaSquadra,3,FALSE),-2)),SUMIFS(Dati!$D$2:$D$381,Dati!$A$2:$A$381,$H47,Dati!$H$2:$H$381,$AH47)+SUMIFS(Dati!$K$2:$K$381,Dati!$H$2:$H$381,$H47,Dati!$A$2:$A$381,$AH47)+SUMIFS(Dati!$C$2:$C$381,Dati!$A$2:$A$381,$H47,Dati!$H$2:$H$381,$AH47)+SUMIFS(Dati!$J$2:$J$381,Dati!$H$2:$H$381,$H47,Dati!$A$2:$A$381,$AH47),"-")</f>
        <v/>
      </c>
      <c r="CA47" s="22">
        <f>IF(AND($H47&lt;&gt;"",$AI47&lt;&gt;"",$H47&lt;&gt;$AI47,IFERROR(VLOOKUP($H47,areaCercaPuntiClassificaSquadra,3,FALSE),-1)=IFERROR(VLOOKUP($AI47,areaCercaPuntiClassificaSquadra,3,FALSE),-2)),SUMIFS(Dati!$D$2:$D$381,Dati!$A$2:$A$381,$H47,Dati!$H$2:$H$381,$AI47)+SUMIFS(Dati!$K$2:$K$381,Dati!$H$2:$H$381,$H47,Dati!$A$2:$A$381,$AI47)+SUMIFS(Dati!$C$2:$C$381,Dati!$A$2:$A$381,$H47,Dati!$H$2:$H$381,$AI47)+SUMIFS(Dati!$J$2:$J$381,Dati!$H$2:$H$381,$H47,Dati!$A$2:$A$381,$AI47),"-")</f>
        <v/>
      </c>
      <c r="CB47" s="22">
        <f>IF(AND($H47&lt;&gt;"",$AJ47&lt;&gt;"",$H47&lt;&gt;$AJ47,IFERROR(VLOOKUP($H47,areaCercaPuntiClassificaSquadra,3,FALSE),-1)=IFERROR(VLOOKUP($AJ47,areaCercaPuntiClassificaSquadra,3,FALSE),-2)),SUMIFS(Dati!$D$2:$D$381,Dati!$A$2:$A$381,$H47,Dati!$H$2:$H$381,$AJ47)+SUMIFS(Dati!$K$2:$K$381,Dati!$H$2:$H$381,$H47,Dati!$A$2:$A$381,$AJ47)+SUMIFS(Dati!$C$2:$C$381,Dati!$A$2:$A$381,$H47,Dati!$H$2:$H$381,$AJ47)+SUMIFS(Dati!$J$2:$J$381,Dati!$H$2:$H$381,$H47,Dati!$A$2:$A$381,$AJ47),"-")</f>
        <v/>
      </c>
      <c r="CC47" s="22">
        <f>IF(AND($H47&lt;&gt;"",$AK47&lt;&gt;"",$H47&lt;&gt;$AK47,IFERROR(VLOOKUP($H47,areaCercaPuntiClassificaSquadra,3,FALSE),-1)=IFERROR(VLOOKUP($AK47,areaCercaPuntiClassificaSquadra,3,FALSE),-2)),SUMIFS(Dati!$D$2:$D$381,Dati!$A$2:$A$381,$H47,Dati!$H$2:$H$381,$AK47)+SUMIFS(Dati!$K$2:$K$381,Dati!$H$2:$H$381,$H47,Dati!$A$2:$A$381,$AK47)+SUMIFS(Dati!$C$2:$C$381,Dati!$A$2:$A$381,$H47,Dati!$H$2:$H$381,$AK47)+SUMIFS(Dati!$J$2:$J$381,Dati!$H$2:$H$381,$H47,Dati!$A$2:$A$381,$AK47),"-")</f>
        <v/>
      </c>
      <c r="CD47" s="22">
        <f>IF(AND($H47&lt;&gt;"",$AL47&lt;&gt;"",$H47&lt;&gt;$AL47,IFERROR(VLOOKUP($H47,areaCercaPuntiClassificaSquadra,3,FALSE),-1)=IFERROR(VLOOKUP($AL47,areaCercaPuntiClassificaSquadra,3,FALSE),-2)),SUMIFS(Dati!$D$2:$D$381,Dati!$A$2:$A$381,$H47,Dati!$H$2:$H$381,$AL47)+SUMIFS(Dati!$K$2:$K$381,Dati!$H$2:$H$381,$H47,Dati!$A$2:$A$381,$AL47)+SUMIFS(Dati!$C$2:$C$381,Dati!$A$2:$A$381,$H47,Dati!$H$2:$H$381,$AL47)+SUMIFS(Dati!$J$2:$J$381,Dati!$H$2:$H$381,$H47,Dati!$A$2:$A$381,$AL47),"-")</f>
        <v/>
      </c>
      <c r="CE47" s="22">
        <f>IF(AND($H47&lt;&gt;"",$AM47&lt;&gt;"",$H47&lt;&gt;$AM47,IFERROR(VLOOKUP($H47,areaCercaPuntiClassificaSquadra,3,FALSE),-1)=IFERROR(VLOOKUP($AM47,areaCercaPuntiClassificaSquadra,3,FALSE),-2)),SUMIFS(Dati!$D$2:$D$381,Dati!$A$2:$A$381,$H47,Dati!$H$2:$H$381,$AM47)+SUMIFS(Dati!$K$2:$K$381,Dati!$H$2:$H$381,$H47,Dati!$A$2:$A$381,$AM47)+SUMIFS(Dati!$C$2:$C$381,Dati!$A$2:$A$381,$H47,Dati!$H$2:$H$381,$AM47)+SUMIFS(Dati!$J$2:$J$381,Dati!$H$2:$H$381,$H47,Dati!$A$2:$A$381,$AM47),"-")</f>
        <v/>
      </c>
      <c r="CF47" s="22">
        <f>IF(AND($H47&lt;&gt;"",$AN47&lt;&gt;"",$H47&lt;&gt;$AN47,IFERROR(VLOOKUP($H47,areaCercaPuntiClassificaSquadra,3,FALSE),-1)=IFERROR(VLOOKUP($AN47,areaCercaPuntiClassificaSquadra,3,FALSE),-2)),SUMIFS(Dati!$D$2:$D$381,Dati!$A$2:$A$381,$H47,Dati!$H$2:$H$381,$AN47)+SUMIFS(Dati!$K$2:$K$381,Dati!$H$2:$H$381,$H47,Dati!$A$2:$A$381,$AN47)+SUMIFS(Dati!$C$2:$C$381,Dati!$A$2:$A$381,$H47,Dati!$H$2:$H$381,$AN47)+SUMIFS(Dati!$J$2:$J$381,Dati!$H$2:$H$381,$H47,Dati!$A$2:$A$381,$AN47),"-")</f>
        <v/>
      </c>
      <c r="CG47" s="22">
        <f>IF(AND($H47&lt;&gt;"",$AO47&lt;&gt;"",$H47&lt;&gt;$AO47,IFERROR(VLOOKUP($H47,areaCercaPuntiClassificaSquadra,3,FALSE),-1)=IFERROR(VLOOKUP($AO47,areaCercaPuntiClassificaSquadra,3,FALSE),-2)),SUMIFS(Dati!$D$2:$D$381,Dati!$A$2:$A$381,$H47,Dati!$H$2:$H$381,$AO47)+SUMIFS(Dati!$K$2:$K$381,Dati!$H$2:$H$381,$H47,Dati!$A$2:$A$381,$AO47)+SUMIFS(Dati!$C$2:$C$381,Dati!$A$2:$A$381,$H47,Dati!$H$2:$H$381,$AO47)+SUMIFS(Dati!$J$2:$J$381,Dati!$H$2:$H$381,$H47,Dati!$A$2:$A$381,$AO47),"-")</f>
        <v/>
      </c>
      <c r="CH47" s="22">
        <f>IF(AND($H47&lt;&gt;"",$AP47&lt;&gt;"",$H47&lt;&gt;$AP47,IFERROR(VLOOKUP($H47,areaCercaPuntiClassificaSquadra,3,FALSE),-1)=IFERROR(VLOOKUP($AP47,areaCercaPuntiClassificaSquadra,3,FALSE),-2)),SUMIFS(Dati!$D$2:$D$381,Dati!$A$2:$A$381,$H47,Dati!$H$2:$H$381,$AP47)+SUMIFS(Dati!$K$2:$K$381,Dati!$H$2:$H$381,$H47,Dati!$A$2:$A$381,$AP47)+SUMIFS(Dati!$C$2:$C$381,Dati!$A$2:$A$381,$H47,Dati!$H$2:$H$381,$AP47)+SUMIFS(Dati!$J$2:$J$381,Dati!$H$2:$H$381,$H47,Dati!$A$2:$A$381,$AP47),"-")</f>
        <v/>
      </c>
      <c r="CI47" s="22">
        <f>IF(AND($H47&lt;&gt;"",$AQ47&lt;&gt;"",$H47&lt;&gt;$AQ47,IFERROR(VLOOKUP($H47,areaCercaPuntiClassificaSquadra,3,FALSE),-1)=IFERROR(VLOOKUP($AQ47,areaCercaPuntiClassificaSquadra,3,FALSE),-2)),SUMIFS(Dati!$D$2:$D$381,Dati!$A$2:$A$381,$H47,Dati!$H$2:$H$381,$AQ47)+SUMIFS(Dati!$K$2:$K$381,Dati!$H$2:$H$381,$H47,Dati!$A$2:$A$381,$AQ47)+SUMIFS(Dati!$C$2:$C$381,Dati!$A$2:$A$381,$H47,Dati!$H$2:$H$381,$AQ47)+SUMIFS(Dati!$J$2:$J$381,Dati!$H$2:$H$381,$H47,Dati!$A$2:$A$381,$AQ47),"-")</f>
        <v/>
      </c>
      <c r="CJ47" s="22">
        <f>IF(AND($H47&lt;&gt;"",$AR47&lt;&gt;"",$H47&lt;&gt;$AR47,IFERROR(VLOOKUP($H47,areaCercaPuntiClassificaSquadra,3,FALSE),-1)=IFERROR(VLOOKUP($AR47,areaCercaPuntiClassificaSquadra,3,FALSE),-2)),SUMIFS(Dati!$D$2:$D$381,Dati!$A$2:$A$381,$H47,Dati!$H$2:$H$381,$AR47)+SUMIFS(Dati!$K$2:$K$381,Dati!$H$2:$H$381,$H47,Dati!$A$2:$A$381,$AR47)+SUMIFS(Dati!$C$2:$C$381,Dati!$A$2:$A$381,$H47,Dati!$H$2:$H$381,$AR47)+SUMIFS(Dati!$J$2:$J$381,Dati!$H$2:$H$381,$H47,Dati!$A$2:$A$381,$AR47),"-")</f>
        <v/>
      </c>
      <c r="CL47" s="21">
        <f>$C47</f>
        <v/>
      </c>
      <c r="CM47" s="22">
        <f>IF(AND($H47&lt;&gt;"",$Y47&lt;&gt;"",$H47&lt;&gt;$Y47,IFERROR(VLOOKUP($H47,areaCercaPuntiClassificaSquadra,3,FALSE),-1)=IFERROR(VLOOKUP($Y47,areaCercaPuntiClassificaSquadra,3,FALSE),-2)),SUMIFS(Dati!$E$2:$E$381,Dati!$A$2:$A$381,$H47,Dati!$H$2:$H$381,$Y47)+SUMIFS(Dati!$L$2:$L$381,Dati!$H$2:$H$381,$H47,Dati!$A$2:$A$381,$Y47),"-")</f>
        <v/>
      </c>
      <c r="CN47" s="22">
        <f>IF(AND($H47&lt;&gt;"",$Z47&lt;&gt;"",$H47&lt;&gt;$Z47,IFERROR(VLOOKUP($H47,areaCercaPuntiClassificaSquadra,3,FALSE),-1)=IFERROR(VLOOKUP($Z47,areaCercaPuntiClassificaSquadra,3,FALSE),-2)),SUMIFS(Dati!$E$2:$E$381,Dati!$A$2:$A$381,$H47,Dati!$H$2:$H$381,$Z47)+SUMIFS(Dati!$L$2:$L$381,Dati!$H$2:$H$381,$H47,Dati!$A$2:$A$381,$Z47),"-")</f>
        <v/>
      </c>
      <c r="CO47" s="22">
        <f>IF(AND($H47&lt;&gt;"",$AA47&lt;&gt;"",$H47&lt;&gt;$AA47,IFERROR(VLOOKUP($H47,areaCercaPuntiClassificaSquadra,3,FALSE),-1)=IFERROR(VLOOKUP($AA47,areaCercaPuntiClassificaSquadra,3,FALSE),-2)),SUMIFS(Dati!$E$2:$E$381,Dati!$A$2:$A$381,$H47,Dati!$H$2:$H$381,$AA47)+SUMIFS(Dati!$L$2:$L$381,Dati!$H$2:$H$381,$H47,Dati!$A$2:$A$381,$AA47),"-")</f>
        <v/>
      </c>
      <c r="CP47" s="22">
        <f>IF(AND($H47&lt;&gt;"",$AB47&lt;&gt;"",$H47&lt;&gt;$AB47,IFERROR(VLOOKUP($H47,areaCercaPuntiClassificaSquadra,3,FALSE),-1)=IFERROR(VLOOKUP($AB47,areaCercaPuntiClassificaSquadra,3,FALSE),-2)),SUMIFS(Dati!$E$2:$E$381,Dati!$A$2:$A$381,$H47,Dati!$H$2:$H$381,$AB47)+SUMIFS(Dati!$L$2:$L$381,Dati!$H$2:$H$381,$H47,Dati!$A$2:$A$381,$AB47),"-")</f>
        <v/>
      </c>
      <c r="CQ47" s="22">
        <f>IF(AND($H47&lt;&gt;"",$AC47&lt;&gt;"",$H47&lt;&gt;$AC47,IFERROR(VLOOKUP($H47,areaCercaPuntiClassificaSquadra,3,FALSE),-1)=IFERROR(VLOOKUP($AC47,areaCercaPuntiClassificaSquadra,3,FALSE),-2)),SUMIFS(Dati!$E$2:$E$381,Dati!$A$2:$A$381,$H47,Dati!$H$2:$H$381,$AC47)+SUMIFS(Dati!$L$2:$L$381,Dati!$H$2:$H$381,$H47,Dati!$A$2:$A$381,$AC47),"-")</f>
        <v/>
      </c>
      <c r="CR47" s="22">
        <f>IF(AND($H47&lt;&gt;"",$AD47&lt;&gt;"",$H47&lt;&gt;$AD47,IFERROR(VLOOKUP($H47,areaCercaPuntiClassificaSquadra,3,FALSE),-1)=IFERROR(VLOOKUP($AD47,areaCercaPuntiClassificaSquadra,3,FALSE),-2)),SUMIFS(Dati!$E$2:$E$381,Dati!$A$2:$A$381,$H47,Dati!$H$2:$H$381,$AD47)+SUMIFS(Dati!$L$2:$L$381,Dati!$H$2:$H$381,$H47,Dati!$A$2:$A$381,$AD47),"-")</f>
        <v/>
      </c>
      <c r="CS47" s="22">
        <f>IF(AND($H47&lt;&gt;"",$AE47&lt;&gt;"",$H47&lt;&gt;$AE47,IFERROR(VLOOKUP($H47,areaCercaPuntiClassificaSquadra,3,FALSE),-1)=IFERROR(VLOOKUP($AE47,areaCercaPuntiClassificaSquadra,3,FALSE),-2)),SUMIFS(Dati!$E$2:$E$381,Dati!$A$2:$A$381,$H47,Dati!$H$2:$H$381,$AE47)+SUMIFS(Dati!$L$2:$L$381,Dati!$H$2:$H$381,$H47,Dati!$A$2:$A$381,$AE47),"-")</f>
        <v/>
      </c>
      <c r="CT47" s="22">
        <f>IF(AND($H47&lt;&gt;"",$AF47&lt;&gt;"",$H47&lt;&gt;$AF47,IFERROR(VLOOKUP($H47,areaCercaPuntiClassificaSquadra,3,FALSE),-1)=IFERROR(VLOOKUP($AF47,areaCercaPuntiClassificaSquadra,3,FALSE),-2)),SUMIFS(Dati!$E$2:$E$381,Dati!$A$2:$A$381,$H47,Dati!$H$2:$H$381,$AF47)+SUMIFS(Dati!$L$2:$L$381,Dati!$H$2:$H$381,$H47,Dati!$A$2:$A$381,$AF47),"-")</f>
        <v/>
      </c>
      <c r="CU47" s="22">
        <f>IF(AND($H47&lt;&gt;"",$AG47&lt;&gt;"",$H47&lt;&gt;$AG47,IFERROR(VLOOKUP($H47,areaCercaPuntiClassificaSquadra,3,FALSE),-1)=IFERROR(VLOOKUP($AG47,areaCercaPuntiClassificaSquadra,3,FALSE),-2)),SUMIFS(Dati!$E$2:$E$381,Dati!$A$2:$A$381,$H47,Dati!$H$2:$H$381,$AG47)+SUMIFS(Dati!$L$2:$L$381,Dati!$H$2:$H$381,$H47,Dati!$A$2:$A$381,$AG47),"-")</f>
        <v/>
      </c>
      <c r="CV47" s="22">
        <f>IF(AND($H47&lt;&gt;"",$AH47&lt;&gt;"",$H47&lt;&gt;$AH47,IFERROR(VLOOKUP($H47,areaCercaPuntiClassificaSquadra,3,FALSE),-1)=IFERROR(VLOOKUP($AH47,areaCercaPuntiClassificaSquadra,3,FALSE),-2)),SUMIFS(Dati!$E$2:$E$381,Dati!$A$2:$A$381,$H47,Dati!$H$2:$H$381,$AH47)+SUMIFS(Dati!$L$2:$L$381,Dati!$H$2:$H$381,$H47,Dati!$A$2:$A$381,$AH47),"-")</f>
        <v/>
      </c>
      <c r="CW47" s="22">
        <f>IF(AND($H47&lt;&gt;"",$AI47&lt;&gt;"",$H47&lt;&gt;$AI47,IFERROR(VLOOKUP($H47,areaCercaPuntiClassificaSquadra,3,FALSE),-1)=IFERROR(VLOOKUP($AI47,areaCercaPuntiClassificaSquadra,3,FALSE),-2)),SUMIFS(Dati!$E$2:$E$381,Dati!$A$2:$A$381,$H47,Dati!$H$2:$H$381,$AI47)+SUMIFS(Dati!$L$2:$L$381,Dati!$H$2:$H$381,$H47,Dati!$A$2:$A$381,$AI47),"-")</f>
        <v/>
      </c>
      <c r="CX47" s="22">
        <f>IF(AND($H47&lt;&gt;"",$AJ47&lt;&gt;"",$H47&lt;&gt;$AJ47,IFERROR(VLOOKUP($H47,areaCercaPuntiClassificaSquadra,3,FALSE),-1)=IFERROR(VLOOKUP($AJ47,areaCercaPuntiClassificaSquadra,3,FALSE),-2)),SUMIFS(Dati!$E$2:$E$381,Dati!$A$2:$A$381,$H47,Dati!$H$2:$H$381,$AJ47)+SUMIFS(Dati!$L$2:$L$381,Dati!$H$2:$H$381,$H47,Dati!$A$2:$A$381,$AJ47),"-")</f>
        <v/>
      </c>
      <c r="CY47" s="22">
        <f>IF(AND($H47&lt;&gt;"",$AK47&lt;&gt;"",$H47&lt;&gt;$AK47,IFERROR(VLOOKUP($H47,areaCercaPuntiClassificaSquadra,3,FALSE),-1)=IFERROR(VLOOKUP($AK47,areaCercaPuntiClassificaSquadra,3,FALSE),-2)),SUMIFS(Dati!$E$2:$E$381,Dati!$A$2:$A$381,$H47,Dati!$H$2:$H$381,$AK47)+SUMIFS(Dati!$L$2:$L$381,Dati!$H$2:$H$381,$H47,Dati!$A$2:$A$381,$AK47),"-")</f>
        <v/>
      </c>
      <c r="CZ47" s="22">
        <f>IF(AND($H47&lt;&gt;"",$AL47&lt;&gt;"",$H47&lt;&gt;$AL47,IFERROR(VLOOKUP($H47,areaCercaPuntiClassificaSquadra,3,FALSE),-1)=IFERROR(VLOOKUP($AL47,areaCercaPuntiClassificaSquadra,3,FALSE),-2)),SUMIFS(Dati!$E$2:$E$381,Dati!$A$2:$A$381,$H47,Dati!$H$2:$H$381,$AL47)+SUMIFS(Dati!$L$2:$L$381,Dati!$H$2:$H$381,$H47,Dati!$A$2:$A$381,$AL47),"-")</f>
        <v/>
      </c>
      <c r="DA47" s="22">
        <f>IF(AND($H47&lt;&gt;"",$AM47&lt;&gt;"",$H47&lt;&gt;$AM47,IFERROR(VLOOKUP($H47,areaCercaPuntiClassificaSquadra,3,FALSE),-1)=IFERROR(VLOOKUP($AM47,areaCercaPuntiClassificaSquadra,3,FALSE),-2)),SUMIFS(Dati!$E$2:$E$381,Dati!$A$2:$A$381,$H47,Dati!$H$2:$H$381,$AM47)+SUMIFS(Dati!$L$2:$L$381,Dati!$H$2:$H$381,$H47,Dati!$A$2:$A$381,$AM47),"-")</f>
        <v/>
      </c>
      <c r="DB47" s="22">
        <f>IF(AND($H47&lt;&gt;"",$AN47&lt;&gt;"",$H47&lt;&gt;$AN47,IFERROR(VLOOKUP($H47,areaCercaPuntiClassificaSquadra,3,FALSE),-1)=IFERROR(VLOOKUP($AN47,areaCercaPuntiClassificaSquadra,3,FALSE),-2)),SUMIFS(Dati!$E$2:$E$381,Dati!$A$2:$A$381,$H47,Dati!$H$2:$H$381,$AN47)+SUMIFS(Dati!$L$2:$L$381,Dati!$H$2:$H$381,$H47,Dati!$A$2:$A$381,$AN47),"-")</f>
        <v/>
      </c>
      <c r="DC47" s="22">
        <f>IF(AND($H47&lt;&gt;"",$AO47&lt;&gt;"",$H47&lt;&gt;$AO47,IFERROR(VLOOKUP($H47,areaCercaPuntiClassificaSquadra,3,FALSE),-1)=IFERROR(VLOOKUP($AO47,areaCercaPuntiClassificaSquadra,3,FALSE),-2)),SUMIFS(Dati!$E$2:$E$381,Dati!$A$2:$A$381,$H47,Dati!$H$2:$H$381,$AO47)+SUMIFS(Dati!$L$2:$L$381,Dati!$H$2:$H$381,$H47,Dati!$A$2:$A$381,$AO47),"-")</f>
        <v/>
      </c>
      <c r="DD47" s="22">
        <f>IF(AND($H47&lt;&gt;"",$AP47&lt;&gt;"",$H47&lt;&gt;$AP47,IFERROR(VLOOKUP($H47,areaCercaPuntiClassificaSquadra,3,FALSE),-1)=IFERROR(VLOOKUP($AP47,areaCercaPuntiClassificaSquadra,3,FALSE),-2)),SUMIFS(Dati!$E$2:$E$381,Dati!$A$2:$A$381,$H47,Dati!$H$2:$H$381,$AP47)+SUMIFS(Dati!$L$2:$L$381,Dati!$H$2:$H$381,$H47,Dati!$A$2:$A$381,$AP47),"-")</f>
        <v/>
      </c>
      <c r="DE47" s="22">
        <f>IF(AND($H47&lt;&gt;"",$AQ47&lt;&gt;"",$H47&lt;&gt;$AQ47,IFERROR(VLOOKUP($H47,areaCercaPuntiClassificaSquadra,3,FALSE),-1)=IFERROR(VLOOKUP($AQ47,areaCercaPuntiClassificaSquadra,3,FALSE),-2)),SUMIFS(Dati!$E$2:$E$381,Dati!$A$2:$A$381,$H47,Dati!$H$2:$H$381,$AQ47)+SUMIFS(Dati!$L$2:$L$381,Dati!$H$2:$H$381,$H47,Dati!$A$2:$A$381,$AQ47),"-")</f>
        <v/>
      </c>
      <c r="DF47" s="22">
        <f>IF(AND($H47&lt;&gt;"",$AR47&lt;&gt;"",$H47&lt;&gt;$AR47,IFERROR(VLOOKUP($H47,areaCercaPuntiClassificaSquadra,3,FALSE),-1)=IFERROR(VLOOKUP($AR47,areaCercaPuntiClassificaSquadra,3,FALSE),-2)),SUMIFS(Dati!$E$2:$E$381,Dati!$A$2:$A$381,$H47,Dati!$H$2:$H$381,$AR47)+SUMIFS(Dati!$L$2:$L$381,Dati!$H$2:$H$381,$H47,Dati!$A$2:$A$381,$AR47),"-")</f>
        <v/>
      </c>
      <c r="DH47" s="21">
        <f>$C47</f>
        <v/>
      </c>
      <c r="DI47" s="22">
        <f>IF(AND($H47&lt;&gt;"",$Y47&lt;&gt;"",$H47&lt;&gt;$Y47,IFERROR(VLOOKUP($H47,areaCercaPuntiClassificaSquadra,3,FALSE),-1)=IFERROR(VLOOKUP($Y47,areaCercaPuntiClassificaSquadra,3,FALSE),-2)),SUMIFS(Dati!$F$2:$F$381,Dati!$A$2:$A$381,$H47,Dati!$H$2:$H$381,$Y47)+SUMIFS(Dati!$M$2:$M$381,Dati!$H$2:$H$381,$H47,Dati!$A$2:$A$381,$Y47),"-")</f>
        <v/>
      </c>
      <c r="DJ47" s="22">
        <f>IF(AND($H47&lt;&gt;"",$Z47&lt;&gt;"",$H47&lt;&gt;$Z47,IFERROR(VLOOKUP($H47,areaCercaPuntiClassificaSquadra,3,FALSE),-1)=IFERROR(VLOOKUP($Z47,areaCercaPuntiClassificaSquadra,3,FALSE),-2)),SUMIFS(Dati!$F$2:$F$381,Dati!$A$2:$A$381,$H47,Dati!$H$2:$H$381,$Z47)+SUMIFS(Dati!$M$2:$M$381,Dati!$H$2:$H$381,$H47,Dati!$A$2:$A$381,$Z47),"-")</f>
        <v/>
      </c>
      <c r="DK47" s="22">
        <f>IF(AND($H47&lt;&gt;"",$AA47&lt;&gt;"",$H47&lt;&gt;$AA47,IFERROR(VLOOKUP($H47,areaCercaPuntiClassificaSquadra,3,FALSE),-1)=IFERROR(VLOOKUP($AA47,areaCercaPuntiClassificaSquadra,3,FALSE),-2)),SUMIFS(Dati!$F$2:$F$381,Dati!$A$2:$A$381,$H47,Dati!$H$2:$H$381,$AA47)+SUMIFS(Dati!$M$2:$M$381,Dati!$H$2:$H$381,$H47,Dati!$A$2:$A$381,$AA47),"-")</f>
        <v/>
      </c>
      <c r="DL47" s="22">
        <f>IF(AND($H47&lt;&gt;"",$AB47&lt;&gt;"",$H47&lt;&gt;$AB47,IFERROR(VLOOKUP($H47,areaCercaPuntiClassificaSquadra,3,FALSE),-1)=IFERROR(VLOOKUP($AB47,areaCercaPuntiClassificaSquadra,3,FALSE),-2)),SUMIFS(Dati!$F$2:$F$381,Dati!$A$2:$A$381,$H47,Dati!$H$2:$H$381,$AB47)+SUMIFS(Dati!$M$2:$M$381,Dati!$H$2:$H$381,$H47,Dati!$A$2:$A$381,$AB47),"-")</f>
        <v/>
      </c>
      <c r="DM47" s="22">
        <f>IF(AND($H47&lt;&gt;"",$AC47&lt;&gt;"",$H47&lt;&gt;$AC47,IFERROR(VLOOKUP($H47,areaCercaPuntiClassificaSquadra,3,FALSE),-1)=IFERROR(VLOOKUP($AC47,areaCercaPuntiClassificaSquadra,3,FALSE),-2)),SUMIFS(Dati!$F$2:$F$381,Dati!$A$2:$A$381,$H47,Dati!$H$2:$H$381,$AC47)+SUMIFS(Dati!$M$2:$M$381,Dati!$H$2:$H$381,$H47,Dati!$A$2:$A$381,$AC47),"-")</f>
        <v/>
      </c>
      <c r="DN47" s="22">
        <f>IF(AND($H47&lt;&gt;"",$AD47&lt;&gt;"",$H47&lt;&gt;$AD47,IFERROR(VLOOKUP($H47,areaCercaPuntiClassificaSquadra,3,FALSE),-1)=IFERROR(VLOOKUP($AD47,areaCercaPuntiClassificaSquadra,3,FALSE),-2)),SUMIFS(Dati!$F$2:$F$381,Dati!$A$2:$A$381,$H47,Dati!$H$2:$H$381,$AD47)+SUMIFS(Dati!$M$2:$M$381,Dati!$H$2:$H$381,$H47,Dati!$A$2:$A$381,$AD47),"-")</f>
        <v/>
      </c>
      <c r="DO47" s="22">
        <f>IF(AND($H47&lt;&gt;"",$AE47&lt;&gt;"",$H47&lt;&gt;$AE47,IFERROR(VLOOKUP($H47,areaCercaPuntiClassificaSquadra,3,FALSE),-1)=IFERROR(VLOOKUP($AE47,areaCercaPuntiClassificaSquadra,3,FALSE),-2)),SUMIFS(Dati!$F$2:$F$381,Dati!$A$2:$A$381,$H47,Dati!$H$2:$H$381,$AE47)+SUMIFS(Dati!$M$2:$M$381,Dati!$H$2:$H$381,$H47,Dati!$A$2:$A$381,$AE47),"-")</f>
        <v/>
      </c>
      <c r="DP47" s="22">
        <f>IF(AND($H47&lt;&gt;"",$AF47&lt;&gt;"",$H47&lt;&gt;$AF47,IFERROR(VLOOKUP($H47,areaCercaPuntiClassificaSquadra,3,FALSE),-1)=IFERROR(VLOOKUP($AF47,areaCercaPuntiClassificaSquadra,3,FALSE),-2)),SUMIFS(Dati!$F$2:$F$381,Dati!$A$2:$A$381,$H47,Dati!$H$2:$H$381,$AF47)+SUMIFS(Dati!$M$2:$M$381,Dati!$H$2:$H$381,$H47,Dati!$A$2:$A$381,$AF47),"-")</f>
        <v/>
      </c>
      <c r="DQ47" s="22">
        <f>IF(AND($H47&lt;&gt;"",$AG47&lt;&gt;"",$H47&lt;&gt;$AG47,IFERROR(VLOOKUP($H47,areaCercaPuntiClassificaSquadra,3,FALSE),-1)=IFERROR(VLOOKUP($AG47,areaCercaPuntiClassificaSquadra,3,FALSE),-2)),SUMIFS(Dati!$F$2:$F$381,Dati!$A$2:$A$381,$H47,Dati!$H$2:$H$381,$AG47)+SUMIFS(Dati!$M$2:$M$381,Dati!$H$2:$H$381,$H47,Dati!$A$2:$A$381,$AG47),"-")</f>
        <v/>
      </c>
      <c r="DR47" s="22">
        <f>IF(AND($H47&lt;&gt;"",$AH47&lt;&gt;"",$H47&lt;&gt;$AH47,IFERROR(VLOOKUP($H47,areaCercaPuntiClassificaSquadra,3,FALSE),-1)=IFERROR(VLOOKUP($AH47,areaCercaPuntiClassificaSquadra,3,FALSE),-2)),SUMIFS(Dati!$F$2:$F$381,Dati!$A$2:$A$381,$H47,Dati!$H$2:$H$381,$AH47)+SUMIFS(Dati!$M$2:$M$381,Dati!$H$2:$H$381,$H47,Dati!$A$2:$A$381,$AH47),"-")</f>
        <v/>
      </c>
      <c r="DS47" s="22">
        <f>IF(AND($H47&lt;&gt;"",$AI47&lt;&gt;"",$H47&lt;&gt;$AI47,IFERROR(VLOOKUP($H47,areaCercaPuntiClassificaSquadra,3,FALSE),-1)=IFERROR(VLOOKUP($AI47,areaCercaPuntiClassificaSquadra,3,FALSE),-2)),SUMIFS(Dati!$F$2:$F$381,Dati!$A$2:$A$381,$H47,Dati!$H$2:$H$381,$AI47)+SUMIFS(Dati!$M$2:$M$381,Dati!$H$2:$H$381,$H47,Dati!$A$2:$A$381,$AI47),"-")</f>
        <v/>
      </c>
      <c r="DT47" s="22">
        <f>IF(AND($H47&lt;&gt;"",$AJ47&lt;&gt;"",$H47&lt;&gt;$AJ47,IFERROR(VLOOKUP($H47,areaCercaPuntiClassificaSquadra,3,FALSE),-1)=IFERROR(VLOOKUP($AJ47,areaCercaPuntiClassificaSquadra,3,FALSE),-2)),SUMIFS(Dati!$F$2:$F$381,Dati!$A$2:$A$381,$H47,Dati!$H$2:$H$381,$AJ47)+SUMIFS(Dati!$M$2:$M$381,Dati!$H$2:$H$381,$H47,Dati!$A$2:$A$381,$AJ47),"-")</f>
        <v/>
      </c>
      <c r="DU47" s="22">
        <f>IF(AND($H47&lt;&gt;"",$AK47&lt;&gt;"",$H47&lt;&gt;$AK47,IFERROR(VLOOKUP($H47,areaCercaPuntiClassificaSquadra,3,FALSE),-1)=IFERROR(VLOOKUP($AK47,areaCercaPuntiClassificaSquadra,3,FALSE),-2)),SUMIFS(Dati!$F$2:$F$381,Dati!$A$2:$A$381,$H47,Dati!$H$2:$H$381,$AK47)+SUMIFS(Dati!$M$2:$M$381,Dati!$H$2:$H$381,$H47,Dati!$A$2:$A$381,$AK47),"-")</f>
        <v/>
      </c>
      <c r="DV47" s="22">
        <f>IF(AND($H47&lt;&gt;"",$AL47&lt;&gt;"",$H47&lt;&gt;$AL47,IFERROR(VLOOKUP($H47,areaCercaPuntiClassificaSquadra,3,FALSE),-1)=IFERROR(VLOOKUP($AL47,areaCercaPuntiClassificaSquadra,3,FALSE),-2)),SUMIFS(Dati!$F$2:$F$381,Dati!$A$2:$A$381,$H47,Dati!$H$2:$H$381,$AL47)+SUMIFS(Dati!$M$2:$M$381,Dati!$H$2:$H$381,$H47,Dati!$A$2:$A$381,$AL47),"-")</f>
        <v/>
      </c>
      <c r="DW47" s="22">
        <f>IF(AND($H47&lt;&gt;"",$AM47&lt;&gt;"",$H47&lt;&gt;$AM47,IFERROR(VLOOKUP($H47,areaCercaPuntiClassificaSquadra,3,FALSE),-1)=IFERROR(VLOOKUP($AM47,areaCercaPuntiClassificaSquadra,3,FALSE),-2)),SUMIFS(Dati!$F$2:$F$381,Dati!$A$2:$A$381,$H47,Dati!$H$2:$H$381,$AM47)+SUMIFS(Dati!$M$2:$M$381,Dati!$H$2:$H$381,$H47,Dati!$A$2:$A$381,$AM47),"-")</f>
        <v/>
      </c>
      <c r="DX47" s="22">
        <f>IF(AND($H47&lt;&gt;"",$AN47&lt;&gt;"",$H47&lt;&gt;$AN47,IFERROR(VLOOKUP($H47,areaCercaPuntiClassificaSquadra,3,FALSE),-1)=IFERROR(VLOOKUP($AN47,areaCercaPuntiClassificaSquadra,3,FALSE),-2)),SUMIFS(Dati!$F$2:$F$381,Dati!$A$2:$A$381,$H47,Dati!$H$2:$H$381,$AN47)+SUMIFS(Dati!$M$2:$M$381,Dati!$H$2:$H$381,$H47,Dati!$A$2:$A$381,$AN47),"-")</f>
        <v/>
      </c>
      <c r="DY47" s="22">
        <f>IF(AND($H47&lt;&gt;"",$AO47&lt;&gt;"",$H47&lt;&gt;$AO47,IFERROR(VLOOKUP($H47,areaCercaPuntiClassificaSquadra,3,FALSE),-1)=IFERROR(VLOOKUP($AO47,areaCercaPuntiClassificaSquadra,3,FALSE),-2)),SUMIFS(Dati!$F$2:$F$381,Dati!$A$2:$A$381,$H47,Dati!$H$2:$H$381,$AO47)+SUMIFS(Dati!$M$2:$M$381,Dati!$H$2:$H$381,$H47,Dati!$A$2:$A$381,$AO47),"-")</f>
        <v/>
      </c>
      <c r="DZ47" s="22">
        <f>IF(AND($H47&lt;&gt;"",$AP47&lt;&gt;"",$H47&lt;&gt;$AP47,IFERROR(VLOOKUP($H47,areaCercaPuntiClassificaSquadra,3,FALSE),-1)=IFERROR(VLOOKUP($AP47,areaCercaPuntiClassificaSquadra,3,FALSE),-2)),SUMIFS(Dati!$F$2:$F$381,Dati!$A$2:$A$381,$H47,Dati!$H$2:$H$381,$AP47)+SUMIFS(Dati!$M$2:$M$381,Dati!$H$2:$H$381,$H47,Dati!$A$2:$A$381,$AP47),"-")</f>
        <v/>
      </c>
      <c r="EA47" s="22">
        <f>IF(AND($H47&lt;&gt;"",$AQ47&lt;&gt;"",$H47&lt;&gt;$AQ47,IFERROR(VLOOKUP($H47,areaCercaPuntiClassificaSquadra,3,FALSE),-1)=IFERROR(VLOOKUP($AQ47,areaCercaPuntiClassificaSquadra,3,FALSE),-2)),SUMIFS(Dati!$F$2:$F$381,Dati!$A$2:$A$381,$H47,Dati!$H$2:$H$381,$AQ47)+SUMIFS(Dati!$M$2:$M$381,Dati!$H$2:$H$381,$H47,Dati!$A$2:$A$381,$AQ47),"-")</f>
        <v/>
      </c>
      <c r="EB47" s="22">
        <f>IF(AND($H47&lt;&gt;"",$AR47&lt;&gt;"",$H47&lt;&gt;$AR47,IFERROR(VLOOKUP($H47,areaCercaPuntiClassificaSquadra,3,FALSE),-1)=IFERROR(VLOOKUP($AR47,areaCercaPuntiClassificaSquadra,3,FALSE),-2)),SUMIFS(Dati!$F$2:$F$381,Dati!$A$2:$A$381,$H47,Dati!$H$2:$H$381,$AR47)+SUMIFS(Dati!$M$2:$M$381,Dati!$H$2:$H$381,$H47,Dati!$A$2:$A$381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inlineStr">
        <is>
          <t>Alci Audaci-Alciopoli AU</t>
        </is>
      </c>
      <c r="D48" s="14" t="n"/>
      <c r="E48" s="23" t="inlineStr">
        <is>
          <t>B</t>
        </is>
      </c>
      <c r="G48" s="24">
        <f>IF($C48="","",$E48&amp;(COUNTIFS(I$14:I$53,"&gt;"&amp;I48,E$14:E$53,"="&amp;E48,C$14:C$53,"&lt;&gt;")+COUNTIFS(I$14:I$53,"="&amp;I48,H$14:H$53,"&lt;="&amp;H48,E$14:E$53,"="&amp;E48,C$14:C$53,"&lt;&gt;")))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L48*constPuntiVittoria+M48*constPuntiSconfitta+N48*constPuntiForfait+IF(D48="",0,D48)</f>
        <v/>
      </c>
      <c r="K48" s="12">
        <f>SUM(L48:N48)</f>
        <v/>
      </c>
      <c r="L48" s="12">
        <f>IF($H48="",0,SUMIF(Dati!$A$2:$A$381,$H48,Dati!$B$2:$B$381)+SUMIF(Dati!$H$2:$H$381,$H48,Dati!$I$2:$I$381))</f>
        <v/>
      </c>
      <c r="M48" s="12">
        <f>IF($H48="",0,SUMIF(Dati!$A$2:$A$381,$H48,Dati!$D$2:$D$381)+SUMIF(Dati!$H$2:$H$381,$H48,Dati!$K$2:$K$381))</f>
        <v/>
      </c>
      <c r="N48" s="12">
        <f>IF($H48="",0,SUMIF(Dati!$A$2:$A$381,$H48,Dati!$C$2:$C$381)+SUMIF(Dati!$H$2:$H$381,$H48,Dati!$J$2:$J$381))</f>
        <v/>
      </c>
      <c r="O48" s="12">
        <f>IF($H48="",0,SUMIF(Dati!$A$2:$A$381,$H48,Dati!$E$2:$E$381)+SUMIF(Dati!$H$2:$H$381,$H48,Dati!$L$2:$L$381))</f>
        <v/>
      </c>
      <c r="P48" s="12">
        <f>IF($H48="",0,SUMIF(Dati!$A$2:$A$381,$H48,Dati!$F$2:$F$381)+SUMIF(Dati!$H$2:$H$381,$H48,Dati!$M$2:$M$381))</f>
        <v/>
      </c>
      <c r="Q48" s="12">
        <f>IF($H48="",0,SUMIF(Dati!$A$2:$A$381,$H48,Dati!$G$2:$G$381)+SUMIF(Dati!$H$2:$H$381,$H48,Dati!$N$2:$N$381))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IF(COUNTIFS($E$14:$E$53,$E48,$J$14:$J$53,$J48,$C$14:$C$53,"&lt;&gt;")&lt;=1,"-",SUM(AU48:BN48)&amp;"-"&amp;SUM(BQ48:CJ48))</f>
        <v/>
      </c>
      <c r="V48" s="18">
        <f>IF(COUNTIFS($E$14:$E$53,$E48,$J$14:$J$53,$J48,$C$14:$C$53,"&lt;&gt;",$ED$14:$ED$53,$ED48)&lt;=1,"-",IF(SUM(DI48:EB48)=0,0,ROUND(SUM(CM48:DF48)/SUM(DI48:EB48),3)))</f>
        <v/>
      </c>
      <c r="W48" s="18">
        <f>IF(COUNTIFS($E$14:$E$53,$E48,$J$14:$J$53,$J48,$C$14:$C$53,"&lt;&gt;",$ED$14:$ED$53,$ED48,$V$14:$V$53,$V48)&lt;=1,"-",IF(P48=0,0,ROUND(O48/P48,3)))</f>
        <v/>
      </c>
      <c r="X48" s="19">
        <f>IF($C48="","",$E48&amp;"#"&amp;COUNTIFS($E$14:$E48,$E48,$C$14:$C48,"&lt;&gt;"))</f>
        <v/>
      </c>
      <c r="Y48" s="20">
        <f>IFERROR(INDEX($H$14:$H$53,MATCH($E48&amp;"#1",$X$14:$X$53,0)),"")</f>
        <v/>
      </c>
      <c r="Z48" s="20">
        <f>IFERROR(INDEX($H$14:$H$53,MATCH($E48&amp;"#2",$X$14:$X$53,0)),"")</f>
        <v/>
      </c>
      <c r="AA48" s="20">
        <f>IFERROR(INDEX($H$14:$H$53,MATCH($E48&amp;"#3",$X$14:$X$53,0)),"")</f>
        <v/>
      </c>
      <c r="AB48" s="20">
        <f>IFERROR(INDEX($H$14:$H$53,MATCH($E48&amp;"#4",$X$14:$X$53,0)),"")</f>
        <v/>
      </c>
      <c r="AC48" s="20">
        <f>IFERROR(INDEX($H$14:$H$53,MATCH($E48&amp;"#5",$X$14:$X$53,0)),"")</f>
        <v/>
      </c>
      <c r="AD48" s="20">
        <f>IFERROR(INDEX($H$14:$H$53,MATCH($E48&amp;"#6",$X$14:$X$53,0)),"")</f>
        <v/>
      </c>
      <c r="AE48" s="20">
        <f>IFERROR(INDEX($H$14:$H$53,MATCH($E48&amp;"#7",$X$14:$X$53,0)),"")</f>
        <v/>
      </c>
      <c r="AF48" s="20">
        <f>IFERROR(INDEX($H$14:$H$53,MATCH($E48&amp;"#8",$X$14:$X$53,0)),"")</f>
        <v/>
      </c>
      <c r="AG48" s="20">
        <f>IFERROR(INDEX($H$14:$H$53,MATCH($E48&amp;"#9",$X$14:$X$53,0)),"")</f>
        <v/>
      </c>
      <c r="AH48" s="20">
        <f>IFERROR(INDEX($H$14:$H$53,MATCH($E48&amp;"#10",$X$14:$X$53,0)),"")</f>
        <v/>
      </c>
      <c r="AI48" s="20">
        <f>IFERROR(INDEX($H$14:$H$53,MATCH($E48&amp;"#11",$X$14:$X$53,0)),"")</f>
        <v/>
      </c>
      <c r="AJ48" s="20">
        <f>IFERROR(INDEX($H$14:$H$53,MATCH($E48&amp;"#12",$X$14:$X$53,0)),"")</f>
        <v/>
      </c>
      <c r="AK48" s="20">
        <f>IFERROR(INDEX($H$14:$H$53,MATCH($E48&amp;"#13",$X$14:$X$53,0)),"")</f>
        <v/>
      </c>
      <c r="AL48" s="20">
        <f>IFERROR(INDEX($H$14:$H$53,MATCH($E48&amp;"#14",$X$14:$X$53,0)),"")</f>
        <v/>
      </c>
      <c r="AM48" s="20">
        <f>IFERROR(INDEX($H$14:$H$53,MATCH($E48&amp;"#15",$X$14:$X$53,0)),"")</f>
        <v/>
      </c>
      <c r="AN48" s="20">
        <f>IFERROR(INDEX($H$14:$H$53,MATCH($E48&amp;"#16",$X$14:$X$53,0)),"")</f>
        <v/>
      </c>
      <c r="AO48" s="20">
        <f>IFERROR(INDEX($H$14:$H$53,MATCH($E48&amp;"#17",$X$14:$X$53,0)),"")</f>
        <v/>
      </c>
      <c r="AP48" s="20">
        <f>IFERROR(INDEX($H$14:$H$53,MATCH($E48&amp;"#18",$X$14:$X$53,0)),"")</f>
        <v/>
      </c>
      <c r="AQ48" s="20">
        <f>IFERROR(INDEX($H$14:$H$53,MATCH($E48&amp;"#19",$X$14:$X$53,0)),"")</f>
        <v/>
      </c>
      <c r="AR48" s="20">
        <f>IFERROR(INDEX($H$14:$H$53,MATCH($E48&amp;"#20",$X$14:$X$53,0)),"")</f>
        <v/>
      </c>
      <c r="AT48" s="21">
        <f>$C48</f>
        <v/>
      </c>
      <c r="AU48" s="22">
        <f>IF(AND($H48&lt;&gt;"",$Y48&lt;&gt;"",$H48&lt;&gt;$Y48,IFERROR(VLOOKUP($H48,areaCercaPuntiClassificaSquadra,3,FALSE),-1)=IFERROR(VLOOKUP($Y48,areaCercaPuntiClassificaSquadra,3,FALSE),-2)),SUMIFS(Dati!$B$2:$B$381,Dati!$A$2:$A$381,$H48,Dati!$H$2:$H$381,$Y48)+SUMIFS(Dati!$I$2:$I$381,Dati!$H$2:$H$381,$H48,Dati!$A$2:$A$381,$Y48),"-")</f>
        <v/>
      </c>
      <c r="AV48" s="22">
        <f>IF(AND($H48&lt;&gt;"",$Z48&lt;&gt;"",$H48&lt;&gt;$Z48,IFERROR(VLOOKUP($H48,areaCercaPuntiClassificaSquadra,3,FALSE),-1)=IFERROR(VLOOKUP($Z48,areaCercaPuntiClassificaSquadra,3,FALSE),-2)),SUMIFS(Dati!$B$2:$B$381,Dati!$A$2:$A$381,$H48,Dati!$H$2:$H$381,$Z48)+SUMIFS(Dati!$I$2:$I$381,Dati!$H$2:$H$381,$H48,Dati!$A$2:$A$381,$Z48),"-")</f>
        <v/>
      </c>
      <c r="AW48" s="22">
        <f>IF(AND($H48&lt;&gt;"",$AA48&lt;&gt;"",$H48&lt;&gt;$AA48,IFERROR(VLOOKUP($H48,areaCercaPuntiClassificaSquadra,3,FALSE),-1)=IFERROR(VLOOKUP($AA48,areaCercaPuntiClassificaSquadra,3,FALSE),-2)),SUMIFS(Dati!$B$2:$B$381,Dati!$A$2:$A$381,$H48,Dati!$H$2:$H$381,$AA48)+SUMIFS(Dati!$I$2:$I$381,Dati!$H$2:$H$381,$H48,Dati!$A$2:$A$381,$AA48),"-")</f>
        <v/>
      </c>
      <c r="AX48" s="22">
        <f>IF(AND($H48&lt;&gt;"",$AB48&lt;&gt;"",$H48&lt;&gt;$AB48,IFERROR(VLOOKUP($H48,areaCercaPuntiClassificaSquadra,3,FALSE),-1)=IFERROR(VLOOKUP($AB48,areaCercaPuntiClassificaSquadra,3,FALSE),-2)),SUMIFS(Dati!$B$2:$B$381,Dati!$A$2:$A$381,$H48,Dati!$H$2:$H$381,$AB48)+SUMIFS(Dati!$I$2:$I$381,Dati!$H$2:$H$381,$H48,Dati!$A$2:$A$381,$AB48),"-")</f>
        <v/>
      </c>
      <c r="AY48" s="22">
        <f>IF(AND($H48&lt;&gt;"",$AC48&lt;&gt;"",$H48&lt;&gt;$AC48,IFERROR(VLOOKUP($H48,areaCercaPuntiClassificaSquadra,3,FALSE),-1)=IFERROR(VLOOKUP($AC48,areaCercaPuntiClassificaSquadra,3,FALSE),-2)),SUMIFS(Dati!$B$2:$B$381,Dati!$A$2:$A$381,$H48,Dati!$H$2:$H$381,$AC48)+SUMIFS(Dati!$I$2:$I$381,Dati!$H$2:$H$381,$H48,Dati!$A$2:$A$381,$AC48),"-")</f>
        <v/>
      </c>
      <c r="AZ48" s="22">
        <f>IF(AND($H48&lt;&gt;"",$AD48&lt;&gt;"",$H48&lt;&gt;$AD48,IFERROR(VLOOKUP($H48,areaCercaPuntiClassificaSquadra,3,FALSE),-1)=IFERROR(VLOOKUP($AD48,areaCercaPuntiClassificaSquadra,3,FALSE),-2)),SUMIFS(Dati!$B$2:$B$381,Dati!$A$2:$A$381,$H48,Dati!$H$2:$H$381,$AD48)+SUMIFS(Dati!$I$2:$I$381,Dati!$H$2:$H$381,$H48,Dati!$A$2:$A$381,$AD48),"-")</f>
        <v/>
      </c>
      <c r="BA48" s="22">
        <f>IF(AND($H48&lt;&gt;"",$AE48&lt;&gt;"",$H48&lt;&gt;$AE48,IFERROR(VLOOKUP($H48,areaCercaPuntiClassificaSquadra,3,FALSE),-1)=IFERROR(VLOOKUP($AE48,areaCercaPuntiClassificaSquadra,3,FALSE),-2)),SUMIFS(Dati!$B$2:$B$381,Dati!$A$2:$A$381,$H48,Dati!$H$2:$H$381,$AE48)+SUMIFS(Dati!$I$2:$I$381,Dati!$H$2:$H$381,$H48,Dati!$A$2:$A$381,$AE48),"-")</f>
        <v/>
      </c>
      <c r="BB48" s="22">
        <f>IF(AND($H48&lt;&gt;"",$AF48&lt;&gt;"",$H48&lt;&gt;$AF48,IFERROR(VLOOKUP($H48,areaCercaPuntiClassificaSquadra,3,FALSE),-1)=IFERROR(VLOOKUP($AF48,areaCercaPuntiClassificaSquadra,3,FALSE),-2)),SUMIFS(Dati!$B$2:$B$381,Dati!$A$2:$A$381,$H48,Dati!$H$2:$H$381,$AF48)+SUMIFS(Dati!$I$2:$I$381,Dati!$H$2:$H$381,$H48,Dati!$A$2:$A$381,$AF48),"-")</f>
        <v/>
      </c>
      <c r="BC48" s="22">
        <f>IF(AND($H48&lt;&gt;"",$AG48&lt;&gt;"",$H48&lt;&gt;$AG48,IFERROR(VLOOKUP($H48,areaCercaPuntiClassificaSquadra,3,FALSE),-1)=IFERROR(VLOOKUP($AG48,areaCercaPuntiClassificaSquadra,3,FALSE),-2)),SUMIFS(Dati!$B$2:$B$381,Dati!$A$2:$A$381,$H48,Dati!$H$2:$H$381,$AG48)+SUMIFS(Dati!$I$2:$I$381,Dati!$H$2:$H$381,$H48,Dati!$A$2:$A$381,$AG48),"-")</f>
        <v/>
      </c>
      <c r="BD48" s="22">
        <f>IF(AND($H48&lt;&gt;"",$AH48&lt;&gt;"",$H48&lt;&gt;$AH48,IFERROR(VLOOKUP($H48,areaCercaPuntiClassificaSquadra,3,FALSE),-1)=IFERROR(VLOOKUP($AH48,areaCercaPuntiClassificaSquadra,3,FALSE),-2)),SUMIFS(Dati!$B$2:$B$381,Dati!$A$2:$A$381,$H48,Dati!$H$2:$H$381,$AH48)+SUMIFS(Dati!$I$2:$I$381,Dati!$H$2:$H$381,$H48,Dati!$A$2:$A$381,$AH48),"-")</f>
        <v/>
      </c>
      <c r="BE48" s="22">
        <f>IF(AND($H48&lt;&gt;"",$AI48&lt;&gt;"",$H48&lt;&gt;$AI48,IFERROR(VLOOKUP($H48,areaCercaPuntiClassificaSquadra,3,FALSE),-1)=IFERROR(VLOOKUP($AI48,areaCercaPuntiClassificaSquadra,3,FALSE),-2)),SUMIFS(Dati!$B$2:$B$381,Dati!$A$2:$A$381,$H48,Dati!$H$2:$H$381,$AI48)+SUMIFS(Dati!$I$2:$I$381,Dati!$H$2:$H$381,$H48,Dati!$A$2:$A$381,$AI48),"-")</f>
        <v/>
      </c>
      <c r="BF48" s="22">
        <f>IF(AND($H48&lt;&gt;"",$AJ48&lt;&gt;"",$H48&lt;&gt;$AJ48,IFERROR(VLOOKUP($H48,areaCercaPuntiClassificaSquadra,3,FALSE),-1)=IFERROR(VLOOKUP($AJ48,areaCercaPuntiClassificaSquadra,3,FALSE),-2)),SUMIFS(Dati!$B$2:$B$381,Dati!$A$2:$A$381,$H48,Dati!$H$2:$H$381,$AJ48)+SUMIFS(Dati!$I$2:$I$381,Dati!$H$2:$H$381,$H48,Dati!$A$2:$A$381,$AJ48),"-")</f>
        <v/>
      </c>
      <c r="BG48" s="22">
        <f>IF(AND($H48&lt;&gt;"",$AK48&lt;&gt;"",$H48&lt;&gt;$AK48,IFERROR(VLOOKUP($H48,areaCercaPuntiClassificaSquadra,3,FALSE),-1)=IFERROR(VLOOKUP($AK48,areaCercaPuntiClassificaSquadra,3,FALSE),-2)),SUMIFS(Dati!$B$2:$B$381,Dati!$A$2:$A$381,$H48,Dati!$H$2:$H$381,$AK48)+SUMIFS(Dati!$I$2:$I$381,Dati!$H$2:$H$381,$H48,Dati!$A$2:$A$381,$AK48),"-")</f>
        <v/>
      </c>
      <c r="BH48" s="22">
        <f>IF(AND($H48&lt;&gt;"",$AL48&lt;&gt;"",$H48&lt;&gt;$AL48,IFERROR(VLOOKUP($H48,areaCercaPuntiClassificaSquadra,3,FALSE),-1)=IFERROR(VLOOKUP($AL48,areaCercaPuntiClassificaSquadra,3,FALSE),-2)),SUMIFS(Dati!$B$2:$B$381,Dati!$A$2:$A$381,$H48,Dati!$H$2:$H$381,$AL48)+SUMIFS(Dati!$I$2:$I$381,Dati!$H$2:$H$381,$H48,Dati!$A$2:$A$381,$AL48),"-")</f>
        <v/>
      </c>
      <c r="BI48" s="22">
        <f>IF(AND($H48&lt;&gt;"",$AM48&lt;&gt;"",$H48&lt;&gt;$AM48,IFERROR(VLOOKUP($H48,areaCercaPuntiClassificaSquadra,3,FALSE),-1)=IFERROR(VLOOKUP($AM48,areaCercaPuntiClassificaSquadra,3,FALSE),-2)),SUMIFS(Dati!$B$2:$B$381,Dati!$A$2:$A$381,$H48,Dati!$H$2:$H$381,$AM48)+SUMIFS(Dati!$I$2:$I$381,Dati!$H$2:$H$381,$H48,Dati!$A$2:$A$381,$AM48),"-")</f>
        <v/>
      </c>
      <c r="BJ48" s="22">
        <f>IF(AND($H48&lt;&gt;"",$AN48&lt;&gt;"",$H48&lt;&gt;$AN48,IFERROR(VLOOKUP($H48,areaCercaPuntiClassificaSquadra,3,FALSE),-1)=IFERROR(VLOOKUP($AN48,areaCercaPuntiClassificaSquadra,3,FALSE),-2)),SUMIFS(Dati!$B$2:$B$381,Dati!$A$2:$A$381,$H48,Dati!$H$2:$H$381,$AN48)+SUMIFS(Dati!$I$2:$I$381,Dati!$H$2:$H$381,$H48,Dati!$A$2:$A$381,$AN48),"-")</f>
        <v/>
      </c>
      <c r="BK48" s="22">
        <f>IF(AND($H48&lt;&gt;"",$AO48&lt;&gt;"",$H48&lt;&gt;$AO48,IFERROR(VLOOKUP($H48,areaCercaPuntiClassificaSquadra,3,FALSE),-1)=IFERROR(VLOOKUP($AO48,areaCercaPuntiClassificaSquadra,3,FALSE),-2)),SUMIFS(Dati!$B$2:$B$381,Dati!$A$2:$A$381,$H48,Dati!$H$2:$H$381,$AO48)+SUMIFS(Dati!$I$2:$I$381,Dati!$H$2:$H$381,$H48,Dati!$A$2:$A$381,$AO48),"-")</f>
        <v/>
      </c>
      <c r="BL48" s="22">
        <f>IF(AND($H48&lt;&gt;"",$AP48&lt;&gt;"",$H48&lt;&gt;$AP48,IFERROR(VLOOKUP($H48,areaCercaPuntiClassificaSquadra,3,FALSE),-1)=IFERROR(VLOOKUP($AP48,areaCercaPuntiClassificaSquadra,3,FALSE),-2)),SUMIFS(Dati!$B$2:$B$381,Dati!$A$2:$A$381,$H48,Dati!$H$2:$H$381,$AP48)+SUMIFS(Dati!$I$2:$I$381,Dati!$H$2:$H$381,$H48,Dati!$A$2:$A$381,$AP48),"-")</f>
        <v/>
      </c>
      <c r="BM48" s="22">
        <f>IF(AND($H48&lt;&gt;"",$AQ48&lt;&gt;"",$H48&lt;&gt;$AQ48,IFERROR(VLOOKUP($H48,areaCercaPuntiClassificaSquadra,3,FALSE),-1)=IFERROR(VLOOKUP($AQ48,areaCercaPuntiClassificaSquadra,3,FALSE),-2)),SUMIFS(Dati!$B$2:$B$381,Dati!$A$2:$A$381,$H48,Dati!$H$2:$H$381,$AQ48)+SUMIFS(Dati!$I$2:$I$381,Dati!$H$2:$H$381,$H48,Dati!$A$2:$A$381,$AQ48),"-")</f>
        <v/>
      </c>
      <c r="BN48" s="22">
        <f>IF(AND($H48&lt;&gt;"",$AR48&lt;&gt;"",$H48&lt;&gt;$AR48,IFERROR(VLOOKUP($H48,areaCercaPuntiClassificaSquadra,3,FALSE),-1)=IFERROR(VLOOKUP($AR48,areaCercaPuntiClassificaSquadra,3,FALSE),-2)),SUMIFS(Dati!$B$2:$B$381,Dati!$A$2:$A$381,$H48,Dati!$H$2:$H$381,$AR48)+SUMIFS(Dati!$I$2:$I$381,Dati!$H$2:$H$381,$H48,Dati!$A$2:$A$381,$AR48),"-")</f>
        <v/>
      </c>
      <c r="BP48" s="21">
        <f>$C48</f>
        <v/>
      </c>
      <c r="BQ48" s="22">
        <f>IF(AND($H48&lt;&gt;"",$Y48&lt;&gt;"",$H48&lt;&gt;$Y48,IFERROR(VLOOKUP($H48,areaCercaPuntiClassificaSquadra,3,FALSE),-1)=IFERROR(VLOOKUP($Y48,areaCercaPuntiClassificaSquadra,3,FALSE),-2)),SUMIFS(Dati!$D$2:$D$381,Dati!$A$2:$A$381,$H48,Dati!$H$2:$H$381,$Y48)+SUMIFS(Dati!$K$2:$K$381,Dati!$H$2:$H$381,$H48,Dati!$A$2:$A$381,$Y48)+SUMIFS(Dati!$C$2:$C$381,Dati!$A$2:$A$381,$H48,Dati!$H$2:$H$381,$Y48)+SUMIFS(Dati!$J$2:$J$381,Dati!$H$2:$H$381,$H48,Dati!$A$2:$A$381,$Y48),"-")</f>
        <v/>
      </c>
      <c r="BR48" s="22">
        <f>IF(AND($H48&lt;&gt;"",$Z48&lt;&gt;"",$H48&lt;&gt;$Z48,IFERROR(VLOOKUP($H48,areaCercaPuntiClassificaSquadra,3,FALSE),-1)=IFERROR(VLOOKUP($Z48,areaCercaPuntiClassificaSquadra,3,FALSE),-2)),SUMIFS(Dati!$D$2:$D$381,Dati!$A$2:$A$381,$H48,Dati!$H$2:$H$381,$Z48)+SUMIFS(Dati!$K$2:$K$381,Dati!$H$2:$H$381,$H48,Dati!$A$2:$A$381,$Z48)+SUMIFS(Dati!$C$2:$C$381,Dati!$A$2:$A$381,$H48,Dati!$H$2:$H$381,$Z48)+SUMIFS(Dati!$J$2:$J$381,Dati!$H$2:$H$381,$H48,Dati!$A$2:$A$381,$Z48),"-")</f>
        <v/>
      </c>
      <c r="BS48" s="22">
        <f>IF(AND($H48&lt;&gt;"",$AA48&lt;&gt;"",$H48&lt;&gt;$AA48,IFERROR(VLOOKUP($H48,areaCercaPuntiClassificaSquadra,3,FALSE),-1)=IFERROR(VLOOKUP($AA48,areaCercaPuntiClassificaSquadra,3,FALSE),-2)),SUMIFS(Dati!$D$2:$D$381,Dati!$A$2:$A$381,$H48,Dati!$H$2:$H$381,$AA48)+SUMIFS(Dati!$K$2:$K$381,Dati!$H$2:$H$381,$H48,Dati!$A$2:$A$381,$AA48)+SUMIFS(Dati!$C$2:$C$381,Dati!$A$2:$A$381,$H48,Dati!$H$2:$H$381,$AA48)+SUMIFS(Dati!$J$2:$J$381,Dati!$H$2:$H$381,$H48,Dati!$A$2:$A$381,$AA48),"-")</f>
        <v/>
      </c>
      <c r="BT48" s="22">
        <f>IF(AND($H48&lt;&gt;"",$AB48&lt;&gt;"",$H48&lt;&gt;$AB48,IFERROR(VLOOKUP($H48,areaCercaPuntiClassificaSquadra,3,FALSE),-1)=IFERROR(VLOOKUP($AB48,areaCercaPuntiClassificaSquadra,3,FALSE),-2)),SUMIFS(Dati!$D$2:$D$381,Dati!$A$2:$A$381,$H48,Dati!$H$2:$H$381,$AB48)+SUMIFS(Dati!$K$2:$K$381,Dati!$H$2:$H$381,$H48,Dati!$A$2:$A$381,$AB48)+SUMIFS(Dati!$C$2:$C$381,Dati!$A$2:$A$381,$H48,Dati!$H$2:$H$381,$AB48)+SUMIFS(Dati!$J$2:$J$381,Dati!$H$2:$H$381,$H48,Dati!$A$2:$A$381,$AB48),"-")</f>
        <v/>
      </c>
      <c r="BU48" s="22">
        <f>IF(AND($H48&lt;&gt;"",$AC48&lt;&gt;"",$H48&lt;&gt;$AC48,IFERROR(VLOOKUP($H48,areaCercaPuntiClassificaSquadra,3,FALSE),-1)=IFERROR(VLOOKUP($AC48,areaCercaPuntiClassificaSquadra,3,FALSE),-2)),SUMIFS(Dati!$D$2:$D$381,Dati!$A$2:$A$381,$H48,Dati!$H$2:$H$381,$AC48)+SUMIFS(Dati!$K$2:$K$381,Dati!$H$2:$H$381,$H48,Dati!$A$2:$A$381,$AC48)+SUMIFS(Dati!$C$2:$C$381,Dati!$A$2:$A$381,$H48,Dati!$H$2:$H$381,$AC48)+SUMIFS(Dati!$J$2:$J$381,Dati!$H$2:$H$381,$H48,Dati!$A$2:$A$381,$AC48),"-")</f>
        <v/>
      </c>
      <c r="BV48" s="22">
        <f>IF(AND($H48&lt;&gt;"",$AD48&lt;&gt;"",$H48&lt;&gt;$AD48,IFERROR(VLOOKUP($H48,areaCercaPuntiClassificaSquadra,3,FALSE),-1)=IFERROR(VLOOKUP($AD48,areaCercaPuntiClassificaSquadra,3,FALSE),-2)),SUMIFS(Dati!$D$2:$D$381,Dati!$A$2:$A$381,$H48,Dati!$H$2:$H$381,$AD48)+SUMIFS(Dati!$K$2:$K$381,Dati!$H$2:$H$381,$H48,Dati!$A$2:$A$381,$AD48)+SUMIFS(Dati!$C$2:$C$381,Dati!$A$2:$A$381,$H48,Dati!$H$2:$H$381,$AD48)+SUMIFS(Dati!$J$2:$J$381,Dati!$H$2:$H$381,$H48,Dati!$A$2:$A$381,$AD48),"-")</f>
        <v/>
      </c>
      <c r="BW48" s="22">
        <f>IF(AND($H48&lt;&gt;"",$AE48&lt;&gt;"",$H48&lt;&gt;$AE48,IFERROR(VLOOKUP($H48,areaCercaPuntiClassificaSquadra,3,FALSE),-1)=IFERROR(VLOOKUP($AE48,areaCercaPuntiClassificaSquadra,3,FALSE),-2)),SUMIFS(Dati!$D$2:$D$381,Dati!$A$2:$A$381,$H48,Dati!$H$2:$H$381,$AE48)+SUMIFS(Dati!$K$2:$K$381,Dati!$H$2:$H$381,$H48,Dati!$A$2:$A$381,$AE48)+SUMIFS(Dati!$C$2:$C$381,Dati!$A$2:$A$381,$H48,Dati!$H$2:$H$381,$AE48)+SUMIFS(Dati!$J$2:$J$381,Dati!$H$2:$H$381,$H48,Dati!$A$2:$A$381,$AE48),"-")</f>
        <v/>
      </c>
      <c r="BX48" s="22">
        <f>IF(AND($H48&lt;&gt;"",$AF48&lt;&gt;"",$H48&lt;&gt;$AF48,IFERROR(VLOOKUP($H48,areaCercaPuntiClassificaSquadra,3,FALSE),-1)=IFERROR(VLOOKUP($AF48,areaCercaPuntiClassificaSquadra,3,FALSE),-2)),SUMIFS(Dati!$D$2:$D$381,Dati!$A$2:$A$381,$H48,Dati!$H$2:$H$381,$AF48)+SUMIFS(Dati!$K$2:$K$381,Dati!$H$2:$H$381,$H48,Dati!$A$2:$A$381,$AF48)+SUMIFS(Dati!$C$2:$C$381,Dati!$A$2:$A$381,$H48,Dati!$H$2:$H$381,$AF48)+SUMIFS(Dati!$J$2:$J$381,Dati!$H$2:$H$381,$H48,Dati!$A$2:$A$381,$AF48),"-")</f>
        <v/>
      </c>
      <c r="BY48" s="22">
        <f>IF(AND($H48&lt;&gt;"",$AG48&lt;&gt;"",$H48&lt;&gt;$AG48,IFERROR(VLOOKUP($H48,areaCercaPuntiClassificaSquadra,3,FALSE),-1)=IFERROR(VLOOKUP($AG48,areaCercaPuntiClassificaSquadra,3,FALSE),-2)),SUMIFS(Dati!$D$2:$D$381,Dati!$A$2:$A$381,$H48,Dati!$H$2:$H$381,$AG48)+SUMIFS(Dati!$K$2:$K$381,Dati!$H$2:$H$381,$H48,Dati!$A$2:$A$381,$AG48)+SUMIFS(Dati!$C$2:$C$381,Dati!$A$2:$A$381,$H48,Dati!$H$2:$H$381,$AG48)+SUMIFS(Dati!$J$2:$J$381,Dati!$H$2:$H$381,$H48,Dati!$A$2:$A$381,$AG48),"-")</f>
        <v/>
      </c>
      <c r="BZ48" s="22">
        <f>IF(AND($H48&lt;&gt;"",$AH48&lt;&gt;"",$H48&lt;&gt;$AH48,IFERROR(VLOOKUP($H48,areaCercaPuntiClassificaSquadra,3,FALSE),-1)=IFERROR(VLOOKUP($AH48,areaCercaPuntiClassificaSquadra,3,FALSE),-2)),SUMIFS(Dati!$D$2:$D$381,Dati!$A$2:$A$381,$H48,Dati!$H$2:$H$381,$AH48)+SUMIFS(Dati!$K$2:$K$381,Dati!$H$2:$H$381,$H48,Dati!$A$2:$A$381,$AH48)+SUMIFS(Dati!$C$2:$C$381,Dati!$A$2:$A$381,$H48,Dati!$H$2:$H$381,$AH48)+SUMIFS(Dati!$J$2:$J$381,Dati!$H$2:$H$381,$H48,Dati!$A$2:$A$381,$AH48),"-")</f>
        <v/>
      </c>
      <c r="CA48" s="22">
        <f>IF(AND($H48&lt;&gt;"",$AI48&lt;&gt;"",$H48&lt;&gt;$AI48,IFERROR(VLOOKUP($H48,areaCercaPuntiClassificaSquadra,3,FALSE),-1)=IFERROR(VLOOKUP($AI48,areaCercaPuntiClassificaSquadra,3,FALSE),-2)),SUMIFS(Dati!$D$2:$D$381,Dati!$A$2:$A$381,$H48,Dati!$H$2:$H$381,$AI48)+SUMIFS(Dati!$K$2:$K$381,Dati!$H$2:$H$381,$H48,Dati!$A$2:$A$381,$AI48)+SUMIFS(Dati!$C$2:$C$381,Dati!$A$2:$A$381,$H48,Dati!$H$2:$H$381,$AI48)+SUMIFS(Dati!$J$2:$J$381,Dati!$H$2:$H$381,$H48,Dati!$A$2:$A$381,$AI48),"-")</f>
        <v/>
      </c>
      <c r="CB48" s="22">
        <f>IF(AND($H48&lt;&gt;"",$AJ48&lt;&gt;"",$H48&lt;&gt;$AJ48,IFERROR(VLOOKUP($H48,areaCercaPuntiClassificaSquadra,3,FALSE),-1)=IFERROR(VLOOKUP($AJ48,areaCercaPuntiClassificaSquadra,3,FALSE),-2)),SUMIFS(Dati!$D$2:$D$381,Dati!$A$2:$A$381,$H48,Dati!$H$2:$H$381,$AJ48)+SUMIFS(Dati!$K$2:$K$381,Dati!$H$2:$H$381,$H48,Dati!$A$2:$A$381,$AJ48)+SUMIFS(Dati!$C$2:$C$381,Dati!$A$2:$A$381,$H48,Dati!$H$2:$H$381,$AJ48)+SUMIFS(Dati!$J$2:$J$381,Dati!$H$2:$H$381,$H48,Dati!$A$2:$A$381,$AJ48),"-")</f>
        <v/>
      </c>
      <c r="CC48" s="22">
        <f>IF(AND($H48&lt;&gt;"",$AK48&lt;&gt;"",$H48&lt;&gt;$AK48,IFERROR(VLOOKUP($H48,areaCercaPuntiClassificaSquadra,3,FALSE),-1)=IFERROR(VLOOKUP($AK48,areaCercaPuntiClassificaSquadra,3,FALSE),-2)),SUMIFS(Dati!$D$2:$D$381,Dati!$A$2:$A$381,$H48,Dati!$H$2:$H$381,$AK48)+SUMIFS(Dati!$K$2:$K$381,Dati!$H$2:$H$381,$H48,Dati!$A$2:$A$381,$AK48)+SUMIFS(Dati!$C$2:$C$381,Dati!$A$2:$A$381,$H48,Dati!$H$2:$H$381,$AK48)+SUMIFS(Dati!$J$2:$J$381,Dati!$H$2:$H$381,$H48,Dati!$A$2:$A$381,$AK48),"-")</f>
        <v/>
      </c>
      <c r="CD48" s="22">
        <f>IF(AND($H48&lt;&gt;"",$AL48&lt;&gt;"",$H48&lt;&gt;$AL48,IFERROR(VLOOKUP($H48,areaCercaPuntiClassificaSquadra,3,FALSE),-1)=IFERROR(VLOOKUP($AL48,areaCercaPuntiClassificaSquadra,3,FALSE),-2)),SUMIFS(Dati!$D$2:$D$381,Dati!$A$2:$A$381,$H48,Dati!$H$2:$H$381,$AL48)+SUMIFS(Dati!$K$2:$K$381,Dati!$H$2:$H$381,$H48,Dati!$A$2:$A$381,$AL48)+SUMIFS(Dati!$C$2:$C$381,Dati!$A$2:$A$381,$H48,Dati!$H$2:$H$381,$AL48)+SUMIFS(Dati!$J$2:$J$381,Dati!$H$2:$H$381,$H48,Dati!$A$2:$A$381,$AL48),"-")</f>
        <v/>
      </c>
      <c r="CE48" s="22">
        <f>IF(AND($H48&lt;&gt;"",$AM48&lt;&gt;"",$H48&lt;&gt;$AM48,IFERROR(VLOOKUP($H48,areaCercaPuntiClassificaSquadra,3,FALSE),-1)=IFERROR(VLOOKUP($AM48,areaCercaPuntiClassificaSquadra,3,FALSE),-2)),SUMIFS(Dati!$D$2:$D$381,Dati!$A$2:$A$381,$H48,Dati!$H$2:$H$381,$AM48)+SUMIFS(Dati!$K$2:$K$381,Dati!$H$2:$H$381,$H48,Dati!$A$2:$A$381,$AM48)+SUMIFS(Dati!$C$2:$C$381,Dati!$A$2:$A$381,$H48,Dati!$H$2:$H$381,$AM48)+SUMIFS(Dati!$J$2:$J$381,Dati!$H$2:$H$381,$H48,Dati!$A$2:$A$381,$AM48),"-")</f>
        <v/>
      </c>
      <c r="CF48" s="22">
        <f>IF(AND($H48&lt;&gt;"",$AN48&lt;&gt;"",$H48&lt;&gt;$AN48,IFERROR(VLOOKUP($H48,areaCercaPuntiClassificaSquadra,3,FALSE),-1)=IFERROR(VLOOKUP($AN48,areaCercaPuntiClassificaSquadra,3,FALSE),-2)),SUMIFS(Dati!$D$2:$D$381,Dati!$A$2:$A$381,$H48,Dati!$H$2:$H$381,$AN48)+SUMIFS(Dati!$K$2:$K$381,Dati!$H$2:$H$381,$H48,Dati!$A$2:$A$381,$AN48)+SUMIFS(Dati!$C$2:$C$381,Dati!$A$2:$A$381,$H48,Dati!$H$2:$H$381,$AN48)+SUMIFS(Dati!$J$2:$J$381,Dati!$H$2:$H$381,$H48,Dati!$A$2:$A$381,$AN48),"-")</f>
        <v/>
      </c>
      <c r="CG48" s="22">
        <f>IF(AND($H48&lt;&gt;"",$AO48&lt;&gt;"",$H48&lt;&gt;$AO48,IFERROR(VLOOKUP($H48,areaCercaPuntiClassificaSquadra,3,FALSE),-1)=IFERROR(VLOOKUP($AO48,areaCercaPuntiClassificaSquadra,3,FALSE),-2)),SUMIFS(Dati!$D$2:$D$381,Dati!$A$2:$A$381,$H48,Dati!$H$2:$H$381,$AO48)+SUMIFS(Dati!$K$2:$K$381,Dati!$H$2:$H$381,$H48,Dati!$A$2:$A$381,$AO48)+SUMIFS(Dati!$C$2:$C$381,Dati!$A$2:$A$381,$H48,Dati!$H$2:$H$381,$AO48)+SUMIFS(Dati!$J$2:$J$381,Dati!$H$2:$H$381,$H48,Dati!$A$2:$A$381,$AO48),"-")</f>
        <v/>
      </c>
      <c r="CH48" s="22">
        <f>IF(AND($H48&lt;&gt;"",$AP48&lt;&gt;"",$H48&lt;&gt;$AP48,IFERROR(VLOOKUP($H48,areaCercaPuntiClassificaSquadra,3,FALSE),-1)=IFERROR(VLOOKUP($AP48,areaCercaPuntiClassificaSquadra,3,FALSE),-2)),SUMIFS(Dati!$D$2:$D$381,Dati!$A$2:$A$381,$H48,Dati!$H$2:$H$381,$AP48)+SUMIFS(Dati!$K$2:$K$381,Dati!$H$2:$H$381,$H48,Dati!$A$2:$A$381,$AP48)+SUMIFS(Dati!$C$2:$C$381,Dati!$A$2:$A$381,$H48,Dati!$H$2:$H$381,$AP48)+SUMIFS(Dati!$J$2:$J$381,Dati!$H$2:$H$381,$H48,Dati!$A$2:$A$381,$AP48),"-")</f>
        <v/>
      </c>
      <c r="CI48" s="22">
        <f>IF(AND($H48&lt;&gt;"",$AQ48&lt;&gt;"",$H48&lt;&gt;$AQ48,IFERROR(VLOOKUP($H48,areaCercaPuntiClassificaSquadra,3,FALSE),-1)=IFERROR(VLOOKUP($AQ48,areaCercaPuntiClassificaSquadra,3,FALSE),-2)),SUMIFS(Dati!$D$2:$D$381,Dati!$A$2:$A$381,$H48,Dati!$H$2:$H$381,$AQ48)+SUMIFS(Dati!$K$2:$K$381,Dati!$H$2:$H$381,$H48,Dati!$A$2:$A$381,$AQ48)+SUMIFS(Dati!$C$2:$C$381,Dati!$A$2:$A$381,$H48,Dati!$H$2:$H$381,$AQ48)+SUMIFS(Dati!$J$2:$J$381,Dati!$H$2:$H$381,$H48,Dati!$A$2:$A$381,$AQ48),"-")</f>
        <v/>
      </c>
      <c r="CJ48" s="22">
        <f>IF(AND($H48&lt;&gt;"",$AR48&lt;&gt;"",$H48&lt;&gt;$AR48,IFERROR(VLOOKUP($H48,areaCercaPuntiClassificaSquadra,3,FALSE),-1)=IFERROR(VLOOKUP($AR48,areaCercaPuntiClassificaSquadra,3,FALSE),-2)),SUMIFS(Dati!$D$2:$D$381,Dati!$A$2:$A$381,$H48,Dati!$H$2:$H$381,$AR48)+SUMIFS(Dati!$K$2:$K$381,Dati!$H$2:$H$381,$H48,Dati!$A$2:$A$381,$AR48)+SUMIFS(Dati!$C$2:$C$381,Dati!$A$2:$A$381,$H48,Dati!$H$2:$H$381,$AR48)+SUMIFS(Dati!$J$2:$J$381,Dati!$H$2:$H$381,$H48,Dati!$A$2:$A$381,$AR48),"-")</f>
        <v/>
      </c>
      <c r="CL48" s="21">
        <f>$C48</f>
        <v/>
      </c>
      <c r="CM48" s="22">
        <f>IF(AND($H48&lt;&gt;"",$Y48&lt;&gt;"",$H48&lt;&gt;$Y48,IFERROR(VLOOKUP($H48,areaCercaPuntiClassificaSquadra,3,FALSE),-1)=IFERROR(VLOOKUP($Y48,areaCercaPuntiClassificaSquadra,3,FALSE),-2)),SUMIFS(Dati!$E$2:$E$381,Dati!$A$2:$A$381,$H48,Dati!$H$2:$H$381,$Y48)+SUMIFS(Dati!$L$2:$L$381,Dati!$H$2:$H$381,$H48,Dati!$A$2:$A$381,$Y48),"-")</f>
        <v/>
      </c>
      <c r="CN48" s="22">
        <f>IF(AND($H48&lt;&gt;"",$Z48&lt;&gt;"",$H48&lt;&gt;$Z48,IFERROR(VLOOKUP($H48,areaCercaPuntiClassificaSquadra,3,FALSE),-1)=IFERROR(VLOOKUP($Z48,areaCercaPuntiClassificaSquadra,3,FALSE),-2)),SUMIFS(Dati!$E$2:$E$381,Dati!$A$2:$A$381,$H48,Dati!$H$2:$H$381,$Z48)+SUMIFS(Dati!$L$2:$L$381,Dati!$H$2:$H$381,$H48,Dati!$A$2:$A$381,$Z48),"-")</f>
        <v/>
      </c>
      <c r="CO48" s="22">
        <f>IF(AND($H48&lt;&gt;"",$AA48&lt;&gt;"",$H48&lt;&gt;$AA48,IFERROR(VLOOKUP($H48,areaCercaPuntiClassificaSquadra,3,FALSE),-1)=IFERROR(VLOOKUP($AA48,areaCercaPuntiClassificaSquadra,3,FALSE),-2)),SUMIFS(Dati!$E$2:$E$381,Dati!$A$2:$A$381,$H48,Dati!$H$2:$H$381,$AA48)+SUMIFS(Dati!$L$2:$L$381,Dati!$H$2:$H$381,$H48,Dati!$A$2:$A$381,$AA48),"-")</f>
        <v/>
      </c>
      <c r="CP48" s="22">
        <f>IF(AND($H48&lt;&gt;"",$AB48&lt;&gt;"",$H48&lt;&gt;$AB48,IFERROR(VLOOKUP($H48,areaCercaPuntiClassificaSquadra,3,FALSE),-1)=IFERROR(VLOOKUP($AB48,areaCercaPuntiClassificaSquadra,3,FALSE),-2)),SUMIFS(Dati!$E$2:$E$381,Dati!$A$2:$A$381,$H48,Dati!$H$2:$H$381,$AB48)+SUMIFS(Dati!$L$2:$L$381,Dati!$H$2:$H$381,$H48,Dati!$A$2:$A$381,$AB48),"-")</f>
        <v/>
      </c>
      <c r="CQ48" s="22">
        <f>IF(AND($H48&lt;&gt;"",$AC48&lt;&gt;"",$H48&lt;&gt;$AC48,IFERROR(VLOOKUP($H48,areaCercaPuntiClassificaSquadra,3,FALSE),-1)=IFERROR(VLOOKUP($AC48,areaCercaPuntiClassificaSquadra,3,FALSE),-2)),SUMIFS(Dati!$E$2:$E$381,Dati!$A$2:$A$381,$H48,Dati!$H$2:$H$381,$AC48)+SUMIFS(Dati!$L$2:$L$381,Dati!$H$2:$H$381,$H48,Dati!$A$2:$A$381,$AC48),"-")</f>
        <v/>
      </c>
      <c r="CR48" s="22">
        <f>IF(AND($H48&lt;&gt;"",$AD48&lt;&gt;"",$H48&lt;&gt;$AD48,IFERROR(VLOOKUP($H48,areaCercaPuntiClassificaSquadra,3,FALSE),-1)=IFERROR(VLOOKUP($AD48,areaCercaPuntiClassificaSquadra,3,FALSE),-2)),SUMIFS(Dati!$E$2:$E$381,Dati!$A$2:$A$381,$H48,Dati!$H$2:$H$381,$AD48)+SUMIFS(Dati!$L$2:$L$381,Dati!$H$2:$H$381,$H48,Dati!$A$2:$A$381,$AD48),"-")</f>
        <v/>
      </c>
      <c r="CS48" s="22">
        <f>IF(AND($H48&lt;&gt;"",$AE48&lt;&gt;"",$H48&lt;&gt;$AE48,IFERROR(VLOOKUP($H48,areaCercaPuntiClassificaSquadra,3,FALSE),-1)=IFERROR(VLOOKUP($AE48,areaCercaPuntiClassificaSquadra,3,FALSE),-2)),SUMIFS(Dati!$E$2:$E$381,Dati!$A$2:$A$381,$H48,Dati!$H$2:$H$381,$AE48)+SUMIFS(Dati!$L$2:$L$381,Dati!$H$2:$H$381,$H48,Dati!$A$2:$A$381,$AE48),"-")</f>
        <v/>
      </c>
      <c r="CT48" s="22">
        <f>IF(AND($H48&lt;&gt;"",$AF48&lt;&gt;"",$H48&lt;&gt;$AF48,IFERROR(VLOOKUP($H48,areaCercaPuntiClassificaSquadra,3,FALSE),-1)=IFERROR(VLOOKUP($AF48,areaCercaPuntiClassificaSquadra,3,FALSE),-2)),SUMIFS(Dati!$E$2:$E$381,Dati!$A$2:$A$381,$H48,Dati!$H$2:$H$381,$AF48)+SUMIFS(Dati!$L$2:$L$381,Dati!$H$2:$H$381,$H48,Dati!$A$2:$A$381,$AF48),"-")</f>
        <v/>
      </c>
      <c r="CU48" s="22">
        <f>IF(AND($H48&lt;&gt;"",$AG48&lt;&gt;"",$H48&lt;&gt;$AG48,IFERROR(VLOOKUP($H48,areaCercaPuntiClassificaSquadra,3,FALSE),-1)=IFERROR(VLOOKUP($AG48,areaCercaPuntiClassificaSquadra,3,FALSE),-2)),SUMIFS(Dati!$E$2:$E$381,Dati!$A$2:$A$381,$H48,Dati!$H$2:$H$381,$AG48)+SUMIFS(Dati!$L$2:$L$381,Dati!$H$2:$H$381,$H48,Dati!$A$2:$A$381,$AG48),"-")</f>
        <v/>
      </c>
      <c r="CV48" s="22">
        <f>IF(AND($H48&lt;&gt;"",$AH48&lt;&gt;"",$H48&lt;&gt;$AH48,IFERROR(VLOOKUP($H48,areaCercaPuntiClassificaSquadra,3,FALSE),-1)=IFERROR(VLOOKUP($AH48,areaCercaPuntiClassificaSquadra,3,FALSE),-2)),SUMIFS(Dati!$E$2:$E$381,Dati!$A$2:$A$381,$H48,Dati!$H$2:$H$381,$AH48)+SUMIFS(Dati!$L$2:$L$381,Dati!$H$2:$H$381,$H48,Dati!$A$2:$A$381,$AH48),"-")</f>
        <v/>
      </c>
      <c r="CW48" s="22">
        <f>IF(AND($H48&lt;&gt;"",$AI48&lt;&gt;"",$H48&lt;&gt;$AI48,IFERROR(VLOOKUP($H48,areaCercaPuntiClassificaSquadra,3,FALSE),-1)=IFERROR(VLOOKUP($AI48,areaCercaPuntiClassificaSquadra,3,FALSE),-2)),SUMIFS(Dati!$E$2:$E$381,Dati!$A$2:$A$381,$H48,Dati!$H$2:$H$381,$AI48)+SUMIFS(Dati!$L$2:$L$381,Dati!$H$2:$H$381,$H48,Dati!$A$2:$A$381,$AI48),"-")</f>
        <v/>
      </c>
      <c r="CX48" s="22">
        <f>IF(AND($H48&lt;&gt;"",$AJ48&lt;&gt;"",$H48&lt;&gt;$AJ48,IFERROR(VLOOKUP($H48,areaCercaPuntiClassificaSquadra,3,FALSE),-1)=IFERROR(VLOOKUP($AJ48,areaCercaPuntiClassificaSquadra,3,FALSE),-2)),SUMIFS(Dati!$E$2:$E$381,Dati!$A$2:$A$381,$H48,Dati!$H$2:$H$381,$AJ48)+SUMIFS(Dati!$L$2:$L$381,Dati!$H$2:$H$381,$H48,Dati!$A$2:$A$381,$AJ48),"-")</f>
        <v/>
      </c>
      <c r="CY48" s="22">
        <f>IF(AND($H48&lt;&gt;"",$AK48&lt;&gt;"",$H48&lt;&gt;$AK48,IFERROR(VLOOKUP($H48,areaCercaPuntiClassificaSquadra,3,FALSE),-1)=IFERROR(VLOOKUP($AK48,areaCercaPuntiClassificaSquadra,3,FALSE),-2)),SUMIFS(Dati!$E$2:$E$381,Dati!$A$2:$A$381,$H48,Dati!$H$2:$H$381,$AK48)+SUMIFS(Dati!$L$2:$L$381,Dati!$H$2:$H$381,$H48,Dati!$A$2:$A$381,$AK48),"-")</f>
        <v/>
      </c>
      <c r="CZ48" s="22">
        <f>IF(AND($H48&lt;&gt;"",$AL48&lt;&gt;"",$H48&lt;&gt;$AL48,IFERROR(VLOOKUP($H48,areaCercaPuntiClassificaSquadra,3,FALSE),-1)=IFERROR(VLOOKUP($AL48,areaCercaPuntiClassificaSquadra,3,FALSE),-2)),SUMIFS(Dati!$E$2:$E$381,Dati!$A$2:$A$381,$H48,Dati!$H$2:$H$381,$AL48)+SUMIFS(Dati!$L$2:$L$381,Dati!$H$2:$H$381,$H48,Dati!$A$2:$A$381,$AL48),"-")</f>
        <v/>
      </c>
      <c r="DA48" s="22">
        <f>IF(AND($H48&lt;&gt;"",$AM48&lt;&gt;"",$H48&lt;&gt;$AM48,IFERROR(VLOOKUP($H48,areaCercaPuntiClassificaSquadra,3,FALSE),-1)=IFERROR(VLOOKUP($AM48,areaCercaPuntiClassificaSquadra,3,FALSE),-2)),SUMIFS(Dati!$E$2:$E$381,Dati!$A$2:$A$381,$H48,Dati!$H$2:$H$381,$AM48)+SUMIFS(Dati!$L$2:$L$381,Dati!$H$2:$H$381,$H48,Dati!$A$2:$A$381,$AM48),"-")</f>
        <v/>
      </c>
      <c r="DB48" s="22">
        <f>IF(AND($H48&lt;&gt;"",$AN48&lt;&gt;"",$H48&lt;&gt;$AN48,IFERROR(VLOOKUP($H48,areaCercaPuntiClassificaSquadra,3,FALSE),-1)=IFERROR(VLOOKUP($AN48,areaCercaPuntiClassificaSquadra,3,FALSE),-2)),SUMIFS(Dati!$E$2:$E$381,Dati!$A$2:$A$381,$H48,Dati!$H$2:$H$381,$AN48)+SUMIFS(Dati!$L$2:$L$381,Dati!$H$2:$H$381,$H48,Dati!$A$2:$A$381,$AN48),"-")</f>
        <v/>
      </c>
      <c r="DC48" s="22">
        <f>IF(AND($H48&lt;&gt;"",$AO48&lt;&gt;"",$H48&lt;&gt;$AO48,IFERROR(VLOOKUP($H48,areaCercaPuntiClassificaSquadra,3,FALSE),-1)=IFERROR(VLOOKUP($AO48,areaCercaPuntiClassificaSquadra,3,FALSE),-2)),SUMIFS(Dati!$E$2:$E$381,Dati!$A$2:$A$381,$H48,Dati!$H$2:$H$381,$AO48)+SUMIFS(Dati!$L$2:$L$381,Dati!$H$2:$H$381,$H48,Dati!$A$2:$A$381,$AO48),"-")</f>
        <v/>
      </c>
      <c r="DD48" s="22">
        <f>IF(AND($H48&lt;&gt;"",$AP48&lt;&gt;"",$H48&lt;&gt;$AP48,IFERROR(VLOOKUP($H48,areaCercaPuntiClassificaSquadra,3,FALSE),-1)=IFERROR(VLOOKUP($AP48,areaCercaPuntiClassificaSquadra,3,FALSE),-2)),SUMIFS(Dati!$E$2:$E$381,Dati!$A$2:$A$381,$H48,Dati!$H$2:$H$381,$AP48)+SUMIFS(Dati!$L$2:$L$381,Dati!$H$2:$H$381,$H48,Dati!$A$2:$A$381,$AP48),"-")</f>
        <v/>
      </c>
      <c r="DE48" s="22">
        <f>IF(AND($H48&lt;&gt;"",$AQ48&lt;&gt;"",$H48&lt;&gt;$AQ48,IFERROR(VLOOKUP($H48,areaCercaPuntiClassificaSquadra,3,FALSE),-1)=IFERROR(VLOOKUP($AQ48,areaCercaPuntiClassificaSquadra,3,FALSE),-2)),SUMIFS(Dati!$E$2:$E$381,Dati!$A$2:$A$381,$H48,Dati!$H$2:$H$381,$AQ48)+SUMIFS(Dati!$L$2:$L$381,Dati!$H$2:$H$381,$H48,Dati!$A$2:$A$381,$AQ48),"-")</f>
        <v/>
      </c>
      <c r="DF48" s="22">
        <f>IF(AND($H48&lt;&gt;"",$AR48&lt;&gt;"",$H48&lt;&gt;$AR48,IFERROR(VLOOKUP($H48,areaCercaPuntiClassificaSquadra,3,FALSE),-1)=IFERROR(VLOOKUP($AR48,areaCercaPuntiClassificaSquadra,3,FALSE),-2)),SUMIFS(Dati!$E$2:$E$381,Dati!$A$2:$A$381,$H48,Dati!$H$2:$H$381,$AR48)+SUMIFS(Dati!$L$2:$L$381,Dati!$H$2:$H$381,$H48,Dati!$A$2:$A$381,$AR48),"-")</f>
        <v/>
      </c>
      <c r="DH48" s="21">
        <f>$C48</f>
        <v/>
      </c>
      <c r="DI48" s="22">
        <f>IF(AND($H48&lt;&gt;"",$Y48&lt;&gt;"",$H48&lt;&gt;$Y48,IFERROR(VLOOKUP($H48,areaCercaPuntiClassificaSquadra,3,FALSE),-1)=IFERROR(VLOOKUP($Y48,areaCercaPuntiClassificaSquadra,3,FALSE),-2)),SUMIFS(Dati!$F$2:$F$381,Dati!$A$2:$A$381,$H48,Dati!$H$2:$H$381,$Y48)+SUMIFS(Dati!$M$2:$M$381,Dati!$H$2:$H$381,$H48,Dati!$A$2:$A$381,$Y48),"-")</f>
        <v/>
      </c>
      <c r="DJ48" s="22">
        <f>IF(AND($H48&lt;&gt;"",$Z48&lt;&gt;"",$H48&lt;&gt;$Z48,IFERROR(VLOOKUP($H48,areaCercaPuntiClassificaSquadra,3,FALSE),-1)=IFERROR(VLOOKUP($Z48,areaCercaPuntiClassificaSquadra,3,FALSE),-2)),SUMIFS(Dati!$F$2:$F$381,Dati!$A$2:$A$381,$H48,Dati!$H$2:$H$381,$Z48)+SUMIFS(Dati!$M$2:$M$381,Dati!$H$2:$H$381,$H48,Dati!$A$2:$A$381,$Z48),"-")</f>
        <v/>
      </c>
      <c r="DK48" s="22">
        <f>IF(AND($H48&lt;&gt;"",$AA48&lt;&gt;"",$H48&lt;&gt;$AA48,IFERROR(VLOOKUP($H48,areaCercaPuntiClassificaSquadra,3,FALSE),-1)=IFERROR(VLOOKUP($AA48,areaCercaPuntiClassificaSquadra,3,FALSE),-2)),SUMIFS(Dati!$F$2:$F$381,Dati!$A$2:$A$381,$H48,Dati!$H$2:$H$381,$AA48)+SUMIFS(Dati!$M$2:$M$381,Dati!$H$2:$H$381,$H48,Dati!$A$2:$A$381,$AA48),"-")</f>
        <v/>
      </c>
      <c r="DL48" s="22">
        <f>IF(AND($H48&lt;&gt;"",$AB48&lt;&gt;"",$H48&lt;&gt;$AB48,IFERROR(VLOOKUP($H48,areaCercaPuntiClassificaSquadra,3,FALSE),-1)=IFERROR(VLOOKUP($AB48,areaCercaPuntiClassificaSquadra,3,FALSE),-2)),SUMIFS(Dati!$F$2:$F$381,Dati!$A$2:$A$381,$H48,Dati!$H$2:$H$381,$AB48)+SUMIFS(Dati!$M$2:$M$381,Dati!$H$2:$H$381,$H48,Dati!$A$2:$A$381,$AB48),"-")</f>
        <v/>
      </c>
      <c r="DM48" s="22">
        <f>IF(AND($H48&lt;&gt;"",$AC48&lt;&gt;"",$H48&lt;&gt;$AC48,IFERROR(VLOOKUP($H48,areaCercaPuntiClassificaSquadra,3,FALSE),-1)=IFERROR(VLOOKUP($AC48,areaCercaPuntiClassificaSquadra,3,FALSE),-2)),SUMIFS(Dati!$F$2:$F$381,Dati!$A$2:$A$381,$H48,Dati!$H$2:$H$381,$AC48)+SUMIFS(Dati!$M$2:$M$381,Dati!$H$2:$H$381,$H48,Dati!$A$2:$A$381,$AC48),"-")</f>
        <v/>
      </c>
      <c r="DN48" s="22">
        <f>IF(AND($H48&lt;&gt;"",$AD48&lt;&gt;"",$H48&lt;&gt;$AD48,IFERROR(VLOOKUP($H48,areaCercaPuntiClassificaSquadra,3,FALSE),-1)=IFERROR(VLOOKUP($AD48,areaCercaPuntiClassificaSquadra,3,FALSE),-2)),SUMIFS(Dati!$F$2:$F$381,Dati!$A$2:$A$381,$H48,Dati!$H$2:$H$381,$AD48)+SUMIFS(Dati!$M$2:$M$381,Dati!$H$2:$H$381,$H48,Dati!$A$2:$A$381,$AD48),"-")</f>
        <v/>
      </c>
      <c r="DO48" s="22">
        <f>IF(AND($H48&lt;&gt;"",$AE48&lt;&gt;"",$H48&lt;&gt;$AE48,IFERROR(VLOOKUP($H48,areaCercaPuntiClassificaSquadra,3,FALSE),-1)=IFERROR(VLOOKUP($AE48,areaCercaPuntiClassificaSquadra,3,FALSE),-2)),SUMIFS(Dati!$F$2:$F$381,Dati!$A$2:$A$381,$H48,Dati!$H$2:$H$381,$AE48)+SUMIFS(Dati!$M$2:$M$381,Dati!$H$2:$H$381,$H48,Dati!$A$2:$A$381,$AE48),"-")</f>
        <v/>
      </c>
      <c r="DP48" s="22">
        <f>IF(AND($H48&lt;&gt;"",$AF48&lt;&gt;"",$H48&lt;&gt;$AF48,IFERROR(VLOOKUP($H48,areaCercaPuntiClassificaSquadra,3,FALSE),-1)=IFERROR(VLOOKUP($AF48,areaCercaPuntiClassificaSquadra,3,FALSE),-2)),SUMIFS(Dati!$F$2:$F$381,Dati!$A$2:$A$381,$H48,Dati!$H$2:$H$381,$AF48)+SUMIFS(Dati!$M$2:$M$381,Dati!$H$2:$H$381,$H48,Dati!$A$2:$A$381,$AF48),"-")</f>
        <v/>
      </c>
      <c r="DQ48" s="22">
        <f>IF(AND($H48&lt;&gt;"",$AG48&lt;&gt;"",$H48&lt;&gt;$AG48,IFERROR(VLOOKUP($H48,areaCercaPuntiClassificaSquadra,3,FALSE),-1)=IFERROR(VLOOKUP($AG48,areaCercaPuntiClassificaSquadra,3,FALSE),-2)),SUMIFS(Dati!$F$2:$F$381,Dati!$A$2:$A$381,$H48,Dati!$H$2:$H$381,$AG48)+SUMIFS(Dati!$M$2:$M$381,Dati!$H$2:$H$381,$H48,Dati!$A$2:$A$381,$AG48),"-")</f>
        <v/>
      </c>
      <c r="DR48" s="22">
        <f>IF(AND($H48&lt;&gt;"",$AH48&lt;&gt;"",$H48&lt;&gt;$AH48,IFERROR(VLOOKUP($H48,areaCercaPuntiClassificaSquadra,3,FALSE),-1)=IFERROR(VLOOKUP($AH48,areaCercaPuntiClassificaSquadra,3,FALSE),-2)),SUMIFS(Dati!$F$2:$F$381,Dati!$A$2:$A$381,$H48,Dati!$H$2:$H$381,$AH48)+SUMIFS(Dati!$M$2:$M$381,Dati!$H$2:$H$381,$H48,Dati!$A$2:$A$381,$AH48),"-")</f>
        <v/>
      </c>
      <c r="DS48" s="22">
        <f>IF(AND($H48&lt;&gt;"",$AI48&lt;&gt;"",$H48&lt;&gt;$AI48,IFERROR(VLOOKUP($H48,areaCercaPuntiClassificaSquadra,3,FALSE),-1)=IFERROR(VLOOKUP($AI48,areaCercaPuntiClassificaSquadra,3,FALSE),-2)),SUMIFS(Dati!$F$2:$F$381,Dati!$A$2:$A$381,$H48,Dati!$H$2:$H$381,$AI48)+SUMIFS(Dati!$M$2:$M$381,Dati!$H$2:$H$381,$H48,Dati!$A$2:$A$381,$AI48),"-")</f>
        <v/>
      </c>
      <c r="DT48" s="22">
        <f>IF(AND($H48&lt;&gt;"",$AJ48&lt;&gt;"",$H48&lt;&gt;$AJ48,IFERROR(VLOOKUP($H48,areaCercaPuntiClassificaSquadra,3,FALSE),-1)=IFERROR(VLOOKUP($AJ48,areaCercaPuntiClassificaSquadra,3,FALSE),-2)),SUMIFS(Dati!$F$2:$F$381,Dati!$A$2:$A$381,$H48,Dati!$H$2:$H$381,$AJ48)+SUMIFS(Dati!$M$2:$M$381,Dati!$H$2:$H$381,$H48,Dati!$A$2:$A$381,$AJ48),"-")</f>
        <v/>
      </c>
      <c r="DU48" s="22">
        <f>IF(AND($H48&lt;&gt;"",$AK48&lt;&gt;"",$H48&lt;&gt;$AK48,IFERROR(VLOOKUP($H48,areaCercaPuntiClassificaSquadra,3,FALSE),-1)=IFERROR(VLOOKUP($AK48,areaCercaPuntiClassificaSquadra,3,FALSE),-2)),SUMIFS(Dati!$F$2:$F$381,Dati!$A$2:$A$381,$H48,Dati!$H$2:$H$381,$AK48)+SUMIFS(Dati!$M$2:$M$381,Dati!$H$2:$H$381,$H48,Dati!$A$2:$A$381,$AK48),"-")</f>
        <v/>
      </c>
      <c r="DV48" s="22">
        <f>IF(AND($H48&lt;&gt;"",$AL48&lt;&gt;"",$H48&lt;&gt;$AL48,IFERROR(VLOOKUP($H48,areaCercaPuntiClassificaSquadra,3,FALSE),-1)=IFERROR(VLOOKUP($AL48,areaCercaPuntiClassificaSquadra,3,FALSE),-2)),SUMIFS(Dati!$F$2:$F$381,Dati!$A$2:$A$381,$H48,Dati!$H$2:$H$381,$AL48)+SUMIFS(Dati!$M$2:$M$381,Dati!$H$2:$H$381,$H48,Dati!$A$2:$A$381,$AL48),"-")</f>
        <v/>
      </c>
      <c r="DW48" s="22">
        <f>IF(AND($H48&lt;&gt;"",$AM48&lt;&gt;"",$H48&lt;&gt;$AM48,IFERROR(VLOOKUP($H48,areaCercaPuntiClassificaSquadra,3,FALSE),-1)=IFERROR(VLOOKUP($AM48,areaCercaPuntiClassificaSquadra,3,FALSE),-2)),SUMIFS(Dati!$F$2:$F$381,Dati!$A$2:$A$381,$H48,Dati!$H$2:$H$381,$AM48)+SUMIFS(Dati!$M$2:$M$381,Dati!$H$2:$H$381,$H48,Dati!$A$2:$A$381,$AM48),"-")</f>
        <v/>
      </c>
      <c r="DX48" s="22">
        <f>IF(AND($H48&lt;&gt;"",$AN48&lt;&gt;"",$H48&lt;&gt;$AN48,IFERROR(VLOOKUP($H48,areaCercaPuntiClassificaSquadra,3,FALSE),-1)=IFERROR(VLOOKUP($AN48,areaCercaPuntiClassificaSquadra,3,FALSE),-2)),SUMIFS(Dati!$F$2:$F$381,Dati!$A$2:$A$381,$H48,Dati!$H$2:$H$381,$AN48)+SUMIFS(Dati!$M$2:$M$381,Dati!$H$2:$H$381,$H48,Dati!$A$2:$A$381,$AN48),"-")</f>
        <v/>
      </c>
      <c r="DY48" s="22">
        <f>IF(AND($H48&lt;&gt;"",$AO48&lt;&gt;"",$H48&lt;&gt;$AO48,IFERROR(VLOOKUP($H48,areaCercaPuntiClassificaSquadra,3,FALSE),-1)=IFERROR(VLOOKUP($AO48,areaCercaPuntiClassificaSquadra,3,FALSE),-2)),SUMIFS(Dati!$F$2:$F$381,Dati!$A$2:$A$381,$H48,Dati!$H$2:$H$381,$AO48)+SUMIFS(Dati!$M$2:$M$381,Dati!$H$2:$H$381,$H48,Dati!$A$2:$A$381,$AO48),"-")</f>
        <v/>
      </c>
      <c r="DZ48" s="22">
        <f>IF(AND($H48&lt;&gt;"",$AP48&lt;&gt;"",$H48&lt;&gt;$AP48,IFERROR(VLOOKUP($H48,areaCercaPuntiClassificaSquadra,3,FALSE),-1)=IFERROR(VLOOKUP($AP48,areaCercaPuntiClassificaSquadra,3,FALSE),-2)),SUMIFS(Dati!$F$2:$F$381,Dati!$A$2:$A$381,$H48,Dati!$H$2:$H$381,$AP48)+SUMIFS(Dati!$M$2:$M$381,Dati!$H$2:$H$381,$H48,Dati!$A$2:$A$381,$AP48),"-")</f>
        <v/>
      </c>
      <c r="EA48" s="22">
        <f>IF(AND($H48&lt;&gt;"",$AQ48&lt;&gt;"",$H48&lt;&gt;$AQ48,IFERROR(VLOOKUP($H48,areaCercaPuntiClassificaSquadra,3,FALSE),-1)=IFERROR(VLOOKUP($AQ48,areaCercaPuntiClassificaSquadra,3,FALSE),-2)),SUMIFS(Dati!$F$2:$F$381,Dati!$A$2:$A$381,$H48,Dati!$H$2:$H$381,$AQ48)+SUMIFS(Dati!$M$2:$M$381,Dati!$H$2:$H$381,$H48,Dati!$A$2:$A$381,$AQ48),"-")</f>
        <v/>
      </c>
      <c r="EB48" s="22">
        <f>IF(AND($H48&lt;&gt;"",$AR48&lt;&gt;"",$H48&lt;&gt;$AR48,IFERROR(VLOOKUP($H48,areaCercaPuntiClassificaSquadra,3,FALSE),-1)=IFERROR(VLOOKUP($AR48,areaCercaPuntiClassificaSquadra,3,FALSE),-2)),SUMIFS(Dati!$F$2:$F$381,Dati!$A$2:$A$381,$H48,Dati!$H$2:$H$381,$AR48)+SUMIFS(Dati!$M$2:$M$381,Dati!$H$2:$H$381,$H48,Dati!$A$2:$A$381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inlineStr">
        <is>
          <t>Barracuda Belligeranti-Barracudaopoli BA</t>
        </is>
      </c>
      <c r="D49" s="14" t="n"/>
      <c r="E49" s="23" t="inlineStr">
        <is>
          <t>B</t>
        </is>
      </c>
      <c r="G49" s="24">
        <f>IF($C49="","",$E49&amp;(COUNTIFS(I$14:I$53,"&gt;"&amp;I49,E$14:E$53,"="&amp;E49,C$14:C$53,"&lt;&gt;")+COUNTIFS(I$14:I$53,"="&amp;I49,H$14:H$53,"&lt;="&amp;H49,E$14:E$53,"="&amp;E49,C$14:C$53,"&lt;&gt;")))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L49*constPuntiVittoria+M49*constPuntiSconfitta+N49*constPuntiForfait+IF(D49="",0,D49)</f>
        <v/>
      </c>
      <c r="K49" s="12">
        <f>SUM(L49:N49)</f>
        <v/>
      </c>
      <c r="L49" s="12">
        <f>IF($H49="",0,SUMIF(Dati!$A$2:$A$381,$H49,Dati!$B$2:$B$381)+SUMIF(Dati!$H$2:$H$381,$H49,Dati!$I$2:$I$381))</f>
        <v/>
      </c>
      <c r="M49" s="12">
        <f>IF($H49="",0,SUMIF(Dati!$A$2:$A$381,$H49,Dati!$D$2:$D$381)+SUMIF(Dati!$H$2:$H$381,$H49,Dati!$K$2:$K$381))</f>
        <v/>
      </c>
      <c r="N49" s="12">
        <f>IF($H49="",0,SUMIF(Dati!$A$2:$A$381,$H49,Dati!$C$2:$C$381)+SUMIF(Dati!$H$2:$H$381,$H49,Dati!$J$2:$J$381))</f>
        <v/>
      </c>
      <c r="O49" s="12">
        <f>IF($H49="",0,SUMIF(Dati!$A$2:$A$381,$H49,Dati!$E$2:$E$381)+SUMIF(Dati!$H$2:$H$381,$H49,Dati!$L$2:$L$381))</f>
        <v/>
      </c>
      <c r="P49" s="12">
        <f>IF($H49="",0,SUMIF(Dati!$A$2:$A$381,$H49,Dati!$F$2:$F$381)+SUMIF(Dati!$H$2:$H$381,$H49,Dati!$M$2:$M$381))</f>
        <v/>
      </c>
      <c r="Q49" s="12">
        <f>IF($H49="",0,SUMIF(Dati!$A$2:$A$381,$H49,Dati!$G$2:$G$381)+SUMIF(Dati!$H$2:$H$381,$H49,Dati!$N$2:$N$381))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IF(COUNTIFS($E$14:$E$53,$E49,$J$14:$J$53,$J49,$C$14:$C$53,"&lt;&gt;")&lt;=1,"-",SUM(AU49:BN49)&amp;"-"&amp;SUM(BQ49:CJ49))</f>
        <v/>
      </c>
      <c r="V49" s="18">
        <f>IF(COUNTIFS($E$14:$E$53,$E49,$J$14:$J$53,$J49,$C$14:$C$53,"&lt;&gt;",$ED$14:$ED$53,$ED49)&lt;=1,"-",IF(SUM(DI49:EB49)=0,0,ROUND(SUM(CM49:DF49)/SUM(DI49:EB49),3)))</f>
        <v/>
      </c>
      <c r="W49" s="18">
        <f>IF(COUNTIFS($E$14:$E$53,$E49,$J$14:$J$53,$J49,$C$14:$C$53,"&lt;&gt;",$ED$14:$ED$53,$ED49,$V$14:$V$53,$V49)&lt;=1,"-",IF(P49=0,0,ROUND(O49/P49,3)))</f>
        <v/>
      </c>
      <c r="X49" s="19">
        <f>IF($C49="","",$E49&amp;"#"&amp;COUNTIFS($E$14:$E49,$E49,$C$14:$C49,"&lt;&gt;"))</f>
        <v/>
      </c>
      <c r="Y49" s="20">
        <f>IFERROR(INDEX($H$14:$H$53,MATCH($E49&amp;"#1",$X$14:$X$53,0)),"")</f>
        <v/>
      </c>
      <c r="Z49" s="20">
        <f>IFERROR(INDEX($H$14:$H$53,MATCH($E49&amp;"#2",$X$14:$X$53,0)),"")</f>
        <v/>
      </c>
      <c r="AA49" s="20">
        <f>IFERROR(INDEX($H$14:$H$53,MATCH($E49&amp;"#3",$X$14:$X$53,0)),"")</f>
        <v/>
      </c>
      <c r="AB49" s="20">
        <f>IFERROR(INDEX($H$14:$H$53,MATCH($E49&amp;"#4",$X$14:$X$53,0)),"")</f>
        <v/>
      </c>
      <c r="AC49" s="20">
        <f>IFERROR(INDEX($H$14:$H$53,MATCH($E49&amp;"#5",$X$14:$X$53,0)),"")</f>
        <v/>
      </c>
      <c r="AD49" s="20">
        <f>IFERROR(INDEX($H$14:$H$53,MATCH($E49&amp;"#6",$X$14:$X$53,0)),"")</f>
        <v/>
      </c>
      <c r="AE49" s="20">
        <f>IFERROR(INDEX($H$14:$H$53,MATCH($E49&amp;"#7",$X$14:$X$53,0)),"")</f>
        <v/>
      </c>
      <c r="AF49" s="20">
        <f>IFERROR(INDEX($H$14:$H$53,MATCH($E49&amp;"#8",$X$14:$X$53,0)),"")</f>
        <v/>
      </c>
      <c r="AG49" s="20">
        <f>IFERROR(INDEX($H$14:$H$53,MATCH($E49&amp;"#9",$X$14:$X$53,0)),"")</f>
        <v/>
      </c>
      <c r="AH49" s="20">
        <f>IFERROR(INDEX($H$14:$H$53,MATCH($E49&amp;"#10",$X$14:$X$53,0)),"")</f>
        <v/>
      </c>
      <c r="AI49" s="20">
        <f>IFERROR(INDEX($H$14:$H$53,MATCH($E49&amp;"#11",$X$14:$X$53,0)),"")</f>
        <v/>
      </c>
      <c r="AJ49" s="20">
        <f>IFERROR(INDEX($H$14:$H$53,MATCH($E49&amp;"#12",$X$14:$X$53,0)),"")</f>
        <v/>
      </c>
      <c r="AK49" s="20">
        <f>IFERROR(INDEX($H$14:$H$53,MATCH($E49&amp;"#13",$X$14:$X$53,0)),"")</f>
        <v/>
      </c>
      <c r="AL49" s="20">
        <f>IFERROR(INDEX($H$14:$H$53,MATCH($E49&amp;"#14",$X$14:$X$53,0)),"")</f>
        <v/>
      </c>
      <c r="AM49" s="20">
        <f>IFERROR(INDEX($H$14:$H$53,MATCH($E49&amp;"#15",$X$14:$X$53,0)),"")</f>
        <v/>
      </c>
      <c r="AN49" s="20">
        <f>IFERROR(INDEX($H$14:$H$53,MATCH($E49&amp;"#16",$X$14:$X$53,0)),"")</f>
        <v/>
      </c>
      <c r="AO49" s="20">
        <f>IFERROR(INDEX($H$14:$H$53,MATCH($E49&amp;"#17",$X$14:$X$53,0)),"")</f>
        <v/>
      </c>
      <c r="AP49" s="20">
        <f>IFERROR(INDEX($H$14:$H$53,MATCH($E49&amp;"#18",$X$14:$X$53,0)),"")</f>
        <v/>
      </c>
      <c r="AQ49" s="20">
        <f>IFERROR(INDEX($H$14:$H$53,MATCH($E49&amp;"#19",$X$14:$X$53,0)),"")</f>
        <v/>
      </c>
      <c r="AR49" s="20">
        <f>IFERROR(INDEX($H$14:$H$53,MATCH($E49&amp;"#20",$X$14:$X$53,0)),"")</f>
        <v/>
      </c>
      <c r="AT49" s="21">
        <f>$C49</f>
        <v/>
      </c>
      <c r="AU49" s="22">
        <f>IF(AND($H49&lt;&gt;"",$Y49&lt;&gt;"",$H49&lt;&gt;$Y49,IFERROR(VLOOKUP($H49,areaCercaPuntiClassificaSquadra,3,FALSE),-1)=IFERROR(VLOOKUP($Y49,areaCercaPuntiClassificaSquadra,3,FALSE),-2)),SUMIFS(Dati!$B$2:$B$381,Dati!$A$2:$A$381,$H49,Dati!$H$2:$H$381,$Y49)+SUMIFS(Dati!$I$2:$I$381,Dati!$H$2:$H$381,$H49,Dati!$A$2:$A$381,$Y49),"-")</f>
        <v/>
      </c>
      <c r="AV49" s="22">
        <f>IF(AND($H49&lt;&gt;"",$Z49&lt;&gt;"",$H49&lt;&gt;$Z49,IFERROR(VLOOKUP($H49,areaCercaPuntiClassificaSquadra,3,FALSE),-1)=IFERROR(VLOOKUP($Z49,areaCercaPuntiClassificaSquadra,3,FALSE),-2)),SUMIFS(Dati!$B$2:$B$381,Dati!$A$2:$A$381,$H49,Dati!$H$2:$H$381,$Z49)+SUMIFS(Dati!$I$2:$I$381,Dati!$H$2:$H$381,$H49,Dati!$A$2:$A$381,$Z49),"-")</f>
        <v/>
      </c>
      <c r="AW49" s="22">
        <f>IF(AND($H49&lt;&gt;"",$AA49&lt;&gt;"",$H49&lt;&gt;$AA49,IFERROR(VLOOKUP($H49,areaCercaPuntiClassificaSquadra,3,FALSE),-1)=IFERROR(VLOOKUP($AA49,areaCercaPuntiClassificaSquadra,3,FALSE),-2)),SUMIFS(Dati!$B$2:$B$381,Dati!$A$2:$A$381,$H49,Dati!$H$2:$H$381,$AA49)+SUMIFS(Dati!$I$2:$I$381,Dati!$H$2:$H$381,$H49,Dati!$A$2:$A$381,$AA49),"-")</f>
        <v/>
      </c>
      <c r="AX49" s="22">
        <f>IF(AND($H49&lt;&gt;"",$AB49&lt;&gt;"",$H49&lt;&gt;$AB49,IFERROR(VLOOKUP($H49,areaCercaPuntiClassificaSquadra,3,FALSE),-1)=IFERROR(VLOOKUP($AB49,areaCercaPuntiClassificaSquadra,3,FALSE),-2)),SUMIFS(Dati!$B$2:$B$381,Dati!$A$2:$A$381,$H49,Dati!$H$2:$H$381,$AB49)+SUMIFS(Dati!$I$2:$I$381,Dati!$H$2:$H$381,$H49,Dati!$A$2:$A$381,$AB49),"-")</f>
        <v/>
      </c>
      <c r="AY49" s="22">
        <f>IF(AND($H49&lt;&gt;"",$AC49&lt;&gt;"",$H49&lt;&gt;$AC49,IFERROR(VLOOKUP($H49,areaCercaPuntiClassificaSquadra,3,FALSE),-1)=IFERROR(VLOOKUP($AC49,areaCercaPuntiClassificaSquadra,3,FALSE),-2)),SUMIFS(Dati!$B$2:$B$381,Dati!$A$2:$A$381,$H49,Dati!$H$2:$H$381,$AC49)+SUMIFS(Dati!$I$2:$I$381,Dati!$H$2:$H$381,$H49,Dati!$A$2:$A$381,$AC49),"-")</f>
        <v/>
      </c>
      <c r="AZ49" s="22">
        <f>IF(AND($H49&lt;&gt;"",$AD49&lt;&gt;"",$H49&lt;&gt;$AD49,IFERROR(VLOOKUP($H49,areaCercaPuntiClassificaSquadra,3,FALSE),-1)=IFERROR(VLOOKUP($AD49,areaCercaPuntiClassificaSquadra,3,FALSE),-2)),SUMIFS(Dati!$B$2:$B$381,Dati!$A$2:$A$381,$H49,Dati!$H$2:$H$381,$AD49)+SUMIFS(Dati!$I$2:$I$381,Dati!$H$2:$H$381,$H49,Dati!$A$2:$A$381,$AD49),"-")</f>
        <v/>
      </c>
      <c r="BA49" s="22">
        <f>IF(AND($H49&lt;&gt;"",$AE49&lt;&gt;"",$H49&lt;&gt;$AE49,IFERROR(VLOOKUP($H49,areaCercaPuntiClassificaSquadra,3,FALSE),-1)=IFERROR(VLOOKUP($AE49,areaCercaPuntiClassificaSquadra,3,FALSE),-2)),SUMIFS(Dati!$B$2:$B$381,Dati!$A$2:$A$381,$H49,Dati!$H$2:$H$381,$AE49)+SUMIFS(Dati!$I$2:$I$381,Dati!$H$2:$H$381,$H49,Dati!$A$2:$A$381,$AE49),"-")</f>
        <v/>
      </c>
      <c r="BB49" s="22">
        <f>IF(AND($H49&lt;&gt;"",$AF49&lt;&gt;"",$H49&lt;&gt;$AF49,IFERROR(VLOOKUP($H49,areaCercaPuntiClassificaSquadra,3,FALSE),-1)=IFERROR(VLOOKUP($AF49,areaCercaPuntiClassificaSquadra,3,FALSE),-2)),SUMIFS(Dati!$B$2:$B$381,Dati!$A$2:$A$381,$H49,Dati!$H$2:$H$381,$AF49)+SUMIFS(Dati!$I$2:$I$381,Dati!$H$2:$H$381,$H49,Dati!$A$2:$A$381,$AF49),"-")</f>
        <v/>
      </c>
      <c r="BC49" s="22">
        <f>IF(AND($H49&lt;&gt;"",$AG49&lt;&gt;"",$H49&lt;&gt;$AG49,IFERROR(VLOOKUP($H49,areaCercaPuntiClassificaSquadra,3,FALSE),-1)=IFERROR(VLOOKUP($AG49,areaCercaPuntiClassificaSquadra,3,FALSE),-2)),SUMIFS(Dati!$B$2:$B$381,Dati!$A$2:$A$381,$H49,Dati!$H$2:$H$381,$AG49)+SUMIFS(Dati!$I$2:$I$381,Dati!$H$2:$H$381,$H49,Dati!$A$2:$A$381,$AG49),"-")</f>
        <v/>
      </c>
      <c r="BD49" s="22">
        <f>IF(AND($H49&lt;&gt;"",$AH49&lt;&gt;"",$H49&lt;&gt;$AH49,IFERROR(VLOOKUP($H49,areaCercaPuntiClassificaSquadra,3,FALSE),-1)=IFERROR(VLOOKUP($AH49,areaCercaPuntiClassificaSquadra,3,FALSE),-2)),SUMIFS(Dati!$B$2:$B$381,Dati!$A$2:$A$381,$H49,Dati!$H$2:$H$381,$AH49)+SUMIFS(Dati!$I$2:$I$381,Dati!$H$2:$H$381,$H49,Dati!$A$2:$A$381,$AH49),"-")</f>
        <v/>
      </c>
      <c r="BE49" s="22">
        <f>IF(AND($H49&lt;&gt;"",$AI49&lt;&gt;"",$H49&lt;&gt;$AI49,IFERROR(VLOOKUP($H49,areaCercaPuntiClassificaSquadra,3,FALSE),-1)=IFERROR(VLOOKUP($AI49,areaCercaPuntiClassificaSquadra,3,FALSE),-2)),SUMIFS(Dati!$B$2:$B$381,Dati!$A$2:$A$381,$H49,Dati!$H$2:$H$381,$AI49)+SUMIFS(Dati!$I$2:$I$381,Dati!$H$2:$H$381,$H49,Dati!$A$2:$A$381,$AI49),"-")</f>
        <v/>
      </c>
      <c r="BF49" s="22">
        <f>IF(AND($H49&lt;&gt;"",$AJ49&lt;&gt;"",$H49&lt;&gt;$AJ49,IFERROR(VLOOKUP($H49,areaCercaPuntiClassificaSquadra,3,FALSE),-1)=IFERROR(VLOOKUP($AJ49,areaCercaPuntiClassificaSquadra,3,FALSE),-2)),SUMIFS(Dati!$B$2:$B$381,Dati!$A$2:$A$381,$H49,Dati!$H$2:$H$381,$AJ49)+SUMIFS(Dati!$I$2:$I$381,Dati!$H$2:$H$381,$H49,Dati!$A$2:$A$381,$AJ49),"-")</f>
        <v/>
      </c>
      <c r="BG49" s="22">
        <f>IF(AND($H49&lt;&gt;"",$AK49&lt;&gt;"",$H49&lt;&gt;$AK49,IFERROR(VLOOKUP($H49,areaCercaPuntiClassificaSquadra,3,FALSE),-1)=IFERROR(VLOOKUP($AK49,areaCercaPuntiClassificaSquadra,3,FALSE),-2)),SUMIFS(Dati!$B$2:$B$381,Dati!$A$2:$A$381,$H49,Dati!$H$2:$H$381,$AK49)+SUMIFS(Dati!$I$2:$I$381,Dati!$H$2:$H$381,$H49,Dati!$A$2:$A$381,$AK49),"-")</f>
        <v/>
      </c>
      <c r="BH49" s="22">
        <f>IF(AND($H49&lt;&gt;"",$AL49&lt;&gt;"",$H49&lt;&gt;$AL49,IFERROR(VLOOKUP($H49,areaCercaPuntiClassificaSquadra,3,FALSE),-1)=IFERROR(VLOOKUP($AL49,areaCercaPuntiClassificaSquadra,3,FALSE),-2)),SUMIFS(Dati!$B$2:$B$381,Dati!$A$2:$A$381,$H49,Dati!$H$2:$H$381,$AL49)+SUMIFS(Dati!$I$2:$I$381,Dati!$H$2:$H$381,$H49,Dati!$A$2:$A$381,$AL49),"-")</f>
        <v/>
      </c>
      <c r="BI49" s="22">
        <f>IF(AND($H49&lt;&gt;"",$AM49&lt;&gt;"",$H49&lt;&gt;$AM49,IFERROR(VLOOKUP($H49,areaCercaPuntiClassificaSquadra,3,FALSE),-1)=IFERROR(VLOOKUP($AM49,areaCercaPuntiClassificaSquadra,3,FALSE),-2)),SUMIFS(Dati!$B$2:$B$381,Dati!$A$2:$A$381,$H49,Dati!$H$2:$H$381,$AM49)+SUMIFS(Dati!$I$2:$I$381,Dati!$H$2:$H$381,$H49,Dati!$A$2:$A$381,$AM49),"-")</f>
        <v/>
      </c>
      <c r="BJ49" s="22">
        <f>IF(AND($H49&lt;&gt;"",$AN49&lt;&gt;"",$H49&lt;&gt;$AN49,IFERROR(VLOOKUP($H49,areaCercaPuntiClassificaSquadra,3,FALSE),-1)=IFERROR(VLOOKUP($AN49,areaCercaPuntiClassificaSquadra,3,FALSE),-2)),SUMIFS(Dati!$B$2:$B$381,Dati!$A$2:$A$381,$H49,Dati!$H$2:$H$381,$AN49)+SUMIFS(Dati!$I$2:$I$381,Dati!$H$2:$H$381,$H49,Dati!$A$2:$A$381,$AN49),"-")</f>
        <v/>
      </c>
      <c r="BK49" s="22">
        <f>IF(AND($H49&lt;&gt;"",$AO49&lt;&gt;"",$H49&lt;&gt;$AO49,IFERROR(VLOOKUP($H49,areaCercaPuntiClassificaSquadra,3,FALSE),-1)=IFERROR(VLOOKUP($AO49,areaCercaPuntiClassificaSquadra,3,FALSE),-2)),SUMIFS(Dati!$B$2:$B$381,Dati!$A$2:$A$381,$H49,Dati!$H$2:$H$381,$AO49)+SUMIFS(Dati!$I$2:$I$381,Dati!$H$2:$H$381,$H49,Dati!$A$2:$A$381,$AO49),"-")</f>
        <v/>
      </c>
      <c r="BL49" s="22">
        <f>IF(AND($H49&lt;&gt;"",$AP49&lt;&gt;"",$H49&lt;&gt;$AP49,IFERROR(VLOOKUP($H49,areaCercaPuntiClassificaSquadra,3,FALSE),-1)=IFERROR(VLOOKUP($AP49,areaCercaPuntiClassificaSquadra,3,FALSE),-2)),SUMIFS(Dati!$B$2:$B$381,Dati!$A$2:$A$381,$H49,Dati!$H$2:$H$381,$AP49)+SUMIFS(Dati!$I$2:$I$381,Dati!$H$2:$H$381,$H49,Dati!$A$2:$A$381,$AP49),"-")</f>
        <v/>
      </c>
      <c r="BM49" s="22">
        <f>IF(AND($H49&lt;&gt;"",$AQ49&lt;&gt;"",$H49&lt;&gt;$AQ49,IFERROR(VLOOKUP($H49,areaCercaPuntiClassificaSquadra,3,FALSE),-1)=IFERROR(VLOOKUP($AQ49,areaCercaPuntiClassificaSquadra,3,FALSE),-2)),SUMIFS(Dati!$B$2:$B$381,Dati!$A$2:$A$381,$H49,Dati!$H$2:$H$381,$AQ49)+SUMIFS(Dati!$I$2:$I$381,Dati!$H$2:$H$381,$H49,Dati!$A$2:$A$381,$AQ49),"-")</f>
        <v/>
      </c>
      <c r="BN49" s="22">
        <f>IF(AND($H49&lt;&gt;"",$AR49&lt;&gt;"",$H49&lt;&gt;$AR49,IFERROR(VLOOKUP($H49,areaCercaPuntiClassificaSquadra,3,FALSE),-1)=IFERROR(VLOOKUP($AR49,areaCercaPuntiClassificaSquadra,3,FALSE),-2)),SUMIFS(Dati!$B$2:$B$381,Dati!$A$2:$A$381,$H49,Dati!$H$2:$H$381,$AR49)+SUMIFS(Dati!$I$2:$I$381,Dati!$H$2:$H$381,$H49,Dati!$A$2:$A$381,$AR49),"-")</f>
        <v/>
      </c>
      <c r="BP49" s="21">
        <f>$C49</f>
        <v/>
      </c>
      <c r="BQ49" s="22">
        <f>IF(AND($H49&lt;&gt;"",$Y49&lt;&gt;"",$H49&lt;&gt;$Y49,IFERROR(VLOOKUP($H49,areaCercaPuntiClassificaSquadra,3,FALSE),-1)=IFERROR(VLOOKUP($Y49,areaCercaPuntiClassificaSquadra,3,FALSE),-2)),SUMIFS(Dati!$D$2:$D$381,Dati!$A$2:$A$381,$H49,Dati!$H$2:$H$381,$Y49)+SUMIFS(Dati!$K$2:$K$381,Dati!$H$2:$H$381,$H49,Dati!$A$2:$A$381,$Y49)+SUMIFS(Dati!$C$2:$C$381,Dati!$A$2:$A$381,$H49,Dati!$H$2:$H$381,$Y49)+SUMIFS(Dati!$J$2:$J$381,Dati!$H$2:$H$381,$H49,Dati!$A$2:$A$381,$Y49),"-")</f>
        <v/>
      </c>
      <c r="BR49" s="22">
        <f>IF(AND($H49&lt;&gt;"",$Z49&lt;&gt;"",$H49&lt;&gt;$Z49,IFERROR(VLOOKUP($H49,areaCercaPuntiClassificaSquadra,3,FALSE),-1)=IFERROR(VLOOKUP($Z49,areaCercaPuntiClassificaSquadra,3,FALSE),-2)),SUMIFS(Dati!$D$2:$D$381,Dati!$A$2:$A$381,$H49,Dati!$H$2:$H$381,$Z49)+SUMIFS(Dati!$K$2:$K$381,Dati!$H$2:$H$381,$H49,Dati!$A$2:$A$381,$Z49)+SUMIFS(Dati!$C$2:$C$381,Dati!$A$2:$A$381,$H49,Dati!$H$2:$H$381,$Z49)+SUMIFS(Dati!$J$2:$J$381,Dati!$H$2:$H$381,$H49,Dati!$A$2:$A$381,$Z49),"-")</f>
        <v/>
      </c>
      <c r="BS49" s="22">
        <f>IF(AND($H49&lt;&gt;"",$AA49&lt;&gt;"",$H49&lt;&gt;$AA49,IFERROR(VLOOKUP($H49,areaCercaPuntiClassificaSquadra,3,FALSE),-1)=IFERROR(VLOOKUP($AA49,areaCercaPuntiClassificaSquadra,3,FALSE),-2)),SUMIFS(Dati!$D$2:$D$381,Dati!$A$2:$A$381,$H49,Dati!$H$2:$H$381,$AA49)+SUMIFS(Dati!$K$2:$K$381,Dati!$H$2:$H$381,$H49,Dati!$A$2:$A$381,$AA49)+SUMIFS(Dati!$C$2:$C$381,Dati!$A$2:$A$381,$H49,Dati!$H$2:$H$381,$AA49)+SUMIFS(Dati!$J$2:$J$381,Dati!$H$2:$H$381,$H49,Dati!$A$2:$A$381,$AA49),"-")</f>
        <v/>
      </c>
      <c r="BT49" s="22">
        <f>IF(AND($H49&lt;&gt;"",$AB49&lt;&gt;"",$H49&lt;&gt;$AB49,IFERROR(VLOOKUP($H49,areaCercaPuntiClassificaSquadra,3,FALSE),-1)=IFERROR(VLOOKUP($AB49,areaCercaPuntiClassificaSquadra,3,FALSE),-2)),SUMIFS(Dati!$D$2:$D$381,Dati!$A$2:$A$381,$H49,Dati!$H$2:$H$381,$AB49)+SUMIFS(Dati!$K$2:$K$381,Dati!$H$2:$H$381,$H49,Dati!$A$2:$A$381,$AB49)+SUMIFS(Dati!$C$2:$C$381,Dati!$A$2:$A$381,$H49,Dati!$H$2:$H$381,$AB49)+SUMIFS(Dati!$J$2:$J$381,Dati!$H$2:$H$381,$H49,Dati!$A$2:$A$381,$AB49),"-")</f>
        <v/>
      </c>
      <c r="BU49" s="22">
        <f>IF(AND($H49&lt;&gt;"",$AC49&lt;&gt;"",$H49&lt;&gt;$AC49,IFERROR(VLOOKUP($H49,areaCercaPuntiClassificaSquadra,3,FALSE),-1)=IFERROR(VLOOKUP($AC49,areaCercaPuntiClassificaSquadra,3,FALSE),-2)),SUMIFS(Dati!$D$2:$D$381,Dati!$A$2:$A$381,$H49,Dati!$H$2:$H$381,$AC49)+SUMIFS(Dati!$K$2:$K$381,Dati!$H$2:$H$381,$H49,Dati!$A$2:$A$381,$AC49)+SUMIFS(Dati!$C$2:$C$381,Dati!$A$2:$A$381,$H49,Dati!$H$2:$H$381,$AC49)+SUMIFS(Dati!$J$2:$J$381,Dati!$H$2:$H$381,$H49,Dati!$A$2:$A$381,$AC49),"-")</f>
        <v/>
      </c>
      <c r="BV49" s="22">
        <f>IF(AND($H49&lt;&gt;"",$AD49&lt;&gt;"",$H49&lt;&gt;$AD49,IFERROR(VLOOKUP($H49,areaCercaPuntiClassificaSquadra,3,FALSE),-1)=IFERROR(VLOOKUP($AD49,areaCercaPuntiClassificaSquadra,3,FALSE),-2)),SUMIFS(Dati!$D$2:$D$381,Dati!$A$2:$A$381,$H49,Dati!$H$2:$H$381,$AD49)+SUMIFS(Dati!$K$2:$K$381,Dati!$H$2:$H$381,$H49,Dati!$A$2:$A$381,$AD49)+SUMIFS(Dati!$C$2:$C$381,Dati!$A$2:$A$381,$H49,Dati!$H$2:$H$381,$AD49)+SUMIFS(Dati!$J$2:$J$381,Dati!$H$2:$H$381,$H49,Dati!$A$2:$A$381,$AD49),"-")</f>
        <v/>
      </c>
      <c r="BW49" s="22">
        <f>IF(AND($H49&lt;&gt;"",$AE49&lt;&gt;"",$H49&lt;&gt;$AE49,IFERROR(VLOOKUP($H49,areaCercaPuntiClassificaSquadra,3,FALSE),-1)=IFERROR(VLOOKUP($AE49,areaCercaPuntiClassificaSquadra,3,FALSE),-2)),SUMIFS(Dati!$D$2:$D$381,Dati!$A$2:$A$381,$H49,Dati!$H$2:$H$381,$AE49)+SUMIFS(Dati!$K$2:$K$381,Dati!$H$2:$H$381,$H49,Dati!$A$2:$A$381,$AE49)+SUMIFS(Dati!$C$2:$C$381,Dati!$A$2:$A$381,$H49,Dati!$H$2:$H$381,$AE49)+SUMIFS(Dati!$J$2:$J$381,Dati!$H$2:$H$381,$H49,Dati!$A$2:$A$381,$AE49),"-")</f>
        <v/>
      </c>
      <c r="BX49" s="22">
        <f>IF(AND($H49&lt;&gt;"",$AF49&lt;&gt;"",$H49&lt;&gt;$AF49,IFERROR(VLOOKUP($H49,areaCercaPuntiClassificaSquadra,3,FALSE),-1)=IFERROR(VLOOKUP($AF49,areaCercaPuntiClassificaSquadra,3,FALSE),-2)),SUMIFS(Dati!$D$2:$D$381,Dati!$A$2:$A$381,$H49,Dati!$H$2:$H$381,$AF49)+SUMIFS(Dati!$K$2:$K$381,Dati!$H$2:$H$381,$H49,Dati!$A$2:$A$381,$AF49)+SUMIFS(Dati!$C$2:$C$381,Dati!$A$2:$A$381,$H49,Dati!$H$2:$H$381,$AF49)+SUMIFS(Dati!$J$2:$J$381,Dati!$H$2:$H$381,$H49,Dati!$A$2:$A$381,$AF49),"-")</f>
        <v/>
      </c>
      <c r="BY49" s="22">
        <f>IF(AND($H49&lt;&gt;"",$AG49&lt;&gt;"",$H49&lt;&gt;$AG49,IFERROR(VLOOKUP($H49,areaCercaPuntiClassificaSquadra,3,FALSE),-1)=IFERROR(VLOOKUP($AG49,areaCercaPuntiClassificaSquadra,3,FALSE),-2)),SUMIFS(Dati!$D$2:$D$381,Dati!$A$2:$A$381,$H49,Dati!$H$2:$H$381,$AG49)+SUMIFS(Dati!$K$2:$K$381,Dati!$H$2:$H$381,$H49,Dati!$A$2:$A$381,$AG49)+SUMIFS(Dati!$C$2:$C$381,Dati!$A$2:$A$381,$H49,Dati!$H$2:$H$381,$AG49)+SUMIFS(Dati!$J$2:$J$381,Dati!$H$2:$H$381,$H49,Dati!$A$2:$A$381,$AG49),"-")</f>
        <v/>
      </c>
      <c r="BZ49" s="22">
        <f>IF(AND($H49&lt;&gt;"",$AH49&lt;&gt;"",$H49&lt;&gt;$AH49,IFERROR(VLOOKUP($H49,areaCercaPuntiClassificaSquadra,3,FALSE),-1)=IFERROR(VLOOKUP($AH49,areaCercaPuntiClassificaSquadra,3,FALSE),-2)),SUMIFS(Dati!$D$2:$D$381,Dati!$A$2:$A$381,$H49,Dati!$H$2:$H$381,$AH49)+SUMIFS(Dati!$K$2:$K$381,Dati!$H$2:$H$381,$H49,Dati!$A$2:$A$381,$AH49)+SUMIFS(Dati!$C$2:$C$381,Dati!$A$2:$A$381,$H49,Dati!$H$2:$H$381,$AH49)+SUMIFS(Dati!$J$2:$J$381,Dati!$H$2:$H$381,$H49,Dati!$A$2:$A$381,$AH49),"-")</f>
        <v/>
      </c>
      <c r="CA49" s="22">
        <f>IF(AND($H49&lt;&gt;"",$AI49&lt;&gt;"",$H49&lt;&gt;$AI49,IFERROR(VLOOKUP($H49,areaCercaPuntiClassificaSquadra,3,FALSE),-1)=IFERROR(VLOOKUP($AI49,areaCercaPuntiClassificaSquadra,3,FALSE),-2)),SUMIFS(Dati!$D$2:$D$381,Dati!$A$2:$A$381,$H49,Dati!$H$2:$H$381,$AI49)+SUMIFS(Dati!$K$2:$K$381,Dati!$H$2:$H$381,$H49,Dati!$A$2:$A$381,$AI49)+SUMIFS(Dati!$C$2:$C$381,Dati!$A$2:$A$381,$H49,Dati!$H$2:$H$381,$AI49)+SUMIFS(Dati!$J$2:$J$381,Dati!$H$2:$H$381,$H49,Dati!$A$2:$A$381,$AI49),"-")</f>
        <v/>
      </c>
      <c r="CB49" s="22">
        <f>IF(AND($H49&lt;&gt;"",$AJ49&lt;&gt;"",$H49&lt;&gt;$AJ49,IFERROR(VLOOKUP($H49,areaCercaPuntiClassificaSquadra,3,FALSE),-1)=IFERROR(VLOOKUP($AJ49,areaCercaPuntiClassificaSquadra,3,FALSE),-2)),SUMIFS(Dati!$D$2:$D$381,Dati!$A$2:$A$381,$H49,Dati!$H$2:$H$381,$AJ49)+SUMIFS(Dati!$K$2:$K$381,Dati!$H$2:$H$381,$H49,Dati!$A$2:$A$381,$AJ49)+SUMIFS(Dati!$C$2:$C$381,Dati!$A$2:$A$381,$H49,Dati!$H$2:$H$381,$AJ49)+SUMIFS(Dati!$J$2:$J$381,Dati!$H$2:$H$381,$H49,Dati!$A$2:$A$381,$AJ49),"-")</f>
        <v/>
      </c>
      <c r="CC49" s="22">
        <f>IF(AND($H49&lt;&gt;"",$AK49&lt;&gt;"",$H49&lt;&gt;$AK49,IFERROR(VLOOKUP($H49,areaCercaPuntiClassificaSquadra,3,FALSE),-1)=IFERROR(VLOOKUP($AK49,areaCercaPuntiClassificaSquadra,3,FALSE),-2)),SUMIFS(Dati!$D$2:$D$381,Dati!$A$2:$A$381,$H49,Dati!$H$2:$H$381,$AK49)+SUMIFS(Dati!$K$2:$K$381,Dati!$H$2:$H$381,$H49,Dati!$A$2:$A$381,$AK49)+SUMIFS(Dati!$C$2:$C$381,Dati!$A$2:$A$381,$H49,Dati!$H$2:$H$381,$AK49)+SUMIFS(Dati!$J$2:$J$381,Dati!$H$2:$H$381,$H49,Dati!$A$2:$A$381,$AK49),"-")</f>
        <v/>
      </c>
      <c r="CD49" s="22">
        <f>IF(AND($H49&lt;&gt;"",$AL49&lt;&gt;"",$H49&lt;&gt;$AL49,IFERROR(VLOOKUP($H49,areaCercaPuntiClassificaSquadra,3,FALSE),-1)=IFERROR(VLOOKUP($AL49,areaCercaPuntiClassificaSquadra,3,FALSE),-2)),SUMIFS(Dati!$D$2:$D$381,Dati!$A$2:$A$381,$H49,Dati!$H$2:$H$381,$AL49)+SUMIFS(Dati!$K$2:$K$381,Dati!$H$2:$H$381,$H49,Dati!$A$2:$A$381,$AL49)+SUMIFS(Dati!$C$2:$C$381,Dati!$A$2:$A$381,$H49,Dati!$H$2:$H$381,$AL49)+SUMIFS(Dati!$J$2:$J$381,Dati!$H$2:$H$381,$H49,Dati!$A$2:$A$381,$AL49),"-")</f>
        <v/>
      </c>
      <c r="CE49" s="22">
        <f>IF(AND($H49&lt;&gt;"",$AM49&lt;&gt;"",$H49&lt;&gt;$AM49,IFERROR(VLOOKUP($H49,areaCercaPuntiClassificaSquadra,3,FALSE),-1)=IFERROR(VLOOKUP($AM49,areaCercaPuntiClassificaSquadra,3,FALSE),-2)),SUMIFS(Dati!$D$2:$D$381,Dati!$A$2:$A$381,$H49,Dati!$H$2:$H$381,$AM49)+SUMIFS(Dati!$K$2:$K$381,Dati!$H$2:$H$381,$H49,Dati!$A$2:$A$381,$AM49)+SUMIFS(Dati!$C$2:$C$381,Dati!$A$2:$A$381,$H49,Dati!$H$2:$H$381,$AM49)+SUMIFS(Dati!$J$2:$J$381,Dati!$H$2:$H$381,$H49,Dati!$A$2:$A$381,$AM49),"-")</f>
        <v/>
      </c>
      <c r="CF49" s="22">
        <f>IF(AND($H49&lt;&gt;"",$AN49&lt;&gt;"",$H49&lt;&gt;$AN49,IFERROR(VLOOKUP($H49,areaCercaPuntiClassificaSquadra,3,FALSE),-1)=IFERROR(VLOOKUP($AN49,areaCercaPuntiClassificaSquadra,3,FALSE),-2)),SUMIFS(Dati!$D$2:$D$381,Dati!$A$2:$A$381,$H49,Dati!$H$2:$H$381,$AN49)+SUMIFS(Dati!$K$2:$K$381,Dati!$H$2:$H$381,$H49,Dati!$A$2:$A$381,$AN49)+SUMIFS(Dati!$C$2:$C$381,Dati!$A$2:$A$381,$H49,Dati!$H$2:$H$381,$AN49)+SUMIFS(Dati!$J$2:$J$381,Dati!$H$2:$H$381,$H49,Dati!$A$2:$A$381,$AN49),"-")</f>
        <v/>
      </c>
      <c r="CG49" s="22">
        <f>IF(AND($H49&lt;&gt;"",$AO49&lt;&gt;"",$H49&lt;&gt;$AO49,IFERROR(VLOOKUP($H49,areaCercaPuntiClassificaSquadra,3,FALSE),-1)=IFERROR(VLOOKUP($AO49,areaCercaPuntiClassificaSquadra,3,FALSE),-2)),SUMIFS(Dati!$D$2:$D$381,Dati!$A$2:$A$381,$H49,Dati!$H$2:$H$381,$AO49)+SUMIFS(Dati!$K$2:$K$381,Dati!$H$2:$H$381,$H49,Dati!$A$2:$A$381,$AO49)+SUMIFS(Dati!$C$2:$C$381,Dati!$A$2:$A$381,$H49,Dati!$H$2:$H$381,$AO49)+SUMIFS(Dati!$J$2:$J$381,Dati!$H$2:$H$381,$H49,Dati!$A$2:$A$381,$AO49),"-")</f>
        <v/>
      </c>
      <c r="CH49" s="22">
        <f>IF(AND($H49&lt;&gt;"",$AP49&lt;&gt;"",$H49&lt;&gt;$AP49,IFERROR(VLOOKUP($H49,areaCercaPuntiClassificaSquadra,3,FALSE),-1)=IFERROR(VLOOKUP($AP49,areaCercaPuntiClassificaSquadra,3,FALSE),-2)),SUMIFS(Dati!$D$2:$D$381,Dati!$A$2:$A$381,$H49,Dati!$H$2:$H$381,$AP49)+SUMIFS(Dati!$K$2:$K$381,Dati!$H$2:$H$381,$H49,Dati!$A$2:$A$381,$AP49)+SUMIFS(Dati!$C$2:$C$381,Dati!$A$2:$A$381,$H49,Dati!$H$2:$H$381,$AP49)+SUMIFS(Dati!$J$2:$J$381,Dati!$H$2:$H$381,$H49,Dati!$A$2:$A$381,$AP49),"-")</f>
        <v/>
      </c>
      <c r="CI49" s="22">
        <f>IF(AND($H49&lt;&gt;"",$AQ49&lt;&gt;"",$H49&lt;&gt;$AQ49,IFERROR(VLOOKUP($H49,areaCercaPuntiClassificaSquadra,3,FALSE),-1)=IFERROR(VLOOKUP($AQ49,areaCercaPuntiClassificaSquadra,3,FALSE),-2)),SUMIFS(Dati!$D$2:$D$381,Dati!$A$2:$A$381,$H49,Dati!$H$2:$H$381,$AQ49)+SUMIFS(Dati!$K$2:$K$381,Dati!$H$2:$H$381,$H49,Dati!$A$2:$A$381,$AQ49)+SUMIFS(Dati!$C$2:$C$381,Dati!$A$2:$A$381,$H49,Dati!$H$2:$H$381,$AQ49)+SUMIFS(Dati!$J$2:$J$381,Dati!$H$2:$H$381,$H49,Dati!$A$2:$A$381,$AQ49),"-")</f>
        <v/>
      </c>
      <c r="CJ49" s="22">
        <f>IF(AND($H49&lt;&gt;"",$AR49&lt;&gt;"",$H49&lt;&gt;$AR49,IFERROR(VLOOKUP($H49,areaCercaPuntiClassificaSquadra,3,FALSE),-1)=IFERROR(VLOOKUP($AR49,areaCercaPuntiClassificaSquadra,3,FALSE),-2)),SUMIFS(Dati!$D$2:$D$381,Dati!$A$2:$A$381,$H49,Dati!$H$2:$H$381,$AR49)+SUMIFS(Dati!$K$2:$K$381,Dati!$H$2:$H$381,$H49,Dati!$A$2:$A$381,$AR49)+SUMIFS(Dati!$C$2:$C$381,Dati!$A$2:$A$381,$H49,Dati!$H$2:$H$381,$AR49)+SUMIFS(Dati!$J$2:$J$381,Dati!$H$2:$H$381,$H49,Dati!$A$2:$A$381,$AR49),"-")</f>
        <v/>
      </c>
      <c r="CL49" s="21">
        <f>$C49</f>
        <v/>
      </c>
      <c r="CM49" s="22">
        <f>IF(AND($H49&lt;&gt;"",$Y49&lt;&gt;"",$H49&lt;&gt;$Y49,IFERROR(VLOOKUP($H49,areaCercaPuntiClassificaSquadra,3,FALSE),-1)=IFERROR(VLOOKUP($Y49,areaCercaPuntiClassificaSquadra,3,FALSE),-2)),SUMIFS(Dati!$E$2:$E$381,Dati!$A$2:$A$381,$H49,Dati!$H$2:$H$381,$Y49)+SUMIFS(Dati!$L$2:$L$381,Dati!$H$2:$H$381,$H49,Dati!$A$2:$A$381,$Y49),"-")</f>
        <v/>
      </c>
      <c r="CN49" s="22">
        <f>IF(AND($H49&lt;&gt;"",$Z49&lt;&gt;"",$H49&lt;&gt;$Z49,IFERROR(VLOOKUP($H49,areaCercaPuntiClassificaSquadra,3,FALSE),-1)=IFERROR(VLOOKUP($Z49,areaCercaPuntiClassificaSquadra,3,FALSE),-2)),SUMIFS(Dati!$E$2:$E$381,Dati!$A$2:$A$381,$H49,Dati!$H$2:$H$381,$Z49)+SUMIFS(Dati!$L$2:$L$381,Dati!$H$2:$H$381,$H49,Dati!$A$2:$A$381,$Z49),"-")</f>
        <v/>
      </c>
      <c r="CO49" s="22">
        <f>IF(AND($H49&lt;&gt;"",$AA49&lt;&gt;"",$H49&lt;&gt;$AA49,IFERROR(VLOOKUP($H49,areaCercaPuntiClassificaSquadra,3,FALSE),-1)=IFERROR(VLOOKUP($AA49,areaCercaPuntiClassificaSquadra,3,FALSE),-2)),SUMIFS(Dati!$E$2:$E$381,Dati!$A$2:$A$381,$H49,Dati!$H$2:$H$381,$AA49)+SUMIFS(Dati!$L$2:$L$381,Dati!$H$2:$H$381,$H49,Dati!$A$2:$A$381,$AA49),"-")</f>
        <v/>
      </c>
      <c r="CP49" s="22">
        <f>IF(AND($H49&lt;&gt;"",$AB49&lt;&gt;"",$H49&lt;&gt;$AB49,IFERROR(VLOOKUP($H49,areaCercaPuntiClassificaSquadra,3,FALSE),-1)=IFERROR(VLOOKUP($AB49,areaCercaPuntiClassificaSquadra,3,FALSE),-2)),SUMIFS(Dati!$E$2:$E$381,Dati!$A$2:$A$381,$H49,Dati!$H$2:$H$381,$AB49)+SUMIFS(Dati!$L$2:$L$381,Dati!$H$2:$H$381,$H49,Dati!$A$2:$A$381,$AB49),"-")</f>
        <v/>
      </c>
      <c r="CQ49" s="22">
        <f>IF(AND($H49&lt;&gt;"",$AC49&lt;&gt;"",$H49&lt;&gt;$AC49,IFERROR(VLOOKUP($H49,areaCercaPuntiClassificaSquadra,3,FALSE),-1)=IFERROR(VLOOKUP($AC49,areaCercaPuntiClassificaSquadra,3,FALSE),-2)),SUMIFS(Dati!$E$2:$E$381,Dati!$A$2:$A$381,$H49,Dati!$H$2:$H$381,$AC49)+SUMIFS(Dati!$L$2:$L$381,Dati!$H$2:$H$381,$H49,Dati!$A$2:$A$381,$AC49),"-")</f>
        <v/>
      </c>
      <c r="CR49" s="22">
        <f>IF(AND($H49&lt;&gt;"",$AD49&lt;&gt;"",$H49&lt;&gt;$AD49,IFERROR(VLOOKUP($H49,areaCercaPuntiClassificaSquadra,3,FALSE),-1)=IFERROR(VLOOKUP($AD49,areaCercaPuntiClassificaSquadra,3,FALSE),-2)),SUMIFS(Dati!$E$2:$E$381,Dati!$A$2:$A$381,$H49,Dati!$H$2:$H$381,$AD49)+SUMIFS(Dati!$L$2:$L$381,Dati!$H$2:$H$381,$H49,Dati!$A$2:$A$381,$AD49),"-")</f>
        <v/>
      </c>
      <c r="CS49" s="22">
        <f>IF(AND($H49&lt;&gt;"",$AE49&lt;&gt;"",$H49&lt;&gt;$AE49,IFERROR(VLOOKUP($H49,areaCercaPuntiClassificaSquadra,3,FALSE),-1)=IFERROR(VLOOKUP($AE49,areaCercaPuntiClassificaSquadra,3,FALSE),-2)),SUMIFS(Dati!$E$2:$E$381,Dati!$A$2:$A$381,$H49,Dati!$H$2:$H$381,$AE49)+SUMIFS(Dati!$L$2:$L$381,Dati!$H$2:$H$381,$H49,Dati!$A$2:$A$381,$AE49),"-")</f>
        <v/>
      </c>
      <c r="CT49" s="22">
        <f>IF(AND($H49&lt;&gt;"",$AF49&lt;&gt;"",$H49&lt;&gt;$AF49,IFERROR(VLOOKUP($H49,areaCercaPuntiClassificaSquadra,3,FALSE),-1)=IFERROR(VLOOKUP($AF49,areaCercaPuntiClassificaSquadra,3,FALSE),-2)),SUMIFS(Dati!$E$2:$E$381,Dati!$A$2:$A$381,$H49,Dati!$H$2:$H$381,$AF49)+SUMIFS(Dati!$L$2:$L$381,Dati!$H$2:$H$381,$H49,Dati!$A$2:$A$381,$AF49),"-")</f>
        <v/>
      </c>
      <c r="CU49" s="22">
        <f>IF(AND($H49&lt;&gt;"",$AG49&lt;&gt;"",$H49&lt;&gt;$AG49,IFERROR(VLOOKUP($H49,areaCercaPuntiClassificaSquadra,3,FALSE),-1)=IFERROR(VLOOKUP($AG49,areaCercaPuntiClassificaSquadra,3,FALSE),-2)),SUMIFS(Dati!$E$2:$E$381,Dati!$A$2:$A$381,$H49,Dati!$H$2:$H$381,$AG49)+SUMIFS(Dati!$L$2:$L$381,Dati!$H$2:$H$381,$H49,Dati!$A$2:$A$381,$AG49),"-")</f>
        <v/>
      </c>
      <c r="CV49" s="22">
        <f>IF(AND($H49&lt;&gt;"",$AH49&lt;&gt;"",$H49&lt;&gt;$AH49,IFERROR(VLOOKUP($H49,areaCercaPuntiClassificaSquadra,3,FALSE),-1)=IFERROR(VLOOKUP($AH49,areaCercaPuntiClassificaSquadra,3,FALSE),-2)),SUMIFS(Dati!$E$2:$E$381,Dati!$A$2:$A$381,$H49,Dati!$H$2:$H$381,$AH49)+SUMIFS(Dati!$L$2:$L$381,Dati!$H$2:$H$381,$H49,Dati!$A$2:$A$381,$AH49),"-")</f>
        <v/>
      </c>
      <c r="CW49" s="22">
        <f>IF(AND($H49&lt;&gt;"",$AI49&lt;&gt;"",$H49&lt;&gt;$AI49,IFERROR(VLOOKUP($H49,areaCercaPuntiClassificaSquadra,3,FALSE),-1)=IFERROR(VLOOKUP($AI49,areaCercaPuntiClassificaSquadra,3,FALSE),-2)),SUMIFS(Dati!$E$2:$E$381,Dati!$A$2:$A$381,$H49,Dati!$H$2:$H$381,$AI49)+SUMIFS(Dati!$L$2:$L$381,Dati!$H$2:$H$381,$H49,Dati!$A$2:$A$381,$AI49),"-")</f>
        <v/>
      </c>
      <c r="CX49" s="22">
        <f>IF(AND($H49&lt;&gt;"",$AJ49&lt;&gt;"",$H49&lt;&gt;$AJ49,IFERROR(VLOOKUP($H49,areaCercaPuntiClassificaSquadra,3,FALSE),-1)=IFERROR(VLOOKUP($AJ49,areaCercaPuntiClassificaSquadra,3,FALSE),-2)),SUMIFS(Dati!$E$2:$E$381,Dati!$A$2:$A$381,$H49,Dati!$H$2:$H$381,$AJ49)+SUMIFS(Dati!$L$2:$L$381,Dati!$H$2:$H$381,$H49,Dati!$A$2:$A$381,$AJ49),"-")</f>
        <v/>
      </c>
      <c r="CY49" s="22">
        <f>IF(AND($H49&lt;&gt;"",$AK49&lt;&gt;"",$H49&lt;&gt;$AK49,IFERROR(VLOOKUP($H49,areaCercaPuntiClassificaSquadra,3,FALSE),-1)=IFERROR(VLOOKUP($AK49,areaCercaPuntiClassificaSquadra,3,FALSE),-2)),SUMIFS(Dati!$E$2:$E$381,Dati!$A$2:$A$381,$H49,Dati!$H$2:$H$381,$AK49)+SUMIFS(Dati!$L$2:$L$381,Dati!$H$2:$H$381,$H49,Dati!$A$2:$A$381,$AK49),"-")</f>
        <v/>
      </c>
      <c r="CZ49" s="22">
        <f>IF(AND($H49&lt;&gt;"",$AL49&lt;&gt;"",$H49&lt;&gt;$AL49,IFERROR(VLOOKUP($H49,areaCercaPuntiClassificaSquadra,3,FALSE),-1)=IFERROR(VLOOKUP($AL49,areaCercaPuntiClassificaSquadra,3,FALSE),-2)),SUMIFS(Dati!$E$2:$E$381,Dati!$A$2:$A$381,$H49,Dati!$H$2:$H$381,$AL49)+SUMIFS(Dati!$L$2:$L$381,Dati!$H$2:$H$381,$H49,Dati!$A$2:$A$381,$AL49),"-")</f>
        <v/>
      </c>
      <c r="DA49" s="22">
        <f>IF(AND($H49&lt;&gt;"",$AM49&lt;&gt;"",$H49&lt;&gt;$AM49,IFERROR(VLOOKUP($H49,areaCercaPuntiClassificaSquadra,3,FALSE),-1)=IFERROR(VLOOKUP($AM49,areaCercaPuntiClassificaSquadra,3,FALSE),-2)),SUMIFS(Dati!$E$2:$E$381,Dati!$A$2:$A$381,$H49,Dati!$H$2:$H$381,$AM49)+SUMIFS(Dati!$L$2:$L$381,Dati!$H$2:$H$381,$H49,Dati!$A$2:$A$381,$AM49),"-")</f>
        <v/>
      </c>
      <c r="DB49" s="22">
        <f>IF(AND($H49&lt;&gt;"",$AN49&lt;&gt;"",$H49&lt;&gt;$AN49,IFERROR(VLOOKUP($H49,areaCercaPuntiClassificaSquadra,3,FALSE),-1)=IFERROR(VLOOKUP($AN49,areaCercaPuntiClassificaSquadra,3,FALSE),-2)),SUMIFS(Dati!$E$2:$E$381,Dati!$A$2:$A$381,$H49,Dati!$H$2:$H$381,$AN49)+SUMIFS(Dati!$L$2:$L$381,Dati!$H$2:$H$381,$H49,Dati!$A$2:$A$381,$AN49),"-")</f>
        <v/>
      </c>
      <c r="DC49" s="22">
        <f>IF(AND($H49&lt;&gt;"",$AO49&lt;&gt;"",$H49&lt;&gt;$AO49,IFERROR(VLOOKUP($H49,areaCercaPuntiClassificaSquadra,3,FALSE),-1)=IFERROR(VLOOKUP($AO49,areaCercaPuntiClassificaSquadra,3,FALSE),-2)),SUMIFS(Dati!$E$2:$E$381,Dati!$A$2:$A$381,$H49,Dati!$H$2:$H$381,$AO49)+SUMIFS(Dati!$L$2:$L$381,Dati!$H$2:$H$381,$H49,Dati!$A$2:$A$381,$AO49),"-")</f>
        <v/>
      </c>
      <c r="DD49" s="22">
        <f>IF(AND($H49&lt;&gt;"",$AP49&lt;&gt;"",$H49&lt;&gt;$AP49,IFERROR(VLOOKUP($H49,areaCercaPuntiClassificaSquadra,3,FALSE),-1)=IFERROR(VLOOKUP($AP49,areaCercaPuntiClassificaSquadra,3,FALSE),-2)),SUMIFS(Dati!$E$2:$E$381,Dati!$A$2:$A$381,$H49,Dati!$H$2:$H$381,$AP49)+SUMIFS(Dati!$L$2:$L$381,Dati!$H$2:$H$381,$H49,Dati!$A$2:$A$381,$AP49),"-")</f>
        <v/>
      </c>
      <c r="DE49" s="22">
        <f>IF(AND($H49&lt;&gt;"",$AQ49&lt;&gt;"",$H49&lt;&gt;$AQ49,IFERROR(VLOOKUP($H49,areaCercaPuntiClassificaSquadra,3,FALSE),-1)=IFERROR(VLOOKUP($AQ49,areaCercaPuntiClassificaSquadra,3,FALSE),-2)),SUMIFS(Dati!$E$2:$E$381,Dati!$A$2:$A$381,$H49,Dati!$H$2:$H$381,$AQ49)+SUMIFS(Dati!$L$2:$L$381,Dati!$H$2:$H$381,$H49,Dati!$A$2:$A$381,$AQ49),"-")</f>
        <v/>
      </c>
      <c r="DF49" s="22">
        <f>IF(AND($H49&lt;&gt;"",$AR49&lt;&gt;"",$H49&lt;&gt;$AR49,IFERROR(VLOOKUP($H49,areaCercaPuntiClassificaSquadra,3,FALSE),-1)=IFERROR(VLOOKUP($AR49,areaCercaPuntiClassificaSquadra,3,FALSE),-2)),SUMIFS(Dati!$E$2:$E$381,Dati!$A$2:$A$381,$H49,Dati!$H$2:$H$381,$AR49)+SUMIFS(Dati!$L$2:$L$381,Dati!$H$2:$H$381,$H49,Dati!$A$2:$A$381,$AR49),"-")</f>
        <v/>
      </c>
      <c r="DH49" s="21">
        <f>$C49</f>
        <v/>
      </c>
      <c r="DI49" s="22">
        <f>IF(AND($H49&lt;&gt;"",$Y49&lt;&gt;"",$H49&lt;&gt;$Y49,IFERROR(VLOOKUP($H49,areaCercaPuntiClassificaSquadra,3,FALSE),-1)=IFERROR(VLOOKUP($Y49,areaCercaPuntiClassificaSquadra,3,FALSE),-2)),SUMIFS(Dati!$F$2:$F$381,Dati!$A$2:$A$381,$H49,Dati!$H$2:$H$381,$Y49)+SUMIFS(Dati!$M$2:$M$381,Dati!$H$2:$H$381,$H49,Dati!$A$2:$A$381,$Y49),"-")</f>
        <v/>
      </c>
      <c r="DJ49" s="22">
        <f>IF(AND($H49&lt;&gt;"",$Z49&lt;&gt;"",$H49&lt;&gt;$Z49,IFERROR(VLOOKUP($H49,areaCercaPuntiClassificaSquadra,3,FALSE),-1)=IFERROR(VLOOKUP($Z49,areaCercaPuntiClassificaSquadra,3,FALSE),-2)),SUMIFS(Dati!$F$2:$F$381,Dati!$A$2:$A$381,$H49,Dati!$H$2:$H$381,$Z49)+SUMIFS(Dati!$M$2:$M$381,Dati!$H$2:$H$381,$H49,Dati!$A$2:$A$381,$Z49),"-")</f>
        <v/>
      </c>
      <c r="DK49" s="22">
        <f>IF(AND($H49&lt;&gt;"",$AA49&lt;&gt;"",$H49&lt;&gt;$AA49,IFERROR(VLOOKUP($H49,areaCercaPuntiClassificaSquadra,3,FALSE),-1)=IFERROR(VLOOKUP($AA49,areaCercaPuntiClassificaSquadra,3,FALSE),-2)),SUMIFS(Dati!$F$2:$F$381,Dati!$A$2:$A$381,$H49,Dati!$H$2:$H$381,$AA49)+SUMIFS(Dati!$M$2:$M$381,Dati!$H$2:$H$381,$H49,Dati!$A$2:$A$381,$AA49),"-")</f>
        <v/>
      </c>
      <c r="DL49" s="22">
        <f>IF(AND($H49&lt;&gt;"",$AB49&lt;&gt;"",$H49&lt;&gt;$AB49,IFERROR(VLOOKUP($H49,areaCercaPuntiClassificaSquadra,3,FALSE),-1)=IFERROR(VLOOKUP($AB49,areaCercaPuntiClassificaSquadra,3,FALSE),-2)),SUMIFS(Dati!$F$2:$F$381,Dati!$A$2:$A$381,$H49,Dati!$H$2:$H$381,$AB49)+SUMIFS(Dati!$M$2:$M$381,Dati!$H$2:$H$381,$H49,Dati!$A$2:$A$381,$AB49),"-")</f>
        <v/>
      </c>
      <c r="DM49" s="22">
        <f>IF(AND($H49&lt;&gt;"",$AC49&lt;&gt;"",$H49&lt;&gt;$AC49,IFERROR(VLOOKUP($H49,areaCercaPuntiClassificaSquadra,3,FALSE),-1)=IFERROR(VLOOKUP($AC49,areaCercaPuntiClassificaSquadra,3,FALSE),-2)),SUMIFS(Dati!$F$2:$F$381,Dati!$A$2:$A$381,$H49,Dati!$H$2:$H$381,$AC49)+SUMIFS(Dati!$M$2:$M$381,Dati!$H$2:$H$381,$H49,Dati!$A$2:$A$381,$AC49),"-")</f>
        <v/>
      </c>
      <c r="DN49" s="22">
        <f>IF(AND($H49&lt;&gt;"",$AD49&lt;&gt;"",$H49&lt;&gt;$AD49,IFERROR(VLOOKUP($H49,areaCercaPuntiClassificaSquadra,3,FALSE),-1)=IFERROR(VLOOKUP($AD49,areaCercaPuntiClassificaSquadra,3,FALSE),-2)),SUMIFS(Dati!$F$2:$F$381,Dati!$A$2:$A$381,$H49,Dati!$H$2:$H$381,$AD49)+SUMIFS(Dati!$M$2:$M$381,Dati!$H$2:$H$381,$H49,Dati!$A$2:$A$381,$AD49),"-")</f>
        <v/>
      </c>
      <c r="DO49" s="22">
        <f>IF(AND($H49&lt;&gt;"",$AE49&lt;&gt;"",$H49&lt;&gt;$AE49,IFERROR(VLOOKUP($H49,areaCercaPuntiClassificaSquadra,3,FALSE),-1)=IFERROR(VLOOKUP($AE49,areaCercaPuntiClassificaSquadra,3,FALSE),-2)),SUMIFS(Dati!$F$2:$F$381,Dati!$A$2:$A$381,$H49,Dati!$H$2:$H$381,$AE49)+SUMIFS(Dati!$M$2:$M$381,Dati!$H$2:$H$381,$H49,Dati!$A$2:$A$381,$AE49),"-")</f>
        <v/>
      </c>
      <c r="DP49" s="22">
        <f>IF(AND($H49&lt;&gt;"",$AF49&lt;&gt;"",$H49&lt;&gt;$AF49,IFERROR(VLOOKUP($H49,areaCercaPuntiClassificaSquadra,3,FALSE),-1)=IFERROR(VLOOKUP($AF49,areaCercaPuntiClassificaSquadra,3,FALSE),-2)),SUMIFS(Dati!$F$2:$F$381,Dati!$A$2:$A$381,$H49,Dati!$H$2:$H$381,$AF49)+SUMIFS(Dati!$M$2:$M$381,Dati!$H$2:$H$381,$H49,Dati!$A$2:$A$381,$AF49),"-")</f>
        <v/>
      </c>
      <c r="DQ49" s="22">
        <f>IF(AND($H49&lt;&gt;"",$AG49&lt;&gt;"",$H49&lt;&gt;$AG49,IFERROR(VLOOKUP($H49,areaCercaPuntiClassificaSquadra,3,FALSE),-1)=IFERROR(VLOOKUP($AG49,areaCercaPuntiClassificaSquadra,3,FALSE),-2)),SUMIFS(Dati!$F$2:$F$381,Dati!$A$2:$A$381,$H49,Dati!$H$2:$H$381,$AG49)+SUMIFS(Dati!$M$2:$M$381,Dati!$H$2:$H$381,$H49,Dati!$A$2:$A$381,$AG49),"-")</f>
        <v/>
      </c>
      <c r="DR49" s="22">
        <f>IF(AND($H49&lt;&gt;"",$AH49&lt;&gt;"",$H49&lt;&gt;$AH49,IFERROR(VLOOKUP($H49,areaCercaPuntiClassificaSquadra,3,FALSE),-1)=IFERROR(VLOOKUP($AH49,areaCercaPuntiClassificaSquadra,3,FALSE),-2)),SUMIFS(Dati!$F$2:$F$381,Dati!$A$2:$A$381,$H49,Dati!$H$2:$H$381,$AH49)+SUMIFS(Dati!$M$2:$M$381,Dati!$H$2:$H$381,$H49,Dati!$A$2:$A$381,$AH49),"-")</f>
        <v/>
      </c>
      <c r="DS49" s="22">
        <f>IF(AND($H49&lt;&gt;"",$AI49&lt;&gt;"",$H49&lt;&gt;$AI49,IFERROR(VLOOKUP($H49,areaCercaPuntiClassificaSquadra,3,FALSE),-1)=IFERROR(VLOOKUP($AI49,areaCercaPuntiClassificaSquadra,3,FALSE),-2)),SUMIFS(Dati!$F$2:$F$381,Dati!$A$2:$A$381,$H49,Dati!$H$2:$H$381,$AI49)+SUMIFS(Dati!$M$2:$M$381,Dati!$H$2:$H$381,$H49,Dati!$A$2:$A$381,$AI49),"-")</f>
        <v/>
      </c>
      <c r="DT49" s="22">
        <f>IF(AND($H49&lt;&gt;"",$AJ49&lt;&gt;"",$H49&lt;&gt;$AJ49,IFERROR(VLOOKUP($H49,areaCercaPuntiClassificaSquadra,3,FALSE),-1)=IFERROR(VLOOKUP($AJ49,areaCercaPuntiClassificaSquadra,3,FALSE),-2)),SUMIFS(Dati!$F$2:$F$381,Dati!$A$2:$A$381,$H49,Dati!$H$2:$H$381,$AJ49)+SUMIFS(Dati!$M$2:$M$381,Dati!$H$2:$H$381,$H49,Dati!$A$2:$A$381,$AJ49),"-")</f>
        <v/>
      </c>
      <c r="DU49" s="22">
        <f>IF(AND($H49&lt;&gt;"",$AK49&lt;&gt;"",$H49&lt;&gt;$AK49,IFERROR(VLOOKUP($H49,areaCercaPuntiClassificaSquadra,3,FALSE),-1)=IFERROR(VLOOKUP($AK49,areaCercaPuntiClassificaSquadra,3,FALSE),-2)),SUMIFS(Dati!$F$2:$F$381,Dati!$A$2:$A$381,$H49,Dati!$H$2:$H$381,$AK49)+SUMIFS(Dati!$M$2:$M$381,Dati!$H$2:$H$381,$H49,Dati!$A$2:$A$381,$AK49),"-")</f>
        <v/>
      </c>
      <c r="DV49" s="22">
        <f>IF(AND($H49&lt;&gt;"",$AL49&lt;&gt;"",$H49&lt;&gt;$AL49,IFERROR(VLOOKUP($H49,areaCercaPuntiClassificaSquadra,3,FALSE),-1)=IFERROR(VLOOKUP($AL49,areaCercaPuntiClassificaSquadra,3,FALSE),-2)),SUMIFS(Dati!$F$2:$F$381,Dati!$A$2:$A$381,$H49,Dati!$H$2:$H$381,$AL49)+SUMIFS(Dati!$M$2:$M$381,Dati!$H$2:$H$381,$H49,Dati!$A$2:$A$381,$AL49),"-")</f>
        <v/>
      </c>
      <c r="DW49" s="22">
        <f>IF(AND($H49&lt;&gt;"",$AM49&lt;&gt;"",$H49&lt;&gt;$AM49,IFERROR(VLOOKUP($H49,areaCercaPuntiClassificaSquadra,3,FALSE),-1)=IFERROR(VLOOKUP($AM49,areaCercaPuntiClassificaSquadra,3,FALSE),-2)),SUMIFS(Dati!$F$2:$F$381,Dati!$A$2:$A$381,$H49,Dati!$H$2:$H$381,$AM49)+SUMIFS(Dati!$M$2:$M$381,Dati!$H$2:$H$381,$H49,Dati!$A$2:$A$381,$AM49),"-")</f>
        <v/>
      </c>
      <c r="DX49" s="22">
        <f>IF(AND($H49&lt;&gt;"",$AN49&lt;&gt;"",$H49&lt;&gt;$AN49,IFERROR(VLOOKUP($H49,areaCercaPuntiClassificaSquadra,3,FALSE),-1)=IFERROR(VLOOKUP($AN49,areaCercaPuntiClassificaSquadra,3,FALSE),-2)),SUMIFS(Dati!$F$2:$F$381,Dati!$A$2:$A$381,$H49,Dati!$H$2:$H$381,$AN49)+SUMIFS(Dati!$M$2:$M$381,Dati!$H$2:$H$381,$H49,Dati!$A$2:$A$381,$AN49),"-")</f>
        <v/>
      </c>
      <c r="DY49" s="22">
        <f>IF(AND($H49&lt;&gt;"",$AO49&lt;&gt;"",$H49&lt;&gt;$AO49,IFERROR(VLOOKUP($H49,areaCercaPuntiClassificaSquadra,3,FALSE),-1)=IFERROR(VLOOKUP($AO49,areaCercaPuntiClassificaSquadra,3,FALSE),-2)),SUMIFS(Dati!$F$2:$F$381,Dati!$A$2:$A$381,$H49,Dati!$H$2:$H$381,$AO49)+SUMIFS(Dati!$M$2:$M$381,Dati!$H$2:$H$381,$H49,Dati!$A$2:$A$381,$AO49),"-")</f>
        <v/>
      </c>
      <c r="DZ49" s="22">
        <f>IF(AND($H49&lt;&gt;"",$AP49&lt;&gt;"",$H49&lt;&gt;$AP49,IFERROR(VLOOKUP($H49,areaCercaPuntiClassificaSquadra,3,FALSE),-1)=IFERROR(VLOOKUP($AP49,areaCercaPuntiClassificaSquadra,3,FALSE),-2)),SUMIFS(Dati!$F$2:$F$381,Dati!$A$2:$A$381,$H49,Dati!$H$2:$H$381,$AP49)+SUMIFS(Dati!$M$2:$M$381,Dati!$H$2:$H$381,$H49,Dati!$A$2:$A$381,$AP49),"-")</f>
        <v/>
      </c>
      <c r="EA49" s="22">
        <f>IF(AND($H49&lt;&gt;"",$AQ49&lt;&gt;"",$H49&lt;&gt;$AQ49,IFERROR(VLOOKUP($H49,areaCercaPuntiClassificaSquadra,3,FALSE),-1)=IFERROR(VLOOKUP($AQ49,areaCercaPuntiClassificaSquadra,3,FALSE),-2)),SUMIFS(Dati!$F$2:$F$381,Dati!$A$2:$A$381,$H49,Dati!$H$2:$H$381,$AQ49)+SUMIFS(Dati!$M$2:$M$381,Dati!$H$2:$H$381,$H49,Dati!$A$2:$A$381,$AQ49),"-")</f>
        <v/>
      </c>
      <c r="EB49" s="22">
        <f>IF(AND($H49&lt;&gt;"",$AR49&lt;&gt;"",$H49&lt;&gt;$AR49,IFERROR(VLOOKUP($H49,areaCercaPuntiClassificaSquadra,3,FALSE),-1)=IFERROR(VLOOKUP($AR49,areaCercaPuntiClassificaSquadra,3,FALSE),-2)),SUMIFS(Dati!$F$2:$F$381,Dati!$A$2:$A$381,$H49,Dati!$H$2:$H$381,$AR49)+SUMIFS(Dati!$M$2:$M$381,Dati!$H$2:$H$381,$H49,Dati!$A$2:$A$381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inlineStr">
        <is>
          <t>Cavalli Celeri-Cavalliopoli CE</t>
        </is>
      </c>
      <c r="D50" s="14" t="n"/>
      <c r="E50" s="23" t="inlineStr">
        <is>
          <t>B</t>
        </is>
      </c>
      <c r="G50" s="24">
        <f>IF($C50="","",$E50&amp;(COUNTIFS(I$14:I$53,"&gt;"&amp;I50,E$14:E$53,"="&amp;E50,C$14:C$53,"&lt;&gt;")+COUNTIFS(I$14:I$53,"="&amp;I50,H$14:H$53,"&lt;="&amp;H50,E$14:E$53,"="&amp;E50,C$14:C$53,"&lt;&gt;")))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L50*constPuntiVittoria+M50*constPuntiSconfitta+N50*constPuntiForfait+IF(D50="",0,D50)</f>
        <v/>
      </c>
      <c r="K50" s="12">
        <f>SUM(L50:N50)</f>
        <v/>
      </c>
      <c r="L50" s="12">
        <f>IF($H50="",0,SUMIF(Dati!$A$2:$A$381,$H50,Dati!$B$2:$B$381)+SUMIF(Dati!$H$2:$H$381,$H50,Dati!$I$2:$I$381))</f>
        <v/>
      </c>
      <c r="M50" s="12">
        <f>IF($H50="",0,SUMIF(Dati!$A$2:$A$381,$H50,Dati!$D$2:$D$381)+SUMIF(Dati!$H$2:$H$381,$H50,Dati!$K$2:$K$381))</f>
        <v/>
      </c>
      <c r="N50" s="12">
        <f>IF($H50="",0,SUMIF(Dati!$A$2:$A$381,$H50,Dati!$C$2:$C$381)+SUMIF(Dati!$H$2:$H$381,$H50,Dati!$J$2:$J$381))</f>
        <v/>
      </c>
      <c r="O50" s="12">
        <f>IF($H50="",0,SUMIF(Dati!$A$2:$A$381,$H50,Dati!$E$2:$E$381)+SUMIF(Dati!$H$2:$H$381,$H50,Dati!$L$2:$L$381))</f>
        <v/>
      </c>
      <c r="P50" s="12">
        <f>IF($H50="",0,SUMIF(Dati!$A$2:$A$381,$H50,Dati!$F$2:$F$381)+SUMIF(Dati!$H$2:$H$381,$H50,Dati!$M$2:$M$381))</f>
        <v/>
      </c>
      <c r="Q50" s="12">
        <f>IF($H50="",0,SUMIF(Dati!$A$2:$A$381,$H50,Dati!$G$2:$G$381)+SUMIF(Dati!$H$2:$H$381,$H50,Dati!$N$2:$N$381))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IF(COUNTIFS($E$14:$E$53,$E50,$J$14:$J$53,$J50,$C$14:$C$53,"&lt;&gt;")&lt;=1,"-",SUM(AU50:BN50)&amp;"-"&amp;SUM(BQ50:CJ50))</f>
        <v/>
      </c>
      <c r="V50" s="18">
        <f>IF(COUNTIFS($E$14:$E$53,$E50,$J$14:$J$53,$J50,$C$14:$C$53,"&lt;&gt;",$ED$14:$ED$53,$ED50)&lt;=1,"-",IF(SUM(DI50:EB50)=0,0,ROUND(SUM(CM50:DF50)/SUM(DI50:EB50),3)))</f>
        <v/>
      </c>
      <c r="W50" s="18">
        <f>IF(COUNTIFS($E$14:$E$53,$E50,$J$14:$J$53,$J50,$C$14:$C$53,"&lt;&gt;",$ED$14:$ED$53,$ED50,$V$14:$V$53,$V50)&lt;=1,"-",IF(P50=0,0,ROUND(O50/P50,3)))</f>
        <v/>
      </c>
      <c r="X50" s="19">
        <f>IF($C50="","",$E50&amp;"#"&amp;COUNTIFS($E$14:$E50,$E50,$C$14:$C50,"&lt;&gt;"))</f>
        <v/>
      </c>
      <c r="Y50" s="20">
        <f>IFERROR(INDEX($H$14:$H$53,MATCH($E50&amp;"#1",$X$14:$X$53,0)),"")</f>
        <v/>
      </c>
      <c r="Z50" s="20">
        <f>IFERROR(INDEX($H$14:$H$53,MATCH($E50&amp;"#2",$X$14:$X$53,0)),"")</f>
        <v/>
      </c>
      <c r="AA50" s="20">
        <f>IFERROR(INDEX($H$14:$H$53,MATCH($E50&amp;"#3",$X$14:$X$53,0)),"")</f>
        <v/>
      </c>
      <c r="AB50" s="20">
        <f>IFERROR(INDEX($H$14:$H$53,MATCH($E50&amp;"#4",$X$14:$X$53,0)),"")</f>
        <v/>
      </c>
      <c r="AC50" s="20">
        <f>IFERROR(INDEX($H$14:$H$53,MATCH($E50&amp;"#5",$X$14:$X$53,0)),"")</f>
        <v/>
      </c>
      <c r="AD50" s="20">
        <f>IFERROR(INDEX($H$14:$H$53,MATCH($E50&amp;"#6",$X$14:$X$53,0)),"")</f>
        <v/>
      </c>
      <c r="AE50" s="20">
        <f>IFERROR(INDEX($H$14:$H$53,MATCH($E50&amp;"#7",$X$14:$X$53,0)),"")</f>
        <v/>
      </c>
      <c r="AF50" s="20">
        <f>IFERROR(INDEX($H$14:$H$53,MATCH($E50&amp;"#8",$X$14:$X$53,0)),"")</f>
        <v/>
      </c>
      <c r="AG50" s="20">
        <f>IFERROR(INDEX($H$14:$H$53,MATCH($E50&amp;"#9",$X$14:$X$53,0)),"")</f>
        <v/>
      </c>
      <c r="AH50" s="20">
        <f>IFERROR(INDEX($H$14:$H$53,MATCH($E50&amp;"#10",$X$14:$X$53,0)),"")</f>
        <v/>
      </c>
      <c r="AI50" s="20">
        <f>IFERROR(INDEX($H$14:$H$53,MATCH($E50&amp;"#11",$X$14:$X$53,0)),"")</f>
        <v/>
      </c>
      <c r="AJ50" s="20">
        <f>IFERROR(INDEX($H$14:$H$53,MATCH($E50&amp;"#12",$X$14:$X$53,0)),"")</f>
        <v/>
      </c>
      <c r="AK50" s="20">
        <f>IFERROR(INDEX($H$14:$H$53,MATCH($E50&amp;"#13",$X$14:$X$53,0)),"")</f>
        <v/>
      </c>
      <c r="AL50" s="20">
        <f>IFERROR(INDEX($H$14:$H$53,MATCH($E50&amp;"#14",$X$14:$X$53,0)),"")</f>
        <v/>
      </c>
      <c r="AM50" s="20">
        <f>IFERROR(INDEX($H$14:$H$53,MATCH($E50&amp;"#15",$X$14:$X$53,0)),"")</f>
        <v/>
      </c>
      <c r="AN50" s="20">
        <f>IFERROR(INDEX($H$14:$H$53,MATCH($E50&amp;"#16",$X$14:$X$53,0)),"")</f>
        <v/>
      </c>
      <c r="AO50" s="20">
        <f>IFERROR(INDEX($H$14:$H$53,MATCH($E50&amp;"#17",$X$14:$X$53,0)),"")</f>
        <v/>
      </c>
      <c r="AP50" s="20">
        <f>IFERROR(INDEX($H$14:$H$53,MATCH($E50&amp;"#18",$X$14:$X$53,0)),"")</f>
        <v/>
      </c>
      <c r="AQ50" s="20">
        <f>IFERROR(INDEX($H$14:$H$53,MATCH($E50&amp;"#19",$X$14:$X$53,0)),"")</f>
        <v/>
      </c>
      <c r="AR50" s="20">
        <f>IFERROR(INDEX($H$14:$H$53,MATCH($E50&amp;"#20",$X$14:$X$53,0)),"")</f>
        <v/>
      </c>
      <c r="AT50" s="21">
        <f>$C50</f>
        <v/>
      </c>
      <c r="AU50" s="22">
        <f>IF(AND($H50&lt;&gt;"",$Y50&lt;&gt;"",$H50&lt;&gt;$Y50,IFERROR(VLOOKUP($H50,areaCercaPuntiClassificaSquadra,3,FALSE),-1)=IFERROR(VLOOKUP($Y50,areaCercaPuntiClassificaSquadra,3,FALSE),-2)),SUMIFS(Dati!$B$2:$B$381,Dati!$A$2:$A$381,$H50,Dati!$H$2:$H$381,$Y50)+SUMIFS(Dati!$I$2:$I$381,Dati!$H$2:$H$381,$H50,Dati!$A$2:$A$381,$Y50),"-")</f>
        <v/>
      </c>
      <c r="AV50" s="22">
        <f>IF(AND($H50&lt;&gt;"",$Z50&lt;&gt;"",$H50&lt;&gt;$Z50,IFERROR(VLOOKUP($H50,areaCercaPuntiClassificaSquadra,3,FALSE),-1)=IFERROR(VLOOKUP($Z50,areaCercaPuntiClassificaSquadra,3,FALSE),-2)),SUMIFS(Dati!$B$2:$B$381,Dati!$A$2:$A$381,$H50,Dati!$H$2:$H$381,$Z50)+SUMIFS(Dati!$I$2:$I$381,Dati!$H$2:$H$381,$H50,Dati!$A$2:$A$381,$Z50),"-")</f>
        <v/>
      </c>
      <c r="AW50" s="22">
        <f>IF(AND($H50&lt;&gt;"",$AA50&lt;&gt;"",$H50&lt;&gt;$AA50,IFERROR(VLOOKUP($H50,areaCercaPuntiClassificaSquadra,3,FALSE),-1)=IFERROR(VLOOKUP($AA50,areaCercaPuntiClassificaSquadra,3,FALSE),-2)),SUMIFS(Dati!$B$2:$B$381,Dati!$A$2:$A$381,$H50,Dati!$H$2:$H$381,$AA50)+SUMIFS(Dati!$I$2:$I$381,Dati!$H$2:$H$381,$H50,Dati!$A$2:$A$381,$AA50),"-")</f>
        <v/>
      </c>
      <c r="AX50" s="22">
        <f>IF(AND($H50&lt;&gt;"",$AB50&lt;&gt;"",$H50&lt;&gt;$AB50,IFERROR(VLOOKUP($H50,areaCercaPuntiClassificaSquadra,3,FALSE),-1)=IFERROR(VLOOKUP($AB50,areaCercaPuntiClassificaSquadra,3,FALSE),-2)),SUMIFS(Dati!$B$2:$B$381,Dati!$A$2:$A$381,$H50,Dati!$H$2:$H$381,$AB50)+SUMIFS(Dati!$I$2:$I$381,Dati!$H$2:$H$381,$H50,Dati!$A$2:$A$381,$AB50),"-")</f>
        <v/>
      </c>
      <c r="AY50" s="22">
        <f>IF(AND($H50&lt;&gt;"",$AC50&lt;&gt;"",$H50&lt;&gt;$AC50,IFERROR(VLOOKUP($H50,areaCercaPuntiClassificaSquadra,3,FALSE),-1)=IFERROR(VLOOKUP($AC50,areaCercaPuntiClassificaSquadra,3,FALSE),-2)),SUMIFS(Dati!$B$2:$B$381,Dati!$A$2:$A$381,$H50,Dati!$H$2:$H$381,$AC50)+SUMIFS(Dati!$I$2:$I$381,Dati!$H$2:$H$381,$H50,Dati!$A$2:$A$381,$AC50),"-")</f>
        <v/>
      </c>
      <c r="AZ50" s="22">
        <f>IF(AND($H50&lt;&gt;"",$AD50&lt;&gt;"",$H50&lt;&gt;$AD50,IFERROR(VLOOKUP($H50,areaCercaPuntiClassificaSquadra,3,FALSE),-1)=IFERROR(VLOOKUP($AD50,areaCercaPuntiClassificaSquadra,3,FALSE),-2)),SUMIFS(Dati!$B$2:$B$381,Dati!$A$2:$A$381,$H50,Dati!$H$2:$H$381,$AD50)+SUMIFS(Dati!$I$2:$I$381,Dati!$H$2:$H$381,$H50,Dati!$A$2:$A$381,$AD50),"-")</f>
        <v/>
      </c>
      <c r="BA50" s="22">
        <f>IF(AND($H50&lt;&gt;"",$AE50&lt;&gt;"",$H50&lt;&gt;$AE50,IFERROR(VLOOKUP($H50,areaCercaPuntiClassificaSquadra,3,FALSE),-1)=IFERROR(VLOOKUP($AE50,areaCercaPuntiClassificaSquadra,3,FALSE),-2)),SUMIFS(Dati!$B$2:$B$381,Dati!$A$2:$A$381,$H50,Dati!$H$2:$H$381,$AE50)+SUMIFS(Dati!$I$2:$I$381,Dati!$H$2:$H$381,$H50,Dati!$A$2:$A$381,$AE50),"-")</f>
        <v/>
      </c>
      <c r="BB50" s="22">
        <f>IF(AND($H50&lt;&gt;"",$AF50&lt;&gt;"",$H50&lt;&gt;$AF50,IFERROR(VLOOKUP($H50,areaCercaPuntiClassificaSquadra,3,FALSE),-1)=IFERROR(VLOOKUP($AF50,areaCercaPuntiClassificaSquadra,3,FALSE),-2)),SUMIFS(Dati!$B$2:$B$381,Dati!$A$2:$A$381,$H50,Dati!$H$2:$H$381,$AF50)+SUMIFS(Dati!$I$2:$I$381,Dati!$H$2:$H$381,$H50,Dati!$A$2:$A$381,$AF50),"-")</f>
        <v/>
      </c>
      <c r="BC50" s="22">
        <f>IF(AND($H50&lt;&gt;"",$AG50&lt;&gt;"",$H50&lt;&gt;$AG50,IFERROR(VLOOKUP($H50,areaCercaPuntiClassificaSquadra,3,FALSE),-1)=IFERROR(VLOOKUP($AG50,areaCercaPuntiClassificaSquadra,3,FALSE),-2)),SUMIFS(Dati!$B$2:$B$381,Dati!$A$2:$A$381,$H50,Dati!$H$2:$H$381,$AG50)+SUMIFS(Dati!$I$2:$I$381,Dati!$H$2:$H$381,$H50,Dati!$A$2:$A$381,$AG50),"-")</f>
        <v/>
      </c>
      <c r="BD50" s="22">
        <f>IF(AND($H50&lt;&gt;"",$AH50&lt;&gt;"",$H50&lt;&gt;$AH50,IFERROR(VLOOKUP($H50,areaCercaPuntiClassificaSquadra,3,FALSE),-1)=IFERROR(VLOOKUP($AH50,areaCercaPuntiClassificaSquadra,3,FALSE),-2)),SUMIFS(Dati!$B$2:$B$381,Dati!$A$2:$A$381,$H50,Dati!$H$2:$H$381,$AH50)+SUMIFS(Dati!$I$2:$I$381,Dati!$H$2:$H$381,$H50,Dati!$A$2:$A$381,$AH50),"-")</f>
        <v/>
      </c>
      <c r="BE50" s="22">
        <f>IF(AND($H50&lt;&gt;"",$AI50&lt;&gt;"",$H50&lt;&gt;$AI50,IFERROR(VLOOKUP($H50,areaCercaPuntiClassificaSquadra,3,FALSE),-1)=IFERROR(VLOOKUP($AI50,areaCercaPuntiClassificaSquadra,3,FALSE),-2)),SUMIFS(Dati!$B$2:$B$381,Dati!$A$2:$A$381,$H50,Dati!$H$2:$H$381,$AI50)+SUMIFS(Dati!$I$2:$I$381,Dati!$H$2:$H$381,$H50,Dati!$A$2:$A$381,$AI50),"-")</f>
        <v/>
      </c>
      <c r="BF50" s="22">
        <f>IF(AND($H50&lt;&gt;"",$AJ50&lt;&gt;"",$H50&lt;&gt;$AJ50,IFERROR(VLOOKUP($H50,areaCercaPuntiClassificaSquadra,3,FALSE),-1)=IFERROR(VLOOKUP($AJ50,areaCercaPuntiClassificaSquadra,3,FALSE),-2)),SUMIFS(Dati!$B$2:$B$381,Dati!$A$2:$A$381,$H50,Dati!$H$2:$H$381,$AJ50)+SUMIFS(Dati!$I$2:$I$381,Dati!$H$2:$H$381,$H50,Dati!$A$2:$A$381,$AJ50),"-")</f>
        <v/>
      </c>
      <c r="BG50" s="22">
        <f>IF(AND($H50&lt;&gt;"",$AK50&lt;&gt;"",$H50&lt;&gt;$AK50,IFERROR(VLOOKUP($H50,areaCercaPuntiClassificaSquadra,3,FALSE),-1)=IFERROR(VLOOKUP($AK50,areaCercaPuntiClassificaSquadra,3,FALSE),-2)),SUMIFS(Dati!$B$2:$B$381,Dati!$A$2:$A$381,$H50,Dati!$H$2:$H$381,$AK50)+SUMIFS(Dati!$I$2:$I$381,Dati!$H$2:$H$381,$H50,Dati!$A$2:$A$381,$AK50),"-")</f>
        <v/>
      </c>
      <c r="BH50" s="22">
        <f>IF(AND($H50&lt;&gt;"",$AL50&lt;&gt;"",$H50&lt;&gt;$AL50,IFERROR(VLOOKUP($H50,areaCercaPuntiClassificaSquadra,3,FALSE),-1)=IFERROR(VLOOKUP($AL50,areaCercaPuntiClassificaSquadra,3,FALSE),-2)),SUMIFS(Dati!$B$2:$B$381,Dati!$A$2:$A$381,$H50,Dati!$H$2:$H$381,$AL50)+SUMIFS(Dati!$I$2:$I$381,Dati!$H$2:$H$381,$H50,Dati!$A$2:$A$381,$AL50),"-")</f>
        <v/>
      </c>
      <c r="BI50" s="22">
        <f>IF(AND($H50&lt;&gt;"",$AM50&lt;&gt;"",$H50&lt;&gt;$AM50,IFERROR(VLOOKUP($H50,areaCercaPuntiClassificaSquadra,3,FALSE),-1)=IFERROR(VLOOKUP($AM50,areaCercaPuntiClassificaSquadra,3,FALSE),-2)),SUMIFS(Dati!$B$2:$B$381,Dati!$A$2:$A$381,$H50,Dati!$H$2:$H$381,$AM50)+SUMIFS(Dati!$I$2:$I$381,Dati!$H$2:$H$381,$H50,Dati!$A$2:$A$381,$AM50),"-")</f>
        <v/>
      </c>
      <c r="BJ50" s="22">
        <f>IF(AND($H50&lt;&gt;"",$AN50&lt;&gt;"",$H50&lt;&gt;$AN50,IFERROR(VLOOKUP($H50,areaCercaPuntiClassificaSquadra,3,FALSE),-1)=IFERROR(VLOOKUP($AN50,areaCercaPuntiClassificaSquadra,3,FALSE),-2)),SUMIFS(Dati!$B$2:$B$381,Dati!$A$2:$A$381,$H50,Dati!$H$2:$H$381,$AN50)+SUMIFS(Dati!$I$2:$I$381,Dati!$H$2:$H$381,$H50,Dati!$A$2:$A$381,$AN50),"-")</f>
        <v/>
      </c>
      <c r="BK50" s="22">
        <f>IF(AND($H50&lt;&gt;"",$AO50&lt;&gt;"",$H50&lt;&gt;$AO50,IFERROR(VLOOKUP($H50,areaCercaPuntiClassificaSquadra,3,FALSE),-1)=IFERROR(VLOOKUP($AO50,areaCercaPuntiClassificaSquadra,3,FALSE),-2)),SUMIFS(Dati!$B$2:$B$381,Dati!$A$2:$A$381,$H50,Dati!$H$2:$H$381,$AO50)+SUMIFS(Dati!$I$2:$I$381,Dati!$H$2:$H$381,$H50,Dati!$A$2:$A$381,$AO50),"-")</f>
        <v/>
      </c>
      <c r="BL50" s="22">
        <f>IF(AND($H50&lt;&gt;"",$AP50&lt;&gt;"",$H50&lt;&gt;$AP50,IFERROR(VLOOKUP($H50,areaCercaPuntiClassificaSquadra,3,FALSE),-1)=IFERROR(VLOOKUP($AP50,areaCercaPuntiClassificaSquadra,3,FALSE),-2)),SUMIFS(Dati!$B$2:$B$381,Dati!$A$2:$A$381,$H50,Dati!$H$2:$H$381,$AP50)+SUMIFS(Dati!$I$2:$I$381,Dati!$H$2:$H$381,$H50,Dati!$A$2:$A$381,$AP50),"-")</f>
        <v/>
      </c>
      <c r="BM50" s="22">
        <f>IF(AND($H50&lt;&gt;"",$AQ50&lt;&gt;"",$H50&lt;&gt;$AQ50,IFERROR(VLOOKUP($H50,areaCercaPuntiClassificaSquadra,3,FALSE),-1)=IFERROR(VLOOKUP($AQ50,areaCercaPuntiClassificaSquadra,3,FALSE),-2)),SUMIFS(Dati!$B$2:$B$381,Dati!$A$2:$A$381,$H50,Dati!$H$2:$H$381,$AQ50)+SUMIFS(Dati!$I$2:$I$381,Dati!$H$2:$H$381,$H50,Dati!$A$2:$A$381,$AQ50),"-")</f>
        <v/>
      </c>
      <c r="BN50" s="22">
        <f>IF(AND($H50&lt;&gt;"",$AR50&lt;&gt;"",$H50&lt;&gt;$AR50,IFERROR(VLOOKUP($H50,areaCercaPuntiClassificaSquadra,3,FALSE),-1)=IFERROR(VLOOKUP($AR50,areaCercaPuntiClassificaSquadra,3,FALSE),-2)),SUMIFS(Dati!$B$2:$B$381,Dati!$A$2:$A$381,$H50,Dati!$H$2:$H$381,$AR50)+SUMIFS(Dati!$I$2:$I$381,Dati!$H$2:$H$381,$H50,Dati!$A$2:$A$381,$AR50),"-")</f>
        <v/>
      </c>
      <c r="BP50" s="21">
        <f>$C50</f>
        <v/>
      </c>
      <c r="BQ50" s="22">
        <f>IF(AND($H50&lt;&gt;"",$Y50&lt;&gt;"",$H50&lt;&gt;$Y50,IFERROR(VLOOKUP($H50,areaCercaPuntiClassificaSquadra,3,FALSE),-1)=IFERROR(VLOOKUP($Y50,areaCercaPuntiClassificaSquadra,3,FALSE),-2)),SUMIFS(Dati!$D$2:$D$381,Dati!$A$2:$A$381,$H50,Dati!$H$2:$H$381,$Y50)+SUMIFS(Dati!$K$2:$K$381,Dati!$H$2:$H$381,$H50,Dati!$A$2:$A$381,$Y50)+SUMIFS(Dati!$C$2:$C$381,Dati!$A$2:$A$381,$H50,Dati!$H$2:$H$381,$Y50)+SUMIFS(Dati!$J$2:$J$381,Dati!$H$2:$H$381,$H50,Dati!$A$2:$A$381,$Y50),"-")</f>
        <v/>
      </c>
      <c r="BR50" s="22">
        <f>IF(AND($H50&lt;&gt;"",$Z50&lt;&gt;"",$H50&lt;&gt;$Z50,IFERROR(VLOOKUP($H50,areaCercaPuntiClassificaSquadra,3,FALSE),-1)=IFERROR(VLOOKUP($Z50,areaCercaPuntiClassificaSquadra,3,FALSE),-2)),SUMIFS(Dati!$D$2:$D$381,Dati!$A$2:$A$381,$H50,Dati!$H$2:$H$381,$Z50)+SUMIFS(Dati!$K$2:$K$381,Dati!$H$2:$H$381,$H50,Dati!$A$2:$A$381,$Z50)+SUMIFS(Dati!$C$2:$C$381,Dati!$A$2:$A$381,$H50,Dati!$H$2:$H$381,$Z50)+SUMIFS(Dati!$J$2:$J$381,Dati!$H$2:$H$381,$H50,Dati!$A$2:$A$381,$Z50),"-")</f>
        <v/>
      </c>
      <c r="BS50" s="22">
        <f>IF(AND($H50&lt;&gt;"",$AA50&lt;&gt;"",$H50&lt;&gt;$AA50,IFERROR(VLOOKUP($H50,areaCercaPuntiClassificaSquadra,3,FALSE),-1)=IFERROR(VLOOKUP($AA50,areaCercaPuntiClassificaSquadra,3,FALSE),-2)),SUMIFS(Dati!$D$2:$D$381,Dati!$A$2:$A$381,$H50,Dati!$H$2:$H$381,$AA50)+SUMIFS(Dati!$K$2:$K$381,Dati!$H$2:$H$381,$H50,Dati!$A$2:$A$381,$AA50)+SUMIFS(Dati!$C$2:$C$381,Dati!$A$2:$A$381,$H50,Dati!$H$2:$H$381,$AA50)+SUMIFS(Dati!$J$2:$J$381,Dati!$H$2:$H$381,$H50,Dati!$A$2:$A$381,$AA50),"-")</f>
        <v/>
      </c>
      <c r="BT50" s="22">
        <f>IF(AND($H50&lt;&gt;"",$AB50&lt;&gt;"",$H50&lt;&gt;$AB50,IFERROR(VLOOKUP($H50,areaCercaPuntiClassificaSquadra,3,FALSE),-1)=IFERROR(VLOOKUP($AB50,areaCercaPuntiClassificaSquadra,3,FALSE),-2)),SUMIFS(Dati!$D$2:$D$381,Dati!$A$2:$A$381,$H50,Dati!$H$2:$H$381,$AB50)+SUMIFS(Dati!$K$2:$K$381,Dati!$H$2:$H$381,$H50,Dati!$A$2:$A$381,$AB50)+SUMIFS(Dati!$C$2:$C$381,Dati!$A$2:$A$381,$H50,Dati!$H$2:$H$381,$AB50)+SUMIFS(Dati!$J$2:$J$381,Dati!$H$2:$H$381,$H50,Dati!$A$2:$A$381,$AB50),"-")</f>
        <v/>
      </c>
      <c r="BU50" s="22">
        <f>IF(AND($H50&lt;&gt;"",$AC50&lt;&gt;"",$H50&lt;&gt;$AC50,IFERROR(VLOOKUP($H50,areaCercaPuntiClassificaSquadra,3,FALSE),-1)=IFERROR(VLOOKUP($AC50,areaCercaPuntiClassificaSquadra,3,FALSE),-2)),SUMIFS(Dati!$D$2:$D$381,Dati!$A$2:$A$381,$H50,Dati!$H$2:$H$381,$AC50)+SUMIFS(Dati!$K$2:$K$381,Dati!$H$2:$H$381,$H50,Dati!$A$2:$A$381,$AC50)+SUMIFS(Dati!$C$2:$C$381,Dati!$A$2:$A$381,$H50,Dati!$H$2:$H$381,$AC50)+SUMIFS(Dati!$J$2:$J$381,Dati!$H$2:$H$381,$H50,Dati!$A$2:$A$381,$AC50),"-")</f>
        <v/>
      </c>
      <c r="BV50" s="22">
        <f>IF(AND($H50&lt;&gt;"",$AD50&lt;&gt;"",$H50&lt;&gt;$AD50,IFERROR(VLOOKUP($H50,areaCercaPuntiClassificaSquadra,3,FALSE),-1)=IFERROR(VLOOKUP($AD50,areaCercaPuntiClassificaSquadra,3,FALSE),-2)),SUMIFS(Dati!$D$2:$D$381,Dati!$A$2:$A$381,$H50,Dati!$H$2:$H$381,$AD50)+SUMIFS(Dati!$K$2:$K$381,Dati!$H$2:$H$381,$H50,Dati!$A$2:$A$381,$AD50)+SUMIFS(Dati!$C$2:$C$381,Dati!$A$2:$A$381,$H50,Dati!$H$2:$H$381,$AD50)+SUMIFS(Dati!$J$2:$J$381,Dati!$H$2:$H$381,$H50,Dati!$A$2:$A$381,$AD50),"-")</f>
        <v/>
      </c>
      <c r="BW50" s="22">
        <f>IF(AND($H50&lt;&gt;"",$AE50&lt;&gt;"",$H50&lt;&gt;$AE50,IFERROR(VLOOKUP($H50,areaCercaPuntiClassificaSquadra,3,FALSE),-1)=IFERROR(VLOOKUP($AE50,areaCercaPuntiClassificaSquadra,3,FALSE),-2)),SUMIFS(Dati!$D$2:$D$381,Dati!$A$2:$A$381,$H50,Dati!$H$2:$H$381,$AE50)+SUMIFS(Dati!$K$2:$K$381,Dati!$H$2:$H$381,$H50,Dati!$A$2:$A$381,$AE50)+SUMIFS(Dati!$C$2:$C$381,Dati!$A$2:$A$381,$H50,Dati!$H$2:$H$381,$AE50)+SUMIFS(Dati!$J$2:$J$381,Dati!$H$2:$H$381,$H50,Dati!$A$2:$A$381,$AE50),"-")</f>
        <v/>
      </c>
      <c r="BX50" s="22">
        <f>IF(AND($H50&lt;&gt;"",$AF50&lt;&gt;"",$H50&lt;&gt;$AF50,IFERROR(VLOOKUP($H50,areaCercaPuntiClassificaSquadra,3,FALSE),-1)=IFERROR(VLOOKUP($AF50,areaCercaPuntiClassificaSquadra,3,FALSE),-2)),SUMIFS(Dati!$D$2:$D$381,Dati!$A$2:$A$381,$H50,Dati!$H$2:$H$381,$AF50)+SUMIFS(Dati!$K$2:$K$381,Dati!$H$2:$H$381,$H50,Dati!$A$2:$A$381,$AF50)+SUMIFS(Dati!$C$2:$C$381,Dati!$A$2:$A$381,$H50,Dati!$H$2:$H$381,$AF50)+SUMIFS(Dati!$J$2:$J$381,Dati!$H$2:$H$381,$H50,Dati!$A$2:$A$381,$AF50),"-")</f>
        <v/>
      </c>
      <c r="BY50" s="22">
        <f>IF(AND($H50&lt;&gt;"",$AG50&lt;&gt;"",$H50&lt;&gt;$AG50,IFERROR(VLOOKUP($H50,areaCercaPuntiClassificaSquadra,3,FALSE),-1)=IFERROR(VLOOKUP($AG50,areaCercaPuntiClassificaSquadra,3,FALSE),-2)),SUMIFS(Dati!$D$2:$D$381,Dati!$A$2:$A$381,$H50,Dati!$H$2:$H$381,$AG50)+SUMIFS(Dati!$K$2:$K$381,Dati!$H$2:$H$381,$H50,Dati!$A$2:$A$381,$AG50)+SUMIFS(Dati!$C$2:$C$381,Dati!$A$2:$A$381,$H50,Dati!$H$2:$H$381,$AG50)+SUMIFS(Dati!$J$2:$J$381,Dati!$H$2:$H$381,$H50,Dati!$A$2:$A$381,$AG50),"-")</f>
        <v/>
      </c>
      <c r="BZ50" s="22">
        <f>IF(AND($H50&lt;&gt;"",$AH50&lt;&gt;"",$H50&lt;&gt;$AH50,IFERROR(VLOOKUP($H50,areaCercaPuntiClassificaSquadra,3,FALSE),-1)=IFERROR(VLOOKUP($AH50,areaCercaPuntiClassificaSquadra,3,FALSE),-2)),SUMIFS(Dati!$D$2:$D$381,Dati!$A$2:$A$381,$H50,Dati!$H$2:$H$381,$AH50)+SUMIFS(Dati!$K$2:$K$381,Dati!$H$2:$H$381,$H50,Dati!$A$2:$A$381,$AH50)+SUMIFS(Dati!$C$2:$C$381,Dati!$A$2:$A$381,$H50,Dati!$H$2:$H$381,$AH50)+SUMIFS(Dati!$J$2:$J$381,Dati!$H$2:$H$381,$H50,Dati!$A$2:$A$381,$AH50),"-")</f>
        <v/>
      </c>
      <c r="CA50" s="22">
        <f>IF(AND($H50&lt;&gt;"",$AI50&lt;&gt;"",$H50&lt;&gt;$AI50,IFERROR(VLOOKUP($H50,areaCercaPuntiClassificaSquadra,3,FALSE),-1)=IFERROR(VLOOKUP($AI50,areaCercaPuntiClassificaSquadra,3,FALSE),-2)),SUMIFS(Dati!$D$2:$D$381,Dati!$A$2:$A$381,$H50,Dati!$H$2:$H$381,$AI50)+SUMIFS(Dati!$K$2:$K$381,Dati!$H$2:$H$381,$H50,Dati!$A$2:$A$381,$AI50)+SUMIFS(Dati!$C$2:$C$381,Dati!$A$2:$A$381,$H50,Dati!$H$2:$H$381,$AI50)+SUMIFS(Dati!$J$2:$J$381,Dati!$H$2:$H$381,$H50,Dati!$A$2:$A$381,$AI50),"-")</f>
        <v/>
      </c>
      <c r="CB50" s="22">
        <f>IF(AND($H50&lt;&gt;"",$AJ50&lt;&gt;"",$H50&lt;&gt;$AJ50,IFERROR(VLOOKUP($H50,areaCercaPuntiClassificaSquadra,3,FALSE),-1)=IFERROR(VLOOKUP($AJ50,areaCercaPuntiClassificaSquadra,3,FALSE),-2)),SUMIFS(Dati!$D$2:$D$381,Dati!$A$2:$A$381,$H50,Dati!$H$2:$H$381,$AJ50)+SUMIFS(Dati!$K$2:$K$381,Dati!$H$2:$H$381,$H50,Dati!$A$2:$A$381,$AJ50)+SUMIFS(Dati!$C$2:$C$381,Dati!$A$2:$A$381,$H50,Dati!$H$2:$H$381,$AJ50)+SUMIFS(Dati!$J$2:$J$381,Dati!$H$2:$H$381,$H50,Dati!$A$2:$A$381,$AJ50),"-")</f>
        <v/>
      </c>
      <c r="CC50" s="22">
        <f>IF(AND($H50&lt;&gt;"",$AK50&lt;&gt;"",$H50&lt;&gt;$AK50,IFERROR(VLOOKUP($H50,areaCercaPuntiClassificaSquadra,3,FALSE),-1)=IFERROR(VLOOKUP($AK50,areaCercaPuntiClassificaSquadra,3,FALSE),-2)),SUMIFS(Dati!$D$2:$D$381,Dati!$A$2:$A$381,$H50,Dati!$H$2:$H$381,$AK50)+SUMIFS(Dati!$K$2:$K$381,Dati!$H$2:$H$381,$H50,Dati!$A$2:$A$381,$AK50)+SUMIFS(Dati!$C$2:$C$381,Dati!$A$2:$A$381,$H50,Dati!$H$2:$H$381,$AK50)+SUMIFS(Dati!$J$2:$J$381,Dati!$H$2:$H$381,$H50,Dati!$A$2:$A$381,$AK50),"-")</f>
        <v/>
      </c>
      <c r="CD50" s="22">
        <f>IF(AND($H50&lt;&gt;"",$AL50&lt;&gt;"",$H50&lt;&gt;$AL50,IFERROR(VLOOKUP($H50,areaCercaPuntiClassificaSquadra,3,FALSE),-1)=IFERROR(VLOOKUP($AL50,areaCercaPuntiClassificaSquadra,3,FALSE),-2)),SUMIFS(Dati!$D$2:$D$381,Dati!$A$2:$A$381,$H50,Dati!$H$2:$H$381,$AL50)+SUMIFS(Dati!$K$2:$K$381,Dati!$H$2:$H$381,$H50,Dati!$A$2:$A$381,$AL50)+SUMIFS(Dati!$C$2:$C$381,Dati!$A$2:$A$381,$H50,Dati!$H$2:$H$381,$AL50)+SUMIFS(Dati!$J$2:$J$381,Dati!$H$2:$H$381,$H50,Dati!$A$2:$A$381,$AL50),"-")</f>
        <v/>
      </c>
      <c r="CE50" s="22">
        <f>IF(AND($H50&lt;&gt;"",$AM50&lt;&gt;"",$H50&lt;&gt;$AM50,IFERROR(VLOOKUP($H50,areaCercaPuntiClassificaSquadra,3,FALSE),-1)=IFERROR(VLOOKUP($AM50,areaCercaPuntiClassificaSquadra,3,FALSE),-2)),SUMIFS(Dati!$D$2:$D$381,Dati!$A$2:$A$381,$H50,Dati!$H$2:$H$381,$AM50)+SUMIFS(Dati!$K$2:$K$381,Dati!$H$2:$H$381,$H50,Dati!$A$2:$A$381,$AM50)+SUMIFS(Dati!$C$2:$C$381,Dati!$A$2:$A$381,$H50,Dati!$H$2:$H$381,$AM50)+SUMIFS(Dati!$J$2:$J$381,Dati!$H$2:$H$381,$H50,Dati!$A$2:$A$381,$AM50),"-")</f>
        <v/>
      </c>
      <c r="CF50" s="22">
        <f>IF(AND($H50&lt;&gt;"",$AN50&lt;&gt;"",$H50&lt;&gt;$AN50,IFERROR(VLOOKUP($H50,areaCercaPuntiClassificaSquadra,3,FALSE),-1)=IFERROR(VLOOKUP($AN50,areaCercaPuntiClassificaSquadra,3,FALSE),-2)),SUMIFS(Dati!$D$2:$D$381,Dati!$A$2:$A$381,$H50,Dati!$H$2:$H$381,$AN50)+SUMIFS(Dati!$K$2:$K$381,Dati!$H$2:$H$381,$H50,Dati!$A$2:$A$381,$AN50)+SUMIFS(Dati!$C$2:$C$381,Dati!$A$2:$A$381,$H50,Dati!$H$2:$H$381,$AN50)+SUMIFS(Dati!$J$2:$J$381,Dati!$H$2:$H$381,$H50,Dati!$A$2:$A$381,$AN50),"-")</f>
        <v/>
      </c>
      <c r="CG50" s="22">
        <f>IF(AND($H50&lt;&gt;"",$AO50&lt;&gt;"",$H50&lt;&gt;$AO50,IFERROR(VLOOKUP($H50,areaCercaPuntiClassificaSquadra,3,FALSE),-1)=IFERROR(VLOOKUP($AO50,areaCercaPuntiClassificaSquadra,3,FALSE),-2)),SUMIFS(Dati!$D$2:$D$381,Dati!$A$2:$A$381,$H50,Dati!$H$2:$H$381,$AO50)+SUMIFS(Dati!$K$2:$K$381,Dati!$H$2:$H$381,$H50,Dati!$A$2:$A$381,$AO50)+SUMIFS(Dati!$C$2:$C$381,Dati!$A$2:$A$381,$H50,Dati!$H$2:$H$381,$AO50)+SUMIFS(Dati!$J$2:$J$381,Dati!$H$2:$H$381,$H50,Dati!$A$2:$A$381,$AO50),"-")</f>
        <v/>
      </c>
      <c r="CH50" s="22">
        <f>IF(AND($H50&lt;&gt;"",$AP50&lt;&gt;"",$H50&lt;&gt;$AP50,IFERROR(VLOOKUP($H50,areaCercaPuntiClassificaSquadra,3,FALSE),-1)=IFERROR(VLOOKUP($AP50,areaCercaPuntiClassificaSquadra,3,FALSE),-2)),SUMIFS(Dati!$D$2:$D$381,Dati!$A$2:$A$381,$H50,Dati!$H$2:$H$381,$AP50)+SUMIFS(Dati!$K$2:$K$381,Dati!$H$2:$H$381,$H50,Dati!$A$2:$A$381,$AP50)+SUMIFS(Dati!$C$2:$C$381,Dati!$A$2:$A$381,$H50,Dati!$H$2:$H$381,$AP50)+SUMIFS(Dati!$J$2:$J$381,Dati!$H$2:$H$381,$H50,Dati!$A$2:$A$381,$AP50),"-")</f>
        <v/>
      </c>
      <c r="CI50" s="22">
        <f>IF(AND($H50&lt;&gt;"",$AQ50&lt;&gt;"",$H50&lt;&gt;$AQ50,IFERROR(VLOOKUP($H50,areaCercaPuntiClassificaSquadra,3,FALSE),-1)=IFERROR(VLOOKUP($AQ50,areaCercaPuntiClassificaSquadra,3,FALSE),-2)),SUMIFS(Dati!$D$2:$D$381,Dati!$A$2:$A$381,$H50,Dati!$H$2:$H$381,$AQ50)+SUMIFS(Dati!$K$2:$K$381,Dati!$H$2:$H$381,$H50,Dati!$A$2:$A$381,$AQ50)+SUMIFS(Dati!$C$2:$C$381,Dati!$A$2:$A$381,$H50,Dati!$H$2:$H$381,$AQ50)+SUMIFS(Dati!$J$2:$J$381,Dati!$H$2:$H$381,$H50,Dati!$A$2:$A$381,$AQ50),"-")</f>
        <v/>
      </c>
      <c r="CJ50" s="22">
        <f>IF(AND($H50&lt;&gt;"",$AR50&lt;&gt;"",$H50&lt;&gt;$AR50,IFERROR(VLOOKUP($H50,areaCercaPuntiClassificaSquadra,3,FALSE),-1)=IFERROR(VLOOKUP($AR50,areaCercaPuntiClassificaSquadra,3,FALSE),-2)),SUMIFS(Dati!$D$2:$D$381,Dati!$A$2:$A$381,$H50,Dati!$H$2:$H$381,$AR50)+SUMIFS(Dati!$K$2:$K$381,Dati!$H$2:$H$381,$H50,Dati!$A$2:$A$381,$AR50)+SUMIFS(Dati!$C$2:$C$381,Dati!$A$2:$A$381,$H50,Dati!$H$2:$H$381,$AR50)+SUMIFS(Dati!$J$2:$J$381,Dati!$H$2:$H$381,$H50,Dati!$A$2:$A$381,$AR50),"-")</f>
        <v/>
      </c>
      <c r="CL50" s="21">
        <f>$C50</f>
        <v/>
      </c>
      <c r="CM50" s="22">
        <f>IF(AND($H50&lt;&gt;"",$Y50&lt;&gt;"",$H50&lt;&gt;$Y50,IFERROR(VLOOKUP($H50,areaCercaPuntiClassificaSquadra,3,FALSE),-1)=IFERROR(VLOOKUP($Y50,areaCercaPuntiClassificaSquadra,3,FALSE),-2)),SUMIFS(Dati!$E$2:$E$381,Dati!$A$2:$A$381,$H50,Dati!$H$2:$H$381,$Y50)+SUMIFS(Dati!$L$2:$L$381,Dati!$H$2:$H$381,$H50,Dati!$A$2:$A$381,$Y50),"-")</f>
        <v/>
      </c>
      <c r="CN50" s="22">
        <f>IF(AND($H50&lt;&gt;"",$Z50&lt;&gt;"",$H50&lt;&gt;$Z50,IFERROR(VLOOKUP($H50,areaCercaPuntiClassificaSquadra,3,FALSE),-1)=IFERROR(VLOOKUP($Z50,areaCercaPuntiClassificaSquadra,3,FALSE),-2)),SUMIFS(Dati!$E$2:$E$381,Dati!$A$2:$A$381,$H50,Dati!$H$2:$H$381,$Z50)+SUMIFS(Dati!$L$2:$L$381,Dati!$H$2:$H$381,$H50,Dati!$A$2:$A$381,$Z50),"-")</f>
        <v/>
      </c>
      <c r="CO50" s="22">
        <f>IF(AND($H50&lt;&gt;"",$AA50&lt;&gt;"",$H50&lt;&gt;$AA50,IFERROR(VLOOKUP($H50,areaCercaPuntiClassificaSquadra,3,FALSE),-1)=IFERROR(VLOOKUP($AA50,areaCercaPuntiClassificaSquadra,3,FALSE),-2)),SUMIFS(Dati!$E$2:$E$381,Dati!$A$2:$A$381,$H50,Dati!$H$2:$H$381,$AA50)+SUMIFS(Dati!$L$2:$L$381,Dati!$H$2:$H$381,$H50,Dati!$A$2:$A$381,$AA50),"-")</f>
        <v/>
      </c>
      <c r="CP50" s="22">
        <f>IF(AND($H50&lt;&gt;"",$AB50&lt;&gt;"",$H50&lt;&gt;$AB50,IFERROR(VLOOKUP($H50,areaCercaPuntiClassificaSquadra,3,FALSE),-1)=IFERROR(VLOOKUP($AB50,areaCercaPuntiClassificaSquadra,3,FALSE),-2)),SUMIFS(Dati!$E$2:$E$381,Dati!$A$2:$A$381,$H50,Dati!$H$2:$H$381,$AB50)+SUMIFS(Dati!$L$2:$L$381,Dati!$H$2:$H$381,$H50,Dati!$A$2:$A$381,$AB50),"-")</f>
        <v/>
      </c>
      <c r="CQ50" s="22">
        <f>IF(AND($H50&lt;&gt;"",$AC50&lt;&gt;"",$H50&lt;&gt;$AC50,IFERROR(VLOOKUP($H50,areaCercaPuntiClassificaSquadra,3,FALSE),-1)=IFERROR(VLOOKUP($AC50,areaCercaPuntiClassificaSquadra,3,FALSE),-2)),SUMIFS(Dati!$E$2:$E$381,Dati!$A$2:$A$381,$H50,Dati!$H$2:$H$381,$AC50)+SUMIFS(Dati!$L$2:$L$381,Dati!$H$2:$H$381,$H50,Dati!$A$2:$A$381,$AC50),"-")</f>
        <v/>
      </c>
      <c r="CR50" s="22">
        <f>IF(AND($H50&lt;&gt;"",$AD50&lt;&gt;"",$H50&lt;&gt;$AD50,IFERROR(VLOOKUP($H50,areaCercaPuntiClassificaSquadra,3,FALSE),-1)=IFERROR(VLOOKUP($AD50,areaCercaPuntiClassificaSquadra,3,FALSE),-2)),SUMIFS(Dati!$E$2:$E$381,Dati!$A$2:$A$381,$H50,Dati!$H$2:$H$381,$AD50)+SUMIFS(Dati!$L$2:$L$381,Dati!$H$2:$H$381,$H50,Dati!$A$2:$A$381,$AD50),"-")</f>
        <v/>
      </c>
      <c r="CS50" s="22">
        <f>IF(AND($H50&lt;&gt;"",$AE50&lt;&gt;"",$H50&lt;&gt;$AE50,IFERROR(VLOOKUP($H50,areaCercaPuntiClassificaSquadra,3,FALSE),-1)=IFERROR(VLOOKUP($AE50,areaCercaPuntiClassificaSquadra,3,FALSE),-2)),SUMIFS(Dati!$E$2:$E$381,Dati!$A$2:$A$381,$H50,Dati!$H$2:$H$381,$AE50)+SUMIFS(Dati!$L$2:$L$381,Dati!$H$2:$H$381,$H50,Dati!$A$2:$A$381,$AE50),"-")</f>
        <v/>
      </c>
      <c r="CT50" s="22">
        <f>IF(AND($H50&lt;&gt;"",$AF50&lt;&gt;"",$H50&lt;&gt;$AF50,IFERROR(VLOOKUP($H50,areaCercaPuntiClassificaSquadra,3,FALSE),-1)=IFERROR(VLOOKUP($AF50,areaCercaPuntiClassificaSquadra,3,FALSE),-2)),SUMIFS(Dati!$E$2:$E$381,Dati!$A$2:$A$381,$H50,Dati!$H$2:$H$381,$AF50)+SUMIFS(Dati!$L$2:$L$381,Dati!$H$2:$H$381,$H50,Dati!$A$2:$A$381,$AF50),"-")</f>
        <v/>
      </c>
      <c r="CU50" s="22">
        <f>IF(AND($H50&lt;&gt;"",$AG50&lt;&gt;"",$H50&lt;&gt;$AG50,IFERROR(VLOOKUP($H50,areaCercaPuntiClassificaSquadra,3,FALSE),-1)=IFERROR(VLOOKUP($AG50,areaCercaPuntiClassificaSquadra,3,FALSE),-2)),SUMIFS(Dati!$E$2:$E$381,Dati!$A$2:$A$381,$H50,Dati!$H$2:$H$381,$AG50)+SUMIFS(Dati!$L$2:$L$381,Dati!$H$2:$H$381,$H50,Dati!$A$2:$A$381,$AG50),"-")</f>
        <v/>
      </c>
      <c r="CV50" s="22">
        <f>IF(AND($H50&lt;&gt;"",$AH50&lt;&gt;"",$H50&lt;&gt;$AH50,IFERROR(VLOOKUP($H50,areaCercaPuntiClassificaSquadra,3,FALSE),-1)=IFERROR(VLOOKUP($AH50,areaCercaPuntiClassificaSquadra,3,FALSE),-2)),SUMIFS(Dati!$E$2:$E$381,Dati!$A$2:$A$381,$H50,Dati!$H$2:$H$381,$AH50)+SUMIFS(Dati!$L$2:$L$381,Dati!$H$2:$H$381,$H50,Dati!$A$2:$A$381,$AH50),"-")</f>
        <v/>
      </c>
      <c r="CW50" s="22">
        <f>IF(AND($H50&lt;&gt;"",$AI50&lt;&gt;"",$H50&lt;&gt;$AI50,IFERROR(VLOOKUP($H50,areaCercaPuntiClassificaSquadra,3,FALSE),-1)=IFERROR(VLOOKUP($AI50,areaCercaPuntiClassificaSquadra,3,FALSE),-2)),SUMIFS(Dati!$E$2:$E$381,Dati!$A$2:$A$381,$H50,Dati!$H$2:$H$381,$AI50)+SUMIFS(Dati!$L$2:$L$381,Dati!$H$2:$H$381,$H50,Dati!$A$2:$A$381,$AI50),"-")</f>
        <v/>
      </c>
      <c r="CX50" s="22">
        <f>IF(AND($H50&lt;&gt;"",$AJ50&lt;&gt;"",$H50&lt;&gt;$AJ50,IFERROR(VLOOKUP($H50,areaCercaPuntiClassificaSquadra,3,FALSE),-1)=IFERROR(VLOOKUP($AJ50,areaCercaPuntiClassificaSquadra,3,FALSE),-2)),SUMIFS(Dati!$E$2:$E$381,Dati!$A$2:$A$381,$H50,Dati!$H$2:$H$381,$AJ50)+SUMIFS(Dati!$L$2:$L$381,Dati!$H$2:$H$381,$H50,Dati!$A$2:$A$381,$AJ50),"-")</f>
        <v/>
      </c>
      <c r="CY50" s="22">
        <f>IF(AND($H50&lt;&gt;"",$AK50&lt;&gt;"",$H50&lt;&gt;$AK50,IFERROR(VLOOKUP($H50,areaCercaPuntiClassificaSquadra,3,FALSE),-1)=IFERROR(VLOOKUP($AK50,areaCercaPuntiClassificaSquadra,3,FALSE),-2)),SUMIFS(Dati!$E$2:$E$381,Dati!$A$2:$A$381,$H50,Dati!$H$2:$H$381,$AK50)+SUMIFS(Dati!$L$2:$L$381,Dati!$H$2:$H$381,$H50,Dati!$A$2:$A$381,$AK50),"-")</f>
        <v/>
      </c>
      <c r="CZ50" s="22">
        <f>IF(AND($H50&lt;&gt;"",$AL50&lt;&gt;"",$H50&lt;&gt;$AL50,IFERROR(VLOOKUP($H50,areaCercaPuntiClassificaSquadra,3,FALSE),-1)=IFERROR(VLOOKUP($AL50,areaCercaPuntiClassificaSquadra,3,FALSE),-2)),SUMIFS(Dati!$E$2:$E$381,Dati!$A$2:$A$381,$H50,Dati!$H$2:$H$381,$AL50)+SUMIFS(Dati!$L$2:$L$381,Dati!$H$2:$H$381,$H50,Dati!$A$2:$A$381,$AL50),"-")</f>
        <v/>
      </c>
      <c r="DA50" s="22">
        <f>IF(AND($H50&lt;&gt;"",$AM50&lt;&gt;"",$H50&lt;&gt;$AM50,IFERROR(VLOOKUP($H50,areaCercaPuntiClassificaSquadra,3,FALSE),-1)=IFERROR(VLOOKUP($AM50,areaCercaPuntiClassificaSquadra,3,FALSE),-2)),SUMIFS(Dati!$E$2:$E$381,Dati!$A$2:$A$381,$H50,Dati!$H$2:$H$381,$AM50)+SUMIFS(Dati!$L$2:$L$381,Dati!$H$2:$H$381,$H50,Dati!$A$2:$A$381,$AM50),"-")</f>
        <v/>
      </c>
      <c r="DB50" s="22">
        <f>IF(AND($H50&lt;&gt;"",$AN50&lt;&gt;"",$H50&lt;&gt;$AN50,IFERROR(VLOOKUP($H50,areaCercaPuntiClassificaSquadra,3,FALSE),-1)=IFERROR(VLOOKUP($AN50,areaCercaPuntiClassificaSquadra,3,FALSE),-2)),SUMIFS(Dati!$E$2:$E$381,Dati!$A$2:$A$381,$H50,Dati!$H$2:$H$381,$AN50)+SUMIFS(Dati!$L$2:$L$381,Dati!$H$2:$H$381,$H50,Dati!$A$2:$A$381,$AN50),"-")</f>
        <v/>
      </c>
      <c r="DC50" s="22">
        <f>IF(AND($H50&lt;&gt;"",$AO50&lt;&gt;"",$H50&lt;&gt;$AO50,IFERROR(VLOOKUP($H50,areaCercaPuntiClassificaSquadra,3,FALSE),-1)=IFERROR(VLOOKUP($AO50,areaCercaPuntiClassificaSquadra,3,FALSE),-2)),SUMIFS(Dati!$E$2:$E$381,Dati!$A$2:$A$381,$H50,Dati!$H$2:$H$381,$AO50)+SUMIFS(Dati!$L$2:$L$381,Dati!$H$2:$H$381,$H50,Dati!$A$2:$A$381,$AO50),"-")</f>
        <v/>
      </c>
      <c r="DD50" s="22">
        <f>IF(AND($H50&lt;&gt;"",$AP50&lt;&gt;"",$H50&lt;&gt;$AP50,IFERROR(VLOOKUP($H50,areaCercaPuntiClassificaSquadra,3,FALSE),-1)=IFERROR(VLOOKUP($AP50,areaCercaPuntiClassificaSquadra,3,FALSE),-2)),SUMIFS(Dati!$E$2:$E$381,Dati!$A$2:$A$381,$H50,Dati!$H$2:$H$381,$AP50)+SUMIFS(Dati!$L$2:$L$381,Dati!$H$2:$H$381,$H50,Dati!$A$2:$A$381,$AP50),"-")</f>
        <v/>
      </c>
      <c r="DE50" s="22">
        <f>IF(AND($H50&lt;&gt;"",$AQ50&lt;&gt;"",$H50&lt;&gt;$AQ50,IFERROR(VLOOKUP($H50,areaCercaPuntiClassificaSquadra,3,FALSE),-1)=IFERROR(VLOOKUP($AQ50,areaCercaPuntiClassificaSquadra,3,FALSE),-2)),SUMIFS(Dati!$E$2:$E$381,Dati!$A$2:$A$381,$H50,Dati!$H$2:$H$381,$AQ50)+SUMIFS(Dati!$L$2:$L$381,Dati!$H$2:$H$381,$H50,Dati!$A$2:$A$381,$AQ50),"-")</f>
        <v/>
      </c>
      <c r="DF50" s="22">
        <f>IF(AND($H50&lt;&gt;"",$AR50&lt;&gt;"",$H50&lt;&gt;$AR50,IFERROR(VLOOKUP($H50,areaCercaPuntiClassificaSquadra,3,FALSE),-1)=IFERROR(VLOOKUP($AR50,areaCercaPuntiClassificaSquadra,3,FALSE),-2)),SUMIFS(Dati!$E$2:$E$381,Dati!$A$2:$A$381,$H50,Dati!$H$2:$H$381,$AR50)+SUMIFS(Dati!$L$2:$L$381,Dati!$H$2:$H$381,$H50,Dati!$A$2:$A$381,$AR50),"-")</f>
        <v/>
      </c>
      <c r="DH50" s="21">
        <f>$C50</f>
        <v/>
      </c>
      <c r="DI50" s="22">
        <f>IF(AND($H50&lt;&gt;"",$Y50&lt;&gt;"",$H50&lt;&gt;$Y50,IFERROR(VLOOKUP($H50,areaCercaPuntiClassificaSquadra,3,FALSE),-1)=IFERROR(VLOOKUP($Y50,areaCercaPuntiClassificaSquadra,3,FALSE),-2)),SUMIFS(Dati!$F$2:$F$381,Dati!$A$2:$A$381,$H50,Dati!$H$2:$H$381,$Y50)+SUMIFS(Dati!$M$2:$M$381,Dati!$H$2:$H$381,$H50,Dati!$A$2:$A$381,$Y50),"-")</f>
        <v/>
      </c>
      <c r="DJ50" s="22">
        <f>IF(AND($H50&lt;&gt;"",$Z50&lt;&gt;"",$H50&lt;&gt;$Z50,IFERROR(VLOOKUP($H50,areaCercaPuntiClassificaSquadra,3,FALSE),-1)=IFERROR(VLOOKUP($Z50,areaCercaPuntiClassificaSquadra,3,FALSE),-2)),SUMIFS(Dati!$F$2:$F$381,Dati!$A$2:$A$381,$H50,Dati!$H$2:$H$381,$Z50)+SUMIFS(Dati!$M$2:$M$381,Dati!$H$2:$H$381,$H50,Dati!$A$2:$A$381,$Z50),"-")</f>
        <v/>
      </c>
      <c r="DK50" s="22">
        <f>IF(AND($H50&lt;&gt;"",$AA50&lt;&gt;"",$H50&lt;&gt;$AA50,IFERROR(VLOOKUP($H50,areaCercaPuntiClassificaSquadra,3,FALSE),-1)=IFERROR(VLOOKUP($AA50,areaCercaPuntiClassificaSquadra,3,FALSE),-2)),SUMIFS(Dati!$F$2:$F$381,Dati!$A$2:$A$381,$H50,Dati!$H$2:$H$381,$AA50)+SUMIFS(Dati!$M$2:$M$381,Dati!$H$2:$H$381,$H50,Dati!$A$2:$A$381,$AA50),"-")</f>
        <v/>
      </c>
      <c r="DL50" s="22">
        <f>IF(AND($H50&lt;&gt;"",$AB50&lt;&gt;"",$H50&lt;&gt;$AB50,IFERROR(VLOOKUP($H50,areaCercaPuntiClassificaSquadra,3,FALSE),-1)=IFERROR(VLOOKUP($AB50,areaCercaPuntiClassificaSquadra,3,FALSE),-2)),SUMIFS(Dati!$F$2:$F$381,Dati!$A$2:$A$381,$H50,Dati!$H$2:$H$381,$AB50)+SUMIFS(Dati!$M$2:$M$381,Dati!$H$2:$H$381,$H50,Dati!$A$2:$A$381,$AB50),"-")</f>
        <v/>
      </c>
      <c r="DM50" s="22">
        <f>IF(AND($H50&lt;&gt;"",$AC50&lt;&gt;"",$H50&lt;&gt;$AC50,IFERROR(VLOOKUP($H50,areaCercaPuntiClassificaSquadra,3,FALSE),-1)=IFERROR(VLOOKUP($AC50,areaCercaPuntiClassificaSquadra,3,FALSE),-2)),SUMIFS(Dati!$F$2:$F$381,Dati!$A$2:$A$381,$H50,Dati!$H$2:$H$381,$AC50)+SUMIFS(Dati!$M$2:$M$381,Dati!$H$2:$H$381,$H50,Dati!$A$2:$A$381,$AC50),"-")</f>
        <v/>
      </c>
      <c r="DN50" s="22">
        <f>IF(AND($H50&lt;&gt;"",$AD50&lt;&gt;"",$H50&lt;&gt;$AD50,IFERROR(VLOOKUP($H50,areaCercaPuntiClassificaSquadra,3,FALSE),-1)=IFERROR(VLOOKUP($AD50,areaCercaPuntiClassificaSquadra,3,FALSE),-2)),SUMIFS(Dati!$F$2:$F$381,Dati!$A$2:$A$381,$H50,Dati!$H$2:$H$381,$AD50)+SUMIFS(Dati!$M$2:$M$381,Dati!$H$2:$H$381,$H50,Dati!$A$2:$A$381,$AD50),"-")</f>
        <v/>
      </c>
      <c r="DO50" s="22">
        <f>IF(AND($H50&lt;&gt;"",$AE50&lt;&gt;"",$H50&lt;&gt;$AE50,IFERROR(VLOOKUP($H50,areaCercaPuntiClassificaSquadra,3,FALSE),-1)=IFERROR(VLOOKUP($AE50,areaCercaPuntiClassificaSquadra,3,FALSE),-2)),SUMIFS(Dati!$F$2:$F$381,Dati!$A$2:$A$381,$H50,Dati!$H$2:$H$381,$AE50)+SUMIFS(Dati!$M$2:$M$381,Dati!$H$2:$H$381,$H50,Dati!$A$2:$A$381,$AE50),"-")</f>
        <v/>
      </c>
      <c r="DP50" s="22">
        <f>IF(AND($H50&lt;&gt;"",$AF50&lt;&gt;"",$H50&lt;&gt;$AF50,IFERROR(VLOOKUP($H50,areaCercaPuntiClassificaSquadra,3,FALSE),-1)=IFERROR(VLOOKUP($AF50,areaCercaPuntiClassificaSquadra,3,FALSE),-2)),SUMIFS(Dati!$F$2:$F$381,Dati!$A$2:$A$381,$H50,Dati!$H$2:$H$381,$AF50)+SUMIFS(Dati!$M$2:$M$381,Dati!$H$2:$H$381,$H50,Dati!$A$2:$A$381,$AF50),"-")</f>
        <v/>
      </c>
      <c r="DQ50" s="22">
        <f>IF(AND($H50&lt;&gt;"",$AG50&lt;&gt;"",$H50&lt;&gt;$AG50,IFERROR(VLOOKUP($H50,areaCercaPuntiClassificaSquadra,3,FALSE),-1)=IFERROR(VLOOKUP($AG50,areaCercaPuntiClassificaSquadra,3,FALSE),-2)),SUMIFS(Dati!$F$2:$F$381,Dati!$A$2:$A$381,$H50,Dati!$H$2:$H$381,$AG50)+SUMIFS(Dati!$M$2:$M$381,Dati!$H$2:$H$381,$H50,Dati!$A$2:$A$381,$AG50),"-")</f>
        <v/>
      </c>
      <c r="DR50" s="22">
        <f>IF(AND($H50&lt;&gt;"",$AH50&lt;&gt;"",$H50&lt;&gt;$AH50,IFERROR(VLOOKUP($H50,areaCercaPuntiClassificaSquadra,3,FALSE),-1)=IFERROR(VLOOKUP($AH50,areaCercaPuntiClassificaSquadra,3,FALSE),-2)),SUMIFS(Dati!$F$2:$F$381,Dati!$A$2:$A$381,$H50,Dati!$H$2:$H$381,$AH50)+SUMIFS(Dati!$M$2:$M$381,Dati!$H$2:$H$381,$H50,Dati!$A$2:$A$381,$AH50),"-")</f>
        <v/>
      </c>
      <c r="DS50" s="22">
        <f>IF(AND($H50&lt;&gt;"",$AI50&lt;&gt;"",$H50&lt;&gt;$AI50,IFERROR(VLOOKUP($H50,areaCercaPuntiClassificaSquadra,3,FALSE),-1)=IFERROR(VLOOKUP($AI50,areaCercaPuntiClassificaSquadra,3,FALSE),-2)),SUMIFS(Dati!$F$2:$F$381,Dati!$A$2:$A$381,$H50,Dati!$H$2:$H$381,$AI50)+SUMIFS(Dati!$M$2:$M$381,Dati!$H$2:$H$381,$H50,Dati!$A$2:$A$381,$AI50),"-")</f>
        <v/>
      </c>
      <c r="DT50" s="22">
        <f>IF(AND($H50&lt;&gt;"",$AJ50&lt;&gt;"",$H50&lt;&gt;$AJ50,IFERROR(VLOOKUP($H50,areaCercaPuntiClassificaSquadra,3,FALSE),-1)=IFERROR(VLOOKUP($AJ50,areaCercaPuntiClassificaSquadra,3,FALSE),-2)),SUMIFS(Dati!$F$2:$F$381,Dati!$A$2:$A$381,$H50,Dati!$H$2:$H$381,$AJ50)+SUMIFS(Dati!$M$2:$M$381,Dati!$H$2:$H$381,$H50,Dati!$A$2:$A$381,$AJ50),"-")</f>
        <v/>
      </c>
      <c r="DU50" s="22">
        <f>IF(AND($H50&lt;&gt;"",$AK50&lt;&gt;"",$H50&lt;&gt;$AK50,IFERROR(VLOOKUP($H50,areaCercaPuntiClassificaSquadra,3,FALSE),-1)=IFERROR(VLOOKUP($AK50,areaCercaPuntiClassificaSquadra,3,FALSE),-2)),SUMIFS(Dati!$F$2:$F$381,Dati!$A$2:$A$381,$H50,Dati!$H$2:$H$381,$AK50)+SUMIFS(Dati!$M$2:$M$381,Dati!$H$2:$H$381,$H50,Dati!$A$2:$A$381,$AK50),"-")</f>
        <v/>
      </c>
      <c r="DV50" s="22">
        <f>IF(AND($H50&lt;&gt;"",$AL50&lt;&gt;"",$H50&lt;&gt;$AL50,IFERROR(VLOOKUP($H50,areaCercaPuntiClassificaSquadra,3,FALSE),-1)=IFERROR(VLOOKUP($AL50,areaCercaPuntiClassificaSquadra,3,FALSE),-2)),SUMIFS(Dati!$F$2:$F$381,Dati!$A$2:$A$381,$H50,Dati!$H$2:$H$381,$AL50)+SUMIFS(Dati!$M$2:$M$381,Dati!$H$2:$H$381,$H50,Dati!$A$2:$A$381,$AL50),"-")</f>
        <v/>
      </c>
      <c r="DW50" s="22">
        <f>IF(AND($H50&lt;&gt;"",$AM50&lt;&gt;"",$H50&lt;&gt;$AM50,IFERROR(VLOOKUP($H50,areaCercaPuntiClassificaSquadra,3,FALSE),-1)=IFERROR(VLOOKUP($AM50,areaCercaPuntiClassificaSquadra,3,FALSE),-2)),SUMIFS(Dati!$F$2:$F$381,Dati!$A$2:$A$381,$H50,Dati!$H$2:$H$381,$AM50)+SUMIFS(Dati!$M$2:$M$381,Dati!$H$2:$H$381,$H50,Dati!$A$2:$A$381,$AM50),"-")</f>
        <v/>
      </c>
      <c r="DX50" s="22">
        <f>IF(AND($H50&lt;&gt;"",$AN50&lt;&gt;"",$H50&lt;&gt;$AN50,IFERROR(VLOOKUP($H50,areaCercaPuntiClassificaSquadra,3,FALSE),-1)=IFERROR(VLOOKUP($AN50,areaCercaPuntiClassificaSquadra,3,FALSE),-2)),SUMIFS(Dati!$F$2:$F$381,Dati!$A$2:$A$381,$H50,Dati!$H$2:$H$381,$AN50)+SUMIFS(Dati!$M$2:$M$381,Dati!$H$2:$H$381,$H50,Dati!$A$2:$A$381,$AN50),"-")</f>
        <v/>
      </c>
      <c r="DY50" s="22">
        <f>IF(AND($H50&lt;&gt;"",$AO50&lt;&gt;"",$H50&lt;&gt;$AO50,IFERROR(VLOOKUP($H50,areaCercaPuntiClassificaSquadra,3,FALSE),-1)=IFERROR(VLOOKUP($AO50,areaCercaPuntiClassificaSquadra,3,FALSE),-2)),SUMIFS(Dati!$F$2:$F$381,Dati!$A$2:$A$381,$H50,Dati!$H$2:$H$381,$AO50)+SUMIFS(Dati!$M$2:$M$381,Dati!$H$2:$H$381,$H50,Dati!$A$2:$A$381,$AO50),"-")</f>
        <v/>
      </c>
      <c r="DZ50" s="22">
        <f>IF(AND($H50&lt;&gt;"",$AP50&lt;&gt;"",$H50&lt;&gt;$AP50,IFERROR(VLOOKUP($H50,areaCercaPuntiClassificaSquadra,3,FALSE),-1)=IFERROR(VLOOKUP($AP50,areaCercaPuntiClassificaSquadra,3,FALSE),-2)),SUMIFS(Dati!$F$2:$F$381,Dati!$A$2:$A$381,$H50,Dati!$H$2:$H$381,$AP50)+SUMIFS(Dati!$M$2:$M$381,Dati!$H$2:$H$381,$H50,Dati!$A$2:$A$381,$AP50),"-")</f>
        <v/>
      </c>
      <c r="EA50" s="22">
        <f>IF(AND($H50&lt;&gt;"",$AQ50&lt;&gt;"",$H50&lt;&gt;$AQ50,IFERROR(VLOOKUP($H50,areaCercaPuntiClassificaSquadra,3,FALSE),-1)=IFERROR(VLOOKUP($AQ50,areaCercaPuntiClassificaSquadra,3,FALSE),-2)),SUMIFS(Dati!$F$2:$F$381,Dati!$A$2:$A$381,$H50,Dati!$H$2:$H$381,$AQ50)+SUMIFS(Dati!$M$2:$M$381,Dati!$H$2:$H$381,$H50,Dati!$A$2:$A$381,$AQ50),"-")</f>
        <v/>
      </c>
      <c r="EB50" s="22">
        <f>IF(AND($H50&lt;&gt;"",$AR50&lt;&gt;"",$H50&lt;&gt;$AR50,IFERROR(VLOOKUP($H50,areaCercaPuntiClassificaSquadra,3,FALSE),-1)=IFERROR(VLOOKUP($AR50,areaCercaPuntiClassificaSquadra,3,FALSE),-2)),SUMIFS(Dati!$F$2:$F$381,Dati!$A$2:$A$381,$H50,Dati!$H$2:$H$381,$AR50)+SUMIFS(Dati!$M$2:$M$381,Dati!$H$2:$H$381,$H50,Dati!$A$2:$A$381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inlineStr">
        <is>
          <t>Dromedari Docili-Dromedariopoli DI</t>
        </is>
      </c>
      <c r="D51" s="14" t="n"/>
      <c r="E51" s="23" t="inlineStr">
        <is>
          <t>B</t>
        </is>
      </c>
      <c r="G51" s="24">
        <f>IF($C51="","",$E51&amp;(COUNTIFS(I$14:I$53,"&gt;"&amp;I51,E$14:E$53,"="&amp;E51,C$14:C$53,"&lt;&gt;")+COUNTIFS(I$14:I$53,"="&amp;I51,H$14:H$53,"&lt;="&amp;H51,E$14:E$53,"="&amp;E51,C$14:C$53,"&lt;&gt;")))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L51*constPuntiVittoria+M51*constPuntiSconfitta+N51*constPuntiForfait+IF(D51="",0,D51)</f>
        <v/>
      </c>
      <c r="K51" s="12">
        <f>SUM(L51:N51)</f>
        <v/>
      </c>
      <c r="L51" s="12">
        <f>IF($H51="",0,SUMIF(Dati!$A$2:$A$381,$H51,Dati!$B$2:$B$381)+SUMIF(Dati!$H$2:$H$381,$H51,Dati!$I$2:$I$381))</f>
        <v/>
      </c>
      <c r="M51" s="12">
        <f>IF($H51="",0,SUMIF(Dati!$A$2:$A$381,$H51,Dati!$D$2:$D$381)+SUMIF(Dati!$H$2:$H$381,$H51,Dati!$K$2:$K$381))</f>
        <v/>
      </c>
      <c r="N51" s="12">
        <f>IF($H51="",0,SUMIF(Dati!$A$2:$A$381,$H51,Dati!$C$2:$C$381)+SUMIF(Dati!$H$2:$H$381,$H51,Dati!$J$2:$J$381))</f>
        <v/>
      </c>
      <c r="O51" s="12">
        <f>IF($H51="",0,SUMIF(Dati!$A$2:$A$381,$H51,Dati!$E$2:$E$381)+SUMIF(Dati!$H$2:$H$381,$H51,Dati!$L$2:$L$381))</f>
        <v/>
      </c>
      <c r="P51" s="12">
        <f>IF($H51="",0,SUMIF(Dati!$A$2:$A$381,$H51,Dati!$F$2:$F$381)+SUMIF(Dati!$H$2:$H$381,$H51,Dati!$M$2:$M$381))</f>
        <v/>
      </c>
      <c r="Q51" s="12">
        <f>IF($H51="",0,SUMIF(Dati!$A$2:$A$381,$H51,Dati!$G$2:$G$381)+SUMIF(Dati!$H$2:$H$381,$H51,Dati!$N$2:$N$381))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IF(COUNTIFS($E$14:$E$53,$E51,$J$14:$J$53,$J51,$C$14:$C$53,"&lt;&gt;")&lt;=1,"-",SUM(AU51:BN51)&amp;"-"&amp;SUM(BQ51:CJ51))</f>
        <v/>
      </c>
      <c r="V51" s="18">
        <f>IF(COUNTIFS($E$14:$E$53,$E51,$J$14:$J$53,$J51,$C$14:$C$53,"&lt;&gt;",$ED$14:$ED$53,$ED51)&lt;=1,"-",IF(SUM(DI51:EB51)=0,0,ROUND(SUM(CM51:DF51)/SUM(DI51:EB51),3)))</f>
        <v/>
      </c>
      <c r="W51" s="18">
        <f>IF(COUNTIFS($E$14:$E$53,$E51,$J$14:$J$53,$J51,$C$14:$C$53,"&lt;&gt;",$ED$14:$ED$53,$ED51,$V$14:$V$53,$V51)&lt;=1,"-",IF(P51=0,0,ROUND(O51/P51,3)))</f>
        <v/>
      </c>
      <c r="X51" s="19">
        <f>IF($C51="","",$E51&amp;"#"&amp;COUNTIFS($E$14:$E51,$E51,$C$14:$C51,"&lt;&gt;"))</f>
        <v/>
      </c>
      <c r="Y51" s="20">
        <f>IFERROR(INDEX($H$14:$H$53,MATCH($E51&amp;"#1",$X$14:$X$53,0)),"")</f>
        <v/>
      </c>
      <c r="Z51" s="20">
        <f>IFERROR(INDEX($H$14:$H$53,MATCH($E51&amp;"#2",$X$14:$X$53,0)),"")</f>
        <v/>
      </c>
      <c r="AA51" s="20">
        <f>IFERROR(INDEX($H$14:$H$53,MATCH($E51&amp;"#3",$X$14:$X$53,0)),"")</f>
        <v/>
      </c>
      <c r="AB51" s="20">
        <f>IFERROR(INDEX($H$14:$H$53,MATCH($E51&amp;"#4",$X$14:$X$53,0)),"")</f>
        <v/>
      </c>
      <c r="AC51" s="20">
        <f>IFERROR(INDEX($H$14:$H$53,MATCH($E51&amp;"#5",$X$14:$X$53,0)),"")</f>
        <v/>
      </c>
      <c r="AD51" s="20">
        <f>IFERROR(INDEX($H$14:$H$53,MATCH($E51&amp;"#6",$X$14:$X$53,0)),"")</f>
        <v/>
      </c>
      <c r="AE51" s="20">
        <f>IFERROR(INDEX($H$14:$H$53,MATCH($E51&amp;"#7",$X$14:$X$53,0)),"")</f>
        <v/>
      </c>
      <c r="AF51" s="20">
        <f>IFERROR(INDEX($H$14:$H$53,MATCH($E51&amp;"#8",$X$14:$X$53,0)),"")</f>
        <v/>
      </c>
      <c r="AG51" s="20">
        <f>IFERROR(INDEX($H$14:$H$53,MATCH($E51&amp;"#9",$X$14:$X$53,0)),"")</f>
        <v/>
      </c>
      <c r="AH51" s="20">
        <f>IFERROR(INDEX($H$14:$H$53,MATCH($E51&amp;"#10",$X$14:$X$53,0)),"")</f>
        <v/>
      </c>
      <c r="AI51" s="20">
        <f>IFERROR(INDEX($H$14:$H$53,MATCH($E51&amp;"#11",$X$14:$X$53,0)),"")</f>
        <v/>
      </c>
      <c r="AJ51" s="20">
        <f>IFERROR(INDEX($H$14:$H$53,MATCH($E51&amp;"#12",$X$14:$X$53,0)),"")</f>
        <v/>
      </c>
      <c r="AK51" s="20">
        <f>IFERROR(INDEX($H$14:$H$53,MATCH($E51&amp;"#13",$X$14:$X$53,0)),"")</f>
        <v/>
      </c>
      <c r="AL51" s="20">
        <f>IFERROR(INDEX($H$14:$H$53,MATCH($E51&amp;"#14",$X$14:$X$53,0)),"")</f>
        <v/>
      </c>
      <c r="AM51" s="20">
        <f>IFERROR(INDEX($H$14:$H$53,MATCH($E51&amp;"#15",$X$14:$X$53,0)),"")</f>
        <v/>
      </c>
      <c r="AN51" s="20">
        <f>IFERROR(INDEX($H$14:$H$53,MATCH($E51&amp;"#16",$X$14:$X$53,0)),"")</f>
        <v/>
      </c>
      <c r="AO51" s="20">
        <f>IFERROR(INDEX($H$14:$H$53,MATCH($E51&amp;"#17",$X$14:$X$53,0)),"")</f>
        <v/>
      </c>
      <c r="AP51" s="20">
        <f>IFERROR(INDEX($H$14:$H$53,MATCH($E51&amp;"#18",$X$14:$X$53,0)),"")</f>
        <v/>
      </c>
      <c r="AQ51" s="20">
        <f>IFERROR(INDEX($H$14:$H$53,MATCH($E51&amp;"#19",$X$14:$X$53,0)),"")</f>
        <v/>
      </c>
      <c r="AR51" s="20">
        <f>IFERROR(INDEX($H$14:$H$53,MATCH($E51&amp;"#20",$X$14:$X$53,0)),"")</f>
        <v/>
      </c>
      <c r="AT51" s="21">
        <f>$C51</f>
        <v/>
      </c>
      <c r="AU51" s="22">
        <f>IF(AND($H51&lt;&gt;"",$Y51&lt;&gt;"",$H51&lt;&gt;$Y51,IFERROR(VLOOKUP($H51,areaCercaPuntiClassificaSquadra,3,FALSE),-1)=IFERROR(VLOOKUP($Y51,areaCercaPuntiClassificaSquadra,3,FALSE),-2)),SUMIFS(Dati!$B$2:$B$381,Dati!$A$2:$A$381,$H51,Dati!$H$2:$H$381,$Y51)+SUMIFS(Dati!$I$2:$I$381,Dati!$H$2:$H$381,$H51,Dati!$A$2:$A$381,$Y51),"-")</f>
        <v/>
      </c>
      <c r="AV51" s="22">
        <f>IF(AND($H51&lt;&gt;"",$Z51&lt;&gt;"",$H51&lt;&gt;$Z51,IFERROR(VLOOKUP($H51,areaCercaPuntiClassificaSquadra,3,FALSE),-1)=IFERROR(VLOOKUP($Z51,areaCercaPuntiClassificaSquadra,3,FALSE),-2)),SUMIFS(Dati!$B$2:$B$381,Dati!$A$2:$A$381,$H51,Dati!$H$2:$H$381,$Z51)+SUMIFS(Dati!$I$2:$I$381,Dati!$H$2:$H$381,$H51,Dati!$A$2:$A$381,$Z51),"-")</f>
        <v/>
      </c>
      <c r="AW51" s="22">
        <f>IF(AND($H51&lt;&gt;"",$AA51&lt;&gt;"",$H51&lt;&gt;$AA51,IFERROR(VLOOKUP($H51,areaCercaPuntiClassificaSquadra,3,FALSE),-1)=IFERROR(VLOOKUP($AA51,areaCercaPuntiClassificaSquadra,3,FALSE),-2)),SUMIFS(Dati!$B$2:$B$381,Dati!$A$2:$A$381,$H51,Dati!$H$2:$H$381,$AA51)+SUMIFS(Dati!$I$2:$I$381,Dati!$H$2:$H$381,$H51,Dati!$A$2:$A$381,$AA51),"-")</f>
        <v/>
      </c>
      <c r="AX51" s="22">
        <f>IF(AND($H51&lt;&gt;"",$AB51&lt;&gt;"",$H51&lt;&gt;$AB51,IFERROR(VLOOKUP($H51,areaCercaPuntiClassificaSquadra,3,FALSE),-1)=IFERROR(VLOOKUP($AB51,areaCercaPuntiClassificaSquadra,3,FALSE),-2)),SUMIFS(Dati!$B$2:$B$381,Dati!$A$2:$A$381,$H51,Dati!$H$2:$H$381,$AB51)+SUMIFS(Dati!$I$2:$I$381,Dati!$H$2:$H$381,$H51,Dati!$A$2:$A$381,$AB51),"-")</f>
        <v/>
      </c>
      <c r="AY51" s="22">
        <f>IF(AND($H51&lt;&gt;"",$AC51&lt;&gt;"",$H51&lt;&gt;$AC51,IFERROR(VLOOKUP($H51,areaCercaPuntiClassificaSquadra,3,FALSE),-1)=IFERROR(VLOOKUP($AC51,areaCercaPuntiClassificaSquadra,3,FALSE),-2)),SUMIFS(Dati!$B$2:$B$381,Dati!$A$2:$A$381,$H51,Dati!$H$2:$H$381,$AC51)+SUMIFS(Dati!$I$2:$I$381,Dati!$H$2:$H$381,$H51,Dati!$A$2:$A$381,$AC51),"-")</f>
        <v/>
      </c>
      <c r="AZ51" s="22">
        <f>IF(AND($H51&lt;&gt;"",$AD51&lt;&gt;"",$H51&lt;&gt;$AD51,IFERROR(VLOOKUP($H51,areaCercaPuntiClassificaSquadra,3,FALSE),-1)=IFERROR(VLOOKUP($AD51,areaCercaPuntiClassificaSquadra,3,FALSE),-2)),SUMIFS(Dati!$B$2:$B$381,Dati!$A$2:$A$381,$H51,Dati!$H$2:$H$381,$AD51)+SUMIFS(Dati!$I$2:$I$381,Dati!$H$2:$H$381,$H51,Dati!$A$2:$A$381,$AD51),"-")</f>
        <v/>
      </c>
      <c r="BA51" s="22">
        <f>IF(AND($H51&lt;&gt;"",$AE51&lt;&gt;"",$H51&lt;&gt;$AE51,IFERROR(VLOOKUP($H51,areaCercaPuntiClassificaSquadra,3,FALSE),-1)=IFERROR(VLOOKUP($AE51,areaCercaPuntiClassificaSquadra,3,FALSE),-2)),SUMIFS(Dati!$B$2:$B$381,Dati!$A$2:$A$381,$H51,Dati!$H$2:$H$381,$AE51)+SUMIFS(Dati!$I$2:$I$381,Dati!$H$2:$H$381,$H51,Dati!$A$2:$A$381,$AE51),"-")</f>
        <v/>
      </c>
      <c r="BB51" s="22">
        <f>IF(AND($H51&lt;&gt;"",$AF51&lt;&gt;"",$H51&lt;&gt;$AF51,IFERROR(VLOOKUP($H51,areaCercaPuntiClassificaSquadra,3,FALSE),-1)=IFERROR(VLOOKUP($AF51,areaCercaPuntiClassificaSquadra,3,FALSE),-2)),SUMIFS(Dati!$B$2:$B$381,Dati!$A$2:$A$381,$H51,Dati!$H$2:$H$381,$AF51)+SUMIFS(Dati!$I$2:$I$381,Dati!$H$2:$H$381,$H51,Dati!$A$2:$A$381,$AF51),"-")</f>
        <v/>
      </c>
      <c r="BC51" s="22">
        <f>IF(AND($H51&lt;&gt;"",$AG51&lt;&gt;"",$H51&lt;&gt;$AG51,IFERROR(VLOOKUP($H51,areaCercaPuntiClassificaSquadra,3,FALSE),-1)=IFERROR(VLOOKUP($AG51,areaCercaPuntiClassificaSquadra,3,FALSE),-2)),SUMIFS(Dati!$B$2:$B$381,Dati!$A$2:$A$381,$H51,Dati!$H$2:$H$381,$AG51)+SUMIFS(Dati!$I$2:$I$381,Dati!$H$2:$H$381,$H51,Dati!$A$2:$A$381,$AG51),"-")</f>
        <v/>
      </c>
      <c r="BD51" s="22">
        <f>IF(AND($H51&lt;&gt;"",$AH51&lt;&gt;"",$H51&lt;&gt;$AH51,IFERROR(VLOOKUP($H51,areaCercaPuntiClassificaSquadra,3,FALSE),-1)=IFERROR(VLOOKUP($AH51,areaCercaPuntiClassificaSquadra,3,FALSE),-2)),SUMIFS(Dati!$B$2:$B$381,Dati!$A$2:$A$381,$H51,Dati!$H$2:$H$381,$AH51)+SUMIFS(Dati!$I$2:$I$381,Dati!$H$2:$H$381,$H51,Dati!$A$2:$A$381,$AH51),"-")</f>
        <v/>
      </c>
      <c r="BE51" s="22">
        <f>IF(AND($H51&lt;&gt;"",$AI51&lt;&gt;"",$H51&lt;&gt;$AI51,IFERROR(VLOOKUP($H51,areaCercaPuntiClassificaSquadra,3,FALSE),-1)=IFERROR(VLOOKUP($AI51,areaCercaPuntiClassificaSquadra,3,FALSE),-2)),SUMIFS(Dati!$B$2:$B$381,Dati!$A$2:$A$381,$H51,Dati!$H$2:$H$381,$AI51)+SUMIFS(Dati!$I$2:$I$381,Dati!$H$2:$H$381,$H51,Dati!$A$2:$A$381,$AI51),"-")</f>
        <v/>
      </c>
      <c r="BF51" s="22">
        <f>IF(AND($H51&lt;&gt;"",$AJ51&lt;&gt;"",$H51&lt;&gt;$AJ51,IFERROR(VLOOKUP($H51,areaCercaPuntiClassificaSquadra,3,FALSE),-1)=IFERROR(VLOOKUP($AJ51,areaCercaPuntiClassificaSquadra,3,FALSE),-2)),SUMIFS(Dati!$B$2:$B$381,Dati!$A$2:$A$381,$H51,Dati!$H$2:$H$381,$AJ51)+SUMIFS(Dati!$I$2:$I$381,Dati!$H$2:$H$381,$H51,Dati!$A$2:$A$381,$AJ51),"-")</f>
        <v/>
      </c>
      <c r="BG51" s="22">
        <f>IF(AND($H51&lt;&gt;"",$AK51&lt;&gt;"",$H51&lt;&gt;$AK51,IFERROR(VLOOKUP($H51,areaCercaPuntiClassificaSquadra,3,FALSE),-1)=IFERROR(VLOOKUP($AK51,areaCercaPuntiClassificaSquadra,3,FALSE),-2)),SUMIFS(Dati!$B$2:$B$381,Dati!$A$2:$A$381,$H51,Dati!$H$2:$H$381,$AK51)+SUMIFS(Dati!$I$2:$I$381,Dati!$H$2:$H$381,$H51,Dati!$A$2:$A$381,$AK51),"-")</f>
        <v/>
      </c>
      <c r="BH51" s="22">
        <f>IF(AND($H51&lt;&gt;"",$AL51&lt;&gt;"",$H51&lt;&gt;$AL51,IFERROR(VLOOKUP($H51,areaCercaPuntiClassificaSquadra,3,FALSE),-1)=IFERROR(VLOOKUP($AL51,areaCercaPuntiClassificaSquadra,3,FALSE),-2)),SUMIFS(Dati!$B$2:$B$381,Dati!$A$2:$A$381,$H51,Dati!$H$2:$H$381,$AL51)+SUMIFS(Dati!$I$2:$I$381,Dati!$H$2:$H$381,$H51,Dati!$A$2:$A$381,$AL51),"-")</f>
        <v/>
      </c>
      <c r="BI51" s="22">
        <f>IF(AND($H51&lt;&gt;"",$AM51&lt;&gt;"",$H51&lt;&gt;$AM51,IFERROR(VLOOKUP($H51,areaCercaPuntiClassificaSquadra,3,FALSE),-1)=IFERROR(VLOOKUP($AM51,areaCercaPuntiClassificaSquadra,3,FALSE),-2)),SUMIFS(Dati!$B$2:$B$381,Dati!$A$2:$A$381,$H51,Dati!$H$2:$H$381,$AM51)+SUMIFS(Dati!$I$2:$I$381,Dati!$H$2:$H$381,$H51,Dati!$A$2:$A$381,$AM51),"-")</f>
        <v/>
      </c>
      <c r="BJ51" s="22">
        <f>IF(AND($H51&lt;&gt;"",$AN51&lt;&gt;"",$H51&lt;&gt;$AN51,IFERROR(VLOOKUP($H51,areaCercaPuntiClassificaSquadra,3,FALSE),-1)=IFERROR(VLOOKUP($AN51,areaCercaPuntiClassificaSquadra,3,FALSE),-2)),SUMIFS(Dati!$B$2:$B$381,Dati!$A$2:$A$381,$H51,Dati!$H$2:$H$381,$AN51)+SUMIFS(Dati!$I$2:$I$381,Dati!$H$2:$H$381,$H51,Dati!$A$2:$A$381,$AN51),"-")</f>
        <v/>
      </c>
      <c r="BK51" s="22">
        <f>IF(AND($H51&lt;&gt;"",$AO51&lt;&gt;"",$H51&lt;&gt;$AO51,IFERROR(VLOOKUP($H51,areaCercaPuntiClassificaSquadra,3,FALSE),-1)=IFERROR(VLOOKUP($AO51,areaCercaPuntiClassificaSquadra,3,FALSE),-2)),SUMIFS(Dati!$B$2:$B$381,Dati!$A$2:$A$381,$H51,Dati!$H$2:$H$381,$AO51)+SUMIFS(Dati!$I$2:$I$381,Dati!$H$2:$H$381,$H51,Dati!$A$2:$A$381,$AO51),"-")</f>
        <v/>
      </c>
      <c r="BL51" s="22">
        <f>IF(AND($H51&lt;&gt;"",$AP51&lt;&gt;"",$H51&lt;&gt;$AP51,IFERROR(VLOOKUP($H51,areaCercaPuntiClassificaSquadra,3,FALSE),-1)=IFERROR(VLOOKUP($AP51,areaCercaPuntiClassificaSquadra,3,FALSE),-2)),SUMIFS(Dati!$B$2:$B$381,Dati!$A$2:$A$381,$H51,Dati!$H$2:$H$381,$AP51)+SUMIFS(Dati!$I$2:$I$381,Dati!$H$2:$H$381,$H51,Dati!$A$2:$A$381,$AP51),"-")</f>
        <v/>
      </c>
      <c r="BM51" s="22">
        <f>IF(AND($H51&lt;&gt;"",$AQ51&lt;&gt;"",$H51&lt;&gt;$AQ51,IFERROR(VLOOKUP($H51,areaCercaPuntiClassificaSquadra,3,FALSE),-1)=IFERROR(VLOOKUP($AQ51,areaCercaPuntiClassificaSquadra,3,FALSE),-2)),SUMIFS(Dati!$B$2:$B$381,Dati!$A$2:$A$381,$H51,Dati!$H$2:$H$381,$AQ51)+SUMIFS(Dati!$I$2:$I$381,Dati!$H$2:$H$381,$H51,Dati!$A$2:$A$381,$AQ51),"-")</f>
        <v/>
      </c>
      <c r="BN51" s="22">
        <f>IF(AND($H51&lt;&gt;"",$AR51&lt;&gt;"",$H51&lt;&gt;$AR51,IFERROR(VLOOKUP($H51,areaCercaPuntiClassificaSquadra,3,FALSE),-1)=IFERROR(VLOOKUP($AR51,areaCercaPuntiClassificaSquadra,3,FALSE),-2)),SUMIFS(Dati!$B$2:$B$381,Dati!$A$2:$A$381,$H51,Dati!$H$2:$H$381,$AR51)+SUMIFS(Dati!$I$2:$I$381,Dati!$H$2:$H$381,$H51,Dati!$A$2:$A$381,$AR51),"-")</f>
        <v/>
      </c>
      <c r="BP51" s="21">
        <f>$C51</f>
        <v/>
      </c>
      <c r="BQ51" s="22">
        <f>IF(AND($H51&lt;&gt;"",$Y51&lt;&gt;"",$H51&lt;&gt;$Y51,IFERROR(VLOOKUP($H51,areaCercaPuntiClassificaSquadra,3,FALSE),-1)=IFERROR(VLOOKUP($Y51,areaCercaPuntiClassificaSquadra,3,FALSE),-2)),SUMIFS(Dati!$D$2:$D$381,Dati!$A$2:$A$381,$H51,Dati!$H$2:$H$381,$Y51)+SUMIFS(Dati!$K$2:$K$381,Dati!$H$2:$H$381,$H51,Dati!$A$2:$A$381,$Y51)+SUMIFS(Dati!$C$2:$C$381,Dati!$A$2:$A$381,$H51,Dati!$H$2:$H$381,$Y51)+SUMIFS(Dati!$J$2:$J$381,Dati!$H$2:$H$381,$H51,Dati!$A$2:$A$381,$Y51),"-")</f>
        <v/>
      </c>
      <c r="BR51" s="22">
        <f>IF(AND($H51&lt;&gt;"",$Z51&lt;&gt;"",$H51&lt;&gt;$Z51,IFERROR(VLOOKUP($H51,areaCercaPuntiClassificaSquadra,3,FALSE),-1)=IFERROR(VLOOKUP($Z51,areaCercaPuntiClassificaSquadra,3,FALSE),-2)),SUMIFS(Dati!$D$2:$D$381,Dati!$A$2:$A$381,$H51,Dati!$H$2:$H$381,$Z51)+SUMIFS(Dati!$K$2:$K$381,Dati!$H$2:$H$381,$H51,Dati!$A$2:$A$381,$Z51)+SUMIFS(Dati!$C$2:$C$381,Dati!$A$2:$A$381,$H51,Dati!$H$2:$H$381,$Z51)+SUMIFS(Dati!$J$2:$J$381,Dati!$H$2:$H$381,$H51,Dati!$A$2:$A$381,$Z51),"-")</f>
        <v/>
      </c>
      <c r="BS51" s="22">
        <f>IF(AND($H51&lt;&gt;"",$AA51&lt;&gt;"",$H51&lt;&gt;$AA51,IFERROR(VLOOKUP($H51,areaCercaPuntiClassificaSquadra,3,FALSE),-1)=IFERROR(VLOOKUP($AA51,areaCercaPuntiClassificaSquadra,3,FALSE),-2)),SUMIFS(Dati!$D$2:$D$381,Dati!$A$2:$A$381,$H51,Dati!$H$2:$H$381,$AA51)+SUMIFS(Dati!$K$2:$K$381,Dati!$H$2:$H$381,$H51,Dati!$A$2:$A$381,$AA51)+SUMIFS(Dati!$C$2:$C$381,Dati!$A$2:$A$381,$H51,Dati!$H$2:$H$381,$AA51)+SUMIFS(Dati!$J$2:$J$381,Dati!$H$2:$H$381,$H51,Dati!$A$2:$A$381,$AA51),"-")</f>
        <v/>
      </c>
      <c r="BT51" s="22">
        <f>IF(AND($H51&lt;&gt;"",$AB51&lt;&gt;"",$H51&lt;&gt;$AB51,IFERROR(VLOOKUP($H51,areaCercaPuntiClassificaSquadra,3,FALSE),-1)=IFERROR(VLOOKUP($AB51,areaCercaPuntiClassificaSquadra,3,FALSE),-2)),SUMIFS(Dati!$D$2:$D$381,Dati!$A$2:$A$381,$H51,Dati!$H$2:$H$381,$AB51)+SUMIFS(Dati!$K$2:$K$381,Dati!$H$2:$H$381,$H51,Dati!$A$2:$A$381,$AB51)+SUMIFS(Dati!$C$2:$C$381,Dati!$A$2:$A$381,$H51,Dati!$H$2:$H$381,$AB51)+SUMIFS(Dati!$J$2:$J$381,Dati!$H$2:$H$381,$H51,Dati!$A$2:$A$381,$AB51),"-")</f>
        <v/>
      </c>
      <c r="BU51" s="22">
        <f>IF(AND($H51&lt;&gt;"",$AC51&lt;&gt;"",$H51&lt;&gt;$AC51,IFERROR(VLOOKUP($H51,areaCercaPuntiClassificaSquadra,3,FALSE),-1)=IFERROR(VLOOKUP($AC51,areaCercaPuntiClassificaSquadra,3,FALSE),-2)),SUMIFS(Dati!$D$2:$D$381,Dati!$A$2:$A$381,$H51,Dati!$H$2:$H$381,$AC51)+SUMIFS(Dati!$K$2:$K$381,Dati!$H$2:$H$381,$H51,Dati!$A$2:$A$381,$AC51)+SUMIFS(Dati!$C$2:$C$381,Dati!$A$2:$A$381,$H51,Dati!$H$2:$H$381,$AC51)+SUMIFS(Dati!$J$2:$J$381,Dati!$H$2:$H$381,$H51,Dati!$A$2:$A$381,$AC51),"-")</f>
        <v/>
      </c>
      <c r="BV51" s="22">
        <f>IF(AND($H51&lt;&gt;"",$AD51&lt;&gt;"",$H51&lt;&gt;$AD51,IFERROR(VLOOKUP($H51,areaCercaPuntiClassificaSquadra,3,FALSE),-1)=IFERROR(VLOOKUP($AD51,areaCercaPuntiClassificaSquadra,3,FALSE),-2)),SUMIFS(Dati!$D$2:$D$381,Dati!$A$2:$A$381,$H51,Dati!$H$2:$H$381,$AD51)+SUMIFS(Dati!$K$2:$K$381,Dati!$H$2:$H$381,$H51,Dati!$A$2:$A$381,$AD51)+SUMIFS(Dati!$C$2:$C$381,Dati!$A$2:$A$381,$H51,Dati!$H$2:$H$381,$AD51)+SUMIFS(Dati!$J$2:$J$381,Dati!$H$2:$H$381,$H51,Dati!$A$2:$A$381,$AD51),"-")</f>
        <v/>
      </c>
      <c r="BW51" s="22">
        <f>IF(AND($H51&lt;&gt;"",$AE51&lt;&gt;"",$H51&lt;&gt;$AE51,IFERROR(VLOOKUP($H51,areaCercaPuntiClassificaSquadra,3,FALSE),-1)=IFERROR(VLOOKUP($AE51,areaCercaPuntiClassificaSquadra,3,FALSE),-2)),SUMIFS(Dati!$D$2:$D$381,Dati!$A$2:$A$381,$H51,Dati!$H$2:$H$381,$AE51)+SUMIFS(Dati!$K$2:$K$381,Dati!$H$2:$H$381,$H51,Dati!$A$2:$A$381,$AE51)+SUMIFS(Dati!$C$2:$C$381,Dati!$A$2:$A$381,$H51,Dati!$H$2:$H$381,$AE51)+SUMIFS(Dati!$J$2:$J$381,Dati!$H$2:$H$381,$H51,Dati!$A$2:$A$381,$AE51),"-")</f>
        <v/>
      </c>
      <c r="BX51" s="22">
        <f>IF(AND($H51&lt;&gt;"",$AF51&lt;&gt;"",$H51&lt;&gt;$AF51,IFERROR(VLOOKUP($H51,areaCercaPuntiClassificaSquadra,3,FALSE),-1)=IFERROR(VLOOKUP($AF51,areaCercaPuntiClassificaSquadra,3,FALSE),-2)),SUMIFS(Dati!$D$2:$D$381,Dati!$A$2:$A$381,$H51,Dati!$H$2:$H$381,$AF51)+SUMIFS(Dati!$K$2:$K$381,Dati!$H$2:$H$381,$H51,Dati!$A$2:$A$381,$AF51)+SUMIFS(Dati!$C$2:$C$381,Dati!$A$2:$A$381,$H51,Dati!$H$2:$H$381,$AF51)+SUMIFS(Dati!$J$2:$J$381,Dati!$H$2:$H$381,$H51,Dati!$A$2:$A$381,$AF51),"-")</f>
        <v/>
      </c>
      <c r="BY51" s="22">
        <f>IF(AND($H51&lt;&gt;"",$AG51&lt;&gt;"",$H51&lt;&gt;$AG51,IFERROR(VLOOKUP($H51,areaCercaPuntiClassificaSquadra,3,FALSE),-1)=IFERROR(VLOOKUP($AG51,areaCercaPuntiClassificaSquadra,3,FALSE),-2)),SUMIFS(Dati!$D$2:$D$381,Dati!$A$2:$A$381,$H51,Dati!$H$2:$H$381,$AG51)+SUMIFS(Dati!$K$2:$K$381,Dati!$H$2:$H$381,$H51,Dati!$A$2:$A$381,$AG51)+SUMIFS(Dati!$C$2:$C$381,Dati!$A$2:$A$381,$H51,Dati!$H$2:$H$381,$AG51)+SUMIFS(Dati!$J$2:$J$381,Dati!$H$2:$H$381,$H51,Dati!$A$2:$A$381,$AG51),"-")</f>
        <v/>
      </c>
      <c r="BZ51" s="22">
        <f>IF(AND($H51&lt;&gt;"",$AH51&lt;&gt;"",$H51&lt;&gt;$AH51,IFERROR(VLOOKUP($H51,areaCercaPuntiClassificaSquadra,3,FALSE),-1)=IFERROR(VLOOKUP($AH51,areaCercaPuntiClassificaSquadra,3,FALSE),-2)),SUMIFS(Dati!$D$2:$D$381,Dati!$A$2:$A$381,$H51,Dati!$H$2:$H$381,$AH51)+SUMIFS(Dati!$K$2:$K$381,Dati!$H$2:$H$381,$H51,Dati!$A$2:$A$381,$AH51)+SUMIFS(Dati!$C$2:$C$381,Dati!$A$2:$A$381,$H51,Dati!$H$2:$H$381,$AH51)+SUMIFS(Dati!$J$2:$J$381,Dati!$H$2:$H$381,$H51,Dati!$A$2:$A$381,$AH51),"-")</f>
        <v/>
      </c>
      <c r="CA51" s="22">
        <f>IF(AND($H51&lt;&gt;"",$AI51&lt;&gt;"",$H51&lt;&gt;$AI51,IFERROR(VLOOKUP($H51,areaCercaPuntiClassificaSquadra,3,FALSE),-1)=IFERROR(VLOOKUP($AI51,areaCercaPuntiClassificaSquadra,3,FALSE),-2)),SUMIFS(Dati!$D$2:$D$381,Dati!$A$2:$A$381,$H51,Dati!$H$2:$H$381,$AI51)+SUMIFS(Dati!$K$2:$K$381,Dati!$H$2:$H$381,$H51,Dati!$A$2:$A$381,$AI51)+SUMIFS(Dati!$C$2:$C$381,Dati!$A$2:$A$381,$H51,Dati!$H$2:$H$381,$AI51)+SUMIFS(Dati!$J$2:$J$381,Dati!$H$2:$H$381,$H51,Dati!$A$2:$A$381,$AI51),"-")</f>
        <v/>
      </c>
      <c r="CB51" s="22">
        <f>IF(AND($H51&lt;&gt;"",$AJ51&lt;&gt;"",$H51&lt;&gt;$AJ51,IFERROR(VLOOKUP($H51,areaCercaPuntiClassificaSquadra,3,FALSE),-1)=IFERROR(VLOOKUP($AJ51,areaCercaPuntiClassificaSquadra,3,FALSE),-2)),SUMIFS(Dati!$D$2:$D$381,Dati!$A$2:$A$381,$H51,Dati!$H$2:$H$381,$AJ51)+SUMIFS(Dati!$K$2:$K$381,Dati!$H$2:$H$381,$H51,Dati!$A$2:$A$381,$AJ51)+SUMIFS(Dati!$C$2:$C$381,Dati!$A$2:$A$381,$H51,Dati!$H$2:$H$381,$AJ51)+SUMIFS(Dati!$J$2:$J$381,Dati!$H$2:$H$381,$H51,Dati!$A$2:$A$381,$AJ51),"-")</f>
        <v/>
      </c>
      <c r="CC51" s="22">
        <f>IF(AND($H51&lt;&gt;"",$AK51&lt;&gt;"",$H51&lt;&gt;$AK51,IFERROR(VLOOKUP($H51,areaCercaPuntiClassificaSquadra,3,FALSE),-1)=IFERROR(VLOOKUP($AK51,areaCercaPuntiClassificaSquadra,3,FALSE),-2)),SUMIFS(Dati!$D$2:$D$381,Dati!$A$2:$A$381,$H51,Dati!$H$2:$H$381,$AK51)+SUMIFS(Dati!$K$2:$K$381,Dati!$H$2:$H$381,$H51,Dati!$A$2:$A$381,$AK51)+SUMIFS(Dati!$C$2:$C$381,Dati!$A$2:$A$381,$H51,Dati!$H$2:$H$381,$AK51)+SUMIFS(Dati!$J$2:$J$381,Dati!$H$2:$H$381,$H51,Dati!$A$2:$A$381,$AK51),"-")</f>
        <v/>
      </c>
      <c r="CD51" s="22">
        <f>IF(AND($H51&lt;&gt;"",$AL51&lt;&gt;"",$H51&lt;&gt;$AL51,IFERROR(VLOOKUP($H51,areaCercaPuntiClassificaSquadra,3,FALSE),-1)=IFERROR(VLOOKUP($AL51,areaCercaPuntiClassificaSquadra,3,FALSE),-2)),SUMIFS(Dati!$D$2:$D$381,Dati!$A$2:$A$381,$H51,Dati!$H$2:$H$381,$AL51)+SUMIFS(Dati!$K$2:$K$381,Dati!$H$2:$H$381,$H51,Dati!$A$2:$A$381,$AL51)+SUMIFS(Dati!$C$2:$C$381,Dati!$A$2:$A$381,$H51,Dati!$H$2:$H$381,$AL51)+SUMIFS(Dati!$J$2:$J$381,Dati!$H$2:$H$381,$H51,Dati!$A$2:$A$381,$AL51),"-")</f>
        <v/>
      </c>
      <c r="CE51" s="22">
        <f>IF(AND($H51&lt;&gt;"",$AM51&lt;&gt;"",$H51&lt;&gt;$AM51,IFERROR(VLOOKUP($H51,areaCercaPuntiClassificaSquadra,3,FALSE),-1)=IFERROR(VLOOKUP($AM51,areaCercaPuntiClassificaSquadra,3,FALSE),-2)),SUMIFS(Dati!$D$2:$D$381,Dati!$A$2:$A$381,$H51,Dati!$H$2:$H$381,$AM51)+SUMIFS(Dati!$K$2:$K$381,Dati!$H$2:$H$381,$H51,Dati!$A$2:$A$381,$AM51)+SUMIFS(Dati!$C$2:$C$381,Dati!$A$2:$A$381,$H51,Dati!$H$2:$H$381,$AM51)+SUMIFS(Dati!$J$2:$J$381,Dati!$H$2:$H$381,$H51,Dati!$A$2:$A$381,$AM51),"-")</f>
        <v/>
      </c>
      <c r="CF51" s="22">
        <f>IF(AND($H51&lt;&gt;"",$AN51&lt;&gt;"",$H51&lt;&gt;$AN51,IFERROR(VLOOKUP($H51,areaCercaPuntiClassificaSquadra,3,FALSE),-1)=IFERROR(VLOOKUP($AN51,areaCercaPuntiClassificaSquadra,3,FALSE),-2)),SUMIFS(Dati!$D$2:$D$381,Dati!$A$2:$A$381,$H51,Dati!$H$2:$H$381,$AN51)+SUMIFS(Dati!$K$2:$K$381,Dati!$H$2:$H$381,$H51,Dati!$A$2:$A$381,$AN51)+SUMIFS(Dati!$C$2:$C$381,Dati!$A$2:$A$381,$H51,Dati!$H$2:$H$381,$AN51)+SUMIFS(Dati!$J$2:$J$381,Dati!$H$2:$H$381,$H51,Dati!$A$2:$A$381,$AN51),"-")</f>
        <v/>
      </c>
      <c r="CG51" s="22">
        <f>IF(AND($H51&lt;&gt;"",$AO51&lt;&gt;"",$H51&lt;&gt;$AO51,IFERROR(VLOOKUP($H51,areaCercaPuntiClassificaSquadra,3,FALSE),-1)=IFERROR(VLOOKUP($AO51,areaCercaPuntiClassificaSquadra,3,FALSE),-2)),SUMIFS(Dati!$D$2:$D$381,Dati!$A$2:$A$381,$H51,Dati!$H$2:$H$381,$AO51)+SUMIFS(Dati!$K$2:$K$381,Dati!$H$2:$H$381,$H51,Dati!$A$2:$A$381,$AO51)+SUMIFS(Dati!$C$2:$C$381,Dati!$A$2:$A$381,$H51,Dati!$H$2:$H$381,$AO51)+SUMIFS(Dati!$J$2:$J$381,Dati!$H$2:$H$381,$H51,Dati!$A$2:$A$381,$AO51),"-")</f>
        <v/>
      </c>
      <c r="CH51" s="22">
        <f>IF(AND($H51&lt;&gt;"",$AP51&lt;&gt;"",$H51&lt;&gt;$AP51,IFERROR(VLOOKUP($H51,areaCercaPuntiClassificaSquadra,3,FALSE),-1)=IFERROR(VLOOKUP($AP51,areaCercaPuntiClassificaSquadra,3,FALSE),-2)),SUMIFS(Dati!$D$2:$D$381,Dati!$A$2:$A$381,$H51,Dati!$H$2:$H$381,$AP51)+SUMIFS(Dati!$K$2:$K$381,Dati!$H$2:$H$381,$H51,Dati!$A$2:$A$381,$AP51)+SUMIFS(Dati!$C$2:$C$381,Dati!$A$2:$A$381,$H51,Dati!$H$2:$H$381,$AP51)+SUMIFS(Dati!$J$2:$J$381,Dati!$H$2:$H$381,$H51,Dati!$A$2:$A$381,$AP51),"-")</f>
        <v/>
      </c>
      <c r="CI51" s="22">
        <f>IF(AND($H51&lt;&gt;"",$AQ51&lt;&gt;"",$H51&lt;&gt;$AQ51,IFERROR(VLOOKUP($H51,areaCercaPuntiClassificaSquadra,3,FALSE),-1)=IFERROR(VLOOKUP($AQ51,areaCercaPuntiClassificaSquadra,3,FALSE),-2)),SUMIFS(Dati!$D$2:$D$381,Dati!$A$2:$A$381,$H51,Dati!$H$2:$H$381,$AQ51)+SUMIFS(Dati!$K$2:$K$381,Dati!$H$2:$H$381,$H51,Dati!$A$2:$A$381,$AQ51)+SUMIFS(Dati!$C$2:$C$381,Dati!$A$2:$A$381,$H51,Dati!$H$2:$H$381,$AQ51)+SUMIFS(Dati!$J$2:$J$381,Dati!$H$2:$H$381,$H51,Dati!$A$2:$A$381,$AQ51),"-")</f>
        <v/>
      </c>
      <c r="CJ51" s="22">
        <f>IF(AND($H51&lt;&gt;"",$AR51&lt;&gt;"",$H51&lt;&gt;$AR51,IFERROR(VLOOKUP($H51,areaCercaPuntiClassificaSquadra,3,FALSE),-1)=IFERROR(VLOOKUP($AR51,areaCercaPuntiClassificaSquadra,3,FALSE),-2)),SUMIFS(Dati!$D$2:$D$381,Dati!$A$2:$A$381,$H51,Dati!$H$2:$H$381,$AR51)+SUMIFS(Dati!$K$2:$K$381,Dati!$H$2:$H$381,$H51,Dati!$A$2:$A$381,$AR51)+SUMIFS(Dati!$C$2:$C$381,Dati!$A$2:$A$381,$H51,Dati!$H$2:$H$381,$AR51)+SUMIFS(Dati!$J$2:$J$381,Dati!$H$2:$H$381,$H51,Dati!$A$2:$A$381,$AR51),"-")</f>
        <v/>
      </c>
      <c r="CL51" s="21">
        <f>$C51</f>
        <v/>
      </c>
      <c r="CM51" s="22">
        <f>IF(AND($H51&lt;&gt;"",$Y51&lt;&gt;"",$H51&lt;&gt;$Y51,IFERROR(VLOOKUP($H51,areaCercaPuntiClassificaSquadra,3,FALSE),-1)=IFERROR(VLOOKUP($Y51,areaCercaPuntiClassificaSquadra,3,FALSE),-2)),SUMIFS(Dati!$E$2:$E$381,Dati!$A$2:$A$381,$H51,Dati!$H$2:$H$381,$Y51)+SUMIFS(Dati!$L$2:$L$381,Dati!$H$2:$H$381,$H51,Dati!$A$2:$A$381,$Y51),"-")</f>
        <v/>
      </c>
      <c r="CN51" s="22">
        <f>IF(AND($H51&lt;&gt;"",$Z51&lt;&gt;"",$H51&lt;&gt;$Z51,IFERROR(VLOOKUP($H51,areaCercaPuntiClassificaSquadra,3,FALSE),-1)=IFERROR(VLOOKUP($Z51,areaCercaPuntiClassificaSquadra,3,FALSE),-2)),SUMIFS(Dati!$E$2:$E$381,Dati!$A$2:$A$381,$H51,Dati!$H$2:$H$381,$Z51)+SUMIFS(Dati!$L$2:$L$381,Dati!$H$2:$H$381,$H51,Dati!$A$2:$A$381,$Z51),"-")</f>
        <v/>
      </c>
      <c r="CO51" s="22">
        <f>IF(AND($H51&lt;&gt;"",$AA51&lt;&gt;"",$H51&lt;&gt;$AA51,IFERROR(VLOOKUP($H51,areaCercaPuntiClassificaSquadra,3,FALSE),-1)=IFERROR(VLOOKUP($AA51,areaCercaPuntiClassificaSquadra,3,FALSE),-2)),SUMIFS(Dati!$E$2:$E$381,Dati!$A$2:$A$381,$H51,Dati!$H$2:$H$381,$AA51)+SUMIFS(Dati!$L$2:$L$381,Dati!$H$2:$H$381,$H51,Dati!$A$2:$A$381,$AA51),"-")</f>
        <v/>
      </c>
      <c r="CP51" s="22">
        <f>IF(AND($H51&lt;&gt;"",$AB51&lt;&gt;"",$H51&lt;&gt;$AB51,IFERROR(VLOOKUP($H51,areaCercaPuntiClassificaSquadra,3,FALSE),-1)=IFERROR(VLOOKUP($AB51,areaCercaPuntiClassificaSquadra,3,FALSE),-2)),SUMIFS(Dati!$E$2:$E$381,Dati!$A$2:$A$381,$H51,Dati!$H$2:$H$381,$AB51)+SUMIFS(Dati!$L$2:$L$381,Dati!$H$2:$H$381,$H51,Dati!$A$2:$A$381,$AB51),"-")</f>
        <v/>
      </c>
      <c r="CQ51" s="22">
        <f>IF(AND($H51&lt;&gt;"",$AC51&lt;&gt;"",$H51&lt;&gt;$AC51,IFERROR(VLOOKUP($H51,areaCercaPuntiClassificaSquadra,3,FALSE),-1)=IFERROR(VLOOKUP($AC51,areaCercaPuntiClassificaSquadra,3,FALSE),-2)),SUMIFS(Dati!$E$2:$E$381,Dati!$A$2:$A$381,$H51,Dati!$H$2:$H$381,$AC51)+SUMIFS(Dati!$L$2:$L$381,Dati!$H$2:$H$381,$H51,Dati!$A$2:$A$381,$AC51),"-")</f>
        <v/>
      </c>
      <c r="CR51" s="22">
        <f>IF(AND($H51&lt;&gt;"",$AD51&lt;&gt;"",$H51&lt;&gt;$AD51,IFERROR(VLOOKUP($H51,areaCercaPuntiClassificaSquadra,3,FALSE),-1)=IFERROR(VLOOKUP($AD51,areaCercaPuntiClassificaSquadra,3,FALSE),-2)),SUMIFS(Dati!$E$2:$E$381,Dati!$A$2:$A$381,$H51,Dati!$H$2:$H$381,$AD51)+SUMIFS(Dati!$L$2:$L$381,Dati!$H$2:$H$381,$H51,Dati!$A$2:$A$381,$AD51),"-")</f>
        <v/>
      </c>
      <c r="CS51" s="22">
        <f>IF(AND($H51&lt;&gt;"",$AE51&lt;&gt;"",$H51&lt;&gt;$AE51,IFERROR(VLOOKUP($H51,areaCercaPuntiClassificaSquadra,3,FALSE),-1)=IFERROR(VLOOKUP($AE51,areaCercaPuntiClassificaSquadra,3,FALSE),-2)),SUMIFS(Dati!$E$2:$E$381,Dati!$A$2:$A$381,$H51,Dati!$H$2:$H$381,$AE51)+SUMIFS(Dati!$L$2:$L$381,Dati!$H$2:$H$381,$H51,Dati!$A$2:$A$381,$AE51),"-")</f>
        <v/>
      </c>
      <c r="CT51" s="22">
        <f>IF(AND($H51&lt;&gt;"",$AF51&lt;&gt;"",$H51&lt;&gt;$AF51,IFERROR(VLOOKUP($H51,areaCercaPuntiClassificaSquadra,3,FALSE),-1)=IFERROR(VLOOKUP($AF51,areaCercaPuntiClassificaSquadra,3,FALSE),-2)),SUMIFS(Dati!$E$2:$E$381,Dati!$A$2:$A$381,$H51,Dati!$H$2:$H$381,$AF51)+SUMIFS(Dati!$L$2:$L$381,Dati!$H$2:$H$381,$H51,Dati!$A$2:$A$381,$AF51),"-")</f>
        <v/>
      </c>
      <c r="CU51" s="22">
        <f>IF(AND($H51&lt;&gt;"",$AG51&lt;&gt;"",$H51&lt;&gt;$AG51,IFERROR(VLOOKUP($H51,areaCercaPuntiClassificaSquadra,3,FALSE),-1)=IFERROR(VLOOKUP($AG51,areaCercaPuntiClassificaSquadra,3,FALSE),-2)),SUMIFS(Dati!$E$2:$E$381,Dati!$A$2:$A$381,$H51,Dati!$H$2:$H$381,$AG51)+SUMIFS(Dati!$L$2:$L$381,Dati!$H$2:$H$381,$H51,Dati!$A$2:$A$381,$AG51),"-")</f>
        <v/>
      </c>
      <c r="CV51" s="22">
        <f>IF(AND($H51&lt;&gt;"",$AH51&lt;&gt;"",$H51&lt;&gt;$AH51,IFERROR(VLOOKUP($H51,areaCercaPuntiClassificaSquadra,3,FALSE),-1)=IFERROR(VLOOKUP($AH51,areaCercaPuntiClassificaSquadra,3,FALSE),-2)),SUMIFS(Dati!$E$2:$E$381,Dati!$A$2:$A$381,$H51,Dati!$H$2:$H$381,$AH51)+SUMIFS(Dati!$L$2:$L$381,Dati!$H$2:$H$381,$H51,Dati!$A$2:$A$381,$AH51),"-")</f>
        <v/>
      </c>
      <c r="CW51" s="22">
        <f>IF(AND($H51&lt;&gt;"",$AI51&lt;&gt;"",$H51&lt;&gt;$AI51,IFERROR(VLOOKUP($H51,areaCercaPuntiClassificaSquadra,3,FALSE),-1)=IFERROR(VLOOKUP($AI51,areaCercaPuntiClassificaSquadra,3,FALSE),-2)),SUMIFS(Dati!$E$2:$E$381,Dati!$A$2:$A$381,$H51,Dati!$H$2:$H$381,$AI51)+SUMIFS(Dati!$L$2:$L$381,Dati!$H$2:$H$381,$H51,Dati!$A$2:$A$381,$AI51),"-")</f>
        <v/>
      </c>
      <c r="CX51" s="22">
        <f>IF(AND($H51&lt;&gt;"",$AJ51&lt;&gt;"",$H51&lt;&gt;$AJ51,IFERROR(VLOOKUP($H51,areaCercaPuntiClassificaSquadra,3,FALSE),-1)=IFERROR(VLOOKUP($AJ51,areaCercaPuntiClassificaSquadra,3,FALSE),-2)),SUMIFS(Dati!$E$2:$E$381,Dati!$A$2:$A$381,$H51,Dati!$H$2:$H$381,$AJ51)+SUMIFS(Dati!$L$2:$L$381,Dati!$H$2:$H$381,$H51,Dati!$A$2:$A$381,$AJ51),"-")</f>
        <v/>
      </c>
      <c r="CY51" s="22">
        <f>IF(AND($H51&lt;&gt;"",$AK51&lt;&gt;"",$H51&lt;&gt;$AK51,IFERROR(VLOOKUP($H51,areaCercaPuntiClassificaSquadra,3,FALSE),-1)=IFERROR(VLOOKUP($AK51,areaCercaPuntiClassificaSquadra,3,FALSE),-2)),SUMIFS(Dati!$E$2:$E$381,Dati!$A$2:$A$381,$H51,Dati!$H$2:$H$381,$AK51)+SUMIFS(Dati!$L$2:$L$381,Dati!$H$2:$H$381,$H51,Dati!$A$2:$A$381,$AK51),"-")</f>
        <v/>
      </c>
      <c r="CZ51" s="22">
        <f>IF(AND($H51&lt;&gt;"",$AL51&lt;&gt;"",$H51&lt;&gt;$AL51,IFERROR(VLOOKUP($H51,areaCercaPuntiClassificaSquadra,3,FALSE),-1)=IFERROR(VLOOKUP($AL51,areaCercaPuntiClassificaSquadra,3,FALSE),-2)),SUMIFS(Dati!$E$2:$E$381,Dati!$A$2:$A$381,$H51,Dati!$H$2:$H$381,$AL51)+SUMIFS(Dati!$L$2:$L$381,Dati!$H$2:$H$381,$H51,Dati!$A$2:$A$381,$AL51),"-")</f>
        <v/>
      </c>
      <c r="DA51" s="22">
        <f>IF(AND($H51&lt;&gt;"",$AM51&lt;&gt;"",$H51&lt;&gt;$AM51,IFERROR(VLOOKUP($H51,areaCercaPuntiClassificaSquadra,3,FALSE),-1)=IFERROR(VLOOKUP($AM51,areaCercaPuntiClassificaSquadra,3,FALSE),-2)),SUMIFS(Dati!$E$2:$E$381,Dati!$A$2:$A$381,$H51,Dati!$H$2:$H$381,$AM51)+SUMIFS(Dati!$L$2:$L$381,Dati!$H$2:$H$381,$H51,Dati!$A$2:$A$381,$AM51),"-")</f>
        <v/>
      </c>
      <c r="DB51" s="22">
        <f>IF(AND($H51&lt;&gt;"",$AN51&lt;&gt;"",$H51&lt;&gt;$AN51,IFERROR(VLOOKUP($H51,areaCercaPuntiClassificaSquadra,3,FALSE),-1)=IFERROR(VLOOKUP($AN51,areaCercaPuntiClassificaSquadra,3,FALSE),-2)),SUMIFS(Dati!$E$2:$E$381,Dati!$A$2:$A$381,$H51,Dati!$H$2:$H$381,$AN51)+SUMIFS(Dati!$L$2:$L$381,Dati!$H$2:$H$381,$H51,Dati!$A$2:$A$381,$AN51),"-")</f>
        <v/>
      </c>
      <c r="DC51" s="22">
        <f>IF(AND($H51&lt;&gt;"",$AO51&lt;&gt;"",$H51&lt;&gt;$AO51,IFERROR(VLOOKUP($H51,areaCercaPuntiClassificaSquadra,3,FALSE),-1)=IFERROR(VLOOKUP($AO51,areaCercaPuntiClassificaSquadra,3,FALSE),-2)),SUMIFS(Dati!$E$2:$E$381,Dati!$A$2:$A$381,$H51,Dati!$H$2:$H$381,$AO51)+SUMIFS(Dati!$L$2:$L$381,Dati!$H$2:$H$381,$H51,Dati!$A$2:$A$381,$AO51),"-")</f>
        <v/>
      </c>
      <c r="DD51" s="22">
        <f>IF(AND($H51&lt;&gt;"",$AP51&lt;&gt;"",$H51&lt;&gt;$AP51,IFERROR(VLOOKUP($H51,areaCercaPuntiClassificaSquadra,3,FALSE),-1)=IFERROR(VLOOKUP($AP51,areaCercaPuntiClassificaSquadra,3,FALSE),-2)),SUMIFS(Dati!$E$2:$E$381,Dati!$A$2:$A$381,$H51,Dati!$H$2:$H$381,$AP51)+SUMIFS(Dati!$L$2:$L$381,Dati!$H$2:$H$381,$H51,Dati!$A$2:$A$381,$AP51),"-")</f>
        <v/>
      </c>
      <c r="DE51" s="22">
        <f>IF(AND($H51&lt;&gt;"",$AQ51&lt;&gt;"",$H51&lt;&gt;$AQ51,IFERROR(VLOOKUP($H51,areaCercaPuntiClassificaSquadra,3,FALSE),-1)=IFERROR(VLOOKUP($AQ51,areaCercaPuntiClassificaSquadra,3,FALSE),-2)),SUMIFS(Dati!$E$2:$E$381,Dati!$A$2:$A$381,$H51,Dati!$H$2:$H$381,$AQ51)+SUMIFS(Dati!$L$2:$L$381,Dati!$H$2:$H$381,$H51,Dati!$A$2:$A$381,$AQ51),"-")</f>
        <v/>
      </c>
      <c r="DF51" s="22">
        <f>IF(AND($H51&lt;&gt;"",$AR51&lt;&gt;"",$H51&lt;&gt;$AR51,IFERROR(VLOOKUP($H51,areaCercaPuntiClassificaSquadra,3,FALSE),-1)=IFERROR(VLOOKUP($AR51,areaCercaPuntiClassificaSquadra,3,FALSE),-2)),SUMIFS(Dati!$E$2:$E$381,Dati!$A$2:$A$381,$H51,Dati!$H$2:$H$381,$AR51)+SUMIFS(Dati!$L$2:$L$381,Dati!$H$2:$H$381,$H51,Dati!$A$2:$A$381,$AR51),"-")</f>
        <v/>
      </c>
      <c r="DH51" s="21">
        <f>$C51</f>
        <v/>
      </c>
      <c r="DI51" s="22">
        <f>IF(AND($H51&lt;&gt;"",$Y51&lt;&gt;"",$H51&lt;&gt;$Y51,IFERROR(VLOOKUP($H51,areaCercaPuntiClassificaSquadra,3,FALSE),-1)=IFERROR(VLOOKUP($Y51,areaCercaPuntiClassificaSquadra,3,FALSE),-2)),SUMIFS(Dati!$F$2:$F$381,Dati!$A$2:$A$381,$H51,Dati!$H$2:$H$381,$Y51)+SUMIFS(Dati!$M$2:$M$381,Dati!$H$2:$H$381,$H51,Dati!$A$2:$A$381,$Y51),"-")</f>
        <v/>
      </c>
      <c r="DJ51" s="22">
        <f>IF(AND($H51&lt;&gt;"",$Z51&lt;&gt;"",$H51&lt;&gt;$Z51,IFERROR(VLOOKUP($H51,areaCercaPuntiClassificaSquadra,3,FALSE),-1)=IFERROR(VLOOKUP($Z51,areaCercaPuntiClassificaSquadra,3,FALSE),-2)),SUMIFS(Dati!$F$2:$F$381,Dati!$A$2:$A$381,$H51,Dati!$H$2:$H$381,$Z51)+SUMIFS(Dati!$M$2:$M$381,Dati!$H$2:$H$381,$H51,Dati!$A$2:$A$381,$Z51),"-")</f>
        <v/>
      </c>
      <c r="DK51" s="22">
        <f>IF(AND($H51&lt;&gt;"",$AA51&lt;&gt;"",$H51&lt;&gt;$AA51,IFERROR(VLOOKUP($H51,areaCercaPuntiClassificaSquadra,3,FALSE),-1)=IFERROR(VLOOKUP($AA51,areaCercaPuntiClassificaSquadra,3,FALSE),-2)),SUMIFS(Dati!$F$2:$F$381,Dati!$A$2:$A$381,$H51,Dati!$H$2:$H$381,$AA51)+SUMIFS(Dati!$M$2:$M$381,Dati!$H$2:$H$381,$H51,Dati!$A$2:$A$381,$AA51),"-")</f>
        <v/>
      </c>
      <c r="DL51" s="22">
        <f>IF(AND($H51&lt;&gt;"",$AB51&lt;&gt;"",$H51&lt;&gt;$AB51,IFERROR(VLOOKUP($H51,areaCercaPuntiClassificaSquadra,3,FALSE),-1)=IFERROR(VLOOKUP($AB51,areaCercaPuntiClassificaSquadra,3,FALSE),-2)),SUMIFS(Dati!$F$2:$F$381,Dati!$A$2:$A$381,$H51,Dati!$H$2:$H$381,$AB51)+SUMIFS(Dati!$M$2:$M$381,Dati!$H$2:$H$381,$H51,Dati!$A$2:$A$381,$AB51),"-")</f>
        <v/>
      </c>
      <c r="DM51" s="22">
        <f>IF(AND($H51&lt;&gt;"",$AC51&lt;&gt;"",$H51&lt;&gt;$AC51,IFERROR(VLOOKUP($H51,areaCercaPuntiClassificaSquadra,3,FALSE),-1)=IFERROR(VLOOKUP($AC51,areaCercaPuntiClassificaSquadra,3,FALSE),-2)),SUMIFS(Dati!$F$2:$F$381,Dati!$A$2:$A$381,$H51,Dati!$H$2:$H$381,$AC51)+SUMIFS(Dati!$M$2:$M$381,Dati!$H$2:$H$381,$H51,Dati!$A$2:$A$381,$AC51),"-")</f>
        <v/>
      </c>
      <c r="DN51" s="22">
        <f>IF(AND($H51&lt;&gt;"",$AD51&lt;&gt;"",$H51&lt;&gt;$AD51,IFERROR(VLOOKUP($H51,areaCercaPuntiClassificaSquadra,3,FALSE),-1)=IFERROR(VLOOKUP($AD51,areaCercaPuntiClassificaSquadra,3,FALSE),-2)),SUMIFS(Dati!$F$2:$F$381,Dati!$A$2:$A$381,$H51,Dati!$H$2:$H$381,$AD51)+SUMIFS(Dati!$M$2:$M$381,Dati!$H$2:$H$381,$H51,Dati!$A$2:$A$381,$AD51),"-")</f>
        <v/>
      </c>
      <c r="DO51" s="22">
        <f>IF(AND($H51&lt;&gt;"",$AE51&lt;&gt;"",$H51&lt;&gt;$AE51,IFERROR(VLOOKUP($H51,areaCercaPuntiClassificaSquadra,3,FALSE),-1)=IFERROR(VLOOKUP($AE51,areaCercaPuntiClassificaSquadra,3,FALSE),-2)),SUMIFS(Dati!$F$2:$F$381,Dati!$A$2:$A$381,$H51,Dati!$H$2:$H$381,$AE51)+SUMIFS(Dati!$M$2:$M$381,Dati!$H$2:$H$381,$H51,Dati!$A$2:$A$381,$AE51),"-")</f>
        <v/>
      </c>
      <c r="DP51" s="22">
        <f>IF(AND($H51&lt;&gt;"",$AF51&lt;&gt;"",$H51&lt;&gt;$AF51,IFERROR(VLOOKUP($H51,areaCercaPuntiClassificaSquadra,3,FALSE),-1)=IFERROR(VLOOKUP($AF51,areaCercaPuntiClassificaSquadra,3,FALSE),-2)),SUMIFS(Dati!$F$2:$F$381,Dati!$A$2:$A$381,$H51,Dati!$H$2:$H$381,$AF51)+SUMIFS(Dati!$M$2:$M$381,Dati!$H$2:$H$381,$H51,Dati!$A$2:$A$381,$AF51),"-")</f>
        <v/>
      </c>
      <c r="DQ51" s="22">
        <f>IF(AND($H51&lt;&gt;"",$AG51&lt;&gt;"",$H51&lt;&gt;$AG51,IFERROR(VLOOKUP($H51,areaCercaPuntiClassificaSquadra,3,FALSE),-1)=IFERROR(VLOOKUP($AG51,areaCercaPuntiClassificaSquadra,3,FALSE),-2)),SUMIFS(Dati!$F$2:$F$381,Dati!$A$2:$A$381,$H51,Dati!$H$2:$H$381,$AG51)+SUMIFS(Dati!$M$2:$M$381,Dati!$H$2:$H$381,$H51,Dati!$A$2:$A$381,$AG51),"-")</f>
        <v/>
      </c>
      <c r="DR51" s="22">
        <f>IF(AND($H51&lt;&gt;"",$AH51&lt;&gt;"",$H51&lt;&gt;$AH51,IFERROR(VLOOKUP($H51,areaCercaPuntiClassificaSquadra,3,FALSE),-1)=IFERROR(VLOOKUP($AH51,areaCercaPuntiClassificaSquadra,3,FALSE),-2)),SUMIFS(Dati!$F$2:$F$381,Dati!$A$2:$A$381,$H51,Dati!$H$2:$H$381,$AH51)+SUMIFS(Dati!$M$2:$M$381,Dati!$H$2:$H$381,$H51,Dati!$A$2:$A$381,$AH51),"-")</f>
        <v/>
      </c>
      <c r="DS51" s="22">
        <f>IF(AND($H51&lt;&gt;"",$AI51&lt;&gt;"",$H51&lt;&gt;$AI51,IFERROR(VLOOKUP($H51,areaCercaPuntiClassificaSquadra,3,FALSE),-1)=IFERROR(VLOOKUP($AI51,areaCercaPuntiClassificaSquadra,3,FALSE),-2)),SUMIFS(Dati!$F$2:$F$381,Dati!$A$2:$A$381,$H51,Dati!$H$2:$H$381,$AI51)+SUMIFS(Dati!$M$2:$M$381,Dati!$H$2:$H$381,$H51,Dati!$A$2:$A$381,$AI51),"-")</f>
        <v/>
      </c>
      <c r="DT51" s="22">
        <f>IF(AND($H51&lt;&gt;"",$AJ51&lt;&gt;"",$H51&lt;&gt;$AJ51,IFERROR(VLOOKUP($H51,areaCercaPuntiClassificaSquadra,3,FALSE),-1)=IFERROR(VLOOKUP($AJ51,areaCercaPuntiClassificaSquadra,3,FALSE),-2)),SUMIFS(Dati!$F$2:$F$381,Dati!$A$2:$A$381,$H51,Dati!$H$2:$H$381,$AJ51)+SUMIFS(Dati!$M$2:$M$381,Dati!$H$2:$H$381,$H51,Dati!$A$2:$A$381,$AJ51),"-")</f>
        <v/>
      </c>
      <c r="DU51" s="22">
        <f>IF(AND($H51&lt;&gt;"",$AK51&lt;&gt;"",$H51&lt;&gt;$AK51,IFERROR(VLOOKUP($H51,areaCercaPuntiClassificaSquadra,3,FALSE),-1)=IFERROR(VLOOKUP($AK51,areaCercaPuntiClassificaSquadra,3,FALSE),-2)),SUMIFS(Dati!$F$2:$F$381,Dati!$A$2:$A$381,$H51,Dati!$H$2:$H$381,$AK51)+SUMIFS(Dati!$M$2:$M$381,Dati!$H$2:$H$381,$H51,Dati!$A$2:$A$381,$AK51),"-")</f>
        <v/>
      </c>
      <c r="DV51" s="22">
        <f>IF(AND($H51&lt;&gt;"",$AL51&lt;&gt;"",$H51&lt;&gt;$AL51,IFERROR(VLOOKUP($H51,areaCercaPuntiClassificaSquadra,3,FALSE),-1)=IFERROR(VLOOKUP($AL51,areaCercaPuntiClassificaSquadra,3,FALSE),-2)),SUMIFS(Dati!$F$2:$F$381,Dati!$A$2:$A$381,$H51,Dati!$H$2:$H$381,$AL51)+SUMIFS(Dati!$M$2:$M$381,Dati!$H$2:$H$381,$H51,Dati!$A$2:$A$381,$AL51),"-")</f>
        <v/>
      </c>
      <c r="DW51" s="22">
        <f>IF(AND($H51&lt;&gt;"",$AM51&lt;&gt;"",$H51&lt;&gt;$AM51,IFERROR(VLOOKUP($H51,areaCercaPuntiClassificaSquadra,3,FALSE),-1)=IFERROR(VLOOKUP($AM51,areaCercaPuntiClassificaSquadra,3,FALSE),-2)),SUMIFS(Dati!$F$2:$F$381,Dati!$A$2:$A$381,$H51,Dati!$H$2:$H$381,$AM51)+SUMIFS(Dati!$M$2:$M$381,Dati!$H$2:$H$381,$H51,Dati!$A$2:$A$381,$AM51),"-")</f>
        <v/>
      </c>
      <c r="DX51" s="22">
        <f>IF(AND($H51&lt;&gt;"",$AN51&lt;&gt;"",$H51&lt;&gt;$AN51,IFERROR(VLOOKUP($H51,areaCercaPuntiClassificaSquadra,3,FALSE),-1)=IFERROR(VLOOKUP($AN51,areaCercaPuntiClassificaSquadra,3,FALSE),-2)),SUMIFS(Dati!$F$2:$F$381,Dati!$A$2:$A$381,$H51,Dati!$H$2:$H$381,$AN51)+SUMIFS(Dati!$M$2:$M$381,Dati!$H$2:$H$381,$H51,Dati!$A$2:$A$381,$AN51),"-")</f>
        <v/>
      </c>
      <c r="DY51" s="22">
        <f>IF(AND($H51&lt;&gt;"",$AO51&lt;&gt;"",$H51&lt;&gt;$AO51,IFERROR(VLOOKUP($H51,areaCercaPuntiClassificaSquadra,3,FALSE),-1)=IFERROR(VLOOKUP($AO51,areaCercaPuntiClassificaSquadra,3,FALSE),-2)),SUMIFS(Dati!$F$2:$F$381,Dati!$A$2:$A$381,$H51,Dati!$H$2:$H$381,$AO51)+SUMIFS(Dati!$M$2:$M$381,Dati!$H$2:$H$381,$H51,Dati!$A$2:$A$381,$AO51),"-")</f>
        <v/>
      </c>
      <c r="DZ51" s="22">
        <f>IF(AND($H51&lt;&gt;"",$AP51&lt;&gt;"",$H51&lt;&gt;$AP51,IFERROR(VLOOKUP($H51,areaCercaPuntiClassificaSquadra,3,FALSE),-1)=IFERROR(VLOOKUP($AP51,areaCercaPuntiClassificaSquadra,3,FALSE),-2)),SUMIFS(Dati!$F$2:$F$381,Dati!$A$2:$A$381,$H51,Dati!$H$2:$H$381,$AP51)+SUMIFS(Dati!$M$2:$M$381,Dati!$H$2:$H$381,$H51,Dati!$A$2:$A$381,$AP51),"-")</f>
        <v/>
      </c>
      <c r="EA51" s="22">
        <f>IF(AND($H51&lt;&gt;"",$AQ51&lt;&gt;"",$H51&lt;&gt;$AQ51,IFERROR(VLOOKUP($H51,areaCercaPuntiClassificaSquadra,3,FALSE),-1)=IFERROR(VLOOKUP($AQ51,areaCercaPuntiClassificaSquadra,3,FALSE),-2)),SUMIFS(Dati!$F$2:$F$381,Dati!$A$2:$A$381,$H51,Dati!$H$2:$H$381,$AQ51)+SUMIFS(Dati!$M$2:$M$381,Dati!$H$2:$H$381,$H51,Dati!$A$2:$A$381,$AQ51),"-")</f>
        <v/>
      </c>
      <c r="EB51" s="22">
        <f>IF(AND($H51&lt;&gt;"",$AR51&lt;&gt;"",$H51&lt;&gt;$AR51,IFERROR(VLOOKUP($H51,areaCercaPuntiClassificaSquadra,3,FALSE),-1)=IFERROR(VLOOKUP($AR51,areaCercaPuntiClassificaSquadra,3,FALSE),-2)),SUMIFS(Dati!$F$2:$F$381,Dati!$A$2:$A$381,$H51,Dati!$H$2:$H$381,$AR51)+SUMIFS(Dati!$M$2:$M$381,Dati!$H$2:$H$381,$H51,Dati!$A$2:$A$381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inlineStr">
        <is>
          <t>Echidne Eleganti-Echidneopoli EO</t>
        </is>
      </c>
      <c r="D52" s="14" t="n"/>
      <c r="E52" s="23" t="inlineStr">
        <is>
          <t>B</t>
        </is>
      </c>
      <c r="G52" s="24">
        <f>IF($C52="","",$E52&amp;(COUNTIFS(I$14:I$53,"&gt;"&amp;I52,E$14:E$53,"="&amp;E52,C$14:C$53,"&lt;&gt;")+COUNTIFS(I$14:I$53,"="&amp;I52,H$14:H$53,"&lt;="&amp;H52,E$14:E$53,"="&amp;E52,C$14:C$53,"&lt;&gt;")))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L52*constPuntiVittoria+M52*constPuntiSconfitta+N52*constPuntiForfait+IF(D52="",0,D52)</f>
        <v/>
      </c>
      <c r="K52" s="12">
        <f>SUM(L52:N52)</f>
        <v/>
      </c>
      <c r="L52" s="12">
        <f>IF($H52="",0,SUMIF(Dati!$A$2:$A$381,$H52,Dati!$B$2:$B$381)+SUMIF(Dati!$H$2:$H$381,$H52,Dati!$I$2:$I$381))</f>
        <v/>
      </c>
      <c r="M52" s="12">
        <f>IF($H52="",0,SUMIF(Dati!$A$2:$A$381,$H52,Dati!$D$2:$D$381)+SUMIF(Dati!$H$2:$H$381,$H52,Dati!$K$2:$K$381))</f>
        <v/>
      </c>
      <c r="N52" s="12">
        <f>IF($H52="",0,SUMIF(Dati!$A$2:$A$381,$H52,Dati!$C$2:$C$381)+SUMIF(Dati!$H$2:$H$381,$H52,Dati!$J$2:$J$381))</f>
        <v/>
      </c>
      <c r="O52" s="12">
        <f>IF($H52="",0,SUMIF(Dati!$A$2:$A$381,$H52,Dati!$E$2:$E$381)+SUMIF(Dati!$H$2:$H$381,$H52,Dati!$L$2:$L$381))</f>
        <v/>
      </c>
      <c r="P52" s="12">
        <f>IF($H52="",0,SUMIF(Dati!$A$2:$A$381,$H52,Dati!$F$2:$F$381)+SUMIF(Dati!$H$2:$H$381,$H52,Dati!$M$2:$M$381))</f>
        <v/>
      </c>
      <c r="Q52" s="12">
        <f>IF($H52="",0,SUMIF(Dati!$A$2:$A$381,$H52,Dati!$G$2:$G$381)+SUMIF(Dati!$H$2:$H$381,$H52,Dati!$N$2:$N$381))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IF(COUNTIFS($E$14:$E$53,$E52,$J$14:$J$53,$J52,$C$14:$C$53,"&lt;&gt;")&lt;=1,"-",SUM(AU52:BN52)&amp;"-"&amp;SUM(BQ52:CJ52))</f>
        <v/>
      </c>
      <c r="V52" s="18">
        <f>IF(COUNTIFS($E$14:$E$53,$E52,$J$14:$J$53,$J52,$C$14:$C$53,"&lt;&gt;",$ED$14:$ED$53,$ED52)&lt;=1,"-",IF(SUM(DI52:EB52)=0,0,ROUND(SUM(CM52:DF52)/SUM(DI52:EB52),3)))</f>
        <v/>
      </c>
      <c r="W52" s="18">
        <f>IF(COUNTIFS($E$14:$E$53,$E52,$J$14:$J$53,$J52,$C$14:$C$53,"&lt;&gt;",$ED$14:$ED$53,$ED52,$V$14:$V$53,$V52)&lt;=1,"-",IF(P52=0,0,ROUND(O52/P52,3)))</f>
        <v/>
      </c>
      <c r="X52" s="19">
        <f>IF($C52="","",$E52&amp;"#"&amp;COUNTIFS($E$14:$E52,$E52,$C$14:$C52,"&lt;&gt;"))</f>
        <v/>
      </c>
      <c r="Y52" s="20">
        <f>IFERROR(INDEX($H$14:$H$53,MATCH($E52&amp;"#1",$X$14:$X$53,0)),"")</f>
        <v/>
      </c>
      <c r="Z52" s="20">
        <f>IFERROR(INDEX($H$14:$H$53,MATCH($E52&amp;"#2",$X$14:$X$53,0)),"")</f>
        <v/>
      </c>
      <c r="AA52" s="20">
        <f>IFERROR(INDEX($H$14:$H$53,MATCH($E52&amp;"#3",$X$14:$X$53,0)),"")</f>
        <v/>
      </c>
      <c r="AB52" s="20">
        <f>IFERROR(INDEX($H$14:$H$53,MATCH($E52&amp;"#4",$X$14:$X$53,0)),"")</f>
        <v/>
      </c>
      <c r="AC52" s="20">
        <f>IFERROR(INDEX($H$14:$H$53,MATCH($E52&amp;"#5",$X$14:$X$53,0)),"")</f>
        <v/>
      </c>
      <c r="AD52" s="20">
        <f>IFERROR(INDEX($H$14:$H$53,MATCH($E52&amp;"#6",$X$14:$X$53,0)),"")</f>
        <v/>
      </c>
      <c r="AE52" s="20">
        <f>IFERROR(INDEX($H$14:$H$53,MATCH($E52&amp;"#7",$X$14:$X$53,0)),"")</f>
        <v/>
      </c>
      <c r="AF52" s="20">
        <f>IFERROR(INDEX($H$14:$H$53,MATCH($E52&amp;"#8",$X$14:$X$53,0)),"")</f>
        <v/>
      </c>
      <c r="AG52" s="20">
        <f>IFERROR(INDEX($H$14:$H$53,MATCH($E52&amp;"#9",$X$14:$X$53,0)),"")</f>
        <v/>
      </c>
      <c r="AH52" s="20">
        <f>IFERROR(INDEX($H$14:$H$53,MATCH($E52&amp;"#10",$X$14:$X$53,0)),"")</f>
        <v/>
      </c>
      <c r="AI52" s="20">
        <f>IFERROR(INDEX($H$14:$H$53,MATCH($E52&amp;"#11",$X$14:$X$53,0)),"")</f>
        <v/>
      </c>
      <c r="AJ52" s="20">
        <f>IFERROR(INDEX($H$14:$H$53,MATCH($E52&amp;"#12",$X$14:$X$53,0)),"")</f>
        <v/>
      </c>
      <c r="AK52" s="20">
        <f>IFERROR(INDEX($H$14:$H$53,MATCH($E52&amp;"#13",$X$14:$X$53,0)),"")</f>
        <v/>
      </c>
      <c r="AL52" s="20">
        <f>IFERROR(INDEX($H$14:$H$53,MATCH($E52&amp;"#14",$X$14:$X$53,0)),"")</f>
        <v/>
      </c>
      <c r="AM52" s="20">
        <f>IFERROR(INDEX($H$14:$H$53,MATCH($E52&amp;"#15",$X$14:$X$53,0)),"")</f>
        <v/>
      </c>
      <c r="AN52" s="20">
        <f>IFERROR(INDEX($H$14:$H$53,MATCH($E52&amp;"#16",$X$14:$X$53,0)),"")</f>
        <v/>
      </c>
      <c r="AO52" s="20">
        <f>IFERROR(INDEX($H$14:$H$53,MATCH($E52&amp;"#17",$X$14:$X$53,0)),"")</f>
        <v/>
      </c>
      <c r="AP52" s="20">
        <f>IFERROR(INDEX($H$14:$H$53,MATCH($E52&amp;"#18",$X$14:$X$53,0)),"")</f>
        <v/>
      </c>
      <c r="AQ52" s="20">
        <f>IFERROR(INDEX($H$14:$H$53,MATCH($E52&amp;"#19",$X$14:$X$53,0)),"")</f>
        <v/>
      </c>
      <c r="AR52" s="20">
        <f>IFERROR(INDEX($H$14:$H$53,MATCH($E52&amp;"#20",$X$14:$X$53,0)),"")</f>
        <v/>
      </c>
      <c r="AT52" s="21">
        <f>$C52</f>
        <v/>
      </c>
      <c r="AU52" s="22">
        <f>IF(AND($H52&lt;&gt;"",$Y52&lt;&gt;"",$H52&lt;&gt;$Y52,IFERROR(VLOOKUP($H52,areaCercaPuntiClassificaSquadra,3,FALSE),-1)=IFERROR(VLOOKUP($Y52,areaCercaPuntiClassificaSquadra,3,FALSE),-2)),SUMIFS(Dati!$B$2:$B$381,Dati!$A$2:$A$381,$H52,Dati!$H$2:$H$381,$Y52)+SUMIFS(Dati!$I$2:$I$381,Dati!$H$2:$H$381,$H52,Dati!$A$2:$A$381,$Y52),"-")</f>
        <v/>
      </c>
      <c r="AV52" s="22">
        <f>IF(AND($H52&lt;&gt;"",$Z52&lt;&gt;"",$H52&lt;&gt;$Z52,IFERROR(VLOOKUP($H52,areaCercaPuntiClassificaSquadra,3,FALSE),-1)=IFERROR(VLOOKUP($Z52,areaCercaPuntiClassificaSquadra,3,FALSE),-2)),SUMIFS(Dati!$B$2:$B$381,Dati!$A$2:$A$381,$H52,Dati!$H$2:$H$381,$Z52)+SUMIFS(Dati!$I$2:$I$381,Dati!$H$2:$H$381,$H52,Dati!$A$2:$A$381,$Z52),"-")</f>
        <v/>
      </c>
      <c r="AW52" s="22">
        <f>IF(AND($H52&lt;&gt;"",$AA52&lt;&gt;"",$H52&lt;&gt;$AA52,IFERROR(VLOOKUP($H52,areaCercaPuntiClassificaSquadra,3,FALSE),-1)=IFERROR(VLOOKUP($AA52,areaCercaPuntiClassificaSquadra,3,FALSE),-2)),SUMIFS(Dati!$B$2:$B$381,Dati!$A$2:$A$381,$H52,Dati!$H$2:$H$381,$AA52)+SUMIFS(Dati!$I$2:$I$381,Dati!$H$2:$H$381,$H52,Dati!$A$2:$A$381,$AA52),"-")</f>
        <v/>
      </c>
      <c r="AX52" s="22">
        <f>IF(AND($H52&lt;&gt;"",$AB52&lt;&gt;"",$H52&lt;&gt;$AB52,IFERROR(VLOOKUP($H52,areaCercaPuntiClassificaSquadra,3,FALSE),-1)=IFERROR(VLOOKUP($AB52,areaCercaPuntiClassificaSquadra,3,FALSE),-2)),SUMIFS(Dati!$B$2:$B$381,Dati!$A$2:$A$381,$H52,Dati!$H$2:$H$381,$AB52)+SUMIFS(Dati!$I$2:$I$381,Dati!$H$2:$H$381,$H52,Dati!$A$2:$A$381,$AB52),"-")</f>
        <v/>
      </c>
      <c r="AY52" s="22">
        <f>IF(AND($H52&lt;&gt;"",$AC52&lt;&gt;"",$H52&lt;&gt;$AC52,IFERROR(VLOOKUP($H52,areaCercaPuntiClassificaSquadra,3,FALSE),-1)=IFERROR(VLOOKUP($AC52,areaCercaPuntiClassificaSquadra,3,FALSE),-2)),SUMIFS(Dati!$B$2:$B$381,Dati!$A$2:$A$381,$H52,Dati!$H$2:$H$381,$AC52)+SUMIFS(Dati!$I$2:$I$381,Dati!$H$2:$H$381,$H52,Dati!$A$2:$A$381,$AC52),"-")</f>
        <v/>
      </c>
      <c r="AZ52" s="22">
        <f>IF(AND($H52&lt;&gt;"",$AD52&lt;&gt;"",$H52&lt;&gt;$AD52,IFERROR(VLOOKUP($H52,areaCercaPuntiClassificaSquadra,3,FALSE),-1)=IFERROR(VLOOKUP($AD52,areaCercaPuntiClassificaSquadra,3,FALSE),-2)),SUMIFS(Dati!$B$2:$B$381,Dati!$A$2:$A$381,$H52,Dati!$H$2:$H$381,$AD52)+SUMIFS(Dati!$I$2:$I$381,Dati!$H$2:$H$381,$H52,Dati!$A$2:$A$381,$AD52),"-")</f>
        <v/>
      </c>
      <c r="BA52" s="22">
        <f>IF(AND($H52&lt;&gt;"",$AE52&lt;&gt;"",$H52&lt;&gt;$AE52,IFERROR(VLOOKUP($H52,areaCercaPuntiClassificaSquadra,3,FALSE),-1)=IFERROR(VLOOKUP($AE52,areaCercaPuntiClassificaSquadra,3,FALSE),-2)),SUMIFS(Dati!$B$2:$B$381,Dati!$A$2:$A$381,$H52,Dati!$H$2:$H$381,$AE52)+SUMIFS(Dati!$I$2:$I$381,Dati!$H$2:$H$381,$H52,Dati!$A$2:$A$381,$AE52),"-")</f>
        <v/>
      </c>
      <c r="BB52" s="22">
        <f>IF(AND($H52&lt;&gt;"",$AF52&lt;&gt;"",$H52&lt;&gt;$AF52,IFERROR(VLOOKUP($H52,areaCercaPuntiClassificaSquadra,3,FALSE),-1)=IFERROR(VLOOKUP($AF52,areaCercaPuntiClassificaSquadra,3,FALSE),-2)),SUMIFS(Dati!$B$2:$B$381,Dati!$A$2:$A$381,$H52,Dati!$H$2:$H$381,$AF52)+SUMIFS(Dati!$I$2:$I$381,Dati!$H$2:$H$381,$H52,Dati!$A$2:$A$381,$AF52),"-")</f>
        <v/>
      </c>
      <c r="BC52" s="22">
        <f>IF(AND($H52&lt;&gt;"",$AG52&lt;&gt;"",$H52&lt;&gt;$AG52,IFERROR(VLOOKUP($H52,areaCercaPuntiClassificaSquadra,3,FALSE),-1)=IFERROR(VLOOKUP($AG52,areaCercaPuntiClassificaSquadra,3,FALSE),-2)),SUMIFS(Dati!$B$2:$B$381,Dati!$A$2:$A$381,$H52,Dati!$H$2:$H$381,$AG52)+SUMIFS(Dati!$I$2:$I$381,Dati!$H$2:$H$381,$H52,Dati!$A$2:$A$381,$AG52),"-")</f>
        <v/>
      </c>
      <c r="BD52" s="22">
        <f>IF(AND($H52&lt;&gt;"",$AH52&lt;&gt;"",$H52&lt;&gt;$AH52,IFERROR(VLOOKUP($H52,areaCercaPuntiClassificaSquadra,3,FALSE),-1)=IFERROR(VLOOKUP($AH52,areaCercaPuntiClassificaSquadra,3,FALSE),-2)),SUMIFS(Dati!$B$2:$B$381,Dati!$A$2:$A$381,$H52,Dati!$H$2:$H$381,$AH52)+SUMIFS(Dati!$I$2:$I$381,Dati!$H$2:$H$381,$H52,Dati!$A$2:$A$381,$AH52),"-")</f>
        <v/>
      </c>
      <c r="BE52" s="22">
        <f>IF(AND($H52&lt;&gt;"",$AI52&lt;&gt;"",$H52&lt;&gt;$AI52,IFERROR(VLOOKUP($H52,areaCercaPuntiClassificaSquadra,3,FALSE),-1)=IFERROR(VLOOKUP($AI52,areaCercaPuntiClassificaSquadra,3,FALSE),-2)),SUMIFS(Dati!$B$2:$B$381,Dati!$A$2:$A$381,$H52,Dati!$H$2:$H$381,$AI52)+SUMIFS(Dati!$I$2:$I$381,Dati!$H$2:$H$381,$H52,Dati!$A$2:$A$381,$AI52),"-")</f>
        <v/>
      </c>
      <c r="BF52" s="22">
        <f>IF(AND($H52&lt;&gt;"",$AJ52&lt;&gt;"",$H52&lt;&gt;$AJ52,IFERROR(VLOOKUP($H52,areaCercaPuntiClassificaSquadra,3,FALSE),-1)=IFERROR(VLOOKUP($AJ52,areaCercaPuntiClassificaSquadra,3,FALSE),-2)),SUMIFS(Dati!$B$2:$B$381,Dati!$A$2:$A$381,$H52,Dati!$H$2:$H$381,$AJ52)+SUMIFS(Dati!$I$2:$I$381,Dati!$H$2:$H$381,$H52,Dati!$A$2:$A$381,$AJ52),"-")</f>
        <v/>
      </c>
      <c r="BG52" s="22">
        <f>IF(AND($H52&lt;&gt;"",$AK52&lt;&gt;"",$H52&lt;&gt;$AK52,IFERROR(VLOOKUP($H52,areaCercaPuntiClassificaSquadra,3,FALSE),-1)=IFERROR(VLOOKUP($AK52,areaCercaPuntiClassificaSquadra,3,FALSE),-2)),SUMIFS(Dati!$B$2:$B$381,Dati!$A$2:$A$381,$H52,Dati!$H$2:$H$381,$AK52)+SUMIFS(Dati!$I$2:$I$381,Dati!$H$2:$H$381,$H52,Dati!$A$2:$A$381,$AK52),"-")</f>
        <v/>
      </c>
      <c r="BH52" s="22">
        <f>IF(AND($H52&lt;&gt;"",$AL52&lt;&gt;"",$H52&lt;&gt;$AL52,IFERROR(VLOOKUP($H52,areaCercaPuntiClassificaSquadra,3,FALSE),-1)=IFERROR(VLOOKUP($AL52,areaCercaPuntiClassificaSquadra,3,FALSE),-2)),SUMIFS(Dati!$B$2:$B$381,Dati!$A$2:$A$381,$H52,Dati!$H$2:$H$381,$AL52)+SUMIFS(Dati!$I$2:$I$381,Dati!$H$2:$H$381,$H52,Dati!$A$2:$A$381,$AL52),"-")</f>
        <v/>
      </c>
      <c r="BI52" s="22">
        <f>IF(AND($H52&lt;&gt;"",$AM52&lt;&gt;"",$H52&lt;&gt;$AM52,IFERROR(VLOOKUP($H52,areaCercaPuntiClassificaSquadra,3,FALSE),-1)=IFERROR(VLOOKUP($AM52,areaCercaPuntiClassificaSquadra,3,FALSE),-2)),SUMIFS(Dati!$B$2:$B$381,Dati!$A$2:$A$381,$H52,Dati!$H$2:$H$381,$AM52)+SUMIFS(Dati!$I$2:$I$381,Dati!$H$2:$H$381,$H52,Dati!$A$2:$A$381,$AM52),"-")</f>
        <v/>
      </c>
      <c r="BJ52" s="22">
        <f>IF(AND($H52&lt;&gt;"",$AN52&lt;&gt;"",$H52&lt;&gt;$AN52,IFERROR(VLOOKUP($H52,areaCercaPuntiClassificaSquadra,3,FALSE),-1)=IFERROR(VLOOKUP($AN52,areaCercaPuntiClassificaSquadra,3,FALSE),-2)),SUMIFS(Dati!$B$2:$B$381,Dati!$A$2:$A$381,$H52,Dati!$H$2:$H$381,$AN52)+SUMIFS(Dati!$I$2:$I$381,Dati!$H$2:$H$381,$H52,Dati!$A$2:$A$381,$AN52),"-")</f>
        <v/>
      </c>
      <c r="BK52" s="22">
        <f>IF(AND($H52&lt;&gt;"",$AO52&lt;&gt;"",$H52&lt;&gt;$AO52,IFERROR(VLOOKUP($H52,areaCercaPuntiClassificaSquadra,3,FALSE),-1)=IFERROR(VLOOKUP($AO52,areaCercaPuntiClassificaSquadra,3,FALSE),-2)),SUMIFS(Dati!$B$2:$B$381,Dati!$A$2:$A$381,$H52,Dati!$H$2:$H$381,$AO52)+SUMIFS(Dati!$I$2:$I$381,Dati!$H$2:$H$381,$H52,Dati!$A$2:$A$381,$AO52),"-")</f>
        <v/>
      </c>
      <c r="BL52" s="22">
        <f>IF(AND($H52&lt;&gt;"",$AP52&lt;&gt;"",$H52&lt;&gt;$AP52,IFERROR(VLOOKUP($H52,areaCercaPuntiClassificaSquadra,3,FALSE),-1)=IFERROR(VLOOKUP($AP52,areaCercaPuntiClassificaSquadra,3,FALSE),-2)),SUMIFS(Dati!$B$2:$B$381,Dati!$A$2:$A$381,$H52,Dati!$H$2:$H$381,$AP52)+SUMIFS(Dati!$I$2:$I$381,Dati!$H$2:$H$381,$H52,Dati!$A$2:$A$381,$AP52),"-")</f>
        <v/>
      </c>
      <c r="BM52" s="22">
        <f>IF(AND($H52&lt;&gt;"",$AQ52&lt;&gt;"",$H52&lt;&gt;$AQ52,IFERROR(VLOOKUP($H52,areaCercaPuntiClassificaSquadra,3,FALSE),-1)=IFERROR(VLOOKUP($AQ52,areaCercaPuntiClassificaSquadra,3,FALSE),-2)),SUMIFS(Dati!$B$2:$B$381,Dati!$A$2:$A$381,$H52,Dati!$H$2:$H$381,$AQ52)+SUMIFS(Dati!$I$2:$I$381,Dati!$H$2:$H$381,$H52,Dati!$A$2:$A$381,$AQ52),"-")</f>
        <v/>
      </c>
      <c r="BN52" s="22">
        <f>IF(AND($H52&lt;&gt;"",$AR52&lt;&gt;"",$H52&lt;&gt;$AR52,IFERROR(VLOOKUP($H52,areaCercaPuntiClassificaSquadra,3,FALSE),-1)=IFERROR(VLOOKUP($AR52,areaCercaPuntiClassificaSquadra,3,FALSE),-2)),SUMIFS(Dati!$B$2:$B$381,Dati!$A$2:$A$381,$H52,Dati!$H$2:$H$381,$AR52)+SUMIFS(Dati!$I$2:$I$381,Dati!$H$2:$H$381,$H52,Dati!$A$2:$A$381,$AR52),"-")</f>
        <v/>
      </c>
      <c r="BP52" s="21">
        <f>$C52</f>
        <v/>
      </c>
      <c r="BQ52" s="22">
        <f>IF(AND($H52&lt;&gt;"",$Y52&lt;&gt;"",$H52&lt;&gt;$Y52,IFERROR(VLOOKUP($H52,areaCercaPuntiClassificaSquadra,3,FALSE),-1)=IFERROR(VLOOKUP($Y52,areaCercaPuntiClassificaSquadra,3,FALSE),-2)),SUMIFS(Dati!$D$2:$D$381,Dati!$A$2:$A$381,$H52,Dati!$H$2:$H$381,$Y52)+SUMIFS(Dati!$K$2:$K$381,Dati!$H$2:$H$381,$H52,Dati!$A$2:$A$381,$Y52)+SUMIFS(Dati!$C$2:$C$381,Dati!$A$2:$A$381,$H52,Dati!$H$2:$H$381,$Y52)+SUMIFS(Dati!$J$2:$J$381,Dati!$H$2:$H$381,$H52,Dati!$A$2:$A$381,$Y52),"-")</f>
        <v/>
      </c>
      <c r="BR52" s="22">
        <f>IF(AND($H52&lt;&gt;"",$Z52&lt;&gt;"",$H52&lt;&gt;$Z52,IFERROR(VLOOKUP($H52,areaCercaPuntiClassificaSquadra,3,FALSE),-1)=IFERROR(VLOOKUP($Z52,areaCercaPuntiClassificaSquadra,3,FALSE),-2)),SUMIFS(Dati!$D$2:$D$381,Dati!$A$2:$A$381,$H52,Dati!$H$2:$H$381,$Z52)+SUMIFS(Dati!$K$2:$K$381,Dati!$H$2:$H$381,$H52,Dati!$A$2:$A$381,$Z52)+SUMIFS(Dati!$C$2:$C$381,Dati!$A$2:$A$381,$H52,Dati!$H$2:$H$381,$Z52)+SUMIFS(Dati!$J$2:$J$381,Dati!$H$2:$H$381,$H52,Dati!$A$2:$A$381,$Z52),"-")</f>
        <v/>
      </c>
      <c r="BS52" s="22">
        <f>IF(AND($H52&lt;&gt;"",$AA52&lt;&gt;"",$H52&lt;&gt;$AA52,IFERROR(VLOOKUP($H52,areaCercaPuntiClassificaSquadra,3,FALSE),-1)=IFERROR(VLOOKUP($AA52,areaCercaPuntiClassificaSquadra,3,FALSE),-2)),SUMIFS(Dati!$D$2:$D$381,Dati!$A$2:$A$381,$H52,Dati!$H$2:$H$381,$AA52)+SUMIFS(Dati!$K$2:$K$381,Dati!$H$2:$H$381,$H52,Dati!$A$2:$A$381,$AA52)+SUMIFS(Dati!$C$2:$C$381,Dati!$A$2:$A$381,$H52,Dati!$H$2:$H$381,$AA52)+SUMIFS(Dati!$J$2:$J$381,Dati!$H$2:$H$381,$H52,Dati!$A$2:$A$381,$AA52),"-")</f>
        <v/>
      </c>
      <c r="BT52" s="22">
        <f>IF(AND($H52&lt;&gt;"",$AB52&lt;&gt;"",$H52&lt;&gt;$AB52,IFERROR(VLOOKUP($H52,areaCercaPuntiClassificaSquadra,3,FALSE),-1)=IFERROR(VLOOKUP($AB52,areaCercaPuntiClassificaSquadra,3,FALSE),-2)),SUMIFS(Dati!$D$2:$D$381,Dati!$A$2:$A$381,$H52,Dati!$H$2:$H$381,$AB52)+SUMIFS(Dati!$K$2:$K$381,Dati!$H$2:$H$381,$H52,Dati!$A$2:$A$381,$AB52)+SUMIFS(Dati!$C$2:$C$381,Dati!$A$2:$A$381,$H52,Dati!$H$2:$H$381,$AB52)+SUMIFS(Dati!$J$2:$J$381,Dati!$H$2:$H$381,$H52,Dati!$A$2:$A$381,$AB52),"-")</f>
        <v/>
      </c>
      <c r="BU52" s="22">
        <f>IF(AND($H52&lt;&gt;"",$AC52&lt;&gt;"",$H52&lt;&gt;$AC52,IFERROR(VLOOKUP($H52,areaCercaPuntiClassificaSquadra,3,FALSE),-1)=IFERROR(VLOOKUP($AC52,areaCercaPuntiClassificaSquadra,3,FALSE),-2)),SUMIFS(Dati!$D$2:$D$381,Dati!$A$2:$A$381,$H52,Dati!$H$2:$H$381,$AC52)+SUMIFS(Dati!$K$2:$K$381,Dati!$H$2:$H$381,$H52,Dati!$A$2:$A$381,$AC52)+SUMIFS(Dati!$C$2:$C$381,Dati!$A$2:$A$381,$H52,Dati!$H$2:$H$381,$AC52)+SUMIFS(Dati!$J$2:$J$381,Dati!$H$2:$H$381,$H52,Dati!$A$2:$A$381,$AC52),"-")</f>
        <v/>
      </c>
      <c r="BV52" s="22">
        <f>IF(AND($H52&lt;&gt;"",$AD52&lt;&gt;"",$H52&lt;&gt;$AD52,IFERROR(VLOOKUP($H52,areaCercaPuntiClassificaSquadra,3,FALSE),-1)=IFERROR(VLOOKUP($AD52,areaCercaPuntiClassificaSquadra,3,FALSE),-2)),SUMIFS(Dati!$D$2:$D$381,Dati!$A$2:$A$381,$H52,Dati!$H$2:$H$381,$AD52)+SUMIFS(Dati!$K$2:$K$381,Dati!$H$2:$H$381,$H52,Dati!$A$2:$A$381,$AD52)+SUMIFS(Dati!$C$2:$C$381,Dati!$A$2:$A$381,$H52,Dati!$H$2:$H$381,$AD52)+SUMIFS(Dati!$J$2:$J$381,Dati!$H$2:$H$381,$H52,Dati!$A$2:$A$381,$AD52),"-")</f>
        <v/>
      </c>
      <c r="BW52" s="22">
        <f>IF(AND($H52&lt;&gt;"",$AE52&lt;&gt;"",$H52&lt;&gt;$AE52,IFERROR(VLOOKUP($H52,areaCercaPuntiClassificaSquadra,3,FALSE),-1)=IFERROR(VLOOKUP($AE52,areaCercaPuntiClassificaSquadra,3,FALSE),-2)),SUMIFS(Dati!$D$2:$D$381,Dati!$A$2:$A$381,$H52,Dati!$H$2:$H$381,$AE52)+SUMIFS(Dati!$K$2:$K$381,Dati!$H$2:$H$381,$H52,Dati!$A$2:$A$381,$AE52)+SUMIFS(Dati!$C$2:$C$381,Dati!$A$2:$A$381,$H52,Dati!$H$2:$H$381,$AE52)+SUMIFS(Dati!$J$2:$J$381,Dati!$H$2:$H$381,$H52,Dati!$A$2:$A$381,$AE52),"-")</f>
        <v/>
      </c>
      <c r="BX52" s="22">
        <f>IF(AND($H52&lt;&gt;"",$AF52&lt;&gt;"",$H52&lt;&gt;$AF52,IFERROR(VLOOKUP($H52,areaCercaPuntiClassificaSquadra,3,FALSE),-1)=IFERROR(VLOOKUP($AF52,areaCercaPuntiClassificaSquadra,3,FALSE),-2)),SUMIFS(Dati!$D$2:$D$381,Dati!$A$2:$A$381,$H52,Dati!$H$2:$H$381,$AF52)+SUMIFS(Dati!$K$2:$K$381,Dati!$H$2:$H$381,$H52,Dati!$A$2:$A$381,$AF52)+SUMIFS(Dati!$C$2:$C$381,Dati!$A$2:$A$381,$H52,Dati!$H$2:$H$381,$AF52)+SUMIFS(Dati!$J$2:$J$381,Dati!$H$2:$H$381,$H52,Dati!$A$2:$A$381,$AF52),"-")</f>
        <v/>
      </c>
      <c r="BY52" s="22">
        <f>IF(AND($H52&lt;&gt;"",$AG52&lt;&gt;"",$H52&lt;&gt;$AG52,IFERROR(VLOOKUP($H52,areaCercaPuntiClassificaSquadra,3,FALSE),-1)=IFERROR(VLOOKUP($AG52,areaCercaPuntiClassificaSquadra,3,FALSE),-2)),SUMIFS(Dati!$D$2:$D$381,Dati!$A$2:$A$381,$H52,Dati!$H$2:$H$381,$AG52)+SUMIFS(Dati!$K$2:$K$381,Dati!$H$2:$H$381,$H52,Dati!$A$2:$A$381,$AG52)+SUMIFS(Dati!$C$2:$C$381,Dati!$A$2:$A$381,$H52,Dati!$H$2:$H$381,$AG52)+SUMIFS(Dati!$J$2:$J$381,Dati!$H$2:$H$381,$H52,Dati!$A$2:$A$381,$AG52),"-")</f>
        <v/>
      </c>
      <c r="BZ52" s="22">
        <f>IF(AND($H52&lt;&gt;"",$AH52&lt;&gt;"",$H52&lt;&gt;$AH52,IFERROR(VLOOKUP($H52,areaCercaPuntiClassificaSquadra,3,FALSE),-1)=IFERROR(VLOOKUP($AH52,areaCercaPuntiClassificaSquadra,3,FALSE),-2)),SUMIFS(Dati!$D$2:$D$381,Dati!$A$2:$A$381,$H52,Dati!$H$2:$H$381,$AH52)+SUMIFS(Dati!$K$2:$K$381,Dati!$H$2:$H$381,$H52,Dati!$A$2:$A$381,$AH52)+SUMIFS(Dati!$C$2:$C$381,Dati!$A$2:$A$381,$H52,Dati!$H$2:$H$381,$AH52)+SUMIFS(Dati!$J$2:$J$381,Dati!$H$2:$H$381,$H52,Dati!$A$2:$A$381,$AH52),"-")</f>
        <v/>
      </c>
      <c r="CA52" s="22">
        <f>IF(AND($H52&lt;&gt;"",$AI52&lt;&gt;"",$H52&lt;&gt;$AI52,IFERROR(VLOOKUP($H52,areaCercaPuntiClassificaSquadra,3,FALSE),-1)=IFERROR(VLOOKUP($AI52,areaCercaPuntiClassificaSquadra,3,FALSE),-2)),SUMIFS(Dati!$D$2:$D$381,Dati!$A$2:$A$381,$H52,Dati!$H$2:$H$381,$AI52)+SUMIFS(Dati!$K$2:$K$381,Dati!$H$2:$H$381,$H52,Dati!$A$2:$A$381,$AI52)+SUMIFS(Dati!$C$2:$C$381,Dati!$A$2:$A$381,$H52,Dati!$H$2:$H$381,$AI52)+SUMIFS(Dati!$J$2:$J$381,Dati!$H$2:$H$381,$H52,Dati!$A$2:$A$381,$AI52),"-")</f>
        <v/>
      </c>
      <c r="CB52" s="22">
        <f>IF(AND($H52&lt;&gt;"",$AJ52&lt;&gt;"",$H52&lt;&gt;$AJ52,IFERROR(VLOOKUP($H52,areaCercaPuntiClassificaSquadra,3,FALSE),-1)=IFERROR(VLOOKUP($AJ52,areaCercaPuntiClassificaSquadra,3,FALSE),-2)),SUMIFS(Dati!$D$2:$D$381,Dati!$A$2:$A$381,$H52,Dati!$H$2:$H$381,$AJ52)+SUMIFS(Dati!$K$2:$K$381,Dati!$H$2:$H$381,$H52,Dati!$A$2:$A$381,$AJ52)+SUMIFS(Dati!$C$2:$C$381,Dati!$A$2:$A$381,$H52,Dati!$H$2:$H$381,$AJ52)+SUMIFS(Dati!$J$2:$J$381,Dati!$H$2:$H$381,$H52,Dati!$A$2:$A$381,$AJ52),"-")</f>
        <v/>
      </c>
      <c r="CC52" s="22">
        <f>IF(AND($H52&lt;&gt;"",$AK52&lt;&gt;"",$H52&lt;&gt;$AK52,IFERROR(VLOOKUP($H52,areaCercaPuntiClassificaSquadra,3,FALSE),-1)=IFERROR(VLOOKUP($AK52,areaCercaPuntiClassificaSquadra,3,FALSE),-2)),SUMIFS(Dati!$D$2:$D$381,Dati!$A$2:$A$381,$H52,Dati!$H$2:$H$381,$AK52)+SUMIFS(Dati!$K$2:$K$381,Dati!$H$2:$H$381,$H52,Dati!$A$2:$A$381,$AK52)+SUMIFS(Dati!$C$2:$C$381,Dati!$A$2:$A$381,$H52,Dati!$H$2:$H$381,$AK52)+SUMIFS(Dati!$J$2:$J$381,Dati!$H$2:$H$381,$H52,Dati!$A$2:$A$381,$AK52),"-")</f>
        <v/>
      </c>
      <c r="CD52" s="22">
        <f>IF(AND($H52&lt;&gt;"",$AL52&lt;&gt;"",$H52&lt;&gt;$AL52,IFERROR(VLOOKUP($H52,areaCercaPuntiClassificaSquadra,3,FALSE),-1)=IFERROR(VLOOKUP($AL52,areaCercaPuntiClassificaSquadra,3,FALSE),-2)),SUMIFS(Dati!$D$2:$D$381,Dati!$A$2:$A$381,$H52,Dati!$H$2:$H$381,$AL52)+SUMIFS(Dati!$K$2:$K$381,Dati!$H$2:$H$381,$H52,Dati!$A$2:$A$381,$AL52)+SUMIFS(Dati!$C$2:$C$381,Dati!$A$2:$A$381,$H52,Dati!$H$2:$H$381,$AL52)+SUMIFS(Dati!$J$2:$J$381,Dati!$H$2:$H$381,$H52,Dati!$A$2:$A$381,$AL52),"-")</f>
        <v/>
      </c>
      <c r="CE52" s="22">
        <f>IF(AND($H52&lt;&gt;"",$AM52&lt;&gt;"",$H52&lt;&gt;$AM52,IFERROR(VLOOKUP($H52,areaCercaPuntiClassificaSquadra,3,FALSE),-1)=IFERROR(VLOOKUP($AM52,areaCercaPuntiClassificaSquadra,3,FALSE),-2)),SUMIFS(Dati!$D$2:$D$381,Dati!$A$2:$A$381,$H52,Dati!$H$2:$H$381,$AM52)+SUMIFS(Dati!$K$2:$K$381,Dati!$H$2:$H$381,$H52,Dati!$A$2:$A$381,$AM52)+SUMIFS(Dati!$C$2:$C$381,Dati!$A$2:$A$381,$H52,Dati!$H$2:$H$381,$AM52)+SUMIFS(Dati!$J$2:$J$381,Dati!$H$2:$H$381,$H52,Dati!$A$2:$A$381,$AM52),"-")</f>
        <v/>
      </c>
      <c r="CF52" s="22">
        <f>IF(AND($H52&lt;&gt;"",$AN52&lt;&gt;"",$H52&lt;&gt;$AN52,IFERROR(VLOOKUP($H52,areaCercaPuntiClassificaSquadra,3,FALSE),-1)=IFERROR(VLOOKUP($AN52,areaCercaPuntiClassificaSquadra,3,FALSE),-2)),SUMIFS(Dati!$D$2:$D$381,Dati!$A$2:$A$381,$H52,Dati!$H$2:$H$381,$AN52)+SUMIFS(Dati!$K$2:$K$381,Dati!$H$2:$H$381,$H52,Dati!$A$2:$A$381,$AN52)+SUMIFS(Dati!$C$2:$C$381,Dati!$A$2:$A$381,$H52,Dati!$H$2:$H$381,$AN52)+SUMIFS(Dati!$J$2:$J$381,Dati!$H$2:$H$381,$H52,Dati!$A$2:$A$381,$AN52),"-")</f>
        <v/>
      </c>
      <c r="CG52" s="22">
        <f>IF(AND($H52&lt;&gt;"",$AO52&lt;&gt;"",$H52&lt;&gt;$AO52,IFERROR(VLOOKUP($H52,areaCercaPuntiClassificaSquadra,3,FALSE),-1)=IFERROR(VLOOKUP($AO52,areaCercaPuntiClassificaSquadra,3,FALSE),-2)),SUMIFS(Dati!$D$2:$D$381,Dati!$A$2:$A$381,$H52,Dati!$H$2:$H$381,$AO52)+SUMIFS(Dati!$K$2:$K$381,Dati!$H$2:$H$381,$H52,Dati!$A$2:$A$381,$AO52)+SUMIFS(Dati!$C$2:$C$381,Dati!$A$2:$A$381,$H52,Dati!$H$2:$H$381,$AO52)+SUMIFS(Dati!$J$2:$J$381,Dati!$H$2:$H$381,$H52,Dati!$A$2:$A$381,$AO52),"-")</f>
        <v/>
      </c>
      <c r="CH52" s="22">
        <f>IF(AND($H52&lt;&gt;"",$AP52&lt;&gt;"",$H52&lt;&gt;$AP52,IFERROR(VLOOKUP($H52,areaCercaPuntiClassificaSquadra,3,FALSE),-1)=IFERROR(VLOOKUP($AP52,areaCercaPuntiClassificaSquadra,3,FALSE),-2)),SUMIFS(Dati!$D$2:$D$381,Dati!$A$2:$A$381,$H52,Dati!$H$2:$H$381,$AP52)+SUMIFS(Dati!$K$2:$K$381,Dati!$H$2:$H$381,$H52,Dati!$A$2:$A$381,$AP52)+SUMIFS(Dati!$C$2:$C$381,Dati!$A$2:$A$381,$H52,Dati!$H$2:$H$381,$AP52)+SUMIFS(Dati!$J$2:$J$381,Dati!$H$2:$H$381,$H52,Dati!$A$2:$A$381,$AP52),"-")</f>
        <v/>
      </c>
      <c r="CI52" s="22">
        <f>IF(AND($H52&lt;&gt;"",$AQ52&lt;&gt;"",$H52&lt;&gt;$AQ52,IFERROR(VLOOKUP($H52,areaCercaPuntiClassificaSquadra,3,FALSE),-1)=IFERROR(VLOOKUP($AQ52,areaCercaPuntiClassificaSquadra,3,FALSE),-2)),SUMIFS(Dati!$D$2:$D$381,Dati!$A$2:$A$381,$H52,Dati!$H$2:$H$381,$AQ52)+SUMIFS(Dati!$K$2:$K$381,Dati!$H$2:$H$381,$H52,Dati!$A$2:$A$381,$AQ52)+SUMIFS(Dati!$C$2:$C$381,Dati!$A$2:$A$381,$H52,Dati!$H$2:$H$381,$AQ52)+SUMIFS(Dati!$J$2:$J$381,Dati!$H$2:$H$381,$H52,Dati!$A$2:$A$381,$AQ52),"-")</f>
        <v/>
      </c>
      <c r="CJ52" s="22">
        <f>IF(AND($H52&lt;&gt;"",$AR52&lt;&gt;"",$H52&lt;&gt;$AR52,IFERROR(VLOOKUP($H52,areaCercaPuntiClassificaSquadra,3,FALSE),-1)=IFERROR(VLOOKUP($AR52,areaCercaPuntiClassificaSquadra,3,FALSE),-2)),SUMIFS(Dati!$D$2:$D$381,Dati!$A$2:$A$381,$H52,Dati!$H$2:$H$381,$AR52)+SUMIFS(Dati!$K$2:$K$381,Dati!$H$2:$H$381,$H52,Dati!$A$2:$A$381,$AR52)+SUMIFS(Dati!$C$2:$C$381,Dati!$A$2:$A$381,$H52,Dati!$H$2:$H$381,$AR52)+SUMIFS(Dati!$J$2:$J$381,Dati!$H$2:$H$381,$H52,Dati!$A$2:$A$381,$AR52),"-")</f>
        <v/>
      </c>
      <c r="CL52" s="21">
        <f>$C52</f>
        <v/>
      </c>
      <c r="CM52" s="22">
        <f>IF(AND($H52&lt;&gt;"",$Y52&lt;&gt;"",$H52&lt;&gt;$Y52,IFERROR(VLOOKUP($H52,areaCercaPuntiClassificaSquadra,3,FALSE),-1)=IFERROR(VLOOKUP($Y52,areaCercaPuntiClassificaSquadra,3,FALSE),-2)),SUMIFS(Dati!$E$2:$E$381,Dati!$A$2:$A$381,$H52,Dati!$H$2:$H$381,$Y52)+SUMIFS(Dati!$L$2:$L$381,Dati!$H$2:$H$381,$H52,Dati!$A$2:$A$381,$Y52),"-")</f>
        <v/>
      </c>
      <c r="CN52" s="22">
        <f>IF(AND($H52&lt;&gt;"",$Z52&lt;&gt;"",$H52&lt;&gt;$Z52,IFERROR(VLOOKUP($H52,areaCercaPuntiClassificaSquadra,3,FALSE),-1)=IFERROR(VLOOKUP($Z52,areaCercaPuntiClassificaSquadra,3,FALSE),-2)),SUMIFS(Dati!$E$2:$E$381,Dati!$A$2:$A$381,$H52,Dati!$H$2:$H$381,$Z52)+SUMIFS(Dati!$L$2:$L$381,Dati!$H$2:$H$381,$H52,Dati!$A$2:$A$381,$Z52),"-")</f>
        <v/>
      </c>
      <c r="CO52" s="22">
        <f>IF(AND($H52&lt;&gt;"",$AA52&lt;&gt;"",$H52&lt;&gt;$AA52,IFERROR(VLOOKUP($H52,areaCercaPuntiClassificaSquadra,3,FALSE),-1)=IFERROR(VLOOKUP($AA52,areaCercaPuntiClassificaSquadra,3,FALSE),-2)),SUMIFS(Dati!$E$2:$E$381,Dati!$A$2:$A$381,$H52,Dati!$H$2:$H$381,$AA52)+SUMIFS(Dati!$L$2:$L$381,Dati!$H$2:$H$381,$H52,Dati!$A$2:$A$381,$AA52),"-")</f>
        <v/>
      </c>
      <c r="CP52" s="22">
        <f>IF(AND($H52&lt;&gt;"",$AB52&lt;&gt;"",$H52&lt;&gt;$AB52,IFERROR(VLOOKUP($H52,areaCercaPuntiClassificaSquadra,3,FALSE),-1)=IFERROR(VLOOKUP($AB52,areaCercaPuntiClassificaSquadra,3,FALSE),-2)),SUMIFS(Dati!$E$2:$E$381,Dati!$A$2:$A$381,$H52,Dati!$H$2:$H$381,$AB52)+SUMIFS(Dati!$L$2:$L$381,Dati!$H$2:$H$381,$H52,Dati!$A$2:$A$381,$AB52),"-")</f>
        <v/>
      </c>
      <c r="CQ52" s="22">
        <f>IF(AND($H52&lt;&gt;"",$AC52&lt;&gt;"",$H52&lt;&gt;$AC52,IFERROR(VLOOKUP($H52,areaCercaPuntiClassificaSquadra,3,FALSE),-1)=IFERROR(VLOOKUP($AC52,areaCercaPuntiClassificaSquadra,3,FALSE),-2)),SUMIFS(Dati!$E$2:$E$381,Dati!$A$2:$A$381,$H52,Dati!$H$2:$H$381,$AC52)+SUMIFS(Dati!$L$2:$L$381,Dati!$H$2:$H$381,$H52,Dati!$A$2:$A$381,$AC52),"-")</f>
        <v/>
      </c>
      <c r="CR52" s="22">
        <f>IF(AND($H52&lt;&gt;"",$AD52&lt;&gt;"",$H52&lt;&gt;$AD52,IFERROR(VLOOKUP($H52,areaCercaPuntiClassificaSquadra,3,FALSE),-1)=IFERROR(VLOOKUP($AD52,areaCercaPuntiClassificaSquadra,3,FALSE),-2)),SUMIFS(Dati!$E$2:$E$381,Dati!$A$2:$A$381,$H52,Dati!$H$2:$H$381,$AD52)+SUMIFS(Dati!$L$2:$L$381,Dati!$H$2:$H$381,$H52,Dati!$A$2:$A$381,$AD52),"-")</f>
        <v/>
      </c>
      <c r="CS52" s="22">
        <f>IF(AND($H52&lt;&gt;"",$AE52&lt;&gt;"",$H52&lt;&gt;$AE52,IFERROR(VLOOKUP($H52,areaCercaPuntiClassificaSquadra,3,FALSE),-1)=IFERROR(VLOOKUP($AE52,areaCercaPuntiClassificaSquadra,3,FALSE),-2)),SUMIFS(Dati!$E$2:$E$381,Dati!$A$2:$A$381,$H52,Dati!$H$2:$H$381,$AE52)+SUMIFS(Dati!$L$2:$L$381,Dati!$H$2:$H$381,$H52,Dati!$A$2:$A$381,$AE52),"-")</f>
        <v/>
      </c>
      <c r="CT52" s="22">
        <f>IF(AND($H52&lt;&gt;"",$AF52&lt;&gt;"",$H52&lt;&gt;$AF52,IFERROR(VLOOKUP($H52,areaCercaPuntiClassificaSquadra,3,FALSE),-1)=IFERROR(VLOOKUP($AF52,areaCercaPuntiClassificaSquadra,3,FALSE),-2)),SUMIFS(Dati!$E$2:$E$381,Dati!$A$2:$A$381,$H52,Dati!$H$2:$H$381,$AF52)+SUMIFS(Dati!$L$2:$L$381,Dati!$H$2:$H$381,$H52,Dati!$A$2:$A$381,$AF52),"-")</f>
        <v/>
      </c>
      <c r="CU52" s="22">
        <f>IF(AND($H52&lt;&gt;"",$AG52&lt;&gt;"",$H52&lt;&gt;$AG52,IFERROR(VLOOKUP($H52,areaCercaPuntiClassificaSquadra,3,FALSE),-1)=IFERROR(VLOOKUP($AG52,areaCercaPuntiClassificaSquadra,3,FALSE),-2)),SUMIFS(Dati!$E$2:$E$381,Dati!$A$2:$A$381,$H52,Dati!$H$2:$H$381,$AG52)+SUMIFS(Dati!$L$2:$L$381,Dati!$H$2:$H$381,$H52,Dati!$A$2:$A$381,$AG52),"-")</f>
        <v/>
      </c>
      <c r="CV52" s="22">
        <f>IF(AND($H52&lt;&gt;"",$AH52&lt;&gt;"",$H52&lt;&gt;$AH52,IFERROR(VLOOKUP($H52,areaCercaPuntiClassificaSquadra,3,FALSE),-1)=IFERROR(VLOOKUP($AH52,areaCercaPuntiClassificaSquadra,3,FALSE),-2)),SUMIFS(Dati!$E$2:$E$381,Dati!$A$2:$A$381,$H52,Dati!$H$2:$H$381,$AH52)+SUMIFS(Dati!$L$2:$L$381,Dati!$H$2:$H$381,$H52,Dati!$A$2:$A$381,$AH52),"-")</f>
        <v/>
      </c>
      <c r="CW52" s="22">
        <f>IF(AND($H52&lt;&gt;"",$AI52&lt;&gt;"",$H52&lt;&gt;$AI52,IFERROR(VLOOKUP($H52,areaCercaPuntiClassificaSquadra,3,FALSE),-1)=IFERROR(VLOOKUP($AI52,areaCercaPuntiClassificaSquadra,3,FALSE),-2)),SUMIFS(Dati!$E$2:$E$381,Dati!$A$2:$A$381,$H52,Dati!$H$2:$H$381,$AI52)+SUMIFS(Dati!$L$2:$L$381,Dati!$H$2:$H$381,$H52,Dati!$A$2:$A$381,$AI52),"-")</f>
        <v/>
      </c>
      <c r="CX52" s="22">
        <f>IF(AND($H52&lt;&gt;"",$AJ52&lt;&gt;"",$H52&lt;&gt;$AJ52,IFERROR(VLOOKUP($H52,areaCercaPuntiClassificaSquadra,3,FALSE),-1)=IFERROR(VLOOKUP($AJ52,areaCercaPuntiClassificaSquadra,3,FALSE),-2)),SUMIFS(Dati!$E$2:$E$381,Dati!$A$2:$A$381,$H52,Dati!$H$2:$H$381,$AJ52)+SUMIFS(Dati!$L$2:$L$381,Dati!$H$2:$H$381,$H52,Dati!$A$2:$A$381,$AJ52),"-")</f>
        <v/>
      </c>
      <c r="CY52" s="22">
        <f>IF(AND($H52&lt;&gt;"",$AK52&lt;&gt;"",$H52&lt;&gt;$AK52,IFERROR(VLOOKUP($H52,areaCercaPuntiClassificaSquadra,3,FALSE),-1)=IFERROR(VLOOKUP($AK52,areaCercaPuntiClassificaSquadra,3,FALSE),-2)),SUMIFS(Dati!$E$2:$E$381,Dati!$A$2:$A$381,$H52,Dati!$H$2:$H$381,$AK52)+SUMIFS(Dati!$L$2:$L$381,Dati!$H$2:$H$381,$H52,Dati!$A$2:$A$381,$AK52),"-")</f>
        <v/>
      </c>
      <c r="CZ52" s="22">
        <f>IF(AND($H52&lt;&gt;"",$AL52&lt;&gt;"",$H52&lt;&gt;$AL52,IFERROR(VLOOKUP($H52,areaCercaPuntiClassificaSquadra,3,FALSE),-1)=IFERROR(VLOOKUP($AL52,areaCercaPuntiClassificaSquadra,3,FALSE),-2)),SUMIFS(Dati!$E$2:$E$381,Dati!$A$2:$A$381,$H52,Dati!$H$2:$H$381,$AL52)+SUMIFS(Dati!$L$2:$L$381,Dati!$H$2:$H$381,$H52,Dati!$A$2:$A$381,$AL52),"-")</f>
        <v/>
      </c>
      <c r="DA52" s="22">
        <f>IF(AND($H52&lt;&gt;"",$AM52&lt;&gt;"",$H52&lt;&gt;$AM52,IFERROR(VLOOKUP($H52,areaCercaPuntiClassificaSquadra,3,FALSE),-1)=IFERROR(VLOOKUP($AM52,areaCercaPuntiClassificaSquadra,3,FALSE),-2)),SUMIFS(Dati!$E$2:$E$381,Dati!$A$2:$A$381,$H52,Dati!$H$2:$H$381,$AM52)+SUMIFS(Dati!$L$2:$L$381,Dati!$H$2:$H$381,$H52,Dati!$A$2:$A$381,$AM52),"-")</f>
        <v/>
      </c>
      <c r="DB52" s="22">
        <f>IF(AND($H52&lt;&gt;"",$AN52&lt;&gt;"",$H52&lt;&gt;$AN52,IFERROR(VLOOKUP($H52,areaCercaPuntiClassificaSquadra,3,FALSE),-1)=IFERROR(VLOOKUP($AN52,areaCercaPuntiClassificaSquadra,3,FALSE),-2)),SUMIFS(Dati!$E$2:$E$381,Dati!$A$2:$A$381,$H52,Dati!$H$2:$H$381,$AN52)+SUMIFS(Dati!$L$2:$L$381,Dati!$H$2:$H$381,$H52,Dati!$A$2:$A$381,$AN52),"-")</f>
        <v/>
      </c>
      <c r="DC52" s="22">
        <f>IF(AND($H52&lt;&gt;"",$AO52&lt;&gt;"",$H52&lt;&gt;$AO52,IFERROR(VLOOKUP($H52,areaCercaPuntiClassificaSquadra,3,FALSE),-1)=IFERROR(VLOOKUP($AO52,areaCercaPuntiClassificaSquadra,3,FALSE),-2)),SUMIFS(Dati!$E$2:$E$381,Dati!$A$2:$A$381,$H52,Dati!$H$2:$H$381,$AO52)+SUMIFS(Dati!$L$2:$L$381,Dati!$H$2:$H$381,$H52,Dati!$A$2:$A$381,$AO52),"-")</f>
        <v/>
      </c>
      <c r="DD52" s="22">
        <f>IF(AND($H52&lt;&gt;"",$AP52&lt;&gt;"",$H52&lt;&gt;$AP52,IFERROR(VLOOKUP($H52,areaCercaPuntiClassificaSquadra,3,FALSE),-1)=IFERROR(VLOOKUP($AP52,areaCercaPuntiClassificaSquadra,3,FALSE),-2)),SUMIFS(Dati!$E$2:$E$381,Dati!$A$2:$A$381,$H52,Dati!$H$2:$H$381,$AP52)+SUMIFS(Dati!$L$2:$L$381,Dati!$H$2:$H$381,$H52,Dati!$A$2:$A$381,$AP52),"-")</f>
        <v/>
      </c>
      <c r="DE52" s="22">
        <f>IF(AND($H52&lt;&gt;"",$AQ52&lt;&gt;"",$H52&lt;&gt;$AQ52,IFERROR(VLOOKUP($H52,areaCercaPuntiClassificaSquadra,3,FALSE),-1)=IFERROR(VLOOKUP($AQ52,areaCercaPuntiClassificaSquadra,3,FALSE),-2)),SUMIFS(Dati!$E$2:$E$381,Dati!$A$2:$A$381,$H52,Dati!$H$2:$H$381,$AQ52)+SUMIFS(Dati!$L$2:$L$381,Dati!$H$2:$H$381,$H52,Dati!$A$2:$A$381,$AQ52),"-")</f>
        <v/>
      </c>
      <c r="DF52" s="22">
        <f>IF(AND($H52&lt;&gt;"",$AR52&lt;&gt;"",$H52&lt;&gt;$AR52,IFERROR(VLOOKUP($H52,areaCercaPuntiClassificaSquadra,3,FALSE),-1)=IFERROR(VLOOKUP($AR52,areaCercaPuntiClassificaSquadra,3,FALSE),-2)),SUMIFS(Dati!$E$2:$E$381,Dati!$A$2:$A$381,$H52,Dati!$H$2:$H$381,$AR52)+SUMIFS(Dati!$L$2:$L$381,Dati!$H$2:$H$381,$H52,Dati!$A$2:$A$381,$AR52),"-")</f>
        <v/>
      </c>
      <c r="DH52" s="21">
        <f>$C52</f>
        <v/>
      </c>
      <c r="DI52" s="22">
        <f>IF(AND($H52&lt;&gt;"",$Y52&lt;&gt;"",$H52&lt;&gt;$Y52,IFERROR(VLOOKUP($H52,areaCercaPuntiClassificaSquadra,3,FALSE),-1)=IFERROR(VLOOKUP($Y52,areaCercaPuntiClassificaSquadra,3,FALSE),-2)),SUMIFS(Dati!$F$2:$F$381,Dati!$A$2:$A$381,$H52,Dati!$H$2:$H$381,$Y52)+SUMIFS(Dati!$M$2:$M$381,Dati!$H$2:$H$381,$H52,Dati!$A$2:$A$381,$Y52),"-")</f>
        <v/>
      </c>
      <c r="DJ52" s="22">
        <f>IF(AND($H52&lt;&gt;"",$Z52&lt;&gt;"",$H52&lt;&gt;$Z52,IFERROR(VLOOKUP($H52,areaCercaPuntiClassificaSquadra,3,FALSE),-1)=IFERROR(VLOOKUP($Z52,areaCercaPuntiClassificaSquadra,3,FALSE),-2)),SUMIFS(Dati!$F$2:$F$381,Dati!$A$2:$A$381,$H52,Dati!$H$2:$H$381,$Z52)+SUMIFS(Dati!$M$2:$M$381,Dati!$H$2:$H$381,$H52,Dati!$A$2:$A$381,$Z52),"-")</f>
        <v/>
      </c>
      <c r="DK52" s="22">
        <f>IF(AND($H52&lt;&gt;"",$AA52&lt;&gt;"",$H52&lt;&gt;$AA52,IFERROR(VLOOKUP($H52,areaCercaPuntiClassificaSquadra,3,FALSE),-1)=IFERROR(VLOOKUP($AA52,areaCercaPuntiClassificaSquadra,3,FALSE),-2)),SUMIFS(Dati!$F$2:$F$381,Dati!$A$2:$A$381,$H52,Dati!$H$2:$H$381,$AA52)+SUMIFS(Dati!$M$2:$M$381,Dati!$H$2:$H$381,$H52,Dati!$A$2:$A$381,$AA52),"-")</f>
        <v/>
      </c>
      <c r="DL52" s="22">
        <f>IF(AND($H52&lt;&gt;"",$AB52&lt;&gt;"",$H52&lt;&gt;$AB52,IFERROR(VLOOKUP($H52,areaCercaPuntiClassificaSquadra,3,FALSE),-1)=IFERROR(VLOOKUP($AB52,areaCercaPuntiClassificaSquadra,3,FALSE),-2)),SUMIFS(Dati!$F$2:$F$381,Dati!$A$2:$A$381,$H52,Dati!$H$2:$H$381,$AB52)+SUMIFS(Dati!$M$2:$M$381,Dati!$H$2:$H$381,$H52,Dati!$A$2:$A$381,$AB52),"-")</f>
        <v/>
      </c>
      <c r="DM52" s="22">
        <f>IF(AND($H52&lt;&gt;"",$AC52&lt;&gt;"",$H52&lt;&gt;$AC52,IFERROR(VLOOKUP($H52,areaCercaPuntiClassificaSquadra,3,FALSE),-1)=IFERROR(VLOOKUP($AC52,areaCercaPuntiClassificaSquadra,3,FALSE),-2)),SUMIFS(Dati!$F$2:$F$381,Dati!$A$2:$A$381,$H52,Dati!$H$2:$H$381,$AC52)+SUMIFS(Dati!$M$2:$M$381,Dati!$H$2:$H$381,$H52,Dati!$A$2:$A$381,$AC52),"-")</f>
        <v/>
      </c>
      <c r="DN52" s="22">
        <f>IF(AND($H52&lt;&gt;"",$AD52&lt;&gt;"",$H52&lt;&gt;$AD52,IFERROR(VLOOKUP($H52,areaCercaPuntiClassificaSquadra,3,FALSE),-1)=IFERROR(VLOOKUP($AD52,areaCercaPuntiClassificaSquadra,3,FALSE),-2)),SUMIFS(Dati!$F$2:$F$381,Dati!$A$2:$A$381,$H52,Dati!$H$2:$H$381,$AD52)+SUMIFS(Dati!$M$2:$M$381,Dati!$H$2:$H$381,$H52,Dati!$A$2:$A$381,$AD52),"-")</f>
        <v/>
      </c>
      <c r="DO52" s="22">
        <f>IF(AND($H52&lt;&gt;"",$AE52&lt;&gt;"",$H52&lt;&gt;$AE52,IFERROR(VLOOKUP($H52,areaCercaPuntiClassificaSquadra,3,FALSE),-1)=IFERROR(VLOOKUP($AE52,areaCercaPuntiClassificaSquadra,3,FALSE),-2)),SUMIFS(Dati!$F$2:$F$381,Dati!$A$2:$A$381,$H52,Dati!$H$2:$H$381,$AE52)+SUMIFS(Dati!$M$2:$M$381,Dati!$H$2:$H$381,$H52,Dati!$A$2:$A$381,$AE52),"-")</f>
        <v/>
      </c>
      <c r="DP52" s="22">
        <f>IF(AND($H52&lt;&gt;"",$AF52&lt;&gt;"",$H52&lt;&gt;$AF52,IFERROR(VLOOKUP($H52,areaCercaPuntiClassificaSquadra,3,FALSE),-1)=IFERROR(VLOOKUP($AF52,areaCercaPuntiClassificaSquadra,3,FALSE),-2)),SUMIFS(Dati!$F$2:$F$381,Dati!$A$2:$A$381,$H52,Dati!$H$2:$H$381,$AF52)+SUMIFS(Dati!$M$2:$M$381,Dati!$H$2:$H$381,$H52,Dati!$A$2:$A$381,$AF52),"-")</f>
        <v/>
      </c>
      <c r="DQ52" s="22">
        <f>IF(AND($H52&lt;&gt;"",$AG52&lt;&gt;"",$H52&lt;&gt;$AG52,IFERROR(VLOOKUP($H52,areaCercaPuntiClassificaSquadra,3,FALSE),-1)=IFERROR(VLOOKUP($AG52,areaCercaPuntiClassificaSquadra,3,FALSE),-2)),SUMIFS(Dati!$F$2:$F$381,Dati!$A$2:$A$381,$H52,Dati!$H$2:$H$381,$AG52)+SUMIFS(Dati!$M$2:$M$381,Dati!$H$2:$H$381,$H52,Dati!$A$2:$A$381,$AG52),"-")</f>
        <v/>
      </c>
      <c r="DR52" s="22">
        <f>IF(AND($H52&lt;&gt;"",$AH52&lt;&gt;"",$H52&lt;&gt;$AH52,IFERROR(VLOOKUP($H52,areaCercaPuntiClassificaSquadra,3,FALSE),-1)=IFERROR(VLOOKUP($AH52,areaCercaPuntiClassificaSquadra,3,FALSE),-2)),SUMIFS(Dati!$F$2:$F$381,Dati!$A$2:$A$381,$H52,Dati!$H$2:$H$381,$AH52)+SUMIFS(Dati!$M$2:$M$381,Dati!$H$2:$H$381,$H52,Dati!$A$2:$A$381,$AH52),"-")</f>
        <v/>
      </c>
      <c r="DS52" s="22">
        <f>IF(AND($H52&lt;&gt;"",$AI52&lt;&gt;"",$H52&lt;&gt;$AI52,IFERROR(VLOOKUP($H52,areaCercaPuntiClassificaSquadra,3,FALSE),-1)=IFERROR(VLOOKUP($AI52,areaCercaPuntiClassificaSquadra,3,FALSE),-2)),SUMIFS(Dati!$F$2:$F$381,Dati!$A$2:$A$381,$H52,Dati!$H$2:$H$381,$AI52)+SUMIFS(Dati!$M$2:$M$381,Dati!$H$2:$H$381,$H52,Dati!$A$2:$A$381,$AI52),"-")</f>
        <v/>
      </c>
      <c r="DT52" s="22">
        <f>IF(AND($H52&lt;&gt;"",$AJ52&lt;&gt;"",$H52&lt;&gt;$AJ52,IFERROR(VLOOKUP($H52,areaCercaPuntiClassificaSquadra,3,FALSE),-1)=IFERROR(VLOOKUP($AJ52,areaCercaPuntiClassificaSquadra,3,FALSE),-2)),SUMIFS(Dati!$F$2:$F$381,Dati!$A$2:$A$381,$H52,Dati!$H$2:$H$381,$AJ52)+SUMIFS(Dati!$M$2:$M$381,Dati!$H$2:$H$381,$H52,Dati!$A$2:$A$381,$AJ52),"-")</f>
        <v/>
      </c>
      <c r="DU52" s="22">
        <f>IF(AND($H52&lt;&gt;"",$AK52&lt;&gt;"",$H52&lt;&gt;$AK52,IFERROR(VLOOKUP($H52,areaCercaPuntiClassificaSquadra,3,FALSE),-1)=IFERROR(VLOOKUP($AK52,areaCercaPuntiClassificaSquadra,3,FALSE),-2)),SUMIFS(Dati!$F$2:$F$381,Dati!$A$2:$A$381,$H52,Dati!$H$2:$H$381,$AK52)+SUMIFS(Dati!$M$2:$M$381,Dati!$H$2:$H$381,$H52,Dati!$A$2:$A$381,$AK52),"-")</f>
        <v/>
      </c>
      <c r="DV52" s="22">
        <f>IF(AND($H52&lt;&gt;"",$AL52&lt;&gt;"",$H52&lt;&gt;$AL52,IFERROR(VLOOKUP($H52,areaCercaPuntiClassificaSquadra,3,FALSE),-1)=IFERROR(VLOOKUP($AL52,areaCercaPuntiClassificaSquadra,3,FALSE),-2)),SUMIFS(Dati!$F$2:$F$381,Dati!$A$2:$A$381,$H52,Dati!$H$2:$H$381,$AL52)+SUMIFS(Dati!$M$2:$M$381,Dati!$H$2:$H$381,$H52,Dati!$A$2:$A$381,$AL52),"-")</f>
        <v/>
      </c>
      <c r="DW52" s="22">
        <f>IF(AND($H52&lt;&gt;"",$AM52&lt;&gt;"",$H52&lt;&gt;$AM52,IFERROR(VLOOKUP($H52,areaCercaPuntiClassificaSquadra,3,FALSE),-1)=IFERROR(VLOOKUP($AM52,areaCercaPuntiClassificaSquadra,3,FALSE),-2)),SUMIFS(Dati!$F$2:$F$381,Dati!$A$2:$A$381,$H52,Dati!$H$2:$H$381,$AM52)+SUMIFS(Dati!$M$2:$M$381,Dati!$H$2:$H$381,$H52,Dati!$A$2:$A$381,$AM52),"-")</f>
        <v/>
      </c>
      <c r="DX52" s="22">
        <f>IF(AND($H52&lt;&gt;"",$AN52&lt;&gt;"",$H52&lt;&gt;$AN52,IFERROR(VLOOKUP($H52,areaCercaPuntiClassificaSquadra,3,FALSE),-1)=IFERROR(VLOOKUP($AN52,areaCercaPuntiClassificaSquadra,3,FALSE),-2)),SUMIFS(Dati!$F$2:$F$381,Dati!$A$2:$A$381,$H52,Dati!$H$2:$H$381,$AN52)+SUMIFS(Dati!$M$2:$M$381,Dati!$H$2:$H$381,$H52,Dati!$A$2:$A$381,$AN52),"-")</f>
        <v/>
      </c>
      <c r="DY52" s="22">
        <f>IF(AND($H52&lt;&gt;"",$AO52&lt;&gt;"",$H52&lt;&gt;$AO52,IFERROR(VLOOKUP($H52,areaCercaPuntiClassificaSquadra,3,FALSE),-1)=IFERROR(VLOOKUP($AO52,areaCercaPuntiClassificaSquadra,3,FALSE),-2)),SUMIFS(Dati!$F$2:$F$381,Dati!$A$2:$A$381,$H52,Dati!$H$2:$H$381,$AO52)+SUMIFS(Dati!$M$2:$M$381,Dati!$H$2:$H$381,$H52,Dati!$A$2:$A$381,$AO52),"-")</f>
        <v/>
      </c>
      <c r="DZ52" s="22">
        <f>IF(AND($H52&lt;&gt;"",$AP52&lt;&gt;"",$H52&lt;&gt;$AP52,IFERROR(VLOOKUP($H52,areaCercaPuntiClassificaSquadra,3,FALSE),-1)=IFERROR(VLOOKUP($AP52,areaCercaPuntiClassificaSquadra,3,FALSE),-2)),SUMIFS(Dati!$F$2:$F$381,Dati!$A$2:$A$381,$H52,Dati!$H$2:$H$381,$AP52)+SUMIFS(Dati!$M$2:$M$381,Dati!$H$2:$H$381,$H52,Dati!$A$2:$A$381,$AP52),"-")</f>
        <v/>
      </c>
      <c r="EA52" s="22">
        <f>IF(AND($H52&lt;&gt;"",$AQ52&lt;&gt;"",$H52&lt;&gt;$AQ52,IFERROR(VLOOKUP($H52,areaCercaPuntiClassificaSquadra,3,FALSE),-1)=IFERROR(VLOOKUP($AQ52,areaCercaPuntiClassificaSquadra,3,FALSE),-2)),SUMIFS(Dati!$F$2:$F$381,Dati!$A$2:$A$381,$H52,Dati!$H$2:$H$381,$AQ52)+SUMIFS(Dati!$M$2:$M$381,Dati!$H$2:$H$381,$H52,Dati!$A$2:$A$381,$AQ52),"-")</f>
        <v/>
      </c>
      <c r="EB52" s="22">
        <f>IF(AND($H52&lt;&gt;"",$AR52&lt;&gt;"",$H52&lt;&gt;$AR52,IFERROR(VLOOKUP($H52,areaCercaPuntiClassificaSquadra,3,FALSE),-1)=IFERROR(VLOOKUP($AR52,areaCercaPuntiClassificaSquadra,3,FALSE),-2)),SUMIFS(Dati!$F$2:$F$381,Dati!$A$2:$A$381,$H52,Dati!$H$2:$H$381,$AR52)+SUMIFS(Dati!$M$2:$M$381,Dati!$H$2:$H$381,$H52,Dati!$A$2:$A$381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inlineStr">
        <is>
          <t>Foche Feroci-Focheopoli FU</t>
        </is>
      </c>
      <c r="D53" s="14" t="n"/>
      <c r="E53" s="23" t="inlineStr">
        <is>
          <t>B</t>
        </is>
      </c>
      <c r="G53" s="24">
        <f>IF($C53="","",$E53&amp;(COUNTIFS(I$14:I$53,"&gt;"&amp;I53,E$14:E$53,"="&amp;E53,C$14:C$53,"&lt;&gt;")+COUNTIFS(I$14:I$53,"="&amp;I53,H$14:H$53,"&lt;="&amp;H53,E$14:E$53,"="&amp;E53,C$14:C$53,"&lt;&gt;")))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L53*constPuntiVittoria+M53*constPuntiSconfitta+N53*constPuntiForfait+IF(D53="",0,D53)</f>
        <v/>
      </c>
      <c r="K53" s="12">
        <f>SUM(L53:N53)</f>
        <v/>
      </c>
      <c r="L53" s="12">
        <f>IF($H53="",0,SUMIF(Dati!$A$2:$A$381,$H53,Dati!$B$2:$B$381)+SUMIF(Dati!$H$2:$H$381,$H53,Dati!$I$2:$I$381))</f>
        <v/>
      </c>
      <c r="M53" s="12">
        <f>IF($H53="",0,SUMIF(Dati!$A$2:$A$381,$H53,Dati!$D$2:$D$381)+SUMIF(Dati!$H$2:$H$381,$H53,Dati!$K$2:$K$381))</f>
        <v/>
      </c>
      <c r="N53" s="12">
        <f>IF($H53="",0,SUMIF(Dati!$A$2:$A$381,$H53,Dati!$C$2:$C$381)+SUMIF(Dati!$H$2:$H$381,$H53,Dati!$J$2:$J$381))</f>
        <v/>
      </c>
      <c r="O53" s="12">
        <f>IF($H53="",0,SUMIF(Dati!$A$2:$A$381,$H53,Dati!$E$2:$E$381)+SUMIF(Dati!$H$2:$H$381,$H53,Dati!$L$2:$L$381))</f>
        <v/>
      </c>
      <c r="P53" s="12">
        <f>IF($H53="",0,SUMIF(Dati!$A$2:$A$381,$H53,Dati!$F$2:$F$381)+SUMIF(Dati!$H$2:$H$381,$H53,Dati!$M$2:$M$381))</f>
        <v/>
      </c>
      <c r="Q53" s="12">
        <f>IF($H53="",0,SUMIF(Dati!$A$2:$A$381,$H53,Dati!$G$2:$G$381)+SUMIF(Dati!$H$2:$H$381,$H53,Dati!$N$2:$N$381))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IF(COUNTIFS($E$14:$E$53,$E53,$J$14:$J$53,$J53,$C$14:$C$53,"&lt;&gt;")&lt;=1,"-",SUM(AU53:BN53)&amp;"-"&amp;SUM(BQ53:CJ53))</f>
        <v/>
      </c>
      <c r="V53" s="18">
        <f>IF(COUNTIFS($E$14:$E$53,$E53,$J$14:$J$53,$J53,$C$14:$C$53,"&lt;&gt;",$ED$14:$ED$53,$ED53)&lt;=1,"-",IF(SUM(DI53:EB53)=0,0,ROUND(SUM(CM53:DF53)/SUM(DI53:EB53),3)))</f>
        <v/>
      </c>
      <c r="W53" s="18">
        <f>IF(COUNTIFS($E$14:$E$53,$E53,$J$14:$J$53,$J53,$C$14:$C$53,"&lt;&gt;",$ED$14:$ED$53,$ED53,$V$14:$V$53,$V53)&lt;=1,"-",IF(P53=0,0,ROUND(O53/P53,3)))</f>
        <v/>
      </c>
      <c r="X53" s="19">
        <f>IF($C53="","",$E53&amp;"#"&amp;COUNTIFS($E$14:$E53,$E53,$C$14:$C53,"&lt;&gt;"))</f>
        <v/>
      </c>
      <c r="Y53" s="20">
        <f>IFERROR(INDEX($H$14:$H$53,MATCH($E53&amp;"#1",$X$14:$X$53,0)),"")</f>
        <v/>
      </c>
      <c r="Z53" s="20">
        <f>IFERROR(INDEX($H$14:$H$53,MATCH($E53&amp;"#2",$X$14:$X$53,0)),"")</f>
        <v/>
      </c>
      <c r="AA53" s="20">
        <f>IFERROR(INDEX($H$14:$H$53,MATCH($E53&amp;"#3",$X$14:$X$53,0)),"")</f>
        <v/>
      </c>
      <c r="AB53" s="20">
        <f>IFERROR(INDEX($H$14:$H$53,MATCH($E53&amp;"#4",$X$14:$X$53,0)),"")</f>
        <v/>
      </c>
      <c r="AC53" s="20">
        <f>IFERROR(INDEX($H$14:$H$53,MATCH($E53&amp;"#5",$X$14:$X$53,0)),"")</f>
        <v/>
      </c>
      <c r="AD53" s="20">
        <f>IFERROR(INDEX($H$14:$H$53,MATCH($E53&amp;"#6",$X$14:$X$53,0)),"")</f>
        <v/>
      </c>
      <c r="AE53" s="20">
        <f>IFERROR(INDEX($H$14:$H$53,MATCH($E53&amp;"#7",$X$14:$X$53,0)),"")</f>
        <v/>
      </c>
      <c r="AF53" s="20">
        <f>IFERROR(INDEX($H$14:$H$53,MATCH($E53&amp;"#8",$X$14:$X$53,0)),"")</f>
        <v/>
      </c>
      <c r="AG53" s="20">
        <f>IFERROR(INDEX($H$14:$H$53,MATCH($E53&amp;"#9",$X$14:$X$53,0)),"")</f>
        <v/>
      </c>
      <c r="AH53" s="20">
        <f>IFERROR(INDEX($H$14:$H$53,MATCH($E53&amp;"#10",$X$14:$X$53,0)),"")</f>
        <v/>
      </c>
      <c r="AI53" s="20">
        <f>IFERROR(INDEX($H$14:$H$53,MATCH($E53&amp;"#11",$X$14:$X$53,0)),"")</f>
        <v/>
      </c>
      <c r="AJ53" s="20">
        <f>IFERROR(INDEX($H$14:$H$53,MATCH($E53&amp;"#12",$X$14:$X$53,0)),"")</f>
        <v/>
      </c>
      <c r="AK53" s="20">
        <f>IFERROR(INDEX($H$14:$H$53,MATCH($E53&amp;"#13",$X$14:$X$53,0)),"")</f>
        <v/>
      </c>
      <c r="AL53" s="20">
        <f>IFERROR(INDEX($H$14:$H$53,MATCH($E53&amp;"#14",$X$14:$X$53,0)),"")</f>
        <v/>
      </c>
      <c r="AM53" s="20">
        <f>IFERROR(INDEX($H$14:$H$53,MATCH($E53&amp;"#15",$X$14:$X$53,0)),"")</f>
        <v/>
      </c>
      <c r="AN53" s="20">
        <f>IFERROR(INDEX($H$14:$H$53,MATCH($E53&amp;"#16",$X$14:$X$53,0)),"")</f>
        <v/>
      </c>
      <c r="AO53" s="20">
        <f>IFERROR(INDEX($H$14:$H$53,MATCH($E53&amp;"#17",$X$14:$X$53,0)),"")</f>
        <v/>
      </c>
      <c r="AP53" s="20">
        <f>IFERROR(INDEX($H$14:$H$53,MATCH($E53&amp;"#18",$X$14:$X$53,0)),"")</f>
        <v/>
      </c>
      <c r="AQ53" s="20">
        <f>IFERROR(INDEX($H$14:$H$53,MATCH($E53&amp;"#19",$X$14:$X$53,0)),"")</f>
        <v/>
      </c>
      <c r="AR53" s="20">
        <f>IFERROR(INDEX($H$14:$H$53,MATCH($E53&amp;"#20",$X$14:$X$53,0)),"")</f>
        <v/>
      </c>
      <c r="AT53" s="21">
        <f>$C53</f>
        <v/>
      </c>
      <c r="AU53" s="22">
        <f>IF(AND($H53&lt;&gt;"",$Y53&lt;&gt;"",$H53&lt;&gt;$Y53,IFERROR(VLOOKUP($H53,areaCercaPuntiClassificaSquadra,3,FALSE),-1)=IFERROR(VLOOKUP($Y53,areaCercaPuntiClassificaSquadra,3,FALSE),-2)),SUMIFS(Dati!$B$2:$B$381,Dati!$A$2:$A$381,$H53,Dati!$H$2:$H$381,$Y53)+SUMIFS(Dati!$I$2:$I$381,Dati!$H$2:$H$381,$H53,Dati!$A$2:$A$381,$Y53),"-")</f>
        <v/>
      </c>
      <c r="AV53" s="22">
        <f>IF(AND($H53&lt;&gt;"",$Z53&lt;&gt;"",$H53&lt;&gt;$Z53,IFERROR(VLOOKUP($H53,areaCercaPuntiClassificaSquadra,3,FALSE),-1)=IFERROR(VLOOKUP($Z53,areaCercaPuntiClassificaSquadra,3,FALSE),-2)),SUMIFS(Dati!$B$2:$B$381,Dati!$A$2:$A$381,$H53,Dati!$H$2:$H$381,$Z53)+SUMIFS(Dati!$I$2:$I$381,Dati!$H$2:$H$381,$H53,Dati!$A$2:$A$381,$Z53),"-")</f>
        <v/>
      </c>
      <c r="AW53" s="22">
        <f>IF(AND($H53&lt;&gt;"",$AA53&lt;&gt;"",$H53&lt;&gt;$AA53,IFERROR(VLOOKUP($H53,areaCercaPuntiClassificaSquadra,3,FALSE),-1)=IFERROR(VLOOKUP($AA53,areaCercaPuntiClassificaSquadra,3,FALSE),-2)),SUMIFS(Dati!$B$2:$B$381,Dati!$A$2:$A$381,$H53,Dati!$H$2:$H$381,$AA53)+SUMIFS(Dati!$I$2:$I$381,Dati!$H$2:$H$381,$H53,Dati!$A$2:$A$381,$AA53),"-")</f>
        <v/>
      </c>
      <c r="AX53" s="22">
        <f>IF(AND($H53&lt;&gt;"",$AB53&lt;&gt;"",$H53&lt;&gt;$AB53,IFERROR(VLOOKUP($H53,areaCercaPuntiClassificaSquadra,3,FALSE),-1)=IFERROR(VLOOKUP($AB53,areaCercaPuntiClassificaSquadra,3,FALSE),-2)),SUMIFS(Dati!$B$2:$B$381,Dati!$A$2:$A$381,$H53,Dati!$H$2:$H$381,$AB53)+SUMIFS(Dati!$I$2:$I$381,Dati!$H$2:$H$381,$H53,Dati!$A$2:$A$381,$AB53),"-")</f>
        <v/>
      </c>
      <c r="AY53" s="22">
        <f>IF(AND($H53&lt;&gt;"",$AC53&lt;&gt;"",$H53&lt;&gt;$AC53,IFERROR(VLOOKUP($H53,areaCercaPuntiClassificaSquadra,3,FALSE),-1)=IFERROR(VLOOKUP($AC53,areaCercaPuntiClassificaSquadra,3,FALSE),-2)),SUMIFS(Dati!$B$2:$B$381,Dati!$A$2:$A$381,$H53,Dati!$H$2:$H$381,$AC53)+SUMIFS(Dati!$I$2:$I$381,Dati!$H$2:$H$381,$H53,Dati!$A$2:$A$381,$AC53),"-")</f>
        <v/>
      </c>
      <c r="AZ53" s="22">
        <f>IF(AND($H53&lt;&gt;"",$AD53&lt;&gt;"",$H53&lt;&gt;$AD53,IFERROR(VLOOKUP($H53,areaCercaPuntiClassificaSquadra,3,FALSE),-1)=IFERROR(VLOOKUP($AD53,areaCercaPuntiClassificaSquadra,3,FALSE),-2)),SUMIFS(Dati!$B$2:$B$381,Dati!$A$2:$A$381,$H53,Dati!$H$2:$H$381,$AD53)+SUMIFS(Dati!$I$2:$I$381,Dati!$H$2:$H$381,$H53,Dati!$A$2:$A$381,$AD53),"-")</f>
        <v/>
      </c>
      <c r="BA53" s="22">
        <f>IF(AND($H53&lt;&gt;"",$AE53&lt;&gt;"",$H53&lt;&gt;$AE53,IFERROR(VLOOKUP($H53,areaCercaPuntiClassificaSquadra,3,FALSE),-1)=IFERROR(VLOOKUP($AE53,areaCercaPuntiClassificaSquadra,3,FALSE),-2)),SUMIFS(Dati!$B$2:$B$381,Dati!$A$2:$A$381,$H53,Dati!$H$2:$H$381,$AE53)+SUMIFS(Dati!$I$2:$I$381,Dati!$H$2:$H$381,$H53,Dati!$A$2:$A$381,$AE53),"-")</f>
        <v/>
      </c>
      <c r="BB53" s="22">
        <f>IF(AND($H53&lt;&gt;"",$AF53&lt;&gt;"",$H53&lt;&gt;$AF53,IFERROR(VLOOKUP($H53,areaCercaPuntiClassificaSquadra,3,FALSE),-1)=IFERROR(VLOOKUP($AF53,areaCercaPuntiClassificaSquadra,3,FALSE),-2)),SUMIFS(Dati!$B$2:$B$381,Dati!$A$2:$A$381,$H53,Dati!$H$2:$H$381,$AF53)+SUMIFS(Dati!$I$2:$I$381,Dati!$H$2:$H$381,$H53,Dati!$A$2:$A$381,$AF53),"-")</f>
        <v/>
      </c>
      <c r="BC53" s="22">
        <f>IF(AND($H53&lt;&gt;"",$AG53&lt;&gt;"",$H53&lt;&gt;$AG53,IFERROR(VLOOKUP($H53,areaCercaPuntiClassificaSquadra,3,FALSE),-1)=IFERROR(VLOOKUP($AG53,areaCercaPuntiClassificaSquadra,3,FALSE),-2)),SUMIFS(Dati!$B$2:$B$381,Dati!$A$2:$A$381,$H53,Dati!$H$2:$H$381,$AG53)+SUMIFS(Dati!$I$2:$I$381,Dati!$H$2:$H$381,$H53,Dati!$A$2:$A$381,$AG53),"-")</f>
        <v/>
      </c>
      <c r="BD53" s="22">
        <f>IF(AND($H53&lt;&gt;"",$AH53&lt;&gt;"",$H53&lt;&gt;$AH53,IFERROR(VLOOKUP($H53,areaCercaPuntiClassificaSquadra,3,FALSE),-1)=IFERROR(VLOOKUP($AH53,areaCercaPuntiClassificaSquadra,3,FALSE),-2)),SUMIFS(Dati!$B$2:$B$381,Dati!$A$2:$A$381,$H53,Dati!$H$2:$H$381,$AH53)+SUMIFS(Dati!$I$2:$I$381,Dati!$H$2:$H$381,$H53,Dati!$A$2:$A$381,$AH53),"-")</f>
        <v/>
      </c>
      <c r="BE53" s="22">
        <f>IF(AND($H53&lt;&gt;"",$AI53&lt;&gt;"",$H53&lt;&gt;$AI53,IFERROR(VLOOKUP($H53,areaCercaPuntiClassificaSquadra,3,FALSE),-1)=IFERROR(VLOOKUP($AI53,areaCercaPuntiClassificaSquadra,3,FALSE),-2)),SUMIFS(Dati!$B$2:$B$381,Dati!$A$2:$A$381,$H53,Dati!$H$2:$H$381,$AI53)+SUMIFS(Dati!$I$2:$I$381,Dati!$H$2:$H$381,$H53,Dati!$A$2:$A$381,$AI53),"-")</f>
        <v/>
      </c>
      <c r="BF53" s="22">
        <f>IF(AND($H53&lt;&gt;"",$AJ53&lt;&gt;"",$H53&lt;&gt;$AJ53,IFERROR(VLOOKUP($H53,areaCercaPuntiClassificaSquadra,3,FALSE),-1)=IFERROR(VLOOKUP($AJ53,areaCercaPuntiClassificaSquadra,3,FALSE),-2)),SUMIFS(Dati!$B$2:$B$381,Dati!$A$2:$A$381,$H53,Dati!$H$2:$H$381,$AJ53)+SUMIFS(Dati!$I$2:$I$381,Dati!$H$2:$H$381,$H53,Dati!$A$2:$A$381,$AJ53),"-")</f>
        <v/>
      </c>
      <c r="BG53" s="22">
        <f>IF(AND($H53&lt;&gt;"",$AK53&lt;&gt;"",$H53&lt;&gt;$AK53,IFERROR(VLOOKUP($H53,areaCercaPuntiClassificaSquadra,3,FALSE),-1)=IFERROR(VLOOKUP($AK53,areaCercaPuntiClassificaSquadra,3,FALSE),-2)),SUMIFS(Dati!$B$2:$B$381,Dati!$A$2:$A$381,$H53,Dati!$H$2:$H$381,$AK53)+SUMIFS(Dati!$I$2:$I$381,Dati!$H$2:$H$381,$H53,Dati!$A$2:$A$381,$AK53),"-")</f>
        <v/>
      </c>
      <c r="BH53" s="22">
        <f>IF(AND($H53&lt;&gt;"",$AL53&lt;&gt;"",$H53&lt;&gt;$AL53,IFERROR(VLOOKUP($H53,areaCercaPuntiClassificaSquadra,3,FALSE),-1)=IFERROR(VLOOKUP($AL53,areaCercaPuntiClassificaSquadra,3,FALSE),-2)),SUMIFS(Dati!$B$2:$B$381,Dati!$A$2:$A$381,$H53,Dati!$H$2:$H$381,$AL53)+SUMIFS(Dati!$I$2:$I$381,Dati!$H$2:$H$381,$H53,Dati!$A$2:$A$381,$AL53),"-")</f>
        <v/>
      </c>
      <c r="BI53" s="22">
        <f>IF(AND($H53&lt;&gt;"",$AM53&lt;&gt;"",$H53&lt;&gt;$AM53,IFERROR(VLOOKUP($H53,areaCercaPuntiClassificaSquadra,3,FALSE),-1)=IFERROR(VLOOKUP($AM53,areaCercaPuntiClassificaSquadra,3,FALSE),-2)),SUMIFS(Dati!$B$2:$B$381,Dati!$A$2:$A$381,$H53,Dati!$H$2:$H$381,$AM53)+SUMIFS(Dati!$I$2:$I$381,Dati!$H$2:$H$381,$H53,Dati!$A$2:$A$381,$AM53),"-")</f>
        <v/>
      </c>
      <c r="BJ53" s="22">
        <f>IF(AND($H53&lt;&gt;"",$AN53&lt;&gt;"",$H53&lt;&gt;$AN53,IFERROR(VLOOKUP($H53,areaCercaPuntiClassificaSquadra,3,FALSE),-1)=IFERROR(VLOOKUP($AN53,areaCercaPuntiClassificaSquadra,3,FALSE),-2)),SUMIFS(Dati!$B$2:$B$381,Dati!$A$2:$A$381,$H53,Dati!$H$2:$H$381,$AN53)+SUMIFS(Dati!$I$2:$I$381,Dati!$H$2:$H$381,$H53,Dati!$A$2:$A$381,$AN53),"-")</f>
        <v/>
      </c>
      <c r="BK53" s="22">
        <f>IF(AND($H53&lt;&gt;"",$AO53&lt;&gt;"",$H53&lt;&gt;$AO53,IFERROR(VLOOKUP($H53,areaCercaPuntiClassificaSquadra,3,FALSE),-1)=IFERROR(VLOOKUP($AO53,areaCercaPuntiClassificaSquadra,3,FALSE),-2)),SUMIFS(Dati!$B$2:$B$381,Dati!$A$2:$A$381,$H53,Dati!$H$2:$H$381,$AO53)+SUMIFS(Dati!$I$2:$I$381,Dati!$H$2:$H$381,$H53,Dati!$A$2:$A$381,$AO53),"-")</f>
        <v/>
      </c>
      <c r="BL53" s="22">
        <f>IF(AND($H53&lt;&gt;"",$AP53&lt;&gt;"",$H53&lt;&gt;$AP53,IFERROR(VLOOKUP($H53,areaCercaPuntiClassificaSquadra,3,FALSE),-1)=IFERROR(VLOOKUP($AP53,areaCercaPuntiClassificaSquadra,3,FALSE),-2)),SUMIFS(Dati!$B$2:$B$381,Dati!$A$2:$A$381,$H53,Dati!$H$2:$H$381,$AP53)+SUMIFS(Dati!$I$2:$I$381,Dati!$H$2:$H$381,$H53,Dati!$A$2:$A$381,$AP53),"-")</f>
        <v/>
      </c>
      <c r="BM53" s="22">
        <f>IF(AND($H53&lt;&gt;"",$AQ53&lt;&gt;"",$H53&lt;&gt;$AQ53,IFERROR(VLOOKUP($H53,areaCercaPuntiClassificaSquadra,3,FALSE),-1)=IFERROR(VLOOKUP($AQ53,areaCercaPuntiClassificaSquadra,3,FALSE),-2)),SUMIFS(Dati!$B$2:$B$381,Dati!$A$2:$A$381,$H53,Dati!$H$2:$H$381,$AQ53)+SUMIFS(Dati!$I$2:$I$381,Dati!$H$2:$H$381,$H53,Dati!$A$2:$A$381,$AQ53),"-")</f>
        <v/>
      </c>
      <c r="BN53" s="22">
        <f>IF(AND($H53&lt;&gt;"",$AR53&lt;&gt;"",$H53&lt;&gt;$AR53,IFERROR(VLOOKUP($H53,areaCercaPuntiClassificaSquadra,3,FALSE),-1)=IFERROR(VLOOKUP($AR53,areaCercaPuntiClassificaSquadra,3,FALSE),-2)),SUMIFS(Dati!$B$2:$B$381,Dati!$A$2:$A$381,$H53,Dati!$H$2:$H$381,$AR53)+SUMIFS(Dati!$I$2:$I$381,Dati!$H$2:$H$381,$H53,Dati!$A$2:$A$381,$AR53),"-")</f>
        <v/>
      </c>
      <c r="BP53" s="21">
        <f>$C53</f>
        <v/>
      </c>
      <c r="BQ53" s="22">
        <f>IF(AND($H53&lt;&gt;"",$Y53&lt;&gt;"",$H53&lt;&gt;$Y53,IFERROR(VLOOKUP($H53,areaCercaPuntiClassificaSquadra,3,FALSE),-1)=IFERROR(VLOOKUP($Y53,areaCercaPuntiClassificaSquadra,3,FALSE),-2)),SUMIFS(Dati!$D$2:$D$381,Dati!$A$2:$A$381,$H53,Dati!$H$2:$H$381,$Y53)+SUMIFS(Dati!$K$2:$K$381,Dati!$H$2:$H$381,$H53,Dati!$A$2:$A$381,$Y53)+SUMIFS(Dati!$C$2:$C$381,Dati!$A$2:$A$381,$H53,Dati!$H$2:$H$381,$Y53)+SUMIFS(Dati!$J$2:$J$381,Dati!$H$2:$H$381,$H53,Dati!$A$2:$A$381,$Y53),"-")</f>
        <v/>
      </c>
      <c r="BR53" s="22">
        <f>IF(AND($H53&lt;&gt;"",$Z53&lt;&gt;"",$H53&lt;&gt;$Z53,IFERROR(VLOOKUP($H53,areaCercaPuntiClassificaSquadra,3,FALSE),-1)=IFERROR(VLOOKUP($Z53,areaCercaPuntiClassificaSquadra,3,FALSE),-2)),SUMIFS(Dati!$D$2:$D$381,Dati!$A$2:$A$381,$H53,Dati!$H$2:$H$381,$Z53)+SUMIFS(Dati!$K$2:$K$381,Dati!$H$2:$H$381,$H53,Dati!$A$2:$A$381,$Z53)+SUMIFS(Dati!$C$2:$C$381,Dati!$A$2:$A$381,$H53,Dati!$H$2:$H$381,$Z53)+SUMIFS(Dati!$J$2:$J$381,Dati!$H$2:$H$381,$H53,Dati!$A$2:$A$381,$Z53),"-")</f>
        <v/>
      </c>
      <c r="BS53" s="22">
        <f>IF(AND($H53&lt;&gt;"",$AA53&lt;&gt;"",$H53&lt;&gt;$AA53,IFERROR(VLOOKUP($H53,areaCercaPuntiClassificaSquadra,3,FALSE),-1)=IFERROR(VLOOKUP($AA53,areaCercaPuntiClassificaSquadra,3,FALSE),-2)),SUMIFS(Dati!$D$2:$D$381,Dati!$A$2:$A$381,$H53,Dati!$H$2:$H$381,$AA53)+SUMIFS(Dati!$K$2:$K$381,Dati!$H$2:$H$381,$H53,Dati!$A$2:$A$381,$AA53)+SUMIFS(Dati!$C$2:$C$381,Dati!$A$2:$A$381,$H53,Dati!$H$2:$H$381,$AA53)+SUMIFS(Dati!$J$2:$J$381,Dati!$H$2:$H$381,$H53,Dati!$A$2:$A$381,$AA53),"-")</f>
        <v/>
      </c>
      <c r="BT53" s="22">
        <f>IF(AND($H53&lt;&gt;"",$AB53&lt;&gt;"",$H53&lt;&gt;$AB53,IFERROR(VLOOKUP($H53,areaCercaPuntiClassificaSquadra,3,FALSE),-1)=IFERROR(VLOOKUP($AB53,areaCercaPuntiClassificaSquadra,3,FALSE),-2)),SUMIFS(Dati!$D$2:$D$381,Dati!$A$2:$A$381,$H53,Dati!$H$2:$H$381,$AB53)+SUMIFS(Dati!$K$2:$K$381,Dati!$H$2:$H$381,$H53,Dati!$A$2:$A$381,$AB53)+SUMIFS(Dati!$C$2:$C$381,Dati!$A$2:$A$381,$H53,Dati!$H$2:$H$381,$AB53)+SUMIFS(Dati!$J$2:$J$381,Dati!$H$2:$H$381,$H53,Dati!$A$2:$A$381,$AB53),"-")</f>
        <v/>
      </c>
      <c r="BU53" s="22">
        <f>IF(AND($H53&lt;&gt;"",$AC53&lt;&gt;"",$H53&lt;&gt;$AC53,IFERROR(VLOOKUP($H53,areaCercaPuntiClassificaSquadra,3,FALSE),-1)=IFERROR(VLOOKUP($AC53,areaCercaPuntiClassificaSquadra,3,FALSE),-2)),SUMIFS(Dati!$D$2:$D$381,Dati!$A$2:$A$381,$H53,Dati!$H$2:$H$381,$AC53)+SUMIFS(Dati!$K$2:$K$381,Dati!$H$2:$H$381,$H53,Dati!$A$2:$A$381,$AC53)+SUMIFS(Dati!$C$2:$C$381,Dati!$A$2:$A$381,$H53,Dati!$H$2:$H$381,$AC53)+SUMIFS(Dati!$J$2:$J$381,Dati!$H$2:$H$381,$H53,Dati!$A$2:$A$381,$AC53),"-")</f>
        <v/>
      </c>
      <c r="BV53" s="22">
        <f>IF(AND($H53&lt;&gt;"",$AD53&lt;&gt;"",$H53&lt;&gt;$AD53,IFERROR(VLOOKUP($H53,areaCercaPuntiClassificaSquadra,3,FALSE),-1)=IFERROR(VLOOKUP($AD53,areaCercaPuntiClassificaSquadra,3,FALSE),-2)),SUMIFS(Dati!$D$2:$D$381,Dati!$A$2:$A$381,$H53,Dati!$H$2:$H$381,$AD53)+SUMIFS(Dati!$K$2:$K$381,Dati!$H$2:$H$381,$H53,Dati!$A$2:$A$381,$AD53)+SUMIFS(Dati!$C$2:$C$381,Dati!$A$2:$A$381,$H53,Dati!$H$2:$H$381,$AD53)+SUMIFS(Dati!$J$2:$J$381,Dati!$H$2:$H$381,$H53,Dati!$A$2:$A$381,$AD53),"-")</f>
        <v/>
      </c>
      <c r="BW53" s="22">
        <f>IF(AND($H53&lt;&gt;"",$AE53&lt;&gt;"",$H53&lt;&gt;$AE53,IFERROR(VLOOKUP($H53,areaCercaPuntiClassificaSquadra,3,FALSE),-1)=IFERROR(VLOOKUP($AE53,areaCercaPuntiClassificaSquadra,3,FALSE),-2)),SUMIFS(Dati!$D$2:$D$381,Dati!$A$2:$A$381,$H53,Dati!$H$2:$H$381,$AE53)+SUMIFS(Dati!$K$2:$K$381,Dati!$H$2:$H$381,$H53,Dati!$A$2:$A$381,$AE53)+SUMIFS(Dati!$C$2:$C$381,Dati!$A$2:$A$381,$H53,Dati!$H$2:$H$381,$AE53)+SUMIFS(Dati!$J$2:$J$381,Dati!$H$2:$H$381,$H53,Dati!$A$2:$A$381,$AE53),"-")</f>
        <v/>
      </c>
      <c r="BX53" s="22">
        <f>IF(AND($H53&lt;&gt;"",$AF53&lt;&gt;"",$H53&lt;&gt;$AF53,IFERROR(VLOOKUP($H53,areaCercaPuntiClassificaSquadra,3,FALSE),-1)=IFERROR(VLOOKUP($AF53,areaCercaPuntiClassificaSquadra,3,FALSE),-2)),SUMIFS(Dati!$D$2:$D$381,Dati!$A$2:$A$381,$H53,Dati!$H$2:$H$381,$AF53)+SUMIFS(Dati!$K$2:$K$381,Dati!$H$2:$H$381,$H53,Dati!$A$2:$A$381,$AF53)+SUMIFS(Dati!$C$2:$C$381,Dati!$A$2:$A$381,$H53,Dati!$H$2:$H$381,$AF53)+SUMIFS(Dati!$J$2:$J$381,Dati!$H$2:$H$381,$H53,Dati!$A$2:$A$381,$AF53),"-")</f>
        <v/>
      </c>
      <c r="BY53" s="22">
        <f>IF(AND($H53&lt;&gt;"",$AG53&lt;&gt;"",$H53&lt;&gt;$AG53,IFERROR(VLOOKUP($H53,areaCercaPuntiClassificaSquadra,3,FALSE),-1)=IFERROR(VLOOKUP($AG53,areaCercaPuntiClassificaSquadra,3,FALSE),-2)),SUMIFS(Dati!$D$2:$D$381,Dati!$A$2:$A$381,$H53,Dati!$H$2:$H$381,$AG53)+SUMIFS(Dati!$K$2:$K$381,Dati!$H$2:$H$381,$H53,Dati!$A$2:$A$381,$AG53)+SUMIFS(Dati!$C$2:$C$381,Dati!$A$2:$A$381,$H53,Dati!$H$2:$H$381,$AG53)+SUMIFS(Dati!$J$2:$J$381,Dati!$H$2:$H$381,$H53,Dati!$A$2:$A$381,$AG53),"-")</f>
        <v/>
      </c>
      <c r="BZ53" s="22">
        <f>IF(AND($H53&lt;&gt;"",$AH53&lt;&gt;"",$H53&lt;&gt;$AH53,IFERROR(VLOOKUP($H53,areaCercaPuntiClassificaSquadra,3,FALSE),-1)=IFERROR(VLOOKUP($AH53,areaCercaPuntiClassificaSquadra,3,FALSE),-2)),SUMIFS(Dati!$D$2:$D$381,Dati!$A$2:$A$381,$H53,Dati!$H$2:$H$381,$AH53)+SUMIFS(Dati!$K$2:$K$381,Dati!$H$2:$H$381,$H53,Dati!$A$2:$A$381,$AH53)+SUMIFS(Dati!$C$2:$C$381,Dati!$A$2:$A$381,$H53,Dati!$H$2:$H$381,$AH53)+SUMIFS(Dati!$J$2:$J$381,Dati!$H$2:$H$381,$H53,Dati!$A$2:$A$381,$AH53),"-")</f>
        <v/>
      </c>
      <c r="CA53" s="22">
        <f>IF(AND($H53&lt;&gt;"",$AI53&lt;&gt;"",$H53&lt;&gt;$AI53,IFERROR(VLOOKUP($H53,areaCercaPuntiClassificaSquadra,3,FALSE),-1)=IFERROR(VLOOKUP($AI53,areaCercaPuntiClassificaSquadra,3,FALSE),-2)),SUMIFS(Dati!$D$2:$D$381,Dati!$A$2:$A$381,$H53,Dati!$H$2:$H$381,$AI53)+SUMIFS(Dati!$K$2:$K$381,Dati!$H$2:$H$381,$H53,Dati!$A$2:$A$381,$AI53)+SUMIFS(Dati!$C$2:$C$381,Dati!$A$2:$A$381,$H53,Dati!$H$2:$H$381,$AI53)+SUMIFS(Dati!$J$2:$J$381,Dati!$H$2:$H$381,$H53,Dati!$A$2:$A$381,$AI53),"-")</f>
        <v/>
      </c>
      <c r="CB53" s="22">
        <f>IF(AND($H53&lt;&gt;"",$AJ53&lt;&gt;"",$H53&lt;&gt;$AJ53,IFERROR(VLOOKUP($H53,areaCercaPuntiClassificaSquadra,3,FALSE),-1)=IFERROR(VLOOKUP($AJ53,areaCercaPuntiClassificaSquadra,3,FALSE),-2)),SUMIFS(Dati!$D$2:$D$381,Dati!$A$2:$A$381,$H53,Dati!$H$2:$H$381,$AJ53)+SUMIFS(Dati!$K$2:$K$381,Dati!$H$2:$H$381,$H53,Dati!$A$2:$A$381,$AJ53)+SUMIFS(Dati!$C$2:$C$381,Dati!$A$2:$A$381,$H53,Dati!$H$2:$H$381,$AJ53)+SUMIFS(Dati!$J$2:$J$381,Dati!$H$2:$H$381,$H53,Dati!$A$2:$A$381,$AJ53),"-")</f>
        <v/>
      </c>
      <c r="CC53" s="22">
        <f>IF(AND($H53&lt;&gt;"",$AK53&lt;&gt;"",$H53&lt;&gt;$AK53,IFERROR(VLOOKUP($H53,areaCercaPuntiClassificaSquadra,3,FALSE),-1)=IFERROR(VLOOKUP($AK53,areaCercaPuntiClassificaSquadra,3,FALSE),-2)),SUMIFS(Dati!$D$2:$D$381,Dati!$A$2:$A$381,$H53,Dati!$H$2:$H$381,$AK53)+SUMIFS(Dati!$K$2:$K$381,Dati!$H$2:$H$381,$H53,Dati!$A$2:$A$381,$AK53)+SUMIFS(Dati!$C$2:$C$381,Dati!$A$2:$A$381,$H53,Dati!$H$2:$H$381,$AK53)+SUMIFS(Dati!$J$2:$J$381,Dati!$H$2:$H$381,$H53,Dati!$A$2:$A$381,$AK53),"-")</f>
        <v/>
      </c>
      <c r="CD53" s="22">
        <f>IF(AND($H53&lt;&gt;"",$AL53&lt;&gt;"",$H53&lt;&gt;$AL53,IFERROR(VLOOKUP($H53,areaCercaPuntiClassificaSquadra,3,FALSE),-1)=IFERROR(VLOOKUP($AL53,areaCercaPuntiClassificaSquadra,3,FALSE),-2)),SUMIFS(Dati!$D$2:$D$381,Dati!$A$2:$A$381,$H53,Dati!$H$2:$H$381,$AL53)+SUMIFS(Dati!$K$2:$K$381,Dati!$H$2:$H$381,$H53,Dati!$A$2:$A$381,$AL53)+SUMIFS(Dati!$C$2:$C$381,Dati!$A$2:$A$381,$H53,Dati!$H$2:$H$381,$AL53)+SUMIFS(Dati!$J$2:$J$381,Dati!$H$2:$H$381,$H53,Dati!$A$2:$A$381,$AL53),"-")</f>
        <v/>
      </c>
      <c r="CE53" s="22">
        <f>IF(AND($H53&lt;&gt;"",$AM53&lt;&gt;"",$H53&lt;&gt;$AM53,IFERROR(VLOOKUP($H53,areaCercaPuntiClassificaSquadra,3,FALSE),-1)=IFERROR(VLOOKUP($AM53,areaCercaPuntiClassificaSquadra,3,FALSE),-2)),SUMIFS(Dati!$D$2:$D$381,Dati!$A$2:$A$381,$H53,Dati!$H$2:$H$381,$AM53)+SUMIFS(Dati!$K$2:$K$381,Dati!$H$2:$H$381,$H53,Dati!$A$2:$A$381,$AM53)+SUMIFS(Dati!$C$2:$C$381,Dati!$A$2:$A$381,$H53,Dati!$H$2:$H$381,$AM53)+SUMIFS(Dati!$J$2:$J$381,Dati!$H$2:$H$381,$H53,Dati!$A$2:$A$381,$AM53),"-")</f>
        <v/>
      </c>
      <c r="CF53" s="22">
        <f>IF(AND($H53&lt;&gt;"",$AN53&lt;&gt;"",$H53&lt;&gt;$AN53,IFERROR(VLOOKUP($H53,areaCercaPuntiClassificaSquadra,3,FALSE),-1)=IFERROR(VLOOKUP($AN53,areaCercaPuntiClassificaSquadra,3,FALSE),-2)),SUMIFS(Dati!$D$2:$D$381,Dati!$A$2:$A$381,$H53,Dati!$H$2:$H$381,$AN53)+SUMIFS(Dati!$K$2:$K$381,Dati!$H$2:$H$381,$H53,Dati!$A$2:$A$381,$AN53)+SUMIFS(Dati!$C$2:$C$381,Dati!$A$2:$A$381,$H53,Dati!$H$2:$H$381,$AN53)+SUMIFS(Dati!$J$2:$J$381,Dati!$H$2:$H$381,$H53,Dati!$A$2:$A$381,$AN53),"-")</f>
        <v/>
      </c>
      <c r="CG53" s="22">
        <f>IF(AND($H53&lt;&gt;"",$AO53&lt;&gt;"",$H53&lt;&gt;$AO53,IFERROR(VLOOKUP($H53,areaCercaPuntiClassificaSquadra,3,FALSE),-1)=IFERROR(VLOOKUP($AO53,areaCercaPuntiClassificaSquadra,3,FALSE),-2)),SUMIFS(Dati!$D$2:$D$381,Dati!$A$2:$A$381,$H53,Dati!$H$2:$H$381,$AO53)+SUMIFS(Dati!$K$2:$K$381,Dati!$H$2:$H$381,$H53,Dati!$A$2:$A$381,$AO53)+SUMIFS(Dati!$C$2:$C$381,Dati!$A$2:$A$381,$H53,Dati!$H$2:$H$381,$AO53)+SUMIFS(Dati!$J$2:$J$381,Dati!$H$2:$H$381,$H53,Dati!$A$2:$A$381,$AO53),"-")</f>
        <v/>
      </c>
      <c r="CH53" s="22">
        <f>IF(AND($H53&lt;&gt;"",$AP53&lt;&gt;"",$H53&lt;&gt;$AP53,IFERROR(VLOOKUP($H53,areaCercaPuntiClassificaSquadra,3,FALSE),-1)=IFERROR(VLOOKUP($AP53,areaCercaPuntiClassificaSquadra,3,FALSE),-2)),SUMIFS(Dati!$D$2:$D$381,Dati!$A$2:$A$381,$H53,Dati!$H$2:$H$381,$AP53)+SUMIFS(Dati!$K$2:$K$381,Dati!$H$2:$H$381,$H53,Dati!$A$2:$A$381,$AP53)+SUMIFS(Dati!$C$2:$C$381,Dati!$A$2:$A$381,$H53,Dati!$H$2:$H$381,$AP53)+SUMIFS(Dati!$J$2:$J$381,Dati!$H$2:$H$381,$H53,Dati!$A$2:$A$381,$AP53),"-")</f>
        <v/>
      </c>
      <c r="CI53" s="22">
        <f>IF(AND($H53&lt;&gt;"",$AQ53&lt;&gt;"",$H53&lt;&gt;$AQ53,IFERROR(VLOOKUP($H53,areaCercaPuntiClassificaSquadra,3,FALSE),-1)=IFERROR(VLOOKUP($AQ53,areaCercaPuntiClassificaSquadra,3,FALSE),-2)),SUMIFS(Dati!$D$2:$D$381,Dati!$A$2:$A$381,$H53,Dati!$H$2:$H$381,$AQ53)+SUMIFS(Dati!$K$2:$K$381,Dati!$H$2:$H$381,$H53,Dati!$A$2:$A$381,$AQ53)+SUMIFS(Dati!$C$2:$C$381,Dati!$A$2:$A$381,$H53,Dati!$H$2:$H$381,$AQ53)+SUMIFS(Dati!$J$2:$J$381,Dati!$H$2:$H$381,$H53,Dati!$A$2:$A$381,$AQ53),"-")</f>
        <v/>
      </c>
      <c r="CJ53" s="22">
        <f>IF(AND($H53&lt;&gt;"",$AR53&lt;&gt;"",$H53&lt;&gt;$AR53,IFERROR(VLOOKUP($H53,areaCercaPuntiClassificaSquadra,3,FALSE),-1)=IFERROR(VLOOKUP($AR53,areaCercaPuntiClassificaSquadra,3,FALSE),-2)),SUMIFS(Dati!$D$2:$D$381,Dati!$A$2:$A$381,$H53,Dati!$H$2:$H$381,$AR53)+SUMIFS(Dati!$K$2:$K$381,Dati!$H$2:$H$381,$H53,Dati!$A$2:$A$381,$AR53)+SUMIFS(Dati!$C$2:$C$381,Dati!$A$2:$A$381,$H53,Dati!$H$2:$H$381,$AR53)+SUMIFS(Dati!$J$2:$J$381,Dati!$H$2:$H$381,$H53,Dati!$A$2:$A$381,$AR53),"-")</f>
        <v/>
      </c>
      <c r="CL53" s="21">
        <f>$C53</f>
        <v/>
      </c>
      <c r="CM53" s="22">
        <f>IF(AND($H53&lt;&gt;"",$Y53&lt;&gt;"",$H53&lt;&gt;$Y53,IFERROR(VLOOKUP($H53,areaCercaPuntiClassificaSquadra,3,FALSE),-1)=IFERROR(VLOOKUP($Y53,areaCercaPuntiClassificaSquadra,3,FALSE),-2)),SUMIFS(Dati!$E$2:$E$381,Dati!$A$2:$A$381,$H53,Dati!$H$2:$H$381,$Y53)+SUMIFS(Dati!$L$2:$L$381,Dati!$H$2:$H$381,$H53,Dati!$A$2:$A$381,$Y53),"-")</f>
        <v/>
      </c>
      <c r="CN53" s="22">
        <f>IF(AND($H53&lt;&gt;"",$Z53&lt;&gt;"",$H53&lt;&gt;$Z53,IFERROR(VLOOKUP($H53,areaCercaPuntiClassificaSquadra,3,FALSE),-1)=IFERROR(VLOOKUP($Z53,areaCercaPuntiClassificaSquadra,3,FALSE),-2)),SUMIFS(Dati!$E$2:$E$381,Dati!$A$2:$A$381,$H53,Dati!$H$2:$H$381,$Z53)+SUMIFS(Dati!$L$2:$L$381,Dati!$H$2:$H$381,$H53,Dati!$A$2:$A$381,$Z53),"-")</f>
        <v/>
      </c>
      <c r="CO53" s="22">
        <f>IF(AND($H53&lt;&gt;"",$AA53&lt;&gt;"",$H53&lt;&gt;$AA53,IFERROR(VLOOKUP($H53,areaCercaPuntiClassificaSquadra,3,FALSE),-1)=IFERROR(VLOOKUP($AA53,areaCercaPuntiClassificaSquadra,3,FALSE),-2)),SUMIFS(Dati!$E$2:$E$381,Dati!$A$2:$A$381,$H53,Dati!$H$2:$H$381,$AA53)+SUMIFS(Dati!$L$2:$L$381,Dati!$H$2:$H$381,$H53,Dati!$A$2:$A$381,$AA53),"-")</f>
        <v/>
      </c>
      <c r="CP53" s="22">
        <f>IF(AND($H53&lt;&gt;"",$AB53&lt;&gt;"",$H53&lt;&gt;$AB53,IFERROR(VLOOKUP($H53,areaCercaPuntiClassificaSquadra,3,FALSE),-1)=IFERROR(VLOOKUP($AB53,areaCercaPuntiClassificaSquadra,3,FALSE),-2)),SUMIFS(Dati!$E$2:$E$381,Dati!$A$2:$A$381,$H53,Dati!$H$2:$H$381,$AB53)+SUMIFS(Dati!$L$2:$L$381,Dati!$H$2:$H$381,$H53,Dati!$A$2:$A$381,$AB53),"-")</f>
        <v/>
      </c>
      <c r="CQ53" s="22">
        <f>IF(AND($H53&lt;&gt;"",$AC53&lt;&gt;"",$H53&lt;&gt;$AC53,IFERROR(VLOOKUP($H53,areaCercaPuntiClassificaSquadra,3,FALSE),-1)=IFERROR(VLOOKUP($AC53,areaCercaPuntiClassificaSquadra,3,FALSE),-2)),SUMIFS(Dati!$E$2:$E$381,Dati!$A$2:$A$381,$H53,Dati!$H$2:$H$381,$AC53)+SUMIFS(Dati!$L$2:$L$381,Dati!$H$2:$H$381,$H53,Dati!$A$2:$A$381,$AC53),"-")</f>
        <v/>
      </c>
      <c r="CR53" s="22">
        <f>IF(AND($H53&lt;&gt;"",$AD53&lt;&gt;"",$H53&lt;&gt;$AD53,IFERROR(VLOOKUP($H53,areaCercaPuntiClassificaSquadra,3,FALSE),-1)=IFERROR(VLOOKUP($AD53,areaCercaPuntiClassificaSquadra,3,FALSE),-2)),SUMIFS(Dati!$E$2:$E$381,Dati!$A$2:$A$381,$H53,Dati!$H$2:$H$381,$AD53)+SUMIFS(Dati!$L$2:$L$381,Dati!$H$2:$H$381,$H53,Dati!$A$2:$A$381,$AD53),"-")</f>
        <v/>
      </c>
      <c r="CS53" s="22">
        <f>IF(AND($H53&lt;&gt;"",$AE53&lt;&gt;"",$H53&lt;&gt;$AE53,IFERROR(VLOOKUP($H53,areaCercaPuntiClassificaSquadra,3,FALSE),-1)=IFERROR(VLOOKUP($AE53,areaCercaPuntiClassificaSquadra,3,FALSE),-2)),SUMIFS(Dati!$E$2:$E$381,Dati!$A$2:$A$381,$H53,Dati!$H$2:$H$381,$AE53)+SUMIFS(Dati!$L$2:$L$381,Dati!$H$2:$H$381,$H53,Dati!$A$2:$A$381,$AE53),"-")</f>
        <v/>
      </c>
      <c r="CT53" s="22">
        <f>IF(AND($H53&lt;&gt;"",$AF53&lt;&gt;"",$H53&lt;&gt;$AF53,IFERROR(VLOOKUP($H53,areaCercaPuntiClassificaSquadra,3,FALSE),-1)=IFERROR(VLOOKUP($AF53,areaCercaPuntiClassificaSquadra,3,FALSE),-2)),SUMIFS(Dati!$E$2:$E$381,Dati!$A$2:$A$381,$H53,Dati!$H$2:$H$381,$AF53)+SUMIFS(Dati!$L$2:$L$381,Dati!$H$2:$H$381,$H53,Dati!$A$2:$A$381,$AF53),"-")</f>
        <v/>
      </c>
      <c r="CU53" s="22">
        <f>IF(AND($H53&lt;&gt;"",$AG53&lt;&gt;"",$H53&lt;&gt;$AG53,IFERROR(VLOOKUP($H53,areaCercaPuntiClassificaSquadra,3,FALSE),-1)=IFERROR(VLOOKUP($AG53,areaCercaPuntiClassificaSquadra,3,FALSE),-2)),SUMIFS(Dati!$E$2:$E$381,Dati!$A$2:$A$381,$H53,Dati!$H$2:$H$381,$AG53)+SUMIFS(Dati!$L$2:$L$381,Dati!$H$2:$H$381,$H53,Dati!$A$2:$A$381,$AG53),"-")</f>
        <v/>
      </c>
      <c r="CV53" s="22">
        <f>IF(AND($H53&lt;&gt;"",$AH53&lt;&gt;"",$H53&lt;&gt;$AH53,IFERROR(VLOOKUP($H53,areaCercaPuntiClassificaSquadra,3,FALSE),-1)=IFERROR(VLOOKUP($AH53,areaCercaPuntiClassificaSquadra,3,FALSE),-2)),SUMIFS(Dati!$E$2:$E$381,Dati!$A$2:$A$381,$H53,Dati!$H$2:$H$381,$AH53)+SUMIFS(Dati!$L$2:$L$381,Dati!$H$2:$H$381,$H53,Dati!$A$2:$A$381,$AH53),"-")</f>
        <v/>
      </c>
      <c r="CW53" s="22">
        <f>IF(AND($H53&lt;&gt;"",$AI53&lt;&gt;"",$H53&lt;&gt;$AI53,IFERROR(VLOOKUP($H53,areaCercaPuntiClassificaSquadra,3,FALSE),-1)=IFERROR(VLOOKUP($AI53,areaCercaPuntiClassificaSquadra,3,FALSE),-2)),SUMIFS(Dati!$E$2:$E$381,Dati!$A$2:$A$381,$H53,Dati!$H$2:$H$381,$AI53)+SUMIFS(Dati!$L$2:$L$381,Dati!$H$2:$H$381,$H53,Dati!$A$2:$A$381,$AI53),"-")</f>
        <v/>
      </c>
      <c r="CX53" s="22">
        <f>IF(AND($H53&lt;&gt;"",$AJ53&lt;&gt;"",$H53&lt;&gt;$AJ53,IFERROR(VLOOKUP($H53,areaCercaPuntiClassificaSquadra,3,FALSE),-1)=IFERROR(VLOOKUP($AJ53,areaCercaPuntiClassificaSquadra,3,FALSE),-2)),SUMIFS(Dati!$E$2:$E$381,Dati!$A$2:$A$381,$H53,Dati!$H$2:$H$381,$AJ53)+SUMIFS(Dati!$L$2:$L$381,Dati!$H$2:$H$381,$H53,Dati!$A$2:$A$381,$AJ53),"-")</f>
        <v/>
      </c>
      <c r="CY53" s="22">
        <f>IF(AND($H53&lt;&gt;"",$AK53&lt;&gt;"",$H53&lt;&gt;$AK53,IFERROR(VLOOKUP($H53,areaCercaPuntiClassificaSquadra,3,FALSE),-1)=IFERROR(VLOOKUP($AK53,areaCercaPuntiClassificaSquadra,3,FALSE),-2)),SUMIFS(Dati!$E$2:$E$381,Dati!$A$2:$A$381,$H53,Dati!$H$2:$H$381,$AK53)+SUMIFS(Dati!$L$2:$L$381,Dati!$H$2:$H$381,$H53,Dati!$A$2:$A$381,$AK53),"-")</f>
        <v/>
      </c>
      <c r="CZ53" s="22">
        <f>IF(AND($H53&lt;&gt;"",$AL53&lt;&gt;"",$H53&lt;&gt;$AL53,IFERROR(VLOOKUP($H53,areaCercaPuntiClassificaSquadra,3,FALSE),-1)=IFERROR(VLOOKUP($AL53,areaCercaPuntiClassificaSquadra,3,FALSE),-2)),SUMIFS(Dati!$E$2:$E$381,Dati!$A$2:$A$381,$H53,Dati!$H$2:$H$381,$AL53)+SUMIFS(Dati!$L$2:$L$381,Dati!$H$2:$H$381,$H53,Dati!$A$2:$A$381,$AL53),"-")</f>
        <v/>
      </c>
      <c r="DA53" s="22">
        <f>IF(AND($H53&lt;&gt;"",$AM53&lt;&gt;"",$H53&lt;&gt;$AM53,IFERROR(VLOOKUP($H53,areaCercaPuntiClassificaSquadra,3,FALSE),-1)=IFERROR(VLOOKUP($AM53,areaCercaPuntiClassificaSquadra,3,FALSE),-2)),SUMIFS(Dati!$E$2:$E$381,Dati!$A$2:$A$381,$H53,Dati!$H$2:$H$381,$AM53)+SUMIFS(Dati!$L$2:$L$381,Dati!$H$2:$H$381,$H53,Dati!$A$2:$A$381,$AM53),"-")</f>
        <v/>
      </c>
      <c r="DB53" s="22">
        <f>IF(AND($H53&lt;&gt;"",$AN53&lt;&gt;"",$H53&lt;&gt;$AN53,IFERROR(VLOOKUP($H53,areaCercaPuntiClassificaSquadra,3,FALSE),-1)=IFERROR(VLOOKUP($AN53,areaCercaPuntiClassificaSquadra,3,FALSE),-2)),SUMIFS(Dati!$E$2:$E$381,Dati!$A$2:$A$381,$H53,Dati!$H$2:$H$381,$AN53)+SUMIFS(Dati!$L$2:$L$381,Dati!$H$2:$H$381,$H53,Dati!$A$2:$A$381,$AN53),"-")</f>
        <v/>
      </c>
      <c r="DC53" s="22">
        <f>IF(AND($H53&lt;&gt;"",$AO53&lt;&gt;"",$H53&lt;&gt;$AO53,IFERROR(VLOOKUP($H53,areaCercaPuntiClassificaSquadra,3,FALSE),-1)=IFERROR(VLOOKUP($AO53,areaCercaPuntiClassificaSquadra,3,FALSE),-2)),SUMIFS(Dati!$E$2:$E$381,Dati!$A$2:$A$381,$H53,Dati!$H$2:$H$381,$AO53)+SUMIFS(Dati!$L$2:$L$381,Dati!$H$2:$H$381,$H53,Dati!$A$2:$A$381,$AO53),"-")</f>
        <v/>
      </c>
      <c r="DD53" s="22">
        <f>IF(AND($H53&lt;&gt;"",$AP53&lt;&gt;"",$H53&lt;&gt;$AP53,IFERROR(VLOOKUP($H53,areaCercaPuntiClassificaSquadra,3,FALSE),-1)=IFERROR(VLOOKUP($AP53,areaCercaPuntiClassificaSquadra,3,FALSE),-2)),SUMIFS(Dati!$E$2:$E$381,Dati!$A$2:$A$381,$H53,Dati!$H$2:$H$381,$AP53)+SUMIFS(Dati!$L$2:$L$381,Dati!$H$2:$H$381,$H53,Dati!$A$2:$A$381,$AP53),"-")</f>
        <v/>
      </c>
      <c r="DE53" s="22">
        <f>IF(AND($H53&lt;&gt;"",$AQ53&lt;&gt;"",$H53&lt;&gt;$AQ53,IFERROR(VLOOKUP($H53,areaCercaPuntiClassificaSquadra,3,FALSE),-1)=IFERROR(VLOOKUP($AQ53,areaCercaPuntiClassificaSquadra,3,FALSE),-2)),SUMIFS(Dati!$E$2:$E$381,Dati!$A$2:$A$381,$H53,Dati!$H$2:$H$381,$AQ53)+SUMIFS(Dati!$L$2:$L$381,Dati!$H$2:$H$381,$H53,Dati!$A$2:$A$381,$AQ53),"-")</f>
        <v/>
      </c>
      <c r="DF53" s="22">
        <f>IF(AND($H53&lt;&gt;"",$AR53&lt;&gt;"",$H53&lt;&gt;$AR53,IFERROR(VLOOKUP($H53,areaCercaPuntiClassificaSquadra,3,FALSE),-1)=IFERROR(VLOOKUP($AR53,areaCercaPuntiClassificaSquadra,3,FALSE),-2)),SUMIFS(Dati!$E$2:$E$381,Dati!$A$2:$A$381,$H53,Dati!$H$2:$H$381,$AR53)+SUMIFS(Dati!$L$2:$L$381,Dati!$H$2:$H$381,$H53,Dati!$A$2:$A$381,$AR53),"-")</f>
        <v/>
      </c>
      <c r="DH53" s="21">
        <f>$C53</f>
        <v/>
      </c>
      <c r="DI53" s="22">
        <f>IF(AND($H53&lt;&gt;"",$Y53&lt;&gt;"",$H53&lt;&gt;$Y53,IFERROR(VLOOKUP($H53,areaCercaPuntiClassificaSquadra,3,FALSE),-1)=IFERROR(VLOOKUP($Y53,areaCercaPuntiClassificaSquadra,3,FALSE),-2)),SUMIFS(Dati!$F$2:$F$381,Dati!$A$2:$A$381,$H53,Dati!$H$2:$H$381,$Y53)+SUMIFS(Dati!$M$2:$M$381,Dati!$H$2:$H$381,$H53,Dati!$A$2:$A$381,$Y53),"-")</f>
        <v/>
      </c>
      <c r="DJ53" s="22">
        <f>IF(AND($H53&lt;&gt;"",$Z53&lt;&gt;"",$H53&lt;&gt;$Z53,IFERROR(VLOOKUP($H53,areaCercaPuntiClassificaSquadra,3,FALSE),-1)=IFERROR(VLOOKUP($Z53,areaCercaPuntiClassificaSquadra,3,FALSE),-2)),SUMIFS(Dati!$F$2:$F$381,Dati!$A$2:$A$381,$H53,Dati!$H$2:$H$381,$Z53)+SUMIFS(Dati!$M$2:$M$381,Dati!$H$2:$H$381,$H53,Dati!$A$2:$A$381,$Z53),"-")</f>
        <v/>
      </c>
      <c r="DK53" s="22">
        <f>IF(AND($H53&lt;&gt;"",$AA53&lt;&gt;"",$H53&lt;&gt;$AA53,IFERROR(VLOOKUP($H53,areaCercaPuntiClassificaSquadra,3,FALSE),-1)=IFERROR(VLOOKUP($AA53,areaCercaPuntiClassificaSquadra,3,FALSE),-2)),SUMIFS(Dati!$F$2:$F$381,Dati!$A$2:$A$381,$H53,Dati!$H$2:$H$381,$AA53)+SUMIFS(Dati!$M$2:$M$381,Dati!$H$2:$H$381,$H53,Dati!$A$2:$A$381,$AA53),"-")</f>
        <v/>
      </c>
      <c r="DL53" s="22">
        <f>IF(AND($H53&lt;&gt;"",$AB53&lt;&gt;"",$H53&lt;&gt;$AB53,IFERROR(VLOOKUP($H53,areaCercaPuntiClassificaSquadra,3,FALSE),-1)=IFERROR(VLOOKUP($AB53,areaCercaPuntiClassificaSquadra,3,FALSE),-2)),SUMIFS(Dati!$F$2:$F$381,Dati!$A$2:$A$381,$H53,Dati!$H$2:$H$381,$AB53)+SUMIFS(Dati!$M$2:$M$381,Dati!$H$2:$H$381,$H53,Dati!$A$2:$A$381,$AB53),"-")</f>
        <v/>
      </c>
      <c r="DM53" s="22">
        <f>IF(AND($H53&lt;&gt;"",$AC53&lt;&gt;"",$H53&lt;&gt;$AC53,IFERROR(VLOOKUP($H53,areaCercaPuntiClassificaSquadra,3,FALSE),-1)=IFERROR(VLOOKUP($AC53,areaCercaPuntiClassificaSquadra,3,FALSE),-2)),SUMIFS(Dati!$F$2:$F$381,Dati!$A$2:$A$381,$H53,Dati!$H$2:$H$381,$AC53)+SUMIFS(Dati!$M$2:$M$381,Dati!$H$2:$H$381,$H53,Dati!$A$2:$A$381,$AC53),"-")</f>
        <v/>
      </c>
      <c r="DN53" s="22">
        <f>IF(AND($H53&lt;&gt;"",$AD53&lt;&gt;"",$H53&lt;&gt;$AD53,IFERROR(VLOOKUP($H53,areaCercaPuntiClassificaSquadra,3,FALSE),-1)=IFERROR(VLOOKUP($AD53,areaCercaPuntiClassificaSquadra,3,FALSE),-2)),SUMIFS(Dati!$F$2:$F$381,Dati!$A$2:$A$381,$H53,Dati!$H$2:$H$381,$AD53)+SUMIFS(Dati!$M$2:$M$381,Dati!$H$2:$H$381,$H53,Dati!$A$2:$A$381,$AD53),"-")</f>
        <v/>
      </c>
      <c r="DO53" s="22">
        <f>IF(AND($H53&lt;&gt;"",$AE53&lt;&gt;"",$H53&lt;&gt;$AE53,IFERROR(VLOOKUP($H53,areaCercaPuntiClassificaSquadra,3,FALSE),-1)=IFERROR(VLOOKUP($AE53,areaCercaPuntiClassificaSquadra,3,FALSE),-2)),SUMIFS(Dati!$F$2:$F$381,Dati!$A$2:$A$381,$H53,Dati!$H$2:$H$381,$AE53)+SUMIFS(Dati!$M$2:$M$381,Dati!$H$2:$H$381,$H53,Dati!$A$2:$A$381,$AE53),"-")</f>
        <v/>
      </c>
      <c r="DP53" s="22">
        <f>IF(AND($H53&lt;&gt;"",$AF53&lt;&gt;"",$H53&lt;&gt;$AF53,IFERROR(VLOOKUP($H53,areaCercaPuntiClassificaSquadra,3,FALSE),-1)=IFERROR(VLOOKUP($AF53,areaCercaPuntiClassificaSquadra,3,FALSE),-2)),SUMIFS(Dati!$F$2:$F$381,Dati!$A$2:$A$381,$H53,Dati!$H$2:$H$381,$AF53)+SUMIFS(Dati!$M$2:$M$381,Dati!$H$2:$H$381,$H53,Dati!$A$2:$A$381,$AF53),"-")</f>
        <v/>
      </c>
      <c r="DQ53" s="22">
        <f>IF(AND($H53&lt;&gt;"",$AG53&lt;&gt;"",$H53&lt;&gt;$AG53,IFERROR(VLOOKUP($H53,areaCercaPuntiClassificaSquadra,3,FALSE),-1)=IFERROR(VLOOKUP($AG53,areaCercaPuntiClassificaSquadra,3,FALSE),-2)),SUMIFS(Dati!$F$2:$F$381,Dati!$A$2:$A$381,$H53,Dati!$H$2:$H$381,$AG53)+SUMIFS(Dati!$M$2:$M$381,Dati!$H$2:$H$381,$H53,Dati!$A$2:$A$381,$AG53),"-")</f>
        <v/>
      </c>
      <c r="DR53" s="22">
        <f>IF(AND($H53&lt;&gt;"",$AH53&lt;&gt;"",$H53&lt;&gt;$AH53,IFERROR(VLOOKUP($H53,areaCercaPuntiClassificaSquadra,3,FALSE),-1)=IFERROR(VLOOKUP($AH53,areaCercaPuntiClassificaSquadra,3,FALSE),-2)),SUMIFS(Dati!$F$2:$F$381,Dati!$A$2:$A$381,$H53,Dati!$H$2:$H$381,$AH53)+SUMIFS(Dati!$M$2:$M$381,Dati!$H$2:$H$381,$H53,Dati!$A$2:$A$381,$AH53),"-")</f>
        <v/>
      </c>
      <c r="DS53" s="22">
        <f>IF(AND($H53&lt;&gt;"",$AI53&lt;&gt;"",$H53&lt;&gt;$AI53,IFERROR(VLOOKUP($H53,areaCercaPuntiClassificaSquadra,3,FALSE),-1)=IFERROR(VLOOKUP($AI53,areaCercaPuntiClassificaSquadra,3,FALSE),-2)),SUMIFS(Dati!$F$2:$F$381,Dati!$A$2:$A$381,$H53,Dati!$H$2:$H$381,$AI53)+SUMIFS(Dati!$M$2:$M$381,Dati!$H$2:$H$381,$H53,Dati!$A$2:$A$381,$AI53),"-")</f>
        <v/>
      </c>
      <c r="DT53" s="22">
        <f>IF(AND($H53&lt;&gt;"",$AJ53&lt;&gt;"",$H53&lt;&gt;$AJ53,IFERROR(VLOOKUP($H53,areaCercaPuntiClassificaSquadra,3,FALSE),-1)=IFERROR(VLOOKUP($AJ53,areaCercaPuntiClassificaSquadra,3,FALSE),-2)),SUMIFS(Dati!$F$2:$F$381,Dati!$A$2:$A$381,$H53,Dati!$H$2:$H$381,$AJ53)+SUMIFS(Dati!$M$2:$M$381,Dati!$H$2:$H$381,$H53,Dati!$A$2:$A$381,$AJ53),"-")</f>
        <v/>
      </c>
      <c r="DU53" s="22">
        <f>IF(AND($H53&lt;&gt;"",$AK53&lt;&gt;"",$H53&lt;&gt;$AK53,IFERROR(VLOOKUP($H53,areaCercaPuntiClassificaSquadra,3,FALSE),-1)=IFERROR(VLOOKUP($AK53,areaCercaPuntiClassificaSquadra,3,FALSE),-2)),SUMIFS(Dati!$F$2:$F$381,Dati!$A$2:$A$381,$H53,Dati!$H$2:$H$381,$AK53)+SUMIFS(Dati!$M$2:$M$381,Dati!$H$2:$H$381,$H53,Dati!$A$2:$A$381,$AK53),"-")</f>
        <v/>
      </c>
      <c r="DV53" s="22">
        <f>IF(AND($H53&lt;&gt;"",$AL53&lt;&gt;"",$H53&lt;&gt;$AL53,IFERROR(VLOOKUP($H53,areaCercaPuntiClassificaSquadra,3,FALSE),-1)=IFERROR(VLOOKUP($AL53,areaCercaPuntiClassificaSquadra,3,FALSE),-2)),SUMIFS(Dati!$F$2:$F$381,Dati!$A$2:$A$381,$H53,Dati!$H$2:$H$381,$AL53)+SUMIFS(Dati!$M$2:$M$381,Dati!$H$2:$H$381,$H53,Dati!$A$2:$A$381,$AL53),"-")</f>
        <v/>
      </c>
      <c r="DW53" s="22">
        <f>IF(AND($H53&lt;&gt;"",$AM53&lt;&gt;"",$H53&lt;&gt;$AM53,IFERROR(VLOOKUP($H53,areaCercaPuntiClassificaSquadra,3,FALSE),-1)=IFERROR(VLOOKUP($AM53,areaCercaPuntiClassificaSquadra,3,FALSE),-2)),SUMIFS(Dati!$F$2:$F$381,Dati!$A$2:$A$381,$H53,Dati!$H$2:$H$381,$AM53)+SUMIFS(Dati!$M$2:$M$381,Dati!$H$2:$H$381,$H53,Dati!$A$2:$A$381,$AM53),"-")</f>
        <v/>
      </c>
      <c r="DX53" s="22">
        <f>IF(AND($H53&lt;&gt;"",$AN53&lt;&gt;"",$H53&lt;&gt;$AN53,IFERROR(VLOOKUP($H53,areaCercaPuntiClassificaSquadra,3,FALSE),-1)=IFERROR(VLOOKUP($AN53,areaCercaPuntiClassificaSquadra,3,FALSE),-2)),SUMIFS(Dati!$F$2:$F$381,Dati!$A$2:$A$381,$H53,Dati!$H$2:$H$381,$AN53)+SUMIFS(Dati!$M$2:$M$381,Dati!$H$2:$H$381,$H53,Dati!$A$2:$A$381,$AN53),"-")</f>
        <v/>
      </c>
      <c r="DY53" s="22">
        <f>IF(AND($H53&lt;&gt;"",$AO53&lt;&gt;"",$H53&lt;&gt;$AO53,IFERROR(VLOOKUP($H53,areaCercaPuntiClassificaSquadra,3,FALSE),-1)=IFERROR(VLOOKUP($AO53,areaCercaPuntiClassificaSquadra,3,FALSE),-2)),SUMIFS(Dati!$F$2:$F$381,Dati!$A$2:$A$381,$H53,Dati!$H$2:$H$381,$AO53)+SUMIFS(Dati!$M$2:$M$381,Dati!$H$2:$H$381,$H53,Dati!$A$2:$A$381,$AO53),"-")</f>
        <v/>
      </c>
      <c r="DZ53" s="22">
        <f>IF(AND($H53&lt;&gt;"",$AP53&lt;&gt;"",$H53&lt;&gt;$AP53,IFERROR(VLOOKUP($H53,areaCercaPuntiClassificaSquadra,3,FALSE),-1)=IFERROR(VLOOKUP($AP53,areaCercaPuntiClassificaSquadra,3,FALSE),-2)),SUMIFS(Dati!$F$2:$F$381,Dati!$A$2:$A$381,$H53,Dati!$H$2:$H$381,$AP53)+SUMIFS(Dati!$M$2:$M$381,Dati!$H$2:$H$381,$H53,Dati!$A$2:$A$381,$AP53),"-")</f>
        <v/>
      </c>
      <c r="EA53" s="22">
        <f>IF(AND($H53&lt;&gt;"",$AQ53&lt;&gt;"",$H53&lt;&gt;$AQ53,IFERROR(VLOOKUP($H53,areaCercaPuntiClassificaSquadra,3,FALSE),-1)=IFERROR(VLOOKUP($AQ53,areaCercaPuntiClassificaSquadra,3,FALSE),-2)),SUMIFS(Dati!$F$2:$F$381,Dati!$A$2:$A$381,$H53,Dati!$H$2:$H$381,$AQ53)+SUMIFS(Dati!$M$2:$M$381,Dati!$H$2:$H$381,$H53,Dati!$A$2:$A$381,$AQ53),"-")</f>
        <v/>
      </c>
      <c r="EB53" s="22">
        <f>IF(AND($H53&lt;&gt;"",$AR53&lt;&gt;"",$H53&lt;&gt;$AR53,IFERROR(VLOOKUP($H53,areaCercaPuntiClassificaSquadra,3,FALSE),-1)=IFERROR(VLOOKUP($AR53,areaCercaPuntiClassificaSquadra,3,FALSE),-2)),SUMIFS(Dati!$F$2:$F$381,Dati!$A$2:$A$381,$H53,Dati!$H$2:$H$381,$AR53)+SUMIFS(Dati!$M$2:$M$381,Dati!$H$2:$H$381,$H53,Dati!$A$2:$A$381,$AR53),"-")</f>
        <v/>
      </c>
      <c r="ED53" s="22">
        <f>IF($C53="","",SUM(AU53:BN53))</f>
        <v/>
      </c>
    </row>
    <row r="55" ht="20" customHeight="1">
      <c r="B55" s="41" t="inlineStr">
        <is>
          <t>CAMPI</t>
        </is>
      </c>
      <c r="C55" s="9" t="n"/>
      <c r="D55" s="10" t="n"/>
    </row>
    <row r="56">
      <c r="B56" s="43" t="inlineStr">
        <is>
          <t>#</t>
        </is>
      </c>
      <c r="C56" s="43" t="inlineStr">
        <is>
          <t>Nome Campo</t>
        </is>
      </c>
      <c r="D56" s="43" t="inlineStr">
        <is>
          <t>Link Mappa Campo</t>
        </is>
      </c>
    </row>
    <row r="57">
      <c r="B57" s="12" t="inlineStr">
        <is>
          <t>A01</t>
        </is>
      </c>
      <c r="C57" s="13" t="inlineStr">
        <is>
          <t>PalaAnaconde, Via dello Sport 1, Anacondeopoli AA</t>
        </is>
      </c>
      <c r="D57" s="44" t="inlineStr">
        <is>
          <t>https://maps.example.org/campo/a01</t>
        </is>
      </c>
    </row>
    <row r="58">
      <c r="B58" s="12" t="inlineStr">
        <is>
          <t>A02</t>
        </is>
      </c>
      <c r="C58" s="13" t="inlineStr">
        <is>
          <t>PalaBufali, Via dello Sport 2, Bufaliopoli BE</t>
        </is>
      </c>
      <c r="D58" s="44" t="inlineStr">
        <is>
          <t>https://maps.example.org/campo/a02</t>
        </is>
      </c>
    </row>
    <row r="59">
      <c r="B59" s="12" t="inlineStr">
        <is>
          <t>A03</t>
        </is>
      </c>
      <c r="C59" s="13" t="inlineStr">
        <is>
          <t>PalaCobra, Via dello Sport 3, Cobraopoli CI</t>
        </is>
      </c>
      <c r="D59" s="44" t="inlineStr">
        <is>
          <t>https://maps.example.org/campo/a03</t>
        </is>
      </c>
    </row>
    <row r="60">
      <c r="B60" s="12" t="inlineStr">
        <is>
          <t>A04</t>
        </is>
      </c>
      <c r="C60" s="13" t="inlineStr">
        <is>
          <t>PalaDingo, Via dello Sport 4, Dingoopoli DO</t>
        </is>
      </c>
      <c r="D60" s="44" t="inlineStr">
        <is>
          <t>https://maps.example.org/campo/a04</t>
        </is>
      </c>
    </row>
    <row r="61">
      <c r="B61" s="12" t="inlineStr">
        <is>
          <t>A05</t>
        </is>
      </c>
      <c r="C61" s="13" t="inlineStr">
        <is>
          <t>PalaErmellini, Via dello Sport 5, Ermelliniopoli EU</t>
        </is>
      </c>
      <c r="D61" s="44" t="inlineStr">
        <is>
          <t>https://maps.example.org/campo/a05</t>
        </is>
      </c>
    </row>
    <row r="62">
      <c r="B62" s="12" t="inlineStr">
        <is>
          <t>A06</t>
        </is>
      </c>
      <c r="C62" s="13" t="inlineStr">
        <is>
          <t>PalaFalchi, Via dello Sport 6, Falchiopoli FA</t>
        </is>
      </c>
      <c r="D62" s="44" t="inlineStr">
        <is>
          <t>https://maps.example.org/campo/a06</t>
        </is>
      </c>
    </row>
    <row r="63">
      <c r="B63" s="12" t="inlineStr">
        <is>
          <t>A07</t>
        </is>
      </c>
      <c r="C63" s="13" t="inlineStr">
        <is>
          <t>PalaGazzelle, Via dello Sport 7, Gazzelleopoli GE</t>
        </is>
      </c>
      <c r="D63" s="44" t="inlineStr">
        <is>
          <t>https://maps.example.org/campo/a07</t>
        </is>
      </c>
    </row>
    <row r="64">
      <c r="B64" s="12" t="inlineStr">
        <is>
          <t>A08</t>
        </is>
      </c>
      <c r="C64" s="13" t="inlineStr">
        <is>
          <t>PalaIbis, Via dello Sport 8, Ibisopoli II</t>
        </is>
      </c>
      <c r="D64" s="44" t="inlineStr">
        <is>
          <t>https://maps.example.org/campo/a08</t>
        </is>
      </c>
    </row>
    <row r="65">
      <c r="B65" s="12" t="inlineStr">
        <is>
          <t>A09</t>
        </is>
      </c>
      <c r="C65" s="13" t="inlineStr">
        <is>
          <t>PalaLupi, Via dello Sport 9, Lupiopoli LO</t>
        </is>
      </c>
      <c r="D65" s="44" t="inlineStr">
        <is>
          <t>https://maps.example.org/campo/a09</t>
        </is>
      </c>
    </row>
    <row r="66">
      <c r="B66" s="12" t="inlineStr">
        <is>
          <t>A10</t>
        </is>
      </c>
      <c r="C66" s="13" t="inlineStr">
        <is>
          <t>PalaMarmotte, Via dello Sport 10, Marmotteopoli MU</t>
        </is>
      </c>
      <c r="D66" s="44" t="inlineStr">
        <is>
          <t>https://maps.example.org/campo/a10</t>
        </is>
      </c>
    </row>
    <row r="67">
      <c r="B67" s="12" t="inlineStr">
        <is>
          <t>A11</t>
        </is>
      </c>
      <c r="C67" s="13" t="inlineStr">
        <is>
          <t>PalaNarvali, Via dello Sport 11, Narvaliopoli NA</t>
        </is>
      </c>
      <c r="D67" s="44" t="inlineStr">
        <is>
          <t>https://maps.example.org/campo/a11</t>
        </is>
      </c>
    </row>
    <row r="68">
      <c r="B68" s="12" t="inlineStr">
        <is>
          <t>A12</t>
        </is>
      </c>
      <c r="C68" s="13" t="inlineStr">
        <is>
          <t>PalaOrsi, Via dello Sport 12, Orsiopoli OE</t>
        </is>
      </c>
      <c r="D68" s="44" t="inlineStr">
        <is>
          <t>https://maps.example.org/campo/a12</t>
        </is>
      </c>
    </row>
    <row r="69">
      <c r="B69" s="12" t="inlineStr">
        <is>
          <t>A13</t>
        </is>
      </c>
      <c r="C69" s="13" t="inlineStr">
        <is>
          <t>PalaPantere, Via dello Sport 13, Pantereopoli PI</t>
        </is>
      </c>
      <c r="D69" s="44" t="inlineStr">
        <is>
          <t>https://maps.example.org/campo/a13</t>
        </is>
      </c>
    </row>
    <row r="70">
      <c r="B70" s="12" t="inlineStr">
        <is>
          <t>A14</t>
        </is>
      </c>
      <c r="C70" s="13" t="inlineStr">
        <is>
          <t>PalaRinoceronti, Via dello Sport 14, Rinocerontiopoli RO</t>
        </is>
      </c>
      <c r="D70" s="44" t="inlineStr">
        <is>
          <t>https://maps.example.org/campo/a14</t>
        </is>
      </c>
    </row>
    <row r="71">
      <c r="B71" s="12" t="inlineStr">
        <is>
          <t>A15</t>
        </is>
      </c>
      <c r="C71" s="13" t="inlineStr">
        <is>
          <t>PalaSquali, Via dello Sport 15, Squaliopoli SU</t>
        </is>
      </c>
      <c r="D71" s="44" t="inlineStr">
        <is>
          <t>https://maps.example.org/campo/a15</t>
        </is>
      </c>
    </row>
    <row r="72">
      <c r="B72" s="12" t="inlineStr">
        <is>
          <t>A16</t>
        </is>
      </c>
      <c r="C72" s="13" t="inlineStr">
        <is>
          <t>PalaTigri, Via dello Sport 16, Tigriopoli TA</t>
        </is>
      </c>
      <c r="D72" s="44" t="inlineStr">
        <is>
          <t>https://maps.example.org/campo/a16</t>
        </is>
      </c>
    </row>
    <row r="73">
      <c r="B73" s="12" t="inlineStr">
        <is>
          <t>A17</t>
        </is>
      </c>
      <c r="C73" s="13" t="inlineStr">
        <is>
          <t>PalaVolpi, Via dello Sport 17, Volpiopoli VE</t>
        </is>
      </c>
      <c r="D73" s="44" t="inlineStr">
        <is>
          <t>https://maps.example.org/campo/a17</t>
        </is>
      </c>
    </row>
    <row r="74">
      <c r="B74" s="12" t="inlineStr">
        <is>
          <t>A18</t>
        </is>
      </c>
      <c r="C74" s="13" t="inlineStr">
        <is>
          <t>PalaAquile, Via dello Sport 18, Aquileopoli AI</t>
        </is>
      </c>
      <c r="D74" s="44" t="inlineStr">
        <is>
          <t>https://maps.example.org/campo/a18</t>
        </is>
      </c>
    </row>
    <row r="75">
      <c r="B75" s="12" t="inlineStr">
        <is>
          <t>A19</t>
        </is>
      </c>
      <c r="C75" s="13" t="inlineStr">
        <is>
          <t>PalaBisonti, Via dello Sport 19, Bisontiopoli BO</t>
        </is>
      </c>
      <c r="D75" s="44" t="inlineStr">
        <is>
          <t>https://maps.example.org/campo/a19</t>
        </is>
      </c>
    </row>
    <row r="76">
      <c r="B76" s="12" t="inlineStr">
        <is>
          <t>A20</t>
        </is>
      </c>
      <c r="C76" s="13" t="inlineStr">
        <is>
          <t>PalaCondor, Via dello Sport 20, Condoropoli CU</t>
        </is>
      </c>
      <c r="D76" s="44" t="inlineStr">
        <is>
          <t>https://maps.example.org/campo/a20</t>
        </is>
      </c>
    </row>
    <row r="77">
      <c r="B77" s="12" t="inlineStr">
        <is>
          <t>B01</t>
        </is>
      </c>
      <c r="C77" s="13" t="inlineStr">
        <is>
          <t>PalaDelfini, Via dello Sport 4, Delfiniopoli DA</t>
        </is>
      </c>
      <c r="D77" s="44" t="inlineStr">
        <is>
          <t>https://maps.example.org/campo/b01</t>
        </is>
      </c>
    </row>
    <row r="78">
      <c r="B78" s="12" t="inlineStr">
        <is>
          <t>B02</t>
        </is>
      </c>
      <c r="C78" s="13" t="inlineStr">
        <is>
          <t>PalaElefanti, Via dello Sport 5, Elefantiopoli EE</t>
        </is>
      </c>
      <c r="D78" s="44" t="inlineStr">
        <is>
          <t>https://maps.example.org/campo/b02</t>
        </is>
      </c>
    </row>
    <row r="79">
      <c r="B79" s="12" t="inlineStr">
        <is>
          <t>B03</t>
        </is>
      </c>
      <c r="C79" s="13" t="inlineStr">
        <is>
          <t>PalaFenicotteri, Via dello Sport 6, Fenicotteriopoli FI</t>
        </is>
      </c>
      <c r="D79" s="44" t="inlineStr">
        <is>
          <t>https://maps.example.org/campo/b03</t>
        </is>
      </c>
    </row>
    <row r="80">
      <c r="B80" s="12" t="inlineStr">
        <is>
          <t>B04</t>
        </is>
      </c>
      <c r="C80" s="13" t="inlineStr">
        <is>
          <t>PalaGufi, Via dello Sport 7, Gufiopoli GO</t>
        </is>
      </c>
      <c r="D80" s="44" t="inlineStr">
        <is>
          <t>https://maps.example.org/campo/b04</t>
        </is>
      </c>
    </row>
    <row r="81">
      <c r="B81" s="12" t="inlineStr">
        <is>
          <t>B05</t>
        </is>
      </c>
      <c r="C81" s="13" t="inlineStr">
        <is>
          <t>PalaIene, Via dello Sport 8, Ieneopoli IU</t>
        </is>
      </c>
      <c r="D81" s="44" t="inlineStr">
        <is>
          <t>https://maps.example.org/campo/b05</t>
        </is>
      </c>
    </row>
    <row r="82">
      <c r="B82" s="12" t="inlineStr">
        <is>
          <t>B06</t>
        </is>
      </c>
      <c r="C82" s="13" t="inlineStr">
        <is>
          <t>PalaLeoni, Via dello Sport 9, Leoniopoli LA</t>
        </is>
      </c>
      <c r="D82" s="44" t="inlineStr">
        <is>
          <t>https://maps.example.org/campo/b06</t>
        </is>
      </c>
    </row>
    <row r="83">
      <c r="B83" s="12" t="inlineStr">
        <is>
          <t>B07</t>
        </is>
      </c>
      <c r="C83" s="13" t="inlineStr">
        <is>
          <t>PalaMufloni, Via dello Sport 10, Mufloniopoli ME</t>
        </is>
      </c>
      <c r="D83" s="44" t="inlineStr">
        <is>
          <t>https://maps.example.org/campo/b07</t>
        </is>
      </c>
    </row>
    <row r="84">
      <c r="B84" s="12" t="inlineStr">
        <is>
          <t>B08</t>
        </is>
      </c>
      <c r="C84" s="13" t="inlineStr">
        <is>
          <t>PalaNutrie, Via dello Sport 11, Nutrieopoli NI</t>
        </is>
      </c>
      <c r="D84" s="44" t="inlineStr">
        <is>
          <t>https://maps.example.org/campo/b08</t>
        </is>
      </c>
    </row>
    <row r="85">
      <c r="B85" s="12" t="inlineStr">
        <is>
          <t>B09</t>
        </is>
      </c>
      <c r="C85" s="13" t="inlineStr">
        <is>
          <t>PalaOcelot, Via dello Sport 12, Ocelotopoli OO</t>
        </is>
      </c>
      <c r="D85" s="44" t="inlineStr">
        <is>
          <t>https://maps.example.org/campo/b09</t>
        </is>
      </c>
    </row>
    <row r="86">
      <c r="B86" s="12" t="inlineStr">
        <is>
          <t>B10</t>
        </is>
      </c>
      <c r="C86" s="13" t="inlineStr">
        <is>
          <t>PalaPinguini, Via dello Sport 13, Pinguiniopoli PU</t>
        </is>
      </c>
      <c r="D86" s="44" t="inlineStr">
        <is>
          <t>https://maps.example.org/campo/b10</t>
        </is>
      </c>
    </row>
    <row r="87">
      <c r="B87" s="12" t="inlineStr">
        <is>
          <t>B11</t>
        </is>
      </c>
      <c r="C87" s="13" t="inlineStr">
        <is>
          <t>PalaRenne, Via dello Sport 14, Renneopoli RA</t>
        </is>
      </c>
      <c r="D87" s="44" t="inlineStr">
        <is>
          <t>https://maps.example.org/campo/b11</t>
        </is>
      </c>
    </row>
    <row r="88">
      <c r="B88" s="12" t="inlineStr">
        <is>
          <t>B12</t>
        </is>
      </c>
      <c r="C88" s="13" t="inlineStr">
        <is>
          <t>PalaSerpenti, Via dello Sport 15, Serpentiopoli SE</t>
        </is>
      </c>
      <c r="D88" s="44" t="inlineStr">
        <is>
          <t>https://maps.example.org/campo/b12</t>
        </is>
      </c>
    </row>
    <row r="89">
      <c r="B89" s="12" t="inlineStr">
        <is>
          <t>B13</t>
        </is>
      </c>
      <c r="C89" s="13" t="inlineStr">
        <is>
          <t>PalaTucani, Via dello Sport 16, Tucaniopoli TI</t>
        </is>
      </c>
      <c r="D89" s="44" t="inlineStr">
        <is>
          <t>https://maps.example.org/campo/b13</t>
        </is>
      </c>
    </row>
    <row r="90">
      <c r="B90" s="12" t="inlineStr">
        <is>
          <t>B14</t>
        </is>
      </c>
      <c r="C90" s="13" t="inlineStr">
        <is>
          <t>PalaVipere, Via dello Sport 17, Vipereopoli VO</t>
        </is>
      </c>
      <c r="D90" s="44" t="inlineStr">
        <is>
          <t>https://maps.example.org/campo/b14</t>
        </is>
      </c>
    </row>
    <row r="91">
      <c r="B91" s="12" t="inlineStr">
        <is>
          <t>B15</t>
        </is>
      </c>
      <c r="C91" s="13" t="inlineStr">
        <is>
          <t>PalaAlci, Via dello Sport 18, Alciopoli AU</t>
        </is>
      </c>
      <c r="D91" s="44" t="inlineStr">
        <is>
          <t>https://maps.example.org/campo/b15</t>
        </is>
      </c>
    </row>
    <row r="92">
      <c r="B92" s="12" t="inlineStr">
        <is>
          <t>B16</t>
        </is>
      </c>
      <c r="C92" s="13" t="inlineStr">
        <is>
          <t>PalaBarracuda, Via dello Sport 19, Barracudaopoli BA</t>
        </is>
      </c>
      <c r="D92" s="44" t="inlineStr">
        <is>
          <t>https://maps.example.org/campo/b16</t>
        </is>
      </c>
    </row>
    <row r="93">
      <c r="B93" s="12" t="inlineStr">
        <is>
          <t>B17</t>
        </is>
      </c>
      <c r="C93" s="13" t="inlineStr">
        <is>
          <t>PalaCavalli, Via dello Sport 20, Cavalliopoli CE</t>
        </is>
      </c>
      <c r="D93" s="44" t="inlineStr">
        <is>
          <t>https://maps.example.org/campo/b17</t>
        </is>
      </c>
    </row>
    <row r="94">
      <c r="B94" s="12" t="inlineStr">
        <is>
          <t>B18</t>
        </is>
      </c>
      <c r="C94" s="13" t="inlineStr">
        <is>
          <t>PalaDromedari, Via dello Sport 21, Dromedariopoli DI</t>
        </is>
      </c>
      <c r="D94" s="44" t="inlineStr">
        <is>
          <t>https://maps.example.org/campo/b18</t>
        </is>
      </c>
    </row>
    <row r="95">
      <c r="B95" s="12" t="inlineStr">
        <is>
          <t>B19</t>
        </is>
      </c>
      <c r="C95" s="13" t="inlineStr">
        <is>
          <t>PalaEchidne, Via dello Sport 22, Echidneopoli EO</t>
        </is>
      </c>
      <c r="D95" s="44" t="inlineStr">
        <is>
          <t>https://maps.example.org/campo/b19</t>
        </is>
      </c>
    </row>
    <row r="96">
      <c r="B96" s="12" t="inlineStr">
        <is>
          <t>B20</t>
        </is>
      </c>
      <c r="C96" s="13" t="inlineStr">
        <is>
          <t>PalaFoche, Via dello Sport 23, Focheopoli FU</t>
        </is>
      </c>
      <c r="D96" s="44" t="inlineStr">
        <is>
          <t>https://maps.example.org/campo/b20</t>
        </is>
      </c>
    </row>
    <row r="97">
      <c r="B97" s="45" t="inlineStr">
        <is>
          <t>PO1</t>
        </is>
      </c>
      <c r="C97" s="46" t="inlineStr">
        <is>
          <t>PalaCentrale, Viale dello Sport 1, Mediopoli MD</t>
        </is>
      </c>
      <c r="D97" s="47" t="inlineStr">
        <is>
          <t>https://maps.example.org/campo/po1</t>
        </is>
      </c>
    </row>
    <row r="98">
      <c r="B98" s="45" t="inlineStr">
        <is>
          <t>PO2</t>
        </is>
      </c>
      <c r="C98" s="46" t="inlineStr">
        <is>
          <t>PalaMagnifico, Viale dello Sport 2, Mediopoli MD</t>
        </is>
      </c>
      <c r="D98" s="47" t="inlineStr">
        <is>
          <t>https://maps.example.org/campo/po2</t>
        </is>
      </c>
    </row>
    <row r="99">
      <c r="B99" s="45" t="inlineStr">
        <is>
          <t>PO3</t>
        </is>
      </c>
      <c r="C99" s="46" t="inlineStr">
        <is>
          <t>PalaCapitale, Viale dello Sport 3, Mediopoli MD</t>
        </is>
      </c>
      <c r="D99" s="47" t="inlineStr">
        <is>
          <t>https://maps.example.org/campo/po3</t>
        </is>
      </c>
    </row>
    <row r="100">
      <c r="B100" s="45" t="inlineStr">
        <is>
          <t>PO4</t>
        </is>
      </c>
      <c r="C100" s="46" t="inlineStr">
        <is>
          <t>PalaDelta, Viale dello Sport 4, Finalopoli FN</t>
        </is>
      </c>
      <c r="D100" s="47" t="inlineStr">
        <is>
          <t>https://maps.example.org/campo/po4</t>
        </is>
      </c>
    </row>
    <row r="101">
      <c r="B101" s="45" t="inlineStr">
        <is>
          <t>PO5</t>
        </is>
      </c>
      <c r="C101" s="46" t="inlineStr">
        <is>
          <t>PalaEuropa, Viale dello Sport 5, Finalopoli FN</t>
        </is>
      </c>
      <c r="D101" s="47" t="inlineStr">
        <is>
          <t>https://maps.example.org/campo/po5</t>
        </is>
      </c>
    </row>
    <row r="102">
      <c r="B102" s="45" t="inlineStr">
        <is>
          <t>PO6</t>
        </is>
      </c>
      <c r="C102" s="46" t="inlineStr">
        <is>
          <t>PalaFenice, Viale dello Sport 6, Finalopoli FN</t>
        </is>
      </c>
      <c r="D102" s="47" t="inlineStr">
        <is>
          <t>https://maps.example.org/campo/po6</t>
        </is>
      </c>
    </row>
    <row r="103">
      <c r="B103" s="45" t="inlineStr">
        <is>
          <t>PO7</t>
        </is>
      </c>
      <c r="C103" s="46" t="inlineStr">
        <is>
          <t>PalaGlobo, Viale dello Sport 7, Finalopoli FN</t>
        </is>
      </c>
      <c r="D103" s="47" t="inlineStr">
        <is>
          <t>https://maps.example.org/campo/po7</t>
        </is>
      </c>
    </row>
    <row r="104">
      <c r="B104" s="45" t="inlineStr">
        <is>
          <t>PO8</t>
        </is>
      </c>
      <c r="C104" s="46" t="inlineStr">
        <is>
          <t>PalaFinale, Viale dello Sport 8, Finalopoli FN</t>
        </is>
      </c>
      <c r="D104" s="47" t="inlineStr">
        <is>
          <t>https://maps.example.org/campo/po8</t>
        </is>
      </c>
    </row>
    <row r="105">
      <c r="B105" s="48" t="inlineStr">
        <is>
          <t>TBD</t>
        </is>
      </c>
      <c r="C105" s="49" t="inlineStr">
        <is>
          <t>DA DEFINIRE</t>
        </is>
      </c>
      <c r="D105" s="50" t="n"/>
    </row>
    <row r="107">
      <c r="C107" s="51" t="inlineStr">
        <is>
          <t>Sfondo azzurro: campi neutri (codici PO1-PO8), non appartenenti ad alcuna squadra, usati per la fase a eliminazione diretta.</t>
        </is>
      </c>
    </row>
    <row r="108">
      <c r="C108" s="51" t="inlineStr">
        <is>
          <t>Sfondo verde: campo ancora da definire (codice TBD).</t>
        </is>
      </c>
    </row>
  </sheetData>
  <mergeCells count="18">
    <mergeCell ref="CM12:DF12"/>
    <mergeCell ref="B55:D55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</mergeCells>
  <dataValidations count="1">
    <dataValidation sqref="E14:E53" showDropDown="0" showInputMessage="0" showErrorMessage="0" allowBlank="1" errorTitle="Girone non valido" error="Usare una delle lettere elencate nel parametro Gironi." type="list">
      <formula1>"A,B"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IF(C10="","",IFERROR(VLOOKUP(C10,areaNomiBreviSquadre,7,FALSE),""))</f>
        <v/>
      </c>
      <c r="C10" s="62" t="inlineStr">
        <is>
          <t>A01</t>
        </is>
      </c>
      <c r="D10" s="61">
        <f>IF(E10="","",IFERROR(VLOOKUP(E10,areaNomiBreviSquadre,7,FALSE),""))</f>
        <v/>
      </c>
      <c r="E10" s="62" t="inlineStr">
        <is>
          <t>A20</t>
        </is>
      </c>
      <c r="F10" s="63" t="n">
        <v>46313.39583333334</v>
      </c>
      <c r="G10" s="9" t="n"/>
      <c r="H10" s="9" t="n"/>
      <c r="I10" s="10" t="n"/>
      <c r="J10" s="65" t="n">
        <v>56</v>
      </c>
      <c r="K10" s="66" t="inlineStr">
        <is>
          <t>-</t>
        </is>
      </c>
      <c r="L10" s="65" t="n">
        <v>73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A01</t>
        </is>
      </c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IF(C13="","",IFERROR(VLOOKUP(C13,areaNomiBreviSquadre,7,FALSE),""))</f>
        <v/>
      </c>
      <c r="C13" s="62" t="inlineStr">
        <is>
          <t>A03</t>
        </is>
      </c>
      <c r="D13" s="61">
        <f>IF(E13="","",IFERROR(VLOOKUP(E13,areaNomiBreviSquadre,7,FALSE),""))</f>
        <v/>
      </c>
      <c r="E13" s="62" t="inlineStr">
        <is>
          <t>A18</t>
        </is>
      </c>
      <c r="F13" s="63" t="n">
        <v>46313.45833333334</v>
      </c>
      <c r="G13" s="9" t="n"/>
      <c r="H13" s="9" t="n"/>
      <c r="I13" s="10" t="n"/>
      <c r="J13" s="65" t="n">
        <v>56</v>
      </c>
      <c r="K13" s="66" t="inlineStr">
        <is>
          <t>-</t>
        </is>
      </c>
      <c r="L13" s="65" t="n">
        <v>41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A01</t>
        </is>
      </c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IF(C16="","",IFERROR(VLOOKUP(C16,areaNomiBreviSquadre,7,FALSE),""))</f>
        <v/>
      </c>
      <c r="C16" s="62" t="inlineStr">
        <is>
          <t>A17</t>
        </is>
      </c>
      <c r="D16" s="61">
        <f>IF(E16="","",IFERROR(VLOOKUP(E16,areaNomiBreviSquadre,7,FALSE),""))</f>
        <v/>
      </c>
      <c r="E16" s="62" t="inlineStr">
        <is>
          <t>A04</t>
        </is>
      </c>
      <c r="F16" s="63" t="n">
        <v>46313.60416666666</v>
      </c>
      <c r="G16" s="9" t="n"/>
      <c r="H16" s="9" t="n"/>
      <c r="I16" s="10" t="n"/>
      <c r="J16" s="65" t="n">
        <v>92</v>
      </c>
      <c r="K16" s="66" t="inlineStr">
        <is>
          <t>-</t>
        </is>
      </c>
      <c r="L16" s="65" t="n">
        <v>75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A01</t>
        </is>
      </c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IF(C19="","",IFERROR(VLOOKUP(C19,areaNomiBreviSquadre,7,FALSE),""))</f>
        <v/>
      </c>
      <c r="C19" s="62" t="inlineStr">
        <is>
          <t>A05</t>
        </is>
      </c>
      <c r="D19" s="61">
        <f>IF(E19="","",IFERROR(VLOOKUP(E19,areaNomiBreviSquadre,7,FALSE),""))</f>
        <v/>
      </c>
      <c r="E19" s="62" t="inlineStr">
        <is>
          <t>A16</t>
        </is>
      </c>
      <c r="F19" s="63" t="n">
        <v>46313.66666666666</v>
      </c>
      <c r="G19" s="9" t="n"/>
      <c r="H19" s="9" t="n"/>
      <c r="I19" s="10" t="n"/>
      <c r="J19" s="65" t="n">
        <v>24</v>
      </c>
      <c r="K19" s="66" t="inlineStr">
        <is>
          <t>-</t>
        </is>
      </c>
      <c r="L19" s="65" t="n">
        <v>48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A01</t>
        </is>
      </c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IF(C22="","",IFERROR(VLOOKUP(C22,areaNomiBreviSquadre,7,FALSE),""))</f>
        <v/>
      </c>
      <c r="C22" s="62" t="inlineStr">
        <is>
          <t>A15</t>
        </is>
      </c>
      <c r="D22" s="61">
        <f>IF(E22="","",IFERROR(VLOOKUP(E22,areaNomiBreviSquadre,7,FALSE),""))</f>
        <v/>
      </c>
      <c r="E22" s="62" t="inlineStr">
        <is>
          <t>A06</t>
        </is>
      </c>
      <c r="F22" s="63" t="n">
        <v>46313.72916666666</v>
      </c>
      <c r="G22" s="9" t="n"/>
      <c r="H22" s="9" t="n"/>
      <c r="I22" s="10" t="n"/>
      <c r="J22" s="65" t="n">
        <v>60</v>
      </c>
      <c r="K22" s="66" t="inlineStr">
        <is>
          <t>-</t>
        </is>
      </c>
      <c r="L22" s="65" t="n">
        <v>85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A01</t>
        </is>
      </c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IF(C25="","",IFERROR(VLOOKUP(C25,areaNomiBreviSquadre,7,FALSE),""))</f>
        <v/>
      </c>
      <c r="C25" s="62" t="inlineStr">
        <is>
          <t>A19</t>
        </is>
      </c>
      <c r="D25" s="61">
        <f>IF(E25="","",IFERROR(VLOOKUP(E25,areaNomiBreviSquadre,7,FALSE),""))</f>
        <v/>
      </c>
      <c r="E25" s="62" t="inlineStr">
        <is>
          <t>A02</t>
        </is>
      </c>
      <c r="F25" s="63" t="n">
        <v>46313.39583333334</v>
      </c>
      <c r="G25" s="9" t="n"/>
      <c r="H25" s="9" t="n"/>
      <c r="I25" s="10" t="n"/>
      <c r="J25" s="65" t="n">
        <v>80</v>
      </c>
      <c r="K25" s="66" t="inlineStr">
        <is>
          <t>-</t>
        </is>
      </c>
      <c r="L25" s="65" t="n">
        <v>81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A02</t>
        </is>
      </c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IF(C28="","",IFERROR(VLOOKUP(C28,areaNomiBreviSquadre,7,FALSE),""))</f>
        <v/>
      </c>
      <c r="C28" s="62" t="inlineStr">
        <is>
          <t>A07</t>
        </is>
      </c>
      <c r="D28" s="61">
        <f>IF(E28="","",IFERROR(VLOOKUP(E28,areaNomiBreviSquadre,7,FALSE),""))</f>
        <v/>
      </c>
      <c r="E28" s="62" t="inlineStr">
        <is>
          <t>A14</t>
        </is>
      </c>
      <c r="F28" s="63" t="n">
        <v>46313.45833333334</v>
      </c>
      <c r="G28" s="9" t="n"/>
      <c r="H28" s="9" t="n"/>
      <c r="I28" s="10" t="n"/>
      <c r="J28" s="65" t="n">
        <v>60</v>
      </c>
      <c r="K28" s="66" t="inlineStr">
        <is>
          <t>-</t>
        </is>
      </c>
      <c r="L28" s="65" t="n">
        <v>41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A02</t>
        </is>
      </c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IF(C31="","",IFERROR(VLOOKUP(C31,areaNomiBreviSquadre,7,FALSE),""))</f>
        <v/>
      </c>
      <c r="C31" s="62" t="inlineStr">
        <is>
          <t>A13</t>
        </is>
      </c>
      <c r="D31" s="61">
        <f>IF(E31="","",IFERROR(VLOOKUP(E31,areaNomiBreviSquadre,7,FALSE),""))</f>
        <v/>
      </c>
      <c r="E31" s="62" t="inlineStr">
        <is>
          <t>A08</t>
        </is>
      </c>
      <c r="F31" s="63" t="n">
        <v>46313.60416666666</v>
      </c>
      <c r="G31" s="9" t="n"/>
      <c r="H31" s="9" t="n"/>
      <c r="I31" s="10" t="n"/>
      <c r="J31" s="65" t="n">
        <v>66</v>
      </c>
      <c r="K31" s="66" t="inlineStr">
        <is>
          <t>-</t>
        </is>
      </c>
      <c r="L31" s="65" t="n">
        <v>78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A02</t>
        </is>
      </c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IF(C34="","",IFERROR(VLOOKUP(C34,areaNomiBreviSquadre,7,FALSE),""))</f>
        <v/>
      </c>
      <c r="C34" s="62" t="inlineStr">
        <is>
          <t>A09</t>
        </is>
      </c>
      <c r="D34" s="61">
        <f>IF(E34="","",IFERROR(VLOOKUP(E34,areaNomiBreviSquadre,7,FALSE),""))</f>
        <v/>
      </c>
      <c r="E34" s="62" t="inlineStr">
        <is>
          <t>A12</t>
        </is>
      </c>
      <c r="F34" s="63" t="n">
        <v>46313.66666666666</v>
      </c>
      <c r="G34" s="9" t="n"/>
      <c r="H34" s="9" t="n"/>
      <c r="I34" s="10" t="n"/>
      <c r="J34" s="65" t="n">
        <v>65</v>
      </c>
      <c r="K34" s="66" t="inlineStr">
        <is>
          <t>-</t>
        </is>
      </c>
      <c r="L34" s="65" t="n">
        <v>44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A02</t>
        </is>
      </c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IF(C37="","",IFERROR(VLOOKUP(C37,areaNomiBreviSquadre,7,FALSE),""))</f>
        <v/>
      </c>
      <c r="C37" s="62" t="inlineStr">
        <is>
          <t>A11</t>
        </is>
      </c>
      <c r="D37" s="61">
        <f>IF(E37="","",IFERROR(VLOOKUP(E37,areaNomiBreviSquadre,7,FALSE),""))</f>
        <v/>
      </c>
      <c r="E37" s="62" t="inlineStr">
        <is>
          <t>A10</t>
        </is>
      </c>
      <c r="F37" s="63" t="n">
        <v>46313.72916666666</v>
      </c>
      <c r="G37" s="9" t="n"/>
      <c r="H37" s="9" t="n"/>
      <c r="I37" s="10" t="n"/>
      <c r="J37" s="65" t="n">
        <v>68</v>
      </c>
      <c r="K37" s="66" t="inlineStr">
        <is>
          <t>-</t>
        </is>
      </c>
      <c r="L37" s="65" t="n">
        <v>76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A02</t>
        </is>
      </c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IF(C42="","",IFERROR(VLOOKUP(C42,areaNomiBreviSquadre,7,FALSE),""))</f>
        <v/>
      </c>
      <c r="C42" s="62" t="inlineStr">
        <is>
          <t>A03</t>
        </is>
      </c>
      <c r="D42" s="61">
        <f>IF(E42="","",IFERROR(VLOOKUP(E42,areaNomiBreviSquadre,7,FALSE),""))</f>
        <v/>
      </c>
      <c r="E42" s="62" t="inlineStr">
        <is>
          <t>A01</t>
        </is>
      </c>
      <c r="F42" s="63" t="n">
        <v>46320.39583333334</v>
      </c>
      <c r="G42" s="9" t="n"/>
      <c r="H42" s="9" t="n"/>
      <c r="I42" s="10" t="n"/>
      <c r="J42" s="65" t="n">
        <v>52</v>
      </c>
      <c r="K42" s="66" t="inlineStr">
        <is>
          <t>-</t>
        </is>
      </c>
      <c r="L42" s="65" t="n">
        <v>34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A03</t>
        </is>
      </c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IF(C45="","",IFERROR(VLOOKUP(C45,areaNomiBreviSquadre,7,FALSE),""))</f>
        <v/>
      </c>
      <c r="C45" s="62" t="inlineStr">
        <is>
          <t>A20</t>
        </is>
      </c>
      <c r="D45" s="61">
        <f>IF(E45="","",IFERROR(VLOOKUP(E45,areaNomiBreviSquadre,7,FALSE),""))</f>
        <v/>
      </c>
      <c r="E45" s="62" t="inlineStr">
        <is>
          <t>A02</t>
        </is>
      </c>
      <c r="F45" s="63" t="n">
        <v>46320.45833333334</v>
      </c>
      <c r="G45" s="9" t="n"/>
      <c r="H45" s="9" t="n"/>
      <c r="I45" s="10" t="n"/>
      <c r="J45" s="65" t="n">
        <v>47</v>
      </c>
      <c r="K45" s="66" t="inlineStr">
        <is>
          <t>-</t>
        </is>
      </c>
      <c r="L45" s="65" t="n">
        <v>22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A03</t>
        </is>
      </c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IF(C48="","",IFERROR(VLOOKUP(C48,areaNomiBreviSquadre,7,FALSE),""))</f>
        <v/>
      </c>
      <c r="C48" s="62" t="inlineStr">
        <is>
          <t>A05</t>
        </is>
      </c>
      <c r="D48" s="61">
        <f>IF(E48="","",IFERROR(VLOOKUP(E48,areaNomiBreviSquadre,7,FALSE),""))</f>
        <v/>
      </c>
      <c r="E48" s="62" t="inlineStr">
        <is>
          <t>A18</t>
        </is>
      </c>
      <c r="F48" s="63" t="n">
        <v>46320.60416666666</v>
      </c>
      <c r="G48" s="9" t="n"/>
      <c r="H48" s="9" t="n"/>
      <c r="I48" s="10" t="n"/>
      <c r="J48" s="65" t="n">
        <v>71</v>
      </c>
      <c r="K48" s="66" t="inlineStr">
        <is>
          <t>-</t>
        </is>
      </c>
      <c r="L48" s="65" t="n">
        <v>53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A03</t>
        </is>
      </c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IF(C51="","",IFERROR(VLOOKUP(C51,areaNomiBreviSquadre,7,FALSE),""))</f>
        <v/>
      </c>
      <c r="C51" s="62" t="inlineStr">
        <is>
          <t>A17</t>
        </is>
      </c>
      <c r="D51" s="61">
        <f>IF(E51="","",IFERROR(VLOOKUP(E51,areaNomiBreviSquadre,7,FALSE),""))</f>
        <v/>
      </c>
      <c r="E51" s="62" t="inlineStr">
        <is>
          <t>A06</t>
        </is>
      </c>
      <c r="F51" s="63" t="n">
        <v>46320.66666666666</v>
      </c>
      <c r="G51" s="9" t="n"/>
      <c r="H51" s="9" t="n"/>
      <c r="I51" s="10" t="n"/>
      <c r="J51" s="65" t="n">
        <v>63</v>
      </c>
      <c r="K51" s="66" t="inlineStr">
        <is>
          <t>-</t>
        </is>
      </c>
      <c r="L51" s="65" t="n">
        <v>88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A03</t>
        </is>
      </c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IF(C54="","",IFERROR(VLOOKUP(C54,areaNomiBreviSquadre,7,FALSE),""))</f>
        <v/>
      </c>
      <c r="C54" s="62" t="inlineStr">
        <is>
          <t>A07</t>
        </is>
      </c>
      <c r="D54" s="61">
        <f>IF(E54="","",IFERROR(VLOOKUP(E54,areaNomiBreviSquadre,7,FALSE),""))</f>
        <v/>
      </c>
      <c r="E54" s="62" t="inlineStr">
        <is>
          <t>A16</t>
        </is>
      </c>
      <c r="F54" s="63" t="n">
        <v>46320.72916666666</v>
      </c>
      <c r="G54" s="9" t="n"/>
      <c r="H54" s="9" t="n"/>
      <c r="I54" s="10" t="n"/>
      <c r="J54" s="65" t="n">
        <v>32</v>
      </c>
      <c r="K54" s="66" t="inlineStr">
        <is>
          <t>-</t>
        </is>
      </c>
      <c r="L54" s="65" t="n">
        <v>42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A03</t>
        </is>
      </c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IF(C57="","",IFERROR(VLOOKUP(C57,areaNomiBreviSquadre,7,FALSE),""))</f>
        <v/>
      </c>
      <c r="C57" s="62" t="inlineStr">
        <is>
          <t>A19</t>
        </is>
      </c>
      <c r="D57" s="61">
        <f>IF(E57="","",IFERROR(VLOOKUP(E57,areaNomiBreviSquadre,7,FALSE),""))</f>
        <v/>
      </c>
      <c r="E57" s="62" t="inlineStr">
        <is>
          <t>A04</t>
        </is>
      </c>
      <c r="F57" s="63" t="n">
        <v>46320.39583333334</v>
      </c>
      <c r="G57" s="9" t="n"/>
      <c r="H57" s="9" t="n"/>
      <c r="I57" s="10" t="n"/>
      <c r="J57" s="65" t="n">
        <v>48</v>
      </c>
      <c r="K57" s="66" t="inlineStr">
        <is>
          <t>-</t>
        </is>
      </c>
      <c r="L57" s="65" t="n">
        <v>23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A04</t>
        </is>
      </c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IF(C60="","",IFERROR(VLOOKUP(C60,areaNomiBreviSquadre,7,FALSE),""))</f>
        <v/>
      </c>
      <c r="C60" s="62" t="inlineStr">
        <is>
          <t>A15</t>
        </is>
      </c>
      <c r="D60" s="61">
        <f>IF(E60="","",IFERROR(VLOOKUP(E60,areaNomiBreviSquadre,7,FALSE),""))</f>
        <v/>
      </c>
      <c r="E60" s="62" t="inlineStr">
        <is>
          <t>A08</t>
        </is>
      </c>
      <c r="F60" s="63" t="n">
        <v>46320.45833333334</v>
      </c>
      <c r="G60" s="9" t="n"/>
      <c r="H60" s="9" t="n"/>
      <c r="I60" s="10" t="n"/>
      <c r="J60" s="65" t="n">
        <v>45</v>
      </c>
      <c r="K60" s="66" t="inlineStr">
        <is>
          <t>-</t>
        </is>
      </c>
      <c r="L60" s="65" t="n">
        <v>30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A04</t>
        </is>
      </c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IF(C63="","",IFERROR(VLOOKUP(C63,areaNomiBreviSquadre,7,FALSE),""))</f>
        <v/>
      </c>
      <c r="C63" s="62" t="inlineStr">
        <is>
          <t>A09</t>
        </is>
      </c>
      <c r="D63" s="61">
        <f>IF(E63="","",IFERROR(VLOOKUP(E63,areaNomiBreviSquadre,7,FALSE),""))</f>
        <v/>
      </c>
      <c r="E63" s="62" t="inlineStr">
        <is>
          <t>A14</t>
        </is>
      </c>
      <c r="F63" s="63" t="n">
        <v>46320.60416666666</v>
      </c>
      <c r="G63" s="9" t="n"/>
      <c r="H63" s="9" t="n"/>
      <c r="I63" s="10" t="n"/>
      <c r="J63" s="65" t="n">
        <v>41</v>
      </c>
      <c r="K63" s="66" t="inlineStr">
        <is>
          <t>-</t>
        </is>
      </c>
      <c r="L63" s="65" t="n">
        <v>38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A04</t>
        </is>
      </c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IF(C66="","",IFERROR(VLOOKUP(C66,areaNomiBreviSquadre,7,FALSE),""))</f>
        <v/>
      </c>
      <c r="C66" s="62" t="inlineStr">
        <is>
          <t>A13</t>
        </is>
      </c>
      <c r="D66" s="61">
        <f>IF(E66="","",IFERROR(VLOOKUP(E66,areaNomiBreviSquadre,7,FALSE),""))</f>
        <v/>
      </c>
      <c r="E66" s="62" t="inlineStr">
        <is>
          <t>A10</t>
        </is>
      </c>
      <c r="F66" s="63" t="n">
        <v>46320.66666666666</v>
      </c>
      <c r="G66" s="9" t="n"/>
      <c r="H66" s="9" t="n"/>
      <c r="I66" s="10" t="n"/>
      <c r="J66" s="65" t="n">
        <v>24</v>
      </c>
      <c r="K66" s="66" t="inlineStr">
        <is>
          <t>-</t>
        </is>
      </c>
      <c r="L66" s="65" t="n">
        <v>42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A04</t>
        </is>
      </c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IF(C69="","",IFERROR(VLOOKUP(C69,areaNomiBreviSquadre,7,FALSE),""))</f>
        <v/>
      </c>
      <c r="C69" s="62" t="inlineStr">
        <is>
          <t>A11</t>
        </is>
      </c>
      <c r="D69" s="61">
        <f>IF(E69="","",IFERROR(VLOOKUP(E69,areaNomiBreviSquadre,7,FALSE),""))</f>
        <v/>
      </c>
      <c r="E69" s="62" t="inlineStr">
        <is>
          <t>A12</t>
        </is>
      </c>
      <c r="F69" s="63" t="n">
        <v>46320.72916666666</v>
      </c>
      <c r="G69" s="9" t="n"/>
      <c r="H69" s="9" t="n"/>
      <c r="I69" s="10" t="n"/>
      <c r="J69" s="65" t="n">
        <v>61</v>
      </c>
      <c r="K69" s="66" t="inlineStr">
        <is>
          <t>-</t>
        </is>
      </c>
      <c r="L69" s="65" t="n">
        <v>83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A04</t>
        </is>
      </c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IF(C74="","",IFERROR(VLOOKUP(C74,areaNomiBreviSquadre,7,FALSE),""))</f>
        <v/>
      </c>
      <c r="C74" s="62" t="inlineStr">
        <is>
          <t>A05</t>
        </is>
      </c>
      <c r="D74" s="61">
        <f>IF(E74="","",IFERROR(VLOOKUP(E74,areaNomiBreviSquadre,7,FALSE),""))</f>
        <v/>
      </c>
      <c r="E74" s="62" t="inlineStr">
        <is>
          <t>A01</t>
        </is>
      </c>
      <c r="F74" s="63" t="n">
        <v>46327.39583333334</v>
      </c>
      <c r="G74" s="9" t="n"/>
      <c r="H74" s="9" t="n"/>
      <c r="I74" s="10" t="n"/>
      <c r="J74" s="65" t="n">
        <v>32</v>
      </c>
      <c r="K74" s="66" t="inlineStr">
        <is>
          <t>-</t>
        </is>
      </c>
      <c r="L74" s="65" t="n">
        <v>46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A05</t>
        </is>
      </c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IF(C77="","",IFERROR(VLOOKUP(C77,areaNomiBreviSquadre,7,FALSE),""))</f>
        <v/>
      </c>
      <c r="C77" s="62" t="inlineStr">
        <is>
          <t>A03</t>
        </is>
      </c>
      <c r="D77" s="61">
        <f>IF(E77="","",IFERROR(VLOOKUP(E77,areaNomiBreviSquadre,7,FALSE),""))</f>
        <v/>
      </c>
      <c r="E77" s="62" t="inlineStr">
        <is>
          <t>A20</t>
        </is>
      </c>
      <c r="F77" s="63" t="n">
        <v>46327.45833333334</v>
      </c>
      <c r="G77" s="9" t="n"/>
      <c r="H77" s="9" t="n"/>
      <c r="I77" s="10" t="n"/>
      <c r="J77" s="65" t="n">
        <v>39</v>
      </c>
      <c r="K77" s="66" t="inlineStr">
        <is>
          <t>-</t>
        </is>
      </c>
      <c r="L77" s="65" t="n">
        <v>49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A05</t>
        </is>
      </c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IF(C80="","",IFERROR(VLOOKUP(C80,areaNomiBreviSquadre,7,FALSE),""))</f>
        <v/>
      </c>
      <c r="C80" s="62" t="inlineStr">
        <is>
          <t>A02</t>
        </is>
      </c>
      <c r="D80" s="61">
        <f>IF(E80="","",IFERROR(VLOOKUP(E80,areaNomiBreviSquadre,7,FALSE),""))</f>
        <v/>
      </c>
      <c r="E80" s="62" t="inlineStr">
        <is>
          <t>A04</t>
        </is>
      </c>
      <c r="F80" s="63" t="n">
        <v>46327.60416666666</v>
      </c>
      <c r="G80" s="9" t="n"/>
      <c r="H80" s="9" t="n"/>
      <c r="I80" s="10" t="n"/>
      <c r="J80" s="65" t="n">
        <v>66</v>
      </c>
      <c r="K80" s="66" t="inlineStr">
        <is>
          <t>-</t>
        </is>
      </c>
      <c r="L80" s="65" t="n">
        <v>63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A05</t>
        </is>
      </c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IF(C83="","",IFERROR(VLOOKUP(C83,areaNomiBreviSquadre,7,FALSE),""))</f>
        <v/>
      </c>
      <c r="C83" s="62" t="inlineStr">
        <is>
          <t>A07</t>
        </is>
      </c>
      <c r="D83" s="61">
        <f>IF(E83="","",IFERROR(VLOOKUP(E83,areaNomiBreviSquadre,7,FALSE),""))</f>
        <v/>
      </c>
      <c r="E83" s="62" t="inlineStr">
        <is>
          <t>A18</t>
        </is>
      </c>
      <c r="F83" s="63" t="n">
        <v>46327.66666666666</v>
      </c>
      <c r="G83" s="9" t="n"/>
      <c r="H83" s="9" t="n"/>
      <c r="I83" s="10" t="n"/>
      <c r="J83" s="65" t="n">
        <v>61</v>
      </c>
      <c r="K83" s="66" t="inlineStr">
        <is>
          <t>-</t>
        </is>
      </c>
      <c r="L83" s="65" t="n">
        <v>76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A05</t>
        </is>
      </c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IF(C86="","",IFERROR(VLOOKUP(C86,areaNomiBreviSquadre,7,FALSE),""))</f>
        <v/>
      </c>
      <c r="C86" s="62" t="inlineStr">
        <is>
          <t>A17</t>
        </is>
      </c>
      <c r="D86" s="61">
        <f>IF(E86="","",IFERROR(VLOOKUP(E86,areaNomiBreviSquadre,7,FALSE),""))</f>
        <v/>
      </c>
      <c r="E86" s="62" t="inlineStr">
        <is>
          <t>A08</t>
        </is>
      </c>
      <c r="F86" s="63" t="n">
        <v>46327.72916666666</v>
      </c>
      <c r="G86" s="9" t="n"/>
      <c r="H86" s="9" t="n"/>
      <c r="I86" s="10" t="n"/>
      <c r="J86" s="65" t="n">
        <v>47</v>
      </c>
      <c r="K86" s="66" t="inlineStr">
        <is>
          <t>-</t>
        </is>
      </c>
      <c r="L86" s="65" t="n">
        <v>68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A05</t>
        </is>
      </c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IF(C89="","",IFERROR(VLOOKUP(C89,areaNomiBreviSquadre,7,FALSE),""))</f>
        <v/>
      </c>
      <c r="C89" s="62" t="inlineStr">
        <is>
          <t>A19</t>
        </is>
      </c>
      <c r="D89" s="61">
        <f>IF(E89="","",IFERROR(VLOOKUP(E89,areaNomiBreviSquadre,7,FALSE),""))</f>
        <v/>
      </c>
      <c r="E89" s="62" t="inlineStr">
        <is>
          <t>A06</t>
        </is>
      </c>
      <c r="F89" s="63" t="n">
        <v>46327.39583333334</v>
      </c>
      <c r="G89" s="9" t="n"/>
      <c r="H89" s="9" t="n"/>
      <c r="I89" s="10" t="n"/>
      <c r="J89" s="65" t="n">
        <v>29</v>
      </c>
      <c r="K89" s="66" t="inlineStr">
        <is>
          <t>-</t>
        </is>
      </c>
      <c r="L89" s="65" t="n">
        <v>42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A06</t>
        </is>
      </c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IF(C92="","",IFERROR(VLOOKUP(C92,areaNomiBreviSquadre,7,FALSE),""))</f>
        <v/>
      </c>
      <c r="C92" s="62" t="inlineStr">
        <is>
          <t>A09</t>
        </is>
      </c>
      <c r="D92" s="61">
        <f>IF(E92="","",IFERROR(VLOOKUP(E92,areaNomiBreviSquadre,7,FALSE),""))</f>
        <v/>
      </c>
      <c r="E92" s="62" t="inlineStr">
        <is>
          <t>A16</t>
        </is>
      </c>
      <c r="F92" s="63" t="n">
        <v>46327.45833333334</v>
      </c>
      <c r="G92" s="9" t="n"/>
      <c r="H92" s="9" t="n"/>
      <c r="I92" s="10" t="n"/>
      <c r="J92" s="65" t="n">
        <v>69</v>
      </c>
      <c r="K92" s="66" t="inlineStr">
        <is>
          <t>-</t>
        </is>
      </c>
      <c r="L92" s="65" t="n">
        <v>91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A06</t>
        </is>
      </c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IF(C95="","",IFERROR(VLOOKUP(C95,areaNomiBreviSquadre,7,FALSE),""))</f>
        <v/>
      </c>
      <c r="C95" s="62" t="inlineStr">
        <is>
          <t>A15</t>
        </is>
      </c>
      <c r="D95" s="61">
        <f>IF(E95="","",IFERROR(VLOOKUP(E95,areaNomiBreviSquadre,7,FALSE),""))</f>
        <v/>
      </c>
      <c r="E95" s="62" t="inlineStr">
        <is>
          <t>A10</t>
        </is>
      </c>
      <c r="F95" s="63" t="n">
        <v>46327.60416666666</v>
      </c>
      <c r="G95" s="9" t="n"/>
      <c r="H95" s="9" t="n"/>
      <c r="I95" s="10" t="n"/>
      <c r="J95" s="65" t="n">
        <v>65</v>
      </c>
      <c r="K95" s="66" t="inlineStr">
        <is>
          <t>-</t>
        </is>
      </c>
      <c r="L95" s="65" t="n">
        <v>79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A06</t>
        </is>
      </c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IF(C98="","",IFERROR(VLOOKUP(C98,areaNomiBreviSquadre,7,FALSE),""))</f>
        <v/>
      </c>
      <c r="C98" s="62" t="inlineStr">
        <is>
          <t>A11</t>
        </is>
      </c>
      <c r="D98" s="61">
        <f>IF(E98="","",IFERROR(VLOOKUP(E98,areaNomiBreviSquadre,7,FALSE),""))</f>
        <v/>
      </c>
      <c r="E98" s="62" t="inlineStr">
        <is>
          <t>A14</t>
        </is>
      </c>
      <c r="F98" s="63" t="n">
        <v>46327.66666666666</v>
      </c>
      <c r="G98" s="9" t="n"/>
      <c r="H98" s="9" t="n"/>
      <c r="I98" s="10" t="n"/>
      <c r="J98" s="65" t="n">
        <v>50</v>
      </c>
      <c r="K98" s="66" t="inlineStr">
        <is>
          <t>-</t>
        </is>
      </c>
      <c r="L98" s="65" t="n">
        <v>63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A06</t>
        </is>
      </c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IF(C101="","",IFERROR(VLOOKUP(C101,areaNomiBreviSquadre,7,FALSE),""))</f>
        <v/>
      </c>
      <c r="C101" s="62" t="inlineStr">
        <is>
          <t>A13</t>
        </is>
      </c>
      <c r="D101" s="61">
        <f>IF(E101="","",IFERROR(VLOOKUP(E101,areaNomiBreviSquadre,7,FALSE),""))</f>
        <v/>
      </c>
      <c r="E101" s="62" t="inlineStr">
        <is>
          <t>A12</t>
        </is>
      </c>
      <c r="F101" s="63" t="n">
        <v>46327.72916666666</v>
      </c>
      <c r="G101" s="9" t="n"/>
      <c r="H101" s="9" t="n"/>
      <c r="I101" s="10" t="n"/>
      <c r="J101" s="65" t="n">
        <v>30</v>
      </c>
      <c r="K101" s="66" t="inlineStr">
        <is>
          <t>-</t>
        </is>
      </c>
      <c r="L101" s="65" t="n">
        <v>58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A06</t>
        </is>
      </c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IF(C106="","",IFERROR(VLOOKUP(C106,areaNomiBreviSquadre,7,FALSE),""))</f>
        <v/>
      </c>
      <c r="C106" s="62" t="inlineStr">
        <is>
          <t>A07</t>
        </is>
      </c>
      <c r="D106" s="61">
        <f>IF(E106="","",IFERROR(VLOOKUP(E106,areaNomiBreviSquadre,7,FALSE),""))</f>
        <v/>
      </c>
      <c r="E106" s="62" t="inlineStr">
        <is>
          <t>A01</t>
        </is>
      </c>
      <c r="F106" s="63" t="n">
        <v>46334.39583333334</v>
      </c>
      <c r="G106" s="9" t="n"/>
      <c r="H106" s="9" t="n"/>
      <c r="I106" s="10" t="n"/>
      <c r="J106" s="65" t="n">
        <v>46</v>
      </c>
      <c r="K106" s="66" t="inlineStr">
        <is>
          <t>-</t>
        </is>
      </c>
      <c r="L106" s="65" t="n">
        <v>53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A07</t>
        </is>
      </c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IF(C109="","",IFERROR(VLOOKUP(C109,areaNomiBreviSquadre,7,FALSE),""))</f>
        <v/>
      </c>
      <c r="C109" s="62" t="inlineStr">
        <is>
          <t>A20</t>
        </is>
      </c>
      <c r="D109" s="61">
        <f>IF(E109="","",IFERROR(VLOOKUP(E109,areaNomiBreviSquadre,7,FALSE),""))</f>
        <v/>
      </c>
      <c r="E109" s="62" t="inlineStr">
        <is>
          <t>A04</t>
        </is>
      </c>
      <c r="F109" s="63" t="n">
        <v>46334.45833333334</v>
      </c>
      <c r="G109" s="9" t="n"/>
      <c r="H109" s="9" t="n"/>
      <c r="I109" s="10" t="n"/>
      <c r="J109" s="65" t="n">
        <v>60</v>
      </c>
      <c r="K109" s="66" t="inlineStr">
        <is>
          <t>-</t>
        </is>
      </c>
      <c r="L109" s="65" t="n">
        <v>59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A07</t>
        </is>
      </c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IF(C112="","",IFERROR(VLOOKUP(C112,areaNomiBreviSquadre,7,FALSE),""))</f>
        <v/>
      </c>
      <c r="C112" s="62" t="inlineStr">
        <is>
          <t>A05</t>
        </is>
      </c>
      <c r="D112" s="61">
        <f>IF(E112="","",IFERROR(VLOOKUP(E112,areaNomiBreviSquadre,7,FALSE),""))</f>
        <v/>
      </c>
      <c r="E112" s="62" t="inlineStr">
        <is>
          <t>A03</t>
        </is>
      </c>
      <c r="F112" s="63" t="n">
        <v>46334.60416666666</v>
      </c>
      <c r="G112" s="9" t="n"/>
      <c r="H112" s="9" t="n"/>
      <c r="I112" s="10" t="n"/>
      <c r="J112" s="65" t="n">
        <v>34</v>
      </c>
      <c r="K112" s="66" t="inlineStr">
        <is>
          <t>-</t>
        </is>
      </c>
      <c r="L112" s="65" t="n">
        <v>51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A07</t>
        </is>
      </c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IF(C115="","",IFERROR(VLOOKUP(C115,areaNomiBreviSquadre,7,FALSE),""))</f>
        <v/>
      </c>
      <c r="C115" s="62" t="inlineStr">
        <is>
          <t>A02</t>
        </is>
      </c>
      <c r="D115" s="61">
        <f>IF(E115="","",IFERROR(VLOOKUP(E115,areaNomiBreviSquadre,7,FALSE),""))</f>
        <v/>
      </c>
      <c r="E115" s="62" t="inlineStr">
        <is>
          <t>A06</t>
        </is>
      </c>
      <c r="F115" s="63" t="n">
        <v>46334.66666666666</v>
      </c>
      <c r="G115" s="9" t="n"/>
      <c r="H115" s="9" t="n"/>
      <c r="I115" s="10" t="n"/>
      <c r="J115" s="65" t="n">
        <v>58</v>
      </c>
      <c r="K115" s="66" t="inlineStr">
        <is>
          <t>-</t>
        </is>
      </c>
      <c r="L115" s="65" t="n">
        <v>77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A07</t>
        </is>
      </c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IF(C118="","",IFERROR(VLOOKUP(C118,areaNomiBreviSquadre,7,FALSE),""))</f>
        <v/>
      </c>
      <c r="C118" s="62" t="inlineStr">
        <is>
          <t>A09</t>
        </is>
      </c>
      <c r="D118" s="61">
        <f>IF(E118="","",IFERROR(VLOOKUP(E118,areaNomiBreviSquadre,7,FALSE),""))</f>
        <v/>
      </c>
      <c r="E118" s="62" t="inlineStr">
        <is>
          <t>A18</t>
        </is>
      </c>
      <c r="F118" s="63" t="n">
        <v>46334.72916666666</v>
      </c>
      <c r="G118" s="9" t="n"/>
      <c r="H118" s="9" t="n"/>
      <c r="I118" s="10" t="n"/>
      <c r="J118" s="65" t="n">
        <v>65</v>
      </c>
      <c r="K118" s="66" t="inlineStr">
        <is>
          <t>-</t>
        </is>
      </c>
      <c r="L118" s="65" t="n">
        <v>43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A07</t>
        </is>
      </c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IF(C121="","",IFERROR(VLOOKUP(C121,areaNomiBreviSquadre,7,FALSE),""))</f>
        <v/>
      </c>
      <c r="C121" s="62" t="inlineStr">
        <is>
          <t>A19</t>
        </is>
      </c>
      <c r="D121" s="61">
        <f>IF(E121="","",IFERROR(VLOOKUP(E121,areaNomiBreviSquadre,7,FALSE),""))</f>
        <v/>
      </c>
      <c r="E121" s="62" t="inlineStr">
        <is>
          <t>A08</t>
        </is>
      </c>
      <c r="F121" s="63" t="n">
        <v>46334.39583333334</v>
      </c>
      <c r="G121" s="9" t="n"/>
      <c r="H121" s="9" t="n"/>
      <c r="I121" s="10" t="n"/>
      <c r="J121" s="65" t="n">
        <v>65</v>
      </c>
      <c r="K121" s="66" t="inlineStr">
        <is>
          <t>-</t>
        </is>
      </c>
      <c r="L121" s="65" t="n">
        <v>68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A08</t>
        </is>
      </c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IF(C124="","",IFERROR(VLOOKUP(C124,areaNomiBreviSquadre,7,FALSE),""))</f>
        <v/>
      </c>
      <c r="C124" s="62" t="inlineStr">
        <is>
          <t>A17</t>
        </is>
      </c>
      <c r="D124" s="61">
        <f>IF(E124="","",IFERROR(VLOOKUP(E124,areaNomiBreviSquadre,7,FALSE),""))</f>
        <v/>
      </c>
      <c r="E124" s="62" t="inlineStr">
        <is>
          <t>A10</t>
        </is>
      </c>
      <c r="F124" s="63" t="n">
        <v>46334.45833333334</v>
      </c>
      <c r="G124" s="9" t="n"/>
      <c r="H124" s="9" t="n"/>
      <c r="I124" s="10" t="n"/>
      <c r="J124" s="65" t="n">
        <v>43</v>
      </c>
      <c r="K124" s="66" t="inlineStr">
        <is>
          <t>-</t>
        </is>
      </c>
      <c r="L124" s="65" t="n">
        <v>44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A08</t>
        </is>
      </c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IF(C127="","",IFERROR(VLOOKUP(C127,areaNomiBreviSquadre,7,FALSE),""))</f>
        <v/>
      </c>
      <c r="C127" s="62" t="inlineStr">
        <is>
          <t>A11</t>
        </is>
      </c>
      <c r="D127" s="61">
        <f>IF(E127="","",IFERROR(VLOOKUP(E127,areaNomiBreviSquadre,7,FALSE),""))</f>
        <v/>
      </c>
      <c r="E127" s="62" t="inlineStr">
        <is>
          <t>A16</t>
        </is>
      </c>
      <c r="F127" s="63" t="n">
        <v>46334.60416666666</v>
      </c>
      <c r="G127" s="9" t="n"/>
      <c r="H127" s="9" t="n"/>
      <c r="I127" s="10" t="n"/>
      <c r="J127" s="65" t="n">
        <v>60</v>
      </c>
      <c r="K127" s="66" t="inlineStr">
        <is>
          <t>-</t>
        </is>
      </c>
      <c r="L127" s="65" t="n">
        <v>83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A08</t>
        </is>
      </c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IF(C130="","",IFERROR(VLOOKUP(C130,areaNomiBreviSquadre,7,FALSE),""))</f>
        <v/>
      </c>
      <c r="C130" s="62" t="inlineStr">
        <is>
          <t>A15</t>
        </is>
      </c>
      <c r="D130" s="61">
        <f>IF(E130="","",IFERROR(VLOOKUP(E130,areaNomiBreviSquadre,7,FALSE),""))</f>
        <v/>
      </c>
      <c r="E130" s="62" t="inlineStr">
        <is>
          <t>A12</t>
        </is>
      </c>
      <c r="F130" s="63" t="n">
        <v>46334.66666666666</v>
      </c>
      <c r="G130" s="9" t="n"/>
      <c r="H130" s="9" t="n"/>
      <c r="I130" s="10" t="n"/>
      <c r="J130" s="65" t="n">
        <v>63</v>
      </c>
      <c r="K130" s="66" t="inlineStr">
        <is>
          <t>-</t>
        </is>
      </c>
      <c r="L130" s="65" t="n">
        <v>66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A08</t>
        </is>
      </c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IF(C133="","",IFERROR(VLOOKUP(C133,areaNomiBreviSquadre,7,FALSE),""))</f>
        <v/>
      </c>
      <c r="C133" s="62" t="inlineStr">
        <is>
          <t>A13</t>
        </is>
      </c>
      <c r="D133" s="61">
        <f>IF(E133="","",IFERROR(VLOOKUP(E133,areaNomiBreviSquadre,7,FALSE),""))</f>
        <v/>
      </c>
      <c r="E133" s="62" t="inlineStr">
        <is>
          <t>A14</t>
        </is>
      </c>
      <c r="F133" s="63" t="n">
        <v>46334.72916666666</v>
      </c>
      <c r="G133" s="9" t="n"/>
      <c r="H133" s="9" t="n"/>
      <c r="I133" s="10" t="n"/>
      <c r="J133" s="65" t="n">
        <v>85</v>
      </c>
      <c r="K133" s="66" t="inlineStr">
        <is>
          <t>-</t>
        </is>
      </c>
      <c r="L133" s="65" t="n">
        <v>58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A08</t>
        </is>
      </c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IF(C138="","",IFERROR(VLOOKUP(C138,areaNomiBreviSquadre,7,FALSE),""))</f>
        <v/>
      </c>
      <c r="C138" s="62" t="inlineStr">
        <is>
          <t>A09</t>
        </is>
      </c>
      <c r="D138" s="61">
        <f>IF(E138="","",IFERROR(VLOOKUP(E138,areaNomiBreviSquadre,7,FALSE),""))</f>
        <v/>
      </c>
      <c r="E138" s="62" t="inlineStr">
        <is>
          <t>A01</t>
        </is>
      </c>
      <c r="F138" s="63" t="n">
        <v>46341.39583333334</v>
      </c>
      <c r="G138" s="9" t="n"/>
      <c r="H138" s="9" t="n"/>
      <c r="I138" s="10" t="n"/>
      <c r="J138" s="65" t="n">
        <v>61</v>
      </c>
      <c r="K138" s="66" t="inlineStr">
        <is>
          <t>-</t>
        </is>
      </c>
      <c r="L138" s="65" t="n">
        <v>54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A09</t>
        </is>
      </c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IF(C141="","",IFERROR(VLOOKUP(C141,areaNomiBreviSquadre,7,FALSE),""))</f>
        <v/>
      </c>
      <c r="C141" s="62" t="inlineStr">
        <is>
          <t>A05</t>
        </is>
      </c>
      <c r="D141" s="61">
        <f>IF(E141="","",IFERROR(VLOOKUP(E141,areaNomiBreviSquadre,7,FALSE),""))</f>
        <v/>
      </c>
      <c r="E141" s="62" t="inlineStr">
        <is>
          <t>A20</t>
        </is>
      </c>
      <c r="F141" s="63" t="n">
        <v>46341.45833333334</v>
      </c>
      <c r="G141" s="9" t="n"/>
      <c r="H141" s="9" t="n"/>
      <c r="I141" s="10" t="n"/>
      <c r="J141" s="65" t="n">
        <v>66</v>
      </c>
      <c r="K141" s="66" t="inlineStr">
        <is>
          <t>-</t>
        </is>
      </c>
      <c r="L141" s="65" t="n">
        <v>73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A09</t>
        </is>
      </c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IF(C144="","",IFERROR(VLOOKUP(C144,areaNomiBreviSquadre,7,FALSE),""))</f>
        <v/>
      </c>
      <c r="C144" s="62" t="inlineStr">
        <is>
          <t>A04</t>
        </is>
      </c>
      <c r="D144" s="61">
        <f>IF(E144="","",IFERROR(VLOOKUP(E144,areaNomiBreviSquadre,7,FALSE),""))</f>
        <v/>
      </c>
      <c r="E144" s="62" t="inlineStr">
        <is>
          <t>A06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80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A09</t>
        </is>
      </c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IF(C147="","",IFERROR(VLOOKUP(C147,areaNomiBreviSquadre,7,FALSE),""))</f>
        <v/>
      </c>
      <c r="C147" s="62" t="inlineStr">
        <is>
          <t>A07</t>
        </is>
      </c>
      <c r="D147" s="61">
        <f>IF(E147="","",IFERROR(VLOOKUP(E147,areaNomiBreviSquadre,7,FALSE),""))</f>
        <v/>
      </c>
      <c r="E147" s="62" t="inlineStr">
        <is>
          <t>A03</t>
        </is>
      </c>
      <c r="F147" s="63" t="n">
        <v>46341.66666666666</v>
      </c>
      <c r="G147" s="9" t="n"/>
      <c r="H147" s="9" t="n"/>
      <c r="I147" s="10" t="n"/>
      <c r="J147" s="65" t="n">
        <v>19</v>
      </c>
      <c r="K147" s="66" t="inlineStr">
        <is>
          <t>-</t>
        </is>
      </c>
      <c r="L147" s="65" t="n">
        <v>41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A09</t>
        </is>
      </c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IF(C150="","",IFERROR(VLOOKUP(C150,areaNomiBreviSquadre,7,FALSE),""))</f>
        <v/>
      </c>
      <c r="C150" s="62" t="inlineStr">
        <is>
          <t>A02</t>
        </is>
      </c>
      <c r="D150" s="61">
        <f>IF(E150="","",IFERROR(VLOOKUP(E150,areaNomiBreviSquadre,7,FALSE),""))</f>
        <v/>
      </c>
      <c r="E150" s="62" t="inlineStr">
        <is>
          <t>A08</t>
        </is>
      </c>
      <c r="F150" s="63" t="n">
        <v>46341.72916666666</v>
      </c>
      <c r="G150" s="9" t="n"/>
      <c r="H150" s="9" t="n"/>
      <c r="I150" s="10" t="n"/>
      <c r="J150" s="65" t="n">
        <v>40</v>
      </c>
      <c r="K150" s="66" t="inlineStr">
        <is>
          <t>-</t>
        </is>
      </c>
      <c r="L150" s="65" t="n">
        <v>0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A09</t>
        </is>
      </c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IF(C153="","",IFERROR(VLOOKUP(C153,areaNomiBreviSquadre,7,FALSE),""))</f>
        <v/>
      </c>
      <c r="C153" s="62" t="inlineStr">
        <is>
          <t>A19</t>
        </is>
      </c>
      <c r="D153" s="61">
        <f>IF(E153="","",IFERROR(VLOOKUP(E153,areaNomiBreviSquadre,7,FALSE),""))</f>
        <v/>
      </c>
      <c r="E153" s="62" t="inlineStr">
        <is>
          <t>A10</t>
        </is>
      </c>
      <c r="F153" s="63" t="n">
        <v>46341.39583333334</v>
      </c>
      <c r="G153" s="9" t="n"/>
      <c r="H153" s="9" t="n"/>
      <c r="I153" s="10" t="n"/>
      <c r="J153" s="65" t="n">
        <v>87</v>
      </c>
      <c r="K153" s="66" t="inlineStr">
        <is>
          <t>-</t>
        </is>
      </c>
      <c r="L153" s="65" t="n">
        <v>78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A10</t>
        </is>
      </c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IF(C156="","",IFERROR(VLOOKUP(C156,areaNomiBreviSquadre,7,FALSE),""))</f>
        <v/>
      </c>
      <c r="C156" s="62" t="inlineStr">
        <is>
          <t>A11</t>
        </is>
      </c>
      <c r="D156" s="61">
        <f>IF(E156="","",IFERROR(VLOOKUP(E156,areaNomiBreviSquadre,7,FALSE),""))</f>
        <v/>
      </c>
      <c r="E156" s="62" t="inlineStr">
        <is>
          <t>A18</t>
        </is>
      </c>
      <c r="F156" s="63" t="n">
        <v>46341.45833333334</v>
      </c>
      <c r="G156" s="9" t="n"/>
      <c r="H156" s="9" t="n"/>
      <c r="I156" s="10" t="n"/>
      <c r="J156" s="65" t="n">
        <v>90</v>
      </c>
      <c r="K156" s="66" t="inlineStr">
        <is>
          <t>-</t>
        </is>
      </c>
      <c r="L156" s="65" t="n">
        <v>78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A10</t>
        </is>
      </c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IF(C159="","",IFERROR(VLOOKUP(C159,areaNomiBreviSquadre,7,FALSE),""))</f>
        <v/>
      </c>
      <c r="C159" s="62" t="inlineStr">
        <is>
          <t>A17</t>
        </is>
      </c>
      <c r="D159" s="61">
        <f>IF(E159="","",IFERROR(VLOOKUP(E159,areaNomiBreviSquadre,7,FALSE),""))</f>
        <v/>
      </c>
      <c r="E159" s="62" t="inlineStr">
        <is>
          <t>A12</t>
        </is>
      </c>
      <c r="F159" s="63" t="n">
        <v>46341.60416666666</v>
      </c>
      <c r="G159" s="9" t="n"/>
      <c r="H159" s="9" t="n"/>
      <c r="I159" s="10" t="n"/>
      <c r="J159" s="65" t="n">
        <v>59</v>
      </c>
      <c r="K159" s="66" t="inlineStr">
        <is>
          <t>-</t>
        </is>
      </c>
      <c r="L159" s="65" t="n">
        <v>41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A10</t>
        </is>
      </c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IF(C162="","",IFERROR(VLOOKUP(C162,areaNomiBreviSquadre,7,FALSE),""))</f>
        <v/>
      </c>
      <c r="C162" s="62" t="inlineStr">
        <is>
          <t>A13</t>
        </is>
      </c>
      <c r="D162" s="61">
        <f>IF(E162="","",IFERROR(VLOOKUP(E162,areaNomiBreviSquadre,7,FALSE),""))</f>
        <v/>
      </c>
      <c r="E162" s="62" t="inlineStr">
        <is>
          <t>A16</t>
        </is>
      </c>
      <c r="F162" s="63" t="n">
        <v>46341.66666666666</v>
      </c>
      <c r="G162" s="9" t="n"/>
      <c r="H162" s="9" t="n"/>
      <c r="I162" s="10" t="n"/>
      <c r="J162" s="65" t="n">
        <v>77</v>
      </c>
      <c r="K162" s="66" t="inlineStr">
        <is>
          <t>-</t>
        </is>
      </c>
      <c r="L162" s="65" t="n">
        <v>57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A10</t>
        </is>
      </c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IF(C165="","",IFERROR(VLOOKUP(C165,areaNomiBreviSquadre,7,FALSE),""))</f>
        <v/>
      </c>
      <c r="C165" s="62" t="inlineStr">
        <is>
          <t>A15</t>
        </is>
      </c>
      <c r="D165" s="61">
        <f>IF(E165="","",IFERROR(VLOOKUP(E165,areaNomiBreviSquadre,7,FALSE),""))</f>
        <v/>
      </c>
      <c r="E165" s="62" t="inlineStr">
        <is>
          <t>A14</t>
        </is>
      </c>
      <c r="F165" s="63" t="n">
        <v>46341.72916666666</v>
      </c>
      <c r="G165" s="9" t="n"/>
      <c r="H165" s="9" t="n"/>
      <c r="I165" s="10" t="n"/>
      <c r="J165" s="65" t="n">
        <v>83</v>
      </c>
      <c r="K165" s="66" t="inlineStr">
        <is>
          <t>-</t>
        </is>
      </c>
      <c r="L165" s="65" t="n">
        <v>78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A10</t>
        </is>
      </c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IF(C170="","",IFERROR(VLOOKUP(C170,areaNomiBreviSquadre,7,FALSE),""))</f>
        <v/>
      </c>
      <c r="C170" s="62" t="inlineStr">
        <is>
          <t>A11</t>
        </is>
      </c>
      <c r="D170" s="61">
        <f>IF(E170="","",IFERROR(VLOOKUP(E170,areaNomiBreviSquadre,7,FALSE),""))</f>
        <v/>
      </c>
      <c r="E170" s="62" t="inlineStr">
        <is>
          <t>A01</t>
        </is>
      </c>
      <c r="F170" s="63" t="n">
        <v>46348.39583333334</v>
      </c>
      <c r="G170" s="9" t="n"/>
      <c r="H170" s="9" t="n"/>
      <c r="I170" s="10" t="n"/>
      <c r="J170" s="65" t="n">
        <v>26</v>
      </c>
      <c r="K170" s="66" t="inlineStr">
        <is>
          <t>-</t>
        </is>
      </c>
      <c r="L170" s="65" t="n">
        <v>39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A11</t>
        </is>
      </c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IF(C173="","",IFERROR(VLOOKUP(C173,areaNomiBreviSquadre,7,FALSE),""))</f>
        <v/>
      </c>
      <c r="C173" s="62" t="inlineStr">
        <is>
          <t>A20</t>
        </is>
      </c>
      <c r="D173" s="61">
        <f>IF(E173="","",IFERROR(VLOOKUP(E173,areaNomiBreviSquadre,7,FALSE),""))</f>
        <v/>
      </c>
      <c r="E173" s="62" t="inlineStr">
        <is>
          <t>A06</t>
        </is>
      </c>
      <c r="F173" s="63" t="n">
        <v>46348.45833333334</v>
      </c>
      <c r="G173" s="9" t="n"/>
      <c r="H173" s="9" t="n"/>
      <c r="I173" s="10" t="n"/>
      <c r="J173" s="65" t="n">
        <v>60</v>
      </c>
      <c r="K173" s="66" t="inlineStr">
        <is>
          <t>-</t>
        </is>
      </c>
      <c r="L173" s="65" t="n">
        <v>44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A11</t>
        </is>
      </c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IF(C176="","",IFERROR(VLOOKUP(C176,areaNomiBreviSquadre,7,FALSE),""))</f>
        <v/>
      </c>
      <c r="C176" s="62" t="inlineStr">
        <is>
          <t>A07</t>
        </is>
      </c>
      <c r="D176" s="61">
        <f>IF(E176="","",IFERROR(VLOOKUP(E176,areaNomiBreviSquadre,7,FALSE),""))</f>
        <v/>
      </c>
      <c r="E176" s="62" t="inlineStr">
        <is>
          <t>A05</t>
        </is>
      </c>
      <c r="F176" s="63" t="n">
        <v>46348.60416666666</v>
      </c>
      <c r="G176" s="9" t="n"/>
      <c r="H176" s="9" t="n"/>
      <c r="I176" s="10" t="n"/>
      <c r="J176" s="65" t="n">
        <v>44</v>
      </c>
      <c r="K176" s="66" t="inlineStr">
        <is>
          <t>-</t>
        </is>
      </c>
      <c r="L176" s="65" t="n">
        <v>61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A11</t>
        </is>
      </c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IF(C179="","",IFERROR(VLOOKUP(C179,areaNomiBreviSquadre,7,FALSE),""))</f>
        <v/>
      </c>
      <c r="C179" s="62" t="inlineStr">
        <is>
          <t>A04</t>
        </is>
      </c>
      <c r="D179" s="61">
        <f>IF(E179="","",IFERROR(VLOOKUP(E179,areaNomiBreviSquadre,7,FALSE),""))</f>
        <v/>
      </c>
      <c r="E179" s="62" t="inlineStr">
        <is>
          <t>A08</t>
        </is>
      </c>
      <c r="F179" s="63" t="n">
        <v>46348.66666666666</v>
      </c>
      <c r="G179" s="9" t="n"/>
      <c r="H179" s="9" t="n"/>
      <c r="I179" s="10" t="n"/>
      <c r="J179" s="65" t="n">
        <v>26</v>
      </c>
      <c r="K179" s="66" t="inlineStr">
        <is>
          <t>-</t>
        </is>
      </c>
      <c r="L179" s="65" t="n">
        <v>45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A11</t>
        </is>
      </c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IF(C182="","",IFERROR(VLOOKUP(C182,areaNomiBreviSquadre,7,FALSE),""))</f>
        <v/>
      </c>
      <c r="C182" s="62" t="inlineStr">
        <is>
          <t>A09</t>
        </is>
      </c>
      <c r="D182" s="61">
        <f>IF(E182="","",IFERROR(VLOOKUP(E182,areaNomiBreviSquadre,7,FALSE),""))</f>
        <v/>
      </c>
      <c r="E182" s="62" t="inlineStr">
        <is>
          <t>A03</t>
        </is>
      </c>
      <c r="F182" s="63" t="n">
        <v>46348.72916666666</v>
      </c>
      <c r="G182" s="9" t="n"/>
      <c r="H182" s="9" t="n"/>
      <c r="I182" s="10" t="n"/>
      <c r="J182" s="65" t="n">
        <v>42</v>
      </c>
      <c r="K182" s="66" t="inlineStr">
        <is>
          <t>-</t>
        </is>
      </c>
      <c r="L182" s="65" t="n">
        <v>44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A11</t>
        </is>
      </c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IF(C185="","",IFERROR(VLOOKUP(C185,areaNomiBreviSquadre,7,FALSE),""))</f>
        <v/>
      </c>
      <c r="C185" s="62" t="inlineStr">
        <is>
          <t>A19</t>
        </is>
      </c>
      <c r="D185" s="61">
        <f>IF(E185="","",IFERROR(VLOOKUP(E185,areaNomiBreviSquadre,7,FALSE),""))</f>
        <v/>
      </c>
      <c r="E185" s="62" t="inlineStr">
        <is>
          <t>A12</t>
        </is>
      </c>
      <c r="F185" s="63" t="n">
        <v>46348.39583333334</v>
      </c>
      <c r="G185" s="9" t="n"/>
      <c r="H185" s="9" t="n"/>
      <c r="I185" s="10" t="n"/>
      <c r="J185" s="65" t="n">
        <v>43</v>
      </c>
      <c r="K185" s="66" t="inlineStr">
        <is>
          <t>-</t>
        </is>
      </c>
      <c r="L185" s="65" t="n">
        <v>44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A12</t>
        </is>
      </c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IF(C188="","",IFERROR(VLOOKUP(C188,areaNomiBreviSquadre,7,FALSE),""))</f>
        <v/>
      </c>
      <c r="C188" s="62" t="inlineStr">
        <is>
          <t>A02</t>
        </is>
      </c>
      <c r="D188" s="61">
        <f>IF(E188="","",IFERROR(VLOOKUP(E188,areaNomiBreviSquadre,7,FALSE),""))</f>
        <v/>
      </c>
      <c r="E188" s="62" t="inlineStr">
        <is>
          <t>A10</t>
        </is>
      </c>
      <c r="F188" s="63" t="n">
        <v>46348.45833333334</v>
      </c>
      <c r="G188" s="9" t="n"/>
      <c r="H188" s="9" t="n"/>
      <c r="I188" s="10" t="n"/>
      <c r="J188" s="65" t="n">
        <v>40</v>
      </c>
      <c r="K188" s="66" t="inlineStr">
        <is>
          <t>-</t>
        </is>
      </c>
      <c r="L188" s="65" t="n">
        <v>37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A12</t>
        </is>
      </c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IF(C191="","",IFERROR(VLOOKUP(C191,areaNomiBreviSquadre,7,FALSE),""))</f>
        <v/>
      </c>
      <c r="C191" s="62" t="inlineStr">
        <is>
          <t>A13</t>
        </is>
      </c>
      <c r="D191" s="61">
        <f>IF(E191="","",IFERROR(VLOOKUP(E191,areaNomiBreviSquadre,7,FALSE),""))</f>
        <v/>
      </c>
      <c r="E191" s="62" t="inlineStr">
        <is>
          <t>A18</t>
        </is>
      </c>
      <c r="F191" s="63" t="n">
        <v>46348.60416666666</v>
      </c>
      <c r="G191" s="9" t="n"/>
      <c r="H191" s="9" t="n"/>
      <c r="I191" s="10" t="n"/>
      <c r="J191" s="65" t="n">
        <v>49</v>
      </c>
      <c r="K191" s="66" t="inlineStr">
        <is>
          <t>-</t>
        </is>
      </c>
      <c r="L191" s="65" t="n">
        <v>24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A12</t>
        </is>
      </c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IF(C194="","",IFERROR(VLOOKUP(C194,areaNomiBreviSquadre,7,FALSE),""))</f>
        <v/>
      </c>
      <c r="C194" s="62" t="inlineStr">
        <is>
          <t>A17</t>
        </is>
      </c>
      <c r="D194" s="61">
        <f>IF(E194="","",IFERROR(VLOOKUP(E194,areaNomiBreviSquadre,7,FALSE),""))</f>
        <v/>
      </c>
      <c r="E194" s="62" t="inlineStr">
        <is>
          <t>A14</t>
        </is>
      </c>
      <c r="F194" s="63" t="n">
        <v>46348.66666666666</v>
      </c>
      <c r="G194" s="9" t="n"/>
      <c r="H194" s="9" t="n"/>
      <c r="I194" s="10" t="n"/>
      <c r="J194" s="65" t="n">
        <v>61</v>
      </c>
      <c r="K194" s="66" t="inlineStr">
        <is>
          <t>-</t>
        </is>
      </c>
      <c r="L194" s="65" t="n">
        <v>78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A12</t>
        </is>
      </c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IF(C197="","",IFERROR(VLOOKUP(C197,areaNomiBreviSquadre,7,FALSE),""))</f>
        <v/>
      </c>
      <c r="C197" s="62" t="inlineStr">
        <is>
          <t>A15</t>
        </is>
      </c>
      <c r="D197" s="61">
        <f>IF(E197="","",IFERROR(VLOOKUP(E197,areaNomiBreviSquadre,7,FALSE),""))</f>
        <v/>
      </c>
      <c r="E197" s="62" t="inlineStr">
        <is>
          <t>A16</t>
        </is>
      </c>
      <c r="F197" s="63" t="n">
        <v>46348.72916666666</v>
      </c>
      <c r="G197" s="9" t="n"/>
      <c r="H197" s="9" t="n"/>
      <c r="I197" s="10" t="n"/>
      <c r="J197" s="65" t="n">
        <v>85</v>
      </c>
      <c r="K197" s="66" t="inlineStr">
        <is>
          <t>-</t>
        </is>
      </c>
      <c r="L197" s="65" t="n">
        <v>89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A12</t>
        </is>
      </c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IF(C202="","",IFERROR(VLOOKUP(C202,areaNomiBreviSquadre,7,FALSE),""))</f>
        <v/>
      </c>
      <c r="C202" s="62" t="inlineStr">
        <is>
          <t>A13</t>
        </is>
      </c>
      <c r="D202" s="61">
        <f>IF(E202="","",IFERROR(VLOOKUP(E202,areaNomiBreviSquadre,7,FALSE),""))</f>
        <v/>
      </c>
      <c r="E202" s="62" t="inlineStr">
        <is>
          <t>A01</t>
        </is>
      </c>
      <c r="F202" s="63" t="n">
        <v>46355.39583333334</v>
      </c>
      <c r="G202" s="9" t="n"/>
      <c r="H202" s="9" t="n"/>
      <c r="I202" s="10" t="n"/>
      <c r="J202" s="65" t="n">
        <v>49</v>
      </c>
      <c r="K202" s="66" t="inlineStr">
        <is>
          <t>-</t>
        </is>
      </c>
      <c r="L202" s="65" t="n">
        <v>60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A13</t>
        </is>
      </c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IF(C205="","",IFERROR(VLOOKUP(C205,areaNomiBreviSquadre,7,FALSE),""))</f>
        <v/>
      </c>
      <c r="C205" s="62" t="inlineStr">
        <is>
          <t>A07</t>
        </is>
      </c>
      <c r="D205" s="61">
        <f>IF(E205="","",IFERROR(VLOOKUP(E205,areaNomiBreviSquadre,7,FALSE),""))</f>
        <v/>
      </c>
      <c r="E205" s="62" t="inlineStr">
        <is>
          <t>A20</t>
        </is>
      </c>
      <c r="F205" s="63" t="n">
        <v>46355.45833333334</v>
      </c>
      <c r="G205" s="9" t="n"/>
      <c r="H205" s="9" t="n"/>
      <c r="I205" s="10" t="n"/>
      <c r="J205" s="65" t="n">
        <v>38</v>
      </c>
      <c r="K205" s="66" t="inlineStr">
        <is>
          <t>-</t>
        </is>
      </c>
      <c r="L205" s="65" t="n">
        <v>29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A13</t>
        </is>
      </c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IF(C208="","",IFERROR(VLOOKUP(C208,areaNomiBreviSquadre,7,FALSE),""))</f>
        <v/>
      </c>
      <c r="C208" s="62" t="inlineStr">
        <is>
          <t>A06</t>
        </is>
      </c>
      <c r="D208" s="61">
        <f>IF(E208="","",IFERROR(VLOOKUP(E208,areaNomiBreviSquadre,7,FALSE),""))</f>
        <v/>
      </c>
      <c r="E208" s="62" t="inlineStr">
        <is>
          <t>A08</t>
        </is>
      </c>
      <c r="F208" s="63" t="n">
        <v>46355.60416666666</v>
      </c>
      <c r="G208" s="9" t="n"/>
      <c r="H208" s="9" t="n"/>
      <c r="I208" s="10" t="n"/>
      <c r="J208" s="65" t="n">
        <v>61</v>
      </c>
      <c r="K208" s="66" t="inlineStr">
        <is>
          <t>-</t>
        </is>
      </c>
      <c r="L208" s="65" t="n">
        <v>74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A13</t>
        </is>
      </c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IF(C211="","",IFERROR(VLOOKUP(C211,areaNomiBreviSquadre,7,FALSE),""))</f>
        <v/>
      </c>
      <c r="C211" s="62" t="inlineStr">
        <is>
          <t>A09</t>
        </is>
      </c>
      <c r="D211" s="61">
        <f>IF(E211="","",IFERROR(VLOOKUP(E211,areaNomiBreviSquadre,7,FALSE),""))</f>
        <v/>
      </c>
      <c r="E211" s="62" t="inlineStr">
        <is>
          <t>A05</t>
        </is>
      </c>
      <c r="F211" s="63" t="n">
        <v>46355.66666666666</v>
      </c>
      <c r="G211" s="9" t="n"/>
      <c r="H211" s="9" t="n"/>
      <c r="I211" s="10" t="n"/>
      <c r="J211" s="65" t="n">
        <v>63</v>
      </c>
      <c r="K211" s="66" t="inlineStr">
        <is>
          <t>-</t>
        </is>
      </c>
      <c r="L211" s="65" t="n">
        <v>61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A13</t>
        </is>
      </c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IF(C214="","",IFERROR(VLOOKUP(C214,areaNomiBreviSquadre,7,FALSE),""))</f>
        <v/>
      </c>
      <c r="C214" s="62" t="inlineStr">
        <is>
          <t>A04</t>
        </is>
      </c>
      <c r="D214" s="61">
        <f>IF(E214="","",IFERROR(VLOOKUP(E214,areaNomiBreviSquadre,7,FALSE),""))</f>
        <v/>
      </c>
      <c r="E214" s="62" t="inlineStr">
        <is>
          <t>A10</t>
        </is>
      </c>
      <c r="F214" s="63" t="n">
        <v>46355.72916666666</v>
      </c>
      <c r="G214" s="9" t="n"/>
      <c r="H214" s="9" t="n"/>
      <c r="I214" s="10" t="n"/>
      <c r="J214" s="65" t="n">
        <v>54</v>
      </c>
      <c r="K214" s="66" t="inlineStr">
        <is>
          <t>-</t>
        </is>
      </c>
      <c r="L214" s="65" t="n">
        <v>74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A13</t>
        </is>
      </c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IF(C217="","",IFERROR(VLOOKUP(C217,areaNomiBreviSquadre,7,FALSE),""))</f>
        <v/>
      </c>
      <c r="C217" s="62" t="inlineStr">
        <is>
          <t>A19</t>
        </is>
      </c>
      <c r="D217" s="61">
        <f>IF(E217="","",IFERROR(VLOOKUP(E217,areaNomiBreviSquadre,7,FALSE),""))</f>
        <v/>
      </c>
      <c r="E217" s="62" t="inlineStr">
        <is>
          <t>A14</t>
        </is>
      </c>
      <c r="F217" s="63" t="n">
        <v>46355.39583333334</v>
      </c>
      <c r="G217" s="9" t="n"/>
      <c r="H217" s="9" t="n"/>
      <c r="I217" s="10" t="n"/>
      <c r="J217" s="65" t="n">
        <v>65</v>
      </c>
      <c r="K217" s="66" t="inlineStr">
        <is>
          <t>-</t>
        </is>
      </c>
      <c r="L217" s="65" t="n">
        <v>53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A14</t>
        </is>
      </c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IF(C220="","",IFERROR(VLOOKUP(C220,areaNomiBreviSquadre,7,FALSE),""))</f>
        <v/>
      </c>
      <c r="C220" s="62" t="inlineStr">
        <is>
          <t>A11</t>
        </is>
      </c>
      <c r="D220" s="61">
        <f>IF(E220="","",IFERROR(VLOOKUP(E220,areaNomiBreviSquadre,7,FALSE),""))</f>
        <v/>
      </c>
      <c r="E220" s="62" t="inlineStr">
        <is>
          <t>A03</t>
        </is>
      </c>
      <c r="F220" s="63" t="n">
        <v>46355.45833333334</v>
      </c>
      <c r="G220" s="9" t="n"/>
      <c r="H220" s="9" t="n"/>
      <c r="I220" s="10" t="n"/>
      <c r="J220" s="65" t="n">
        <v>80</v>
      </c>
      <c r="K220" s="66" t="inlineStr">
        <is>
          <t>-</t>
        </is>
      </c>
      <c r="L220" s="65" t="n">
        <v>52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A14</t>
        </is>
      </c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IF(C223="","",IFERROR(VLOOKUP(C223,areaNomiBreviSquadre,7,FALSE),""))</f>
        <v/>
      </c>
      <c r="C223" s="62" t="inlineStr">
        <is>
          <t>A02</t>
        </is>
      </c>
      <c r="D223" s="61">
        <f>IF(E223="","",IFERROR(VLOOKUP(E223,areaNomiBreviSquadre,7,FALSE),""))</f>
        <v/>
      </c>
      <c r="E223" s="62" t="inlineStr">
        <is>
          <t>A12</t>
        </is>
      </c>
      <c r="F223" s="63" t="n">
        <v>46355.60416666666</v>
      </c>
      <c r="G223" s="9" t="n"/>
      <c r="H223" s="9" t="n"/>
      <c r="I223" s="10" t="n"/>
      <c r="J223" s="65" t="n">
        <v>63</v>
      </c>
      <c r="K223" s="66" t="inlineStr">
        <is>
          <t>-</t>
        </is>
      </c>
      <c r="L223" s="65" t="n">
        <v>68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A14</t>
        </is>
      </c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IF(C226="","",IFERROR(VLOOKUP(C226,areaNomiBreviSquadre,7,FALSE),""))</f>
        <v/>
      </c>
      <c r="C226" s="62" t="inlineStr">
        <is>
          <t>A15</t>
        </is>
      </c>
      <c r="D226" s="61">
        <f>IF(E226="","",IFERROR(VLOOKUP(E226,areaNomiBreviSquadre,7,FALSE),""))</f>
        <v/>
      </c>
      <c r="E226" s="62" t="inlineStr">
        <is>
          <t>A18</t>
        </is>
      </c>
      <c r="F226" s="63" t="n">
        <v>46355.66666666666</v>
      </c>
      <c r="G226" s="9" t="n"/>
      <c r="H226" s="9" t="n"/>
      <c r="I226" s="10" t="n"/>
      <c r="J226" s="65" t="n">
        <v>79</v>
      </c>
      <c r="K226" s="66" t="inlineStr">
        <is>
          <t>-</t>
        </is>
      </c>
      <c r="L226" s="65" t="n">
        <v>70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A14</t>
        </is>
      </c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IF(C229="","",IFERROR(VLOOKUP(C229,areaNomiBreviSquadre,7,FALSE),""))</f>
        <v/>
      </c>
      <c r="C229" s="62" t="inlineStr">
        <is>
          <t>A17</t>
        </is>
      </c>
      <c r="D229" s="61">
        <f>IF(E229="","",IFERROR(VLOOKUP(E229,areaNomiBreviSquadre,7,FALSE),""))</f>
        <v/>
      </c>
      <c r="E229" s="62" t="inlineStr">
        <is>
          <t>A16</t>
        </is>
      </c>
      <c r="F229" s="63" t="n">
        <v>46355.72916666666</v>
      </c>
      <c r="G229" s="9" t="n"/>
      <c r="H229" s="9" t="n"/>
      <c r="I229" s="10" t="n"/>
      <c r="J229" s="65" t="n">
        <v>62</v>
      </c>
      <c r="K229" s="66" t="inlineStr">
        <is>
          <t>-</t>
        </is>
      </c>
      <c r="L229" s="65" t="n">
        <v>48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A14</t>
        </is>
      </c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IF(C234="","",IFERROR(VLOOKUP(C234,areaNomiBreviSquadre,7,FALSE),""))</f>
        <v/>
      </c>
      <c r="C234" s="62" t="inlineStr">
        <is>
          <t>A15</t>
        </is>
      </c>
      <c r="D234" s="61">
        <f>IF(E234="","",IFERROR(VLOOKUP(E234,areaNomiBreviSquadre,7,FALSE),""))</f>
        <v/>
      </c>
      <c r="E234" s="62" t="inlineStr">
        <is>
          <t>A01</t>
        </is>
      </c>
      <c r="F234" s="63" t="n">
        <v>46362.39583333334</v>
      </c>
      <c r="G234" s="9" t="n"/>
      <c r="H234" s="9" t="n"/>
      <c r="I234" s="10" t="n"/>
      <c r="J234" s="65" t="n">
        <v>78</v>
      </c>
      <c r="K234" s="66" t="inlineStr">
        <is>
          <t>-</t>
        </is>
      </c>
      <c r="L234" s="65" t="n">
        <v>71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A15</t>
        </is>
      </c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IF(C237="","",IFERROR(VLOOKUP(C237,areaNomiBreviSquadre,7,FALSE),""))</f>
        <v/>
      </c>
      <c r="C237" s="62" t="inlineStr">
        <is>
          <t>A20</t>
        </is>
      </c>
      <c r="D237" s="61">
        <f>IF(E237="","",IFERROR(VLOOKUP(E237,areaNomiBreviSquadre,7,FALSE),""))</f>
        <v/>
      </c>
      <c r="E237" s="62" t="inlineStr">
        <is>
          <t>A08</t>
        </is>
      </c>
      <c r="F237" s="63" t="n">
        <v>46362.45833333334</v>
      </c>
      <c r="G237" s="9" t="n"/>
      <c r="H237" s="9" t="n"/>
      <c r="I237" s="10" t="n"/>
      <c r="J237" s="65" t="n">
        <v>86</v>
      </c>
      <c r="K237" s="66" t="inlineStr">
        <is>
          <t>-</t>
        </is>
      </c>
      <c r="L237" s="65" t="n">
        <v>69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A15</t>
        </is>
      </c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IF(C240="","",IFERROR(VLOOKUP(C240,areaNomiBreviSquadre,7,FALSE),""))</f>
        <v/>
      </c>
      <c r="C240" s="62" t="inlineStr">
        <is>
          <t>A09</t>
        </is>
      </c>
      <c r="D240" s="61">
        <f>IF(E240="","",IFERROR(VLOOKUP(E240,areaNomiBreviSquadre,7,FALSE),""))</f>
        <v/>
      </c>
      <c r="E240" s="62" t="inlineStr">
        <is>
          <t>A07</t>
        </is>
      </c>
      <c r="F240" s="63" t="n">
        <v>46362.60416666666</v>
      </c>
      <c r="G240" s="9" t="n"/>
      <c r="H240" s="9" t="n"/>
      <c r="I240" s="10" t="n"/>
      <c r="J240" s="65" t="n">
        <v>73</v>
      </c>
      <c r="K240" s="66" t="inlineStr">
        <is>
          <t>-</t>
        </is>
      </c>
      <c r="L240" s="65" t="n">
        <v>52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A15</t>
        </is>
      </c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IF(C243="","",IFERROR(VLOOKUP(C243,areaNomiBreviSquadre,7,FALSE),""))</f>
        <v/>
      </c>
      <c r="C243" s="62" t="inlineStr">
        <is>
          <t>A06</t>
        </is>
      </c>
      <c r="D243" s="61">
        <f>IF(E243="","",IFERROR(VLOOKUP(E243,areaNomiBreviSquadre,7,FALSE),""))</f>
        <v/>
      </c>
      <c r="E243" s="62" t="inlineStr">
        <is>
          <t>A10</t>
        </is>
      </c>
      <c r="F243" s="63" t="n">
        <v>46362.66666666666</v>
      </c>
      <c r="G243" s="9" t="n"/>
      <c r="H243" s="9" t="n"/>
      <c r="I243" s="10" t="n"/>
      <c r="J243" s="65" t="n">
        <v>36</v>
      </c>
      <c r="K243" s="66" t="inlineStr">
        <is>
          <t>-</t>
        </is>
      </c>
      <c r="L243" s="65" t="n">
        <v>42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A15</t>
        </is>
      </c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IF(C246="","",IFERROR(VLOOKUP(C246,areaNomiBreviSquadre,7,FALSE),""))</f>
        <v/>
      </c>
      <c r="C246" s="62" t="inlineStr">
        <is>
          <t>A11</t>
        </is>
      </c>
      <c r="D246" s="61">
        <f>IF(E246="","",IFERROR(VLOOKUP(E246,areaNomiBreviSquadre,7,FALSE),""))</f>
        <v/>
      </c>
      <c r="E246" s="62" t="inlineStr">
        <is>
          <t>A05</t>
        </is>
      </c>
      <c r="F246" s="63" t="n">
        <v>46362.72916666666</v>
      </c>
      <c r="G246" s="9" t="n"/>
      <c r="H246" s="9" t="n"/>
      <c r="I246" s="10" t="n"/>
      <c r="J246" s="65" t="n">
        <v>62</v>
      </c>
      <c r="K246" s="66" t="inlineStr">
        <is>
          <t>-</t>
        </is>
      </c>
      <c r="L246" s="65" t="n">
        <v>56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A15</t>
        </is>
      </c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IF(C249="","",IFERROR(VLOOKUP(C249,areaNomiBreviSquadre,7,FALSE),""))</f>
        <v/>
      </c>
      <c r="C249" s="62" t="inlineStr">
        <is>
          <t>A19</t>
        </is>
      </c>
      <c r="D249" s="61">
        <f>IF(E249="","",IFERROR(VLOOKUP(E249,areaNomiBreviSquadre,7,FALSE),""))</f>
        <v/>
      </c>
      <c r="E249" s="62" t="inlineStr">
        <is>
          <t>A16</t>
        </is>
      </c>
      <c r="F249" s="63" t="n">
        <v>46362.39583333334</v>
      </c>
      <c r="G249" s="9" t="n"/>
      <c r="H249" s="9" t="n"/>
      <c r="I249" s="10" t="n"/>
      <c r="J249" s="65" t="n">
        <v>91</v>
      </c>
      <c r="K249" s="66" t="inlineStr">
        <is>
          <t>-</t>
        </is>
      </c>
      <c r="L249" s="65" t="n">
        <v>75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A16</t>
        </is>
      </c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IF(C252="","",IFERROR(VLOOKUP(C252,areaNomiBreviSquadre,7,FALSE),""))</f>
        <v/>
      </c>
      <c r="C252" s="62" t="inlineStr">
        <is>
          <t>A04</t>
        </is>
      </c>
      <c r="D252" s="61">
        <f>IF(E252="","",IFERROR(VLOOKUP(E252,areaNomiBreviSquadre,7,FALSE),""))</f>
        <v/>
      </c>
      <c r="E252" s="62" t="inlineStr">
        <is>
          <t>A12</t>
        </is>
      </c>
      <c r="F252" s="63" t="n">
        <v>46362.45833333334</v>
      </c>
      <c r="G252" s="9" t="n"/>
      <c r="H252" s="9" t="n"/>
      <c r="I252" s="10" t="n"/>
      <c r="J252" s="65" t="n">
        <v>46</v>
      </c>
      <c r="K252" s="66" t="inlineStr">
        <is>
          <t>-</t>
        </is>
      </c>
      <c r="L252" s="65" t="n">
        <v>20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A16</t>
        </is>
      </c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IF(C255="","",IFERROR(VLOOKUP(C255,areaNomiBreviSquadre,7,FALSE),""))</f>
        <v/>
      </c>
      <c r="C255" s="62" t="inlineStr">
        <is>
          <t>A13</t>
        </is>
      </c>
      <c r="D255" s="61">
        <f>IF(E255="","",IFERROR(VLOOKUP(E255,areaNomiBreviSquadre,7,FALSE),""))</f>
        <v/>
      </c>
      <c r="E255" s="62" t="inlineStr">
        <is>
          <t>A03</t>
        </is>
      </c>
      <c r="F255" s="63" t="n">
        <v>46362.60416666666</v>
      </c>
      <c r="G255" s="9" t="n"/>
      <c r="H255" s="9" t="n"/>
      <c r="I255" s="10" t="n"/>
      <c r="J255" s="65" t="n">
        <v>86</v>
      </c>
      <c r="K255" s="66" t="inlineStr">
        <is>
          <t>-</t>
        </is>
      </c>
      <c r="L255" s="65" t="n">
        <v>84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A16</t>
        </is>
      </c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IF(C258="","",IFERROR(VLOOKUP(C258,areaNomiBreviSquadre,7,FALSE),""))</f>
        <v/>
      </c>
      <c r="C258" s="62" t="inlineStr">
        <is>
          <t>A02</t>
        </is>
      </c>
      <c r="D258" s="61">
        <f>IF(E258="","",IFERROR(VLOOKUP(E258,areaNomiBreviSquadre,7,FALSE),""))</f>
        <v/>
      </c>
      <c r="E258" s="62" t="inlineStr">
        <is>
          <t>A14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81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A16</t>
        </is>
      </c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IF(C261="","",IFERROR(VLOOKUP(C261,areaNomiBreviSquadre,7,FALSE),""))</f>
        <v/>
      </c>
      <c r="C261" s="62" t="inlineStr">
        <is>
          <t>A17</t>
        </is>
      </c>
      <c r="D261" s="61">
        <f>IF(E261="","",IFERROR(VLOOKUP(E261,areaNomiBreviSquadre,7,FALSE),""))</f>
        <v/>
      </c>
      <c r="E261" s="62" t="inlineStr">
        <is>
          <t>A18</t>
        </is>
      </c>
      <c r="F261" s="63" t="n">
        <v>46362.72916666666</v>
      </c>
      <c r="G261" s="9" t="n"/>
      <c r="H261" s="9" t="n"/>
      <c r="I261" s="10" t="n"/>
      <c r="J261" s="65" t="n">
        <v>71</v>
      </c>
      <c r="K261" s="66" t="inlineStr">
        <is>
          <t>-</t>
        </is>
      </c>
      <c r="L261" s="65" t="n">
        <v>53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A16</t>
        </is>
      </c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IF(C266="","",IFERROR(VLOOKUP(C266,areaNomiBreviSquadre,7,FALSE),""))</f>
        <v/>
      </c>
      <c r="C266" s="62" t="inlineStr">
        <is>
          <t>A17</t>
        </is>
      </c>
      <c r="D266" s="61">
        <f>IF(E266="","",IFERROR(VLOOKUP(E266,areaNomiBreviSquadre,7,FALSE),""))</f>
        <v/>
      </c>
      <c r="E266" s="62" t="inlineStr">
        <is>
          <t>A01</t>
        </is>
      </c>
      <c r="F266" s="63" t="n">
        <v>46369.39583333334</v>
      </c>
      <c r="G266" s="9" t="n"/>
      <c r="H266" s="9" t="n"/>
      <c r="I266" s="10" t="n"/>
      <c r="J266" s="65" t="n">
        <v>76</v>
      </c>
      <c r="K266" s="66" t="inlineStr">
        <is>
          <t>-</t>
        </is>
      </c>
      <c r="L266" s="65" t="n">
        <v>75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A17</t>
        </is>
      </c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IF(C269="","",IFERROR(VLOOKUP(C269,areaNomiBreviSquadre,7,FALSE),""))</f>
        <v/>
      </c>
      <c r="C269" s="62" t="inlineStr">
        <is>
          <t>A09</t>
        </is>
      </c>
      <c r="D269" s="61">
        <f>IF(E269="","",IFERROR(VLOOKUP(E269,areaNomiBreviSquadre,7,FALSE),""))</f>
        <v/>
      </c>
      <c r="E269" s="62" t="inlineStr">
        <is>
          <t>A20</t>
        </is>
      </c>
      <c r="F269" s="63" t="n">
        <v>46369.45833333334</v>
      </c>
      <c r="G269" s="9" t="n"/>
      <c r="H269" s="9" t="n"/>
      <c r="I269" s="10" t="n"/>
      <c r="J269" s="65" t="n">
        <v>87</v>
      </c>
      <c r="K269" s="66" t="inlineStr">
        <is>
          <t>-</t>
        </is>
      </c>
      <c r="L269" s="65" t="n">
        <v>74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A17</t>
        </is>
      </c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IF(C272="","",IFERROR(VLOOKUP(C272,areaNomiBreviSquadre,7,FALSE),""))</f>
        <v/>
      </c>
      <c r="C272" s="62" t="inlineStr">
        <is>
          <t>A08</t>
        </is>
      </c>
      <c r="D272" s="61">
        <f>IF(E272="","",IFERROR(VLOOKUP(E272,areaNomiBreviSquadre,7,FALSE),""))</f>
        <v/>
      </c>
      <c r="E272" s="62" t="inlineStr">
        <is>
          <t>A10</t>
        </is>
      </c>
      <c r="F272" s="63" t="n">
        <v>46369.60416666666</v>
      </c>
      <c r="G272" s="9" t="n"/>
      <c r="H272" s="9" t="n"/>
      <c r="I272" s="10" t="n"/>
      <c r="J272" s="65" t="n">
        <v>87</v>
      </c>
      <c r="K272" s="66" t="inlineStr">
        <is>
          <t>-</t>
        </is>
      </c>
      <c r="L272" s="65" t="n">
        <v>65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A17</t>
        </is>
      </c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IF(C275="","",IFERROR(VLOOKUP(C275,areaNomiBreviSquadre,7,FALSE),""))</f>
        <v/>
      </c>
      <c r="C275" s="62" t="inlineStr">
        <is>
          <t>A11</t>
        </is>
      </c>
      <c r="D275" s="61">
        <f>IF(E275="","",IFERROR(VLOOKUP(E275,areaNomiBreviSquadre,7,FALSE),""))</f>
        <v/>
      </c>
      <c r="E275" s="62" t="inlineStr">
        <is>
          <t>A07</t>
        </is>
      </c>
      <c r="F275" s="63" t="n">
        <v>46369.66666666666</v>
      </c>
      <c r="G275" s="9" t="n"/>
      <c r="H275" s="9" t="n"/>
      <c r="I275" s="10" t="n"/>
      <c r="J275" s="65" t="n">
        <v>79</v>
      </c>
      <c r="K275" s="66" t="inlineStr">
        <is>
          <t>-</t>
        </is>
      </c>
      <c r="L275" s="65" t="n">
        <v>89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A17</t>
        </is>
      </c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IF(C278="","",IFERROR(VLOOKUP(C278,areaNomiBreviSquadre,7,FALSE),""))</f>
        <v/>
      </c>
      <c r="C278" s="62" t="inlineStr">
        <is>
          <t>A06</t>
        </is>
      </c>
      <c r="D278" s="61">
        <f>IF(E278="","",IFERROR(VLOOKUP(E278,areaNomiBreviSquadre,7,FALSE),""))</f>
        <v/>
      </c>
      <c r="E278" s="62" t="inlineStr">
        <is>
          <t>A12</t>
        </is>
      </c>
      <c r="F278" s="63" t="n">
        <v>46369.72916666666</v>
      </c>
      <c r="G278" s="9" t="n"/>
      <c r="H278" s="9" t="n"/>
      <c r="I278" s="10" t="n"/>
      <c r="J278" s="65" t="n">
        <v>60</v>
      </c>
      <c r="K278" s="66" t="inlineStr">
        <is>
          <t>-</t>
        </is>
      </c>
      <c r="L278" s="65" t="n">
        <v>52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A17</t>
        </is>
      </c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IF(C281="","",IFERROR(VLOOKUP(C281,areaNomiBreviSquadre,7,FALSE),""))</f>
        <v/>
      </c>
      <c r="C281" s="62" t="inlineStr">
        <is>
          <t>A19</t>
        </is>
      </c>
      <c r="D281" s="61">
        <f>IF(E281="","",IFERROR(VLOOKUP(E281,areaNomiBreviSquadre,7,FALSE),""))</f>
        <v/>
      </c>
      <c r="E281" s="62" t="inlineStr">
        <is>
          <t>A18</t>
        </is>
      </c>
      <c r="F281" s="63" t="n">
        <v>46369.39583333334</v>
      </c>
      <c r="G281" s="9" t="n"/>
      <c r="H281" s="9" t="n"/>
      <c r="I281" s="10" t="n"/>
      <c r="J281" s="65" t="n">
        <v>67</v>
      </c>
      <c r="K281" s="66" t="inlineStr">
        <is>
          <t>-</t>
        </is>
      </c>
      <c r="L281" s="65" t="n">
        <v>59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A18</t>
        </is>
      </c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IF(C284="","",IFERROR(VLOOKUP(C284,areaNomiBreviSquadre,7,FALSE),""))</f>
        <v/>
      </c>
      <c r="C284" s="62" t="inlineStr">
        <is>
          <t>A13</t>
        </is>
      </c>
      <c r="D284" s="61">
        <f>IF(E284="","",IFERROR(VLOOKUP(E284,areaNomiBreviSquadre,7,FALSE),""))</f>
        <v/>
      </c>
      <c r="E284" s="62" t="inlineStr">
        <is>
          <t>A05</t>
        </is>
      </c>
      <c r="F284" s="63" t="n">
        <v>46369.45833333334</v>
      </c>
      <c r="G284" s="9" t="n"/>
      <c r="H284" s="9" t="n"/>
      <c r="I284" s="10" t="n"/>
      <c r="J284" s="65" t="n">
        <v>40</v>
      </c>
      <c r="K284" s="66" t="inlineStr">
        <is>
          <t>-</t>
        </is>
      </c>
      <c r="L284" s="65" t="n">
        <v>26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A18</t>
        </is>
      </c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IF(C287="","",IFERROR(VLOOKUP(C287,areaNomiBreviSquadre,7,FALSE),""))</f>
        <v/>
      </c>
      <c r="C287" s="62" t="inlineStr">
        <is>
          <t>A04</t>
        </is>
      </c>
      <c r="D287" s="61">
        <f>IF(E287="","",IFERROR(VLOOKUP(E287,areaNomiBreviSquadre,7,FALSE),""))</f>
        <v/>
      </c>
      <c r="E287" s="62" t="inlineStr">
        <is>
          <t>A14</t>
        </is>
      </c>
      <c r="F287" s="63" t="n">
        <v>46369.60416666666</v>
      </c>
      <c r="G287" s="9" t="n"/>
      <c r="H287" s="9" t="n"/>
      <c r="I287" s="10" t="n"/>
      <c r="J287" s="65" t="n">
        <v>71</v>
      </c>
      <c r="K287" s="66" t="inlineStr">
        <is>
          <t>-</t>
        </is>
      </c>
      <c r="L287" s="65" t="n">
        <v>83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A18</t>
        </is>
      </c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IF(C290="","",IFERROR(VLOOKUP(C290,areaNomiBreviSquadre,7,FALSE),""))</f>
        <v/>
      </c>
      <c r="C290" s="62" t="inlineStr">
        <is>
          <t>A15</t>
        </is>
      </c>
      <c r="D290" s="61">
        <f>IF(E290="","",IFERROR(VLOOKUP(E290,areaNomiBreviSquadre,7,FALSE),""))</f>
        <v/>
      </c>
      <c r="E290" s="62" t="inlineStr">
        <is>
          <t>A03</t>
        </is>
      </c>
      <c r="F290" s="63" t="n">
        <v>46369.66666666666</v>
      </c>
      <c r="G290" s="9" t="n"/>
      <c r="H290" s="9" t="n"/>
      <c r="I290" s="10" t="n"/>
      <c r="J290" s="65" t="n">
        <v>82</v>
      </c>
      <c r="K290" s="66" t="inlineStr">
        <is>
          <t>-</t>
        </is>
      </c>
      <c r="L290" s="65" t="n">
        <v>58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A18</t>
        </is>
      </c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IF(C293="","",IFERROR(VLOOKUP(C293,areaNomiBreviSquadre,7,FALSE),""))</f>
        <v/>
      </c>
      <c r="C293" s="62" t="inlineStr">
        <is>
          <t>A02</t>
        </is>
      </c>
      <c r="D293" s="61">
        <f>IF(E293="","",IFERROR(VLOOKUP(E293,areaNomiBreviSquadre,7,FALSE),""))</f>
        <v/>
      </c>
      <c r="E293" s="62" t="inlineStr">
        <is>
          <t>A16</t>
        </is>
      </c>
      <c r="F293" s="63" t="n">
        <v>46369.72916666666</v>
      </c>
      <c r="G293" s="9" t="n"/>
      <c r="H293" s="9" t="n"/>
      <c r="I293" s="10" t="n"/>
      <c r="J293" s="65" t="n">
        <v>64</v>
      </c>
      <c r="K293" s="66" t="inlineStr">
        <is>
          <t>-</t>
        </is>
      </c>
      <c r="L293" s="65" t="n">
        <v>53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A18</t>
        </is>
      </c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IF(C298="","",IFERROR(VLOOKUP(C298,areaNomiBreviSquadre,7,FALSE),""))</f>
        <v/>
      </c>
      <c r="C298" s="62" t="inlineStr">
        <is>
          <t>A19</t>
        </is>
      </c>
      <c r="D298" s="61">
        <f>IF(E298="","",IFERROR(VLOOKUP(E298,areaNomiBreviSquadre,7,FALSE),""))</f>
        <v/>
      </c>
      <c r="E298" s="62" t="inlineStr">
        <is>
          <t>A01</t>
        </is>
      </c>
      <c r="F298" s="63" t="n">
        <v>46376.39583333334</v>
      </c>
      <c r="G298" s="9" t="n"/>
      <c r="H298" s="9" t="n"/>
      <c r="I298" s="10" t="n"/>
      <c r="J298" s="65" t="n">
        <v>53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A19</t>
        </is>
      </c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IF(C301="","",IFERROR(VLOOKUP(C301,areaNomiBreviSquadre,7,FALSE),""))</f>
        <v/>
      </c>
      <c r="C301" s="62" t="inlineStr">
        <is>
          <t>A11</t>
        </is>
      </c>
      <c r="D301" s="61">
        <f>IF(E301="","",IFERROR(VLOOKUP(E301,areaNomiBreviSquadre,7,FALSE),""))</f>
        <v/>
      </c>
      <c r="E301" s="62" t="inlineStr">
        <is>
          <t>A09</t>
        </is>
      </c>
      <c r="F301" s="63" t="n">
        <v>46376.45833333334</v>
      </c>
      <c r="G301" s="9" t="n"/>
      <c r="H301" s="9" t="n"/>
      <c r="I301" s="10" t="n"/>
      <c r="J301" s="65" t="n">
        <v>41</v>
      </c>
      <c r="K301" s="66" t="inlineStr">
        <is>
          <t>-</t>
        </is>
      </c>
      <c r="L301" s="65" t="n">
        <v>56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A19</t>
        </is>
      </c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IF(C304="","",IFERROR(VLOOKUP(C304,areaNomiBreviSquadre,7,FALSE),""))</f>
        <v/>
      </c>
      <c r="C304" s="62" t="inlineStr">
        <is>
          <t>A08</t>
        </is>
      </c>
      <c r="D304" s="61">
        <f>IF(E304="","",IFERROR(VLOOKUP(E304,areaNomiBreviSquadre,7,FALSE),""))</f>
        <v/>
      </c>
      <c r="E304" s="62" t="inlineStr">
        <is>
          <t>A12</t>
        </is>
      </c>
      <c r="F304" s="63" t="n">
        <v>46376.60416666666</v>
      </c>
      <c r="G304" s="9" t="n"/>
      <c r="H304" s="9" t="n"/>
      <c r="I304" s="10" t="n"/>
      <c r="J304" s="65" t="n">
        <v>38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A19</t>
        </is>
      </c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IF(C307="","",IFERROR(VLOOKUP(C307,areaNomiBreviSquadre,7,FALSE),""))</f>
        <v/>
      </c>
      <c r="C307" s="62" t="inlineStr">
        <is>
          <t>A13</t>
        </is>
      </c>
      <c r="D307" s="61">
        <f>IF(E307="","",IFERROR(VLOOKUP(E307,areaNomiBreviSquadre,7,FALSE),""))</f>
        <v/>
      </c>
      <c r="E307" s="62" t="inlineStr">
        <is>
          <t>A07</t>
        </is>
      </c>
      <c r="F307" s="63" t="n">
        <v>46376.66666666666</v>
      </c>
      <c r="G307" s="9" t="n"/>
      <c r="H307" s="9" t="n"/>
      <c r="I307" s="10" t="n"/>
      <c r="J307" s="65" t="n">
        <v>36</v>
      </c>
      <c r="K307" s="66" t="inlineStr">
        <is>
          <t>-</t>
        </is>
      </c>
      <c r="L307" s="65" t="n">
        <v>56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A19</t>
        </is>
      </c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IF(C310="","",IFERROR(VLOOKUP(C310,areaNomiBreviSquadre,7,FALSE),""))</f>
        <v/>
      </c>
      <c r="C310" s="62" t="inlineStr">
        <is>
          <t>A06</t>
        </is>
      </c>
      <c r="D310" s="61">
        <f>IF(E310="","",IFERROR(VLOOKUP(E310,areaNomiBreviSquadre,7,FALSE),""))</f>
        <v/>
      </c>
      <c r="E310" s="62" t="inlineStr">
        <is>
          <t>A14</t>
        </is>
      </c>
      <c r="F310" s="63" t="n">
        <v>46376.72916666666</v>
      </c>
      <c r="G310" s="9" t="n"/>
      <c r="H310" s="9" t="n"/>
      <c r="I310" s="10" t="n"/>
      <c r="J310" s="65" t="n">
        <v>34</v>
      </c>
      <c r="K310" s="66" t="inlineStr">
        <is>
          <t>-</t>
        </is>
      </c>
      <c r="L310" s="65" t="n">
        <v>55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A19</t>
        </is>
      </c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IF(C313="","",IFERROR(VLOOKUP(C313,areaNomiBreviSquadre,7,FALSE),""))</f>
        <v/>
      </c>
      <c r="C313" s="62" t="inlineStr">
        <is>
          <t>A20</t>
        </is>
      </c>
      <c r="D313" s="61">
        <f>IF(E313="","",IFERROR(VLOOKUP(E313,areaNomiBreviSquadre,7,FALSE),""))</f>
        <v/>
      </c>
      <c r="E313" s="62" t="inlineStr">
        <is>
          <t>A10</t>
        </is>
      </c>
      <c r="F313" s="63" t="n">
        <v>46376.39583333334</v>
      </c>
      <c r="G313" s="9" t="n"/>
      <c r="H313" s="9" t="n"/>
      <c r="I313" s="10" t="n"/>
      <c r="J313" s="65" t="n">
        <v>51</v>
      </c>
      <c r="K313" s="66" t="inlineStr">
        <is>
          <t>-</t>
        </is>
      </c>
      <c r="L313" s="65" t="n">
        <v>37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A20</t>
        </is>
      </c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IF(C316="","",IFERROR(VLOOKUP(C316,areaNomiBreviSquadre,7,FALSE),""))</f>
        <v/>
      </c>
      <c r="C316" s="62" t="inlineStr">
        <is>
          <t>A15</t>
        </is>
      </c>
      <c r="D316" s="61">
        <f>IF(E316="","",IFERROR(VLOOKUP(E316,areaNomiBreviSquadre,7,FALSE),""))</f>
        <v/>
      </c>
      <c r="E316" s="62" t="inlineStr">
        <is>
          <t>A05</t>
        </is>
      </c>
      <c r="F316" s="63" t="n">
        <v>46376.45833333334</v>
      </c>
      <c r="G316" s="9" t="n"/>
      <c r="H316" s="9" t="n"/>
      <c r="I316" s="10" t="n"/>
      <c r="J316" s="65" t="n">
        <v>35</v>
      </c>
      <c r="K316" s="66" t="inlineStr">
        <is>
          <t>-</t>
        </is>
      </c>
      <c r="L316" s="65" t="n">
        <v>54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A20</t>
        </is>
      </c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IF(C319="","",IFERROR(VLOOKUP(C319,areaNomiBreviSquadre,7,FALSE),""))</f>
        <v/>
      </c>
      <c r="C319" s="62" t="inlineStr">
        <is>
          <t>A04</t>
        </is>
      </c>
      <c r="D319" s="61">
        <f>IF(E319="","",IFERROR(VLOOKUP(E319,areaNomiBreviSquadre,7,FALSE),""))</f>
        <v/>
      </c>
      <c r="E319" s="62" t="inlineStr">
        <is>
          <t>A16</t>
        </is>
      </c>
      <c r="F319" s="63" t="n">
        <v>46376.60416666666</v>
      </c>
      <c r="G319" s="9" t="n"/>
      <c r="H319" s="9" t="n"/>
      <c r="I319" s="10" t="n"/>
      <c r="J319" s="65" t="n">
        <v>34</v>
      </c>
      <c r="K319" s="66" t="inlineStr">
        <is>
          <t>-</t>
        </is>
      </c>
      <c r="L319" s="65" t="n">
        <v>46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A20</t>
        </is>
      </c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IF(C322="","",IFERROR(VLOOKUP(C322,areaNomiBreviSquadre,7,FALSE),""))</f>
        <v/>
      </c>
      <c r="C322" s="62" t="inlineStr">
        <is>
          <t>A17</t>
        </is>
      </c>
      <c r="D322" s="61">
        <f>IF(E322="","",IFERROR(VLOOKUP(E322,areaNomiBreviSquadre,7,FALSE),""))</f>
        <v/>
      </c>
      <c r="E322" s="62" t="inlineStr">
        <is>
          <t>A03</t>
        </is>
      </c>
      <c r="F322" s="63" t="n">
        <v>46376.66666666666</v>
      </c>
      <c r="G322" s="9" t="n"/>
      <c r="H322" s="9" t="n"/>
      <c r="I322" s="10" t="n"/>
      <c r="J322" s="65" t="n">
        <v>85</v>
      </c>
      <c r="K322" s="66" t="inlineStr">
        <is>
          <t>-</t>
        </is>
      </c>
      <c r="L322" s="65" t="n">
        <v>66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A20</t>
        </is>
      </c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IF(C325="","",IFERROR(VLOOKUP(C325,areaNomiBreviSquadre,7,FALSE),""))</f>
        <v/>
      </c>
      <c r="C325" s="62" t="inlineStr">
        <is>
          <t>A02</t>
        </is>
      </c>
      <c r="D325" s="61">
        <f>IF(E325="","",IFERROR(VLOOKUP(E325,areaNomiBreviSquadre,7,FALSE),""))</f>
        <v/>
      </c>
      <c r="E325" s="62" t="inlineStr">
        <is>
          <t>A18</t>
        </is>
      </c>
      <c r="F325" s="63" t="n">
        <v>46376.72916666666</v>
      </c>
      <c r="G325" s="9" t="n"/>
      <c r="H325" s="9" t="n"/>
      <c r="I325" s="10" t="n"/>
      <c r="J325" s="65" t="n">
        <v>51</v>
      </c>
      <c r="K325" s="66" t="inlineStr">
        <is>
          <t>-</t>
        </is>
      </c>
      <c r="L325" s="65" t="n">
        <v>70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A20</t>
        </is>
      </c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IF(C330="","",IFERROR(VLOOKUP(C330,areaNomiBreviSquadre,7,FALSE),""))</f>
        <v/>
      </c>
      <c r="C330" s="62" t="inlineStr">
        <is>
          <t>A02</t>
        </is>
      </c>
      <c r="D330" s="61">
        <f>IF(E330="","",IFERROR(VLOOKUP(E330,areaNomiBreviSquadre,7,FALSE),""))</f>
        <v/>
      </c>
      <c r="E330" s="62" t="inlineStr">
        <is>
          <t>A01</t>
        </is>
      </c>
      <c r="F330" s="63" t="n">
        <v>46383.39583333334</v>
      </c>
      <c r="G330" s="9" t="n"/>
      <c r="H330" s="9" t="n"/>
      <c r="I330" s="10" t="n"/>
      <c r="J330" s="65" t="n">
        <v>50</v>
      </c>
      <c r="K330" s="66" t="inlineStr">
        <is>
          <t>-</t>
        </is>
      </c>
      <c r="L330" s="65" t="n">
        <v>54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A01</t>
        </is>
      </c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IF(C333="","",IFERROR(VLOOKUP(C333,areaNomiBreviSquadre,7,FALSE),""))</f>
        <v/>
      </c>
      <c r="C333" s="62" t="inlineStr">
        <is>
          <t>A11</t>
        </is>
      </c>
      <c r="D333" s="61">
        <f>IF(E333="","",IFERROR(VLOOKUP(E333,areaNomiBreviSquadre,7,FALSE),""))</f>
        <v/>
      </c>
      <c r="E333" s="62" t="inlineStr">
        <is>
          <t>A20</t>
        </is>
      </c>
      <c r="F333" s="63" t="n">
        <v>46383.45833333334</v>
      </c>
      <c r="G333" s="9" t="n"/>
      <c r="H333" s="9" t="n"/>
      <c r="I333" s="10" t="n"/>
      <c r="J333" s="65" t="n">
        <v>82</v>
      </c>
      <c r="K333" s="66" t="inlineStr">
        <is>
          <t>-</t>
        </is>
      </c>
      <c r="L333" s="65" t="n">
        <v>54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A01</t>
        </is>
      </c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IF(C336="","",IFERROR(VLOOKUP(C336,areaNomiBreviSquadre,7,FALSE),""))</f>
        <v/>
      </c>
      <c r="C336" s="62" t="inlineStr">
        <is>
          <t>A10</t>
        </is>
      </c>
      <c r="D336" s="61">
        <f>IF(E336="","",IFERROR(VLOOKUP(E336,areaNomiBreviSquadre,7,FALSE),""))</f>
        <v/>
      </c>
      <c r="E336" s="62" t="inlineStr">
        <is>
          <t>A12</t>
        </is>
      </c>
      <c r="F336" s="63" t="n">
        <v>46383.60416666666</v>
      </c>
      <c r="G336" s="9" t="n"/>
      <c r="H336" s="9" t="n"/>
      <c r="I336" s="10" t="n"/>
      <c r="J336" s="65" t="n">
        <v>55</v>
      </c>
      <c r="K336" s="66" t="inlineStr">
        <is>
          <t>-</t>
        </is>
      </c>
      <c r="L336" s="65" t="n">
        <v>34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A01</t>
        </is>
      </c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IF(C339="","",IFERROR(VLOOKUP(C339,areaNomiBreviSquadre,7,FALSE),""))</f>
        <v/>
      </c>
      <c r="C339" s="62" t="inlineStr">
        <is>
          <t>A13</t>
        </is>
      </c>
      <c r="D339" s="61">
        <f>IF(E339="","",IFERROR(VLOOKUP(E339,areaNomiBreviSquadre,7,FALSE),""))</f>
        <v/>
      </c>
      <c r="E339" s="62" t="inlineStr">
        <is>
          <t>A09</t>
        </is>
      </c>
      <c r="F339" s="63" t="n">
        <v>46383.66666666666</v>
      </c>
      <c r="G339" s="9" t="n"/>
      <c r="H339" s="9" t="n"/>
      <c r="I339" s="10" t="n"/>
      <c r="J339" s="65" t="n">
        <v>92</v>
      </c>
      <c r="K339" s="66" t="inlineStr">
        <is>
          <t>-</t>
        </is>
      </c>
      <c r="L339" s="65" t="n">
        <v>86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A01</t>
        </is>
      </c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IF(C342="","",IFERROR(VLOOKUP(C342,areaNomiBreviSquadre,7,FALSE),""))</f>
        <v/>
      </c>
      <c r="C342" s="62" t="inlineStr">
        <is>
          <t>A08</t>
        </is>
      </c>
      <c r="D342" s="61">
        <f>IF(E342="","",IFERROR(VLOOKUP(E342,areaNomiBreviSquadre,7,FALSE),""))</f>
        <v/>
      </c>
      <c r="E342" s="62" t="inlineStr">
        <is>
          <t>A14</t>
        </is>
      </c>
      <c r="F342" s="63" t="n">
        <v>46383.72916666666</v>
      </c>
      <c r="G342" s="9" t="n"/>
      <c r="H342" s="9" t="n"/>
      <c r="I342" s="10" t="n"/>
      <c r="J342" s="65" t="n">
        <v>88</v>
      </c>
      <c r="K342" s="66" t="inlineStr">
        <is>
          <t>-</t>
        </is>
      </c>
      <c r="L342" s="65" t="n">
        <v>70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A01</t>
        </is>
      </c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IF(C345="","",IFERROR(VLOOKUP(C345,areaNomiBreviSquadre,7,FALSE),""))</f>
        <v/>
      </c>
      <c r="C345" s="62" t="inlineStr">
        <is>
          <t>A19</t>
        </is>
      </c>
      <c r="D345" s="61">
        <f>IF(E345="","",IFERROR(VLOOKUP(E345,areaNomiBreviSquadre,7,FALSE),""))</f>
        <v/>
      </c>
      <c r="E345" s="62" t="inlineStr">
        <is>
          <t>A03</t>
        </is>
      </c>
      <c r="F345" s="63" t="n">
        <v>46383.39583333334</v>
      </c>
      <c r="G345" s="9" t="n"/>
      <c r="H345" s="9" t="n"/>
      <c r="I345" s="10" t="n"/>
      <c r="J345" s="65" t="n">
        <v>90</v>
      </c>
      <c r="K345" s="66" t="inlineStr">
        <is>
          <t>-</t>
        </is>
      </c>
      <c r="L345" s="65" t="n">
        <v>70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A03</t>
        </is>
      </c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IF(C348="","",IFERROR(VLOOKUP(C348,areaNomiBreviSquadre,7,FALSE),""))</f>
        <v/>
      </c>
      <c r="C348" s="62" t="inlineStr">
        <is>
          <t>A15</t>
        </is>
      </c>
      <c r="D348" s="61">
        <f>IF(E348="","",IFERROR(VLOOKUP(E348,areaNomiBreviSquadre,7,FALSE),""))</f>
        <v/>
      </c>
      <c r="E348" s="62" t="inlineStr">
        <is>
          <t>A07</t>
        </is>
      </c>
      <c r="F348" s="63" t="n">
        <v>46383.45833333334</v>
      </c>
      <c r="G348" s="9" t="n"/>
      <c r="H348" s="9" t="n"/>
      <c r="I348" s="10" t="n"/>
      <c r="J348" s="65" t="n">
        <v>16</v>
      </c>
      <c r="K348" s="66" t="inlineStr">
        <is>
          <t>-</t>
        </is>
      </c>
      <c r="L348" s="65" t="n">
        <v>42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A03</t>
        </is>
      </c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IF(C351="","",IFERROR(VLOOKUP(C351,areaNomiBreviSquadre,7,FALSE),""))</f>
        <v/>
      </c>
      <c r="C351" s="62" t="inlineStr">
        <is>
          <t>A06</t>
        </is>
      </c>
      <c r="D351" s="61">
        <f>IF(E351="","",IFERROR(VLOOKUP(E351,areaNomiBreviSquadre,7,FALSE),""))</f>
        <v/>
      </c>
      <c r="E351" s="62" t="inlineStr">
        <is>
          <t>A16</t>
        </is>
      </c>
      <c r="F351" s="63" t="n">
        <v>46383.60416666666</v>
      </c>
      <c r="G351" s="9" t="n"/>
      <c r="H351" s="9" t="n"/>
      <c r="I351" s="10" t="n"/>
      <c r="J351" s="65" t="n">
        <v>79</v>
      </c>
      <c r="K351" s="66" t="inlineStr">
        <is>
          <t>-</t>
        </is>
      </c>
      <c r="L351" s="65" t="n">
        <v>89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A03</t>
        </is>
      </c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IF(C354="","",IFERROR(VLOOKUP(C354,areaNomiBreviSquadre,7,FALSE),""))</f>
        <v/>
      </c>
      <c r="C354" s="62" t="inlineStr">
        <is>
          <t>A17</t>
        </is>
      </c>
      <c r="D354" s="61">
        <f>IF(E354="","",IFERROR(VLOOKUP(E354,areaNomiBreviSquadre,7,FALSE),""))</f>
        <v/>
      </c>
      <c r="E354" s="62" t="inlineStr">
        <is>
          <t>A05</t>
        </is>
      </c>
      <c r="F354" s="63" t="n">
        <v>46383.66666666666</v>
      </c>
      <c r="G354" s="9" t="n"/>
      <c r="H354" s="9" t="n"/>
      <c r="I354" s="10" t="n"/>
      <c r="J354" s="65" t="n">
        <v>78</v>
      </c>
      <c r="K354" s="66" t="inlineStr">
        <is>
          <t>-</t>
        </is>
      </c>
      <c r="L354" s="65" t="n">
        <v>68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A03</t>
        </is>
      </c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IF(C357="","",IFERROR(VLOOKUP(C357,areaNomiBreviSquadre,7,FALSE),""))</f>
        <v/>
      </c>
      <c r="C357" s="62" t="inlineStr">
        <is>
          <t>A04</t>
        </is>
      </c>
      <c r="D357" s="61">
        <f>IF(E357="","",IFERROR(VLOOKUP(E357,areaNomiBreviSquadre,7,FALSE),""))</f>
        <v/>
      </c>
      <c r="E357" s="62" t="inlineStr">
        <is>
          <t>A18</t>
        </is>
      </c>
      <c r="F357" s="63" t="n">
        <v>46383.72916666666</v>
      </c>
      <c r="G357" s="9" t="n"/>
      <c r="H357" s="9" t="n"/>
      <c r="I357" s="10" t="n"/>
      <c r="J357" s="65" t="n">
        <v>83</v>
      </c>
      <c r="K357" s="66" t="inlineStr">
        <is>
          <t>-</t>
        </is>
      </c>
      <c r="L357" s="65" t="n">
        <v>92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A03</t>
        </is>
      </c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IF(C362="","",IFERROR(VLOOKUP(C362,areaNomiBreviSquadre,7,FALSE),""))</f>
        <v/>
      </c>
      <c r="C362" s="62" t="inlineStr">
        <is>
          <t>A02</t>
        </is>
      </c>
      <c r="D362" s="61">
        <f>IF(E362="","",IFERROR(VLOOKUP(E362,areaNomiBreviSquadre,7,FALSE),""))</f>
        <v/>
      </c>
      <c r="E362" s="62" t="inlineStr">
        <is>
          <t>A03</t>
        </is>
      </c>
      <c r="F362" s="63" t="n">
        <v>46390.39583333334</v>
      </c>
      <c r="G362" s="9" t="n"/>
      <c r="H362" s="9" t="n"/>
      <c r="I362" s="10" t="n"/>
      <c r="J362" s="65" t="n">
        <v>52</v>
      </c>
      <c r="K362" s="66" t="inlineStr">
        <is>
          <t>-</t>
        </is>
      </c>
      <c r="L362" s="65" t="n">
        <v>61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A03</t>
        </is>
      </c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IF(C365="","",IFERROR(VLOOKUP(C365,areaNomiBreviSquadre,7,FALSE),""))</f>
        <v/>
      </c>
      <c r="C365" s="62" t="inlineStr">
        <is>
          <t>A20</t>
        </is>
      </c>
      <c r="D365" s="61">
        <f>IF(E365="","",IFERROR(VLOOKUP(E365,areaNomiBreviSquadre,7,FALSE),""))</f>
        <v/>
      </c>
      <c r="E365" s="62" t="inlineStr">
        <is>
          <t>A12</t>
        </is>
      </c>
      <c r="F365" s="63" t="n">
        <v>46390.45833333334</v>
      </c>
      <c r="G365" s="9" t="n"/>
      <c r="H365" s="9" t="n"/>
      <c r="I365" s="10" t="n"/>
      <c r="J365" s="65" t="n">
        <v>57</v>
      </c>
      <c r="K365" s="66" t="inlineStr">
        <is>
          <t>-</t>
        </is>
      </c>
      <c r="L365" s="65" t="n">
        <v>46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A03</t>
        </is>
      </c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IF(C368="","",IFERROR(VLOOKUP(C368,areaNomiBreviSquadre,7,FALSE),""))</f>
        <v/>
      </c>
      <c r="C368" s="62" t="inlineStr">
        <is>
          <t>A13</t>
        </is>
      </c>
      <c r="D368" s="61">
        <f>IF(E368="","",IFERROR(VLOOKUP(E368,areaNomiBreviSquadre,7,FALSE),""))</f>
        <v/>
      </c>
      <c r="E368" s="62" t="inlineStr">
        <is>
          <t>A11</t>
        </is>
      </c>
      <c r="F368" s="63" t="n">
        <v>46390.60416666666</v>
      </c>
      <c r="G368" s="9" t="n"/>
      <c r="H368" s="9" t="n"/>
      <c r="I368" s="10" t="n"/>
      <c r="J368" s="65" t="n">
        <v>32</v>
      </c>
      <c r="K368" s="66" t="inlineStr">
        <is>
          <t>-</t>
        </is>
      </c>
      <c r="L368" s="65" t="n">
        <v>60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A03</t>
        </is>
      </c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IF(C371="","",IFERROR(VLOOKUP(C371,areaNomiBreviSquadre,7,FALSE),""))</f>
        <v/>
      </c>
      <c r="C371" s="62" t="inlineStr">
        <is>
          <t>A10</t>
        </is>
      </c>
      <c r="D371" s="61">
        <f>IF(E371="","",IFERROR(VLOOKUP(E371,areaNomiBreviSquadre,7,FALSE),""))</f>
        <v/>
      </c>
      <c r="E371" s="62" t="inlineStr">
        <is>
          <t>A14</t>
        </is>
      </c>
      <c r="F371" s="63" t="n">
        <v>46390.66666666666</v>
      </c>
      <c r="G371" s="9" t="n"/>
      <c r="H371" s="9" t="n"/>
      <c r="I371" s="10" t="n"/>
      <c r="J371" s="65" t="n">
        <v>49</v>
      </c>
      <c r="K371" s="66" t="inlineStr">
        <is>
          <t>-</t>
        </is>
      </c>
      <c r="L371" s="65" t="n">
        <v>24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A03</t>
        </is>
      </c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IF(C374="","",IFERROR(VLOOKUP(C374,areaNomiBreviSquadre,7,FALSE),""))</f>
        <v/>
      </c>
      <c r="C374" s="62" t="inlineStr">
        <is>
          <t>A15</t>
        </is>
      </c>
      <c r="D374" s="61">
        <f>IF(E374="","",IFERROR(VLOOKUP(E374,areaNomiBreviSquadre,7,FALSE),""))</f>
        <v/>
      </c>
      <c r="E374" s="62" t="inlineStr">
        <is>
          <t>A09</t>
        </is>
      </c>
      <c r="F374" s="63" t="n">
        <v>46390.72916666666</v>
      </c>
      <c r="G374" s="9" t="n"/>
      <c r="H374" s="9" t="n"/>
      <c r="I374" s="10" t="n"/>
      <c r="J374" s="65" t="n">
        <v>77</v>
      </c>
      <c r="K374" s="66" t="inlineStr">
        <is>
          <t>-</t>
        </is>
      </c>
      <c r="L374" s="65" t="n">
        <v>63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A03</t>
        </is>
      </c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IF(C377="","",IFERROR(VLOOKUP(C377,areaNomiBreviSquadre,7,FALSE),""))</f>
        <v/>
      </c>
      <c r="C377" s="62" t="inlineStr">
        <is>
          <t>A04</t>
        </is>
      </c>
      <c r="D377" s="61">
        <f>IF(E377="","",IFERROR(VLOOKUP(E377,areaNomiBreviSquadre,7,FALSE),""))</f>
        <v/>
      </c>
      <c r="E377" s="62" t="inlineStr">
        <is>
          <t>A01</t>
        </is>
      </c>
      <c r="F377" s="63" t="n">
        <v>46390.39583333334</v>
      </c>
      <c r="G377" s="9" t="n"/>
      <c r="H377" s="9" t="n"/>
      <c r="I377" s="10" t="n"/>
      <c r="J377" s="65" t="n">
        <v>81</v>
      </c>
      <c r="K377" s="66" t="inlineStr">
        <is>
          <t>-</t>
        </is>
      </c>
      <c r="L377" s="65" t="n">
        <v>60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A04</t>
        </is>
      </c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IF(C380="","",IFERROR(VLOOKUP(C380,areaNomiBreviSquadre,7,FALSE),""))</f>
        <v/>
      </c>
      <c r="C380" s="62" t="inlineStr">
        <is>
          <t>A08</t>
        </is>
      </c>
      <c r="D380" s="61">
        <f>IF(E380="","",IFERROR(VLOOKUP(E380,areaNomiBreviSquadre,7,FALSE),""))</f>
        <v/>
      </c>
      <c r="E380" s="62" t="inlineStr">
        <is>
          <t>A16</t>
        </is>
      </c>
      <c r="F380" s="63" t="n">
        <v>46390.45833333334</v>
      </c>
      <c r="G380" s="9" t="n"/>
      <c r="H380" s="9" t="n"/>
      <c r="I380" s="10" t="n"/>
      <c r="J380" s="65" t="n">
        <v>36</v>
      </c>
      <c r="K380" s="66" t="inlineStr">
        <is>
          <t>-</t>
        </is>
      </c>
      <c r="L380" s="65" t="n">
        <v>53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A04</t>
        </is>
      </c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IF(C383="","",IFERROR(VLOOKUP(C383,areaNomiBreviSquadre,7,FALSE),""))</f>
        <v/>
      </c>
      <c r="C383" s="62" t="inlineStr">
        <is>
          <t>A17</t>
        </is>
      </c>
      <c r="D383" s="61">
        <f>IF(E383="","",IFERROR(VLOOKUP(E383,areaNomiBreviSquadre,7,FALSE),""))</f>
        <v/>
      </c>
      <c r="E383" s="62" t="inlineStr">
        <is>
          <t>A07</t>
        </is>
      </c>
      <c r="F383" s="63" t="n">
        <v>46390.60416666666</v>
      </c>
      <c r="G383" s="9" t="n"/>
      <c r="H383" s="9" t="n"/>
      <c r="I383" s="10" t="n"/>
      <c r="J383" s="65" t="n">
        <v>52</v>
      </c>
      <c r="K383" s="66" t="inlineStr">
        <is>
          <t>-</t>
        </is>
      </c>
      <c r="L383" s="65" t="n">
        <v>25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A04</t>
        </is>
      </c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IF(C386="","",IFERROR(VLOOKUP(C386,areaNomiBreviSquadre,7,FALSE),""))</f>
        <v/>
      </c>
      <c r="C386" s="62" t="inlineStr">
        <is>
          <t>A06</t>
        </is>
      </c>
      <c r="D386" s="61">
        <f>IF(E386="","",IFERROR(VLOOKUP(E386,areaNomiBreviSquadre,7,FALSE),""))</f>
        <v/>
      </c>
      <c r="E386" s="62" t="inlineStr">
        <is>
          <t>A18</t>
        </is>
      </c>
      <c r="F386" s="63" t="n">
        <v>46390.66666666666</v>
      </c>
      <c r="G386" s="9" t="n"/>
      <c r="H386" s="9" t="n"/>
      <c r="I386" s="10" t="n"/>
      <c r="J386" s="65" t="n">
        <v>74</v>
      </c>
      <c r="K386" s="66" t="inlineStr">
        <is>
          <t>-</t>
        </is>
      </c>
      <c r="L386" s="65" t="n">
        <v>54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A04</t>
        </is>
      </c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IF(C389="","",IFERROR(VLOOKUP(C389,areaNomiBreviSquadre,7,FALSE),""))</f>
        <v/>
      </c>
      <c r="C389" s="62" t="inlineStr">
        <is>
          <t>A19</t>
        </is>
      </c>
      <c r="D389" s="61">
        <f>IF(E389="","",IFERROR(VLOOKUP(E389,areaNomiBreviSquadre,7,FALSE),""))</f>
        <v/>
      </c>
      <c r="E389" s="62" t="inlineStr">
        <is>
          <t>A05</t>
        </is>
      </c>
      <c r="F389" s="63" t="n">
        <v>46390.72916666666</v>
      </c>
      <c r="G389" s="9" t="n"/>
      <c r="H389" s="9" t="n"/>
      <c r="I389" s="10" t="n"/>
      <c r="J389" s="65" t="n">
        <v>72</v>
      </c>
      <c r="K389" s="66" t="inlineStr">
        <is>
          <t>-</t>
        </is>
      </c>
      <c r="L389" s="65" t="n">
        <v>77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A04</t>
        </is>
      </c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IF(C394="","",IFERROR(VLOOKUP(C394,areaNomiBreviSquadre,7,FALSE),""))</f>
        <v/>
      </c>
      <c r="C394" s="62" t="inlineStr">
        <is>
          <t>A02</t>
        </is>
      </c>
      <c r="D394" s="61">
        <f>IF(E394="","",IFERROR(VLOOKUP(E394,areaNomiBreviSquadre,7,FALSE),""))</f>
        <v/>
      </c>
      <c r="E394" s="62" t="inlineStr">
        <is>
          <t>A05</t>
        </is>
      </c>
      <c r="F394" s="63" t="n">
        <v>46397.39583333334</v>
      </c>
      <c r="G394" s="9" t="n"/>
      <c r="H394" s="9" t="n"/>
      <c r="I394" s="10" t="n"/>
      <c r="J394" s="65" t="n">
        <v>49</v>
      </c>
      <c r="K394" s="66" t="inlineStr">
        <is>
          <t>-</t>
        </is>
      </c>
      <c r="L394" s="65" t="n">
        <v>56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A05</t>
        </is>
      </c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IF(C397="","",IFERROR(VLOOKUP(C397,areaNomiBreviSquadre,7,FALSE),""))</f>
        <v/>
      </c>
      <c r="C397" s="62" t="inlineStr">
        <is>
          <t>A13</t>
        </is>
      </c>
      <c r="D397" s="61">
        <f>IF(E397="","",IFERROR(VLOOKUP(E397,areaNomiBreviSquadre,7,FALSE),""))</f>
        <v/>
      </c>
      <c r="E397" s="62" t="inlineStr">
        <is>
          <t>A20</t>
        </is>
      </c>
      <c r="F397" s="63" t="n">
        <v>46397.45833333334</v>
      </c>
      <c r="G397" s="9" t="n"/>
      <c r="H397" s="9" t="n"/>
      <c r="I397" s="10" t="n"/>
      <c r="J397" s="65" t="n">
        <v>16</v>
      </c>
      <c r="K397" s="66" t="inlineStr">
        <is>
          <t>-</t>
        </is>
      </c>
      <c r="L397" s="65" t="n">
        <v>39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A05</t>
        </is>
      </c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IF(C400="","",IFERROR(VLOOKUP(C400,areaNomiBreviSquadre,7,FALSE),""))</f>
        <v/>
      </c>
      <c r="C400" s="62" t="inlineStr">
        <is>
          <t>A12</t>
        </is>
      </c>
      <c r="D400" s="61">
        <f>IF(E400="","",IFERROR(VLOOKUP(E400,areaNomiBreviSquadre,7,FALSE),""))</f>
        <v/>
      </c>
      <c r="E400" s="62" t="inlineStr">
        <is>
          <t>A14</t>
        </is>
      </c>
      <c r="F400" s="63" t="n">
        <v>46397.60416666666</v>
      </c>
      <c r="G400" s="9" t="n"/>
      <c r="H400" s="9" t="n"/>
      <c r="I400" s="10" t="n"/>
      <c r="J400" s="65" t="n">
        <v>73</v>
      </c>
      <c r="K400" s="66" t="inlineStr">
        <is>
          <t>-</t>
        </is>
      </c>
      <c r="L400" s="65" t="n">
        <v>83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A05</t>
        </is>
      </c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IF(C403="","",IFERROR(VLOOKUP(C403,areaNomiBreviSquadre,7,FALSE),""))</f>
        <v/>
      </c>
      <c r="C403" s="62" t="inlineStr">
        <is>
          <t>A15</t>
        </is>
      </c>
      <c r="D403" s="61">
        <f>IF(E403="","",IFERROR(VLOOKUP(E403,areaNomiBreviSquadre,7,FALSE),""))</f>
        <v/>
      </c>
      <c r="E403" s="62" t="inlineStr">
        <is>
          <t>A11</t>
        </is>
      </c>
      <c r="F403" s="63" t="n">
        <v>46397.66666666666</v>
      </c>
      <c r="G403" s="9" t="n"/>
      <c r="H403" s="9" t="n"/>
      <c r="I403" s="10" t="n"/>
      <c r="J403" s="65" t="n">
        <v>40</v>
      </c>
      <c r="K403" s="66" t="inlineStr">
        <is>
          <t>-</t>
        </is>
      </c>
      <c r="L403" s="65" t="n">
        <v>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A05</t>
        </is>
      </c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IF(C406="","",IFERROR(VLOOKUP(C406,areaNomiBreviSquadre,7,FALSE),""))</f>
        <v/>
      </c>
      <c r="C406" s="62" t="inlineStr">
        <is>
          <t>A10</t>
        </is>
      </c>
      <c r="D406" s="61">
        <f>IF(E406="","",IFERROR(VLOOKUP(E406,areaNomiBreviSquadre,7,FALSE),""))</f>
        <v/>
      </c>
      <c r="E406" s="62" t="inlineStr">
        <is>
          <t>A16</t>
        </is>
      </c>
      <c r="F406" s="63" t="n">
        <v>46397.72916666666</v>
      </c>
      <c r="G406" s="9" t="n"/>
      <c r="H406" s="9" t="n"/>
      <c r="I406" s="10" t="n"/>
      <c r="J406" s="65" t="n">
        <v>69</v>
      </c>
      <c r="K406" s="66" t="inlineStr">
        <is>
          <t>-</t>
        </is>
      </c>
      <c r="L406" s="65" t="n">
        <v>44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A05</t>
        </is>
      </c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IF(C409="","",IFERROR(VLOOKUP(C409,areaNomiBreviSquadre,7,FALSE),""))</f>
        <v/>
      </c>
      <c r="C409" s="62" t="inlineStr">
        <is>
          <t>A06</t>
        </is>
      </c>
      <c r="D409" s="61">
        <f>IF(E409="","",IFERROR(VLOOKUP(E409,areaNomiBreviSquadre,7,FALSE),""))</f>
        <v/>
      </c>
      <c r="E409" s="62" t="inlineStr">
        <is>
          <t>A01</t>
        </is>
      </c>
      <c r="F409" s="63" t="n">
        <v>46397.39583333334</v>
      </c>
      <c r="G409" s="9" t="n"/>
      <c r="H409" s="9" t="n"/>
      <c r="I409" s="10" t="n"/>
      <c r="J409" s="65" t="n">
        <v>53</v>
      </c>
      <c r="K409" s="66" t="inlineStr">
        <is>
          <t>-</t>
        </is>
      </c>
      <c r="L409" s="65" t="n">
        <v>29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A06</t>
        </is>
      </c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IF(C412="","",IFERROR(VLOOKUP(C412,areaNomiBreviSquadre,7,FALSE),""))</f>
        <v/>
      </c>
      <c r="C412" s="62" t="inlineStr">
        <is>
          <t>A17</t>
        </is>
      </c>
      <c r="D412" s="61">
        <f>IF(E412="","",IFERROR(VLOOKUP(E412,areaNomiBreviSquadre,7,FALSE),""))</f>
        <v/>
      </c>
      <c r="E412" s="62" t="inlineStr">
        <is>
          <t>A09</t>
        </is>
      </c>
      <c r="F412" s="63" t="n">
        <v>46397.45833333334</v>
      </c>
      <c r="G412" s="9" t="n"/>
      <c r="H412" s="9" t="n"/>
      <c r="I412" s="10" t="n"/>
      <c r="J412" s="65" t="n">
        <v>70</v>
      </c>
      <c r="K412" s="66" t="inlineStr">
        <is>
          <t>-</t>
        </is>
      </c>
      <c r="L412" s="65" t="n">
        <v>76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A06</t>
        </is>
      </c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IF(C415="","",IFERROR(VLOOKUP(C415,areaNomiBreviSquadre,7,FALSE),""))</f>
        <v/>
      </c>
      <c r="C415" s="62" t="inlineStr">
        <is>
          <t>A08</t>
        </is>
      </c>
      <c r="D415" s="61">
        <f>IF(E415="","",IFERROR(VLOOKUP(E415,areaNomiBreviSquadre,7,FALSE),""))</f>
        <v/>
      </c>
      <c r="E415" s="62" t="inlineStr">
        <is>
          <t>A18</t>
        </is>
      </c>
      <c r="F415" s="63" t="n">
        <v>46397.60416666666</v>
      </c>
      <c r="G415" s="9" t="n"/>
      <c r="H415" s="9" t="n"/>
      <c r="I415" s="10" t="n"/>
      <c r="J415" s="65" t="n">
        <v>87</v>
      </c>
      <c r="K415" s="66" t="inlineStr">
        <is>
          <t>-</t>
        </is>
      </c>
      <c r="L415" s="65" t="n">
        <v>92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A06</t>
        </is>
      </c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IF(C418="","",IFERROR(VLOOKUP(C418,areaNomiBreviSquadre,7,FALSE),""))</f>
        <v/>
      </c>
      <c r="C418" s="62" t="inlineStr">
        <is>
          <t>A19</t>
        </is>
      </c>
      <c r="D418" s="61">
        <f>IF(E418="","",IFERROR(VLOOKUP(E418,areaNomiBreviSquadre,7,FALSE),""))</f>
        <v/>
      </c>
      <c r="E418" s="62" t="inlineStr">
        <is>
          <t>A07</t>
        </is>
      </c>
      <c r="F418" s="63" t="n">
        <v>46397.66666666666</v>
      </c>
      <c r="G418" s="9" t="n"/>
      <c r="H418" s="9" t="n"/>
      <c r="I418" s="10" t="n"/>
      <c r="J418" s="65" t="n">
        <v>65</v>
      </c>
      <c r="K418" s="66" t="inlineStr">
        <is>
          <t>-</t>
        </is>
      </c>
      <c r="L418" s="65" t="n">
        <v>92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A06</t>
        </is>
      </c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IF(C421="","",IFERROR(VLOOKUP(C421,areaNomiBreviSquadre,7,FALSE),""))</f>
        <v/>
      </c>
      <c r="C421" s="62" t="inlineStr">
        <is>
          <t>A04</t>
        </is>
      </c>
      <c r="D421" s="61">
        <f>IF(E421="","",IFERROR(VLOOKUP(E421,areaNomiBreviSquadre,7,FALSE),""))</f>
        <v/>
      </c>
      <c r="E421" s="62" t="inlineStr">
        <is>
          <t>A03</t>
        </is>
      </c>
      <c r="F421" s="63" t="n">
        <v>46397.72916666666</v>
      </c>
      <c r="G421" s="9" t="n"/>
      <c r="H421" s="9" t="n"/>
      <c r="I421" s="10" t="n"/>
      <c r="J421" s="65" t="n">
        <v>41</v>
      </c>
      <c r="K421" s="66" t="inlineStr">
        <is>
          <t>-</t>
        </is>
      </c>
      <c r="L421" s="65" t="n">
        <v>69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A06</t>
        </is>
      </c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IF(C426="","",IFERROR(VLOOKUP(C426,areaNomiBreviSquadre,7,FALSE),""))</f>
        <v/>
      </c>
      <c r="C426" s="62" t="inlineStr">
        <is>
          <t>A02</t>
        </is>
      </c>
      <c r="D426" s="61">
        <f>IF(E426="","",IFERROR(VLOOKUP(E426,areaNomiBreviSquadre,7,FALSE),""))</f>
        <v/>
      </c>
      <c r="E426" s="62" t="inlineStr">
        <is>
          <t>A07</t>
        </is>
      </c>
      <c r="F426" s="63" t="n">
        <v>46404.39583333334</v>
      </c>
      <c r="G426" s="9" t="n"/>
      <c r="H426" s="9" t="n"/>
      <c r="I426" s="10" t="n"/>
      <c r="J426" s="65" t="n">
        <v>23</v>
      </c>
      <c r="K426" s="66" t="inlineStr">
        <is>
          <t>-</t>
        </is>
      </c>
      <c r="L426" s="65" t="n">
        <v>49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A07</t>
        </is>
      </c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IF(C429="","",IFERROR(VLOOKUP(C429,areaNomiBreviSquadre,7,FALSE),""))</f>
        <v/>
      </c>
      <c r="C429" s="62" t="inlineStr">
        <is>
          <t>A20</t>
        </is>
      </c>
      <c r="D429" s="61">
        <f>IF(E429="","",IFERROR(VLOOKUP(E429,areaNomiBreviSquadre,7,FALSE),""))</f>
        <v/>
      </c>
      <c r="E429" s="62" t="inlineStr">
        <is>
          <t>A14</t>
        </is>
      </c>
      <c r="F429" s="63" t="n">
        <v>46404.45833333334</v>
      </c>
      <c r="G429" s="9" t="n"/>
      <c r="H429" s="9" t="n"/>
      <c r="I429" s="10" t="n"/>
      <c r="J429" s="65" t="n">
        <v>47</v>
      </c>
      <c r="K429" s="66" t="inlineStr">
        <is>
          <t>-</t>
        </is>
      </c>
      <c r="L429" s="65" t="n">
        <v>72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A07</t>
        </is>
      </c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IF(C432="","",IFERROR(VLOOKUP(C432,areaNomiBreviSquadre,7,FALSE),""))</f>
        <v/>
      </c>
      <c r="C432" s="62" t="inlineStr">
        <is>
          <t>A15</t>
        </is>
      </c>
      <c r="D432" s="61">
        <f>IF(E432="","",IFERROR(VLOOKUP(E432,areaNomiBreviSquadre,7,FALSE),""))</f>
        <v/>
      </c>
      <c r="E432" s="62" t="inlineStr">
        <is>
          <t>A13</t>
        </is>
      </c>
      <c r="F432" s="63" t="n">
        <v>46404.60416666666</v>
      </c>
      <c r="G432" s="9" t="n"/>
      <c r="H432" s="9" t="n"/>
      <c r="I432" s="10" t="n"/>
      <c r="J432" s="65" t="n">
        <v>52</v>
      </c>
      <c r="K432" s="66" t="inlineStr">
        <is>
          <t>-</t>
        </is>
      </c>
      <c r="L432" s="65" t="n">
        <v>33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A07</t>
        </is>
      </c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IF(C435="","",IFERROR(VLOOKUP(C435,areaNomiBreviSquadre,7,FALSE),""))</f>
        <v/>
      </c>
      <c r="C435" s="62" t="inlineStr">
        <is>
          <t>A12</t>
        </is>
      </c>
      <c r="D435" s="61">
        <f>IF(E435="","",IFERROR(VLOOKUP(E435,areaNomiBreviSquadre,7,FALSE),""))</f>
        <v/>
      </c>
      <c r="E435" s="62" t="inlineStr">
        <is>
          <t>A16</t>
        </is>
      </c>
      <c r="F435" s="63" t="n">
        <v>46404.66666666666</v>
      </c>
      <c r="G435" s="9" t="n"/>
      <c r="H435" s="9" t="n"/>
      <c r="I435" s="10" t="n"/>
      <c r="J435" s="65" t="n">
        <v>25</v>
      </c>
      <c r="K435" s="66" t="inlineStr">
        <is>
          <t>-</t>
        </is>
      </c>
      <c r="L435" s="65" t="n">
        <v>41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A07</t>
        </is>
      </c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IF(C438="","",IFERROR(VLOOKUP(C438,areaNomiBreviSquadre,7,FALSE),""))</f>
        <v/>
      </c>
      <c r="C438" s="62" t="inlineStr">
        <is>
          <t>A17</t>
        </is>
      </c>
      <c r="D438" s="61">
        <f>IF(E438="","",IFERROR(VLOOKUP(E438,areaNomiBreviSquadre,7,FALSE),""))</f>
        <v/>
      </c>
      <c r="E438" s="62" t="inlineStr">
        <is>
          <t>A11</t>
        </is>
      </c>
      <c r="F438" s="63" t="n">
        <v>46404.72916666666</v>
      </c>
      <c r="G438" s="9" t="n"/>
      <c r="H438" s="9" t="n"/>
      <c r="I438" s="10" t="n"/>
      <c r="J438" s="65" t="n">
        <v>81</v>
      </c>
      <c r="K438" s="66" t="inlineStr">
        <is>
          <t>-</t>
        </is>
      </c>
      <c r="L438" s="65" t="n">
        <v>90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A07</t>
        </is>
      </c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IF(C441="","",IFERROR(VLOOKUP(C441,areaNomiBreviSquadre,7,FALSE),""))</f>
        <v/>
      </c>
      <c r="C441" s="62" t="inlineStr">
        <is>
          <t>A08</t>
        </is>
      </c>
      <c r="D441" s="61">
        <f>IF(E441="","",IFERROR(VLOOKUP(E441,areaNomiBreviSquadre,7,FALSE),""))</f>
        <v/>
      </c>
      <c r="E441" s="62" t="inlineStr">
        <is>
          <t>A01</t>
        </is>
      </c>
      <c r="F441" s="63" t="n">
        <v>46404.39583333334</v>
      </c>
      <c r="G441" s="9" t="n"/>
      <c r="H441" s="9" t="n"/>
      <c r="I441" s="10" t="n"/>
      <c r="J441" s="65" t="n">
        <v>68</v>
      </c>
      <c r="K441" s="66" t="inlineStr">
        <is>
          <t>-</t>
        </is>
      </c>
      <c r="L441" s="65" t="n">
        <v>53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A08</t>
        </is>
      </c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IF(C444="","",IFERROR(VLOOKUP(C444,areaNomiBreviSquadre,7,FALSE),""))</f>
        <v/>
      </c>
      <c r="C444" s="62" t="inlineStr">
        <is>
          <t>A10</t>
        </is>
      </c>
      <c r="D444" s="61">
        <f>IF(E444="","",IFERROR(VLOOKUP(E444,areaNomiBreviSquadre,7,FALSE),""))</f>
        <v/>
      </c>
      <c r="E444" s="62" t="inlineStr">
        <is>
          <t>A18</t>
        </is>
      </c>
      <c r="F444" s="63" t="n">
        <v>46404.45833333334</v>
      </c>
      <c r="G444" s="9" t="n"/>
      <c r="H444" s="9" t="n"/>
      <c r="I444" s="10" t="n"/>
      <c r="J444" s="65" t="n">
        <v>71</v>
      </c>
      <c r="K444" s="66" t="inlineStr">
        <is>
          <t>-</t>
        </is>
      </c>
      <c r="L444" s="65" t="n">
        <v>86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A08</t>
        </is>
      </c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IF(C447="","",IFERROR(VLOOKUP(C447,areaNomiBreviSquadre,7,FALSE),""))</f>
        <v/>
      </c>
      <c r="C447" s="62" t="inlineStr">
        <is>
          <t>A19</t>
        </is>
      </c>
      <c r="D447" s="61">
        <f>IF(E447="","",IFERROR(VLOOKUP(E447,areaNomiBreviSquadre,7,FALSE),""))</f>
        <v/>
      </c>
      <c r="E447" s="62" t="inlineStr">
        <is>
          <t>A09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55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A08</t>
        </is>
      </c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IF(C450="","",IFERROR(VLOOKUP(C450,areaNomiBreviSquadre,7,FALSE),""))</f>
        <v/>
      </c>
      <c r="C450" s="62" t="inlineStr">
        <is>
          <t>A06</t>
        </is>
      </c>
      <c r="D450" s="61">
        <f>IF(E450="","",IFERROR(VLOOKUP(E450,areaNomiBreviSquadre,7,FALSE),""))</f>
        <v/>
      </c>
      <c r="E450" s="62" t="inlineStr">
        <is>
          <t>A03</t>
        </is>
      </c>
      <c r="F450" s="63" t="n">
        <v>46404.66666666666</v>
      </c>
      <c r="G450" s="9" t="n"/>
      <c r="H450" s="9" t="n"/>
      <c r="I450" s="10" t="n"/>
      <c r="J450" s="65" t="n">
        <v>54</v>
      </c>
      <c r="K450" s="66" t="inlineStr">
        <is>
          <t>-</t>
        </is>
      </c>
      <c r="L450" s="65" t="n">
        <v>39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A08</t>
        </is>
      </c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IF(C453="","",IFERROR(VLOOKUP(C453,areaNomiBreviSquadre,7,FALSE),""))</f>
        <v/>
      </c>
      <c r="C453" s="62" t="inlineStr">
        <is>
          <t>A04</t>
        </is>
      </c>
      <c r="D453" s="61">
        <f>IF(E453="","",IFERROR(VLOOKUP(E453,areaNomiBreviSquadre,7,FALSE),""))</f>
        <v/>
      </c>
      <c r="E453" s="62" t="inlineStr">
        <is>
          <t>A05</t>
        </is>
      </c>
      <c r="F453" s="63" t="n">
        <v>46404.72916666666</v>
      </c>
      <c r="G453" s="9" t="n"/>
      <c r="H453" s="9" t="n"/>
      <c r="I453" s="10" t="n"/>
      <c r="J453" s="65" t="n">
        <v>32</v>
      </c>
      <c r="K453" s="66" t="inlineStr">
        <is>
          <t>-</t>
        </is>
      </c>
      <c r="L453" s="65" t="n">
        <v>44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A08</t>
        </is>
      </c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IF(C458="","",IFERROR(VLOOKUP(C458,areaNomiBreviSquadre,7,FALSE),""))</f>
        <v/>
      </c>
      <c r="C458" s="62" t="inlineStr">
        <is>
          <t>A02</t>
        </is>
      </c>
      <c r="D458" s="61">
        <f>IF(E458="","",IFERROR(VLOOKUP(E458,areaNomiBreviSquadre,7,FALSE),""))</f>
        <v/>
      </c>
      <c r="E458" s="62" t="inlineStr">
        <is>
          <t>A09</t>
        </is>
      </c>
      <c r="F458" s="63" t="n">
        <v>46411.39583333334</v>
      </c>
      <c r="G458" s="9" t="n"/>
      <c r="H458" s="9" t="n"/>
      <c r="I458" s="10" t="n"/>
      <c r="J458" s="65" t="n">
        <v>32</v>
      </c>
      <c r="K458" s="66" t="inlineStr">
        <is>
          <t>-</t>
        </is>
      </c>
      <c r="L458" s="65" t="n">
        <v>57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A09</t>
        </is>
      </c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IF(C461="","",IFERROR(VLOOKUP(C461,areaNomiBreviSquadre,7,FALSE),""))</f>
        <v/>
      </c>
      <c r="C461" s="62" t="inlineStr">
        <is>
          <t>A15</t>
        </is>
      </c>
      <c r="D461" s="61">
        <f>IF(E461="","",IFERROR(VLOOKUP(E461,areaNomiBreviSquadre,7,FALSE),""))</f>
        <v/>
      </c>
      <c r="E461" s="62" t="inlineStr">
        <is>
          <t>A20</t>
        </is>
      </c>
      <c r="F461" s="63" t="n">
        <v>46411.45833333334</v>
      </c>
      <c r="G461" s="9" t="n"/>
      <c r="H461" s="9" t="n"/>
      <c r="I461" s="10" t="n"/>
      <c r="J461" s="65" t="n">
        <v>53</v>
      </c>
      <c r="K461" s="66" t="inlineStr">
        <is>
          <t>-</t>
        </is>
      </c>
      <c r="L461" s="65" t="n">
        <v>35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A09</t>
        </is>
      </c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IF(C464="","",IFERROR(VLOOKUP(C464,areaNomiBreviSquadre,7,FALSE),""))</f>
        <v/>
      </c>
      <c r="C464" s="62" t="inlineStr">
        <is>
          <t>A14</t>
        </is>
      </c>
      <c r="D464" s="61">
        <f>IF(E464="","",IFERROR(VLOOKUP(E464,areaNomiBreviSquadre,7,FALSE),""))</f>
        <v/>
      </c>
      <c r="E464" s="62" t="inlineStr">
        <is>
          <t>A16</t>
        </is>
      </c>
      <c r="F464" s="63" t="n">
        <v>46411.60416666666</v>
      </c>
      <c r="G464" s="9" t="n"/>
      <c r="H464" s="9" t="n"/>
      <c r="I464" s="10" t="n"/>
      <c r="J464" s="65" t="n">
        <v>81</v>
      </c>
      <c r="K464" s="66" t="inlineStr">
        <is>
          <t>-</t>
        </is>
      </c>
      <c r="L464" s="65" t="n">
        <v>55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A09</t>
        </is>
      </c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IF(C467="","",IFERROR(VLOOKUP(C467,areaNomiBreviSquadre,7,FALSE),""))</f>
        <v/>
      </c>
      <c r="C467" s="62" t="inlineStr">
        <is>
          <t>A17</t>
        </is>
      </c>
      <c r="D467" s="61">
        <f>IF(E467="","",IFERROR(VLOOKUP(E467,areaNomiBreviSquadre,7,FALSE),""))</f>
        <v/>
      </c>
      <c r="E467" s="62" t="inlineStr">
        <is>
          <t>A13</t>
        </is>
      </c>
      <c r="F467" s="63" t="n">
        <v>46411.66666666666</v>
      </c>
      <c r="G467" s="9" t="n"/>
      <c r="H467" s="9" t="n"/>
      <c r="I467" s="10" t="n"/>
      <c r="J467" s="65" t="n">
        <v>54</v>
      </c>
      <c r="K467" s="66" t="inlineStr">
        <is>
          <t>-</t>
        </is>
      </c>
      <c r="L467" s="65" t="n">
        <v>37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A09</t>
        </is>
      </c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IF(C470="","",IFERROR(VLOOKUP(C470,areaNomiBreviSquadre,7,FALSE),""))</f>
        <v/>
      </c>
      <c r="C470" s="62" t="inlineStr">
        <is>
          <t>A12</t>
        </is>
      </c>
      <c r="D470" s="61">
        <f>IF(E470="","",IFERROR(VLOOKUP(E470,areaNomiBreviSquadre,7,FALSE),""))</f>
        <v/>
      </c>
      <c r="E470" s="62" t="inlineStr">
        <is>
          <t>A18</t>
        </is>
      </c>
      <c r="F470" s="63" t="n">
        <v>46411.72916666666</v>
      </c>
      <c r="G470" s="9" t="n"/>
      <c r="H470" s="9" t="n"/>
      <c r="I470" s="10" t="n"/>
      <c r="J470" s="65" t="n">
        <v>39</v>
      </c>
      <c r="K470" s="66" t="inlineStr">
        <is>
          <t>-</t>
        </is>
      </c>
      <c r="L470" s="65" t="n">
        <v>27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A09</t>
        </is>
      </c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IF(C473="","",IFERROR(VLOOKUP(C473,areaNomiBreviSquadre,7,FALSE),""))</f>
        <v/>
      </c>
      <c r="C473" s="62" t="inlineStr">
        <is>
          <t>A10</t>
        </is>
      </c>
      <c r="D473" s="61">
        <f>IF(E473="","",IFERROR(VLOOKUP(E473,areaNomiBreviSquadre,7,FALSE),""))</f>
        <v/>
      </c>
      <c r="E473" s="62" t="inlineStr">
        <is>
          <t>A01</t>
        </is>
      </c>
      <c r="F473" s="63" t="n">
        <v>46411.39583333334</v>
      </c>
      <c r="G473" s="9" t="n"/>
      <c r="H473" s="9" t="n"/>
      <c r="I473" s="10" t="n"/>
      <c r="J473" s="65" t="n">
        <v>52</v>
      </c>
      <c r="K473" s="66" t="inlineStr">
        <is>
          <t>-</t>
        </is>
      </c>
      <c r="L473" s="65" t="n">
        <v>56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A10</t>
        </is>
      </c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IF(C476="","",IFERROR(VLOOKUP(C476,areaNomiBreviSquadre,7,FALSE),""))</f>
        <v/>
      </c>
      <c r="C476" s="62" t="inlineStr">
        <is>
          <t>A19</t>
        </is>
      </c>
      <c r="D476" s="61">
        <f>IF(E476="","",IFERROR(VLOOKUP(E476,areaNomiBreviSquadre,7,FALSE),""))</f>
        <v/>
      </c>
      <c r="E476" s="62" t="inlineStr">
        <is>
          <t>A11</t>
        </is>
      </c>
      <c r="F476" s="63" t="n">
        <v>46411.45833333334</v>
      </c>
      <c r="G476" s="9" t="n"/>
      <c r="H476" s="9" t="n"/>
      <c r="I476" s="10" t="n"/>
      <c r="J476" s="65" t="n">
        <v>65</v>
      </c>
      <c r="K476" s="66" t="inlineStr">
        <is>
          <t>-</t>
        </is>
      </c>
      <c r="L476" s="65" t="n">
        <v>68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A10</t>
        </is>
      </c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IF(C479="","",IFERROR(VLOOKUP(C479,areaNomiBreviSquadre,7,FALSE),""))</f>
        <v/>
      </c>
      <c r="C479" s="62" t="inlineStr">
        <is>
          <t>A08</t>
        </is>
      </c>
      <c r="D479" s="61">
        <f>IF(E479="","",IFERROR(VLOOKUP(E479,areaNomiBreviSquadre,7,FALSE),""))</f>
        <v/>
      </c>
      <c r="E479" s="62" t="inlineStr">
        <is>
          <t>A03</t>
        </is>
      </c>
      <c r="F479" s="63" t="n">
        <v>46411.60416666666</v>
      </c>
      <c r="G479" s="9" t="n"/>
      <c r="H479" s="9" t="n"/>
      <c r="I479" s="10" t="n"/>
      <c r="J479" s="65" t="n">
        <v>62</v>
      </c>
      <c r="K479" s="66" t="inlineStr">
        <is>
          <t>-</t>
        </is>
      </c>
      <c r="L479" s="65" t="n">
        <v>67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A10</t>
        </is>
      </c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IF(C482="","",IFERROR(VLOOKUP(C482,areaNomiBreviSquadre,7,FALSE),""))</f>
        <v/>
      </c>
      <c r="C482" s="62" t="inlineStr">
        <is>
          <t>A04</t>
        </is>
      </c>
      <c r="D482" s="61">
        <f>IF(E482="","",IFERROR(VLOOKUP(E482,areaNomiBreviSquadre,7,FALSE),""))</f>
        <v/>
      </c>
      <c r="E482" s="62" t="inlineStr">
        <is>
          <t>A07</t>
        </is>
      </c>
      <c r="F482" s="63" t="n">
        <v>46411.66666666666</v>
      </c>
      <c r="G482" s="9" t="n"/>
      <c r="H482" s="9" t="n"/>
      <c r="I482" s="10" t="n"/>
      <c r="J482" s="65" t="n">
        <v>73</v>
      </c>
      <c r="K482" s="66" t="inlineStr">
        <is>
          <t>-</t>
        </is>
      </c>
      <c r="L482" s="65" t="n">
        <v>49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A10</t>
        </is>
      </c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IF(C485="","",IFERROR(VLOOKUP(C485,areaNomiBreviSquadre,7,FALSE),""))</f>
        <v/>
      </c>
      <c r="C485" s="62" t="inlineStr">
        <is>
          <t>A06</t>
        </is>
      </c>
      <c r="D485" s="61">
        <f>IF(E485="","",IFERROR(VLOOKUP(E485,areaNomiBreviSquadre,7,FALSE),""))</f>
        <v/>
      </c>
      <c r="E485" s="62" t="inlineStr">
        <is>
          <t>A05</t>
        </is>
      </c>
      <c r="F485" s="63" t="n">
        <v>46411.72916666666</v>
      </c>
      <c r="G485" s="9" t="n"/>
      <c r="H485" s="9" t="n"/>
      <c r="I485" s="10" t="n"/>
      <c r="J485" s="65" t="n">
        <v>71</v>
      </c>
      <c r="K485" s="66" t="inlineStr">
        <is>
          <t>-</t>
        </is>
      </c>
      <c r="L485" s="65" t="n">
        <v>92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A10</t>
        </is>
      </c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IF(C490="","",IFERROR(VLOOKUP(C490,areaNomiBreviSquadre,7,FALSE),""))</f>
        <v/>
      </c>
      <c r="C490" s="62" t="inlineStr">
        <is>
          <t>A02</t>
        </is>
      </c>
      <c r="D490" s="61">
        <f>IF(E490="","",IFERROR(VLOOKUP(E490,areaNomiBreviSquadre,7,FALSE),""))</f>
        <v/>
      </c>
      <c r="E490" s="62" t="inlineStr">
        <is>
          <t>A11</t>
        </is>
      </c>
      <c r="F490" s="63" t="n">
        <v>46418.39583333334</v>
      </c>
      <c r="G490" s="9" t="n"/>
      <c r="H490" s="9" t="n"/>
      <c r="I490" s="10" t="n"/>
      <c r="J490" s="65" t="n">
        <v>25</v>
      </c>
      <c r="K490" s="66" t="inlineStr">
        <is>
          <t>-</t>
        </is>
      </c>
      <c r="L490" s="65" t="n">
        <v>53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A11</t>
        </is>
      </c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IF(C493="","",IFERROR(VLOOKUP(C493,areaNomiBreviSquadre,7,FALSE),""))</f>
        <v/>
      </c>
      <c r="C493" s="62" t="inlineStr">
        <is>
          <t>A20</t>
        </is>
      </c>
      <c r="D493" s="61">
        <f>IF(E493="","",IFERROR(VLOOKUP(E493,areaNomiBreviSquadre,7,FALSE),""))</f>
        <v/>
      </c>
      <c r="E493" s="62" t="inlineStr">
        <is>
          <t>A16</t>
        </is>
      </c>
      <c r="F493" s="63" t="n">
        <v>46418.45833333334</v>
      </c>
      <c r="G493" s="9" t="n"/>
      <c r="H493" s="9" t="n"/>
      <c r="I493" s="10" t="n"/>
      <c r="J493" s="65" t="n">
        <v>77</v>
      </c>
      <c r="K493" s="66" t="inlineStr">
        <is>
          <t>-</t>
        </is>
      </c>
      <c r="L493" s="65" t="n">
        <v>59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A11</t>
        </is>
      </c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IF(C496="","",IFERROR(VLOOKUP(C496,areaNomiBreviSquadre,7,FALSE),""))</f>
        <v/>
      </c>
      <c r="C496" s="62" t="inlineStr">
        <is>
          <t>A17</t>
        </is>
      </c>
      <c r="D496" s="61">
        <f>IF(E496="","",IFERROR(VLOOKUP(E496,areaNomiBreviSquadre,7,FALSE),""))</f>
        <v/>
      </c>
      <c r="E496" s="62" t="inlineStr">
        <is>
          <t>A15</t>
        </is>
      </c>
      <c r="F496" s="63" t="n">
        <v>46418.60416666666</v>
      </c>
      <c r="G496" s="9" t="n"/>
      <c r="H496" s="9" t="n"/>
      <c r="I496" s="10" t="n"/>
      <c r="J496" s="65" t="n">
        <v>80</v>
      </c>
      <c r="K496" s="66" t="inlineStr">
        <is>
          <t>-</t>
        </is>
      </c>
      <c r="L496" s="65" t="n">
        <v>52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A11</t>
        </is>
      </c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IF(C499="","",IFERROR(VLOOKUP(C499,areaNomiBreviSquadre,7,FALSE),""))</f>
        <v/>
      </c>
      <c r="C499" s="62" t="inlineStr">
        <is>
          <t>A14</t>
        </is>
      </c>
      <c r="D499" s="61">
        <f>IF(E499="","",IFERROR(VLOOKUP(E499,areaNomiBreviSquadre,7,FALSE),""))</f>
        <v/>
      </c>
      <c r="E499" s="62" t="inlineStr">
        <is>
          <t>A18</t>
        </is>
      </c>
      <c r="F499" s="63" t="n">
        <v>46418.66666666666</v>
      </c>
      <c r="G499" s="9" t="n"/>
      <c r="H499" s="9" t="n"/>
      <c r="I499" s="10" t="n"/>
      <c r="J499" s="65" t="n">
        <v>48</v>
      </c>
      <c r="K499" s="66" t="inlineStr">
        <is>
          <t>-</t>
        </is>
      </c>
      <c r="L499" s="65" t="n">
        <v>64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A11</t>
        </is>
      </c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IF(C502="","",IFERROR(VLOOKUP(C502,areaNomiBreviSquadre,7,FALSE),""))</f>
        <v/>
      </c>
      <c r="C502" s="62" t="inlineStr">
        <is>
          <t>A19</t>
        </is>
      </c>
      <c r="D502" s="61">
        <f>IF(E502="","",IFERROR(VLOOKUP(E502,areaNomiBreviSquadre,7,FALSE),""))</f>
        <v/>
      </c>
      <c r="E502" s="62" t="inlineStr">
        <is>
          <t>A13</t>
        </is>
      </c>
      <c r="F502" s="63" t="n">
        <v>46418.72916666666</v>
      </c>
      <c r="G502" s="9" t="n"/>
      <c r="H502" s="9" t="n"/>
      <c r="I502" s="10" t="n"/>
      <c r="J502" s="65" t="n">
        <v>80</v>
      </c>
      <c r="K502" s="66" t="inlineStr">
        <is>
          <t>-</t>
        </is>
      </c>
      <c r="L502" s="65" t="n">
        <v>82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A11</t>
        </is>
      </c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IF(C505="","",IFERROR(VLOOKUP(C505,areaNomiBreviSquadre,7,FALSE),""))</f>
        <v/>
      </c>
      <c r="C505" s="62" t="inlineStr">
        <is>
          <t>A12</t>
        </is>
      </c>
      <c r="D505" s="61">
        <f>IF(E505="","",IFERROR(VLOOKUP(E505,areaNomiBreviSquadre,7,FALSE),""))</f>
        <v/>
      </c>
      <c r="E505" s="62" t="inlineStr">
        <is>
          <t>A01</t>
        </is>
      </c>
      <c r="F505" s="63" t="n">
        <v>46418.39583333334</v>
      </c>
      <c r="G505" s="9" t="n"/>
      <c r="H505" s="9" t="n"/>
      <c r="I505" s="10" t="n"/>
      <c r="J505" s="65" t="n">
        <v>0</v>
      </c>
      <c r="K505" s="66" t="inlineStr">
        <is>
          <t>-</t>
        </is>
      </c>
      <c r="L505" s="65" t="n">
        <v>40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A12</t>
        </is>
      </c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IF(C508="","",IFERROR(VLOOKUP(C508,areaNomiBreviSquadre,7,FALSE),""))</f>
        <v/>
      </c>
      <c r="C508" s="62" t="inlineStr">
        <is>
          <t>A10</t>
        </is>
      </c>
      <c r="D508" s="61">
        <f>IF(E508="","",IFERROR(VLOOKUP(E508,areaNomiBreviSquadre,7,FALSE),""))</f>
        <v/>
      </c>
      <c r="E508" s="62" t="inlineStr">
        <is>
          <t>A03</t>
        </is>
      </c>
      <c r="F508" s="63" t="n">
        <v>46418.45833333334</v>
      </c>
      <c r="G508" s="9" t="n"/>
      <c r="H508" s="9" t="n"/>
      <c r="I508" s="10" t="n"/>
      <c r="J508" s="65" t="n">
        <v>46</v>
      </c>
      <c r="K508" s="66" t="inlineStr">
        <is>
          <t>-</t>
        </is>
      </c>
      <c r="L508" s="65" t="n">
        <v>41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A12</t>
        </is>
      </c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IF(C511="","",IFERROR(VLOOKUP(C511,areaNomiBreviSquadre,7,FALSE),""))</f>
        <v/>
      </c>
      <c r="C511" s="62" t="inlineStr">
        <is>
          <t>A04</t>
        </is>
      </c>
      <c r="D511" s="61">
        <f>IF(E511="","",IFERROR(VLOOKUP(E511,areaNomiBreviSquadre,7,FALSE),""))</f>
        <v/>
      </c>
      <c r="E511" s="62" t="inlineStr">
        <is>
          <t>A09</t>
        </is>
      </c>
      <c r="F511" s="63" t="n">
        <v>46418.60416666666</v>
      </c>
      <c r="G511" s="9" t="n"/>
      <c r="H511" s="9" t="n"/>
      <c r="I511" s="10" t="n"/>
      <c r="J511" s="65" t="n">
        <v>43</v>
      </c>
      <c r="K511" s="66" t="inlineStr">
        <is>
          <t>-</t>
        </is>
      </c>
      <c r="L511" s="65" t="n">
        <v>70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A12</t>
        </is>
      </c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IF(C514="","",IFERROR(VLOOKUP(C514,areaNomiBreviSquadre,7,FALSE),""))</f>
        <v/>
      </c>
      <c r="C514" s="62" t="inlineStr">
        <is>
          <t>A08</t>
        </is>
      </c>
      <c r="D514" s="61">
        <f>IF(E514="","",IFERROR(VLOOKUP(E514,areaNomiBreviSquadre,7,FALSE),""))</f>
        <v/>
      </c>
      <c r="E514" s="62" t="inlineStr">
        <is>
          <t>A05</t>
        </is>
      </c>
      <c r="F514" s="63" t="n">
        <v>46418.66666666666</v>
      </c>
      <c r="G514" s="9" t="n"/>
      <c r="H514" s="9" t="n"/>
      <c r="I514" s="10" t="n"/>
      <c r="J514" s="65" t="n">
        <v>82</v>
      </c>
      <c r="K514" s="66" t="inlineStr">
        <is>
          <t>-</t>
        </is>
      </c>
      <c r="L514" s="65" t="n">
        <v>69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A12</t>
        </is>
      </c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IF(C517="","",IFERROR(VLOOKUP(C517,areaNomiBreviSquadre,7,FALSE),""))</f>
        <v/>
      </c>
      <c r="C517" s="62" t="inlineStr">
        <is>
          <t>A06</t>
        </is>
      </c>
      <c r="D517" s="61">
        <f>IF(E517="","",IFERROR(VLOOKUP(E517,areaNomiBreviSquadre,7,FALSE),""))</f>
        <v/>
      </c>
      <c r="E517" s="62" t="inlineStr">
        <is>
          <t>A07</t>
        </is>
      </c>
      <c r="F517" s="63" t="n">
        <v>46418.72916666666</v>
      </c>
      <c r="G517" s="9" t="n"/>
      <c r="H517" s="9" t="n"/>
      <c r="I517" s="10" t="n"/>
      <c r="J517" s="65" t="n">
        <v>89</v>
      </c>
      <c r="K517" s="66" t="inlineStr">
        <is>
          <t>-</t>
        </is>
      </c>
      <c r="L517" s="65" t="n">
        <v>86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A12</t>
        </is>
      </c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IF(C522="","",IFERROR(VLOOKUP(C522,areaNomiBreviSquadre,7,FALSE),""))</f>
        <v/>
      </c>
      <c r="C522" s="62" t="inlineStr">
        <is>
          <t>A02</t>
        </is>
      </c>
      <c r="D522" s="61">
        <f>IF(E522="","",IFERROR(VLOOKUP(E522,areaNomiBreviSquadre,7,FALSE),""))</f>
        <v/>
      </c>
      <c r="E522" s="62" t="inlineStr">
        <is>
          <t>A13</t>
        </is>
      </c>
      <c r="F522" s="63" t="n">
        <v>46425.39583333334</v>
      </c>
      <c r="G522" s="9" t="n"/>
      <c r="H522" s="9" t="n"/>
      <c r="I522" s="10" t="n"/>
      <c r="J522" s="65" t="n">
        <v>40</v>
      </c>
      <c r="K522" s="66" t="inlineStr">
        <is>
          <t>-</t>
        </is>
      </c>
      <c r="L522" s="65" t="n">
        <v>30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A13</t>
        </is>
      </c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IF(C525="","",IFERROR(VLOOKUP(C525,areaNomiBreviSquadre,7,FALSE),""))</f>
        <v/>
      </c>
      <c r="C525" s="62" t="inlineStr">
        <is>
          <t>A17</t>
        </is>
      </c>
      <c r="D525" s="61">
        <f>IF(E525="","",IFERROR(VLOOKUP(E525,areaNomiBreviSquadre,7,FALSE),""))</f>
        <v/>
      </c>
      <c r="E525" s="62" t="inlineStr">
        <is>
          <t>A20</t>
        </is>
      </c>
      <c r="F525" s="63" t="n">
        <v>46425.45833333334</v>
      </c>
      <c r="G525" s="9" t="n"/>
      <c r="H525" s="9" t="n"/>
      <c r="I525" s="10" t="n"/>
      <c r="J525" s="65" t="n">
        <v>49</v>
      </c>
      <c r="K525" s="66" t="inlineStr">
        <is>
          <t>-</t>
        </is>
      </c>
      <c r="L525" s="65" t="n">
        <v>42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A13</t>
        </is>
      </c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IF(C528="","",IFERROR(VLOOKUP(C528,areaNomiBreviSquadre,7,FALSE),""))</f>
        <v/>
      </c>
      <c r="C528" s="62" t="inlineStr">
        <is>
          <t>A16</t>
        </is>
      </c>
      <c r="D528" s="61">
        <f>IF(E528="","",IFERROR(VLOOKUP(E528,areaNomiBreviSquadre,7,FALSE),""))</f>
        <v/>
      </c>
      <c r="E528" s="62" t="inlineStr">
        <is>
          <t>A18</t>
        </is>
      </c>
      <c r="F528" s="63" t="n">
        <v>46425.60416666666</v>
      </c>
      <c r="G528" s="9" t="n"/>
      <c r="H528" s="9" t="n"/>
      <c r="I528" s="10" t="n"/>
      <c r="J528" s="65" t="n">
        <v>64</v>
      </c>
      <c r="K528" s="66" t="inlineStr">
        <is>
          <t>-</t>
        </is>
      </c>
      <c r="L528" s="65" t="n">
        <v>52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A13</t>
        </is>
      </c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IF(C531="","",IFERROR(VLOOKUP(C531,areaNomiBreviSquadre,7,FALSE),""))</f>
        <v/>
      </c>
      <c r="C531" s="62" t="inlineStr">
        <is>
          <t>A19</t>
        </is>
      </c>
      <c r="D531" s="61">
        <f>IF(E531="","",IFERROR(VLOOKUP(E531,areaNomiBreviSquadre,7,FALSE),""))</f>
        <v/>
      </c>
      <c r="E531" s="62" t="inlineStr">
        <is>
          <t>A15</t>
        </is>
      </c>
      <c r="F531" s="63" t="n">
        <v>46425.66666666666</v>
      </c>
      <c r="G531" s="9" t="n"/>
      <c r="H531" s="9" t="n"/>
      <c r="I531" s="10" t="n"/>
      <c r="J531" s="65" t="n">
        <v>71</v>
      </c>
      <c r="K531" s="66" t="inlineStr">
        <is>
          <t>-</t>
        </is>
      </c>
      <c r="L531" s="65" t="n">
        <v>73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A13</t>
        </is>
      </c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IF(C534="","",IFERROR(VLOOKUP(C534,areaNomiBreviSquadre,7,FALSE),""))</f>
        <v/>
      </c>
      <c r="C534" s="62" t="inlineStr">
        <is>
          <t>A12</t>
        </is>
      </c>
      <c r="D534" s="61">
        <f>IF(E534="","",IFERROR(VLOOKUP(E534,areaNomiBreviSquadre,7,FALSE),""))</f>
        <v/>
      </c>
      <c r="E534" s="62" t="inlineStr">
        <is>
          <t>A03</t>
        </is>
      </c>
      <c r="F534" s="63" t="n">
        <v>46425.72916666666</v>
      </c>
      <c r="G534" s="9" t="n"/>
      <c r="H534" s="9" t="n"/>
      <c r="I534" s="10" t="n"/>
      <c r="J534" s="65" t="n">
        <v>74</v>
      </c>
      <c r="K534" s="66" t="inlineStr">
        <is>
          <t>-</t>
        </is>
      </c>
      <c r="L534" s="65" t="n">
        <v>55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A13</t>
        </is>
      </c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IF(C537="","",IFERROR(VLOOKUP(C537,areaNomiBreviSquadre,7,FALSE),""))</f>
        <v/>
      </c>
      <c r="C537" s="62" t="inlineStr">
        <is>
          <t>A14</t>
        </is>
      </c>
      <c r="D537" s="61">
        <f>IF(E537="","",IFERROR(VLOOKUP(E537,areaNomiBreviSquadre,7,FALSE),""))</f>
        <v/>
      </c>
      <c r="E537" s="62" t="inlineStr">
        <is>
          <t>A01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45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A14</t>
        </is>
      </c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IF(C540="","",IFERROR(VLOOKUP(C540,areaNomiBreviSquadre,7,FALSE),""))</f>
        <v/>
      </c>
      <c r="C540" s="62" t="inlineStr">
        <is>
          <t>A04</t>
        </is>
      </c>
      <c r="D540" s="61">
        <f>IF(E540="","",IFERROR(VLOOKUP(E540,areaNomiBreviSquadre,7,FALSE),""))</f>
        <v/>
      </c>
      <c r="E540" s="62" t="inlineStr">
        <is>
          <t>A11</t>
        </is>
      </c>
      <c r="F540" s="63" t="n">
        <v>46425.45833333334</v>
      </c>
      <c r="G540" s="9" t="n"/>
      <c r="H540" s="9" t="n"/>
      <c r="I540" s="10" t="n"/>
      <c r="J540" s="65" t="n">
        <v>48</v>
      </c>
      <c r="K540" s="66" t="inlineStr">
        <is>
          <t>-</t>
        </is>
      </c>
      <c r="L540" s="65" t="n">
        <v>25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A14</t>
        </is>
      </c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IF(C543="","",IFERROR(VLOOKUP(C543,areaNomiBreviSquadre,7,FALSE),""))</f>
        <v/>
      </c>
      <c r="C543" s="62" t="inlineStr">
        <is>
          <t>A10</t>
        </is>
      </c>
      <c r="D543" s="61">
        <f>IF(E543="","",IFERROR(VLOOKUP(E543,areaNomiBreviSquadre,7,FALSE),""))</f>
        <v/>
      </c>
      <c r="E543" s="62" t="inlineStr">
        <is>
          <t>A05</t>
        </is>
      </c>
      <c r="F543" s="63" t="n">
        <v>46425.60416666666</v>
      </c>
      <c r="G543" s="9" t="n"/>
      <c r="H543" s="9" t="n"/>
      <c r="I543" s="10" t="n"/>
      <c r="J543" s="65" t="n">
        <v>76</v>
      </c>
      <c r="K543" s="66" t="inlineStr">
        <is>
          <t>-</t>
        </is>
      </c>
      <c r="L543" s="65" t="n">
        <v>86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A14</t>
        </is>
      </c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IF(C546="","",IFERROR(VLOOKUP(C546,areaNomiBreviSquadre,7,FALSE),""))</f>
        <v/>
      </c>
      <c r="C546" s="62" t="inlineStr">
        <is>
          <t>A06</t>
        </is>
      </c>
      <c r="D546" s="61">
        <f>IF(E546="","",IFERROR(VLOOKUP(E546,areaNomiBreviSquadre,7,FALSE),""))</f>
        <v/>
      </c>
      <c r="E546" s="62" t="inlineStr">
        <is>
          <t>A09</t>
        </is>
      </c>
      <c r="F546" s="63" t="n">
        <v>46425.66666666666</v>
      </c>
      <c r="G546" s="9" t="n"/>
      <c r="H546" s="9" t="n"/>
      <c r="I546" s="10" t="n"/>
      <c r="J546" s="65" t="n">
        <v>83</v>
      </c>
      <c r="K546" s="66" t="inlineStr">
        <is>
          <t>-</t>
        </is>
      </c>
      <c r="L546" s="65" t="n">
        <v>81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A14</t>
        </is>
      </c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IF(C549="","",IFERROR(VLOOKUP(C549,areaNomiBreviSquadre,7,FALSE),""))</f>
        <v/>
      </c>
      <c r="C549" s="62" t="inlineStr">
        <is>
          <t>A08</t>
        </is>
      </c>
      <c r="D549" s="61">
        <f>IF(E549="","",IFERROR(VLOOKUP(E549,areaNomiBreviSquadre,7,FALSE),""))</f>
        <v/>
      </c>
      <c r="E549" s="62" t="inlineStr">
        <is>
          <t>A07</t>
        </is>
      </c>
      <c r="F549" s="63" t="n">
        <v>46425.72916666666</v>
      </c>
      <c r="G549" s="9" t="n"/>
      <c r="H549" s="9" t="n"/>
      <c r="I549" s="10" t="n"/>
      <c r="J549" s="65" t="n">
        <v>38</v>
      </c>
      <c r="K549" s="66" t="inlineStr">
        <is>
          <t>-</t>
        </is>
      </c>
      <c r="L549" s="65" t="n">
        <v>19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A14</t>
        </is>
      </c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IF(C554="","",IFERROR(VLOOKUP(C554,areaNomiBreviSquadre,7,FALSE),""))</f>
        <v/>
      </c>
      <c r="C554" s="62" t="inlineStr">
        <is>
          <t>A02</t>
        </is>
      </c>
      <c r="D554" s="61">
        <f>IF(E554="","",IFERROR(VLOOKUP(E554,areaNomiBreviSquadre,7,FALSE),""))</f>
        <v/>
      </c>
      <c r="E554" s="62" t="inlineStr">
        <is>
          <t>A15</t>
        </is>
      </c>
      <c r="F554" s="63" t="n">
        <v>46432.39583333334</v>
      </c>
      <c r="G554" s="9" t="n"/>
      <c r="H554" s="9" t="n"/>
      <c r="I554" s="10" t="n"/>
      <c r="J554" s="65" t="n">
        <v>64</v>
      </c>
      <c r="K554" s="66" t="inlineStr">
        <is>
          <t>-</t>
        </is>
      </c>
      <c r="L554" s="65" t="n">
        <v>49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A15</t>
        </is>
      </c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IF(C557="","",IFERROR(VLOOKUP(C557,areaNomiBreviSquadre,7,FALSE),""))</f>
        <v/>
      </c>
      <c r="C557" s="62" t="inlineStr">
        <is>
          <t>A20</t>
        </is>
      </c>
      <c r="D557" s="61">
        <f>IF(E557="","",IFERROR(VLOOKUP(E557,areaNomiBreviSquadre,7,FALSE),""))</f>
        <v/>
      </c>
      <c r="E557" s="62" t="inlineStr">
        <is>
          <t>A18</t>
        </is>
      </c>
      <c r="F557" s="63" t="n">
        <v>46432.45833333334</v>
      </c>
      <c r="G557" s="9" t="n"/>
      <c r="H557" s="9" t="n"/>
      <c r="I557" s="10" t="n"/>
      <c r="J557" s="65" t="n">
        <v>62</v>
      </c>
      <c r="K557" s="66" t="inlineStr">
        <is>
          <t>-</t>
        </is>
      </c>
      <c r="L557" s="65" t="n">
        <v>34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A15</t>
        </is>
      </c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IF(C560="","",IFERROR(VLOOKUP(C560,areaNomiBreviSquadre,7,FALSE),""))</f>
        <v/>
      </c>
      <c r="C560" s="62" t="inlineStr">
        <is>
          <t>A19</t>
        </is>
      </c>
      <c r="D560" s="61">
        <f>IF(E560="","",IFERROR(VLOOKUP(E560,areaNomiBreviSquadre,7,FALSE),""))</f>
        <v/>
      </c>
      <c r="E560" s="62" t="inlineStr">
        <is>
          <t>A17</t>
        </is>
      </c>
      <c r="F560" s="63" t="n">
        <v>46432.60416666666</v>
      </c>
      <c r="G560" s="9" t="n"/>
      <c r="H560" s="9" t="n"/>
      <c r="I560" s="10" t="n"/>
      <c r="J560" s="65" t="n">
        <v>51</v>
      </c>
      <c r="K560" s="66" t="inlineStr">
        <is>
          <t>-</t>
        </is>
      </c>
      <c r="L560" s="65" t="n">
        <v>67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A15</t>
        </is>
      </c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IF(C563="","",IFERROR(VLOOKUP(C563,areaNomiBreviSquadre,7,FALSE),""))</f>
        <v/>
      </c>
      <c r="C563" s="62" t="inlineStr">
        <is>
          <t>A14</t>
        </is>
      </c>
      <c r="D563" s="61">
        <f>IF(E563="","",IFERROR(VLOOKUP(E563,areaNomiBreviSquadre,7,FALSE),""))</f>
        <v/>
      </c>
      <c r="E563" s="62" t="inlineStr">
        <is>
          <t>A03</t>
        </is>
      </c>
      <c r="F563" s="63" t="n">
        <v>46432.66666666666</v>
      </c>
      <c r="G563" s="9" t="n"/>
      <c r="H563" s="9" t="n"/>
      <c r="I563" s="10" t="n"/>
      <c r="J563" s="65" t="n">
        <v>58</v>
      </c>
      <c r="K563" s="66" t="inlineStr">
        <is>
          <t>-</t>
        </is>
      </c>
      <c r="L563" s="65" t="n">
        <v>67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A15</t>
        </is>
      </c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IF(C566="","",IFERROR(VLOOKUP(C566,areaNomiBreviSquadre,7,FALSE),""))</f>
        <v/>
      </c>
      <c r="C566" s="62" t="inlineStr">
        <is>
          <t>A04</t>
        </is>
      </c>
      <c r="D566" s="61">
        <f>IF(E566="","",IFERROR(VLOOKUP(E566,areaNomiBreviSquadre,7,FALSE),""))</f>
        <v/>
      </c>
      <c r="E566" s="62" t="inlineStr">
        <is>
          <t>A13</t>
        </is>
      </c>
      <c r="F566" s="63" t="n">
        <v>46432.72916666666</v>
      </c>
      <c r="G566" s="9" t="n"/>
      <c r="H566" s="9" t="n"/>
      <c r="I566" s="10" t="n"/>
      <c r="J566" s="65" t="n">
        <v>57</v>
      </c>
      <c r="K566" s="66" t="inlineStr">
        <is>
          <t>-</t>
        </is>
      </c>
      <c r="L566" s="65" t="n">
        <v>31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A15</t>
        </is>
      </c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IF(C569="","",IFERROR(VLOOKUP(C569,areaNomiBreviSquadre,7,FALSE),""))</f>
        <v/>
      </c>
      <c r="C569" s="62" t="inlineStr">
        <is>
          <t>A16</t>
        </is>
      </c>
      <c r="D569" s="61">
        <f>IF(E569="","",IFERROR(VLOOKUP(E569,areaNomiBreviSquadre,7,FALSE),""))</f>
        <v/>
      </c>
      <c r="E569" s="62" t="inlineStr">
        <is>
          <t>A01</t>
        </is>
      </c>
      <c r="F569" s="63" t="n">
        <v>46432.39583333334</v>
      </c>
      <c r="G569" s="9" t="n"/>
      <c r="H569" s="9" t="n"/>
      <c r="I569" s="10" t="n"/>
      <c r="J569" s="65" t="n">
        <v>56</v>
      </c>
      <c r="K569" s="66" t="inlineStr">
        <is>
          <t>-</t>
        </is>
      </c>
      <c r="L569" s="65" t="n">
        <v>36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A16</t>
        </is>
      </c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IF(C572="","",IFERROR(VLOOKUP(C572,areaNomiBreviSquadre,7,FALSE),""))</f>
        <v/>
      </c>
      <c r="C572" s="62" t="inlineStr">
        <is>
          <t>A12</t>
        </is>
      </c>
      <c r="D572" s="61">
        <f>IF(E572="","",IFERROR(VLOOKUP(E572,areaNomiBreviSquadre,7,FALSE),""))</f>
        <v/>
      </c>
      <c r="E572" s="62" t="inlineStr">
        <is>
          <t>A05</t>
        </is>
      </c>
      <c r="F572" s="63" t="n">
        <v>46432.45833333334</v>
      </c>
      <c r="G572" s="9" t="n"/>
      <c r="H572" s="9" t="n"/>
      <c r="I572" s="10" t="n"/>
      <c r="J572" s="65" t="n">
        <v>57</v>
      </c>
      <c r="K572" s="66" t="inlineStr">
        <is>
          <t>-</t>
        </is>
      </c>
      <c r="L572" s="65" t="n">
        <v>31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A16</t>
        </is>
      </c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IF(C575="","",IFERROR(VLOOKUP(C575,areaNomiBreviSquadre,7,FALSE),""))</f>
        <v/>
      </c>
      <c r="C575" s="62" t="inlineStr">
        <is>
          <t>A06</t>
        </is>
      </c>
      <c r="D575" s="61">
        <f>IF(E575="","",IFERROR(VLOOKUP(E575,areaNomiBreviSquadre,7,FALSE),""))</f>
        <v/>
      </c>
      <c r="E575" s="62" t="inlineStr">
        <is>
          <t>A11</t>
        </is>
      </c>
      <c r="F575" s="63" t="n">
        <v>46432.60416666666</v>
      </c>
      <c r="G575" s="9" t="n"/>
      <c r="H575" s="9" t="n"/>
      <c r="I575" s="10" t="n"/>
      <c r="J575" s="65" t="n">
        <v>41</v>
      </c>
      <c r="K575" s="66" t="inlineStr">
        <is>
          <t>-</t>
        </is>
      </c>
      <c r="L575" s="65" t="n">
        <v>19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A16</t>
        </is>
      </c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IF(C578="","",IFERROR(VLOOKUP(C578,areaNomiBreviSquadre,7,FALSE),""))</f>
        <v/>
      </c>
      <c r="C578" s="62" t="inlineStr">
        <is>
          <t>A10</t>
        </is>
      </c>
      <c r="D578" s="61">
        <f>IF(E578="","",IFERROR(VLOOKUP(E578,areaNomiBreviSquadre,7,FALSE),""))</f>
        <v/>
      </c>
      <c r="E578" s="62" t="inlineStr">
        <is>
          <t>A07</t>
        </is>
      </c>
      <c r="F578" s="63" t="n">
        <v>46432.66666666666</v>
      </c>
      <c r="G578" s="9" t="n"/>
      <c r="H578" s="9" t="n"/>
      <c r="I578" s="10" t="n"/>
      <c r="J578" s="65" t="n">
        <v>64</v>
      </c>
      <c r="K578" s="66" t="inlineStr">
        <is>
          <t>-</t>
        </is>
      </c>
      <c r="L578" s="65" t="n">
        <v>88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A16</t>
        </is>
      </c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IF(C581="","",IFERROR(VLOOKUP(C581,areaNomiBreviSquadre,7,FALSE),""))</f>
        <v/>
      </c>
      <c r="C581" s="62" t="inlineStr">
        <is>
          <t>A08</t>
        </is>
      </c>
      <c r="D581" s="61">
        <f>IF(E581="","",IFERROR(VLOOKUP(E581,areaNomiBreviSquadre,7,FALSE),""))</f>
        <v/>
      </c>
      <c r="E581" s="62" t="inlineStr">
        <is>
          <t>A09</t>
        </is>
      </c>
      <c r="F581" s="63" t="n">
        <v>46432.72916666666</v>
      </c>
      <c r="G581" s="9" t="n"/>
      <c r="H581" s="9" t="n"/>
      <c r="I581" s="10" t="n"/>
      <c r="J581" s="65" t="n">
        <v>58</v>
      </c>
      <c r="K581" s="66" t="inlineStr">
        <is>
          <t>-</t>
        </is>
      </c>
      <c r="L581" s="65" t="n">
        <v>77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A16</t>
        </is>
      </c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IF(C586="","",IFERROR(VLOOKUP(C586,areaNomiBreviSquadre,7,FALSE),""))</f>
        <v/>
      </c>
      <c r="C586" s="62" t="inlineStr">
        <is>
          <t>A02</t>
        </is>
      </c>
      <c r="D586" s="61">
        <f>IF(E586="","",IFERROR(VLOOKUP(E586,areaNomiBreviSquadre,7,FALSE),""))</f>
        <v/>
      </c>
      <c r="E586" s="62" t="inlineStr">
        <is>
          <t>A17</t>
        </is>
      </c>
      <c r="F586" s="63" t="n">
        <v>46439.39583333334</v>
      </c>
      <c r="G586" s="9" t="n"/>
      <c r="H586" s="9" t="n"/>
      <c r="I586" s="10" t="n"/>
      <c r="J586" s="65" t="n">
        <v>54</v>
      </c>
      <c r="K586" s="66" t="inlineStr">
        <is>
          <t>-</t>
        </is>
      </c>
      <c r="L586" s="65" t="n">
        <v>33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A17</t>
        </is>
      </c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IF(C589="","",IFERROR(VLOOKUP(C589,areaNomiBreviSquadre,7,FALSE),""))</f>
        <v/>
      </c>
      <c r="C589" s="62" t="inlineStr">
        <is>
          <t>A19</t>
        </is>
      </c>
      <c r="D589" s="61">
        <f>IF(E589="","",IFERROR(VLOOKUP(E589,areaNomiBreviSquadre,7,FALSE),""))</f>
        <v/>
      </c>
      <c r="E589" s="62" t="inlineStr">
        <is>
          <t>A20</t>
        </is>
      </c>
      <c r="F589" s="63" t="n">
        <v>46439.45833333334</v>
      </c>
      <c r="G589" s="9" t="n"/>
      <c r="H589" s="9" t="n"/>
      <c r="I589" s="10" t="n"/>
      <c r="J589" s="65" t="n">
        <v>35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A17</t>
        </is>
      </c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IF(C592="","",IFERROR(VLOOKUP(C592,areaNomiBreviSquadre,7,FALSE),""))</f>
        <v/>
      </c>
      <c r="C592" s="62" t="inlineStr">
        <is>
          <t>A16</t>
        </is>
      </c>
      <c r="D592" s="61">
        <f>IF(E592="","",IFERROR(VLOOKUP(E592,areaNomiBreviSquadre,7,FALSE),""))</f>
        <v/>
      </c>
      <c r="E592" s="62" t="inlineStr">
        <is>
          <t>A03</t>
        </is>
      </c>
      <c r="F592" s="63" t="n">
        <v>46439.60416666666</v>
      </c>
      <c r="G592" s="9" t="n"/>
      <c r="H592" s="9" t="n"/>
      <c r="I592" s="10" t="n"/>
      <c r="J592" s="65" t="n">
        <v>61</v>
      </c>
      <c r="K592" s="66" t="inlineStr">
        <is>
          <t>-</t>
        </is>
      </c>
      <c r="L592" s="65" t="n">
        <v>71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A17</t>
        </is>
      </c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IF(C595="","",IFERROR(VLOOKUP(C595,areaNomiBreviSquadre,7,FALSE),""))</f>
        <v/>
      </c>
      <c r="C595" s="62" t="inlineStr">
        <is>
          <t>A04</t>
        </is>
      </c>
      <c r="D595" s="61">
        <f>IF(E595="","",IFERROR(VLOOKUP(E595,areaNomiBreviSquadre,7,FALSE),""))</f>
        <v/>
      </c>
      <c r="E595" s="62" t="inlineStr">
        <is>
          <t>A15</t>
        </is>
      </c>
      <c r="F595" s="63" t="n">
        <v>46439.66666666666</v>
      </c>
      <c r="G595" s="9" t="n"/>
      <c r="H595" s="9" t="n"/>
      <c r="I595" s="10" t="n"/>
      <c r="J595" s="65" t="n">
        <v>66</v>
      </c>
      <c r="K595" s="66" t="inlineStr">
        <is>
          <t>-</t>
        </is>
      </c>
      <c r="L595" s="65" t="n">
        <v>57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A17</t>
        </is>
      </c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IF(C598="","",IFERROR(VLOOKUP(C598,areaNomiBreviSquadre,7,FALSE),""))</f>
        <v/>
      </c>
      <c r="C598" s="62" t="inlineStr">
        <is>
          <t>A14</t>
        </is>
      </c>
      <c r="D598" s="61">
        <f>IF(E598="","",IFERROR(VLOOKUP(E598,areaNomiBreviSquadre,7,FALSE),""))</f>
        <v/>
      </c>
      <c r="E598" s="62" t="inlineStr">
        <is>
          <t>A05</t>
        </is>
      </c>
      <c r="F598" s="63" t="n">
        <v>46439.72916666666</v>
      </c>
      <c r="G598" s="9" t="n"/>
      <c r="H598" s="9" t="n"/>
      <c r="I598" s="10" t="n"/>
      <c r="J598" s="65" t="n">
        <v>51</v>
      </c>
      <c r="K598" s="66" t="inlineStr">
        <is>
          <t>-</t>
        </is>
      </c>
      <c r="L598" s="65" t="n">
        <v>44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A17</t>
        </is>
      </c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IF(C601="","",IFERROR(VLOOKUP(C601,areaNomiBreviSquadre,7,FALSE),""))</f>
        <v/>
      </c>
      <c r="C601" s="62" t="inlineStr">
        <is>
          <t>A18</t>
        </is>
      </c>
      <c r="D601" s="61">
        <f>IF(E601="","",IFERROR(VLOOKUP(E601,areaNomiBreviSquadre,7,FALSE),""))</f>
        <v/>
      </c>
      <c r="E601" s="62" t="inlineStr">
        <is>
          <t>A01</t>
        </is>
      </c>
      <c r="F601" s="63" t="n">
        <v>46439.39583333334</v>
      </c>
      <c r="G601" s="9" t="n"/>
      <c r="H601" s="9" t="n"/>
      <c r="I601" s="10" t="n"/>
      <c r="J601" s="65" t="n">
        <v>48</v>
      </c>
      <c r="K601" s="66" t="inlineStr">
        <is>
          <t>-</t>
        </is>
      </c>
      <c r="L601" s="65" t="n">
        <v>42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A18</t>
        </is>
      </c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IF(C604="","",IFERROR(VLOOKUP(C604,areaNomiBreviSquadre,7,FALSE),""))</f>
        <v/>
      </c>
      <c r="C604" s="62" t="inlineStr">
        <is>
          <t>A06</t>
        </is>
      </c>
      <c r="D604" s="61">
        <f>IF(E604="","",IFERROR(VLOOKUP(E604,areaNomiBreviSquadre,7,FALSE),""))</f>
        <v/>
      </c>
      <c r="E604" s="62" t="inlineStr">
        <is>
          <t>A13</t>
        </is>
      </c>
      <c r="F604" s="63" t="n">
        <v>46439.45833333334</v>
      </c>
      <c r="G604" s="9" t="n"/>
      <c r="H604" s="9" t="n"/>
      <c r="I604" s="10" t="n"/>
      <c r="J604" s="65" t="n">
        <v>69</v>
      </c>
      <c r="K604" s="66" t="inlineStr">
        <is>
          <t>-</t>
        </is>
      </c>
      <c r="L604" s="65" t="n">
        <v>41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A18</t>
        </is>
      </c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IF(C607="","",IFERROR(VLOOKUP(C607,areaNomiBreviSquadre,7,FALSE),""))</f>
        <v/>
      </c>
      <c r="C607" s="62" t="inlineStr">
        <is>
          <t>A12</t>
        </is>
      </c>
      <c r="D607" s="61">
        <f>IF(E607="","",IFERROR(VLOOKUP(E607,areaNomiBreviSquadre,7,FALSE),""))</f>
        <v/>
      </c>
      <c r="E607" s="62" t="inlineStr">
        <is>
          <t>A07</t>
        </is>
      </c>
      <c r="F607" s="63" t="n">
        <v>46439.60416666666</v>
      </c>
      <c r="G607" s="9" t="n"/>
      <c r="H607" s="9" t="n"/>
      <c r="I607" s="10" t="n"/>
      <c r="J607" s="65" t="n">
        <v>80</v>
      </c>
      <c r="K607" s="66" t="inlineStr">
        <is>
          <t>-</t>
        </is>
      </c>
      <c r="L607" s="65" t="n">
        <v>52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A18</t>
        </is>
      </c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IF(C610="","",IFERROR(VLOOKUP(C610,areaNomiBreviSquadre,7,FALSE),""))</f>
        <v/>
      </c>
      <c r="C610" s="62" t="inlineStr">
        <is>
          <t>A08</t>
        </is>
      </c>
      <c r="D610" s="61">
        <f>IF(E610="","",IFERROR(VLOOKUP(E610,areaNomiBreviSquadre,7,FALSE),""))</f>
        <v/>
      </c>
      <c r="E610" s="62" t="inlineStr">
        <is>
          <t>A11</t>
        </is>
      </c>
      <c r="F610" s="63" t="n">
        <v>46439.66666666666</v>
      </c>
      <c r="G610" s="9" t="n"/>
      <c r="H610" s="9" t="n"/>
      <c r="I610" s="10" t="n"/>
      <c r="J610" s="65" t="n">
        <v>53</v>
      </c>
      <c r="K610" s="66" t="inlineStr">
        <is>
          <t>-</t>
        </is>
      </c>
      <c r="L610" s="65" t="n">
        <v>26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A18</t>
        </is>
      </c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IF(C613="","",IFERROR(VLOOKUP(C613,areaNomiBreviSquadre,7,FALSE),""))</f>
        <v/>
      </c>
      <c r="C613" s="62" t="inlineStr">
        <is>
          <t>A10</t>
        </is>
      </c>
      <c r="D613" s="61">
        <f>IF(E613="","",IFERROR(VLOOKUP(E613,areaNomiBreviSquadre,7,FALSE),""))</f>
        <v/>
      </c>
      <c r="E613" s="62" t="inlineStr">
        <is>
          <t>A09</t>
        </is>
      </c>
      <c r="F613" s="63" t="n">
        <v>46439.72916666666</v>
      </c>
      <c r="G613" s="9" t="n"/>
      <c r="H613" s="9" t="n"/>
      <c r="I613" s="10" t="n"/>
      <c r="J613" s="65" t="n">
        <v>68</v>
      </c>
      <c r="K613" s="66" t="inlineStr">
        <is>
          <t>-</t>
        </is>
      </c>
      <c r="L613" s="65" t="n">
        <v>89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A18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"&amp;constStagionaCampionato</f>
        <v/>
      </c>
      <c r="M3">
        <f>RIGHT($A$8,1)</f>
        <v/>
      </c>
      <c r="N3">
        <f>IFERROR(LEN(LEFT(","&amp;SUBSTITUTE(constGironi," ","")&amp;",",FIND(","&amp;M3&amp;",",","&amp;SUBSTITUTE(constGironi," ","")&amp;",")))-LEN(SUBSTITUTE(LEFT(","&amp;SUBSTITUTE(constGironi," ","")&amp;",",FIND(","&amp;M3&amp;",",","&amp;SUBSTITUTE(constGironi," ","")&amp;",")),",","")),0)</f>
        <v/>
      </c>
      <c r="O3">
        <f>IF(N3=0,M3,IF(TRIM(MID(SUBSTITUTE(constNomiGironi,",",REPT(" ",LEN(constNomiGironi))),(N3-1)*LEN(constNomiGironi)+1,LEN(constNomiGironi)))="",M3,TRIM(MID(SUBSTITUTE(constNomiGironi,",",REPT(" ",LEN(constNomiGironi))),(N3-1)*LEN(constNomiGironi)+1,LEN(constNomiGironi)))))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IF(C10="","",IFERROR(VLOOKUP(C10,areaNomiBreviSquadre,7,FALSE),""))</f>
        <v/>
      </c>
      <c r="C10" s="62" t="inlineStr">
        <is>
          <t>B01</t>
        </is>
      </c>
      <c r="D10" s="61">
        <f>IF(E10="","",IFERROR(VLOOKUP(E10,areaNomiBreviSquadre,7,FALSE),""))</f>
        <v/>
      </c>
      <c r="E10" s="62" t="inlineStr">
        <is>
          <t>B20</t>
        </is>
      </c>
      <c r="F10" s="63" t="n">
        <v>46313.39583333334</v>
      </c>
      <c r="G10" s="9" t="n"/>
      <c r="H10" s="9" t="n"/>
      <c r="I10" s="10" t="n"/>
      <c r="J10" s="65" t="n">
        <v>38</v>
      </c>
      <c r="K10" s="66" t="inlineStr">
        <is>
          <t>-</t>
        </is>
      </c>
      <c r="L10" s="65" t="n">
        <v>65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"&amp;IFERROR(INDEX(Campionato!$E$14:$E$53,MATCH($C10,Campionato!$B$14:$B$53,0)),"?")&amp;"]")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62" t="inlineStr">
        <is>
          <t>B01</t>
        </is>
      </c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IF(C13="","",IFERROR(VLOOKUP(C13,areaNomiBreviSquadre,7,FALSE),""))</f>
        <v/>
      </c>
      <c r="C13" s="62" t="inlineStr">
        <is>
          <t>B03</t>
        </is>
      </c>
      <c r="D13" s="61">
        <f>IF(E13="","",IFERROR(VLOOKUP(E13,areaNomiBreviSquadre,7,FALSE),""))</f>
        <v/>
      </c>
      <c r="E13" s="62" t="inlineStr">
        <is>
          <t>B18</t>
        </is>
      </c>
      <c r="F13" s="63" t="n">
        <v>46313.45833333334</v>
      </c>
      <c r="G13" s="9" t="n"/>
      <c r="H13" s="9" t="n"/>
      <c r="I13" s="10" t="n"/>
      <c r="J13" s="65" t="n">
        <v>86</v>
      </c>
      <c r="K13" s="66" t="inlineStr">
        <is>
          <t>-</t>
        </is>
      </c>
      <c r="L13" s="65" t="n">
        <v>72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"&amp;IFERROR(INDEX(Campionato!$E$14:$E$53,MATCH($C13,Campionato!$B$14:$B$53,0)),"?")&amp;"]")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62" t="inlineStr">
        <is>
          <t>B01</t>
        </is>
      </c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IF(C16="","",IFERROR(VLOOKUP(C16,areaNomiBreviSquadre,7,FALSE),""))</f>
        <v/>
      </c>
      <c r="C16" s="62" t="inlineStr">
        <is>
          <t>B17</t>
        </is>
      </c>
      <c r="D16" s="61">
        <f>IF(E16="","",IFERROR(VLOOKUP(E16,areaNomiBreviSquadre,7,FALSE),""))</f>
        <v/>
      </c>
      <c r="E16" s="62" t="inlineStr">
        <is>
          <t>B04</t>
        </is>
      </c>
      <c r="F16" s="63" t="n">
        <v>46313.60416666666</v>
      </c>
      <c r="G16" s="9" t="n"/>
      <c r="H16" s="9" t="n"/>
      <c r="I16" s="10" t="n"/>
      <c r="J16" s="65" t="n">
        <v>34</v>
      </c>
      <c r="K16" s="66" t="inlineStr">
        <is>
          <t>-</t>
        </is>
      </c>
      <c r="L16" s="65" t="n">
        <v>56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"&amp;IFERROR(INDEX(Campionato!$E$14:$E$53,MATCH($C16,Campionato!$B$14:$B$53,0)),"?")&amp;"]")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62" t="inlineStr">
        <is>
          <t>B01</t>
        </is>
      </c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IF(C19="","",IFERROR(VLOOKUP(C19,areaNomiBreviSquadre,7,FALSE),""))</f>
        <v/>
      </c>
      <c r="C19" s="62" t="inlineStr">
        <is>
          <t>B05</t>
        </is>
      </c>
      <c r="D19" s="61">
        <f>IF(E19="","",IFERROR(VLOOKUP(E19,areaNomiBreviSquadre,7,FALSE),""))</f>
        <v/>
      </c>
      <c r="E19" s="62" t="inlineStr">
        <is>
          <t>B16</t>
        </is>
      </c>
      <c r="F19" s="63" t="n">
        <v>46313.66666666666</v>
      </c>
      <c r="G19" s="9" t="n"/>
      <c r="H19" s="9" t="n"/>
      <c r="I19" s="10" t="n"/>
      <c r="J19" s="65" t="n">
        <v>90</v>
      </c>
      <c r="K19" s="66" t="inlineStr">
        <is>
          <t>-</t>
        </is>
      </c>
      <c r="L19" s="65" t="n">
        <v>71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"&amp;IFERROR(INDEX(Campionato!$E$14:$E$53,MATCH($C19,Campionato!$B$14:$B$53,0)),"?")&amp;"]")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62" t="inlineStr">
        <is>
          <t>B01</t>
        </is>
      </c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IF(C22="","",IFERROR(VLOOKUP(C22,areaNomiBreviSquadre,7,FALSE),""))</f>
        <v/>
      </c>
      <c r="C22" s="62" t="inlineStr">
        <is>
          <t>B15</t>
        </is>
      </c>
      <c r="D22" s="61">
        <f>IF(E22="","",IFERROR(VLOOKUP(E22,areaNomiBreviSquadre,7,FALSE),""))</f>
        <v/>
      </c>
      <c r="E22" s="62" t="inlineStr">
        <is>
          <t>B06</t>
        </is>
      </c>
      <c r="F22" s="63" t="n">
        <v>46313.72916666666</v>
      </c>
      <c r="G22" s="9" t="n"/>
      <c r="H22" s="9" t="n"/>
      <c r="I22" s="10" t="n"/>
      <c r="J22" s="65" t="n">
        <v>30</v>
      </c>
      <c r="K22" s="66" t="inlineStr">
        <is>
          <t>-</t>
        </is>
      </c>
      <c r="L22" s="65" t="n">
        <v>39</v>
      </c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IF($J22+$L22=0,,IF($J22&lt;$L22,IF($J22&amp;"-"&amp;$L22=MID(constPunteggioForfait,FIND("-",constPunteggioForfait)+1,LEN(constPunteggioForfait))&amp;"-"&amp;LEFT(constPunteggioForfait,FIND("-",constPunteggioForfait)-1),1,0),0))</f>
        <v/>
      </c>
      <c r="P22" s="67">
        <f>IF($J22+$L22=0,,IF($J22&lt;$L22,IF($J22&amp;"-"&amp;$L22&lt;&gt;MID(constPunteggioForfait,FIND("-",constPunteggioForfait)+1,LEN(constPunteggioForfait))&amp;"-"&amp;LEFT(constPunteggioForfait,FIND("-",constPunteggioForfait)-1),1,0),0))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IF($J22+$L22=0,,IF($L22&lt;$J22,IF($J22&amp;"-"&amp;$L22=constPunteggioForfait,1,0),0))</f>
        <v/>
      </c>
      <c r="W22" s="67">
        <f>IF($J22+$L22=0,,IF($L22&lt;$J22,IF($J22&amp;"-"&amp;$L22&lt;&gt;constPunteggioForfait,1,0),0))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"&amp;IFERROR(INDEX(Campionato!$E$14:$E$53,MATCH($C22,Campionato!$B$14:$B$53,0)),"?")&amp;"]")</f>
        <v/>
      </c>
    </row>
    <row r="23" ht="16" customHeight="1">
      <c r="A23" s="141" t="n"/>
      <c r="B23" s="69">
        <f>IF(I23="","",HYPERLINK(VLOOKUP(I23,areaCampiSquadre,3,FALSE),VLOOKUP(I23,areaCampiSquadre,2,FALSE)))</f>
        <v/>
      </c>
      <c r="C23" s="9" t="n"/>
      <c r="D23" s="9" t="n"/>
      <c r="E23" s="9" t="n"/>
      <c r="F23" s="9" t="n"/>
      <c r="G23" s="9" t="n"/>
      <c r="H23" s="10" t="n"/>
      <c r="I23" s="62" t="inlineStr">
        <is>
          <t>B01</t>
        </is>
      </c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IF(C25="","",IFERROR(VLOOKUP(C25,areaNomiBreviSquadre,7,FALSE),""))</f>
        <v/>
      </c>
      <c r="C25" s="62" t="inlineStr">
        <is>
          <t>B19</t>
        </is>
      </c>
      <c r="D25" s="61">
        <f>IF(E25="","",IFERROR(VLOOKUP(E25,areaNomiBreviSquadre,7,FALSE),""))</f>
        <v/>
      </c>
      <c r="E25" s="62" t="inlineStr">
        <is>
          <t>B02</t>
        </is>
      </c>
      <c r="F25" s="63" t="n">
        <v>46313.39583333334</v>
      </c>
      <c r="G25" s="9" t="n"/>
      <c r="H25" s="9" t="n"/>
      <c r="I25" s="10" t="n"/>
      <c r="J25" s="65" t="n">
        <v>32</v>
      </c>
      <c r="K25" s="66" t="inlineStr">
        <is>
          <t>-</t>
        </is>
      </c>
      <c r="L25" s="65" t="n">
        <v>53</v>
      </c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IF($J25+$L25=0,,IF($J25&lt;$L25,IF($J25&amp;"-"&amp;$L25=MID(constPunteggioForfait,FIND("-",constPunteggioForfait)+1,LEN(constPunteggioForfait))&amp;"-"&amp;LEFT(constPunteggioForfait,FIND("-",constPunteggioForfait)-1),1,0),0))</f>
        <v/>
      </c>
      <c r="P25" s="67">
        <f>IF($J25+$L25=0,,IF($J25&lt;$L25,IF($J25&amp;"-"&amp;$L25&lt;&gt;MID(constPunteggioForfait,FIND("-",constPunteggioForfait)+1,LEN(constPunteggioForfait))&amp;"-"&amp;LEFT(constPunteggioForfait,FIND("-",constPunteggioForfait)-1),1,0),0))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IF($J25+$L25=0,,IF($L25&lt;$J25,IF($J25&amp;"-"&amp;$L25=constPunteggioForfait,1,0),0))</f>
        <v/>
      </c>
      <c r="W25" s="67">
        <f>IF($J25+$L25=0,,IF($L25&lt;$J25,IF($J25&amp;"-"&amp;$L25&lt;&gt;constPunteggioForfait,1,0),0))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"&amp;IFERROR(INDEX(Campionato!$E$14:$E$53,MATCH($C25,Campionato!$B$14:$B$53,0)),"?")&amp;"]")</f>
        <v/>
      </c>
    </row>
    <row r="26" ht="16" customHeight="1">
      <c r="A26" s="141" t="n"/>
      <c r="B26" s="69">
        <f>IF(I26="","",HYPERLINK(VLOOKUP(I26,areaCampiSquadre,3,FALSE),VLOOKUP(I26,areaCampiSquadre,2,FALSE)))</f>
        <v/>
      </c>
      <c r="C26" s="9" t="n"/>
      <c r="D26" s="9" t="n"/>
      <c r="E26" s="9" t="n"/>
      <c r="F26" s="9" t="n"/>
      <c r="G26" s="9" t="n"/>
      <c r="H26" s="10" t="n"/>
      <c r="I26" s="62" t="inlineStr">
        <is>
          <t>B02</t>
        </is>
      </c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IF(C28="","",IFERROR(VLOOKUP(C28,areaNomiBreviSquadre,7,FALSE),""))</f>
        <v/>
      </c>
      <c r="C28" s="62" t="inlineStr">
        <is>
          <t>B07</t>
        </is>
      </c>
      <c r="D28" s="61">
        <f>IF(E28="","",IFERROR(VLOOKUP(E28,areaNomiBreviSquadre,7,FALSE),""))</f>
        <v/>
      </c>
      <c r="E28" s="62" t="inlineStr">
        <is>
          <t>B14</t>
        </is>
      </c>
      <c r="F28" s="63" t="n">
        <v>46313.45833333334</v>
      </c>
      <c r="G28" s="9" t="n"/>
      <c r="H28" s="9" t="n"/>
      <c r="I28" s="10" t="n"/>
      <c r="J28" s="65" t="n">
        <v>69</v>
      </c>
      <c r="K28" s="66" t="inlineStr">
        <is>
          <t>-</t>
        </is>
      </c>
      <c r="L28" s="65" t="n">
        <v>92</v>
      </c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IF($J28+$L28=0,,IF($J28&lt;$L28,IF($J28&amp;"-"&amp;$L28=MID(constPunteggioForfait,FIND("-",constPunteggioForfait)+1,LEN(constPunteggioForfait))&amp;"-"&amp;LEFT(constPunteggioForfait,FIND("-",constPunteggioForfait)-1),1,0),0))</f>
        <v/>
      </c>
      <c r="P28" s="67">
        <f>IF($J28+$L28=0,,IF($J28&lt;$L28,IF($J28&amp;"-"&amp;$L28&lt;&gt;MID(constPunteggioForfait,FIND("-",constPunteggioForfait)+1,LEN(constPunteggioForfait))&amp;"-"&amp;LEFT(constPunteggioForfait,FIND("-",constPunteggioForfait)-1),1,0),0))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IF($J28+$L28=0,,IF($L28&lt;$J28,IF($J28&amp;"-"&amp;$L28=constPunteggioForfait,1,0),0))</f>
        <v/>
      </c>
      <c r="W28" s="67">
        <f>IF($J28+$L28=0,,IF($L28&lt;$J28,IF($J28&amp;"-"&amp;$L28&lt;&gt;constPunteggioForfait,1,0),0))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"&amp;IFERROR(INDEX(Campionato!$E$14:$E$53,MATCH($C28,Campionato!$B$14:$B$53,0)),"?")&amp;"]")</f>
        <v/>
      </c>
    </row>
    <row r="29" ht="16" customHeight="1">
      <c r="A29" s="141" t="n"/>
      <c r="B29" s="69">
        <f>IF(I29="","",HYPERLINK(VLOOKUP(I29,areaCampiSquadre,3,FALSE),VLOOKUP(I29,areaCampiSquadre,2,FALSE)))</f>
        <v/>
      </c>
      <c r="C29" s="9" t="n"/>
      <c r="D29" s="9" t="n"/>
      <c r="E29" s="9" t="n"/>
      <c r="F29" s="9" t="n"/>
      <c r="G29" s="9" t="n"/>
      <c r="H29" s="10" t="n"/>
      <c r="I29" s="62" t="inlineStr">
        <is>
          <t>B02</t>
        </is>
      </c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IF(C31="","",IFERROR(VLOOKUP(C31,areaNomiBreviSquadre,7,FALSE),""))</f>
        <v/>
      </c>
      <c r="C31" s="62" t="inlineStr">
        <is>
          <t>B13</t>
        </is>
      </c>
      <c r="D31" s="61">
        <f>IF(E31="","",IFERROR(VLOOKUP(E31,areaNomiBreviSquadre,7,FALSE),""))</f>
        <v/>
      </c>
      <c r="E31" s="62" t="inlineStr">
        <is>
          <t>B08</t>
        </is>
      </c>
      <c r="F31" s="63" t="n">
        <v>46313.60416666666</v>
      </c>
      <c r="G31" s="9" t="n"/>
      <c r="H31" s="9" t="n"/>
      <c r="I31" s="10" t="n"/>
      <c r="J31" s="65" t="n">
        <v>38</v>
      </c>
      <c r="K31" s="66" t="inlineStr">
        <is>
          <t>-</t>
        </is>
      </c>
      <c r="L31" s="65" t="n">
        <v>53</v>
      </c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IF($J31+$L31=0,,IF($J31&lt;$L31,IF($J31&amp;"-"&amp;$L31=MID(constPunteggioForfait,FIND("-",constPunteggioForfait)+1,LEN(constPunteggioForfait))&amp;"-"&amp;LEFT(constPunteggioForfait,FIND("-",constPunteggioForfait)-1),1,0),0))</f>
        <v/>
      </c>
      <c r="P31" s="67">
        <f>IF($J31+$L31=0,,IF($J31&lt;$L31,IF($J31&amp;"-"&amp;$L31&lt;&gt;MID(constPunteggioForfait,FIND("-",constPunteggioForfait)+1,LEN(constPunteggioForfait))&amp;"-"&amp;LEFT(constPunteggioForfait,FIND("-",constPunteggioForfait)-1),1,0),0))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IF($J31+$L31=0,,IF($L31&lt;$J31,IF($J31&amp;"-"&amp;$L31=constPunteggioForfait,1,0),0))</f>
        <v/>
      </c>
      <c r="W31" s="67">
        <f>IF($J31+$L31=0,,IF($L31&lt;$J31,IF($J31&amp;"-"&amp;$L31&lt;&gt;constPunteggioForfait,1,0),0))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"&amp;IFERROR(INDEX(Campionato!$E$14:$E$53,MATCH($C31,Campionato!$B$14:$B$53,0)),"?")&amp;"]")</f>
        <v/>
      </c>
    </row>
    <row r="32" ht="16" customHeight="1">
      <c r="A32" s="141" t="n"/>
      <c r="B32" s="69">
        <f>IF(I32="","",HYPERLINK(VLOOKUP(I32,areaCampiSquadre,3,FALSE),VLOOKUP(I32,areaCampiSquadre,2,FALSE)))</f>
        <v/>
      </c>
      <c r="C32" s="9" t="n"/>
      <c r="D32" s="9" t="n"/>
      <c r="E32" s="9" t="n"/>
      <c r="F32" s="9" t="n"/>
      <c r="G32" s="9" t="n"/>
      <c r="H32" s="10" t="n"/>
      <c r="I32" s="62" t="inlineStr">
        <is>
          <t>B02</t>
        </is>
      </c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IF(C34="","",IFERROR(VLOOKUP(C34,areaNomiBreviSquadre,7,FALSE),""))</f>
        <v/>
      </c>
      <c r="C34" s="62" t="inlineStr">
        <is>
          <t>B09</t>
        </is>
      </c>
      <c r="D34" s="61">
        <f>IF(E34="","",IFERROR(VLOOKUP(E34,areaNomiBreviSquadre,7,FALSE),""))</f>
        <v/>
      </c>
      <c r="E34" s="62" t="inlineStr">
        <is>
          <t>B12</t>
        </is>
      </c>
      <c r="F34" s="63" t="n">
        <v>46313.66666666666</v>
      </c>
      <c r="G34" s="9" t="n"/>
      <c r="H34" s="9" t="n"/>
      <c r="I34" s="10" t="n"/>
      <c r="J34" s="65" t="n">
        <v>79</v>
      </c>
      <c r="K34" s="66" t="inlineStr">
        <is>
          <t>-</t>
        </is>
      </c>
      <c r="L34" s="65" t="n">
        <v>73</v>
      </c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IF($J34+$L34=0,,IF($J34&lt;$L34,IF($J34&amp;"-"&amp;$L34=MID(constPunteggioForfait,FIND("-",constPunteggioForfait)+1,LEN(constPunteggioForfait))&amp;"-"&amp;LEFT(constPunteggioForfait,FIND("-",constPunteggioForfait)-1),1,0),0))</f>
        <v/>
      </c>
      <c r="P34" s="67">
        <f>IF($J34+$L34=0,,IF($J34&lt;$L34,IF($J34&amp;"-"&amp;$L34&lt;&gt;MID(constPunteggioForfait,FIND("-",constPunteggioForfait)+1,LEN(constPunteggioForfait))&amp;"-"&amp;LEFT(constPunteggioForfait,FIND("-",constPunteggioForfait)-1),1,0),0))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IF($J34+$L34=0,,IF($L34&lt;$J34,IF($J34&amp;"-"&amp;$L34=constPunteggioForfait,1,0),0))</f>
        <v/>
      </c>
      <c r="W34" s="67">
        <f>IF($J34+$L34=0,,IF($L34&lt;$J34,IF($J34&amp;"-"&amp;$L34&lt;&gt;constPunteggioForfait,1,0),0))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"&amp;IFERROR(INDEX(Campionato!$E$14:$E$53,MATCH($C34,Campionato!$B$14:$B$53,0)),"?")&amp;"]")</f>
        <v/>
      </c>
    </row>
    <row r="35" ht="16" customHeight="1">
      <c r="A35" s="141" t="n"/>
      <c r="B35" s="69">
        <f>IF(I35="","",HYPERLINK(VLOOKUP(I35,areaCampiSquadre,3,FALSE),VLOOKUP(I35,areaCampiSquadre,2,FALSE)))</f>
        <v/>
      </c>
      <c r="C35" s="9" t="n"/>
      <c r="D35" s="9" t="n"/>
      <c r="E35" s="9" t="n"/>
      <c r="F35" s="9" t="n"/>
      <c r="G35" s="9" t="n"/>
      <c r="H35" s="10" t="n"/>
      <c r="I35" s="62" t="inlineStr">
        <is>
          <t>B02</t>
        </is>
      </c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IF(C37="","",IFERROR(VLOOKUP(C37,areaNomiBreviSquadre,7,FALSE),""))</f>
        <v/>
      </c>
      <c r="C37" s="62" t="inlineStr">
        <is>
          <t>B11</t>
        </is>
      </c>
      <c r="D37" s="61">
        <f>IF(E37="","",IFERROR(VLOOKUP(E37,areaNomiBreviSquadre,7,FALSE),""))</f>
        <v/>
      </c>
      <c r="E37" s="62" t="inlineStr">
        <is>
          <t>B10</t>
        </is>
      </c>
      <c r="F37" s="63" t="n">
        <v>46313.72916666666</v>
      </c>
      <c r="G37" s="9" t="n"/>
      <c r="H37" s="9" t="n"/>
      <c r="I37" s="10" t="n"/>
      <c r="J37" s="65" t="n">
        <v>57</v>
      </c>
      <c r="K37" s="66" t="inlineStr">
        <is>
          <t>-</t>
        </is>
      </c>
      <c r="L37" s="65" t="n">
        <v>65</v>
      </c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IF($J37+$L37=0,,IF($J37&lt;$L37,IF($J37&amp;"-"&amp;$L37=MID(constPunteggioForfait,FIND("-",constPunteggioForfait)+1,LEN(constPunteggioForfait))&amp;"-"&amp;LEFT(constPunteggioForfait,FIND("-",constPunteggioForfait)-1),1,0),0))</f>
        <v/>
      </c>
      <c r="P37" s="67">
        <f>IF($J37+$L37=0,,IF($J37&lt;$L37,IF($J37&amp;"-"&amp;$L37&lt;&gt;MID(constPunteggioForfait,FIND("-",constPunteggioForfait)+1,LEN(constPunteggioForfait))&amp;"-"&amp;LEFT(constPunteggioForfait,FIND("-",constPunteggioForfait)-1),1,0),0))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IF($J37+$L37=0,,IF($L37&lt;$J37,IF($J37&amp;"-"&amp;$L37=constPunteggioForfait,1,0),0))</f>
        <v/>
      </c>
      <c r="W37" s="67">
        <f>IF($J37+$L37=0,,IF($L37&lt;$J37,IF($J37&amp;"-"&amp;$L37&lt;&gt;constPunteggioForfait,1,0),0))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"&amp;IFERROR(INDEX(Campionato!$E$14:$E$53,MATCH($C37,Campionato!$B$14:$B$53,0)),"?")&amp;"]")</f>
        <v/>
      </c>
    </row>
    <row r="38" ht="16" customHeight="1">
      <c r="A38" s="141" t="n"/>
      <c r="B38" s="69">
        <f>IF(I38="","",HYPERLINK(VLOOKUP(I38,areaCampiSquadre,3,FALSE),VLOOKUP(I38,areaCampiSquadre,2,FALSE)))</f>
        <v/>
      </c>
      <c r="C38" s="9" t="n"/>
      <c r="D38" s="9" t="n"/>
      <c r="E38" s="9" t="n"/>
      <c r="F38" s="9" t="n"/>
      <c r="G38" s="9" t="n"/>
      <c r="H38" s="10" t="n"/>
      <c r="I38" s="62" t="inlineStr">
        <is>
          <t>B02</t>
        </is>
      </c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IF(C42="","",IFERROR(VLOOKUP(C42,areaNomiBreviSquadre,7,FALSE),""))</f>
        <v/>
      </c>
      <c r="C42" s="62" t="inlineStr">
        <is>
          <t>B03</t>
        </is>
      </c>
      <c r="D42" s="61">
        <f>IF(E42="","",IFERROR(VLOOKUP(E42,areaNomiBreviSquadre,7,FALSE),""))</f>
        <v/>
      </c>
      <c r="E42" s="62" t="inlineStr">
        <is>
          <t>B01</t>
        </is>
      </c>
      <c r="F42" s="63" t="n">
        <v>46320.39583333334</v>
      </c>
      <c r="G42" s="9" t="n"/>
      <c r="H42" s="9" t="n"/>
      <c r="I42" s="10" t="n"/>
      <c r="J42" s="65" t="n">
        <v>85</v>
      </c>
      <c r="K42" s="66" t="inlineStr">
        <is>
          <t>-</t>
        </is>
      </c>
      <c r="L42" s="65" t="n">
        <v>86</v>
      </c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IF($J42+$L42=0,,IF($J42&lt;$L42,IF($J42&amp;"-"&amp;$L42=MID(constPunteggioForfait,FIND("-",constPunteggioForfait)+1,LEN(constPunteggioForfait))&amp;"-"&amp;LEFT(constPunteggioForfait,FIND("-",constPunteggioForfait)-1),1,0),0))</f>
        <v/>
      </c>
      <c r="P42" s="67">
        <f>IF($J42+$L42=0,,IF($J42&lt;$L42,IF($J42&amp;"-"&amp;$L42&lt;&gt;MID(constPunteggioForfait,FIND("-",constPunteggioForfait)+1,LEN(constPunteggioForfait))&amp;"-"&amp;LEFT(constPunteggioForfait,FIND("-",constPunteggioForfait)-1),1,0),0))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IF($J42+$L42=0,,IF($L42&lt;$J42,IF($J42&amp;"-"&amp;$L42=constPunteggioForfait,1,0),0))</f>
        <v/>
      </c>
      <c r="W42" s="67">
        <f>IF($J42+$L42=0,,IF($L42&lt;$J42,IF($J42&amp;"-"&amp;$L42&lt;&gt;constPunteggioForfait,1,0),0))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"&amp;IFERROR(INDEX(Campionato!$E$14:$E$53,MATCH($C42,Campionato!$B$14:$B$53,0)),"?")&amp;"]")</f>
        <v/>
      </c>
    </row>
    <row r="43" ht="16" customHeight="1">
      <c r="A43" s="141" t="n"/>
      <c r="B43" s="69">
        <f>IF(I43="","",HYPERLINK(VLOOKUP(I43,areaCampiSquadre,3,FALSE),VLOOKUP(I43,areaCampiSquadre,2,FALSE)))</f>
        <v/>
      </c>
      <c r="C43" s="9" t="n"/>
      <c r="D43" s="9" t="n"/>
      <c r="E43" s="9" t="n"/>
      <c r="F43" s="9" t="n"/>
      <c r="G43" s="9" t="n"/>
      <c r="H43" s="10" t="n"/>
      <c r="I43" s="62" t="inlineStr">
        <is>
          <t>B03</t>
        </is>
      </c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IF(C45="","",IFERROR(VLOOKUP(C45,areaNomiBreviSquadre,7,FALSE),""))</f>
        <v/>
      </c>
      <c r="C45" s="62" t="inlineStr">
        <is>
          <t>B20</t>
        </is>
      </c>
      <c r="D45" s="61">
        <f>IF(E45="","",IFERROR(VLOOKUP(E45,areaNomiBreviSquadre,7,FALSE),""))</f>
        <v/>
      </c>
      <c r="E45" s="62" t="inlineStr">
        <is>
          <t>B02</t>
        </is>
      </c>
      <c r="F45" s="63" t="n">
        <v>46320.45833333334</v>
      </c>
      <c r="G45" s="9" t="n"/>
      <c r="H45" s="9" t="n"/>
      <c r="I45" s="10" t="n"/>
      <c r="J45" s="65" t="n">
        <v>51</v>
      </c>
      <c r="K45" s="66" t="inlineStr">
        <is>
          <t>-</t>
        </is>
      </c>
      <c r="L45" s="65" t="n">
        <v>49</v>
      </c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IF($J45+$L45=0,,IF($J45&lt;$L45,IF($J45&amp;"-"&amp;$L45=MID(constPunteggioForfait,FIND("-",constPunteggioForfait)+1,LEN(constPunteggioForfait))&amp;"-"&amp;LEFT(constPunteggioForfait,FIND("-",constPunteggioForfait)-1),1,0),0))</f>
        <v/>
      </c>
      <c r="P45" s="67">
        <f>IF($J45+$L45=0,,IF($J45&lt;$L45,IF($J45&amp;"-"&amp;$L45&lt;&gt;MID(constPunteggioForfait,FIND("-",constPunteggioForfait)+1,LEN(constPunteggioForfait))&amp;"-"&amp;LEFT(constPunteggioForfait,FIND("-",constPunteggioForfait)-1),1,0),0))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IF($J45+$L45=0,,IF($L45&lt;$J45,IF($J45&amp;"-"&amp;$L45=constPunteggioForfait,1,0),0))</f>
        <v/>
      </c>
      <c r="W45" s="67">
        <f>IF($J45+$L45=0,,IF($L45&lt;$J45,IF($J45&amp;"-"&amp;$L45&lt;&gt;constPunteggioForfait,1,0),0))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"&amp;IFERROR(INDEX(Campionato!$E$14:$E$53,MATCH($C45,Campionato!$B$14:$B$53,0)),"?")&amp;"]")</f>
        <v/>
      </c>
    </row>
    <row r="46" ht="16" customHeight="1">
      <c r="A46" s="141" t="n"/>
      <c r="B46" s="69">
        <f>IF(I46="","",HYPERLINK(VLOOKUP(I46,areaCampiSquadre,3,FALSE),VLOOKUP(I46,areaCampiSquadre,2,FALSE)))</f>
        <v/>
      </c>
      <c r="C46" s="9" t="n"/>
      <c r="D46" s="9" t="n"/>
      <c r="E46" s="9" t="n"/>
      <c r="F46" s="9" t="n"/>
      <c r="G46" s="9" t="n"/>
      <c r="H46" s="10" t="n"/>
      <c r="I46" s="62" t="inlineStr">
        <is>
          <t>B03</t>
        </is>
      </c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IF(C48="","",IFERROR(VLOOKUP(C48,areaNomiBreviSquadre,7,FALSE),""))</f>
        <v/>
      </c>
      <c r="C48" s="62" t="inlineStr">
        <is>
          <t>B05</t>
        </is>
      </c>
      <c r="D48" s="61">
        <f>IF(E48="","",IFERROR(VLOOKUP(E48,areaNomiBreviSquadre,7,FALSE),""))</f>
        <v/>
      </c>
      <c r="E48" s="62" t="inlineStr">
        <is>
          <t>B18</t>
        </is>
      </c>
      <c r="F48" s="63" t="n">
        <v>46320.60416666666</v>
      </c>
      <c r="G48" s="9" t="n"/>
      <c r="H48" s="9" t="n"/>
      <c r="I48" s="10" t="n"/>
      <c r="J48" s="65" t="n">
        <v>55</v>
      </c>
      <c r="K48" s="66" t="inlineStr">
        <is>
          <t>-</t>
        </is>
      </c>
      <c r="L48" s="65" t="n">
        <v>47</v>
      </c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IF($J48+$L48=0,,IF($J48&lt;$L48,IF($J48&amp;"-"&amp;$L48=MID(constPunteggioForfait,FIND("-",constPunteggioForfait)+1,LEN(constPunteggioForfait))&amp;"-"&amp;LEFT(constPunteggioForfait,FIND("-",constPunteggioForfait)-1),1,0),0))</f>
        <v/>
      </c>
      <c r="P48" s="67">
        <f>IF($J48+$L48=0,,IF($J48&lt;$L48,IF($J48&amp;"-"&amp;$L48&lt;&gt;MID(constPunteggioForfait,FIND("-",constPunteggioForfait)+1,LEN(constPunteggioForfait))&amp;"-"&amp;LEFT(constPunteggioForfait,FIND("-",constPunteggioForfait)-1),1,0),0))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IF($J48+$L48=0,,IF($L48&lt;$J48,IF($J48&amp;"-"&amp;$L48=constPunteggioForfait,1,0),0))</f>
        <v/>
      </c>
      <c r="W48" s="67">
        <f>IF($J48+$L48=0,,IF($L48&lt;$J48,IF($J48&amp;"-"&amp;$L48&lt;&gt;constPunteggioForfait,1,0),0))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"&amp;IFERROR(INDEX(Campionato!$E$14:$E$53,MATCH($C48,Campionato!$B$14:$B$53,0)),"?")&amp;"]")</f>
        <v/>
      </c>
    </row>
    <row r="49" ht="16" customHeight="1">
      <c r="A49" s="141" t="n"/>
      <c r="B49" s="69">
        <f>IF(I49="","",HYPERLINK(VLOOKUP(I49,areaCampiSquadre,3,FALSE),VLOOKUP(I49,areaCampiSquadre,2,FALSE)))</f>
        <v/>
      </c>
      <c r="C49" s="9" t="n"/>
      <c r="D49" s="9" t="n"/>
      <c r="E49" s="9" t="n"/>
      <c r="F49" s="9" t="n"/>
      <c r="G49" s="9" t="n"/>
      <c r="H49" s="10" t="n"/>
      <c r="I49" s="62" t="inlineStr">
        <is>
          <t>B03</t>
        </is>
      </c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IF(C51="","",IFERROR(VLOOKUP(C51,areaNomiBreviSquadre,7,FALSE),""))</f>
        <v/>
      </c>
      <c r="C51" s="62" t="inlineStr">
        <is>
          <t>B17</t>
        </is>
      </c>
      <c r="D51" s="61">
        <f>IF(E51="","",IFERROR(VLOOKUP(E51,areaNomiBreviSquadre,7,FALSE),""))</f>
        <v/>
      </c>
      <c r="E51" s="62" t="inlineStr">
        <is>
          <t>B06</t>
        </is>
      </c>
      <c r="F51" s="63" t="n">
        <v>46320.66666666666</v>
      </c>
      <c r="G51" s="9" t="n"/>
      <c r="H51" s="9" t="n"/>
      <c r="I51" s="10" t="n"/>
      <c r="J51" s="65" t="n">
        <v>44</v>
      </c>
      <c r="K51" s="66" t="inlineStr">
        <is>
          <t>-</t>
        </is>
      </c>
      <c r="L51" s="65" t="n">
        <v>21</v>
      </c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IF($J51+$L51=0,,IF($J51&lt;$L51,IF($J51&amp;"-"&amp;$L51=MID(constPunteggioForfait,FIND("-",constPunteggioForfait)+1,LEN(constPunteggioForfait))&amp;"-"&amp;LEFT(constPunteggioForfait,FIND("-",constPunteggioForfait)-1),1,0),0))</f>
        <v/>
      </c>
      <c r="P51" s="67">
        <f>IF($J51+$L51=0,,IF($J51&lt;$L51,IF($J51&amp;"-"&amp;$L51&lt;&gt;MID(constPunteggioForfait,FIND("-",constPunteggioForfait)+1,LEN(constPunteggioForfait))&amp;"-"&amp;LEFT(constPunteggioForfait,FIND("-",constPunteggioForfait)-1),1,0),0))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IF($J51+$L51=0,,IF($L51&lt;$J51,IF($J51&amp;"-"&amp;$L51=constPunteggioForfait,1,0),0))</f>
        <v/>
      </c>
      <c r="W51" s="67">
        <f>IF($J51+$L51=0,,IF($L51&lt;$J51,IF($J51&amp;"-"&amp;$L51&lt;&gt;constPunteggioForfait,1,0),0))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"&amp;IFERROR(INDEX(Campionato!$E$14:$E$53,MATCH($C51,Campionato!$B$14:$B$53,0)),"?")&amp;"]")</f>
        <v/>
      </c>
    </row>
    <row r="52" ht="16" customHeight="1">
      <c r="A52" s="141" t="n"/>
      <c r="B52" s="69">
        <f>IF(I52="","",HYPERLINK(VLOOKUP(I52,areaCampiSquadre,3,FALSE),VLOOKUP(I52,areaCampiSquadre,2,FALSE)))</f>
        <v/>
      </c>
      <c r="C52" s="9" t="n"/>
      <c r="D52" s="9" t="n"/>
      <c r="E52" s="9" t="n"/>
      <c r="F52" s="9" t="n"/>
      <c r="G52" s="9" t="n"/>
      <c r="H52" s="10" t="n"/>
      <c r="I52" s="62" t="inlineStr">
        <is>
          <t>B03</t>
        </is>
      </c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IF(C54="","",IFERROR(VLOOKUP(C54,areaNomiBreviSquadre,7,FALSE),""))</f>
        <v/>
      </c>
      <c r="C54" s="62" t="inlineStr">
        <is>
          <t>B07</t>
        </is>
      </c>
      <c r="D54" s="61">
        <f>IF(E54="","",IFERROR(VLOOKUP(E54,areaNomiBreviSquadre,7,FALSE),""))</f>
        <v/>
      </c>
      <c r="E54" s="62" t="inlineStr">
        <is>
          <t>B16</t>
        </is>
      </c>
      <c r="F54" s="63" t="n">
        <v>46320.72916666666</v>
      </c>
      <c r="G54" s="9" t="n"/>
      <c r="H54" s="9" t="n"/>
      <c r="I54" s="10" t="n"/>
      <c r="J54" s="65" t="n">
        <v>24</v>
      </c>
      <c r="K54" s="66" t="inlineStr">
        <is>
          <t>-</t>
        </is>
      </c>
      <c r="L54" s="65" t="n">
        <v>52</v>
      </c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IF($J54+$L54=0,,IF($J54&lt;$L54,IF($J54&amp;"-"&amp;$L54=MID(constPunteggioForfait,FIND("-",constPunteggioForfait)+1,LEN(constPunteggioForfait))&amp;"-"&amp;LEFT(constPunteggioForfait,FIND("-",constPunteggioForfait)-1),1,0),0))</f>
        <v/>
      </c>
      <c r="P54" s="67">
        <f>IF($J54+$L54=0,,IF($J54&lt;$L54,IF($J54&amp;"-"&amp;$L54&lt;&gt;MID(constPunteggioForfait,FIND("-",constPunteggioForfait)+1,LEN(constPunteggioForfait))&amp;"-"&amp;LEFT(constPunteggioForfait,FIND("-",constPunteggioForfait)-1),1,0),0))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IF($J54+$L54=0,,IF($L54&lt;$J54,IF($J54&amp;"-"&amp;$L54=constPunteggioForfait,1,0),0))</f>
        <v/>
      </c>
      <c r="W54" s="67">
        <f>IF($J54+$L54=0,,IF($L54&lt;$J54,IF($J54&amp;"-"&amp;$L54&lt;&gt;constPunteggioForfait,1,0),0))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"&amp;IFERROR(INDEX(Campionato!$E$14:$E$53,MATCH($C54,Campionato!$B$14:$B$53,0)),"?")&amp;"]")</f>
        <v/>
      </c>
    </row>
    <row r="55" ht="16" customHeight="1">
      <c r="A55" s="141" t="n"/>
      <c r="B55" s="69">
        <f>IF(I55="","",HYPERLINK(VLOOKUP(I55,areaCampiSquadre,3,FALSE),VLOOKUP(I55,areaCampiSquadre,2,FALSE)))</f>
        <v/>
      </c>
      <c r="C55" s="9" t="n"/>
      <c r="D55" s="9" t="n"/>
      <c r="E55" s="9" t="n"/>
      <c r="F55" s="9" t="n"/>
      <c r="G55" s="9" t="n"/>
      <c r="H55" s="10" t="n"/>
      <c r="I55" s="62" t="inlineStr">
        <is>
          <t>B03</t>
        </is>
      </c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IF(C57="","",IFERROR(VLOOKUP(C57,areaNomiBreviSquadre,7,FALSE),""))</f>
        <v/>
      </c>
      <c r="C57" s="62" t="inlineStr">
        <is>
          <t>B19</t>
        </is>
      </c>
      <c r="D57" s="61">
        <f>IF(E57="","",IFERROR(VLOOKUP(E57,areaNomiBreviSquadre,7,FALSE),""))</f>
        <v/>
      </c>
      <c r="E57" s="62" t="inlineStr">
        <is>
          <t>B04</t>
        </is>
      </c>
      <c r="F57" s="63" t="n">
        <v>46320.39583333334</v>
      </c>
      <c r="G57" s="9" t="n"/>
      <c r="H57" s="9" t="n"/>
      <c r="I57" s="10" t="n"/>
      <c r="J57" s="65" t="n">
        <v>54</v>
      </c>
      <c r="K57" s="66" t="inlineStr">
        <is>
          <t>-</t>
        </is>
      </c>
      <c r="L57" s="65" t="n">
        <v>42</v>
      </c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IF($J57+$L57=0,,IF($J57&lt;$L57,IF($J57&amp;"-"&amp;$L57=MID(constPunteggioForfait,FIND("-",constPunteggioForfait)+1,LEN(constPunteggioForfait))&amp;"-"&amp;LEFT(constPunteggioForfait,FIND("-",constPunteggioForfait)-1),1,0),0))</f>
        <v/>
      </c>
      <c r="P57" s="67">
        <f>IF($J57+$L57=0,,IF($J57&lt;$L57,IF($J57&amp;"-"&amp;$L57&lt;&gt;MID(constPunteggioForfait,FIND("-",constPunteggioForfait)+1,LEN(constPunteggioForfait))&amp;"-"&amp;LEFT(constPunteggioForfait,FIND("-",constPunteggioForfait)-1),1,0),0))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IF($J57+$L57=0,,IF($L57&lt;$J57,IF($J57&amp;"-"&amp;$L57=constPunteggioForfait,1,0),0))</f>
        <v/>
      </c>
      <c r="W57" s="67">
        <f>IF($J57+$L57=0,,IF($L57&lt;$J57,IF($J57&amp;"-"&amp;$L57&lt;&gt;constPunteggioForfait,1,0),0))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"&amp;IFERROR(INDEX(Campionato!$E$14:$E$53,MATCH($C57,Campionato!$B$14:$B$53,0)),"?")&amp;"]")</f>
        <v/>
      </c>
    </row>
    <row r="58" ht="16" customHeight="1">
      <c r="A58" s="141" t="n"/>
      <c r="B58" s="69">
        <f>IF(I58="","",HYPERLINK(VLOOKUP(I58,areaCampiSquadre,3,FALSE),VLOOKUP(I58,areaCampiSquadre,2,FALSE)))</f>
        <v/>
      </c>
      <c r="C58" s="9" t="n"/>
      <c r="D58" s="9" t="n"/>
      <c r="E58" s="9" t="n"/>
      <c r="F58" s="9" t="n"/>
      <c r="G58" s="9" t="n"/>
      <c r="H58" s="10" t="n"/>
      <c r="I58" s="62" t="inlineStr">
        <is>
          <t>B04</t>
        </is>
      </c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IF(C60="","",IFERROR(VLOOKUP(C60,areaNomiBreviSquadre,7,FALSE),""))</f>
        <v/>
      </c>
      <c r="C60" s="62" t="inlineStr">
        <is>
          <t>B15</t>
        </is>
      </c>
      <c r="D60" s="61">
        <f>IF(E60="","",IFERROR(VLOOKUP(E60,areaNomiBreviSquadre,7,FALSE),""))</f>
        <v/>
      </c>
      <c r="E60" s="62" t="inlineStr">
        <is>
          <t>B08</t>
        </is>
      </c>
      <c r="F60" s="63" t="n">
        <v>46320.45833333334</v>
      </c>
      <c r="G60" s="9" t="n"/>
      <c r="H60" s="9" t="n"/>
      <c r="I60" s="10" t="n"/>
      <c r="J60" s="65" t="n">
        <v>61</v>
      </c>
      <c r="K60" s="66" t="inlineStr">
        <is>
          <t>-</t>
        </is>
      </c>
      <c r="L60" s="65" t="n">
        <v>34</v>
      </c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IF($J60+$L60=0,,IF($J60&lt;$L60,IF($J60&amp;"-"&amp;$L60=MID(constPunteggioForfait,FIND("-",constPunteggioForfait)+1,LEN(constPunteggioForfait))&amp;"-"&amp;LEFT(constPunteggioForfait,FIND("-",constPunteggioForfait)-1),1,0),0))</f>
        <v/>
      </c>
      <c r="P60" s="67">
        <f>IF($J60+$L60=0,,IF($J60&lt;$L60,IF($J60&amp;"-"&amp;$L60&lt;&gt;MID(constPunteggioForfait,FIND("-",constPunteggioForfait)+1,LEN(constPunteggioForfait))&amp;"-"&amp;LEFT(constPunteggioForfait,FIND("-",constPunteggioForfait)-1),1,0),0))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IF($J60+$L60=0,,IF($L60&lt;$J60,IF($J60&amp;"-"&amp;$L60=constPunteggioForfait,1,0),0))</f>
        <v/>
      </c>
      <c r="W60" s="67">
        <f>IF($J60+$L60=0,,IF($L60&lt;$J60,IF($J60&amp;"-"&amp;$L60&lt;&gt;constPunteggioForfait,1,0),0))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"&amp;IFERROR(INDEX(Campionato!$E$14:$E$53,MATCH($C60,Campionato!$B$14:$B$53,0)),"?")&amp;"]")</f>
        <v/>
      </c>
    </row>
    <row r="61" ht="16" customHeight="1">
      <c r="A61" s="141" t="n"/>
      <c r="B61" s="69">
        <f>IF(I61="","",HYPERLINK(VLOOKUP(I61,areaCampiSquadre,3,FALSE),VLOOKUP(I61,areaCampiSquadre,2,FALSE)))</f>
        <v/>
      </c>
      <c r="C61" s="9" t="n"/>
      <c r="D61" s="9" t="n"/>
      <c r="E61" s="9" t="n"/>
      <c r="F61" s="9" t="n"/>
      <c r="G61" s="9" t="n"/>
      <c r="H61" s="10" t="n"/>
      <c r="I61" s="62" t="inlineStr">
        <is>
          <t>B04</t>
        </is>
      </c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IF(C63="","",IFERROR(VLOOKUP(C63,areaNomiBreviSquadre,7,FALSE),""))</f>
        <v/>
      </c>
      <c r="C63" s="62" t="inlineStr">
        <is>
          <t>B09</t>
        </is>
      </c>
      <c r="D63" s="61">
        <f>IF(E63="","",IFERROR(VLOOKUP(E63,areaNomiBreviSquadre,7,FALSE),""))</f>
        <v/>
      </c>
      <c r="E63" s="62" t="inlineStr">
        <is>
          <t>B14</t>
        </is>
      </c>
      <c r="F63" s="63" t="n">
        <v>46320.60416666666</v>
      </c>
      <c r="G63" s="9" t="n"/>
      <c r="H63" s="9" t="n"/>
      <c r="I63" s="10" t="n"/>
      <c r="J63" s="65" t="n">
        <v>56</v>
      </c>
      <c r="K63" s="66" t="inlineStr">
        <is>
          <t>-</t>
        </is>
      </c>
      <c r="L63" s="65" t="n">
        <v>53</v>
      </c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IF($J63+$L63=0,,IF($J63&lt;$L63,IF($J63&amp;"-"&amp;$L63=MID(constPunteggioForfait,FIND("-",constPunteggioForfait)+1,LEN(constPunteggioForfait))&amp;"-"&amp;LEFT(constPunteggioForfait,FIND("-",constPunteggioForfait)-1),1,0),0))</f>
        <v/>
      </c>
      <c r="P63" s="67">
        <f>IF($J63+$L63=0,,IF($J63&lt;$L63,IF($J63&amp;"-"&amp;$L63&lt;&gt;MID(constPunteggioForfait,FIND("-",constPunteggioForfait)+1,LEN(constPunteggioForfait))&amp;"-"&amp;LEFT(constPunteggioForfait,FIND("-",constPunteggioForfait)-1),1,0),0))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IF($J63+$L63=0,,IF($L63&lt;$J63,IF($J63&amp;"-"&amp;$L63=constPunteggioForfait,1,0),0))</f>
        <v/>
      </c>
      <c r="W63" s="67">
        <f>IF($J63+$L63=0,,IF($L63&lt;$J63,IF($J63&amp;"-"&amp;$L63&lt;&gt;constPunteggioForfait,1,0),0))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"&amp;IFERROR(INDEX(Campionato!$E$14:$E$53,MATCH($C63,Campionato!$B$14:$B$53,0)),"?")&amp;"]")</f>
        <v/>
      </c>
    </row>
    <row r="64" ht="16" customHeight="1">
      <c r="A64" s="141" t="n"/>
      <c r="B64" s="69">
        <f>IF(I64="","",HYPERLINK(VLOOKUP(I64,areaCampiSquadre,3,FALSE),VLOOKUP(I64,areaCampiSquadre,2,FALSE)))</f>
        <v/>
      </c>
      <c r="C64" s="9" t="n"/>
      <c r="D64" s="9" t="n"/>
      <c r="E64" s="9" t="n"/>
      <c r="F64" s="9" t="n"/>
      <c r="G64" s="9" t="n"/>
      <c r="H64" s="10" t="n"/>
      <c r="I64" s="62" t="inlineStr">
        <is>
          <t>B04</t>
        </is>
      </c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IF(C66="","",IFERROR(VLOOKUP(C66,areaNomiBreviSquadre,7,FALSE),""))</f>
        <v/>
      </c>
      <c r="C66" s="62" t="inlineStr">
        <is>
          <t>B13</t>
        </is>
      </c>
      <c r="D66" s="61">
        <f>IF(E66="","",IFERROR(VLOOKUP(E66,areaNomiBreviSquadre,7,FALSE),""))</f>
        <v/>
      </c>
      <c r="E66" s="62" t="inlineStr">
        <is>
          <t>B10</t>
        </is>
      </c>
      <c r="F66" s="63" t="n">
        <v>46320.66666666666</v>
      </c>
      <c r="G66" s="9" t="n"/>
      <c r="H66" s="9" t="n"/>
      <c r="I66" s="10" t="n"/>
      <c r="J66" s="65" t="n">
        <v>49</v>
      </c>
      <c r="K66" s="66" t="inlineStr">
        <is>
          <t>-</t>
        </is>
      </c>
      <c r="L66" s="65" t="n">
        <v>45</v>
      </c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IF($J66+$L66=0,,IF($J66&lt;$L66,IF($J66&amp;"-"&amp;$L66=MID(constPunteggioForfait,FIND("-",constPunteggioForfait)+1,LEN(constPunteggioForfait))&amp;"-"&amp;LEFT(constPunteggioForfait,FIND("-",constPunteggioForfait)-1),1,0),0))</f>
        <v/>
      </c>
      <c r="P66" s="67">
        <f>IF($J66+$L66=0,,IF($J66&lt;$L66,IF($J66&amp;"-"&amp;$L66&lt;&gt;MID(constPunteggioForfait,FIND("-",constPunteggioForfait)+1,LEN(constPunteggioForfait))&amp;"-"&amp;LEFT(constPunteggioForfait,FIND("-",constPunteggioForfait)-1),1,0),0))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IF($J66+$L66=0,,IF($L66&lt;$J66,IF($J66&amp;"-"&amp;$L66=constPunteggioForfait,1,0),0))</f>
        <v/>
      </c>
      <c r="W66" s="67">
        <f>IF($J66+$L66=0,,IF($L66&lt;$J66,IF($J66&amp;"-"&amp;$L66&lt;&gt;constPunteggioForfait,1,0),0))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"&amp;IFERROR(INDEX(Campionato!$E$14:$E$53,MATCH($C66,Campionato!$B$14:$B$53,0)),"?")&amp;"]")</f>
        <v/>
      </c>
    </row>
    <row r="67" ht="16" customHeight="1">
      <c r="A67" s="141" t="n"/>
      <c r="B67" s="69">
        <f>IF(I67="","",HYPERLINK(VLOOKUP(I67,areaCampiSquadre,3,FALSE),VLOOKUP(I67,areaCampiSquadre,2,FALSE)))</f>
        <v/>
      </c>
      <c r="C67" s="9" t="n"/>
      <c r="D67" s="9" t="n"/>
      <c r="E67" s="9" t="n"/>
      <c r="F67" s="9" t="n"/>
      <c r="G67" s="9" t="n"/>
      <c r="H67" s="10" t="n"/>
      <c r="I67" s="62" t="inlineStr">
        <is>
          <t>B04</t>
        </is>
      </c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IF(C69="","",IFERROR(VLOOKUP(C69,areaNomiBreviSquadre,7,FALSE),""))</f>
        <v/>
      </c>
      <c r="C69" s="62" t="inlineStr">
        <is>
          <t>B11</t>
        </is>
      </c>
      <c r="D69" s="61">
        <f>IF(E69="","",IFERROR(VLOOKUP(E69,areaNomiBreviSquadre,7,FALSE),""))</f>
        <v/>
      </c>
      <c r="E69" s="62" t="inlineStr">
        <is>
          <t>B12</t>
        </is>
      </c>
      <c r="F69" s="63" t="n">
        <v>46320.72916666666</v>
      </c>
      <c r="G69" s="9" t="n"/>
      <c r="H69" s="9" t="n"/>
      <c r="I69" s="10" t="n"/>
      <c r="J69" s="65" t="n">
        <v>59</v>
      </c>
      <c r="K69" s="66" t="inlineStr">
        <is>
          <t>-</t>
        </is>
      </c>
      <c r="L69" s="65" t="n">
        <v>54</v>
      </c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IF($J69+$L69=0,,IF($J69&lt;$L69,IF($J69&amp;"-"&amp;$L69=MID(constPunteggioForfait,FIND("-",constPunteggioForfait)+1,LEN(constPunteggioForfait))&amp;"-"&amp;LEFT(constPunteggioForfait,FIND("-",constPunteggioForfait)-1),1,0),0))</f>
        <v/>
      </c>
      <c r="P69" s="67">
        <f>IF($J69+$L69=0,,IF($J69&lt;$L69,IF($J69&amp;"-"&amp;$L69&lt;&gt;MID(constPunteggioForfait,FIND("-",constPunteggioForfait)+1,LEN(constPunteggioForfait))&amp;"-"&amp;LEFT(constPunteggioForfait,FIND("-",constPunteggioForfait)-1),1,0),0))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IF($J69+$L69=0,,IF($L69&lt;$J69,IF($J69&amp;"-"&amp;$L69=constPunteggioForfait,1,0),0))</f>
        <v/>
      </c>
      <c r="W69" s="67">
        <f>IF($J69+$L69=0,,IF($L69&lt;$J69,IF($J69&amp;"-"&amp;$L69&lt;&gt;constPunteggioForfait,1,0),0))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"&amp;IFERROR(INDEX(Campionato!$E$14:$E$53,MATCH($C69,Campionato!$B$14:$B$53,0)),"?")&amp;"]")</f>
        <v/>
      </c>
    </row>
    <row r="70" ht="16" customHeight="1">
      <c r="A70" s="141" t="n"/>
      <c r="B70" s="69">
        <f>IF(I70="","",HYPERLINK(VLOOKUP(I70,areaCampiSquadre,3,FALSE),VLOOKUP(I70,areaCampiSquadre,2,FALSE)))</f>
        <v/>
      </c>
      <c r="C70" s="9" t="n"/>
      <c r="D70" s="9" t="n"/>
      <c r="E70" s="9" t="n"/>
      <c r="F70" s="9" t="n"/>
      <c r="G70" s="9" t="n"/>
      <c r="H70" s="10" t="n"/>
      <c r="I70" s="62" t="inlineStr">
        <is>
          <t>B04</t>
        </is>
      </c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IF(C74="","",IFERROR(VLOOKUP(C74,areaNomiBreviSquadre,7,FALSE),""))</f>
        <v/>
      </c>
      <c r="C74" s="62" t="inlineStr">
        <is>
          <t>B05</t>
        </is>
      </c>
      <c r="D74" s="61">
        <f>IF(E74="","",IFERROR(VLOOKUP(E74,areaNomiBreviSquadre,7,FALSE),""))</f>
        <v/>
      </c>
      <c r="E74" s="62" t="inlineStr">
        <is>
          <t>B01</t>
        </is>
      </c>
      <c r="F74" s="63" t="n">
        <v>46327.39583333334</v>
      </c>
      <c r="G74" s="9" t="n"/>
      <c r="H74" s="9" t="n"/>
      <c r="I74" s="10" t="n"/>
      <c r="J74" s="65" t="n">
        <v>70</v>
      </c>
      <c r="K74" s="66" t="inlineStr">
        <is>
          <t>-</t>
        </is>
      </c>
      <c r="L74" s="65" t="n">
        <v>43</v>
      </c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IF($J74+$L74=0,,IF($J74&lt;$L74,IF($J74&amp;"-"&amp;$L74=MID(constPunteggioForfait,FIND("-",constPunteggioForfait)+1,LEN(constPunteggioForfait))&amp;"-"&amp;LEFT(constPunteggioForfait,FIND("-",constPunteggioForfait)-1),1,0),0))</f>
        <v/>
      </c>
      <c r="P74" s="67">
        <f>IF($J74+$L74=0,,IF($J74&lt;$L74,IF($J74&amp;"-"&amp;$L74&lt;&gt;MID(constPunteggioForfait,FIND("-",constPunteggioForfait)+1,LEN(constPunteggioForfait))&amp;"-"&amp;LEFT(constPunteggioForfait,FIND("-",constPunteggioForfait)-1),1,0),0))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IF($J74+$L74=0,,IF($L74&lt;$J74,IF($J74&amp;"-"&amp;$L74=constPunteggioForfait,1,0),0))</f>
        <v/>
      </c>
      <c r="W74" s="67">
        <f>IF($J74+$L74=0,,IF($L74&lt;$J74,IF($J74&amp;"-"&amp;$L74&lt;&gt;constPunteggioForfait,1,0),0))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"&amp;IFERROR(INDEX(Campionato!$E$14:$E$53,MATCH($C74,Campionato!$B$14:$B$53,0)),"?")&amp;"]")</f>
        <v/>
      </c>
    </row>
    <row r="75" ht="16" customHeight="1">
      <c r="A75" s="141" t="n"/>
      <c r="B75" s="69">
        <f>IF(I75="","",HYPERLINK(VLOOKUP(I75,areaCampiSquadre,3,FALSE),VLOOKUP(I75,areaCampiSquadre,2,FALSE)))</f>
        <v/>
      </c>
      <c r="C75" s="9" t="n"/>
      <c r="D75" s="9" t="n"/>
      <c r="E75" s="9" t="n"/>
      <c r="F75" s="9" t="n"/>
      <c r="G75" s="9" t="n"/>
      <c r="H75" s="10" t="n"/>
      <c r="I75" s="62" t="inlineStr">
        <is>
          <t>B05</t>
        </is>
      </c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IF(C77="","",IFERROR(VLOOKUP(C77,areaNomiBreviSquadre,7,FALSE),""))</f>
        <v/>
      </c>
      <c r="C77" s="62" t="inlineStr">
        <is>
          <t>B03</t>
        </is>
      </c>
      <c r="D77" s="61">
        <f>IF(E77="","",IFERROR(VLOOKUP(E77,areaNomiBreviSquadre,7,FALSE),""))</f>
        <v/>
      </c>
      <c r="E77" s="62" t="inlineStr">
        <is>
          <t>B20</t>
        </is>
      </c>
      <c r="F77" s="63" t="n">
        <v>46327.45833333334</v>
      </c>
      <c r="G77" s="9" t="n"/>
      <c r="H77" s="9" t="n"/>
      <c r="I77" s="10" t="n"/>
      <c r="J77" s="65" t="n">
        <v>65</v>
      </c>
      <c r="K77" s="66" t="inlineStr">
        <is>
          <t>-</t>
        </is>
      </c>
      <c r="L77" s="65" t="n">
        <v>80</v>
      </c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IF($J77+$L77=0,,IF($J77&lt;$L77,IF($J77&amp;"-"&amp;$L77=MID(constPunteggioForfait,FIND("-",constPunteggioForfait)+1,LEN(constPunteggioForfait))&amp;"-"&amp;LEFT(constPunteggioForfait,FIND("-",constPunteggioForfait)-1),1,0),0))</f>
        <v/>
      </c>
      <c r="P77" s="67">
        <f>IF($J77+$L77=0,,IF($J77&lt;$L77,IF($J77&amp;"-"&amp;$L77&lt;&gt;MID(constPunteggioForfait,FIND("-",constPunteggioForfait)+1,LEN(constPunteggioForfait))&amp;"-"&amp;LEFT(constPunteggioForfait,FIND("-",constPunteggioForfait)-1),1,0),0))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IF($J77+$L77=0,,IF($L77&lt;$J77,IF($J77&amp;"-"&amp;$L77=constPunteggioForfait,1,0),0))</f>
        <v/>
      </c>
      <c r="W77" s="67">
        <f>IF($J77+$L77=0,,IF($L77&lt;$J77,IF($J77&amp;"-"&amp;$L77&lt;&gt;constPunteggioForfait,1,0),0))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"&amp;IFERROR(INDEX(Campionato!$E$14:$E$53,MATCH($C77,Campionato!$B$14:$B$53,0)),"?")&amp;"]")</f>
        <v/>
      </c>
    </row>
    <row r="78" ht="16" customHeight="1">
      <c r="A78" s="141" t="n"/>
      <c r="B78" s="69">
        <f>IF(I78="","",HYPERLINK(VLOOKUP(I78,areaCampiSquadre,3,FALSE),VLOOKUP(I78,areaCampiSquadre,2,FALSE)))</f>
        <v/>
      </c>
      <c r="C78" s="9" t="n"/>
      <c r="D78" s="9" t="n"/>
      <c r="E78" s="9" t="n"/>
      <c r="F78" s="9" t="n"/>
      <c r="G78" s="9" t="n"/>
      <c r="H78" s="10" t="n"/>
      <c r="I78" s="62" t="inlineStr">
        <is>
          <t>B05</t>
        </is>
      </c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IF(C80="","",IFERROR(VLOOKUP(C80,areaNomiBreviSquadre,7,FALSE),""))</f>
        <v/>
      </c>
      <c r="C80" s="62" t="inlineStr">
        <is>
          <t>B02</t>
        </is>
      </c>
      <c r="D80" s="61">
        <f>IF(E80="","",IFERROR(VLOOKUP(E80,areaNomiBreviSquadre,7,FALSE),""))</f>
        <v/>
      </c>
      <c r="E80" s="62" t="inlineStr">
        <is>
          <t>B04</t>
        </is>
      </c>
      <c r="F80" s="63" t="n">
        <v>46327.60416666666</v>
      </c>
      <c r="G80" s="9" t="n"/>
      <c r="H80" s="9" t="n"/>
      <c r="I80" s="10" t="n"/>
      <c r="J80" s="65" t="n">
        <v>47</v>
      </c>
      <c r="K80" s="66" t="inlineStr">
        <is>
          <t>-</t>
        </is>
      </c>
      <c r="L80" s="65" t="n">
        <v>35</v>
      </c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IF($J80+$L80=0,,IF($J80&lt;$L80,IF($J80&amp;"-"&amp;$L80=MID(constPunteggioForfait,FIND("-",constPunteggioForfait)+1,LEN(constPunteggioForfait))&amp;"-"&amp;LEFT(constPunteggioForfait,FIND("-",constPunteggioForfait)-1),1,0),0))</f>
        <v/>
      </c>
      <c r="P80" s="67">
        <f>IF($J80+$L80=0,,IF($J80&lt;$L80,IF($J80&amp;"-"&amp;$L80&lt;&gt;MID(constPunteggioForfait,FIND("-",constPunteggioForfait)+1,LEN(constPunteggioForfait))&amp;"-"&amp;LEFT(constPunteggioForfait,FIND("-",constPunteggioForfait)-1),1,0),0))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IF($J80+$L80=0,,IF($L80&lt;$J80,IF($J80&amp;"-"&amp;$L80=constPunteggioForfait,1,0),0))</f>
        <v/>
      </c>
      <c r="W80" s="67">
        <f>IF($J80+$L80=0,,IF($L80&lt;$J80,IF($J80&amp;"-"&amp;$L80&lt;&gt;constPunteggioForfait,1,0),0))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"&amp;IFERROR(INDEX(Campionato!$E$14:$E$53,MATCH($C80,Campionato!$B$14:$B$53,0)),"?")&amp;"]")</f>
        <v/>
      </c>
    </row>
    <row r="81" ht="16" customHeight="1">
      <c r="A81" s="141" t="n"/>
      <c r="B81" s="69">
        <f>IF(I81="","",HYPERLINK(VLOOKUP(I81,areaCampiSquadre,3,FALSE),VLOOKUP(I81,areaCampiSquadre,2,FALSE)))</f>
        <v/>
      </c>
      <c r="C81" s="9" t="n"/>
      <c r="D81" s="9" t="n"/>
      <c r="E81" s="9" t="n"/>
      <c r="F81" s="9" t="n"/>
      <c r="G81" s="9" t="n"/>
      <c r="H81" s="10" t="n"/>
      <c r="I81" s="62" t="inlineStr">
        <is>
          <t>B05</t>
        </is>
      </c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IF(C83="","",IFERROR(VLOOKUP(C83,areaNomiBreviSquadre,7,FALSE),""))</f>
        <v/>
      </c>
      <c r="C83" s="62" t="inlineStr">
        <is>
          <t>B07</t>
        </is>
      </c>
      <c r="D83" s="61">
        <f>IF(E83="","",IFERROR(VLOOKUP(E83,areaNomiBreviSquadre,7,FALSE),""))</f>
        <v/>
      </c>
      <c r="E83" s="62" t="inlineStr">
        <is>
          <t>B18</t>
        </is>
      </c>
      <c r="F83" s="63" t="n">
        <v>46327.66666666666</v>
      </c>
      <c r="G83" s="9" t="n"/>
      <c r="H83" s="9" t="n"/>
      <c r="I83" s="10" t="n"/>
      <c r="J83" s="65" t="n">
        <v>51</v>
      </c>
      <c r="K83" s="66" t="inlineStr">
        <is>
          <t>-</t>
        </is>
      </c>
      <c r="L83" s="65" t="n">
        <v>50</v>
      </c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IF($J83+$L83=0,,IF($J83&lt;$L83,IF($J83&amp;"-"&amp;$L83=MID(constPunteggioForfait,FIND("-",constPunteggioForfait)+1,LEN(constPunteggioForfait))&amp;"-"&amp;LEFT(constPunteggioForfait,FIND("-",constPunteggioForfait)-1),1,0),0))</f>
        <v/>
      </c>
      <c r="P83" s="67">
        <f>IF($J83+$L83=0,,IF($J83&lt;$L83,IF($J83&amp;"-"&amp;$L83&lt;&gt;MID(constPunteggioForfait,FIND("-",constPunteggioForfait)+1,LEN(constPunteggioForfait))&amp;"-"&amp;LEFT(constPunteggioForfait,FIND("-",constPunteggioForfait)-1),1,0),0))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IF($J83+$L83=0,,IF($L83&lt;$J83,IF($J83&amp;"-"&amp;$L83=constPunteggioForfait,1,0),0))</f>
        <v/>
      </c>
      <c r="W83" s="67">
        <f>IF($J83+$L83=0,,IF($L83&lt;$J83,IF($J83&amp;"-"&amp;$L83&lt;&gt;constPunteggioForfait,1,0),0))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"&amp;IFERROR(INDEX(Campionato!$E$14:$E$53,MATCH($C83,Campionato!$B$14:$B$53,0)),"?")&amp;"]")</f>
        <v/>
      </c>
    </row>
    <row r="84" ht="16" customHeight="1">
      <c r="A84" s="141" t="n"/>
      <c r="B84" s="69">
        <f>IF(I84="","",HYPERLINK(VLOOKUP(I84,areaCampiSquadre,3,FALSE),VLOOKUP(I84,areaCampiSquadre,2,FALSE)))</f>
        <v/>
      </c>
      <c r="C84" s="9" t="n"/>
      <c r="D84" s="9" t="n"/>
      <c r="E84" s="9" t="n"/>
      <c r="F84" s="9" t="n"/>
      <c r="G84" s="9" t="n"/>
      <c r="H84" s="10" t="n"/>
      <c r="I84" s="62" t="inlineStr">
        <is>
          <t>B05</t>
        </is>
      </c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IF(C86="","",IFERROR(VLOOKUP(C86,areaNomiBreviSquadre,7,FALSE),""))</f>
        <v/>
      </c>
      <c r="C86" s="62" t="inlineStr">
        <is>
          <t>B17</t>
        </is>
      </c>
      <c r="D86" s="61">
        <f>IF(E86="","",IFERROR(VLOOKUP(E86,areaNomiBreviSquadre,7,FALSE),""))</f>
        <v/>
      </c>
      <c r="E86" s="62" t="inlineStr">
        <is>
          <t>B08</t>
        </is>
      </c>
      <c r="F86" s="63" t="n">
        <v>46327.72916666666</v>
      </c>
      <c r="G86" s="9" t="n"/>
      <c r="H86" s="9" t="n"/>
      <c r="I86" s="10" t="n"/>
      <c r="J86" s="65" t="n">
        <v>57</v>
      </c>
      <c r="K86" s="66" t="inlineStr">
        <is>
          <t>-</t>
        </is>
      </c>
      <c r="L86" s="65" t="n">
        <v>82</v>
      </c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IF($J86+$L86=0,,IF($J86&lt;$L86,IF($J86&amp;"-"&amp;$L86=MID(constPunteggioForfait,FIND("-",constPunteggioForfait)+1,LEN(constPunteggioForfait))&amp;"-"&amp;LEFT(constPunteggioForfait,FIND("-",constPunteggioForfait)-1),1,0),0))</f>
        <v/>
      </c>
      <c r="P86" s="67">
        <f>IF($J86+$L86=0,,IF($J86&lt;$L86,IF($J86&amp;"-"&amp;$L86&lt;&gt;MID(constPunteggioForfait,FIND("-",constPunteggioForfait)+1,LEN(constPunteggioForfait))&amp;"-"&amp;LEFT(constPunteggioForfait,FIND("-",constPunteggioForfait)-1),1,0),0))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IF($J86+$L86=0,,IF($L86&lt;$J86,IF($J86&amp;"-"&amp;$L86=constPunteggioForfait,1,0),0))</f>
        <v/>
      </c>
      <c r="W86" s="67">
        <f>IF($J86+$L86=0,,IF($L86&lt;$J86,IF($J86&amp;"-"&amp;$L86&lt;&gt;constPunteggioForfait,1,0),0))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"&amp;IFERROR(INDEX(Campionato!$E$14:$E$53,MATCH($C86,Campionato!$B$14:$B$53,0)),"?")&amp;"]")</f>
        <v/>
      </c>
    </row>
    <row r="87" ht="16" customHeight="1">
      <c r="A87" s="141" t="n"/>
      <c r="B87" s="69">
        <f>IF(I87="","",HYPERLINK(VLOOKUP(I87,areaCampiSquadre,3,FALSE),VLOOKUP(I87,areaCampiSquadre,2,FALSE)))</f>
        <v/>
      </c>
      <c r="C87" s="9" t="n"/>
      <c r="D87" s="9" t="n"/>
      <c r="E87" s="9" t="n"/>
      <c r="F87" s="9" t="n"/>
      <c r="G87" s="9" t="n"/>
      <c r="H87" s="10" t="n"/>
      <c r="I87" s="62" t="inlineStr">
        <is>
          <t>B05</t>
        </is>
      </c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IF(C89="","",IFERROR(VLOOKUP(C89,areaNomiBreviSquadre,7,FALSE),""))</f>
        <v/>
      </c>
      <c r="C89" s="62" t="inlineStr">
        <is>
          <t>B19</t>
        </is>
      </c>
      <c r="D89" s="61">
        <f>IF(E89="","",IFERROR(VLOOKUP(E89,areaNomiBreviSquadre,7,FALSE),""))</f>
        <v/>
      </c>
      <c r="E89" s="62" t="inlineStr">
        <is>
          <t>B06</t>
        </is>
      </c>
      <c r="F89" s="63" t="n">
        <v>46327.39583333334</v>
      </c>
      <c r="G89" s="9" t="n"/>
      <c r="H89" s="9" t="n"/>
      <c r="I89" s="10" t="n"/>
      <c r="J89" s="65" t="n">
        <v>75</v>
      </c>
      <c r="K89" s="66" t="inlineStr">
        <is>
          <t>-</t>
        </is>
      </c>
      <c r="L89" s="65" t="n">
        <v>82</v>
      </c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IF($J89+$L89=0,,IF($J89&lt;$L89,IF($J89&amp;"-"&amp;$L89=MID(constPunteggioForfait,FIND("-",constPunteggioForfait)+1,LEN(constPunteggioForfait))&amp;"-"&amp;LEFT(constPunteggioForfait,FIND("-",constPunteggioForfait)-1),1,0),0))</f>
        <v/>
      </c>
      <c r="P89" s="67">
        <f>IF($J89+$L89=0,,IF($J89&lt;$L89,IF($J89&amp;"-"&amp;$L89&lt;&gt;MID(constPunteggioForfait,FIND("-",constPunteggioForfait)+1,LEN(constPunteggioForfait))&amp;"-"&amp;LEFT(constPunteggioForfait,FIND("-",constPunteggioForfait)-1),1,0),0))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IF($J89+$L89=0,,IF($L89&lt;$J89,IF($J89&amp;"-"&amp;$L89=constPunteggioForfait,1,0),0))</f>
        <v/>
      </c>
      <c r="W89" s="67">
        <f>IF($J89+$L89=0,,IF($L89&lt;$J89,IF($J89&amp;"-"&amp;$L89&lt;&gt;constPunteggioForfait,1,0),0))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"&amp;IFERROR(INDEX(Campionato!$E$14:$E$53,MATCH($C89,Campionato!$B$14:$B$53,0)),"?")&amp;"]")</f>
        <v/>
      </c>
    </row>
    <row r="90" ht="16" customHeight="1">
      <c r="A90" s="141" t="n"/>
      <c r="B90" s="69">
        <f>IF(I90="","",HYPERLINK(VLOOKUP(I90,areaCampiSquadre,3,FALSE),VLOOKUP(I90,areaCampiSquadre,2,FALSE)))</f>
        <v/>
      </c>
      <c r="C90" s="9" t="n"/>
      <c r="D90" s="9" t="n"/>
      <c r="E90" s="9" t="n"/>
      <c r="F90" s="9" t="n"/>
      <c r="G90" s="9" t="n"/>
      <c r="H90" s="10" t="n"/>
      <c r="I90" s="62" t="inlineStr">
        <is>
          <t>B06</t>
        </is>
      </c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IF(C92="","",IFERROR(VLOOKUP(C92,areaNomiBreviSquadre,7,FALSE),""))</f>
        <v/>
      </c>
      <c r="C92" s="62" t="inlineStr">
        <is>
          <t>B09</t>
        </is>
      </c>
      <c r="D92" s="61">
        <f>IF(E92="","",IFERROR(VLOOKUP(E92,areaNomiBreviSquadre,7,FALSE),""))</f>
        <v/>
      </c>
      <c r="E92" s="62" t="inlineStr">
        <is>
          <t>B16</t>
        </is>
      </c>
      <c r="F92" s="63" t="n">
        <v>46327.45833333334</v>
      </c>
      <c r="G92" s="9" t="n"/>
      <c r="H92" s="9" t="n"/>
      <c r="I92" s="10" t="n"/>
      <c r="J92" s="65" t="n">
        <v>90</v>
      </c>
      <c r="K92" s="66" t="inlineStr">
        <is>
          <t>-</t>
        </is>
      </c>
      <c r="L92" s="65" t="n">
        <v>89</v>
      </c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IF($J92+$L92=0,,IF($J92&lt;$L92,IF($J92&amp;"-"&amp;$L92=MID(constPunteggioForfait,FIND("-",constPunteggioForfait)+1,LEN(constPunteggioForfait))&amp;"-"&amp;LEFT(constPunteggioForfait,FIND("-",constPunteggioForfait)-1),1,0),0))</f>
        <v/>
      </c>
      <c r="P92" s="67">
        <f>IF($J92+$L92=0,,IF($J92&lt;$L92,IF($J92&amp;"-"&amp;$L92&lt;&gt;MID(constPunteggioForfait,FIND("-",constPunteggioForfait)+1,LEN(constPunteggioForfait))&amp;"-"&amp;LEFT(constPunteggioForfait,FIND("-",constPunteggioForfait)-1),1,0),0))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IF($J92+$L92=0,,IF($L92&lt;$J92,IF($J92&amp;"-"&amp;$L92=constPunteggioForfait,1,0),0))</f>
        <v/>
      </c>
      <c r="W92" s="67">
        <f>IF($J92+$L92=0,,IF($L92&lt;$J92,IF($J92&amp;"-"&amp;$L92&lt;&gt;constPunteggioForfait,1,0),0))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"&amp;IFERROR(INDEX(Campionato!$E$14:$E$53,MATCH($C92,Campionato!$B$14:$B$53,0)),"?")&amp;"]")</f>
        <v/>
      </c>
    </row>
    <row r="93" ht="16" customHeight="1">
      <c r="A93" s="141" t="n"/>
      <c r="B93" s="69">
        <f>IF(I93="","",HYPERLINK(VLOOKUP(I93,areaCampiSquadre,3,FALSE),VLOOKUP(I93,areaCampiSquadre,2,FALSE)))</f>
        <v/>
      </c>
      <c r="C93" s="9" t="n"/>
      <c r="D93" s="9" t="n"/>
      <c r="E93" s="9" t="n"/>
      <c r="F93" s="9" t="n"/>
      <c r="G93" s="9" t="n"/>
      <c r="H93" s="10" t="n"/>
      <c r="I93" s="62" t="inlineStr">
        <is>
          <t>B06</t>
        </is>
      </c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IF(C95="","",IFERROR(VLOOKUP(C95,areaNomiBreviSquadre,7,FALSE),""))</f>
        <v/>
      </c>
      <c r="C95" s="62" t="inlineStr">
        <is>
          <t>B15</t>
        </is>
      </c>
      <c r="D95" s="61">
        <f>IF(E95="","",IFERROR(VLOOKUP(E95,areaNomiBreviSquadre,7,FALSE),""))</f>
        <v/>
      </c>
      <c r="E95" s="62" t="inlineStr">
        <is>
          <t>B10</t>
        </is>
      </c>
      <c r="F95" s="63" t="n">
        <v>46327.60416666666</v>
      </c>
      <c r="G95" s="9" t="n"/>
      <c r="H95" s="9" t="n"/>
      <c r="I95" s="10" t="n"/>
      <c r="J95" s="65" t="n">
        <v>25</v>
      </c>
      <c r="K95" s="66" t="inlineStr">
        <is>
          <t>-</t>
        </is>
      </c>
      <c r="L95" s="65" t="n">
        <v>45</v>
      </c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IF($J95+$L95=0,,IF($J95&lt;$L95,IF($J95&amp;"-"&amp;$L95=MID(constPunteggioForfait,FIND("-",constPunteggioForfait)+1,LEN(constPunteggioForfait))&amp;"-"&amp;LEFT(constPunteggioForfait,FIND("-",constPunteggioForfait)-1),1,0),0))</f>
        <v/>
      </c>
      <c r="P95" s="67">
        <f>IF($J95+$L95=0,,IF($J95&lt;$L95,IF($J95&amp;"-"&amp;$L95&lt;&gt;MID(constPunteggioForfait,FIND("-",constPunteggioForfait)+1,LEN(constPunteggioForfait))&amp;"-"&amp;LEFT(constPunteggioForfait,FIND("-",constPunteggioForfait)-1),1,0),0))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IF($J95+$L95=0,,IF($L95&lt;$J95,IF($J95&amp;"-"&amp;$L95=constPunteggioForfait,1,0),0))</f>
        <v/>
      </c>
      <c r="W95" s="67">
        <f>IF($J95+$L95=0,,IF($L95&lt;$J95,IF($J95&amp;"-"&amp;$L95&lt;&gt;constPunteggioForfait,1,0),0))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"&amp;IFERROR(INDEX(Campionato!$E$14:$E$53,MATCH($C95,Campionato!$B$14:$B$53,0)),"?")&amp;"]")</f>
        <v/>
      </c>
    </row>
    <row r="96" ht="16" customHeight="1">
      <c r="A96" s="141" t="n"/>
      <c r="B96" s="69">
        <f>IF(I96="","",HYPERLINK(VLOOKUP(I96,areaCampiSquadre,3,FALSE),VLOOKUP(I96,areaCampiSquadre,2,FALSE)))</f>
        <v/>
      </c>
      <c r="C96" s="9" t="n"/>
      <c r="D96" s="9" t="n"/>
      <c r="E96" s="9" t="n"/>
      <c r="F96" s="9" t="n"/>
      <c r="G96" s="9" t="n"/>
      <c r="H96" s="10" t="n"/>
      <c r="I96" s="62" t="inlineStr">
        <is>
          <t>B06</t>
        </is>
      </c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IF(C98="","",IFERROR(VLOOKUP(C98,areaNomiBreviSquadre,7,FALSE),""))</f>
        <v/>
      </c>
      <c r="C98" s="62" t="inlineStr">
        <is>
          <t>B11</t>
        </is>
      </c>
      <c r="D98" s="61">
        <f>IF(E98="","",IFERROR(VLOOKUP(E98,areaNomiBreviSquadre,7,FALSE),""))</f>
        <v/>
      </c>
      <c r="E98" s="62" t="inlineStr">
        <is>
          <t>B14</t>
        </is>
      </c>
      <c r="F98" s="63" t="n">
        <v>46327.66666666666</v>
      </c>
      <c r="G98" s="9" t="n"/>
      <c r="H98" s="9" t="n"/>
      <c r="I98" s="10" t="n"/>
      <c r="J98" s="65" t="n">
        <v>88</v>
      </c>
      <c r="K98" s="66" t="inlineStr">
        <is>
          <t>-</t>
        </is>
      </c>
      <c r="L98" s="65" t="n">
        <v>91</v>
      </c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IF($J98+$L98=0,,IF($J98&lt;$L98,IF($J98&amp;"-"&amp;$L98=MID(constPunteggioForfait,FIND("-",constPunteggioForfait)+1,LEN(constPunteggioForfait))&amp;"-"&amp;LEFT(constPunteggioForfait,FIND("-",constPunteggioForfait)-1),1,0),0))</f>
        <v/>
      </c>
      <c r="P98" s="67">
        <f>IF($J98+$L98=0,,IF($J98&lt;$L98,IF($J98&amp;"-"&amp;$L98&lt;&gt;MID(constPunteggioForfait,FIND("-",constPunteggioForfait)+1,LEN(constPunteggioForfait))&amp;"-"&amp;LEFT(constPunteggioForfait,FIND("-",constPunteggioForfait)-1),1,0),0))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IF($J98+$L98=0,,IF($L98&lt;$J98,IF($J98&amp;"-"&amp;$L98=constPunteggioForfait,1,0),0))</f>
        <v/>
      </c>
      <c r="W98" s="67">
        <f>IF($J98+$L98=0,,IF($L98&lt;$J98,IF($J98&amp;"-"&amp;$L98&lt;&gt;constPunteggioForfait,1,0),0))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"&amp;IFERROR(INDEX(Campionato!$E$14:$E$53,MATCH($C98,Campionato!$B$14:$B$53,0)),"?")&amp;"]")</f>
        <v/>
      </c>
    </row>
    <row r="99" ht="16" customHeight="1">
      <c r="A99" s="141" t="n"/>
      <c r="B99" s="69">
        <f>IF(I99="","",HYPERLINK(VLOOKUP(I99,areaCampiSquadre,3,FALSE),VLOOKUP(I99,areaCampiSquadre,2,FALSE)))</f>
        <v/>
      </c>
      <c r="C99" s="9" t="n"/>
      <c r="D99" s="9" t="n"/>
      <c r="E99" s="9" t="n"/>
      <c r="F99" s="9" t="n"/>
      <c r="G99" s="9" t="n"/>
      <c r="H99" s="10" t="n"/>
      <c r="I99" s="62" t="inlineStr">
        <is>
          <t>B06</t>
        </is>
      </c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IF(C101="","",IFERROR(VLOOKUP(C101,areaNomiBreviSquadre,7,FALSE),""))</f>
        <v/>
      </c>
      <c r="C101" s="62" t="inlineStr">
        <is>
          <t>B13</t>
        </is>
      </c>
      <c r="D101" s="61">
        <f>IF(E101="","",IFERROR(VLOOKUP(E101,areaNomiBreviSquadre,7,FALSE),""))</f>
        <v/>
      </c>
      <c r="E101" s="62" t="inlineStr">
        <is>
          <t>B12</t>
        </is>
      </c>
      <c r="F101" s="63" t="n">
        <v>46327.72916666666</v>
      </c>
      <c r="G101" s="9" t="n"/>
      <c r="H101" s="9" t="n"/>
      <c r="I101" s="10" t="n"/>
      <c r="J101" s="65" t="n">
        <v>68</v>
      </c>
      <c r="K101" s="66" t="inlineStr">
        <is>
          <t>-</t>
        </is>
      </c>
      <c r="L101" s="65" t="n">
        <v>48</v>
      </c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IF($J101+$L101=0,,IF($J101&lt;$L101,IF($J101&amp;"-"&amp;$L101=MID(constPunteggioForfait,FIND("-",constPunteggioForfait)+1,LEN(constPunteggioForfait))&amp;"-"&amp;LEFT(constPunteggioForfait,FIND("-",constPunteggioForfait)-1),1,0),0))</f>
        <v/>
      </c>
      <c r="P101" s="67">
        <f>IF($J101+$L101=0,,IF($J101&lt;$L101,IF($J101&amp;"-"&amp;$L101&lt;&gt;MID(constPunteggioForfait,FIND("-",constPunteggioForfait)+1,LEN(constPunteggioForfait))&amp;"-"&amp;LEFT(constPunteggioForfait,FIND("-",constPunteggioForfait)-1),1,0),0))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IF($J101+$L101=0,,IF($L101&lt;$J101,IF($J101&amp;"-"&amp;$L101=constPunteggioForfait,1,0),0))</f>
        <v/>
      </c>
      <c r="W101" s="67">
        <f>IF($J101+$L101=0,,IF($L101&lt;$J101,IF($J101&amp;"-"&amp;$L101&lt;&gt;constPunteggioForfait,1,0),0))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"&amp;IFERROR(INDEX(Campionato!$E$14:$E$53,MATCH($C101,Campionato!$B$14:$B$53,0)),"?")&amp;"]")</f>
        <v/>
      </c>
    </row>
    <row r="102" ht="16" customHeight="1">
      <c r="A102" s="141" t="n"/>
      <c r="B102" s="69">
        <f>IF(I102="","",HYPERLINK(VLOOKUP(I102,areaCampiSquadre,3,FALSE),VLOOKUP(I102,areaCampiSquadre,2,FALSE)))</f>
        <v/>
      </c>
      <c r="C102" s="9" t="n"/>
      <c r="D102" s="9" t="n"/>
      <c r="E102" s="9" t="n"/>
      <c r="F102" s="9" t="n"/>
      <c r="G102" s="9" t="n"/>
      <c r="H102" s="10" t="n"/>
      <c r="I102" s="62" t="inlineStr">
        <is>
          <t>B06</t>
        </is>
      </c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IF(C106="","",IFERROR(VLOOKUP(C106,areaNomiBreviSquadre,7,FALSE),""))</f>
        <v/>
      </c>
      <c r="C106" s="62" t="inlineStr">
        <is>
          <t>B07</t>
        </is>
      </c>
      <c r="D106" s="61">
        <f>IF(E106="","",IFERROR(VLOOKUP(E106,areaNomiBreviSquadre,7,FALSE),""))</f>
        <v/>
      </c>
      <c r="E106" s="62" t="inlineStr">
        <is>
          <t>B01</t>
        </is>
      </c>
      <c r="F106" s="63" t="n">
        <v>46334.39583333334</v>
      </c>
      <c r="G106" s="9" t="n"/>
      <c r="H106" s="9" t="n"/>
      <c r="I106" s="10" t="n"/>
      <c r="J106" s="65" t="n">
        <v>77</v>
      </c>
      <c r="K106" s="66" t="inlineStr">
        <is>
          <t>-</t>
        </is>
      </c>
      <c r="L106" s="65" t="n">
        <v>51</v>
      </c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IF($J106+$L106=0,,IF($J106&lt;$L106,IF($J106&amp;"-"&amp;$L106=MID(constPunteggioForfait,FIND("-",constPunteggioForfait)+1,LEN(constPunteggioForfait))&amp;"-"&amp;LEFT(constPunteggioForfait,FIND("-",constPunteggioForfait)-1),1,0),0))</f>
        <v/>
      </c>
      <c r="P106" s="67">
        <f>IF($J106+$L106=0,,IF($J106&lt;$L106,IF($J106&amp;"-"&amp;$L106&lt;&gt;MID(constPunteggioForfait,FIND("-",constPunteggioForfait)+1,LEN(constPunteggioForfait))&amp;"-"&amp;LEFT(constPunteggioForfait,FIND("-",constPunteggioForfait)-1),1,0),0))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IF($J106+$L106=0,,IF($L106&lt;$J106,IF($J106&amp;"-"&amp;$L106=constPunteggioForfait,1,0),0))</f>
        <v/>
      </c>
      <c r="W106" s="67">
        <f>IF($J106+$L106=0,,IF($L106&lt;$J106,IF($J106&amp;"-"&amp;$L106&lt;&gt;constPunteggioForfait,1,0),0))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"&amp;IFERROR(INDEX(Campionato!$E$14:$E$53,MATCH($C106,Campionato!$B$14:$B$53,0)),"?")&amp;"]")</f>
        <v/>
      </c>
    </row>
    <row r="107" ht="16" customHeight="1">
      <c r="A107" s="141" t="n"/>
      <c r="B107" s="69">
        <f>IF(I107="","",HYPERLINK(VLOOKUP(I107,areaCampiSquadre,3,FALSE),VLOOKUP(I107,areaCampiSquadre,2,FALSE)))</f>
        <v/>
      </c>
      <c r="C107" s="9" t="n"/>
      <c r="D107" s="9" t="n"/>
      <c r="E107" s="9" t="n"/>
      <c r="F107" s="9" t="n"/>
      <c r="G107" s="9" t="n"/>
      <c r="H107" s="10" t="n"/>
      <c r="I107" s="62" t="inlineStr">
        <is>
          <t>B07</t>
        </is>
      </c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IF(C109="","",IFERROR(VLOOKUP(C109,areaNomiBreviSquadre,7,FALSE),""))</f>
        <v/>
      </c>
      <c r="C109" s="62" t="inlineStr">
        <is>
          <t>B20</t>
        </is>
      </c>
      <c r="D109" s="61">
        <f>IF(E109="","",IFERROR(VLOOKUP(E109,areaNomiBreviSquadre,7,FALSE),""))</f>
        <v/>
      </c>
      <c r="E109" s="62" t="inlineStr">
        <is>
          <t>B04</t>
        </is>
      </c>
      <c r="F109" s="63" t="n">
        <v>46334.45833333334</v>
      </c>
      <c r="G109" s="9" t="n"/>
      <c r="H109" s="9" t="n"/>
      <c r="I109" s="10" t="n"/>
      <c r="J109" s="65" t="n">
        <v>80</v>
      </c>
      <c r="K109" s="66" t="inlineStr">
        <is>
          <t>-</t>
        </is>
      </c>
      <c r="L109" s="65" t="n">
        <v>69</v>
      </c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IF($J109+$L109=0,,IF($J109&lt;$L109,IF($J109&amp;"-"&amp;$L109=MID(constPunteggioForfait,FIND("-",constPunteggioForfait)+1,LEN(constPunteggioForfait))&amp;"-"&amp;LEFT(constPunteggioForfait,FIND("-",constPunteggioForfait)-1),1,0),0))</f>
        <v/>
      </c>
      <c r="P109" s="67">
        <f>IF($J109+$L109=0,,IF($J109&lt;$L109,IF($J109&amp;"-"&amp;$L109&lt;&gt;MID(constPunteggioForfait,FIND("-",constPunteggioForfait)+1,LEN(constPunteggioForfait))&amp;"-"&amp;LEFT(constPunteggioForfait,FIND("-",constPunteggioForfait)-1),1,0),0))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IF($J109+$L109=0,,IF($L109&lt;$J109,IF($J109&amp;"-"&amp;$L109=constPunteggioForfait,1,0),0))</f>
        <v/>
      </c>
      <c r="W109" s="67">
        <f>IF($J109+$L109=0,,IF($L109&lt;$J109,IF($J109&amp;"-"&amp;$L109&lt;&gt;constPunteggioForfait,1,0),0))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"&amp;IFERROR(INDEX(Campionato!$E$14:$E$53,MATCH($C109,Campionato!$B$14:$B$53,0)),"?")&amp;"]")</f>
        <v/>
      </c>
    </row>
    <row r="110" ht="16" customHeight="1">
      <c r="A110" s="141" t="n"/>
      <c r="B110" s="69">
        <f>IF(I110="","",HYPERLINK(VLOOKUP(I110,areaCampiSquadre,3,FALSE),VLOOKUP(I110,areaCampiSquadre,2,FALSE)))</f>
        <v/>
      </c>
      <c r="C110" s="9" t="n"/>
      <c r="D110" s="9" t="n"/>
      <c r="E110" s="9" t="n"/>
      <c r="F110" s="9" t="n"/>
      <c r="G110" s="9" t="n"/>
      <c r="H110" s="10" t="n"/>
      <c r="I110" s="62" t="inlineStr">
        <is>
          <t>B07</t>
        </is>
      </c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IF(C112="","",IFERROR(VLOOKUP(C112,areaNomiBreviSquadre,7,FALSE),""))</f>
        <v/>
      </c>
      <c r="C112" s="62" t="inlineStr">
        <is>
          <t>B05</t>
        </is>
      </c>
      <c r="D112" s="61">
        <f>IF(E112="","",IFERROR(VLOOKUP(E112,areaNomiBreviSquadre,7,FALSE),""))</f>
        <v/>
      </c>
      <c r="E112" s="62" t="inlineStr">
        <is>
          <t>B03</t>
        </is>
      </c>
      <c r="F112" s="63" t="n">
        <v>46334.60416666666</v>
      </c>
      <c r="G112" s="9" t="n"/>
      <c r="H112" s="9" t="n"/>
      <c r="I112" s="10" t="n"/>
      <c r="J112" s="65" t="n">
        <v>58</v>
      </c>
      <c r="K112" s="66" t="inlineStr">
        <is>
          <t>-</t>
        </is>
      </c>
      <c r="L112" s="65" t="n">
        <v>30</v>
      </c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IF($J112+$L112=0,,IF($J112&lt;$L112,IF($J112&amp;"-"&amp;$L112=MID(constPunteggioForfait,FIND("-",constPunteggioForfait)+1,LEN(constPunteggioForfait))&amp;"-"&amp;LEFT(constPunteggioForfait,FIND("-",constPunteggioForfait)-1),1,0),0))</f>
        <v/>
      </c>
      <c r="P112" s="67">
        <f>IF($J112+$L112=0,,IF($J112&lt;$L112,IF($J112&amp;"-"&amp;$L112&lt;&gt;MID(constPunteggioForfait,FIND("-",constPunteggioForfait)+1,LEN(constPunteggioForfait))&amp;"-"&amp;LEFT(constPunteggioForfait,FIND("-",constPunteggioForfait)-1),1,0),0))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IF($J112+$L112=0,,IF($L112&lt;$J112,IF($J112&amp;"-"&amp;$L112=constPunteggioForfait,1,0),0))</f>
        <v/>
      </c>
      <c r="W112" s="67">
        <f>IF($J112+$L112=0,,IF($L112&lt;$J112,IF($J112&amp;"-"&amp;$L112&lt;&gt;constPunteggioForfait,1,0),0))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"&amp;IFERROR(INDEX(Campionato!$E$14:$E$53,MATCH($C112,Campionato!$B$14:$B$53,0)),"?")&amp;"]")</f>
        <v/>
      </c>
    </row>
    <row r="113" ht="16" customHeight="1">
      <c r="A113" s="141" t="n"/>
      <c r="B113" s="69">
        <f>IF(I113="","",HYPERLINK(VLOOKUP(I113,areaCampiSquadre,3,FALSE),VLOOKUP(I113,areaCampiSquadre,2,FALSE)))</f>
        <v/>
      </c>
      <c r="C113" s="9" t="n"/>
      <c r="D113" s="9" t="n"/>
      <c r="E113" s="9" t="n"/>
      <c r="F113" s="9" t="n"/>
      <c r="G113" s="9" t="n"/>
      <c r="H113" s="10" t="n"/>
      <c r="I113" s="62" t="inlineStr">
        <is>
          <t>B07</t>
        </is>
      </c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IF(C115="","",IFERROR(VLOOKUP(C115,areaNomiBreviSquadre,7,FALSE),""))</f>
        <v/>
      </c>
      <c r="C115" s="62" t="inlineStr">
        <is>
          <t>B02</t>
        </is>
      </c>
      <c r="D115" s="61">
        <f>IF(E115="","",IFERROR(VLOOKUP(E115,areaNomiBreviSquadre,7,FALSE),""))</f>
        <v/>
      </c>
      <c r="E115" s="62" t="inlineStr">
        <is>
          <t>B06</t>
        </is>
      </c>
      <c r="F115" s="63" t="n">
        <v>46334.66666666666</v>
      </c>
      <c r="G115" s="9" t="n"/>
      <c r="H115" s="9" t="n"/>
      <c r="I115" s="10" t="n"/>
      <c r="J115" s="65" t="n">
        <v>29</v>
      </c>
      <c r="K115" s="66" t="inlineStr">
        <is>
          <t>-</t>
        </is>
      </c>
      <c r="L115" s="65" t="n">
        <v>56</v>
      </c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IF($J115+$L115=0,,IF($J115&lt;$L115,IF($J115&amp;"-"&amp;$L115=MID(constPunteggioForfait,FIND("-",constPunteggioForfait)+1,LEN(constPunteggioForfait))&amp;"-"&amp;LEFT(constPunteggioForfait,FIND("-",constPunteggioForfait)-1),1,0),0))</f>
        <v/>
      </c>
      <c r="P115" s="67">
        <f>IF($J115+$L115=0,,IF($J115&lt;$L115,IF($J115&amp;"-"&amp;$L115&lt;&gt;MID(constPunteggioForfait,FIND("-",constPunteggioForfait)+1,LEN(constPunteggioForfait))&amp;"-"&amp;LEFT(constPunteggioForfait,FIND("-",constPunteggioForfait)-1),1,0),0))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IF($J115+$L115=0,,IF($L115&lt;$J115,IF($J115&amp;"-"&amp;$L115=constPunteggioForfait,1,0),0))</f>
        <v/>
      </c>
      <c r="W115" s="67">
        <f>IF($J115+$L115=0,,IF($L115&lt;$J115,IF($J115&amp;"-"&amp;$L115&lt;&gt;constPunteggioForfait,1,0),0))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"&amp;IFERROR(INDEX(Campionato!$E$14:$E$53,MATCH($C115,Campionato!$B$14:$B$53,0)),"?")&amp;"]")</f>
        <v/>
      </c>
    </row>
    <row r="116" ht="16" customHeight="1">
      <c r="A116" s="141" t="n"/>
      <c r="B116" s="69">
        <f>IF(I116="","",HYPERLINK(VLOOKUP(I116,areaCampiSquadre,3,FALSE),VLOOKUP(I116,areaCampiSquadre,2,FALSE)))</f>
        <v/>
      </c>
      <c r="C116" s="9" t="n"/>
      <c r="D116" s="9" t="n"/>
      <c r="E116" s="9" t="n"/>
      <c r="F116" s="9" t="n"/>
      <c r="G116" s="9" t="n"/>
      <c r="H116" s="10" t="n"/>
      <c r="I116" s="62" t="inlineStr">
        <is>
          <t>B07</t>
        </is>
      </c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IF(C118="","",IFERROR(VLOOKUP(C118,areaNomiBreviSquadre,7,FALSE),""))</f>
        <v/>
      </c>
      <c r="C118" s="62" t="inlineStr">
        <is>
          <t>B09</t>
        </is>
      </c>
      <c r="D118" s="61">
        <f>IF(E118="","",IFERROR(VLOOKUP(E118,areaNomiBreviSquadre,7,FALSE),""))</f>
        <v/>
      </c>
      <c r="E118" s="62" t="inlineStr">
        <is>
          <t>B18</t>
        </is>
      </c>
      <c r="F118" s="63" t="n">
        <v>46334.72916666666</v>
      </c>
      <c r="G118" s="9" t="n"/>
      <c r="H118" s="9" t="n"/>
      <c r="I118" s="10" t="n"/>
      <c r="J118" s="65" t="n">
        <v>72</v>
      </c>
      <c r="K118" s="66" t="inlineStr">
        <is>
          <t>-</t>
        </is>
      </c>
      <c r="L118" s="65" t="n">
        <v>62</v>
      </c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IF($J118+$L118=0,,IF($J118&lt;$L118,IF($J118&amp;"-"&amp;$L118=MID(constPunteggioForfait,FIND("-",constPunteggioForfait)+1,LEN(constPunteggioForfait))&amp;"-"&amp;LEFT(constPunteggioForfait,FIND("-",constPunteggioForfait)-1),1,0),0))</f>
        <v/>
      </c>
      <c r="P118" s="67">
        <f>IF($J118+$L118=0,,IF($J118&lt;$L118,IF($J118&amp;"-"&amp;$L118&lt;&gt;MID(constPunteggioForfait,FIND("-",constPunteggioForfait)+1,LEN(constPunteggioForfait))&amp;"-"&amp;LEFT(constPunteggioForfait,FIND("-",constPunteggioForfait)-1),1,0),0))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IF($J118+$L118=0,,IF($L118&lt;$J118,IF($J118&amp;"-"&amp;$L118=constPunteggioForfait,1,0),0))</f>
        <v/>
      </c>
      <c r="W118" s="67">
        <f>IF($J118+$L118=0,,IF($L118&lt;$J118,IF($J118&amp;"-"&amp;$L118&lt;&gt;constPunteggioForfait,1,0),0))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"&amp;IFERROR(INDEX(Campionato!$E$14:$E$53,MATCH($C118,Campionato!$B$14:$B$53,0)),"?")&amp;"]")</f>
        <v/>
      </c>
    </row>
    <row r="119" ht="16" customHeight="1">
      <c r="A119" s="141" t="n"/>
      <c r="B119" s="69">
        <f>IF(I119="","",HYPERLINK(VLOOKUP(I119,areaCampiSquadre,3,FALSE),VLOOKUP(I119,areaCampiSquadre,2,FALSE)))</f>
        <v/>
      </c>
      <c r="C119" s="9" t="n"/>
      <c r="D119" s="9" t="n"/>
      <c r="E119" s="9" t="n"/>
      <c r="F119" s="9" t="n"/>
      <c r="G119" s="9" t="n"/>
      <c r="H119" s="10" t="n"/>
      <c r="I119" s="62" t="inlineStr">
        <is>
          <t>B07</t>
        </is>
      </c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IF(C121="","",IFERROR(VLOOKUP(C121,areaNomiBreviSquadre,7,FALSE),""))</f>
        <v/>
      </c>
      <c r="C121" s="62" t="inlineStr">
        <is>
          <t>B19</t>
        </is>
      </c>
      <c r="D121" s="61">
        <f>IF(E121="","",IFERROR(VLOOKUP(E121,areaNomiBreviSquadre,7,FALSE),""))</f>
        <v/>
      </c>
      <c r="E121" s="62" t="inlineStr">
        <is>
          <t>B08</t>
        </is>
      </c>
      <c r="F121" s="63" t="n">
        <v>46334.39583333334</v>
      </c>
      <c r="G121" s="9" t="n"/>
      <c r="H121" s="9" t="n"/>
      <c r="I121" s="10" t="n"/>
      <c r="J121" s="65" t="n">
        <v>74</v>
      </c>
      <c r="K121" s="66" t="inlineStr">
        <is>
          <t>-</t>
        </is>
      </c>
      <c r="L121" s="65" t="n">
        <v>55</v>
      </c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IF($J121+$L121=0,,IF($J121&lt;$L121,IF($J121&amp;"-"&amp;$L121=MID(constPunteggioForfait,FIND("-",constPunteggioForfait)+1,LEN(constPunteggioForfait))&amp;"-"&amp;LEFT(constPunteggioForfait,FIND("-",constPunteggioForfait)-1),1,0),0))</f>
        <v/>
      </c>
      <c r="P121" s="67">
        <f>IF($J121+$L121=0,,IF($J121&lt;$L121,IF($J121&amp;"-"&amp;$L121&lt;&gt;MID(constPunteggioForfait,FIND("-",constPunteggioForfait)+1,LEN(constPunteggioForfait))&amp;"-"&amp;LEFT(constPunteggioForfait,FIND("-",constPunteggioForfait)-1),1,0),0))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IF($J121+$L121=0,,IF($L121&lt;$J121,IF($J121&amp;"-"&amp;$L121=constPunteggioForfait,1,0),0))</f>
        <v/>
      </c>
      <c r="W121" s="67">
        <f>IF($J121+$L121=0,,IF($L121&lt;$J121,IF($J121&amp;"-"&amp;$L121&lt;&gt;constPunteggioForfait,1,0),0))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"&amp;IFERROR(INDEX(Campionato!$E$14:$E$53,MATCH($C121,Campionato!$B$14:$B$53,0)),"?")&amp;"]")</f>
        <v/>
      </c>
    </row>
    <row r="122" ht="16" customHeight="1">
      <c r="A122" s="141" t="n"/>
      <c r="B122" s="69">
        <f>IF(I122="","",HYPERLINK(VLOOKUP(I122,areaCampiSquadre,3,FALSE),VLOOKUP(I122,areaCampiSquadre,2,FALSE)))</f>
        <v/>
      </c>
      <c r="C122" s="9" t="n"/>
      <c r="D122" s="9" t="n"/>
      <c r="E122" s="9" t="n"/>
      <c r="F122" s="9" t="n"/>
      <c r="G122" s="9" t="n"/>
      <c r="H122" s="10" t="n"/>
      <c r="I122" s="62" t="inlineStr">
        <is>
          <t>B08</t>
        </is>
      </c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IF(C124="","",IFERROR(VLOOKUP(C124,areaNomiBreviSquadre,7,FALSE),""))</f>
        <v/>
      </c>
      <c r="C124" s="62" t="inlineStr">
        <is>
          <t>B17</t>
        </is>
      </c>
      <c r="D124" s="61">
        <f>IF(E124="","",IFERROR(VLOOKUP(E124,areaNomiBreviSquadre,7,FALSE),""))</f>
        <v/>
      </c>
      <c r="E124" s="62" t="inlineStr">
        <is>
          <t>B10</t>
        </is>
      </c>
      <c r="F124" s="63" t="n">
        <v>46334.45833333334</v>
      </c>
      <c r="G124" s="9" t="n"/>
      <c r="H124" s="9" t="n"/>
      <c r="I124" s="10" t="n"/>
      <c r="J124" s="65" t="n">
        <v>59</v>
      </c>
      <c r="K124" s="66" t="inlineStr">
        <is>
          <t>-</t>
        </is>
      </c>
      <c r="L124" s="65" t="n">
        <v>62</v>
      </c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IF($J124+$L124=0,,IF($J124&lt;$L124,IF($J124&amp;"-"&amp;$L124=MID(constPunteggioForfait,FIND("-",constPunteggioForfait)+1,LEN(constPunteggioForfait))&amp;"-"&amp;LEFT(constPunteggioForfait,FIND("-",constPunteggioForfait)-1),1,0),0))</f>
        <v/>
      </c>
      <c r="P124" s="67">
        <f>IF($J124+$L124=0,,IF($J124&lt;$L124,IF($J124&amp;"-"&amp;$L124&lt;&gt;MID(constPunteggioForfait,FIND("-",constPunteggioForfait)+1,LEN(constPunteggioForfait))&amp;"-"&amp;LEFT(constPunteggioForfait,FIND("-",constPunteggioForfait)-1),1,0),0))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IF($J124+$L124=0,,IF($L124&lt;$J124,IF($J124&amp;"-"&amp;$L124=constPunteggioForfait,1,0),0))</f>
        <v/>
      </c>
      <c r="W124" s="67">
        <f>IF($J124+$L124=0,,IF($L124&lt;$J124,IF($J124&amp;"-"&amp;$L124&lt;&gt;constPunteggioForfait,1,0),0))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"&amp;IFERROR(INDEX(Campionato!$E$14:$E$53,MATCH($C124,Campionato!$B$14:$B$53,0)),"?")&amp;"]")</f>
        <v/>
      </c>
    </row>
    <row r="125" ht="16" customHeight="1">
      <c r="A125" s="141" t="n"/>
      <c r="B125" s="69">
        <f>IF(I125="","",HYPERLINK(VLOOKUP(I125,areaCampiSquadre,3,FALSE),VLOOKUP(I125,areaCampiSquadre,2,FALSE)))</f>
        <v/>
      </c>
      <c r="C125" s="9" t="n"/>
      <c r="D125" s="9" t="n"/>
      <c r="E125" s="9" t="n"/>
      <c r="F125" s="9" t="n"/>
      <c r="G125" s="9" t="n"/>
      <c r="H125" s="10" t="n"/>
      <c r="I125" s="62" t="inlineStr">
        <is>
          <t>B08</t>
        </is>
      </c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IF(C127="","",IFERROR(VLOOKUP(C127,areaNomiBreviSquadre,7,FALSE),""))</f>
        <v/>
      </c>
      <c r="C127" s="62" t="inlineStr">
        <is>
          <t>B11</t>
        </is>
      </c>
      <c r="D127" s="61">
        <f>IF(E127="","",IFERROR(VLOOKUP(E127,areaNomiBreviSquadre,7,FALSE),""))</f>
        <v/>
      </c>
      <c r="E127" s="62" t="inlineStr">
        <is>
          <t>B16</t>
        </is>
      </c>
      <c r="F127" s="63" t="n">
        <v>46334.60416666666</v>
      </c>
      <c r="G127" s="9" t="n"/>
      <c r="H127" s="9" t="n"/>
      <c r="I127" s="10" t="n"/>
      <c r="J127" s="65" t="n">
        <v>70</v>
      </c>
      <c r="K127" s="66" t="inlineStr">
        <is>
          <t>-</t>
        </is>
      </c>
      <c r="L127" s="65" t="n">
        <v>49</v>
      </c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IF($J127+$L127=0,,IF($J127&lt;$L127,IF($J127&amp;"-"&amp;$L127=MID(constPunteggioForfait,FIND("-",constPunteggioForfait)+1,LEN(constPunteggioForfait))&amp;"-"&amp;LEFT(constPunteggioForfait,FIND("-",constPunteggioForfait)-1),1,0),0))</f>
        <v/>
      </c>
      <c r="P127" s="67">
        <f>IF($J127+$L127=0,,IF($J127&lt;$L127,IF($J127&amp;"-"&amp;$L127&lt;&gt;MID(constPunteggioForfait,FIND("-",constPunteggioForfait)+1,LEN(constPunteggioForfait))&amp;"-"&amp;LEFT(constPunteggioForfait,FIND("-",constPunteggioForfait)-1),1,0),0))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IF($J127+$L127=0,,IF($L127&lt;$J127,IF($J127&amp;"-"&amp;$L127=constPunteggioForfait,1,0),0))</f>
        <v/>
      </c>
      <c r="W127" s="67">
        <f>IF($J127+$L127=0,,IF($L127&lt;$J127,IF($J127&amp;"-"&amp;$L127&lt;&gt;constPunteggioForfait,1,0),0))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"&amp;IFERROR(INDEX(Campionato!$E$14:$E$53,MATCH($C127,Campionato!$B$14:$B$53,0)),"?")&amp;"]")</f>
        <v/>
      </c>
    </row>
    <row r="128" ht="16" customHeight="1">
      <c r="A128" s="141" t="n"/>
      <c r="B128" s="69">
        <f>IF(I128="","",HYPERLINK(VLOOKUP(I128,areaCampiSquadre,3,FALSE),VLOOKUP(I128,areaCampiSquadre,2,FALSE)))</f>
        <v/>
      </c>
      <c r="C128" s="9" t="n"/>
      <c r="D128" s="9" t="n"/>
      <c r="E128" s="9" t="n"/>
      <c r="F128" s="9" t="n"/>
      <c r="G128" s="9" t="n"/>
      <c r="H128" s="10" t="n"/>
      <c r="I128" s="62" t="inlineStr">
        <is>
          <t>B08</t>
        </is>
      </c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IF(C130="","",IFERROR(VLOOKUP(C130,areaNomiBreviSquadre,7,FALSE),""))</f>
        <v/>
      </c>
      <c r="C130" s="62" t="inlineStr">
        <is>
          <t>B15</t>
        </is>
      </c>
      <c r="D130" s="61">
        <f>IF(E130="","",IFERROR(VLOOKUP(E130,areaNomiBreviSquadre,7,FALSE),""))</f>
        <v/>
      </c>
      <c r="E130" s="62" t="inlineStr">
        <is>
          <t>B12</t>
        </is>
      </c>
      <c r="F130" s="63" t="n">
        <v>46334.66666666666</v>
      </c>
      <c r="G130" s="9" t="n"/>
      <c r="H130" s="9" t="n"/>
      <c r="I130" s="10" t="n"/>
      <c r="J130" s="65" t="n">
        <v>56</v>
      </c>
      <c r="K130" s="66" t="inlineStr">
        <is>
          <t>-</t>
        </is>
      </c>
      <c r="L130" s="65" t="n">
        <v>37</v>
      </c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IF($J130+$L130=0,,IF($J130&lt;$L130,IF($J130&amp;"-"&amp;$L130=MID(constPunteggioForfait,FIND("-",constPunteggioForfait)+1,LEN(constPunteggioForfait))&amp;"-"&amp;LEFT(constPunteggioForfait,FIND("-",constPunteggioForfait)-1),1,0),0))</f>
        <v/>
      </c>
      <c r="P130" s="67">
        <f>IF($J130+$L130=0,,IF($J130&lt;$L130,IF($J130&amp;"-"&amp;$L130&lt;&gt;MID(constPunteggioForfait,FIND("-",constPunteggioForfait)+1,LEN(constPunteggioForfait))&amp;"-"&amp;LEFT(constPunteggioForfait,FIND("-",constPunteggioForfait)-1),1,0),0))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IF($J130+$L130=0,,IF($L130&lt;$J130,IF($J130&amp;"-"&amp;$L130=constPunteggioForfait,1,0),0))</f>
        <v/>
      </c>
      <c r="W130" s="67">
        <f>IF($J130+$L130=0,,IF($L130&lt;$J130,IF($J130&amp;"-"&amp;$L130&lt;&gt;constPunteggioForfait,1,0),0))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"&amp;IFERROR(INDEX(Campionato!$E$14:$E$53,MATCH($C130,Campionato!$B$14:$B$53,0)),"?")&amp;"]")</f>
        <v/>
      </c>
    </row>
    <row r="131" ht="16" customHeight="1">
      <c r="A131" s="141" t="n"/>
      <c r="B131" s="69">
        <f>IF(I131="","",HYPERLINK(VLOOKUP(I131,areaCampiSquadre,3,FALSE),VLOOKUP(I131,areaCampiSquadre,2,FALSE)))</f>
        <v/>
      </c>
      <c r="C131" s="9" t="n"/>
      <c r="D131" s="9" t="n"/>
      <c r="E131" s="9" t="n"/>
      <c r="F131" s="9" t="n"/>
      <c r="G131" s="9" t="n"/>
      <c r="H131" s="10" t="n"/>
      <c r="I131" s="62" t="inlineStr">
        <is>
          <t>B08</t>
        </is>
      </c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IF(C133="","",IFERROR(VLOOKUP(C133,areaNomiBreviSquadre,7,FALSE),""))</f>
        <v/>
      </c>
      <c r="C133" s="62" t="inlineStr">
        <is>
          <t>B13</t>
        </is>
      </c>
      <c r="D133" s="61">
        <f>IF(E133="","",IFERROR(VLOOKUP(E133,areaNomiBreviSquadre,7,FALSE),""))</f>
        <v/>
      </c>
      <c r="E133" s="62" t="inlineStr">
        <is>
          <t>B14</t>
        </is>
      </c>
      <c r="F133" s="63" t="n">
        <v>46334.72916666666</v>
      </c>
      <c r="G133" s="9" t="n"/>
      <c r="H133" s="9" t="n"/>
      <c r="I133" s="10" t="n"/>
      <c r="J133" s="65" t="n">
        <v>43</v>
      </c>
      <c r="K133" s="66" t="inlineStr">
        <is>
          <t>-</t>
        </is>
      </c>
      <c r="L133" s="65" t="n">
        <v>22</v>
      </c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IF($J133+$L133=0,,IF($J133&lt;$L133,IF($J133&amp;"-"&amp;$L133=MID(constPunteggioForfait,FIND("-",constPunteggioForfait)+1,LEN(constPunteggioForfait))&amp;"-"&amp;LEFT(constPunteggioForfait,FIND("-",constPunteggioForfait)-1),1,0),0))</f>
        <v/>
      </c>
      <c r="P133" s="67">
        <f>IF($J133+$L133=0,,IF($J133&lt;$L133,IF($J133&amp;"-"&amp;$L133&lt;&gt;MID(constPunteggioForfait,FIND("-",constPunteggioForfait)+1,LEN(constPunteggioForfait))&amp;"-"&amp;LEFT(constPunteggioForfait,FIND("-",constPunteggioForfait)-1),1,0),0))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IF($J133+$L133=0,,IF($L133&lt;$J133,IF($J133&amp;"-"&amp;$L133=constPunteggioForfait,1,0),0))</f>
        <v/>
      </c>
      <c r="W133" s="67">
        <f>IF($J133+$L133=0,,IF($L133&lt;$J133,IF($J133&amp;"-"&amp;$L133&lt;&gt;constPunteggioForfait,1,0),0))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"&amp;IFERROR(INDEX(Campionato!$E$14:$E$53,MATCH($C133,Campionato!$B$14:$B$53,0)),"?")&amp;"]")</f>
        <v/>
      </c>
    </row>
    <row r="134" ht="16" customHeight="1">
      <c r="A134" s="141" t="n"/>
      <c r="B134" s="69">
        <f>IF(I134="","",HYPERLINK(VLOOKUP(I134,areaCampiSquadre,3,FALSE),VLOOKUP(I134,areaCampiSquadre,2,FALSE)))</f>
        <v/>
      </c>
      <c r="C134" s="9" t="n"/>
      <c r="D134" s="9" t="n"/>
      <c r="E134" s="9" t="n"/>
      <c r="F134" s="9" t="n"/>
      <c r="G134" s="9" t="n"/>
      <c r="H134" s="10" t="n"/>
      <c r="I134" s="62" t="inlineStr">
        <is>
          <t>B08</t>
        </is>
      </c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IF(C138="","",IFERROR(VLOOKUP(C138,areaNomiBreviSquadre,7,FALSE),""))</f>
        <v/>
      </c>
      <c r="C138" s="62" t="inlineStr">
        <is>
          <t>B09</t>
        </is>
      </c>
      <c r="D138" s="61">
        <f>IF(E138="","",IFERROR(VLOOKUP(E138,areaNomiBreviSquadre,7,FALSE),""))</f>
        <v/>
      </c>
      <c r="E138" s="62" t="inlineStr">
        <is>
          <t>B01</t>
        </is>
      </c>
      <c r="F138" s="63" t="n">
        <v>46341.39583333334</v>
      </c>
      <c r="G138" s="9" t="n"/>
      <c r="H138" s="9" t="n"/>
      <c r="I138" s="10" t="n"/>
      <c r="J138" s="65" t="n">
        <v>40</v>
      </c>
      <c r="K138" s="66" t="inlineStr">
        <is>
          <t>-</t>
        </is>
      </c>
      <c r="L138" s="65" t="n">
        <v>68</v>
      </c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IF($J138+$L138=0,,IF($J138&lt;$L138,IF($J138&amp;"-"&amp;$L138=MID(constPunteggioForfait,FIND("-",constPunteggioForfait)+1,LEN(constPunteggioForfait))&amp;"-"&amp;LEFT(constPunteggioForfait,FIND("-",constPunteggioForfait)-1),1,0),0))</f>
        <v/>
      </c>
      <c r="P138" s="67">
        <f>IF($J138+$L138=0,,IF($J138&lt;$L138,IF($J138&amp;"-"&amp;$L138&lt;&gt;MID(constPunteggioForfait,FIND("-",constPunteggioForfait)+1,LEN(constPunteggioForfait))&amp;"-"&amp;LEFT(constPunteggioForfait,FIND("-",constPunteggioForfait)-1),1,0),0))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IF($J138+$L138=0,,IF($L138&lt;$J138,IF($J138&amp;"-"&amp;$L138=constPunteggioForfait,1,0),0))</f>
        <v/>
      </c>
      <c r="W138" s="67">
        <f>IF($J138+$L138=0,,IF($L138&lt;$J138,IF($J138&amp;"-"&amp;$L138&lt;&gt;constPunteggioForfait,1,0),0))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"&amp;IFERROR(INDEX(Campionato!$E$14:$E$53,MATCH($C138,Campionato!$B$14:$B$53,0)),"?")&amp;"]")</f>
        <v/>
      </c>
    </row>
    <row r="139" ht="16" customHeight="1">
      <c r="A139" s="141" t="n"/>
      <c r="B139" s="69">
        <f>IF(I139="","",HYPERLINK(VLOOKUP(I139,areaCampiSquadre,3,FALSE),VLOOKUP(I139,areaCampiSquadre,2,FALSE)))</f>
        <v/>
      </c>
      <c r="C139" s="9" t="n"/>
      <c r="D139" s="9" t="n"/>
      <c r="E139" s="9" t="n"/>
      <c r="F139" s="9" t="n"/>
      <c r="G139" s="9" t="n"/>
      <c r="H139" s="10" t="n"/>
      <c r="I139" s="62" t="inlineStr">
        <is>
          <t>B09</t>
        </is>
      </c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IF(C141="","",IFERROR(VLOOKUP(C141,areaNomiBreviSquadre,7,FALSE),""))</f>
        <v/>
      </c>
      <c r="C141" s="62" t="inlineStr">
        <is>
          <t>B05</t>
        </is>
      </c>
      <c r="D141" s="61">
        <f>IF(E141="","",IFERROR(VLOOKUP(E141,areaNomiBreviSquadre,7,FALSE),""))</f>
        <v/>
      </c>
      <c r="E141" s="62" t="inlineStr">
        <is>
          <t>B20</t>
        </is>
      </c>
      <c r="F141" s="63" t="n">
        <v>46341.45833333334</v>
      </c>
      <c r="G141" s="9" t="n"/>
      <c r="H141" s="9" t="n"/>
      <c r="I141" s="10" t="n"/>
      <c r="J141" s="65" t="n">
        <v>63</v>
      </c>
      <c r="K141" s="66" t="inlineStr">
        <is>
          <t>-</t>
        </is>
      </c>
      <c r="L141" s="65" t="n">
        <v>84</v>
      </c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IF($J141+$L141=0,,IF($J141&lt;$L141,IF($J141&amp;"-"&amp;$L141=MID(constPunteggioForfait,FIND("-",constPunteggioForfait)+1,LEN(constPunteggioForfait))&amp;"-"&amp;LEFT(constPunteggioForfait,FIND("-",constPunteggioForfait)-1),1,0),0))</f>
        <v/>
      </c>
      <c r="P141" s="67">
        <f>IF($J141+$L141=0,,IF($J141&lt;$L141,IF($J141&amp;"-"&amp;$L141&lt;&gt;MID(constPunteggioForfait,FIND("-",constPunteggioForfait)+1,LEN(constPunteggioForfait))&amp;"-"&amp;LEFT(constPunteggioForfait,FIND("-",constPunteggioForfait)-1),1,0),0))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IF($J141+$L141=0,,IF($L141&lt;$J141,IF($J141&amp;"-"&amp;$L141=constPunteggioForfait,1,0),0))</f>
        <v/>
      </c>
      <c r="W141" s="67">
        <f>IF($J141+$L141=0,,IF($L141&lt;$J141,IF($J141&amp;"-"&amp;$L141&lt;&gt;constPunteggioForfait,1,0),0))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"&amp;IFERROR(INDEX(Campionato!$E$14:$E$53,MATCH($C141,Campionato!$B$14:$B$53,0)),"?")&amp;"]")</f>
        <v/>
      </c>
    </row>
    <row r="142" ht="16" customHeight="1">
      <c r="A142" s="141" t="n"/>
      <c r="B142" s="69">
        <f>IF(I142="","",HYPERLINK(VLOOKUP(I142,areaCampiSquadre,3,FALSE),VLOOKUP(I142,areaCampiSquadre,2,FALSE)))</f>
        <v/>
      </c>
      <c r="C142" s="9" t="n"/>
      <c r="D142" s="9" t="n"/>
      <c r="E142" s="9" t="n"/>
      <c r="F142" s="9" t="n"/>
      <c r="G142" s="9" t="n"/>
      <c r="H142" s="10" t="n"/>
      <c r="I142" s="62" t="inlineStr">
        <is>
          <t>B09</t>
        </is>
      </c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IF(C144="","",IFERROR(VLOOKUP(C144,areaNomiBreviSquadre,7,FALSE),""))</f>
        <v/>
      </c>
      <c r="C144" s="62" t="inlineStr">
        <is>
          <t>B04</t>
        </is>
      </c>
      <c r="D144" s="61">
        <f>IF(E144="","",IFERROR(VLOOKUP(E144,areaNomiBreviSquadre,7,FALSE),""))</f>
        <v/>
      </c>
      <c r="E144" s="62" t="inlineStr">
        <is>
          <t>B06</t>
        </is>
      </c>
      <c r="F144" s="63" t="n">
        <v>46341.60416666666</v>
      </c>
      <c r="G144" s="9" t="n"/>
      <c r="H144" s="9" t="n"/>
      <c r="I144" s="10" t="n"/>
      <c r="J144" s="65" t="n">
        <v>52</v>
      </c>
      <c r="K144" s="66" t="inlineStr">
        <is>
          <t>-</t>
        </is>
      </c>
      <c r="L144" s="65" t="n">
        <v>32</v>
      </c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IF($J144+$L144=0,,IF($J144&lt;$L144,IF($J144&amp;"-"&amp;$L144=MID(constPunteggioForfait,FIND("-",constPunteggioForfait)+1,LEN(constPunteggioForfait))&amp;"-"&amp;LEFT(constPunteggioForfait,FIND("-",constPunteggioForfait)-1),1,0),0))</f>
        <v/>
      </c>
      <c r="P144" s="67">
        <f>IF($J144+$L144=0,,IF($J144&lt;$L144,IF($J144&amp;"-"&amp;$L144&lt;&gt;MID(constPunteggioForfait,FIND("-",constPunteggioForfait)+1,LEN(constPunteggioForfait))&amp;"-"&amp;LEFT(constPunteggioForfait,FIND("-",constPunteggioForfait)-1),1,0),0))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IF($J144+$L144=0,,IF($L144&lt;$J144,IF($J144&amp;"-"&amp;$L144=constPunteggioForfait,1,0),0))</f>
        <v/>
      </c>
      <c r="W144" s="67">
        <f>IF($J144+$L144=0,,IF($L144&lt;$J144,IF($J144&amp;"-"&amp;$L144&lt;&gt;constPunteggioForfait,1,0),0))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"&amp;IFERROR(INDEX(Campionato!$E$14:$E$53,MATCH($C144,Campionato!$B$14:$B$53,0)),"?")&amp;"]")</f>
        <v/>
      </c>
    </row>
    <row r="145" ht="16" customHeight="1">
      <c r="A145" s="141" t="n"/>
      <c r="B145" s="69">
        <f>IF(I145="","",HYPERLINK(VLOOKUP(I145,areaCampiSquadre,3,FALSE),VLOOKUP(I145,areaCampiSquadre,2,FALSE)))</f>
        <v/>
      </c>
      <c r="C145" s="9" t="n"/>
      <c r="D145" s="9" t="n"/>
      <c r="E145" s="9" t="n"/>
      <c r="F145" s="9" t="n"/>
      <c r="G145" s="9" t="n"/>
      <c r="H145" s="10" t="n"/>
      <c r="I145" s="62" t="inlineStr">
        <is>
          <t>B09</t>
        </is>
      </c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IF(C147="","",IFERROR(VLOOKUP(C147,areaNomiBreviSquadre,7,FALSE),""))</f>
        <v/>
      </c>
      <c r="C147" s="62" t="inlineStr">
        <is>
          <t>B07</t>
        </is>
      </c>
      <c r="D147" s="61">
        <f>IF(E147="","",IFERROR(VLOOKUP(E147,areaNomiBreviSquadre,7,FALSE),""))</f>
        <v/>
      </c>
      <c r="E147" s="62" t="inlineStr">
        <is>
          <t>B03</t>
        </is>
      </c>
      <c r="F147" s="63" t="n">
        <v>46341.66666666666</v>
      </c>
      <c r="G147" s="9" t="n"/>
      <c r="H147" s="9" t="n"/>
      <c r="I147" s="10" t="n"/>
      <c r="J147" s="65" t="n">
        <v>36</v>
      </c>
      <c r="K147" s="66" t="inlineStr">
        <is>
          <t>-</t>
        </is>
      </c>
      <c r="L147" s="65" t="n">
        <v>53</v>
      </c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IF($J147+$L147=0,,IF($J147&lt;$L147,IF($J147&amp;"-"&amp;$L147=MID(constPunteggioForfait,FIND("-",constPunteggioForfait)+1,LEN(constPunteggioForfait))&amp;"-"&amp;LEFT(constPunteggioForfait,FIND("-",constPunteggioForfait)-1),1,0),0))</f>
        <v/>
      </c>
      <c r="P147" s="67">
        <f>IF($J147+$L147=0,,IF($J147&lt;$L147,IF($J147&amp;"-"&amp;$L147&lt;&gt;MID(constPunteggioForfait,FIND("-",constPunteggioForfait)+1,LEN(constPunteggioForfait))&amp;"-"&amp;LEFT(constPunteggioForfait,FIND("-",constPunteggioForfait)-1),1,0),0))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IF($J147+$L147=0,,IF($L147&lt;$J147,IF($J147&amp;"-"&amp;$L147=constPunteggioForfait,1,0),0))</f>
        <v/>
      </c>
      <c r="W147" s="67">
        <f>IF($J147+$L147=0,,IF($L147&lt;$J147,IF($J147&amp;"-"&amp;$L147&lt;&gt;constPunteggioForfait,1,0),0))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"&amp;IFERROR(INDEX(Campionato!$E$14:$E$53,MATCH($C147,Campionato!$B$14:$B$53,0)),"?")&amp;"]")</f>
        <v/>
      </c>
    </row>
    <row r="148" ht="16" customHeight="1">
      <c r="A148" s="141" t="n"/>
      <c r="B148" s="69">
        <f>IF(I148="","",HYPERLINK(VLOOKUP(I148,areaCampiSquadre,3,FALSE),VLOOKUP(I148,areaCampiSquadre,2,FALSE)))</f>
        <v/>
      </c>
      <c r="C148" s="9" t="n"/>
      <c r="D148" s="9" t="n"/>
      <c r="E148" s="9" t="n"/>
      <c r="F148" s="9" t="n"/>
      <c r="G148" s="9" t="n"/>
      <c r="H148" s="10" t="n"/>
      <c r="I148" s="62" t="inlineStr">
        <is>
          <t>B09</t>
        </is>
      </c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IF(C150="","",IFERROR(VLOOKUP(C150,areaNomiBreviSquadre,7,FALSE),""))</f>
        <v/>
      </c>
      <c r="C150" s="62" t="inlineStr">
        <is>
          <t>B02</t>
        </is>
      </c>
      <c r="D150" s="61">
        <f>IF(E150="","",IFERROR(VLOOKUP(E150,areaNomiBreviSquadre,7,FALSE),""))</f>
        <v/>
      </c>
      <c r="E150" s="62" t="inlineStr">
        <is>
          <t>B08</t>
        </is>
      </c>
      <c r="F150" s="63" t="n">
        <v>46341.72916666666</v>
      </c>
      <c r="G150" s="9" t="n"/>
      <c r="H150" s="9" t="n"/>
      <c r="I150" s="10" t="n"/>
      <c r="J150" s="65" t="n">
        <v>71</v>
      </c>
      <c r="K150" s="66" t="inlineStr">
        <is>
          <t>-</t>
        </is>
      </c>
      <c r="L150" s="65" t="n">
        <v>44</v>
      </c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IF($J150+$L150=0,,IF($J150&lt;$L150,IF($J150&amp;"-"&amp;$L150=MID(constPunteggioForfait,FIND("-",constPunteggioForfait)+1,LEN(constPunteggioForfait))&amp;"-"&amp;LEFT(constPunteggioForfait,FIND("-",constPunteggioForfait)-1),1,0),0))</f>
        <v/>
      </c>
      <c r="P150" s="67">
        <f>IF($J150+$L150=0,,IF($J150&lt;$L150,IF($J150&amp;"-"&amp;$L150&lt;&gt;MID(constPunteggioForfait,FIND("-",constPunteggioForfait)+1,LEN(constPunteggioForfait))&amp;"-"&amp;LEFT(constPunteggioForfait,FIND("-",constPunteggioForfait)-1),1,0),0))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IF($J150+$L150=0,,IF($L150&lt;$J150,IF($J150&amp;"-"&amp;$L150=constPunteggioForfait,1,0),0))</f>
        <v/>
      </c>
      <c r="W150" s="67">
        <f>IF($J150+$L150=0,,IF($L150&lt;$J150,IF($J150&amp;"-"&amp;$L150&lt;&gt;constPunteggioForfait,1,0),0))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"&amp;IFERROR(INDEX(Campionato!$E$14:$E$53,MATCH($C150,Campionato!$B$14:$B$53,0)),"?")&amp;"]")</f>
        <v/>
      </c>
    </row>
    <row r="151" ht="16" customHeight="1">
      <c r="A151" s="141" t="n"/>
      <c r="B151" s="69">
        <f>IF(I151="","",HYPERLINK(VLOOKUP(I151,areaCampiSquadre,3,FALSE),VLOOKUP(I151,areaCampiSquadre,2,FALSE)))</f>
        <v/>
      </c>
      <c r="C151" s="9" t="n"/>
      <c r="D151" s="9" t="n"/>
      <c r="E151" s="9" t="n"/>
      <c r="F151" s="9" t="n"/>
      <c r="G151" s="9" t="n"/>
      <c r="H151" s="10" t="n"/>
      <c r="I151" s="62" t="inlineStr">
        <is>
          <t>B09</t>
        </is>
      </c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IF(C153="","",IFERROR(VLOOKUP(C153,areaNomiBreviSquadre,7,FALSE),""))</f>
        <v/>
      </c>
      <c r="C153" s="62" t="inlineStr">
        <is>
          <t>B19</t>
        </is>
      </c>
      <c r="D153" s="61">
        <f>IF(E153="","",IFERROR(VLOOKUP(E153,areaNomiBreviSquadre,7,FALSE),""))</f>
        <v/>
      </c>
      <c r="E153" s="62" t="inlineStr">
        <is>
          <t>B10</t>
        </is>
      </c>
      <c r="F153" s="63" t="n">
        <v>46341.39583333334</v>
      </c>
      <c r="G153" s="9" t="n"/>
      <c r="H153" s="9" t="n"/>
      <c r="I153" s="10" t="n"/>
      <c r="J153" s="65" t="n">
        <v>70</v>
      </c>
      <c r="K153" s="66" t="inlineStr">
        <is>
          <t>-</t>
        </is>
      </c>
      <c r="L153" s="65" t="n">
        <v>86</v>
      </c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IF($J153+$L153=0,,IF($J153&lt;$L153,IF($J153&amp;"-"&amp;$L153=MID(constPunteggioForfait,FIND("-",constPunteggioForfait)+1,LEN(constPunteggioForfait))&amp;"-"&amp;LEFT(constPunteggioForfait,FIND("-",constPunteggioForfait)-1),1,0),0))</f>
        <v/>
      </c>
      <c r="P153" s="67">
        <f>IF($J153+$L153=0,,IF($J153&lt;$L153,IF($J153&amp;"-"&amp;$L153&lt;&gt;MID(constPunteggioForfait,FIND("-",constPunteggioForfait)+1,LEN(constPunteggioForfait))&amp;"-"&amp;LEFT(constPunteggioForfait,FIND("-",constPunteggioForfait)-1),1,0),0))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IF($J153+$L153=0,,IF($L153&lt;$J153,IF($J153&amp;"-"&amp;$L153=constPunteggioForfait,1,0),0))</f>
        <v/>
      </c>
      <c r="W153" s="67">
        <f>IF($J153+$L153=0,,IF($L153&lt;$J153,IF($J153&amp;"-"&amp;$L153&lt;&gt;constPunteggioForfait,1,0),0))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"&amp;IFERROR(INDEX(Campionato!$E$14:$E$53,MATCH($C153,Campionato!$B$14:$B$53,0)),"?")&amp;"]")</f>
        <v/>
      </c>
    </row>
    <row r="154" ht="16" customHeight="1">
      <c r="A154" s="141" t="n"/>
      <c r="B154" s="69">
        <f>IF(I154="","",HYPERLINK(VLOOKUP(I154,areaCampiSquadre,3,FALSE),VLOOKUP(I154,areaCampiSquadre,2,FALSE)))</f>
        <v/>
      </c>
      <c r="C154" s="9" t="n"/>
      <c r="D154" s="9" t="n"/>
      <c r="E154" s="9" t="n"/>
      <c r="F154" s="9" t="n"/>
      <c r="G154" s="9" t="n"/>
      <c r="H154" s="10" t="n"/>
      <c r="I154" s="62" t="inlineStr">
        <is>
          <t>B10</t>
        </is>
      </c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IF(C156="","",IFERROR(VLOOKUP(C156,areaNomiBreviSquadre,7,FALSE),""))</f>
        <v/>
      </c>
      <c r="C156" s="62" t="inlineStr">
        <is>
          <t>B11</t>
        </is>
      </c>
      <c r="D156" s="61">
        <f>IF(E156="","",IFERROR(VLOOKUP(E156,areaNomiBreviSquadre,7,FALSE),""))</f>
        <v/>
      </c>
      <c r="E156" s="62" t="inlineStr">
        <is>
          <t>B18</t>
        </is>
      </c>
      <c r="F156" s="63" t="n">
        <v>46341.45833333334</v>
      </c>
      <c r="G156" s="9" t="n"/>
      <c r="H156" s="9" t="n"/>
      <c r="I156" s="10" t="n"/>
      <c r="J156" s="65" t="n">
        <v>86</v>
      </c>
      <c r="K156" s="66" t="inlineStr">
        <is>
          <t>-</t>
        </is>
      </c>
      <c r="L156" s="65" t="n">
        <v>76</v>
      </c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IF($J156+$L156=0,,IF($J156&lt;$L156,IF($J156&amp;"-"&amp;$L156=MID(constPunteggioForfait,FIND("-",constPunteggioForfait)+1,LEN(constPunteggioForfait))&amp;"-"&amp;LEFT(constPunteggioForfait,FIND("-",constPunteggioForfait)-1),1,0),0))</f>
        <v/>
      </c>
      <c r="P156" s="67">
        <f>IF($J156+$L156=0,,IF($J156&lt;$L156,IF($J156&amp;"-"&amp;$L156&lt;&gt;MID(constPunteggioForfait,FIND("-",constPunteggioForfait)+1,LEN(constPunteggioForfait))&amp;"-"&amp;LEFT(constPunteggioForfait,FIND("-",constPunteggioForfait)-1),1,0),0))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IF($J156+$L156=0,,IF($L156&lt;$J156,IF($J156&amp;"-"&amp;$L156=constPunteggioForfait,1,0),0))</f>
        <v/>
      </c>
      <c r="W156" s="67">
        <f>IF($J156+$L156=0,,IF($L156&lt;$J156,IF($J156&amp;"-"&amp;$L156&lt;&gt;constPunteggioForfait,1,0),0))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"&amp;IFERROR(INDEX(Campionato!$E$14:$E$53,MATCH($C156,Campionato!$B$14:$B$53,0)),"?")&amp;"]")</f>
        <v/>
      </c>
    </row>
    <row r="157" ht="16" customHeight="1">
      <c r="A157" s="141" t="n"/>
      <c r="B157" s="69">
        <f>IF(I157="","",HYPERLINK(VLOOKUP(I157,areaCampiSquadre,3,FALSE),VLOOKUP(I157,areaCampiSquadre,2,FALSE)))</f>
        <v/>
      </c>
      <c r="C157" s="9" t="n"/>
      <c r="D157" s="9" t="n"/>
      <c r="E157" s="9" t="n"/>
      <c r="F157" s="9" t="n"/>
      <c r="G157" s="9" t="n"/>
      <c r="H157" s="10" t="n"/>
      <c r="I157" s="62" t="inlineStr">
        <is>
          <t>B10</t>
        </is>
      </c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IF(C159="","",IFERROR(VLOOKUP(C159,areaNomiBreviSquadre,7,FALSE),""))</f>
        <v/>
      </c>
      <c r="C159" s="62" t="inlineStr">
        <is>
          <t>B17</t>
        </is>
      </c>
      <c r="D159" s="61">
        <f>IF(E159="","",IFERROR(VLOOKUP(E159,areaNomiBreviSquadre,7,FALSE),""))</f>
        <v/>
      </c>
      <c r="E159" s="62" t="inlineStr">
        <is>
          <t>B12</t>
        </is>
      </c>
      <c r="F159" s="63" t="n">
        <v>46341.60416666666</v>
      </c>
      <c r="G159" s="9" t="n"/>
      <c r="H159" s="9" t="n"/>
      <c r="I159" s="10" t="n"/>
      <c r="J159" s="65" t="n">
        <v>75</v>
      </c>
      <c r="K159" s="66" t="inlineStr">
        <is>
          <t>-</t>
        </is>
      </c>
      <c r="L159" s="65" t="n">
        <v>49</v>
      </c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IF($J159+$L159=0,,IF($J159&lt;$L159,IF($J159&amp;"-"&amp;$L159=MID(constPunteggioForfait,FIND("-",constPunteggioForfait)+1,LEN(constPunteggioForfait))&amp;"-"&amp;LEFT(constPunteggioForfait,FIND("-",constPunteggioForfait)-1),1,0),0))</f>
        <v/>
      </c>
      <c r="P159" s="67">
        <f>IF($J159+$L159=0,,IF($J159&lt;$L159,IF($J159&amp;"-"&amp;$L159&lt;&gt;MID(constPunteggioForfait,FIND("-",constPunteggioForfait)+1,LEN(constPunteggioForfait))&amp;"-"&amp;LEFT(constPunteggioForfait,FIND("-",constPunteggioForfait)-1),1,0),0))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IF($J159+$L159=0,,IF($L159&lt;$J159,IF($J159&amp;"-"&amp;$L159=constPunteggioForfait,1,0),0))</f>
        <v/>
      </c>
      <c r="W159" s="67">
        <f>IF($J159+$L159=0,,IF($L159&lt;$J159,IF($J159&amp;"-"&amp;$L159&lt;&gt;constPunteggioForfait,1,0),0))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"&amp;IFERROR(INDEX(Campionato!$E$14:$E$53,MATCH($C159,Campionato!$B$14:$B$53,0)),"?")&amp;"]")</f>
        <v/>
      </c>
    </row>
    <row r="160" ht="16" customHeight="1">
      <c r="A160" s="141" t="n"/>
      <c r="B160" s="69">
        <f>IF(I160="","",HYPERLINK(VLOOKUP(I160,areaCampiSquadre,3,FALSE),VLOOKUP(I160,areaCampiSquadre,2,FALSE)))</f>
        <v/>
      </c>
      <c r="C160" s="9" t="n"/>
      <c r="D160" s="9" t="n"/>
      <c r="E160" s="9" t="n"/>
      <c r="F160" s="9" t="n"/>
      <c r="G160" s="9" t="n"/>
      <c r="H160" s="10" t="n"/>
      <c r="I160" s="62" t="inlineStr">
        <is>
          <t>B10</t>
        </is>
      </c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IF(C162="","",IFERROR(VLOOKUP(C162,areaNomiBreviSquadre,7,FALSE),""))</f>
        <v/>
      </c>
      <c r="C162" s="62" t="inlineStr">
        <is>
          <t>B13</t>
        </is>
      </c>
      <c r="D162" s="61">
        <f>IF(E162="","",IFERROR(VLOOKUP(E162,areaNomiBreviSquadre,7,FALSE),""))</f>
        <v/>
      </c>
      <c r="E162" s="62" t="inlineStr">
        <is>
          <t>B16</t>
        </is>
      </c>
      <c r="F162" s="63" t="n">
        <v>46341.66666666666</v>
      </c>
      <c r="G162" s="9" t="n"/>
      <c r="H162" s="9" t="n"/>
      <c r="I162" s="10" t="n"/>
      <c r="J162" s="65" t="n">
        <v>48</v>
      </c>
      <c r="K162" s="66" t="inlineStr">
        <is>
          <t>-</t>
        </is>
      </c>
      <c r="L162" s="65" t="n">
        <v>44</v>
      </c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IF($J162+$L162=0,,IF($J162&lt;$L162,IF($J162&amp;"-"&amp;$L162=MID(constPunteggioForfait,FIND("-",constPunteggioForfait)+1,LEN(constPunteggioForfait))&amp;"-"&amp;LEFT(constPunteggioForfait,FIND("-",constPunteggioForfait)-1),1,0),0))</f>
        <v/>
      </c>
      <c r="P162" s="67">
        <f>IF($J162+$L162=0,,IF($J162&lt;$L162,IF($J162&amp;"-"&amp;$L162&lt;&gt;MID(constPunteggioForfait,FIND("-",constPunteggioForfait)+1,LEN(constPunteggioForfait))&amp;"-"&amp;LEFT(constPunteggioForfait,FIND("-",constPunteggioForfait)-1),1,0),0))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IF($J162+$L162=0,,IF($L162&lt;$J162,IF($J162&amp;"-"&amp;$L162=constPunteggioForfait,1,0),0))</f>
        <v/>
      </c>
      <c r="W162" s="67">
        <f>IF($J162+$L162=0,,IF($L162&lt;$J162,IF($J162&amp;"-"&amp;$L162&lt;&gt;constPunteggioForfait,1,0),0))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"&amp;IFERROR(INDEX(Campionato!$E$14:$E$53,MATCH($C162,Campionato!$B$14:$B$53,0)),"?")&amp;"]")</f>
        <v/>
      </c>
    </row>
    <row r="163" ht="16" customHeight="1">
      <c r="A163" s="141" t="n"/>
      <c r="B163" s="69">
        <f>IF(I163="","",HYPERLINK(VLOOKUP(I163,areaCampiSquadre,3,FALSE),VLOOKUP(I163,areaCampiSquadre,2,FALSE)))</f>
        <v/>
      </c>
      <c r="C163" s="9" t="n"/>
      <c r="D163" s="9" t="n"/>
      <c r="E163" s="9" t="n"/>
      <c r="F163" s="9" t="n"/>
      <c r="G163" s="9" t="n"/>
      <c r="H163" s="10" t="n"/>
      <c r="I163" s="62" t="inlineStr">
        <is>
          <t>B10</t>
        </is>
      </c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IF(C165="","",IFERROR(VLOOKUP(C165,areaNomiBreviSquadre,7,FALSE),""))</f>
        <v/>
      </c>
      <c r="C165" s="62" t="inlineStr">
        <is>
          <t>B15</t>
        </is>
      </c>
      <c r="D165" s="61">
        <f>IF(E165="","",IFERROR(VLOOKUP(E165,areaNomiBreviSquadre,7,FALSE),""))</f>
        <v/>
      </c>
      <c r="E165" s="62" t="inlineStr">
        <is>
          <t>B14</t>
        </is>
      </c>
      <c r="F165" s="63" t="n">
        <v>46341.72916666666</v>
      </c>
      <c r="G165" s="9" t="n"/>
      <c r="H165" s="9" t="n"/>
      <c r="I165" s="10" t="n"/>
      <c r="J165" s="65" t="n">
        <v>13</v>
      </c>
      <c r="K165" s="66" t="inlineStr">
        <is>
          <t>-</t>
        </is>
      </c>
      <c r="L165" s="65" t="n">
        <v>38</v>
      </c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IF($J165+$L165=0,,IF($J165&lt;$L165,IF($J165&amp;"-"&amp;$L165=MID(constPunteggioForfait,FIND("-",constPunteggioForfait)+1,LEN(constPunteggioForfait))&amp;"-"&amp;LEFT(constPunteggioForfait,FIND("-",constPunteggioForfait)-1),1,0),0))</f>
        <v/>
      </c>
      <c r="P165" s="67">
        <f>IF($J165+$L165=0,,IF($J165&lt;$L165,IF($J165&amp;"-"&amp;$L165&lt;&gt;MID(constPunteggioForfait,FIND("-",constPunteggioForfait)+1,LEN(constPunteggioForfait))&amp;"-"&amp;LEFT(constPunteggioForfait,FIND("-",constPunteggioForfait)-1),1,0),0))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IF($J165+$L165=0,,IF($L165&lt;$J165,IF($J165&amp;"-"&amp;$L165=constPunteggioForfait,1,0),0))</f>
        <v/>
      </c>
      <c r="W165" s="67">
        <f>IF($J165+$L165=0,,IF($L165&lt;$J165,IF($J165&amp;"-"&amp;$L165&lt;&gt;constPunteggioForfait,1,0),0))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"&amp;IFERROR(INDEX(Campionato!$E$14:$E$53,MATCH($C165,Campionato!$B$14:$B$53,0)),"?")&amp;"]")</f>
        <v/>
      </c>
    </row>
    <row r="166" ht="16" customHeight="1">
      <c r="A166" s="141" t="n"/>
      <c r="B166" s="69">
        <f>IF(I166="","",HYPERLINK(VLOOKUP(I166,areaCampiSquadre,3,FALSE),VLOOKUP(I166,areaCampiSquadre,2,FALSE)))</f>
        <v/>
      </c>
      <c r="C166" s="9" t="n"/>
      <c r="D166" s="9" t="n"/>
      <c r="E166" s="9" t="n"/>
      <c r="F166" s="9" t="n"/>
      <c r="G166" s="9" t="n"/>
      <c r="H166" s="10" t="n"/>
      <c r="I166" s="62" t="inlineStr">
        <is>
          <t>B10</t>
        </is>
      </c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IF(C170="","",IFERROR(VLOOKUP(C170,areaNomiBreviSquadre,7,FALSE),""))</f>
        <v/>
      </c>
      <c r="C170" s="62" t="inlineStr">
        <is>
          <t>B11</t>
        </is>
      </c>
      <c r="D170" s="61">
        <f>IF(E170="","",IFERROR(VLOOKUP(E170,areaNomiBreviSquadre,7,FALSE),""))</f>
        <v/>
      </c>
      <c r="E170" s="62" t="inlineStr">
        <is>
          <t>B01</t>
        </is>
      </c>
      <c r="F170" s="63" t="n">
        <v>46348.39583333334</v>
      </c>
      <c r="G170" s="9" t="n"/>
      <c r="H170" s="9" t="n"/>
      <c r="I170" s="10" t="n"/>
      <c r="J170" s="65" t="n">
        <v>65</v>
      </c>
      <c r="K170" s="66" t="inlineStr">
        <is>
          <t>-</t>
        </is>
      </c>
      <c r="L170" s="65" t="n">
        <v>71</v>
      </c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IF($J170+$L170=0,,IF($J170&lt;$L170,IF($J170&amp;"-"&amp;$L170=MID(constPunteggioForfait,FIND("-",constPunteggioForfait)+1,LEN(constPunteggioForfait))&amp;"-"&amp;LEFT(constPunteggioForfait,FIND("-",constPunteggioForfait)-1),1,0),0))</f>
        <v/>
      </c>
      <c r="P170" s="67">
        <f>IF($J170+$L170=0,,IF($J170&lt;$L170,IF($J170&amp;"-"&amp;$L170&lt;&gt;MID(constPunteggioForfait,FIND("-",constPunteggioForfait)+1,LEN(constPunteggioForfait))&amp;"-"&amp;LEFT(constPunteggioForfait,FIND("-",constPunteggioForfait)-1),1,0),0))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IF($J170+$L170=0,,IF($L170&lt;$J170,IF($J170&amp;"-"&amp;$L170=constPunteggioForfait,1,0),0))</f>
        <v/>
      </c>
      <c r="W170" s="67">
        <f>IF($J170+$L170=0,,IF($L170&lt;$J170,IF($J170&amp;"-"&amp;$L170&lt;&gt;constPunteggioForfait,1,0),0))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"&amp;IFERROR(INDEX(Campionato!$E$14:$E$53,MATCH($C170,Campionato!$B$14:$B$53,0)),"?")&amp;"]")</f>
        <v/>
      </c>
    </row>
    <row r="171" ht="16" customHeight="1">
      <c r="A171" s="141" t="n"/>
      <c r="B171" s="69">
        <f>IF(I171="","",HYPERLINK(VLOOKUP(I171,areaCampiSquadre,3,FALSE),VLOOKUP(I171,areaCampiSquadre,2,FALSE)))</f>
        <v/>
      </c>
      <c r="C171" s="9" t="n"/>
      <c r="D171" s="9" t="n"/>
      <c r="E171" s="9" t="n"/>
      <c r="F171" s="9" t="n"/>
      <c r="G171" s="9" t="n"/>
      <c r="H171" s="10" t="n"/>
      <c r="I171" s="62" t="inlineStr">
        <is>
          <t>B11</t>
        </is>
      </c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IF(C173="","",IFERROR(VLOOKUP(C173,areaNomiBreviSquadre,7,FALSE),""))</f>
        <v/>
      </c>
      <c r="C173" s="62" t="inlineStr">
        <is>
          <t>B20</t>
        </is>
      </c>
      <c r="D173" s="61">
        <f>IF(E173="","",IFERROR(VLOOKUP(E173,areaNomiBreviSquadre,7,FALSE),""))</f>
        <v/>
      </c>
      <c r="E173" s="62" t="inlineStr">
        <is>
          <t>B06</t>
        </is>
      </c>
      <c r="F173" s="63" t="n">
        <v>46348.45833333334</v>
      </c>
      <c r="G173" s="9" t="n"/>
      <c r="H173" s="9" t="n"/>
      <c r="I173" s="10" t="n"/>
      <c r="J173" s="65" t="n">
        <v>63</v>
      </c>
      <c r="K173" s="66" t="inlineStr">
        <is>
          <t>-</t>
        </is>
      </c>
      <c r="L173" s="65" t="n">
        <v>42</v>
      </c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IF($J173+$L173=0,,IF($J173&lt;$L173,IF($J173&amp;"-"&amp;$L173=MID(constPunteggioForfait,FIND("-",constPunteggioForfait)+1,LEN(constPunteggioForfait))&amp;"-"&amp;LEFT(constPunteggioForfait,FIND("-",constPunteggioForfait)-1),1,0),0))</f>
        <v/>
      </c>
      <c r="P173" s="67">
        <f>IF($J173+$L173=0,,IF($J173&lt;$L173,IF($J173&amp;"-"&amp;$L173&lt;&gt;MID(constPunteggioForfait,FIND("-",constPunteggioForfait)+1,LEN(constPunteggioForfait))&amp;"-"&amp;LEFT(constPunteggioForfait,FIND("-",constPunteggioForfait)-1),1,0),0))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IF($J173+$L173=0,,IF($L173&lt;$J173,IF($J173&amp;"-"&amp;$L173=constPunteggioForfait,1,0),0))</f>
        <v/>
      </c>
      <c r="W173" s="67">
        <f>IF($J173+$L173=0,,IF($L173&lt;$J173,IF($J173&amp;"-"&amp;$L173&lt;&gt;constPunteggioForfait,1,0),0))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"&amp;IFERROR(INDEX(Campionato!$E$14:$E$53,MATCH($C173,Campionato!$B$14:$B$53,0)),"?")&amp;"]")</f>
        <v/>
      </c>
    </row>
    <row r="174" ht="16" customHeight="1">
      <c r="A174" s="141" t="n"/>
      <c r="B174" s="69">
        <f>IF(I174="","",HYPERLINK(VLOOKUP(I174,areaCampiSquadre,3,FALSE),VLOOKUP(I174,areaCampiSquadre,2,FALSE)))</f>
        <v/>
      </c>
      <c r="C174" s="9" t="n"/>
      <c r="D174" s="9" t="n"/>
      <c r="E174" s="9" t="n"/>
      <c r="F174" s="9" t="n"/>
      <c r="G174" s="9" t="n"/>
      <c r="H174" s="10" t="n"/>
      <c r="I174" s="62" t="inlineStr">
        <is>
          <t>B11</t>
        </is>
      </c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IF(C176="","",IFERROR(VLOOKUP(C176,areaNomiBreviSquadre,7,FALSE),""))</f>
        <v/>
      </c>
      <c r="C176" s="62" t="inlineStr">
        <is>
          <t>B07</t>
        </is>
      </c>
      <c r="D176" s="61">
        <f>IF(E176="","",IFERROR(VLOOKUP(E176,areaNomiBreviSquadre,7,FALSE),""))</f>
        <v/>
      </c>
      <c r="E176" s="62" t="inlineStr">
        <is>
          <t>B05</t>
        </is>
      </c>
      <c r="F176" s="63" t="n">
        <v>46348.60416666666</v>
      </c>
      <c r="G176" s="9" t="n"/>
      <c r="H176" s="9" t="n"/>
      <c r="I176" s="10" t="n"/>
      <c r="J176" s="65" t="n">
        <v>48</v>
      </c>
      <c r="K176" s="66" t="inlineStr">
        <is>
          <t>-</t>
        </is>
      </c>
      <c r="L176" s="65" t="n">
        <v>31</v>
      </c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IF($J176+$L176=0,,IF($J176&lt;$L176,IF($J176&amp;"-"&amp;$L176=MID(constPunteggioForfait,FIND("-",constPunteggioForfait)+1,LEN(constPunteggioForfait))&amp;"-"&amp;LEFT(constPunteggioForfait,FIND("-",constPunteggioForfait)-1),1,0),0))</f>
        <v/>
      </c>
      <c r="P176" s="67">
        <f>IF($J176+$L176=0,,IF($J176&lt;$L176,IF($J176&amp;"-"&amp;$L176&lt;&gt;MID(constPunteggioForfait,FIND("-",constPunteggioForfait)+1,LEN(constPunteggioForfait))&amp;"-"&amp;LEFT(constPunteggioForfait,FIND("-",constPunteggioForfait)-1),1,0),0))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IF($J176+$L176=0,,IF($L176&lt;$J176,IF($J176&amp;"-"&amp;$L176=constPunteggioForfait,1,0),0))</f>
        <v/>
      </c>
      <c r="W176" s="67">
        <f>IF($J176+$L176=0,,IF($L176&lt;$J176,IF($J176&amp;"-"&amp;$L176&lt;&gt;constPunteggioForfait,1,0),0))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"&amp;IFERROR(INDEX(Campionato!$E$14:$E$53,MATCH($C176,Campionato!$B$14:$B$53,0)),"?")&amp;"]")</f>
        <v/>
      </c>
    </row>
    <row r="177" ht="16" customHeight="1">
      <c r="A177" s="141" t="n"/>
      <c r="B177" s="69">
        <f>IF(I177="","",HYPERLINK(VLOOKUP(I177,areaCampiSquadre,3,FALSE),VLOOKUP(I177,areaCampiSquadre,2,FALSE)))</f>
        <v/>
      </c>
      <c r="C177" s="9" t="n"/>
      <c r="D177" s="9" t="n"/>
      <c r="E177" s="9" t="n"/>
      <c r="F177" s="9" t="n"/>
      <c r="G177" s="9" t="n"/>
      <c r="H177" s="10" t="n"/>
      <c r="I177" s="62" t="inlineStr">
        <is>
          <t>B11</t>
        </is>
      </c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IF(C179="","",IFERROR(VLOOKUP(C179,areaNomiBreviSquadre,7,FALSE),""))</f>
        <v/>
      </c>
      <c r="C179" s="62" t="inlineStr">
        <is>
          <t>B04</t>
        </is>
      </c>
      <c r="D179" s="61">
        <f>IF(E179="","",IFERROR(VLOOKUP(E179,areaNomiBreviSquadre,7,FALSE),""))</f>
        <v/>
      </c>
      <c r="E179" s="62" t="inlineStr">
        <is>
          <t>B08</t>
        </is>
      </c>
      <c r="F179" s="63" t="n">
        <v>46348.66666666666</v>
      </c>
      <c r="G179" s="9" t="n"/>
      <c r="H179" s="9" t="n"/>
      <c r="I179" s="10" t="n"/>
      <c r="J179" s="65" t="n">
        <v>84</v>
      </c>
      <c r="K179" s="66" t="inlineStr">
        <is>
          <t>-</t>
        </is>
      </c>
      <c r="L179" s="65" t="n">
        <v>85</v>
      </c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IF($J179+$L179=0,,IF($J179&lt;$L179,IF($J179&amp;"-"&amp;$L179=MID(constPunteggioForfait,FIND("-",constPunteggioForfait)+1,LEN(constPunteggioForfait))&amp;"-"&amp;LEFT(constPunteggioForfait,FIND("-",constPunteggioForfait)-1),1,0),0))</f>
        <v/>
      </c>
      <c r="P179" s="67">
        <f>IF($J179+$L179=0,,IF($J179&lt;$L179,IF($J179&amp;"-"&amp;$L179&lt;&gt;MID(constPunteggioForfait,FIND("-",constPunteggioForfait)+1,LEN(constPunteggioForfait))&amp;"-"&amp;LEFT(constPunteggioForfait,FIND("-",constPunteggioForfait)-1),1,0),0))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IF($J179+$L179=0,,IF($L179&lt;$J179,IF($J179&amp;"-"&amp;$L179=constPunteggioForfait,1,0),0))</f>
        <v/>
      </c>
      <c r="W179" s="67">
        <f>IF($J179+$L179=0,,IF($L179&lt;$J179,IF($J179&amp;"-"&amp;$L179&lt;&gt;constPunteggioForfait,1,0),0))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"&amp;IFERROR(INDEX(Campionato!$E$14:$E$53,MATCH($C179,Campionato!$B$14:$B$53,0)),"?")&amp;"]")</f>
        <v/>
      </c>
    </row>
    <row r="180" ht="16" customHeight="1">
      <c r="A180" s="141" t="n"/>
      <c r="B180" s="69">
        <f>IF(I180="","",HYPERLINK(VLOOKUP(I180,areaCampiSquadre,3,FALSE),VLOOKUP(I180,areaCampiSquadre,2,FALSE)))</f>
        <v/>
      </c>
      <c r="C180" s="9" t="n"/>
      <c r="D180" s="9" t="n"/>
      <c r="E180" s="9" t="n"/>
      <c r="F180" s="9" t="n"/>
      <c r="G180" s="9" t="n"/>
      <c r="H180" s="10" t="n"/>
      <c r="I180" s="62" t="inlineStr">
        <is>
          <t>B11</t>
        </is>
      </c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IF(C182="","",IFERROR(VLOOKUP(C182,areaNomiBreviSquadre,7,FALSE),""))</f>
        <v/>
      </c>
      <c r="C182" s="62" t="inlineStr">
        <is>
          <t>B09</t>
        </is>
      </c>
      <c r="D182" s="61">
        <f>IF(E182="","",IFERROR(VLOOKUP(E182,areaNomiBreviSquadre,7,FALSE),""))</f>
        <v/>
      </c>
      <c r="E182" s="62" t="inlineStr">
        <is>
          <t>B03</t>
        </is>
      </c>
      <c r="F182" s="63" t="n">
        <v>46348.72916666666</v>
      </c>
      <c r="G182" s="9" t="n"/>
      <c r="H182" s="9" t="n"/>
      <c r="I182" s="10" t="n"/>
      <c r="J182" s="65" t="n">
        <v>60</v>
      </c>
      <c r="K182" s="66" t="inlineStr">
        <is>
          <t>-</t>
        </is>
      </c>
      <c r="L182" s="65" t="n">
        <v>33</v>
      </c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IF($J182+$L182=0,,IF($J182&lt;$L182,IF($J182&amp;"-"&amp;$L182=MID(constPunteggioForfait,FIND("-",constPunteggioForfait)+1,LEN(constPunteggioForfait))&amp;"-"&amp;LEFT(constPunteggioForfait,FIND("-",constPunteggioForfait)-1),1,0),0))</f>
        <v/>
      </c>
      <c r="P182" s="67">
        <f>IF($J182+$L182=0,,IF($J182&lt;$L182,IF($J182&amp;"-"&amp;$L182&lt;&gt;MID(constPunteggioForfait,FIND("-",constPunteggioForfait)+1,LEN(constPunteggioForfait))&amp;"-"&amp;LEFT(constPunteggioForfait,FIND("-",constPunteggioForfait)-1),1,0),0))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IF($J182+$L182=0,,IF($L182&lt;$J182,IF($J182&amp;"-"&amp;$L182=constPunteggioForfait,1,0),0))</f>
        <v/>
      </c>
      <c r="W182" s="67">
        <f>IF($J182+$L182=0,,IF($L182&lt;$J182,IF($J182&amp;"-"&amp;$L182&lt;&gt;constPunteggioForfait,1,0),0))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"&amp;IFERROR(INDEX(Campionato!$E$14:$E$53,MATCH($C182,Campionato!$B$14:$B$53,0)),"?")&amp;"]")</f>
        <v/>
      </c>
    </row>
    <row r="183" ht="16" customHeight="1">
      <c r="A183" s="141" t="n"/>
      <c r="B183" s="69">
        <f>IF(I183="","",HYPERLINK(VLOOKUP(I183,areaCampiSquadre,3,FALSE),VLOOKUP(I183,areaCampiSquadre,2,FALSE)))</f>
        <v/>
      </c>
      <c r="C183" s="9" t="n"/>
      <c r="D183" s="9" t="n"/>
      <c r="E183" s="9" t="n"/>
      <c r="F183" s="9" t="n"/>
      <c r="G183" s="9" t="n"/>
      <c r="H183" s="10" t="n"/>
      <c r="I183" s="62" t="inlineStr">
        <is>
          <t>B11</t>
        </is>
      </c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IF(C185="","",IFERROR(VLOOKUP(C185,areaNomiBreviSquadre,7,FALSE),""))</f>
        <v/>
      </c>
      <c r="C185" s="62" t="inlineStr">
        <is>
          <t>B19</t>
        </is>
      </c>
      <c r="D185" s="61">
        <f>IF(E185="","",IFERROR(VLOOKUP(E185,areaNomiBreviSquadre,7,FALSE),""))</f>
        <v/>
      </c>
      <c r="E185" s="62" t="inlineStr">
        <is>
          <t>B12</t>
        </is>
      </c>
      <c r="F185" s="63" t="n">
        <v>46348.39583333334</v>
      </c>
      <c r="G185" s="9" t="n"/>
      <c r="H185" s="9" t="n"/>
      <c r="I185" s="10" t="n"/>
      <c r="J185" s="65" t="n">
        <v>60</v>
      </c>
      <c r="K185" s="66" t="inlineStr">
        <is>
          <t>-</t>
        </is>
      </c>
      <c r="L185" s="65" t="n">
        <v>58</v>
      </c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IF($J185+$L185=0,,IF($J185&lt;$L185,IF($J185&amp;"-"&amp;$L185=MID(constPunteggioForfait,FIND("-",constPunteggioForfait)+1,LEN(constPunteggioForfait))&amp;"-"&amp;LEFT(constPunteggioForfait,FIND("-",constPunteggioForfait)-1),1,0),0))</f>
        <v/>
      </c>
      <c r="P185" s="67">
        <f>IF($J185+$L185=0,,IF($J185&lt;$L185,IF($J185&amp;"-"&amp;$L185&lt;&gt;MID(constPunteggioForfait,FIND("-",constPunteggioForfait)+1,LEN(constPunteggioForfait))&amp;"-"&amp;LEFT(constPunteggioForfait,FIND("-",constPunteggioForfait)-1),1,0),0))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IF($J185+$L185=0,,IF($L185&lt;$J185,IF($J185&amp;"-"&amp;$L185=constPunteggioForfait,1,0),0))</f>
        <v/>
      </c>
      <c r="W185" s="67">
        <f>IF($J185+$L185=0,,IF($L185&lt;$J185,IF($J185&amp;"-"&amp;$L185&lt;&gt;constPunteggioForfait,1,0),0))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"&amp;IFERROR(INDEX(Campionato!$E$14:$E$53,MATCH($C185,Campionato!$B$14:$B$53,0)),"?")&amp;"]")</f>
        <v/>
      </c>
    </row>
    <row r="186" ht="16" customHeight="1">
      <c r="A186" s="141" t="n"/>
      <c r="B186" s="69">
        <f>IF(I186="","",HYPERLINK(VLOOKUP(I186,areaCampiSquadre,3,FALSE),VLOOKUP(I186,areaCampiSquadre,2,FALSE)))</f>
        <v/>
      </c>
      <c r="C186" s="9" t="n"/>
      <c r="D186" s="9" t="n"/>
      <c r="E186" s="9" t="n"/>
      <c r="F186" s="9" t="n"/>
      <c r="G186" s="9" t="n"/>
      <c r="H186" s="10" t="n"/>
      <c r="I186" s="62" t="inlineStr">
        <is>
          <t>B12</t>
        </is>
      </c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IF(C188="","",IFERROR(VLOOKUP(C188,areaNomiBreviSquadre,7,FALSE),""))</f>
        <v/>
      </c>
      <c r="C188" s="62" t="inlineStr">
        <is>
          <t>B02</t>
        </is>
      </c>
      <c r="D188" s="61">
        <f>IF(E188="","",IFERROR(VLOOKUP(E188,areaNomiBreviSquadre,7,FALSE),""))</f>
        <v/>
      </c>
      <c r="E188" s="62" t="inlineStr">
        <is>
          <t>B10</t>
        </is>
      </c>
      <c r="F188" s="63" t="n">
        <v>46348.45833333334</v>
      </c>
      <c r="G188" s="9" t="n"/>
      <c r="H188" s="9" t="n"/>
      <c r="I188" s="10" t="n"/>
      <c r="J188" s="65" t="n">
        <v>76</v>
      </c>
      <c r="K188" s="66" t="inlineStr">
        <is>
          <t>-</t>
        </is>
      </c>
      <c r="L188" s="65" t="n">
        <v>51</v>
      </c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IF($J188+$L188=0,,IF($J188&lt;$L188,IF($J188&amp;"-"&amp;$L188=MID(constPunteggioForfait,FIND("-",constPunteggioForfait)+1,LEN(constPunteggioForfait))&amp;"-"&amp;LEFT(constPunteggioForfait,FIND("-",constPunteggioForfait)-1),1,0),0))</f>
        <v/>
      </c>
      <c r="P188" s="67">
        <f>IF($J188+$L188=0,,IF($J188&lt;$L188,IF($J188&amp;"-"&amp;$L188&lt;&gt;MID(constPunteggioForfait,FIND("-",constPunteggioForfait)+1,LEN(constPunteggioForfait))&amp;"-"&amp;LEFT(constPunteggioForfait,FIND("-",constPunteggioForfait)-1),1,0),0))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IF($J188+$L188=0,,IF($L188&lt;$J188,IF($J188&amp;"-"&amp;$L188=constPunteggioForfait,1,0),0))</f>
        <v/>
      </c>
      <c r="W188" s="67">
        <f>IF($J188+$L188=0,,IF($L188&lt;$J188,IF($J188&amp;"-"&amp;$L188&lt;&gt;constPunteggioForfait,1,0),0))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"&amp;IFERROR(INDEX(Campionato!$E$14:$E$53,MATCH($C188,Campionato!$B$14:$B$53,0)),"?")&amp;"]")</f>
        <v/>
      </c>
    </row>
    <row r="189" ht="16" customHeight="1">
      <c r="A189" s="141" t="n"/>
      <c r="B189" s="69">
        <f>IF(I189="","",HYPERLINK(VLOOKUP(I189,areaCampiSquadre,3,FALSE),VLOOKUP(I189,areaCampiSquadre,2,FALSE)))</f>
        <v/>
      </c>
      <c r="C189" s="9" t="n"/>
      <c r="D189" s="9" t="n"/>
      <c r="E189" s="9" t="n"/>
      <c r="F189" s="9" t="n"/>
      <c r="G189" s="9" t="n"/>
      <c r="H189" s="10" t="n"/>
      <c r="I189" s="62" t="inlineStr">
        <is>
          <t>B12</t>
        </is>
      </c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IF(C191="","",IFERROR(VLOOKUP(C191,areaNomiBreviSquadre,7,FALSE),""))</f>
        <v/>
      </c>
      <c r="C191" s="62" t="inlineStr">
        <is>
          <t>B13</t>
        </is>
      </c>
      <c r="D191" s="61">
        <f>IF(E191="","",IFERROR(VLOOKUP(E191,areaNomiBreviSquadre,7,FALSE),""))</f>
        <v/>
      </c>
      <c r="E191" s="62" t="inlineStr">
        <is>
          <t>B18</t>
        </is>
      </c>
      <c r="F191" s="63" t="n">
        <v>46348.60416666666</v>
      </c>
      <c r="G191" s="9" t="n"/>
      <c r="H191" s="9" t="n"/>
      <c r="I191" s="10" t="n"/>
      <c r="J191" s="65" t="n">
        <v>85</v>
      </c>
      <c r="K191" s="66" t="inlineStr">
        <is>
          <t>-</t>
        </is>
      </c>
      <c r="L191" s="65" t="n">
        <v>63</v>
      </c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IF($J191+$L191=0,,IF($J191&lt;$L191,IF($J191&amp;"-"&amp;$L191=MID(constPunteggioForfait,FIND("-",constPunteggioForfait)+1,LEN(constPunteggioForfait))&amp;"-"&amp;LEFT(constPunteggioForfait,FIND("-",constPunteggioForfait)-1),1,0),0))</f>
        <v/>
      </c>
      <c r="P191" s="67">
        <f>IF($J191+$L191=0,,IF($J191&lt;$L191,IF($J191&amp;"-"&amp;$L191&lt;&gt;MID(constPunteggioForfait,FIND("-",constPunteggioForfait)+1,LEN(constPunteggioForfait))&amp;"-"&amp;LEFT(constPunteggioForfait,FIND("-",constPunteggioForfait)-1),1,0),0))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IF($J191+$L191=0,,IF($L191&lt;$J191,IF($J191&amp;"-"&amp;$L191=constPunteggioForfait,1,0),0))</f>
        <v/>
      </c>
      <c r="W191" s="67">
        <f>IF($J191+$L191=0,,IF($L191&lt;$J191,IF($J191&amp;"-"&amp;$L191&lt;&gt;constPunteggioForfait,1,0),0))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"&amp;IFERROR(INDEX(Campionato!$E$14:$E$53,MATCH($C191,Campionato!$B$14:$B$53,0)),"?")&amp;"]")</f>
        <v/>
      </c>
    </row>
    <row r="192" ht="16" customHeight="1">
      <c r="A192" s="141" t="n"/>
      <c r="B192" s="69">
        <f>IF(I192="","",HYPERLINK(VLOOKUP(I192,areaCampiSquadre,3,FALSE),VLOOKUP(I192,areaCampiSquadre,2,FALSE)))</f>
        <v/>
      </c>
      <c r="C192" s="9" t="n"/>
      <c r="D192" s="9" t="n"/>
      <c r="E192" s="9" t="n"/>
      <c r="F192" s="9" t="n"/>
      <c r="G192" s="9" t="n"/>
      <c r="H192" s="10" t="n"/>
      <c r="I192" s="62" t="inlineStr">
        <is>
          <t>B12</t>
        </is>
      </c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IF(C194="","",IFERROR(VLOOKUP(C194,areaNomiBreviSquadre,7,FALSE),""))</f>
        <v/>
      </c>
      <c r="C194" s="62" t="inlineStr">
        <is>
          <t>B17</t>
        </is>
      </c>
      <c r="D194" s="61">
        <f>IF(E194="","",IFERROR(VLOOKUP(E194,areaNomiBreviSquadre,7,FALSE),""))</f>
        <v/>
      </c>
      <c r="E194" s="62" t="inlineStr">
        <is>
          <t>B14</t>
        </is>
      </c>
      <c r="F194" s="63" t="n">
        <v>46348.66666666666</v>
      </c>
      <c r="G194" s="9" t="n"/>
      <c r="H194" s="9" t="n"/>
      <c r="I194" s="10" t="n"/>
      <c r="J194" s="65" t="n">
        <v>56</v>
      </c>
      <c r="K194" s="66" t="inlineStr">
        <is>
          <t>-</t>
        </is>
      </c>
      <c r="L194" s="65" t="n">
        <v>68</v>
      </c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IF($J194+$L194=0,,IF($J194&lt;$L194,IF($J194&amp;"-"&amp;$L194=MID(constPunteggioForfait,FIND("-",constPunteggioForfait)+1,LEN(constPunteggioForfait))&amp;"-"&amp;LEFT(constPunteggioForfait,FIND("-",constPunteggioForfait)-1),1,0),0))</f>
        <v/>
      </c>
      <c r="P194" s="67">
        <f>IF($J194+$L194=0,,IF($J194&lt;$L194,IF($J194&amp;"-"&amp;$L194&lt;&gt;MID(constPunteggioForfait,FIND("-",constPunteggioForfait)+1,LEN(constPunteggioForfait))&amp;"-"&amp;LEFT(constPunteggioForfait,FIND("-",constPunteggioForfait)-1),1,0),0))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IF($J194+$L194=0,,IF($L194&lt;$J194,IF($J194&amp;"-"&amp;$L194=constPunteggioForfait,1,0),0))</f>
        <v/>
      </c>
      <c r="W194" s="67">
        <f>IF($J194+$L194=0,,IF($L194&lt;$J194,IF($J194&amp;"-"&amp;$L194&lt;&gt;constPunteggioForfait,1,0),0))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"&amp;IFERROR(INDEX(Campionato!$E$14:$E$53,MATCH($C194,Campionato!$B$14:$B$53,0)),"?")&amp;"]")</f>
        <v/>
      </c>
    </row>
    <row r="195" ht="16" customHeight="1">
      <c r="A195" s="141" t="n"/>
      <c r="B195" s="69">
        <f>IF(I195="","",HYPERLINK(VLOOKUP(I195,areaCampiSquadre,3,FALSE),VLOOKUP(I195,areaCampiSquadre,2,FALSE)))</f>
        <v/>
      </c>
      <c r="C195" s="9" t="n"/>
      <c r="D195" s="9" t="n"/>
      <c r="E195" s="9" t="n"/>
      <c r="F195" s="9" t="n"/>
      <c r="G195" s="9" t="n"/>
      <c r="H195" s="10" t="n"/>
      <c r="I195" s="62" t="inlineStr">
        <is>
          <t>B12</t>
        </is>
      </c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IF(C197="","",IFERROR(VLOOKUP(C197,areaNomiBreviSquadre,7,FALSE),""))</f>
        <v/>
      </c>
      <c r="C197" s="62" t="inlineStr">
        <is>
          <t>B15</t>
        </is>
      </c>
      <c r="D197" s="61">
        <f>IF(E197="","",IFERROR(VLOOKUP(E197,areaNomiBreviSquadre,7,FALSE),""))</f>
        <v/>
      </c>
      <c r="E197" s="62" t="inlineStr">
        <is>
          <t>B16</t>
        </is>
      </c>
      <c r="F197" s="63" t="n">
        <v>46348.72916666666</v>
      </c>
      <c r="G197" s="9" t="n"/>
      <c r="H197" s="9" t="n"/>
      <c r="I197" s="10" t="n"/>
      <c r="J197" s="65" t="n">
        <v>88</v>
      </c>
      <c r="K197" s="66" t="inlineStr">
        <is>
          <t>-</t>
        </is>
      </c>
      <c r="L197" s="65" t="n">
        <v>87</v>
      </c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IF($J197+$L197=0,,IF($J197&lt;$L197,IF($J197&amp;"-"&amp;$L197=MID(constPunteggioForfait,FIND("-",constPunteggioForfait)+1,LEN(constPunteggioForfait))&amp;"-"&amp;LEFT(constPunteggioForfait,FIND("-",constPunteggioForfait)-1),1,0),0))</f>
        <v/>
      </c>
      <c r="P197" s="67">
        <f>IF($J197+$L197=0,,IF($J197&lt;$L197,IF($J197&amp;"-"&amp;$L197&lt;&gt;MID(constPunteggioForfait,FIND("-",constPunteggioForfait)+1,LEN(constPunteggioForfait))&amp;"-"&amp;LEFT(constPunteggioForfait,FIND("-",constPunteggioForfait)-1),1,0),0))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IF($J197+$L197=0,,IF($L197&lt;$J197,IF($J197&amp;"-"&amp;$L197=constPunteggioForfait,1,0),0))</f>
        <v/>
      </c>
      <c r="W197" s="67">
        <f>IF($J197+$L197=0,,IF($L197&lt;$J197,IF($J197&amp;"-"&amp;$L197&lt;&gt;constPunteggioForfait,1,0),0))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"&amp;IFERROR(INDEX(Campionato!$E$14:$E$53,MATCH($C197,Campionato!$B$14:$B$53,0)),"?")&amp;"]")</f>
        <v/>
      </c>
    </row>
    <row r="198" ht="16" customHeight="1">
      <c r="A198" s="141" t="n"/>
      <c r="B198" s="69">
        <f>IF(I198="","",HYPERLINK(VLOOKUP(I198,areaCampiSquadre,3,FALSE),VLOOKUP(I198,areaCampiSquadre,2,FALSE)))</f>
        <v/>
      </c>
      <c r="C198" s="9" t="n"/>
      <c r="D198" s="9" t="n"/>
      <c r="E198" s="9" t="n"/>
      <c r="F198" s="9" t="n"/>
      <c r="G198" s="9" t="n"/>
      <c r="H198" s="10" t="n"/>
      <c r="I198" s="62" t="inlineStr">
        <is>
          <t>B12</t>
        </is>
      </c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IF(C202="","",IFERROR(VLOOKUP(C202,areaNomiBreviSquadre,7,FALSE),""))</f>
        <v/>
      </c>
      <c r="C202" s="62" t="inlineStr">
        <is>
          <t>B13</t>
        </is>
      </c>
      <c r="D202" s="61">
        <f>IF(E202="","",IFERROR(VLOOKUP(E202,areaNomiBreviSquadre,7,FALSE),""))</f>
        <v/>
      </c>
      <c r="E202" s="62" t="inlineStr">
        <is>
          <t>B01</t>
        </is>
      </c>
      <c r="F202" s="63" t="n">
        <v>46355.39583333334</v>
      </c>
      <c r="G202" s="9" t="n"/>
      <c r="H202" s="9" t="n"/>
      <c r="I202" s="10" t="n"/>
      <c r="J202" s="65" t="n">
        <v>39</v>
      </c>
      <c r="K202" s="66" t="inlineStr">
        <is>
          <t>-</t>
        </is>
      </c>
      <c r="L202" s="65" t="n">
        <v>33</v>
      </c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IF($J202+$L202=0,,IF($J202&lt;$L202,IF($J202&amp;"-"&amp;$L202=MID(constPunteggioForfait,FIND("-",constPunteggioForfait)+1,LEN(constPunteggioForfait))&amp;"-"&amp;LEFT(constPunteggioForfait,FIND("-",constPunteggioForfait)-1),1,0),0))</f>
        <v/>
      </c>
      <c r="P202" s="67">
        <f>IF($J202+$L202=0,,IF($J202&lt;$L202,IF($J202&amp;"-"&amp;$L202&lt;&gt;MID(constPunteggioForfait,FIND("-",constPunteggioForfait)+1,LEN(constPunteggioForfait))&amp;"-"&amp;LEFT(constPunteggioForfait,FIND("-",constPunteggioForfait)-1),1,0),0))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IF($J202+$L202=0,,IF($L202&lt;$J202,IF($J202&amp;"-"&amp;$L202=constPunteggioForfait,1,0),0))</f>
        <v/>
      </c>
      <c r="W202" s="67">
        <f>IF($J202+$L202=0,,IF($L202&lt;$J202,IF($J202&amp;"-"&amp;$L202&lt;&gt;constPunteggioForfait,1,0),0))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"&amp;IFERROR(INDEX(Campionato!$E$14:$E$53,MATCH($C202,Campionato!$B$14:$B$53,0)),"?")&amp;"]")</f>
        <v/>
      </c>
    </row>
    <row r="203" ht="16" customHeight="1">
      <c r="A203" s="141" t="n"/>
      <c r="B203" s="69">
        <f>IF(I203="","",HYPERLINK(VLOOKUP(I203,areaCampiSquadre,3,FALSE),VLOOKUP(I203,areaCampiSquadre,2,FALSE)))</f>
        <v/>
      </c>
      <c r="C203" s="9" t="n"/>
      <c r="D203" s="9" t="n"/>
      <c r="E203" s="9" t="n"/>
      <c r="F203" s="9" t="n"/>
      <c r="G203" s="9" t="n"/>
      <c r="H203" s="10" t="n"/>
      <c r="I203" s="62" t="inlineStr">
        <is>
          <t>B13</t>
        </is>
      </c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IF(C205="","",IFERROR(VLOOKUP(C205,areaNomiBreviSquadre,7,FALSE),""))</f>
        <v/>
      </c>
      <c r="C205" s="62" t="inlineStr">
        <is>
          <t>B07</t>
        </is>
      </c>
      <c r="D205" s="61">
        <f>IF(E205="","",IFERROR(VLOOKUP(E205,areaNomiBreviSquadre,7,FALSE),""))</f>
        <v/>
      </c>
      <c r="E205" s="62" t="inlineStr">
        <is>
          <t>B20</t>
        </is>
      </c>
      <c r="F205" s="63" t="n">
        <v>46355.45833333334</v>
      </c>
      <c r="G205" s="9" t="n"/>
      <c r="H205" s="9" t="n"/>
      <c r="I205" s="10" t="n"/>
      <c r="J205" s="65" t="n">
        <v>40</v>
      </c>
      <c r="K205" s="66" t="inlineStr">
        <is>
          <t>-</t>
        </is>
      </c>
      <c r="L205" s="65" t="n">
        <v>0</v>
      </c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IF($J205+$L205=0,,IF($J205&lt;$L205,IF($J205&amp;"-"&amp;$L205=MID(constPunteggioForfait,FIND("-",constPunteggioForfait)+1,LEN(constPunteggioForfait))&amp;"-"&amp;LEFT(constPunteggioForfait,FIND("-",constPunteggioForfait)-1),1,0),0))</f>
        <v/>
      </c>
      <c r="P205" s="67">
        <f>IF($J205+$L205=0,,IF($J205&lt;$L205,IF($J205&amp;"-"&amp;$L205&lt;&gt;MID(constPunteggioForfait,FIND("-",constPunteggioForfait)+1,LEN(constPunteggioForfait))&amp;"-"&amp;LEFT(constPunteggioForfait,FIND("-",constPunteggioForfait)-1),1,0),0))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IF($J205+$L205=0,,IF($L205&lt;$J205,IF($J205&amp;"-"&amp;$L205=constPunteggioForfait,1,0),0))</f>
        <v/>
      </c>
      <c r="W205" s="67">
        <f>IF($J205+$L205=0,,IF($L205&lt;$J205,IF($J205&amp;"-"&amp;$L205&lt;&gt;constPunteggioForfait,1,0),0))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"&amp;IFERROR(INDEX(Campionato!$E$14:$E$53,MATCH($C205,Campionato!$B$14:$B$53,0)),"?")&amp;"]")</f>
        <v/>
      </c>
    </row>
    <row r="206" ht="16" customHeight="1">
      <c r="A206" s="141" t="n"/>
      <c r="B206" s="69">
        <f>IF(I206="","",HYPERLINK(VLOOKUP(I206,areaCampiSquadre,3,FALSE),VLOOKUP(I206,areaCampiSquadre,2,FALSE)))</f>
        <v/>
      </c>
      <c r="C206" s="9" t="n"/>
      <c r="D206" s="9" t="n"/>
      <c r="E206" s="9" t="n"/>
      <c r="F206" s="9" t="n"/>
      <c r="G206" s="9" t="n"/>
      <c r="H206" s="10" t="n"/>
      <c r="I206" s="62" t="inlineStr">
        <is>
          <t>B13</t>
        </is>
      </c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IF(C208="","",IFERROR(VLOOKUP(C208,areaNomiBreviSquadre,7,FALSE),""))</f>
        <v/>
      </c>
      <c r="C208" s="62" t="inlineStr">
        <is>
          <t>B06</t>
        </is>
      </c>
      <c r="D208" s="61">
        <f>IF(E208="","",IFERROR(VLOOKUP(E208,areaNomiBreviSquadre,7,FALSE),""))</f>
        <v/>
      </c>
      <c r="E208" s="62" t="inlineStr">
        <is>
          <t>B08</t>
        </is>
      </c>
      <c r="F208" s="63" t="n">
        <v>46355.60416666666</v>
      </c>
      <c r="G208" s="9" t="n"/>
      <c r="H208" s="9" t="n"/>
      <c r="I208" s="10" t="n"/>
      <c r="J208" s="65" t="n">
        <v>59</v>
      </c>
      <c r="K208" s="66" t="inlineStr">
        <is>
          <t>-</t>
        </is>
      </c>
      <c r="L208" s="65" t="n">
        <v>33</v>
      </c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IF($J208+$L208=0,,IF($J208&lt;$L208,IF($J208&amp;"-"&amp;$L208=MID(constPunteggioForfait,FIND("-",constPunteggioForfait)+1,LEN(constPunteggioForfait))&amp;"-"&amp;LEFT(constPunteggioForfait,FIND("-",constPunteggioForfait)-1),1,0),0))</f>
        <v/>
      </c>
      <c r="P208" s="67">
        <f>IF($J208+$L208=0,,IF($J208&lt;$L208,IF($J208&amp;"-"&amp;$L208&lt;&gt;MID(constPunteggioForfait,FIND("-",constPunteggioForfait)+1,LEN(constPunteggioForfait))&amp;"-"&amp;LEFT(constPunteggioForfait,FIND("-",constPunteggioForfait)-1),1,0),0))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IF($J208+$L208=0,,IF($L208&lt;$J208,IF($J208&amp;"-"&amp;$L208=constPunteggioForfait,1,0),0))</f>
        <v/>
      </c>
      <c r="W208" s="67">
        <f>IF($J208+$L208=0,,IF($L208&lt;$J208,IF($J208&amp;"-"&amp;$L208&lt;&gt;constPunteggioForfait,1,0),0))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"&amp;IFERROR(INDEX(Campionato!$E$14:$E$53,MATCH($C208,Campionato!$B$14:$B$53,0)),"?")&amp;"]")</f>
        <v/>
      </c>
    </row>
    <row r="209" ht="16" customHeight="1">
      <c r="A209" s="141" t="n"/>
      <c r="B209" s="69">
        <f>IF(I209="","",HYPERLINK(VLOOKUP(I209,areaCampiSquadre,3,FALSE),VLOOKUP(I209,areaCampiSquadre,2,FALSE)))</f>
        <v/>
      </c>
      <c r="C209" s="9" t="n"/>
      <c r="D209" s="9" t="n"/>
      <c r="E209" s="9" t="n"/>
      <c r="F209" s="9" t="n"/>
      <c r="G209" s="9" t="n"/>
      <c r="H209" s="10" t="n"/>
      <c r="I209" s="62" t="inlineStr">
        <is>
          <t>B13</t>
        </is>
      </c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IF(C211="","",IFERROR(VLOOKUP(C211,areaNomiBreviSquadre,7,FALSE),""))</f>
        <v/>
      </c>
      <c r="C211" s="62" t="inlineStr">
        <is>
          <t>B09</t>
        </is>
      </c>
      <c r="D211" s="61">
        <f>IF(E211="","",IFERROR(VLOOKUP(E211,areaNomiBreviSquadre,7,FALSE),""))</f>
        <v/>
      </c>
      <c r="E211" s="62" t="inlineStr">
        <is>
          <t>B05</t>
        </is>
      </c>
      <c r="F211" s="63" t="n">
        <v>46355.66666666666</v>
      </c>
      <c r="G211" s="9" t="n"/>
      <c r="H211" s="9" t="n"/>
      <c r="I211" s="10" t="n"/>
      <c r="J211" s="65" t="n">
        <v>41</v>
      </c>
      <c r="K211" s="66" t="inlineStr">
        <is>
          <t>-</t>
        </is>
      </c>
      <c r="L211" s="65" t="n">
        <v>59</v>
      </c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IF($J211+$L211=0,,IF($J211&lt;$L211,IF($J211&amp;"-"&amp;$L211=MID(constPunteggioForfait,FIND("-",constPunteggioForfait)+1,LEN(constPunteggioForfait))&amp;"-"&amp;LEFT(constPunteggioForfait,FIND("-",constPunteggioForfait)-1),1,0),0))</f>
        <v/>
      </c>
      <c r="P211" s="67">
        <f>IF($J211+$L211=0,,IF($J211&lt;$L211,IF($J211&amp;"-"&amp;$L211&lt;&gt;MID(constPunteggioForfait,FIND("-",constPunteggioForfait)+1,LEN(constPunteggioForfait))&amp;"-"&amp;LEFT(constPunteggioForfait,FIND("-",constPunteggioForfait)-1),1,0),0))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IF($J211+$L211=0,,IF($L211&lt;$J211,IF($J211&amp;"-"&amp;$L211=constPunteggioForfait,1,0),0))</f>
        <v/>
      </c>
      <c r="W211" s="67">
        <f>IF($J211+$L211=0,,IF($L211&lt;$J211,IF($J211&amp;"-"&amp;$L211&lt;&gt;constPunteggioForfait,1,0),0))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"&amp;IFERROR(INDEX(Campionato!$E$14:$E$53,MATCH($C211,Campionato!$B$14:$B$53,0)),"?")&amp;"]")</f>
        <v/>
      </c>
    </row>
    <row r="212" ht="16" customHeight="1">
      <c r="A212" s="141" t="n"/>
      <c r="B212" s="69">
        <f>IF(I212="","",HYPERLINK(VLOOKUP(I212,areaCampiSquadre,3,FALSE),VLOOKUP(I212,areaCampiSquadre,2,FALSE)))</f>
        <v/>
      </c>
      <c r="C212" s="9" t="n"/>
      <c r="D212" s="9" t="n"/>
      <c r="E212" s="9" t="n"/>
      <c r="F212" s="9" t="n"/>
      <c r="G212" s="9" t="n"/>
      <c r="H212" s="10" t="n"/>
      <c r="I212" s="62" t="inlineStr">
        <is>
          <t>B13</t>
        </is>
      </c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IF(C214="","",IFERROR(VLOOKUP(C214,areaNomiBreviSquadre,7,FALSE),""))</f>
        <v/>
      </c>
      <c r="C214" s="62" t="inlineStr">
        <is>
          <t>B04</t>
        </is>
      </c>
      <c r="D214" s="61">
        <f>IF(E214="","",IFERROR(VLOOKUP(E214,areaNomiBreviSquadre,7,FALSE),""))</f>
        <v/>
      </c>
      <c r="E214" s="62" t="inlineStr">
        <is>
          <t>B10</t>
        </is>
      </c>
      <c r="F214" s="63" t="n">
        <v>46355.72916666666</v>
      </c>
      <c r="G214" s="9" t="n"/>
      <c r="H214" s="9" t="n"/>
      <c r="I214" s="10" t="n"/>
      <c r="J214" s="65" t="n">
        <v>30</v>
      </c>
      <c r="K214" s="66" t="inlineStr">
        <is>
          <t>-</t>
        </is>
      </c>
      <c r="L214" s="65" t="n">
        <v>52</v>
      </c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IF($J214+$L214=0,,IF($J214&lt;$L214,IF($J214&amp;"-"&amp;$L214=MID(constPunteggioForfait,FIND("-",constPunteggioForfait)+1,LEN(constPunteggioForfait))&amp;"-"&amp;LEFT(constPunteggioForfait,FIND("-",constPunteggioForfait)-1),1,0),0))</f>
        <v/>
      </c>
      <c r="P214" s="67">
        <f>IF($J214+$L214=0,,IF($J214&lt;$L214,IF($J214&amp;"-"&amp;$L214&lt;&gt;MID(constPunteggioForfait,FIND("-",constPunteggioForfait)+1,LEN(constPunteggioForfait))&amp;"-"&amp;LEFT(constPunteggioForfait,FIND("-",constPunteggioForfait)-1),1,0),0))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IF($J214+$L214=0,,IF($L214&lt;$J214,IF($J214&amp;"-"&amp;$L214=constPunteggioForfait,1,0),0))</f>
        <v/>
      </c>
      <c r="W214" s="67">
        <f>IF($J214+$L214=0,,IF($L214&lt;$J214,IF($J214&amp;"-"&amp;$L214&lt;&gt;constPunteggioForfait,1,0),0))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"&amp;IFERROR(INDEX(Campionato!$E$14:$E$53,MATCH($C214,Campionato!$B$14:$B$53,0)),"?")&amp;"]")</f>
        <v/>
      </c>
    </row>
    <row r="215" ht="16" customHeight="1">
      <c r="A215" s="141" t="n"/>
      <c r="B215" s="69">
        <f>IF(I215="","",HYPERLINK(VLOOKUP(I215,areaCampiSquadre,3,FALSE),VLOOKUP(I215,areaCampiSquadre,2,FALSE)))</f>
        <v/>
      </c>
      <c r="C215" s="9" t="n"/>
      <c r="D215" s="9" t="n"/>
      <c r="E215" s="9" t="n"/>
      <c r="F215" s="9" t="n"/>
      <c r="G215" s="9" t="n"/>
      <c r="H215" s="10" t="n"/>
      <c r="I215" s="62" t="inlineStr">
        <is>
          <t>B13</t>
        </is>
      </c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IF(C217="","",IFERROR(VLOOKUP(C217,areaNomiBreviSquadre,7,FALSE),""))</f>
        <v/>
      </c>
      <c r="C217" s="62" t="inlineStr">
        <is>
          <t>B19</t>
        </is>
      </c>
      <c r="D217" s="61">
        <f>IF(E217="","",IFERROR(VLOOKUP(E217,areaNomiBreviSquadre,7,FALSE),""))</f>
        <v/>
      </c>
      <c r="E217" s="62" t="inlineStr">
        <is>
          <t>B14</t>
        </is>
      </c>
      <c r="F217" s="63" t="n">
        <v>46355.39583333334</v>
      </c>
      <c r="G217" s="9" t="n"/>
      <c r="H217" s="9" t="n"/>
      <c r="I217" s="10" t="n"/>
      <c r="J217" s="65" t="n">
        <v>39</v>
      </c>
      <c r="K217" s="66" t="inlineStr">
        <is>
          <t>-</t>
        </is>
      </c>
      <c r="L217" s="65" t="n">
        <v>61</v>
      </c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IF($J217+$L217=0,,IF($J217&lt;$L217,IF($J217&amp;"-"&amp;$L217=MID(constPunteggioForfait,FIND("-",constPunteggioForfait)+1,LEN(constPunteggioForfait))&amp;"-"&amp;LEFT(constPunteggioForfait,FIND("-",constPunteggioForfait)-1),1,0),0))</f>
        <v/>
      </c>
      <c r="P217" s="67">
        <f>IF($J217+$L217=0,,IF($J217&lt;$L217,IF($J217&amp;"-"&amp;$L217&lt;&gt;MID(constPunteggioForfait,FIND("-",constPunteggioForfait)+1,LEN(constPunteggioForfait))&amp;"-"&amp;LEFT(constPunteggioForfait,FIND("-",constPunteggioForfait)-1),1,0),0))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IF($J217+$L217=0,,IF($L217&lt;$J217,IF($J217&amp;"-"&amp;$L217=constPunteggioForfait,1,0),0))</f>
        <v/>
      </c>
      <c r="W217" s="67">
        <f>IF($J217+$L217=0,,IF($L217&lt;$J217,IF($J217&amp;"-"&amp;$L217&lt;&gt;constPunteggioForfait,1,0),0))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"&amp;IFERROR(INDEX(Campionato!$E$14:$E$53,MATCH($C217,Campionato!$B$14:$B$53,0)),"?")&amp;"]")</f>
        <v/>
      </c>
    </row>
    <row r="218" ht="16" customHeight="1">
      <c r="A218" s="141" t="n"/>
      <c r="B218" s="69">
        <f>IF(I218="","",HYPERLINK(VLOOKUP(I218,areaCampiSquadre,3,FALSE),VLOOKUP(I218,areaCampiSquadre,2,FALSE)))</f>
        <v/>
      </c>
      <c r="C218" s="9" t="n"/>
      <c r="D218" s="9" t="n"/>
      <c r="E218" s="9" t="n"/>
      <c r="F218" s="9" t="n"/>
      <c r="G218" s="9" t="n"/>
      <c r="H218" s="10" t="n"/>
      <c r="I218" s="62" t="inlineStr">
        <is>
          <t>B14</t>
        </is>
      </c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IF(C220="","",IFERROR(VLOOKUP(C220,areaNomiBreviSquadre,7,FALSE),""))</f>
        <v/>
      </c>
      <c r="C220" s="62" t="inlineStr">
        <is>
          <t>B11</t>
        </is>
      </c>
      <c r="D220" s="61">
        <f>IF(E220="","",IFERROR(VLOOKUP(E220,areaNomiBreviSquadre,7,FALSE),""))</f>
        <v/>
      </c>
      <c r="E220" s="62" t="inlineStr">
        <is>
          <t>B03</t>
        </is>
      </c>
      <c r="F220" s="63" t="n">
        <v>46355.45833333334</v>
      </c>
      <c r="G220" s="9" t="n"/>
      <c r="H220" s="9" t="n"/>
      <c r="I220" s="10" t="n"/>
      <c r="J220" s="65" t="n">
        <v>74</v>
      </c>
      <c r="K220" s="66" t="inlineStr">
        <is>
          <t>-</t>
        </is>
      </c>
      <c r="L220" s="65" t="n">
        <v>72</v>
      </c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IF($J220+$L220=0,,IF($J220&lt;$L220,IF($J220&amp;"-"&amp;$L220=MID(constPunteggioForfait,FIND("-",constPunteggioForfait)+1,LEN(constPunteggioForfait))&amp;"-"&amp;LEFT(constPunteggioForfait,FIND("-",constPunteggioForfait)-1),1,0),0))</f>
        <v/>
      </c>
      <c r="P220" s="67">
        <f>IF($J220+$L220=0,,IF($J220&lt;$L220,IF($J220&amp;"-"&amp;$L220&lt;&gt;MID(constPunteggioForfait,FIND("-",constPunteggioForfait)+1,LEN(constPunteggioForfait))&amp;"-"&amp;LEFT(constPunteggioForfait,FIND("-",constPunteggioForfait)-1),1,0),0))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IF($J220+$L220=0,,IF($L220&lt;$J220,IF($J220&amp;"-"&amp;$L220=constPunteggioForfait,1,0),0))</f>
        <v/>
      </c>
      <c r="W220" s="67">
        <f>IF($J220+$L220=0,,IF($L220&lt;$J220,IF($J220&amp;"-"&amp;$L220&lt;&gt;constPunteggioForfait,1,0),0))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"&amp;IFERROR(INDEX(Campionato!$E$14:$E$53,MATCH($C220,Campionato!$B$14:$B$53,0)),"?")&amp;"]")</f>
        <v/>
      </c>
    </row>
    <row r="221" ht="16" customHeight="1">
      <c r="A221" s="141" t="n"/>
      <c r="B221" s="69">
        <f>IF(I221="","",HYPERLINK(VLOOKUP(I221,areaCampiSquadre,3,FALSE),VLOOKUP(I221,areaCampiSquadre,2,FALSE)))</f>
        <v/>
      </c>
      <c r="C221" s="9" t="n"/>
      <c r="D221" s="9" t="n"/>
      <c r="E221" s="9" t="n"/>
      <c r="F221" s="9" t="n"/>
      <c r="G221" s="9" t="n"/>
      <c r="H221" s="10" t="n"/>
      <c r="I221" s="62" t="inlineStr">
        <is>
          <t>B14</t>
        </is>
      </c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IF(C223="","",IFERROR(VLOOKUP(C223,areaNomiBreviSquadre,7,FALSE),""))</f>
        <v/>
      </c>
      <c r="C223" s="62" t="inlineStr">
        <is>
          <t>B02</t>
        </is>
      </c>
      <c r="D223" s="61">
        <f>IF(E223="","",IFERROR(VLOOKUP(E223,areaNomiBreviSquadre,7,FALSE),""))</f>
        <v/>
      </c>
      <c r="E223" s="62" t="inlineStr">
        <is>
          <t>B12</t>
        </is>
      </c>
      <c r="F223" s="63" t="n">
        <v>46355.60416666666</v>
      </c>
      <c r="G223" s="9" t="n"/>
      <c r="H223" s="9" t="n"/>
      <c r="I223" s="10" t="n"/>
      <c r="J223" s="65" t="n">
        <v>75</v>
      </c>
      <c r="K223" s="66" t="inlineStr">
        <is>
          <t>-</t>
        </is>
      </c>
      <c r="L223" s="65" t="n">
        <v>49</v>
      </c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IF($J223+$L223=0,,IF($J223&lt;$L223,IF($J223&amp;"-"&amp;$L223=MID(constPunteggioForfait,FIND("-",constPunteggioForfait)+1,LEN(constPunteggioForfait))&amp;"-"&amp;LEFT(constPunteggioForfait,FIND("-",constPunteggioForfait)-1),1,0),0))</f>
        <v/>
      </c>
      <c r="P223" s="67">
        <f>IF($J223+$L223=0,,IF($J223&lt;$L223,IF($J223&amp;"-"&amp;$L223&lt;&gt;MID(constPunteggioForfait,FIND("-",constPunteggioForfait)+1,LEN(constPunteggioForfait))&amp;"-"&amp;LEFT(constPunteggioForfait,FIND("-",constPunteggioForfait)-1),1,0),0))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IF($J223+$L223=0,,IF($L223&lt;$J223,IF($J223&amp;"-"&amp;$L223=constPunteggioForfait,1,0),0))</f>
        <v/>
      </c>
      <c r="W223" s="67">
        <f>IF($J223+$L223=0,,IF($L223&lt;$J223,IF($J223&amp;"-"&amp;$L223&lt;&gt;constPunteggioForfait,1,0),0))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"&amp;IFERROR(INDEX(Campionato!$E$14:$E$53,MATCH($C223,Campionato!$B$14:$B$53,0)),"?")&amp;"]")</f>
        <v/>
      </c>
    </row>
    <row r="224" ht="16" customHeight="1">
      <c r="A224" s="141" t="n"/>
      <c r="B224" s="69">
        <f>IF(I224="","",HYPERLINK(VLOOKUP(I224,areaCampiSquadre,3,FALSE),VLOOKUP(I224,areaCampiSquadre,2,FALSE)))</f>
        <v/>
      </c>
      <c r="C224" s="9" t="n"/>
      <c r="D224" s="9" t="n"/>
      <c r="E224" s="9" t="n"/>
      <c r="F224" s="9" t="n"/>
      <c r="G224" s="9" t="n"/>
      <c r="H224" s="10" t="n"/>
      <c r="I224" s="62" t="inlineStr">
        <is>
          <t>B14</t>
        </is>
      </c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IF(C226="","",IFERROR(VLOOKUP(C226,areaNomiBreviSquadre,7,FALSE),""))</f>
        <v/>
      </c>
      <c r="C226" s="62" t="inlineStr">
        <is>
          <t>B15</t>
        </is>
      </c>
      <c r="D226" s="61">
        <f>IF(E226="","",IFERROR(VLOOKUP(E226,areaNomiBreviSquadre,7,FALSE),""))</f>
        <v/>
      </c>
      <c r="E226" s="62" t="inlineStr">
        <is>
          <t>B18</t>
        </is>
      </c>
      <c r="F226" s="63" t="n">
        <v>46355.66666666666</v>
      </c>
      <c r="G226" s="9" t="n"/>
      <c r="H226" s="9" t="n"/>
      <c r="I226" s="10" t="n"/>
      <c r="J226" s="65" t="n">
        <v>80</v>
      </c>
      <c r="K226" s="66" t="inlineStr">
        <is>
          <t>-</t>
        </is>
      </c>
      <c r="L226" s="65" t="n">
        <v>60</v>
      </c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IF($J226+$L226=0,,IF($J226&lt;$L226,IF($J226&amp;"-"&amp;$L226=MID(constPunteggioForfait,FIND("-",constPunteggioForfait)+1,LEN(constPunteggioForfait))&amp;"-"&amp;LEFT(constPunteggioForfait,FIND("-",constPunteggioForfait)-1),1,0),0))</f>
        <v/>
      </c>
      <c r="P226" s="67">
        <f>IF($J226+$L226=0,,IF($J226&lt;$L226,IF($J226&amp;"-"&amp;$L226&lt;&gt;MID(constPunteggioForfait,FIND("-",constPunteggioForfait)+1,LEN(constPunteggioForfait))&amp;"-"&amp;LEFT(constPunteggioForfait,FIND("-",constPunteggioForfait)-1),1,0),0))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IF($J226+$L226=0,,IF($L226&lt;$J226,IF($J226&amp;"-"&amp;$L226=constPunteggioForfait,1,0),0))</f>
        <v/>
      </c>
      <c r="W226" s="67">
        <f>IF($J226+$L226=0,,IF($L226&lt;$J226,IF($J226&amp;"-"&amp;$L226&lt;&gt;constPunteggioForfait,1,0),0))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"&amp;IFERROR(INDEX(Campionato!$E$14:$E$53,MATCH($C226,Campionato!$B$14:$B$53,0)),"?")&amp;"]")</f>
        <v/>
      </c>
    </row>
    <row r="227" ht="16" customHeight="1">
      <c r="A227" s="141" t="n"/>
      <c r="B227" s="69">
        <f>IF(I227="","",HYPERLINK(VLOOKUP(I227,areaCampiSquadre,3,FALSE),VLOOKUP(I227,areaCampiSquadre,2,FALSE)))</f>
        <v/>
      </c>
      <c r="C227" s="9" t="n"/>
      <c r="D227" s="9" t="n"/>
      <c r="E227" s="9" t="n"/>
      <c r="F227" s="9" t="n"/>
      <c r="G227" s="9" t="n"/>
      <c r="H227" s="10" t="n"/>
      <c r="I227" s="62" t="inlineStr">
        <is>
          <t>B14</t>
        </is>
      </c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IF(C229="","",IFERROR(VLOOKUP(C229,areaNomiBreviSquadre,7,FALSE),""))</f>
        <v/>
      </c>
      <c r="C229" s="62" t="inlineStr">
        <is>
          <t>B17</t>
        </is>
      </c>
      <c r="D229" s="61">
        <f>IF(E229="","",IFERROR(VLOOKUP(E229,areaNomiBreviSquadre,7,FALSE),""))</f>
        <v/>
      </c>
      <c r="E229" s="62" t="inlineStr">
        <is>
          <t>B16</t>
        </is>
      </c>
      <c r="F229" s="63" t="n">
        <v>46355.72916666666</v>
      </c>
      <c r="G229" s="9" t="n"/>
      <c r="H229" s="9" t="n"/>
      <c r="I229" s="10" t="n"/>
      <c r="J229" s="65" t="n">
        <v>90</v>
      </c>
      <c r="K229" s="66" t="inlineStr">
        <is>
          <t>-</t>
        </is>
      </c>
      <c r="L229" s="65" t="n">
        <v>85</v>
      </c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IF($J229+$L229=0,,IF($J229&lt;$L229,IF($J229&amp;"-"&amp;$L229=MID(constPunteggioForfait,FIND("-",constPunteggioForfait)+1,LEN(constPunteggioForfait))&amp;"-"&amp;LEFT(constPunteggioForfait,FIND("-",constPunteggioForfait)-1),1,0),0))</f>
        <v/>
      </c>
      <c r="P229" s="67">
        <f>IF($J229+$L229=0,,IF($J229&lt;$L229,IF($J229&amp;"-"&amp;$L229&lt;&gt;MID(constPunteggioForfait,FIND("-",constPunteggioForfait)+1,LEN(constPunteggioForfait))&amp;"-"&amp;LEFT(constPunteggioForfait,FIND("-",constPunteggioForfait)-1),1,0),0))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IF($J229+$L229=0,,IF($L229&lt;$J229,IF($J229&amp;"-"&amp;$L229=constPunteggioForfait,1,0),0))</f>
        <v/>
      </c>
      <c r="W229" s="67">
        <f>IF($J229+$L229=0,,IF($L229&lt;$J229,IF($J229&amp;"-"&amp;$L229&lt;&gt;constPunteggioForfait,1,0),0))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"&amp;IFERROR(INDEX(Campionato!$E$14:$E$53,MATCH($C229,Campionato!$B$14:$B$53,0)),"?")&amp;"]")</f>
        <v/>
      </c>
    </row>
    <row r="230" ht="16" customHeight="1">
      <c r="A230" s="141" t="n"/>
      <c r="B230" s="69">
        <f>IF(I230="","",HYPERLINK(VLOOKUP(I230,areaCampiSquadre,3,FALSE),VLOOKUP(I230,areaCampiSquadre,2,FALSE)))</f>
        <v/>
      </c>
      <c r="C230" s="9" t="n"/>
      <c r="D230" s="9" t="n"/>
      <c r="E230" s="9" t="n"/>
      <c r="F230" s="9" t="n"/>
      <c r="G230" s="9" t="n"/>
      <c r="H230" s="10" t="n"/>
      <c r="I230" s="62" t="inlineStr">
        <is>
          <t>B14</t>
        </is>
      </c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IF(C234="","",IFERROR(VLOOKUP(C234,areaNomiBreviSquadre,7,FALSE),""))</f>
        <v/>
      </c>
      <c r="C234" s="62" t="inlineStr">
        <is>
          <t>B15</t>
        </is>
      </c>
      <c r="D234" s="61">
        <f>IF(E234="","",IFERROR(VLOOKUP(E234,areaNomiBreviSquadre,7,FALSE),""))</f>
        <v/>
      </c>
      <c r="E234" s="62" t="inlineStr">
        <is>
          <t>B01</t>
        </is>
      </c>
      <c r="F234" s="63" t="n">
        <v>46362.39583333334</v>
      </c>
      <c r="G234" s="9" t="n"/>
      <c r="H234" s="9" t="n"/>
      <c r="I234" s="10" t="n"/>
      <c r="J234" s="65" t="n">
        <v>62</v>
      </c>
      <c r="K234" s="66" t="inlineStr">
        <is>
          <t>-</t>
        </is>
      </c>
      <c r="L234" s="65" t="n">
        <v>54</v>
      </c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IF($J234+$L234=0,,IF($J234&lt;$L234,IF($J234&amp;"-"&amp;$L234=MID(constPunteggioForfait,FIND("-",constPunteggioForfait)+1,LEN(constPunteggioForfait))&amp;"-"&amp;LEFT(constPunteggioForfait,FIND("-",constPunteggioForfait)-1),1,0),0))</f>
        <v/>
      </c>
      <c r="P234" s="67">
        <f>IF($J234+$L234=0,,IF($J234&lt;$L234,IF($J234&amp;"-"&amp;$L234&lt;&gt;MID(constPunteggioForfait,FIND("-",constPunteggioForfait)+1,LEN(constPunteggioForfait))&amp;"-"&amp;LEFT(constPunteggioForfait,FIND("-",constPunteggioForfait)-1),1,0),0))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IF($J234+$L234=0,,IF($L234&lt;$J234,IF($J234&amp;"-"&amp;$L234=constPunteggioForfait,1,0),0))</f>
        <v/>
      </c>
      <c r="W234" s="67">
        <f>IF($J234+$L234=0,,IF($L234&lt;$J234,IF($J234&amp;"-"&amp;$L234&lt;&gt;constPunteggioForfait,1,0),0))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"&amp;IFERROR(INDEX(Campionato!$E$14:$E$53,MATCH($C234,Campionato!$B$14:$B$53,0)),"?")&amp;"]")</f>
        <v/>
      </c>
    </row>
    <row r="235" ht="16" customHeight="1">
      <c r="A235" s="141" t="n"/>
      <c r="B235" s="69">
        <f>IF(I235="","",HYPERLINK(VLOOKUP(I235,areaCampiSquadre,3,FALSE),VLOOKUP(I235,areaCampiSquadre,2,FALSE)))</f>
        <v/>
      </c>
      <c r="C235" s="9" t="n"/>
      <c r="D235" s="9" t="n"/>
      <c r="E235" s="9" t="n"/>
      <c r="F235" s="9" t="n"/>
      <c r="G235" s="9" t="n"/>
      <c r="H235" s="10" t="n"/>
      <c r="I235" s="62" t="inlineStr">
        <is>
          <t>B15</t>
        </is>
      </c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IF(C237="","",IFERROR(VLOOKUP(C237,areaNomiBreviSquadre,7,FALSE),""))</f>
        <v/>
      </c>
      <c r="C237" s="62" t="inlineStr">
        <is>
          <t>B20</t>
        </is>
      </c>
      <c r="D237" s="61">
        <f>IF(E237="","",IFERROR(VLOOKUP(E237,areaNomiBreviSquadre,7,FALSE),""))</f>
        <v/>
      </c>
      <c r="E237" s="62" t="inlineStr">
        <is>
          <t>B08</t>
        </is>
      </c>
      <c r="F237" s="63" t="n">
        <v>46362.45833333334</v>
      </c>
      <c r="G237" s="9" t="n"/>
      <c r="H237" s="9" t="n"/>
      <c r="I237" s="10" t="n"/>
      <c r="J237" s="65" t="n">
        <v>73</v>
      </c>
      <c r="K237" s="66" t="inlineStr">
        <is>
          <t>-</t>
        </is>
      </c>
      <c r="L237" s="65" t="n">
        <v>57</v>
      </c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IF($J237+$L237=0,,IF($J237&lt;$L237,IF($J237&amp;"-"&amp;$L237=MID(constPunteggioForfait,FIND("-",constPunteggioForfait)+1,LEN(constPunteggioForfait))&amp;"-"&amp;LEFT(constPunteggioForfait,FIND("-",constPunteggioForfait)-1),1,0),0))</f>
        <v/>
      </c>
      <c r="P237" s="67">
        <f>IF($J237+$L237=0,,IF($J237&lt;$L237,IF($J237&amp;"-"&amp;$L237&lt;&gt;MID(constPunteggioForfait,FIND("-",constPunteggioForfait)+1,LEN(constPunteggioForfait))&amp;"-"&amp;LEFT(constPunteggioForfait,FIND("-",constPunteggioForfait)-1),1,0),0))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IF($J237+$L237=0,,IF($L237&lt;$J237,IF($J237&amp;"-"&amp;$L237=constPunteggioForfait,1,0),0))</f>
        <v/>
      </c>
      <c r="W237" s="67">
        <f>IF($J237+$L237=0,,IF($L237&lt;$J237,IF($J237&amp;"-"&amp;$L237&lt;&gt;constPunteggioForfait,1,0),0))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"&amp;IFERROR(INDEX(Campionato!$E$14:$E$53,MATCH($C237,Campionato!$B$14:$B$53,0)),"?")&amp;"]")</f>
        <v/>
      </c>
    </row>
    <row r="238" ht="16" customHeight="1">
      <c r="A238" s="141" t="n"/>
      <c r="B238" s="69">
        <f>IF(I238="","",HYPERLINK(VLOOKUP(I238,areaCampiSquadre,3,FALSE),VLOOKUP(I238,areaCampiSquadre,2,FALSE)))</f>
        <v/>
      </c>
      <c r="C238" s="9" t="n"/>
      <c r="D238" s="9" t="n"/>
      <c r="E238" s="9" t="n"/>
      <c r="F238" s="9" t="n"/>
      <c r="G238" s="9" t="n"/>
      <c r="H238" s="10" t="n"/>
      <c r="I238" s="62" t="inlineStr">
        <is>
          <t>B15</t>
        </is>
      </c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IF(C240="","",IFERROR(VLOOKUP(C240,areaNomiBreviSquadre,7,FALSE),""))</f>
        <v/>
      </c>
      <c r="C240" s="62" t="inlineStr">
        <is>
          <t>B09</t>
        </is>
      </c>
      <c r="D240" s="61">
        <f>IF(E240="","",IFERROR(VLOOKUP(E240,areaNomiBreviSquadre,7,FALSE),""))</f>
        <v/>
      </c>
      <c r="E240" s="62" t="inlineStr">
        <is>
          <t>B07</t>
        </is>
      </c>
      <c r="F240" s="63" t="n">
        <v>46362.60416666666</v>
      </c>
      <c r="G240" s="9" t="n"/>
      <c r="H240" s="9" t="n"/>
      <c r="I240" s="10" t="n"/>
      <c r="J240" s="65" t="n">
        <v>30</v>
      </c>
      <c r="K240" s="66" t="inlineStr">
        <is>
          <t>-</t>
        </is>
      </c>
      <c r="L240" s="65" t="n">
        <v>54</v>
      </c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IF($J240+$L240=0,,IF($J240&lt;$L240,IF($J240&amp;"-"&amp;$L240=MID(constPunteggioForfait,FIND("-",constPunteggioForfait)+1,LEN(constPunteggioForfait))&amp;"-"&amp;LEFT(constPunteggioForfait,FIND("-",constPunteggioForfait)-1),1,0),0))</f>
        <v/>
      </c>
      <c r="P240" s="67">
        <f>IF($J240+$L240=0,,IF($J240&lt;$L240,IF($J240&amp;"-"&amp;$L240&lt;&gt;MID(constPunteggioForfait,FIND("-",constPunteggioForfait)+1,LEN(constPunteggioForfait))&amp;"-"&amp;LEFT(constPunteggioForfait,FIND("-",constPunteggioForfait)-1),1,0),0))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IF($J240+$L240=0,,IF($L240&lt;$J240,IF($J240&amp;"-"&amp;$L240=constPunteggioForfait,1,0),0))</f>
        <v/>
      </c>
      <c r="W240" s="67">
        <f>IF($J240+$L240=0,,IF($L240&lt;$J240,IF($J240&amp;"-"&amp;$L240&lt;&gt;constPunteggioForfait,1,0),0))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"&amp;IFERROR(INDEX(Campionato!$E$14:$E$53,MATCH($C240,Campionato!$B$14:$B$53,0)),"?")&amp;"]")</f>
        <v/>
      </c>
    </row>
    <row r="241" ht="16" customHeight="1">
      <c r="A241" s="141" t="n"/>
      <c r="B241" s="69">
        <f>IF(I241="","",HYPERLINK(VLOOKUP(I241,areaCampiSquadre,3,FALSE),VLOOKUP(I241,areaCampiSquadre,2,FALSE)))</f>
        <v/>
      </c>
      <c r="C241" s="9" t="n"/>
      <c r="D241" s="9" t="n"/>
      <c r="E241" s="9" t="n"/>
      <c r="F241" s="9" t="n"/>
      <c r="G241" s="9" t="n"/>
      <c r="H241" s="10" t="n"/>
      <c r="I241" s="62" t="inlineStr">
        <is>
          <t>B15</t>
        </is>
      </c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IF(C243="","",IFERROR(VLOOKUP(C243,areaNomiBreviSquadre,7,FALSE),""))</f>
        <v/>
      </c>
      <c r="C243" s="62" t="inlineStr">
        <is>
          <t>B06</t>
        </is>
      </c>
      <c r="D243" s="61">
        <f>IF(E243="","",IFERROR(VLOOKUP(E243,areaNomiBreviSquadre,7,FALSE),""))</f>
        <v/>
      </c>
      <c r="E243" s="62" t="inlineStr">
        <is>
          <t>B10</t>
        </is>
      </c>
      <c r="F243" s="63" t="n">
        <v>46362.66666666666</v>
      </c>
      <c r="G243" s="9" t="n"/>
      <c r="H243" s="9" t="n"/>
      <c r="I243" s="10" t="n"/>
      <c r="J243" s="65" t="n">
        <v>51</v>
      </c>
      <c r="K243" s="66" t="inlineStr">
        <is>
          <t>-</t>
        </is>
      </c>
      <c r="L243" s="65" t="n">
        <v>30</v>
      </c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IF($J243+$L243=0,,IF($J243&lt;$L243,IF($J243&amp;"-"&amp;$L243=MID(constPunteggioForfait,FIND("-",constPunteggioForfait)+1,LEN(constPunteggioForfait))&amp;"-"&amp;LEFT(constPunteggioForfait,FIND("-",constPunteggioForfait)-1),1,0),0))</f>
        <v/>
      </c>
      <c r="P243" s="67">
        <f>IF($J243+$L243=0,,IF($J243&lt;$L243,IF($J243&amp;"-"&amp;$L243&lt;&gt;MID(constPunteggioForfait,FIND("-",constPunteggioForfait)+1,LEN(constPunteggioForfait))&amp;"-"&amp;LEFT(constPunteggioForfait,FIND("-",constPunteggioForfait)-1),1,0),0))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IF($J243+$L243=0,,IF($L243&lt;$J243,IF($J243&amp;"-"&amp;$L243=constPunteggioForfait,1,0),0))</f>
        <v/>
      </c>
      <c r="W243" s="67">
        <f>IF($J243+$L243=0,,IF($L243&lt;$J243,IF($J243&amp;"-"&amp;$L243&lt;&gt;constPunteggioForfait,1,0),0))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"&amp;IFERROR(INDEX(Campionato!$E$14:$E$53,MATCH($C243,Campionato!$B$14:$B$53,0)),"?")&amp;"]")</f>
        <v/>
      </c>
    </row>
    <row r="244" ht="16" customHeight="1">
      <c r="A244" s="141" t="n"/>
      <c r="B244" s="69">
        <f>IF(I244="","",HYPERLINK(VLOOKUP(I244,areaCampiSquadre,3,FALSE),VLOOKUP(I244,areaCampiSquadre,2,FALSE)))</f>
        <v/>
      </c>
      <c r="C244" s="9" t="n"/>
      <c r="D244" s="9" t="n"/>
      <c r="E244" s="9" t="n"/>
      <c r="F244" s="9" t="n"/>
      <c r="G244" s="9" t="n"/>
      <c r="H244" s="10" t="n"/>
      <c r="I244" s="62" t="inlineStr">
        <is>
          <t>B15</t>
        </is>
      </c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IF(C246="","",IFERROR(VLOOKUP(C246,areaNomiBreviSquadre,7,FALSE),""))</f>
        <v/>
      </c>
      <c r="C246" s="62" t="inlineStr">
        <is>
          <t>B11</t>
        </is>
      </c>
      <c r="D246" s="61">
        <f>IF(E246="","",IFERROR(VLOOKUP(E246,areaNomiBreviSquadre,7,FALSE),""))</f>
        <v/>
      </c>
      <c r="E246" s="62" t="inlineStr">
        <is>
          <t>B05</t>
        </is>
      </c>
      <c r="F246" s="63" t="n">
        <v>46362.72916666666</v>
      </c>
      <c r="G246" s="9" t="n"/>
      <c r="H246" s="9" t="n"/>
      <c r="I246" s="10" t="n"/>
      <c r="J246" s="65" t="n">
        <v>37</v>
      </c>
      <c r="K246" s="66" t="inlineStr">
        <is>
          <t>-</t>
        </is>
      </c>
      <c r="L246" s="65" t="n">
        <v>46</v>
      </c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IF($J246+$L246=0,,IF($J246&lt;$L246,IF($J246&amp;"-"&amp;$L246=MID(constPunteggioForfait,FIND("-",constPunteggioForfait)+1,LEN(constPunteggioForfait))&amp;"-"&amp;LEFT(constPunteggioForfait,FIND("-",constPunteggioForfait)-1),1,0),0))</f>
        <v/>
      </c>
      <c r="P246" s="67">
        <f>IF($J246+$L246=0,,IF($J246&lt;$L246,IF($J246&amp;"-"&amp;$L246&lt;&gt;MID(constPunteggioForfait,FIND("-",constPunteggioForfait)+1,LEN(constPunteggioForfait))&amp;"-"&amp;LEFT(constPunteggioForfait,FIND("-",constPunteggioForfait)-1),1,0),0))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IF($J246+$L246=0,,IF($L246&lt;$J246,IF($J246&amp;"-"&amp;$L246=constPunteggioForfait,1,0),0))</f>
        <v/>
      </c>
      <c r="W246" s="67">
        <f>IF($J246+$L246=0,,IF($L246&lt;$J246,IF($J246&amp;"-"&amp;$L246&lt;&gt;constPunteggioForfait,1,0),0))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"&amp;IFERROR(INDEX(Campionato!$E$14:$E$53,MATCH($C246,Campionato!$B$14:$B$53,0)),"?")&amp;"]")</f>
        <v/>
      </c>
    </row>
    <row r="247" ht="16" customHeight="1">
      <c r="A247" s="141" t="n"/>
      <c r="B247" s="69">
        <f>IF(I247="","",HYPERLINK(VLOOKUP(I247,areaCampiSquadre,3,FALSE),VLOOKUP(I247,areaCampiSquadre,2,FALSE)))</f>
        <v/>
      </c>
      <c r="C247" s="9" t="n"/>
      <c r="D247" s="9" t="n"/>
      <c r="E247" s="9" t="n"/>
      <c r="F247" s="9" t="n"/>
      <c r="G247" s="9" t="n"/>
      <c r="H247" s="10" t="n"/>
      <c r="I247" s="62" t="inlineStr">
        <is>
          <t>B15</t>
        </is>
      </c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IF(C249="","",IFERROR(VLOOKUP(C249,areaNomiBreviSquadre,7,FALSE),""))</f>
        <v/>
      </c>
      <c r="C249" s="62" t="inlineStr">
        <is>
          <t>B19</t>
        </is>
      </c>
      <c r="D249" s="61">
        <f>IF(E249="","",IFERROR(VLOOKUP(E249,areaNomiBreviSquadre,7,FALSE),""))</f>
        <v/>
      </c>
      <c r="E249" s="62" t="inlineStr">
        <is>
          <t>B16</t>
        </is>
      </c>
      <c r="F249" s="63" t="n">
        <v>46362.39583333334</v>
      </c>
      <c r="G249" s="9" t="n"/>
      <c r="H249" s="9" t="n"/>
      <c r="I249" s="10" t="n"/>
      <c r="J249" s="65" t="n">
        <v>38</v>
      </c>
      <c r="K249" s="66" t="inlineStr">
        <is>
          <t>-</t>
        </is>
      </c>
      <c r="L249" s="65" t="n">
        <v>26</v>
      </c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IF($J249+$L249=0,,IF($J249&lt;$L249,IF($J249&amp;"-"&amp;$L249=MID(constPunteggioForfait,FIND("-",constPunteggioForfait)+1,LEN(constPunteggioForfait))&amp;"-"&amp;LEFT(constPunteggioForfait,FIND("-",constPunteggioForfait)-1),1,0),0))</f>
        <v/>
      </c>
      <c r="P249" s="67">
        <f>IF($J249+$L249=0,,IF($J249&lt;$L249,IF($J249&amp;"-"&amp;$L249&lt;&gt;MID(constPunteggioForfait,FIND("-",constPunteggioForfait)+1,LEN(constPunteggioForfait))&amp;"-"&amp;LEFT(constPunteggioForfait,FIND("-",constPunteggioForfait)-1),1,0),0))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IF($J249+$L249=0,,IF($L249&lt;$J249,IF($J249&amp;"-"&amp;$L249=constPunteggioForfait,1,0),0))</f>
        <v/>
      </c>
      <c r="W249" s="67">
        <f>IF($J249+$L249=0,,IF($L249&lt;$J249,IF($J249&amp;"-"&amp;$L249&lt;&gt;constPunteggioForfait,1,0),0))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"&amp;IFERROR(INDEX(Campionato!$E$14:$E$53,MATCH($C249,Campionato!$B$14:$B$53,0)),"?")&amp;"]")</f>
        <v/>
      </c>
    </row>
    <row r="250" ht="16" customHeight="1">
      <c r="A250" s="141" t="n"/>
      <c r="B250" s="69">
        <f>IF(I250="","",HYPERLINK(VLOOKUP(I250,areaCampiSquadre,3,FALSE),VLOOKUP(I250,areaCampiSquadre,2,FALSE)))</f>
        <v/>
      </c>
      <c r="C250" s="9" t="n"/>
      <c r="D250" s="9" t="n"/>
      <c r="E250" s="9" t="n"/>
      <c r="F250" s="9" t="n"/>
      <c r="G250" s="9" t="n"/>
      <c r="H250" s="10" t="n"/>
      <c r="I250" s="62" t="inlineStr">
        <is>
          <t>B16</t>
        </is>
      </c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IF(C252="","",IFERROR(VLOOKUP(C252,areaNomiBreviSquadre,7,FALSE),""))</f>
        <v/>
      </c>
      <c r="C252" s="62" t="inlineStr">
        <is>
          <t>B04</t>
        </is>
      </c>
      <c r="D252" s="61">
        <f>IF(E252="","",IFERROR(VLOOKUP(E252,areaNomiBreviSquadre,7,FALSE),""))</f>
        <v/>
      </c>
      <c r="E252" s="62" t="inlineStr">
        <is>
          <t>B12</t>
        </is>
      </c>
      <c r="F252" s="63" t="n">
        <v>46362.45833333334</v>
      </c>
      <c r="G252" s="9" t="n"/>
      <c r="H252" s="9" t="n"/>
      <c r="I252" s="10" t="n"/>
      <c r="J252" s="65" t="n">
        <v>63</v>
      </c>
      <c r="K252" s="66" t="inlineStr">
        <is>
          <t>-</t>
        </is>
      </c>
      <c r="L252" s="65" t="n">
        <v>38</v>
      </c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IF($J252+$L252=0,,IF($J252&lt;$L252,IF($J252&amp;"-"&amp;$L252=MID(constPunteggioForfait,FIND("-",constPunteggioForfait)+1,LEN(constPunteggioForfait))&amp;"-"&amp;LEFT(constPunteggioForfait,FIND("-",constPunteggioForfait)-1),1,0),0))</f>
        <v/>
      </c>
      <c r="P252" s="67">
        <f>IF($J252+$L252=0,,IF($J252&lt;$L252,IF($J252&amp;"-"&amp;$L252&lt;&gt;MID(constPunteggioForfait,FIND("-",constPunteggioForfait)+1,LEN(constPunteggioForfait))&amp;"-"&amp;LEFT(constPunteggioForfait,FIND("-",constPunteggioForfait)-1),1,0),0))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IF($J252+$L252=0,,IF($L252&lt;$J252,IF($J252&amp;"-"&amp;$L252=constPunteggioForfait,1,0),0))</f>
        <v/>
      </c>
      <c r="W252" s="67">
        <f>IF($J252+$L252=0,,IF($L252&lt;$J252,IF($J252&amp;"-"&amp;$L252&lt;&gt;constPunteggioForfait,1,0),0))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"&amp;IFERROR(INDEX(Campionato!$E$14:$E$53,MATCH($C252,Campionato!$B$14:$B$53,0)),"?")&amp;"]")</f>
        <v/>
      </c>
    </row>
    <row r="253" ht="16" customHeight="1">
      <c r="A253" s="141" t="n"/>
      <c r="B253" s="69">
        <f>IF(I253="","",HYPERLINK(VLOOKUP(I253,areaCampiSquadre,3,FALSE),VLOOKUP(I253,areaCampiSquadre,2,FALSE)))</f>
        <v/>
      </c>
      <c r="C253" s="9" t="n"/>
      <c r="D253" s="9" t="n"/>
      <c r="E253" s="9" t="n"/>
      <c r="F253" s="9" t="n"/>
      <c r="G253" s="9" t="n"/>
      <c r="H253" s="10" t="n"/>
      <c r="I253" s="62" t="inlineStr">
        <is>
          <t>B16</t>
        </is>
      </c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IF(C255="","",IFERROR(VLOOKUP(C255,areaNomiBreviSquadre,7,FALSE),""))</f>
        <v/>
      </c>
      <c r="C255" s="62" t="inlineStr">
        <is>
          <t>B13</t>
        </is>
      </c>
      <c r="D255" s="61">
        <f>IF(E255="","",IFERROR(VLOOKUP(E255,areaNomiBreviSquadre,7,FALSE),""))</f>
        <v/>
      </c>
      <c r="E255" s="62" t="inlineStr">
        <is>
          <t>B03</t>
        </is>
      </c>
      <c r="F255" s="63" t="n">
        <v>46362.60416666666</v>
      </c>
      <c r="G255" s="9" t="n"/>
      <c r="H255" s="9" t="n"/>
      <c r="I255" s="10" t="n"/>
      <c r="J255" s="65" t="n">
        <v>41</v>
      </c>
      <c r="K255" s="66" t="inlineStr">
        <is>
          <t>-</t>
        </is>
      </c>
      <c r="L255" s="65" t="n">
        <v>13</v>
      </c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IF($J255+$L255=0,,IF($J255&lt;$L255,IF($J255&amp;"-"&amp;$L255=MID(constPunteggioForfait,FIND("-",constPunteggioForfait)+1,LEN(constPunteggioForfait))&amp;"-"&amp;LEFT(constPunteggioForfait,FIND("-",constPunteggioForfait)-1),1,0),0))</f>
        <v/>
      </c>
      <c r="P255" s="67">
        <f>IF($J255+$L255=0,,IF($J255&lt;$L255,IF($J255&amp;"-"&amp;$L255&lt;&gt;MID(constPunteggioForfait,FIND("-",constPunteggioForfait)+1,LEN(constPunteggioForfait))&amp;"-"&amp;LEFT(constPunteggioForfait,FIND("-",constPunteggioForfait)-1),1,0),0))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IF($J255+$L255=0,,IF($L255&lt;$J255,IF($J255&amp;"-"&amp;$L255=constPunteggioForfait,1,0),0))</f>
        <v/>
      </c>
      <c r="W255" s="67">
        <f>IF($J255+$L255=0,,IF($L255&lt;$J255,IF($J255&amp;"-"&amp;$L255&lt;&gt;constPunteggioForfait,1,0),0))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"&amp;IFERROR(INDEX(Campionato!$E$14:$E$53,MATCH($C255,Campionato!$B$14:$B$53,0)),"?")&amp;"]")</f>
        <v/>
      </c>
    </row>
    <row r="256" ht="16" customHeight="1">
      <c r="A256" s="141" t="n"/>
      <c r="B256" s="69">
        <f>IF(I256="","",HYPERLINK(VLOOKUP(I256,areaCampiSquadre,3,FALSE),VLOOKUP(I256,areaCampiSquadre,2,FALSE)))</f>
        <v/>
      </c>
      <c r="C256" s="9" t="n"/>
      <c r="D256" s="9" t="n"/>
      <c r="E256" s="9" t="n"/>
      <c r="F256" s="9" t="n"/>
      <c r="G256" s="9" t="n"/>
      <c r="H256" s="10" t="n"/>
      <c r="I256" s="62" t="inlineStr">
        <is>
          <t>B16</t>
        </is>
      </c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IF(C258="","",IFERROR(VLOOKUP(C258,areaNomiBreviSquadre,7,FALSE),""))</f>
        <v/>
      </c>
      <c r="C258" s="62" t="inlineStr">
        <is>
          <t>B02</t>
        </is>
      </c>
      <c r="D258" s="61">
        <f>IF(E258="","",IFERROR(VLOOKUP(E258,areaNomiBreviSquadre,7,FALSE),""))</f>
        <v/>
      </c>
      <c r="E258" s="62" t="inlineStr">
        <is>
          <t>B14</t>
        </is>
      </c>
      <c r="F258" s="63" t="n">
        <v>46362.66666666666</v>
      </c>
      <c r="G258" s="9" t="n"/>
      <c r="H258" s="9" t="n"/>
      <c r="I258" s="10" t="n"/>
      <c r="J258" s="65" t="n">
        <v>67</v>
      </c>
      <c r="K258" s="66" t="inlineStr">
        <is>
          <t>-</t>
        </is>
      </c>
      <c r="L258" s="65" t="n">
        <v>57</v>
      </c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IF($J258+$L258=0,,IF($J258&lt;$L258,IF($J258&amp;"-"&amp;$L258=MID(constPunteggioForfait,FIND("-",constPunteggioForfait)+1,LEN(constPunteggioForfait))&amp;"-"&amp;LEFT(constPunteggioForfait,FIND("-",constPunteggioForfait)-1),1,0),0))</f>
        <v/>
      </c>
      <c r="P258" s="67">
        <f>IF($J258+$L258=0,,IF($J258&lt;$L258,IF($J258&amp;"-"&amp;$L258&lt;&gt;MID(constPunteggioForfait,FIND("-",constPunteggioForfait)+1,LEN(constPunteggioForfait))&amp;"-"&amp;LEFT(constPunteggioForfait,FIND("-",constPunteggioForfait)-1),1,0),0))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IF($J258+$L258=0,,IF($L258&lt;$J258,IF($J258&amp;"-"&amp;$L258=constPunteggioForfait,1,0),0))</f>
        <v/>
      </c>
      <c r="W258" s="67">
        <f>IF($J258+$L258=0,,IF($L258&lt;$J258,IF($J258&amp;"-"&amp;$L258&lt;&gt;constPunteggioForfait,1,0),0))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"&amp;IFERROR(INDEX(Campionato!$E$14:$E$53,MATCH($C258,Campionato!$B$14:$B$53,0)),"?")&amp;"]")</f>
        <v/>
      </c>
    </row>
    <row r="259" ht="16" customHeight="1">
      <c r="A259" s="141" t="n"/>
      <c r="B259" s="69">
        <f>IF(I259="","",HYPERLINK(VLOOKUP(I259,areaCampiSquadre,3,FALSE),VLOOKUP(I259,areaCampiSquadre,2,FALSE)))</f>
        <v/>
      </c>
      <c r="C259" s="9" t="n"/>
      <c r="D259" s="9" t="n"/>
      <c r="E259" s="9" t="n"/>
      <c r="F259" s="9" t="n"/>
      <c r="G259" s="9" t="n"/>
      <c r="H259" s="10" t="n"/>
      <c r="I259" s="62" t="inlineStr">
        <is>
          <t>B16</t>
        </is>
      </c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IF(C261="","",IFERROR(VLOOKUP(C261,areaNomiBreviSquadre,7,FALSE),""))</f>
        <v/>
      </c>
      <c r="C261" s="62" t="inlineStr">
        <is>
          <t>B17</t>
        </is>
      </c>
      <c r="D261" s="61">
        <f>IF(E261="","",IFERROR(VLOOKUP(E261,areaNomiBreviSquadre,7,FALSE),""))</f>
        <v/>
      </c>
      <c r="E261" s="62" t="inlineStr">
        <is>
          <t>B18</t>
        </is>
      </c>
      <c r="F261" s="63" t="n">
        <v>46362.72916666666</v>
      </c>
      <c r="G261" s="9" t="n"/>
      <c r="H261" s="9" t="n"/>
      <c r="I261" s="10" t="n"/>
      <c r="J261" s="65" t="n">
        <v>53</v>
      </c>
      <c r="K261" s="66" t="inlineStr">
        <is>
          <t>-</t>
        </is>
      </c>
      <c r="L261" s="65" t="n">
        <v>63</v>
      </c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IF($J261+$L261=0,,IF($J261&lt;$L261,IF($J261&amp;"-"&amp;$L261=MID(constPunteggioForfait,FIND("-",constPunteggioForfait)+1,LEN(constPunteggioForfait))&amp;"-"&amp;LEFT(constPunteggioForfait,FIND("-",constPunteggioForfait)-1),1,0),0))</f>
        <v/>
      </c>
      <c r="P261" s="67">
        <f>IF($J261+$L261=0,,IF($J261&lt;$L261,IF($J261&amp;"-"&amp;$L261&lt;&gt;MID(constPunteggioForfait,FIND("-",constPunteggioForfait)+1,LEN(constPunteggioForfait))&amp;"-"&amp;LEFT(constPunteggioForfait,FIND("-",constPunteggioForfait)-1),1,0),0))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IF($J261+$L261=0,,IF($L261&lt;$J261,IF($J261&amp;"-"&amp;$L261=constPunteggioForfait,1,0),0))</f>
        <v/>
      </c>
      <c r="W261" s="67">
        <f>IF($J261+$L261=0,,IF($L261&lt;$J261,IF($J261&amp;"-"&amp;$L261&lt;&gt;constPunteggioForfait,1,0),0))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"&amp;IFERROR(INDEX(Campionato!$E$14:$E$53,MATCH($C261,Campionato!$B$14:$B$53,0)),"?")&amp;"]")</f>
        <v/>
      </c>
    </row>
    <row r="262" ht="16" customHeight="1">
      <c r="A262" s="141" t="n"/>
      <c r="B262" s="69">
        <f>IF(I262="","",HYPERLINK(VLOOKUP(I262,areaCampiSquadre,3,FALSE),VLOOKUP(I262,areaCampiSquadre,2,FALSE)))</f>
        <v/>
      </c>
      <c r="C262" s="9" t="n"/>
      <c r="D262" s="9" t="n"/>
      <c r="E262" s="9" t="n"/>
      <c r="F262" s="9" t="n"/>
      <c r="G262" s="9" t="n"/>
      <c r="H262" s="10" t="n"/>
      <c r="I262" s="62" t="inlineStr">
        <is>
          <t>B16</t>
        </is>
      </c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IF(C266="","",IFERROR(VLOOKUP(C266,areaNomiBreviSquadre,7,FALSE),""))</f>
        <v/>
      </c>
      <c r="C266" s="62" t="inlineStr">
        <is>
          <t>B17</t>
        </is>
      </c>
      <c r="D266" s="61">
        <f>IF(E266="","",IFERROR(VLOOKUP(E266,areaNomiBreviSquadre,7,FALSE),""))</f>
        <v/>
      </c>
      <c r="E266" s="62" t="inlineStr">
        <is>
          <t>B01</t>
        </is>
      </c>
      <c r="F266" s="63" t="n">
        <v>46369.39583333334</v>
      </c>
      <c r="G266" s="9" t="n"/>
      <c r="H266" s="9" t="n"/>
      <c r="I266" s="10" t="n"/>
      <c r="J266" s="65" t="n">
        <v>89</v>
      </c>
      <c r="K266" s="66" t="inlineStr">
        <is>
          <t>-</t>
        </is>
      </c>
      <c r="L266" s="65" t="n">
        <v>88</v>
      </c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IF($J266+$L266=0,,IF($J266&lt;$L266,IF($J266&amp;"-"&amp;$L266=MID(constPunteggioForfait,FIND("-",constPunteggioForfait)+1,LEN(constPunteggioForfait))&amp;"-"&amp;LEFT(constPunteggioForfait,FIND("-",constPunteggioForfait)-1),1,0),0))</f>
        <v/>
      </c>
      <c r="P266" s="67">
        <f>IF($J266+$L266=0,,IF($J266&lt;$L266,IF($J266&amp;"-"&amp;$L266&lt;&gt;MID(constPunteggioForfait,FIND("-",constPunteggioForfait)+1,LEN(constPunteggioForfait))&amp;"-"&amp;LEFT(constPunteggioForfait,FIND("-",constPunteggioForfait)-1),1,0),0))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IF($J266+$L266=0,,IF($L266&lt;$J266,IF($J266&amp;"-"&amp;$L266=constPunteggioForfait,1,0),0))</f>
        <v/>
      </c>
      <c r="W266" s="67">
        <f>IF($J266+$L266=0,,IF($L266&lt;$J266,IF($J266&amp;"-"&amp;$L266&lt;&gt;constPunteggioForfait,1,0),0))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"&amp;IFERROR(INDEX(Campionato!$E$14:$E$53,MATCH($C266,Campionato!$B$14:$B$53,0)),"?")&amp;"]")</f>
        <v/>
      </c>
    </row>
    <row r="267" ht="16" customHeight="1">
      <c r="A267" s="141" t="n"/>
      <c r="B267" s="69">
        <f>IF(I267="","",HYPERLINK(VLOOKUP(I267,areaCampiSquadre,3,FALSE),VLOOKUP(I267,areaCampiSquadre,2,FALSE)))</f>
        <v/>
      </c>
      <c r="C267" s="9" t="n"/>
      <c r="D267" s="9" t="n"/>
      <c r="E267" s="9" t="n"/>
      <c r="F267" s="9" t="n"/>
      <c r="G267" s="9" t="n"/>
      <c r="H267" s="10" t="n"/>
      <c r="I267" s="62" t="inlineStr">
        <is>
          <t>B17</t>
        </is>
      </c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IF(C269="","",IFERROR(VLOOKUP(C269,areaNomiBreviSquadre,7,FALSE),""))</f>
        <v/>
      </c>
      <c r="C269" s="62" t="inlineStr">
        <is>
          <t>B09</t>
        </is>
      </c>
      <c r="D269" s="61">
        <f>IF(E269="","",IFERROR(VLOOKUP(E269,areaNomiBreviSquadre,7,FALSE),""))</f>
        <v/>
      </c>
      <c r="E269" s="62" t="inlineStr">
        <is>
          <t>B20</t>
        </is>
      </c>
      <c r="F269" s="63" t="n">
        <v>46369.45833333334</v>
      </c>
      <c r="G269" s="9" t="n"/>
      <c r="H269" s="9" t="n"/>
      <c r="I269" s="10" t="n"/>
      <c r="J269" s="65" t="n">
        <v>57</v>
      </c>
      <c r="K269" s="66" t="inlineStr">
        <is>
          <t>-</t>
        </is>
      </c>
      <c r="L269" s="65" t="n">
        <v>60</v>
      </c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IF($J269+$L269=0,,IF($J269&lt;$L269,IF($J269&amp;"-"&amp;$L269=MID(constPunteggioForfait,FIND("-",constPunteggioForfait)+1,LEN(constPunteggioForfait))&amp;"-"&amp;LEFT(constPunteggioForfait,FIND("-",constPunteggioForfait)-1),1,0),0))</f>
        <v/>
      </c>
      <c r="P269" s="67">
        <f>IF($J269+$L269=0,,IF($J269&lt;$L269,IF($J269&amp;"-"&amp;$L269&lt;&gt;MID(constPunteggioForfait,FIND("-",constPunteggioForfait)+1,LEN(constPunteggioForfait))&amp;"-"&amp;LEFT(constPunteggioForfait,FIND("-",constPunteggioForfait)-1),1,0),0))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IF($J269+$L269=0,,IF($L269&lt;$J269,IF($J269&amp;"-"&amp;$L269=constPunteggioForfait,1,0),0))</f>
        <v/>
      </c>
      <c r="W269" s="67">
        <f>IF($J269+$L269=0,,IF($L269&lt;$J269,IF($J269&amp;"-"&amp;$L269&lt;&gt;constPunteggioForfait,1,0),0))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"&amp;IFERROR(INDEX(Campionato!$E$14:$E$53,MATCH($C269,Campionato!$B$14:$B$53,0)),"?")&amp;"]")</f>
        <v/>
      </c>
    </row>
    <row r="270" ht="16" customHeight="1">
      <c r="A270" s="141" t="n"/>
      <c r="B270" s="69">
        <f>IF(I270="","",HYPERLINK(VLOOKUP(I270,areaCampiSquadre,3,FALSE),VLOOKUP(I270,areaCampiSquadre,2,FALSE)))</f>
        <v/>
      </c>
      <c r="C270" s="9" t="n"/>
      <c r="D270" s="9" t="n"/>
      <c r="E270" s="9" t="n"/>
      <c r="F270" s="9" t="n"/>
      <c r="G270" s="9" t="n"/>
      <c r="H270" s="10" t="n"/>
      <c r="I270" s="62" t="inlineStr">
        <is>
          <t>B17</t>
        </is>
      </c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IF(C272="","",IFERROR(VLOOKUP(C272,areaNomiBreviSquadre,7,FALSE),""))</f>
        <v/>
      </c>
      <c r="C272" s="62" t="inlineStr">
        <is>
          <t>B08</t>
        </is>
      </c>
      <c r="D272" s="61">
        <f>IF(E272="","",IFERROR(VLOOKUP(E272,areaNomiBreviSquadre,7,FALSE),""))</f>
        <v/>
      </c>
      <c r="E272" s="62" t="inlineStr">
        <is>
          <t>B10</t>
        </is>
      </c>
      <c r="F272" s="63" t="n">
        <v>46369.60416666666</v>
      </c>
      <c r="G272" s="9" t="n"/>
      <c r="H272" s="9" t="n"/>
      <c r="I272" s="10" t="n"/>
      <c r="J272" s="65" t="n">
        <v>57</v>
      </c>
      <c r="K272" s="66" t="inlineStr">
        <is>
          <t>-</t>
        </is>
      </c>
      <c r="L272" s="65" t="n">
        <v>53</v>
      </c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IF($J272+$L272=0,,IF($J272&lt;$L272,IF($J272&amp;"-"&amp;$L272=MID(constPunteggioForfait,FIND("-",constPunteggioForfait)+1,LEN(constPunteggioForfait))&amp;"-"&amp;LEFT(constPunteggioForfait,FIND("-",constPunteggioForfait)-1),1,0),0))</f>
        <v/>
      </c>
      <c r="P272" s="67">
        <f>IF($J272+$L272=0,,IF($J272&lt;$L272,IF($J272&amp;"-"&amp;$L272&lt;&gt;MID(constPunteggioForfait,FIND("-",constPunteggioForfait)+1,LEN(constPunteggioForfait))&amp;"-"&amp;LEFT(constPunteggioForfait,FIND("-",constPunteggioForfait)-1),1,0),0))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IF($J272+$L272=0,,IF($L272&lt;$J272,IF($J272&amp;"-"&amp;$L272=constPunteggioForfait,1,0),0))</f>
        <v/>
      </c>
      <c r="W272" s="67">
        <f>IF($J272+$L272=0,,IF($L272&lt;$J272,IF($J272&amp;"-"&amp;$L272&lt;&gt;constPunteggioForfait,1,0),0))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"&amp;IFERROR(INDEX(Campionato!$E$14:$E$53,MATCH($C272,Campionato!$B$14:$B$53,0)),"?")&amp;"]")</f>
        <v/>
      </c>
    </row>
    <row r="273" ht="16" customHeight="1">
      <c r="A273" s="141" t="n"/>
      <c r="B273" s="69">
        <f>IF(I273="","",HYPERLINK(VLOOKUP(I273,areaCampiSquadre,3,FALSE),VLOOKUP(I273,areaCampiSquadre,2,FALSE)))</f>
        <v/>
      </c>
      <c r="C273" s="9" t="n"/>
      <c r="D273" s="9" t="n"/>
      <c r="E273" s="9" t="n"/>
      <c r="F273" s="9" t="n"/>
      <c r="G273" s="9" t="n"/>
      <c r="H273" s="10" t="n"/>
      <c r="I273" s="62" t="inlineStr">
        <is>
          <t>B17</t>
        </is>
      </c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IF(C275="","",IFERROR(VLOOKUP(C275,areaNomiBreviSquadre,7,FALSE),""))</f>
        <v/>
      </c>
      <c r="C275" s="62" t="inlineStr">
        <is>
          <t>B11</t>
        </is>
      </c>
      <c r="D275" s="61">
        <f>IF(E275="","",IFERROR(VLOOKUP(E275,areaNomiBreviSquadre,7,FALSE),""))</f>
        <v/>
      </c>
      <c r="E275" s="62" t="inlineStr">
        <is>
          <t>B07</t>
        </is>
      </c>
      <c r="F275" s="63" t="n">
        <v>46369.66666666666</v>
      </c>
      <c r="G275" s="9" t="n"/>
      <c r="H275" s="9" t="n"/>
      <c r="I275" s="10" t="n"/>
      <c r="J275" s="65" t="n">
        <v>60</v>
      </c>
      <c r="K275" s="66" t="inlineStr">
        <is>
          <t>-</t>
        </is>
      </c>
      <c r="L275" s="65" t="n">
        <v>59</v>
      </c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IF($J275+$L275=0,,IF($J275&lt;$L275,IF($J275&amp;"-"&amp;$L275=MID(constPunteggioForfait,FIND("-",constPunteggioForfait)+1,LEN(constPunteggioForfait))&amp;"-"&amp;LEFT(constPunteggioForfait,FIND("-",constPunteggioForfait)-1),1,0),0))</f>
        <v/>
      </c>
      <c r="P275" s="67">
        <f>IF($J275+$L275=0,,IF($J275&lt;$L275,IF($J275&amp;"-"&amp;$L275&lt;&gt;MID(constPunteggioForfait,FIND("-",constPunteggioForfait)+1,LEN(constPunteggioForfait))&amp;"-"&amp;LEFT(constPunteggioForfait,FIND("-",constPunteggioForfait)-1),1,0),0))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IF($J275+$L275=0,,IF($L275&lt;$J275,IF($J275&amp;"-"&amp;$L275=constPunteggioForfait,1,0),0))</f>
        <v/>
      </c>
      <c r="W275" s="67">
        <f>IF($J275+$L275=0,,IF($L275&lt;$J275,IF($J275&amp;"-"&amp;$L275&lt;&gt;constPunteggioForfait,1,0),0))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"&amp;IFERROR(INDEX(Campionato!$E$14:$E$53,MATCH($C275,Campionato!$B$14:$B$53,0)),"?")&amp;"]")</f>
        <v/>
      </c>
    </row>
    <row r="276" ht="16" customHeight="1">
      <c r="A276" s="141" t="n"/>
      <c r="B276" s="69">
        <f>IF(I276="","",HYPERLINK(VLOOKUP(I276,areaCampiSquadre,3,FALSE),VLOOKUP(I276,areaCampiSquadre,2,FALSE)))</f>
        <v/>
      </c>
      <c r="C276" s="9" t="n"/>
      <c r="D276" s="9" t="n"/>
      <c r="E276" s="9" t="n"/>
      <c r="F276" s="9" t="n"/>
      <c r="G276" s="9" t="n"/>
      <c r="H276" s="10" t="n"/>
      <c r="I276" s="62" t="inlineStr">
        <is>
          <t>B17</t>
        </is>
      </c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IF(C278="","",IFERROR(VLOOKUP(C278,areaNomiBreviSquadre,7,FALSE),""))</f>
        <v/>
      </c>
      <c r="C278" s="62" t="inlineStr">
        <is>
          <t>B06</t>
        </is>
      </c>
      <c r="D278" s="61">
        <f>IF(E278="","",IFERROR(VLOOKUP(E278,areaNomiBreviSquadre,7,FALSE),""))</f>
        <v/>
      </c>
      <c r="E278" s="62" t="inlineStr">
        <is>
          <t>B12</t>
        </is>
      </c>
      <c r="F278" s="63" t="n">
        <v>46369.72916666666</v>
      </c>
      <c r="G278" s="9" t="n"/>
      <c r="H278" s="9" t="n"/>
      <c r="I278" s="10" t="n"/>
      <c r="J278" s="65" t="n">
        <v>58</v>
      </c>
      <c r="K278" s="66" t="inlineStr">
        <is>
          <t>-</t>
        </is>
      </c>
      <c r="L278" s="65" t="n">
        <v>65</v>
      </c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IF($J278+$L278=0,,IF($J278&lt;$L278,IF($J278&amp;"-"&amp;$L278=MID(constPunteggioForfait,FIND("-",constPunteggioForfait)+1,LEN(constPunteggioForfait))&amp;"-"&amp;LEFT(constPunteggioForfait,FIND("-",constPunteggioForfait)-1),1,0),0))</f>
        <v/>
      </c>
      <c r="P278" s="67">
        <f>IF($J278+$L278=0,,IF($J278&lt;$L278,IF($J278&amp;"-"&amp;$L278&lt;&gt;MID(constPunteggioForfait,FIND("-",constPunteggioForfait)+1,LEN(constPunteggioForfait))&amp;"-"&amp;LEFT(constPunteggioForfait,FIND("-",constPunteggioForfait)-1),1,0),0))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IF($J278+$L278=0,,IF($L278&lt;$J278,IF($J278&amp;"-"&amp;$L278=constPunteggioForfait,1,0),0))</f>
        <v/>
      </c>
      <c r="W278" s="67">
        <f>IF($J278+$L278=0,,IF($L278&lt;$J278,IF($J278&amp;"-"&amp;$L278&lt;&gt;constPunteggioForfait,1,0),0))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"&amp;IFERROR(INDEX(Campionato!$E$14:$E$53,MATCH($C278,Campionato!$B$14:$B$53,0)),"?")&amp;"]")</f>
        <v/>
      </c>
    </row>
    <row r="279" ht="16" customHeight="1">
      <c r="A279" s="141" t="n"/>
      <c r="B279" s="69">
        <f>IF(I279="","",HYPERLINK(VLOOKUP(I279,areaCampiSquadre,3,FALSE),VLOOKUP(I279,areaCampiSquadre,2,FALSE)))</f>
        <v/>
      </c>
      <c r="C279" s="9" t="n"/>
      <c r="D279" s="9" t="n"/>
      <c r="E279" s="9" t="n"/>
      <c r="F279" s="9" t="n"/>
      <c r="G279" s="9" t="n"/>
      <c r="H279" s="10" t="n"/>
      <c r="I279" s="62" t="inlineStr">
        <is>
          <t>B17</t>
        </is>
      </c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IF(C281="","",IFERROR(VLOOKUP(C281,areaNomiBreviSquadre,7,FALSE),""))</f>
        <v/>
      </c>
      <c r="C281" s="62" t="inlineStr">
        <is>
          <t>B19</t>
        </is>
      </c>
      <c r="D281" s="61">
        <f>IF(E281="","",IFERROR(VLOOKUP(E281,areaNomiBreviSquadre,7,FALSE),""))</f>
        <v/>
      </c>
      <c r="E281" s="62" t="inlineStr">
        <is>
          <t>B18</t>
        </is>
      </c>
      <c r="F281" s="63" t="n">
        <v>46369.39583333334</v>
      </c>
      <c r="G281" s="9" t="n"/>
      <c r="H281" s="9" t="n"/>
      <c r="I281" s="10" t="n"/>
      <c r="J281" s="65" t="n">
        <v>84</v>
      </c>
      <c r="K281" s="66" t="inlineStr">
        <is>
          <t>-</t>
        </is>
      </c>
      <c r="L281" s="65" t="n">
        <v>67</v>
      </c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IF($J281+$L281=0,,IF($J281&lt;$L281,IF($J281&amp;"-"&amp;$L281=MID(constPunteggioForfait,FIND("-",constPunteggioForfait)+1,LEN(constPunteggioForfait))&amp;"-"&amp;LEFT(constPunteggioForfait,FIND("-",constPunteggioForfait)-1),1,0),0))</f>
        <v/>
      </c>
      <c r="P281" s="67">
        <f>IF($J281+$L281=0,,IF($J281&lt;$L281,IF($J281&amp;"-"&amp;$L281&lt;&gt;MID(constPunteggioForfait,FIND("-",constPunteggioForfait)+1,LEN(constPunteggioForfait))&amp;"-"&amp;LEFT(constPunteggioForfait,FIND("-",constPunteggioForfait)-1),1,0),0))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IF($J281+$L281=0,,IF($L281&lt;$J281,IF($J281&amp;"-"&amp;$L281=constPunteggioForfait,1,0),0))</f>
        <v/>
      </c>
      <c r="W281" s="67">
        <f>IF($J281+$L281=0,,IF($L281&lt;$J281,IF($J281&amp;"-"&amp;$L281&lt;&gt;constPunteggioForfait,1,0),0))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"&amp;IFERROR(INDEX(Campionato!$E$14:$E$53,MATCH($C281,Campionato!$B$14:$B$53,0)),"?")&amp;"]")</f>
        <v/>
      </c>
    </row>
    <row r="282" ht="16" customHeight="1">
      <c r="A282" s="141" t="n"/>
      <c r="B282" s="69">
        <f>IF(I282="","",HYPERLINK(VLOOKUP(I282,areaCampiSquadre,3,FALSE),VLOOKUP(I282,areaCampiSquadre,2,FALSE)))</f>
        <v/>
      </c>
      <c r="C282" s="9" t="n"/>
      <c r="D282" s="9" t="n"/>
      <c r="E282" s="9" t="n"/>
      <c r="F282" s="9" t="n"/>
      <c r="G282" s="9" t="n"/>
      <c r="H282" s="10" t="n"/>
      <c r="I282" s="62" t="inlineStr">
        <is>
          <t>B18</t>
        </is>
      </c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IF(C284="","",IFERROR(VLOOKUP(C284,areaNomiBreviSquadre,7,FALSE),""))</f>
        <v/>
      </c>
      <c r="C284" s="62" t="inlineStr">
        <is>
          <t>B13</t>
        </is>
      </c>
      <c r="D284" s="61">
        <f>IF(E284="","",IFERROR(VLOOKUP(E284,areaNomiBreviSquadre,7,FALSE),""))</f>
        <v/>
      </c>
      <c r="E284" s="62" t="inlineStr">
        <is>
          <t>B05</t>
        </is>
      </c>
      <c r="F284" s="63" t="n">
        <v>46369.45833333334</v>
      </c>
      <c r="G284" s="9" t="n"/>
      <c r="H284" s="9" t="n"/>
      <c r="I284" s="10" t="n"/>
      <c r="J284" s="65" t="n">
        <v>33</v>
      </c>
      <c r="K284" s="66" t="inlineStr">
        <is>
          <t>-</t>
        </is>
      </c>
      <c r="L284" s="65" t="n">
        <v>49</v>
      </c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IF($J284+$L284=0,,IF($J284&lt;$L284,IF($J284&amp;"-"&amp;$L284=MID(constPunteggioForfait,FIND("-",constPunteggioForfait)+1,LEN(constPunteggioForfait))&amp;"-"&amp;LEFT(constPunteggioForfait,FIND("-",constPunteggioForfait)-1),1,0),0))</f>
        <v/>
      </c>
      <c r="P284" s="67">
        <f>IF($J284+$L284=0,,IF($J284&lt;$L284,IF($J284&amp;"-"&amp;$L284&lt;&gt;MID(constPunteggioForfait,FIND("-",constPunteggioForfait)+1,LEN(constPunteggioForfait))&amp;"-"&amp;LEFT(constPunteggioForfait,FIND("-",constPunteggioForfait)-1),1,0),0))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IF($J284+$L284=0,,IF($L284&lt;$J284,IF($J284&amp;"-"&amp;$L284=constPunteggioForfait,1,0),0))</f>
        <v/>
      </c>
      <c r="W284" s="67">
        <f>IF($J284+$L284=0,,IF($L284&lt;$J284,IF($J284&amp;"-"&amp;$L284&lt;&gt;constPunteggioForfait,1,0),0))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"&amp;IFERROR(INDEX(Campionato!$E$14:$E$53,MATCH($C284,Campionato!$B$14:$B$53,0)),"?")&amp;"]")</f>
        <v/>
      </c>
    </row>
    <row r="285" ht="16" customHeight="1">
      <c r="A285" s="141" t="n"/>
      <c r="B285" s="69">
        <f>IF(I285="","",HYPERLINK(VLOOKUP(I285,areaCampiSquadre,3,FALSE),VLOOKUP(I285,areaCampiSquadre,2,FALSE)))</f>
        <v/>
      </c>
      <c r="C285" s="9" t="n"/>
      <c r="D285" s="9" t="n"/>
      <c r="E285" s="9" t="n"/>
      <c r="F285" s="9" t="n"/>
      <c r="G285" s="9" t="n"/>
      <c r="H285" s="10" t="n"/>
      <c r="I285" s="62" t="inlineStr">
        <is>
          <t>B18</t>
        </is>
      </c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IF(C287="","",IFERROR(VLOOKUP(C287,areaNomiBreviSquadre,7,FALSE),""))</f>
        <v/>
      </c>
      <c r="C287" s="62" t="inlineStr">
        <is>
          <t>B04</t>
        </is>
      </c>
      <c r="D287" s="61">
        <f>IF(E287="","",IFERROR(VLOOKUP(E287,areaNomiBreviSquadre,7,FALSE),""))</f>
        <v/>
      </c>
      <c r="E287" s="62" t="inlineStr">
        <is>
          <t>B14</t>
        </is>
      </c>
      <c r="F287" s="63" t="n">
        <v>46369.60416666666</v>
      </c>
      <c r="G287" s="9" t="n"/>
      <c r="H287" s="9" t="n"/>
      <c r="I287" s="10" t="n"/>
      <c r="J287" s="65" t="n">
        <v>44</v>
      </c>
      <c r="K287" s="66" t="inlineStr">
        <is>
          <t>-</t>
        </is>
      </c>
      <c r="L287" s="65" t="n">
        <v>24</v>
      </c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IF($J287+$L287=0,,IF($J287&lt;$L287,IF($J287&amp;"-"&amp;$L287=MID(constPunteggioForfait,FIND("-",constPunteggioForfait)+1,LEN(constPunteggioForfait))&amp;"-"&amp;LEFT(constPunteggioForfait,FIND("-",constPunteggioForfait)-1),1,0),0))</f>
        <v/>
      </c>
      <c r="P287" s="67">
        <f>IF($J287+$L287=0,,IF($J287&lt;$L287,IF($J287&amp;"-"&amp;$L287&lt;&gt;MID(constPunteggioForfait,FIND("-",constPunteggioForfait)+1,LEN(constPunteggioForfait))&amp;"-"&amp;LEFT(constPunteggioForfait,FIND("-",constPunteggioForfait)-1),1,0),0))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IF($J287+$L287=0,,IF($L287&lt;$J287,IF($J287&amp;"-"&amp;$L287=constPunteggioForfait,1,0),0))</f>
        <v/>
      </c>
      <c r="W287" s="67">
        <f>IF($J287+$L287=0,,IF($L287&lt;$J287,IF($J287&amp;"-"&amp;$L287&lt;&gt;constPunteggioForfait,1,0),0))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"&amp;IFERROR(INDEX(Campionato!$E$14:$E$53,MATCH($C287,Campionato!$B$14:$B$53,0)),"?")&amp;"]")</f>
        <v/>
      </c>
    </row>
    <row r="288" ht="16" customHeight="1">
      <c r="A288" s="141" t="n"/>
      <c r="B288" s="69">
        <f>IF(I288="","",HYPERLINK(VLOOKUP(I288,areaCampiSquadre,3,FALSE),VLOOKUP(I288,areaCampiSquadre,2,FALSE)))</f>
        <v/>
      </c>
      <c r="C288" s="9" t="n"/>
      <c r="D288" s="9" t="n"/>
      <c r="E288" s="9" t="n"/>
      <c r="F288" s="9" t="n"/>
      <c r="G288" s="9" t="n"/>
      <c r="H288" s="10" t="n"/>
      <c r="I288" s="62" t="inlineStr">
        <is>
          <t>B18</t>
        </is>
      </c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IF(C290="","",IFERROR(VLOOKUP(C290,areaNomiBreviSquadre,7,FALSE),""))</f>
        <v/>
      </c>
      <c r="C290" s="62" t="inlineStr">
        <is>
          <t>B15</t>
        </is>
      </c>
      <c r="D290" s="61">
        <f>IF(E290="","",IFERROR(VLOOKUP(E290,areaNomiBreviSquadre,7,FALSE),""))</f>
        <v/>
      </c>
      <c r="E290" s="62" t="inlineStr">
        <is>
          <t>B03</t>
        </is>
      </c>
      <c r="F290" s="63" t="n">
        <v>46369.66666666666</v>
      </c>
      <c r="G290" s="9" t="n"/>
      <c r="H290" s="9" t="n"/>
      <c r="I290" s="10" t="n"/>
      <c r="J290" s="65" t="n">
        <v>41</v>
      </c>
      <c r="K290" s="66" t="inlineStr">
        <is>
          <t>-</t>
        </is>
      </c>
      <c r="L290" s="65" t="n">
        <v>59</v>
      </c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IF($J290+$L290=0,,IF($J290&lt;$L290,IF($J290&amp;"-"&amp;$L290=MID(constPunteggioForfait,FIND("-",constPunteggioForfait)+1,LEN(constPunteggioForfait))&amp;"-"&amp;LEFT(constPunteggioForfait,FIND("-",constPunteggioForfait)-1),1,0),0))</f>
        <v/>
      </c>
      <c r="P290" s="67">
        <f>IF($J290+$L290=0,,IF($J290&lt;$L290,IF($J290&amp;"-"&amp;$L290&lt;&gt;MID(constPunteggioForfait,FIND("-",constPunteggioForfait)+1,LEN(constPunteggioForfait))&amp;"-"&amp;LEFT(constPunteggioForfait,FIND("-",constPunteggioForfait)-1),1,0),0))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IF($J290+$L290=0,,IF($L290&lt;$J290,IF($J290&amp;"-"&amp;$L290=constPunteggioForfait,1,0),0))</f>
        <v/>
      </c>
      <c r="W290" s="67">
        <f>IF($J290+$L290=0,,IF($L290&lt;$J290,IF($J290&amp;"-"&amp;$L290&lt;&gt;constPunteggioForfait,1,0),0))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"&amp;IFERROR(INDEX(Campionato!$E$14:$E$53,MATCH($C290,Campionato!$B$14:$B$53,0)),"?")&amp;"]")</f>
        <v/>
      </c>
    </row>
    <row r="291" ht="16" customHeight="1">
      <c r="A291" s="141" t="n"/>
      <c r="B291" s="69">
        <f>IF(I291="","",HYPERLINK(VLOOKUP(I291,areaCampiSquadre,3,FALSE),VLOOKUP(I291,areaCampiSquadre,2,FALSE)))</f>
        <v/>
      </c>
      <c r="C291" s="9" t="n"/>
      <c r="D291" s="9" t="n"/>
      <c r="E291" s="9" t="n"/>
      <c r="F291" s="9" t="n"/>
      <c r="G291" s="9" t="n"/>
      <c r="H291" s="10" t="n"/>
      <c r="I291" s="62" t="inlineStr">
        <is>
          <t>B18</t>
        </is>
      </c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IF(C293="","",IFERROR(VLOOKUP(C293,areaNomiBreviSquadre,7,FALSE),""))</f>
        <v/>
      </c>
      <c r="C293" s="62" t="inlineStr">
        <is>
          <t>B02</t>
        </is>
      </c>
      <c r="D293" s="61">
        <f>IF(E293="","",IFERROR(VLOOKUP(E293,areaNomiBreviSquadre,7,FALSE),""))</f>
        <v/>
      </c>
      <c r="E293" s="62" t="inlineStr">
        <is>
          <t>B16</t>
        </is>
      </c>
      <c r="F293" s="63" t="n">
        <v>46369.72916666666</v>
      </c>
      <c r="G293" s="9" t="n"/>
      <c r="H293" s="9" t="n"/>
      <c r="I293" s="10" t="n"/>
      <c r="J293" s="65" t="n">
        <v>73</v>
      </c>
      <c r="K293" s="66" t="inlineStr">
        <is>
          <t>-</t>
        </is>
      </c>
      <c r="L293" s="65" t="n">
        <v>71</v>
      </c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IF($J293+$L293=0,,IF($J293&lt;$L293,IF($J293&amp;"-"&amp;$L293=MID(constPunteggioForfait,FIND("-",constPunteggioForfait)+1,LEN(constPunteggioForfait))&amp;"-"&amp;LEFT(constPunteggioForfait,FIND("-",constPunteggioForfait)-1),1,0),0))</f>
        <v/>
      </c>
      <c r="P293" s="67">
        <f>IF($J293+$L293=0,,IF($J293&lt;$L293,IF($J293&amp;"-"&amp;$L293&lt;&gt;MID(constPunteggioForfait,FIND("-",constPunteggioForfait)+1,LEN(constPunteggioForfait))&amp;"-"&amp;LEFT(constPunteggioForfait,FIND("-",constPunteggioForfait)-1),1,0),0))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IF($J293+$L293=0,,IF($L293&lt;$J293,IF($J293&amp;"-"&amp;$L293=constPunteggioForfait,1,0),0))</f>
        <v/>
      </c>
      <c r="W293" s="67">
        <f>IF($J293+$L293=0,,IF($L293&lt;$J293,IF($J293&amp;"-"&amp;$L293&lt;&gt;constPunteggioForfait,1,0),0))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"&amp;IFERROR(INDEX(Campionato!$E$14:$E$53,MATCH($C293,Campionato!$B$14:$B$53,0)),"?")&amp;"]")</f>
        <v/>
      </c>
    </row>
    <row r="294" ht="16" customHeight="1">
      <c r="A294" s="141" t="n"/>
      <c r="B294" s="69">
        <f>IF(I294="","",HYPERLINK(VLOOKUP(I294,areaCampiSquadre,3,FALSE),VLOOKUP(I294,areaCampiSquadre,2,FALSE)))</f>
        <v/>
      </c>
      <c r="C294" s="9" t="n"/>
      <c r="D294" s="9" t="n"/>
      <c r="E294" s="9" t="n"/>
      <c r="F294" s="9" t="n"/>
      <c r="G294" s="9" t="n"/>
      <c r="H294" s="10" t="n"/>
      <c r="I294" s="62" t="inlineStr">
        <is>
          <t>B18</t>
        </is>
      </c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IF(C298="","",IFERROR(VLOOKUP(C298,areaNomiBreviSquadre,7,FALSE),""))</f>
        <v/>
      </c>
      <c r="C298" s="62" t="inlineStr">
        <is>
          <t>B19</t>
        </is>
      </c>
      <c r="D298" s="61">
        <f>IF(E298="","",IFERROR(VLOOKUP(E298,areaNomiBreviSquadre,7,FALSE),""))</f>
        <v/>
      </c>
      <c r="E298" s="62" t="inlineStr">
        <is>
          <t>B01</t>
        </is>
      </c>
      <c r="F298" s="63" t="n">
        <v>46376.39583333334</v>
      </c>
      <c r="G298" s="9" t="n"/>
      <c r="H298" s="9" t="n"/>
      <c r="I298" s="10" t="n"/>
      <c r="J298" s="65" t="n">
        <v>41</v>
      </c>
      <c r="K298" s="66" t="inlineStr">
        <is>
          <t>-</t>
        </is>
      </c>
      <c r="L298" s="65" t="n">
        <v>40</v>
      </c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IF($J298+$L298=0,,IF($J298&lt;$L298,IF($J298&amp;"-"&amp;$L298=MID(constPunteggioForfait,FIND("-",constPunteggioForfait)+1,LEN(constPunteggioForfait))&amp;"-"&amp;LEFT(constPunteggioForfait,FIND("-",constPunteggioForfait)-1),1,0),0))</f>
        <v/>
      </c>
      <c r="P298" s="67">
        <f>IF($J298+$L298=0,,IF($J298&lt;$L298,IF($J298&amp;"-"&amp;$L298&lt;&gt;MID(constPunteggioForfait,FIND("-",constPunteggioForfait)+1,LEN(constPunteggioForfait))&amp;"-"&amp;LEFT(constPunteggioForfait,FIND("-",constPunteggioForfait)-1),1,0),0))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IF($J298+$L298=0,,IF($L298&lt;$J298,IF($J298&amp;"-"&amp;$L298=constPunteggioForfait,1,0),0))</f>
        <v/>
      </c>
      <c r="W298" s="67">
        <f>IF($J298+$L298=0,,IF($L298&lt;$J298,IF($J298&amp;"-"&amp;$L298&lt;&gt;constPunteggioForfait,1,0),0))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"&amp;IFERROR(INDEX(Campionato!$E$14:$E$53,MATCH($C298,Campionato!$B$14:$B$53,0)),"?")&amp;"]")</f>
        <v/>
      </c>
    </row>
    <row r="299" ht="16" customHeight="1">
      <c r="A299" s="141" t="n"/>
      <c r="B299" s="69">
        <f>IF(I299="","",HYPERLINK(VLOOKUP(I299,areaCampiSquadre,3,FALSE),VLOOKUP(I299,areaCampiSquadre,2,FALSE)))</f>
        <v/>
      </c>
      <c r="C299" s="9" t="n"/>
      <c r="D299" s="9" t="n"/>
      <c r="E299" s="9" t="n"/>
      <c r="F299" s="9" t="n"/>
      <c r="G299" s="9" t="n"/>
      <c r="H299" s="10" t="n"/>
      <c r="I299" s="62" t="inlineStr">
        <is>
          <t>B19</t>
        </is>
      </c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IF(C301="","",IFERROR(VLOOKUP(C301,areaNomiBreviSquadre,7,FALSE),""))</f>
        <v/>
      </c>
      <c r="C301" s="62" t="inlineStr">
        <is>
          <t>B11</t>
        </is>
      </c>
      <c r="D301" s="61">
        <f>IF(E301="","",IFERROR(VLOOKUP(E301,areaNomiBreviSquadre,7,FALSE),""))</f>
        <v/>
      </c>
      <c r="E301" s="62" t="inlineStr">
        <is>
          <t>B09</t>
        </is>
      </c>
      <c r="F301" s="63" t="n">
        <v>46376.45833333334</v>
      </c>
      <c r="G301" s="9" t="n"/>
      <c r="H301" s="9" t="n"/>
      <c r="I301" s="10" t="n"/>
      <c r="J301" s="65" t="n">
        <v>59</v>
      </c>
      <c r="K301" s="66" t="inlineStr">
        <is>
          <t>-</t>
        </is>
      </c>
      <c r="L301" s="65" t="n">
        <v>58</v>
      </c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IF($J301+$L301=0,,IF($J301&lt;$L301,IF($J301&amp;"-"&amp;$L301=MID(constPunteggioForfait,FIND("-",constPunteggioForfait)+1,LEN(constPunteggioForfait))&amp;"-"&amp;LEFT(constPunteggioForfait,FIND("-",constPunteggioForfait)-1),1,0),0))</f>
        <v/>
      </c>
      <c r="P301" s="67">
        <f>IF($J301+$L301=0,,IF($J301&lt;$L301,IF($J301&amp;"-"&amp;$L301&lt;&gt;MID(constPunteggioForfait,FIND("-",constPunteggioForfait)+1,LEN(constPunteggioForfait))&amp;"-"&amp;LEFT(constPunteggioForfait,FIND("-",constPunteggioForfait)-1),1,0),0))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IF($J301+$L301=0,,IF($L301&lt;$J301,IF($J301&amp;"-"&amp;$L301=constPunteggioForfait,1,0),0))</f>
        <v/>
      </c>
      <c r="W301" s="67">
        <f>IF($J301+$L301=0,,IF($L301&lt;$J301,IF($J301&amp;"-"&amp;$L301&lt;&gt;constPunteggioForfait,1,0),0))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"&amp;IFERROR(INDEX(Campionato!$E$14:$E$53,MATCH($C301,Campionato!$B$14:$B$53,0)),"?")&amp;"]")</f>
        <v/>
      </c>
    </row>
    <row r="302" ht="16" customHeight="1">
      <c r="A302" s="141" t="n"/>
      <c r="B302" s="69">
        <f>IF(I302="","",HYPERLINK(VLOOKUP(I302,areaCampiSquadre,3,FALSE),VLOOKUP(I302,areaCampiSquadre,2,FALSE)))</f>
        <v/>
      </c>
      <c r="C302" s="9" t="n"/>
      <c r="D302" s="9" t="n"/>
      <c r="E302" s="9" t="n"/>
      <c r="F302" s="9" t="n"/>
      <c r="G302" s="9" t="n"/>
      <c r="H302" s="10" t="n"/>
      <c r="I302" s="62" t="inlineStr">
        <is>
          <t>B19</t>
        </is>
      </c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IF(C304="","",IFERROR(VLOOKUP(C304,areaNomiBreviSquadre,7,FALSE),""))</f>
        <v/>
      </c>
      <c r="C304" s="62" t="inlineStr">
        <is>
          <t>B08</t>
        </is>
      </c>
      <c r="D304" s="61">
        <f>IF(E304="","",IFERROR(VLOOKUP(E304,areaNomiBreviSquadre,7,FALSE),""))</f>
        <v/>
      </c>
      <c r="E304" s="62" t="inlineStr">
        <is>
          <t>B12</t>
        </is>
      </c>
      <c r="F304" s="63" t="n">
        <v>46376.60416666666</v>
      </c>
      <c r="G304" s="9" t="n"/>
      <c r="H304" s="9" t="n"/>
      <c r="I304" s="10" t="n"/>
      <c r="J304" s="65" t="n">
        <v>39</v>
      </c>
      <c r="K304" s="66" t="inlineStr">
        <is>
          <t>-</t>
        </is>
      </c>
      <c r="L304" s="65" t="n">
        <v>25</v>
      </c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IF($J304+$L304=0,,IF($J304&lt;$L304,IF($J304&amp;"-"&amp;$L304=MID(constPunteggioForfait,FIND("-",constPunteggioForfait)+1,LEN(constPunteggioForfait))&amp;"-"&amp;LEFT(constPunteggioForfait,FIND("-",constPunteggioForfait)-1),1,0),0))</f>
        <v/>
      </c>
      <c r="P304" s="67">
        <f>IF($J304+$L304=0,,IF($J304&lt;$L304,IF($J304&amp;"-"&amp;$L304&lt;&gt;MID(constPunteggioForfait,FIND("-",constPunteggioForfait)+1,LEN(constPunteggioForfait))&amp;"-"&amp;LEFT(constPunteggioForfait,FIND("-",constPunteggioForfait)-1),1,0),0))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IF($J304+$L304=0,,IF($L304&lt;$J304,IF($J304&amp;"-"&amp;$L304=constPunteggioForfait,1,0),0))</f>
        <v/>
      </c>
      <c r="W304" s="67">
        <f>IF($J304+$L304=0,,IF($L304&lt;$J304,IF($J304&amp;"-"&amp;$L304&lt;&gt;constPunteggioForfait,1,0),0))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"&amp;IFERROR(INDEX(Campionato!$E$14:$E$53,MATCH($C304,Campionato!$B$14:$B$53,0)),"?")&amp;"]")</f>
        <v/>
      </c>
    </row>
    <row r="305" ht="16" customHeight="1">
      <c r="A305" s="141" t="n"/>
      <c r="B305" s="69">
        <f>IF(I305="","",HYPERLINK(VLOOKUP(I305,areaCampiSquadre,3,FALSE),VLOOKUP(I305,areaCampiSquadre,2,FALSE)))</f>
        <v/>
      </c>
      <c r="C305" s="9" t="n"/>
      <c r="D305" s="9" t="n"/>
      <c r="E305" s="9" t="n"/>
      <c r="F305" s="9" t="n"/>
      <c r="G305" s="9" t="n"/>
      <c r="H305" s="10" t="n"/>
      <c r="I305" s="62" t="inlineStr">
        <is>
          <t>B19</t>
        </is>
      </c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IF(C307="","",IFERROR(VLOOKUP(C307,areaNomiBreviSquadre,7,FALSE),""))</f>
        <v/>
      </c>
      <c r="C307" s="62" t="inlineStr">
        <is>
          <t>B13</t>
        </is>
      </c>
      <c r="D307" s="61">
        <f>IF(E307="","",IFERROR(VLOOKUP(E307,areaNomiBreviSquadre,7,FALSE),""))</f>
        <v/>
      </c>
      <c r="E307" s="62" t="inlineStr">
        <is>
          <t>B07</t>
        </is>
      </c>
      <c r="F307" s="63" t="n">
        <v>46376.66666666666</v>
      </c>
      <c r="G307" s="9" t="n"/>
      <c r="H307" s="9" t="n"/>
      <c r="I307" s="10" t="n"/>
      <c r="J307" s="65" t="n">
        <v>26</v>
      </c>
      <c r="K307" s="66" t="inlineStr">
        <is>
          <t>-</t>
        </is>
      </c>
      <c r="L307" s="65" t="n">
        <v>54</v>
      </c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IF($J307+$L307=0,,IF($J307&lt;$L307,IF($J307&amp;"-"&amp;$L307=MID(constPunteggioForfait,FIND("-",constPunteggioForfait)+1,LEN(constPunteggioForfait))&amp;"-"&amp;LEFT(constPunteggioForfait,FIND("-",constPunteggioForfait)-1),1,0),0))</f>
        <v/>
      </c>
      <c r="P307" s="67">
        <f>IF($J307+$L307=0,,IF($J307&lt;$L307,IF($J307&amp;"-"&amp;$L307&lt;&gt;MID(constPunteggioForfait,FIND("-",constPunteggioForfait)+1,LEN(constPunteggioForfait))&amp;"-"&amp;LEFT(constPunteggioForfait,FIND("-",constPunteggioForfait)-1),1,0),0))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IF($J307+$L307=0,,IF($L307&lt;$J307,IF($J307&amp;"-"&amp;$L307=constPunteggioForfait,1,0),0))</f>
        <v/>
      </c>
      <c r="W307" s="67">
        <f>IF($J307+$L307=0,,IF($L307&lt;$J307,IF($J307&amp;"-"&amp;$L307&lt;&gt;constPunteggioForfait,1,0),0))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"&amp;IFERROR(INDEX(Campionato!$E$14:$E$53,MATCH($C307,Campionato!$B$14:$B$53,0)),"?")&amp;"]")</f>
        <v/>
      </c>
    </row>
    <row r="308" ht="16" customHeight="1">
      <c r="A308" s="141" t="n"/>
      <c r="B308" s="69">
        <f>IF(I308="","",HYPERLINK(VLOOKUP(I308,areaCampiSquadre,3,FALSE),VLOOKUP(I308,areaCampiSquadre,2,FALSE)))</f>
        <v/>
      </c>
      <c r="C308" s="9" t="n"/>
      <c r="D308" s="9" t="n"/>
      <c r="E308" s="9" t="n"/>
      <c r="F308" s="9" t="n"/>
      <c r="G308" s="9" t="n"/>
      <c r="H308" s="10" t="n"/>
      <c r="I308" s="62" t="inlineStr">
        <is>
          <t>B19</t>
        </is>
      </c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IF(C310="","",IFERROR(VLOOKUP(C310,areaNomiBreviSquadre,7,FALSE),""))</f>
        <v/>
      </c>
      <c r="C310" s="62" t="inlineStr">
        <is>
          <t>B06</t>
        </is>
      </c>
      <c r="D310" s="61">
        <f>IF(E310="","",IFERROR(VLOOKUP(E310,areaNomiBreviSquadre,7,FALSE),""))</f>
        <v/>
      </c>
      <c r="E310" s="62" t="inlineStr">
        <is>
          <t>B14</t>
        </is>
      </c>
      <c r="F310" s="63" t="n">
        <v>46376.72916666666</v>
      </c>
      <c r="G310" s="9" t="n"/>
      <c r="H310" s="9" t="n"/>
      <c r="I310" s="10" t="n"/>
      <c r="J310" s="65" t="n">
        <v>42</v>
      </c>
      <c r="K310" s="66" t="inlineStr">
        <is>
          <t>-</t>
        </is>
      </c>
      <c r="L310" s="65" t="n">
        <v>28</v>
      </c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IF($J310+$L310=0,,IF($J310&lt;$L310,IF($J310&amp;"-"&amp;$L310=MID(constPunteggioForfait,FIND("-",constPunteggioForfait)+1,LEN(constPunteggioForfait))&amp;"-"&amp;LEFT(constPunteggioForfait,FIND("-",constPunteggioForfait)-1),1,0),0))</f>
        <v/>
      </c>
      <c r="P310" s="67">
        <f>IF($J310+$L310=0,,IF($J310&lt;$L310,IF($J310&amp;"-"&amp;$L310&lt;&gt;MID(constPunteggioForfait,FIND("-",constPunteggioForfait)+1,LEN(constPunteggioForfait))&amp;"-"&amp;LEFT(constPunteggioForfait,FIND("-",constPunteggioForfait)-1),1,0),0))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IF($J310+$L310=0,,IF($L310&lt;$J310,IF($J310&amp;"-"&amp;$L310=constPunteggioForfait,1,0),0))</f>
        <v/>
      </c>
      <c r="W310" s="67">
        <f>IF($J310+$L310=0,,IF($L310&lt;$J310,IF($J310&amp;"-"&amp;$L310&lt;&gt;constPunteggioForfait,1,0),0))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"&amp;IFERROR(INDEX(Campionato!$E$14:$E$53,MATCH($C310,Campionato!$B$14:$B$53,0)),"?")&amp;"]")</f>
        <v/>
      </c>
    </row>
    <row r="311" ht="16" customHeight="1">
      <c r="A311" s="141" t="n"/>
      <c r="B311" s="69">
        <f>IF(I311="","",HYPERLINK(VLOOKUP(I311,areaCampiSquadre,3,FALSE),VLOOKUP(I311,areaCampiSquadre,2,FALSE)))</f>
        <v/>
      </c>
      <c r="C311" s="9" t="n"/>
      <c r="D311" s="9" t="n"/>
      <c r="E311" s="9" t="n"/>
      <c r="F311" s="9" t="n"/>
      <c r="G311" s="9" t="n"/>
      <c r="H311" s="10" t="n"/>
      <c r="I311" s="62" t="inlineStr">
        <is>
          <t>B19</t>
        </is>
      </c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IF(C313="","",IFERROR(VLOOKUP(C313,areaNomiBreviSquadre,7,FALSE),""))</f>
        <v/>
      </c>
      <c r="C313" s="62" t="inlineStr">
        <is>
          <t>B20</t>
        </is>
      </c>
      <c r="D313" s="61">
        <f>IF(E313="","",IFERROR(VLOOKUP(E313,areaNomiBreviSquadre,7,FALSE),""))</f>
        <v/>
      </c>
      <c r="E313" s="62" t="inlineStr">
        <is>
          <t>B10</t>
        </is>
      </c>
      <c r="F313" s="63" t="n">
        <v>46376.39583333334</v>
      </c>
      <c r="G313" s="9" t="n"/>
      <c r="H313" s="9" t="n"/>
      <c r="I313" s="10" t="n"/>
      <c r="J313" s="65" t="n">
        <v>79</v>
      </c>
      <c r="K313" s="66" t="inlineStr">
        <is>
          <t>-</t>
        </is>
      </c>
      <c r="L313" s="65" t="n">
        <v>57</v>
      </c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IF($J313+$L313=0,,IF($J313&lt;$L313,IF($J313&amp;"-"&amp;$L313=MID(constPunteggioForfait,FIND("-",constPunteggioForfait)+1,LEN(constPunteggioForfait))&amp;"-"&amp;LEFT(constPunteggioForfait,FIND("-",constPunteggioForfait)-1),1,0),0))</f>
        <v/>
      </c>
      <c r="P313" s="67">
        <f>IF($J313+$L313=0,,IF($J313&lt;$L313,IF($J313&amp;"-"&amp;$L313&lt;&gt;MID(constPunteggioForfait,FIND("-",constPunteggioForfait)+1,LEN(constPunteggioForfait))&amp;"-"&amp;LEFT(constPunteggioForfait,FIND("-",constPunteggioForfait)-1),1,0),0))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IF($J313+$L313=0,,IF($L313&lt;$J313,IF($J313&amp;"-"&amp;$L313=constPunteggioForfait,1,0),0))</f>
        <v/>
      </c>
      <c r="W313" s="67">
        <f>IF($J313+$L313=0,,IF($L313&lt;$J313,IF($J313&amp;"-"&amp;$L313&lt;&gt;constPunteggioForfait,1,0),0))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"&amp;IFERROR(INDEX(Campionato!$E$14:$E$53,MATCH($C313,Campionato!$B$14:$B$53,0)),"?")&amp;"]")</f>
        <v/>
      </c>
    </row>
    <row r="314" ht="16" customHeight="1">
      <c r="A314" s="141" t="n"/>
      <c r="B314" s="69">
        <f>IF(I314="","",HYPERLINK(VLOOKUP(I314,areaCampiSquadre,3,FALSE),VLOOKUP(I314,areaCampiSquadre,2,FALSE)))</f>
        <v/>
      </c>
      <c r="C314" s="9" t="n"/>
      <c r="D314" s="9" t="n"/>
      <c r="E314" s="9" t="n"/>
      <c r="F314" s="9" t="n"/>
      <c r="G314" s="9" t="n"/>
      <c r="H314" s="10" t="n"/>
      <c r="I314" s="62" t="inlineStr">
        <is>
          <t>B20</t>
        </is>
      </c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IF(C316="","",IFERROR(VLOOKUP(C316,areaNomiBreviSquadre,7,FALSE),""))</f>
        <v/>
      </c>
      <c r="C316" s="62" t="inlineStr">
        <is>
          <t>B15</t>
        </is>
      </c>
      <c r="D316" s="61">
        <f>IF(E316="","",IFERROR(VLOOKUP(E316,areaNomiBreviSquadre,7,FALSE),""))</f>
        <v/>
      </c>
      <c r="E316" s="62" t="inlineStr">
        <is>
          <t>B05</t>
        </is>
      </c>
      <c r="F316" s="63" t="n">
        <v>46376.45833333334</v>
      </c>
      <c r="G316" s="9" t="n"/>
      <c r="H316" s="9" t="n"/>
      <c r="I316" s="10" t="n"/>
      <c r="J316" s="65" t="n">
        <v>85</v>
      </c>
      <c r="K316" s="66" t="inlineStr">
        <is>
          <t>-</t>
        </is>
      </c>
      <c r="L316" s="65" t="n">
        <v>84</v>
      </c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IF($J316+$L316=0,,IF($J316&lt;$L316,IF($J316&amp;"-"&amp;$L316=MID(constPunteggioForfait,FIND("-",constPunteggioForfait)+1,LEN(constPunteggioForfait))&amp;"-"&amp;LEFT(constPunteggioForfait,FIND("-",constPunteggioForfait)-1),1,0),0))</f>
        <v/>
      </c>
      <c r="P316" s="67">
        <f>IF($J316+$L316=0,,IF($J316&lt;$L316,IF($J316&amp;"-"&amp;$L316&lt;&gt;MID(constPunteggioForfait,FIND("-",constPunteggioForfait)+1,LEN(constPunteggioForfait))&amp;"-"&amp;LEFT(constPunteggioForfait,FIND("-",constPunteggioForfait)-1),1,0),0))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IF($J316+$L316=0,,IF($L316&lt;$J316,IF($J316&amp;"-"&amp;$L316=constPunteggioForfait,1,0),0))</f>
        <v/>
      </c>
      <c r="W316" s="67">
        <f>IF($J316+$L316=0,,IF($L316&lt;$J316,IF($J316&amp;"-"&amp;$L316&lt;&gt;constPunteggioForfait,1,0),0))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"&amp;IFERROR(INDEX(Campionato!$E$14:$E$53,MATCH($C316,Campionato!$B$14:$B$53,0)),"?")&amp;"]")</f>
        <v/>
      </c>
    </row>
    <row r="317" ht="16" customHeight="1">
      <c r="A317" s="141" t="n"/>
      <c r="B317" s="69">
        <f>IF(I317="","",HYPERLINK(VLOOKUP(I317,areaCampiSquadre,3,FALSE),VLOOKUP(I317,areaCampiSquadre,2,FALSE)))</f>
        <v/>
      </c>
      <c r="C317" s="9" t="n"/>
      <c r="D317" s="9" t="n"/>
      <c r="E317" s="9" t="n"/>
      <c r="F317" s="9" t="n"/>
      <c r="G317" s="9" t="n"/>
      <c r="H317" s="10" t="n"/>
      <c r="I317" s="62" t="inlineStr">
        <is>
          <t>B20</t>
        </is>
      </c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IF(C319="","",IFERROR(VLOOKUP(C319,areaNomiBreviSquadre,7,FALSE),""))</f>
        <v/>
      </c>
      <c r="C319" s="62" t="inlineStr">
        <is>
          <t>B04</t>
        </is>
      </c>
      <c r="D319" s="61">
        <f>IF(E319="","",IFERROR(VLOOKUP(E319,areaNomiBreviSquadre,7,FALSE),""))</f>
        <v/>
      </c>
      <c r="E319" s="62" t="inlineStr">
        <is>
          <t>B16</t>
        </is>
      </c>
      <c r="F319" s="63" t="n">
        <v>46376.60416666666</v>
      </c>
      <c r="G319" s="9" t="n"/>
      <c r="H319" s="9" t="n"/>
      <c r="I319" s="10" t="n"/>
      <c r="J319" s="65" t="n">
        <v>20</v>
      </c>
      <c r="K319" s="66" t="inlineStr">
        <is>
          <t>-</t>
        </is>
      </c>
      <c r="L319" s="65" t="n">
        <v>48</v>
      </c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IF($J319+$L319=0,,IF($J319&lt;$L319,IF($J319&amp;"-"&amp;$L319=MID(constPunteggioForfait,FIND("-",constPunteggioForfait)+1,LEN(constPunteggioForfait))&amp;"-"&amp;LEFT(constPunteggioForfait,FIND("-",constPunteggioForfait)-1),1,0),0))</f>
        <v/>
      </c>
      <c r="P319" s="67">
        <f>IF($J319+$L319=0,,IF($J319&lt;$L319,IF($J319&amp;"-"&amp;$L319&lt;&gt;MID(constPunteggioForfait,FIND("-",constPunteggioForfait)+1,LEN(constPunteggioForfait))&amp;"-"&amp;LEFT(constPunteggioForfait,FIND("-",constPunteggioForfait)-1),1,0),0))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IF($J319+$L319=0,,IF($L319&lt;$J319,IF($J319&amp;"-"&amp;$L319=constPunteggioForfait,1,0),0))</f>
        <v/>
      </c>
      <c r="W319" s="67">
        <f>IF($J319+$L319=0,,IF($L319&lt;$J319,IF($J319&amp;"-"&amp;$L319&lt;&gt;constPunteggioForfait,1,0),0))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"&amp;IFERROR(INDEX(Campionato!$E$14:$E$53,MATCH($C319,Campionato!$B$14:$B$53,0)),"?")&amp;"]")</f>
        <v/>
      </c>
    </row>
    <row r="320" ht="16" customHeight="1">
      <c r="A320" s="141" t="n"/>
      <c r="B320" s="69">
        <f>IF(I320="","",HYPERLINK(VLOOKUP(I320,areaCampiSquadre,3,FALSE),VLOOKUP(I320,areaCampiSquadre,2,FALSE)))</f>
        <v/>
      </c>
      <c r="C320" s="9" t="n"/>
      <c r="D320" s="9" t="n"/>
      <c r="E320" s="9" t="n"/>
      <c r="F320" s="9" t="n"/>
      <c r="G320" s="9" t="n"/>
      <c r="H320" s="10" t="n"/>
      <c r="I320" s="62" t="inlineStr">
        <is>
          <t>B20</t>
        </is>
      </c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IF(C322="","",IFERROR(VLOOKUP(C322,areaNomiBreviSquadre,7,FALSE),""))</f>
        <v/>
      </c>
      <c r="C322" s="62" t="inlineStr">
        <is>
          <t>B17</t>
        </is>
      </c>
      <c r="D322" s="61">
        <f>IF(E322="","",IFERROR(VLOOKUP(E322,areaNomiBreviSquadre,7,FALSE),""))</f>
        <v/>
      </c>
      <c r="E322" s="62" t="inlineStr">
        <is>
          <t>B03</t>
        </is>
      </c>
      <c r="F322" s="63" t="n">
        <v>46376.66666666666</v>
      </c>
      <c r="G322" s="9" t="n"/>
      <c r="H322" s="9" t="n"/>
      <c r="I322" s="10" t="n"/>
      <c r="J322" s="65" t="n">
        <v>70</v>
      </c>
      <c r="K322" s="66" t="inlineStr">
        <is>
          <t>-</t>
        </is>
      </c>
      <c r="L322" s="65" t="n">
        <v>80</v>
      </c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IF($J322+$L322=0,,IF($J322&lt;$L322,IF($J322&amp;"-"&amp;$L322=MID(constPunteggioForfait,FIND("-",constPunteggioForfait)+1,LEN(constPunteggioForfait))&amp;"-"&amp;LEFT(constPunteggioForfait,FIND("-",constPunteggioForfait)-1),1,0),0))</f>
        <v/>
      </c>
      <c r="P322" s="67">
        <f>IF($J322+$L322=0,,IF($J322&lt;$L322,IF($J322&amp;"-"&amp;$L322&lt;&gt;MID(constPunteggioForfait,FIND("-",constPunteggioForfait)+1,LEN(constPunteggioForfait))&amp;"-"&amp;LEFT(constPunteggioForfait,FIND("-",constPunteggioForfait)-1),1,0),0))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IF($J322+$L322=0,,IF($L322&lt;$J322,IF($J322&amp;"-"&amp;$L322=constPunteggioForfait,1,0),0))</f>
        <v/>
      </c>
      <c r="W322" s="67">
        <f>IF($J322+$L322=0,,IF($L322&lt;$J322,IF($J322&amp;"-"&amp;$L322&lt;&gt;constPunteggioForfait,1,0),0))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"&amp;IFERROR(INDEX(Campionato!$E$14:$E$53,MATCH($C322,Campionato!$B$14:$B$53,0)),"?")&amp;"]")</f>
        <v/>
      </c>
    </row>
    <row r="323" ht="16" customHeight="1">
      <c r="A323" s="141" t="n"/>
      <c r="B323" s="69">
        <f>IF(I323="","",HYPERLINK(VLOOKUP(I323,areaCampiSquadre,3,FALSE),VLOOKUP(I323,areaCampiSquadre,2,FALSE)))</f>
        <v/>
      </c>
      <c r="C323" s="9" t="n"/>
      <c r="D323" s="9" t="n"/>
      <c r="E323" s="9" t="n"/>
      <c r="F323" s="9" t="n"/>
      <c r="G323" s="9" t="n"/>
      <c r="H323" s="10" t="n"/>
      <c r="I323" s="62" t="inlineStr">
        <is>
          <t>B20</t>
        </is>
      </c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IF(C325="","",IFERROR(VLOOKUP(C325,areaNomiBreviSquadre,7,FALSE),""))</f>
        <v/>
      </c>
      <c r="C325" s="62" t="inlineStr">
        <is>
          <t>B02</t>
        </is>
      </c>
      <c r="D325" s="61">
        <f>IF(E325="","",IFERROR(VLOOKUP(E325,areaNomiBreviSquadre,7,FALSE),""))</f>
        <v/>
      </c>
      <c r="E325" s="62" t="inlineStr">
        <is>
          <t>B18</t>
        </is>
      </c>
      <c r="F325" s="63" t="n">
        <v>46376.72916666666</v>
      </c>
      <c r="G325" s="9" t="n"/>
      <c r="H325" s="9" t="n"/>
      <c r="I325" s="10" t="n"/>
      <c r="J325" s="65" t="n">
        <v>74</v>
      </c>
      <c r="K325" s="66" t="inlineStr">
        <is>
          <t>-</t>
        </is>
      </c>
      <c r="L325" s="65" t="n">
        <v>53</v>
      </c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IF($J325+$L325=0,,IF($J325&lt;$L325,IF($J325&amp;"-"&amp;$L325=MID(constPunteggioForfait,FIND("-",constPunteggioForfait)+1,LEN(constPunteggioForfait))&amp;"-"&amp;LEFT(constPunteggioForfait,FIND("-",constPunteggioForfait)-1),1,0),0))</f>
        <v/>
      </c>
      <c r="P325" s="67">
        <f>IF($J325+$L325=0,,IF($J325&lt;$L325,IF($J325&amp;"-"&amp;$L325&lt;&gt;MID(constPunteggioForfait,FIND("-",constPunteggioForfait)+1,LEN(constPunteggioForfait))&amp;"-"&amp;LEFT(constPunteggioForfait,FIND("-",constPunteggioForfait)-1),1,0),0))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IF($J325+$L325=0,,IF($L325&lt;$J325,IF($J325&amp;"-"&amp;$L325=constPunteggioForfait,1,0),0))</f>
        <v/>
      </c>
      <c r="W325" s="67">
        <f>IF($J325+$L325=0,,IF($L325&lt;$J325,IF($J325&amp;"-"&amp;$L325&lt;&gt;constPunteggioForfait,1,0),0))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"&amp;IFERROR(INDEX(Campionato!$E$14:$E$53,MATCH($C325,Campionato!$B$14:$B$53,0)),"?")&amp;"]")</f>
        <v/>
      </c>
    </row>
    <row r="326" ht="16" customHeight="1">
      <c r="A326" s="141" t="n"/>
      <c r="B326" s="69">
        <f>IF(I326="","",HYPERLINK(VLOOKUP(I326,areaCampiSquadre,3,FALSE),VLOOKUP(I326,areaCampiSquadre,2,FALSE)))</f>
        <v/>
      </c>
      <c r="C326" s="9" t="n"/>
      <c r="D326" s="9" t="n"/>
      <c r="E326" s="9" t="n"/>
      <c r="F326" s="9" t="n"/>
      <c r="G326" s="9" t="n"/>
      <c r="H326" s="10" t="n"/>
      <c r="I326" s="62" t="inlineStr">
        <is>
          <t>B20</t>
        </is>
      </c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IF(C330="","",IFERROR(VLOOKUP(C330,areaNomiBreviSquadre,7,FALSE),""))</f>
        <v/>
      </c>
      <c r="C330" s="62" t="inlineStr">
        <is>
          <t>B02</t>
        </is>
      </c>
      <c r="D330" s="61">
        <f>IF(E330="","",IFERROR(VLOOKUP(E330,areaNomiBreviSquadre,7,FALSE),""))</f>
        <v/>
      </c>
      <c r="E330" s="62" t="inlineStr">
        <is>
          <t>B01</t>
        </is>
      </c>
      <c r="F330" s="63" t="n">
        <v>46383.39583333334</v>
      </c>
      <c r="G330" s="9" t="n"/>
      <c r="H330" s="9" t="n"/>
      <c r="I330" s="10" t="n"/>
      <c r="J330" s="65" t="n">
        <v>76</v>
      </c>
      <c r="K330" s="66" t="inlineStr">
        <is>
          <t>-</t>
        </is>
      </c>
      <c r="L330" s="65" t="n">
        <v>79</v>
      </c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IF($J330+$L330=0,,IF($J330&lt;$L330,IF($J330&amp;"-"&amp;$L330=MID(constPunteggioForfait,FIND("-",constPunteggioForfait)+1,LEN(constPunteggioForfait))&amp;"-"&amp;LEFT(constPunteggioForfait,FIND("-",constPunteggioForfait)-1),1,0),0))</f>
        <v/>
      </c>
      <c r="P330" s="67">
        <f>IF($J330+$L330=0,,IF($J330&lt;$L330,IF($J330&amp;"-"&amp;$L330&lt;&gt;MID(constPunteggioForfait,FIND("-",constPunteggioForfait)+1,LEN(constPunteggioForfait))&amp;"-"&amp;LEFT(constPunteggioForfait,FIND("-",constPunteggioForfait)-1),1,0),0))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IF($J330+$L330=0,,IF($L330&lt;$J330,IF($J330&amp;"-"&amp;$L330=constPunteggioForfait,1,0),0))</f>
        <v/>
      </c>
      <c r="W330" s="67">
        <f>IF($J330+$L330=0,,IF($L330&lt;$J330,IF($J330&amp;"-"&amp;$L330&lt;&gt;constPunteggioForfait,1,0),0))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"&amp;IFERROR(INDEX(Campionato!$E$14:$E$53,MATCH($C330,Campionato!$B$14:$B$53,0)),"?")&amp;"]")</f>
        <v/>
      </c>
    </row>
    <row r="331" ht="16" customHeight="1">
      <c r="A331" s="141" t="n"/>
      <c r="B331" s="69">
        <f>IF(I331="","",HYPERLINK(VLOOKUP(I331,areaCampiSquadre,3,FALSE),VLOOKUP(I331,areaCampiSquadre,2,FALSE)))</f>
        <v/>
      </c>
      <c r="C331" s="9" t="n"/>
      <c r="D331" s="9" t="n"/>
      <c r="E331" s="9" t="n"/>
      <c r="F331" s="9" t="n"/>
      <c r="G331" s="9" t="n"/>
      <c r="H331" s="10" t="n"/>
      <c r="I331" s="62" t="inlineStr">
        <is>
          <t>B01</t>
        </is>
      </c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IF(C333="","",IFERROR(VLOOKUP(C333,areaNomiBreviSquadre,7,FALSE),""))</f>
        <v/>
      </c>
      <c r="C333" s="62" t="inlineStr">
        <is>
          <t>B11</t>
        </is>
      </c>
      <c r="D333" s="61">
        <f>IF(E333="","",IFERROR(VLOOKUP(E333,areaNomiBreviSquadre,7,FALSE),""))</f>
        <v/>
      </c>
      <c r="E333" s="62" t="inlineStr">
        <is>
          <t>B20</t>
        </is>
      </c>
      <c r="F333" s="63" t="n">
        <v>46383.45833333334</v>
      </c>
      <c r="G333" s="9" t="n"/>
      <c r="H333" s="9" t="n"/>
      <c r="I333" s="10" t="n"/>
      <c r="J333" s="65" t="n">
        <v>57</v>
      </c>
      <c r="K333" s="66" t="inlineStr">
        <is>
          <t>-</t>
        </is>
      </c>
      <c r="L333" s="65" t="n">
        <v>67</v>
      </c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IF($J333+$L333=0,,IF($J333&lt;$L333,IF($J333&amp;"-"&amp;$L333=MID(constPunteggioForfait,FIND("-",constPunteggioForfait)+1,LEN(constPunteggioForfait))&amp;"-"&amp;LEFT(constPunteggioForfait,FIND("-",constPunteggioForfait)-1),1,0),0))</f>
        <v/>
      </c>
      <c r="P333" s="67">
        <f>IF($J333+$L333=0,,IF($J333&lt;$L333,IF($J333&amp;"-"&amp;$L333&lt;&gt;MID(constPunteggioForfait,FIND("-",constPunteggioForfait)+1,LEN(constPunteggioForfait))&amp;"-"&amp;LEFT(constPunteggioForfait,FIND("-",constPunteggioForfait)-1),1,0),0))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IF($J333+$L333=0,,IF($L333&lt;$J333,IF($J333&amp;"-"&amp;$L333=constPunteggioForfait,1,0),0))</f>
        <v/>
      </c>
      <c r="W333" s="67">
        <f>IF($J333+$L333=0,,IF($L333&lt;$J333,IF($J333&amp;"-"&amp;$L333&lt;&gt;constPunteggioForfait,1,0),0))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"&amp;IFERROR(INDEX(Campionato!$E$14:$E$53,MATCH($C333,Campionato!$B$14:$B$53,0)),"?")&amp;"]")</f>
        <v/>
      </c>
    </row>
    <row r="334" ht="16" customHeight="1">
      <c r="A334" s="141" t="n"/>
      <c r="B334" s="69">
        <f>IF(I334="","",HYPERLINK(VLOOKUP(I334,areaCampiSquadre,3,FALSE),VLOOKUP(I334,areaCampiSquadre,2,FALSE)))</f>
        <v/>
      </c>
      <c r="C334" s="9" t="n"/>
      <c r="D334" s="9" t="n"/>
      <c r="E334" s="9" t="n"/>
      <c r="F334" s="9" t="n"/>
      <c r="G334" s="9" t="n"/>
      <c r="H334" s="10" t="n"/>
      <c r="I334" s="62" t="inlineStr">
        <is>
          <t>B01</t>
        </is>
      </c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IF(C336="","",IFERROR(VLOOKUP(C336,areaNomiBreviSquadre,7,FALSE),""))</f>
        <v/>
      </c>
      <c r="C336" s="62" t="inlineStr">
        <is>
          <t>B10</t>
        </is>
      </c>
      <c r="D336" s="61">
        <f>IF(E336="","",IFERROR(VLOOKUP(E336,areaNomiBreviSquadre,7,FALSE),""))</f>
        <v/>
      </c>
      <c r="E336" s="62" t="inlineStr">
        <is>
          <t>B12</t>
        </is>
      </c>
      <c r="F336" s="63" t="n">
        <v>46383.60416666666</v>
      </c>
      <c r="G336" s="9" t="n"/>
      <c r="H336" s="9" t="n"/>
      <c r="I336" s="10" t="n"/>
      <c r="J336" s="65" t="n">
        <v>42</v>
      </c>
      <c r="K336" s="66" t="inlineStr">
        <is>
          <t>-</t>
        </is>
      </c>
      <c r="L336" s="65" t="n">
        <v>57</v>
      </c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IF($J336+$L336=0,,IF($J336&lt;$L336,IF($J336&amp;"-"&amp;$L336=MID(constPunteggioForfait,FIND("-",constPunteggioForfait)+1,LEN(constPunteggioForfait))&amp;"-"&amp;LEFT(constPunteggioForfait,FIND("-",constPunteggioForfait)-1),1,0),0))</f>
        <v/>
      </c>
      <c r="P336" s="67">
        <f>IF($J336+$L336=0,,IF($J336&lt;$L336,IF($J336&amp;"-"&amp;$L336&lt;&gt;MID(constPunteggioForfait,FIND("-",constPunteggioForfait)+1,LEN(constPunteggioForfait))&amp;"-"&amp;LEFT(constPunteggioForfait,FIND("-",constPunteggioForfait)-1),1,0),0))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IF($J336+$L336=0,,IF($L336&lt;$J336,IF($J336&amp;"-"&amp;$L336=constPunteggioForfait,1,0),0))</f>
        <v/>
      </c>
      <c r="W336" s="67">
        <f>IF($J336+$L336=0,,IF($L336&lt;$J336,IF($J336&amp;"-"&amp;$L336&lt;&gt;constPunteggioForfait,1,0),0))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"&amp;IFERROR(INDEX(Campionato!$E$14:$E$53,MATCH($C336,Campionato!$B$14:$B$53,0)),"?")&amp;"]")</f>
        <v/>
      </c>
    </row>
    <row r="337" ht="16" customHeight="1">
      <c r="A337" s="141" t="n"/>
      <c r="B337" s="69">
        <f>IF(I337="","",HYPERLINK(VLOOKUP(I337,areaCampiSquadre,3,FALSE),VLOOKUP(I337,areaCampiSquadre,2,FALSE)))</f>
        <v/>
      </c>
      <c r="C337" s="9" t="n"/>
      <c r="D337" s="9" t="n"/>
      <c r="E337" s="9" t="n"/>
      <c r="F337" s="9" t="n"/>
      <c r="G337" s="9" t="n"/>
      <c r="H337" s="10" t="n"/>
      <c r="I337" s="62" t="inlineStr">
        <is>
          <t>B01</t>
        </is>
      </c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IF(C339="","",IFERROR(VLOOKUP(C339,areaNomiBreviSquadre,7,FALSE),""))</f>
        <v/>
      </c>
      <c r="C339" s="62" t="inlineStr">
        <is>
          <t>B13</t>
        </is>
      </c>
      <c r="D339" s="61">
        <f>IF(E339="","",IFERROR(VLOOKUP(E339,areaNomiBreviSquadre,7,FALSE),""))</f>
        <v/>
      </c>
      <c r="E339" s="62" t="inlineStr">
        <is>
          <t>B09</t>
        </is>
      </c>
      <c r="F339" s="63" t="n">
        <v>46383.66666666666</v>
      </c>
      <c r="G339" s="9" t="n"/>
      <c r="H339" s="9" t="n"/>
      <c r="I339" s="10" t="n"/>
      <c r="J339" s="65" t="n">
        <v>52</v>
      </c>
      <c r="K339" s="66" t="inlineStr">
        <is>
          <t>-</t>
        </is>
      </c>
      <c r="L339" s="65" t="n">
        <v>37</v>
      </c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IF($J339+$L339=0,,IF($J339&lt;$L339,IF($J339&amp;"-"&amp;$L339=MID(constPunteggioForfait,FIND("-",constPunteggioForfait)+1,LEN(constPunteggioForfait))&amp;"-"&amp;LEFT(constPunteggioForfait,FIND("-",constPunteggioForfait)-1),1,0),0))</f>
        <v/>
      </c>
      <c r="P339" s="67">
        <f>IF($J339+$L339=0,,IF($J339&lt;$L339,IF($J339&amp;"-"&amp;$L339&lt;&gt;MID(constPunteggioForfait,FIND("-",constPunteggioForfait)+1,LEN(constPunteggioForfait))&amp;"-"&amp;LEFT(constPunteggioForfait,FIND("-",constPunteggioForfait)-1),1,0),0))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IF($J339+$L339=0,,IF($L339&lt;$J339,IF($J339&amp;"-"&amp;$L339=constPunteggioForfait,1,0),0))</f>
        <v/>
      </c>
      <c r="W339" s="67">
        <f>IF($J339+$L339=0,,IF($L339&lt;$J339,IF($J339&amp;"-"&amp;$L339&lt;&gt;constPunteggioForfait,1,0),0))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"&amp;IFERROR(INDEX(Campionato!$E$14:$E$53,MATCH($C339,Campionato!$B$14:$B$53,0)),"?")&amp;"]")</f>
        <v/>
      </c>
    </row>
    <row r="340" ht="16" customHeight="1">
      <c r="A340" s="141" t="n"/>
      <c r="B340" s="69">
        <f>IF(I340="","",HYPERLINK(VLOOKUP(I340,areaCampiSquadre,3,FALSE),VLOOKUP(I340,areaCampiSquadre,2,FALSE)))</f>
        <v/>
      </c>
      <c r="C340" s="9" t="n"/>
      <c r="D340" s="9" t="n"/>
      <c r="E340" s="9" t="n"/>
      <c r="F340" s="9" t="n"/>
      <c r="G340" s="9" t="n"/>
      <c r="H340" s="10" t="n"/>
      <c r="I340" s="62" t="inlineStr">
        <is>
          <t>B01</t>
        </is>
      </c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IF(C342="","",IFERROR(VLOOKUP(C342,areaNomiBreviSquadre,7,FALSE),""))</f>
        <v/>
      </c>
      <c r="C342" s="62" t="inlineStr">
        <is>
          <t>B08</t>
        </is>
      </c>
      <c r="D342" s="61">
        <f>IF(E342="","",IFERROR(VLOOKUP(E342,areaNomiBreviSquadre,7,FALSE),""))</f>
        <v/>
      </c>
      <c r="E342" s="62" t="inlineStr">
        <is>
          <t>B14</t>
        </is>
      </c>
      <c r="F342" s="63" t="n">
        <v>46383.72916666666</v>
      </c>
      <c r="G342" s="9" t="n"/>
      <c r="H342" s="9" t="n"/>
      <c r="I342" s="10" t="n"/>
      <c r="J342" s="65" t="n">
        <v>47</v>
      </c>
      <c r="K342" s="66" t="inlineStr">
        <is>
          <t>-</t>
        </is>
      </c>
      <c r="L342" s="65" t="n">
        <v>75</v>
      </c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IF($J342+$L342=0,,IF($J342&lt;$L342,IF($J342&amp;"-"&amp;$L342=MID(constPunteggioForfait,FIND("-",constPunteggioForfait)+1,LEN(constPunteggioForfait))&amp;"-"&amp;LEFT(constPunteggioForfait,FIND("-",constPunteggioForfait)-1),1,0),0))</f>
        <v/>
      </c>
      <c r="P342" s="67">
        <f>IF($J342+$L342=0,,IF($J342&lt;$L342,IF($J342&amp;"-"&amp;$L342&lt;&gt;MID(constPunteggioForfait,FIND("-",constPunteggioForfait)+1,LEN(constPunteggioForfait))&amp;"-"&amp;LEFT(constPunteggioForfait,FIND("-",constPunteggioForfait)-1),1,0),0))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IF($J342+$L342=0,,IF($L342&lt;$J342,IF($J342&amp;"-"&amp;$L342=constPunteggioForfait,1,0),0))</f>
        <v/>
      </c>
      <c r="W342" s="67">
        <f>IF($J342+$L342=0,,IF($L342&lt;$J342,IF($J342&amp;"-"&amp;$L342&lt;&gt;constPunteggioForfait,1,0),0))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"&amp;IFERROR(INDEX(Campionato!$E$14:$E$53,MATCH($C342,Campionato!$B$14:$B$53,0)),"?")&amp;"]")</f>
        <v/>
      </c>
    </row>
    <row r="343" ht="16" customHeight="1">
      <c r="A343" s="141" t="n"/>
      <c r="B343" s="69">
        <f>IF(I343="","",HYPERLINK(VLOOKUP(I343,areaCampiSquadre,3,FALSE),VLOOKUP(I343,areaCampiSquadre,2,FALSE)))</f>
        <v/>
      </c>
      <c r="C343" s="9" t="n"/>
      <c r="D343" s="9" t="n"/>
      <c r="E343" s="9" t="n"/>
      <c r="F343" s="9" t="n"/>
      <c r="G343" s="9" t="n"/>
      <c r="H343" s="10" t="n"/>
      <c r="I343" s="62" t="inlineStr">
        <is>
          <t>B01</t>
        </is>
      </c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IF(C345="","",IFERROR(VLOOKUP(C345,areaNomiBreviSquadre,7,FALSE),""))</f>
        <v/>
      </c>
      <c r="C345" s="62" t="inlineStr">
        <is>
          <t>B19</t>
        </is>
      </c>
      <c r="D345" s="61">
        <f>IF(E345="","",IFERROR(VLOOKUP(E345,areaNomiBreviSquadre,7,FALSE),""))</f>
        <v/>
      </c>
      <c r="E345" s="62" t="inlineStr">
        <is>
          <t>B03</t>
        </is>
      </c>
      <c r="F345" s="63" t="n">
        <v>46383.39583333334</v>
      </c>
      <c r="G345" s="9" t="n"/>
      <c r="H345" s="9" t="n"/>
      <c r="I345" s="10" t="n"/>
      <c r="J345" s="65" t="n">
        <v>74</v>
      </c>
      <c r="K345" s="66" t="inlineStr">
        <is>
          <t>-</t>
        </is>
      </c>
      <c r="L345" s="65" t="n">
        <v>64</v>
      </c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IF($J345+$L345=0,,IF($J345&lt;$L345,IF($J345&amp;"-"&amp;$L345=MID(constPunteggioForfait,FIND("-",constPunteggioForfait)+1,LEN(constPunteggioForfait))&amp;"-"&amp;LEFT(constPunteggioForfait,FIND("-",constPunteggioForfait)-1),1,0),0))</f>
        <v/>
      </c>
      <c r="P345" s="67">
        <f>IF($J345+$L345=0,,IF($J345&lt;$L345,IF($J345&amp;"-"&amp;$L345&lt;&gt;MID(constPunteggioForfait,FIND("-",constPunteggioForfait)+1,LEN(constPunteggioForfait))&amp;"-"&amp;LEFT(constPunteggioForfait,FIND("-",constPunteggioForfait)-1),1,0),0))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IF($J345+$L345=0,,IF($L345&lt;$J345,IF($J345&amp;"-"&amp;$L345=constPunteggioForfait,1,0),0))</f>
        <v/>
      </c>
      <c r="W345" s="67">
        <f>IF($J345+$L345=0,,IF($L345&lt;$J345,IF($J345&amp;"-"&amp;$L345&lt;&gt;constPunteggioForfait,1,0),0))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"&amp;IFERROR(INDEX(Campionato!$E$14:$E$53,MATCH($C345,Campionato!$B$14:$B$53,0)),"?")&amp;"]")</f>
        <v/>
      </c>
    </row>
    <row r="346" ht="16" customHeight="1">
      <c r="A346" s="141" t="n"/>
      <c r="B346" s="69">
        <f>IF(I346="","",HYPERLINK(VLOOKUP(I346,areaCampiSquadre,3,FALSE),VLOOKUP(I346,areaCampiSquadre,2,FALSE)))</f>
        <v/>
      </c>
      <c r="C346" s="9" t="n"/>
      <c r="D346" s="9" t="n"/>
      <c r="E346" s="9" t="n"/>
      <c r="F346" s="9" t="n"/>
      <c r="G346" s="9" t="n"/>
      <c r="H346" s="10" t="n"/>
      <c r="I346" s="62" t="inlineStr">
        <is>
          <t>B03</t>
        </is>
      </c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IF(C348="","",IFERROR(VLOOKUP(C348,areaNomiBreviSquadre,7,FALSE),""))</f>
        <v/>
      </c>
      <c r="C348" s="62" t="inlineStr">
        <is>
          <t>B15</t>
        </is>
      </c>
      <c r="D348" s="61">
        <f>IF(E348="","",IFERROR(VLOOKUP(E348,areaNomiBreviSquadre,7,FALSE),""))</f>
        <v/>
      </c>
      <c r="E348" s="62" t="inlineStr">
        <is>
          <t>B07</t>
        </is>
      </c>
      <c r="F348" s="63" t="n">
        <v>46383.45833333334</v>
      </c>
      <c r="G348" s="9" t="n"/>
      <c r="H348" s="9" t="n"/>
      <c r="I348" s="10" t="n"/>
      <c r="J348" s="65" t="n">
        <v>41</v>
      </c>
      <c r="K348" s="66" t="inlineStr">
        <is>
          <t>-</t>
        </is>
      </c>
      <c r="L348" s="65" t="n">
        <v>50</v>
      </c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IF($J348+$L348=0,,IF($J348&lt;$L348,IF($J348&amp;"-"&amp;$L348=MID(constPunteggioForfait,FIND("-",constPunteggioForfait)+1,LEN(constPunteggioForfait))&amp;"-"&amp;LEFT(constPunteggioForfait,FIND("-",constPunteggioForfait)-1),1,0),0))</f>
        <v/>
      </c>
      <c r="P348" s="67">
        <f>IF($J348+$L348=0,,IF($J348&lt;$L348,IF($J348&amp;"-"&amp;$L348&lt;&gt;MID(constPunteggioForfait,FIND("-",constPunteggioForfait)+1,LEN(constPunteggioForfait))&amp;"-"&amp;LEFT(constPunteggioForfait,FIND("-",constPunteggioForfait)-1),1,0),0))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IF($J348+$L348=0,,IF($L348&lt;$J348,IF($J348&amp;"-"&amp;$L348=constPunteggioForfait,1,0),0))</f>
        <v/>
      </c>
      <c r="W348" s="67">
        <f>IF($J348+$L348=0,,IF($L348&lt;$J348,IF($J348&amp;"-"&amp;$L348&lt;&gt;constPunteggioForfait,1,0),0))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"&amp;IFERROR(INDEX(Campionato!$E$14:$E$53,MATCH($C348,Campionato!$B$14:$B$53,0)),"?")&amp;"]")</f>
        <v/>
      </c>
    </row>
    <row r="349" ht="16" customHeight="1">
      <c r="A349" s="141" t="n"/>
      <c r="B349" s="69">
        <f>IF(I349="","",HYPERLINK(VLOOKUP(I349,areaCampiSquadre,3,FALSE),VLOOKUP(I349,areaCampiSquadre,2,FALSE)))</f>
        <v/>
      </c>
      <c r="C349" s="9" t="n"/>
      <c r="D349" s="9" t="n"/>
      <c r="E349" s="9" t="n"/>
      <c r="F349" s="9" t="n"/>
      <c r="G349" s="9" t="n"/>
      <c r="H349" s="10" t="n"/>
      <c r="I349" s="62" t="inlineStr">
        <is>
          <t>B03</t>
        </is>
      </c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IF(C351="","",IFERROR(VLOOKUP(C351,areaNomiBreviSquadre,7,FALSE),""))</f>
        <v/>
      </c>
      <c r="C351" s="62" t="inlineStr">
        <is>
          <t>B06</t>
        </is>
      </c>
      <c r="D351" s="61">
        <f>IF(E351="","",IFERROR(VLOOKUP(E351,areaNomiBreviSquadre,7,FALSE),""))</f>
        <v/>
      </c>
      <c r="E351" s="62" t="inlineStr">
        <is>
          <t>B16</t>
        </is>
      </c>
      <c r="F351" s="63" t="n">
        <v>46383.60416666666</v>
      </c>
      <c r="G351" s="9" t="n"/>
      <c r="H351" s="9" t="n"/>
      <c r="I351" s="10" t="n"/>
      <c r="J351" s="65" t="n">
        <v>33</v>
      </c>
      <c r="K351" s="66" t="inlineStr">
        <is>
          <t>-</t>
        </is>
      </c>
      <c r="L351" s="65" t="n">
        <v>59</v>
      </c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IF($J351+$L351=0,,IF($J351&lt;$L351,IF($J351&amp;"-"&amp;$L351=MID(constPunteggioForfait,FIND("-",constPunteggioForfait)+1,LEN(constPunteggioForfait))&amp;"-"&amp;LEFT(constPunteggioForfait,FIND("-",constPunteggioForfait)-1),1,0),0))</f>
        <v/>
      </c>
      <c r="P351" s="67">
        <f>IF($J351+$L351=0,,IF($J351&lt;$L351,IF($J351&amp;"-"&amp;$L351&lt;&gt;MID(constPunteggioForfait,FIND("-",constPunteggioForfait)+1,LEN(constPunteggioForfait))&amp;"-"&amp;LEFT(constPunteggioForfait,FIND("-",constPunteggioForfait)-1),1,0),0))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IF($J351+$L351=0,,IF($L351&lt;$J351,IF($J351&amp;"-"&amp;$L351=constPunteggioForfait,1,0),0))</f>
        <v/>
      </c>
      <c r="W351" s="67">
        <f>IF($J351+$L351=0,,IF($L351&lt;$J351,IF($J351&amp;"-"&amp;$L351&lt;&gt;constPunteggioForfait,1,0),0))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"&amp;IFERROR(INDEX(Campionato!$E$14:$E$53,MATCH($C351,Campionato!$B$14:$B$53,0)),"?")&amp;"]")</f>
        <v/>
      </c>
    </row>
    <row r="352" ht="16" customHeight="1">
      <c r="A352" s="141" t="n"/>
      <c r="B352" s="69">
        <f>IF(I352="","",HYPERLINK(VLOOKUP(I352,areaCampiSquadre,3,FALSE),VLOOKUP(I352,areaCampiSquadre,2,FALSE)))</f>
        <v/>
      </c>
      <c r="C352" s="9" t="n"/>
      <c r="D352" s="9" t="n"/>
      <c r="E352" s="9" t="n"/>
      <c r="F352" s="9" t="n"/>
      <c r="G352" s="9" t="n"/>
      <c r="H352" s="10" t="n"/>
      <c r="I352" s="62" t="inlineStr">
        <is>
          <t>B03</t>
        </is>
      </c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IF(C354="","",IFERROR(VLOOKUP(C354,areaNomiBreviSquadre,7,FALSE),""))</f>
        <v/>
      </c>
      <c r="C354" s="62" t="inlineStr">
        <is>
          <t>B17</t>
        </is>
      </c>
      <c r="D354" s="61">
        <f>IF(E354="","",IFERROR(VLOOKUP(E354,areaNomiBreviSquadre,7,FALSE),""))</f>
        <v/>
      </c>
      <c r="E354" s="62" t="inlineStr">
        <is>
          <t>B05</t>
        </is>
      </c>
      <c r="F354" s="63" t="n">
        <v>46383.66666666666</v>
      </c>
      <c r="G354" s="9" t="n"/>
      <c r="H354" s="9" t="n"/>
      <c r="I354" s="10" t="n"/>
      <c r="J354" s="65" t="n">
        <v>82</v>
      </c>
      <c r="K354" s="66" t="inlineStr">
        <is>
          <t>-</t>
        </is>
      </c>
      <c r="L354" s="65" t="n">
        <v>76</v>
      </c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IF($J354+$L354=0,,IF($J354&lt;$L354,IF($J354&amp;"-"&amp;$L354=MID(constPunteggioForfait,FIND("-",constPunteggioForfait)+1,LEN(constPunteggioForfait))&amp;"-"&amp;LEFT(constPunteggioForfait,FIND("-",constPunteggioForfait)-1),1,0),0))</f>
        <v/>
      </c>
      <c r="P354" s="67">
        <f>IF($J354+$L354=0,,IF($J354&lt;$L354,IF($J354&amp;"-"&amp;$L354&lt;&gt;MID(constPunteggioForfait,FIND("-",constPunteggioForfait)+1,LEN(constPunteggioForfait))&amp;"-"&amp;LEFT(constPunteggioForfait,FIND("-",constPunteggioForfait)-1),1,0),0))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IF($J354+$L354=0,,IF($L354&lt;$J354,IF($J354&amp;"-"&amp;$L354=constPunteggioForfait,1,0),0))</f>
        <v/>
      </c>
      <c r="W354" s="67">
        <f>IF($J354+$L354=0,,IF($L354&lt;$J354,IF($J354&amp;"-"&amp;$L354&lt;&gt;constPunteggioForfait,1,0),0))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"&amp;IFERROR(INDEX(Campionato!$E$14:$E$53,MATCH($C354,Campionato!$B$14:$B$53,0)),"?")&amp;"]")</f>
        <v/>
      </c>
    </row>
    <row r="355" ht="16" customHeight="1">
      <c r="A355" s="141" t="n"/>
      <c r="B355" s="69">
        <f>IF(I355="","",HYPERLINK(VLOOKUP(I355,areaCampiSquadre,3,FALSE),VLOOKUP(I355,areaCampiSquadre,2,FALSE)))</f>
        <v/>
      </c>
      <c r="C355" s="9" t="n"/>
      <c r="D355" s="9" t="n"/>
      <c r="E355" s="9" t="n"/>
      <c r="F355" s="9" t="n"/>
      <c r="G355" s="9" t="n"/>
      <c r="H355" s="10" t="n"/>
      <c r="I355" s="62" t="inlineStr">
        <is>
          <t>B03</t>
        </is>
      </c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IF(C357="","",IFERROR(VLOOKUP(C357,areaNomiBreviSquadre,7,FALSE),""))</f>
        <v/>
      </c>
      <c r="C357" s="62" t="inlineStr">
        <is>
          <t>B04</t>
        </is>
      </c>
      <c r="D357" s="61">
        <f>IF(E357="","",IFERROR(VLOOKUP(E357,areaNomiBreviSquadre,7,FALSE),""))</f>
        <v/>
      </c>
      <c r="E357" s="62" t="inlineStr">
        <is>
          <t>B18</t>
        </is>
      </c>
      <c r="F357" s="63" t="n">
        <v>46383.72916666666</v>
      </c>
      <c r="G357" s="9" t="n"/>
      <c r="H357" s="9" t="n"/>
      <c r="I357" s="10" t="n"/>
      <c r="J357" s="65" t="n">
        <v>81</v>
      </c>
      <c r="K357" s="66" t="inlineStr">
        <is>
          <t>-</t>
        </is>
      </c>
      <c r="L357" s="65" t="n">
        <v>69</v>
      </c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IF($J357+$L357=0,,IF($J357&lt;$L357,IF($J357&amp;"-"&amp;$L357=MID(constPunteggioForfait,FIND("-",constPunteggioForfait)+1,LEN(constPunteggioForfait))&amp;"-"&amp;LEFT(constPunteggioForfait,FIND("-",constPunteggioForfait)-1),1,0),0))</f>
        <v/>
      </c>
      <c r="P357" s="67">
        <f>IF($J357+$L357=0,,IF($J357&lt;$L357,IF($J357&amp;"-"&amp;$L357&lt;&gt;MID(constPunteggioForfait,FIND("-",constPunteggioForfait)+1,LEN(constPunteggioForfait))&amp;"-"&amp;LEFT(constPunteggioForfait,FIND("-",constPunteggioForfait)-1),1,0),0))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IF($J357+$L357=0,,IF($L357&lt;$J357,IF($J357&amp;"-"&amp;$L357=constPunteggioForfait,1,0),0))</f>
        <v/>
      </c>
      <c r="W357" s="67">
        <f>IF($J357+$L357=0,,IF($L357&lt;$J357,IF($J357&amp;"-"&amp;$L357&lt;&gt;constPunteggioForfait,1,0),0))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"&amp;IFERROR(INDEX(Campionato!$E$14:$E$53,MATCH($C357,Campionato!$B$14:$B$53,0)),"?")&amp;"]")</f>
        <v/>
      </c>
    </row>
    <row r="358" ht="16" customHeight="1">
      <c r="A358" s="141" t="n"/>
      <c r="B358" s="69">
        <f>IF(I358="","",HYPERLINK(VLOOKUP(I358,areaCampiSquadre,3,FALSE),VLOOKUP(I358,areaCampiSquadre,2,FALSE)))</f>
        <v/>
      </c>
      <c r="C358" s="9" t="n"/>
      <c r="D358" s="9" t="n"/>
      <c r="E358" s="9" t="n"/>
      <c r="F358" s="9" t="n"/>
      <c r="G358" s="9" t="n"/>
      <c r="H358" s="10" t="n"/>
      <c r="I358" s="62" t="inlineStr">
        <is>
          <t>B03</t>
        </is>
      </c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IF(C362="","",IFERROR(VLOOKUP(C362,areaNomiBreviSquadre,7,FALSE),""))</f>
        <v/>
      </c>
      <c r="C362" s="62" t="inlineStr">
        <is>
          <t>B02</t>
        </is>
      </c>
      <c r="D362" s="61">
        <f>IF(E362="","",IFERROR(VLOOKUP(E362,areaNomiBreviSquadre,7,FALSE),""))</f>
        <v/>
      </c>
      <c r="E362" s="62" t="inlineStr">
        <is>
          <t>B03</t>
        </is>
      </c>
      <c r="F362" s="63" t="n">
        <v>46390.39583333334</v>
      </c>
      <c r="G362" s="9" t="n"/>
      <c r="H362" s="9" t="n"/>
      <c r="I362" s="10" t="n"/>
      <c r="J362" s="65" t="n">
        <v>46</v>
      </c>
      <c r="K362" s="66" t="inlineStr">
        <is>
          <t>-</t>
        </is>
      </c>
      <c r="L362" s="65" t="n">
        <v>56</v>
      </c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IF($J362+$L362=0,,IF($J362&lt;$L362,IF($J362&amp;"-"&amp;$L362=MID(constPunteggioForfait,FIND("-",constPunteggioForfait)+1,LEN(constPunteggioForfait))&amp;"-"&amp;LEFT(constPunteggioForfait,FIND("-",constPunteggioForfait)-1),1,0),0))</f>
        <v/>
      </c>
      <c r="P362" s="67">
        <f>IF($J362+$L362=0,,IF($J362&lt;$L362,IF($J362&amp;"-"&amp;$L362&lt;&gt;MID(constPunteggioForfait,FIND("-",constPunteggioForfait)+1,LEN(constPunteggioForfait))&amp;"-"&amp;LEFT(constPunteggioForfait,FIND("-",constPunteggioForfait)-1),1,0),0))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IF($J362+$L362=0,,IF($L362&lt;$J362,IF($J362&amp;"-"&amp;$L362=constPunteggioForfait,1,0),0))</f>
        <v/>
      </c>
      <c r="W362" s="67">
        <f>IF($J362+$L362=0,,IF($L362&lt;$J362,IF($J362&amp;"-"&amp;$L362&lt;&gt;constPunteggioForfait,1,0),0))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"&amp;IFERROR(INDEX(Campionato!$E$14:$E$53,MATCH($C362,Campionato!$B$14:$B$53,0)),"?")&amp;"]")</f>
        <v/>
      </c>
    </row>
    <row r="363" ht="16" customHeight="1">
      <c r="A363" s="141" t="n"/>
      <c r="B363" s="69">
        <f>IF(I363="","",HYPERLINK(VLOOKUP(I363,areaCampiSquadre,3,FALSE),VLOOKUP(I363,areaCampiSquadre,2,FALSE)))</f>
        <v/>
      </c>
      <c r="C363" s="9" t="n"/>
      <c r="D363" s="9" t="n"/>
      <c r="E363" s="9" t="n"/>
      <c r="F363" s="9" t="n"/>
      <c r="G363" s="9" t="n"/>
      <c r="H363" s="10" t="n"/>
      <c r="I363" s="62" t="inlineStr">
        <is>
          <t>B03</t>
        </is>
      </c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IF(C365="","",IFERROR(VLOOKUP(C365,areaNomiBreviSquadre,7,FALSE),""))</f>
        <v/>
      </c>
      <c r="C365" s="62" t="inlineStr">
        <is>
          <t>B20</t>
        </is>
      </c>
      <c r="D365" s="61">
        <f>IF(E365="","",IFERROR(VLOOKUP(E365,areaNomiBreviSquadre,7,FALSE),""))</f>
        <v/>
      </c>
      <c r="E365" s="62" t="inlineStr">
        <is>
          <t>B12</t>
        </is>
      </c>
      <c r="F365" s="63" t="n">
        <v>46390.45833333334</v>
      </c>
      <c r="G365" s="9" t="n"/>
      <c r="H365" s="9" t="n"/>
      <c r="I365" s="10" t="n"/>
      <c r="J365" s="65" t="n">
        <v>45</v>
      </c>
      <c r="K365" s="66" t="inlineStr">
        <is>
          <t>-</t>
        </is>
      </c>
      <c r="L365" s="65" t="n">
        <v>35</v>
      </c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IF($J365+$L365=0,,IF($J365&lt;$L365,IF($J365&amp;"-"&amp;$L365=MID(constPunteggioForfait,FIND("-",constPunteggioForfait)+1,LEN(constPunteggioForfait))&amp;"-"&amp;LEFT(constPunteggioForfait,FIND("-",constPunteggioForfait)-1),1,0),0))</f>
        <v/>
      </c>
      <c r="P365" s="67">
        <f>IF($J365+$L365=0,,IF($J365&lt;$L365,IF($J365&amp;"-"&amp;$L365&lt;&gt;MID(constPunteggioForfait,FIND("-",constPunteggioForfait)+1,LEN(constPunteggioForfait))&amp;"-"&amp;LEFT(constPunteggioForfait,FIND("-",constPunteggioForfait)-1),1,0),0))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IF($J365+$L365=0,,IF($L365&lt;$J365,IF($J365&amp;"-"&amp;$L365=constPunteggioForfait,1,0),0))</f>
        <v/>
      </c>
      <c r="W365" s="67">
        <f>IF($J365+$L365=0,,IF($L365&lt;$J365,IF($J365&amp;"-"&amp;$L365&lt;&gt;constPunteggioForfait,1,0),0))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"&amp;IFERROR(INDEX(Campionato!$E$14:$E$53,MATCH($C365,Campionato!$B$14:$B$53,0)),"?")&amp;"]")</f>
        <v/>
      </c>
    </row>
    <row r="366" ht="16" customHeight="1">
      <c r="A366" s="141" t="n"/>
      <c r="B366" s="69">
        <f>IF(I366="","",HYPERLINK(VLOOKUP(I366,areaCampiSquadre,3,FALSE),VLOOKUP(I366,areaCampiSquadre,2,FALSE)))</f>
        <v/>
      </c>
      <c r="C366" s="9" t="n"/>
      <c r="D366" s="9" t="n"/>
      <c r="E366" s="9" t="n"/>
      <c r="F366" s="9" t="n"/>
      <c r="G366" s="9" t="n"/>
      <c r="H366" s="10" t="n"/>
      <c r="I366" s="62" t="inlineStr">
        <is>
          <t>B03</t>
        </is>
      </c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IF(C368="","",IFERROR(VLOOKUP(C368,areaNomiBreviSquadre,7,FALSE),""))</f>
        <v/>
      </c>
      <c r="C368" s="62" t="inlineStr">
        <is>
          <t>B13</t>
        </is>
      </c>
      <c r="D368" s="61">
        <f>IF(E368="","",IFERROR(VLOOKUP(E368,areaNomiBreviSquadre,7,FALSE),""))</f>
        <v/>
      </c>
      <c r="E368" s="62" t="inlineStr">
        <is>
          <t>B11</t>
        </is>
      </c>
      <c r="F368" s="63" t="n">
        <v>46390.60416666666</v>
      </c>
      <c r="G368" s="9" t="n"/>
      <c r="H368" s="9" t="n"/>
      <c r="I368" s="10" t="n"/>
      <c r="J368" s="65" t="n">
        <v>45</v>
      </c>
      <c r="K368" s="66" t="inlineStr">
        <is>
          <t>-</t>
        </is>
      </c>
      <c r="L368" s="65" t="n">
        <v>32</v>
      </c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IF($J368+$L368=0,,IF($J368&lt;$L368,IF($J368&amp;"-"&amp;$L368=MID(constPunteggioForfait,FIND("-",constPunteggioForfait)+1,LEN(constPunteggioForfait))&amp;"-"&amp;LEFT(constPunteggioForfait,FIND("-",constPunteggioForfait)-1),1,0),0))</f>
        <v/>
      </c>
      <c r="P368" s="67">
        <f>IF($J368+$L368=0,,IF($J368&lt;$L368,IF($J368&amp;"-"&amp;$L368&lt;&gt;MID(constPunteggioForfait,FIND("-",constPunteggioForfait)+1,LEN(constPunteggioForfait))&amp;"-"&amp;LEFT(constPunteggioForfait,FIND("-",constPunteggioForfait)-1),1,0),0))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IF($J368+$L368=0,,IF($L368&lt;$J368,IF($J368&amp;"-"&amp;$L368=constPunteggioForfait,1,0),0))</f>
        <v/>
      </c>
      <c r="W368" s="67">
        <f>IF($J368+$L368=0,,IF($L368&lt;$J368,IF($J368&amp;"-"&amp;$L368&lt;&gt;constPunteggioForfait,1,0),0))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"&amp;IFERROR(INDEX(Campionato!$E$14:$E$53,MATCH($C368,Campionato!$B$14:$B$53,0)),"?")&amp;"]")</f>
        <v/>
      </c>
    </row>
    <row r="369" ht="16" customHeight="1">
      <c r="A369" s="141" t="n"/>
      <c r="B369" s="69">
        <f>IF(I369="","",HYPERLINK(VLOOKUP(I369,areaCampiSquadre,3,FALSE),VLOOKUP(I369,areaCampiSquadre,2,FALSE)))</f>
        <v/>
      </c>
      <c r="C369" s="9" t="n"/>
      <c r="D369" s="9" t="n"/>
      <c r="E369" s="9" t="n"/>
      <c r="F369" s="9" t="n"/>
      <c r="G369" s="9" t="n"/>
      <c r="H369" s="10" t="n"/>
      <c r="I369" s="62" t="inlineStr">
        <is>
          <t>B03</t>
        </is>
      </c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IF(C371="","",IFERROR(VLOOKUP(C371,areaNomiBreviSquadre,7,FALSE),""))</f>
        <v/>
      </c>
      <c r="C371" s="62" t="inlineStr">
        <is>
          <t>B10</t>
        </is>
      </c>
      <c r="D371" s="61">
        <f>IF(E371="","",IFERROR(VLOOKUP(E371,areaNomiBreviSquadre,7,FALSE),""))</f>
        <v/>
      </c>
      <c r="E371" s="62" t="inlineStr">
        <is>
          <t>B14</t>
        </is>
      </c>
      <c r="F371" s="63" t="n">
        <v>46390.66666666666</v>
      </c>
      <c r="G371" s="9" t="n"/>
      <c r="H371" s="9" t="n"/>
      <c r="I371" s="10" t="n"/>
      <c r="J371" s="65" t="n">
        <v>91</v>
      </c>
      <c r="K371" s="66" t="inlineStr">
        <is>
          <t>-</t>
        </is>
      </c>
      <c r="L371" s="65" t="n">
        <v>66</v>
      </c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IF($J371+$L371=0,,IF($J371&lt;$L371,IF($J371&amp;"-"&amp;$L371=MID(constPunteggioForfait,FIND("-",constPunteggioForfait)+1,LEN(constPunteggioForfait))&amp;"-"&amp;LEFT(constPunteggioForfait,FIND("-",constPunteggioForfait)-1),1,0),0))</f>
        <v/>
      </c>
      <c r="P371" s="67">
        <f>IF($J371+$L371=0,,IF($J371&lt;$L371,IF($J371&amp;"-"&amp;$L371&lt;&gt;MID(constPunteggioForfait,FIND("-",constPunteggioForfait)+1,LEN(constPunteggioForfait))&amp;"-"&amp;LEFT(constPunteggioForfait,FIND("-",constPunteggioForfait)-1),1,0),0))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IF($J371+$L371=0,,IF($L371&lt;$J371,IF($J371&amp;"-"&amp;$L371=constPunteggioForfait,1,0),0))</f>
        <v/>
      </c>
      <c r="W371" s="67">
        <f>IF($J371+$L371=0,,IF($L371&lt;$J371,IF($J371&amp;"-"&amp;$L371&lt;&gt;constPunteggioForfait,1,0),0))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"&amp;IFERROR(INDEX(Campionato!$E$14:$E$53,MATCH($C371,Campionato!$B$14:$B$53,0)),"?")&amp;"]")</f>
        <v/>
      </c>
    </row>
    <row r="372" ht="16" customHeight="1">
      <c r="A372" s="141" t="n"/>
      <c r="B372" s="69">
        <f>IF(I372="","",HYPERLINK(VLOOKUP(I372,areaCampiSquadre,3,FALSE),VLOOKUP(I372,areaCampiSquadre,2,FALSE)))</f>
        <v/>
      </c>
      <c r="C372" s="9" t="n"/>
      <c r="D372" s="9" t="n"/>
      <c r="E372" s="9" t="n"/>
      <c r="F372" s="9" t="n"/>
      <c r="G372" s="9" t="n"/>
      <c r="H372" s="10" t="n"/>
      <c r="I372" s="62" t="inlineStr">
        <is>
          <t>B03</t>
        </is>
      </c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IF(C374="","",IFERROR(VLOOKUP(C374,areaNomiBreviSquadre,7,FALSE),""))</f>
        <v/>
      </c>
      <c r="C374" s="62" t="inlineStr">
        <is>
          <t>B15</t>
        </is>
      </c>
      <c r="D374" s="61">
        <f>IF(E374="","",IFERROR(VLOOKUP(E374,areaNomiBreviSquadre,7,FALSE),""))</f>
        <v/>
      </c>
      <c r="E374" s="62" t="inlineStr">
        <is>
          <t>B09</t>
        </is>
      </c>
      <c r="F374" s="63" t="n">
        <v>46390.72916666666</v>
      </c>
      <c r="G374" s="9" t="n"/>
      <c r="H374" s="9" t="n"/>
      <c r="I374" s="10" t="n"/>
      <c r="J374" s="65" t="n">
        <v>34</v>
      </c>
      <c r="K374" s="66" t="inlineStr">
        <is>
          <t>-</t>
        </is>
      </c>
      <c r="L374" s="65" t="n">
        <v>40</v>
      </c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IF($J374+$L374=0,,IF($J374&lt;$L374,IF($J374&amp;"-"&amp;$L374=MID(constPunteggioForfait,FIND("-",constPunteggioForfait)+1,LEN(constPunteggioForfait))&amp;"-"&amp;LEFT(constPunteggioForfait,FIND("-",constPunteggioForfait)-1),1,0),0))</f>
        <v/>
      </c>
      <c r="P374" s="67">
        <f>IF($J374+$L374=0,,IF($J374&lt;$L374,IF($J374&amp;"-"&amp;$L374&lt;&gt;MID(constPunteggioForfait,FIND("-",constPunteggioForfait)+1,LEN(constPunteggioForfait))&amp;"-"&amp;LEFT(constPunteggioForfait,FIND("-",constPunteggioForfait)-1),1,0),0))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IF($J374+$L374=0,,IF($L374&lt;$J374,IF($J374&amp;"-"&amp;$L374=constPunteggioForfait,1,0),0))</f>
        <v/>
      </c>
      <c r="W374" s="67">
        <f>IF($J374+$L374=0,,IF($L374&lt;$J374,IF($J374&amp;"-"&amp;$L374&lt;&gt;constPunteggioForfait,1,0),0))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"&amp;IFERROR(INDEX(Campionato!$E$14:$E$53,MATCH($C374,Campionato!$B$14:$B$53,0)),"?")&amp;"]")</f>
        <v/>
      </c>
    </row>
    <row r="375" ht="16" customHeight="1">
      <c r="A375" s="141" t="n"/>
      <c r="B375" s="69">
        <f>IF(I375="","",HYPERLINK(VLOOKUP(I375,areaCampiSquadre,3,FALSE),VLOOKUP(I375,areaCampiSquadre,2,FALSE)))</f>
        <v/>
      </c>
      <c r="C375" s="9" t="n"/>
      <c r="D375" s="9" t="n"/>
      <c r="E375" s="9" t="n"/>
      <c r="F375" s="9" t="n"/>
      <c r="G375" s="9" t="n"/>
      <c r="H375" s="10" t="n"/>
      <c r="I375" s="62" t="inlineStr">
        <is>
          <t>B03</t>
        </is>
      </c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IF(C377="","",IFERROR(VLOOKUP(C377,areaNomiBreviSquadre,7,FALSE),""))</f>
        <v/>
      </c>
      <c r="C377" s="62" t="inlineStr">
        <is>
          <t>B04</t>
        </is>
      </c>
      <c r="D377" s="61">
        <f>IF(E377="","",IFERROR(VLOOKUP(E377,areaNomiBreviSquadre,7,FALSE),""))</f>
        <v/>
      </c>
      <c r="E377" s="62" t="inlineStr">
        <is>
          <t>B01</t>
        </is>
      </c>
      <c r="F377" s="63" t="n">
        <v>46390.39583333334</v>
      </c>
      <c r="G377" s="9" t="n"/>
      <c r="H377" s="9" t="n"/>
      <c r="I377" s="10" t="n"/>
      <c r="J377" s="65" t="n">
        <v>54</v>
      </c>
      <c r="K377" s="66" t="inlineStr">
        <is>
          <t>-</t>
        </is>
      </c>
      <c r="L377" s="65" t="n">
        <v>37</v>
      </c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IF($J377+$L377=0,,IF($J377&lt;$L377,IF($J377&amp;"-"&amp;$L377=MID(constPunteggioForfait,FIND("-",constPunteggioForfait)+1,LEN(constPunteggioForfait))&amp;"-"&amp;LEFT(constPunteggioForfait,FIND("-",constPunteggioForfait)-1),1,0),0))</f>
        <v/>
      </c>
      <c r="P377" s="67">
        <f>IF($J377+$L377=0,,IF($J377&lt;$L377,IF($J377&amp;"-"&amp;$L377&lt;&gt;MID(constPunteggioForfait,FIND("-",constPunteggioForfait)+1,LEN(constPunteggioForfait))&amp;"-"&amp;LEFT(constPunteggioForfait,FIND("-",constPunteggioForfait)-1),1,0),0))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IF($J377+$L377=0,,IF($L377&lt;$J377,IF($J377&amp;"-"&amp;$L377=constPunteggioForfait,1,0),0))</f>
        <v/>
      </c>
      <c r="W377" s="67">
        <f>IF($J377+$L377=0,,IF($L377&lt;$J377,IF($J377&amp;"-"&amp;$L377&lt;&gt;constPunteggioForfait,1,0),0))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"&amp;IFERROR(INDEX(Campionato!$E$14:$E$53,MATCH($C377,Campionato!$B$14:$B$53,0)),"?")&amp;"]")</f>
        <v/>
      </c>
    </row>
    <row r="378" ht="16" customHeight="1">
      <c r="A378" s="141" t="n"/>
      <c r="B378" s="69">
        <f>IF(I378="","",HYPERLINK(VLOOKUP(I378,areaCampiSquadre,3,FALSE),VLOOKUP(I378,areaCampiSquadre,2,FALSE)))</f>
        <v/>
      </c>
      <c r="C378" s="9" t="n"/>
      <c r="D378" s="9" t="n"/>
      <c r="E378" s="9" t="n"/>
      <c r="F378" s="9" t="n"/>
      <c r="G378" s="9" t="n"/>
      <c r="H378" s="10" t="n"/>
      <c r="I378" s="62" t="inlineStr">
        <is>
          <t>B04</t>
        </is>
      </c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IF(C380="","",IFERROR(VLOOKUP(C380,areaNomiBreviSquadre,7,FALSE),""))</f>
        <v/>
      </c>
      <c r="C380" s="62" t="inlineStr">
        <is>
          <t>B08</t>
        </is>
      </c>
      <c r="D380" s="61">
        <f>IF(E380="","",IFERROR(VLOOKUP(E380,areaNomiBreviSquadre,7,FALSE),""))</f>
        <v/>
      </c>
      <c r="E380" s="62" t="inlineStr">
        <is>
          <t>B16</t>
        </is>
      </c>
      <c r="F380" s="63" t="n">
        <v>46390.45833333334</v>
      </c>
      <c r="G380" s="9" t="n"/>
      <c r="H380" s="9" t="n"/>
      <c r="I380" s="10" t="n"/>
      <c r="J380" s="65" t="n">
        <v>68</v>
      </c>
      <c r="K380" s="66" t="inlineStr">
        <is>
          <t>-</t>
        </is>
      </c>
      <c r="L380" s="65" t="n">
        <v>75</v>
      </c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IF($J380+$L380=0,,IF($J380&lt;$L380,IF($J380&amp;"-"&amp;$L380=MID(constPunteggioForfait,FIND("-",constPunteggioForfait)+1,LEN(constPunteggioForfait))&amp;"-"&amp;LEFT(constPunteggioForfait,FIND("-",constPunteggioForfait)-1),1,0),0))</f>
        <v/>
      </c>
      <c r="P380" s="67">
        <f>IF($J380+$L380=0,,IF($J380&lt;$L380,IF($J380&amp;"-"&amp;$L380&lt;&gt;MID(constPunteggioForfait,FIND("-",constPunteggioForfait)+1,LEN(constPunteggioForfait))&amp;"-"&amp;LEFT(constPunteggioForfait,FIND("-",constPunteggioForfait)-1),1,0),0))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IF($J380+$L380=0,,IF($L380&lt;$J380,IF($J380&amp;"-"&amp;$L380=constPunteggioForfait,1,0),0))</f>
        <v/>
      </c>
      <c r="W380" s="67">
        <f>IF($J380+$L380=0,,IF($L380&lt;$J380,IF($J380&amp;"-"&amp;$L380&lt;&gt;constPunteggioForfait,1,0),0))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"&amp;IFERROR(INDEX(Campionato!$E$14:$E$53,MATCH($C380,Campionato!$B$14:$B$53,0)),"?")&amp;"]")</f>
        <v/>
      </c>
    </row>
    <row r="381" ht="16" customHeight="1">
      <c r="A381" s="141" t="n"/>
      <c r="B381" s="69">
        <f>IF(I381="","",HYPERLINK(VLOOKUP(I381,areaCampiSquadre,3,FALSE),VLOOKUP(I381,areaCampiSquadre,2,FALSE)))</f>
        <v/>
      </c>
      <c r="C381" s="9" t="n"/>
      <c r="D381" s="9" t="n"/>
      <c r="E381" s="9" t="n"/>
      <c r="F381" s="9" t="n"/>
      <c r="G381" s="9" t="n"/>
      <c r="H381" s="10" t="n"/>
      <c r="I381" s="62" t="inlineStr">
        <is>
          <t>B04</t>
        </is>
      </c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IF(C383="","",IFERROR(VLOOKUP(C383,areaNomiBreviSquadre,7,FALSE),""))</f>
        <v/>
      </c>
      <c r="C383" s="62" t="inlineStr">
        <is>
          <t>B17</t>
        </is>
      </c>
      <c r="D383" s="61">
        <f>IF(E383="","",IFERROR(VLOOKUP(E383,areaNomiBreviSquadre,7,FALSE),""))</f>
        <v/>
      </c>
      <c r="E383" s="62" t="inlineStr">
        <is>
          <t>B07</t>
        </is>
      </c>
      <c r="F383" s="63" t="n">
        <v>46390.60416666666</v>
      </c>
      <c r="G383" s="9" t="n"/>
      <c r="H383" s="9" t="n"/>
      <c r="I383" s="10" t="n"/>
      <c r="J383" s="65" t="n">
        <v>28</v>
      </c>
      <c r="K383" s="66" t="inlineStr">
        <is>
          <t>-</t>
        </is>
      </c>
      <c r="L383" s="65" t="n">
        <v>43</v>
      </c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IF($J383+$L383=0,,IF($J383&lt;$L383,IF($J383&amp;"-"&amp;$L383=MID(constPunteggioForfait,FIND("-",constPunteggioForfait)+1,LEN(constPunteggioForfait))&amp;"-"&amp;LEFT(constPunteggioForfait,FIND("-",constPunteggioForfait)-1),1,0),0))</f>
        <v/>
      </c>
      <c r="P383" s="67">
        <f>IF($J383+$L383=0,,IF($J383&lt;$L383,IF($J383&amp;"-"&amp;$L383&lt;&gt;MID(constPunteggioForfait,FIND("-",constPunteggioForfait)+1,LEN(constPunteggioForfait))&amp;"-"&amp;LEFT(constPunteggioForfait,FIND("-",constPunteggioForfait)-1),1,0),0))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IF($J383+$L383=0,,IF($L383&lt;$J383,IF($J383&amp;"-"&amp;$L383=constPunteggioForfait,1,0),0))</f>
        <v/>
      </c>
      <c r="W383" s="67">
        <f>IF($J383+$L383=0,,IF($L383&lt;$J383,IF($J383&amp;"-"&amp;$L383&lt;&gt;constPunteggioForfait,1,0),0))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"&amp;IFERROR(INDEX(Campionato!$E$14:$E$53,MATCH($C383,Campionato!$B$14:$B$53,0)),"?")&amp;"]")</f>
        <v/>
      </c>
    </row>
    <row r="384" ht="16" customHeight="1">
      <c r="A384" s="141" t="n"/>
      <c r="B384" s="69">
        <f>IF(I384="","",HYPERLINK(VLOOKUP(I384,areaCampiSquadre,3,FALSE),VLOOKUP(I384,areaCampiSquadre,2,FALSE)))</f>
        <v/>
      </c>
      <c r="C384" s="9" t="n"/>
      <c r="D384" s="9" t="n"/>
      <c r="E384" s="9" t="n"/>
      <c r="F384" s="9" t="n"/>
      <c r="G384" s="9" t="n"/>
      <c r="H384" s="10" t="n"/>
      <c r="I384" s="62" t="inlineStr">
        <is>
          <t>B04</t>
        </is>
      </c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IF(C386="","",IFERROR(VLOOKUP(C386,areaNomiBreviSquadre,7,FALSE),""))</f>
        <v/>
      </c>
      <c r="C386" s="62" t="inlineStr">
        <is>
          <t>B06</t>
        </is>
      </c>
      <c r="D386" s="61">
        <f>IF(E386="","",IFERROR(VLOOKUP(E386,areaNomiBreviSquadre,7,FALSE),""))</f>
        <v/>
      </c>
      <c r="E386" s="62" t="inlineStr">
        <is>
          <t>B18</t>
        </is>
      </c>
      <c r="F386" s="63" t="n">
        <v>46390.66666666666</v>
      </c>
      <c r="G386" s="9" t="n"/>
      <c r="H386" s="9" t="n"/>
      <c r="I386" s="10" t="n"/>
      <c r="J386" s="65" t="n">
        <v>54</v>
      </c>
      <c r="K386" s="66" t="inlineStr">
        <is>
          <t>-</t>
        </is>
      </c>
      <c r="L386" s="65" t="n">
        <v>58</v>
      </c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IF($J386+$L386=0,,IF($J386&lt;$L386,IF($J386&amp;"-"&amp;$L386=MID(constPunteggioForfait,FIND("-",constPunteggioForfait)+1,LEN(constPunteggioForfait))&amp;"-"&amp;LEFT(constPunteggioForfait,FIND("-",constPunteggioForfait)-1),1,0),0))</f>
        <v/>
      </c>
      <c r="P386" s="67">
        <f>IF($J386+$L386=0,,IF($J386&lt;$L386,IF($J386&amp;"-"&amp;$L386&lt;&gt;MID(constPunteggioForfait,FIND("-",constPunteggioForfait)+1,LEN(constPunteggioForfait))&amp;"-"&amp;LEFT(constPunteggioForfait,FIND("-",constPunteggioForfait)-1),1,0),0))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IF($J386+$L386=0,,IF($L386&lt;$J386,IF($J386&amp;"-"&amp;$L386=constPunteggioForfait,1,0),0))</f>
        <v/>
      </c>
      <c r="W386" s="67">
        <f>IF($J386+$L386=0,,IF($L386&lt;$J386,IF($J386&amp;"-"&amp;$L386&lt;&gt;constPunteggioForfait,1,0),0))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"&amp;IFERROR(INDEX(Campionato!$E$14:$E$53,MATCH($C386,Campionato!$B$14:$B$53,0)),"?")&amp;"]")</f>
        <v/>
      </c>
    </row>
    <row r="387" ht="16" customHeight="1">
      <c r="A387" s="141" t="n"/>
      <c r="B387" s="69">
        <f>IF(I387="","",HYPERLINK(VLOOKUP(I387,areaCampiSquadre,3,FALSE),VLOOKUP(I387,areaCampiSquadre,2,FALSE)))</f>
        <v/>
      </c>
      <c r="C387" s="9" t="n"/>
      <c r="D387" s="9" t="n"/>
      <c r="E387" s="9" t="n"/>
      <c r="F387" s="9" t="n"/>
      <c r="G387" s="9" t="n"/>
      <c r="H387" s="10" t="n"/>
      <c r="I387" s="62" t="inlineStr">
        <is>
          <t>B04</t>
        </is>
      </c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IF(C389="","",IFERROR(VLOOKUP(C389,areaNomiBreviSquadre,7,FALSE),""))</f>
        <v/>
      </c>
      <c r="C389" s="62" t="inlineStr">
        <is>
          <t>B19</t>
        </is>
      </c>
      <c r="D389" s="61">
        <f>IF(E389="","",IFERROR(VLOOKUP(E389,areaNomiBreviSquadre,7,FALSE),""))</f>
        <v/>
      </c>
      <c r="E389" s="62" t="inlineStr">
        <is>
          <t>B05</t>
        </is>
      </c>
      <c r="F389" s="63" t="n">
        <v>46390.72916666666</v>
      </c>
      <c r="G389" s="9" t="n"/>
      <c r="H389" s="9" t="n"/>
      <c r="I389" s="10" t="n"/>
      <c r="J389" s="65" t="n">
        <v>40</v>
      </c>
      <c r="K389" s="66" t="inlineStr">
        <is>
          <t>-</t>
        </is>
      </c>
      <c r="L389" s="65" t="n">
        <v>0</v>
      </c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IF($J389+$L389=0,,IF($J389&lt;$L389,IF($J389&amp;"-"&amp;$L389=MID(constPunteggioForfait,FIND("-",constPunteggioForfait)+1,LEN(constPunteggioForfait))&amp;"-"&amp;LEFT(constPunteggioForfait,FIND("-",constPunteggioForfait)-1),1,0),0))</f>
        <v/>
      </c>
      <c r="P389" s="67">
        <f>IF($J389+$L389=0,,IF($J389&lt;$L389,IF($J389&amp;"-"&amp;$L389&lt;&gt;MID(constPunteggioForfait,FIND("-",constPunteggioForfait)+1,LEN(constPunteggioForfait))&amp;"-"&amp;LEFT(constPunteggioForfait,FIND("-",constPunteggioForfait)-1),1,0),0))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IF($J389+$L389=0,,IF($L389&lt;$J389,IF($J389&amp;"-"&amp;$L389=constPunteggioForfait,1,0),0))</f>
        <v/>
      </c>
      <c r="W389" s="67">
        <f>IF($J389+$L389=0,,IF($L389&lt;$J389,IF($J389&amp;"-"&amp;$L389&lt;&gt;constPunteggioForfait,1,0),0))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"&amp;IFERROR(INDEX(Campionato!$E$14:$E$53,MATCH($C389,Campionato!$B$14:$B$53,0)),"?")&amp;"]")</f>
        <v/>
      </c>
    </row>
    <row r="390" ht="16" customHeight="1">
      <c r="A390" s="141" t="n"/>
      <c r="B390" s="69">
        <f>IF(I390="","",HYPERLINK(VLOOKUP(I390,areaCampiSquadre,3,FALSE),VLOOKUP(I390,areaCampiSquadre,2,FALSE)))</f>
        <v/>
      </c>
      <c r="C390" s="9" t="n"/>
      <c r="D390" s="9" t="n"/>
      <c r="E390" s="9" t="n"/>
      <c r="F390" s="9" t="n"/>
      <c r="G390" s="9" t="n"/>
      <c r="H390" s="10" t="n"/>
      <c r="I390" s="62" t="inlineStr">
        <is>
          <t>B04</t>
        </is>
      </c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IF(C394="","",IFERROR(VLOOKUP(C394,areaNomiBreviSquadre,7,FALSE),""))</f>
        <v/>
      </c>
      <c r="C394" s="62" t="inlineStr">
        <is>
          <t>B02</t>
        </is>
      </c>
      <c r="D394" s="61">
        <f>IF(E394="","",IFERROR(VLOOKUP(E394,areaNomiBreviSquadre,7,FALSE),""))</f>
        <v/>
      </c>
      <c r="E394" s="62" t="inlineStr">
        <is>
          <t>B05</t>
        </is>
      </c>
      <c r="F394" s="63" t="n">
        <v>46397.39583333334</v>
      </c>
      <c r="G394" s="9" t="n"/>
      <c r="H394" s="9" t="n"/>
      <c r="I394" s="10" t="n"/>
      <c r="J394" s="65" t="n">
        <v>72</v>
      </c>
      <c r="K394" s="66" t="inlineStr">
        <is>
          <t>-</t>
        </is>
      </c>
      <c r="L394" s="65" t="n">
        <v>67</v>
      </c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IF($J394+$L394=0,,IF($J394&lt;$L394,IF($J394&amp;"-"&amp;$L394=MID(constPunteggioForfait,FIND("-",constPunteggioForfait)+1,LEN(constPunteggioForfait))&amp;"-"&amp;LEFT(constPunteggioForfait,FIND("-",constPunteggioForfait)-1),1,0),0))</f>
        <v/>
      </c>
      <c r="P394" s="67">
        <f>IF($J394+$L394=0,,IF($J394&lt;$L394,IF($J394&amp;"-"&amp;$L394&lt;&gt;MID(constPunteggioForfait,FIND("-",constPunteggioForfait)+1,LEN(constPunteggioForfait))&amp;"-"&amp;LEFT(constPunteggioForfait,FIND("-",constPunteggioForfait)-1),1,0),0))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IF($J394+$L394=0,,IF($L394&lt;$J394,IF($J394&amp;"-"&amp;$L394=constPunteggioForfait,1,0),0))</f>
        <v/>
      </c>
      <c r="W394" s="67">
        <f>IF($J394+$L394=0,,IF($L394&lt;$J394,IF($J394&amp;"-"&amp;$L394&lt;&gt;constPunteggioForfait,1,0),0))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"&amp;IFERROR(INDEX(Campionato!$E$14:$E$53,MATCH($C394,Campionato!$B$14:$B$53,0)),"?")&amp;"]")</f>
        <v/>
      </c>
    </row>
    <row r="395" ht="16" customHeight="1">
      <c r="A395" s="141" t="n"/>
      <c r="B395" s="69">
        <f>IF(I395="","",HYPERLINK(VLOOKUP(I395,areaCampiSquadre,3,FALSE),VLOOKUP(I395,areaCampiSquadre,2,FALSE)))</f>
        <v/>
      </c>
      <c r="C395" s="9" t="n"/>
      <c r="D395" s="9" t="n"/>
      <c r="E395" s="9" t="n"/>
      <c r="F395" s="9" t="n"/>
      <c r="G395" s="9" t="n"/>
      <c r="H395" s="10" t="n"/>
      <c r="I395" s="62" t="inlineStr">
        <is>
          <t>B05</t>
        </is>
      </c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IF(C397="","",IFERROR(VLOOKUP(C397,areaNomiBreviSquadre,7,FALSE),""))</f>
        <v/>
      </c>
      <c r="C397" s="62" t="inlineStr">
        <is>
          <t>B13</t>
        </is>
      </c>
      <c r="D397" s="61">
        <f>IF(E397="","",IFERROR(VLOOKUP(E397,areaNomiBreviSquadre,7,FALSE),""))</f>
        <v/>
      </c>
      <c r="E397" s="62" t="inlineStr">
        <is>
          <t>B20</t>
        </is>
      </c>
      <c r="F397" s="63" t="n">
        <v>46397.45833333334</v>
      </c>
      <c r="G397" s="9" t="n"/>
      <c r="H397" s="9" t="n"/>
      <c r="I397" s="10" t="n"/>
      <c r="J397" s="65" t="n">
        <v>65</v>
      </c>
      <c r="K397" s="66" t="inlineStr">
        <is>
          <t>-</t>
        </is>
      </c>
      <c r="L397" s="65" t="n">
        <v>88</v>
      </c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IF($J397+$L397=0,,IF($J397&lt;$L397,IF($J397&amp;"-"&amp;$L397=MID(constPunteggioForfait,FIND("-",constPunteggioForfait)+1,LEN(constPunteggioForfait))&amp;"-"&amp;LEFT(constPunteggioForfait,FIND("-",constPunteggioForfait)-1),1,0),0))</f>
        <v/>
      </c>
      <c r="P397" s="67">
        <f>IF($J397+$L397=0,,IF($J397&lt;$L397,IF($J397&amp;"-"&amp;$L397&lt;&gt;MID(constPunteggioForfait,FIND("-",constPunteggioForfait)+1,LEN(constPunteggioForfait))&amp;"-"&amp;LEFT(constPunteggioForfait,FIND("-",constPunteggioForfait)-1),1,0),0))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IF($J397+$L397=0,,IF($L397&lt;$J397,IF($J397&amp;"-"&amp;$L397=constPunteggioForfait,1,0),0))</f>
        <v/>
      </c>
      <c r="W397" s="67">
        <f>IF($J397+$L397=0,,IF($L397&lt;$J397,IF($J397&amp;"-"&amp;$L397&lt;&gt;constPunteggioForfait,1,0),0))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"&amp;IFERROR(INDEX(Campionato!$E$14:$E$53,MATCH($C397,Campionato!$B$14:$B$53,0)),"?")&amp;"]")</f>
        <v/>
      </c>
    </row>
    <row r="398" ht="16" customHeight="1">
      <c r="A398" s="141" t="n"/>
      <c r="B398" s="69">
        <f>IF(I398="","",HYPERLINK(VLOOKUP(I398,areaCampiSquadre,3,FALSE),VLOOKUP(I398,areaCampiSquadre,2,FALSE)))</f>
        <v/>
      </c>
      <c r="C398" s="9" t="n"/>
      <c r="D398" s="9" t="n"/>
      <c r="E398" s="9" t="n"/>
      <c r="F398" s="9" t="n"/>
      <c r="G398" s="9" t="n"/>
      <c r="H398" s="10" t="n"/>
      <c r="I398" s="62" t="inlineStr">
        <is>
          <t>B05</t>
        </is>
      </c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IF(C400="","",IFERROR(VLOOKUP(C400,areaNomiBreviSquadre,7,FALSE),""))</f>
        <v/>
      </c>
      <c r="C400" s="62" t="inlineStr">
        <is>
          <t>B12</t>
        </is>
      </c>
      <c r="D400" s="61">
        <f>IF(E400="","",IFERROR(VLOOKUP(E400,areaNomiBreviSquadre,7,FALSE),""))</f>
        <v/>
      </c>
      <c r="E400" s="62" t="inlineStr">
        <is>
          <t>B14</t>
        </is>
      </c>
      <c r="F400" s="63" t="n">
        <v>46397.60416666666</v>
      </c>
      <c r="G400" s="9" t="n"/>
      <c r="H400" s="9" t="n"/>
      <c r="I400" s="10" t="n"/>
      <c r="J400" s="65" t="n">
        <v>69</v>
      </c>
      <c r="K400" s="66" t="inlineStr">
        <is>
          <t>-</t>
        </is>
      </c>
      <c r="L400" s="65" t="n">
        <v>52</v>
      </c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IF($J400+$L400=0,,IF($J400&lt;$L400,IF($J400&amp;"-"&amp;$L400=MID(constPunteggioForfait,FIND("-",constPunteggioForfait)+1,LEN(constPunteggioForfait))&amp;"-"&amp;LEFT(constPunteggioForfait,FIND("-",constPunteggioForfait)-1),1,0),0))</f>
        <v/>
      </c>
      <c r="P400" s="67">
        <f>IF($J400+$L400=0,,IF($J400&lt;$L400,IF($J400&amp;"-"&amp;$L400&lt;&gt;MID(constPunteggioForfait,FIND("-",constPunteggioForfait)+1,LEN(constPunteggioForfait))&amp;"-"&amp;LEFT(constPunteggioForfait,FIND("-",constPunteggioForfait)-1),1,0),0))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IF($J400+$L400=0,,IF($L400&lt;$J400,IF($J400&amp;"-"&amp;$L400=constPunteggioForfait,1,0),0))</f>
        <v/>
      </c>
      <c r="W400" s="67">
        <f>IF($J400+$L400=0,,IF($L400&lt;$J400,IF($J400&amp;"-"&amp;$L400&lt;&gt;constPunteggioForfait,1,0),0))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"&amp;IFERROR(INDEX(Campionato!$E$14:$E$53,MATCH($C400,Campionato!$B$14:$B$53,0)),"?")&amp;"]")</f>
        <v/>
      </c>
    </row>
    <row r="401" ht="16" customHeight="1">
      <c r="A401" s="141" t="n"/>
      <c r="B401" s="69">
        <f>IF(I401="","",HYPERLINK(VLOOKUP(I401,areaCampiSquadre,3,FALSE),VLOOKUP(I401,areaCampiSquadre,2,FALSE)))</f>
        <v/>
      </c>
      <c r="C401" s="9" t="n"/>
      <c r="D401" s="9" t="n"/>
      <c r="E401" s="9" t="n"/>
      <c r="F401" s="9" t="n"/>
      <c r="G401" s="9" t="n"/>
      <c r="H401" s="10" t="n"/>
      <c r="I401" s="62" t="inlineStr">
        <is>
          <t>B05</t>
        </is>
      </c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IF(C403="","",IFERROR(VLOOKUP(C403,areaNomiBreviSquadre,7,FALSE),""))</f>
        <v/>
      </c>
      <c r="C403" s="62" t="inlineStr">
        <is>
          <t>B15</t>
        </is>
      </c>
      <c r="D403" s="61">
        <f>IF(E403="","",IFERROR(VLOOKUP(E403,areaNomiBreviSquadre,7,FALSE),""))</f>
        <v/>
      </c>
      <c r="E403" s="62" t="inlineStr">
        <is>
          <t>B11</t>
        </is>
      </c>
      <c r="F403" s="63" t="n">
        <v>46397.66666666666</v>
      </c>
      <c r="G403" s="9" t="n"/>
      <c r="H403" s="9" t="n"/>
      <c r="I403" s="10" t="n"/>
      <c r="J403" s="65" t="n">
        <v>72</v>
      </c>
      <c r="K403" s="66" t="inlineStr">
        <is>
          <t>-</t>
        </is>
      </c>
      <c r="L403" s="65" t="n">
        <v>90</v>
      </c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IF($J403+$L403=0,,IF($J403&lt;$L403,IF($J403&amp;"-"&amp;$L403=MID(constPunteggioForfait,FIND("-",constPunteggioForfait)+1,LEN(constPunteggioForfait))&amp;"-"&amp;LEFT(constPunteggioForfait,FIND("-",constPunteggioForfait)-1),1,0),0))</f>
        <v/>
      </c>
      <c r="P403" s="67">
        <f>IF($J403+$L403=0,,IF($J403&lt;$L403,IF($J403&amp;"-"&amp;$L403&lt;&gt;MID(constPunteggioForfait,FIND("-",constPunteggioForfait)+1,LEN(constPunteggioForfait))&amp;"-"&amp;LEFT(constPunteggioForfait,FIND("-",constPunteggioForfait)-1),1,0),0))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IF($J403+$L403=0,,IF($L403&lt;$J403,IF($J403&amp;"-"&amp;$L403=constPunteggioForfait,1,0),0))</f>
        <v/>
      </c>
      <c r="W403" s="67">
        <f>IF($J403+$L403=0,,IF($L403&lt;$J403,IF($J403&amp;"-"&amp;$L403&lt;&gt;constPunteggioForfait,1,0),0))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"&amp;IFERROR(INDEX(Campionato!$E$14:$E$53,MATCH($C403,Campionato!$B$14:$B$53,0)),"?")&amp;"]")</f>
        <v/>
      </c>
    </row>
    <row r="404" ht="16" customHeight="1">
      <c r="A404" s="141" t="n"/>
      <c r="B404" s="69">
        <f>IF(I404="","",HYPERLINK(VLOOKUP(I404,areaCampiSquadre,3,FALSE),VLOOKUP(I404,areaCampiSquadre,2,FALSE)))</f>
        <v/>
      </c>
      <c r="C404" s="9" t="n"/>
      <c r="D404" s="9" t="n"/>
      <c r="E404" s="9" t="n"/>
      <c r="F404" s="9" t="n"/>
      <c r="G404" s="9" t="n"/>
      <c r="H404" s="10" t="n"/>
      <c r="I404" s="62" t="inlineStr">
        <is>
          <t>B05</t>
        </is>
      </c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IF(C406="","",IFERROR(VLOOKUP(C406,areaNomiBreviSquadre,7,FALSE),""))</f>
        <v/>
      </c>
      <c r="C406" s="62" t="inlineStr">
        <is>
          <t>B10</t>
        </is>
      </c>
      <c r="D406" s="61">
        <f>IF(E406="","",IFERROR(VLOOKUP(E406,areaNomiBreviSquadre,7,FALSE),""))</f>
        <v/>
      </c>
      <c r="E406" s="62" t="inlineStr">
        <is>
          <t>B16</t>
        </is>
      </c>
      <c r="F406" s="63" t="n">
        <v>46397.72916666666</v>
      </c>
      <c r="G406" s="9" t="n"/>
      <c r="H406" s="9" t="n"/>
      <c r="I406" s="10" t="n"/>
      <c r="J406" s="65" t="n">
        <v>63</v>
      </c>
      <c r="K406" s="66" t="inlineStr">
        <is>
          <t>-</t>
        </is>
      </c>
      <c r="L406" s="65" t="n">
        <v>66</v>
      </c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IF($J406+$L406=0,,IF($J406&lt;$L406,IF($J406&amp;"-"&amp;$L406=MID(constPunteggioForfait,FIND("-",constPunteggioForfait)+1,LEN(constPunteggioForfait))&amp;"-"&amp;LEFT(constPunteggioForfait,FIND("-",constPunteggioForfait)-1),1,0),0))</f>
        <v/>
      </c>
      <c r="P406" s="67">
        <f>IF($J406+$L406=0,,IF($J406&lt;$L406,IF($J406&amp;"-"&amp;$L406&lt;&gt;MID(constPunteggioForfait,FIND("-",constPunteggioForfait)+1,LEN(constPunteggioForfait))&amp;"-"&amp;LEFT(constPunteggioForfait,FIND("-",constPunteggioForfait)-1),1,0),0))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IF($J406+$L406=0,,IF($L406&lt;$J406,IF($J406&amp;"-"&amp;$L406=constPunteggioForfait,1,0),0))</f>
        <v/>
      </c>
      <c r="W406" s="67">
        <f>IF($J406+$L406=0,,IF($L406&lt;$J406,IF($J406&amp;"-"&amp;$L406&lt;&gt;constPunteggioForfait,1,0),0))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"&amp;IFERROR(INDEX(Campionato!$E$14:$E$53,MATCH($C406,Campionato!$B$14:$B$53,0)),"?")&amp;"]")</f>
        <v/>
      </c>
    </row>
    <row r="407" ht="16" customHeight="1">
      <c r="A407" s="141" t="n"/>
      <c r="B407" s="69">
        <f>IF(I407="","",HYPERLINK(VLOOKUP(I407,areaCampiSquadre,3,FALSE),VLOOKUP(I407,areaCampiSquadre,2,FALSE)))</f>
        <v/>
      </c>
      <c r="C407" s="9" t="n"/>
      <c r="D407" s="9" t="n"/>
      <c r="E407" s="9" t="n"/>
      <c r="F407" s="9" t="n"/>
      <c r="G407" s="9" t="n"/>
      <c r="H407" s="10" t="n"/>
      <c r="I407" s="62" t="inlineStr">
        <is>
          <t>B05</t>
        </is>
      </c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IF(C409="","",IFERROR(VLOOKUP(C409,areaNomiBreviSquadre,7,FALSE),""))</f>
        <v/>
      </c>
      <c r="C409" s="62" t="inlineStr">
        <is>
          <t>B06</t>
        </is>
      </c>
      <c r="D409" s="61">
        <f>IF(E409="","",IFERROR(VLOOKUP(E409,areaNomiBreviSquadre,7,FALSE),""))</f>
        <v/>
      </c>
      <c r="E409" s="62" t="inlineStr">
        <is>
          <t>B01</t>
        </is>
      </c>
      <c r="F409" s="63" t="n">
        <v>46397.39583333334</v>
      </c>
      <c r="G409" s="9" t="n"/>
      <c r="H409" s="9" t="n"/>
      <c r="I409" s="10" t="n"/>
      <c r="J409" s="65" t="n">
        <v>87</v>
      </c>
      <c r="K409" s="66" t="inlineStr">
        <is>
          <t>-</t>
        </is>
      </c>
      <c r="L409" s="65" t="n">
        <v>76</v>
      </c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IF($J409+$L409=0,,IF($J409&lt;$L409,IF($J409&amp;"-"&amp;$L409=MID(constPunteggioForfait,FIND("-",constPunteggioForfait)+1,LEN(constPunteggioForfait))&amp;"-"&amp;LEFT(constPunteggioForfait,FIND("-",constPunteggioForfait)-1),1,0),0))</f>
        <v/>
      </c>
      <c r="P409" s="67">
        <f>IF($J409+$L409=0,,IF($J409&lt;$L409,IF($J409&amp;"-"&amp;$L409&lt;&gt;MID(constPunteggioForfait,FIND("-",constPunteggioForfait)+1,LEN(constPunteggioForfait))&amp;"-"&amp;LEFT(constPunteggioForfait,FIND("-",constPunteggioForfait)-1),1,0),0))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IF($J409+$L409=0,,IF($L409&lt;$J409,IF($J409&amp;"-"&amp;$L409=constPunteggioForfait,1,0),0))</f>
        <v/>
      </c>
      <c r="W409" s="67">
        <f>IF($J409+$L409=0,,IF($L409&lt;$J409,IF($J409&amp;"-"&amp;$L409&lt;&gt;constPunteggioForfait,1,0),0))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"&amp;IFERROR(INDEX(Campionato!$E$14:$E$53,MATCH($C409,Campionato!$B$14:$B$53,0)),"?")&amp;"]")</f>
        <v/>
      </c>
    </row>
    <row r="410" ht="16" customHeight="1">
      <c r="A410" s="141" t="n"/>
      <c r="B410" s="69">
        <f>IF(I410="","",HYPERLINK(VLOOKUP(I410,areaCampiSquadre,3,FALSE),VLOOKUP(I410,areaCampiSquadre,2,FALSE)))</f>
        <v/>
      </c>
      <c r="C410" s="9" t="n"/>
      <c r="D410" s="9" t="n"/>
      <c r="E410" s="9" t="n"/>
      <c r="F410" s="9" t="n"/>
      <c r="G410" s="9" t="n"/>
      <c r="H410" s="10" t="n"/>
      <c r="I410" s="62" t="inlineStr">
        <is>
          <t>B06</t>
        </is>
      </c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IF(C412="","",IFERROR(VLOOKUP(C412,areaNomiBreviSquadre,7,FALSE),""))</f>
        <v/>
      </c>
      <c r="C412" s="62" t="inlineStr">
        <is>
          <t>B17</t>
        </is>
      </c>
      <c r="D412" s="61">
        <f>IF(E412="","",IFERROR(VLOOKUP(E412,areaNomiBreviSquadre,7,FALSE),""))</f>
        <v/>
      </c>
      <c r="E412" s="62" t="inlineStr">
        <is>
          <t>B09</t>
        </is>
      </c>
      <c r="F412" s="63" t="n">
        <v>46397.45833333334</v>
      </c>
      <c r="G412" s="9" t="n"/>
      <c r="H412" s="9" t="n"/>
      <c r="I412" s="10" t="n"/>
      <c r="J412" s="65" t="n">
        <v>28</v>
      </c>
      <c r="K412" s="66" t="inlineStr">
        <is>
          <t>-</t>
        </is>
      </c>
      <c r="L412" s="65" t="n">
        <v>50</v>
      </c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IF($J412+$L412=0,,IF($J412&lt;$L412,IF($J412&amp;"-"&amp;$L412=MID(constPunteggioForfait,FIND("-",constPunteggioForfait)+1,LEN(constPunteggioForfait))&amp;"-"&amp;LEFT(constPunteggioForfait,FIND("-",constPunteggioForfait)-1),1,0),0))</f>
        <v/>
      </c>
      <c r="P412" s="67">
        <f>IF($J412+$L412=0,,IF($J412&lt;$L412,IF($J412&amp;"-"&amp;$L412&lt;&gt;MID(constPunteggioForfait,FIND("-",constPunteggioForfait)+1,LEN(constPunteggioForfait))&amp;"-"&amp;LEFT(constPunteggioForfait,FIND("-",constPunteggioForfait)-1),1,0),0))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IF($J412+$L412=0,,IF($L412&lt;$J412,IF($J412&amp;"-"&amp;$L412=constPunteggioForfait,1,0),0))</f>
        <v/>
      </c>
      <c r="W412" s="67">
        <f>IF($J412+$L412=0,,IF($L412&lt;$J412,IF($J412&amp;"-"&amp;$L412&lt;&gt;constPunteggioForfait,1,0),0))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"&amp;IFERROR(INDEX(Campionato!$E$14:$E$53,MATCH($C412,Campionato!$B$14:$B$53,0)),"?")&amp;"]")</f>
        <v/>
      </c>
    </row>
    <row r="413" ht="16" customHeight="1">
      <c r="A413" s="141" t="n"/>
      <c r="B413" s="69">
        <f>IF(I413="","",HYPERLINK(VLOOKUP(I413,areaCampiSquadre,3,FALSE),VLOOKUP(I413,areaCampiSquadre,2,FALSE)))</f>
        <v/>
      </c>
      <c r="C413" s="9" t="n"/>
      <c r="D413" s="9" t="n"/>
      <c r="E413" s="9" t="n"/>
      <c r="F413" s="9" t="n"/>
      <c r="G413" s="9" t="n"/>
      <c r="H413" s="10" t="n"/>
      <c r="I413" s="62" t="inlineStr">
        <is>
          <t>B06</t>
        </is>
      </c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IF(C415="","",IFERROR(VLOOKUP(C415,areaNomiBreviSquadre,7,FALSE),""))</f>
        <v/>
      </c>
      <c r="C415" s="62" t="inlineStr">
        <is>
          <t>B08</t>
        </is>
      </c>
      <c r="D415" s="61">
        <f>IF(E415="","",IFERROR(VLOOKUP(E415,areaNomiBreviSquadre,7,FALSE),""))</f>
        <v/>
      </c>
      <c r="E415" s="62" t="inlineStr">
        <is>
          <t>B18</t>
        </is>
      </c>
      <c r="F415" s="63" t="n">
        <v>46397.60416666666</v>
      </c>
      <c r="G415" s="9" t="n"/>
      <c r="H415" s="9" t="n"/>
      <c r="I415" s="10" t="n"/>
      <c r="J415" s="65" t="n">
        <v>92</v>
      </c>
      <c r="K415" s="66" t="inlineStr">
        <is>
          <t>-</t>
        </is>
      </c>
      <c r="L415" s="65" t="n">
        <v>71</v>
      </c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IF($J415+$L415=0,,IF($J415&lt;$L415,IF($J415&amp;"-"&amp;$L415=MID(constPunteggioForfait,FIND("-",constPunteggioForfait)+1,LEN(constPunteggioForfait))&amp;"-"&amp;LEFT(constPunteggioForfait,FIND("-",constPunteggioForfait)-1),1,0),0))</f>
        <v/>
      </c>
      <c r="P415" s="67">
        <f>IF($J415+$L415=0,,IF($J415&lt;$L415,IF($J415&amp;"-"&amp;$L415&lt;&gt;MID(constPunteggioForfait,FIND("-",constPunteggioForfait)+1,LEN(constPunteggioForfait))&amp;"-"&amp;LEFT(constPunteggioForfait,FIND("-",constPunteggioForfait)-1),1,0),0))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IF($J415+$L415=0,,IF($L415&lt;$J415,IF($J415&amp;"-"&amp;$L415=constPunteggioForfait,1,0),0))</f>
        <v/>
      </c>
      <c r="W415" s="67">
        <f>IF($J415+$L415=0,,IF($L415&lt;$J415,IF($J415&amp;"-"&amp;$L415&lt;&gt;constPunteggioForfait,1,0),0))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"&amp;IFERROR(INDEX(Campionato!$E$14:$E$53,MATCH($C415,Campionato!$B$14:$B$53,0)),"?")&amp;"]")</f>
        <v/>
      </c>
    </row>
    <row r="416" ht="16" customHeight="1">
      <c r="A416" s="141" t="n"/>
      <c r="B416" s="69">
        <f>IF(I416="","",HYPERLINK(VLOOKUP(I416,areaCampiSquadre,3,FALSE),VLOOKUP(I416,areaCampiSquadre,2,FALSE)))</f>
        <v/>
      </c>
      <c r="C416" s="9" t="n"/>
      <c r="D416" s="9" t="n"/>
      <c r="E416" s="9" t="n"/>
      <c r="F416" s="9" t="n"/>
      <c r="G416" s="9" t="n"/>
      <c r="H416" s="10" t="n"/>
      <c r="I416" s="62" t="inlineStr">
        <is>
          <t>B06</t>
        </is>
      </c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IF(C418="","",IFERROR(VLOOKUP(C418,areaNomiBreviSquadre,7,FALSE),""))</f>
        <v/>
      </c>
      <c r="C418" s="62" t="inlineStr">
        <is>
          <t>B19</t>
        </is>
      </c>
      <c r="D418" s="61">
        <f>IF(E418="","",IFERROR(VLOOKUP(E418,areaNomiBreviSquadre,7,FALSE),""))</f>
        <v/>
      </c>
      <c r="E418" s="62" t="inlineStr">
        <is>
          <t>B07</t>
        </is>
      </c>
      <c r="F418" s="63" t="n">
        <v>46397.66666666666</v>
      </c>
      <c r="G418" s="9" t="n"/>
      <c r="H418" s="9" t="n"/>
      <c r="I418" s="10" t="n"/>
      <c r="J418" s="65" t="n">
        <v>77</v>
      </c>
      <c r="K418" s="66" t="inlineStr">
        <is>
          <t>-</t>
        </is>
      </c>
      <c r="L418" s="65" t="n">
        <v>61</v>
      </c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IF($J418+$L418=0,,IF($J418&lt;$L418,IF($J418&amp;"-"&amp;$L418=MID(constPunteggioForfait,FIND("-",constPunteggioForfait)+1,LEN(constPunteggioForfait))&amp;"-"&amp;LEFT(constPunteggioForfait,FIND("-",constPunteggioForfait)-1),1,0),0))</f>
        <v/>
      </c>
      <c r="P418" s="67">
        <f>IF($J418+$L418=0,,IF($J418&lt;$L418,IF($J418&amp;"-"&amp;$L418&lt;&gt;MID(constPunteggioForfait,FIND("-",constPunteggioForfait)+1,LEN(constPunteggioForfait))&amp;"-"&amp;LEFT(constPunteggioForfait,FIND("-",constPunteggioForfait)-1),1,0),0))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IF($J418+$L418=0,,IF($L418&lt;$J418,IF($J418&amp;"-"&amp;$L418=constPunteggioForfait,1,0),0))</f>
        <v/>
      </c>
      <c r="W418" s="67">
        <f>IF($J418+$L418=0,,IF($L418&lt;$J418,IF($J418&amp;"-"&amp;$L418&lt;&gt;constPunteggioForfait,1,0),0))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"&amp;IFERROR(INDEX(Campionato!$E$14:$E$53,MATCH($C418,Campionato!$B$14:$B$53,0)),"?")&amp;"]")</f>
        <v/>
      </c>
    </row>
    <row r="419" ht="16" customHeight="1">
      <c r="A419" s="141" t="n"/>
      <c r="B419" s="69">
        <f>IF(I419="","",HYPERLINK(VLOOKUP(I419,areaCampiSquadre,3,FALSE),VLOOKUP(I419,areaCampiSquadre,2,FALSE)))</f>
        <v/>
      </c>
      <c r="C419" s="9" t="n"/>
      <c r="D419" s="9" t="n"/>
      <c r="E419" s="9" t="n"/>
      <c r="F419" s="9" t="n"/>
      <c r="G419" s="9" t="n"/>
      <c r="H419" s="10" t="n"/>
      <c r="I419" s="62" t="inlineStr">
        <is>
          <t>B06</t>
        </is>
      </c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IF(C421="","",IFERROR(VLOOKUP(C421,areaNomiBreviSquadre,7,FALSE),""))</f>
        <v/>
      </c>
      <c r="C421" s="62" t="inlineStr">
        <is>
          <t>B04</t>
        </is>
      </c>
      <c r="D421" s="61">
        <f>IF(E421="","",IFERROR(VLOOKUP(E421,areaNomiBreviSquadre,7,FALSE),""))</f>
        <v/>
      </c>
      <c r="E421" s="62" t="inlineStr">
        <is>
          <t>B03</t>
        </is>
      </c>
      <c r="F421" s="63" t="n">
        <v>46397.72916666666</v>
      </c>
      <c r="G421" s="9" t="n"/>
      <c r="H421" s="9" t="n"/>
      <c r="I421" s="10" t="n"/>
      <c r="J421" s="65" t="n">
        <v>51</v>
      </c>
      <c r="K421" s="66" t="inlineStr">
        <is>
          <t>-</t>
        </is>
      </c>
      <c r="L421" s="65" t="n">
        <v>72</v>
      </c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IF($J421+$L421=0,,IF($J421&lt;$L421,IF($J421&amp;"-"&amp;$L421=MID(constPunteggioForfait,FIND("-",constPunteggioForfait)+1,LEN(constPunteggioForfait))&amp;"-"&amp;LEFT(constPunteggioForfait,FIND("-",constPunteggioForfait)-1),1,0),0))</f>
        <v/>
      </c>
      <c r="P421" s="67">
        <f>IF($J421+$L421=0,,IF($J421&lt;$L421,IF($J421&amp;"-"&amp;$L421&lt;&gt;MID(constPunteggioForfait,FIND("-",constPunteggioForfait)+1,LEN(constPunteggioForfait))&amp;"-"&amp;LEFT(constPunteggioForfait,FIND("-",constPunteggioForfait)-1),1,0),0))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IF($J421+$L421=0,,IF($L421&lt;$J421,IF($J421&amp;"-"&amp;$L421=constPunteggioForfait,1,0),0))</f>
        <v/>
      </c>
      <c r="W421" s="67">
        <f>IF($J421+$L421=0,,IF($L421&lt;$J421,IF($J421&amp;"-"&amp;$L421&lt;&gt;constPunteggioForfait,1,0),0))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"&amp;IFERROR(INDEX(Campionato!$E$14:$E$53,MATCH($C421,Campionato!$B$14:$B$53,0)),"?")&amp;"]")</f>
        <v/>
      </c>
    </row>
    <row r="422" ht="16" customHeight="1">
      <c r="A422" s="141" t="n"/>
      <c r="B422" s="69">
        <f>IF(I422="","",HYPERLINK(VLOOKUP(I422,areaCampiSquadre,3,FALSE),VLOOKUP(I422,areaCampiSquadre,2,FALSE)))</f>
        <v/>
      </c>
      <c r="C422" s="9" t="n"/>
      <c r="D422" s="9" t="n"/>
      <c r="E422" s="9" t="n"/>
      <c r="F422" s="9" t="n"/>
      <c r="G422" s="9" t="n"/>
      <c r="H422" s="10" t="n"/>
      <c r="I422" s="62" t="inlineStr">
        <is>
          <t>B06</t>
        </is>
      </c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IF(C426="","",IFERROR(VLOOKUP(C426,areaNomiBreviSquadre,7,FALSE),""))</f>
        <v/>
      </c>
      <c r="C426" s="62" t="inlineStr">
        <is>
          <t>B02</t>
        </is>
      </c>
      <c r="D426" s="61">
        <f>IF(E426="","",IFERROR(VLOOKUP(E426,areaNomiBreviSquadre,7,FALSE),""))</f>
        <v/>
      </c>
      <c r="E426" s="62" t="inlineStr">
        <is>
          <t>B07</t>
        </is>
      </c>
      <c r="F426" s="63" t="n">
        <v>46404.39583333334</v>
      </c>
      <c r="G426" s="9" t="n"/>
      <c r="H426" s="9" t="n"/>
      <c r="I426" s="10" t="n"/>
      <c r="J426" s="65" t="n">
        <v>66</v>
      </c>
      <c r="K426" s="66" t="inlineStr">
        <is>
          <t>-</t>
        </is>
      </c>
      <c r="L426" s="65" t="n">
        <v>69</v>
      </c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IF($J426+$L426=0,,IF($J426&lt;$L426,IF($J426&amp;"-"&amp;$L426=MID(constPunteggioForfait,FIND("-",constPunteggioForfait)+1,LEN(constPunteggioForfait))&amp;"-"&amp;LEFT(constPunteggioForfait,FIND("-",constPunteggioForfait)-1),1,0),0))</f>
        <v/>
      </c>
      <c r="P426" s="67">
        <f>IF($J426+$L426=0,,IF($J426&lt;$L426,IF($J426&amp;"-"&amp;$L426&lt;&gt;MID(constPunteggioForfait,FIND("-",constPunteggioForfait)+1,LEN(constPunteggioForfait))&amp;"-"&amp;LEFT(constPunteggioForfait,FIND("-",constPunteggioForfait)-1),1,0),0))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IF($J426+$L426=0,,IF($L426&lt;$J426,IF($J426&amp;"-"&amp;$L426=constPunteggioForfait,1,0),0))</f>
        <v/>
      </c>
      <c r="W426" s="67">
        <f>IF($J426+$L426=0,,IF($L426&lt;$J426,IF($J426&amp;"-"&amp;$L426&lt;&gt;constPunteggioForfait,1,0),0))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"&amp;IFERROR(INDEX(Campionato!$E$14:$E$53,MATCH($C426,Campionato!$B$14:$B$53,0)),"?")&amp;"]")</f>
        <v/>
      </c>
    </row>
    <row r="427" ht="16" customHeight="1">
      <c r="A427" s="141" t="n"/>
      <c r="B427" s="69">
        <f>IF(I427="","",HYPERLINK(VLOOKUP(I427,areaCampiSquadre,3,FALSE),VLOOKUP(I427,areaCampiSquadre,2,FALSE)))</f>
        <v/>
      </c>
      <c r="C427" s="9" t="n"/>
      <c r="D427" s="9" t="n"/>
      <c r="E427" s="9" t="n"/>
      <c r="F427" s="9" t="n"/>
      <c r="G427" s="9" t="n"/>
      <c r="H427" s="10" t="n"/>
      <c r="I427" s="62" t="inlineStr">
        <is>
          <t>B07</t>
        </is>
      </c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IF(C429="","",IFERROR(VLOOKUP(C429,areaNomiBreviSquadre,7,FALSE),""))</f>
        <v/>
      </c>
      <c r="C429" s="62" t="inlineStr">
        <is>
          <t>B20</t>
        </is>
      </c>
      <c r="D429" s="61">
        <f>IF(E429="","",IFERROR(VLOOKUP(E429,areaNomiBreviSquadre,7,FALSE),""))</f>
        <v/>
      </c>
      <c r="E429" s="62" t="inlineStr">
        <is>
          <t>B14</t>
        </is>
      </c>
      <c r="F429" s="63" t="n">
        <v>46404.45833333334</v>
      </c>
      <c r="G429" s="9" t="n"/>
      <c r="H429" s="9" t="n"/>
      <c r="I429" s="10" t="n"/>
      <c r="J429" s="65" t="n">
        <v>83</v>
      </c>
      <c r="K429" s="66" t="inlineStr">
        <is>
          <t>-</t>
        </is>
      </c>
      <c r="L429" s="65" t="n">
        <v>61</v>
      </c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IF($J429+$L429=0,,IF($J429&lt;$L429,IF($J429&amp;"-"&amp;$L429=MID(constPunteggioForfait,FIND("-",constPunteggioForfait)+1,LEN(constPunteggioForfait))&amp;"-"&amp;LEFT(constPunteggioForfait,FIND("-",constPunteggioForfait)-1),1,0),0))</f>
        <v/>
      </c>
      <c r="P429" s="67">
        <f>IF($J429+$L429=0,,IF($J429&lt;$L429,IF($J429&amp;"-"&amp;$L429&lt;&gt;MID(constPunteggioForfait,FIND("-",constPunteggioForfait)+1,LEN(constPunteggioForfait))&amp;"-"&amp;LEFT(constPunteggioForfait,FIND("-",constPunteggioForfait)-1),1,0),0))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IF($J429+$L429=0,,IF($L429&lt;$J429,IF($J429&amp;"-"&amp;$L429=constPunteggioForfait,1,0),0))</f>
        <v/>
      </c>
      <c r="W429" s="67">
        <f>IF($J429+$L429=0,,IF($L429&lt;$J429,IF($J429&amp;"-"&amp;$L429&lt;&gt;constPunteggioForfait,1,0),0))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"&amp;IFERROR(INDEX(Campionato!$E$14:$E$53,MATCH($C429,Campionato!$B$14:$B$53,0)),"?")&amp;"]")</f>
        <v/>
      </c>
    </row>
    <row r="430" ht="16" customHeight="1">
      <c r="A430" s="141" t="n"/>
      <c r="B430" s="69">
        <f>IF(I430="","",HYPERLINK(VLOOKUP(I430,areaCampiSquadre,3,FALSE),VLOOKUP(I430,areaCampiSquadre,2,FALSE)))</f>
        <v/>
      </c>
      <c r="C430" s="9" t="n"/>
      <c r="D430" s="9" t="n"/>
      <c r="E430" s="9" t="n"/>
      <c r="F430" s="9" t="n"/>
      <c r="G430" s="9" t="n"/>
      <c r="H430" s="10" t="n"/>
      <c r="I430" s="62" t="inlineStr">
        <is>
          <t>B07</t>
        </is>
      </c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IF(C432="","",IFERROR(VLOOKUP(C432,areaNomiBreviSquadre,7,FALSE),""))</f>
        <v/>
      </c>
      <c r="C432" s="62" t="inlineStr">
        <is>
          <t>B15</t>
        </is>
      </c>
      <c r="D432" s="61">
        <f>IF(E432="","",IFERROR(VLOOKUP(E432,areaNomiBreviSquadre,7,FALSE),""))</f>
        <v/>
      </c>
      <c r="E432" s="62" t="inlineStr">
        <is>
          <t>B13</t>
        </is>
      </c>
      <c r="F432" s="63" t="n">
        <v>46404.60416666666</v>
      </c>
      <c r="G432" s="9" t="n"/>
      <c r="H432" s="9" t="n"/>
      <c r="I432" s="10" t="n"/>
      <c r="J432" s="65" t="n">
        <v>61</v>
      </c>
      <c r="K432" s="66" t="inlineStr">
        <is>
          <t>-</t>
        </is>
      </c>
      <c r="L432" s="65" t="n">
        <v>43</v>
      </c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IF($J432+$L432=0,,IF($J432&lt;$L432,IF($J432&amp;"-"&amp;$L432=MID(constPunteggioForfait,FIND("-",constPunteggioForfait)+1,LEN(constPunteggioForfait))&amp;"-"&amp;LEFT(constPunteggioForfait,FIND("-",constPunteggioForfait)-1),1,0),0))</f>
        <v/>
      </c>
      <c r="P432" s="67">
        <f>IF($J432+$L432=0,,IF($J432&lt;$L432,IF($J432&amp;"-"&amp;$L432&lt;&gt;MID(constPunteggioForfait,FIND("-",constPunteggioForfait)+1,LEN(constPunteggioForfait))&amp;"-"&amp;LEFT(constPunteggioForfait,FIND("-",constPunteggioForfait)-1),1,0),0))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IF($J432+$L432=0,,IF($L432&lt;$J432,IF($J432&amp;"-"&amp;$L432=constPunteggioForfait,1,0),0))</f>
        <v/>
      </c>
      <c r="W432" s="67">
        <f>IF($J432+$L432=0,,IF($L432&lt;$J432,IF($J432&amp;"-"&amp;$L432&lt;&gt;constPunteggioForfait,1,0),0))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"&amp;IFERROR(INDEX(Campionato!$E$14:$E$53,MATCH($C432,Campionato!$B$14:$B$53,0)),"?")&amp;"]")</f>
        <v/>
      </c>
    </row>
    <row r="433" ht="16" customHeight="1">
      <c r="A433" s="141" t="n"/>
      <c r="B433" s="69">
        <f>IF(I433="","",HYPERLINK(VLOOKUP(I433,areaCampiSquadre,3,FALSE),VLOOKUP(I433,areaCampiSquadre,2,FALSE)))</f>
        <v/>
      </c>
      <c r="C433" s="9" t="n"/>
      <c r="D433" s="9" t="n"/>
      <c r="E433" s="9" t="n"/>
      <c r="F433" s="9" t="n"/>
      <c r="G433" s="9" t="n"/>
      <c r="H433" s="10" t="n"/>
      <c r="I433" s="62" t="inlineStr">
        <is>
          <t>B07</t>
        </is>
      </c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IF(C435="","",IFERROR(VLOOKUP(C435,areaNomiBreviSquadre,7,FALSE),""))</f>
        <v/>
      </c>
      <c r="C435" s="62" t="inlineStr">
        <is>
          <t>B12</t>
        </is>
      </c>
      <c r="D435" s="61">
        <f>IF(E435="","",IFERROR(VLOOKUP(E435,areaNomiBreviSquadre,7,FALSE),""))</f>
        <v/>
      </c>
      <c r="E435" s="62" t="inlineStr">
        <is>
          <t>B16</t>
        </is>
      </c>
      <c r="F435" s="63" t="n">
        <v>46404.66666666666</v>
      </c>
      <c r="G435" s="9" t="n"/>
      <c r="H435" s="9" t="n"/>
      <c r="I435" s="10" t="n"/>
      <c r="J435" s="65" t="n">
        <v>72</v>
      </c>
      <c r="K435" s="66" t="inlineStr">
        <is>
          <t>-</t>
        </is>
      </c>
      <c r="L435" s="65" t="n">
        <v>79</v>
      </c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IF($J435+$L435=0,,IF($J435&lt;$L435,IF($J435&amp;"-"&amp;$L435=MID(constPunteggioForfait,FIND("-",constPunteggioForfait)+1,LEN(constPunteggioForfait))&amp;"-"&amp;LEFT(constPunteggioForfait,FIND("-",constPunteggioForfait)-1),1,0),0))</f>
        <v/>
      </c>
      <c r="P435" s="67">
        <f>IF($J435+$L435=0,,IF($J435&lt;$L435,IF($J435&amp;"-"&amp;$L435&lt;&gt;MID(constPunteggioForfait,FIND("-",constPunteggioForfait)+1,LEN(constPunteggioForfait))&amp;"-"&amp;LEFT(constPunteggioForfait,FIND("-",constPunteggioForfait)-1),1,0),0))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IF($J435+$L435=0,,IF($L435&lt;$J435,IF($J435&amp;"-"&amp;$L435=constPunteggioForfait,1,0),0))</f>
        <v/>
      </c>
      <c r="W435" s="67">
        <f>IF($J435+$L435=0,,IF($L435&lt;$J435,IF($J435&amp;"-"&amp;$L435&lt;&gt;constPunteggioForfait,1,0),0))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"&amp;IFERROR(INDEX(Campionato!$E$14:$E$53,MATCH($C435,Campionato!$B$14:$B$53,0)),"?")&amp;"]")</f>
        <v/>
      </c>
    </row>
    <row r="436" ht="16" customHeight="1">
      <c r="A436" s="141" t="n"/>
      <c r="B436" s="69">
        <f>IF(I436="","",HYPERLINK(VLOOKUP(I436,areaCampiSquadre,3,FALSE),VLOOKUP(I436,areaCampiSquadre,2,FALSE)))</f>
        <v/>
      </c>
      <c r="C436" s="9" t="n"/>
      <c r="D436" s="9" t="n"/>
      <c r="E436" s="9" t="n"/>
      <c r="F436" s="9" t="n"/>
      <c r="G436" s="9" t="n"/>
      <c r="H436" s="10" t="n"/>
      <c r="I436" s="62" t="inlineStr">
        <is>
          <t>B07</t>
        </is>
      </c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IF(C438="","",IFERROR(VLOOKUP(C438,areaNomiBreviSquadre,7,FALSE),""))</f>
        <v/>
      </c>
      <c r="C438" s="62" t="inlineStr">
        <is>
          <t>B17</t>
        </is>
      </c>
      <c r="D438" s="61">
        <f>IF(E438="","",IFERROR(VLOOKUP(E438,areaNomiBreviSquadre,7,FALSE),""))</f>
        <v/>
      </c>
      <c r="E438" s="62" t="inlineStr">
        <is>
          <t>B11</t>
        </is>
      </c>
      <c r="F438" s="63" t="n">
        <v>46404.72916666666</v>
      </c>
      <c r="G438" s="9" t="n"/>
      <c r="H438" s="9" t="n"/>
      <c r="I438" s="10" t="n"/>
      <c r="J438" s="65" t="n">
        <v>91</v>
      </c>
      <c r="K438" s="66" t="inlineStr">
        <is>
          <t>-</t>
        </is>
      </c>
      <c r="L438" s="65" t="n">
        <v>86</v>
      </c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IF($J438+$L438=0,,IF($J438&lt;$L438,IF($J438&amp;"-"&amp;$L438=MID(constPunteggioForfait,FIND("-",constPunteggioForfait)+1,LEN(constPunteggioForfait))&amp;"-"&amp;LEFT(constPunteggioForfait,FIND("-",constPunteggioForfait)-1),1,0),0))</f>
        <v/>
      </c>
      <c r="P438" s="67">
        <f>IF($J438+$L438=0,,IF($J438&lt;$L438,IF($J438&amp;"-"&amp;$L438&lt;&gt;MID(constPunteggioForfait,FIND("-",constPunteggioForfait)+1,LEN(constPunteggioForfait))&amp;"-"&amp;LEFT(constPunteggioForfait,FIND("-",constPunteggioForfait)-1),1,0),0))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IF($J438+$L438=0,,IF($L438&lt;$J438,IF($J438&amp;"-"&amp;$L438=constPunteggioForfait,1,0),0))</f>
        <v/>
      </c>
      <c r="W438" s="67">
        <f>IF($J438+$L438=0,,IF($L438&lt;$J438,IF($J438&amp;"-"&amp;$L438&lt;&gt;constPunteggioForfait,1,0),0))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"&amp;IFERROR(INDEX(Campionato!$E$14:$E$53,MATCH($C438,Campionato!$B$14:$B$53,0)),"?")&amp;"]")</f>
        <v/>
      </c>
    </row>
    <row r="439" ht="16" customHeight="1">
      <c r="A439" s="141" t="n"/>
      <c r="B439" s="69">
        <f>IF(I439="","",HYPERLINK(VLOOKUP(I439,areaCampiSquadre,3,FALSE),VLOOKUP(I439,areaCampiSquadre,2,FALSE)))</f>
        <v/>
      </c>
      <c r="C439" s="9" t="n"/>
      <c r="D439" s="9" t="n"/>
      <c r="E439" s="9" t="n"/>
      <c r="F439" s="9" t="n"/>
      <c r="G439" s="9" t="n"/>
      <c r="H439" s="10" t="n"/>
      <c r="I439" s="62" t="inlineStr">
        <is>
          <t>B07</t>
        </is>
      </c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IF(C441="","",IFERROR(VLOOKUP(C441,areaNomiBreviSquadre,7,FALSE),""))</f>
        <v/>
      </c>
      <c r="C441" s="62" t="inlineStr">
        <is>
          <t>B08</t>
        </is>
      </c>
      <c r="D441" s="61">
        <f>IF(E441="","",IFERROR(VLOOKUP(E441,areaNomiBreviSquadre,7,FALSE),""))</f>
        <v/>
      </c>
      <c r="E441" s="62" t="inlineStr">
        <is>
          <t>B01</t>
        </is>
      </c>
      <c r="F441" s="63" t="n">
        <v>46404.39583333334</v>
      </c>
      <c r="G441" s="9" t="n"/>
      <c r="H441" s="9" t="n"/>
      <c r="I441" s="10" t="n"/>
      <c r="J441" s="65" t="n">
        <v>90</v>
      </c>
      <c r="K441" s="66" t="inlineStr">
        <is>
          <t>-</t>
        </is>
      </c>
      <c r="L441" s="65" t="n">
        <v>73</v>
      </c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IF($J441+$L441=0,,IF($J441&lt;$L441,IF($J441&amp;"-"&amp;$L441=MID(constPunteggioForfait,FIND("-",constPunteggioForfait)+1,LEN(constPunteggioForfait))&amp;"-"&amp;LEFT(constPunteggioForfait,FIND("-",constPunteggioForfait)-1),1,0),0))</f>
        <v/>
      </c>
      <c r="P441" s="67">
        <f>IF($J441+$L441=0,,IF($J441&lt;$L441,IF($J441&amp;"-"&amp;$L441&lt;&gt;MID(constPunteggioForfait,FIND("-",constPunteggioForfait)+1,LEN(constPunteggioForfait))&amp;"-"&amp;LEFT(constPunteggioForfait,FIND("-",constPunteggioForfait)-1),1,0),0))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IF($J441+$L441=0,,IF($L441&lt;$J441,IF($J441&amp;"-"&amp;$L441=constPunteggioForfait,1,0),0))</f>
        <v/>
      </c>
      <c r="W441" s="67">
        <f>IF($J441+$L441=0,,IF($L441&lt;$J441,IF($J441&amp;"-"&amp;$L441&lt;&gt;constPunteggioForfait,1,0),0))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"&amp;IFERROR(INDEX(Campionato!$E$14:$E$53,MATCH($C441,Campionato!$B$14:$B$53,0)),"?")&amp;"]")</f>
        <v/>
      </c>
    </row>
    <row r="442" ht="16" customHeight="1">
      <c r="A442" s="141" t="n"/>
      <c r="B442" s="69">
        <f>IF(I442="","",HYPERLINK(VLOOKUP(I442,areaCampiSquadre,3,FALSE),VLOOKUP(I442,areaCampiSquadre,2,FALSE)))</f>
        <v/>
      </c>
      <c r="C442" s="9" t="n"/>
      <c r="D442" s="9" t="n"/>
      <c r="E442" s="9" t="n"/>
      <c r="F442" s="9" t="n"/>
      <c r="G442" s="9" t="n"/>
      <c r="H442" s="10" t="n"/>
      <c r="I442" s="62" t="inlineStr">
        <is>
          <t>B08</t>
        </is>
      </c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IF(C444="","",IFERROR(VLOOKUP(C444,areaNomiBreviSquadre,7,FALSE),""))</f>
        <v/>
      </c>
      <c r="C444" s="62" t="inlineStr">
        <is>
          <t>B10</t>
        </is>
      </c>
      <c r="D444" s="61">
        <f>IF(E444="","",IFERROR(VLOOKUP(E444,areaNomiBreviSquadre,7,FALSE),""))</f>
        <v/>
      </c>
      <c r="E444" s="62" t="inlineStr">
        <is>
          <t>B18</t>
        </is>
      </c>
      <c r="F444" s="63" t="n">
        <v>46404.45833333334</v>
      </c>
      <c r="G444" s="9" t="n"/>
      <c r="H444" s="9" t="n"/>
      <c r="I444" s="10" t="n"/>
      <c r="J444" s="65" t="n">
        <v>59</v>
      </c>
      <c r="K444" s="66" t="inlineStr">
        <is>
          <t>-</t>
        </is>
      </c>
      <c r="L444" s="65" t="n">
        <v>76</v>
      </c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IF($J444+$L444=0,,IF($J444&lt;$L444,IF($J444&amp;"-"&amp;$L444=MID(constPunteggioForfait,FIND("-",constPunteggioForfait)+1,LEN(constPunteggioForfait))&amp;"-"&amp;LEFT(constPunteggioForfait,FIND("-",constPunteggioForfait)-1),1,0),0))</f>
        <v/>
      </c>
      <c r="P444" s="67">
        <f>IF($J444+$L444=0,,IF($J444&lt;$L444,IF($J444&amp;"-"&amp;$L444&lt;&gt;MID(constPunteggioForfait,FIND("-",constPunteggioForfait)+1,LEN(constPunteggioForfait))&amp;"-"&amp;LEFT(constPunteggioForfait,FIND("-",constPunteggioForfait)-1),1,0),0))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IF($J444+$L444=0,,IF($L444&lt;$J444,IF($J444&amp;"-"&amp;$L444=constPunteggioForfait,1,0),0))</f>
        <v/>
      </c>
      <c r="W444" s="67">
        <f>IF($J444+$L444=0,,IF($L444&lt;$J444,IF($J444&amp;"-"&amp;$L444&lt;&gt;constPunteggioForfait,1,0),0))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"&amp;IFERROR(INDEX(Campionato!$E$14:$E$53,MATCH($C444,Campionato!$B$14:$B$53,0)),"?")&amp;"]")</f>
        <v/>
      </c>
    </row>
    <row r="445" ht="16" customHeight="1">
      <c r="A445" s="141" t="n"/>
      <c r="B445" s="69">
        <f>IF(I445="","",HYPERLINK(VLOOKUP(I445,areaCampiSquadre,3,FALSE),VLOOKUP(I445,areaCampiSquadre,2,FALSE)))</f>
        <v/>
      </c>
      <c r="C445" s="9" t="n"/>
      <c r="D445" s="9" t="n"/>
      <c r="E445" s="9" t="n"/>
      <c r="F445" s="9" t="n"/>
      <c r="G445" s="9" t="n"/>
      <c r="H445" s="10" t="n"/>
      <c r="I445" s="62" t="inlineStr">
        <is>
          <t>B08</t>
        </is>
      </c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IF(C447="","",IFERROR(VLOOKUP(C447,areaNomiBreviSquadre,7,FALSE),""))</f>
        <v/>
      </c>
      <c r="C447" s="62" t="inlineStr">
        <is>
          <t>B19</t>
        </is>
      </c>
      <c r="D447" s="61">
        <f>IF(E447="","",IFERROR(VLOOKUP(E447,areaNomiBreviSquadre,7,FALSE),""))</f>
        <v/>
      </c>
      <c r="E447" s="62" t="inlineStr">
        <is>
          <t>B09</t>
        </is>
      </c>
      <c r="F447" s="63" t="n">
        <v>46404.60416666666</v>
      </c>
      <c r="G447" s="9" t="n"/>
      <c r="H447" s="9" t="n"/>
      <c r="I447" s="10" t="n"/>
      <c r="J447" s="65" t="n">
        <v>50</v>
      </c>
      <c r="K447" s="66" t="inlineStr">
        <is>
          <t>-</t>
        </is>
      </c>
      <c r="L447" s="65" t="n">
        <v>46</v>
      </c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IF($J447+$L447=0,,IF($J447&lt;$L447,IF($J447&amp;"-"&amp;$L447=MID(constPunteggioForfait,FIND("-",constPunteggioForfait)+1,LEN(constPunteggioForfait))&amp;"-"&amp;LEFT(constPunteggioForfait,FIND("-",constPunteggioForfait)-1),1,0),0))</f>
        <v/>
      </c>
      <c r="P447" s="67">
        <f>IF($J447+$L447=0,,IF($J447&lt;$L447,IF($J447&amp;"-"&amp;$L447&lt;&gt;MID(constPunteggioForfait,FIND("-",constPunteggioForfait)+1,LEN(constPunteggioForfait))&amp;"-"&amp;LEFT(constPunteggioForfait,FIND("-",constPunteggioForfait)-1),1,0),0))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IF($J447+$L447=0,,IF($L447&lt;$J447,IF($J447&amp;"-"&amp;$L447=constPunteggioForfait,1,0),0))</f>
        <v/>
      </c>
      <c r="W447" s="67">
        <f>IF($J447+$L447=0,,IF($L447&lt;$J447,IF($J447&amp;"-"&amp;$L447&lt;&gt;constPunteggioForfait,1,0),0))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"&amp;IFERROR(INDEX(Campionato!$E$14:$E$53,MATCH($C447,Campionato!$B$14:$B$53,0)),"?")&amp;"]")</f>
        <v/>
      </c>
    </row>
    <row r="448" ht="16" customHeight="1">
      <c r="A448" s="141" t="n"/>
      <c r="B448" s="69">
        <f>IF(I448="","",HYPERLINK(VLOOKUP(I448,areaCampiSquadre,3,FALSE),VLOOKUP(I448,areaCampiSquadre,2,FALSE)))</f>
        <v/>
      </c>
      <c r="C448" s="9" t="n"/>
      <c r="D448" s="9" t="n"/>
      <c r="E448" s="9" t="n"/>
      <c r="F448" s="9" t="n"/>
      <c r="G448" s="9" t="n"/>
      <c r="H448" s="10" t="n"/>
      <c r="I448" s="62" t="inlineStr">
        <is>
          <t>B08</t>
        </is>
      </c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IF(C450="","",IFERROR(VLOOKUP(C450,areaNomiBreviSquadre,7,FALSE),""))</f>
        <v/>
      </c>
      <c r="C450" s="62" t="inlineStr">
        <is>
          <t>B06</t>
        </is>
      </c>
      <c r="D450" s="61">
        <f>IF(E450="","",IFERROR(VLOOKUP(E450,areaNomiBreviSquadre,7,FALSE),""))</f>
        <v/>
      </c>
      <c r="E450" s="62" t="inlineStr">
        <is>
          <t>B03</t>
        </is>
      </c>
      <c r="F450" s="63" t="n">
        <v>46404.66666666666</v>
      </c>
      <c r="G450" s="9" t="n"/>
      <c r="H450" s="9" t="n"/>
      <c r="I450" s="10" t="n"/>
      <c r="J450" s="65" t="n">
        <v>74</v>
      </c>
      <c r="K450" s="66" t="inlineStr">
        <is>
          <t>-</t>
        </is>
      </c>
      <c r="L450" s="65" t="n">
        <v>63</v>
      </c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IF($J450+$L450=0,,IF($J450&lt;$L450,IF($J450&amp;"-"&amp;$L450=MID(constPunteggioForfait,FIND("-",constPunteggioForfait)+1,LEN(constPunteggioForfait))&amp;"-"&amp;LEFT(constPunteggioForfait,FIND("-",constPunteggioForfait)-1),1,0),0))</f>
        <v/>
      </c>
      <c r="P450" s="67">
        <f>IF($J450+$L450=0,,IF($J450&lt;$L450,IF($J450&amp;"-"&amp;$L450&lt;&gt;MID(constPunteggioForfait,FIND("-",constPunteggioForfait)+1,LEN(constPunteggioForfait))&amp;"-"&amp;LEFT(constPunteggioForfait,FIND("-",constPunteggioForfait)-1),1,0),0))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IF($J450+$L450=0,,IF($L450&lt;$J450,IF($J450&amp;"-"&amp;$L450=constPunteggioForfait,1,0),0))</f>
        <v/>
      </c>
      <c r="W450" s="67">
        <f>IF($J450+$L450=0,,IF($L450&lt;$J450,IF($J450&amp;"-"&amp;$L450&lt;&gt;constPunteggioForfait,1,0),0))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"&amp;IFERROR(INDEX(Campionato!$E$14:$E$53,MATCH($C450,Campionato!$B$14:$B$53,0)),"?")&amp;"]")</f>
        <v/>
      </c>
    </row>
    <row r="451" ht="16" customHeight="1">
      <c r="A451" s="141" t="n"/>
      <c r="B451" s="69">
        <f>IF(I451="","",HYPERLINK(VLOOKUP(I451,areaCampiSquadre,3,FALSE),VLOOKUP(I451,areaCampiSquadre,2,FALSE)))</f>
        <v/>
      </c>
      <c r="C451" s="9" t="n"/>
      <c r="D451" s="9" t="n"/>
      <c r="E451" s="9" t="n"/>
      <c r="F451" s="9" t="n"/>
      <c r="G451" s="9" t="n"/>
      <c r="H451" s="10" t="n"/>
      <c r="I451" s="62" t="inlineStr">
        <is>
          <t>B08</t>
        </is>
      </c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IF(C453="","",IFERROR(VLOOKUP(C453,areaNomiBreviSquadre,7,FALSE),""))</f>
        <v/>
      </c>
      <c r="C453" s="62" t="inlineStr">
        <is>
          <t>B04</t>
        </is>
      </c>
      <c r="D453" s="61">
        <f>IF(E453="","",IFERROR(VLOOKUP(E453,areaNomiBreviSquadre,7,FALSE),""))</f>
        <v/>
      </c>
      <c r="E453" s="62" t="inlineStr">
        <is>
          <t>B05</t>
        </is>
      </c>
      <c r="F453" s="63" t="n">
        <v>46404.72916666666</v>
      </c>
      <c r="G453" s="9" t="n"/>
      <c r="H453" s="9" t="n"/>
      <c r="I453" s="10" t="n"/>
      <c r="J453" s="65" t="n">
        <v>49</v>
      </c>
      <c r="K453" s="66" t="inlineStr">
        <is>
          <t>-</t>
        </is>
      </c>
      <c r="L453" s="65" t="n">
        <v>52</v>
      </c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IF($J453+$L453=0,,IF($J453&lt;$L453,IF($J453&amp;"-"&amp;$L453=MID(constPunteggioForfait,FIND("-",constPunteggioForfait)+1,LEN(constPunteggioForfait))&amp;"-"&amp;LEFT(constPunteggioForfait,FIND("-",constPunteggioForfait)-1),1,0),0))</f>
        <v/>
      </c>
      <c r="P453" s="67">
        <f>IF($J453+$L453=0,,IF($J453&lt;$L453,IF($J453&amp;"-"&amp;$L453&lt;&gt;MID(constPunteggioForfait,FIND("-",constPunteggioForfait)+1,LEN(constPunteggioForfait))&amp;"-"&amp;LEFT(constPunteggioForfait,FIND("-",constPunteggioForfait)-1),1,0),0))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IF($J453+$L453=0,,IF($L453&lt;$J453,IF($J453&amp;"-"&amp;$L453=constPunteggioForfait,1,0),0))</f>
        <v/>
      </c>
      <c r="W453" s="67">
        <f>IF($J453+$L453=0,,IF($L453&lt;$J453,IF($J453&amp;"-"&amp;$L453&lt;&gt;constPunteggioForfait,1,0),0))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"&amp;IFERROR(INDEX(Campionato!$E$14:$E$53,MATCH($C453,Campionato!$B$14:$B$53,0)),"?")&amp;"]")</f>
        <v/>
      </c>
    </row>
    <row r="454" ht="16" customHeight="1">
      <c r="A454" s="141" t="n"/>
      <c r="B454" s="69">
        <f>IF(I454="","",HYPERLINK(VLOOKUP(I454,areaCampiSquadre,3,FALSE),VLOOKUP(I454,areaCampiSquadre,2,FALSE)))</f>
        <v/>
      </c>
      <c r="C454" s="9" t="n"/>
      <c r="D454" s="9" t="n"/>
      <c r="E454" s="9" t="n"/>
      <c r="F454" s="9" t="n"/>
      <c r="G454" s="9" t="n"/>
      <c r="H454" s="10" t="n"/>
      <c r="I454" s="62" t="inlineStr">
        <is>
          <t>B08</t>
        </is>
      </c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IF(C458="","",IFERROR(VLOOKUP(C458,areaNomiBreviSquadre,7,FALSE),""))</f>
        <v/>
      </c>
      <c r="C458" s="62" t="inlineStr">
        <is>
          <t>B02</t>
        </is>
      </c>
      <c r="D458" s="61">
        <f>IF(E458="","",IFERROR(VLOOKUP(E458,areaNomiBreviSquadre,7,FALSE),""))</f>
        <v/>
      </c>
      <c r="E458" s="62" t="inlineStr">
        <is>
          <t>B09</t>
        </is>
      </c>
      <c r="F458" s="63" t="n">
        <v>46411.39583333334</v>
      </c>
      <c r="G458" s="9" t="n"/>
      <c r="H458" s="9" t="n"/>
      <c r="I458" s="10" t="n"/>
      <c r="J458" s="65" t="n">
        <v>71</v>
      </c>
      <c r="K458" s="66" t="inlineStr">
        <is>
          <t>-</t>
        </is>
      </c>
      <c r="L458" s="65" t="n">
        <v>67</v>
      </c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IF($J458+$L458=0,,IF($J458&lt;$L458,IF($J458&amp;"-"&amp;$L458=MID(constPunteggioForfait,FIND("-",constPunteggioForfait)+1,LEN(constPunteggioForfait))&amp;"-"&amp;LEFT(constPunteggioForfait,FIND("-",constPunteggioForfait)-1),1,0),0))</f>
        <v/>
      </c>
      <c r="P458" s="67">
        <f>IF($J458+$L458=0,,IF($J458&lt;$L458,IF($J458&amp;"-"&amp;$L458&lt;&gt;MID(constPunteggioForfait,FIND("-",constPunteggioForfait)+1,LEN(constPunteggioForfait))&amp;"-"&amp;LEFT(constPunteggioForfait,FIND("-",constPunteggioForfait)-1),1,0),0))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IF($J458+$L458=0,,IF($L458&lt;$J458,IF($J458&amp;"-"&amp;$L458=constPunteggioForfait,1,0),0))</f>
        <v/>
      </c>
      <c r="W458" s="67">
        <f>IF($J458+$L458=0,,IF($L458&lt;$J458,IF($J458&amp;"-"&amp;$L458&lt;&gt;constPunteggioForfait,1,0),0))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"&amp;IFERROR(INDEX(Campionato!$E$14:$E$53,MATCH($C458,Campionato!$B$14:$B$53,0)),"?")&amp;"]")</f>
        <v/>
      </c>
    </row>
    <row r="459" ht="16" customHeight="1">
      <c r="A459" s="141" t="n"/>
      <c r="B459" s="69">
        <f>IF(I459="","",HYPERLINK(VLOOKUP(I459,areaCampiSquadre,3,FALSE),VLOOKUP(I459,areaCampiSquadre,2,FALSE)))</f>
        <v/>
      </c>
      <c r="C459" s="9" t="n"/>
      <c r="D459" s="9" t="n"/>
      <c r="E459" s="9" t="n"/>
      <c r="F459" s="9" t="n"/>
      <c r="G459" s="9" t="n"/>
      <c r="H459" s="10" t="n"/>
      <c r="I459" s="62" t="inlineStr">
        <is>
          <t>B09</t>
        </is>
      </c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IF(C461="","",IFERROR(VLOOKUP(C461,areaNomiBreviSquadre,7,FALSE),""))</f>
        <v/>
      </c>
      <c r="C461" s="62" t="inlineStr">
        <is>
          <t>B15</t>
        </is>
      </c>
      <c r="D461" s="61">
        <f>IF(E461="","",IFERROR(VLOOKUP(E461,areaNomiBreviSquadre,7,FALSE),""))</f>
        <v/>
      </c>
      <c r="E461" s="62" t="inlineStr">
        <is>
          <t>B20</t>
        </is>
      </c>
      <c r="F461" s="63" t="n">
        <v>46411.45833333334</v>
      </c>
      <c r="G461" s="9" t="n"/>
      <c r="H461" s="9" t="n"/>
      <c r="I461" s="10" t="n"/>
      <c r="J461" s="65" t="n">
        <v>76</v>
      </c>
      <c r="K461" s="66" t="inlineStr">
        <is>
          <t>-</t>
        </is>
      </c>
      <c r="L461" s="65" t="n">
        <v>68</v>
      </c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IF($J461+$L461=0,,IF($J461&lt;$L461,IF($J461&amp;"-"&amp;$L461=MID(constPunteggioForfait,FIND("-",constPunteggioForfait)+1,LEN(constPunteggioForfait))&amp;"-"&amp;LEFT(constPunteggioForfait,FIND("-",constPunteggioForfait)-1),1,0),0))</f>
        <v/>
      </c>
      <c r="P461" s="67">
        <f>IF($J461+$L461=0,,IF($J461&lt;$L461,IF($J461&amp;"-"&amp;$L461&lt;&gt;MID(constPunteggioForfait,FIND("-",constPunteggioForfait)+1,LEN(constPunteggioForfait))&amp;"-"&amp;LEFT(constPunteggioForfait,FIND("-",constPunteggioForfait)-1),1,0),0))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IF($J461+$L461=0,,IF($L461&lt;$J461,IF($J461&amp;"-"&amp;$L461=constPunteggioForfait,1,0),0))</f>
        <v/>
      </c>
      <c r="W461" s="67">
        <f>IF($J461+$L461=0,,IF($L461&lt;$J461,IF($J461&amp;"-"&amp;$L461&lt;&gt;constPunteggioForfait,1,0),0))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"&amp;IFERROR(INDEX(Campionato!$E$14:$E$53,MATCH($C461,Campionato!$B$14:$B$53,0)),"?")&amp;"]")</f>
        <v/>
      </c>
    </row>
    <row r="462" ht="16" customHeight="1">
      <c r="A462" s="141" t="n"/>
      <c r="B462" s="69">
        <f>IF(I462="","",HYPERLINK(VLOOKUP(I462,areaCampiSquadre,3,FALSE),VLOOKUP(I462,areaCampiSquadre,2,FALSE)))</f>
        <v/>
      </c>
      <c r="C462" s="9" t="n"/>
      <c r="D462" s="9" t="n"/>
      <c r="E462" s="9" t="n"/>
      <c r="F462" s="9" t="n"/>
      <c r="G462" s="9" t="n"/>
      <c r="H462" s="10" t="n"/>
      <c r="I462" s="62" t="inlineStr">
        <is>
          <t>B09</t>
        </is>
      </c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IF(C464="","",IFERROR(VLOOKUP(C464,areaNomiBreviSquadre,7,FALSE),""))</f>
        <v/>
      </c>
      <c r="C464" s="62" t="inlineStr">
        <is>
          <t>B14</t>
        </is>
      </c>
      <c r="D464" s="61">
        <f>IF(E464="","",IFERROR(VLOOKUP(E464,areaNomiBreviSquadre,7,FALSE),""))</f>
        <v/>
      </c>
      <c r="E464" s="62" t="inlineStr">
        <is>
          <t>B16</t>
        </is>
      </c>
      <c r="F464" s="63" t="n">
        <v>46411.60416666666</v>
      </c>
      <c r="G464" s="9" t="n"/>
      <c r="H464" s="9" t="n"/>
      <c r="I464" s="10" t="n"/>
      <c r="J464" s="65" t="n">
        <v>39</v>
      </c>
      <c r="K464" s="66" t="inlineStr">
        <is>
          <t>-</t>
        </is>
      </c>
      <c r="L464" s="65" t="n">
        <v>37</v>
      </c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IF($J464+$L464=0,,IF($J464&lt;$L464,IF($J464&amp;"-"&amp;$L464=MID(constPunteggioForfait,FIND("-",constPunteggioForfait)+1,LEN(constPunteggioForfait))&amp;"-"&amp;LEFT(constPunteggioForfait,FIND("-",constPunteggioForfait)-1),1,0),0))</f>
        <v/>
      </c>
      <c r="P464" s="67">
        <f>IF($J464+$L464=0,,IF($J464&lt;$L464,IF($J464&amp;"-"&amp;$L464&lt;&gt;MID(constPunteggioForfait,FIND("-",constPunteggioForfait)+1,LEN(constPunteggioForfait))&amp;"-"&amp;LEFT(constPunteggioForfait,FIND("-",constPunteggioForfait)-1),1,0),0))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IF($J464+$L464=0,,IF($L464&lt;$J464,IF($J464&amp;"-"&amp;$L464=constPunteggioForfait,1,0),0))</f>
        <v/>
      </c>
      <c r="W464" s="67">
        <f>IF($J464+$L464=0,,IF($L464&lt;$J464,IF($J464&amp;"-"&amp;$L464&lt;&gt;constPunteggioForfait,1,0),0))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"&amp;IFERROR(INDEX(Campionato!$E$14:$E$53,MATCH($C464,Campionato!$B$14:$B$53,0)),"?")&amp;"]")</f>
        <v/>
      </c>
    </row>
    <row r="465" ht="16" customHeight="1">
      <c r="A465" s="141" t="n"/>
      <c r="B465" s="69">
        <f>IF(I465="","",HYPERLINK(VLOOKUP(I465,areaCampiSquadre,3,FALSE),VLOOKUP(I465,areaCampiSquadre,2,FALSE)))</f>
        <v/>
      </c>
      <c r="C465" s="9" t="n"/>
      <c r="D465" s="9" t="n"/>
      <c r="E465" s="9" t="n"/>
      <c r="F465" s="9" t="n"/>
      <c r="G465" s="9" t="n"/>
      <c r="H465" s="10" t="n"/>
      <c r="I465" s="62" t="inlineStr">
        <is>
          <t>B09</t>
        </is>
      </c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IF(C467="","",IFERROR(VLOOKUP(C467,areaNomiBreviSquadre,7,FALSE),""))</f>
        <v/>
      </c>
      <c r="C467" s="62" t="inlineStr">
        <is>
          <t>B17</t>
        </is>
      </c>
      <c r="D467" s="61">
        <f>IF(E467="","",IFERROR(VLOOKUP(E467,areaNomiBreviSquadre,7,FALSE),""))</f>
        <v/>
      </c>
      <c r="E467" s="62" t="inlineStr">
        <is>
          <t>B13</t>
        </is>
      </c>
      <c r="F467" s="63" t="n">
        <v>46411.66666666666</v>
      </c>
      <c r="G467" s="9" t="n"/>
      <c r="H467" s="9" t="n"/>
      <c r="I467" s="10" t="n"/>
      <c r="J467" s="65" t="n">
        <v>80</v>
      </c>
      <c r="K467" s="66" t="inlineStr">
        <is>
          <t>-</t>
        </is>
      </c>
      <c r="L467" s="65" t="n">
        <v>75</v>
      </c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IF($J467+$L467=0,,IF($J467&lt;$L467,IF($J467&amp;"-"&amp;$L467=MID(constPunteggioForfait,FIND("-",constPunteggioForfait)+1,LEN(constPunteggioForfait))&amp;"-"&amp;LEFT(constPunteggioForfait,FIND("-",constPunteggioForfait)-1),1,0),0))</f>
        <v/>
      </c>
      <c r="P467" s="67">
        <f>IF($J467+$L467=0,,IF($J467&lt;$L467,IF($J467&amp;"-"&amp;$L467&lt;&gt;MID(constPunteggioForfait,FIND("-",constPunteggioForfait)+1,LEN(constPunteggioForfait))&amp;"-"&amp;LEFT(constPunteggioForfait,FIND("-",constPunteggioForfait)-1),1,0),0))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IF($J467+$L467=0,,IF($L467&lt;$J467,IF($J467&amp;"-"&amp;$L467=constPunteggioForfait,1,0),0))</f>
        <v/>
      </c>
      <c r="W467" s="67">
        <f>IF($J467+$L467=0,,IF($L467&lt;$J467,IF($J467&amp;"-"&amp;$L467&lt;&gt;constPunteggioForfait,1,0),0))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"&amp;IFERROR(INDEX(Campionato!$E$14:$E$53,MATCH($C467,Campionato!$B$14:$B$53,0)),"?")&amp;"]")</f>
        <v/>
      </c>
    </row>
    <row r="468" ht="16" customHeight="1">
      <c r="A468" s="141" t="n"/>
      <c r="B468" s="69">
        <f>IF(I468="","",HYPERLINK(VLOOKUP(I468,areaCampiSquadre,3,FALSE),VLOOKUP(I468,areaCampiSquadre,2,FALSE)))</f>
        <v/>
      </c>
      <c r="C468" s="9" t="n"/>
      <c r="D468" s="9" t="n"/>
      <c r="E468" s="9" t="n"/>
      <c r="F468" s="9" t="n"/>
      <c r="G468" s="9" t="n"/>
      <c r="H468" s="10" t="n"/>
      <c r="I468" s="62" t="inlineStr">
        <is>
          <t>B09</t>
        </is>
      </c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IF(C470="","",IFERROR(VLOOKUP(C470,areaNomiBreviSquadre,7,FALSE),""))</f>
        <v/>
      </c>
      <c r="C470" s="62" t="inlineStr">
        <is>
          <t>B12</t>
        </is>
      </c>
      <c r="D470" s="61">
        <f>IF(E470="","",IFERROR(VLOOKUP(E470,areaNomiBreviSquadre,7,FALSE),""))</f>
        <v/>
      </c>
      <c r="E470" s="62" t="inlineStr">
        <is>
          <t>B18</t>
        </is>
      </c>
      <c r="F470" s="63" t="n">
        <v>46411.72916666666</v>
      </c>
      <c r="G470" s="9" t="n"/>
      <c r="H470" s="9" t="n"/>
      <c r="I470" s="10" t="n"/>
      <c r="J470" s="65" t="n">
        <v>50</v>
      </c>
      <c r="K470" s="66" t="inlineStr">
        <is>
          <t>-</t>
        </is>
      </c>
      <c r="L470" s="65" t="n">
        <v>31</v>
      </c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IF($J470+$L470=0,,IF($J470&lt;$L470,IF($J470&amp;"-"&amp;$L470=MID(constPunteggioForfait,FIND("-",constPunteggioForfait)+1,LEN(constPunteggioForfait))&amp;"-"&amp;LEFT(constPunteggioForfait,FIND("-",constPunteggioForfait)-1),1,0),0))</f>
        <v/>
      </c>
      <c r="P470" s="67">
        <f>IF($J470+$L470=0,,IF($J470&lt;$L470,IF($J470&amp;"-"&amp;$L470&lt;&gt;MID(constPunteggioForfait,FIND("-",constPunteggioForfait)+1,LEN(constPunteggioForfait))&amp;"-"&amp;LEFT(constPunteggioForfait,FIND("-",constPunteggioForfait)-1),1,0),0))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IF($J470+$L470=0,,IF($L470&lt;$J470,IF($J470&amp;"-"&amp;$L470=constPunteggioForfait,1,0),0))</f>
        <v/>
      </c>
      <c r="W470" s="67">
        <f>IF($J470+$L470=0,,IF($L470&lt;$J470,IF($J470&amp;"-"&amp;$L470&lt;&gt;constPunteggioForfait,1,0),0))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"&amp;IFERROR(INDEX(Campionato!$E$14:$E$53,MATCH($C470,Campionato!$B$14:$B$53,0)),"?")&amp;"]")</f>
        <v/>
      </c>
    </row>
    <row r="471" ht="16" customHeight="1">
      <c r="A471" s="141" t="n"/>
      <c r="B471" s="69">
        <f>IF(I471="","",HYPERLINK(VLOOKUP(I471,areaCampiSquadre,3,FALSE),VLOOKUP(I471,areaCampiSquadre,2,FALSE)))</f>
        <v/>
      </c>
      <c r="C471" s="9" t="n"/>
      <c r="D471" s="9" t="n"/>
      <c r="E471" s="9" t="n"/>
      <c r="F471" s="9" t="n"/>
      <c r="G471" s="9" t="n"/>
      <c r="H471" s="10" t="n"/>
      <c r="I471" s="62" t="inlineStr">
        <is>
          <t>B09</t>
        </is>
      </c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IF(C473="","",IFERROR(VLOOKUP(C473,areaNomiBreviSquadre,7,FALSE),""))</f>
        <v/>
      </c>
      <c r="C473" s="62" t="inlineStr">
        <is>
          <t>B10</t>
        </is>
      </c>
      <c r="D473" s="61">
        <f>IF(E473="","",IFERROR(VLOOKUP(E473,areaNomiBreviSquadre,7,FALSE),""))</f>
        <v/>
      </c>
      <c r="E473" s="62" t="inlineStr">
        <is>
          <t>B01</t>
        </is>
      </c>
      <c r="F473" s="63" t="n">
        <v>46411.39583333334</v>
      </c>
      <c r="G473" s="9" t="n"/>
      <c r="H473" s="9" t="n"/>
      <c r="I473" s="10" t="n"/>
      <c r="J473" s="65" t="n">
        <v>71</v>
      </c>
      <c r="K473" s="66" t="inlineStr">
        <is>
          <t>-</t>
        </is>
      </c>
      <c r="L473" s="65" t="n">
        <v>64</v>
      </c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IF($J473+$L473=0,,IF($J473&lt;$L473,IF($J473&amp;"-"&amp;$L473=MID(constPunteggioForfait,FIND("-",constPunteggioForfait)+1,LEN(constPunteggioForfait))&amp;"-"&amp;LEFT(constPunteggioForfait,FIND("-",constPunteggioForfait)-1),1,0),0))</f>
        <v/>
      </c>
      <c r="P473" s="67">
        <f>IF($J473+$L473=0,,IF($J473&lt;$L473,IF($J473&amp;"-"&amp;$L473&lt;&gt;MID(constPunteggioForfait,FIND("-",constPunteggioForfait)+1,LEN(constPunteggioForfait))&amp;"-"&amp;LEFT(constPunteggioForfait,FIND("-",constPunteggioForfait)-1),1,0),0))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IF($J473+$L473=0,,IF($L473&lt;$J473,IF($J473&amp;"-"&amp;$L473=constPunteggioForfait,1,0),0))</f>
        <v/>
      </c>
      <c r="W473" s="67">
        <f>IF($J473+$L473=0,,IF($L473&lt;$J473,IF($J473&amp;"-"&amp;$L473&lt;&gt;constPunteggioForfait,1,0),0))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"&amp;IFERROR(INDEX(Campionato!$E$14:$E$53,MATCH($C473,Campionato!$B$14:$B$53,0)),"?")&amp;"]")</f>
        <v/>
      </c>
    </row>
    <row r="474" ht="16" customHeight="1">
      <c r="A474" s="141" t="n"/>
      <c r="B474" s="69">
        <f>IF(I474="","",HYPERLINK(VLOOKUP(I474,areaCampiSquadre,3,FALSE),VLOOKUP(I474,areaCampiSquadre,2,FALSE)))</f>
        <v/>
      </c>
      <c r="C474" s="9" t="n"/>
      <c r="D474" s="9" t="n"/>
      <c r="E474" s="9" t="n"/>
      <c r="F474" s="9" t="n"/>
      <c r="G474" s="9" t="n"/>
      <c r="H474" s="10" t="n"/>
      <c r="I474" s="62" t="inlineStr">
        <is>
          <t>B10</t>
        </is>
      </c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IF(C476="","",IFERROR(VLOOKUP(C476,areaNomiBreviSquadre,7,FALSE),""))</f>
        <v/>
      </c>
      <c r="C476" s="62" t="inlineStr">
        <is>
          <t>B19</t>
        </is>
      </c>
      <c r="D476" s="61">
        <f>IF(E476="","",IFERROR(VLOOKUP(E476,areaNomiBreviSquadre,7,FALSE),""))</f>
        <v/>
      </c>
      <c r="E476" s="62" t="inlineStr">
        <is>
          <t>B11</t>
        </is>
      </c>
      <c r="F476" s="63" t="n">
        <v>46411.45833333334</v>
      </c>
      <c r="G476" s="9" t="n"/>
      <c r="H476" s="9" t="n"/>
      <c r="I476" s="10" t="n"/>
      <c r="J476" s="65" t="n">
        <v>48</v>
      </c>
      <c r="K476" s="66" t="inlineStr">
        <is>
          <t>-</t>
        </is>
      </c>
      <c r="L476" s="65" t="n">
        <v>58</v>
      </c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IF($J476+$L476=0,,IF($J476&lt;$L476,IF($J476&amp;"-"&amp;$L476=MID(constPunteggioForfait,FIND("-",constPunteggioForfait)+1,LEN(constPunteggioForfait))&amp;"-"&amp;LEFT(constPunteggioForfait,FIND("-",constPunteggioForfait)-1),1,0),0))</f>
        <v/>
      </c>
      <c r="P476" s="67">
        <f>IF($J476+$L476=0,,IF($J476&lt;$L476,IF($J476&amp;"-"&amp;$L476&lt;&gt;MID(constPunteggioForfait,FIND("-",constPunteggioForfait)+1,LEN(constPunteggioForfait))&amp;"-"&amp;LEFT(constPunteggioForfait,FIND("-",constPunteggioForfait)-1),1,0),0))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IF($J476+$L476=0,,IF($L476&lt;$J476,IF($J476&amp;"-"&amp;$L476=constPunteggioForfait,1,0),0))</f>
        <v/>
      </c>
      <c r="W476" s="67">
        <f>IF($J476+$L476=0,,IF($L476&lt;$J476,IF($J476&amp;"-"&amp;$L476&lt;&gt;constPunteggioForfait,1,0),0))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"&amp;IFERROR(INDEX(Campionato!$E$14:$E$53,MATCH($C476,Campionato!$B$14:$B$53,0)),"?")&amp;"]")</f>
        <v/>
      </c>
    </row>
    <row r="477" ht="16" customHeight="1">
      <c r="A477" s="141" t="n"/>
      <c r="B477" s="69">
        <f>IF(I477="","",HYPERLINK(VLOOKUP(I477,areaCampiSquadre,3,FALSE),VLOOKUP(I477,areaCampiSquadre,2,FALSE)))</f>
        <v/>
      </c>
      <c r="C477" s="9" t="n"/>
      <c r="D477" s="9" t="n"/>
      <c r="E477" s="9" t="n"/>
      <c r="F477" s="9" t="n"/>
      <c r="G477" s="9" t="n"/>
      <c r="H477" s="10" t="n"/>
      <c r="I477" s="62" t="inlineStr">
        <is>
          <t>B10</t>
        </is>
      </c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IF(C479="","",IFERROR(VLOOKUP(C479,areaNomiBreviSquadre,7,FALSE),""))</f>
        <v/>
      </c>
      <c r="C479" s="62" t="inlineStr">
        <is>
          <t>B08</t>
        </is>
      </c>
      <c r="D479" s="61">
        <f>IF(E479="","",IFERROR(VLOOKUP(E479,areaNomiBreviSquadre,7,FALSE),""))</f>
        <v/>
      </c>
      <c r="E479" s="62" t="inlineStr">
        <is>
          <t>B03</t>
        </is>
      </c>
      <c r="F479" s="63" t="n">
        <v>46411.60416666666</v>
      </c>
      <c r="G479" s="9" t="n"/>
      <c r="H479" s="9" t="n"/>
      <c r="I479" s="10" t="n"/>
      <c r="J479" s="65" t="n">
        <v>40</v>
      </c>
      <c r="K479" s="66" t="inlineStr">
        <is>
          <t>-</t>
        </is>
      </c>
      <c r="L479" s="65" t="n">
        <v>56</v>
      </c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IF($J479+$L479=0,,IF($J479&lt;$L479,IF($J479&amp;"-"&amp;$L479=MID(constPunteggioForfait,FIND("-",constPunteggioForfait)+1,LEN(constPunteggioForfait))&amp;"-"&amp;LEFT(constPunteggioForfait,FIND("-",constPunteggioForfait)-1),1,0),0))</f>
        <v/>
      </c>
      <c r="P479" s="67">
        <f>IF($J479+$L479=0,,IF($J479&lt;$L479,IF($J479&amp;"-"&amp;$L479&lt;&gt;MID(constPunteggioForfait,FIND("-",constPunteggioForfait)+1,LEN(constPunteggioForfait))&amp;"-"&amp;LEFT(constPunteggioForfait,FIND("-",constPunteggioForfait)-1),1,0),0))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IF($J479+$L479=0,,IF($L479&lt;$J479,IF($J479&amp;"-"&amp;$L479=constPunteggioForfait,1,0),0))</f>
        <v/>
      </c>
      <c r="W479" s="67">
        <f>IF($J479+$L479=0,,IF($L479&lt;$J479,IF($J479&amp;"-"&amp;$L479&lt;&gt;constPunteggioForfait,1,0),0))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"&amp;IFERROR(INDEX(Campionato!$E$14:$E$53,MATCH($C479,Campionato!$B$14:$B$53,0)),"?")&amp;"]")</f>
        <v/>
      </c>
    </row>
    <row r="480" ht="16" customHeight="1">
      <c r="A480" s="141" t="n"/>
      <c r="B480" s="69">
        <f>IF(I480="","",HYPERLINK(VLOOKUP(I480,areaCampiSquadre,3,FALSE),VLOOKUP(I480,areaCampiSquadre,2,FALSE)))</f>
        <v/>
      </c>
      <c r="C480" s="9" t="n"/>
      <c r="D480" s="9" t="n"/>
      <c r="E480" s="9" t="n"/>
      <c r="F480" s="9" t="n"/>
      <c r="G480" s="9" t="n"/>
      <c r="H480" s="10" t="n"/>
      <c r="I480" s="62" t="inlineStr">
        <is>
          <t>B10</t>
        </is>
      </c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IF(C482="","",IFERROR(VLOOKUP(C482,areaNomiBreviSquadre,7,FALSE),""))</f>
        <v/>
      </c>
      <c r="C482" s="62" t="inlineStr">
        <is>
          <t>B04</t>
        </is>
      </c>
      <c r="D482" s="61">
        <f>IF(E482="","",IFERROR(VLOOKUP(E482,areaNomiBreviSquadre,7,FALSE),""))</f>
        <v/>
      </c>
      <c r="E482" s="62" t="inlineStr">
        <is>
          <t>B07</t>
        </is>
      </c>
      <c r="F482" s="63" t="n">
        <v>46411.66666666666</v>
      </c>
      <c r="G482" s="9" t="n"/>
      <c r="H482" s="9" t="n"/>
      <c r="I482" s="10" t="n"/>
      <c r="J482" s="65" t="n">
        <v>54</v>
      </c>
      <c r="K482" s="66" t="inlineStr">
        <is>
          <t>-</t>
        </is>
      </c>
      <c r="L482" s="65" t="n">
        <v>68</v>
      </c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IF($J482+$L482=0,,IF($J482&lt;$L482,IF($J482&amp;"-"&amp;$L482=MID(constPunteggioForfait,FIND("-",constPunteggioForfait)+1,LEN(constPunteggioForfait))&amp;"-"&amp;LEFT(constPunteggioForfait,FIND("-",constPunteggioForfait)-1),1,0),0))</f>
        <v/>
      </c>
      <c r="P482" s="67">
        <f>IF($J482+$L482=0,,IF($J482&lt;$L482,IF($J482&amp;"-"&amp;$L482&lt;&gt;MID(constPunteggioForfait,FIND("-",constPunteggioForfait)+1,LEN(constPunteggioForfait))&amp;"-"&amp;LEFT(constPunteggioForfait,FIND("-",constPunteggioForfait)-1),1,0),0))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IF($J482+$L482=0,,IF($L482&lt;$J482,IF($J482&amp;"-"&amp;$L482=constPunteggioForfait,1,0),0))</f>
        <v/>
      </c>
      <c r="W482" s="67">
        <f>IF($J482+$L482=0,,IF($L482&lt;$J482,IF($J482&amp;"-"&amp;$L482&lt;&gt;constPunteggioForfait,1,0),0))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"&amp;IFERROR(INDEX(Campionato!$E$14:$E$53,MATCH($C482,Campionato!$B$14:$B$53,0)),"?")&amp;"]")</f>
        <v/>
      </c>
    </row>
    <row r="483" ht="16" customHeight="1">
      <c r="A483" s="141" t="n"/>
      <c r="B483" s="69">
        <f>IF(I483="","",HYPERLINK(VLOOKUP(I483,areaCampiSquadre,3,FALSE),VLOOKUP(I483,areaCampiSquadre,2,FALSE)))</f>
        <v/>
      </c>
      <c r="C483" s="9" t="n"/>
      <c r="D483" s="9" t="n"/>
      <c r="E483" s="9" t="n"/>
      <c r="F483" s="9" t="n"/>
      <c r="G483" s="9" t="n"/>
      <c r="H483" s="10" t="n"/>
      <c r="I483" s="62" t="inlineStr">
        <is>
          <t>B10</t>
        </is>
      </c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IF(C485="","",IFERROR(VLOOKUP(C485,areaNomiBreviSquadre,7,FALSE),""))</f>
        <v/>
      </c>
      <c r="C485" s="62" t="inlineStr">
        <is>
          <t>B06</t>
        </is>
      </c>
      <c r="D485" s="61">
        <f>IF(E485="","",IFERROR(VLOOKUP(E485,areaNomiBreviSquadre,7,FALSE),""))</f>
        <v/>
      </c>
      <c r="E485" s="62" t="inlineStr">
        <is>
          <t>B05</t>
        </is>
      </c>
      <c r="F485" s="63" t="n">
        <v>46411.72916666666</v>
      </c>
      <c r="G485" s="9" t="n"/>
      <c r="H485" s="9" t="n"/>
      <c r="I485" s="10" t="n"/>
      <c r="J485" s="65" t="n">
        <v>50</v>
      </c>
      <c r="K485" s="66" t="inlineStr">
        <is>
          <t>-</t>
        </is>
      </c>
      <c r="L485" s="65" t="n">
        <v>72</v>
      </c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IF($J485+$L485=0,,IF($J485&lt;$L485,IF($J485&amp;"-"&amp;$L485=MID(constPunteggioForfait,FIND("-",constPunteggioForfait)+1,LEN(constPunteggioForfait))&amp;"-"&amp;LEFT(constPunteggioForfait,FIND("-",constPunteggioForfait)-1),1,0),0))</f>
        <v/>
      </c>
      <c r="P485" s="67">
        <f>IF($J485+$L485=0,,IF($J485&lt;$L485,IF($J485&amp;"-"&amp;$L485&lt;&gt;MID(constPunteggioForfait,FIND("-",constPunteggioForfait)+1,LEN(constPunteggioForfait))&amp;"-"&amp;LEFT(constPunteggioForfait,FIND("-",constPunteggioForfait)-1),1,0),0))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IF($J485+$L485=0,,IF($L485&lt;$J485,IF($J485&amp;"-"&amp;$L485=constPunteggioForfait,1,0),0))</f>
        <v/>
      </c>
      <c r="W485" s="67">
        <f>IF($J485+$L485=0,,IF($L485&lt;$J485,IF($J485&amp;"-"&amp;$L485&lt;&gt;constPunteggioForfait,1,0),0))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"&amp;IFERROR(INDEX(Campionato!$E$14:$E$53,MATCH($C485,Campionato!$B$14:$B$53,0)),"?")&amp;"]")</f>
        <v/>
      </c>
    </row>
    <row r="486" ht="16" customHeight="1">
      <c r="A486" s="141" t="n"/>
      <c r="B486" s="69">
        <f>IF(I486="","",HYPERLINK(VLOOKUP(I486,areaCampiSquadre,3,FALSE),VLOOKUP(I486,areaCampiSquadre,2,FALSE)))</f>
        <v/>
      </c>
      <c r="C486" s="9" t="n"/>
      <c r="D486" s="9" t="n"/>
      <c r="E486" s="9" t="n"/>
      <c r="F486" s="9" t="n"/>
      <c r="G486" s="9" t="n"/>
      <c r="H486" s="10" t="n"/>
      <c r="I486" s="62" t="inlineStr">
        <is>
          <t>B10</t>
        </is>
      </c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IF(C490="","",IFERROR(VLOOKUP(C490,areaNomiBreviSquadre,7,FALSE),""))</f>
        <v/>
      </c>
      <c r="C490" s="62" t="inlineStr">
        <is>
          <t>B02</t>
        </is>
      </c>
      <c r="D490" s="61">
        <f>IF(E490="","",IFERROR(VLOOKUP(E490,areaNomiBreviSquadre,7,FALSE),""))</f>
        <v/>
      </c>
      <c r="E490" s="62" t="inlineStr">
        <is>
          <t>B11</t>
        </is>
      </c>
      <c r="F490" s="63" t="n">
        <v>46418.39583333334</v>
      </c>
      <c r="G490" s="9" t="n"/>
      <c r="H490" s="9" t="n"/>
      <c r="I490" s="10" t="n"/>
      <c r="J490" s="65" t="n">
        <v>71</v>
      </c>
      <c r="K490" s="66" t="inlineStr">
        <is>
          <t>-</t>
        </is>
      </c>
      <c r="L490" s="65" t="n">
        <v>86</v>
      </c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IF($J490+$L490=0,,IF($J490&lt;$L490,IF($J490&amp;"-"&amp;$L490=MID(constPunteggioForfait,FIND("-",constPunteggioForfait)+1,LEN(constPunteggioForfait))&amp;"-"&amp;LEFT(constPunteggioForfait,FIND("-",constPunteggioForfait)-1),1,0),0))</f>
        <v/>
      </c>
      <c r="P490" s="67">
        <f>IF($J490+$L490=0,,IF($J490&lt;$L490,IF($J490&amp;"-"&amp;$L490&lt;&gt;MID(constPunteggioForfait,FIND("-",constPunteggioForfait)+1,LEN(constPunteggioForfait))&amp;"-"&amp;LEFT(constPunteggioForfait,FIND("-",constPunteggioForfait)-1),1,0),0))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IF($J490+$L490=0,,IF($L490&lt;$J490,IF($J490&amp;"-"&amp;$L490=constPunteggioForfait,1,0),0))</f>
        <v/>
      </c>
      <c r="W490" s="67">
        <f>IF($J490+$L490=0,,IF($L490&lt;$J490,IF($J490&amp;"-"&amp;$L490&lt;&gt;constPunteggioForfait,1,0),0))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"&amp;IFERROR(INDEX(Campionato!$E$14:$E$53,MATCH($C490,Campionato!$B$14:$B$53,0)),"?")&amp;"]")</f>
        <v/>
      </c>
    </row>
    <row r="491" ht="16" customHeight="1">
      <c r="A491" s="141" t="n"/>
      <c r="B491" s="69">
        <f>IF(I491="","",HYPERLINK(VLOOKUP(I491,areaCampiSquadre,3,FALSE),VLOOKUP(I491,areaCampiSquadre,2,FALSE)))</f>
        <v/>
      </c>
      <c r="C491" s="9" t="n"/>
      <c r="D491" s="9" t="n"/>
      <c r="E491" s="9" t="n"/>
      <c r="F491" s="9" t="n"/>
      <c r="G491" s="9" t="n"/>
      <c r="H491" s="10" t="n"/>
      <c r="I491" s="62" t="inlineStr">
        <is>
          <t>B11</t>
        </is>
      </c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IF(C493="","",IFERROR(VLOOKUP(C493,areaNomiBreviSquadre,7,FALSE),""))</f>
        <v/>
      </c>
      <c r="C493" s="62" t="inlineStr">
        <is>
          <t>B20</t>
        </is>
      </c>
      <c r="D493" s="61">
        <f>IF(E493="","",IFERROR(VLOOKUP(E493,areaNomiBreviSquadre,7,FALSE),""))</f>
        <v/>
      </c>
      <c r="E493" s="62" t="inlineStr">
        <is>
          <t>B16</t>
        </is>
      </c>
      <c r="F493" s="63" t="n">
        <v>46418.45833333334</v>
      </c>
      <c r="G493" s="9" t="n"/>
      <c r="H493" s="9" t="n"/>
      <c r="I493" s="10" t="n"/>
      <c r="J493" s="65" t="n">
        <v>33</v>
      </c>
      <c r="K493" s="66" t="inlineStr">
        <is>
          <t>-</t>
        </is>
      </c>
      <c r="L493" s="65" t="n">
        <v>49</v>
      </c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IF($J493+$L493=0,,IF($J493&lt;$L493,IF($J493&amp;"-"&amp;$L493=MID(constPunteggioForfait,FIND("-",constPunteggioForfait)+1,LEN(constPunteggioForfait))&amp;"-"&amp;LEFT(constPunteggioForfait,FIND("-",constPunteggioForfait)-1),1,0),0))</f>
        <v/>
      </c>
      <c r="P493" s="67">
        <f>IF($J493+$L493=0,,IF($J493&lt;$L493,IF($J493&amp;"-"&amp;$L493&lt;&gt;MID(constPunteggioForfait,FIND("-",constPunteggioForfait)+1,LEN(constPunteggioForfait))&amp;"-"&amp;LEFT(constPunteggioForfait,FIND("-",constPunteggioForfait)-1),1,0),0))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IF($J493+$L493=0,,IF($L493&lt;$J493,IF($J493&amp;"-"&amp;$L493=constPunteggioForfait,1,0),0))</f>
        <v/>
      </c>
      <c r="W493" s="67">
        <f>IF($J493+$L493=0,,IF($L493&lt;$J493,IF($J493&amp;"-"&amp;$L493&lt;&gt;constPunteggioForfait,1,0),0))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"&amp;IFERROR(INDEX(Campionato!$E$14:$E$53,MATCH($C493,Campionato!$B$14:$B$53,0)),"?")&amp;"]")</f>
        <v/>
      </c>
    </row>
    <row r="494" ht="16" customHeight="1">
      <c r="A494" s="141" t="n"/>
      <c r="B494" s="69">
        <f>IF(I494="","",HYPERLINK(VLOOKUP(I494,areaCampiSquadre,3,FALSE),VLOOKUP(I494,areaCampiSquadre,2,FALSE)))</f>
        <v/>
      </c>
      <c r="C494" s="9" t="n"/>
      <c r="D494" s="9" t="n"/>
      <c r="E494" s="9" t="n"/>
      <c r="F494" s="9" t="n"/>
      <c r="G494" s="9" t="n"/>
      <c r="H494" s="10" t="n"/>
      <c r="I494" s="62" t="inlineStr">
        <is>
          <t>B11</t>
        </is>
      </c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IF(C496="","",IFERROR(VLOOKUP(C496,areaNomiBreviSquadre,7,FALSE),""))</f>
        <v/>
      </c>
      <c r="C496" s="62" t="inlineStr">
        <is>
          <t>B17</t>
        </is>
      </c>
      <c r="D496" s="61">
        <f>IF(E496="","",IFERROR(VLOOKUP(E496,areaNomiBreviSquadre,7,FALSE),""))</f>
        <v/>
      </c>
      <c r="E496" s="62" t="inlineStr">
        <is>
          <t>B15</t>
        </is>
      </c>
      <c r="F496" s="63" t="n">
        <v>46418.60416666666</v>
      </c>
      <c r="G496" s="9" t="n"/>
      <c r="H496" s="9" t="n"/>
      <c r="I496" s="10" t="n"/>
      <c r="J496" s="65" t="n">
        <v>78</v>
      </c>
      <c r="K496" s="66" t="inlineStr">
        <is>
          <t>-</t>
        </is>
      </c>
      <c r="L496" s="65" t="n">
        <v>76</v>
      </c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IF($J496+$L496=0,,IF($J496&lt;$L496,IF($J496&amp;"-"&amp;$L496=MID(constPunteggioForfait,FIND("-",constPunteggioForfait)+1,LEN(constPunteggioForfait))&amp;"-"&amp;LEFT(constPunteggioForfait,FIND("-",constPunteggioForfait)-1),1,0),0))</f>
        <v/>
      </c>
      <c r="P496" s="67">
        <f>IF($J496+$L496=0,,IF($J496&lt;$L496,IF($J496&amp;"-"&amp;$L496&lt;&gt;MID(constPunteggioForfait,FIND("-",constPunteggioForfait)+1,LEN(constPunteggioForfait))&amp;"-"&amp;LEFT(constPunteggioForfait,FIND("-",constPunteggioForfait)-1),1,0),0))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IF($J496+$L496=0,,IF($L496&lt;$J496,IF($J496&amp;"-"&amp;$L496=constPunteggioForfait,1,0),0))</f>
        <v/>
      </c>
      <c r="W496" s="67">
        <f>IF($J496+$L496=0,,IF($L496&lt;$J496,IF($J496&amp;"-"&amp;$L496&lt;&gt;constPunteggioForfait,1,0),0))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"&amp;IFERROR(INDEX(Campionato!$E$14:$E$53,MATCH($C496,Campionato!$B$14:$B$53,0)),"?")&amp;"]")</f>
        <v/>
      </c>
    </row>
    <row r="497" ht="16" customHeight="1">
      <c r="A497" s="141" t="n"/>
      <c r="B497" s="69">
        <f>IF(I497="","",HYPERLINK(VLOOKUP(I497,areaCampiSquadre,3,FALSE),VLOOKUP(I497,areaCampiSquadre,2,FALSE)))</f>
        <v/>
      </c>
      <c r="C497" s="9" t="n"/>
      <c r="D497" s="9" t="n"/>
      <c r="E497" s="9" t="n"/>
      <c r="F497" s="9" t="n"/>
      <c r="G497" s="9" t="n"/>
      <c r="H497" s="10" t="n"/>
      <c r="I497" s="62" t="inlineStr">
        <is>
          <t>B11</t>
        </is>
      </c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IF(C499="","",IFERROR(VLOOKUP(C499,areaNomiBreviSquadre,7,FALSE),""))</f>
        <v/>
      </c>
      <c r="C499" s="62" t="inlineStr">
        <is>
          <t>B14</t>
        </is>
      </c>
      <c r="D499" s="61">
        <f>IF(E499="","",IFERROR(VLOOKUP(E499,areaNomiBreviSquadre,7,FALSE),""))</f>
        <v/>
      </c>
      <c r="E499" s="62" t="inlineStr">
        <is>
          <t>B18</t>
        </is>
      </c>
      <c r="F499" s="63" t="n">
        <v>46418.66666666666</v>
      </c>
      <c r="G499" s="9" t="n"/>
      <c r="H499" s="9" t="n"/>
      <c r="I499" s="10" t="n"/>
      <c r="J499" s="65" t="n">
        <v>45</v>
      </c>
      <c r="K499" s="66" t="inlineStr">
        <is>
          <t>-</t>
        </is>
      </c>
      <c r="L499" s="65" t="n">
        <v>53</v>
      </c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IF($J499+$L499=0,,IF($J499&lt;$L499,IF($J499&amp;"-"&amp;$L499=MID(constPunteggioForfait,FIND("-",constPunteggioForfait)+1,LEN(constPunteggioForfait))&amp;"-"&amp;LEFT(constPunteggioForfait,FIND("-",constPunteggioForfait)-1),1,0),0))</f>
        <v/>
      </c>
      <c r="P499" s="67">
        <f>IF($J499+$L499=0,,IF($J499&lt;$L499,IF($J499&amp;"-"&amp;$L499&lt;&gt;MID(constPunteggioForfait,FIND("-",constPunteggioForfait)+1,LEN(constPunteggioForfait))&amp;"-"&amp;LEFT(constPunteggioForfait,FIND("-",constPunteggioForfait)-1),1,0),0))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IF($J499+$L499=0,,IF($L499&lt;$J499,IF($J499&amp;"-"&amp;$L499=constPunteggioForfait,1,0),0))</f>
        <v/>
      </c>
      <c r="W499" s="67">
        <f>IF($J499+$L499=0,,IF($L499&lt;$J499,IF($J499&amp;"-"&amp;$L499&lt;&gt;constPunteggioForfait,1,0),0))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"&amp;IFERROR(INDEX(Campionato!$E$14:$E$53,MATCH($C499,Campionato!$B$14:$B$53,0)),"?")&amp;"]")</f>
        <v/>
      </c>
    </row>
    <row r="500" ht="16" customHeight="1">
      <c r="A500" s="141" t="n"/>
      <c r="B500" s="69">
        <f>IF(I500="","",HYPERLINK(VLOOKUP(I500,areaCampiSquadre,3,FALSE),VLOOKUP(I500,areaCampiSquadre,2,FALSE)))</f>
        <v/>
      </c>
      <c r="C500" s="9" t="n"/>
      <c r="D500" s="9" t="n"/>
      <c r="E500" s="9" t="n"/>
      <c r="F500" s="9" t="n"/>
      <c r="G500" s="9" t="n"/>
      <c r="H500" s="10" t="n"/>
      <c r="I500" s="62" t="inlineStr">
        <is>
          <t>B11</t>
        </is>
      </c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IF(C502="","",IFERROR(VLOOKUP(C502,areaNomiBreviSquadre,7,FALSE),""))</f>
        <v/>
      </c>
      <c r="C502" s="62" t="inlineStr">
        <is>
          <t>B19</t>
        </is>
      </c>
      <c r="D502" s="61">
        <f>IF(E502="","",IFERROR(VLOOKUP(E502,areaNomiBreviSquadre,7,FALSE),""))</f>
        <v/>
      </c>
      <c r="E502" s="62" t="inlineStr">
        <is>
          <t>B13</t>
        </is>
      </c>
      <c r="F502" s="63" t="n">
        <v>46418.72916666666</v>
      </c>
      <c r="G502" s="9" t="n"/>
      <c r="H502" s="9" t="n"/>
      <c r="I502" s="10" t="n"/>
      <c r="J502" s="65" t="n">
        <v>81</v>
      </c>
      <c r="K502" s="66" t="inlineStr">
        <is>
          <t>-</t>
        </is>
      </c>
      <c r="L502" s="65" t="n">
        <v>63</v>
      </c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IF($J502+$L502=0,,IF($J502&lt;$L502,IF($J502&amp;"-"&amp;$L502=MID(constPunteggioForfait,FIND("-",constPunteggioForfait)+1,LEN(constPunteggioForfait))&amp;"-"&amp;LEFT(constPunteggioForfait,FIND("-",constPunteggioForfait)-1),1,0),0))</f>
        <v/>
      </c>
      <c r="P502" s="67">
        <f>IF($J502+$L502=0,,IF($J502&lt;$L502,IF($J502&amp;"-"&amp;$L502&lt;&gt;MID(constPunteggioForfait,FIND("-",constPunteggioForfait)+1,LEN(constPunteggioForfait))&amp;"-"&amp;LEFT(constPunteggioForfait,FIND("-",constPunteggioForfait)-1),1,0),0))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IF($J502+$L502=0,,IF($L502&lt;$J502,IF($J502&amp;"-"&amp;$L502=constPunteggioForfait,1,0),0))</f>
        <v/>
      </c>
      <c r="W502" s="67">
        <f>IF($J502+$L502=0,,IF($L502&lt;$J502,IF($J502&amp;"-"&amp;$L502&lt;&gt;constPunteggioForfait,1,0),0))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"&amp;IFERROR(INDEX(Campionato!$E$14:$E$53,MATCH($C502,Campionato!$B$14:$B$53,0)),"?")&amp;"]")</f>
        <v/>
      </c>
    </row>
    <row r="503" ht="16" customHeight="1">
      <c r="A503" s="141" t="n"/>
      <c r="B503" s="69">
        <f>IF(I503="","",HYPERLINK(VLOOKUP(I503,areaCampiSquadre,3,FALSE),VLOOKUP(I503,areaCampiSquadre,2,FALSE)))</f>
        <v/>
      </c>
      <c r="C503" s="9" t="n"/>
      <c r="D503" s="9" t="n"/>
      <c r="E503" s="9" t="n"/>
      <c r="F503" s="9" t="n"/>
      <c r="G503" s="9" t="n"/>
      <c r="H503" s="10" t="n"/>
      <c r="I503" s="62" t="inlineStr">
        <is>
          <t>B11</t>
        </is>
      </c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IF(C505="","",IFERROR(VLOOKUP(C505,areaNomiBreviSquadre,7,FALSE),""))</f>
        <v/>
      </c>
      <c r="C505" s="62" t="inlineStr">
        <is>
          <t>B12</t>
        </is>
      </c>
      <c r="D505" s="61">
        <f>IF(E505="","",IFERROR(VLOOKUP(E505,areaNomiBreviSquadre,7,FALSE),""))</f>
        <v/>
      </c>
      <c r="E505" s="62" t="inlineStr">
        <is>
          <t>B01</t>
        </is>
      </c>
      <c r="F505" s="63" t="n">
        <v>46418.39583333334</v>
      </c>
      <c r="G505" s="9" t="n"/>
      <c r="H505" s="9" t="n"/>
      <c r="I505" s="10" t="n"/>
      <c r="J505" s="65" t="n">
        <v>76</v>
      </c>
      <c r="K505" s="66" t="inlineStr">
        <is>
          <t>-</t>
        </is>
      </c>
      <c r="L505" s="65" t="n">
        <v>84</v>
      </c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IF($J505+$L505=0,,IF($J505&lt;$L505,IF($J505&amp;"-"&amp;$L505=MID(constPunteggioForfait,FIND("-",constPunteggioForfait)+1,LEN(constPunteggioForfait))&amp;"-"&amp;LEFT(constPunteggioForfait,FIND("-",constPunteggioForfait)-1),1,0),0))</f>
        <v/>
      </c>
      <c r="P505" s="67">
        <f>IF($J505+$L505=0,,IF($J505&lt;$L505,IF($J505&amp;"-"&amp;$L505&lt;&gt;MID(constPunteggioForfait,FIND("-",constPunteggioForfait)+1,LEN(constPunteggioForfait))&amp;"-"&amp;LEFT(constPunteggioForfait,FIND("-",constPunteggioForfait)-1),1,0),0))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IF($J505+$L505=0,,IF($L505&lt;$J505,IF($J505&amp;"-"&amp;$L505=constPunteggioForfait,1,0),0))</f>
        <v/>
      </c>
      <c r="W505" s="67">
        <f>IF($J505+$L505=0,,IF($L505&lt;$J505,IF($J505&amp;"-"&amp;$L505&lt;&gt;constPunteggioForfait,1,0),0))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"&amp;IFERROR(INDEX(Campionato!$E$14:$E$53,MATCH($C505,Campionato!$B$14:$B$53,0)),"?")&amp;"]")</f>
        <v/>
      </c>
    </row>
    <row r="506" ht="16" customHeight="1">
      <c r="A506" s="141" t="n"/>
      <c r="B506" s="69">
        <f>IF(I506="","",HYPERLINK(VLOOKUP(I506,areaCampiSquadre,3,FALSE),VLOOKUP(I506,areaCampiSquadre,2,FALSE)))</f>
        <v/>
      </c>
      <c r="C506" s="9" t="n"/>
      <c r="D506" s="9" t="n"/>
      <c r="E506" s="9" t="n"/>
      <c r="F506" s="9" t="n"/>
      <c r="G506" s="9" t="n"/>
      <c r="H506" s="10" t="n"/>
      <c r="I506" s="62" t="inlineStr">
        <is>
          <t>B12</t>
        </is>
      </c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IF(C508="","",IFERROR(VLOOKUP(C508,areaNomiBreviSquadre,7,FALSE),""))</f>
        <v/>
      </c>
      <c r="C508" s="62" t="inlineStr">
        <is>
          <t>B10</t>
        </is>
      </c>
      <c r="D508" s="61">
        <f>IF(E508="","",IFERROR(VLOOKUP(E508,areaNomiBreviSquadre,7,FALSE),""))</f>
        <v/>
      </c>
      <c r="E508" s="62" t="inlineStr">
        <is>
          <t>B03</t>
        </is>
      </c>
      <c r="F508" s="63" t="n">
        <v>46418.45833333334</v>
      </c>
      <c r="G508" s="9" t="n"/>
      <c r="H508" s="9" t="n"/>
      <c r="I508" s="10" t="n"/>
      <c r="J508" s="65" t="n">
        <v>67</v>
      </c>
      <c r="K508" s="66" t="inlineStr">
        <is>
          <t>-</t>
        </is>
      </c>
      <c r="L508" s="65" t="n">
        <v>64</v>
      </c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IF($J508+$L508=0,,IF($J508&lt;$L508,IF($J508&amp;"-"&amp;$L508=MID(constPunteggioForfait,FIND("-",constPunteggioForfait)+1,LEN(constPunteggioForfait))&amp;"-"&amp;LEFT(constPunteggioForfait,FIND("-",constPunteggioForfait)-1),1,0),0))</f>
        <v/>
      </c>
      <c r="P508" s="67">
        <f>IF($J508+$L508=0,,IF($J508&lt;$L508,IF($J508&amp;"-"&amp;$L508&lt;&gt;MID(constPunteggioForfait,FIND("-",constPunteggioForfait)+1,LEN(constPunteggioForfait))&amp;"-"&amp;LEFT(constPunteggioForfait,FIND("-",constPunteggioForfait)-1),1,0),0))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IF($J508+$L508=0,,IF($L508&lt;$J508,IF($J508&amp;"-"&amp;$L508=constPunteggioForfait,1,0),0))</f>
        <v/>
      </c>
      <c r="W508" s="67">
        <f>IF($J508+$L508=0,,IF($L508&lt;$J508,IF($J508&amp;"-"&amp;$L508&lt;&gt;constPunteggioForfait,1,0),0))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"&amp;IFERROR(INDEX(Campionato!$E$14:$E$53,MATCH($C508,Campionato!$B$14:$B$53,0)),"?")&amp;"]")</f>
        <v/>
      </c>
    </row>
    <row r="509" ht="16" customHeight="1">
      <c r="A509" s="141" t="n"/>
      <c r="B509" s="69">
        <f>IF(I509="","",HYPERLINK(VLOOKUP(I509,areaCampiSquadre,3,FALSE),VLOOKUP(I509,areaCampiSquadre,2,FALSE)))</f>
        <v/>
      </c>
      <c r="C509" s="9" t="n"/>
      <c r="D509" s="9" t="n"/>
      <c r="E509" s="9" t="n"/>
      <c r="F509" s="9" t="n"/>
      <c r="G509" s="9" t="n"/>
      <c r="H509" s="10" t="n"/>
      <c r="I509" s="62" t="inlineStr">
        <is>
          <t>B12</t>
        </is>
      </c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IF(C511="","",IFERROR(VLOOKUP(C511,areaNomiBreviSquadre,7,FALSE),""))</f>
        <v/>
      </c>
      <c r="C511" s="62" t="inlineStr">
        <is>
          <t>B04</t>
        </is>
      </c>
      <c r="D511" s="61">
        <f>IF(E511="","",IFERROR(VLOOKUP(E511,areaNomiBreviSquadre,7,FALSE),""))</f>
        <v/>
      </c>
      <c r="E511" s="62" t="inlineStr">
        <is>
          <t>B09</t>
        </is>
      </c>
      <c r="F511" s="63" t="n">
        <v>46418.60416666666</v>
      </c>
      <c r="G511" s="9" t="n"/>
      <c r="H511" s="9" t="n"/>
      <c r="I511" s="10" t="n"/>
      <c r="J511" s="65" t="n">
        <v>72</v>
      </c>
      <c r="K511" s="66" t="inlineStr">
        <is>
          <t>-</t>
        </is>
      </c>
      <c r="L511" s="65" t="n">
        <v>86</v>
      </c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IF($J511+$L511=0,,IF($J511&lt;$L511,IF($J511&amp;"-"&amp;$L511=MID(constPunteggioForfait,FIND("-",constPunteggioForfait)+1,LEN(constPunteggioForfait))&amp;"-"&amp;LEFT(constPunteggioForfait,FIND("-",constPunteggioForfait)-1),1,0),0))</f>
        <v/>
      </c>
      <c r="P511" s="67">
        <f>IF($J511+$L511=0,,IF($J511&lt;$L511,IF($J511&amp;"-"&amp;$L511&lt;&gt;MID(constPunteggioForfait,FIND("-",constPunteggioForfait)+1,LEN(constPunteggioForfait))&amp;"-"&amp;LEFT(constPunteggioForfait,FIND("-",constPunteggioForfait)-1),1,0),0))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IF($J511+$L511=0,,IF($L511&lt;$J511,IF($J511&amp;"-"&amp;$L511=constPunteggioForfait,1,0),0))</f>
        <v/>
      </c>
      <c r="W511" s="67">
        <f>IF($J511+$L511=0,,IF($L511&lt;$J511,IF($J511&amp;"-"&amp;$L511&lt;&gt;constPunteggioForfait,1,0),0))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"&amp;IFERROR(INDEX(Campionato!$E$14:$E$53,MATCH($C511,Campionato!$B$14:$B$53,0)),"?")&amp;"]")</f>
        <v/>
      </c>
    </row>
    <row r="512" ht="16" customHeight="1">
      <c r="A512" s="141" t="n"/>
      <c r="B512" s="69">
        <f>IF(I512="","",HYPERLINK(VLOOKUP(I512,areaCampiSquadre,3,FALSE),VLOOKUP(I512,areaCampiSquadre,2,FALSE)))</f>
        <v/>
      </c>
      <c r="C512" s="9" t="n"/>
      <c r="D512" s="9" t="n"/>
      <c r="E512" s="9" t="n"/>
      <c r="F512" s="9" t="n"/>
      <c r="G512" s="9" t="n"/>
      <c r="H512" s="10" t="n"/>
      <c r="I512" s="62" t="inlineStr">
        <is>
          <t>B12</t>
        </is>
      </c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IF(C514="","",IFERROR(VLOOKUP(C514,areaNomiBreviSquadre,7,FALSE),""))</f>
        <v/>
      </c>
      <c r="C514" s="62" t="inlineStr">
        <is>
          <t>B08</t>
        </is>
      </c>
      <c r="D514" s="61">
        <f>IF(E514="","",IFERROR(VLOOKUP(E514,areaNomiBreviSquadre,7,FALSE),""))</f>
        <v/>
      </c>
      <c r="E514" s="62" t="inlineStr">
        <is>
          <t>B05</t>
        </is>
      </c>
      <c r="F514" s="63" t="n">
        <v>46418.66666666666</v>
      </c>
      <c r="G514" s="9" t="n"/>
      <c r="H514" s="9" t="n"/>
      <c r="I514" s="10" t="n"/>
      <c r="J514" s="65" t="n">
        <v>38</v>
      </c>
      <c r="K514" s="66" t="inlineStr">
        <is>
          <t>-</t>
        </is>
      </c>
      <c r="L514" s="65" t="n">
        <v>47</v>
      </c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IF($J514+$L514=0,,IF($J514&lt;$L514,IF($J514&amp;"-"&amp;$L514=MID(constPunteggioForfait,FIND("-",constPunteggioForfait)+1,LEN(constPunteggioForfait))&amp;"-"&amp;LEFT(constPunteggioForfait,FIND("-",constPunteggioForfait)-1),1,0),0))</f>
        <v/>
      </c>
      <c r="P514" s="67">
        <f>IF($J514+$L514=0,,IF($J514&lt;$L514,IF($J514&amp;"-"&amp;$L514&lt;&gt;MID(constPunteggioForfait,FIND("-",constPunteggioForfait)+1,LEN(constPunteggioForfait))&amp;"-"&amp;LEFT(constPunteggioForfait,FIND("-",constPunteggioForfait)-1),1,0),0))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IF($J514+$L514=0,,IF($L514&lt;$J514,IF($J514&amp;"-"&amp;$L514=constPunteggioForfait,1,0),0))</f>
        <v/>
      </c>
      <c r="W514" s="67">
        <f>IF($J514+$L514=0,,IF($L514&lt;$J514,IF($J514&amp;"-"&amp;$L514&lt;&gt;constPunteggioForfait,1,0),0))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"&amp;IFERROR(INDEX(Campionato!$E$14:$E$53,MATCH($C514,Campionato!$B$14:$B$53,0)),"?")&amp;"]")</f>
        <v/>
      </c>
    </row>
    <row r="515" ht="16" customHeight="1">
      <c r="A515" s="141" t="n"/>
      <c r="B515" s="69">
        <f>IF(I515="","",HYPERLINK(VLOOKUP(I515,areaCampiSquadre,3,FALSE),VLOOKUP(I515,areaCampiSquadre,2,FALSE)))</f>
        <v/>
      </c>
      <c r="C515" s="9" t="n"/>
      <c r="D515" s="9" t="n"/>
      <c r="E515" s="9" t="n"/>
      <c r="F515" s="9" t="n"/>
      <c r="G515" s="9" t="n"/>
      <c r="H515" s="10" t="n"/>
      <c r="I515" s="62" t="inlineStr">
        <is>
          <t>B12</t>
        </is>
      </c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IF(C517="","",IFERROR(VLOOKUP(C517,areaNomiBreviSquadre,7,FALSE),""))</f>
        <v/>
      </c>
      <c r="C517" s="62" t="inlineStr">
        <is>
          <t>B06</t>
        </is>
      </c>
      <c r="D517" s="61">
        <f>IF(E517="","",IFERROR(VLOOKUP(E517,areaNomiBreviSquadre,7,FALSE),""))</f>
        <v/>
      </c>
      <c r="E517" s="62" t="inlineStr">
        <is>
          <t>B07</t>
        </is>
      </c>
      <c r="F517" s="63" t="n">
        <v>46418.72916666666</v>
      </c>
      <c r="G517" s="9" t="n"/>
      <c r="H517" s="9" t="n"/>
      <c r="I517" s="10" t="n"/>
      <c r="J517" s="65" t="n">
        <v>50</v>
      </c>
      <c r="K517" s="66" t="inlineStr">
        <is>
          <t>-</t>
        </is>
      </c>
      <c r="L517" s="65" t="n">
        <v>73</v>
      </c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IF($J517+$L517=0,,IF($J517&lt;$L517,IF($J517&amp;"-"&amp;$L517=MID(constPunteggioForfait,FIND("-",constPunteggioForfait)+1,LEN(constPunteggioForfait))&amp;"-"&amp;LEFT(constPunteggioForfait,FIND("-",constPunteggioForfait)-1),1,0),0))</f>
        <v/>
      </c>
      <c r="P517" s="67">
        <f>IF($J517+$L517=0,,IF($J517&lt;$L517,IF($J517&amp;"-"&amp;$L517&lt;&gt;MID(constPunteggioForfait,FIND("-",constPunteggioForfait)+1,LEN(constPunteggioForfait))&amp;"-"&amp;LEFT(constPunteggioForfait,FIND("-",constPunteggioForfait)-1),1,0),0))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IF($J517+$L517=0,,IF($L517&lt;$J517,IF($J517&amp;"-"&amp;$L517=constPunteggioForfait,1,0),0))</f>
        <v/>
      </c>
      <c r="W517" s="67">
        <f>IF($J517+$L517=0,,IF($L517&lt;$J517,IF($J517&amp;"-"&amp;$L517&lt;&gt;constPunteggioForfait,1,0),0))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"&amp;IFERROR(INDEX(Campionato!$E$14:$E$53,MATCH($C517,Campionato!$B$14:$B$53,0)),"?")&amp;"]")</f>
        <v/>
      </c>
    </row>
    <row r="518" ht="16" customHeight="1">
      <c r="A518" s="141" t="n"/>
      <c r="B518" s="69">
        <f>IF(I518="","",HYPERLINK(VLOOKUP(I518,areaCampiSquadre,3,FALSE),VLOOKUP(I518,areaCampiSquadre,2,FALSE)))</f>
        <v/>
      </c>
      <c r="C518" s="9" t="n"/>
      <c r="D518" s="9" t="n"/>
      <c r="E518" s="9" t="n"/>
      <c r="F518" s="9" t="n"/>
      <c r="G518" s="9" t="n"/>
      <c r="H518" s="10" t="n"/>
      <c r="I518" s="62" t="inlineStr">
        <is>
          <t>B12</t>
        </is>
      </c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IF(C522="","",IFERROR(VLOOKUP(C522,areaNomiBreviSquadre,7,FALSE),""))</f>
        <v/>
      </c>
      <c r="C522" s="62" t="inlineStr">
        <is>
          <t>B02</t>
        </is>
      </c>
      <c r="D522" s="61">
        <f>IF(E522="","",IFERROR(VLOOKUP(E522,areaNomiBreviSquadre,7,FALSE),""))</f>
        <v/>
      </c>
      <c r="E522" s="62" t="inlineStr">
        <is>
          <t>B13</t>
        </is>
      </c>
      <c r="F522" s="63" t="n">
        <v>46425.39583333334</v>
      </c>
      <c r="G522" s="9" t="n"/>
      <c r="H522" s="9" t="n"/>
      <c r="I522" s="10" t="n"/>
      <c r="J522" s="65" t="n">
        <v>19</v>
      </c>
      <c r="K522" s="66" t="inlineStr">
        <is>
          <t>-</t>
        </is>
      </c>
      <c r="L522" s="65" t="n">
        <v>44</v>
      </c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IF($J522+$L522=0,,IF($J522&lt;$L522,IF($J522&amp;"-"&amp;$L522=MID(constPunteggioForfait,FIND("-",constPunteggioForfait)+1,LEN(constPunteggioForfait))&amp;"-"&amp;LEFT(constPunteggioForfait,FIND("-",constPunteggioForfait)-1),1,0),0))</f>
        <v/>
      </c>
      <c r="P522" s="67">
        <f>IF($J522+$L522=0,,IF($J522&lt;$L522,IF($J522&amp;"-"&amp;$L522&lt;&gt;MID(constPunteggioForfait,FIND("-",constPunteggioForfait)+1,LEN(constPunteggioForfait))&amp;"-"&amp;LEFT(constPunteggioForfait,FIND("-",constPunteggioForfait)-1),1,0),0))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IF($J522+$L522=0,,IF($L522&lt;$J522,IF($J522&amp;"-"&amp;$L522=constPunteggioForfait,1,0),0))</f>
        <v/>
      </c>
      <c r="W522" s="67">
        <f>IF($J522+$L522=0,,IF($L522&lt;$J522,IF($J522&amp;"-"&amp;$L522&lt;&gt;constPunteggioForfait,1,0),0))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"&amp;IFERROR(INDEX(Campionato!$E$14:$E$53,MATCH($C522,Campionato!$B$14:$B$53,0)),"?")&amp;"]")</f>
        <v/>
      </c>
    </row>
    <row r="523" ht="16" customHeight="1">
      <c r="A523" s="141" t="n"/>
      <c r="B523" s="69">
        <f>IF(I523="","",HYPERLINK(VLOOKUP(I523,areaCampiSquadre,3,FALSE),VLOOKUP(I523,areaCampiSquadre,2,FALSE)))</f>
        <v/>
      </c>
      <c r="C523" s="9" t="n"/>
      <c r="D523" s="9" t="n"/>
      <c r="E523" s="9" t="n"/>
      <c r="F523" s="9" t="n"/>
      <c r="G523" s="9" t="n"/>
      <c r="H523" s="10" t="n"/>
      <c r="I523" s="62" t="inlineStr">
        <is>
          <t>B13</t>
        </is>
      </c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IF(C525="","",IFERROR(VLOOKUP(C525,areaNomiBreviSquadre,7,FALSE),""))</f>
        <v/>
      </c>
      <c r="C525" s="62" t="inlineStr">
        <is>
          <t>B17</t>
        </is>
      </c>
      <c r="D525" s="61">
        <f>IF(E525="","",IFERROR(VLOOKUP(E525,areaNomiBreviSquadre,7,FALSE),""))</f>
        <v/>
      </c>
      <c r="E525" s="62" t="inlineStr">
        <is>
          <t>B20</t>
        </is>
      </c>
      <c r="F525" s="63" t="n">
        <v>46425.45833333334</v>
      </c>
      <c r="G525" s="9" t="n"/>
      <c r="H525" s="9" t="n"/>
      <c r="I525" s="10" t="n"/>
      <c r="J525" s="65" t="n">
        <v>52</v>
      </c>
      <c r="K525" s="66" t="inlineStr">
        <is>
          <t>-</t>
        </is>
      </c>
      <c r="L525" s="65" t="n">
        <v>65</v>
      </c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IF($J525+$L525=0,,IF($J525&lt;$L525,IF($J525&amp;"-"&amp;$L525=MID(constPunteggioForfait,FIND("-",constPunteggioForfait)+1,LEN(constPunteggioForfait))&amp;"-"&amp;LEFT(constPunteggioForfait,FIND("-",constPunteggioForfait)-1),1,0),0))</f>
        <v/>
      </c>
      <c r="P525" s="67">
        <f>IF($J525+$L525=0,,IF($J525&lt;$L525,IF($J525&amp;"-"&amp;$L525&lt;&gt;MID(constPunteggioForfait,FIND("-",constPunteggioForfait)+1,LEN(constPunteggioForfait))&amp;"-"&amp;LEFT(constPunteggioForfait,FIND("-",constPunteggioForfait)-1),1,0),0))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IF($J525+$L525=0,,IF($L525&lt;$J525,IF($J525&amp;"-"&amp;$L525=constPunteggioForfait,1,0),0))</f>
        <v/>
      </c>
      <c r="W525" s="67">
        <f>IF($J525+$L525=0,,IF($L525&lt;$J525,IF($J525&amp;"-"&amp;$L525&lt;&gt;constPunteggioForfait,1,0),0))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"&amp;IFERROR(INDEX(Campionato!$E$14:$E$53,MATCH($C525,Campionato!$B$14:$B$53,0)),"?")&amp;"]")</f>
        <v/>
      </c>
    </row>
    <row r="526" ht="16" customHeight="1">
      <c r="A526" s="141" t="n"/>
      <c r="B526" s="69">
        <f>IF(I526="","",HYPERLINK(VLOOKUP(I526,areaCampiSquadre,3,FALSE),VLOOKUP(I526,areaCampiSquadre,2,FALSE)))</f>
        <v/>
      </c>
      <c r="C526" s="9" t="n"/>
      <c r="D526" s="9" t="n"/>
      <c r="E526" s="9" t="n"/>
      <c r="F526" s="9" t="n"/>
      <c r="G526" s="9" t="n"/>
      <c r="H526" s="10" t="n"/>
      <c r="I526" s="62" t="inlineStr">
        <is>
          <t>B13</t>
        </is>
      </c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IF(C528="","",IFERROR(VLOOKUP(C528,areaNomiBreviSquadre,7,FALSE),""))</f>
        <v/>
      </c>
      <c r="C528" s="62" t="inlineStr">
        <is>
          <t>B16</t>
        </is>
      </c>
      <c r="D528" s="61">
        <f>IF(E528="","",IFERROR(VLOOKUP(E528,areaNomiBreviSquadre,7,FALSE),""))</f>
        <v/>
      </c>
      <c r="E528" s="62" t="inlineStr">
        <is>
          <t>B18</t>
        </is>
      </c>
      <c r="F528" s="63" t="n">
        <v>46425.60416666666</v>
      </c>
      <c r="G528" s="9" t="n"/>
      <c r="H528" s="9" t="n"/>
      <c r="I528" s="10" t="n"/>
      <c r="J528" s="65" t="n">
        <v>59</v>
      </c>
      <c r="K528" s="66" t="inlineStr">
        <is>
          <t>-</t>
        </is>
      </c>
      <c r="L528" s="65" t="n">
        <v>79</v>
      </c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IF($J528+$L528=0,,IF($J528&lt;$L528,IF($J528&amp;"-"&amp;$L528=MID(constPunteggioForfait,FIND("-",constPunteggioForfait)+1,LEN(constPunteggioForfait))&amp;"-"&amp;LEFT(constPunteggioForfait,FIND("-",constPunteggioForfait)-1),1,0),0))</f>
        <v/>
      </c>
      <c r="P528" s="67">
        <f>IF($J528+$L528=0,,IF($J528&lt;$L528,IF($J528&amp;"-"&amp;$L528&lt;&gt;MID(constPunteggioForfait,FIND("-",constPunteggioForfait)+1,LEN(constPunteggioForfait))&amp;"-"&amp;LEFT(constPunteggioForfait,FIND("-",constPunteggioForfait)-1),1,0),0))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IF($J528+$L528=0,,IF($L528&lt;$J528,IF($J528&amp;"-"&amp;$L528=constPunteggioForfait,1,0),0))</f>
        <v/>
      </c>
      <c r="W528" s="67">
        <f>IF($J528+$L528=0,,IF($L528&lt;$J528,IF($J528&amp;"-"&amp;$L528&lt;&gt;constPunteggioForfait,1,0),0))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"&amp;IFERROR(INDEX(Campionato!$E$14:$E$53,MATCH($C528,Campionato!$B$14:$B$53,0)),"?")&amp;"]")</f>
        <v/>
      </c>
    </row>
    <row r="529" ht="16" customHeight="1">
      <c r="A529" s="141" t="n"/>
      <c r="B529" s="69">
        <f>IF(I529="","",HYPERLINK(VLOOKUP(I529,areaCampiSquadre,3,FALSE),VLOOKUP(I529,areaCampiSquadre,2,FALSE)))</f>
        <v/>
      </c>
      <c r="C529" s="9" t="n"/>
      <c r="D529" s="9" t="n"/>
      <c r="E529" s="9" t="n"/>
      <c r="F529" s="9" t="n"/>
      <c r="G529" s="9" t="n"/>
      <c r="H529" s="10" t="n"/>
      <c r="I529" s="62" t="inlineStr">
        <is>
          <t>B13</t>
        </is>
      </c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IF(C531="","",IFERROR(VLOOKUP(C531,areaNomiBreviSquadre,7,FALSE),""))</f>
        <v/>
      </c>
      <c r="C531" s="62" t="inlineStr">
        <is>
          <t>B19</t>
        </is>
      </c>
      <c r="D531" s="61">
        <f>IF(E531="","",IFERROR(VLOOKUP(E531,areaNomiBreviSquadre,7,FALSE),""))</f>
        <v/>
      </c>
      <c r="E531" s="62" t="inlineStr">
        <is>
          <t>B15</t>
        </is>
      </c>
      <c r="F531" s="63" t="n">
        <v>46425.66666666666</v>
      </c>
      <c r="G531" s="9" t="n"/>
      <c r="H531" s="9" t="n"/>
      <c r="I531" s="10" t="n"/>
      <c r="J531" s="65" t="n">
        <v>92</v>
      </c>
      <c r="K531" s="66" t="inlineStr">
        <is>
          <t>-</t>
        </is>
      </c>
      <c r="L531" s="65" t="n">
        <v>67</v>
      </c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IF($J531+$L531=0,,IF($J531&lt;$L531,IF($J531&amp;"-"&amp;$L531=MID(constPunteggioForfait,FIND("-",constPunteggioForfait)+1,LEN(constPunteggioForfait))&amp;"-"&amp;LEFT(constPunteggioForfait,FIND("-",constPunteggioForfait)-1),1,0),0))</f>
        <v/>
      </c>
      <c r="P531" s="67">
        <f>IF($J531+$L531=0,,IF($J531&lt;$L531,IF($J531&amp;"-"&amp;$L531&lt;&gt;MID(constPunteggioForfait,FIND("-",constPunteggioForfait)+1,LEN(constPunteggioForfait))&amp;"-"&amp;LEFT(constPunteggioForfait,FIND("-",constPunteggioForfait)-1),1,0),0))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IF($J531+$L531=0,,IF($L531&lt;$J531,IF($J531&amp;"-"&amp;$L531=constPunteggioForfait,1,0),0))</f>
        <v/>
      </c>
      <c r="W531" s="67">
        <f>IF($J531+$L531=0,,IF($L531&lt;$J531,IF($J531&amp;"-"&amp;$L531&lt;&gt;constPunteggioForfait,1,0),0))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"&amp;IFERROR(INDEX(Campionato!$E$14:$E$53,MATCH($C531,Campionato!$B$14:$B$53,0)),"?")&amp;"]")</f>
        <v/>
      </c>
    </row>
    <row r="532" ht="16" customHeight="1">
      <c r="A532" s="141" t="n"/>
      <c r="B532" s="69">
        <f>IF(I532="","",HYPERLINK(VLOOKUP(I532,areaCampiSquadre,3,FALSE),VLOOKUP(I532,areaCampiSquadre,2,FALSE)))</f>
        <v/>
      </c>
      <c r="C532" s="9" t="n"/>
      <c r="D532" s="9" t="n"/>
      <c r="E532" s="9" t="n"/>
      <c r="F532" s="9" t="n"/>
      <c r="G532" s="9" t="n"/>
      <c r="H532" s="10" t="n"/>
      <c r="I532" s="62" t="inlineStr">
        <is>
          <t>B13</t>
        </is>
      </c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IF(C534="","",IFERROR(VLOOKUP(C534,areaNomiBreviSquadre,7,FALSE),""))</f>
        <v/>
      </c>
      <c r="C534" s="62" t="inlineStr">
        <is>
          <t>B12</t>
        </is>
      </c>
      <c r="D534" s="61">
        <f>IF(E534="","",IFERROR(VLOOKUP(E534,areaNomiBreviSquadre,7,FALSE),""))</f>
        <v/>
      </c>
      <c r="E534" s="62" t="inlineStr">
        <is>
          <t>B03</t>
        </is>
      </c>
      <c r="F534" s="63" t="n">
        <v>46425.72916666666</v>
      </c>
      <c r="G534" s="9" t="n"/>
      <c r="H534" s="9" t="n"/>
      <c r="I534" s="10" t="n"/>
      <c r="J534" s="65" t="n">
        <v>47</v>
      </c>
      <c r="K534" s="66" t="inlineStr">
        <is>
          <t>-</t>
        </is>
      </c>
      <c r="L534" s="65" t="n">
        <v>75</v>
      </c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IF($J534+$L534=0,,IF($J534&lt;$L534,IF($J534&amp;"-"&amp;$L534=MID(constPunteggioForfait,FIND("-",constPunteggioForfait)+1,LEN(constPunteggioForfait))&amp;"-"&amp;LEFT(constPunteggioForfait,FIND("-",constPunteggioForfait)-1),1,0),0))</f>
        <v/>
      </c>
      <c r="P534" s="67">
        <f>IF($J534+$L534=0,,IF($J534&lt;$L534,IF($J534&amp;"-"&amp;$L534&lt;&gt;MID(constPunteggioForfait,FIND("-",constPunteggioForfait)+1,LEN(constPunteggioForfait))&amp;"-"&amp;LEFT(constPunteggioForfait,FIND("-",constPunteggioForfait)-1),1,0),0))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IF($J534+$L534=0,,IF($L534&lt;$J534,IF($J534&amp;"-"&amp;$L534=constPunteggioForfait,1,0),0))</f>
        <v/>
      </c>
      <c r="W534" s="67">
        <f>IF($J534+$L534=0,,IF($L534&lt;$J534,IF($J534&amp;"-"&amp;$L534&lt;&gt;constPunteggioForfait,1,0),0))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"&amp;IFERROR(INDEX(Campionato!$E$14:$E$53,MATCH($C534,Campionato!$B$14:$B$53,0)),"?")&amp;"]")</f>
        <v/>
      </c>
    </row>
    <row r="535" ht="16" customHeight="1">
      <c r="A535" s="141" t="n"/>
      <c r="B535" s="69">
        <f>IF(I535="","",HYPERLINK(VLOOKUP(I535,areaCampiSquadre,3,FALSE),VLOOKUP(I535,areaCampiSquadre,2,FALSE)))</f>
        <v/>
      </c>
      <c r="C535" s="9" t="n"/>
      <c r="D535" s="9" t="n"/>
      <c r="E535" s="9" t="n"/>
      <c r="F535" s="9" t="n"/>
      <c r="G535" s="9" t="n"/>
      <c r="H535" s="10" t="n"/>
      <c r="I535" s="62" t="inlineStr">
        <is>
          <t>B13</t>
        </is>
      </c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IF(C537="","",IFERROR(VLOOKUP(C537,areaNomiBreviSquadre,7,FALSE),""))</f>
        <v/>
      </c>
      <c r="C537" s="62" t="inlineStr">
        <is>
          <t>B14</t>
        </is>
      </c>
      <c r="D537" s="61">
        <f>IF(E537="","",IFERROR(VLOOKUP(E537,areaNomiBreviSquadre,7,FALSE),""))</f>
        <v/>
      </c>
      <c r="E537" s="62" t="inlineStr">
        <is>
          <t>B01</t>
        </is>
      </c>
      <c r="F537" s="63" t="n">
        <v>46425.39583333334</v>
      </c>
      <c r="G537" s="9" t="n"/>
      <c r="H537" s="9" t="n"/>
      <c r="I537" s="10" t="n"/>
      <c r="J537" s="65" t="n">
        <v>67</v>
      </c>
      <c r="K537" s="66" t="inlineStr">
        <is>
          <t>-</t>
        </is>
      </c>
      <c r="L537" s="65" t="n">
        <v>56</v>
      </c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IF($J537+$L537=0,,IF($J537&lt;$L537,IF($J537&amp;"-"&amp;$L537=MID(constPunteggioForfait,FIND("-",constPunteggioForfait)+1,LEN(constPunteggioForfait))&amp;"-"&amp;LEFT(constPunteggioForfait,FIND("-",constPunteggioForfait)-1),1,0),0))</f>
        <v/>
      </c>
      <c r="P537" s="67">
        <f>IF($J537+$L537=0,,IF($J537&lt;$L537,IF($J537&amp;"-"&amp;$L537&lt;&gt;MID(constPunteggioForfait,FIND("-",constPunteggioForfait)+1,LEN(constPunteggioForfait))&amp;"-"&amp;LEFT(constPunteggioForfait,FIND("-",constPunteggioForfait)-1),1,0),0))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IF($J537+$L537=0,,IF($L537&lt;$J537,IF($J537&amp;"-"&amp;$L537=constPunteggioForfait,1,0),0))</f>
        <v/>
      </c>
      <c r="W537" s="67">
        <f>IF($J537+$L537=0,,IF($L537&lt;$J537,IF($J537&amp;"-"&amp;$L537&lt;&gt;constPunteggioForfait,1,0),0))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"&amp;IFERROR(INDEX(Campionato!$E$14:$E$53,MATCH($C537,Campionato!$B$14:$B$53,0)),"?")&amp;"]")</f>
        <v/>
      </c>
    </row>
    <row r="538" ht="16" customHeight="1">
      <c r="A538" s="141" t="n"/>
      <c r="B538" s="69">
        <f>IF(I538="","",HYPERLINK(VLOOKUP(I538,areaCampiSquadre,3,FALSE),VLOOKUP(I538,areaCampiSquadre,2,FALSE)))</f>
        <v/>
      </c>
      <c r="C538" s="9" t="n"/>
      <c r="D538" s="9" t="n"/>
      <c r="E538" s="9" t="n"/>
      <c r="F538" s="9" t="n"/>
      <c r="G538" s="9" t="n"/>
      <c r="H538" s="10" t="n"/>
      <c r="I538" s="62" t="inlineStr">
        <is>
          <t>B14</t>
        </is>
      </c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IF(C540="","",IFERROR(VLOOKUP(C540,areaNomiBreviSquadre,7,FALSE),""))</f>
        <v/>
      </c>
      <c r="C540" s="62" t="inlineStr">
        <is>
          <t>B04</t>
        </is>
      </c>
      <c r="D540" s="61">
        <f>IF(E540="","",IFERROR(VLOOKUP(E540,areaNomiBreviSquadre,7,FALSE),""))</f>
        <v/>
      </c>
      <c r="E540" s="62" t="inlineStr">
        <is>
          <t>B11</t>
        </is>
      </c>
      <c r="F540" s="63" t="n">
        <v>46425.45833333334</v>
      </c>
      <c r="G540" s="9" t="n"/>
      <c r="H540" s="9" t="n"/>
      <c r="I540" s="10" t="n"/>
      <c r="J540" s="65" t="n">
        <v>54</v>
      </c>
      <c r="K540" s="66" t="inlineStr">
        <is>
          <t>-</t>
        </is>
      </c>
      <c r="L540" s="65" t="n">
        <v>49</v>
      </c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IF($J540+$L540=0,,IF($J540&lt;$L540,IF($J540&amp;"-"&amp;$L540=MID(constPunteggioForfait,FIND("-",constPunteggioForfait)+1,LEN(constPunteggioForfait))&amp;"-"&amp;LEFT(constPunteggioForfait,FIND("-",constPunteggioForfait)-1),1,0),0))</f>
        <v/>
      </c>
      <c r="P540" s="67">
        <f>IF($J540+$L540=0,,IF($J540&lt;$L540,IF($J540&amp;"-"&amp;$L540&lt;&gt;MID(constPunteggioForfait,FIND("-",constPunteggioForfait)+1,LEN(constPunteggioForfait))&amp;"-"&amp;LEFT(constPunteggioForfait,FIND("-",constPunteggioForfait)-1),1,0),0))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IF($J540+$L540=0,,IF($L540&lt;$J540,IF($J540&amp;"-"&amp;$L540=constPunteggioForfait,1,0),0))</f>
        <v/>
      </c>
      <c r="W540" s="67">
        <f>IF($J540+$L540=0,,IF($L540&lt;$J540,IF($J540&amp;"-"&amp;$L540&lt;&gt;constPunteggioForfait,1,0),0))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"&amp;IFERROR(INDEX(Campionato!$E$14:$E$53,MATCH($C540,Campionato!$B$14:$B$53,0)),"?")&amp;"]")</f>
        <v/>
      </c>
    </row>
    <row r="541" ht="16" customHeight="1">
      <c r="A541" s="141" t="n"/>
      <c r="B541" s="69">
        <f>IF(I541="","",HYPERLINK(VLOOKUP(I541,areaCampiSquadre,3,FALSE),VLOOKUP(I541,areaCampiSquadre,2,FALSE)))</f>
        <v/>
      </c>
      <c r="C541" s="9" t="n"/>
      <c r="D541" s="9" t="n"/>
      <c r="E541" s="9" t="n"/>
      <c r="F541" s="9" t="n"/>
      <c r="G541" s="9" t="n"/>
      <c r="H541" s="10" t="n"/>
      <c r="I541" s="62" t="inlineStr">
        <is>
          <t>B14</t>
        </is>
      </c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IF(C543="","",IFERROR(VLOOKUP(C543,areaNomiBreviSquadre,7,FALSE),""))</f>
        <v/>
      </c>
      <c r="C543" s="62" t="inlineStr">
        <is>
          <t>B10</t>
        </is>
      </c>
      <c r="D543" s="61">
        <f>IF(E543="","",IFERROR(VLOOKUP(E543,areaNomiBreviSquadre,7,FALSE),""))</f>
        <v/>
      </c>
      <c r="E543" s="62" t="inlineStr">
        <is>
          <t>B05</t>
        </is>
      </c>
      <c r="F543" s="63" t="n">
        <v>46425.60416666666</v>
      </c>
      <c r="G543" s="9" t="n"/>
      <c r="H543" s="9" t="n"/>
      <c r="I543" s="10" t="n"/>
      <c r="J543" s="65" t="n">
        <v>86</v>
      </c>
      <c r="K543" s="66" t="inlineStr">
        <is>
          <t>-</t>
        </is>
      </c>
      <c r="L543" s="65" t="n">
        <v>67</v>
      </c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IF($J543+$L543=0,,IF($J543&lt;$L543,IF($J543&amp;"-"&amp;$L543=MID(constPunteggioForfait,FIND("-",constPunteggioForfait)+1,LEN(constPunteggioForfait))&amp;"-"&amp;LEFT(constPunteggioForfait,FIND("-",constPunteggioForfait)-1),1,0),0))</f>
        <v/>
      </c>
      <c r="P543" s="67">
        <f>IF($J543+$L543=0,,IF($J543&lt;$L543,IF($J543&amp;"-"&amp;$L543&lt;&gt;MID(constPunteggioForfait,FIND("-",constPunteggioForfait)+1,LEN(constPunteggioForfait))&amp;"-"&amp;LEFT(constPunteggioForfait,FIND("-",constPunteggioForfait)-1),1,0),0))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IF($J543+$L543=0,,IF($L543&lt;$J543,IF($J543&amp;"-"&amp;$L543=constPunteggioForfait,1,0),0))</f>
        <v/>
      </c>
      <c r="W543" s="67">
        <f>IF($J543+$L543=0,,IF($L543&lt;$J543,IF($J543&amp;"-"&amp;$L543&lt;&gt;constPunteggioForfait,1,0),0))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"&amp;IFERROR(INDEX(Campionato!$E$14:$E$53,MATCH($C543,Campionato!$B$14:$B$53,0)),"?")&amp;"]")</f>
        <v/>
      </c>
    </row>
    <row r="544" ht="16" customHeight="1">
      <c r="A544" s="141" t="n"/>
      <c r="B544" s="69">
        <f>IF(I544="","",HYPERLINK(VLOOKUP(I544,areaCampiSquadre,3,FALSE),VLOOKUP(I544,areaCampiSquadre,2,FALSE)))</f>
        <v/>
      </c>
      <c r="C544" s="9" t="n"/>
      <c r="D544" s="9" t="n"/>
      <c r="E544" s="9" t="n"/>
      <c r="F544" s="9" t="n"/>
      <c r="G544" s="9" t="n"/>
      <c r="H544" s="10" t="n"/>
      <c r="I544" s="62" t="inlineStr">
        <is>
          <t>B14</t>
        </is>
      </c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IF(C546="","",IFERROR(VLOOKUP(C546,areaNomiBreviSquadre,7,FALSE),""))</f>
        <v/>
      </c>
      <c r="C546" s="62" t="inlineStr">
        <is>
          <t>B06</t>
        </is>
      </c>
      <c r="D546" s="61">
        <f>IF(E546="","",IFERROR(VLOOKUP(E546,areaNomiBreviSquadre,7,FALSE),""))</f>
        <v/>
      </c>
      <c r="E546" s="62" t="inlineStr">
        <is>
          <t>B09</t>
        </is>
      </c>
      <c r="F546" s="63" t="n">
        <v>46425.66666666666</v>
      </c>
      <c r="G546" s="9" t="n"/>
      <c r="H546" s="9" t="n"/>
      <c r="I546" s="10" t="n"/>
      <c r="J546" s="65" t="n">
        <v>72</v>
      </c>
      <c r="K546" s="66" t="inlineStr">
        <is>
          <t>-</t>
        </is>
      </c>
      <c r="L546" s="65" t="n">
        <v>45</v>
      </c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IF($J546+$L546=0,,IF($J546&lt;$L546,IF($J546&amp;"-"&amp;$L546=MID(constPunteggioForfait,FIND("-",constPunteggioForfait)+1,LEN(constPunteggioForfait))&amp;"-"&amp;LEFT(constPunteggioForfait,FIND("-",constPunteggioForfait)-1),1,0),0))</f>
        <v/>
      </c>
      <c r="P546" s="67">
        <f>IF($J546+$L546=0,,IF($J546&lt;$L546,IF($J546&amp;"-"&amp;$L546&lt;&gt;MID(constPunteggioForfait,FIND("-",constPunteggioForfait)+1,LEN(constPunteggioForfait))&amp;"-"&amp;LEFT(constPunteggioForfait,FIND("-",constPunteggioForfait)-1),1,0),0))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IF($J546+$L546=0,,IF($L546&lt;$J546,IF($J546&amp;"-"&amp;$L546=constPunteggioForfait,1,0),0))</f>
        <v/>
      </c>
      <c r="W546" s="67">
        <f>IF($J546+$L546=0,,IF($L546&lt;$J546,IF($J546&amp;"-"&amp;$L546&lt;&gt;constPunteggioForfait,1,0),0))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"&amp;IFERROR(INDEX(Campionato!$E$14:$E$53,MATCH($C546,Campionato!$B$14:$B$53,0)),"?")&amp;"]")</f>
        <v/>
      </c>
    </row>
    <row r="547" ht="16" customHeight="1">
      <c r="A547" s="141" t="n"/>
      <c r="B547" s="69">
        <f>IF(I547="","",HYPERLINK(VLOOKUP(I547,areaCampiSquadre,3,FALSE),VLOOKUP(I547,areaCampiSquadre,2,FALSE)))</f>
        <v/>
      </c>
      <c r="C547" s="9" t="n"/>
      <c r="D547" s="9" t="n"/>
      <c r="E547" s="9" t="n"/>
      <c r="F547" s="9" t="n"/>
      <c r="G547" s="9" t="n"/>
      <c r="H547" s="10" t="n"/>
      <c r="I547" s="62" t="inlineStr">
        <is>
          <t>B14</t>
        </is>
      </c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IF(C549="","",IFERROR(VLOOKUP(C549,areaNomiBreviSquadre,7,FALSE),""))</f>
        <v/>
      </c>
      <c r="C549" s="62" t="inlineStr">
        <is>
          <t>B08</t>
        </is>
      </c>
      <c r="D549" s="61">
        <f>IF(E549="","",IFERROR(VLOOKUP(E549,areaNomiBreviSquadre,7,FALSE),""))</f>
        <v/>
      </c>
      <c r="E549" s="62" t="inlineStr">
        <is>
          <t>B07</t>
        </is>
      </c>
      <c r="F549" s="63" t="n">
        <v>46425.72916666666</v>
      </c>
      <c r="G549" s="9" t="n"/>
      <c r="H549" s="9" t="n"/>
      <c r="I549" s="10" t="n"/>
      <c r="J549" s="65" t="n">
        <v>91</v>
      </c>
      <c r="K549" s="66" t="inlineStr">
        <is>
          <t>-</t>
        </is>
      </c>
      <c r="L549" s="65" t="n">
        <v>87</v>
      </c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IF($J549+$L549=0,,IF($J549&lt;$L549,IF($J549&amp;"-"&amp;$L549=MID(constPunteggioForfait,FIND("-",constPunteggioForfait)+1,LEN(constPunteggioForfait))&amp;"-"&amp;LEFT(constPunteggioForfait,FIND("-",constPunteggioForfait)-1),1,0),0))</f>
        <v/>
      </c>
      <c r="P549" s="67">
        <f>IF($J549+$L549=0,,IF($J549&lt;$L549,IF($J549&amp;"-"&amp;$L549&lt;&gt;MID(constPunteggioForfait,FIND("-",constPunteggioForfait)+1,LEN(constPunteggioForfait))&amp;"-"&amp;LEFT(constPunteggioForfait,FIND("-",constPunteggioForfait)-1),1,0),0))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IF($J549+$L549=0,,IF($L549&lt;$J549,IF($J549&amp;"-"&amp;$L549=constPunteggioForfait,1,0),0))</f>
        <v/>
      </c>
      <c r="W549" s="67">
        <f>IF($J549+$L549=0,,IF($L549&lt;$J549,IF($J549&amp;"-"&amp;$L549&lt;&gt;constPunteggioForfait,1,0),0))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"&amp;IFERROR(INDEX(Campionato!$E$14:$E$53,MATCH($C549,Campionato!$B$14:$B$53,0)),"?")&amp;"]")</f>
        <v/>
      </c>
    </row>
    <row r="550" ht="16" customHeight="1">
      <c r="A550" s="141" t="n"/>
      <c r="B550" s="69">
        <f>IF(I550="","",HYPERLINK(VLOOKUP(I550,areaCampiSquadre,3,FALSE),VLOOKUP(I550,areaCampiSquadre,2,FALSE)))</f>
        <v/>
      </c>
      <c r="C550" s="9" t="n"/>
      <c r="D550" s="9" t="n"/>
      <c r="E550" s="9" t="n"/>
      <c r="F550" s="9" t="n"/>
      <c r="G550" s="9" t="n"/>
      <c r="H550" s="10" t="n"/>
      <c r="I550" s="62" t="inlineStr">
        <is>
          <t>B14</t>
        </is>
      </c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IF(C554="","",IFERROR(VLOOKUP(C554,areaNomiBreviSquadre,7,FALSE),""))</f>
        <v/>
      </c>
      <c r="C554" s="62" t="inlineStr">
        <is>
          <t>B02</t>
        </is>
      </c>
      <c r="D554" s="61">
        <f>IF(E554="","",IFERROR(VLOOKUP(E554,areaNomiBreviSquadre,7,FALSE),""))</f>
        <v/>
      </c>
      <c r="E554" s="62" t="inlineStr">
        <is>
          <t>B15</t>
        </is>
      </c>
      <c r="F554" s="63" t="n">
        <v>46432.39583333334</v>
      </c>
      <c r="G554" s="9" t="n"/>
      <c r="H554" s="9" t="n"/>
      <c r="I554" s="10" t="n"/>
      <c r="J554" s="65" t="n">
        <v>63</v>
      </c>
      <c r="K554" s="66" t="inlineStr">
        <is>
          <t>-</t>
        </is>
      </c>
      <c r="L554" s="65" t="n">
        <v>86</v>
      </c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IF($J554+$L554=0,,IF($J554&lt;$L554,IF($J554&amp;"-"&amp;$L554=MID(constPunteggioForfait,FIND("-",constPunteggioForfait)+1,LEN(constPunteggioForfait))&amp;"-"&amp;LEFT(constPunteggioForfait,FIND("-",constPunteggioForfait)-1),1,0),0))</f>
        <v/>
      </c>
      <c r="P554" s="67">
        <f>IF($J554+$L554=0,,IF($J554&lt;$L554,IF($J554&amp;"-"&amp;$L554&lt;&gt;MID(constPunteggioForfait,FIND("-",constPunteggioForfait)+1,LEN(constPunteggioForfait))&amp;"-"&amp;LEFT(constPunteggioForfait,FIND("-",constPunteggioForfait)-1),1,0),0))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IF($J554+$L554=0,,IF($L554&lt;$J554,IF($J554&amp;"-"&amp;$L554=constPunteggioForfait,1,0),0))</f>
        <v/>
      </c>
      <c r="W554" s="67">
        <f>IF($J554+$L554=0,,IF($L554&lt;$J554,IF($J554&amp;"-"&amp;$L554&lt;&gt;constPunteggioForfait,1,0),0))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"&amp;IFERROR(INDEX(Campionato!$E$14:$E$53,MATCH($C554,Campionato!$B$14:$B$53,0)),"?")&amp;"]")</f>
        <v/>
      </c>
    </row>
    <row r="555" ht="16" customHeight="1">
      <c r="A555" s="141" t="n"/>
      <c r="B555" s="69">
        <f>IF(I555="","",HYPERLINK(VLOOKUP(I555,areaCampiSquadre,3,FALSE),VLOOKUP(I555,areaCampiSquadre,2,FALSE)))</f>
        <v/>
      </c>
      <c r="C555" s="9" t="n"/>
      <c r="D555" s="9" t="n"/>
      <c r="E555" s="9" t="n"/>
      <c r="F555" s="9" t="n"/>
      <c r="G555" s="9" t="n"/>
      <c r="H555" s="10" t="n"/>
      <c r="I555" s="62" t="inlineStr">
        <is>
          <t>B15</t>
        </is>
      </c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IF(C557="","",IFERROR(VLOOKUP(C557,areaNomiBreviSquadre,7,FALSE),""))</f>
        <v/>
      </c>
      <c r="C557" s="62" t="inlineStr">
        <is>
          <t>B20</t>
        </is>
      </c>
      <c r="D557" s="61">
        <f>IF(E557="","",IFERROR(VLOOKUP(E557,areaNomiBreviSquadre,7,FALSE),""))</f>
        <v/>
      </c>
      <c r="E557" s="62" t="inlineStr">
        <is>
          <t>B18</t>
        </is>
      </c>
      <c r="F557" s="63" t="n">
        <v>46432.45833333334</v>
      </c>
      <c r="G557" s="9" t="n"/>
      <c r="H557" s="9" t="n"/>
      <c r="I557" s="10" t="n"/>
      <c r="J557" s="65" t="n">
        <v>50</v>
      </c>
      <c r="K557" s="66" t="inlineStr">
        <is>
          <t>-</t>
        </is>
      </c>
      <c r="L557" s="65" t="n">
        <v>38</v>
      </c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IF($J557+$L557=0,,IF($J557&lt;$L557,IF($J557&amp;"-"&amp;$L557=MID(constPunteggioForfait,FIND("-",constPunteggioForfait)+1,LEN(constPunteggioForfait))&amp;"-"&amp;LEFT(constPunteggioForfait,FIND("-",constPunteggioForfait)-1),1,0),0))</f>
        <v/>
      </c>
      <c r="P557" s="67">
        <f>IF($J557+$L557=0,,IF($J557&lt;$L557,IF($J557&amp;"-"&amp;$L557&lt;&gt;MID(constPunteggioForfait,FIND("-",constPunteggioForfait)+1,LEN(constPunteggioForfait))&amp;"-"&amp;LEFT(constPunteggioForfait,FIND("-",constPunteggioForfait)-1),1,0),0))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IF($J557+$L557=0,,IF($L557&lt;$J557,IF($J557&amp;"-"&amp;$L557=constPunteggioForfait,1,0),0))</f>
        <v/>
      </c>
      <c r="W557" s="67">
        <f>IF($J557+$L557=0,,IF($L557&lt;$J557,IF($J557&amp;"-"&amp;$L557&lt;&gt;constPunteggioForfait,1,0),0))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"&amp;IFERROR(INDEX(Campionato!$E$14:$E$53,MATCH($C557,Campionato!$B$14:$B$53,0)),"?")&amp;"]")</f>
        <v/>
      </c>
    </row>
    <row r="558" ht="16" customHeight="1">
      <c r="A558" s="141" t="n"/>
      <c r="B558" s="69">
        <f>IF(I558="","",HYPERLINK(VLOOKUP(I558,areaCampiSquadre,3,FALSE),VLOOKUP(I558,areaCampiSquadre,2,FALSE)))</f>
        <v/>
      </c>
      <c r="C558" s="9" t="n"/>
      <c r="D558" s="9" t="n"/>
      <c r="E558" s="9" t="n"/>
      <c r="F558" s="9" t="n"/>
      <c r="G558" s="9" t="n"/>
      <c r="H558" s="10" t="n"/>
      <c r="I558" s="62" t="inlineStr">
        <is>
          <t>B15</t>
        </is>
      </c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IF(C560="","",IFERROR(VLOOKUP(C560,areaNomiBreviSquadre,7,FALSE),""))</f>
        <v/>
      </c>
      <c r="C560" s="62" t="inlineStr">
        <is>
          <t>B19</t>
        </is>
      </c>
      <c r="D560" s="61">
        <f>IF(E560="","",IFERROR(VLOOKUP(E560,areaNomiBreviSquadre,7,FALSE),""))</f>
        <v/>
      </c>
      <c r="E560" s="62" t="inlineStr">
        <is>
          <t>B17</t>
        </is>
      </c>
      <c r="F560" s="63" t="n">
        <v>46432.60416666666</v>
      </c>
      <c r="G560" s="9" t="n"/>
      <c r="H560" s="9" t="n"/>
      <c r="I560" s="10" t="n"/>
      <c r="J560" s="65" t="n">
        <v>45</v>
      </c>
      <c r="K560" s="66" t="inlineStr">
        <is>
          <t>-</t>
        </is>
      </c>
      <c r="L560" s="65" t="n">
        <v>23</v>
      </c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IF($J560+$L560=0,,IF($J560&lt;$L560,IF($J560&amp;"-"&amp;$L560=MID(constPunteggioForfait,FIND("-",constPunteggioForfait)+1,LEN(constPunteggioForfait))&amp;"-"&amp;LEFT(constPunteggioForfait,FIND("-",constPunteggioForfait)-1),1,0),0))</f>
        <v/>
      </c>
      <c r="P560" s="67">
        <f>IF($J560+$L560=0,,IF($J560&lt;$L560,IF($J560&amp;"-"&amp;$L560&lt;&gt;MID(constPunteggioForfait,FIND("-",constPunteggioForfait)+1,LEN(constPunteggioForfait))&amp;"-"&amp;LEFT(constPunteggioForfait,FIND("-",constPunteggioForfait)-1),1,0),0))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IF($J560+$L560=0,,IF($L560&lt;$J560,IF($J560&amp;"-"&amp;$L560=constPunteggioForfait,1,0),0))</f>
        <v/>
      </c>
      <c r="W560" s="67">
        <f>IF($J560+$L560=0,,IF($L560&lt;$J560,IF($J560&amp;"-"&amp;$L560&lt;&gt;constPunteggioForfait,1,0),0))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"&amp;IFERROR(INDEX(Campionato!$E$14:$E$53,MATCH($C560,Campionato!$B$14:$B$53,0)),"?")&amp;"]")</f>
        <v/>
      </c>
    </row>
    <row r="561" ht="16" customHeight="1">
      <c r="A561" s="141" t="n"/>
      <c r="B561" s="69">
        <f>IF(I561="","",HYPERLINK(VLOOKUP(I561,areaCampiSquadre,3,FALSE),VLOOKUP(I561,areaCampiSquadre,2,FALSE)))</f>
        <v/>
      </c>
      <c r="C561" s="9" t="n"/>
      <c r="D561" s="9" t="n"/>
      <c r="E561" s="9" t="n"/>
      <c r="F561" s="9" t="n"/>
      <c r="G561" s="9" t="n"/>
      <c r="H561" s="10" t="n"/>
      <c r="I561" s="62" t="inlineStr">
        <is>
          <t>B15</t>
        </is>
      </c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IF(C563="","",IFERROR(VLOOKUP(C563,areaNomiBreviSquadre,7,FALSE),""))</f>
        <v/>
      </c>
      <c r="C563" s="62" t="inlineStr">
        <is>
          <t>B14</t>
        </is>
      </c>
      <c r="D563" s="61">
        <f>IF(E563="","",IFERROR(VLOOKUP(E563,areaNomiBreviSquadre,7,FALSE),""))</f>
        <v/>
      </c>
      <c r="E563" s="62" t="inlineStr">
        <is>
          <t>B03</t>
        </is>
      </c>
      <c r="F563" s="63" t="n">
        <v>46432.66666666666</v>
      </c>
      <c r="G563" s="9" t="n"/>
      <c r="H563" s="9" t="n"/>
      <c r="I563" s="10" t="n"/>
      <c r="J563" s="65" t="n">
        <v>59</v>
      </c>
      <c r="K563" s="66" t="inlineStr">
        <is>
          <t>-</t>
        </is>
      </c>
      <c r="L563" s="65" t="n">
        <v>69</v>
      </c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IF($J563+$L563=0,,IF($J563&lt;$L563,IF($J563&amp;"-"&amp;$L563=MID(constPunteggioForfait,FIND("-",constPunteggioForfait)+1,LEN(constPunteggioForfait))&amp;"-"&amp;LEFT(constPunteggioForfait,FIND("-",constPunteggioForfait)-1),1,0),0))</f>
        <v/>
      </c>
      <c r="P563" s="67">
        <f>IF($J563+$L563=0,,IF($J563&lt;$L563,IF($J563&amp;"-"&amp;$L563&lt;&gt;MID(constPunteggioForfait,FIND("-",constPunteggioForfait)+1,LEN(constPunteggioForfait))&amp;"-"&amp;LEFT(constPunteggioForfait,FIND("-",constPunteggioForfait)-1),1,0),0))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IF($J563+$L563=0,,IF($L563&lt;$J563,IF($J563&amp;"-"&amp;$L563=constPunteggioForfait,1,0),0))</f>
        <v/>
      </c>
      <c r="W563" s="67">
        <f>IF($J563+$L563=0,,IF($L563&lt;$J563,IF($J563&amp;"-"&amp;$L563&lt;&gt;constPunteggioForfait,1,0),0))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"&amp;IFERROR(INDEX(Campionato!$E$14:$E$53,MATCH($C563,Campionato!$B$14:$B$53,0)),"?")&amp;"]")</f>
        <v/>
      </c>
    </row>
    <row r="564" ht="16" customHeight="1">
      <c r="A564" s="141" t="n"/>
      <c r="B564" s="69">
        <f>IF(I564="","",HYPERLINK(VLOOKUP(I564,areaCampiSquadre,3,FALSE),VLOOKUP(I564,areaCampiSquadre,2,FALSE)))</f>
        <v/>
      </c>
      <c r="C564" s="9" t="n"/>
      <c r="D564" s="9" t="n"/>
      <c r="E564" s="9" t="n"/>
      <c r="F564" s="9" t="n"/>
      <c r="G564" s="9" t="n"/>
      <c r="H564" s="10" t="n"/>
      <c r="I564" s="62" t="inlineStr">
        <is>
          <t>B15</t>
        </is>
      </c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IF(C566="","",IFERROR(VLOOKUP(C566,areaNomiBreviSquadre,7,FALSE),""))</f>
        <v/>
      </c>
      <c r="C566" s="62" t="inlineStr">
        <is>
          <t>B04</t>
        </is>
      </c>
      <c r="D566" s="61">
        <f>IF(E566="","",IFERROR(VLOOKUP(E566,areaNomiBreviSquadre,7,FALSE),""))</f>
        <v/>
      </c>
      <c r="E566" s="62" t="inlineStr">
        <is>
          <t>B13</t>
        </is>
      </c>
      <c r="F566" s="63" t="n">
        <v>46432.72916666666</v>
      </c>
      <c r="G566" s="9" t="n"/>
      <c r="H566" s="9" t="n"/>
      <c r="I566" s="10" t="n"/>
      <c r="J566" s="65" t="n">
        <v>26</v>
      </c>
      <c r="K566" s="66" t="inlineStr">
        <is>
          <t>-</t>
        </is>
      </c>
      <c r="L566" s="65" t="n">
        <v>48</v>
      </c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IF($J566+$L566=0,,IF($J566&lt;$L566,IF($J566&amp;"-"&amp;$L566=MID(constPunteggioForfait,FIND("-",constPunteggioForfait)+1,LEN(constPunteggioForfait))&amp;"-"&amp;LEFT(constPunteggioForfait,FIND("-",constPunteggioForfait)-1),1,0),0))</f>
        <v/>
      </c>
      <c r="P566" s="67">
        <f>IF($J566+$L566=0,,IF($J566&lt;$L566,IF($J566&amp;"-"&amp;$L566&lt;&gt;MID(constPunteggioForfait,FIND("-",constPunteggioForfait)+1,LEN(constPunteggioForfait))&amp;"-"&amp;LEFT(constPunteggioForfait,FIND("-",constPunteggioForfait)-1),1,0),0))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IF($J566+$L566=0,,IF($L566&lt;$J566,IF($J566&amp;"-"&amp;$L566=constPunteggioForfait,1,0),0))</f>
        <v/>
      </c>
      <c r="W566" s="67">
        <f>IF($J566+$L566=0,,IF($L566&lt;$J566,IF($J566&amp;"-"&amp;$L566&lt;&gt;constPunteggioForfait,1,0),0))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"&amp;IFERROR(INDEX(Campionato!$E$14:$E$53,MATCH($C566,Campionato!$B$14:$B$53,0)),"?")&amp;"]")</f>
        <v/>
      </c>
    </row>
    <row r="567" ht="16" customHeight="1">
      <c r="A567" s="141" t="n"/>
      <c r="B567" s="69">
        <f>IF(I567="","",HYPERLINK(VLOOKUP(I567,areaCampiSquadre,3,FALSE),VLOOKUP(I567,areaCampiSquadre,2,FALSE)))</f>
        <v/>
      </c>
      <c r="C567" s="9" t="n"/>
      <c r="D567" s="9" t="n"/>
      <c r="E567" s="9" t="n"/>
      <c r="F567" s="9" t="n"/>
      <c r="G567" s="9" t="n"/>
      <c r="H567" s="10" t="n"/>
      <c r="I567" s="62" t="inlineStr">
        <is>
          <t>B15</t>
        </is>
      </c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IF(C569="","",IFERROR(VLOOKUP(C569,areaNomiBreviSquadre,7,FALSE),""))</f>
        <v/>
      </c>
      <c r="C569" s="62" t="inlineStr">
        <is>
          <t>B16</t>
        </is>
      </c>
      <c r="D569" s="61">
        <f>IF(E569="","",IFERROR(VLOOKUP(E569,areaNomiBreviSquadre,7,FALSE),""))</f>
        <v/>
      </c>
      <c r="E569" s="62" t="inlineStr">
        <is>
          <t>B01</t>
        </is>
      </c>
      <c r="F569" s="63" t="n">
        <v>46432.39583333334</v>
      </c>
      <c r="G569" s="9" t="n"/>
      <c r="H569" s="9" t="n"/>
      <c r="I569" s="10" t="n"/>
      <c r="J569" s="65" t="n">
        <v>50</v>
      </c>
      <c r="K569" s="66" t="inlineStr">
        <is>
          <t>-</t>
        </is>
      </c>
      <c r="L569" s="65" t="n">
        <v>65</v>
      </c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IF($J569+$L569=0,,IF($J569&lt;$L569,IF($J569&amp;"-"&amp;$L569=MID(constPunteggioForfait,FIND("-",constPunteggioForfait)+1,LEN(constPunteggioForfait))&amp;"-"&amp;LEFT(constPunteggioForfait,FIND("-",constPunteggioForfait)-1),1,0),0))</f>
        <v/>
      </c>
      <c r="P569" s="67">
        <f>IF($J569+$L569=0,,IF($J569&lt;$L569,IF($J569&amp;"-"&amp;$L569&lt;&gt;MID(constPunteggioForfait,FIND("-",constPunteggioForfait)+1,LEN(constPunteggioForfait))&amp;"-"&amp;LEFT(constPunteggioForfait,FIND("-",constPunteggioForfait)-1),1,0),0))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IF($J569+$L569=0,,IF($L569&lt;$J569,IF($J569&amp;"-"&amp;$L569=constPunteggioForfait,1,0),0))</f>
        <v/>
      </c>
      <c r="W569" s="67">
        <f>IF($J569+$L569=0,,IF($L569&lt;$J569,IF($J569&amp;"-"&amp;$L569&lt;&gt;constPunteggioForfait,1,0),0))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"&amp;IFERROR(INDEX(Campionato!$E$14:$E$53,MATCH($C569,Campionato!$B$14:$B$53,0)),"?")&amp;"]")</f>
        <v/>
      </c>
    </row>
    <row r="570" ht="16" customHeight="1">
      <c r="A570" s="141" t="n"/>
      <c r="B570" s="69">
        <f>IF(I570="","",HYPERLINK(VLOOKUP(I570,areaCampiSquadre,3,FALSE),VLOOKUP(I570,areaCampiSquadre,2,FALSE)))</f>
        <v/>
      </c>
      <c r="C570" s="9" t="n"/>
      <c r="D570" s="9" t="n"/>
      <c r="E570" s="9" t="n"/>
      <c r="F570" s="9" t="n"/>
      <c r="G570" s="9" t="n"/>
      <c r="H570" s="10" t="n"/>
      <c r="I570" s="62" t="inlineStr">
        <is>
          <t>B16</t>
        </is>
      </c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IF(C572="","",IFERROR(VLOOKUP(C572,areaNomiBreviSquadre,7,FALSE),""))</f>
        <v/>
      </c>
      <c r="C572" s="62" t="inlineStr">
        <is>
          <t>B12</t>
        </is>
      </c>
      <c r="D572" s="61">
        <f>IF(E572="","",IFERROR(VLOOKUP(E572,areaNomiBreviSquadre,7,FALSE),""))</f>
        <v/>
      </c>
      <c r="E572" s="62" t="inlineStr">
        <is>
          <t>B05</t>
        </is>
      </c>
      <c r="F572" s="63" t="n">
        <v>46432.45833333334</v>
      </c>
      <c r="G572" s="9" t="n"/>
      <c r="H572" s="9" t="n"/>
      <c r="I572" s="10" t="n"/>
      <c r="J572" s="65" t="n">
        <v>50</v>
      </c>
      <c r="K572" s="66" t="inlineStr">
        <is>
          <t>-</t>
        </is>
      </c>
      <c r="L572" s="65" t="n">
        <v>58</v>
      </c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IF($J572+$L572=0,,IF($J572&lt;$L572,IF($J572&amp;"-"&amp;$L572=MID(constPunteggioForfait,FIND("-",constPunteggioForfait)+1,LEN(constPunteggioForfait))&amp;"-"&amp;LEFT(constPunteggioForfait,FIND("-",constPunteggioForfait)-1),1,0),0))</f>
        <v/>
      </c>
      <c r="P572" s="67">
        <f>IF($J572+$L572=0,,IF($J572&lt;$L572,IF($J572&amp;"-"&amp;$L572&lt;&gt;MID(constPunteggioForfait,FIND("-",constPunteggioForfait)+1,LEN(constPunteggioForfait))&amp;"-"&amp;LEFT(constPunteggioForfait,FIND("-",constPunteggioForfait)-1),1,0),0))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IF($J572+$L572=0,,IF($L572&lt;$J572,IF($J572&amp;"-"&amp;$L572=constPunteggioForfait,1,0),0))</f>
        <v/>
      </c>
      <c r="W572" s="67">
        <f>IF($J572+$L572=0,,IF($L572&lt;$J572,IF($J572&amp;"-"&amp;$L572&lt;&gt;constPunteggioForfait,1,0),0))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"&amp;IFERROR(INDEX(Campionato!$E$14:$E$53,MATCH($C572,Campionato!$B$14:$B$53,0)),"?")&amp;"]")</f>
        <v/>
      </c>
    </row>
    <row r="573" ht="16" customHeight="1">
      <c r="A573" s="141" t="n"/>
      <c r="B573" s="69">
        <f>IF(I573="","",HYPERLINK(VLOOKUP(I573,areaCampiSquadre,3,FALSE),VLOOKUP(I573,areaCampiSquadre,2,FALSE)))</f>
        <v/>
      </c>
      <c r="C573" s="9" t="n"/>
      <c r="D573" s="9" t="n"/>
      <c r="E573" s="9" t="n"/>
      <c r="F573" s="9" t="n"/>
      <c r="G573" s="9" t="n"/>
      <c r="H573" s="10" t="n"/>
      <c r="I573" s="62" t="inlineStr">
        <is>
          <t>B16</t>
        </is>
      </c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IF(C575="","",IFERROR(VLOOKUP(C575,areaNomiBreviSquadre,7,FALSE),""))</f>
        <v/>
      </c>
      <c r="C575" s="62" t="inlineStr">
        <is>
          <t>B06</t>
        </is>
      </c>
      <c r="D575" s="61">
        <f>IF(E575="","",IFERROR(VLOOKUP(E575,areaNomiBreviSquadre,7,FALSE),""))</f>
        <v/>
      </c>
      <c r="E575" s="62" t="inlineStr">
        <is>
          <t>B11</t>
        </is>
      </c>
      <c r="F575" s="63" t="n">
        <v>46432.60416666666</v>
      </c>
      <c r="G575" s="9" t="n"/>
      <c r="H575" s="9" t="n"/>
      <c r="I575" s="10" t="n"/>
      <c r="J575" s="65" t="n">
        <v>44</v>
      </c>
      <c r="K575" s="66" t="inlineStr">
        <is>
          <t>-</t>
        </is>
      </c>
      <c r="L575" s="65" t="n">
        <v>37</v>
      </c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IF($J575+$L575=0,,IF($J575&lt;$L575,IF($J575&amp;"-"&amp;$L575=MID(constPunteggioForfait,FIND("-",constPunteggioForfait)+1,LEN(constPunteggioForfait))&amp;"-"&amp;LEFT(constPunteggioForfait,FIND("-",constPunteggioForfait)-1),1,0),0))</f>
        <v/>
      </c>
      <c r="P575" s="67">
        <f>IF($J575+$L575=0,,IF($J575&lt;$L575,IF($J575&amp;"-"&amp;$L575&lt;&gt;MID(constPunteggioForfait,FIND("-",constPunteggioForfait)+1,LEN(constPunteggioForfait))&amp;"-"&amp;LEFT(constPunteggioForfait,FIND("-",constPunteggioForfait)-1),1,0),0))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IF($J575+$L575=0,,IF($L575&lt;$J575,IF($J575&amp;"-"&amp;$L575=constPunteggioForfait,1,0),0))</f>
        <v/>
      </c>
      <c r="W575" s="67">
        <f>IF($J575+$L575=0,,IF($L575&lt;$J575,IF($J575&amp;"-"&amp;$L575&lt;&gt;constPunteggioForfait,1,0),0))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"&amp;IFERROR(INDEX(Campionato!$E$14:$E$53,MATCH($C575,Campionato!$B$14:$B$53,0)),"?")&amp;"]")</f>
        <v/>
      </c>
    </row>
    <row r="576" ht="16" customHeight="1">
      <c r="A576" s="141" t="n"/>
      <c r="B576" s="69">
        <f>IF(I576="","",HYPERLINK(VLOOKUP(I576,areaCampiSquadre,3,FALSE),VLOOKUP(I576,areaCampiSquadre,2,FALSE)))</f>
        <v/>
      </c>
      <c r="C576" s="9" t="n"/>
      <c r="D576" s="9" t="n"/>
      <c r="E576" s="9" t="n"/>
      <c r="F576" s="9" t="n"/>
      <c r="G576" s="9" t="n"/>
      <c r="H576" s="10" t="n"/>
      <c r="I576" s="62" t="inlineStr">
        <is>
          <t>B16</t>
        </is>
      </c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IF(C578="","",IFERROR(VLOOKUP(C578,areaNomiBreviSquadre,7,FALSE),""))</f>
        <v/>
      </c>
      <c r="C578" s="62" t="inlineStr">
        <is>
          <t>B10</t>
        </is>
      </c>
      <c r="D578" s="61">
        <f>IF(E578="","",IFERROR(VLOOKUP(E578,areaNomiBreviSquadre,7,FALSE),""))</f>
        <v/>
      </c>
      <c r="E578" s="62" t="inlineStr">
        <is>
          <t>B07</t>
        </is>
      </c>
      <c r="F578" s="63" t="n">
        <v>46432.66666666666</v>
      </c>
      <c r="G578" s="9" t="n"/>
      <c r="H578" s="9" t="n"/>
      <c r="I578" s="10" t="n"/>
      <c r="J578" s="65" t="n">
        <v>73</v>
      </c>
      <c r="K578" s="66" t="inlineStr">
        <is>
          <t>-</t>
        </is>
      </c>
      <c r="L578" s="65" t="n">
        <v>66</v>
      </c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IF($J578+$L578=0,,IF($J578&lt;$L578,IF($J578&amp;"-"&amp;$L578=MID(constPunteggioForfait,FIND("-",constPunteggioForfait)+1,LEN(constPunteggioForfait))&amp;"-"&amp;LEFT(constPunteggioForfait,FIND("-",constPunteggioForfait)-1),1,0),0))</f>
        <v/>
      </c>
      <c r="P578" s="67">
        <f>IF($J578+$L578=0,,IF($J578&lt;$L578,IF($J578&amp;"-"&amp;$L578&lt;&gt;MID(constPunteggioForfait,FIND("-",constPunteggioForfait)+1,LEN(constPunteggioForfait))&amp;"-"&amp;LEFT(constPunteggioForfait,FIND("-",constPunteggioForfait)-1),1,0),0))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IF($J578+$L578=0,,IF($L578&lt;$J578,IF($J578&amp;"-"&amp;$L578=constPunteggioForfait,1,0),0))</f>
        <v/>
      </c>
      <c r="W578" s="67">
        <f>IF($J578+$L578=0,,IF($L578&lt;$J578,IF($J578&amp;"-"&amp;$L578&lt;&gt;constPunteggioForfait,1,0),0))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"&amp;IFERROR(INDEX(Campionato!$E$14:$E$53,MATCH($C578,Campionato!$B$14:$B$53,0)),"?")&amp;"]")</f>
        <v/>
      </c>
    </row>
    <row r="579" ht="16" customHeight="1">
      <c r="A579" s="141" t="n"/>
      <c r="B579" s="69">
        <f>IF(I579="","",HYPERLINK(VLOOKUP(I579,areaCampiSquadre,3,FALSE),VLOOKUP(I579,areaCampiSquadre,2,FALSE)))</f>
        <v/>
      </c>
      <c r="C579" s="9" t="n"/>
      <c r="D579" s="9" t="n"/>
      <c r="E579" s="9" t="n"/>
      <c r="F579" s="9" t="n"/>
      <c r="G579" s="9" t="n"/>
      <c r="H579" s="10" t="n"/>
      <c r="I579" s="62" t="inlineStr">
        <is>
          <t>B16</t>
        </is>
      </c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IF(C581="","",IFERROR(VLOOKUP(C581,areaNomiBreviSquadre,7,FALSE),""))</f>
        <v/>
      </c>
      <c r="C581" s="62" t="inlineStr">
        <is>
          <t>B08</t>
        </is>
      </c>
      <c r="D581" s="61">
        <f>IF(E581="","",IFERROR(VLOOKUP(E581,areaNomiBreviSquadre,7,FALSE),""))</f>
        <v/>
      </c>
      <c r="E581" s="62" t="inlineStr">
        <is>
          <t>B09</t>
        </is>
      </c>
      <c r="F581" s="63" t="n">
        <v>46432.72916666666</v>
      </c>
      <c r="G581" s="9" t="n"/>
      <c r="H581" s="9" t="n"/>
      <c r="I581" s="10" t="n"/>
      <c r="J581" s="65" t="n">
        <v>79</v>
      </c>
      <c r="K581" s="66" t="inlineStr">
        <is>
          <t>-</t>
        </is>
      </c>
      <c r="L581" s="65" t="n">
        <v>74</v>
      </c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IF($J581+$L581=0,,IF($J581&lt;$L581,IF($J581&amp;"-"&amp;$L581=MID(constPunteggioForfait,FIND("-",constPunteggioForfait)+1,LEN(constPunteggioForfait))&amp;"-"&amp;LEFT(constPunteggioForfait,FIND("-",constPunteggioForfait)-1),1,0),0))</f>
        <v/>
      </c>
      <c r="P581" s="67">
        <f>IF($J581+$L581=0,,IF($J581&lt;$L581,IF($J581&amp;"-"&amp;$L581&lt;&gt;MID(constPunteggioForfait,FIND("-",constPunteggioForfait)+1,LEN(constPunteggioForfait))&amp;"-"&amp;LEFT(constPunteggioForfait,FIND("-",constPunteggioForfait)-1),1,0),0))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IF($J581+$L581=0,,IF($L581&lt;$J581,IF($J581&amp;"-"&amp;$L581=constPunteggioForfait,1,0),0))</f>
        <v/>
      </c>
      <c r="W581" s="67">
        <f>IF($J581+$L581=0,,IF($L581&lt;$J581,IF($J581&amp;"-"&amp;$L581&lt;&gt;constPunteggioForfait,1,0),0))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"&amp;IFERROR(INDEX(Campionato!$E$14:$E$53,MATCH($C581,Campionato!$B$14:$B$53,0)),"?")&amp;"]")</f>
        <v/>
      </c>
    </row>
    <row r="582" ht="16" customHeight="1">
      <c r="A582" s="141" t="n"/>
      <c r="B582" s="69">
        <f>IF(I582="","",HYPERLINK(VLOOKUP(I582,areaCampiSquadre,3,FALSE),VLOOKUP(I582,areaCampiSquadre,2,FALSE)))</f>
        <v/>
      </c>
      <c r="C582" s="9" t="n"/>
      <c r="D582" s="9" t="n"/>
      <c r="E582" s="9" t="n"/>
      <c r="F582" s="9" t="n"/>
      <c r="G582" s="9" t="n"/>
      <c r="H582" s="10" t="n"/>
      <c r="I582" s="62" t="inlineStr">
        <is>
          <t>B16</t>
        </is>
      </c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IF(C586="","",IFERROR(VLOOKUP(C586,areaNomiBreviSquadre,7,FALSE),""))</f>
        <v/>
      </c>
      <c r="C586" s="62" t="inlineStr">
        <is>
          <t>B02</t>
        </is>
      </c>
      <c r="D586" s="61">
        <f>IF(E586="","",IFERROR(VLOOKUP(E586,areaNomiBreviSquadre,7,FALSE),""))</f>
        <v/>
      </c>
      <c r="E586" s="62" t="inlineStr">
        <is>
          <t>B17</t>
        </is>
      </c>
      <c r="F586" s="63" t="n">
        <v>46439.39583333334</v>
      </c>
      <c r="G586" s="9" t="n"/>
      <c r="H586" s="9" t="n"/>
      <c r="I586" s="10" t="n"/>
      <c r="J586" s="65" t="n">
        <v>62</v>
      </c>
      <c r="K586" s="66" t="inlineStr">
        <is>
          <t>-</t>
        </is>
      </c>
      <c r="L586" s="65" t="n">
        <v>55</v>
      </c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IF($J586+$L586=0,,IF($J586&lt;$L586,IF($J586&amp;"-"&amp;$L586=MID(constPunteggioForfait,FIND("-",constPunteggioForfait)+1,LEN(constPunteggioForfait))&amp;"-"&amp;LEFT(constPunteggioForfait,FIND("-",constPunteggioForfait)-1),1,0),0))</f>
        <v/>
      </c>
      <c r="P586" s="67">
        <f>IF($J586+$L586=0,,IF($J586&lt;$L586,IF($J586&amp;"-"&amp;$L586&lt;&gt;MID(constPunteggioForfait,FIND("-",constPunteggioForfait)+1,LEN(constPunteggioForfait))&amp;"-"&amp;LEFT(constPunteggioForfait,FIND("-",constPunteggioForfait)-1),1,0),0))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IF($J586+$L586=0,,IF($L586&lt;$J586,IF($J586&amp;"-"&amp;$L586=constPunteggioForfait,1,0),0))</f>
        <v/>
      </c>
      <c r="W586" s="67">
        <f>IF($J586+$L586=0,,IF($L586&lt;$J586,IF($J586&amp;"-"&amp;$L586&lt;&gt;constPunteggioForfait,1,0),0))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"&amp;IFERROR(INDEX(Campionato!$E$14:$E$53,MATCH($C586,Campionato!$B$14:$B$53,0)),"?")&amp;"]")</f>
        <v/>
      </c>
    </row>
    <row r="587" ht="16" customHeight="1">
      <c r="A587" s="141" t="n"/>
      <c r="B587" s="69">
        <f>IF(I587="","",HYPERLINK(VLOOKUP(I587,areaCampiSquadre,3,FALSE),VLOOKUP(I587,areaCampiSquadre,2,FALSE)))</f>
        <v/>
      </c>
      <c r="C587" s="9" t="n"/>
      <c r="D587" s="9" t="n"/>
      <c r="E587" s="9" t="n"/>
      <c r="F587" s="9" t="n"/>
      <c r="G587" s="9" t="n"/>
      <c r="H587" s="10" t="n"/>
      <c r="I587" s="62" t="inlineStr">
        <is>
          <t>B17</t>
        </is>
      </c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IF(C589="","",IFERROR(VLOOKUP(C589,areaNomiBreviSquadre,7,FALSE),""))</f>
        <v/>
      </c>
      <c r="C589" s="62" t="inlineStr">
        <is>
          <t>B19</t>
        </is>
      </c>
      <c r="D589" s="61">
        <f>IF(E589="","",IFERROR(VLOOKUP(E589,areaNomiBreviSquadre,7,FALSE),""))</f>
        <v/>
      </c>
      <c r="E589" s="62" t="inlineStr">
        <is>
          <t>B20</t>
        </is>
      </c>
      <c r="F589" s="63" t="n">
        <v>46439.45833333334</v>
      </c>
      <c r="G589" s="9" t="n"/>
      <c r="H589" s="9" t="n"/>
      <c r="I589" s="10" t="n"/>
      <c r="J589" s="65" t="n">
        <v>55</v>
      </c>
      <c r="K589" s="66" t="inlineStr">
        <is>
          <t>-</t>
        </is>
      </c>
      <c r="L589" s="65" t="n">
        <v>56</v>
      </c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IF($J589+$L589=0,,IF($J589&lt;$L589,IF($J589&amp;"-"&amp;$L589=MID(constPunteggioForfait,FIND("-",constPunteggioForfait)+1,LEN(constPunteggioForfait))&amp;"-"&amp;LEFT(constPunteggioForfait,FIND("-",constPunteggioForfait)-1),1,0),0))</f>
        <v/>
      </c>
      <c r="P589" s="67">
        <f>IF($J589+$L589=0,,IF($J589&lt;$L589,IF($J589&amp;"-"&amp;$L589&lt;&gt;MID(constPunteggioForfait,FIND("-",constPunteggioForfait)+1,LEN(constPunteggioForfait))&amp;"-"&amp;LEFT(constPunteggioForfait,FIND("-",constPunteggioForfait)-1),1,0),0))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IF($J589+$L589=0,,IF($L589&lt;$J589,IF($J589&amp;"-"&amp;$L589=constPunteggioForfait,1,0),0))</f>
        <v/>
      </c>
      <c r="W589" s="67">
        <f>IF($J589+$L589=0,,IF($L589&lt;$J589,IF($J589&amp;"-"&amp;$L589&lt;&gt;constPunteggioForfait,1,0),0))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"&amp;IFERROR(INDEX(Campionato!$E$14:$E$53,MATCH($C589,Campionato!$B$14:$B$53,0)),"?")&amp;"]")</f>
        <v/>
      </c>
    </row>
    <row r="590" ht="16" customHeight="1">
      <c r="A590" s="141" t="n"/>
      <c r="B590" s="69">
        <f>IF(I590="","",HYPERLINK(VLOOKUP(I590,areaCampiSquadre,3,FALSE),VLOOKUP(I590,areaCampiSquadre,2,FALSE)))</f>
        <v/>
      </c>
      <c r="C590" s="9" t="n"/>
      <c r="D590" s="9" t="n"/>
      <c r="E590" s="9" t="n"/>
      <c r="F590" s="9" t="n"/>
      <c r="G590" s="9" t="n"/>
      <c r="H590" s="10" t="n"/>
      <c r="I590" s="62" t="inlineStr">
        <is>
          <t>B17</t>
        </is>
      </c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IF(C592="","",IFERROR(VLOOKUP(C592,areaNomiBreviSquadre,7,FALSE),""))</f>
        <v/>
      </c>
      <c r="C592" s="62" t="inlineStr">
        <is>
          <t>B16</t>
        </is>
      </c>
      <c r="D592" s="61">
        <f>IF(E592="","",IFERROR(VLOOKUP(E592,areaNomiBreviSquadre,7,FALSE),""))</f>
        <v/>
      </c>
      <c r="E592" s="62" t="inlineStr">
        <is>
          <t>B03</t>
        </is>
      </c>
      <c r="F592" s="63" t="n">
        <v>46439.60416666666</v>
      </c>
      <c r="G592" s="9" t="n"/>
      <c r="H592" s="9" t="n"/>
      <c r="I592" s="10" t="n"/>
      <c r="J592" s="65" t="n">
        <v>53</v>
      </c>
      <c r="K592" s="66" t="inlineStr">
        <is>
          <t>-</t>
        </is>
      </c>
      <c r="L592" s="65" t="n">
        <v>74</v>
      </c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IF($J592+$L592=0,,IF($J592&lt;$L592,IF($J592&amp;"-"&amp;$L592=MID(constPunteggioForfait,FIND("-",constPunteggioForfait)+1,LEN(constPunteggioForfait))&amp;"-"&amp;LEFT(constPunteggioForfait,FIND("-",constPunteggioForfait)-1),1,0),0))</f>
        <v/>
      </c>
      <c r="P592" s="67">
        <f>IF($J592+$L592=0,,IF($J592&lt;$L592,IF($J592&amp;"-"&amp;$L592&lt;&gt;MID(constPunteggioForfait,FIND("-",constPunteggioForfait)+1,LEN(constPunteggioForfait))&amp;"-"&amp;LEFT(constPunteggioForfait,FIND("-",constPunteggioForfait)-1),1,0),0))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IF($J592+$L592=0,,IF($L592&lt;$J592,IF($J592&amp;"-"&amp;$L592=constPunteggioForfait,1,0),0))</f>
        <v/>
      </c>
      <c r="W592" s="67">
        <f>IF($J592+$L592=0,,IF($L592&lt;$J592,IF($J592&amp;"-"&amp;$L592&lt;&gt;constPunteggioForfait,1,0),0))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"&amp;IFERROR(INDEX(Campionato!$E$14:$E$53,MATCH($C592,Campionato!$B$14:$B$53,0)),"?")&amp;"]")</f>
        <v/>
      </c>
    </row>
    <row r="593" ht="16" customHeight="1">
      <c r="A593" s="141" t="n"/>
      <c r="B593" s="69">
        <f>IF(I593="","",HYPERLINK(VLOOKUP(I593,areaCampiSquadre,3,FALSE),VLOOKUP(I593,areaCampiSquadre,2,FALSE)))</f>
        <v/>
      </c>
      <c r="C593" s="9" t="n"/>
      <c r="D593" s="9" t="n"/>
      <c r="E593" s="9" t="n"/>
      <c r="F593" s="9" t="n"/>
      <c r="G593" s="9" t="n"/>
      <c r="H593" s="10" t="n"/>
      <c r="I593" s="62" t="inlineStr">
        <is>
          <t>B17</t>
        </is>
      </c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IF(C595="","",IFERROR(VLOOKUP(C595,areaNomiBreviSquadre,7,FALSE),""))</f>
        <v/>
      </c>
      <c r="C595" s="62" t="inlineStr">
        <is>
          <t>B04</t>
        </is>
      </c>
      <c r="D595" s="61">
        <f>IF(E595="","",IFERROR(VLOOKUP(E595,areaNomiBreviSquadre,7,FALSE),""))</f>
        <v/>
      </c>
      <c r="E595" s="62" t="inlineStr">
        <is>
          <t>B15</t>
        </is>
      </c>
      <c r="F595" s="63" t="n">
        <v>46439.66666666666</v>
      </c>
      <c r="G595" s="9" t="n"/>
      <c r="H595" s="9" t="n"/>
      <c r="I595" s="10" t="n"/>
      <c r="J595" s="65" t="n">
        <v>65</v>
      </c>
      <c r="K595" s="66" t="inlineStr">
        <is>
          <t>-</t>
        </is>
      </c>
      <c r="L595" s="65" t="n">
        <v>45</v>
      </c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IF($J595+$L595=0,,IF($J595&lt;$L595,IF($J595&amp;"-"&amp;$L595=MID(constPunteggioForfait,FIND("-",constPunteggioForfait)+1,LEN(constPunteggioForfait))&amp;"-"&amp;LEFT(constPunteggioForfait,FIND("-",constPunteggioForfait)-1),1,0),0))</f>
        <v/>
      </c>
      <c r="P595" s="67">
        <f>IF($J595+$L595=0,,IF($J595&lt;$L595,IF($J595&amp;"-"&amp;$L595&lt;&gt;MID(constPunteggioForfait,FIND("-",constPunteggioForfait)+1,LEN(constPunteggioForfait))&amp;"-"&amp;LEFT(constPunteggioForfait,FIND("-",constPunteggioForfait)-1),1,0),0))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IF($J595+$L595=0,,IF($L595&lt;$J595,IF($J595&amp;"-"&amp;$L595=constPunteggioForfait,1,0),0))</f>
        <v/>
      </c>
      <c r="W595" s="67">
        <f>IF($J595+$L595=0,,IF($L595&lt;$J595,IF($J595&amp;"-"&amp;$L595&lt;&gt;constPunteggioForfait,1,0),0))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"&amp;IFERROR(INDEX(Campionato!$E$14:$E$53,MATCH($C595,Campionato!$B$14:$B$53,0)),"?")&amp;"]")</f>
        <v/>
      </c>
    </row>
    <row r="596" ht="16" customHeight="1">
      <c r="A596" s="141" t="n"/>
      <c r="B596" s="69">
        <f>IF(I596="","",HYPERLINK(VLOOKUP(I596,areaCampiSquadre,3,FALSE),VLOOKUP(I596,areaCampiSquadre,2,FALSE)))</f>
        <v/>
      </c>
      <c r="C596" s="9" t="n"/>
      <c r="D596" s="9" t="n"/>
      <c r="E596" s="9" t="n"/>
      <c r="F596" s="9" t="n"/>
      <c r="G596" s="9" t="n"/>
      <c r="H596" s="10" t="n"/>
      <c r="I596" s="62" t="inlineStr">
        <is>
          <t>B17</t>
        </is>
      </c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IF(C598="","",IFERROR(VLOOKUP(C598,areaNomiBreviSquadre,7,FALSE),""))</f>
        <v/>
      </c>
      <c r="C598" s="62" t="inlineStr">
        <is>
          <t>B14</t>
        </is>
      </c>
      <c r="D598" s="61">
        <f>IF(E598="","",IFERROR(VLOOKUP(E598,areaNomiBreviSquadre,7,FALSE),""))</f>
        <v/>
      </c>
      <c r="E598" s="62" t="inlineStr">
        <is>
          <t>B05</t>
        </is>
      </c>
      <c r="F598" s="63" t="n">
        <v>46439.72916666666</v>
      </c>
      <c r="G598" s="9" t="n"/>
      <c r="H598" s="9" t="n"/>
      <c r="I598" s="10" t="n"/>
      <c r="J598" s="65" t="n">
        <v>70</v>
      </c>
      <c r="K598" s="66" t="inlineStr">
        <is>
          <t>-</t>
        </is>
      </c>
      <c r="L598" s="65" t="n">
        <v>61</v>
      </c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IF($J598+$L598=0,,IF($J598&lt;$L598,IF($J598&amp;"-"&amp;$L598=MID(constPunteggioForfait,FIND("-",constPunteggioForfait)+1,LEN(constPunteggioForfait))&amp;"-"&amp;LEFT(constPunteggioForfait,FIND("-",constPunteggioForfait)-1),1,0),0))</f>
        <v/>
      </c>
      <c r="P598" s="67">
        <f>IF($J598+$L598=0,,IF($J598&lt;$L598,IF($J598&amp;"-"&amp;$L598&lt;&gt;MID(constPunteggioForfait,FIND("-",constPunteggioForfait)+1,LEN(constPunteggioForfait))&amp;"-"&amp;LEFT(constPunteggioForfait,FIND("-",constPunteggioForfait)-1),1,0),0))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IF($J598+$L598=0,,IF($L598&lt;$J598,IF($J598&amp;"-"&amp;$L598=constPunteggioForfait,1,0),0))</f>
        <v/>
      </c>
      <c r="W598" s="67">
        <f>IF($J598+$L598=0,,IF($L598&lt;$J598,IF($J598&amp;"-"&amp;$L598&lt;&gt;constPunteggioForfait,1,0),0))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"&amp;IFERROR(INDEX(Campionato!$E$14:$E$53,MATCH($C598,Campionato!$B$14:$B$53,0)),"?")&amp;"]")</f>
        <v/>
      </c>
    </row>
    <row r="599" ht="16" customHeight="1">
      <c r="A599" s="141" t="n"/>
      <c r="B599" s="69">
        <f>IF(I599="","",HYPERLINK(VLOOKUP(I599,areaCampiSquadre,3,FALSE),VLOOKUP(I599,areaCampiSquadre,2,FALSE)))</f>
        <v/>
      </c>
      <c r="C599" s="9" t="n"/>
      <c r="D599" s="9" t="n"/>
      <c r="E599" s="9" t="n"/>
      <c r="F599" s="9" t="n"/>
      <c r="G599" s="9" t="n"/>
      <c r="H599" s="10" t="n"/>
      <c r="I599" s="62" t="inlineStr">
        <is>
          <t>B17</t>
        </is>
      </c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IF(C601="","",IFERROR(VLOOKUP(C601,areaNomiBreviSquadre,7,FALSE),""))</f>
        <v/>
      </c>
      <c r="C601" s="62" t="inlineStr">
        <is>
          <t>B18</t>
        </is>
      </c>
      <c r="D601" s="61">
        <f>IF(E601="","",IFERROR(VLOOKUP(E601,areaNomiBreviSquadre,7,FALSE),""))</f>
        <v/>
      </c>
      <c r="E601" s="62" t="inlineStr">
        <is>
          <t>B01</t>
        </is>
      </c>
      <c r="F601" s="63" t="n">
        <v>46439.39583333334</v>
      </c>
      <c r="G601" s="9" t="n"/>
      <c r="H601" s="9" t="n"/>
      <c r="I601" s="10" t="n"/>
      <c r="J601" s="65" t="n">
        <v>66</v>
      </c>
      <c r="K601" s="66" t="inlineStr">
        <is>
          <t>-</t>
        </is>
      </c>
      <c r="L601" s="65" t="n">
        <v>60</v>
      </c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IF($J601+$L601=0,,IF($J601&lt;$L601,IF($J601&amp;"-"&amp;$L601=MID(constPunteggioForfait,FIND("-",constPunteggioForfait)+1,LEN(constPunteggioForfait))&amp;"-"&amp;LEFT(constPunteggioForfait,FIND("-",constPunteggioForfait)-1),1,0),0))</f>
        <v/>
      </c>
      <c r="P601" s="67">
        <f>IF($J601+$L601=0,,IF($J601&lt;$L601,IF($J601&amp;"-"&amp;$L601&lt;&gt;MID(constPunteggioForfait,FIND("-",constPunteggioForfait)+1,LEN(constPunteggioForfait))&amp;"-"&amp;LEFT(constPunteggioForfait,FIND("-",constPunteggioForfait)-1),1,0),0))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IF($J601+$L601=0,,IF($L601&lt;$J601,IF($J601&amp;"-"&amp;$L601=constPunteggioForfait,1,0),0))</f>
        <v/>
      </c>
      <c r="W601" s="67">
        <f>IF($J601+$L601=0,,IF($L601&lt;$J601,IF($J601&amp;"-"&amp;$L601&lt;&gt;constPunteggioForfait,1,0),0))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"&amp;IFERROR(INDEX(Campionato!$E$14:$E$53,MATCH($C601,Campionato!$B$14:$B$53,0)),"?")&amp;"]")</f>
        <v/>
      </c>
    </row>
    <row r="602" ht="16" customHeight="1">
      <c r="A602" s="141" t="n"/>
      <c r="B602" s="69">
        <f>IF(I602="","",HYPERLINK(VLOOKUP(I602,areaCampiSquadre,3,FALSE),VLOOKUP(I602,areaCampiSquadre,2,FALSE)))</f>
        <v/>
      </c>
      <c r="C602" s="9" t="n"/>
      <c r="D602" s="9" t="n"/>
      <c r="E602" s="9" t="n"/>
      <c r="F602" s="9" t="n"/>
      <c r="G602" s="9" t="n"/>
      <c r="H602" s="10" t="n"/>
      <c r="I602" s="62" t="inlineStr">
        <is>
          <t>B18</t>
        </is>
      </c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IF(C604="","",IFERROR(VLOOKUP(C604,areaNomiBreviSquadre,7,FALSE),""))</f>
        <v/>
      </c>
      <c r="C604" s="62" t="inlineStr">
        <is>
          <t>B06</t>
        </is>
      </c>
      <c r="D604" s="61">
        <f>IF(E604="","",IFERROR(VLOOKUP(E604,areaNomiBreviSquadre,7,FALSE),""))</f>
        <v/>
      </c>
      <c r="E604" s="62" t="inlineStr">
        <is>
          <t>B13</t>
        </is>
      </c>
      <c r="F604" s="63" t="n">
        <v>46439.45833333334</v>
      </c>
      <c r="G604" s="9" t="n"/>
      <c r="H604" s="9" t="n"/>
      <c r="I604" s="10" t="n"/>
      <c r="J604" s="65" t="n">
        <v>24</v>
      </c>
      <c r="K604" s="66" t="inlineStr">
        <is>
          <t>-</t>
        </is>
      </c>
      <c r="L604" s="65" t="n">
        <v>45</v>
      </c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IF($J604+$L604=0,,IF($J604&lt;$L604,IF($J604&amp;"-"&amp;$L604=MID(constPunteggioForfait,FIND("-",constPunteggioForfait)+1,LEN(constPunteggioForfait))&amp;"-"&amp;LEFT(constPunteggioForfait,FIND("-",constPunteggioForfait)-1),1,0),0))</f>
        <v/>
      </c>
      <c r="P604" s="67">
        <f>IF($J604+$L604=0,,IF($J604&lt;$L604,IF($J604&amp;"-"&amp;$L604&lt;&gt;MID(constPunteggioForfait,FIND("-",constPunteggioForfait)+1,LEN(constPunteggioForfait))&amp;"-"&amp;LEFT(constPunteggioForfait,FIND("-",constPunteggioForfait)-1),1,0),0))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IF($J604+$L604=0,,IF($L604&lt;$J604,IF($J604&amp;"-"&amp;$L604=constPunteggioForfait,1,0),0))</f>
        <v/>
      </c>
      <c r="W604" s="67">
        <f>IF($J604+$L604=0,,IF($L604&lt;$J604,IF($J604&amp;"-"&amp;$L604&lt;&gt;constPunteggioForfait,1,0),0))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"&amp;IFERROR(INDEX(Campionato!$E$14:$E$53,MATCH($C604,Campionato!$B$14:$B$53,0)),"?")&amp;"]")</f>
        <v/>
      </c>
    </row>
    <row r="605" ht="16" customHeight="1">
      <c r="A605" s="141" t="n"/>
      <c r="B605" s="69">
        <f>IF(I605="","",HYPERLINK(VLOOKUP(I605,areaCampiSquadre,3,FALSE),VLOOKUP(I605,areaCampiSquadre,2,FALSE)))</f>
        <v/>
      </c>
      <c r="C605" s="9" t="n"/>
      <c r="D605" s="9" t="n"/>
      <c r="E605" s="9" t="n"/>
      <c r="F605" s="9" t="n"/>
      <c r="G605" s="9" t="n"/>
      <c r="H605" s="10" t="n"/>
      <c r="I605" s="62" t="inlineStr">
        <is>
          <t>B18</t>
        </is>
      </c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IF(C607="","",IFERROR(VLOOKUP(C607,areaNomiBreviSquadre,7,FALSE),""))</f>
        <v/>
      </c>
      <c r="C607" s="62" t="inlineStr">
        <is>
          <t>B12</t>
        </is>
      </c>
      <c r="D607" s="61">
        <f>IF(E607="","",IFERROR(VLOOKUP(E607,areaNomiBreviSquadre,7,FALSE),""))</f>
        <v/>
      </c>
      <c r="E607" s="62" t="inlineStr">
        <is>
          <t>B07</t>
        </is>
      </c>
      <c r="F607" s="63" t="n">
        <v>46439.60416666666</v>
      </c>
      <c r="G607" s="9" t="n"/>
      <c r="H607" s="9" t="n"/>
      <c r="I607" s="10" t="n"/>
      <c r="J607" s="65" t="n">
        <v>65</v>
      </c>
      <c r="K607" s="66" t="inlineStr">
        <is>
          <t>-</t>
        </is>
      </c>
      <c r="L607" s="65" t="n">
        <v>46</v>
      </c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IF($J607+$L607=0,,IF($J607&lt;$L607,IF($J607&amp;"-"&amp;$L607=MID(constPunteggioForfait,FIND("-",constPunteggioForfait)+1,LEN(constPunteggioForfait))&amp;"-"&amp;LEFT(constPunteggioForfait,FIND("-",constPunteggioForfait)-1),1,0),0))</f>
        <v/>
      </c>
      <c r="P607" s="67">
        <f>IF($J607+$L607=0,,IF($J607&lt;$L607,IF($J607&amp;"-"&amp;$L607&lt;&gt;MID(constPunteggioForfait,FIND("-",constPunteggioForfait)+1,LEN(constPunteggioForfait))&amp;"-"&amp;LEFT(constPunteggioForfait,FIND("-",constPunteggioForfait)-1),1,0),0))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IF($J607+$L607=0,,IF($L607&lt;$J607,IF($J607&amp;"-"&amp;$L607=constPunteggioForfait,1,0),0))</f>
        <v/>
      </c>
      <c r="W607" s="67">
        <f>IF($J607+$L607=0,,IF($L607&lt;$J607,IF($J607&amp;"-"&amp;$L607&lt;&gt;constPunteggioForfait,1,0),0))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"&amp;IFERROR(INDEX(Campionato!$E$14:$E$53,MATCH($C607,Campionato!$B$14:$B$53,0)),"?")&amp;"]")</f>
        <v/>
      </c>
    </row>
    <row r="608" ht="16" customHeight="1">
      <c r="A608" s="141" t="n"/>
      <c r="B608" s="69">
        <f>IF(I608="","",HYPERLINK(VLOOKUP(I608,areaCampiSquadre,3,FALSE),VLOOKUP(I608,areaCampiSquadre,2,FALSE)))</f>
        <v/>
      </c>
      <c r="C608" s="9" t="n"/>
      <c r="D608" s="9" t="n"/>
      <c r="E608" s="9" t="n"/>
      <c r="F608" s="9" t="n"/>
      <c r="G608" s="9" t="n"/>
      <c r="H608" s="10" t="n"/>
      <c r="I608" s="62" t="inlineStr">
        <is>
          <t>B18</t>
        </is>
      </c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IF(C610="","",IFERROR(VLOOKUP(C610,areaNomiBreviSquadre,7,FALSE),""))</f>
        <v/>
      </c>
      <c r="C610" s="62" t="inlineStr">
        <is>
          <t>B08</t>
        </is>
      </c>
      <c r="D610" s="61">
        <f>IF(E610="","",IFERROR(VLOOKUP(E610,areaNomiBreviSquadre,7,FALSE),""))</f>
        <v/>
      </c>
      <c r="E610" s="62" t="inlineStr">
        <is>
          <t>B11</t>
        </is>
      </c>
      <c r="F610" s="63" t="n">
        <v>46439.66666666666</v>
      </c>
      <c r="G610" s="9" t="n"/>
      <c r="H610" s="9" t="n"/>
      <c r="I610" s="10" t="n"/>
      <c r="J610" s="65" t="n">
        <v>50</v>
      </c>
      <c r="K610" s="66" t="inlineStr">
        <is>
          <t>-</t>
        </is>
      </c>
      <c r="L610" s="65" t="n">
        <v>37</v>
      </c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IF($J610+$L610=0,,IF($J610&lt;$L610,IF($J610&amp;"-"&amp;$L610=MID(constPunteggioForfait,FIND("-",constPunteggioForfait)+1,LEN(constPunteggioForfait))&amp;"-"&amp;LEFT(constPunteggioForfait,FIND("-",constPunteggioForfait)-1),1,0),0))</f>
        <v/>
      </c>
      <c r="P610" s="67">
        <f>IF($J610+$L610=0,,IF($J610&lt;$L610,IF($J610&amp;"-"&amp;$L610&lt;&gt;MID(constPunteggioForfait,FIND("-",constPunteggioForfait)+1,LEN(constPunteggioForfait))&amp;"-"&amp;LEFT(constPunteggioForfait,FIND("-",constPunteggioForfait)-1),1,0),0))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IF($J610+$L610=0,,IF($L610&lt;$J610,IF($J610&amp;"-"&amp;$L610=constPunteggioForfait,1,0),0))</f>
        <v/>
      </c>
      <c r="W610" s="67">
        <f>IF($J610+$L610=0,,IF($L610&lt;$J610,IF($J610&amp;"-"&amp;$L610&lt;&gt;constPunteggioForfait,1,0),0))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"&amp;IFERROR(INDEX(Campionato!$E$14:$E$53,MATCH($C610,Campionato!$B$14:$B$53,0)),"?")&amp;"]")</f>
        <v/>
      </c>
    </row>
    <row r="611" ht="16" customHeight="1">
      <c r="A611" s="141" t="n"/>
      <c r="B611" s="69">
        <f>IF(I611="","",HYPERLINK(VLOOKUP(I611,areaCampiSquadre,3,FALSE),VLOOKUP(I611,areaCampiSquadre,2,FALSE)))</f>
        <v/>
      </c>
      <c r="C611" s="9" t="n"/>
      <c r="D611" s="9" t="n"/>
      <c r="E611" s="9" t="n"/>
      <c r="F611" s="9" t="n"/>
      <c r="G611" s="9" t="n"/>
      <c r="H611" s="10" t="n"/>
      <c r="I611" s="62" t="inlineStr">
        <is>
          <t>B18</t>
        </is>
      </c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IF(C613="","",IFERROR(VLOOKUP(C613,areaNomiBreviSquadre,7,FALSE),""))</f>
        <v/>
      </c>
      <c r="C613" s="62" t="inlineStr">
        <is>
          <t>B10</t>
        </is>
      </c>
      <c r="D613" s="61">
        <f>IF(E613="","",IFERROR(VLOOKUP(E613,areaNomiBreviSquadre,7,FALSE),""))</f>
        <v/>
      </c>
      <c r="E613" s="62" t="inlineStr">
        <is>
          <t>B09</t>
        </is>
      </c>
      <c r="F613" s="63" t="n">
        <v>46439.72916666666</v>
      </c>
      <c r="G613" s="9" t="n"/>
      <c r="H613" s="9" t="n"/>
      <c r="I613" s="10" t="n"/>
      <c r="J613" s="65" t="n">
        <v>85</v>
      </c>
      <c r="K613" s="66" t="inlineStr">
        <is>
          <t>-</t>
        </is>
      </c>
      <c r="L613" s="65" t="n">
        <v>60</v>
      </c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IF($J613+$L613=0,,IF($J613&lt;$L613,IF($J613&amp;"-"&amp;$L613=MID(constPunteggioForfait,FIND("-",constPunteggioForfait)+1,LEN(constPunteggioForfait))&amp;"-"&amp;LEFT(constPunteggioForfait,FIND("-",constPunteggioForfait)-1),1,0),0))</f>
        <v/>
      </c>
      <c r="P613" s="67">
        <f>IF($J613+$L613=0,,IF($J613&lt;$L613,IF($J613&amp;"-"&amp;$L613&lt;&gt;MID(constPunteggioForfait,FIND("-",constPunteggioForfait)+1,LEN(constPunteggioForfait))&amp;"-"&amp;LEFT(constPunteggioForfait,FIND("-",constPunteggioForfait)-1),1,0),0))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IF($J613+$L613=0,,IF($L613&lt;$J613,IF($J613&amp;"-"&amp;$L613=constPunteggioForfait,1,0),0))</f>
        <v/>
      </c>
      <c r="W613" s="67">
        <f>IF($J613+$L613=0,,IF($L613&lt;$J613,IF($J613&amp;"-"&amp;$L613&lt;&gt;constPunteggioForfait,1,0),0))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"&amp;IFERROR(INDEX(Campionato!$E$14:$E$53,MATCH($C613,Campionato!$B$14:$B$53,0)),"?")&amp;"]")</f>
        <v/>
      </c>
    </row>
    <row r="614" ht="16" customHeight="1">
      <c r="A614" s="141" t="n"/>
      <c r="B614" s="69">
        <f>IF(I614="","",HYPERLINK(VLOOKUP(I614,areaCampiSquadre,3,FALSE),VLOOKUP(I614,areaCampiSquadre,2,FALSE)))</f>
        <v/>
      </c>
      <c r="C614" s="9" t="n"/>
      <c r="D614" s="9" t="n"/>
      <c r="E614" s="9" t="n"/>
      <c r="F614" s="9" t="n"/>
      <c r="G614" s="9" t="n"/>
      <c r="H614" s="10" t="n"/>
      <c r="I614" s="62" t="inlineStr">
        <is>
          <t>B18</t>
        </is>
      </c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55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""&amp;constNomeCampionato</f>
        <v/>
      </c>
      <c r="J1">
        <f>IFERROR(IMAGE(constLogo1),"")</f>
        <v/>
      </c>
      <c r="L1">
        <f>IFERROR(IMAGE(constLogo2),"")</f>
        <v/>
      </c>
    </row>
    <row r="2" ht="22" customHeight="1"/>
    <row r="3" ht="22" customHeight="1">
      <c r="A3" s="52">
        <f>"Classifiche di girone - Stagione "&amp;constStagionaCampionato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IFERROR(VLOOKUP($A9,areaCercaDatiPerPosizioneSquadre,2,FALSE),"("&amp;$A9&amp;")")</f>
        <v/>
      </c>
      <c r="C9" s="145">
        <f>IFERROR(VLOOKUP($A9,areaCercaDatiPerPosizioneSquadre,4,FALSE),"-")</f>
        <v/>
      </c>
      <c r="D9" s="12">
        <f>IFERROR(VLOOKUP($A9,areaCercaDatiPerPosizioneSquadre,5,FALSE),"-")</f>
        <v/>
      </c>
      <c r="E9" s="12">
        <f>IFERROR(VLOOKUP($A9,areaCercaDatiPerPosizioneSquadre,6,FALSE),"-")</f>
        <v/>
      </c>
      <c r="F9" s="12">
        <f>IFERROR(VLOOKUP($A9,areaCercaDatiPerPosizioneSquadre,7,FALSE),"-")</f>
        <v/>
      </c>
      <c r="G9" s="12">
        <f>IFERROR(VLOOKUP($A9,areaCercaDatiPerPosizioneSquadre,8,FALSE),"-")</f>
        <v/>
      </c>
      <c r="H9" s="12">
        <f>IFERROR(VLOOKUP($A9,areaCercaDatiPerPosizioneSquadre,9,FALSE),"-")</f>
        <v/>
      </c>
      <c r="I9" s="12">
        <f>IFERROR(VLOOKUP($A9,areaCercaDatiPerPosizioneSquadre,10,FALSE),"-")</f>
        <v/>
      </c>
      <c r="J9" s="12">
        <f>IFERROR(VLOOKUP($A9,areaCercaDatiPerPosizioneSquadre,11,FALSE),"-")</f>
        <v/>
      </c>
      <c r="K9" s="12">
        <f>IFERROR(VLOOKUP($A9,areaCercaDatiPerPosizioneSquadre,15,FALSE),"-")</f>
        <v/>
      </c>
      <c r="L9" s="18">
        <f>IFERROR(VLOOKUP($A9,areaCercaDatiPerPosizioneSquadre,16,FALSE),"-")</f>
        <v/>
      </c>
      <c r="M9" s="18">
        <f>IFERROR(VLOOKUP($A9,areaCercaDatiPerPosizioneSquadre,17,FALSE),"-")</f>
        <v/>
      </c>
    </row>
    <row r="10">
      <c r="A10" s="143" t="inlineStr">
        <is>
          <t>A2</t>
        </is>
      </c>
      <c r="B10" s="144">
        <f>IFERROR(VLOOKUP($A10,areaCercaDatiPerPosizioneSquadre,2,FALSE),"("&amp;$A10&amp;")")</f>
        <v/>
      </c>
      <c r="C10" s="145">
        <f>IFERROR(VLOOKUP($A10,areaCercaDatiPerPosizioneSquadre,4,FALSE),"-")</f>
        <v/>
      </c>
      <c r="D10" s="12">
        <f>IFERROR(VLOOKUP($A10,areaCercaDatiPerPosizioneSquadre,5,FALSE),"-")</f>
        <v/>
      </c>
      <c r="E10" s="12">
        <f>IFERROR(VLOOKUP($A10,areaCercaDatiPerPosizioneSquadre,6,FALSE),"-")</f>
        <v/>
      </c>
      <c r="F10" s="12">
        <f>IFERROR(VLOOKUP($A10,areaCercaDatiPerPosizioneSquadre,7,FALSE),"-")</f>
        <v/>
      </c>
      <c r="G10" s="12">
        <f>IFERROR(VLOOKUP($A10,areaCercaDatiPerPosizioneSquadre,8,FALSE),"-")</f>
        <v/>
      </c>
      <c r="H10" s="12">
        <f>IFERROR(VLOOKUP($A10,areaCercaDatiPerPosizioneSquadre,9,FALSE),"-")</f>
        <v/>
      </c>
      <c r="I10" s="12">
        <f>IFERROR(VLOOKUP($A10,areaCercaDatiPerPosizioneSquadre,10,FALSE),"-")</f>
        <v/>
      </c>
      <c r="J10" s="12">
        <f>IFERROR(VLOOKUP($A10,areaCercaDatiPerPosizioneSquadre,11,FALSE),"-")</f>
        <v/>
      </c>
      <c r="K10" s="12">
        <f>IFERROR(VLOOKUP($A10,areaCercaDatiPerPosizioneSquadre,15,FALSE),"-")</f>
        <v/>
      </c>
      <c r="L10" s="18">
        <f>IFERROR(VLOOKUP($A10,areaCercaDatiPerPosizioneSquadre,16,FALSE),"-")</f>
        <v/>
      </c>
      <c r="M10" s="18">
        <f>IFERROR(VLOOKUP($A10,areaCercaDatiPerPosizioneSquadre,17,FALSE),"-")</f>
        <v/>
      </c>
    </row>
    <row r="11">
      <c r="A11" s="143" t="inlineStr">
        <is>
          <t>A3</t>
        </is>
      </c>
      <c r="B11" s="144">
        <f>IFERROR(VLOOKUP($A11,areaCercaDatiPerPosizioneSquadre,2,FALSE),"("&amp;$A11&amp;")")</f>
        <v/>
      </c>
      <c r="C11" s="145">
        <f>IFERROR(VLOOKUP($A11,areaCercaDatiPerPosizioneSquadre,4,FALSE),"-")</f>
        <v/>
      </c>
      <c r="D11" s="12">
        <f>IFERROR(VLOOKUP($A11,areaCercaDatiPerPosizioneSquadre,5,FALSE),"-")</f>
        <v/>
      </c>
      <c r="E11" s="12">
        <f>IFERROR(VLOOKUP($A11,areaCercaDatiPerPosizioneSquadre,6,FALSE),"-")</f>
        <v/>
      </c>
      <c r="F11" s="12">
        <f>IFERROR(VLOOKUP($A11,areaCercaDatiPerPosizioneSquadre,7,FALSE),"-")</f>
        <v/>
      </c>
      <c r="G11" s="12">
        <f>IFERROR(VLOOKUP($A11,areaCercaDatiPerPosizioneSquadre,8,FALSE),"-")</f>
        <v/>
      </c>
      <c r="H11" s="12">
        <f>IFERROR(VLOOKUP($A11,areaCercaDatiPerPosizioneSquadre,9,FALSE),"-")</f>
        <v/>
      </c>
      <c r="I11" s="12">
        <f>IFERROR(VLOOKUP($A11,areaCercaDatiPerPosizioneSquadre,10,FALSE),"-")</f>
        <v/>
      </c>
      <c r="J11" s="12">
        <f>IFERROR(VLOOKUP($A11,areaCercaDatiPerPosizioneSquadre,11,FALSE),"-")</f>
        <v/>
      </c>
      <c r="K11" s="12">
        <f>IFERROR(VLOOKUP($A11,areaCercaDatiPerPosizioneSquadre,15,FALSE),"-")</f>
        <v/>
      </c>
      <c r="L11" s="18">
        <f>IFERROR(VLOOKUP($A11,areaCercaDatiPerPosizioneSquadre,16,FALSE),"-")</f>
        <v/>
      </c>
      <c r="M11" s="18">
        <f>IFERROR(VLOOKUP($A11,areaCercaDatiPerPosizioneSquadre,17,FALSE),"-")</f>
        <v/>
      </c>
    </row>
    <row r="12">
      <c r="A12" s="143" t="inlineStr">
        <is>
          <t>A4</t>
        </is>
      </c>
      <c r="B12" s="144">
        <f>IFERROR(VLOOKUP($A12,areaCercaDatiPerPosizioneSquadre,2,FALSE),"("&amp;$A12&amp;")")</f>
        <v/>
      </c>
      <c r="C12" s="145">
        <f>IFERROR(VLOOKUP($A12,areaCercaDatiPerPosizioneSquadre,4,FALSE),"-")</f>
        <v/>
      </c>
      <c r="D12" s="12">
        <f>IFERROR(VLOOKUP($A12,areaCercaDatiPerPosizioneSquadre,5,FALSE),"-")</f>
        <v/>
      </c>
      <c r="E12" s="12">
        <f>IFERROR(VLOOKUP($A12,areaCercaDatiPerPosizioneSquadre,6,FALSE),"-")</f>
        <v/>
      </c>
      <c r="F12" s="12">
        <f>IFERROR(VLOOKUP($A12,areaCercaDatiPerPosizioneSquadre,7,FALSE),"-")</f>
        <v/>
      </c>
      <c r="G12" s="12">
        <f>IFERROR(VLOOKUP($A12,areaCercaDatiPerPosizioneSquadre,8,FALSE),"-")</f>
        <v/>
      </c>
      <c r="H12" s="12">
        <f>IFERROR(VLOOKUP($A12,areaCercaDatiPerPosizioneSquadre,9,FALSE),"-")</f>
        <v/>
      </c>
      <c r="I12" s="12">
        <f>IFERROR(VLOOKUP($A12,areaCercaDatiPerPosizioneSquadre,10,FALSE),"-")</f>
        <v/>
      </c>
      <c r="J12" s="12">
        <f>IFERROR(VLOOKUP($A12,areaCercaDatiPerPosizioneSquadre,11,FALSE),"-")</f>
        <v/>
      </c>
      <c r="K12" s="12">
        <f>IFERROR(VLOOKUP($A12,areaCercaDatiPerPosizioneSquadre,15,FALSE),"-")</f>
        <v/>
      </c>
      <c r="L12" s="18">
        <f>IFERROR(VLOOKUP($A12,areaCercaDatiPerPosizioneSquadre,16,FALSE),"-")</f>
        <v/>
      </c>
      <c r="M12" s="18">
        <f>IFERROR(VLOOKUP($A12,areaCercaDatiPerPosizioneSquadre,17,FALSE),"-")</f>
        <v/>
      </c>
    </row>
    <row r="13">
      <c r="A13" s="143" t="inlineStr">
        <is>
          <t>A5</t>
        </is>
      </c>
      <c r="B13" s="17">
        <f>IFERROR(VLOOKUP($A13,areaCercaDatiPerPosizioneSquadre,2,FALSE),"("&amp;$A13&amp;")")</f>
        <v/>
      </c>
      <c r="C13" s="145">
        <f>IFERROR(VLOOKUP($A13,areaCercaDatiPerPosizioneSquadre,4,FALSE),"-")</f>
        <v/>
      </c>
      <c r="D13" s="12">
        <f>IFERROR(VLOOKUP($A13,areaCercaDatiPerPosizioneSquadre,5,FALSE),"-")</f>
        <v/>
      </c>
      <c r="E13" s="12">
        <f>IFERROR(VLOOKUP($A13,areaCercaDatiPerPosizioneSquadre,6,FALSE),"-")</f>
        <v/>
      </c>
      <c r="F13" s="12">
        <f>IFERROR(VLOOKUP($A13,areaCercaDatiPerPosizioneSquadre,7,FALSE),"-")</f>
        <v/>
      </c>
      <c r="G13" s="12">
        <f>IFERROR(VLOOKUP($A13,areaCercaDatiPerPosizioneSquadre,8,FALSE),"-")</f>
        <v/>
      </c>
      <c r="H13" s="12">
        <f>IFERROR(VLOOKUP($A13,areaCercaDatiPerPosizioneSquadre,9,FALSE),"-")</f>
        <v/>
      </c>
      <c r="I13" s="12">
        <f>IFERROR(VLOOKUP($A13,areaCercaDatiPerPosizioneSquadre,10,FALSE),"-")</f>
        <v/>
      </c>
      <c r="J13" s="12">
        <f>IFERROR(VLOOKUP($A13,areaCercaDatiPerPosizioneSquadre,11,FALSE),"-")</f>
        <v/>
      </c>
      <c r="K13" s="12">
        <f>IFERROR(VLOOKUP($A13,areaCercaDatiPerPosizioneSquadre,15,FALSE),"-")</f>
        <v/>
      </c>
      <c r="L13" s="18">
        <f>IFERROR(VLOOKUP($A13,areaCercaDatiPerPosizioneSquadre,16,FALSE),"-")</f>
        <v/>
      </c>
      <c r="M13" s="18">
        <f>IFERROR(VLOOKUP($A13,areaCercaDatiPerPosizioneSquadre,17,FALSE),"-")</f>
        <v/>
      </c>
    </row>
    <row r="14">
      <c r="A14" s="143" t="inlineStr">
        <is>
          <t>A6</t>
        </is>
      </c>
      <c r="B14" s="17">
        <f>IFERROR(VLOOKUP($A14,areaCercaDatiPerPosizioneSquadre,2,FALSE),"("&amp;$A14&amp;")")</f>
        <v/>
      </c>
      <c r="C14" s="145">
        <f>IFERROR(VLOOKUP($A14,areaCercaDatiPerPosizioneSquadre,4,FALSE),"-")</f>
        <v/>
      </c>
      <c r="D14" s="12">
        <f>IFERROR(VLOOKUP($A14,areaCercaDatiPerPosizioneSquadre,5,FALSE),"-")</f>
        <v/>
      </c>
      <c r="E14" s="12">
        <f>IFERROR(VLOOKUP($A14,areaCercaDatiPerPosizioneSquadre,6,FALSE),"-")</f>
        <v/>
      </c>
      <c r="F14" s="12">
        <f>IFERROR(VLOOKUP($A14,areaCercaDatiPerPosizioneSquadre,7,FALSE),"-")</f>
        <v/>
      </c>
      <c r="G14" s="12">
        <f>IFERROR(VLOOKUP($A14,areaCercaDatiPerPosizioneSquadre,8,FALSE),"-")</f>
        <v/>
      </c>
      <c r="H14" s="12">
        <f>IFERROR(VLOOKUP($A14,areaCercaDatiPerPosizioneSquadre,9,FALSE),"-")</f>
        <v/>
      </c>
      <c r="I14" s="12">
        <f>IFERROR(VLOOKUP($A14,areaCercaDatiPerPosizioneSquadre,10,FALSE),"-")</f>
        <v/>
      </c>
      <c r="J14" s="12">
        <f>IFERROR(VLOOKUP($A14,areaCercaDatiPerPosizioneSquadre,11,FALSE),"-")</f>
        <v/>
      </c>
      <c r="K14" s="12">
        <f>IFERROR(VLOOKUP($A14,areaCercaDatiPerPosizioneSquadre,15,FALSE),"-")</f>
        <v/>
      </c>
      <c r="L14" s="18">
        <f>IFERROR(VLOOKUP($A14,areaCercaDatiPerPosizioneSquadre,16,FALSE),"-")</f>
        <v/>
      </c>
      <c r="M14" s="18">
        <f>IFERROR(VLOOKUP($A14,areaCercaDatiPerPosizioneSquadre,17,FALSE),"-")</f>
        <v/>
      </c>
    </row>
    <row r="15">
      <c r="A15" s="143" t="inlineStr">
        <is>
          <t>A7</t>
        </is>
      </c>
      <c r="B15" s="17">
        <f>IFERROR(VLOOKUP($A15,areaCercaDatiPerPosizioneSquadre,2,FALSE),"("&amp;$A15&amp;")")</f>
        <v/>
      </c>
      <c r="C15" s="145">
        <f>IFERROR(VLOOKUP($A15,areaCercaDatiPerPosizioneSquadre,4,FALSE),"-")</f>
        <v/>
      </c>
      <c r="D15" s="12">
        <f>IFERROR(VLOOKUP($A15,areaCercaDatiPerPosizioneSquadre,5,FALSE),"-")</f>
        <v/>
      </c>
      <c r="E15" s="12">
        <f>IFERROR(VLOOKUP($A15,areaCercaDatiPerPosizioneSquadre,6,FALSE),"-")</f>
        <v/>
      </c>
      <c r="F15" s="12">
        <f>IFERROR(VLOOKUP($A15,areaCercaDatiPerPosizioneSquadre,7,FALSE),"-")</f>
        <v/>
      </c>
      <c r="G15" s="12">
        <f>IFERROR(VLOOKUP($A15,areaCercaDatiPerPosizioneSquadre,8,FALSE),"-")</f>
        <v/>
      </c>
      <c r="H15" s="12">
        <f>IFERROR(VLOOKUP($A15,areaCercaDatiPerPosizioneSquadre,9,FALSE),"-")</f>
        <v/>
      </c>
      <c r="I15" s="12">
        <f>IFERROR(VLOOKUP($A15,areaCercaDatiPerPosizioneSquadre,10,FALSE),"-")</f>
        <v/>
      </c>
      <c r="J15" s="12">
        <f>IFERROR(VLOOKUP($A15,areaCercaDatiPerPosizioneSquadre,11,FALSE),"-")</f>
        <v/>
      </c>
      <c r="K15" s="12">
        <f>IFERROR(VLOOKUP($A15,areaCercaDatiPerPosizioneSquadre,15,FALSE),"-")</f>
        <v/>
      </c>
      <c r="L15" s="18">
        <f>IFERROR(VLOOKUP($A15,areaCercaDatiPerPosizioneSquadre,16,FALSE),"-")</f>
        <v/>
      </c>
      <c r="M15" s="18">
        <f>IFERROR(VLOOKUP($A15,areaCercaDatiPerPosizioneSquadre,17,FALSE),"-")</f>
        <v/>
      </c>
    </row>
    <row r="16">
      <c r="A16" s="143" t="inlineStr">
        <is>
          <t>A8</t>
        </is>
      </c>
      <c r="B16" s="17">
        <f>IFERROR(VLOOKUP($A16,areaCercaDatiPerPosizioneSquadre,2,FALSE),"("&amp;$A16&amp;")")</f>
        <v/>
      </c>
      <c r="C16" s="145">
        <f>IFERROR(VLOOKUP($A16,areaCercaDatiPerPosizioneSquadre,4,FALSE),"-")</f>
        <v/>
      </c>
      <c r="D16" s="12">
        <f>IFERROR(VLOOKUP($A16,areaCercaDatiPerPosizioneSquadre,5,FALSE),"-")</f>
        <v/>
      </c>
      <c r="E16" s="12">
        <f>IFERROR(VLOOKUP($A16,areaCercaDatiPerPosizioneSquadre,6,FALSE),"-")</f>
        <v/>
      </c>
      <c r="F16" s="12">
        <f>IFERROR(VLOOKUP($A16,areaCercaDatiPerPosizioneSquadre,7,FALSE),"-")</f>
        <v/>
      </c>
      <c r="G16" s="12">
        <f>IFERROR(VLOOKUP($A16,areaCercaDatiPerPosizioneSquadre,8,FALSE),"-")</f>
        <v/>
      </c>
      <c r="H16" s="12">
        <f>IFERROR(VLOOKUP($A16,areaCercaDatiPerPosizioneSquadre,9,FALSE),"-")</f>
        <v/>
      </c>
      <c r="I16" s="12">
        <f>IFERROR(VLOOKUP($A16,areaCercaDatiPerPosizioneSquadre,10,FALSE),"-")</f>
        <v/>
      </c>
      <c r="J16" s="12">
        <f>IFERROR(VLOOKUP($A16,areaCercaDatiPerPosizioneSquadre,11,FALSE),"-")</f>
        <v/>
      </c>
      <c r="K16" s="12">
        <f>IFERROR(VLOOKUP($A16,areaCercaDatiPerPosizioneSquadre,15,FALSE),"-")</f>
        <v/>
      </c>
      <c r="L16" s="18">
        <f>IFERROR(VLOOKUP($A16,areaCercaDatiPerPosizioneSquadre,16,FALSE),"-")</f>
        <v/>
      </c>
      <c r="M16" s="18">
        <f>IFERROR(VLOOKUP($A16,areaCercaDatiPerPosizioneSquadre,17,FALSE),"-")</f>
        <v/>
      </c>
    </row>
    <row r="17">
      <c r="A17" s="143" t="inlineStr">
        <is>
          <t>A9</t>
        </is>
      </c>
      <c r="B17" s="17">
        <f>IFERROR(VLOOKUP($A17,areaCercaDatiPerPosizioneSquadre,2,FALSE),"("&amp;$A17&amp;")")</f>
        <v/>
      </c>
      <c r="C17" s="145">
        <f>IFERROR(VLOOKUP($A17,areaCercaDatiPerPosizioneSquadre,4,FALSE),"-")</f>
        <v/>
      </c>
      <c r="D17" s="12">
        <f>IFERROR(VLOOKUP($A17,areaCercaDatiPerPosizioneSquadre,5,FALSE),"-")</f>
        <v/>
      </c>
      <c r="E17" s="12">
        <f>IFERROR(VLOOKUP($A17,areaCercaDatiPerPosizioneSquadre,6,FALSE),"-")</f>
        <v/>
      </c>
      <c r="F17" s="12">
        <f>IFERROR(VLOOKUP($A17,areaCercaDatiPerPosizioneSquadre,7,FALSE),"-")</f>
        <v/>
      </c>
      <c r="G17" s="12">
        <f>IFERROR(VLOOKUP($A17,areaCercaDatiPerPosizioneSquadre,8,FALSE),"-")</f>
        <v/>
      </c>
      <c r="H17" s="12">
        <f>IFERROR(VLOOKUP($A17,areaCercaDatiPerPosizioneSquadre,9,FALSE),"-")</f>
        <v/>
      </c>
      <c r="I17" s="12">
        <f>IFERROR(VLOOKUP($A17,areaCercaDatiPerPosizioneSquadre,10,FALSE),"-")</f>
        <v/>
      </c>
      <c r="J17" s="12">
        <f>IFERROR(VLOOKUP($A17,areaCercaDatiPerPosizioneSquadre,11,FALSE),"-")</f>
        <v/>
      </c>
      <c r="K17" s="12">
        <f>IFERROR(VLOOKUP($A17,areaCercaDatiPerPosizioneSquadre,15,FALSE),"-")</f>
        <v/>
      </c>
      <c r="L17" s="18">
        <f>IFERROR(VLOOKUP($A17,areaCercaDatiPerPosizioneSquadre,16,FALSE),"-")</f>
        <v/>
      </c>
      <c r="M17" s="18">
        <f>IFERROR(VLOOKUP($A17,areaCercaDatiPerPosizioneSquadre,17,FALSE),"-")</f>
        <v/>
      </c>
    </row>
    <row r="18">
      <c r="A18" s="143" t="inlineStr">
        <is>
          <t>A10</t>
        </is>
      </c>
      <c r="B18" s="17">
        <f>IFERROR(VLOOKUP($A18,areaCercaDatiPerPosizioneSquadre,2,FALSE),"("&amp;$A18&amp;")")</f>
        <v/>
      </c>
      <c r="C18" s="145">
        <f>IFERROR(VLOOKUP($A18,areaCercaDatiPerPosizioneSquadre,4,FALSE),"-")</f>
        <v/>
      </c>
      <c r="D18" s="12">
        <f>IFERROR(VLOOKUP($A18,areaCercaDatiPerPosizioneSquadre,5,FALSE),"-")</f>
        <v/>
      </c>
      <c r="E18" s="12">
        <f>IFERROR(VLOOKUP($A18,areaCercaDatiPerPosizioneSquadre,6,FALSE),"-")</f>
        <v/>
      </c>
      <c r="F18" s="12">
        <f>IFERROR(VLOOKUP($A18,areaCercaDatiPerPosizioneSquadre,7,FALSE),"-")</f>
        <v/>
      </c>
      <c r="G18" s="12">
        <f>IFERROR(VLOOKUP($A18,areaCercaDatiPerPosizioneSquadre,8,FALSE),"-")</f>
        <v/>
      </c>
      <c r="H18" s="12">
        <f>IFERROR(VLOOKUP($A18,areaCercaDatiPerPosizioneSquadre,9,FALSE),"-")</f>
        <v/>
      </c>
      <c r="I18" s="12">
        <f>IFERROR(VLOOKUP($A18,areaCercaDatiPerPosizioneSquadre,10,FALSE),"-")</f>
        <v/>
      </c>
      <c r="J18" s="12">
        <f>IFERROR(VLOOKUP($A18,areaCercaDatiPerPosizioneSquadre,11,FALSE),"-")</f>
        <v/>
      </c>
      <c r="K18" s="12">
        <f>IFERROR(VLOOKUP($A18,areaCercaDatiPerPosizioneSquadre,15,FALSE),"-")</f>
        <v/>
      </c>
      <c r="L18" s="18">
        <f>IFERROR(VLOOKUP($A18,areaCercaDatiPerPosizioneSquadre,16,FALSE),"-")</f>
        <v/>
      </c>
      <c r="M18" s="18">
        <f>IFERROR(VLOOKUP($A18,areaCercaDatiPerPosizioneSquadre,17,FALSE),"-")</f>
        <v/>
      </c>
    </row>
    <row r="19">
      <c r="A19" s="143" t="inlineStr">
        <is>
          <t>A11</t>
        </is>
      </c>
      <c r="B19" s="17">
        <f>IFERROR(VLOOKUP($A19,areaCercaDatiPerPosizioneSquadre,2,FALSE),"("&amp;$A19&amp;")")</f>
        <v/>
      </c>
      <c r="C19" s="145">
        <f>IFERROR(VLOOKUP($A19,areaCercaDatiPerPosizioneSquadre,4,FALSE),"-")</f>
        <v/>
      </c>
      <c r="D19" s="12">
        <f>IFERROR(VLOOKUP($A19,areaCercaDatiPerPosizioneSquadre,5,FALSE),"-")</f>
        <v/>
      </c>
      <c r="E19" s="12">
        <f>IFERROR(VLOOKUP($A19,areaCercaDatiPerPosizioneSquadre,6,FALSE),"-")</f>
        <v/>
      </c>
      <c r="F19" s="12">
        <f>IFERROR(VLOOKUP($A19,areaCercaDatiPerPosizioneSquadre,7,FALSE),"-")</f>
        <v/>
      </c>
      <c r="G19" s="12">
        <f>IFERROR(VLOOKUP($A19,areaCercaDatiPerPosizioneSquadre,8,FALSE),"-")</f>
        <v/>
      </c>
      <c r="H19" s="12">
        <f>IFERROR(VLOOKUP($A19,areaCercaDatiPerPosizioneSquadre,9,FALSE),"-")</f>
        <v/>
      </c>
      <c r="I19" s="12">
        <f>IFERROR(VLOOKUP($A19,areaCercaDatiPerPosizioneSquadre,10,FALSE),"-")</f>
        <v/>
      </c>
      <c r="J19" s="12">
        <f>IFERROR(VLOOKUP($A19,areaCercaDatiPerPosizioneSquadre,11,FALSE),"-")</f>
        <v/>
      </c>
      <c r="K19" s="12">
        <f>IFERROR(VLOOKUP($A19,areaCercaDatiPerPosizioneSquadre,15,FALSE),"-")</f>
        <v/>
      </c>
      <c r="L19" s="18">
        <f>IFERROR(VLOOKUP($A19,areaCercaDatiPerPosizioneSquadre,16,FALSE),"-")</f>
        <v/>
      </c>
      <c r="M19" s="18">
        <f>IFERROR(VLOOKUP($A19,areaCercaDatiPerPosizioneSquadre,17,FALSE),"-")</f>
        <v/>
      </c>
    </row>
    <row r="20">
      <c r="A20" s="143" t="inlineStr">
        <is>
          <t>A12</t>
        </is>
      </c>
      <c r="B20" s="17">
        <f>IFERROR(VLOOKUP($A20,areaCercaDatiPerPosizioneSquadre,2,FALSE),"("&amp;$A20&amp;")")</f>
        <v/>
      </c>
      <c r="C20" s="145">
        <f>IFERROR(VLOOKUP($A20,areaCercaDatiPerPosizioneSquadre,4,FALSE),"-")</f>
        <v/>
      </c>
      <c r="D20" s="12">
        <f>IFERROR(VLOOKUP($A20,areaCercaDatiPerPosizioneSquadre,5,FALSE),"-")</f>
        <v/>
      </c>
      <c r="E20" s="12">
        <f>IFERROR(VLOOKUP($A20,areaCercaDatiPerPosizioneSquadre,6,FALSE),"-")</f>
        <v/>
      </c>
      <c r="F20" s="12">
        <f>IFERROR(VLOOKUP($A20,areaCercaDatiPerPosizioneSquadre,7,FALSE),"-")</f>
        <v/>
      </c>
      <c r="G20" s="12">
        <f>IFERROR(VLOOKUP($A20,areaCercaDatiPerPosizioneSquadre,8,FALSE),"-")</f>
        <v/>
      </c>
      <c r="H20" s="12">
        <f>IFERROR(VLOOKUP($A20,areaCercaDatiPerPosizioneSquadre,9,FALSE),"-")</f>
        <v/>
      </c>
      <c r="I20" s="12">
        <f>IFERROR(VLOOKUP($A20,areaCercaDatiPerPosizioneSquadre,10,FALSE),"-")</f>
        <v/>
      </c>
      <c r="J20" s="12">
        <f>IFERROR(VLOOKUP($A20,areaCercaDatiPerPosizioneSquadre,11,FALSE),"-")</f>
        <v/>
      </c>
      <c r="K20" s="12">
        <f>IFERROR(VLOOKUP($A20,areaCercaDatiPerPosizioneSquadre,15,FALSE),"-")</f>
        <v/>
      </c>
      <c r="L20" s="18">
        <f>IFERROR(VLOOKUP($A20,areaCercaDatiPerPosizioneSquadre,16,FALSE),"-")</f>
        <v/>
      </c>
      <c r="M20" s="18">
        <f>IFERROR(VLOOKUP($A20,areaCercaDatiPerPosizioneSquadre,17,FALSE),"-")</f>
        <v/>
      </c>
    </row>
    <row r="21">
      <c r="A21" s="143" t="inlineStr">
        <is>
          <t>A13</t>
        </is>
      </c>
      <c r="B21" s="17">
        <f>IFERROR(VLOOKUP($A21,areaCercaDatiPerPosizioneSquadre,2,FALSE),"("&amp;$A21&amp;")")</f>
        <v/>
      </c>
      <c r="C21" s="145">
        <f>IFERROR(VLOOKUP($A21,areaCercaDatiPerPosizioneSquadre,4,FALSE),"-")</f>
        <v/>
      </c>
      <c r="D21" s="12">
        <f>IFERROR(VLOOKUP($A21,areaCercaDatiPerPosizioneSquadre,5,FALSE),"-")</f>
        <v/>
      </c>
      <c r="E21" s="12">
        <f>IFERROR(VLOOKUP($A21,areaCercaDatiPerPosizioneSquadre,6,FALSE),"-")</f>
        <v/>
      </c>
      <c r="F21" s="12">
        <f>IFERROR(VLOOKUP($A21,areaCercaDatiPerPosizioneSquadre,7,FALSE),"-")</f>
        <v/>
      </c>
      <c r="G21" s="12">
        <f>IFERROR(VLOOKUP($A21,areaCercaDatiPerPosizioneSquadre,8,FALSE),"-")</f>
        <v/>
      </c>
      <c r="H21" s="12">
        <f>IFERROR(VLOOKUP($A21,areaCercaDatiPerPosizioneSquadre,9,FALSE),"-")</f>
        <v/>
      </c>
      <c r="I21" s="12">
        <f>IFERROR(VLOOKUP($A21,areaCercaDatiPerPosizioneSquadre,10,FALSE),"-")</f>
        <v/>
      </c>
      <c r="J21" s="12">
        <f>IFERROR(VLOOKUP($A21,areaCercaDatiPerPosizioneSquadre,11,FALSE),"-")</f>
        <v/>
      </c>
      <c r="K21" s="12">
        <f>IFERROR(VLOOKUP($A21,areaCercaDatiPerPosizioneSquadre,15,FALSE),"-")</f>
        <v/>
      </c>
      <c r="L21" s="18">
        <f>IFERROR(VLOOKUP($A21,areaCercaDatiPerPosizioneSquadre,16,FALSE),"-")</f>
        <v/>
      </c>
      <c r="M21" s="18">
        <f>IFERROR(VLOOKUP($A21,areaCercaDatiPerPosizioneSquadre,17,FALSE),"-")</f>
        <v/>
      </c>
    </row>
    <row r="22">
      <c r="A22" s="143" t="inlineStr">
        <is>
          <t>A14</t>
        </is>
      </c>
      <c r="B22" s="17">
        <f>IFERROR(VLOOKUP($A22,areaCercaDatiPerPosizioneSquadre,2,FALSE),"("&amp;$A22&amp;")")</f>
        <v/>
      </c>
      <c r="C22" s="145">
        <f>IFERROR(VLOOKUP($A22,areaCercaDatiPerPosizioneSquadre,4,FALSE),"-")</f>
        <v/>
      </c>
      <c r="D22" s="12">
        <f>IFERROR(VLOOKUP($A22,areaCercaDatiPerPosizioneSquadre,5,FALSE),"-")</f>
        <v/>
      </c>
      <c r="E22" s="12">
        <f>IFERROR(VLOOKUP($A22,areaCercaDatiPerPosizioneSquadre,6,FALSE),"-")</f>
        <v/>
      </c>
      <c r="F22" s="12">
        <f>IFERROR(VLOOKUP($A22,areaCercaDatiPerPosizioneSquadre,7,FALSE),"-")</f>
        <v/>
      </c>
      <c r="G22" s="12">
        <f>IFERROR(VLOOKUP($A22,areaCercaDatiPerPosizioneSquadre,8,FALSE),"-")</f>
        <v/>
      </c>
      <c r="H22" s="12">
        <f>IFERROR(VLOOKUP($A22,areaCercaDatiPerPosizioneSquadre,9,FALSE),"-")</f>
        <v/>
      </c>
      <c r="I22" s="12">
        <f>IFERROR(VLOOKUP($A22,areaCercaDatiPerPosizioneSquadre,10,FALSE),"-")</f>
        <v/>
      </c>
      <c r="J22" s="12">
        <f>IFERROR(VLOOKUP($A22,areaCercaDatiPerPosizioneSquadre,11,FALSE),"-")</f>
        <v/>
      </c>
      <c r="K22" s="12">
        <f>IFERROR(VLOOKUP($A22,areaCercaDatiPerPosizioneSquadre,15,FALSE),"-")</f>
        <v/>
      </c>
      <c r="L22" s="18">
        <f>IFERROR(VLOOKUP($A22,areaCercaDatiPerPosizioneSquadre,16,FALSE),"-")</f>
        <v/>
      </c>
      <c r="M22" s="18">
        <f>IFERROR(VLOOKUP($A22,areaCercaDatiPerPosizioneSquadre,17,FALSE),"-")</f>
        <v/>
      </c>
    </row>
    <row r="23">
      <c r="A23" s="143" t="inlineStr">
        <is>
          <t>A15</t>
        </is>
      </c>
      <c r="B23" s="17">
        <f>IFERROR(VLOOKUP($A23,areaCercaDatiPerPosizioneSquadre,2,FALSE),"("&amp;$A23&amp;")")</f>
        <v/>
      </c>
      <c r="C23" s="145">
        <f>IFERROR(VLOOKUP($A23,areaCercaDatiPerPosizioneSquadre,4,FALSE),"-")</f>
        <v/>
      </c>
      <c r="D23" s="12">
        <f>IFERROR(VLOOKUP($A23,areaCercaDatiPerPosizioneSquadre,5,FALSE),"-")</f>
        <v/>
      </c>
      <c r="E23" s="12">
        <f>IFERROR(VLOOKUP($A23,areaCercaDatiPerPosizioneSquadre,6,FALSE),"-")</f>
        <v/>
      </c>
      <c r="F23" s="12">
        <f>IFERROR(VLOOKUP($A23,areaCercaDatiPerPosizioneSquadre,7,FALSE),"-")</f>
        <v/>
      </c>
      <c r="G23" s="12">
        <f>IFERROR(VLOOKUP($A23,areaCercaDatiPerPosizioneSquadre,8,FALSE),"-")</f>
        <v/>
      </c>
      <c r="H23" s="12">
        <f>IFERROR(VLOOKUP($A23,areaCercaDatiPerPosizioneSquadre,9,FALSE),"-")</f>
        <v/>
      </c>
      <c r="I23" s="12">
        <f>IFERROR(VLOOKUP($A23,areaCercaDatiPerPosizioneSquadre,10,FALSE),"-")</f>
        <v/>
      </c>
      <c r="J23" s="12">
        <f>IFERROR(VLOOKUP($A23,areaCercaDatiPerPosizioneSquadre,11,FALSE),"-")</f>
        <v/>
      </c>
      <c r="K23" s="12">
        <f>IFERROR(VLOOKUP($A23,areaCercaDatiPerPosizioneSquadre,15,FALSE),"-")</f>
        <v/>
      </c>
      <c r="L23" s="18">
        <f>IFERROR(VLOOKUP($A23,areaCercaDatiPerPosizioneSquadre,16,FALSE),"-")</f>
        <v/>
      </c>
      <c r="M23" s="18">
        <f>IFERROR(VLOOKUP($A23,areaCercaDatiPerPosizioneSquadre,17,FALSE),"-")</f>
        <v/>
      </c>
    </row>
    <row r="24">
      <c r="A24" s="143" t="inlineStr">
        <is>
          <t>A16</t>
        </is>
      </c>
      <c r="B24" s="17">
        <f>IFERROR(VLOOKUP($A24,areaCercaDatiPerPosizioneSquadre,2,FALSE),"("&amp;$A24&amp;")")</f>
        <v/>
      </c>
      <c r="C24" s="145">
        <f>IFERROR(VLOOKUP($A24,areaCercaDatiPerPosizioneSquadre,4,FALSE),"-")</f>
        <v/>
      </c>
      <c r="D24" s="12">
        <f>IFERROR(VLOOKUP($A24,areaCercaDatiPerPosizioneSquadre,5,FALSE),"-")</f>
        <v/>
      </c>
      <c r="E24" s="12">
        <f>IFERROR(VLOOKUP($A24,areaCercaDatiPerPosizioneSquadre,6,FALSE),"-")</f>
        <v/>
      </c>
      <c r="F24" s="12">
        <f>IFERROR(VLOOKUP($A24,areaCercaDatiPerPosizioneSquadre,7,FALSE),"-")</f>
        <v/>
      </c>
      <c r="G24" s="12">
        <f>IFERROR(VLOOKUP($A24,areaCercaDatiPerPosizioneSquadre,8,FALSE),"-")</f>
        <v/>
      </c>
      <c r="H24" s="12">
        <f>IFERROR(VLOOKUP($A24,areaCercaDatiPerPosizioneSquadre,9,FALSE),"-")</f>
        <v/>
      </c>
      <c r="I24" s="12">
        <f>IFERROR(VLOOKUP($A24,areaCercaDatiPerPosizioneSquadre,10,FALSE),"-")</f>
        <v/>
      </c>
      <c r="J24" s="12">
        <f>IFERROR(VLOOKUP($A24,areaCercaDatiPerPosizioneSquadre,11,FALSE),"-")</f>
        <v/>
      </c>
      <c r="K24" s="12">
        <f>IFERROR(VLOOKUP($A24,areaCercaDatiPerPosizioneSquadre,15,FALSE),"-")</f>
        <v/>
      </c>
      <c r="L24" s="18">
        <f>IFERROR(VLOOKUP($A24,areaCercaDatiPerPosizioneSquadre,16,FALSE),"-")</f>
        <v/>
      </c>
      <c r="M24" s="18">
        <f>IFERROR(VLOOKUP($A24,areaCercaDatiPerPosizioneSquadre,17,FALSE),"-")</f>
        <v/>
      </c>
    </row>
    <row r="25">
      <c r="A25" s="143" t="inlineStr">
        <is>
          <t>A17</t>
        </is>
      </c>
      <c r="B25" s="17">
        <f>IFERROR(VLOOKUP($A25,areaCercaDatiPerPosizioneSquadre,2,FALSE),"("&amp;$A25&amp;")")</f>
        <v/>
      </c>
      <c r="C25" s="145">
        <f>IFERROR(VLOOKUP($A25,areaCercaDatiPerPosizioneSquadre,4,FALSE),"-")</f>
        <v/>
      </c>
      <c r="D25" s="12">
        <f>IFERROR(VLOOKUP($A25,areaCercaDatiPerPosizioneSquadre,5,FALSE),"-")</f>
        <v/>
      </c>
      <c r="E25" s="12">
        <f>IFERROR(VLOOKUP($A25,areaCercaDatiPerPosizioneSquadre,6,FALSE),"-")</f>
        <v/>
      </c>
      <c r="F25" s="12">
        <f>IFERROR(VLOOKUP($A25,areaCercaDatiPerPosizioneSquadre,7,FALSE),"-")</f>
        <v/>
      </c>
      <c r="G25" s="12">
        <f>IFERROR(VLOOKUP($A25,areaCercaDatiPerPosizioneSquadre,8,FALSE),"-")</f>
        <v/>
      </c>
      <c r="H25" s="12">
        <f>IFERROR(VLOOKUP($A25,areaCercaDatiPerPosizioneSquadre,9,FALSE),"-")</f>
        <v/>
      </c>
      <c r="I25" s="12">
        <f>IFERROR(VLOOKUP($A25,areaCercaDatiPerPosizioneSquadre,10,FALSE),"-")</f>
        <v/>
      </c>
      <c r="J25" s="12">
        <f>IFERROR(VLOOKUP($A25,areaCercaDatiPerPosizioneSquadre,11,FALSE),"-")</f>
        <v/>
      </c>
      <c r="K25" s="12">
        <f>IFERROR(VLOOKUP($A25,areaCercaDatiPerPosizioneSquadre,15,FALSE),"-")</f>
        <v/>
      </c>
      <c r="L25" s="18">
        <f>IFERROR(VLOOKUP($A25,areaCercaDatiPerPosizioneSquadre,16,FALSE),"-")</f>
        <v/>
      </c>
      <c r="M25" s="18">
        <f>IFERROR(VLOOKUP($A25,areaCercaDatiPerPosizioneSquadre,17,FALSE),"-")</f>
        <v/>
      </c>
    </row>
    <row r="26">
      <c r="A26" s="143" t="inlineStr">
        <is>
          <t>A18</t>
        </is>
      </c>
      <c r="B26" s="17">
        <f>IFERROR(VLOOKUP($A26,areaCercaDatiPerPosizioneSquadre,2,FALSE),"("&amp;$A26&amp;")")</f>
        <v/>
      </c>
      <c r="C26" s="145">
        <f>IFERROR(VLOOKUP($A26,areaCercaDatiPerPosizioneSquadre,4,FALSE),"-")</f>
        <v/>
      </c>
      <c r="D26" s="12">
        <f>IFERROR(VLOOKUP($A26,areaCercaDatiPerPosizioneSquadre,5,FALSE),"-")</f>
        <v/>
      </c>
      <c r="E26" s="12">
        <f>IFERROR(VLOOKUP($A26,areaCercaDatiPerPosizioneSquadre,6,FALSE),"-")</f>
        <v/>
      </c>
      <c r="F26" s="12">
        <f>IFERROR(VLOOKUP($A26,areaCercaDatiPerPosizioneSquadre,7,FALSE),"-")</f>
        <v/>
      </c>
      <c r="G26" s="12">
        <f>IFERROR(VLOOKUP($A26,areaCercaDatiPerPosizioneSquadre,8,FALSE),"-")</f>
        <v/>
      </c>
      <c r="H26" s="12">
        <f>IFERROR(VLOOKUP($A26,areaCercaDatiPerPosizioneSquadre,9,FALSE),"-")</f>
        <v/>
      </c>
      <c r="I26" s="12">
        <f>IFERROR(VLOOKUP($A26,areaCercaDatiPerPosizioneSquadre,10,FALSE),"-")</f>
        <v/>
      </c>
      <c r="J26" s="12">
        <f>IFERROR(VLOOKUP($A26,areaCercaDatiPerPosizioneSquadre,11,FALSE),"-")</f>
        <v/>
      </c>
      <c r="K26" s="12">
        <f>IFERROR(VLOOKUP($A26,areaCercaDatiPerPosizioneSquadre,15,FALSE),"-")</f>
        <v/>
      </c>
      <c r="L26" s="18">
        <f>IFERROR(VLOOKUP($A26,areaCercaDatiPerPosizioneSquadre,16,FALSE),"-")</f>
        <v/>
      </c>
      <c r="M26" s="18">
        <f>IFERROR(VLOOKUP($A26,areaCercaDatiPerPosizioneSquadre,17,FALSE),"-")</f>
        <v/>
      </c>
    </row>
    <row r="27">
      <c r="A27" s="143" t="inlineStr">
        <is>
          <t>A19</t>
        </is>
      </c>
      <c r="B27" s="17">
        <f>IFERROR(VLOOKUP($A27,areaCercaDatiPerPosizioneSquadre,2,FALSE),"("&amp;$A27&amp;")")</f>
        <v/>
      </c>
      <c r="C27" s="145">
        <f>IFERROR(VLOOKUP($A27,areaCercaDatiPerPosizioneSquadre,4,FALSE),"-")</f>
        <v/>
      </c>
      <c r="D27" s="12">
        <f>IFERROR(VLOOKUP($A27,areaCercaDatiPerPosizioneSquadre,5,FALSE),"-")</f>
        <v/>
      </c>
      <c r="E27" s="12">
        <f>IFERROR(VLOOKUP($A27,areaCercaDatiPerPosizioneSquadre,6,FALSE),"-")</f>
        <v/>
      </c>
      <c r="F27" s="12">
        <f>IFERROR(VLOOKUP($A27,areaCercaDatiPerPosizioneSquadre,7,FALSE),"-")</f>
        <v/>
      </c>
      <c r="G27" s="12">
        <f>IFERROR(VLOOKUP($A27,areaCercaDatiPerPosizioneSquadre,8,FALSE),"-")</f>
        <v/>
      </c>
      <c r="H27" s="12">
        <f>IFERROR(VLOOKUP($A27,areaCercaDatiPerPosizioneSquadre,9,FALSE),"-")</f>
        <v/>
      </c>
      <c r="I27" s="12">
        <f>IFERROR(VLOOKUP($A27,areaCercaDatiPerPosizioneSquadre,10,FALSE),"-")</f>
        <v/>
      </c>
      <c r="J27" s="12">
        <f>IFERROR(VLOOKUP($A27,areaCercaDatiPerPosizioneSquadre,11,FALSE),"-")</f>
        <v/>
      </c>
      <c r="K27" s="12">
        <f>IFERROR(VLOOKUP($A27,areaCercaDatiPerPosizioneSquadre,15,FALSE),"-")</f>
        <v/>
      </c>
      <c r="L27" s="18">
        <f>IFERROR(VLOOKUP($A27,areaCercaDatiPerPosizioneSquadre,16,FALSE),"-")</f>
        <v/>
      </c>
      <c r="M27" s="18">
        <f>IFERROR(VLOOKUP($A27,areaCercaDatiPerPosizioneSquadre,17,FALSE),"-")</f>
        <v/>
      </c>
    </row>
    <row r="28">
      <c r="A28" s="143" t="inlineStr">
        <is>
          <t>A20</t>
        </is>
      </c>
      <c r="B28" s="17">
        <f>IFERROR(VLOOKUP($A28,areaCercaDatiPerPosizioneSquadre,2,FALSE),"("&amp;$A28&amp;")")</f>
        <v/>
      </c>
      <c r="C28" s="145">
        <f>IFERROR(VLOOKUP($A28,areaCercaDatiPerPosizioneSquadre,4,FALSE),"-")</f>
        <v/>
      </c>
      <c r="D28" s="12">
        <f>IFERROR(VLOOKUP($A28,areaCercaDatiPerPosizioneSquadre,5,FALSE),"-")</f>
        <v/>
      </c>
      <c r="E28" s="12">
        <f>IFERROR(VLOOKUP($A28,areaCercaDatiPerPosizioneSquadre,6,FALSE),"-")</f>
        <v/>
      </c>
      <c r="F28" s="12">
        <f>IFERROR(VLOOKUP($A28,areaCercaDatiPerPosizioneSquadre,7,FALSE),"-")</f>
        <v/>
      </c>
      <c r="G28" s="12">
        <f>IFERROR(VLOOKUP($A28,areaCercaDatiPerPosizioneSquadre,8,FALSE),"-")</f>
        <v/>
      </c>
      <c r="H28" s="12">
        <f>IFERROR(VLOOKUP($A28,areaCercaDatiPerPosizioneSquadre,9,FALSE),"-")</f>
        <v/>
      </c>
      <c r="I28" s="12">
        <f>IFERROR(VLOOKUP($A28,areaCercaDatiPerPosizioneSquadre,10,FALSE),"-")</f>
        <v/>
      </c>
      <c r="J28" s="12">
        <f>IFERROR(VLOOKUP($A28,areaCercaDatiPerPosizioneSquadre,11,FALSE),"-")</f>
        <v/>
      </c>
      <c r="K28" s="12">
        <f>IFERROR(VLOOKUP($A28,areaCercaDatiPerPosizioneSquadre,15,FALSE),"-")</f>
        <v/>
      </c>
      <c r="L28" s="18">
        <f>IFERROR(VLOOKUP($A28,areaCercaDatiPerPosizioneSquadre,16,FALSE),"-")</f>
        <v/>
      </c>
      <c r="M28" s="18">
        <f>IFERROR(VLOOKUP($A28,areaCercaDatiPerPosizioneSquadre,17,FALSE),"-")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IFERROR(VLOOKUP($A33,areaCercaDatiPerPosizioneSquadre,2,FALSE),"("&amp;$A33&amp;")")</f>
        <v/>
      </c>
      <c r="C33" s="145">
        <f>IFERROR(VLOOKUP($A33,areaCercaDatiPerPosizioneSquadre,4,FALSE),"-")</f>
        <v/>
      </c>
      <c r="D33" s="12">
        <f>IFERROR(VLOOKUP($A33,areaCercaDatiPerPosizioneSquadre,5,FALSE),"-")</f>
        <v/>
      </c>
      <c r="E33" s="12">
        <f>IFERROR(VLOOKUP($A33,areaCercaDatiPerPosizioneSquadre,6,FALSE),"-")</f>
        <v/>
      </c>
      <c r="F33" s="12">
        <f>IFERROR(VLOOKUP($A33,areaCercaDatiPerPosizioneSquadre,7,FALSE),"-")</f>
        <v/>
      </c>
      <c r="G33" s="12">
        <f>IFERROR(VLOOKUP($A33,areaCercaDatiPerPosizioneSquadre,8,FALSE),"-")</f>
        <v/>
      </c>
      <c r="H33" s="12">
        <f>IFERROR(VLOOKUP($A33,areaCercaDatiPerPosizioneSquadre,9,FALSE),"-")</f>
        <v/>
      </c>
      <c r="I33" s="12">
        <f>IFERROR(VLOOKUP($A33,areaCercaDatiPerPosizioneSquadre,10,FALSE),"-")</f>
        <v/>
      </c>
      <c r="J33" s="12">
        <f>IFERROR(VLOOKUP($A33,areaCercaDatiPerPosizioneSquadre,11,FALSE),"-")</f>
        <v/>
      </c>
      <c r="K33" s="12">
        <f>IFERROR(VLOOKUP($A33,areaCercaDatiPerPosizioneSquadre,15,FALSE),"-")</f>
        <v/>
      </c>
      <c r="L33" s="18">
        <f>IFERROR(VLOOKUP($A33,areaCercaDatiPerPosizioneSquadre,16,FALSE),"-")</f>
        <v/>
      </c>
      <c r="M33" s="18">
        <f>IFERROR(VLOOKUP($A33,areaCercaDatiPerPosizioneSquadre,17,FALSE),"-")</f>
        <v/>
      </c>
    </row>
    <row r="34">
      <c r="A34" s="149" t="inlineStr">
        <is>
          <t>B2</t>
        </is>
      </c>
      <c r="B34" s="150">
        <f>IFERROR(VLOOKUP($A34,areaCercaDatiPerPosizioneSquadre,2,FALSE),"("&amp;$A34&amp;")")</f>
        <v/>
      </c>
      <c r="C34" s="145">
        <f>IFERROR(VLOOKUP($A34,areaCercaDatiPerPosizioneSquadre,4,FALSE),"-")</f>
        <v/>
      </c>
      <c r="D34" s="12">
        <f>IFERROR(VLOOKUP($A34,areaCercaDatiPerPosizioneSquadre,5,FALSE),"-")</f>
        <v/>
      </c>
      <c r="E34" s="12">
        <f>IFERROR(VLOOKUP($A34,areaCercaDatiPerPosizioneSquadre,6,FALSE),"-")</f>
        <v/>
      </c>
      <c r="F34" s="12">
        <f>IFERROR(VLOOKUP($A34,areaCercaDatiPerPosizioneSquadre,7,FALSE),"-")</f>
        <v/>
      </c>
      <c r="G34" s="12">
        <f>IFERROR(VLOOKUP($A34,areaCercaDatiPerPosizioneSquadre,8,FALSE),"-")</f>
        <v/>
      </c>
      <c r="H34" s="12">
        <f>IFERROR(VLOOKUP($A34,areaCercaDatiPerPosizioneSquadre,9,FALSE),"-")</f>
        <v/>
      </c>
      <c r="I34" s="12">
        <f>IFERROR(VLOOKUP($A34,areaCercaDatiPerPosizioneSquadre,10,FALSE),"-")</f>
        <v/>
      </c>
      <c r="J34" s="12">
        <f>IFERROR(VLOOKUP($A34,areaCercaDatiPerPosizioneSquadre,11,FALSE),"-")</f>
        <v/>
      </c>
      <c r="K34" s="12">
        <f>IFERROR(VLOOKUP($A34,areaCercaDatiPerPosizioneSquadre,15,FALSE),"-")</f>
        <v/>
      </c>
      <c r="L34" s="18">
        <f>IFERROR(VLOOKUP($A34,areaCercaDatiPerPosizioneSquadre,16,FALSE),"-")</f>
        <v/>
      </c>
      <c r="M34" s="18">
        <f>IFERROR(VLOOKUP($A34,areaCercaDatiPerPosizioneSquadre,17,FALSE),"-")</f>
        <v/>
      </c>
    </row>
    <row r="35">
      <c r="A35" s="149" t="inlineStr">
        <is>
          <t>B3</t>
        </is>
      </c>
      <c r="B35" s="150">
        <f>IFERROR(VLOOKUP($A35,areaCercaDatiPerPosizioneSquadre,2,FALSE),"("&amp;$A35&amp;")")</f>
        <v/>
      </c>
      <c r="C35" s="145">
        <f>IFERROR(VLOOKUP($A35,areaCercaDatiPerPosizioneSquadre,4,FALSE),"-")</f>
        <v/>
      </c>
      <c r="D35" s="12">
        <f>IFERROR(VLOOKUP($A35,areaCercaDatiPerPosizioneSquadre,5,FALSE),"-")</f>
        <v/>
      </c>
      <c r="E35" s="12">
        <f>IFERROR(VLOOKUP($A35,areaCercaDatiPerPosizioneSquadre,6,FALSE),"-")</f>
        <v/>
      </c>
      <c r="F35" s="12">
        <f>IFERROR(VLOOKUP($A35,areaCercaDatiPerPosizioneSquadre,7,FALSE),"-")</f>
        <v/>
      </c>
      <c r="G35" s="12">
        <f>IFERROR(VLOOKUP($A35,areaCercaDatiPerPosizioneSquadre,8,FALSE),"-")</f>
        <v/>
      </c>
      <c r="H35" s="12">
        <f>IFERROR(VLOOKUP($A35,areaCercaDatiPerPosizioneSquadre,9,FALSE),"-")</f>
        <v/>
      </c>
      <c r="I35" s="12">
        <f>IFERROR(VLOOKUP($A35,areaCercaDatiPerPosizioneSquadre,10,FALSE),"-")</f>
        <v/>
      </c>
      <c r="J35" s="12">
        <f>IFERROR(VLOOKUP($A35,areaCercaDatiPerPosizioneSquadre,11,FALSE),"-")</f>
        <v/>
      </c>
      <c r="K35" s="12">
        <f>IFERROR(VLOOKUP($A35,areaCercaDatiPerPosizioneSquadre,15,FALSE),"-")</f>
        <v/>
      </c>
      <c r="L35" s="18">
        <f>IFERROR(VLOOKUP($A35,areaCercaDatiPerPosizioneSquadre,16,FALSE),"-")</f>
        <v/>
      </c>
      <c r="M35" s="18">
        <f>IFERROR(VLOOKUP($A35,areaCercaDatiPerPosizioneSquadre,17,FALSE),"-")</f>
        <v/>
      </c>
    </row>
    <row r="36">
      <c r="A36" s="149" t="inlineStr">
        <is>
          <t>B4</t>
        </is>
      </c>
      <c r="B36" s="150">
        <f>IFERROR(VLOOKUP($A36,areaCercaDatiPerPosizioneSquadre,2,FALSE),"("&amp;$A36&amp;")")</f>
        <v/>
      </c>
      <c r="C36" s="145">
        <f>IFERROR(VLOOKUP($A36,areaCercaDatiPerPosizioneSquadre,4,FALSE),"-")</f>
        <v/>
      </c>
      <c r="D36" s="12">
        <f>IFERROR(VLOOKUP($A36,areaCercaDatiPerPosizioneSquadre,5,FALSE),"-")</f>
        <v/>
      </c>
      <c r="E36" s="12">
        <f>IFERROR(VLOOKUP($A36,areaCercaDatiPerPosizioneSquadre,6,FALSE),"-")</f>
        <v/>
      </c>
      <c r="F36" s="12">
        <f>IFERROR(VLOOKUP($A36,areaCercaDatiPerPosizioneSquadre,7,FALSE),"-")</f>
        <v/>
      </c>
      <c r="G36" s="12">
        <f>IFERROR(VLOOKUP($A36,areaCercaDatiPerPosizioneSquadre,8,FALSE),"-")</f>
        <v/>
      </c>
      <c r="H36" s="12">
        <f>IFERROR(VLOOKUP($A36,areaCercaDatiPerPosizioneSquadre,9,FALSE),"-")</f>
        <v/>
      </c>
      <c r="I36" s="12">
        <f>IFERROR(VLOOKUP($A36,areaCercaDatiPerPosizioneSquadre,10,FALSE),"-")</f>
        <v/>
      </c>
      <c r="J36" s="12">
        <f>IFERROR(VLOOKUP($A36,areaCercaDatiPerPosizioneSquadre,11,FALSE),"-")</f>
        <v/>
      </c>
      <c r="K36" s="12">
        <f>IFERROR(VLOOKUP($A36,areaCercaDatiPerPosizioneSquadre,15,FALSE),"-")</f>
        <v/>
      </c>
      <c r="L36" s="18">
        <f>IFERROR(VLOOKUP($A36,areaCercaDatiPerPosizioneSquadre,16,FALSE),"-")</f>
        <v/>
      </c>
      <c r="M36" s="18">
        <f>IFERROR(VLOOKUP($A36,areaCercaDatiPerPosizioneSquadre,17,FALSE),"-")</f>
        <v/>
      </c>
    </row>
    <row r="37">
      <c r="A37" s="149" t="inlineStr">
        <is>
          <t>B5</t>
        </is>
      </c>
      <c r="B37" s="17">
        <f>IFERROR(VLOOKUP($A37,areaCercaDatiPerPosizioneSquadre,2,FALSE),"("&amp;$A37&amp;")")</f>
        <v/>
      </c>
      <c r="C37" s="145">
        <f>IFERROR(VLOOKUP($A37,areaCercaDatiPerPosizioneSquadre,4,FALSE),"-")</f>
        <v/>
      </c>
      <c r="D37" s="12">
        <f>IFERROR(VLOOKUP($A37,areaCercaDatiPerPosizioneSquadre,5,FALSE),"-")</f>
        <v/>
      </c>
      <c r="E37" s="12">
        <f>IFERROR(VLOOKUP($A37,areaCercaDatiPerPosizioneSquadre,6,FALSE),"-")</f>
        <v/>
      </c>
      <c r="F37" s="12">
        <f>IFERROR(VLOOKUP($A37,areaCercaDatiPerPosizioneSquadre,7,FALSE),"-")</f>
        <v/>
      </c>
      <c r="G37" s="12">
        <f>IFERROR(VLOOKUP($A37,areaCercaDatiPerPosizioneSquadre,8,FALSE),"-")</f>
        <v/>
      </c>
      <c r="H37" s="12">
        <f>IFERROR(VLOOKUP($A37,areaCercaDatiPerPosizioneSquadre,9,FALSE),"-")</f>
        <v/>
      </c>
      <c r="I37" s="12">
        <f>IFERROR(VLOOKUP($A37,areaCercaDatiPerPosizioneSquadre,10,FALSE),"-")</f>
        <v/>
      </c>
      <c r="J37" s="12">
        <f>IFERROR(VLOOKUP($A37,areaCercaDatiPerPosizioneSquadre,11,FALSE),"-")</f>
        <v/>
      </c>
      <c r="K37" s="12">
        <f>IFERROR(VLOOKUP($A37,areaCercaDatiPerPosizioneSquadre,15,FALSE),"-")</f>
        <v/>
      </c>
      <c r="L37" s="18">
        <f>IFERROR(VLOOKUP($A37,areaCercaDatiPerPosizioneSquadre,16,FALSE),"-")</f>
        <v/>
      </c>
      <c r="M37" s="18">
        <f>IFERROR(VLOOKUP($A37,areaCercaDatiPerPosizioneSquadre,17,FALSE),"-")</f>
        <v/>
      </c>
    </row>
    <row r="38">
      <c r="A38" s="149" t="inlineStr">
        <is>
          <t>B6</t>
        </is>
      </c>
      <c r="B38" s="17">
        <f>IFERROR(VLOOKUP($A38,areaCercaDatiPerPosizioneSquadre,2,FALSE),"("&amp;$A38&amp;")")</f>
        <v/>
      </c>
      <c r="C38" s="145">
        <f>IFERROR(VLOOKUP($A38,areaCercaDatiPerPosizioneSquadre,4,FALSE),"-")</f>
        <v/>
      </c>
      <c r="D38" s="12">
        <f>IFERROR(VLOOKUP($A38,areaCercaDatiPerPosizioneSquadre,5,FALSE),"-")</f>
        <v/>
      </c>
      <c r="E38" s="12">
        <f>IFERROR(VLOOKUP($A38,areaCercaDatiPerPosizioneSquadre,6,FALSE),"-")</f>
        <v/>
      </c>
      <c r="F38" s="12">
        <f>IFERROR(VLOOKUP($A38,areaCercaDatiPerPosizioneSquadre,7,FALSE),"-")</f>
        <v/>
      </c>
      <c r="G38" s="12">
        <f>IFERROR(VLOOKUP($A38,areaCercaDatiPerPosizioneSquadre,8,FALSE),"-")</f>
        <v/>
      </c>
      <c r="H38" s="12">
        <f>IFERROR(VLOOKUP($A38,areaCercaDatiPerPosizioneSquadre,9,FALSE),"-")</f>
        <v/>
      </c>
      <c r="I38" s="12">
        <f>IFERROR(VLOOKUP($A38,areaCercaDatiPerPosizioneSquadre,10,FALSE),"-")</f>
        <v/>
      </c>
      <c r="J38" s="12">
        <f>IFERROR(VLOOKUP($A38,areaCercaDatiPerPosizioneSquadre,11,FALSE),"-")</f>
        <v/>
      </c>
      <c r="K38" s="12">
        <f>IFERROR(VLOOKUP($A38,areaCercaDatiPerPosizioneSquadre,15,FALSE),"-")</f>
        <v/>
      </c>
      <c r="L38" s="18">
        <f>IFERROR(VLOOKUP($A38,areaCercaDatiPerPosizioneSquadre,16,FALSE),"-")</f>
        <v/>
      </c>
      <c r="M38" s="18">
        <f>IFERROR(VLOOKUP($A38,areaCercaDatiPerPosizioneSquadre,17,FALSE),"-")</f>
        <v/>
      </c>
    </row>
    <row r="39">
      <c r="A39" s="149" t="inlineStr">
        <is>
          <t>B7</t>
        </is>
      </c>
      <c r="B39" s="17">
        <f>IFERROR(VLOOKUP($A39,areaCercaDatiPerPosizioneSquadre,2,FALSE),"("&amp;$A39&amp;")")</f>
        <v/>
      </c>
      <c r="C39" s="145">
        <f>IFERROR(VLOOKUP($A39,areaCercaDatiPerPosizioneSquadre,4,FALSE),"-")</f>
        <v/>
      </c>
      <c r="D39" s="12">
        <f>IFERROR(VLOOKUP($A39,areaCercaDatiPerPosizioneSquadre,5,FALSE),"-")</f>
        <v/>
      </c>
      <c r="E39" s="12">
        <f>IFERROR(VLOOKUP($A39,areaCercaDatiPerPosizioneSquadre,6,FALSE),"-")</f>
        <v/>
      </c>
      <c r="F39" s="12">
        <f>IFERROR(VLOOKUP($A39,areaCercaDatiPerPosizioneSquadre,7,FALSE),"-")</f>
        <v/>
      </c>
      <c r="G39" s="12">
        <f>IFERROR(VLOOKUP($A39,areaCercaDatiPerPosizioneSquadre,8,FALSE),"-")</f>
        <v/>
      </c>
      <c r="H39" s="12">
        <f>IFERROR(VLOOKUP($A39,areaCercaDatiPerPosizioneSquadre,9,FALSE),"-")</f>
        <v/>
      </c>
      <c r="I39" s="12">
        <f>IFERROR(VLOOKUP($A39,areaCercaDatiPerPosizioneSquadre,10,FALSE),"-")</f>
        <v/>
      </c>
      <c r="J39" s="12">
        <f>IFERROR(VLOOKUP($A39,areaCercaDatiPerPosizioneSquadre,11,FALSE),"-")</f>
        <v/>
      </c>
      <c r="K39" s="12">
        <f>IFERROR(VLOOKUP($A39,areaCercaDatiPerPosizioneSquadre,15,FALSE),"-")</f>
        <v/>
      </c>
      <c r="L39" s="18">
        <f>IFERROR(VLOOKUP($A39,areaCercaDatiPerPosizioneSquadre,16,FALSE),"-")</f>
        <v/>
      </c>
      <c r="M39" s="18">
        <f>IFERROR(VLOOKUP($A39,areaCercaDatiPerPosizioneSquadre,17,FALSE),"-")</f>
        <v/>
      </c>
    </row>
    <row r="40">
      <c r="A40" s="149" t="inlineStr">
        <is>
          <t>B8</t>
        </is>
      </c>
      <c r="B40" s="17">
        <f>IFERROR(VLOOKUP($A40,areaCercaDatiPerPosizioneSquadre,2,FALSE),"("&amp;$A40&amp;")")</f>
        <v/>
      </c>
      <c r="C40" s="145">
        <f>IFERROR(VLOOKUP($A40,areaCercaDatiPerPosizioneSquadre,4,FALSE),"-")</f>
        <v/>
      </c>
      <c r="D40" s="12">
        <f>IFERROR(VLOOKUP($A40,areaCercaDatiPerPosizioneSquadre,5,FALSE),"-")</f>
        <v/>
      </c>
      <c r="E40" s="12">
        <f>IFERROR(VLOOKUP($A40,areaCercaDatiPerPosizioneSquadre,6,FALSE),"-")</f>
        <v/>
      </c>
      <c r="F40" s="12">
        <f>IFERROR(VLOOKUP($A40,areaCercaDatiPerPosizioneSquadre,7,FALSE),"-")</f>
        <v/>
      </c>
      <c r="G40" s="12">
        <f>IFERROR(VLOOKUP($A40,areaCercaDatiPerPosizioneSquadre,8,FALSE),"-")</f>
        <v/>
      </c>
      <c r="H40" s="12">
        <f>IFERROR(VLOOKUP($A40,areaCercaDatiPerPosizioneSquadre,9,FALSE),"-")</f>
        <v/>
      </c>
      <c r="I40" s="12">
        <f>IFERROR(VLOOKUP($A40,areaCercaDatiPerPosizioneSquadre,10,FALSE),"-")</f>
        <v/>
      </c>
      <c r="J40" s="12">
        <f>IFERROR(VLOOKUP($A40,areaCercaDatiPerPosizioneSquadre,11,FALSE),"-")</f>
        <v/>
      </c>
      <c r="K40" s="12">
        <f>IFERROR(VLOOKUP($A40,areaCercaDatiPerPosizioneSquadre,15,FALSE),"-")</f>
        <v/>
      </c>
      <c r="L40" s="18">
        <f>IFERROR(VLOOKUP($A40,areaCercaDatiPerPosizioneSquadre,16,FALSE),"-")</f>
        <v/>
      </c>
      <c r="M40" s="18">
        <f>IFERROR(VLOOKUP($A40,areaCercaDatiPerPosizioneSquadre,17,FALSE),"-")</f>
        <v/>
      </c>
    </row>
    <row r="41">
      <c r="A41" s="149" t="inlineStr">
        <is>
          <t>B9</t>
        </is>
      </c>
      <c r="B41" s="17">
        <f>IFERROR(VLOOKUP($A41,areaCercaDatiPerPosizioneSquadre,2,FALSE),"("&amp;$A41&amp;")")</f>
        <v/>
      </c>
      <c r="C41" s="145">
        <f>IFERROR(VLOOKUP($A41,areaCercaDatiPerPosizioneSquadre,4,FALSE),"-")</f>
        <v/>
      </c>
      <c r="D41" s="12">
        <f>IFERROR(VLOOKUP($A41,areaCercaDatiPerPosizioneSquadre,5,FALSE),"-")</f>
        <v/>
      </c>
      <c r="E41" s="12">
        <f>IFERROR(VLOOKUP($A41,areaCercaDatiPerPosizioneSquadre,6,FALSE),"-")</f>
        <v/>
      </c>
      <c r="F41" s="12">
        <f>IFERROR(VLOOKUP($A41,areaCercaDatiPerPosizioneSquadre,7,FALSE),"-")</f>
        <v/>
      </c>
      <c r="G41" s="12">
        <f>IFERROR(VLOOKUP($A41,areaCercaDatiPerPosizioneSquadre,8,FALSE),"-")</f>
        <v/>
      </c>
      <c r="H41" s="12">
        <f>IFERROR(VLOOKUP($A41,areaCercaDatiPerPosizioneSquadre,9,FALSE),"-")</f>
        <v/>
      </c>
      <c r="I41" s="12">
        <f>IFERROR(VLOOKUP($A41,areaCercaDatiPerPosizioneSquadre,10,FALSE),"-")</f>
        <v/>
      </c>
      <c r="J41" s="12">
        <f>IFERROR(VLOOKUP($A41,areaCercaDatiPerPosizioneSquadre,11,FALSE),"-")</f>
        <v/>
      </c>
      <c r="K41" s="12">
        <f>IFERROR(VLOOKUP($A41,areaCercaDatiPerPosizioneSquadre,15,FALSE),"-")</f>
        <v/>
      </c>
      <c r="L41" s="18">
        <f>IFERROR(VLOOKUP($A41,areaCercaDatiPerPosizioneSquadre,16,FALSE),"-")</f>
        <v/>
      </c>
      <c r="M41" s="18">
        <f>IFERROR(VLOOKUP($A41,areaCercaDatiPerPosizioneSquadre,17,FALSE),"-")</f>
        <v/>
      </c>
    </row>
    <row r="42">
      <c r="A42" s="149" t="inlineStr">
        <is>
          <t>B10</t>
        </is>
      </c>
      <c r="B42" s="17">
        <f>IFERROR(VLOOKUP($A42,areaCercaDatiPerPosizioneSquadre,2,FALSE),"("&amp;$A42&amp;")")</f>
        <v/>
      </c>
      <c r="C42" s="145">
        <f>IFERROR(VLOOKUP($A42,areaCercaDatiPerPosizioneSquadre,4,FALSE),"-")</f>
        <v/>
      </c>
      <c r="D42" s="12">
        <f>IFERROR(VLOOKUP($A42,areaCercaDatiPerPosizioneSquadre,5,FALSE),"-")</f>
        <v/>
      </c>
      <c r="E42" s="12">
        <f>IFERROR(VLOOKUP($A42,areaCercaDatiPerPosizioneSquadre,6,FALSE),"-")</f>
        <v/>
      </c>
      <c r="F42" s="12">
        <f>IFERROR(VLOOKUP($A42,areaCercaDatiPerPosizioneSquadre,7,FALSE),"-")</f>
        <v/>
      </c>
      <c r="G42" s="12">
        <f>IFERROR(VLOOKUP($A42,areaCercaDatiPerPosizioneSquadre,8,FALSE),"-")</f>
        <v/>
      </c>
      <c r="H42" s="12">
        <f>IFERROR(VLOOKUP($A42,areaCercaDatiPerPosizioneSquadre,9,FALSE),"-")</f>
        <v/>
      </c>
      <c r="I42" s="12">
        <f>IFERROR(VLOOKUP($A42,areaCercaDatiPerPosizioneSquadre,10,FALSE),"-")</f>
        <v/>
      </c>
      <c r="J42" s="12">
        <f>IFERROR(VLOOKUP($A42,areaCercaDatiPerPosizioneSquadre,11,FALSE),"-")</f>
        <v/>
      </c>
      <c r="K42" s="12">
        <f>IFERROR(VLOOKUP($A42,areaCercaDatiPerPosizioneSquadre,15,FALSE),"-")</f>
        <v/>
      </c>
      <c r="L42" s="18">
        <f>IFERROR(VLOOKUP($A42,areaCercaDatiPerPosizioneSquadre,16,FALSE),"-")</f>
        <v/>
      </c>
      <c r="M42" s="18">
        <f>IFERROR(VLOOKUP($A42,areaCercaDatiPerPosizioneSquadre,17,FALSE),"-")</f>
        <v/>
      </c>
    </row>
    <row r="43">
      <c r="A43" s="149" t="inlineStr">
        <is>
          <t>B11</t>
        </is>
      </c>
      <c r="B43" s="17">
        <f>IFERROR(VLOOKUP($A43,areaCercaDatiPerPosizioneSquadre,2,FALSE),"("&amp;$A43&amp;")")</f>
        <v/>
      </c>
      <c r="C43" s="145">
        <f>IFERROR(VLOOKUP($A43,areaCercaDatiPerPosizioneSquadre,4,FALSE),"-")</f>
        <v/>
      </c>
      <c r="D43" s="12">
        <f>IFERROR(VLOOKUP($A43,areaCercaDatiPerPosizioneSquadre,5,FALSE),"-")</f>
        <v/>
      </c>
      <c r="E43" s="12">
        <f>IFERROR(VLOOKUP($A43,areaCercaDatiPerPosizioneSquadre,6,FALSE),"-")</f>
        <v/>
      </c>
      <c r="F43" s="12">
        <f>IFERROR(VLOOKUP($A43,areaCercaDatiPerPosizioneSquadre,7,FALSE),"-")</f>
        <v/>
      </c>
      <c r="G43" s="12">
        <f>IFERROR(VLOOKUP($A43,areaCercaDatiPerPosizioneSquadre,8,FALSE),"-")</f>
        <v/>
      </c>
      <c r="H43" s="12">
        <f>IFERROR(VLOOKUP($A43,areaCercaDatiPerPosizioneSquadre,9,FALSE),"-")</f>
        <v/>
      </c>
      <c r="I43" s="12">
        <f>IFERROR(VLOOKUP($A43,areaCercaDatiPerPosizioneSquadre,10,FALSE),"-")</f>
        <v/>
      </c>
      <c r="J43" s="12">
        <f>IFERROR(VLOOKUP($A43,areaCercaDatiPerPosizioneSquadre,11,FALSE),"-")</f>
        <v/>
      </c>
      <c r="K43" s="12">
        <f>IFERROR(VLOOKUP($A43,areaCercaDatiPerPosizioneSquadre,15,FALSE),"-")</f>
        <v/>
      </c>
      <c r="L43" s="18">
        <f>IFERROR(VLOOKUP($A43,areaCercaDatiPerPosizioneSquadre,16,FALSE),"-")</f>
        <v/>
      </c>
      <c r="M43" s="18">
        <f>IFERROR(VLOOKUP($A43,areaCercaDatiPerPosizioneSquadre,17,FALSE),"-")</f>
        <v/>
      </c>
    </row>
    <row r="44">
      <c r="A44" s="149" t="inlineStr">
        <is>
          <t>B12</t>
        </is>
      </c>
      <c r="B44" s="17">
        <f>IFERROR(VLOOKUP($A44,areaCercaDatiPerPosizioneSquadre,2,FALSE),"("&amp;$A44&amp;")")</f>
        <v/>
      </c>
      <c r="C44" s="145">
        <f>IFERROR(VLOOKUP($A44,areaCercaDatiPerPosizioneSquadre,4,FALSE),"-")</f>
        <v/>
      </c>
      <c r="D44" s="12">
        <f>IFERROR(VLOOKUP($A44,areaCercaDatiPerPosizioneSquadre,5,FALSE),"-")</f>
        <v/>
      </c>
      <c r="E44" s="12">
        <f>IFERROR(VLOOKUP($A44,areaCercaDatiPerPosizioneSquadre,6,FALSE),"-")</f>
        <v/>
      </c>
      <c r="F44" s="12">
        <f>IFERROR(VLOOKUP($A44,areaCercaDatiPerPosizioneSquadre,7,FALSE),"-")</f>
        <v/>
      </c>
      <c r="G44" s="12">
        <f>IFERROR(VLOOKUP($A44,areaCercaDatiPerPosizioneSquadre,8,FALSE),"-")</f>
        <v/>
      </c>
      <c r="H44" s="12">
        <f>IFERROR(VLOOKUP($A44,areaCercaDatiPerPosizioneSquadre,9,FALSE),"-")</f>
        <v/>
      </c>
      <c r="I44" s="12">
        <f>IFERROR(VLOOKUP($A44,areaCercaDatiPerPosizioneSquadre,10,FALSE),"-")</f>
        <v/>
      </c>
      <c r="J44" s="12">
        <f>IFERROR(VLOOKUP($A44,areaCercaDatiPerPosizioneSquadre,11,FALSE),"-")</f>
        <v/>
      </c>
      <c r="K44" s="12">
        <f>IFERROR(VLOOKUP($A44,areaCercaDatiPerPosizioneSquadre,15,FALSE),"-")</f>
        <v/>
      </c>
      <c r="L44" s="18">
        <f>IFERROR(VLOOKUP($A44,areaCercaDatiPerPosizioneSquadre,16,FALSE),"-")</f>
        <v/>
      </c>
      <c r="M44" s="18">
        <f>IFERROR(VLOOKUP($A44,areaCercaDatiPerPosizioneSquadre,17,FALSE),"-")</f>
        <v/>
      </c>
    </row>
    <row r="45">
      <c r="A45" s="149" t="inlineStr">
        <is>
          <t>B13</t>
        </is>
      </c>
      <c r="B45" s="17">
        <f>IFERROR(VLOOKUP($A45,areaCercaDatiPerPosizioneSquadre,2,FALSE),"("&amp;$A45&amp;")")</f>
        <v/>
      </c>
      <c r="C45" s="145">
        <f>IFERROR(VLOOKUP($A45,areaCercaDatiPerPosizioneSquadre,4,FALSE),"-")</f>
        <v/>
      </c>
      <c r="D45" s="12">
        <f>IFERROR(VLOOKUP($A45,areaCercaDatiPerPosizioneSquadre,5,FALSE),"-")</f>
        <v/>
      </c>
      <c r="E45" s="12">
        <f>IFERROR(VLOOKUP($A45,areaCercaDatiPerPosizioneSquadre,6,FALSE),"-")</f>
        <v/>
      </c>
      <c r="F45" s="12">
        <f>IFERROR(VLOOKUP($A45,areaCercaDatiPerPosizioneSquadre,7,FALSE),"-")</f>
        <v/>
      </c>
      <c r="G45" s="12">
        <f>IFERROR(VLOOKUP($A45,areaCercaDatiPerPosizioneSquadre,8,FALSE),"-")</f>
        <v/>
      </c>
      <c r="H45" s="12">
        <f>IFERROR(VLOOKUP($A45,areaCercaDatiPerPosizioneSquadre,9,FALSE),"-")</f>
        <v/>
      </c>
      <c r="I45" s="12">
        <f>IFERROR(VLOOKUP($A45,areaCercaDatiPerPosizioneSquadre,10,FALSE),"-")</f>
        <v/>
      </c>
      <c r="J45" s="12">
        <f>IFERROR(VLOOKUP($A45,areaCercaDatiPerPosizioneSquadre,11,FALSE),"-")</f>
        <v/>
      </c>
      <c r="K45" s="12">
        <f>IFERROR(VLOOKUP($A45,areaCercaDatiPerPosizioneSquadre,15,FALSE),"-")</f>
        <v/>
      </c>
      <c r="L45" s="18">
        <f>IFERROR(VLOOKUP($A45,areaCercaDatiPerPosizioneSquadre,16,FALSE),"-")</f>
        <v/>
      </c>
      <c r="M45" s="18">
        <f>IFERROR(VLOOKUP($A45,areaCercaDatiPerPosizioneSquadre,17,FALSE),"-")</f>
        <v/>
      </c>
    </row>
    <row r="46">
      <c r="A46" s="149" t="inlineStr">
        <is>
          <t>B14</t>
        </is>
      </c>
      <c r="B46" s="17">
        <f>IFERROR(VLOOKUP($A46,areaCercaDatiPerPosizioneSquadre,2,FALSE),"("&amp;$A46&amp;")")</f>
        <v/>
      </c>
      <c r="C46" s="145">
        <f>IFERROR(VLOOKUP($A46,areaCercaDatiPerPosizioneSquadre,4,FALSE),"-")</f>
        <v/>
      </c>
      <c r="D46" s="12">
        <f>IFERROR(VLOOKUP($A46,areaCercaDatiPerPosizioneSquadre,5,FALSE),"-")</f>
        <v/>
      </c>
      <c r="E46" s="12">
        <f>IFERROR(VLOOKUP($A46,areaCercaDatiPerPosizioneSquadre,6,FALSE),"-")</f>
        <v/>
      </c>
      <c r="F46" s="12">
        <f>IFERROR(VLOOKUP($A46,areaCercaDatiPerPosizioneSquadre,7,FALSE),"-")</f>
        <v/>
      </c>
      <c r="G46" s="12">
        <f>IFERROR(VLOOKUP($A46,areaCercaDatiPerPosizioneSquadre,8,FALSE),"-")</f>
        <v/>
      </c>
      <c r="H46" s="12">
        <f>IFERROR(VLOOKUP($A46,areaCercaDatiPerPosizioneSquadre,9,FALSE),"-")</f>
        <v/>
      </c>
      <c r="I46" s="12">
        <f>IFERROR(VLOOKUP($A46,areaCercaDatiPerPosizioneSquadre,10,FALSE),"-")</f>
        <v/>
      </c>
      <c r="J46" s="12">
        <f>IFERROR(VLOOKUP($A46,areaCercaDatiPerPosizioneSquadre,11,FALSE),"-")</f>
        <v/>
      </c>
      <c r="K46" s="12">
        <f>IFERROR(VLOOKUP($A46,areaCercaDatiPerPosizioneSquadre,15,FALSE),"-")</f>
        <v/>
      </c>
      <c r="L46" s="18">
        <f>IFERROR(VLOOKUP($A46,areaCercaDatiPerPosizioneSquadre,16,FALSE),"-")</f>
        <v/>
      </c>
      <c r="M46" s="18">
        <f>IFERROR(VLOOKUP($A46,areaCercaDatiPerPosizioneSquadre,17,FALSE),"-")</f>
        <v/>
      </c>
    </row>
    <row r="47">
      <c r="A47" s="149" t="inlineStr">
        <is>
          <t>B15</t>
        </is>
      </c>
      <c r="B47" s="17">
        <f>IFERROR(VLOOKUP($A47,areaCercaDatiPerPosizioneSquadre,2,FALSE),"("&amp;$A47&amp;")")</f>
        <v/>
      </c>
      <c r="C47" s="145">
        <f>IFERROR(VLOOKUP($A47,areaCercaDatiPerPosizioneSquadre,4,FALSE),"-")</f>
        <v/>
      </c>
      <c r="D47" s="12">
        <f>IFERROR(VLOOKUP($A47,areaCercaDatiPerPosizioneSquadre,5,FALSE),"-")</f>
        <v/>
      </c>
      <c r="E47" s="12">
        <f>IFERROR(VLOOKUP($A47,areaCercaDatiPerPosizioneSquadre,6,FALSE),"-")</f>
        <v/>
      </c>
      <c r="F47" s="12">
        <f>IFERROR(VLOOKUP($A47,areaCercaDatiPerPosizioneSquadre,7,FALSE),"-")</f>
        <v/>
      </c>
      <c r="G47" s="12">
        <f>IFERROR(VLOOKUP($A47,areaCercaDatiPerPosizioneSquadre,8,FALSE),"-")</f>
        <v/>
      </c>
      <c r="H47" s="12">
        <f>IFERROR(VLOOKUP($A47,areaCercaDatiPerPosizioneSquadre,9,FALSE),"-")</f>
        <v/>
      </c>
      <c r="I47" s="12">
        <f>IFERROR(VLOOKUP($A47,areaCercaDatiPerPosizioneSquadre,10,FALSE),"-")</f>
        <v/>
      </c>
      <c r="J47" s="12">
        <f>IFERROR(VLOOKUP($A47,areaCercaDatiPerPosizioneSquadre,11,FALSE),"-")</f>
        <v/>
      </c>
      <c r="K47" s="12">
        <f>IFERROR(VLOOKUP($A47,areaCercaDatiPerPosizioneSquadre,15,FALSE),"-")</f>
        <v/>
      </c>
      <c r="L47" s="18">
        <f>IFERROR(VLOOKUP($A47,areaCercaDatiPerPosizioneSquadre,16,FALSE),"-")</f>
        <v/>
      </c>
      <c r="M47" s="18">
        <f>IFERROR(VLOOKUP($A47,areaCercaDatiPerPosizioneSquadre,17,FALSE),"-")</f>
        <v/>
      </c>
    </row>
    <row r="48">
      <c r="A48" s="149" t="inlineStr">
        <is>
          <t>B16</t>
        </is>
      </c>
      <c r="B48" s="17">
        <f>IFERROR(VLOOKUP($A48,areaCercaDatiPerPosizioneSquadre,2,FALSE),"("&amp;$A48&amp;")")</f>
        <v/>
      </c>
      <c r="C48" s="145">
        <f>IFERROR(VLOOKUP($A48,areaCercaDatiPerPosizioneSquadre,4,FALSE),"-")</f>
        <v/>
      </c>
      <c r="D48" s="12">
        <f>IFERROR(VLOOKUP($A48,areaCercaDatiPerPosizioneSquadre,5,FALSE),"-")</f>
        <v/>
      </c>
      <c r="E48" s="12">
        <f>IFERROR(VLOOKUP($A48,areaCercaDatiPerPosizioneSquadre,6,FALSE),"-")</f>
        <v/>
      </c>
      <c r="F48" s="12">
        <f>IFERROR(VLOOKUP($A48,areaCercaDatiPerPosizioneSquadre,7,FALSE),"-")</f>
        <v/>
      </c>
      <c r="G48" s="12">
        <f>IFERROR(VLOOKUP($A48,areaCercaDatiPerPosizioneSquadre,8,FALSE),"-")</f>
        <v/>
      </c>
      <c r="H48" s="12">
        <f>IFERROR(VLOOKUP($A48,areaCercaDatiPerPosizioneSquadre,9,FALSE),"-")</f>
        <v/>
      </c>
      <c r="I48" s="12">
        <f>IFERROR(VLOOKUP($A48,areaCercaDatiPerPosizioneSquadre,10,FALSE),"-")</f>
        <v/>
      </c>
      <c r="J48" s="12">
        <f>IFERROR(VLOOKUP($A48,areaCercaDatiPerPosizioneSquadre,11,FALSE),"-")</f>
        <v/>
      </c>
      <c r="K48" s="12">
        <f>IFERROR(VLOOKUP($A48,areaCercaDatiPerPosizioneSquadre,15,FALSE),"-")</f>
        <v/>
      </c>
      <c r="L48" s="18">
        <f>IFERROR(VLOOKUP($A48,areaCercaDatiPerPosizioneSquadre,16,FALSE),"-")</f>
        <v/>
      </c>
      <c r="M48" s="18">
        <f>IFERROR(VLOOKUP($A48,areaCercaDatiPerPosizioneSquadre,17,FALSE),"-")</f>
        <v/>
      </c>
    </row>
    <row r="49">
      <c r="A49" s="149" t="inlineStr">
        <is>
          <t>B17</t>
        </is>
      </c>
      <c r="B49" s="17">
        <f>IFERROR(VLOOKUP($A49,areaCercaDatiPerPosizioneSquadre,2,FALSE),"("&amp;$A49&amp;")")</f>
        <v/>
      </c>
      <c r="C49" s="145">
        <f>IFERROR(VLOOKUP($A49,areaCercaDatiPerPosizioneSquadre,4,FALSE),"-")</f>
        <v/>
      </c>
      <c r="D49" s="12">
        <f>IFERROR(VLOOKUP($A49,areaCercaDatiPerPosizioneSquadre,5,FALSE),"-")</f>
        <v/>
      </c>
      <c r="E49" s="12">
        <f>IFERROR(VLOOKUP($A49,areaCercaDatiPerPosizioneSquadre,6,FALSE),"-")</f>
        <v/>
      </c>
      <c r="F49" s="12">
        <f>IFERROR(VLOOKUP($A49,areaCercaDatiPerPosizioneSquadre,7,FALSE),"-")</f>
        <v/>
      </c>
      <c r="G49" s="12">
        <f>IFERROR(VLOOKUP($A49,areaCercaDatiPerPosizioneSquadre,8,FALSE),"-")</f>
        <v/>
      </c>
      <c r="H49" s="12">
        <f>IFERROR(VLOOKUP($A49,areaCercaDatiPerPosizioneSquadre,9,FALSE),"-")</f>
        <v/>
      </c>
      <c r="I49" s="12">
        <f>IFERROR(VLOOKUP($A49,areaCercaDatiPerPosizioneSquadre,10,FALSE),"-")</f>
        <v/>
      </c>
      <c r="J49" s="12">
        <f>IFERROR(VLOOKUP($A49,areaCercaDatiPerPosizioneSquadre,11,FALSE),"-")</f>
        <v/>
      </c>
      <c r="K49" s="12">
        <f>IFERROR(VLOOKUP($A49,areaCercaDatiPerPosizioneSquadre,15,FALSE),"-")</f>
        <v/>
      </c>
      <c r="L49" s="18">
        <f>IFERROR(VLOOKUP($A49,areaCercaDatiPerPosizioneSquadre,16,FALSE),"-")</f>
        <v/>
      </c>
      <c r="M49" s="18">
        <f>IFERROR(VLOOKUP($A49,areaCercaDatiPerPosizioneSquadre,17,FALSE),"-")</f>
        <v/>
      </c>
    </row>
    <row r="50">
      <c r="A50" s="149" t="inlineStr">
        <is>
          <t>B18</t>
        </is>
      </c>
      <c r="B50" s="17">
        <f>IFERROR(VLOOKUP($A50,areaCercaDatiPerPosizioneSquadre,2,FALSE),"("&amp;$A50&amp;")")</f>
        <v/>
      </c>
      <c r="C50" s="145">
        <f>IFERROR(VLOOKUP($A50,areaCercaDatiPerPosizioneSquadre,4,FALSE),"-")</f>
        <v/>
      </c>
      <c r="D50" s="12">
        <f>IFERROR(VLOOKUP($A50,areaCercaDatiPerPosizioneSquadre,5,FALSE),"-")</f>
        <v/>
      </c>
      <c r="E50" s="12">
        <f>IFERROR(VLOOKUP($A50,areaCercaDatiPerPosizioneSquadre,6,FALSE),"-")</f>
        <v/>
      </c>
      <c r="F50" s="12">
        <f>IFERROR(VLOOKUP($A50,areaCercaDatiPerPosizioneSquadre,7,FALSE),"-")</f>
        <v/>
      </c>
      <c r="G50" s="12">
        <f>IFERROR(VLOOKUP($A50,areaCercaDatiPerPosizioneSquadre,8,FALSE),"-")</f>
        <v/>
      </c>
      <c r="H50" s="12">
        <f>IFERROR(VLOOKUP($A50,areaCercaDatiPerPosizioneSquadre,9,FALSE),"-")</f>
        <v/>
      </c>
      <c r="I50" s="12">
        <f>IFERROR(VLOOKUP($A50,areaCercaDatiPerPosizioneSquadre,10,FALSE),"-")</f>
        <v/>
      </c>
      <c r="J50" s="12">
        <f>IFERROR(VLOOKUP($A50,areaCercaDatiPerPosizioneSquadre,11,FALSE),"-")</f>
        <v/>
      </c>
      <c r="K50" s="12">
        <f>IFERROR(VLOOKUP($A50,areaCercaDatiPerPosizioneSquadre,15,FALSE),"-")</f>
        <v/>
      </c>
      <c r="L50" s="18">
        <f>IFERROR(VLOOKUP($A50,areaCercaDatiPerPosizioneSquadre,16,FALSE),"-")</f>
        <v/>
      </c>
      <c r="M50" s="18">
        <f>IFERROR(VLOOKUP($A50,areaCercaDatiPerPosizioneSquadre,17,FALSE),"-")</f>
        <v/>
      </c>
    </row>
    <row r="51">
      <c r="A51" s="149" t="inlineStr">
        <is>
          <t>B19</t>
        </is>
      </c>
      <c r="B51" s="17">
        <f>IFERROR(VLOOKUP($A51,areaCercaDatiPerPosizioneSquadre,2,FALSE),"("&amp;$A51&amp;")")</f>
        <v/>
      </c>
      <c r="C51" s="145">
        <f>IFERROR(VLOOKUP($A51,areaCercaDatiPerPosizioneSquadre,4,FALSE),"-")</f>
        <v/>
      </c>
      <c r="D51" s="12">
        <f>IFERROR(VLOOKUP($A51,areaCercaDatiPerPosizioneSquadre,5,FALSE),"-")</f>
        <v/>
      </c>
      <c r="E51" s="12">
        <f>IFERROR(VLOOKUP($A51,areaCercaDatiPerPosizioneSquadre,6,FALSE),"-")</f>
        <v/>
      </c>
      <c r="F51" s="12">
        <f>IFERROR(VLOOKUP($A51,areaCercaDatiPerPosizioneSquadre,7,FALSE),"-")</f>
        <v/>
      </c>
      <c r="G51" s="12">
        <f>IFERROR(VLOOKUP($A51,areaCercaDatiPerPosizioneSquadre,8,FALSE),"-")</f>
        <v/>
      </c>
      <c r="H51" s="12">
        <f>IFERROR(VLOOKUP($A51,areaCercaDatiPerPosizioneSquadre,9,FALSE),"-")</f>
        <v/>
      </c>
      <c r="I51" s="12">
        <f>IFERROR(VLOOKUP($A51,areaCercaDatiPerPosizioneSquadre,10,FALSE),"-")</f>
        <v/>
      </c>
      <c r="J51" s="12">
        <f>IFERROR(VLOOKUP($A51,areaCercaDatiPerPosizioneSquadre,11,FALSE),"-")</f>
        <v/>
      </c>
      <c r="K51" s="12">
        <f>IFERROR(VLOOKUP($A51,areaCercaDatiPerPosizioneSquadre,15,FALSE),"-")</f>
        <v/>
      </c>
      <c r="L51" s="18">
        <f>IFERROR(VLOOKUP($A51,areaCercaDatiPerPosizioneSquadre,16,FALSE),"-")</f>
        <v/>
      </c>
      <c r="M51" s="18">
        <f>IFERROR(VLOOKUP($A51,areaCercaDatiPerPosizioneSquadre,17,FALSE),"-")</f>
        <v/>
      </c>
    </row>
    <row r="52">
      <c r="A52" s="149" t="inlineStr">
        <is>
          <t>B20</t>
        </is>
      </c>
      <c r="B52" s="17">
        <f>IFERROR(VLOOKUP($A52,areaCercaDatiPerPosizioneSquadre,2,FALSE),"("&amp;$A52&amp;")")</f>
        <v/>
      </c>
      <c r="C52" s="145">
        <f>IFERROR(VLOOKUP($A52,areaCercaDatiPerPosizioneSquadre,4,FALSE),"-")</f>
        <v/>
      </c>
      <c r="D52" s="12">
        <f>IFERROR(VLOOKUP($A52,areaCercaDatiPerPosizioneSquadre,5,FALSE),"-")</f>
        <v/>
      </c>
      <c r="E52" s="12">
        <f>IFERROR(VLOOKUP($A52,areaCercaDatiPerPosizioneSquadre,6,FALSE),"-")</f>
        <v/>
      </c>
      <c r="F52" s="12">
        <f>IFERROR(VLOOKUP($A52,areaCercaDatiPerPosizioneSquadre,7,FALSE),"-")</f>
        <v/>
      </c>
      <c r="G52" s="12">
        <f>IFERROR(VLOOKUP($A52,areaCercaDatiPerPosizioneSquadre,8,FALSE),"-")</f>
        <v/>
      </c>
      <c r="H52" s="12">
        <f>IFERROR(VLOOKUP($A52,areaCercaDatiPerPosizioneSquadre,9,FALSE),"-")</f>
        <v/>
      </c>
      <c r="I52" s="12">
        <f>IFERROR(VLOOKUP($A52,areaCercaDatiPerPosizioneSquadre,10,FALSE),"-")</f>
        <v/>
      </c>
      <c r="J52" s="12">
        <f>IFERROR(VLOOKUP($A52,areaCercaDatiPerPosizioneSquadre,11,FALSE),"-")</f>
        <v/>
      </c>
      <c r="K52" s="12">
        <f>IFERROR(VLOOKUP($A52,areaCercaDatiPerPosizioneSquadre,15,FALSE),"-")</f>
        <v/>
      </c>
      <c r="L52" s="18">
        <f>IFERROR(VLOOKUP($A52,areaCercaDatiPerPosizioneSquadre,16,FALSE),"-")</f>
        <v/>
      </c>
      <c r="M52" s="18">
        <f>IFERROR(VLOOKUP($A52,areaCercaDatiPerPosizioneSquadre,17,FALSE),"-")</f>
        <v/>
      </c>
    </row>
    <row r="55">
      <c r="A55" s="51" t="inlineStr">
        <is>
          <t>Legenda: sfondo colorato = prime quattro classificate di ogni girone, qualificate al playoff a 8.</t>
        </is>
      </c>
    </row>
  </sheetData>
  <mergeCells count="22">
    <mergeCell ref="A7:A8"/>
    <mergeCell ref="J1:K3"/>
    <mergeCell ref="M7:M8"/>
    <mergeCell ref="H7:J7"/>
    <mergeCell ref="M31:M32"/>
    <mergeCell ref="A30:M30"/>
    <mergeCell ref="C31:C32"/>
    <mergeCell ref="K31:K32"/>
    <mergeCell ref="A3:H3"/>
    <mergeCell ref="D31:G31"/>
    <mergeCell ref="A6:M6"/>
    <mergeCell ref="C7:C8"/>
    <mergeCell ref="K7:K8"/>
    <mergeCell ref="L1:M3"/>
    <mergeCell ref="A1:H2"/>
    <mergeCell ref="L31:L32"/>
    <mergeCell ref="H31:J31"/>
    <mergeCell ref="D7:G7"/>
    <mergeCell ref="B7:B8"/>
    <mergeCell ref="A31:A32"/>
    <mergeCell ref="L7:L8"/>
    <mergeCell ref="B31:B32"/>
  </mergeCell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42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"PLAYOFF A 8 SQUADRE - Stagione "&amp;constStagionaCampionato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8 - QUARTI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381</v>
      </c>
      <c r="B10" s="61">
        <f>IFERROR(VLOOKUP(C10,Campionato!$G$14:$H$53,2,FALSE),"("&amp;C10&amp;")")</f>
        <v/>
      </c>
      <c r="C10" s="62" t="inlineStr">
        <is>
          <t>A1</t>
        </is>
      </c>
      <c r="D10" s="61">
        <f>IFERROR(VLOOKUP(E10,Campionato!$G$14:$H$53,2,FALSE),"("&amp;E10&amp;")")</f>
        <v/>
      </c>
      <c r="E10" s="62" t="inlineStr">
        <is>
          <t>B4</t>
        </is>
      </c>
      <c r="F10" s="63" t="n">
        <v>46502.39583333334</v>
      </c>
      <c r="G10" s="9" t="n"/>
      <c r="H10" s="9" t="n"/>
      <c r="I10" s="10" t="n"/>
      <c r="J10" s="65" t="n">
        <v>62</v>
      </c>
      <c r="K10" s="66" t="inlineStr">
        <is>
          <t>-</t>
        </is>
      </c>
      <c r="L10" s="65" t="n">
        <v>45</v>
      </c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IF($J10+$L10=0,,IF($J10&lt;$L10,IF($J10&amp;"-"&amp;$L10=MID(constPunteggioForfait,FIND("-",constPunteggioForfait)+1,LEN(constPunteggioForfait))&amp;"-"&amp;LEFT(constPunteggioForfait,FIND("-",constPunteggioForfait)-1),1,0),0))</f>
        <v/>
      </c>
      <c r="P10" s="67">
        <f>IF($J10+$L10=0,,IF($J10&lt;$L10,IF($J10&amp;"-"&amp;$L10&lt;&gt;MID(constPunteggioForfait,FIND("-",constPunteggioForfait)+1,LEN(constPunteggioForfait))&amp;"-"&amp;LEFT(constPunteggioForfait,FIND("-",constPunteggioForfait)-1),1,0),0))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IF($J10+$L10=0,,IF($L10&lt;$J10,IF($J10&amp;"-"&amp;$L10=constPunteggioForfait,1,0),0))</f>
        <v/>
      </c>
      <c r="W10" s="67">
        <f>IF($J10+$L10=0,,IF($L10&lt;$J10,IF($J10&amp;"-"&amp;$L10&lt;&gt;constPunteggioForfait,1,0),0))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8 - Quarti]")</f>
        <v/>
      </c>
    </row>
    <row r="11" ht="16" customHeight="1">
      <c r="A11" s="141" t="n"/>
      <c r="B11" s="69">
        <f>IF(I11="","",HYPERLINK(VLOOKUP(I11,areaCampiSquadre,3,FALSE),VLOOKUP(I11,areaCampiSquadre,2,FALSE)))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PO1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IFERROR(VLOOKUP(C13,Campionato!$G$14:$H$53,2,FALSE),"("&amp;C13&amp;")")</f>
        <v/>
      </c>
      <c r="C13" s="62" t="inlineStr">
        <is>
          <t>B2</t>
        </is>
      </c>
      <c r="D13" s="61">
        <f>IFERROR(VLOOKUP(E13,Campionato!$G$14:$H$53,2,FALSE),"("&amp;E13&amp;")")</f>
        <v/>
      </c>
      <c r="E13" s="62" t="inlineStr">
        <is>
          <t>A3</t>
        </is>
      </c>
      <c r="F13" s="63" t="n">
        <v>46502.39583333334</v>
      </c>
      <c r="G13" s="9" t="n"/>
      <c r="H13" s="9" t="n"/>
      <c r="I13" s="10" t="n"/>
      <c r="J13" s="65" t="n">
        <v>52</v>
      </c>
      <c r="K13" s="66" t="inlineStr">
        <is>
          <t>-</t>
        </is>
      </c>
      <c r="L13" s="65" t="n">
        <v>37</v>
      </c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IF($J13+$L13=0,,IF($J13&lt;$L13,IF($J13&amp;"-"&amp;$L13=MID(constPunteggioForfait,FIND("-",constPunteggioForfait)+1,LEN(constPunteggioForfait))&amp;"-"&amp;LEFT(constPunteggioForfait,FIND("-",constPunteggioForfait)-1),1,0),0))</f>
        <v/>
      </c>
      <c r="P13" s="67">
        <f>IF($J13+$L13=0,,IF($J13&lt;$L13,IF($J13&amp;"-"&amp;$L13&lt;&gt;MID(constPunteggioForfait,FIND("-",constPunteggioForfait)+1,LEN(constPunteggioForfait))&amp;"-"&amp;LEFT(constPunteggioForfait,FIND("-",constPunteggioForfait)-1),1,0),0))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IF($J13+$L13=0,,IF($L13&lt;$J13,IF($J13&amp;"-"&amp;$L13=constPunteggioForfait,1,0),0))</f>
        <v/>
      </c>
      <c r="W13" s="67">
        <f>IF($J13+$L13=0,,IF($L13&lt;$J13,IF($J13&amp;"-"&amp;$L13&lt;&gt;constPunteggioForfait,1,0),0))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8 - Quarti]")</f>
        <v/>
      </c>
    </row>
    <row r="14" ht="16" customHeight="1">
      <c r="A14" s="141" t="n"/>
      <c r="B14" s="69">
        <f>IF(I14="","",HYPERLINK(VLOOKUP(I14,areaCampiSquadre,3,FALSE),VLOOKUP(I14,areaCampiSquadre,2,FALSE)))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PO2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IFERROR(VLOOKUP(C16,Campionato!$G$14:$H$53,2,FALSE),"("&amp;C16&amp;")")</f>
        <v/>
      </c>
      <c r="C16" s="62" t="inlineStr">
        <is>
          <t>B1</t>
        </is>
      </c>
      <c r="D16" s="61">
        <f>IFERROR(VLOOKUP(E16,Campionato!$G$14:$H$53,2,FALSE),"("&amp;E16&amp;")")</f>
        <v/>
      </c>
      <c r="E16" s="62" t="inlineStr">
        <is>
          <t>A4</t>
        </is>
      </c>
      <c r="F16" s="63" t="n">
        <v>46502.60416666666</v>
      </c>
      <c r="G16" s="9" t="n"/>
      <c r="H16" s="9" t="n"/>
      <c r="I16" s="10" t="n"/>
      <c r="J16" s="65" t="n">
        <v>45</v>
      </c>
      <c r="K16" s="66" t="inlineStr">
        <is>
          <t>-</t>
        </is>
      </c>
      <c r="L16" s="65" t="n">
        <v>55</v>
      </c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IF($J16+$L16=0,,IF($J16&lt;$L16,IF($J16&amp;"-"&amp;$L16=MID(constPunteggioForfait,FIND("-",constPunteggioForfait)+1,LEN(constPunteggioForfait))&amp;"-"&amp;LEFT(constPunteggioForfait,FIND("-",constPunteggioForfait)-1),1,0),0))</f>
        <v/>
      </c>
      <c r="P16" s="67">
        <f>IF($J16+$L16=0,,IF($J16&lt;$L16,IF($J16&amp;"-"&amp;$L16&lt;&gt;MID(constPunteggioForfait,FIND("-",constPunteggioForfait)+1,LEN(constPunteggioForfait))&amp;"-"&amp;LEFT(constPunteggioForfait,FIND("-",constPunteggioForfait)-1),1,0),0))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IF($J16+$L16=0,,IF($L16&lt;$J16,IF($J16&amp;"-"&amp;$L16=constPunteggioForfait,1,0),0))</f>
        <v/>
      </c>
      <c r="W16" s="67">
        <f>IF($J16+$L16=0,,IF($L16&lt;$J16,IF($J16&amp;"-"&amp;$L16&lt;&gt;constPunteggioForfait,1,0),0))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8 - Quarti]")</f>
        <v/>
      </c>
    </row>
    <row r="17" ht="16" customHeight="1">
      <c r="A17" s="141" t="n"/>
      <c r="B17" s="69">
        <f>IF(I17="","",HYPERLINK(VLOOKUP(I17,areaCampiSquadre,3,FALSE),VLOOKUP(I17,areaCampiSquadre,2,FALSE)))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PO1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IFERROR(VLOOKUP(C19,Campionato!$G$14:$H$53,2,FALSE),"("&amp;C19&amp;")")</f>
        <v/>
      </c>
      <c r="C19" s="62" t="inlineStr">
        <is>
          <t>A2</t>
        </is>
      </c>
      <c r="D19" s="61">
        <f>IFERROR(VLOOKUP(E19,Campionato!$G$14:$H$53,2,FALSE),"("&amp;E19&amp;")")</f>
        <v/>
      </c>
      <c r="E19" s="62" t="inlineStr">
        <is>
          <t>B3</t>
        </is>
      </c>
      <c r="F19" s="63" t="n">
        <v>46502.60416666666</v>
      </c>
      <c r="G19" s="9" t="n"/>
      <c r="H19" s="9" t="n"/>
      <c r="I19" s="10" t="n"/>
      <c r="J19" s="65" t="n">
        <v>48</v>
      </c>
      <c r="K19" s="66" t="inlineStr">
        <is>
          <t>-</t>
        </is>
      </c>
      <c r="L19" s="65" t="n">
        <v>57</v>
      </c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IF($J19+$L19=0,,IF($J19&lt;$L19,IF($J19&amp;"-"&amp;$L19=MID(constPunteggioForfait,FIND("-",constPunteggioForfait)+1,LEN(constPunteggioForfait))&amp;"-"&amp;LEFT(constPunteggioForfait,FIND("-",constPunteggioForfait)-1),1,0),0))</f>
        <v/>
      </c>
      <c r="P19" s="67">
        <f>IF($J19+$L19=0,,IF($J19&lt;$L19,IF($J19&amp;"-"&amp;$L19&lt;&gt;MID(constPunteggioForfait,FIND("-",constPunteggioForfait)+1,LEN(constPunteggioForfait))&amp;"-"&amp;LEFT(constPunteggioForfait,FIND("-",constPunteggioForfait)-1),1,0),0))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IF($J19+$L19=0,,IF($L19&lt;$J19,IF($J19&amp;"-"&amp;$L19=constPunteggioForfait,1,0),0))</f>
        <v/>
      </c>
      <c r="W19" s="67">
        <f>IF($J19+$L19=0,,IF($L19&lt;$J19,IF($J19&amp;"-"&amp;$L19&lt;&gt;constPunteggioForfait,1,0),0))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8 - Quarti]")</f>
        <v/>
      </c>
    </row>
    <row r="20" ht="16" customHeight="1">
      <c r="A20" s="141" t="n"/>
      <c r="B20" s="69">
        <f>IF(I20="","",HYPERLINK(VLOOKUP(I20,areaCampiSquadre,3,FALSE),VLOOKUP(I20,areaCampiSquadre,2,FALSE)))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PO2</t>
        </is>
      </c>
      <c r="J20" s="141" t="n"/>
      <c r="K20" s="141" t="n"/>
      <c r="L20" s="141" t="n"/>
    </row>
    <row r="22" ht="20" customHeight="1">
      <c r="B22" s="133" t="inlineStr">
        <is>
          <t>PLAYOFF A 8 - SEMIFINALI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0" t="n"/>
    </row>
    <row r="23" ht="13" customHeight="1">
      <c r="A23" s="135" t="inlineStr">
        <is>
          <t>Gara N.</t>
        </is>
      </c>
      <c r="B23" s="135" t="inlineStr">
        <is>
          <t>Squadra A</t>
        </is>
      </c>
      <c r="C23" s="10" t="n"/>
      <c r="D23" s="135" t="inlineStr">
        <is>
          <t>Squadra B</t>
        </is>
      </c>
      <c r="E23" s="10" t="n"/>
      <c r="F23" s="135" t="inlineStr">
        <is>
          <t>Giorno</t>
        </is>
      </c>
      <c r="G23" s="135" t="inlineStr">
        <is>
          <t>Data</t>
        </is>
      </c>
      <c r="H23" s="135" t="inlineStr">
        <is>
          <t>Ora</t>
        </is>
      </c>
      <c r="I23" s="10" t="n"/>
      <c r="J23" s="135" t="inlineStr">
        <is>
          <t>Risultato</t>
        </is>
      </c>
      <c r="K23" s="9" t="n"/>
      <c r="L23" s="10" t="n"/>
    </row>
    <row r="24" ht="24" customHeight="1">
      <c r="A24" s="137">
        <f>MAX(A$10:A23)+1</f>
        <v/>
      </c>
      <c r="B24" s="61">
        <f>AA10</f>
        <v/>
      </c>
      <c r="C24" s="62">
        <f>A10</f>
        <v/>
      </c>
      <c r="D24" s="61">
        <f>AA13</f>
        <v/>
      </c>
      <c r="E24" s="62">
        <f>A13</f>
        <v/>
      </c>
      <c r="F24" s="63" t="n">
        <v>46509.39583333334</v>
      </c>
      <c r="G24" s="9" t="n"/>
      <c r="H24" s="9" t="n"/>
      <c r="I24" s="10" t="n"/>
      <c r="J24" s="65" t="n">
        <v>52</v>
      </c>
      <c r="K24" s="66" t="inlineStr">
        <is>
          <t>-</t>
        </is>
      </c>
      <c r="L24" s="65" t="n">
        <v>64</v>
      </c>
      <c r="M24" s="67">
        <f>IF($B24="","(Squadra A)",$B24)</f>
        <v/>
      </c>
      <c r="N24" s="67">
        <f>IF($J24+$L24=0,,IF($J24&gt;$L24,1,0))</f>
        <v/>
      </c>
      <c r="O24" s="67">
        <f>IF($J24+$L24=0,,IF($J24&lt;$L24,IF($J24&amp;"-"&amp;$L24=MID(constPunteggioForfait,FIND("-",constPunteggioForfait)+1,LEN(constPunteggioForfait))&amp;"-"&amp;LEFT(constPunteggioForfait,FIND("-",constPunteggioForfait)-1),1,0),0))</f>
        <v/>
      </c>
      <c r="P24" s="67">
        <f>IF($J24+$L24=0,,IF($J24&lt;$L24,IF($J24&amp;"-"&amp;$L24&lt;&gt;MID(constPunteggioForfait,FIND("-",constPunteggioForfait)+1,LEN(constPunteggioForfait))&amp;"-"&amp;LEFT(constPunteggioForfait,FIND("-",constPunteggioForfait)-1),1,0),0))</f>
        <v/>
      </c>
      <c r="Q24" s="67">
        <f>IF($J24+$L24=0,,$J24)</f>
        <v/>
      </c>
      <c r="R24" s="67">
        <f>IF($J24+$L24=0,,$L24)</f>
        <v/>
      </c>
      <c r="S24" s="67">
        <f>IF($J24+$L24=0,,$J24-$L24)</f>
        <v/>
      </c>
      <c r="T24" s="67">
        <f>IF($D24="","(Squadra B)",$D24)</f>
        <v/>
      </c>
      <c r="U24" s="67">
        <f>IF($J24+$L24=0,,IF($L24&gt;$J24,1,0))</f>
        <v/>
      </c>
      <c r="V24" s="67">
        <f>IF($J24+$L24=0,,IF($L24&lt;$J24,IF($J24&amp;"-"&amp;$L24=constPunteggioForfait,1,0),0))</f>
        <v/>
      </c>
      <c r="W24" s="67">
        <f>IF($J24+$L24=0,,IF($L24&lt;$J24,IF($J24&amp;"-"&amp;$L24&lt;&gt;constPunteggioForfait,1,0),0))</f>
        <v/>
      </c>
      <c r="X24" s="67">
        <f>IF($J24+$L24=0,,$L24)</f>
        <v/>
      </c>
      <c r="Y24" s="67">
        <f>IF($J24+$L24=0,,$J24)</f>
        <v/>
      </c>
      <c r="Z24" s="67">
        <f>IF($J24+$L24=0,,$L24-$J24)</f>
        <v/>
      </c>
      <c r="AA24" s="67">
        <f>IF($J24+$L24=0,"(Vincente)",IF($J24&gt;$L24,$B24,$D24))</f>
        <v/>
      </c>
      <c r="AB24" s="67">
        <f>IF($J24+$L24=0,"(Perdente)",IF($J24&lt;$L24,$B24,$D24))</f>
        <v/>
      </c>
      <c r="AC24" s="68">
        <f>IF($B24="","","[Playoff a 8 - Semifinali]")</f>
        <v/>
      </c>
    </row>
    <row r="25" ht="16" customHeight="1">
      <c r="A25" s="141" t="n"/>
      <c r="B25" s="69">
        <f>IF(I25="","",HYPERLINK(VLOOKUP(I25,areaCampiSquadre,3,FALSE),VLOOKUP(I25,areaCampiSquadre,2,FALSE)))</f>
        <v/>
      </c>
      <c r="C25" s="9" t="n"/>
      <c r="D25" s="9" t="n"/>
      <c r="E25" s="9" t="n"/>
      <c r="F25" s="9" t="n"/>
      <c r="G25" s="9" t="n"/>
      <c r="H25" s="10" t="n"/>
      <c r="I25" s="138" t="inlineStr">
        <is>
          <t>PO1</t>
        </is>
      </c>
      <c r="J25" s="141" t="n"/>
      <c r="K25" s="141" t="n"/>
      <c r="L25" s="141" t="n"/>
    </row>
    <row r="26" ht="13" customHeight="1">
      <c r="A26" s="135" t="inlineStr">
        <is>
          <t>Gara N.</t>
        </is>
      </c>
      <c r="B26" s="135" t="inlineStr">
        <is>
          <t>Squadra A</t>
        </is>
      </c>
      <c r="C26" s="10" t="n"/>
      <c r="D26" s="135" t="inlineStr">
        <is>
          <t>Squadra B</t>
        </is>
      </c>
      <c r="E26" s="10" t="n"/>
      <c r="F26" s="135" t="inlineStr">
        <is>
          <t>Giorno</t>
        </is>
      </c>
      <c r="G26" s="135" t="inlineStr">
        <is>
          <t>Data</t>
        </is>
      </c>
      <c r="H26" s="135" t="inlineStr">
        <is>
          <t>Ora</t>
        </is>
      </c>
      <c r="I26" s="10" t="n"/>
      <c r="J26" s="135" t="inlineStr">
        <is>
          <t>Risultato</t>
        </is>
      </c>
      <c r="K26" s="9" t="n"/>
      <c r="L26" s="10" t="n"/>
    </row>
    <row r="27" ht="24" customHeight="1">
      <c r="A27" s="137">
        <f>MAX(A$10:A26)+1</f>
        <v/>
      </c>
      <c r="B27" s="61">
        <f>AA16</f>
        <v/>
      </c>
      <c r="C27" s="62">
        <f>A16</f>
        <v/>
      </c>
      <c r="D27" s="61">
        <f>AA19</f>
        <v/>
      </c>
      <c r="E27" s="62">
        <f>A19</f>
        <v/>
      </c>
      <c r="F27" s="63" t="n">
        <v>46509.45833333334</v>
      </c>
      <c r="G27" s="9" t="n"/>
      <c r="H27" s="9" t="n"/>
      <c r="I27" s="10" t="n"/>
      <c r="J27" s="65" t="n">
        <v>47</v>
      </c>
      <c r="K27" s="66" t="inlineStr">
        <is>
          <t>-</t>
        </is>
      </c>
      <c r="L27" s="65" t="n">
        <v>44</v>
      </c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IF($J27+$L27=0,,IF($J27&lt;$L27,IF($J27&amp;"-"&amp;$L27=MID(constPunteggioForfait,FIND("-",constPunteggioForfait)+1,LEN(constPunteggioForfait))&amp;"-"&amp;LEFT(constPunteggioForfait,FIND("-",constPunteggioForfait)-1),1,0),0))</f>
        <v/>
      </c>
      <c r="P27" s="67">
        <f>IF($J27+$L27=0,,IF($J27&lt;$L27,IF($J27&amp;"-"&amp;$L27&lt;&gt;MID(constPunteggioForfait,FIND("-",constPunteggioForfait)+1,LEN(constPunteggioForfait))&amp;"-"&amp;LEFT(constPunteggioForfait,FIND("-",constPunteggioForfait)-1),1,0),0))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IF($J27+$L27=0,,IF($L27&lt;$J27,IF($J27&amp;"-"&amp;$L27=constPunteggioForfait,1,0),0))</f>
        <v/>
      </c>
      <c r="W27" s="67">
        <f>IF($J27+$L27=0,,IF($L27&lt;$J27,IF($J27&amp;"-"&amp;$L27&lt;&gt;constPunteggioForfait,1,0),0))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IF($B27="","","[Playoff a 8 - Semifinali]")</f>
        <v/>
      </c>
    </row>
    <row r="28" ht="16" customHeight="1">
      <c r="A28" s="141" t="n"/>
      <c r="B28" s="69">
        <f>IF(I28="","",HYPERLINK(VLOOKUP(I28,areaCampiSquadre,3,FALSE),VLOOKUP(I28,areaCampiSquadre,2,FALSE)))</f>
        <v/>
      </c>
      <c r="C28" s="9" t="n"/>
      <c r="D28" s="9" t="n"/>
      <c r="E28" s="9" t="n"/>
      <c r="F28" s="9" t="n"/>
      <c r="G28" s="9" t="n"/>
      <c r="H28" s="10" t="n"/>
      <c r="I28" s="138" t="inlineStr">
        <is>
          <t>PO1</t>
        </is>
      </c>
      <c r="J28" s="141" t="n"/>
      <c r="K28" s="141" t="n"/>
      <c r="L28" s="141" t="n"/>
    </row>
    <row r="30" ht="20" customHeight="1">
      <c r="B30" s="133" t="inlineStr">
        <is>
          <t>PLAYOFF A 8 - FINALI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</row>
    <row r="31" ht="13" customHeight="1">
      <c r="A31" s="135" t="inlineStr">
        <is>
          <t>Gara N.</t>
        </is>
      </c>
      <c r="B31" s="135" t="inlineStr">
        <is>
          <t>Squadra A</t>
        </is>
      </c>
      <c r="C31" s="10" t="n"/>
      <c r="D31" s="135" t="inlineStr">
        <is>
          <t>Squadra B</t>
        </is>
      </c>
      <c r="E31" s="10" t="n"/>
      <c r="F31" s="135" t="inlineStr">
        <is>
          <t>Giorno</t>
        </is>
      </c>
      <c r="G31" s="135" t="inlineStr">
        <is>
          <t>Data</t>
        </is>
      </c>
      <c r="H31" s="135" t="inlineStr">
        <is>
          <t>Ora</t>
        </is>
      </c>
      <c r="I31" s="10" t="n"/>
      <c r="J31" s="135" t="inlineStr">
        <is>
          <t>Risultato</t>
        </is>
      </c>
      <c r="K31" s="9" t="n"/>
      <c r="L31" s="10" t="n"/>
    </row>
    <row r="32" ht="24" customHeight="1">
      <c r="A32" s="137">
        <f>MAX(A$10:A31)+1</f>
        <v/>
      </c>
      <c r="B32" s="61">
        <f>AB24</f>
        <v/>
      </c>
      <c r="C32" s="62">
        <f>A24</f>
        <v/>
      </c>
      <c r="D32" s="61">
        <f>AB27</f>
        <v/>
      </c>
      <c r="E32" s="62">
        <f>A27</f>
        <v/>
      </c>
      <c r="F32" s="63" t="n">
        <v>46516.60416666666</v>
      </c>
      <c r="G32" s="9" t="n"/>
      <c r="H32" s="9" t="n"/>
      <c r="I32" s="10" t="n"/>
      <c r="J32" s="65" t="n">
        <v>66</v>
      </c>
      <c r="K32" s="66" t="inlineStr">
        <is>
          <t>-</t>
        </is>
      </c>
      <c r="L32" s="65" t="n">
        <v>78</v>
      </c>
      <c r="M32" s="67">
        <f>IF($B32="","(Squadra A)",$B32)</f>
        <v/>
      </c>
      <c r="N32" s="67">
        <f>IF($J32+$L32=0,,IF($J32&gt;$L32,1,0))</f>
        <v/>
      </c>
      <c r="O32" s="67">
        <f>IF($J32+$L32=0,,IF($J32&lt;$L32,IF($J32&amp;"-"&amp;$L32=MID(constPunteggioForfait,FIND("-",constPunteggioForfait)+1,LEN(constPunteggioForfait))&amp;"-"&amp;LEFT(constPunteggioForfait,FIND("-",constPunteggioForfait)-1),1,0),0))</f>
        <v/>
      </c>
      <c r="P32" s="67">
        <f>IF($J32+$L32=0,,IF($J32&lt;$L32,IF($J32&amp;"-"&amp;$L32&lt;&gt;MID(constPunteggioForfait,FIND("-",constPunteggioForfait)+1,LEN(constPunteggioForfait))&amp;"-"&amp;LEFT(constPunteggioForfait,FIND("-",constPunteggioForfait)-1),1,0),0))</f>
        <v/>
      </c>
      <c r="Q32" s="67">
        <f>IF($J32+$L32=0,,$J32)</f>
        <v/>
      </c>
      <c r="R32" s="67">
        <f>IF($J32+$L32=0,,$L32)</f>
        <v/>
      </c>
      <c r="S32" s="67">
        <f>IF($J32+$L32=0,,$J32-$L32)</f>
        <v/>
      </c>
      <c r="T32" s="67">
        <f>IF($D32="","(Squadra B)",$D32)</f>
        <v/>
      </c>
      <c r="U32" s="67">
        <f>IF($J32+$L32=0,,IF($L32&gt;$J32,1,0))</f>
        <v/>
      </c>
      <c r="V32" s="67">
        <f>IF($J32+$L32=0,,IF($L32&lt;$J32,IF($J32&amp;"-"&amp;$L32=constPunteggioForfait,1,0),0))</f>
        <v/>
      </c>
      <c r="W32" s="67">
        <f>IF($J32+$L32=0,,IF($L32&lt;$J32,IF($J32&amp;"-"&amp;$L32&lt;&gt;constPunteggioForfait,1,0),0))</f>
        <v/>
      </c>
      <c r="X32" s="67">
        <f>IF($J32+$L32=0,,$L32)</f>
        <v/>
      </c>
      <c r="Y32" s="67">
        <f>IF($J32+$L32=0,,$J32)</f>
        <v/>
      </c>
      <c r="Z32" s="67">
        <f>IF($J32+$L32=0,,$L32-$J32)</f>
        <v/>
      </c>
      <c r="AA32" s="67">
        <f>IF($J32+$L32=0,"(Vincente)",IF($J32&gt;$L32,$B32,$D32))</f>
        <v/>
      </c>
      <c r="AB32" s="67">
        <f>IF($J32+$L32=0,"(Perdente)",IF($J32&lt;$L32,$B32,$D32))</f>
        <v/>
      </c>
      <c r="AC32" s="68">
        <f>IF($B32="","","[Playoff a 8 - Finale "&amp;IF(COUNT($A$31:$A31)=0,"3-4","1-2")&amp;"]")</f>
        <v/>
      </c>
    </row>
    <row r="33" ht="16" customHeight="1">
      <c r="A33" s="141" t="n"/>
      <c r="B33" s="69">
        <f>IF(I33="","",HYPERLINK(VLOOKUP(I33,areaCampiSquadre,3,FALSE),VLOOKUP(I33,areaCampiSquadre,2,FALSE)))</f>
        <v/>
      </c>
      <c r="C33" s="9" t="n"/>
      <c r="D33" s="9" t="n"/>
      <c r="E33" s="9" t="n"/>
      <c r="F33" s="9" t="n"/>
      <c r="G33" s="9" t="n"/>
      <c r="H33" s="10" t="n"/>
      <c r="I33" s="138" t="inlineStr">
        <is>
          <t>PO1</t>
        </is>
      </c>
      <c r="J33" s="141" t="n"/>
      <c r="K33" s="141" t="n"/>
      <c r="L33" s="141" t="n"/>
    </row>
    <row r="34" ht="13" customHeight="1">
      <c r="A34" s="135" t="inlineStr">
        <is>
          <t>Gara N.</t>
        </is>
      </c>
      <c r="B34" s="135" t="inlineStr">
        <is>
          <t>Squadra A</t>
        </is>
      </c>
      <c r="C34" s="10" t="n"/>
      <c r="D34" s="135" t="inlineStr">
        <is>
          <t>Squadra B</t>
        </is>
      </c>
      <c r="E34" s="10" t="n"/>
      <c r="F34" s="135" t="inlineStr">
        <is>
          <t>Giorno</t>
        </is>
      </c>
      <c r="G34" s="135" t="inlineStr">
        <is>
          <t>Data</t>
        </is>
      </c>
      <c r="H34" s="135" t="inlineStr">
        <is>
          <t>Ora</t>
        </is>
      </c>
      <c r="I34" s="10" t="n"/>
      <c r="J34" s="135" t="inlineStr">
        <is>
          <t>Risultato</t>
        </is>
      </c>
      <c r="K34" s="9" t="n"/>
      <c r="L34" s="10" t="n"/>
    </row>
    <row r="35" ht="24" customHeight="1">
      <c r="A35" s="137">
        <f>MAX(A$10:A34)+1</f>
        <v/>
      </c>
      <c r="B35" s="61">
        <f>AA24</f>
        <v/>
      </c>
      <c r="C35" s="62">
        <f>A24</f>
        <v/>
      </c>
      <c r="D35" s="61">
        <f>AA27</f>
        <v/>
      </c>
      <c r="E35" s="62">
        <f>A27</f>
        <v/>
      </c>
      <c r="F35" s="63" t="n">
        <v>46516.66666666666</v>
      </c>
      <c r="G35" s="9" t="n"/>
      <c r="H35" s="9" t="n"/>
      <c r="I35" s="10" t="n"/>
      <c r="J35" s="65" t="n">
        <v>86</v>
      </c>
      <c r="K35" s="66" t="inlineStr">
        <is>
          <t>-</t>
        </is>
      </c>
      <c r="L35" s="65" t="n">
        <v>67</v>
      </c>
      <c r="M35" s="67">
        <f>IF($B35="","(Squadra A)",$B35)</f>
        <v/>
      </c>
      <c r="N35" s="67">
        <f>IF($J35+$L35=0,,IF($J35&gt;$L35,1,0))</f>
        <v/>
      </c>
      <c r="O35" s="67">
        <f>IF($J35+$L35=0,,IF($J35&lt;$L35,IF($J35&amp;"-"&amp;$L35=MID(constPunteggioForfait,FIND("-",constPunteggioForfait)+1,LEN(constPunteggioForfait))&amp;"-"&amp;LEFT(constPunteggioForfait,FIND("-",constPunteggioForfait)-1),1,0),0))</f>
        <v/>
      </c>
      <c r="P35" s="67">
        <f>IF($J35+$L35=0,,IF($J35&lt;$L35,IF($J35&amp;"-"&amp;$L35&lt;&gt;MID(constPunteggioForfait,FIND("-",constPunteggioForfait)+1,LEN(constPunteggioForfait))&amp;"-"&amp;LEFT(constPunteggioForfait,FIND("-",constPunteggioForfait)-1),1,0),0))</f>
        <v/>
      </c>
      <c r="Q35" s="67">
        <f>IF($J35+$L35=0,,$J35)</f>
        <v/>
      </c>
      <c r="R35" s="67">
        <f>IF($J35+$L35=0,,$L35)</f>
        <v/>
      </c>
      <c r="S35" s="67">
        <f>IF($J35+$L35=0,,$J35-$L35)</f>
        <v/>
      </c>
      <c r="T35" s="67">
        <f>IF($D35="","(Squadra B)",$D35)</f>
        <v/>
      </c>
      <c r="U35" s="67">
        <f>IF($J35+$L35=0,,IF($L35&gt;$J35,1,0))</f>
        <v/>
      </c>
      <c r="V35" s="67">
        <f>IF($J35+$L35=0,,IF($L35&lt;$J35,IF($J35&amp;"-"&amp;$L35=constPunteggioForfait,1,0),0))</f>
        <v/>
      </c>
      <c r="W35" s="67">
        <f>IF($J35+$L35=0,,IF($L35&lt;$J35,IF($J35&amp;"-"&amp;$L35&lt;&gt;constPunteggioForfait,1,0),0))</f>
        <v/>
      </c>
      <c r="X35" s="67">
        <f>IF($J35+$L35=0,,$L35)</f>
        <v/>
      </c>
      <c r="Y35" s="67">
        <f>IF($J35+$L35=0,,$J35)</f>
        <v/>
      </c>
      <c r="Z35" s="67">
        <f>IF($J35+$L35=0,,$L35-$J35)</f>
        <v/>
      </c>
      <c r="AA35" s="67">
        <f>IF($J35+$L35=0,"(Vincente)",IF($J35&gt;$L35,$B35,$D35))</f>
        <v/>
      </c>
      <c r="AB35" s="67">
        <f>IF($J35+$L35=0,"(Perdente)",IF($J35&lt;$L35,$B35,$D35))</f>
        <v/>
      </c>
      <c r="AC35" s="68">
        <f>IF($B35="","","[Playoff a 8 - Finale "&amp;IF(COUNT($A$31:$A34)=0,"3-4","1-2")&amp;"]")</f>
        <v/>
      </c>
    </row>
    <row r="36" ht="16" customHeight="1">
      <c r="A36" s="141" t="n"/>
      <c r="B36" s="69">
        <f>IF(I36="","",HYPERLINK(VLOOKUP(I36,areaCampiSquadre,3,FALSE),VLOOKUP(I36,areaCampiSquadre,2,FALSE)))</f>
        <v/>
      </c>
      <c r="C36" s="9" t="n"/>
      <c r="D36" s="9" t="n"/>
      <c r="E36" s="9" t="n"/>
      <c r="F36" s="9" t="n"/>
      <c r="G36" s="9" t="n"/>
      <c r="H36" s="10" t="n"/>
      <c r="I36" s="138" t="inlineStr">
        <is>
          <t>PO1</t>
        </is>
      </c>
      <c r="J36" s="141" t="n"/>
      <c r="K36" s="141" t="n"/>
      <c r="L36" s="141" t="n"/>
    </row>
    <row r="39">
      <c r="A39" s="51" t="inlineStr">
        <is>
          <t>Playoff a 8 squadre: le prime quattro classificate dei gironi A e B.</t>
        </is>
      </c>
    </row>
    <row r="40">
      <c r="A40" s="51" t="inlineStr">
        <is>
          <t>Quarti: 1A-4B, 2B-3A, 1B-4A, 2A-3B.</t>
        </is>
      </c>
    </row>
    <row r="41">
      <c r="A41" s="51" t="inlineStr">
        <is>
          <t>Semifinali: V.Q1-V.Q2, V.Q3-V.Q4. Finali: perdenti semifinali = finale 3o-4o posto; vincenti = finale 1o-2o posto.</t>
        </is>
      </c>
    </row>
    <row r="42">
      <c r="A42" s="51" t="inlineStr">
        <is>
          <t>Nei quarti si affrontano sempre squadre di gironi diversi. Sfondo verde: campo ancora da definire (codice TBD).</t>
        </is>
      </c>
    </row>
  </sheetData>
  <mergeCells count="87">
    <mergeCell ref="F27:I27"/>
    <mergeCell ref="K32:K33"/>
    <mergeCell ref="A16:A17"/>
    <mergeCell ref="B31:C31"/>
    <mergeCell ref="B22:L22"/>
    <mergeCell ref="B33:H33"/>
    <mergeCell ref="D31:E31"/>
    <mergeCell ref="H9:I9"/>
    <mergeCell ref="B12:C12"/>
    <mergeCell ref="I1:L3"/>
    <mergeCell ref="A27:A28"/>
    <mergeCell ref="K27:K28"/>
    <mergeCell ref="F16:I16"/>
    <mergeCell ref="B25:H25"/>
    <mergeCell ref="J32:J33"/>
    <mergeCell ref="B11:H11"/>
    <mergeCell ref="A35:A36"/>
    <mergeCell ref="H15:I15"/>
    <mergeCell ref="L16:L17"/>
    <mergeCell ref="H23:I23"/>
    <mergeCell ref="B26:C26"/>
    <mergeCell ref="D26:E26"/>
    <mergeCell ref="J15:L15"/>
    <mergeCell ref="J10:J11"/>
    <mergeCell ref="F13:I13"/>
    <mergeCell ref="D34:E34"/>
    <mergeCell ref="J26:L26"/>
    <mergeCell ref="B18:C18"/>
    <mergeCell ref="J27:J28"/>
    <mergeCell ref="H34:I34"/>
    <mergeCell ref="F19:I19"/>
    <mergeCell ref="J35:J36"/>
    <mergeCell ref="L35:L36"/>
    <mergeCell ref="A10:A11"/>
    <mergeCell ref="D9:E9"/>
    <mergeCell ref="A19:A20"/>
    <mergeCell ref="K19:K20"/>
    <mergeCell ref="H12:I12"/>
    <mergeCell ref="B15:C15"/>
    <mergeCell ref="B17:H17"/>
    <mergeCell ref="D15:E15"/>
    <mergeCell ref="D23:E23"/>
    <mergeCell ref="B28:H28"/>
    <mergeCell ref="L32:L33"/>
    <mergeCell ref="H31:I31"/>
    <mergeCell ref="B20:H20"/>
    <mergeCell ref="J24:J25"/>
    <mergeCell ref="F10:I10"/>
    <mergeCell ref="A13:A14"/>
    <mergeCell ref="J18:L18"/>
    <mergeCell ref="B34:C34"/>
    <mergeCell ref="B9:C9"/>
    <mergeCell ref="D12:E12"/>
    <mergeCell ref="K10:K11"/>
    <mergeCell ref="B30:L30"/>
    <mergeCell ref="K16:K17"/>
    <mergeCell ref="J34:L34"/>
    <mergeCell ref="J9:L9"/>
    <mergeCell ref="A1:D2"/>
    <mergeCell ref="E1:G3"/>
    <mergeCell ref="J13:J14"/>
    <mergeCell ref="L13:L14"/>
    <mergeCell ref="A24:A25"/>
    <mergeCell ref="K35:K36"/>
    <mergeCell ref="L24:L25"/>
    <mergeCell ref="B36:H36"/>
    <mergeCell ref="J31:L31"/>
    <mergeCell ref="B23:C23"/>
    <mergeCell ref="J12:L12"/>
    <mergeCell ref="J16:J17"/>
    <mergeCell ref="L10:L11"/>
    <mergeCell ref="B8:L8"/>
    <mergeCell ref="A32:A33"/>
    <mergeCell ref="F24:I24"/>
    <mergeCell ref="K13:K14"/>
    <mergeCell ref="J23:L23"/>
    <mergeCell ref="D18:E18"/>
    <mergeCell ref="L27:L28"/>
    <mergeCell ref="F32:I32"/>
    <mergeCell ref="B14:H14"/>
    <mergeCell ref="F35:I35"/>
    <mergeCell ref="H26:I26"/>
    <mergeCell ref="A3:D3"/>
    <mergeCell ref="H18:I18"/>
    <mergeCell ref="K24:K25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4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constNomeCampionato&amp;""</f>
        <v/>
      </c>
      <c r="D1">
        <f>IFERROR(IMAGE(constLogo1),"")</f>
        <v/>
      </c>
      <c r="E1">
        <f>IFERROR(IMAGE(constLogo2),"")</f>
        <v/>
      </c>
    </row>
    <row r="2" ht="22" customHeight="1"/>
    <row r="3" ht="22" customHeight="1">
      <c r="A3" s="52">
        <f>"Classifica finale (playoff a 8 squadre) - Stagione "&amp;constStagionaCampionato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'Playoff'!AA35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'Playoff'!AB35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'Playoff'!AA32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'Playoff'!AB32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'Playoff'!AB10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'Playoff'!AB13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'Playoff'!AB16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'Playoff'!AB19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IFERROR(VLOOKUP("A5",areaCercaDatiPerPosizioneSquadre,2,FALSE),"(A5)")</f>
        <v/>
      </c>
      <c r="C15" s="192" t="inlineStr">
        <is>
          <t>Girone A - 5a classificata</t>
        </is>
      </c>
      <c r="D15" s="9" t="n"/>
      <c r="E15" s="10" t="n"/>
    </row>
    <row r="16">
      <c r="A16" s="190" t="n">
        <v>9</v>
      </c>
      <c r="B16" s="13">
        <f>IFERROR(VLOOKUP("A6",areaCercaDatiPerPosizioneSquadre,2,FALSE),"(A6)")</f>
        <v/>
      </c>
      <c r="C16" s="192" t="inlineStr">
        <is>
          <t>Girone A - 6a classificata</t>
        </is>
      </c>
      <c r="D16" s="9" t="n"/>
      <c r="E16" s="10" t="n"/>
    </row>
    <row r="17">
      <c r="A17" s="190" t="n">
        <v>9</v>
      </c>
      <c r="B17" s="13">
        <f>IFERROR(VLOOKUP("A7",areaCercaDatiPerPosizioneSquadre,2,FALSE),"(A7)")</f>
        <v/>
      </c>
      <c r="C17" s="192" t="inlineStr">
        <is>
          <t>Girone A - 7a classificata</t>
        </is>
      </c>
      <c r="D17" s="9" t="n"/>
      <c r="E17" s="10" t="n"/>
    </row>
    <row r="18">
      <c r="A18" s="190" t="n">
        <v>9</v>
      </c>
      <c r="B18" s="13">
        <f>IFERROR(VLOOKUP("A8",areaCercaDatiPerPosizioneSquadre,2,FALSE),"(A8)")</f>
        <v/>
      </c>
      <c r="C18" s="192" t="inlineStr">
        <is>
          <t>Girone A - 8a classificata</t>
        </is>
      </c>
      <c r="D18" s="9" t="n"/>
      <c r="E18" s="10" t="n"/>
    </row>
    <row r="19">
      <c r="A19" s="190" t="n">
        <v>9</v>
      </c>
      <c r="B19" s="13">
        <f>IFERROR(VLOOKUP("A9",areaCercaDatiPerPosizioneSquadre,2,FALSE),"(A9)")</f>
        <v/>
      </c>
      <c r="C19" s="192" t="inlineStr">
        <is>
          <t>Girone A - 9a classificata</t>
        </is>
      </c>
      <c r="D19" s="9" t="n"/>
      <c r="E19" s="10" t="n"/>
    </row>
    <row r="20">
      <c r="A20" s="190" t="n">
        <v>9</v>
      </c>
      <c r="B20" s="13">
        <f>IFERROR(VLOOKUP("A10",areaCercaDatiPerPosizioneSquadre,2,FALSE),"(A10)")</f>
        <v/>
      </c>
      <c r="C20" s="192" t="inlineStr">
        <is>
          <t>Girone A - 10a classificata</t>
        </is>
      </c>
      <c r="D20" s="9" t="n"/>
      <c r="E20" s="10" t="n"/>
    </row>
    <row r="21">
      <c r="A21" s="190" t="n">
        <v>9</v>
      </c>
      <c r="B21" s="13">
        <f>IFERROR(VLOOKUP("A11",areaCercaDatiPerPosizioneSquadre,2,FALSE),"(A11)")</f>
        <v/>
      </c>
      <c r="C21" s="192" t="inlineStr">
        <is>
          <t>Girone A - 11a classificata</t>
        </is>
      </c>
      <c r="D21" s="9" t="n"/>
      <c r="E21" s="10" t="n"/>
    </row>
    <row r="22">
      <c r="A22" s="190" t="n">
        <v>9</v>
      </c>
      <c r="B22" s="13">
        <f>IFERROR(VLOOKUP("A12",areaCercaDatiPerPosizioneSquadre,2,FALSE),"(A12)")</f>
        <v/>
      </c>
      <c r="C22" s="192" t="inlineStr">
        <is>
          <t>Girone A - 12a classificata</t>
        </is>
      </c>
      <c r="D22" s="9" t="n"/>
      <c r="E22" s="10" t="n"/>
    </row>
    <row r="23">
      <c r="A23" s="190" t="n">
        <v>9</v>
      </c>
      <c r="B23" s="13">
        <f>IFERROR(VLOOKUP("A13",areaCercaDatiPerPosizioneSquadre,2,FALSE),"(A13)")</f>
        <v/>
      </c>
      <c r="C23" s="192" t="inlineStr">
        <is>
          <t>Girone A - 13a classificata</t>
        </is>
      </c>
      <c r="D23" s="9" t="n"/>
      <c r="E23" s="10" t="n"/>
    </row>
    <row r="24">
      <c r="A24" s="190" t="n">
        <v>9</v>
      </c>
      <c r="B24" s="13">
        <f>IFERROR(VLOOKUP("A14",areaCercaDatiPerPosizioneSquadre,2,FALSE),"(A14)")</f>
        <v/>
      </c>
      <c r="C24" s="192" t="inlineStr">
        <is>
          <t>Girone A - 14a classificata</t>
        </is>
      </c>
      <c r="D24" s="9" t="n"/>
      <c r="E24" s="10" t="n"/>
    </row>
    <row r="25">
      <c r="A25" s="190" t="n">
        <v>9</v>
      </c>
      <c r="B25" s="13">
        <f>IFERROR(VLOOKUP("A15",areaCercaDatiPerPosizioneSquadre,2,FALSE),"(A15)")</f>
        <v/>
      </c>
      <c r="C25" s="192" t="inlineStr">
        <is>
          <t>Girone A - 15a classificata</t>
        </is>
      </c>
      <c r="D25" s="9" t="n"/>
      <c r="E25" s="10" t="n"/>
    </row>
    <row r="26">
      <c r="A26" s="190" t="n">
        <v>9</v>
      </c>
      <c r="B26" s="13">
        <f>IFERROR(VLOOKUP("A16",areaCercaDatiPerPosizioneSquadre,2,FALSE),"(A16)")</f>
        <v/>
      </c>
      <c r="C26" s="192" t="inlineStr">
        <is>
          <t>Girone A - 16a classificata</t>
        </is>
      </c>
      <c r="D26" s="9" t="n"/>
      <c r="E26" s="10" t="n"/>
    </row>
    <row r="27">
      <c r="A27" s="190" t="n">
        <v>9</v>
      </c>
      <c r="B27" s="13">
        <f>IFERROR(VLOOKUP("A17",areaCercaDatiPerPosizioneSquadre,2,FALSE),"(A17)")</f>
        <v/>
      </c>
      <c r="C27" s="192" t="inlineStr">
        <is>
          <t>Girone A - 17a classificata</t>
        </is>
      </c>
      <c r="D27" s="9" t="n"/>
      <c r="E27" s="10" t="n"/>
    </row>
    <row r="28">
      <c r="A28" s="190" t="n">
        <v>9</v>
      </c>
      <c r="B28" s="13">
        <f>IFERROR(VLOOKUP("A18",areaCercaDatiPerPosizioneSquadre,2,FALSE),"(A18)")</f>
        <v/>
      </c>
      <c r="C28" s="192" t="inlineStr">
        <is>
          <t>Girone A - 18a classificata</t>
        </is>
      </c>
      <c r="D28" s="9" t="n"/>
      <c r="E28" s="10" t="n"/>
    </row>
    <row r="29">
      <c r="A29" s="190" t="n">
        <v>9</v>
      </c>
      <c r="B29" s="13">
        <f>IFERROR(VLOOKUP("A19",areaCercaDatiPerPosizioneSquadre,2,FALSE),"(A19)")</f>
        <v/>
      </c>
      <c r="C29" s="192" t="inlineStr">
        <is>
          <t>Girone A - 19a classificata</t>
        </is>
      </c>
      <c r="D29" s="9" t="n"/>
      <c r="E29" s="10" t="n"/>
    </row>
    <row r="30">
      <c r="A30" s="190" t="n">
        <v>9</v>
      </c>
      <c r="B30" s="13">
        <f>IFERROR(VLOOKUP("A20",areaCercaDatiPerPosizioneSquadre,2,FALSE),"(A20)")</f>
        <v/>
      </c>
      <c r="C30" s="192" t="inlineStr">
        <is>
          <t>Girone A - 20a classificata</t>
        </is>
      </c>
      <c r="D30" s="9" t="n"/>
      <c r="E30" s="10" t="n"/>
    </row>
    <row r="31">
      <c r="A31" s="190" t="n">
        <v>25</v>
      </c>
      <c r="B31" s="13">
        <f>IFERROR(VLOOKUP("B5",areaCercaDatiPerPosizioneSquadre,2,FALSE),"(B5)")</f>
        <v/>
      </c>
      <c r="C31" s="192" t="inlineStr">
        <is>
          <t>Girone B - 5a classificata</t>
        </is>
      </c>
      <c r="D31" s="9" t="n"/>
      <c r="E31" s="10" t="n"/>
    </row>
    <row r="32">
      <c r="A32" s="190" t="n">
        <v>25</v>
      </c>
      <c r="B32" s="13">
        <f>IFERROR(VLOOKUP("B6",areaCercaDatiPerPosizioneSquadre,2,FALSE),"(B6)")</f>
        <v/>
      </c>
      <c r="C32" s="192" t="inlineStr">
        <is>
          <t>Girone B - 6a classificata</t>
        </is>
      </c>
      <c r="D32" s="9" t="n"/>
      <c r="E32" s="10" t="n"/>
    </row>
    <row r="33">
      <c r="A33" s="190" t="n">
        <v>25</v>
      </c>
      <c r="B33" s="13">
        <f>IFERROR(VLOOKUP("B7",areaCercaDatiPerPosizioneSquadre,2,FALSE),"(B7)")</f>
        <v/>
      </c>
      <c r="C33" s="192" t="inlineStr">
        <is>
          <t>Girone B - 7a classificata</t>
        </is>
      </c>
      <c r="D33" s="9" t="n"/>
      <c r="E33" s="10" t="n"/>
    </row>
    <row r="34">
      <c r="A34" s="190" t="n">
        <v>25</v>
      </c>
      <c r="B34" s="13">
        <f>IFERROR(VLOOKUP("B8",areaCercaDatiPerPosizioneSquadre,2,FALSE),"(B8)")</f>
        <v/>
      </c>
      <c r="C34" s="192" t="inlineStr">
        <is>
          <t>Girone B - 8a classificata</t>
        </is>
      </c>
      <c r="D34" s="9" t="n"/>
      <c r="E34" s="10" t="n"/>
    </row>
    <row r="35">
      <c r="A35" s="190" t="n">
        <v>25</v>
      </c>
      <c r="B35" s="13">
        <f>IFERROR(VLOOKUP("B9",areaCercaDatiPerPosizioneSquadre,2,FALSE),"(B9)")</f>
        <v/>
      </c>
      <c r="C35" s="192" t="inlineStr">
        <is>
          <t>Girone B - 9a classificata</t>
        </is>
      </c>
      <c r="D35" s="9" t="n"/>
      <c r="E35" s="10" t="n"/>
    </row>
    <row r="36">
      <c r="A36" s="190" t="n">
        <v>25</v>
      </c>
      <c r="B36" s="13">
        <f>IFERROR(VLOOKUP("B10",areaCercaDatiPerPosizioneSquadre,2,FALSE),"(B10)")</f>
        <v/>
      </c>
      <c r="C36" s="192" t="inlineStr">
        <is>
          <t>Girone B - 10a classificata</t>
        </is>
      </c>
      <c r="D36" s="9" t="n"/>
      <c r="E36" s="10" t="n"/>
    </row>
    <row r="37">
      <c r="A37" s="190" t="n">
        <v>25</v>
      </c>
      <c r="B37" s="13">
        <f>IFERROR(VLOOKUP("B11",areaCercaDatiPerPosizioneSquadre,2,FALSE),"(B11)")</f>
        <v/>
      </c>
      <c r="C37" s="192" t="inlineStr">
        <is>
          <t>Girone B - 11a classificata</t>
        </is>
      </c>
      <c r="D37" s="9" t="n"/>
      <c r="E37" s="10" t="n"/>
    </row>
    <row r="38">
      <c r="A38" s="190" t="n">
        <v>25</v>
      </c>
      <c r="B38" s="13">
        <f>IFERROR(VLOOKUP("B12",areaCercaDatiPerPosizioneSquadre,2,FALSE),"(B12)")</f>
        <v/>
      </c>
      <c r="C38" s="192" t="inlineStr">
        <is>
          <t>Girone B - 12a classificata</t>
        </is>
      </c>
      <c r="D38" s="9" t="n"/>
      <c r="E38" s="10" t="n"/>
    </row>
    <row r="39">
      <c r="A39" s="190" t="n">
        <v>25</v>
      </c>
      <c r="B39" s="13">
        <f>IFERROR(VLOOKUP("B13",areaCercaDatiPerPosizioneSquadre,2,FALSE),"(B13)")</f>
        <v/>
      </c>
      <c r="C39" s="192" t="inlineStr">
        <is>
          <t>Girone B - 13a classificata</t>
        </is>
      </c>
      <c r="D39" s="9" t="n"/>
      <c r="E39" s="10" t="n"/>
    </row>
    <row r="40">
      <c r="A40" s="190" t="n">
        <v>25</v>
      </c>
      <c r="B40" s="13">
        <f>IFERROR(VLOOKUP("B14",areaCercaDatiPerPosizioneSquadre,2,FALSE),"(B14)")</f>
        <v/>
      </c>
      <c r="C40" s="192" t="inlineStr">
        <is>
          <t>Girone B - 14a classificata</t>
        </is>
      </c>
      <c r="D40" s="9" t="n"/>
      <c r="E40" s="10" t="n"/>
    </row>
    <row r="41">
      <c r="A41" s="190" t="n">
        <v>25</v>
      </c>
      <c r="B41" s="13">
        <f>IFERROR(VLOOKUP("B15",areaCercaDatiPerPosizioneSquadre,2,FALSE),"(B15)")</f>
        <v/>
      </c>
      <c r="C41" s="192" t="inlineStr">
        <is>
          <t>Girone B - 15a classificata</t>
        </is>
      </c>
      <c r="D41" s="9" t="n"/>
      <c r="E41" s="10" t="n"/>
    </row>
    <row r="42">
      <c r="A42" s="190" t="n">
        <v>25</v>
      </c>
      <c r="B42" s="13">
        <f>IFERROR(VLOOKUP("B16",areaCercaDatiPerPosizioneSquadre,2,FALSE),"(B16)")</f>
        <v/>
      </c>
      <c r="C42" s="192" t="inlineStr">
        <is>
          <t>Girone B - 16a classificata</t>
        </is>
      </c>
      <c r="D42" s="9" t="n"/>
      <c r="E42" s="10" t="n"/>
    </row>
    <row r="43">
      <c r="A43" s="190" t="n">
        <v>25</v>
      </c>
      <c r="B43" s="13">
        <f>IFERROR(VLOOKUP("B17",areaCercaDatiPerPosizioneSquadre,2,FALSE),"(B17)")</f>
        <v/>
      </c>
      <c r="C43" s="192" t="inlineStr">
        <is>
          <t>Girone B - 17a classificata</t>
        </is>
      </c>
      <c r="D43" s="9" t="n"/>
      <c r="E43" s="10" t="n"/>
    </row>
    <row r="44">
      <c r="A44" s="190" t="n">
        <v>25</v>
      </c>
      <c r="B44" s="13">
        <f>IFERROR(VLOOKUP("B18",areaCercaDatiPerPosizioneSquadre,2,FALSE),"(B18)")</f>
        <v/>
      </c>
      <c r="C44" s="192" t="inlineStr">
        <is>
          <t>Girone B - 18a classificata</t>
        </is>
      </c>
      <c r="D44" s="9" t="n"/>
      <c r="E44" s="10" t="n"/>
    </row>
    <row r="45">
      <c r="A45" s="190" t="n">
        <v>25</v>
      </c>
      <c r="B45" s="13">
        <f>IFERROR(VLOOKUP("B19",areaCercaDatiPerPosizioneSquadre,2,FALSE),"(B19)")</f>
        <v/>
      </c>
      <c r="C45" s="192" t="inlineStr">
        <is>
          <t>Girone B - 19a classificata</t>
        </is>
      </c>
      <c r="D45" s="9" t="n"/>
      <c r="E45" s="10" t="n"/>
    </row>
    <row r="46">
      <c r="A46" s="190" t="n">
        <v>25</v>
      </c>
      <c r="B46" s="13">
        <f>IFERROR(VLOOKUP("B20",areaCercaDatiPerPosizioneSquadre,2,FALSE),"(B20)")</f>
        <v/>
      </c>
      <c r="C46" s="192" t="inlineStr">
        <is>
          <t>Girone B - 20a classificata</t>
        </is>
      </c>
      <c r="D46" s="9" t="n"/>
      <c r="E46" s="10" t="n"/>
    </row>
    <row r="48">
      <c r="A48" s="51" t="inlineStr">
        <is>
          <t>Dalla 9a posizione in poi vale l'ordine dei rispettivi gironi, senza spareggi (prima i gironi con squadre ai playoff, poi gli altri, in ordine di lettera).</t>
        </is>
      </c>
    </row>
  </sheetData>
  <mergeCells count="45">
    <mergeCell ref="C16:E16"/>
    <mergeCell ref="C44:E44"/>
    <mergeCell ref="C41:E41"/>
    <mergeCell ref="C31:E31"/>
    <mergeCell ref="C22:E22"/>
    <mergeCell ref="C40:E40"/>
    <mergeCell ref="C9:E9"/>
    <mergeCell ref="A3:C3"/>
    <mergeCell ref="C21:E21"/>
    <mergeCell ref="C43:E43"/>
    <mergeCell ref="C12:E12"/>
    <mergeCell ref="C46:E46"/>
    <mergeCell ref="C36:E36"/>
    <mergeCell ref="D1:D3"/>
    <mergeCell ref="C11:E11"/>
    <mergeCell ref="C27:E27"/>
    <mergeCell ref="A1:C2"/>
    <mergeCell ref="C23:E23"/>
    <mergeCell ref="C39:E39"/>
    <mergeCell ref="C8:E8"/>
    <mergeCell ref="C17:E17"/>
    <mergeCell ref="C7:E7"/>
    <mergeCell ref="C32:E32"/>
    <mergeCell ref="C38:E38"/>
    <mergeCell ref="C28:E28"/>
    <mergeCell ref="C13:E13"/>
    <mergeCell ref="C19:E19"/>
    <mergeCell ref="C37:E37"/>
    <mergeCell ref="C18:E18"/>
    <mergeCell ref="C30:E30"/>
    <mergeCell ref="E1:E3"/>
    <mergeCell ref="C34:E34"/>
    <mergeCell ref="C15:E15"/>
    <mergeCell ref="C6:E6"/>
    <mergeCell ref="C24:E24"/>
    <mergeCell ref="C42:E42"/>
    <mergeCell ref="C33:E33"/>
    <mergeCell ref="C14:E14"/>
    <mergeCell ref="C45:E45"/>
    <mergeCell ref="C26:E26"/>
    <mergeCell ref="C29:E29"/>
    <mergeCell ref="C20:E20"/>
    <mergeCell ref="C35:E35"/>
    <mergeCell ref="C25:E25"/>
    <mergeCell ref="C10:E10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1320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constNomeCampionato&amp;""</f>
        <v/>
      </c>
      <c r="E1">
        <f>IFERROR(IMAGE(constLogo1),"")</f>
        <v/>
      </c>
      <c r="I1">
        <f>IFERROR(IMAGE(constLogo2),"")</f>
        <v/>
      </c>
    </row>
    <row r="2" ht="22" customHeight="1"/>
    <row r="3" ht="22" customHeight="1">
      <c r="A3" s="52">
        <f>"DESIGNAZIONI - Stagione "&amp;constStagionaCampionato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inlineStr">
        <is>
          <t>KRUGER Gaelle [AAt]</t>
        </is>
      </c>
      <c r="N10" s="196" t="inlineStr">
        <is>
          <t>FOURNIER Matteo [AAt]</t>
        </is>
      </c>
      <c r="O10" s="196" t="inlineStr">
        <is>
          <t>NADAUD Paula [Aest]</t>
        </is>
      </c>
      <c r="P10" s="196" t="inlineStr">
        <is>
          <t>SANTORI Filippo</t>
        </is>
      </c>
      <c r="Q10" s="196" t="inlineStr">
        <is>
          <t>ORTEGA Jonas</t>
        </is>
      </c>
      <c r="R10" s="196" t="inlineStr">
        <is>
          <t>VOGEL Sofia</t>
        </is>
      </c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inlineStr">
        <is>
          <t>FUENTES Irene [AA]</t>
        </is>
      </c>
      <c r="N13" s="196" t="inlineStr">
        <is>
          <t>GAUTHIER Elena [AA]</t>
        </is>
      </c>
      <c r="O13" s="196" t="inlineStr">
        <is>
          <t>AUBERT Beatrice [AA]</t>
        </is>
      </c>
      <c r="P13" s="196" t="inlineStr">
        <is>
          <t>SCHAFER Lucia</t>
        </is>
      </c>
      <c r="Q13" s="196" t="inlineStr">
        <is>
          <t>PELLEGRI Eva</t>
        </is>
      </c>
      <c r="R13" s="196" t="inlineStr">
        <is>
          <t>VOGEL Sofia</t>
        </is>
      </c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inlineStr">
        <is>
          <t>ZUPAN Beatrice [AAt]</t>
        </is>
      </c>
      <c r="N16" s="196" t="inlineStr">
        <is>
          <t>ROTH Andrea [AAt]</t>
        </is>
      </c>
      <c r="O16" s="196" t="inlineStr">
        <is>
          <t>LANGER Hugo [AA]</t>
        </is>
      </c>
      <c r="P16" s="196" t="inlineStr">
        <is>
          <t>CASTILLO Martina</t>
        </is>
      </c>
      <c r="Q16" s="196" t="inlineStr">
        <is>
          <t>LEFEVRE Mathilde</t>
        </is>
      </c>
      <c r="R16" s="196" t="inlineStr">
        <is>
          <t>NOVAK Ilaria</t>
        </is>
      </c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inlineStr">
        <is>
          <t>NAVARRO Martina [A]</t>
        </is>
      </c>
      <c r="N19" s="196" t="inlineStr">
        <is>
          <t>ROSSINI Sofia [AA]</t>
        </is>
      </c>
      <c r="O19" s="196" t="inlineStr">
        <is>
          <t>KOVAC Diego [AAt]</t>
        </is>
      </c>
      <c r="P19" s="196" t="inlineStr">
        <is>
          <t>FUENTES Beatrice</t>
        </is>
      </c>
      <c r="Q19" s="196" t="inlineStr">
        <is>
          <t>PRADO Eva</t>
        </is>
      </c>
      <c r="R19" s="196" t="inlineStr">
        <is>
          <t>ZUPAN Noemi</t>
        </is>
      </c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inlineStr">
        <is>
          <t>ENGEL Filippo [A]</t>
        </is>
      </c>
      <c r="N22" s="196" t="inlineStr">
        <is>
          <t>MOREAU Pablo [AAt]</t>
        </is>
      </c>
      <c r="O22" s="196" t="inlineStr">
        <is>
          <t>MARCHIONI Miha [Aest]</t>
        </is>
      </c>
      <c r="P22" s="196" t="inlineStr">
        <is>
          <t>ORTEGA Stefano</t>
        </is>
      </c>
      <c r="Q22" s="196" t="inlineStr">
        <is>
          <t>HORVAT Irene</t>
        </is>
      </c>
      <c r="R22" s="196" t="inlineStr">
        <is>
          <t>HORVAT Lukas</t>
        </is>
      </c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inlineStr">
        <is>
          <t>FERRANTE Filippo [AAt]</t>
        </is>
      </c>
      <c r="N25" s="196" t="inlineStr">
        <is>
          <t>CARON Davide [Aest]</t>
        </is>
      </c>
      <c r="O25" s="196" t="inlineStr">
        <is>
          <t>CONTARDI Beatrice [AAt]</t>
        </is>
      </c>
      <c r="P25" s="196" t="inlineStr">
        <is>
          <t>FOURNIER Miha</t>
        </is>
      </c>
      <c r="Q25" s="196" t="inlineStr">
        <is>
          <t>CAMPOS Anja</t>
        </is>
      </c>
      <c r="R25" s="196" t="inlineStr">
        <is>
          <t>VALLET Stefano</t>
        </is>
      </c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inlineStr">
        <is>
          <t>NADAUD Lucia [AA]</t>
        </is>
      </c>
      <c r="N28" s="196" t="inlineStr">
        <is>
          <t>CARON Martina [AAt]</t>
        </is>
      </c>
      <c r="O28" s="196" t="inlineStr">
        <is>
          <t>NOVAK Beatrice [Aest]</t>
        </is>
      </c>
      <c r="P28" s="196" t="inlineStr">
        <is>
          <t>SOLER Gaelle</t>
        </is>
      </c>
      <c r="Q28" s="196" t="inlineStr">
        <is>
          <t>PRADO Elena</t>
        </is>
      </c>
      <c r="R28" s="196" t="inlineStr">
        <is>
          <t>KOVAC Paolo</t>
        </is>
      </c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inlineStr">
        <is>
          <t>CONTARDI Lucia [AA]</t>
        </is>
      </c>
      <c r="N31" s="196" t="inlineStr">
        <is>
          <t>KRAJNC Nicola [A]</t>
        </is>
      </c>
      <c r="O31" s="196" t="inlineStr">
        <is>
          <t>BLANCHET Valerie [A]</t>
        </is>
      </c>
      <c r="P31" s="196" t="inlineStr">
        <is>
          <t>LEROUX Beatrice</t>
        </is>
      </c>
      <c r="Q31" s="196" t="inlineStr">
        <is>
          <t>KOVAC Nicola</t>
        </is>
      </c>
      <c r="R31" s="196" t="inlineStr">
        <is>
          <t>FERRANTE Andrea</t>
        </is>
      </c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inlineStr">
        <is>
          <t>ROTH Lucia [A]</t>
        </is>
      </c>
      <c r="N34" s="196" t="inlineStr">
        <is>
          <t>WEBER Marco [AAt]</t>
        </is>
      </c>
      <c r="O34" s="196" t="inlineStr">
        <is>
          <t>LEFEVRE Vid [A]</t>
        </is>
      </c>
      <c r="P34" s="196" t="inlineStr">
        <is>
          <t>ROSSINI Pablo</t>
        </is>
      </c>
      <c r="Q34" s="196" t="inlineStr">
        <is>
          <t>ZUPAN Irene</t>
        </is>
      </c>
      <c r="R34" s="196" t="inlineStr">
        <is>
          <t>PRADO Alenka</t>
        </is>
      </c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inlineStr">
        <is>
          <t>CASTILLO Ilaria [AAt]</t>
        </is>
      </c>
      <c r="N37" s="196" t="inlineStr">
        <is>
          <t>BELLANDI Andrea [AA]</t>
        </is>
      </c>
      <c r="O37" s="196" t="inlineStr">
        <is>
          <t>CAMPOS Jonas [AAt]</t>
        </is>
      </c>
      <c r="P37" s="196" t="inlineStr">
        <is>
          <t>FUENTES Anja</t>
        </is>
      </c>
      <c r="Q37" s="196" t="inlineStr">
        <is>
          <t>VOGEL Sofia</t>
        </is>
      </c>
      <c r="R37" s="196" t="inlineStr">
        <is>
          <t>BLANCO Ottavia</t>
        </is>
      </c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inlineStr">
        <is>
          <t>VALLET Martina [Aest]</t>
        </is>
      </c>
      <c r="N42" s="196" t="inlineStr">
        <is>
          <t>AUBERT Filippo [AA]</t>
        </is>
      </c>
      <c r="O42" s="196" t="inlineStr">
        <is>
          <t>KELLER Marco [Aest]</t>
        </is>
      </c>
      <c r="P42" s="196" t="inlineStr">
        <is>
          <t>IGLESIAS Eva</t>
        </is>
      </c>
      <c r="Q42" s="196" t="inlineStr">
        <is>
          <t>BRANDT Beatrice</t>
        </is>
      </c>
      <c r="R42" s="196" t="inlineStr">
        <is>
          <t>BRANDT Paolo</t>
        </is>
      </c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inlineStr">
        <is>
          <t>MARCHIONI Lea [AAt]</t>
        </is>
      </c>
      <c r="N45" s="196" t="inlineStr">
        <is>
          <t>FOURNIER Ottavia [A]</t>
        </is>
      </c>
      <c r="O45" s="196" t="inlineStr">
        <is>
          <t>ROSSINI Paula [AAt]</t>
        </is>
      </c>
      <c r="P45" s="196" t="inlineStr">
        <is>
          <t>BLANCO Elena</t>
        </is>
      </c>
      <c r="Q45" s="196" t="inlineStr">
        <is>
          <t>PRADO Eva</t>
        </is>
      </c>
      <c r="R45" s="196" t="inlineStr">
        <is>
          <t>SANTORI Pablo</t>
        </is>
      </c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inlineStr">
        <is>
          <t>VALLET Martina [Aest]</t>
        </is>
      </c>
      <c r="N48" s="196" t="inlineStr">
        <is>
          <t>VIDMAR Greta [Aest]</t>
        </is>
      </c>
      <c r="O48" s="196" t="inlineStr">
        <is>
          <t>CAMPOS Jonas [AAt]</t>
        </is>
      </c>
      <c r="P48" s="196" t="inlineStr">
        <is>
          <t>GAUTHIER Irene</t>
        </is>
      </c>
      <c r="Q48" s="196" t="inlineStr">
        <is>
          <t>KOVAC Felix</t>
        </is>
      </c>
      <c r="R48" s="196" t="inlineStr">
        <is>
          <t>LEROUX Beatrice</t>
        </is>
      </c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inlineStr">
        <is>
          <t>NAVARRO Gaelle [A]</t>
        </is>
      </c>
      <c r="N51" s="196" t="inlineStr">
        <is>
          <t>KOVAC Diego [AAt]</t>
        </is>
      </c>
      <c r="O51" s="196" t="inlineStr">
        <is>
          <t>KRAJNC Lukas [Aest]</t>
        </is>
      </c>
      <c r="P51" s="196" t="inlineStr">
        <is>
          <t>IGLESIAS Alenka</t>
        </is>
      </c>
      <c r="Q51" s="196" t="inlineStr">
        <is>
          <t>HOFFMANN Tommaso</t>
        </is>
      </c>
      <c r="R51" s="196" t="inlineStr">
        <is>
          <t>ENGEL Tommaso</t>
        </is>
      </c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inlineStr">
        <is>
          <t>ZUPAN Diego [AA]</t>
        </is>
      </c>
      <c r="N54" s="196" t="inlineStr">
        <is>
          <t>AUBERT Beatrice [AA]</t>
        </is>
      </c>
      <c r="O54" s="196" t="inlineStr">
        <is>
          <t>ENGEL Lea [AAt]</t>
        </is>
      </c>
      <c r="P54" s="196" t="inlineStr">
        <is>
          <t>ROTH Lukas</t>
        </is>
      </c>
      <c r="Q54" s="196" t="inlineStr">
        <is>
          <t>FERRANTE Mathilde</t>
        </is>
      </c>
      <c r="R54" s="196" t="inlineStr">
        <is>
          <t>ORTEGA Felix</t>
        </is>
      </c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inlineStr">
        <is>
          <t>SCHAFER Stefano [A]</t>
        </is>
      </c>
      <c r="N57" s="196" t="inlineStr">
        <is>
          <t>PELLEGRI Chiara [AAt]</t>
        </is>
      </c>
      <c r="O57" s="196" t="inlineStr">
        <is>
          <t>CONTARDI Giulia [AAt]</t>
        </is>
      </c>
      <c r="P57" s="196" t="inlineStr">
        <is>
          <t>CASTILLO Davide</t>
        </is>
      </c>
      <c r="Q57" s="196" t="inlineStr">
        <is>
          <t>SANTORI Filippo</t>
        </is>
      </c>
      <c r="R57" s="196" t="inlineStr">
        <is>
          <t>CONTARDI Felix</t>
        </is>
      </c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inlineStr">
        <is>
          <t>CASTILLO Paolo [AAt]</t>
        </is>
      </c>
      <c r="N60" s="196" t="inlineStr">
        <is>
          <t>ROTH Sofia [A]</t>
        </is>
      </c>
      <c r="O60" s="196" t="inlineStr">
        <is>
          <t>HOFFMANN Filippo [AA]</t>
        </is>
      </c>
      <c r="P60" s="196" t="inlineStr">
        <is>
          <t>MOREAU Vid</t>
        </is>
      </c>
      <c r="Q60" s="196" t="inlineStr">
        <is>
          <t>BLANCHET Luca</t>
        </is>
      </c>
      <c r="R60" s="196" t="inlineStr">
        <is>
          <t>HORVAT Matteo</t>
        </is>
      </c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inlineStr">
        <is>
          <t>ORTEGA Elena [Aest]</t>
        </is>
      </c>
      <c r="N63" s="196" t="inlineStr">
        <is>
          <t>KRUGER Sofia [A]</t>
        </is>
      </c>
      <c r="O63" s="196" t="inlineStr">
        <is>
          <t>PRADO Marco [AAt]</t>
        </is>
      </c>
      <c r="P63" s="196" t="inlineStr">
        <is>
          <t>BIANCHELLI Mathilde</t>
        </is>
      </c>
      <c r="Q63" s="196" t="inlineStr">
        <is>
          <t>BRANDT Paolo</t>
        </is>
      </c>
      <c r="R63" s="196" t="inlineStr">
        <is>
          <t>ORTEGA Marta</t>
        </is>
      </c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inlineStr">
        <is>
          <t>ROSSINI Beatrice [Aest]</t>
        </is>
      </c>
      <c r="N66" s="196" t="inlineStr">
        <is>
          <t>FOURNIER Ottavia [A]</t>
        </is>
      </c>
      <c r="O66" s="196" t="inlineStr">
        <is>
          <t>MODIC Lukas [AAt]</t>
        </is>
      </c>
      <c r="P66" s="196" t="inlineStr">
        <is>
          <t>IGLESIAS Paula</t>
        </is>
      </c>
      <c r="Q66" s="196" t="inlineStr">
        <is>
          <t>KELLER Stefano</t>
        </is>
      </c>
      <c r="R66" s="196" t="inlineStr">
        <is>
          <t>ROTH Katrin</t>
        </is>
      </c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inlineStr">
        <is>
          <t>FOURNIER Andrea [AA]</t>
        </is>
      </c>
      <c r="N69" s="196" t="inlineStr">
        <is>
          <t>MARCHIONI Paolo [AAt]</t>
        </is>
      </c>
      <c r="O69" s="196" t="inlineStr">
        <is>
          <t>KELLER Felix [AAt]</t>
        </is>
      </c>
      <c r="P69" s="196" t="inlineStr">
        <is>
          <t>KOVAC Felix</t>
        </is>
      </c>
      <c r="Q69" s="196" t="inlineStr">
        <is>
          <t>BELLANDI Hugo</t>
        </is>
      </c>
      <c r="R69" s="196" t="inlineStr">
        <is>
          <t>LEFEVRE Filippo</t>
        </is>
      </c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inlineStr">
        <is>
          <t>NADAUD Lucia [AA]</t>
        </is>
      </c>
      <c r="N74" s="196" t="inlineStr">
        <is>
          <t>LEFEVRE Paula [A]</t>
        </is>
      </c>
      <c r="O74" s="196" t="inlineStr">
        <is>
          <t>VOGEL Martina [AA]</t>
        </is>
      </c>
      <c r="P74" s="196" t="inlineStr">
        <is>
          <t>SCHAFER Katrin</t>
        </is>
      </c>
      <c r="Q74" s="196" t="inlineStr">
        <is>
          <t>FUENTES Chiara</t>
        </is>
      </c>
      <c r="R74" s="196" t="inlineStr">
        <is>
          <t>NADAUD Nicola</t>
        </is>
      </c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inlineStr">
        <is>
          <t>ROSSINI Martina [AAt]</t>
        </is>
      </c>
      <c r="N77" s="196" t="inlineStr">
        <is>
          <t>LANGER Sofia [A]</t>
        </is>
      </c>
      <c r="O77" s="196" t="inlineStr">
        <is>
          <t>LEROUX Hugo [Aest]</t>
        </is>
      </c>
      <c r="P77" s="196" t="inlineStr">
        <is>
          <t>ROMERO Greta</t>
        </is>
      </c>
      <c r="Q77" s="196" t="inlineStr">
        <is>
          <t>ZUPAN Paula</t>
        </is>
      </c>
      <c r="R77" s="196" t="inlineStr">
        <is>
          <t>LANGER Valerie</t>
        </is>
      </c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inlineStr">
        <is>
          <t>BRANDT Stefano [AAt]</t>
        </is>
      </c>
      <c r="N80" s="196" t="inlineStr">
        <is>
          <t>PELLEGRI Valerie [AA]</t>
        </is>
      </c>
      <c r="O80" s="196" t="inlineStr">
        <is>
          <t>CARON Vid [A]</t>
        </is>
      </c>
      <c r="P80" s="196" t="inlineStr">
        <is>
          <t>KRAJNC Tommaso</t>
        </is>
      </c>
      <c r="Q80" s="196" t="inlineStr">
        <is>
          <t>VOGEL Irene</t>
        </is>
      </c>
      <c r="R80" s="196" t="inlineStr">
        <is>
          <t>GAUTHIER Filippo</t>
        </is>
      </c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inlineStr">
        <is>
          <t>VALLET Felix [A]</t>
        </is>
      </c>
      <c r="N83" s="196" t="inlineStr">
        <is>
          <t>KELLER Chiara [AAt]</t>
        </is>
      </c>
      <c r="O83" s="196" t="inlineStr">
        <is>
          <t>NADAUD Hugo [AAt]</t>
        </is>
      </c>
      <c r="P83" s="196" t="inlineStr">
        <is>
          <t>PETERLIN Martina</t>
        </is>
      </c>
      <c r="Q83" s="196" t="inlineStr">
        <is>
          <t>SANTORI Pablo</t>
        </is>
      </c>
      <c r="R83" s="196" t="inlineStr">
        <is>
          <t>IGLESIAS Paula</t>
        </is>
      </c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inlineStr">
        <is>
          <t>KELLER Andrea [Aest]</t>
        </is>
      </c>
      <c r="N86" s="196" t="inlineStr">
        <is>
          <t>PETERLIN Mathilde [Aest]</t>
        </is>
      </c>
      <c r="O86" s="196" t="inlineStr">
        <is>
          <t>CARON Elena [A]</t>
        </is>
      </c>
      <c r="P86" s="196" t="inlineStr">
        <is>
          <t>NADAUD Ilaria</t>
        </is>
      </c>
      <c r="Q86" s="196" t="inlineStr">
        <is>
          <t>HOFFMANN Paolo</t>
        </is>
      </c>
      <c r="R86" s="196" t="inlineStr">
        <is>
          <t>VIDMAR Chiara</t>
        </is>
      </c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inlineStr">
        <is>
          <t>ENGEL Marco [AA]</t>
        </is>
      </c>
      <c r="N89" s="196" t="inlineStr">
        <is>
          <t>ENGEL Noemi [Aest]</t>
        </is>
      </c>
      <c r="O89" s="196" t="inlineStr">
        <is>
          <t>FUENTES Marta [Aest]</t>
        </is>
      </c>
      <c r="P89" s="196" t="inlineStr">
        <is>
          <t>KELLER Matteo</t>
        </is>
      </c>
      <c r="Q89" s="196" t="inlineStr">
        <is>
          <t>FERRANTE Greta</t>
        </is>
      </c>
      <c r="R89" s="196" t="inlineStr">
        <is>
          <t>AUBERT Paolo</t>
        </is>
      </c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inlineStr">
        <is>
          <t>CARON Elena [A]</t>
        </is>
      </c>
      <c r="N92" s="196" t="inlineStr">
        <is>
          <t>WEBER Andrea [AAt]</t>
        </is>
      </c>
      <c r="O92" s="196" t="inlineStr">
        <is>
          <t>MOREAU Andrea [AAt]</t>
        </is>
      </c>
      <c r="P92" s="196" t="inlineStr">
        <is>
          <t>VALLET Stefano</t>
        </is>
      </c>
      <c r="Q92" s="196" t="inlineStr">
        <is>
          <t>GAUTHIER Andrea</t>
        </is>
      </c>
      <c r="R92" s="196" t="inlineStr">
        <is>
          <t>ROSSINI Pablo</t>
        </is>
      </c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inlineStr">
        <is>
          <t>MARCHIONI Marco [Aest]</t>
        </is>
      </c>
      <c r="N95" s="196" t="inlineStr">
        <is>
          <t>NAVARRO Gaelle [A]</t>
        </is>
      </c>
      <c r="O95" s="196" t="inlineStr">
        <is>
          <t>BIANCHELLI Martina [AAt]</t>
        </is>
      </c>
      <c r="P95" s="196" t="inlineStr">
        <is>
          <t>ROTH Hugo</t>
        </is>
      </c>
      <c r="Q95" s="196" t="inlineStr">
        <is>
          <t>BIANCHELLI Valerie</t>
        </is>
      </c>
      <c r="R95" s="196" t="inlineStr">
        <is>
          <t>NAVARRO Lea</t>
        </is>
      </c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inlineStr">
        <is>
          <t>CONTARDI Marta [Aest]</t>
        </is>
      </c>
      <c r="N98" s="196" t="inlineStr">
        <is>
          <t>ROSSINI Sofia [AA]</t>
        </is>
      </c>
      <c r="O98" s="196" t="inlineStr">
        <is>
          <t>KELLER Felix [AAt]</t>
        </is>
      </c>
      <c r="P98" s="196" t="inlineStr">
        <is>
          <t>HOFFMANN Chiara</t>
        </is>
      </c>
      <c r="Q98" s="196" t="inlineStr">
        <is>
          <t>SEVER Davide</t>
        </is>
      </c>
      <c r="R98" s="196" t="inlineStr">
        <is>
          <t>FOURNIER Elena</t>
        </is>
      </c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inlineStr">
        <is>
          <t>SOLER Stefano [A]</t>
        </is>
      </c>
      <c r="N101" s="196" t="inlineStr">
        <is>
          <t>IGLESIAS Giulia [AAt]</t>
        </is>
      </c>
      <c r="O101" s="196" t="inlineStr">
        <is>
          <t>ROTH Martina [AA]</t>
        </is>
      </c>
      <c r="P101" s="196" t="inlineStr">
        <is>
          <t>KELLER Ottavia</t>
        </is>
      </c>
      <c r="Q101" s="196" t="inlineStr">
        <is>
          <t>HORVAT Matteo</t>
        </is>
      </c>
      <c r="R101" s="196" t="inlineStr">
        <is>
          <t>KELLER Matteo</t>
        </is>
      </c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inlineStr">
        <is>
          <t>HORVAT Marco [AA]</t>
        </is>
      </c>
      <c r="N106" s="196" t="inlineStr">
        <is>
          <t>LEROUX Elena [AA]</t>
        </is>
      </c>
      <c r="O106" s="196" t="inlineStr">
        <is>
          <t>VOGEL Giulia [Aest]</t>
        </is>
      </c>
      <c r="P106" s="196" t="inlineStr">
        <is>
          <t>HORVAT Matteo</t>
        </is>
      </c>
      <c r="Q106" s="196" t="inlineStr">
        <is>
          <t>WEBER Filippo</t>
        </is>
      </c>
      <c r="R106" s="196" t="inlineStr">
        <is>
          <t>CASTILLO Elena</t>
        </is>
      </c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inlineStr">
        <is>
          <t>LEROUX Elena [AA]</t>
        </is>
      </c>
      <c r="N109" s="196" t="inlineStr">
        <is>
          <t>ROMERO Matteo [Aest]</t>
        </is>
      </c>
      <c r="O109" s="196" t="inlineStr">
        <is>
          <t>BIANCHELLI Filippo [AAt]</t>
        </is>
      </c>
      <c r="P109" s="196" t="inlineStr">
        <is>
          <t>VIDMAR Paula</t>
        </is>
      </c>
      <c r="Q109" s="196" t="inlineStr">
        <is>
          <t>VIDMAR Ilaria</t>
        </is>
      </c>
      <c r="R109" s="196" t="inlineStr">
        <is>
          <t>MORETTO Anja</t>
        </is>
      </c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inlineStr">
        <is>
          <t>GAUTHIER Irene [Aest]</t>
        </is>
      </c>
      <c r="N112" s="196" t="inlineStr">
        <is>
          <t>SOLER Marta [AAt]</t>
        </is>
      </c>
      <c r="O112" s="196" t="inlineStr">
        <is>
          <t>BLANCHET Valerie [A]</t>
        </is>
      </c>
      <c r="P112" s="196" t="inlineStr">
        <is>
          <t>FERRANTE Martina</t>
        </is>
      </c>
      <c r="Q112" s="196" t="inlineStr">
        <is>
          <t>VOGEL Davide</t>
        </is>
      </c>
      <c r="R112" s="196" t="inlineStr">
        <is>
          <t>FUENTES Matteo</t>
        </is>
      </c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inlineStr">
        <is>
          <t>CAMPOS Jonas [AAt]</t>
        </is>
      </c>
      <c r="N115" s="196" t="inlineStr">
        <is>
          <t>SOLER Davide [A]</t>
        </is>
      </c>
      <c r="O115" s="196" t="inlineStr">
        <is>
          <t>VOGEL Martina [AA]</t>
        </is>
      </c>
      <c r="P115" s="196" t="inlineStr">
        <is>
          <t>MOREAU Vid</t>
        </is>
      </c>
      <c r="Q115" s="196" t="inlineStr">
        <is>
          <t>BLANCHET Jonas</t>
        </is>
      </c>
      <c r="R115" s="196" t="inlineStr">
        <is>
          <t>BLANCHET Marta</t>
        </is>
      </c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inlineStr">
        <is>
          <t>CASTILLO Lucia [AA]</t>
        </is>
      </c>
      <c r="N118" s="196" t="inlineStr">
        <is>
          <t>MARCHIONI Miha [Aest]</t>
        </is>
      </c>
      <c r="O118" s="196" t="inlineStr">
        <is>
          <t>FOURNIER Tommaso [AA]</t>
        </is>
      </c>
      <c r="P118" s="196" t="inlineStr">
        <is>
          <t>VALLET Miha</t>
        </is>
      </c>
      <c r="Q118" s="196" t="inlineStr">
        <is>
          <t>CASTILLO Noemi</t>
        </is>
      </c>
      <c r="R118" s="196" t="inlineStr">
        <is>
          <t>MOREAU Vid</t>
        </is>
      </c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inlineStr">
        <is>
          <t>KRAJNC Lukas [Aest]</t>
        </is>
      </c>
      <c r="N121" s="196" t="inlineStr">
        <is>
          <t>KRUGER Ilaria [A]</t>
        </is>
      </c>
      <c r="O121" s="196" t="inlineStr">
        <is>
          <t>GALLINI Lukas [AA]</t>
        </is>
      </c>
      <c r="P121" s="196" t="inlineStr">
        <is>
          <t>GAUTHIER Andrea</t>
        </is>
      </c>
      <c r="Q121" s="196" t="inlineStr">
        <is>
          <t>GAUTHIER Irene</t>
        </is>
      </c>
      <c r="R121" s="196" t="inlineStr">
        <is>
          <t>PRADO Elena</t>
        </is>
      </c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inlineStr">
        <is>
          <t>ENGEL Stefano [AAt]</t>
        </is>
      </c>
      <c r="N124" s="196" t="inlineStr">
        <is>
          <t>KRUGER Gaelle [AAt]</t>
        </is>
      </c>
      <c r="O124" s="196" t="inlineStr">
        <is>
          <t>LEROUX Hugo [Aest]</t>
        </is>
      </c>
      <c r="P124" s="196" t="inlineStr">
        <is>
          <t>ENGEL Nicola</t>
        </is>
      </c>
      <c r="Q124" s="196" t="inlineStr">
        <is>
          <t>MARCHIONI Nicola</t>
        </is>
      </c>
      <c r="R124" s="196" t="inlineStr">
        <is>
          <t>LEROUX Gaelle</t>
        </is>
      </c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inlineStr">
        <is>
          <t>FOURNIER Tommaso [AA]</t>
        </is>
      </c>
      <c r="N127" s="196" t="inlineStr">
        <is>
          <t>SEVER Diego [A]</t>
        </is>
      </c>
      <c r="O127" s="196" t="inlineStr">
        <is>
          <t>LEROUX Diego [AAt]</t>
        </is>
      </c>
      <c r="P127" s="196" t="inlineStr">
        <is>
          <t>BIANCHELLI Davide</t>
        </is>
      </c>
      <c r="Q127" s="196" t="inlineStr">
        <is>
          <t>LEROUX Paolo</t>
        </is>
      </c>
      <c r="R127" s="196" t="inlineStr">
        <is>
          <t>WEBER Irene</t>
        </is>
      </c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inlineStr">
        <is>
          <t>BLANCHET Diego [A]</t>
        </is>
      </c>
      <c r="N130" s="196" t="inlineStr">
        <is>
          <t>VIDMAR Noemi [AA]</t>
        </is>
      </c>
      <c r="O130" s="196" t="inlineStr">
        <is>
          <t>KRUGER Sofia [A]</t>
        </is>
      </c>
      <c r="P130" s="196" t="inlineStr">
        <is>
          <t>SOLER Pablo</t>
        </is>
      </c>
      <c r="Q130" s="196" t="inlineStr">
        <is>
          <t>SOLER Stefano</t>
        </is>
      </c>
      <c r="R130" s="196" t="inlineStr">
        <is>
          <t>BLANCO Eva</t>
        </is>
      </c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inlineStr">
        <is>
          <t>MORETTO Jonas [AAt]</t>
        </is>
      </c>
      <c r="N133" s="196" t="inlineStr">
        <is>
          <t>VIDMAR Noemi [AA]</t>
        </is>
      </c>
      <c r="O133" s="196" t="inlineStr">
        <is>
          <t>GALLINI Gaelle [A]</t>
        </is>
      </c>
      <c r="P133" s="196" t="inlineStr">
        <is>
          <t>PRADO Eva</t>
        </is>
      </c>
      <c r="Q133" s="196" t="inlineStr">
        <is>
          <t>MODIC Marco</t>
        </is>
      </c>
      <c r="R133" s="196" t="inlineStr">
        <is>
          <t>SCHAFER Sofia</t>
        </is>
      </c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inlineStr">
        <is>
          <t>PRADO Marco [AAt]</t>
        </is>
      </c>
      <c r="N138" s="196" t="inlineStr">
        <is>
          <t>BELLANDI Vid [Aest]</t>
        </is>
      </c>
      <c r="O138" s="196" t="inlineStr">
        <is>
          <t>ROSSINI Paula [AAt]</t>
        </is>
      </c>
      <c r="P138" s="196" t="inlineStr">
        <is>
          <t>PELLEGRI Eva</t>
        </is>
      </c>
      <c r="Q138" s="196" t="inlineStr">
        <is>
          <t>SEVER Davide</t>
        </is>
      </c>
      <c r="R138" s="196" t="inlineStr">
        <is>
          <t>BELLANDI Hugo</t>
        </is>
      </c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inlineStr">
        <is>
          <t>NAVARRO Miha [A]</t>
        </is>
      </c>
      <c r="N141" s="196" t="inlineStr">
        <is>
          <t>FUENTES Marta [Aest]</t>
        </is>
      </c>
      <c r="O141" s="196" t="inlineStr">
        <is>
          <t>MARCHIONI Matteo [AAt]</t>
        </is>
      </c>
      <c r="P141" s="196" t="inlineStr">
        <is>
          <t>PRADO Lea</t>
        </is>
      </c>
      <c r="Q141" s="196" t="inlineStr">
        <is>
          <t>VOGEL Sofia</t>
        </is>
      </c>
      <c r="R141" s="196" t="inlineStr">
        <is>
          <t>ENGEL Ottavia</t>
        </is>
      </c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inlineStr">
        <is>
          <t>NADAUD Hugo [AAt]</t>
        </is>
      </c>
      <c r="N144" s="196" t="inlineStr">
        <is>
          <t>KRAJNC Marta [Aest]</t>
        </is>
      </c>
      <c r="O144" s="196" t="inlineStr">
        <is>
          <t>CONTARDI Beatrice [AAt]</t>
        </is>
      </c>
      <c r="P144" s="196" t="inlineStr">
        <is>
          <t>HORVAT Lukas</t>
        </is>
      </c>
      <c r="Q144" s="196" t="inlineStr">
        <is>
          <t>GAUTHIER Pablo</t>
        </is>
      </c>
      <c r="R144" s="196" t="inlineStr">
        <is>
          <t>ROMERO Greta</t>
        </is>
      </c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inlineStr">
        <is>
          <t>KRUGER Lea [AA]</t>
        </is>
      </c>
      <c r="N147" s="196" t="inlineStr">
        <is>
          <t>KELLER Mathilde [Aest]</t>
        </is>
      </c>
      <c r="O147" s="196" t="inlineStr">
        <is>
          <t>PELLEGRI Paolo [AAt]</t>
        </is>
      </c>
      <c r="P147" s="196" t="inlineStr">
        <is>
          <t>KELLER Ottavia</t>
        </is>
      </c>
      <c r="Q147" s="196" t="inlineStr">
        <is>
          <t>SEVER Davide</t>
        </is>
      </c>
      <c r="R147" s="196" t="inlineStr">
        <is>
          <t>SOLER Marta</t>
        </is>
      </c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inlineStr">
        <is>
          <t>PRADO Marco [AAt]</t>
        </is>
      </c>
      <c r="N150" s="196" t="inlineStr">
        <is>
          <t>LEROUX Hugo [Aest]</t>
        </is>
      </c>
      <c r="O150" s="196" t="inlineStr">
        <is>
          <t>VOGEL Andrea [A]</t>
        </is>
      </c>
      <c r="P150" s="196" t="inlineStr">
        <is>
          <t>BIANCHELLI Davide</t>
        </is>
      </c>
      <c r="Q150" s="196" t="inlineStr">
        <is>
          <t>FERRANTE Andrea</t>
        </is>
      </c>
      <c r="R150" s="196" t="inlineStr">
        <is>
          <t>ZUPAN Katrin</t>
        </is>
      </c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inlineStr">
        <is>
          <t>WEBER Nicola [AAt]</t>
        </is>
      </c>
      <c r="N153" s="196" t="inlineStr">
        <is>
          <t>KRAJNC Lukas [Aest]</t>
        </is>
      </c>
      <c r="O153" s="196" t="inlineStr">
        <is>
          <t>PELLEGRI Valerie [AA]</t>
        </is>
      </c>
      <c r="P153" s="196" t="inlineStr">
        <is>
          <t>NAVARRO Lea</t>
        </is>
      </c>
      <c r="Q153" s="196" t="inlineStr">
        <is>
          <t>FOURNIER Elena</t>
        </is>
      </c>
      <c r="R153" s="196" t="inlineStr">
        <is>
          <t>ENGEL Mathilde</t>
        </is>
      </c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inlineStr">
        <is>
          <t>MOREAU Martina [Aest]</t>
        </is>
      </c>
      <c r="N156" s="196" t="inlineStr">
        <is>
          <t>GALLINI Gaelle [A]</t>
        </is>
      </c>
      <c r="O156" s="196" t="inlineStr">
        <is>
          <t>WEBER Lucia [AA]</t>
        </is>
      </c>
      <c r="P156" s="196" t="inlineStr">
        <is>
          <t>BLANCO Lukas</t>
        </is>
      </c>
      <c r="Q156" s="196" t="inlineStr">
        <is>
          <t>HORVAT Pablo</t>
        </is>
      </c>
      <c r="R156" s="196" t="inlineStr">
        <is>
          <t>FERRANTE Andrea</t>
        </is>
      </c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inlineStr">
        <is>
          <t>ENGEL Diego [A]</t>
        </is>
      </c>
      <c r="N159" s="196" t="inlineStr">
        <is>
          <t>MODIC Lukas [AAt]</t>
        </is>
      </c>
      <c r="O159" s="196" t="inlineStr">
        <is>
          <t>MARCHIONI Lea [AAt]</t>
        </is>
      </c>
      <c r="P159" s="196" t="inlineStr">
        <is>
          <t>ROMERO Giulia</t>
        </is>
      </c>
      <c r="Q159" s="196" t="inlineStr">
        <is>
          <t>KRUGER Giulia</t>
        </is>
      </c>
      <c r="R159" s="196" t="inlineStr">
        <is>
          <t>ZUPAN Paula</t>
        </is>
      </c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inlineStr">
        <is>
          <t>KRAJNC Lukas [Aest]</t>
        </is>
      </c>
      <c r="N162" s="196" t="inlineStr">
        <is>
          <t>CAMPOS Ilaria [A]</t>
        </is>
      </c>
      <c r="O162" s="196" t="inlineStr">
        <is>
          <t>LEFEVRE Filippo [AA]</t>
        </is>
      </c>
      <c r="P162" s="196" t="inlineStr">
        <is>
          <t>ORTEGA Andrea</t>
        </is>
      </c>
      <c r="Q162" s="196" t="inlineStr">
        <is>
          <t>SANTORI Pablo</t>
        </is>
      </c>
      <c r="R162" s="196" t="inlineStr">
        <is>
          <t>ROMERO Alenka</t>
        </is>
      </c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inlineStr">
        <is>
          <t>LEFEVRE Vid [A]</t>
        </is>
      </c>
      <c r="N165" s="196" t="inlineStr">
        <is>
          <t>SOLER Davide [A]</t>
        </is>
      </c>
      <c r="O165" s="196" t="inlineStr">
        <is>
          <t>FUENTES Katrin [A]</t>
        </is>
      </c>
      <c r="P165" s="196" t="inlineStr">
        <is>
          <t>OBLAK Anja</t>
        </is>
      </c>
      <c r="Q165" s="196" t="inlineStr">
        <is>
          <t>FOURNIER Lea</t>
        </is>
      </c>
      <c r="R165" s="196" t="inlineStr">
        <is>
          <t>WEBER Andrea</t>
        </is>
      </c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inlineStr">
        <is>
          <t>NADAUD Elena [AA]</t>
        </is>
      </c>
      <c r="N170" s="196" t="inlineStr">
        <is>
          <t>BIANCHELLI Tommaso [A]</t>
        </is>
      </c>
      <c r="O170" s="196" t="inlineStr">
        <is>
          <t>ROSSINI Beatrice [Aest]</t>
        </is>
      </c>
      <c r="P170" s="196" t="inlineStr">
        <is>
          <t>NAVARRO Pablo</t>
        </is>
      </c>
      <c r="Q170" s="196" t="inlineStr">
        <is>
          <t>KRAJNC Nicola</t>
        </is>
      </c>
      <c r="R170" s="196" t="inlineStr">
        <is>
          <t>BELLANDI Hugo</t>
        </is>
      </c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inlineStr">
        <is>
          <t>OBLAK Valerie [AA]</t>
        </is>
      </c>
      <c r="N173" s="196" t="inlineStr">
        <is>
          <t>KELLER Andrea [Aest]</t>
        </is>
      </c>
      <c r="O173" s="196" t="inlineStr">
        <is>
          <t>CONTARDI Beatrice [AAt]</t>
        </is>
      </c>
      <c r="P173" s="196" t="inlineStr">
        <is>
          <t>ORTEGA Ilaria</t>
        </is>
      </c>
      <c r="Q173" s="196" t="inlineStr">
        <is>
          <t>ROSSINI Sofia</t>
        </is>
      </c>
      <c r="R173" s="196" t="inlineStr">
        <is>
          <t>SEVER Giulia</t>
        </is>
      </c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inlineStr">
        <is>
          <t>MODIC Chiara [AA]</t>
        </is>
      </c>
      <c r="N176" s="196" t="inlineStr">
        <is>
          <t>MORETTO Jonas [AAt]</t>
        </is>
      </c>
      <c r="O176" s="196" t="inlineStr">
        <is>
          <t>SOLER Mathilde [AA]</t>
        </is>
      </c>
      <c r="P176" s="196" t="inlineStr">
        <is>
          <t>VIDMAR Matteo</t>
        </is>
      </c>
      <c r="Q176" s="196" t="inlineStr">
        <is>
          <t>IGLESIAS Jonas</t>
        </is>
      </c>
      <c r="R176" s="196" t="inlineStr">
        <is>
          <t>VIDMAR Felix</t>
        </is>
      </c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inlineStr">
        <is>
          <t>NADAUD Hugo [AAt]</t>
        </is>
      </c>
      <c r="N179" s="196" t="inlineStr">
        <is>
          <t>NAVARRO Irene [Aest]</t>
        </is>
      </c>
      <c r="O179" s="196" t="inlineStr">
        <is>
          <t>KRUGER Sofia [A]</t>
        </is>
      </c>
      <c r="P179" s="196" t="inlineStr">
        <is>
          <t>KELLER Ottavia</t>
        </is>
      </c>
      <c r="Q179" s="196" t="inlineStr">
        <is>
          <t>CARON Anja</t>
        </is>
      </c>
      <c r="R179" s="196" t="inlineStr">
        <is>
          <t>ORTEGA Andrea</t>
        </is>
      </c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inlineStr">
        <is>
          <t>NADAUD Greta [A]</t>
        </is>
      </c>
      <c r="N182" s="196" t="inlineStr">
        <is>
          <t>OBLAK Mathilde [A]</t>
        </is>
      </c>
      <c r="O182" s="196" t="inlineStr">
        <is>
          <t>PRADO Diego [Aest]</t>
        </is>
      </c>
      <c r="P182" s="196" t="inlineStr">
        <is>
          <t>SEVER Greta</t>
        </is>
      </c>
      <c r="Q182" s="196" t="inlineStr">
        <is>
          <t>KRUGER Vid</t>
        </is>
      </c>
      <c r="R182" s="196" t="inlineStr">
        <is>
          <t>CASTILLO Noemi</t>
        </is>
      </c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inlineStr">
        <is>
          <t>MARCHIONI Lea [AAt]</t>
        </is>
      </c>
      <c r="N185" s="196" t="inlineStr">
        <is>
          <t>VALLET Gaelle [Aest]</t>
        </is>
      </c>
      <c r="O185" s="196" t="inlineStr">
        <is>
          <t>GAUTHIER Davide [AA]</t>
        </is>
      </c>
      <c r="P185" s="196" t="inlineStr">
        <is>
          <t>FERRANTE Stefano</t>
        </is>
      </c>
      <c r="Q185" s="196" t="inlineStr">
        <is>
          <t>PRADO Hugo</t>
        </is>
      </c>
      <c r="R185" s="196" t="inlineStr">
        <is>
          <t>ENGEL Lucia</t>
        </is>
      </c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inlineStr">
        <is>
          <t>HORVAT Davide [Aest]</t>
        </is>
      </c>
      <c r="N188" s="196" t="inlineStr">
        <is>
          <t>SOLER Davide [A]</t>
        </is>
      </c>
      <c r="O188" s="196" t="inlineStr">
        <is>
          <t>LEROUX Hugo [Aest]</t>
        </is>
      </c>
      <c r="P188" s="196" t="inlineStr">
        <is>
          <t>PRADO Elena</t>
        </is>
      </c>
      <c r="Q188" s="196" t="inlineStr">
        <is>
          <t>BELLANDI Lucia</t>
        </is>
      </c>
      <c r="R188" s="196" t="inlineStr">
        <is>
          <t>SOLER Stefano</t>
        </is>
      </c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inlineStr">
        <is>
          <t>NADAUD Elena [AA]</t>
        </is>
      </c>
      <c r="N191" s="196" t="inlineStr">
        <is>
          <t>ZUPAN Diego [AA]</t>
        </is>
      </c>
      <c r="O191" s="196" t="inlineStr">
        <is>
          <t>KELLER Beatrice [AAt]</t>
        </is>
      </c>
      <c r="P191" s="196" t="inlineStr">
        <is>
          <t>OBLAK Chiara</t>
        </is>
      </c>
      <c r="Q191" s="196" t="inlineStr">
        <is>
          <t>SOLER Gaelle</t>
        </is>
      </c>
      <c r="R191" s="196" t="inlineStr">
        <is>
          <t>KRUGER Paolo</t>
        </is>
      </c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inlineStr">
        <is>
          <t>BRANDT Stefano [AAt]</t>
        </is>
      </c>
      <c r="N194" s="196" t="inlineStr">
        <is>
          <t>FOURNIER Ottavia [A]</t>
        </is>
      </c>
      <c r="O194" s="196" t="inlineStr">
        <is>
          <t>BELLANDI Marta [A]</t>
        </is>
      </c>
      <c r="P194" s="196" t="inlineStr">
        <is>
          <t>FOURNIER Stefano</t>
        </is>
      </c>
      <c r="Q194" s="196" t="inlineStr">
        <is>
          <t>GALLINI Irene</t>
        </is>
      </c>
      <c r="R194" s="196" t="inlineStr">
        <is>
          <t>SEVER Nicola</t>
        </is>
      </c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inlineStr">
        <is>
          <t>IGLESIAS Marco [AAt]</t>
        </is>
      </c>
      <c r="N197" s="196" t="inlineStr">
        <is>
          <t>GALLINI Elena [AAt]</t>
        </is>
      </c>
      <c r="O197" s="196" t="inlineStr">
        <is>
          <t>HORVAT Ottavia [A]</t>
        </is>
      </c>
      <c r="P197" s="196" t="inlineStr">
        <is>
          <t>GAUTHIER Diego</t>
        </is>
      </c>
      <c r="Q197" s="196" t="inlineStr">
        <is>
          <t>GAUTHIER Filippo</t>
        </is>
      </c>
      <c r="R197" s="196" t="inlineStr">
        <is>
          <t>VOGEL Martina</t>
        </is>
      </c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inlineStr">
        <is>
          <t>ENGEL Marco [AA]</t>
        </is>
      </c>
      <c r="N202" s="196" t="inlineStr">
        <is>
          <t>BLANCHET Anja [AA]</t>
        </is>
      </c>
      <c r="O202" s="196" t="inlineStr">
        <is>
          <t>SOLER Alenka [A]</t>
        </is>
      </c>
      <c r="P202" s="196" t="inlineStr">
        <is>
          <t>NAVARRO Luca</t>
        </is>
      </c>
      <c r="Q202" s="196" t="inlineStr">
        <is>
          <t>CARON Diego</t>
        </is>
      </c>
      <c r="R202" s="196" t="inlineStr">
        <is>
          <t>KOVAC Martina</t>
        </is>
      </c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inlineStr">
        <is>
          <t>AUBERT Lucia [AAt]</t>
        </is>
      </c>
      <c r="N205" s="196" t="inlineStr">
        <is>
          <t>NADAUD Greta [A]</t>
        </is>
      </c>
      <c r="O205" s="196" t="inlineStr">
        <is>
          <t>CARON Giulia [AAt]</t>
        </is>
      </c>
      <c r="P205" s="196" t="inlineStr">
        <is>
          <t>FOURNIER Stefano</t>
        </is>
      </c>
      <c r="Q205" s="196" t="inlineStr">
        <is>
          <t>MARCHIONI Mathilde</t>
        </is>
      </c>
      <c r="R205" s="196" t="inlineStr">
        <is>
          <t>SOLER Marta</t>
        </is>
      </c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inlineStr">
        <is>
          <t>HORVAT Giulia [A]</t>
        </is>
      </c>
      <c r="N208" s="196" t="inlineStr">
        <is>
          <t>MARCHIONI Filippo [AAt]</t>
        </is>
      </c>
      <c r="O208" s="196" t="inlineStr">
        <is>
          <t>VIDMAR Eva [AA]</t>
        </is>
      </c>
      <c r="P208" s="196" t="inlineStr">
        <is>
          <t>FOURNIER Paula</t>
        </is>
      </c>
      <c r="Q208" s="196" t="inlineStr">
        <is>
          <t>LEFEVRE Mathilde</t>
        </is>
      </c>
      <c r="R208" s="196" t="inlineStr">
        <is>
          <t>MOREAU Vid</t>
        </is>
      </c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inlineStr">
        <is>
          <t>ENGEL Luca [AA]</t>
        </is>
      </c>
      <c r="N211" s="196" t="inlineStr">
        <is>
          <t>KOVAC Miha [Aest]</t>
        </is>
      </c>
      <c r="O211" s="196" t="inlineStr">
        <is>
          <t>LEROUX Lea [Aest]</t>
        </is>
      </c>
      <c r="P211" s="196" t="inlineStr">
        <is>
          <t>LANGER Valerie</t>
        </is>
      </c>
      <c r="Q211" s="196" t="inlineStr">
        <is>
          <t>LEFEVRE Alenka</t>
        </is>
      </c>
      <c r="R211" s="196" t="inlineStr">
        <is>
          <t>ENGEL Ottavia</t>
        </is>
      </c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inlineStr">
        <is>
          <t>ROTH Lucia [A]</t>
        </is>
      </c>
      <c r="N214" s="196" t="inlineStr">
        <is>
          <t>MODIC Lukas [AAt]</t>
        </is>
      </c>
      <c r="O214" s="196" t="inlineStr">
        <is>
          <t>GAUTHIER Alenka [Aest]</t>
        </is>
      </c>
      <c r="P214" s="196" t="inlineStr">
        <is>
          <t>KRUGER Giulia</t>
        </is>
      </c>
      <c r="Q214" s="196" t="inlineStr">
        <is>
          <t>BELLANDI Greta</t>
        </is>
      </c>
      <c r="R214" s="196" t="inlineStr">
        <is>
          <t>KRUGER Vid</t>
        </is>
      </c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inlineStr">
        <is>
          <t>AUBERT Martina [AA]</t>
        </is>
      </c>
      <c r="N217" s="196" t="inlineStr">
        <is>
          <t>ROSSINI Alenka [AAt]</t>
        </is>
      </c>
      <c r="O217" s="196" t="inlineStr">
        <is>
          <t>CONTARDI Beatrice [AAt]</t>
        </is>
      </c>
      <c r="P217" s="196" t="inlineStr">
        <is>
          <t>WEBER Nicola</t>
        </is>
      </c>
      <c r="Q217" s="196" t="inlineStr">
        <is>
          <t>FERRANTE Greta</t>
        </is>
      </c>
      <c r="R217" s="196" t="inlineStr">
        <is>
          <t>PRADO Lea</t>
        </is>
      </c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inlineStr">
        <is>
          <t>LANGER Ilaria [Aest]</t>
        </is>
      </c>
      <c r="N220" s="196" t="inlineStr">
        <is>
          <t>CONTARDI Marta [Aest]</t>
        </is>
      </c>
      <c r="O220" s="196" t="inlineStr">
        <is>
          <t>BIANCHELLI Paolo [AA]</t>
        </is>
      </c>
      <c r="P220" s="196" t="inlineStr">
        <is>
          <t>IGLESIAS Jonas</t>
        </is>
      </c>
      <c r="Q220" s="196" t="inlineStr">
        <is>
          <t>ROSSINI Stefano</t>
        </is>
      </c>
      <c r="R220" s="196" t="inlineStr">
        <is>
          <t>SANTORI Jonas</t>
        </is>
      </c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inlineStr">
        <is>
          <t>WEBER Matteo [A]</t>
        </is>
      </c>
      <c r="N223" s="196" t="inlineStr">
        <is>
          <t>BIANCHELLI Felix [Aest]</t>
        </is>
      </c>
      <c r="O223" s="196" t="inlineStr">
        <is>
          <t>ROSSINI Martina [AAt]</t>
        </is>
      </c>
      <c r="P223" s="196" t="inlineStr">
        <is>
          <t>CASTILLO Alenka</t>
        </is>
      </c>
      <c r="Q223" s="196" t="inlineStr">
        <is>
          <t>BELLANDI Lukas</t>
        </is>
      </c>
      <c r="R223" s="196" t="inlineStr">
        <is>
          <t>NAVARRO Lea</t>
        </is>
      </c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inlineStr">
        <is>
          <t>CONTARDI Mathilde [A]</t>
        </is>
      </c>
      <c r="N226" s="196" t="inlineStr">
        <is>
          <t>ENGEL Diego [A]</t>
        </is>
      </c>
      <c r="O226" s="196" t="inlineStr">
        <is>
          <t>ENGEL Filippo [A]</t>
        </is>
      </c>
      <c r="P226" s="196" t="inlineStr">
        <is>
          <t>SCHAFER Lea</t>
        </is>
      </c>
      <c r="Q226" s="196" t="inlineStr">
        <is>
          <t>ZUPAN Paula</t>
        </is>
      </c>
      <c r="R226" s="196" t="inlineStr">
        <is>
          <t>WEBER Andrea</t>
        </is>
      </c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inlineStr">
        <is>
          <t>CARON Paolo [AA]</t>
        </is>
      </c>
      <c r="N229" s="196" t="inlineStr">
        <is>
          <t>SCHAFER Giulia [AA]</t>
        </is>
      </c>
      <c r="O229" s="196" t="inlineStr">
        <is>
          <t>ZUPAN Felix [AAt]</t>
        </is>
      </c>
      <c r="P229" s="196" t="inlineStr">
        <is>
          <t>SEVER Giulia</t>
        </is>
      </c>
      <c r="Q229" s="196" t="inlineStr">
        <is>
          <t>NOVAK Giulia</t>
        </is>
      </c>
      <c r="R229" s="196" t="inlineStr">
        <is>
          <t>BLANCO Eva</t>
        </is>
      </c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inlineStr">
        <is>
          <t>VIDMAR Stefano [AAt]</t>
        </is>
      </c>
      <c r="N234" s="196" t="inlineStr">
        <is>
          <t>NADAUD Elena [AA]</t>
        </is>
      </c>
      <c r="O234" s="196" t="inlineStr">
        <is>
          <t>FUENTES Lukas [Aest]</t>
        </is>
      </c>
      <c r="P234" s="196" t="inlineStr">
        <is>
          <t>CARON Anja</t>
        </is>
      </c>
      <c r="Q234" s="196" t="inlineStr">
        <is>
          <t>ZUPAN Luca</t>
        </is>
      </c>
      <c r="R234" s="196" t="inlineStr">
        <is>
          <t>SANTORI Gaelle</t>
        </is>
      </c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inlineStr">
        <is>
          <t>BELLANDI Chiara [Aest]</t>
        </is>
      </c>
      <c r="N237" s="196" t="inlineStr">
        <is>
          <t>NOVAK Felix [A]</t>
        </is>
      </c>
      <c r="O237" s="196" t="inlineStr">
        <is>
          <t>BELLANDI Ottavia [Aest]</t>
        </is>
      </c>
      <c r="P237" s="196" t="inlineStr">
        <is>
          <t>FOURNIER Stefano</t>
        </is>
      </c>
      <c r="Q237" s="196" t="inlineStr">
        <is>
          <t>ENGEL Martina</t>
        </is>
      </c>
      <c r="R237" s="196" t="inlineStr">
        <is>
          <t>ORTEGA Felix</t>
        </is>
      </c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inlineStr">
        <is>
          <t>HOFFMANN Marco [Aest]</t>
        </is>
      </c>
      <c r="N240" s="196" t="inlineStr">
        <is>
          <t>GAUTHIER Elena [AA]</t>
        </is>
      </c>
      <c r="O240" s="196" t="inlineStr">
        <is>
          <t>CAMPOS Ottavia [A]</t>
        </is>
      </c>
      <c r="P240" s="196" t="inlineStr">
        <is>
          <t>HOFFMANN Paolo</t>
        </is>
      </c>
      <c r="Q240" s="196" t="inlineStr">
        <is>
          <t>BRANDT Paolo</t>
        </is>
      </c>
      <c r="R240" s="196" t="inlineStr">
        <is>
          <t>BLANCHET Alenka</t>
        </is>
      </c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inlineStr">
        <is>
          <t>SCHAFER Eva [AA]</t>
        </is>
      </c>
      <c r="N243" s="196" t="inlineStr">
        <is>
          <t>SEVER Diego [A]</t>
        </is>
      </c>
      <c r="O243" s="196" t="inlineStr">
        <is>
          <t>OBLAK Stefano [AA]</t>
        </is>
      </c>
      <c r="P243" s="196" t="inlineStr">
        <is>
          <t>SCHAFER Ottavia</t>
        </is>
      </c>
      <c r="Q243" s="196" t="inlineStr">
        <is>
          <t>NOVAK Lukas</t>
        </is>
      </c>
      <c r="R243" s="196" t="inlineStr">
        <is>
          <t>NADAUD Jonas</t>
        </is>
      </c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inlineStr">
        <is>
          <t>LEFEVRE Sofia [AAt]</t>
        </is>
      </c>
      <c r="N246" s="196" t="inlineStr">
        <is>
          <t>BELLANDI Vid [Aest]</t>
        </is>
      </c>
      <c r="O246" s="196" t="inlineStr">
        <is>
          <t>KELLER Marta [AAt]</t>
        </is>
      </c>
      <c r="P246" s="196" t="inlineStr">
        <is>
          <t>BLANCO Giulia</t>
        </is>
      </c>
      <c r="Q246" s="196" t="inlineStr">
        <is>
          <t>ORTEGA Stefano</t>
        </is>
      </c>
      <c r="R246" s="196" t="inlineStr">
        <is>
          <t>LEFEVRE Tommaso</t>
        </is>
      </c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inlineStr">
        <is>
          <t>GALLINI Lukas [AA]</t>
        </is>
      </c>
      <c r="N249" s="196" t="inlineStr">
        <is>
          <t>LANGER Sofia [A]</t>
        </is>
      </c>
      <c r="O249" s="196" t="inlineStr">
        <is>
          <t>LEFEVRE Paula [A]</t>
        </is>
      </c>
      <c r="P249" s="196" t="inlineStr">
        <is>
          <t>SOLER Stefano</t>
        </is>
      </c>
      <c r="Q249" s="196" t="inlineStr">
        <is>
          <t>FERRANTE Felix</t>
        </is>
      </c>
      <c r="R249" s="196" t="inlineStr">
        <is>
          <t>LEFEVRE Ilaria</t>
        </is>
      </c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inlineStr">
        <is>
          <t>BLANCHET Anja [AA]</t>
        </is>
      </c>
      <c r="N252" s="196" t="inlineStr">
        <is>
          <t>VALLET Martina [Aest]</t>
        </is>
      </c>
      <c r="O252" s="196" t="inlineStr">
        <is>
          <t>PRADO Marta [AAt]</t>
        </is>
      </c>
      <c r="P252" s="196" t="inlineStr">
        <is>
          <t>KELLER Alenka</t>
        </is>
      </c>
      <c r="Q252" s="196" t="inlineStr">
        <is>
          <t>VIDMAR Diego</t>
        </is>
      </c>
      <c r="R252" s="196" t="inlineStr">
        <is>
          <t>LANGER Katrin</t>
        </is>
      </c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inlineStr">
        <is>
          <t>CAMPOS Anja [Aest]</t>
        </is>
      </c>
      <c r="N255" s="196" t="inlineStr">
        <is>
          <t>VALLET Tommaso [AAt]</t>
        </is>
      </c>
      <c r="O255" s="196" t="inlineStr">
        <is>
          <t>BIANCHELLI Martina [AAt]</t>
        </is>
      </c>
      <c r="P255" s="196" t="inlineStr">
        <is>
          <t>PRADO Stefano</t>
        </is>
      </c>
      <c r="Q255" s="196" t="inlineStr">
        <is>
          <t>MORETTO Noemi</t>
        </is>
      </c>
      <c r="R255" s="196" t="inlineStr">
        <is>
          <t>BELLANDI Irene</t>
        </is>
      </c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inlineStr">
        <is>
          <t>SANTORI Jonas [Aest]</t>
        </is>
      </c>
      <c r="N258" s="196" t="inlineStr">
        <is>
          <t>MORETTO Jonas [AAt]</t>
        </is>
      </c>
      <c r="O258" s="196" t="inlineStr">
        <is>
          <t>ROTH Lucia [A]</t>
        </is>
      </c>
      <c r="P258" s="196" t="inlineStr">
        <is>
          <t>NADAUD Marco</t>
        </is>
      </c>
      <c r="Q258" s="196" t="inlineStr">
        <is>
          <t>ROMERO Felix</t>
        </is>
      </c>
      <c r="R258" s="196" t="inlineStr">
        <is>
          <t>LEFEVRE Tommaso</t>
        </is>
      </c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inlineStr">
        <is>
          <t>MARCHIONI Filippo [AAt]</t>
        </is>
      </c>
      <c r="N261" s="196" t="inlineStr">
        <is>
          <t>GALLINI Valerie [AA]</t>
        </is>
      </c>
      <c r="O261" s="196" t="inlineStr">
        <is>
          <t>CONTARDI Lea [AAt]</t>
        </is>
      </c>
      <c r="P261" s="196" t="inlineStr">
        <is>
          <t>VIDMAR Chiara</t>
        </is>
      </c>
      <c r="Q261" s="196" t="inlineStr">
        <is>
          <t>BIANCHELLI Valerie</t>
        </is>
      </c>
      <c r="R261" s="196" t="inlineStr">
        <is>
          <t>MARCHIONI Miha</t>
        </is>
      </c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inlineStr">
        <is>
          <t>KRUGER Greta [A]</t>
        </is>
      </c>
      <c r="N266" s="196" t="inlineStr">
        <is>
          <t>MORETTO Anja [Aest]</t>
        </is>
      </c>
      <c r="O266" s="196" t="inlineStr">
        <is>
          <t>MORETTO Chiara [A]</t>
        </is>
      </c>
      <c r="P266" s="196" t="inlineStr">
        <is>
          <t>IGLESIAS Hugo</t>
        </is>
      </c>
      <c r="Q266" s="196" t="inlineStr">
        <is>
          <t>BLANCO Diego</t>
        </is>
      </c>
      <c r="R266" s="196" t="inlineStr">
        <is>
          <t>ZUPAN Luca</t>
        </is>
      </c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inlineStr">
        <is>
          <t>BLANCHET Diego [A]</t>
        </is>
      </c>
      <c r="N269" s="196" t="inlineStr">
        <is>
          <t>VIDMAR Noemi [AA]</t>
        </is>
      </c>
      <c r="O269" s="196" t="inlineStr">
        <is>
          <t>MOREAU Katrin [A]</t>
        </is>
      </c>
      <c r="P269" s="196" t="inlineStr">
        <is>
          <t>BLANCO Giulia</t>
        </is>
      </c>
      <c r="Q269" s="196" t="inlineStr">
        <is>
          <t>KRUGER Vid</t>
        </is>
      </c>
      <c r="R269" s="196" t="inlineStr">
        <is>
          <t>ROTH Lucia</t>
        </is>
      </c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inlineStr">
        <is>
          <t>MARCHIONI Miha [Aest]</t>
        </is>
      </c>
      <c r="N272" s="196" t="inlineStr">
        <is>
          <t>ROSSINI Alenka [AAt]</t>
        </is>
      </c>
      <c r="O272" s="196" t="inlineStr">
        <is>
          <t>NAVARRO Katrin [A]</t>
        </is>
      </c>
      <c r="P272" s="196" t="inlineStr">
        <is>
          <t>ROSSINI Gaelle</t>
        </is>
      </c>
      <c r="Q272" s="196" t="inlineStr">
        <is>
          <t>CONTARDI Valerie</t>
        </is>
      </c>
      <c r="R272" s="196" t="inlineStr">
        <is>
          <t>MODIC Marco</t>
        </is>
      </c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inlineStr">
        <is>
          <t>GAUTHIER Davide [AA]</t>
        </is>
      </c>
      <c r="N275" s="196" t="inlineStr">
        <is>
          <t>GALLINI Lukas [AA]</t>
        </is>
      </c>
      <c r="O275" s="196" t="inlineStr">
        <is>
          <t>PRADO Luca [AA]</t>
        </is>
      </c>
      <c r="P275" s="196" t="inlineStr">
        <is>
          <t>FUENTES Chiara</t>
        </is>
      </c>
      <c r="Q275" s="196" t="inlineStr">
        <is>
          <t>KOVAC Gaelle</t>
        </is>
      </c>
      <c r="R275" s="196" t="inlineStr">
        <is>
          <t>GAUTHIER Irene</t>
        </is>
      </c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inlineStr">
        <is>
          <t>HORVAT Lea [A]</t>
        </is>
      </c>
      <c r="N278" s="196" t="inlineStr">
        <is>
          <t>KRUGER Nicola [Aest]</t>
        </is>
      </c>
      <c r="O278" s="196" t="inlineStr">
        <is>
          <t>LANGER Katrin [AAt]</t>
        </is>
      </c>
      <c r="P278" s="196" t="inlineStr">
        <is>
          <t>CASTILLO Giulia</t>
        </is>
      </c>
      <c r="Q278" s="196" t="inlineStr">
        <is>
          <t>SCHAFER Greta</t>
        </is>
      </c>
      <c r="R278" s="196" t="inlineStr">
        <is>
          <t>IGLESIAS Hugo</t>
        </is>
      </c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inlineStr">
        <is>
          <t>LEROUX Hugo [Aest]</t>
        </is>
      </c>
      <c r="N281" s="196" t="inlineStr">
        <is>
          <t>GALLINI Filippo [A]</t>
        </is>
      </c>
      <c r="O281" s="196" t="inlineStr">
        <is>
          <t>ROTH Lucia [A]</t>
        </is>
      </c>
      <c r="P281" s="196" t="inlineStr">
        <is>
          <t>ZUPAN Paula</t>
        </is>
      </c>
      <c r="Q281" s="196" t="inlineStr">
        <is>
          <t>ZUPAN Alenka</t>
        </is>
      </c>
      <c r="R281" s="196" t="inlineStr">
        <is>
          <t>VIDMAR Paula</t>
        </is>
      </c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inlineStr">
        <is>
          <t>FUENTES Noemi [Aest]</t>
        </is>
      </c>
      <c r="N284" s="196" t="inlineStr">
        <is>
          <t>AUBERT Greta [Aest]</t>
        </is>
      </c>
      <c r="O284" s="196" t="inlineStr">
        <is>
          <t>CARON Elena [A]</t>
        </is>
      </c>
      <c r="P284" s="196" t="inlineStr">
        <is>
          <t>VIDMAR Ilaria</t>
        </is>
      </c>
      <c r="Q284" s="196" t="inlineStr">
        <is>
          <t>SCHAFER Katrin</t>
        </is>
      </c>
      <c r="R284" s="196" t="inlineStr">
        <is>
          <t>CASTILLO Alenka</t>
        </is>
      </c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inlineStr">
        <is>
          <t>MOREAU Andrea [AAt]</t>
        </is>
      </c>
      <c r="N287" s="196" t="inlineStr">
        <is>
          <t>FUENTES Valerie [AAt]</t>
        </is>
      </c>
      <c r="O287" s="196" t="inlineStr">
        <is>
          <t>NADAUD Hugo [AAt]</t>
        </is>
      </c>
      <c r="P287" s="196" t="inlineStr">
        <is>
          <t>BELLANDI Hugo</t>
        </is>
      </c>
      <c r="Q287" s="196" t="inlineStr">
        <is>
          <t>BLANCO Giulia</t>
        </is>
      </c>
      <c r="R287" s="196" t="inlineStr">
        <is>
          <t>LEROUX Lucia</t>
        </is>
      </c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inlineStr">
        <is>
          <t>MARCHIONI Miha [Aest]</t>
        </is>
      </c>
      <c r="N290" s="196" t="inlineStr">
        <is>
          <t>FUENTES Noemi [Aest]</t>
        </is>
      </c>
      <c r="O290" s="196" t="inlineStr">
        <is>
          <t>BELLANDI Marta [A]</t>
        </is>
      </c>
      <c r="P290" s="196" t="inlineStr">
        <is>
          <t>FERRANTE Martina</t>
        </is>
      </c>
      <c r="Q290" s="196" t="inlineStr">
        <is>
          <t>BRANDT Paolo</t>
        </is>
      </c>
      <c r="R290" s="196" t="inlineStr">
        <is>
          <t>WEBER Filippo</t>
        </is>
      </c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inlineStr">
        <is>
          <t>SANTORI Chiara [A]</t>
        </is>
      </c>
      <c r="N293" s="196" t="inlineStr">
        <is>
          <t>MARCHIONI Matteo [AAt]</t>
        </is>
      </c>
      <c r="O293" s="196" t="inlineStr">
        <is>
          <t>LANGER Beatrice [Aest]</t>
        </is>
      </c>
      <c r="P293" s="196" t="inlineStr">
        <is>
          <t>KRUGER Irene</t>
        </is>
      </c>
      <c r="Q293" s="196" t="inlineStr">
        <is>
          <t>ORTEGA Gaelle</t>
        </is>
      </c>
      <c r="R293" s="196" t="inlineStr">
        <is>
          <t>ORTEGA Ilaria</t>
        </is>
      </c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inlineStr">
        <is>
          <t>LANGER Sofia [A]</t>
        </is>
      </c>
      <c r="N298" s="196" t="inlineStr">
        <is>
          <t>ZUPAN Mathilde [A]</t>
        </is>
      </c>
      <c r="O298" s="196" t="inlineStr">
        <is>
          <t>ENGEL Gaelle [AAt]</t>
        </is>
      </c>
      <c r="P298" s="196" t="inlineStr">
        <is>
          <t>HOFFMANN Matteo</t>
        </is>
      </c>
      <c r="Q298" s="196" t="inlineStr">
        <is>
          <t>IGLESIAS Chiara</t>
        </is>
      </c>
      <c r="R298" s="196" t="inlineStr">
        <is>
          <t>BLANCHET Marta</t>
        </is>
      </c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inlineStr">
        <is>
          <t>SOLER Alenka [A]</t>
        </is>
      </c>
      <c r="N301" s="196" t="inlineStr">
        <is>
          <t>BIANCHELLI Tommaso [A]</t>
        </is>
      </c>
      <c r="O301" s="196" t="inlineStr">
        <is>
          <t>ROTH Eva [A]</t>
        </is>
      </c>
      <c r="P301" s="196" t="inlineStr">
        <is>
          <t>MARCHIONI Greta</t>
        </is>
      </c>
      <c r="Q301" s="196" t="inlineStr">
        <is>
          <t>KRUGER Mathilde</t>
        </is>
      </c>
      <c r="R301" s="196" t="inlineStr">
        <is>
          <t>BLANCHET Jonas</t>
        </is>
      </c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inlineStr">
        <is>
          <t>PETERLIN Luca [Aest]</t>
        </is>
      </c>
      <c r="N304" s="196" t="inlineStr">
        <is>
          <t>KOVAC Diego [AAt]</t>
        </is>
      </c>
      <c r="O304" s="196" t="inlineStr">
        <is>
          <t>HORVAT Lea [A]</t>
        </is>
      </c>
      <c r="P304" s="196" t="inlineStr">
        <is>
          <t>LEROUX Paolo</t>
        </is>
      </c>
      <c r="Q304" s="196" t="inlineStr">
        <is>
          <t>WEBER Matteo</t>
        </is>
      </c>
      <c r="R304" s="196" t="inlineStr">
        <is>
          <t>HOFFMANN Matteo</t>
        </is>
      </c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inlineStr">
        <is>
          <t>NOVAK Mathilde [Aest]</t>
        </is>
      </c>
      <c r="N307" s="196" t="inlineStr">
        <is>
          <t>CARON Alenka [AAt]</t>
        </is>
      </c>
      <c r="O307" s="196" t="inlineStr">
        <is>
          <t>NAVARRO Gaelle [A]</t>
        </is>
      </c>
      <c r="P307" s="196" t="inlineStr">
        <is>
          <t>CONTARDI Greta</t>
        </is>
      </c>
      <c r="Q307" s="196" t="inlineStr">
        <is>
          <t>HOFFMANN Paolo</t>
        </is>
      </c>
      <c r="R307" s="196" t="inlineStr">
        <is>
          <t>CAMPOS Noemi</t>
        </is>
      </c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inlineStr">
        <is>
          <t>NADAUD Greta [A]</t>
        </is>
      </c>
      <c r="N310" s="196" t="inlineStr">
        <is>
          <t>WEBER Marco [AAt]</t>
        </is>
      </c>
      <c r="O310" s="196" t="inlineStr">
        <is>
          <t>KOVAC Valerie [AAt]</t>
        </is>
      </c>
      <c r="P310" s="196" t="inlineStr">
        <is>
          <t>NOVAK Lukas</t>
        </is>
      </c>
      <c r="Q310" s="196" t="inlineStr">
        <is>
          <t>KOVAC Gaelle</t>
        </is>
      </c>
      <c r="R310" s="196" t="inlineStr">
        <is>
          <t>MODIC Lea</t>
        </is>
      </c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inlineStr">
        <is>
          <t>CARON Alenka [AAt]</t>
        </is>
      </c>
      <c r="N313" s="196" t="inlineStr">
        <is>
          <t>ROMERO Elena [A]</t>
        </is>
      </c>
      <c r="O313" s="196" t="inlineStr">
        <is>
          <t>NOVAK Mathilde [Aest]</t>
        </is>
      </c>
      <c r="P313" s="196" t="inlineStr">
        <is>
          <t>BLANCO Giulia</t>
        </is>
      </c>
      <c r="Q313" s="196" t="inlineStr">
        <is>
          <t>VIDMAR Ilaria</t>
        </is>
      </c>
      <c r="R313" s="196" t="inlineStr">
        <is>
          <t>BELLANDI Irene</t>
        </is>
      </c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inlineStr">
        <is>
          <t>WEBER Matteo [A]</t>
        </is>
      </c>
      <c r="N316" s="196" t="inlineStr">
        <is>
          <t>ROTH Sofia [A]</t>
        </is>
      </c>
      <c r="O316" s="196" t="inlineStr">
        <is>
          <t>SOLER Stefano [A]</t>
        </is>
      </c>
      <c r="P316" s="196" t="inlineStr">
        <is>
          <t>KRAJNC Marco</t>
        </is>
      </c>
      <c r="Q316" s="196" t="inlineStr">
        <is>
          <t>VOGEL Irene</t>
        </is>
      </c>
      <c r="R316" s="196" t="inlineStr">
        <is>
          <t>SOLER Gaelle</t>
        </is>
      </c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inlineStr">
        <is>
          <t>BIANCHELLI Martina [AAt]</t>
        </is>
      </c>
      <c r="N319" s="196" t="inlineStr">
        <is>
          <t>BRANDT Filippo [AAt]</t>
        </is>
      </c>
      <c r="O319" s="196" t="inlineStr">
        <is>
          <t>VALLET Gaelle [Aest]</t>
        </is>
      </c>
      <c r="P319" s="196" t="inlineStr">
        <is>
          <t>SCHAFER Greta</t>
        </is>
      </c>
      <c r="Q319" s="196" t="inlineStr">
        <is>
          <t>SEVER Hugo</t>
        </is>
      </c>
      <c r="R319" s="196" t="inlineStr">
        <is>
          <t>ROMERO Felix</t>
        </is>
      </c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inlineStr">
        <is>
          <t>ROTH Mathilde [A]</t>
        </is>
      </c>
      <c r="N322" s="196" t="inlineStr">
        <is>
          <t>MODIC Lukas [AAt]</t>
        </is>
      </c>
      <c r="O322" s="196" t="inlineStr">
        <is>
          <t>FOURNIER Andrea [AA]</t>
        </is>
      </c>
      <c r="P322" s="196" t="inlineStr">
        <is>
          <t>BLANCO Stefano</t>
        </is>
      </c>
      <c r="Q322" s="196" t="inlineStr">
        <is>
          <t>LEROUX Stefano</t>
        </is>
      </c>
      <c r="R322" s="196" t="inlineStr">
        <is>
          <t>BLANCHET Jonas</t>
        </is>
      </c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inlineStr">
        <is>
          <t>KRAJNC Beatrice [Aest]</t>
        </is>
      </c>
      <c r="N325" s="196" t="inlineStr">
        <is>
          <t>PELLEGRI Paolo [AAt]</t>
        </is>
      </c>
      <c r="O325" s="196" t="inlineStr">
        <is>
          <t>ORTEGA Diego [A]</t>
        </is>
      </c>
      <c r="P325" s="196" t="inlineStr">
        <is>
          <t>ENGEL Ottavia</t>
        </is>
      </c>
      <c r="Q325" s="196" t="inlineStr">
        <is>
          <t>ROTH Lukas</t>
        </is>
      </c>
      <c r="R325" s="196" t="inlineStr">
        <is>
          <t>NOVAK Tommaso</t>
        </is>
      </c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inlineStr">
        <is>
          <t>ZUPAN Felix [AAt]</t>
        </is>
      </c>
      <c r="N330" s="196" t="inlineStr">
        <is>
          <t>CONTARDI Marta [Aest]</t>
        </is>
      </c>
      <c r="O330" s="196" t="inlineStr">
        <is>
          <t>BLANCO Tommaso [AAt]</t>
        </is>
      </c>
      <c r="P330" s="196" t="inlineStr">
        <is>
          <t>HOFFMANN Diego</t>
        </is>
      </c>
      <c r="Q330" s="196" t="inlineStr">
        <is>
          <t>FERRANTE Hugo</t>
        </is>
      </c>
      <c r="R330" s="196" t="inlineStr">
        <is>
          <t>ROMERO Irene</t>
        </is>
      </c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inlineStr">
        <is>
          <t>PRADO Eva [AAt]</t>
        </is>
      </c>
      <c r="N333" s="196" t="inlineStr">
        <is>
          <t>ORTEGA Diego [A]</t>
        </is>
      </c>
      <c r="O333" s="196" t="inlineStr">
        <is>
          <t>KELLER Beatrice [AAt]</t>
        </is>
      </c>
      <c r="P333" s="196" t="inlineStr">
        <is>
          <t>BRANDT Beatrice</t>
        </is>
      </c>
      <c r="Q333" s="196" t="inlineStr">
        <is>
          <t>NADAUD Jonas</t>
        </is>
      </c>
      <c r="R333" s="196" t="inlineStr">
        <is>
          <t>MARCHIONI Nicola</t>
        </is>
      </c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inlineStr">
        <is>
          <t>PRADO Marta [AAt]</t>
        </is>
      </c>
      <c r="N336" s="196" t="inlineStr">
        <is>
          <t>LEFEVRE Lukas [Aest]</t>
        </is>
      </c>
      <c r="O336" s="196" t="inlineStr">
        <is>
          <t>ENGEL Noemi [Aest]</t>
        </is>
      </c>
      <c r="P336" s="196" t="inlineStr">
        <is>
          <t>NAVARRO Paula</t>
        </is>
      </c>
      <c r="Q336" s="196" t="inlineStr">
        <is>
          <t>VIDMAR Felix</t>
        </is>
      </c>
      <c r="R336" s="196" t="inlineStr">
        <is>
          <t>CARON Pablo</t>
        </is>
      </c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inlineStr">
        <is>
          <t>OBLAK Jonas [AAt]</t>
        </is>
      </c>
      <c r="N339" s="196" t="inlineStr">
        <is>
          <t>BRANDT Stefano [AAt]</t>
        </is>
      </c>
      <c r="O339" s="196" t="inlineStr">
        <is>
          <t>MARCHIONI Paolo [AAt]</t>
        </is>
      </c>
      <c r="P339" s="196" t="inlineStr">
        <is>
          <t>BLANCHET Paula</t>
        </is>
      </c>
      <c r="Q339" s="196" t="inlineStr">
        <is>
          <t>AUBERT Giulia</t>
        </is>
      </c>
      <c r="R339" s="196" t="inlineStr">
        <is>
          <t>ORTEGA Stefano</t>
        </is>
      </c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inlineStr">
        <is>
          <t>LEROUX Filippo [Aest]</t>
        </is>
      </c>
      <c r="N342" s="196" t="inlineStr">
        <is>
          <t>GALLINI Elena [AAt]</t>
        </is>
      </c>
      <c r="O342" s="196" t="inlineStr">
        <is>
          <t>ROTH Lea [A]</t>
        </is>
      </c>
      <c r="P342" s="196" t="inlineStr">
        <is>
          <t>KOVAC Gaelle</t>
        </is>
      </c>
      <c r="Q342" s="196" t="inlineStr">
        <is>
          <t>NAVARRO Paula</t>
        </is>
      </c>
      <c r="R342" s="196" t="inlineStr">
        <is>
          <t>ZUPAN Lucia</t>
        </is>
      </c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inlineStr">
        <is>
          <t>MOREAU Martina [Aest]</t>
        </is>
      </c>
      <c r="N345" s="196" t="inlineStr">
        <is>
          <t>ROSSINI Beatrice [Aest]</t>
        </is>
      </c>
      <c r="O345" s="196" t="inlineStr">
        <is>
          <t>CONTARDI Mathilde [A]</t>
        </is>
      </c>
      <c r="P345" s="196" t="inlineStr">
        <is>
          <t>MORETTO Beatrice</t>
        </is>
      </c>
      <c r="Q345" s="196" t="inlineStr">
        <is>
          <t>GALLINI Tommaso</t>
        </is>
      </c>
      <c r="R345" s="196" t="inlineStr">
        <is>
          <t>MODIC Lucia</t>
        </is>
      </c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inlineStr">
        <is>
          <t>PETERLIN Luca [Aest]</t>
        </is>
      </c>
      <c r="N348" s="196" t="inlineStr">
        <is>
          <t>HOFFMANN Tommaso [A]</t>
        </is>
      </c>
      <c r="O348" s="196" t="inlineStr">
        <is>
          <t>WEBER Filippo [AA]</t>
        </is>
      </c>
      <c r="P348" s="196" t="inlineStr">
        <is>
          <t>MOREAU Vid</t>
        </is>
      </c>
      <c r="Q348" s="196" t="inlineStr">
        <is>
          <t>PRADO Eva</t>
        </is>
      </c>
      <c r="R348" s="196" t="inlineStr">
        <is>
          <t>WEBER Ilaria</t>
        </is>
      </c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inlineStr">
        <is>
          <t>CONTARDI Tommaso [AA]</t>
        </is>
      </c>
      <c r="N351" s="196" t="inlineStr">
        <is>
          <t>ROSSINI Irene [AA]</t>
        </is>
      </c>
      <c r="O351" s="196" t="inlineStr">
        <is>
          <t>NAVARRO Gaelle [A]</t>
        </is>
      </c>
      <c r="P351" s="196" t="inlineStr">
        <is>
          <t>BRANDT Elena</t>
        </is>
      </c>
      <c r="Q351" s="196" t="inlineStr">
        <is>
          <t>KOVAC Martina</t>
        </is>
      </c>
      <c r="R351" s="196" t="inlineStr">
        <is>
          <t>SCHAFER Sofia</t>
        </is>
      </c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inlineStr">
        <is>
          <t>KOVAC Valerie [AAt]</t>
        </is>
      </c>
      <c r="N354" s="196" t="inlineStr">
        <is>
          <t>CAMPOS Ottavia [A]</t>
        </is>
      </c>
      <c r="O354" s="196" t="inlineStr">
        <is>
          <t>VALLET Martina [Aest]</t>
        </is>
      </c>
      <c r="P354" s="196" t="inlineStr">
        <is>
          <t>SOLER Gaelle</t>
        </is>
      </c>
      <c r="Q354" s="196" t="inlineStr">
        <is>
          <t>WEBER Irene</t>
        </is>
      </c>
      <c r="R354" s="196" t="inlineStr">
        <is>
          <t>BIANCHELLI Davide</t>
        </is>
      </c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inlineStr">
        <is>
          <t>ENGEL Lea [AAt]</t>
        </is>
      </c>
      <c r="N357" s="196" t="inlineStr">
        <is>
          <t>VALLET Felix [A]</t>
        </is>
      </c>
      <c r="O357" s="196" t="inlineStr">
        <is>
          <t>AUBERT Beatrice [AA]</t>
        </is>
      </c>
      <c r="P357" s="196" t="inlineStr">
        <is>
          <t>FUENTES Beatrice</t>
        </is>
      </c>
      <c r="Q357" s="196" t="inlineStr">
        <is>
          <t>PRADO Alenka</t>
        </is>
      </c>
      <c r="R357" s="196" t="inlineStr">
        <is>
          <t>GAUTHIER Andrea</t>
        </is>
      </c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inlineStr">
        <is>
          <t>ROMERO Matteo [Aest]</t>
        </is>
      </c>
      <c r="N362" s="196" t="inlineStr">
        <is>
          <t>CASTILLO Irene [Aest]</t>
        </is>
      </c>
      <c r="O362" s="196" t="inlineStr">
        <is>
          <t>IGLESIAS Marco [AAt]</t>
        </is>
      </c>
      <c r="P362" s="196" t="inlineStr">
        <is>
          <t>ZUPAN Irene</t>
        </is>
      </c>
      <c r="Q362" s="196" t="inlineStr">
        <is>
          <t>BRANDT Beatrice</t>
        </is>
      </c>
      <c r="R362" s="196" t="inlineStr">
        <is>
          <t>SANTORI Gaelle</t>
        </is>
      </c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inlineStr">
        <is>
          <t>SANTORI Chiara [A]</t>
        </is>
      </c>
      <c r="N365" s="196" t="inlineStr">
        <is>
          <t>SOLER Marta [AAt]</t>
        </is>
      </c>
      <c r="O365" s="196" t="inlineStr">
        <is>
          <t>MARCHIONI Matteo [AAt]</t>
        </is>
      </c>
      <c r="P365" s="196" t="inlineStr">
        <is>
          <t>GALLINI Tommaso</t>
        </is>
      </c>
      <c r="Q365" s="196" t="inlineStr">
        <is>
          <t>ORTEGA Stefano</t>
        </is>
      </c>
      <c r="R365" s="196" t="inlineStr">
        <is>
          <t>ZUPAN Greta</t>
        </is>
      </c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inlineStr">
        <is>
          <t>MODIC Chiara [AA]</t>
        </is>
      </c>
      <c r="N368" s="196" t="inlineStr">
        <is>
          <t>CARON Alenka [AAt]</t>
        </is>
      </c>
      <c r="O368" s="196" t="inlineStr">
        <is>
          <t>CONTARDI Giulia [AAt]</t>
        </is>
      </c>
      <c r="P368" s="196" t="inlineStr">
        <is>
          <t>AUBERT Pablo</t>
        </is>
      </c>
      <c r="Q368" s="196" t="inlineStr">
        <is>
          <t>SCHAFER Lucia</t>
        </is>
      </c>
      <c r="R368" s="196" t="inlineStr">
        <is>
          <t>FERRANTE Mathilde</t>
        </is>
      </c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inlineStr">
        <is>
          <t>CONTARDI Marta [Aest]</t>
        </is>
      </c>
      <c r="N371" s="196" t="inlineStr">
        <is>
          <t>LANGER Marta [A]</t>
        </is>
      </c>
      <c r="O371" s="196" t="inlineStr">
        <is>
          <t>ENGEL Lea [AAt]</t>
        </is>
      </c>
      <c r="P371" s="196" t="inlineStr">
        <is>
          <t>MORETTO Lea</t>
        </is>
      </c>
      <c r="Q371" s="196" t="inlineStr">
        <is>
          <t>BIANCHELLI Ottavia</t>
        </is>
      </c>
      <c r="R371" s="196" t="inlineStr">
        <is>
          <t>BLANCO Valerie</t>
        </is>
      </c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inlineStr">
        <is>
          <t>HOFFMANN Gaelle [AA]</t>
        </is>
      </c>
      <c r="N374" s="196" t="inlineStr">
        <is>
          <t>ROMERO Elena [A]</t>
        </is>
      </c>
      <c r="O374" s="196" t="inlineStr">
        <is>
          <t>CARON Greta [AA]</t>
        </is>
      </c>
      <c r="P374" s="196" t="inlineStr">
        <is>
          <t>VOGEL Greta</t>
        </is>
      </c>
      <c r="Q374" s="196" t="inlineStr">
        <is>
          <t>BRANDT Paolo</t>
        </is>
      </c>
      <c r="R374" s="196" t="inlineStr">
        <is>
          <t>ORTEGA Filippo</t>
        </is>
      </c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inlineStr">
        <is>
          <t>ORTEGA Katrin [Aest]</t>
        </is>
      </c>
      <c r="N377" s="196" t="inlineStr">
        <is>
          <t>ORTEGA Elena [Aest]</t>
        </is>
      </c>
      <c r="O377" s="196" t="inlineStr">
        <is>
          <t>BLANCO Lucia [Aest]</t>
        </is>
      </c>
      <c r="P377" s="196" t="inlineStr">
        <is>
          <t>ZUPAN Luca</t>
        </is>
      </c>
      <c r="Q377" s="196" t="inlineStr">
        <is>
          <t>SANTORI Eva</t>
        </is>
      </c>
      <c r="R377" s="196" t="inlineStr">
        <is>
          <t>KOVAC Lea</t>
        </is>
      </c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inlineStr">
        <is>
          <t>MODIC Chiara [AA]</t>
        </is>
      </c>
      <c r="N380" s="196" t="inlineStr">
        <is>
          <t>SCHAFER Stefano [A]</t>
        </is>
      </c>
      <c r="O380" s="196" t="inlineStr">
        <is>
          <t>ENGEL Marco [AA]</t>
        </is>
      </c>
      <c r="P380" s="196" t="inlineStr">
        <is>
          <t>IGLESIAS Hugo</t>
        </is>
      </c>
      <c r="Q380" s="196" t="inlineStr">
        <is>
          <t>SANTORI Miha</t>
        </is>
      </c>
      <c r="R380" s="196" t="inlineStr">
        <is>
          <t>LEFEVRE Filippo</t>
        </is>
      </c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inlineStr">
        <is>
          <t>WEBER Matteo [A]</t>
        </is>
      </c>
      <c r="N383" s="196" t="inlineStr">
        <is>
          <t>HORVAT Davide [Aest]</t>
        </is>
      </c>
      <c r="O383" s="196" t="inlineStr">
        <is>
          <t>BELLANDI Paula [A]</t>
        </is>
      </c>
      <c r="P383" s="196" t="inlineStr">
        <is>
          <t>SCHAFER Ottavia</t>
        </is>
      </c>
      <c r="Q383" s="196" t="inlineStr">
        <is>
          <t>ORTEGA Luca</t>
        </is>
      </c>
      <c r="R383" s="196" t="inlineStr">
        <is>
          <t>IGLESIAS Alenka</t>
        </is>
      </c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inlineStr">
        <is>
          <t>LANGER Katrin [AAt]</t>
        </is>
      </c>
      <c r="N386" s="196" t="inlineStr">
        <is>
          <t>BLANCHET Diego [A]</t>
        </is>
      </c>
      <c r="O386" s="196" t="inlineStr">
        <is>
          <t>FOURNIER Matteo [AAt]</t>
        </is>
      </c>
      <c r="P386" s="196" t="inlineStr">
        <is>
          <t>SANTORI Paolo</t>
        </is>
      </c>
      <c r="Q386" s="196" t="inlineStr">
        <is>
          <t>GAUTHIER Andrea</t>
        </is>
      </c>
      <c r="R386" s="196" t="inlineStr">
        <is>
          <t>BLANCO Stefano</t>
        </is>
      </c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inlineStr">
        <is>
          <t>KRUGER Nicola [Aest]</t>
        </is>
      </c>
      <c r="N389" s="196" t="inlineStr">
        <is>
          <t>CAMPOS Miha [Aest]</t>
        </is>
      </c>
      <c r="O389" s="196" t="inlineStr">
        <is>
          <t>HORVAT Lea [A]</t>
        </is>
      </c>
      <c r="P389" s="196" t="inlineStr">
        <is>
          <t>VOGEL Giulia</t>
        </is>
      </c>
      <c r="Q389" s="196" t="inlineStr">
        <is>
          <t>SANTORI Filippo</t>
        </is>
      </c>
      <c r="R389" s="196" t="inlineStr">
        <is>
          <t>PELLEGRI Lea</t>
        </is>
      </c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inlineStr">
        <is>
          <t>BLANCHET Diego [A]</t>
        </is>
      </c>
      <c r="N394" s="196" t="inlineStr">
        <is>
          <t>IGLESIAS Lukas [Aest]</t>
        </is>
      </c>
      <c r="O394" s="196" t="inlineStr">
        <is>
          <t>SOLER Ottavia [AAt]</t>
        </is>
      </c>
      <c r="P394" s="196" t="inlineStr">
        <is>
          <t>BLANCHET Matteo</t>
        </is>
      </c>
      <c r="Q394" s="196" t="inlineStr">
        <is>
          <t>ROTH Katrin</t>
        </is>
      </c>
      <c r="R394" s="196" t="inlineStr">
        <is>
          <t>PRADO Marco</t>
        </is>
      </c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inlineStr">
        <is>
          <t>IGLESIAS Jonas [AAt]</t>
        </is>
      </c>
      <c r="N397" s="196" t="inlineStr">
        <is>
          <t>ZUPAN Felix [AAt]</t>
        </is>
      </c>
      <c r="O397" s="196" t="inlineStr">
        <is>
          <t>BELLANDI Andrea [AA]</t>
        </is>
      </c>
      <c r="P397" s="196" t="inlineStr">
        <is>
          <t>GAUTHIER Luca</t>
        </is>
      </c>
      <c r="Q397" s="196" t="inlineStr">
        <is>
          <t>ROMERO Stefano</t>
        </is>
      </c>
      <c r="R397" s="196" t="inlineStr">
        <is>
          <t>GALLINI Tommaso</t>
        </is>
      </c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inlineStr">
        <is>
          <t>MARCHIONI Filippo [AAt]</t>
        </is>
      </c>
      <c r="N400" s="196" t="inlineStr">
        <is>
          <t>SCHAFER Stefano [A]</t>
        </is>
      </c>
      <c r="O400" s="196" t="inlineStr">
        <is>
          <t>SANTORI Eva [AAt]</t>
        </is>
      </c>
      <c r="P400" s="196" t="inlineStr">
        <is>
          <t>CASTILLO Noemi</t>
        </is>
      </c>
      <c r="Q400" s="196" t="inlineStr">
        <is>
          <t>ORTEGA Luca</t>
        </is>
      </c>
      <c r="R400" s="196" t="inlineStr">
        <is>
          <t>SCHAFER Lucia</t>
        </is>
      </c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inlineStr">
        <is>
          <t>VALLET Martina [Aest]</t>
        </is>
      </c>
      <c r="N403" s="196" t="inlineStr">
        <is>
          <t>PRADO Luca [AA]</t>
        </is>
      </c>
      <c r="O403" s="196" t="inlineStr">
        <is>
          <t>BELLANDI Vid [Aest]</t>
        </is>
      </c>
      <c r="P403" s="196" t="inlineStr">
        <is>
          <t>MODIC Marco</t>
        </is>
      </c>
      <c r="Q403" s="196" t="inlineStr">
        <is>
          <t>CONTARDI Miha</t>
        </is>
      </c>
      <c r="R403" s="196" t="inlineStr">
        <is>
          <t>KELLER Stefano</t>
        </is>
      </c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inlineStr">
        <is>
          <t>MOREAU Martina [Aest]</t>
        </is>
      </c>
      <c r="N406" s="196" t="inlineStr">
        <is>
          <t>PRADO Luca [AA]</t>
        </is>
      </c>
      <c r="O406" s="196" t="inlineStr">
        <is>
          <t>ZUPAN Diego [AA]</t>
        </is>
      </c>
      <c r="P406" s="196" t="inlineStr">
        <is>
          <t>MARCHIONI Irene</t>
        </is>
      </c>
      <c r="Q406" s="196" t="inlineStr">
        <is>
          <t>ROMERO Alenka</t>
        </is>
      </c>
      <c r="R406" s="196" t="inlineStr">
        <is>
          <t>PRADO Marco</t>
        </is>
      </c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inlineStr">
        <is>
          <t>BIANCHELLI Filippo [AAt]</t>
        </is>
      </c>
      <c r="N409" s="196" t="inlineStr">
        <is>
          <t>KRUGER Sofia [A]</t>
        </is>
      </c>
      <c r="O409" s="196" t="inlineStr">
        <is>
          <t>BELLANDI Chiara [Aest]</t>
        </is>
      </c>
      <c r="P409" s="196" t="inlineStr">
        <is>
          <t>LANGER Valerie</t>
        </is>
      </c>
      <c r="Q409" s="196" t="inlineStr">
        <is>
          <t>ORTEGA Stefano</t>
        </is>
      </c>
      <c r="R409" s="196" t="inlineStr">
        <is>
          <t>BLANCO Lukas</t>
        </is>
      </c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inlineStr">
        <is>
          <t>PETERLIN Beatrice [Aest]</t>
        </is>
      </c>
      <c r="N412" s="196" t="inlineStr">
        <is>
          <t>CASTILLO Ilaria [AAt]</t>
        </is>
      </c>
      <c r="O412" s="196" t="inlineStr">
        <is>
          <t>CONTARDI Nicola [Aest]</t>
        </is>
      </c>
      <c r="P412" s="196" t="inlineStr">
        <is>
          <t>NAVARRO Lea</t>
        </is>
      </c>
      <c r="Q412" s="196" t="inlineStr">
        <is>
          <t>SCHAFER Gaelle</t>
        </is>
      </c>
      <c r="R412" s="196" t="inlineStr">
        <is>
          <t>SANTORI Pablo</t>
        </is>
      </c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inlineStr">
        <is>
          <t>MODIC Vid [Aest]</t>
        </is>
      </c>
      <c r="N415" s="196" t="inlineStr">
        <is>
          <t>ROSSINI Beatrice [Aest]</t>
        </is>
      </c>
      <c r="O415" s="196" t="inlineStr">
        <is>
          <t>ROSSINI Chiara [AAt]</t>
        </is>
      </c>
      <c r="P415" s="196" t="inlineStr">
        <is>
          <t>WEBER Irene</t>
        </is>
      </c>
      <c r="Q415" s="196" t="inlineStr">
        <is>
          <t>HOFFMANN Paolo</t>
        </is>
      </c>
      <c r="R415" s="196" t="inlineStr">
        <is>
          <t>ROMERO Giulia</t>
        </is>
      </c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inlineStr">
        <is>
          <t>SEVER Diego [A]</t>
        </is>
      </c>
      <c r="N418" s="196" t="inlineStr">
        <is>
          <t>ENGEL Valerie [Aest]</t>
        </is>
      </c>
      <c r="O418" s="196" t="inlineStr">
        <is>
          <t>CONTARDI Mathilde [A]</t>
        </is>
      </c>
      <c r="P418" s="196" t="inlineStr">
        <is>
          <t>ZUPAN Miha</t>
        </is>
      </c>
      <c r="Q418" s="196" t="inlineStr">
        <is>
          <t>SEVER Greta</t>
        </is>
      </c>
      <c r="R418" s="196" t="inlineStr">
        <is>
          <t>CASTILLO Stefano</t>
        </is>
      </c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inlineStr">
        <is>
          <t>LEROUX Hugo [Aest]</t>
        </is>
      </c>
      <c r="N421" s="196" t="inlineStr">
        <is>
          <t>FERRANTE Filippo [AAt]</t>
        </is>
      </c>
      <c r="O421" s="196" t="inlineStr">
        <is>
          <t>PETERLIN Beatrice [Aest]</t>
        </is>
      </c>
      <c r="P421" s="196" t="inlineStr">
        <is>
          <t>ORTEGA Luca</t>
        </is>
      </c>
      <c r="Q421" s="196" t="inlineStr">
        <is>
          <t>LEFEVRE Filippo</t>
        </is>
      </c>
      <c r="R421" s="196" t="inlineStr">
        <is>
          <t>SEVER Giulia</t>
        </is>
      </c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inlineStr">
        <is>
          <t>KRAJNC Elena [AA]</t>
        </is>
      </c>
      <c r="N426" s="196" t="inlineStr">
        <is>
          <t>CAMPOS Mathilde [Aest]</t>
        </is>
      </c>
      <c r="O426" s="196" t="inlineStr">
        <is>
          <t>CARON Giulia [AAt]</t>
        </is>
      </c>
      <c r="P426" s="196" t="inlineStr">
        <is>
          <t>CASTILLO Davide</t>
        </is>
      </c>
      <c r="Q426" s="196" t="inlineStr">
        <is>
          <t>SCHAFER Lucia</t>
        </is>
      </c>
      <c r="R426" s="196" t="inlineStr">
        <is>
          <t>KOVAC Lea</t>
        </is>
      </c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inlineStr">
        <is>
          <t>IGLESIAS Marco [AAt]</t>
        </is>
      </c>
      <c r="N429" s="196" t="inlineStr">
        <is>
          <t>HOFFMANN Valerie [A]</t>
        </is>
      </c>
      <c r="O429" s="196" t="inlineStr">
        <is>
          <t>KRUGER Greta [A]</t>
        </is>
      </c>
      <c r="P429" s="196" t="inlineStr">
        <is>
          <t>SANTORI Miha</t>
        </is>
      </c>
      <c r="Q429" s="196" t="inlineStr">
        <is>
          <t>FERRANTE Greta</t>
        </is>
      </c>
      <c r="R429" s="196" t="inlineStr">
        <is>
          <t>NOVAK Giulia</t>
        </is>
      </c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inlineStr">
        <is>
          <t>ENGEL Stefano [AAt]</t>
        </is>
      </c>
      <c r="N432" s="196" t="inlineStr">
        <is>
          <t>GALLINI Sofia [AA]</t>
        </is>
      </c>
      <c r="O432" s="196" t="inlineStr">
        <is>
          <t>CARON Martina [AAt]</t>
        </is>
      </c>
      <c r="P432" s="196" t="inlineStr">
        <is>
          <t>ENGEL Nicola</t>
        </is>
      </c>
      <c r="Q432" s="196" t="inlineStr">
        <is>
          <t>HOFFMANN Paolo</t>
        </is>
      </c>
      <c r="R432" s="196" t="inlineStr">
        <is>
          <t>NOVAK Nicola</t>
        </is>
      </c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inlineStr">
        <is>
          <t>MARCHIONI Paula [Aest]</t>
        </is>
      </c>
      <c r="N435" s="196" t="inlineStr">
        <is>
          <t>IGLESIAS Giulia [AAt]</t>
        </is>
      </c>
      <c r="O435" s="196" t="inlineStr">
        <is>
          <t>NADAUD Lucia [AA]</t>
        </is>
      </c>
      <c r="P435" s="196" t="inlineStr">
        <is>
          <t>IGLESIAS Eva</t>
        </is>
      </c>
      <c r="Q435" s="196" t="inlineStr">
        <is>
          <t>ENGEL Lucia</t>
        </is>
      </c>
      <c r="R435" s="196" t="inlineStr">
        <is>
          <t>MODIC Marco</t>
        </is>
      </c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inlineStr">
        <is>
          <t>ENGEL Luca [AA]</t>
        </is>
      </c>
      <c r="N438" s="196" t="inlineStr">
        <is>
          <t>MODIC Chiara [AA]</t>
        </is>
      </c>
      <c r="O438" s="196" t="inlineStr">
        <is>
          <t>VOGEL Martina [AA]</t>
        </is>
      </c>
      <c r="P438" s="196" t="inlineStr">
        <is>
          <t>SCHAFER Lucia</t>
        </is>
      </c>
      <c r="Q438" s="196" t="inlineStr">
        <is>
          <t>MARCHIONI Miha</t>
        </is>
      </c>
      <c r="R438" s="196" t="inlineStr">
        <is>
          <t>KRUGER Irene</t>
        </is>
      </c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inlineStr">
        <is>
          <t>SOLER Stefano [A]</t>
        </is>
      </c>
      <c r="N441" s="196" t="inlineStr">
        <is>
          <t>MARCHIONI Matteo [AAt]</t>
        </is>
      </c>
      <c r="O441" s="196" t="inlineStr">
        <is>
          <t>HOFFMANN Lea [AAt]</t>
        </is>
      </c>
      <c r="P441" s="196" t="inlineStr">
        <is>
          <t>SOLER Gaelle</t>
        </is>
      </c>
      <c r="Q441" s="196" t="inlineStr">
        <is>
          <t>KRUGER Valerie</t>
        </is>
      </c>
      <c r="R441" s="196" t="inlineStr">
        <is>
          <t>LEFEVRE Tommaso</t>
        </is>
      </c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inlineStr">
        <is>
          <t>HOFFMANN Ottavia [AA]</t>
        </is>
      </c>
      <c r="N444" s="196" t="inlineStr">
        <is>
          <t>SANTORI Jonas [Aest]</t>
        </is>
      </c>
      <c r="O444" s="196" t="inlineStr">
        <is>
          <t>ROMERO Matteo [Aest]</t>
        </is>
      </c>
      <c r="P444" s="196" t="inlineStr">
        <is>
          <t>VOGEL Sofia</t>
        </is>
      </c>
      <c r="Q444" s="196" t="inlineStr">
        <is>
          <t>KELLER Jonas</t>
        </is>
      </c>
      <c r="R444" s="196" t="inlineStr">
        <is>
          <t>KRUGER Vid</t>
        </is>
      </c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inlineStr">
        <is>
          <t>CASTILLO Paolo [AAt]</t>
        </is>
      </c>
      <c r="N447" s="196" t="inlineStr">
        <is>
          <t>ORTEGA Katrin [Aest]</t>
        </is>
      </c>
      <c r="O447" s="196" t="inlineStr">
        <is>
          <t>HORVAT Vid [A]</t>
        </is>
      </c>
      <c r="P447" s="196" t="inlineStr">
        <is>
          <t>NOVAK Ilaria</t>
        </is>
      </c>
      <c r="Q447" s="196" t="inlineStr">
        <is>
          <t>CONTARDI Valerie</t>
        </is>
      </c>
      <c r="R447" s="196" t="inlineStr">
        <is>
          <t>SCHAFER Sofia</t>
        </is>
      </c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inlineStr">
        <is>
          <t>MODIC Matteo [AA]</t>
        </is>
      </c>
      <c r="N450" s="196" t="inlineStr">
        <is>
          <t>LEROUX Diego [AAt]</t>
        </is>
      </c>
      <c r="O450" s="196" t="inlineStr">
        <is>
          <t>KELLER Marco [Aest]</t>
        </is>
      </c>
      <c r="P450" s="196" t="inlineStr">
        <is>
          <t>SCHAFER Katrin</t>
        </is>
      </c>
      <c r="Q450" s="196" t="inlineStr">
        <is>
          <t>MARCHIONI Irene</t>
        </is>
      </c>
      <c r="R450" s="196" t="inlineStr">
        <is>
          <t>CARON Pablo</t>
        </is>
      </c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inlineStr">
        <is>
          <t>LEFEVRE Pablo [AA]</t>
        </is>
      </c>
      <c r="N453" s="196" t="inlineStr">
        <is>
          <t>VALLET Felix [A]</t>
        </is>
      </c>
      <c r="O453" s="196" t="inlineStr">
        <is>
          <t>CARON Elena [A]</t>
        </is>
      </c>
      <c r="P453" s="196" t="inlineStr">
        <is>
          <t>SCHAFER Lea</t>
        </is>
      </c>
      <c r="Q453" s="196" t="inlineStr">
        <is>
          <t>BLANCO Giulia</t>
        </is>
      </c>
      <c r="R453" s="196" t="inlineStr">
        <is>
          <t>SANTORI Filippo</t>
        </is>
      </c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inlineStr">
        <is>
          <t>ORTEGA Diego [A]</t>
        </is>
      </c>
      <c r="N458" s="196" t="inlineStr">
        <is>
          <t>ROSSINI Chiara [AAt]</t>
        </is>
      </c>
      <c r="O458" s="196" t="inlineStr">
        <is>
          <t>ORTEGA Elena [Aest]</t>
        </is>
      </c>
      <c r="P458" s="196" t="inlineStr">
        <is>
          <t>KRUGER Katrin</t>
        </is>
      </c>
      <c r="Q458" s="196" t="inlineStr">
        <is>
          <t>KELLER Alenka</t>
        </is>
      </c>
      <c r="R458" s="196" t="inlineStr">
        <is>
          <t>VOGEL Pablo</t>
        </is>
      </c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inlineStr">
        <is>
          <t>VALLET Gaelle [Aest]</t>
        </is>
      </c>
      <c r="N461" s="196" t="inlineStr">
        <is>
          <t>BLANCO Ottavia [AA]</t>
        </is>
      </c>
      <c r="O461" s="196" t="inlineStr">
        <is>
          <t>FERRANTE Luca [AAt]</t>
        </is>
      </c>
      <c r="P461" s="196" t="inlineStr">
        <is>
          <t>CASTILLO Stefano</t>
        </is>
      </c>
      <c r="Q461" s="196" t="inlineStr">
        <is>
          <t>ROTH Lukas</t>
        </is>
      </c>
      <c r="R461" s="196" t="inlineStr">
        <is>
          <t>ZUPAN Irene</t>
        </is>
      </c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inlineStr">
        <is>
          <t>GAUTHIER Lukas [AA]</t>
        </is>
      </c>
      <c r="N464" s="196" t="inlineStr">
        <is>
          <t>BIANCHELLI Felix [Aest]</t>
        </is>
      </c>
      <c r="O464" s="196" t="inlineStr">
        <is>
          <t>ROSSINI Beatrice [Aest]</t>
        </is>
      </c>
      <c r="P464" s="196" t="inlineStr">
        <is>
          <t>ENGEL Martina</t>
        </is>
      </c>
      <c r="Q464" s="196" t="inlineStr">
        <is>
          <t>ENGEL Ottavia</t>
        </is>
      </c>
      <c r="R464" s="196" t="inlineStr">
        <is>
          <t>LANGER Katrin</t>
        </is>
      </c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inlineStr">
        <is>
          <t>WEBER Martina [A]</t>
        </is>
      </c>
      <c r="N467" s="196" t="inlineStr">
        <is>
          <t>OBLAK Lucia [AAt]</t>
        </is>
      </c>
      <c r="O467" s="196" t="inlineStr">
        <is>
          <t>FOURNIER Tommaso [AA]</t>
        </is>
      </c>
      <c r="P467" s="196" t="inlineStr">
        <is>
          <t>BELLANDI Tommaso</t>
        </is>
      </c>
      <c r="Q467" s="196" t="inlineStr">
        <is>
          <t>BLANCHET Alenka</t>
        </is>
      </c>
      <c r="R467" s="196" t="inlineStr">
        <is>
          <t>HOFFMANN Matteo</t>
        </is>
      </c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inlineStr">
        <is>
          <t>FOURNIER Matteo [AAt]</t>
        </is>
      </c>
      <c r="N470" s="196" t="inlineStr">
        <is>
          <t>HORVAT Davide [Aest]</t>
        </is>
      </c>
      <c r="O470" s="196" t="inlineStr">
        <is>
          <t>PELLEGRI Paolo [AAt]</t>
        </is>
      </c>
      <c r="P470" s="196" t="inlineStr">
        <is>
          <t>VALLET Miha</t>
        </is>
      </c>
      <c r="Q470" s="196" t="inlineStr">
        <is>
          <t>NADAUD Mathilde</t>
        </is>
      </c>
      <c r="R470" s="196" t="inlineStr">
        <is>
          <t>BIANCHELLI Katrin</t>
        </is>
      </c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inlineStr">
        <is>
          <t>HOFFMANN Ottavia [AA]</t>
        </is>
      </c>
      <c r="N473" s="196" t="inlineStr">
        <is>
          <t>KOVAC Diego [AAt]</t>
        </is>
      </c>
      <c r="O473" s="196" t="inlineStr">
        <is>
          <t>MARCHIONI Marco [Aest]</t>
        </is>
      </c>
      <c r="P473" s="196" t="inlineStr">
        <is>
          <t>SEVER Davide</t>
        </is>
      </c>
      <c r="Q473" s="196" t="inlineStr">
        <is>
          <t>ZUPAN Elena</t>
        </is>
      </c>
      <c r="R473" s="196" t="inlineStr">
        <is>
          <t>CASTILLO Davide</t>
        </is>
      </c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inlineStr">
        <is>
          <t>SCHAFER Giulia [AA]</t>
        </is>
      </c>
      <c r="N476" s="196" t="inlineStr">
        <is>
          <t>LEFEVRE Mathilde [A]</t>
        </is>
      </c>
      <c r="O476" s="196" t="inlineStr">
        <is>
          <t>BELLANDI Marta [A]</t>
        </is>
      </c>
      <c r="P476" s="196" t="inlineStr">
        <is>
          <t>HOFFMANN Andrea</t>
        </is>
      </c>
      <c r="Q476" s="196" t="inlineStr">
        <is>
          <t>VIDMAR Chiara</t>
        </is>
      </c>
      <c r="R476" s="196" t="inlineStr">
        <is>
          <t>HORVAT Matteo</t>
        </is>
      </c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inlineStr">
        <is>
          <t>WEBER Andrea [AAt]</t>
        </is>
      </c>
      <c r="N479" s="196" t="inlineStr">
        <is>
          <t>NOVAK Mathilde [Aest]</t>
        </is>
      </c>
      <c r="O479" s="196" t="inlineStr">
        <is>
          <t>CASTILLO Irene [Aest]</t>
        </is>
      </c>
      <c r="P479" s="196" t="inlineStr">
        <is>
          <t>KELLER Alenka</t>
        </is>
      </c>
      <c r="Q479" s="196" t="inlineStr">
        <is>
          <t>BLANCO Stefano</t>
        </is>
      </c>
      <c r="R479" s="196" t="inlineStr">
        <is>
          <t>WEBER Ilaria</t>
        </is>
      </c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inlineStr">
        <is>
          <t>MOREAU Pablo [AAt]</t>
        </is>
      </c>
      <c r="N482" s="196" t="inlineStr">
        <is>
          <t>HOFFMANN Ottavia [AA]</t>
        </is>
      </c>
      <c r="O482" s="196" t="inlineStr">
        <is>
          <t>KOVAC Miha [Aest]</t>
        </is>
      </c>
      <c r="P482" s="196" t="inlineStr">
        <is>
          <t>CASTILLO Giulia</t>
        </is>
      </c>
      <c r="Q482" s="196" t="inlineStr">
        <is>
          <t>SOLER Marta</t>
        </is>
      </c>
      <c r="R482" s="196" t="inlineStr">
        <is>
          <t>HOFFMANN Diego</t>
        </is>
      </c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inlineStr">
        <is>
          <t>ORTEGA Elena [Aest]</t>
        </is>
      </c>
      <c r="N485" s="196" t="inlineStr">
        <is>
          <t>ENGEL Noemi [Aest]</t>
        </is>
      </c>
      <c r="O485" s="196" t="inlineStr">
        <is>
          <t>PELLEGRI Chiara [AAt]</t>
        </is>
      </c>
      <c r="P485" s="196" t="inlineStr">
        <is>
          <t>ENGEL Mathilde</t>
        </is>
      </c>
      <c r="Q485" s="196" t="inlineStr">
        <is>
          <t>HOFFMANN Chiara</t>
        </is>
      </c>
      <c r="R485" s="196" t="inlineStr">
        <is>
          <t>ROSSINI Mathilde</t>
        </is>
      </c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inlineStr">
        <is>
          <t>KRUGER Ilaria [A]</t>
        </is>
      </c>
      <c r="N490" s="196" t="inlineStr">
        <is>
          <t>BIANCHELLI Vid [AAt]</t>
        </is>
      </c>
      <c r="O490" s="196" t="inlineStr">
        <is>
          <t>PRADO Eva [AAt]</t>
        </is>
      </c>
      <c r="P490" s="196" t="inlineStr">
        <is>
          <t>CONTARDI Felix</t>
        </is>
      </c>
      <c r="Q490" s="196" t="inlineStr">
        <is>
          <t>BIANCHELLI Eva</t>
        </is>
      </c>
      <c r="R490" s="196" t="inlineStr">
        <is>
          <t>SOLER Gaelle</t>
        </is>
      </c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inlineStr">
        <is>
          <t>ROMERO Stefano [Aest]</t>
        </is>
      </c>
      <c r="N493" s="196" t="inlineStr">
        <is>
          <t>PRADO Eva [AAt]</t>
        </is>
      </c>
      <c r="O493" s="196" t="inlineStr">
        <is>
          <t>FUENTES Noemi [Aest]</t>
        </is>
      </c>
      <c r="P493" s="196" t="inlineStr">
        <is>
          <t>MORETTO Beatrice</t>
        </is>
      </c>
      <c r="Q493" s="196" t="inlineStr">
        <is>
          <t>FERRANTE Hugo</t>
        </is>
      </c>
      <c r="R493" s="196" t="inlineStr">
        <is>
          <t>FOURNIER Lucia</t>
        </is>
      </c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inlineStr">
        <is>
          <t>ORTEGA Elena [Aest]</t>
        </is>
      </c>
      <c r="N496" s="196" t="inlineStr">
        <is>
          <t>ROMERO Matteo [Aest]</t>
        </is>
      </c>
      <c r="O496" s="196" t="inlineStr">
        <is>
          <t>PRADO Giulia [AAt]</t>
        </is>
      </c>
      <c r="P496" s="196" t="inlineStr">
        <is>
          <t>VIDMAR Chiara</t>
        </is>
      </c>
      <c r="Q496" s="196" t="inlineStr">
        <is>
          <t>HORVAT Matteo</t>
        </is>
      </c>
      <c r="R496" s="196" t="inlineStr">
        <is>
          <t>VIDMAR Diego</t>
        </is>
      </c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inlineStr">
        <is>
          <t>VOGEL Martina [AA]</t>
        </is>
      </c>
      <c r="N499" s="196" t="inlineStr">
        <is>
          <t>OBLAK Beatrice [AA]</t>
        </is>
      </c>
      <c r="O499" s="196" t="inlineStr">
        <is>
          <t>SANTORI Eva [AAt]</t>
        </is>
      </c>
      <c r="P499" s="196" t="inlineStr">
        <is>
          <t>KRUGER Valerie</t>
        </is>
      </c>
      <c r="Q499" s="196" t="inlineStr">
        <is>
          <t>VIDMAR Chiara</t>
        </is>
      </c>
      <c r="R499" s="196" t="inlineStr">
        <is>
          <t>NADAUD Nicola</t>
        </is>
      </c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inlineStr">
        <is>
          <t>NADAUD Lucia [AA]</t>
        </is>
      </c>
      <c r="N502" s="196" t="inlineStr">
        <is>
          <t>CAMPOS Jonas [AAt]</t>
        </is>
      </c>
      <c r="O502" s="196" t="inlineStr">
        <is>
          <t>VIDMAR Noemi [AA]</t>
        </is>
      </c>
      <c r="P502" s="196" t="inlineStr">
        <is>
          <t>KRUGER Katrin</t>
        </is>
      </c>
      <c r="Q502" s="196" t="inlineStr">
        <is>
          <t>MODIC Lucia</t>
        </is>
      </c>
      <c r="R502" s="196" t="inlineStr">
        <is>
          <t>BLANCHET Alenka</t>
        </is>
      </c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inlineStr">
        <is>
          <t>ENGEL Lea [AAt]</t>
        </is>
      </c>
      <c r="N505" s="196" t="inlineStr">
        <is>
          <t>MODIC Gaelle [AA]</t>
        </is>
      </c>
      <c r="O505" s="196" t="inlineStr">
        <is>
          <t>VIDMAR Pablo [Aest]</t>
        </is>
      </c>
      <c r="P505" s="196" t="inlineStr">
        <is>
          <t>LEFEVRE Alenka</t>
        </is>
      </c>
      <c r="Q505" s="196" t="inlineStr">
        <is>
          <t>MARCHIONI Greta</t>
        </is>
      </c>
      <c r="R505" s="196" t="inlineStr">
        <is>
          <t>ENGEL Elena</t>
        </is>
      </c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inlineStr">
        <is>
          <t>CAMPOS Jonas [AAt]</t>
        </is>
      </c>
      <c r="N508" s="196" t="inlineStr">
        <is>
          <t>VIDMAR Elena [AAt]</t>
        </is>
      </c>
      <c r="O508" s="196" t="inlineStr">
        <is>
          <t>ENGEL Filippo [A]</t>
        </is>
      </c>
      <c r="P508" s="196" t="inlineStr">
        <is>
          <t>WEBER Andrea</t>
        </is>
      </c>
      <c r="Q508" s="196" t="inlineStr">
        <is>
          <t>WEBER Filippo</t>
        </is>
      </c>
      <c r="R508" s="196" t="inlineStr">
        <is>
          <t>ZUPAN Elena</t>
        </is>
      </c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inlineStr">
        <is>
          <t>GAUTHIER Lukas [AA]</t>
        </is>
      </c>
      <c r="N511" s="196" t="inlineStr">
        <is>
          <t>VOGEL Giulia [Aest]</t>
        </is>
      </c>
      <c r="O511" s="196" t="inlineStr">
        <is>
          <t>MOREAU Martina [Aest]</t>
        </is>
      </c>
      <c r="P511" s="196" t="inlineStr">
        <is>
          <t>SCHAFER Gaelle</t>
        </is>
      </c>
      <c r="Q511" s="196" t="inlineStr">
        <is>
          <t>ORTEGA Gaelle</t>
        </is>
      </c>
      <c r="R511" s="196" t="inlineStr">
        <is>
          <t>FUENTES Chiara</t>
        </is>
      </c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inlineStr">
        <is>
          <t>ROSSINI Sofia [AA]</t>
        </is>
      </c>
      <c r="N514" s="196" t="inlineStr">
        <is>
          <t>BIANCHELLI Paolo [AA]</t>
        </is>
      </c>
      <c r="O514" s="196" t="inlineStr">
        <is>
          <t>KRUGER Sofia [A]</t>
        </is>
      </c>
      <c r="P514" s="196" t="inlineStr">
        <is>
          <t>SANTORI Gaelle</t>
        </is>
      </c>
      <c r="Q514" s="196" t="inlineStr">
        <is>
          <t>ROMERO Greta</t>
        </is>
      </c>
      <c r="R514" s="196" t="inlineStr">
        <is>
          <t>BRANDT Elena</t>
        </is>
      </c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inlineStr">
        <is>
          <t>GAUTHIER Noemi [AA]</t>
        </is>
      </c>
      <c r="N517" s="196" t="inlineStr">
        <is>
          <t>LEROUX Filippo [Aest]</t>
        </is>
      </c>
      <c r="O517" s="196" t="inlineStr">
        <is>
          <t>OBLAK Beatrice [AA]</t>
        </is>
      </c>
      <c r="P517" s="196" t="inlineStr">
        <is>
          <t>BIANCHELLI Valerie</t>
        </is>
      </c>
      <c r="Q517" s="196" t="inlineStr">
        <is>
          <t>FERRANTE Chiara</t>
        </is>
      </c>
      <c r="R517" s="196" t="inlineStr">
        <is>
          <t>MOREAU Felix</t>
        </is>
      </c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inlineStr">
        <is>
          <t>BELLANDI Matteo [AA]</t>
        </is>
      </c>
      <c r="N522" s="196" t="inlineStr">
        <is>
          <t>VALLET Tommaso [AAt]</t>
        </is>
      </c>
      <c r="O522" s="196" t="inlineStr">
        <is>
          <t>ROMERO Matteo [Aest]</t>
        </is>
      </c>
      <c r="P522" s="196" t="inlineStr">
        <is>
          <t>BLANCO Stefano</t>
        </is>
      </c>
      <c r="Q522" s="196" t="inlineStr">
        <is>
          <t>VIDMAR Chiara</t>
        </is>
      </c>
      <c r="R522" s="196" t="inlineStr">
        <is>
          <t>ROSSINI Mathilde</t>
        </is>
      </c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inlineStr">
        <is>
          <t>BRANDT Felix [A]</t>
        </is>
      </c>
      <c r="N525" s="196" t="inlineStr">
        <is>
          <t>CONTARDI Nicola [Aest]</t>
        </is>
      </c>
      <c r="O525" s="196" t="inlineStr">
        <is>
          <t>ROTH Lea [A]</t>
        </is>
      </c>
      <c r="P525" s="196" t="inlineStr">
        <is>
          <t>CARON Diego</t>
        </is>
      </c>
      <c r="Q525" s="196" t="inlineStr">
        <is>
          <t>HOFFMANN Diego</t>
        </is>
      </c>
      <c r="R525" s="196" t="inlineStr">
        <is>
          <t>MORETTO Beatrice</t>
        </is>
      </c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inlineStr">
        <is>
          <t>VOGEL Giulia [Aest]</t>
        </is>
      </c>
      <c r="N528" s="196" t="inlineStr">
        <is>
          <t>BLANCHET Valerie [A]</t>
        </is>
      </c>
      <c r="O528" s="196" t="inlineStr">
        <is>
          <t>BLANCHET Nicola [AA]</t>
        </is>
      </c>
      <c r="P528" s="196" t="inlineStr">
        <is>
          <t>MORETTO Beatrice</t>
        </is>
      </c>
      <c r="Q528" s="196" t="inlineStr">
        <is>
          <t>ROSSINI Andrea</t>
        </is>
      </c>
      <c r="R528" s="196" t="inlineStr">
        <is>
          <t>ZUPAN Alenka</t>
        </is>
      </c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inlineStr">
        <is>
          <t>NADAUD Hugo [AAt]</t>
        </is>
      </c>
      <c r="N531" s="196" t="inlineStr">
        <is>
          <t>WEBER Lucia [AA]</t>
        </is>
      </c>
      <c r="O531" s="196" t="inlineStr">
        <is>
          <t>ROTH Katrin [A]</t>
        </is>
      </c>
      <c r="P531" s="196" t="inlineStr">
        <is>
          <t>FERRANTE Stefano</t>
        </is>
      </c>
      <c r="Q531" s="196" t="inlineStr">
        <is>
          <t>NADAUD Andrea</t>
        </is>
      </c>
      <c r="R531" s="196" t="inlineStr">
        <is>
          <t>CARON Anja</t>
        </is>
      </c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inlineStr">
        <is>
          <t>LANGER Sofia [A]</t>
        </is>
      </c>
      <c r="N534" s="196" t="inlineStr">
        <is>
          <t>ORTEGA Elena [Aest]</t>
        </is>
      </c>
      <c r="O534" s="196" t="inlineStr">
        <is>
          <t>CAMPOS Ilaria [A]</t>
        </is>
      </c>
      <c r="P534" s="196" t="inlineStr">
        <is>
          <t>ROTH Hugo</t>
        </is>
      </c>
      <c r="Q534" s="196" t="inlineStr">
        <is>
          <t>ENGEL Elena</t>
        </is>
      </c>
      <c r="R534" s="196" t="inlineStr">
        <is>
          <t>GALLINI Gaelle</t>
        </is>
      </c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inlineStr">
        <is>
          <t>WEBER Martina [A]</t>
        </is>
      </c>
      <c r="N537" s="196" t="inlineStr">
        <is>
          <t>ROMERO Elena [A]</t>
        </is>
      </c>
      <c r="O537" s="196" t="inlineStr">
        <is>
          <t>ROSSINI Martina [AAt]</t>
        </is>
      </c>
      <c r="P537" s="196" t="inlineStr">
        <is>
          <t>VOGEL Lea</t>
        </is>
      </c>
      <c r="Q537" s="196" t="inlineStr">
        <is>
          <t>KRUGER Katrin</t>
        </is>
      </c>
      <c r="R537" s="196" t="inlineStr">
        <is>
          <t>PRADO Alenka</t>
        </is>
      </c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inlineStr">
        <is>
          <t>BIANCHELLI Filippo [AAt]</t>
        </is>
      </c>
      <c r="N540" s="196" t="inlineStr">
        <is>
          <t>NAVARRO Irene [Aest]</t>
        </is>
      </c>
      <c r="O540" s="196" t="inlineStr">
        <is>
          <t>KRAJNC Elena [AA]</t>
        </is>
      </c>
      <c r="P540" s="196" t="inlineStr">
        <is>
          <t>HOFFMANN Matteo</t>
        </is>
      </c>
      <c r="Q540" s="196" t="inlineStr">
        <is>
          <t>AUBERT Paolo</t>
        </is>
      </c>
      <c r="R540" s="196" t="inlineStr">
        <is>
          <t>VALLET Stefano</t>
        </is>
      </c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inlineStr">
        <is>
          <t>LEROUX Filippo [Aest]</t>
        </is>
      </c>
      <c r="N543" s="196" t="inlineStr">
        <is>
          <t>BLANCHET Giulia [AA]</t>
        </is>
      </c>
      <c r="O543" s="196" t="inlineStr">
        <is>
          <t>ROTH Lea [A]</t>
        </is>
      </c>
      <c r="P543" s="196" t="inlineStr">
        <is>
          <t>LEFEVRE Ilaria</t>
        </is>
      </c>
      <c r="Q543" s="196" t="inlineStr">
        <is>
          <t>VIDMAR Paula</t>
        </is>
      </c>
      <c r="R543" s="196" t="inlineStr">
        <is>
          <t>ROTH Stefano</t>
        </is>
      </c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inlineStr">
        <is>
          <t>HORVAT Vid [A]</t>
        </is>
      </c>
      <c r="N546" s="196" t="inlineStr">
        <is>
          <t>MARCHIONI Marco [Aest]</t>
        </is>
      </c>
      <c r="O546" s="196" t="inlineStr">
        <is>
          <t>NAVARRO Gaelle [A]</t>
        </is>
      </c>
      <c r="P546" s="196" t="inlineStr">
        <is>
          <t>FUENTES Anja</t>
        </is>
      </c>
      <c r="Q546" s="196" t="inlineStr">
        <is>
          <t>CARON Diego</t>
        </is>
      </c>
      <c r="R546" s="196" t="inlineStr">
        <is>
          <t>BIANCHELLI Eva</t>
        </is>
      </c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inlineStr">
        <is>
          <t>MODIC Lukas [AAt]</t>
        </is>
      </c>
      <c r="N549" s="196" t="inlineStr">
        <is>
          <t>HORVAT Marco [AA]</t>
        </is>
      </c>
      <c r="O549" s="196" t="inlineStr">
        <is>
          <t>CONTARDI Lucia [AA]</t>
        </is>
      </c>
      <c r="P549" s="196" t="inlineStr">
        <is>
          <t>KOVAC Nicola</t>
        </is>
      </c>
      <c r="Q549" s="196" t="inlineStr">
        <is>
          <t>MARCHIONI Miha</t>
        </is>
      </c>
      <c r="R549" s="196" t="inlineStr">
        <is>
          <t>MORETTO Beatrice</t>
        </is>
      </c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inlineStr">
        <is>
          <t>SEVER Tommaso [AAt]</t>
        </is>
      </c>
      <c r="N554" s="196" t="inlineStr">
        <is>
          <t>PELLEGRI Eva [AA]</t>
        </is>
      </c>
      <c r="O554" s="196" t="inlineStr">
        <is>
          <t>SEVER Nicola [AA]</t>
        </is>
      </c>
      <c r="P554" s="196" t="inlineStr">
        <is>
          <t>BLANCO Diego</t>
        </is>
      </c>
      <c r="Q554" s="196" t="inlineStr">
        <is>
          <t>HORVAT Pablo</t>
        </is>
      </c>
      <c r="R554" s="196" t="inlineStr">
        <is>
          <t>KELLER Ottavia</t>
        </is>
      </c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inlineStr">
        <is>
          <t>KRUGER Lea [AA]</t>
        </is>
      </c>
      <c r="N557" s="196" t="inlineStr">
        <is>
          <t>BLANCHET Giulia [AA]</t>
        </is>
      </c>
      <c r="O557" s="196" t="inlineStr">
        <is>
          <t>HORVAT Giulia [A]</t>
        </is>
      </c>
      <c r="P557" s="196" t="inlineStr">
        <is>
          <t>FUENTES Lukas</t>
        </is>
      </c>
      <c r="Q557" s="196" t="inlineStr">
        <is>
          <t>MORETTO Ilaria</t>
        </is>
      </c>
      <c r="R557" s="196" t="inlineStr">
        <is>
          <t>LEFEVRE Tommaso</t>
        </is>
      </c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inlineStr">
        <is>
          <t>MARCHIONI Matteo [AAt]</t>
        </is>
      </c>
      <c r="N560" s="196" t="inlineStr">
        <is>
          <t>KELLER Andrea [Aest]</t>
        </is>
      </c>
      <c r="O560" s="196" t="inlineStr">
        <is>
          <t>BIANCHELLI Tommaso [A]</t>
        </is>
      </c>
      <c r="P560" s="196" t="inlineStr">
        <is>
          <t>NOVAK Nicola</t>
        </is>
      </c>
      <c r="Q560" s="196" t="inlineStr">
        <is>
          <t>KRAJNC Greta</t>
        </is>
      </c>
      <c r="R560" s="196" t="inlineStr">
        <is>
          <t>IGLESIAS Jonas</t>
        </is>
      </c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inlineStr">
        <is>
          <t>SEVER Nicola [AA]</t>
        </is>
      </c>
      <c r="N563" s="196" t="inlineStr">
        <is>
          <t>BLANCHET Nicola [AA]</t>
        </is>
      </c>
      <c r="O563" s="196" t="inlineStr">
        <is>
          <t>FUENTES Irene [AA]</t>
        </is>
      </c>
      <c r="P563" s="196" t="inlineStr">
        <is>
          <t>FUENTES Beatrice</t>
        </is>
      </c>
      <c r="Q563" s="196" t="inlineStr">
        <is>
          <t>ORTEGA Filippo</t>
        </is>
      </c>
      <c r="R563" s="196" t="inlineStr">
        <is>
          <t>LANGER Valerie</t>
        </is>
      </c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inlineStr">
        <is>
          <t>MARCHIONI Lea [AAt]</t>
        </is>
      </c>
      <c r="N566" s="196" t="inlineStr">
        <is>
          <t>NAVARRO Martina [A]</t>
        </is>
      </c>
      <c r="O566" s="196" t="inlineStr">
        <is>
          <t>LEFEVRE Mathilde [A]</t>
        </is>
      </c>
      <c r="P566" s="196" t="inlineStr">
        <is>
          <t>KELLER Pablo</t>
        </is>
      </c>
      <c r="Q566" s="196" t="inlineStr">
        <is>
          <t>ZUPAN Irene</t>
        </is>
      </c>
      <c r="R566" s="196" t="inlineStr">
        <is>
          <t>FERRANTE Chiara</t>
        </is>
      </c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inlineStr">
        <is>
          <t>KELLER Marco [Aest]</t>
        </is>
      </c>
      <c r="N569" s="196" t="inlineStr">
        <is>
          <t>KRAJNC Elena [AA]</t>
        </is>
      </c>
      <c r="O569" s="196" t="inlineStr">
        <is>
          <t>VIDMAR Pablo [Aest]</t>
        </is>
      </c>
      <c r="P569" s="196" t="inlineStr">
        <is>
          <t>BIANCHELLI Mathilde</t>
        </is>
      </c>
      <c r="Q569" s="196" t="inlineStr">
        <is>
          <t>SCHAFER Ottavia</t>
        </is>
      </c>
      <c r="R569" s="196" t="inlineStr">
        <is>
          <t>KRUGER Irene</t>
        </is>
      </c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inlineStr">
        <is>
          <t>NAVARRO Gaelle [A]</t>
        </is>
      </c>
      <c r="N572" s="196" t="inlineStr">
        <is>
          <t>FUENTES Valerie [AAt]</t>
        </is>
      </c>
      <c r="O572" s="196" t="inlineStr">
        <is>
          <t>ROSSINI Irene [AA]</t>
        </is>
      </c>
      <c r="P572" s="196" t="inlineStr">
        <is>
          <t>ORTEGA Andrea</t>
        </is>
      </c>
      <c r="Q572" s="196" t="inlineStr">
        <is>
          <t>FUENTES Beatrice</t>
        </is>
      </c>
      <c r="R572" s="196" t="inlineStr">
        <is>
          <t>MORETTO Lea</t>
        </is>
      </c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inlineStr">
        <is>
          <t>CARON Greta [AA]</t>
        </is>
      </c>
      <c r="N575" s="196" t="inlineStr">
        <is>
          <t>VIDMAR Elena [AAt]</t>
        </is>
      </c>
      <c r="O575" s="196" t="inlineStr">
        <is>
          <t>SCHAFER Eva [AA]</t>
        </is>
      </c>
      <c r="P575" s="196" t="inlineStr">
        <is>
          <t>ROMERO Stefano</t>
        </is>
      </c>
      <c r="Q575" s="196" t="inlineStr">
        <is>
          <t>SCHAFER Greta</t>
        </is>
      </c>
      <c r="R575" s="196" t="inlineStr">
        <is>
          <t>HOFFMANN Diego</t>
        </is>
      </c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inlineStr">
        <is>
          <t>HORVAT Lea [A]</t>
        </is>
      </c>
      <c r="N578" s="196" t="inlineStr">
        <is>
          <t>KRAJNC Lukas [Aest]</t>
        </is>
      </c>
      <c r="O578" s="196" t="inlineStr">
        <is>
          <t>BRANDT Felix [A]</t>
        </is>
      </c>
      <c r="P578" s="196" t="inlineStr">
        <is>
          <t>GAUTHIER Davide</t>
        </is>
      </c>
      <c r="Q578" s="196" t="inlineStr">
        <is>
          <t>PRADO Stefano</t>
        </is>
      </c>
      <c r="R578" s="196" t="inlineStr">
        <is>
          <t>VIDMAR Diego</t>
        </is>
      </c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inlineStr">
        <is>
          <t>FOURNIER Ottavia [A]</t>
        </is>
      </c>
      <c r="N581" s="196" t="inlineStr">
        <is>
          <t>NADAUD Greta [A]</t>
        </is>
      </c>
      <c r="O581" s="196" t="inlineStr">
        <is>
          <t>MOREAU Pablo [AAt]</t>
        </is>
      </c>
      <c r="P581" s="196" t="inlineStr">
        <is>
          <t>CAMPOS Martina</t>
        </is>
      </c>
      <c r="Q581" s="196" t="inlineStr">
        <is>
          <t>BLANCO Elena</t>
        </is>
      </c>
      <c r="R581" s="196" t="inlineStr">
        <is>
          <t>LEFEVRE Mathilde</t>
        </is>
      </c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inlineStr">
        <is>
          <t>LEROUX Elena [AA]</t>
        </is>
      </c>
      <c r="N586" s="196" t="inlineStr">
        <is>
          <t>PELLEGRI Valerie [AA]</t>
        </is>
      </c>
      <c r="O586" s="196" t="inlineStr">
        <is>
          <t>MOREAU Martina [Aest]</t>
        </is>
      </c>
      <c r="P586" s="196" t="inlineStr">
        <is>
          <t>KRUGER Paolo</t>
        </is>
      </c>
      <c r="Q586" s="196" t="inlineStr">
        <is>
          <t>SEVER Marco</t>
        </is>
      </c>
      <c r="R586" s="196" t="inlineStr">
        <is>
          <t>ROMERO Greta</t>
        </is>
      </c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inlineStr">
        <is>
          <t>NAVARRO Gaelle [A]</t>
        </is>
      </c>
      <c r="N589" s="196" t="inlineStr">
        <is>
          <t>MODIC Matteo [AA]</t>
        </is>
      </c>
      <c r="O589" s="196" t="inlineStr">
        <is>
          <t>SOLER Stefano [A]</t>
        </is>
      </c>
      <c r="P589" s="196" t="inlineStr">
        <is>
          <t>CASTILLO Davide</t>
        </is>
      </c>
      <c r="Q589" s="196" t="inlineStr">
        <is>
          <t>HORVAT Lukas</t>
        </is>
      </c>
      <c r="R589" s="196" t="inlineStr">
        <is>
          <t>FERRANTE Felix</t>
        </is>
      </c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inlineStr">
        <is>
          <t>LANGER Marta [A]</t>
        </is>
      </c>
      <c r="N592" s="196" t="inlineStr">
        <is>
          <t>ROTH Mathilde [A]</t>
        </is>
      </c>
      <c r="O592" s="196" t="inlineStr">
        <is>
          <t>AUBERT Lucia [AAt]</t>
        </is>
      </c>
      <c r="P592" s="196" t="inlineStr">
        <is>
          <t>IGLESIAS Jonas</t>
        </is>
      </c>
      <c r="Q592" s="196" t="inlineStr">
        <is>
          <t>BLANCO Giulia</t>
        </is>
      </c>
      <c r="R592" s="196" t="inlineStr">
        <is>
          <t>LEROUX Paolo</t>
        </is>
      </c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inlineStr">
        <is>
          <t>KELLER Valerie [AAt]</t>
        </is>
      </c>
      <c r="N595" s="196" t="inlineStr">
        <is>
          <t>LEFEVRE Filippo [AA]</t>
        </is>
      </c>
      <c r="O595" s="196" t="inlineStr">
        <is>
          <t>ZUPAN Felix [AAt]</t>
        </is>
      </c>
      <c r="P595" s="196" t="inlineStr">
        <is>
          <t>FERRANTE Felix</t>
        </is>
      </c>
      <c r="Q595" s="196" t="inlineStr">
        <is>
          <t>GAUTHIER Irene</t>
        </is>
      </c>
      <c r="R595" s="196" t="inlineStr">
        <is>
          <t>VOGEL Sofia</t>
        </is>
      </c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inlineStr">
        <is>
          <t>KRUGER Ilaria [A]</t>
        </is>
      </c>
      <c r="N598" s="196" t="inlineStr">
        <is>
          <t>SOLER Alenka [A]</t>
        </is>
      </c>
      <c r="O598" s="196" t="inlineStr">
        <is>
          <t>MODIC Valerie [A]</t>
        </is>
      </c>
      <c r="P598" s="196" t="inlineStr">
        <is>
          <t>FUENTES Chiara</t>
        </is>
      </c>
      <c r="Q598" s="196" t="inlineStr">
        <is>
          <t>NADAUD Andrea</t>
        </is>
      </c>
      <c r="R598" s="196" t="inlineStr">
        <is>
          <t>HOFFMANN Diego</t>
        </is>
      </c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inlineStr">
        <is>
          <t>ROTH Katrin [A]</t>
        </is>
      </c>
      <c r="N601" s="196" t="inlineStr">
        <is>
          <t>LEROUX Hugo [Aest]</t>
        </is>
      </c>
      <c r="O601" s="196" t="inlineStr">
        <is>
          <t>GAUTHIER Irene [Aest]</t>
        </is>
      </c>
      <c r="P601" s="196" t="inlineStr">
        <is>
          <t>FERRANTE Felix</t>
        </is>
      </c>
      <c r="Q601" s="196" t="inlineStr">
        <is>
          <t>PRADO Eva</t>
        </is>
      </c>
      <c r="R601" s="196" t="inlineStr">
        <is>
          <t>BLANCO Lukas</t>
        </is>
      </c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inlineStr">
        <is>
          <t>AUBERT Greta [Aest]</t>
        </is>
      </c>
      <c r="N604" s="196" t="inlineStr">
        <is>
          <t>ROTH Mathilde [A]</t>
        </is>
      </c>
      <c r="O604" s="196" t="inlineStr">
        <is>
          <t>ROTH Eva [A]</t>
        </is>
      </c>
      <c r="P604" s="196" t="inlineStr">
        <is>
          <t>BELLANDI Greta</t>
        </is>
      </c>
      <c r="Q604" s="196" t="inlineStr">
        <is>
          <t>NOVAK Tommaso</t>
        </is>
      </c>
      <c r="R604" s="196" t="inlineStr">
        <is>
          <t>LEROUX Gaelle</t>
        </is>
      </c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inlineStr">
        <is>
          <t>CONTARDI Nicola [Aest]</t>
        </is>
      </c>
      <c r="N607" s="196" t="inlineStr">
        <is>
          <t>MODIC Chiara [AA]</t>
        </is>
      </c>
      <c r="O607" s="196" t="inlineStr">
        <is>
          <t>BRANDT Filippo [AAt]</t>
        </is>
      </c>
      <c r="P607" s="196" t="inlineStr">
        <is>
          <t>IGLESIAS Alenka</t>
        </is>
      </c>
      <c r="Q607" s="196" t="inlineStr">
        <is>
          <t>CONTARDI Felix</t>
        </is>
      </c>
      <c r="R607" s="196" t="inlineStr">
        <is>
          <t>HOFFMANN Andrea</t>
        </is>
      </c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inlineStr">
        <is>
          <t>MORETTO Ottavia [A]</t>
        </is>
      </c>
      <c r="N610" s="196" t="inlineStr">
        <is>
          <t>MODIC Gaelle [AA]</t>
        </is>
      </c>
      <c r="O610" s="196" t="inlineStr">
        <is>
          <t>LEROUX Filippo [Aest]</t>
        </is>
      </c>
      <c r="P610" s="196" t="inlineStr">
        <is>
          <t>KRAJNC Davide</t>
        </is>
      </c>
      <c r="Q610" s="196" t="inlineStr">
        <is>
          <t>ROTH Stefano</t>
        </is>
      </c>
      <c r="R610" s="196" t="inlineStr">
        <is>
          <t>VIDMAR Matteo</t>
        </is>
      </c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inlineStr">
        <is>
          <t>SEVER Diego [A]</t>
        </is>
      </c>
      <c r="N613" s="196" t="inlineStr">
        <is>
          <t>PETERLIN Beatrice [Aest]</t>
        </is>
      </c>
      <c r="O613" s="196" t="inlineStr">
        <is>
          <t>CARON Martina [AAt]</t>
        </is>
      </c>
      <c r="P613" s="196" t="inlineStr">
        <is>
          <t>KOVAC Martina</t>
        </is>
      </c>
      <c r="Q613" s="196" t="inlineStr">
        <is>
          <t>SANTORI Jonas</t>
        </is>
      </c>
      <c r="R613" s="196" t="inlineStr">
        <is>
          <t>ROSSINI Filippo</t>
        </is>
      </c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inlineStr">
        <is>
          <t>MARCHIONI Lukas [AAt]</t>
        </is>
      </c>
      <c r="N650" s="196" t="inlineStr">
        <is>
          <t>MORETTO Ottavia [A]</t>
        </is>
      </c>
      <c r="O650" s="196" t="inlineStr">
        <is>
          <t>KRUGER Nicola [Aest]</t>
        </is>
      </c>
      <c r="P650" s="196" t="inlineStr">
        <is>
          <t>CASTILLO Stefano</t>
        </is>
      </c>
      <c r="Q650" s="196" t="inlineStr">
        <is>
          <t>SOLER Stefano</t>
        </is>
      </c>
      <c r="R650" s="196" t="inlineStr">
        <is>
          <t>AUBERT Paolo</t>
        </is>
      </c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inlineStr">
        <is>
          <t>ROMERO Matteo [Aest]</t>
        </is>
      </c>
      <c r="N653" s="196" t="inlineStr">
        <is>
          <t>ROSSINI Alenka [AAt]</t>
        </is>
      </c>
      <c r="O653" s="196" t="inlineStr">
        <is>
          <t>ORTEGA Diego [A]</t>
        </is>
      </c>
      <c r="P653" s="196" t="inlineStr">
        <is>
          <t>HORVAT Pablo</t>
        </is>
      </c>
      <c r="Q653" s="196" t="inlineStr">
        <is>
          <t>LEROUX Stefano</t>
        </is>
      </c>
      <c r="R653" s="196" t="inlineStr">
        <is>
          <t>ROTH Stefano</t>
        </is>
      </c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inlineStr">
        <is>
          <t>LANGER Beatrice [Aest]</t>
        </is>
      </c>
      <c r="N656" s="196" t="inlineStr">
        <is>
          <t>MOREAU Pablo [AAt]</t>
        </is>
      </c>
      <c r="O656" s="196" t="inlineStr">
        <is>
          <t>ENGEL Gaelle [AAt]</t>
        </is>
      </c>
      <c r="P656" s="196" t="inlineStr">
        <is>
          <t>FERRANTE Chiara</t>
        </is>
      </c>
      <c r="Q656" s="196" t="inlineStr">
        <is>
          <t>AUBERT Pablo</t>
        </is>
      </c>
      <c r="R656" s="196" t="inlineStr">
        <is>
          <t>CASTILLO Elena</t>
        </is>
      </c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inlineStr">
        <is>
          <t>IGLESIAS Chiara [AAt]</t>
        </is>
      </c>
      <c r="N659" s="196" t="inlineStr">
        <is>
          <t>KRAJNC Marta [Aest]</t>
        </is>
      </c>
      <c r="O659" s="196" t="inlineStr">
        <is>
          <t>MOREAU Katrin [A]</t>
        </is>
      </c>
      <c r="P659" s="196" t="inlineStr">
        <is>
          <t>CAMPOS Anja</t>
        </is>
      </c>
      <c r="Q659" s="196" t="inlineStr">
        <is>
          <t>ENGEL Lucia</t>
        </is>
      </c>
      <c r="R659" s="196" t="inlineStr">
        <is>
          <t>LANGER Andrea</t>
        </is>
      </c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inlineStr">
        <is>
          <t>HOFFMANN Valerie [A]</t>
        </is>
      </c>
      <c r="N662" s="196" t="inlineStr">
        <is>
          <t>BRANDT Felix [A]</t>
        </is>
      </c>
      <c r="O662" s="196" t="inlineStr">
        <is>
          <t>FERRANTE Filippo [AAt]</t>
        </is>
      </c>
      <c r="P662" s="196" t="inlineStr">
        <is>
          <t>NADAUD Jonas</t>
        </is>
      </c>
      <c r="Q662" s="196" t="inlineStr">
        <is>
          <t>KOVAC Chiara</t>
        </is>
      </c>
      <c r="R662" s="196" t="inlineStr">
        <is>
          <t>LEFEVRE Mathilde</t>
        </is>
      </c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inlineStr">
        <is>
          <t>PETERLIN Luca [Aest]</t>
        </is>
      </c>
      <c r="N665" s="196" t="inlineStr">
        <is>
          <t>MODIC Valerie [A]</t>
        </is>
      </c>
      <c r="O665" s="196" t="inlineStr">
        <is>
          <t>CASTILLO Paolo [AAt]</t>
        </is>
      </c>
      <c r="P665" s="196" t="inlineStr">
        <is>
          <t>LEFEVRE Noemi</t>
        </is>
      </c>
      <c r="Q665" s="196" t="inlineStr">
        <is>
          <t>GAUTHIER Andrea</t>
        </is>
      </c>
      <c r="R665" s="196" t="inlineStr">
        <is>
          <t>SEVER Giulia</t>
        </is>
      </c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inlineStr">
        <is>
          <t>PELLEGRI Eva [AA]</t>
        </is>
      </c>
      <c r="N668" s="196" t="inlineStr">
        <is>
          <t>SOLER Alenka [A]</t>
        </is>
      </c>
      <c r="O668" s="196" t="inlineStr">
        <is>
          <t>HORVAT Lea [A]</t>
        </is>
      </c>
      <c r="P668" s="196" t="inlineStr">
        <is>
          <t>ENGEL Elena</t>
        </is>
      </c>
      <c r="Q668" s="196" t="inlineStr">
        <is>
          <t>SCHAFER Katrin</t>
        </is>
      </c>
      <c r="R668" s="196" t="inlineStr">
        <is>
          <t>KRUGER Marco</t>
        </is>
      </c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inlineStr">
        <is>
          <t>GALLINI Lukas [AA]</t>
        </is>
      </c>
      <c r="N671" s="196" t="inlineStr">
        <is>
          <t>BLANCHET Giulia [AA]</t>
        </is>
      </c>
      <c r="O671" s="196" t="inlineStr">
        <is>
          <t>MARCHIONI Paula [Aest]</t>
        </is>
      </c>
      <c r="P671" s="196" t="inlineStr">
        <is>
          <t>SEVER Ottavia</t>
        </is>
      </c>
      <c r="Q671" s="196" t="inlineStr">
        <is>
          <t>GAUTHIER Pablo</t>
        </is>
      </c>
      <c r="R671" s="196" t="inlineStr">
        <is>
          <t>VOGEL Lea</t>
        </is>
      </c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inlineStr">
        <is>
          <t>CONTARDI Nicola [Aest]</t>
        </is>
      </c>
      <c r="N674" s="196" t="inlineStr">
        <is>
          <t>WEBER Nicola [AAt]</t>
        </is>
      </c>
      <c r="O674" s="196" t="inlineStr">
        <is>
          <t>HORVAT Ottavia [A]</t>
        </is>
      </c>
      <c r="P674" s="196" t="inlineStr">
        <is>
          <t>KRUGER Valerie</t>
        </is>
      </c>
      <c r="Q674" s="196" t="inlineStr">
        <is>
          <t>FUENTES Anja</t>
        </is>
      </c>
      <c r="R674" s="196" t="inlineStr">
        <is>
          <t>CONTARDI Miha</t>
        </is>
      </c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inlineStr">
        <is>
          <t>PETERLIN Mathilde [Aest]</t>
        </is>
      </c>
      <c r="N677" s="196" t="inlineStr">
        <is>
          <t>LANGER Beatrice [Aest]</t>
        </is>
      </c>
      <c r="O677" s="196" t="inlineStr">
        <is>
          <t>GAUTHIER Noemi [AA]</t>
        </is>
      </c>
      <c r="P677" s="196" t="inlineStr">
        <is>
          <t>SCHAFER Lucia</t>
        </is>
      </c>
      <c r="Q677" s="196" t="inlineStr">
        <is>
          <t>LEROUX Paolo</t>
        </is>
      </c>
      <c r="R677" s="196" t="inlineStr">
        <is>
          <t>CASTILLO Alenka</t>
        </is>
      </c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inlineStr">
        <is>
          <t>GALLINI Filippo [A]</t>
        </is>
      </c>
      <c r="N682" s="196" t="inlineStr">
        <is>
          <t>PELLEGRI Eva [AA]</t>
        </is>
      </c>
      <c r="O682" s="196" t="inlineStr">
        <is>
          <t>OBLAK Beatrice [AA]</t>
        </is>
      </c>
      <c r="P682" s="196" t="inlineStr">
        <is>
          <t>GAUTHIER Davide</t>
        </is>
      </c>
      <c r="Q682" s="196" t="inlineStr">
        <is>
          <t>OBLAK Chiara</t>
        </is>
      </c>
      <c r="R682" s="196" t="inlineStr">
        <is>
          <t>ENGEL Martina</t>
        </is>
      </c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inlineStr">
        <is>
          <t>KOVAC Valerie [AAt]</t>
        </is>
      </c>
      <c r="N685" s="196" t="inlineStr">
        <is>
          <t>ROMERO Diego [AA]</t>
        </is>
      </c>
      <c r="O685" s="196" t="inlineStr">
        <is>
          <t>KRUGER Greta [A]</t>
        </is>
      </c>
      <c r="P685" s="196" t="inlineStr">
        <is>
          <t>GAUTHIER Sofia</t>
        </is>
      </c>
      <c r="Q685" s="196" t="inlineStr">
        <is>
          <t>NADAUD Paula</t>
        </is>
      </c>
      <c r="R685" s="196" t="inlineStr">
        <is>
          <t>BLANCHET Tommaso</t>
        </is>
      </c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inlineStr">
        <is>
          <t>LEROUX Elena [AA]</t>
        </is>
      </c>
      <c r="N688" s="196" t="inlineStr">
        <is>
          <t>ROTH Katrin [A]</t>
        </is>
      </c>
      <c r="O688" s="196" t="inlineStr">
        <is>
          <t>FUENTES Noemi [Aest]</t>
        </is>
      </c>
      <c r="P688" s="196" t="inlineStr">
        <is>
          <t>ROMERO Felix</t>
        </is>
      </c>
      <c r="Q688" s="196" t="inlineStr">
        <is>
          <t>FERRANTE Andrea</t>
        </is>
      </c>
      <c r="R688" s="196" t="inlineStr">
        <is>
          <t>BELLANDI Giulia</t>
        </is>
      </c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inlineStr">
        <is>
          <t>BRANDT Felix [A]</t>
        </is>
      </c>
      <c r="N691" s="196" t="inlineStr">
        <is>
          <t>NOVAK Lea [AA]</t>
        </is>
      </c>
      <c r="O691" s="196" t="inlineStr">
        <is>
          <t>WEBER Andrea [AAt]</t>
        </is>
      </c>
      <c r="P691" s="196" t="inlineStr">
        <is>
          <t>SOLER Pablo</t>
        </is>
      </c>
      <c r="Q691" s="196" t="inlineStr">
        <is>
          <t>KELLER Alenka</t>
        </is>
      </c>
      <c r="R691" s="196" t="inlineStr">
        <is>
          <t>NADAUD Mathilde</t>
        </is>
      </c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inlineStr">
        <is>
          <t>ROMERO Diego [AA]</t>
        </is>
      </c>
      <c r="N694" s="196" t="inlineStr">
        <is>
          <t>ROSSINI Sofia [AA]</t>
        </is>
      </c>
      <c r="O694" s="196" t="inlineStr">
        <is>
          <t>NAVARRO Miha [A]</t>
        </is>
      </c>
      <c r="P694" s="196" t="inlineStr">
        <is>
          <t>ROMERO Felix</t>
        </is>
      </c>
      <c r="Q694" s="196" t="inlineStr">
        <is>
          <t>HOFFMANN Tommaso</t>
        </is>
      </c>
      <c r="R694" s="196" t="inlineStr">
        <is>
          <t>HOFFMANN Andrea</t>
        </is>
      </c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inlineStr">
        <is>
          <t>KOVAC Valerie [AAt]</t>
        </is>
      </c>
      <c r="N697" s="196" t="inlineStr">
        <is>
          <t>HORVAT Davide [Aest]</t>
        </is>
      </c>
      <c r="O697" s="196" t="inlineStr">
        <is>
          <t>SOLER Ottavia [AAt]</t>
        </is>
      </c>
      <c r="P697" s="196" t="inlineStr">
        <is>
          <t>NOVAK Tommaso</t>
        </is>
      </c>
      <c r="Q697" s="196" t="inlineStr">
        <is>
          <t>LEFEVRE Filippo</t>
        </is>
      </c>
      <c r="R697" s="196" t="inlineStr">
        <is>
          <t>ROTH Paolo</t>
        </is>
      </c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inlineStr">
        <is>
          <t>GALLINI Sofia [AA]</t>
        </is>
      </c>
      <c r="N700" s="196" t="inlineStr">
        <is>
          <t>BRANDT Felix [A]</t>
        </is>
      </c>
      <c r="O700" s="196" t="inlineStr">
        <is>
          <t>NOVAK Lea [AA]</t>
        </is>
      </c>
      <c r="P700" s="196" t="inlineStr">
        <is>
          <t>KOVAC Martina</t>
        </is>
      </c>
      <c r="Q700" s="196" t="inlineStr">
        <is>
          <t>ROTH Andrea</t>
        </is>
      </c>
      <c r="R700" s="196" t="inlineStr">
        <is>
          <t>WEBER Sofia</t>
        </is>
      </c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inlineStr">
        <is>
          <t>VIDMAR Elena [AAt]</t>
        </is>
      </c>
      <c r="N703" s="196" t="inlineStr">
        <is>
          <t>BLANCHET Giulia [AA]</t>
        </is>
      </c>
      <c r="O703" s="196" t="inlineStr">
        <is>
          <t>BRANDT Felix [A]</t>
        </is>
      </c>
      <c r="P703" s="196" t="inlineStr">
        <is>
          <t>MODIC Lucia</t>
        </is>
      </c>
      <c r="Q703" s="196" t="inlineStr">
        <is>
          <t>MORETTO Beatrice</t>
        </is>
      </c>
      <c r="R703" s="196" t="inlineStr">
        <is>
          <t>FOURNIER Stefano</t>
        </is>
      </c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inlineStr">
        <is>
          <t>HORVAT Giulia [A]</t>
        </is>
      </c>
      <c r="N706" s="196" t="inlineStr">
        <is>
          <t>KRUGER Greta [A]</t>
        </is>
      </c>
      <c r="O706" s="196" t="inlineStr">
        <is>
          <t>CASTILLO Paolo [AAt]</t>
        </is>
      </c>
      <c r="P706" s="196" t="inlineStr">
        <is>
          <t>BLANCHET Jonas</t>
        </is>
      </c>
      <c r="Q706" s="196" t="inlineStr">
        <is>
          <t>FERRANTE Nicola</t>
        </is>
      </c>
      <c r="R706" s="196" t="inlineStr">
        <is>
          <t>ROMERO Elena</t>
        </is>
      </c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inlineStr">
        <is>
          <t>CAMPOS Anja [Aest]</t>
        </is>
      </c>
      <c r="N709" s="196" t="inlineStr">
        <is>
          <t>GALLINI Sofia [AA]</t>
        </is>
      </c>
      <c r="O709" s="196" t="inlineStr">
        <is>
          <t>VOGEL Andrea [A]</t>
        </is>
      </c>
      <c r="P709" s="196" t="inlineStr">
        <is>
          <t>ROSSINI Gaelle</t>
        </is>
      </c>
      <c r="Q709" s="196" t="inlineStr">
        <is>
          <t>BLANCHET Marta</t>
        </is>
      </c>
      <c r="R709" s="196" t="inlineStr">
        <is>
          <t>CASTILLO Martina</t>
        </is>
      </c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inlineStr">
        <is>
          <t>ORTEGA Elena [Aest]</t>
        </is>
      </c>
      <c r="N714" s="196" t="inlineStr">
        <is>
          <t>GALLINI Valerie [AA]</t>
        </is>
      </c>
      <c r="O714" s="196" t="inlineStr">
        <is>
          <t>CAMPOS Miha [Aest]</t>
        </is>
      </c>
      <c r="P714" s="196" t="inlineStr">
        <is>
          <t>LEFEVRE Alenka</t>
        </is>
      </c>
      <c r="Q714" s="196" t="inlineStr">
        <is>
          <t>KOVAC Lea</t>
        </is>
      </c>
      <c r="R714" s="196" t="inlineStr">
        <is>
          <t>FUENTES Greta</t>
        </is>
      </c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inlineStr">
        <is>
          <t>CAMPOS Noemi [AA]</t>
        </is>
      </c>
      <c r="N717" s="196" t="inlineStr">
        <is>
          <t>GALLINI Gaelle [A]</t>
        </is>
      </c>
      <c r="O717" s="196" t="inlineStr">
        <is>
          <t>SCHAFER Stefano [A]</t>
        </is>
      </c>
      <c r="P717" s="196" t="inlineStr">
        <is>
          <t>KRUGER Giulia</t>
        </is>
      </c>
      <c r="Q717" s="196" t="inlineStr">
        <is>
          <t>KRAJNC Greta</t>
        </is>
      </c>
      <c r="R717" s="196" t="inlineStr">
        <is>
          <t>PRADO Stefano</t>
        </is>
      </c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inlineStr">
        <is>
          <t>CASTILLO Lucia [AA]</t>
        </is>
      </c>
      <c r="N720" s="196" t="inlineStr">
        <is>
          <t>ROSSINI Sofia [AA]</t>
        </is>
      </c>
      <c r="O720" s="196" t="inlineStr">
        <is>
          <t>SANTORI Gaelle [AA]</t>
        </is>
      </c>
      <c r="P720" s="196" t="inlineStr">
        <is>
          <t>NAVARRO Paula</t>
        </is>
      </c>
      <c r="Q720" s="196" t="inlineStr">
        <is>
          <t>LANGER Valerie</t>
        </is>
      </c>
      <c r="R720" s="196" t="inlineStr">
        <is>
          <t>BELLANDI Hugo</t>
        </is>
      </c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inlineStr">
        <is>
          <t>NAVARRO Gaelle [A]</t>
        </is>
      </c>
      <c r="N723" s="196" t="inlineStr">
        <is>
          <t>BRANDT Stefano [AAt]</t>
        </is>
      </c>
      <c r="O723" s="196" t="inlineStr">
        <is>
          <t>SANTORI Chiara [A]</t>
        </is>
      </c>
      <c r="P723" s="196" t="inlineStr">
        <is>
          <t>MARCHIONI Nicola</t>
        </is>
      </c>
      <c r="Q723" s="196" t="inlineStr">
        <is>
          <t>IGLESIAS Jonas</t>
        </is>
      </c>
      <c r="R723" s="196" t="inlineStr">
        <is>
          <t>BLANCO Valerie</t>
        </is>
      </c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inlineStr">
        <is>
          <t>VALLET Martina [Aest]</t>
        </is>
      </c>
      <c r="N726" s="196" t="inlineStr">
        <is>
          <t>CARON Vid [A]</t>
        </is>
      </c>
      <c r="O726" s="196" t="inlineStr">
        <is>
          <t>KRAJNC Marta [Aest]</t>
        </is>
      </c>
      <c r="P726" s="196" t="inlineStr">
        <is>
          <t>KRAJNC Tommaso</t>
        </is>
      </c>
      <c r="Q726" s="196" t="inlineStr">
        <is>
          <t>WEBER Nicola</t>
        </is>
      </c>
      <c r="R726" s="196" t="inlineStr">
        <is>
          <t>ROMERO Giulia</t>
        </is>
      </c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inlineStr">
        <is>
          <t>SCHAFER Stefano [A]</t>
        </is>
      </c>
      <c r="N729" s="196" t="inlineStr">
        <is>
          <t>LANGER Hugo [AA]</t>
        </is>
      </c>
      <c r="O729" s="196" t="inlineStr">
        <is>
          <t>CASTILLO Jonas [AA]</t>
        </is>
      </c>
      <c r="P729" s="196" t="inlineStr">
        <is>
          <t>IGLESIAS Chiara</t>
        </is>
      </c>
      <c r="Q729" s="196" t="inlineStr">
        <is>
          <t>HOFFMANN Tommaso</t>
        </is>
      </c>
      <c r="R729" s="196" t="inlineStr">
        <is>
          <t>NOVAK Lukas</t>
        </is>
      </c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inlineStr">
        <is>
          <t>MARCHIONI Filippo [AAt]</t>
        </is>
      </c>
      <c r="N732" s="196" t="inlineStr">
        <is>
          <t>KRUGER Lea [AA]</t>
        </is>
      </c>
      <c r="O732" s="196" t="inlineStr">
        <is>
          <t>HORVAT Vid [A]</t>
        </is>
      </c>
      <c r="P732" s="196" t="inlineStr">
        <is>
          <t>NADAUD Marco</t>
        </is>
      </c>
      <c r="Q732" s="196" t="inlineStr">
        <is>
          <t>HORVAT Lukas</t>
        </is>
      </c>
      <c r="R732" s="196" t="inlineStr">
        <is>
          <t>CASTILLO Davide</t>
        </is>
      </c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inlineStr">
        <is>
          <t>VOGEL Andrea [A]</t>
        </is>
      </c>
      <c r="N735" s="196" t="inlineStr">
        <is>
          <t>ZUPAN Beatrice [AAt]</t>
        </is>
      </c>
      <c r="O735" s="196" t="inlineStr">
        <is>
          <t>HORVAT Vid [A]</t>
        </is>
      </c>
      <c r="P735" s="196" t="inlineStr">
        <is>
          <t>MOREAU Vid</t>
        </is>
      </c>
      <c r="Q735" s="196" t="inlineStr">
        <is>
          <t>CASTILLO Alenka</t>
        </is>
      </c>
      <c r="R735" s="196" t="inlineStr">
        <is>
          <t>PELLEGRI Lea</t>
        </is>
      </c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inlineStr">
        <is>
          <t>SOLER Ottavia [AAt]</t>
        </is>
      </c>
      <c r="N738" s="196" t="inlineStr">
        <is>
          <t>VIDMAR Pablo [Aest]</t>
        </is>
      </c>
      <c r="O738" s="196" t="inlineStr">
        <is>
          <t>FOURNIER Matteo [AAt]</t>
        </is>
      </c>
      <c r="P738" s="196" t="inlineStr">
        <is>
          <t>MORETTO Beatrice</t>
        </is>
      </c>
      <c r="Q738" s="196" t="inlineStr">
        <is>
          <t>CAMPOS Noemi</t>
        </is>
      </c>
      <c r="R738" s="196" t="inlineStr">
        <is>
          <t>SCHAFER Lea</t>
        </is>
      </c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inlineStr">
        <is>
          <t>HOFFMANN Filippo [AA]</t>
        </is>
      </c>
      <c r="N741" s="196" t="inlineStr">
        <is>
          <t>BLANCO Tommaso [AAt]</t>
        </is>
      </c>
      <c r="O741" s="196" t="inlineStr">
        <is>
          <t>PETERLIN Beatrice [Aest]</t>
        </is>
      </c>
      <c r="P741" s="196" t="inlineStr">
        <is>
          <t>FUENTES Chiara</t>
        </is>
      </c>
      <c r="Q741" s="196" t="inlineStr">
        <is>
          <t>SCHAFER Gaelle</t>
        </is>
      </c>
      <c r="R741" s="196" t="inlineStr">
        <is>
          <t>ZUPAN Irene</t>
        </is>
      </c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inlineStr">
        <is>
          <t>ROSSINI Paula [AAt]</t>
        </is>
      </c>
      <c r="N746" s="196" t="inlineStr">
        <is>
          <t>FUENTES Eva [A]</t>
        </is>
      </c>
      <c r="O746" s="196" t="inlineStr">
        <is>
          <t>BIANCHELLI Paolo [AA]</t>
        </is>
      </c>
      <c r="P746" s="196" t="inlineStr">
        <is>
          <t>MORETTO Lea</t>
        </is>
      </c>
      <c r="Q746" s="196" t="inlineStr">
        <is>
          <t>KRUGER Katrin</t>
        </is>
      </c>
      <c r="R746" s="196" t="inlineStr">
        <is>
          <t>BELLANDI Hugo</t>
        </is>
      </c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inlineStr">
        <is>
          <t>CASTILLO Paolo [AAt]</t>
        </is>
      </c>
      <c r="N749" s="196" t="inlineStr">
        <is>
          <t>ORTEGA Katrin [Aest]</t>
        </is>
      </c>
      <c r="O749" s="196" t="inlineStr">
        <is>
          <t>KELLER Beatrice [AAt]</t>
        </is>
      </c>
      <c r="P749" s="196" t="inlineStr">
        <is>
          <t>VALLET Stefano</t>
        </is>
      </c>
      <c r="Q749" s="196" t="inlineStr">
        <is>
          <t>ROTH Stefano</t>
        </is>
      </c>
      <c r="R749" s="196" t="inlineStr">
        <is>
          <t>NOVAK Lukas</t>
        </is>
      </c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inlineStr">
        <is>
          <t>PELLEGRI Chiara [AAt]</t>
        </is>
      </c>
      <c r="N752" s="196" t="inlineStr">
        <is>
          <t>BLANCHET Nicola [AA]</t>
        </is>
      </c>
      <c r="O752" s="196" t="inlineStr">
        <is>
          <t>LANGER Valerie [Aest]</t>
        </is>
      </c>
      <c r="P752" s="196" t="inlineStr">
        <is>
          <t>SANTORI Jonas</t>
        </is>
      </c>
      <c r="Q752" s="196" t="inlineStr">
        <is>
          <t>VOGEL Pablo</t>
        </is>
      </c>
      <c r="R752" s="196" t="inlineStr">
        <is>
          <t>GAUTHIER Irene</t>
        </is>
      </c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inlineStr">
        <is>
          <t>KELLER Marta [AAt]</t>
        </is>
      </c>
      <c r="N755" s="196" t="inlineStr">
        <is>
          <t>IGLESIAS Marco [AAt]</t>
        </is>
      </c>
      <c r="O755" s="196" t="inlineStr">
        <is>
          <t>LEFEVRE Paula [A]</t>
        </is>
      </c>
      <c r="P755" s="196" t="inlineStr">
        <is>
          <t>NAVARRO Luca</t>
        </is>
      </c>
      <c r="Q755" s="196" t="inlineStr">
        <is>
          <t>LEFEVRE Ilaria</t>
        </is>
      </c>
      <c r="R755" s="196" t="inlineStr">
        <is>
          <t>NOVAK Nicola</t>
        </is>
      </c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inlineStr">
        <is>
          <t>FUENTES Lukas [Aest]</t>
        </is>
      </c>
      <c r="N758" s="196" t="inlineStr">
        <is>
          <t>CONTARDI Lea [AAt]</t>
        </is>
      </c>
      <c r="O758" s="196" t="inlineStr">
        <is>
          <t>KOVAC Valerie [AAt]</t>
        </is>
      </c>
      <c r="P758" s="196" t="inlineStr">
        <is>
          <t>BLANCO Diego</t>
        </is>
      </c>
      <c r="Q758" s="196" t="inlineStr">
        <is>
          <t>LEFEVRE Alenka</t>
        </is>
      </c>
      <c r="R758" s="196" t="inlineStr">
        <is>
          <t>ROMERO Felix</t>
        </is>
      </c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inlineStr">
        <is>
          <t>MARCHIONI Marco [Aest]</t>
        </is>
      </c>
      <c r="N761" s="196" t="inlineStr">
        <is>
          <t>ZUPAN Felix [AAt]</t>
        </is>
      </c>
      <c r="O761" s="196" t="inlineStr">
        <is>
          <t>HOFFMANN Valerie [A]</t>
        </is>
      </c>
      <c r="P761" s="196" t="inlineStr">
        <is>
          <t>FOURNIER Miha</t>
        </is>
      </c>
      <c r="Q761" s="196" t="inlineStr">
        <is>
          <t>FUENTES Matteo</t>
        </is>
      </c>
      <c r="R761" s="196" t="inlineStr">
        <is>
          <t>CONTARDI Greta</t>
        </is>
      </c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inlineStr">
        <is>
          <t>MOREAU Martina [Aest]</t>
        </is>
      </c>
      <c r="N764" s="196" t="inlineStr">
        <is>
          <t>SEVER Nicola [AA]</t>
        </is>
      </c>
      <c r="O764" s="196" t="inlineStr">
        <is>
          <t>MORETTO Jonas [AAt]</t>
        </is>
      </c>
      <c r="P764" s="196" t="inlineStr">
        <is>
          <t>CONTARDI Greta</t>
        </is>
      </c>
      <c r="Q764" s="196" t="inlineStr">
        <is>
          <t>BIANCHELLI Valerie</t>
        </is>
      </c>
      <c r="R764" s="196" t="inlineStr">
        <is>
          <t>KOVAC Gaelle</t>
        </is>
      </c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inlineStr">
        <is>
          <t>OBLAK Mathilde [A]</t>
        </is>
      </c>
      <c r="N767" s="196" t="inlineStr">
        <is>
          <t>ENGEL Luca [AA]</t>
        </is>
      </c>
      <c r="O767" s="196" t="inlineStr">
        <is>
          <t>MARCHIONI Lea [AAt]</t>
        </is>
      </c>
      <c r="P767" s="196" t="inlineStr">
        <is>
          <t>ORTEGA Alenka</t>
        </is>
      </c>
      <c r="Q767" s="196" t="inlineStr">
        <is>
          <t>FERRANTE Hugo</t>
        </is>
      </c>
      <c r="R767" s="196" t="inlineStr">
        <is>
          <t>KRUGER Irene</t>
        </is>
      </c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inlineStr">
        <is>
          <t>GALLINI Valerie [AA]</t>
        </is>
      </c>
      <c r="N770" s="196" t="inlineStr">
        <is>
          <t>NOVAK Mathilde [Aest]</t>
        </is>
      </c>
      <c r="O770" s="196" t="inlineStr">
        <is>
          <t>PRADO Marco [AAt]</t>
        </is>
      </c>
      <c r="P770" s="196" t="inlineStr">
        <is>
          <t>ZUPAN Katrin</t>
        </is>
      </c>
      <c r="Q770" s="196" t="inlineStr">
        <is>
          <t>VIDMAR Chiara</t>
        </is>
      </c>
      <c r="R770" s="196" t="inlineStr">
        <is>
          <t>IGLESIAS Alenka</t>
        </is>
      </c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inlineStr">
        <is>
          <t>KRUGER Lea [AA]</t>
        </is>
      </c>
      <c r="N773" s="196" t="inlineStr">
        <is>
          <t>VALLET Felix [A]</t>
        </is>
      </c>
      <c r="O773" s="196" t="inlineStr">
        <is>
          <t>NAVARRO Martina [A]</t>
        </is>
      </c>
      <c r="P773" s="196" t="inlineStr">
        <is>
          <t>BLANCO Ottavia</t>
        </is>
      </c>
      <c r="Q773" s="196" t="inlineStr">
        <is>
          <t>WEBER Sofia</t>
        </is>
      </c>
      <c r="R773" s="196" t="inlineStr">
        <is>
          <t>LANGER Andrea</t>
        </is>
      </c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inlineStr">
        <is>
          <t>ROTH Eva [A]</t>
        </is>
      </c>
      <c r="N778" s="196" t="inlineStr">
        <is>
          <t>MODIC Matteo [AA]</t>
        </is>
      </c>
      <c r="O778" s="196" t="inlineStr">
        <is>
          <t>MARCHIONI Paolo [AAt]</t>
        </is>
      </c>
      <c r="P778" s="196" t="inlineStr">
        <is>
          <t>VIDMAR Matteo</t>
        </is>
      </c>
      <c r="Q778" s="196" t="inlineStr">
        <is>
          <t>KELLER Alenka</t>
        </is>
      </c>
      <c r="R778" s="196" t="inlineStr">
        <is>
          <t>MORETTO Jonas</t>
        </is>
      </c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inlineStr">
        <is>
          <t>GAUTHIER Alenka [Aest]</t>
        </is>
      </c>
      <c r="N781" s="196" t="inlineStr">
        <is>
          <t>FOURNIER Lucia [AA]</t>
        </is>
      </c>
      <c r="O781" s="196" t="inlineStr">
        <is>
          <t>VOGEL Giulia [Aest]</t>
        </is>
      </c>
      <c r="P781" s="196" t="inlineStr">
        <is>
          <t>VOGEL Giulia</t>
        </is>
      </c>
      <c r="Q781" s="196" t="inlineStr">
        <is>
          <t>FUENTES Lukas</t>
        </is>
      </c>
      <c r="R781" s="196" t="inlineStr">
        <is>
          <t>MARCHIONI Gaelle</t>
        </is>
      </c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inlineStr">
        <is>
          <t>ENGEL Valerie [Aest]</t>
        </is>
      </c>
      <c r="N784" s="196" t="inlineStr">
        <is>
          <t>SANTORI Eva [AAt]</t>
        </is>
      </c>
      <c r="O784" s="196" t="inlineStr">
        <is>
          <t>GALLINI Valerie [AA]</t>
        </is>
      </c>
      <c r="P784" s="196" t="inlineStr">
        <is>
          <t>ORTEGA Gaelle</t>
        </is>
      </c>
      <c r="Q784" s="196" t="inlineStr">
        <is>
          <t>NAVARRO Giulia</t>
        </is>
      </c>
      <c r="R784" s="196" t="inlineStr">
        <is>
          <t>FERRANTE Greta</t>
        </is>
      </c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inlineStr">
        <is>
          <t>SANTORI Chiara [A]</t>
        </is>
      </c>
      <c r="N787" s="196" t="inlineStr">
        <is>
          <t>KOVAC Valerie [AAt]</t>
        </is>
      </c>
      <c r="O787" s="196" t="inlineStr">
        <is>
          <t>SANTORI Sofia [AA]</t>
        </is>
      </c>
      <c r="P787" s="196" t="inlineStr">
        <is>
          <t>ORTEGA Jonas</t>
        </is>
      </c>
      <c r="Q787" s="196" t="inlineStr">
        <is>
          <t>KRUGER Paolo</t>
        </is>
      </c>
      <c r="R787" s="196" t="inlineStr">
        <is>
          <t>CASTILLO Alenka</t>
        </is>
      </c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inlineStr">
        <is>
          <t>CAMPOS Mathilde [Aest]</t>
        </is>
      </c>
      <c r="N790" s="196" t="inlineStr">
        <is>
          <t>SOLER Ottavia [AAt]</t>
        </is>
      </c>
      <c r="O790" s="196" t="inlineStr">
        <is>
          <t>MARCHIONI Paolo [AAt]</t>
        </is>
      </c>
      <c r="P790" s="196" t="inlineStr">
        <is>
          <t>SEVER Greta</t>
        </is>
      </c>
      <c r="Q790" s="196" t="inlineStr">
        <is>
          <t>VIDMAR Diego</t>
        </is>
      </c>
      <c r="R790" s="196" t="inlineStr">
        <is>
          <t>KELLER Pablo</t>
        </is>
      </c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inlineStr">
        <is>
          <t>BLANCO Lucia [Aest]</t>
        </is>
      </c>
      <c r="N793" s="196" t="inlineStr">
        <is>
          <t>KOVAC Noemi [Aest]</t>
        </is>
      </c>
      <c r="O793" s="196" t="inlineStr">
        <is>
          <t>MARCHIONI Filippo [AAt]</t>
        </is>
      </c>
      <c r="P793" s="196" t="inlineStr">
        <is>
          <t>CAMPOS Jonas</t>
        </is>
      </c>
      <c r="Q793" s="196" t="inlineStr">
        <is>
          <t>VALLET Stefano</t>
        </is>
      </c>
      <c r="R793" s="196" t="inlineStr">
        <is>
          <t>BLANCHET Paula</t>
        </is>
      </c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inlineStr">
        <is>
          <t>PETERLIN Filippo [AAt]</t>
        </is>
      </c>
      <c r="N796" s="196" t="inlineStr">
        <is>
          <t>VALLET Stefano [AAt]</t>
        </is>
      </c>
      <c r="O796" s="196" t="inlineStr">
        <is>
          <t>LANGER Valerie [Aest]</t>
        </is>
      </c>
      <c r="P796" s="196" t="inlineStr">
        <is>
          <t>SANTORI Jonas</t>
        </is>
      </c>
      <c r="Q796" s="196" t="inlineStr">
        <is>
          <t>GALLINI Irene</t>
        </is>
      </c>
      <c r="R796" s="196" t="inlineStr">
        <is>
          <t>KRAJNC Greta</t>
        </is>
      </c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inlineStr">
        <is>
          <t>ENGEL Lea [AAt]</t>
        </is>
      </c>
      <c r="N799" s="196" t="inlineStr">
        <is>
          <t>SOLER Stefano [A]</t>
        </is>
      </c>
      <c r="O799" s="196" t="inlineStr">
        <is>
          <t>MOREAU Andrea [AAt]</t>
        </is>
      </c>
      <c r="P799" s="196" t="inlineStr">
        <is>
          <t>LEROUX Paolo</t>
        </is>
      </c>
      <c r="Q799" s="196" t="inlineStr">
        <is>
          <t>FOURNIER Paula</t>
        </is>
      </c>
      <c r="R799" s="196" t="inlineStr">
        <is>
          <t>NADAUD Mathilde</t>
        </is>
      </c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inlineStr">
        <is>
          <t>HOFFMANN Filippo [AA]</t>
        </is>
      </c>
      <c r="N802" s="196" t="inlineStr">
        <is>
          <t>LEROUX Elena [AA]</t>
        </is>
      </c>
      <c r="O802" s="196" t="inlineStr">
        <is>
          <t>AUBERT Lucia [AAt]</t>
        </is>
      </c>
      <c r="P802" s="196" t="inlineStr">
        <is>
          <t>NADAUD Ilaria</t>
        </is>
      </c>
      <c r="Q802" s="196" t="inlineStr">
        <is>
          <t>FOURNIER Elena</t>
        </is>
      </c>
      <c r="R802" s="196" t="inlineStr">
        <is>
          <t>WEBER Sofia</t>
        </is>
      </c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inlineStr">
        <is>
          <t>ENGEL Filippo [A]</t>
        </is>
      </c>
      <c r="N805" s="196" t="inlineStr">
        <is>
          <t>FOURNIER Andrea [AA]</t>
        </is>
      </c>
      <c r="O805" s="196" t="inlineStr">
        <is>
          <t>GALLINI Elena [AAt]</t>
        </is>
      </c>
      <c r="P805" s="196" t="inlineStr">
        <is>
          <t>BELLANDI Greta</t>
        </is>
      </c>
      <c r="Q805" s="196" t="inlineStr">
        <is>
          <t>LEROUX Beatrice</t>
        </is>
      </c>
      <c r="R805" s="196" t="inlineStr">
        <is>
          <t>WEBER Irene</t>
        </is>
      </c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inlineStr">
        <is>
          <t>HOFFMANN Anja [A]</t>
        </is>
      </c>
      <c r="N810" s="196" t="inlineStr">
        <is>
          <t>KELLER Mathilde [Aest]</t>
        </is>
      </c>
      <c r="O810" s="196" t="inlineStr">
        <is>
          <t>PELLEGRI Chiara [AAt]</t>
        </is>
      </c>
      <c r="P810" s="196" t="inlineStr">
        <is>
          <t>WEBER Irene</t>
        </is>
      </c>
      <c r="Q810" s="196" t="inlineStr">
        <is>
          <t>CONTARDI Felix</t>
        </is>
      </c>
      <c r="R810" s="196" t="inlineStr">
        <is>
          <t>BLANCO Stefano</t>
        </is>
      </c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inlineStr">
        <is>
          <t>VALLET Gaelle [Aest]</t>
        </is>
      </c>
      <c r="N813" s="196" t="inlineStr">
        <is>
          <t>BELLANDI Vid [Aest]</t>
        </is>
      </c>
      <c r="O813" s="196" t="inlineStr">
        <is>
          <t>MARCHIONI Paula [Aest]</t>
        </is>
      </c>
      <c r="P813" s="196" t="inlineStr">
        <is>
          <t>GAUTHIER Luca</t>
        </is>
      </c>
      <c r="Q813" s="196" t="inlineStr">
        <is>
          <t>FERRANTE Hugo</t>
        </is>
      </c>
      <c r="R813" s="196" t="inlineStr">
        <is>
          <t>BLANCO Irene</t>
        </is>
      </c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inlineStr">
        <is>
          <t>SOLER Ottavia [AAt]</t>
        </is>
      </c>
      <c r="N816" s="196" t="inlineStr">
        <is>
          <t>MARCHIONI Filippo [AAt]</t>
        </is>
      </c>
      <c r="O816" s="196" t="inlineStr">
        <is>
          <t>PRADO Diego [Aest]</t>
        </is>
      </c>
      <c r="P816" s="196" t="inlineStr">
        <is>
          <t>KELLER Pablo</t>
        </is>
      </c>
      <c r="Q816" s="196" t="inlineStr">
        <is>
          <t>NOVAK Ilaria</t>
        </is>
      </c>
      <c r="R816" s="196" t="inlineStr">
        <is>
          <t>GALLINI Gaelle</t>
        </is>
      </c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inlineStr">
        <is>
          <t>FOURNIER Lucia [AA]</t>
        </is>
      </c>
      <c r="N819" s="196" t="inlineStr">
        <is>
          <t>LEROUX Hugo [Aest]</t>
        </is>
      </c>
      <c r="O819" s="196" t="inlineStr">
        <is>
          <t>WEBER Andrea [AAt]</t>
        </is>
      </c>
      <c r="P819" s="196" t="inlineStr">
        <is>
          <t>FOURNIER Paula</t>
        </is>
      </c>
      <c r="Q819" s="196" t="inlineStr">
        <is>
          <t>CAMPOS Noemi</t>
        </is>
      </c>
      <c r="R819" s="196" t="inlineStr">
        <is>
          <t>KRAJNC Davide</t>
        </is>
      </c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inlineStr">
        <is>
          <t>BELLANDI Marta [A]</t>
        </is>
      </c>
      <c r="N822" s="196" t="inlineStr">
        <is>
          <t>ZUPAN Felix [AAt]</t>
        </is>
      </c>
      <c r="O822" s="196" t="inlineStr">
        <is>
          <t>MODIC Miha [A]</t>
        </is>
      </c>
      <c r="P822" s="196" t="inlineStr">
        <is>
          <t>PRADO Stefano</t>
        </is>
      </c>
      <c r="Q822" s="196" t="inlineStr">
        <is>
          <t>BLANCHET Jonas</t>
        </is>
      </c>
      <c r="R822" s="196" t="inlineStr">
        <is>
          <t>IGLESIAS Eva</t>
        </is>
      </c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inlineStr">
        <is>
          <t>LANGER Katrin [AAt]</t>
        </is>
      </c>
      <c r="N825" s="196" t="inlineStr">
        <is>
          <t>BELLANDI Marta [A]</t>
        </is>
      </c>
      <c r="O825" s="196" t="inlineStr">
        <is>
          <t>KRAJNC Lukas [Aest]</t>
        </is>
      </c>
      <c r="P825" s="196" t="inlineStr">
        <is>
          <t>WEBER Ilaria</t>
        </is>
      </c>
      <c r="Q825" s="196" t="inlineStr">
        <is>
          <t>ROTH Andrea</t>
        </is>
      </c>
      <c r="R825" s="196" t="inlineStr">
        <is>
          <t>GAUTHIER Pablo</t>
        </is>
      </c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inlineStr">
        <is>
          <t>OBLAK Jonas [AAt]</t>
        </is>
      </c>
      <c r="N828" s="196" t="inlineStr">
        <is>
          <t>WEBER Martina [A]</t>
        </is>
      </c>
      <c r="O828" s="196" t="inlineStr">
        <is>
          <t>PELLEGRI Valerie [AA]</t>
        </is>
      </c>
      <c r="P828" s="196" t="inlineStr">
        <is>
          <t>KELLER Matteo</t>
        </is>
      </c>
      <c r="Q828" s="196" t="inlineStr">
        <is>
          <t>MOREAU Felix</t>
        </is>
      </c>
      <c r="R828" s="196" t="inlineStr">
        <is>
          <t>FERRANTE Chiara</t>
        </is>
      </c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inlineStr">
        <is>
          <t>MARCHIONI Lukas [AAt]</t>
        </is>
      </c>
      <c r="N831" s="196" t="inlineStr">
        <is>
          <t>MODIC Vid [Aest]</t>
        </is>
      </c>
      <c r="O831" s="196" t="inlineStr">
        <is>
          <t>ROSSINI Sofia [AA]</t>
        </is>
      </c>
      <c r="P831" s="196" t="inlineStr">
        <is>
          <t>AUBERT Paolo</t>
        </is>
      </c>
      <c r="Q831" s="196" t="inlineStr">
        <is>
          <t>BLANCHET Matteo</t>
        </is>
      </c>
      <c r="R831" s="196" t="inlineStr">
        <is>
          <t>ZUPAN Paula</t>
        </is>
      </c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inlineStr">
        <is>
          <t>FUENTES Noemi [Aest]</t>
        </is>
      </c>
      <c r="N834" s="196" t="inlineStr">
        <is>
          <t>BLANCO Stefano [A]</t>
        </is>
      </c>
      <c r="O834" s="196" t="inlineStr">
        <is>
          <t>MODIC Katrin [A]</t>
        </is>
      </c>
      <c r="P834" s="196" t="inlineStr">
        <is>
          <t>VIDMAR Chiara</t>
        </is>
      </c>
      <c r="Q834" s="196" t="inlineStr">
        <is>
          <t>SCHAFER Gaelle</t>
        </is>
      </c>
      <c r="R834" s="196" t="inlineStr">
        <is>
          <t>BLANCO Valerie</t>
        </is>
      </c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inlineStr">
        <is>
          <t>KELLER Marco [Aest]</t>
        </is>
      </c>
      <c r="N837" s="196" t="inlineStr">
        <is>
          <t>BELLANDI Chiara [Aest]</t>
        </is>
      </c>
      <c r="O837" s="196" t="inlineStr">
        <is>
          <t>NAVARRO Gaelle [A]</t>
        </is>
      </c>
      <c r="P837" s="196" t="inlineStr">
        <is>
          <t>CONTARDI Valerie</t>
        </is>
      </c>
      <c r="Q837" s="196" t="inlineStr">
        <is>
          <t>KOVAC Felix</t>
        </is>
      </c>
      <c r="R837" s="196" t="inlineStr">
        <is>
          <t>LEFEVRE Filippo</t>
        </is>
      </c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inlineStr">
        <is>
          <t>ENGEL Stefano [AAt]</t>
        </is>
      </c>
      <c r="N842" s="196" t="inlineStr">
        <is>
          <t>NOVAK Mathilde [Aest]</t>
        </is>
      </c>
      <c r="O842" s="196" t="inlineStr">
        <is>
          <t>NAVARRO Katrin [A]</t>
        </is>
      </c>
      <c r="P842" s="196" t="inlineStr">
        <is>
          <t>NADAUD Marco</t>
        </is>
      </c>
      <c r="Q842" s="196" t="inlineStr">
        <is>
          <t>IGLESIAS Giulia</t>
        </is>
      </c>
      <c r="R842" s="196" t="inlineStr">
        <is>
          <t>MOREAU Felix</t>
        </is>
      </c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inlineStr">
        <is>
          <t>OBLAK Lucia [AAt]</t>
        </is>
      </c>
      <c r="N845" s="196" t="inlineStr">
        <is>
          <t>SOLER Ottavia [AAt]</t>
        </is>
      </c>
      <c r="O845" s="196" t="inlineStr">
        <is>
          <t>GALLINI Valerie [AA]</t>
        </is>
      </c>
      <c r="P845" s="196" t="inlineStr">
        <is>
          <t>CASTILLO Stefano</t>
        </is>
      </c>
      <c r="Q845" s="196" t="inlineStr">
        <is>
          <t>PELLEGRI Lea</t>
        </is>
      </c>
      <c r="R845" s="196" t="inlineStr">
        <is>
          <t>NAVARRO Luca</t>
        </is>
      </c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inlineStr">
        <is>
          <t>CAMPOS Anja [Aest]</t>
        </is>
      </c>
      <c r="N848" s="196" t="inlineStr">
        <is>
          <t>PELLEGRI Chiara [AAt]</t>
        </is>
      </c>
      <c r="O848" s="196" t="inlineStr">
        <is>
          <t>GALLINI Gaelle [A]</t>
        </is>
      </c>
      <c r="P848" s="196" t="inlineStr">
        <is>
          <t>GAUTHIER Irene</t>
        </is>
      </c>
      <c r="Q848" s="196" t="inlineStr">
        <is>
          <t>BRANDT Beatrice</t>
        </is>
      </c>
      <c r="R848" s="196" t="inlineStr">
        <is>
          <t>ENGEL Martina</t>
        </is>
      </c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inlineStr">
        <is>
          <t>KOVAC Noemi [Aest]</t>
        </is>
      </c>
      <c r="N851" s="196" t="inlineStr">
        <is>
          <t>ORTEGA Diego [A]</t>
        </is>
      </c>
      <c r="O851" s="196" t="inlineStr">
        <is>
          <t>FERRANTE Filippo [AAt]</t>
        </is>
      </c>
      <c r="P851" s="196" t="inlineStr">
        <is>
          <t>LANGER Katrin</t>
        </is>
      </c>
      <c r="Q851" s="196" t="inlineStr">
        <is>
          <t>SOLER Irene</t>
        </is>
      </c>
      <c r="R851" s="196" t="inlineStr">
        <is>
          <t>ORTEGA Andrea</t>
        </is>
      </c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inlineStr">
        <is>
          <t>GAUTHIER Davide [AA]</t>
        </is>
      </c>
      <c r="N854" s="196" t="inlineStr">
        <is>
          <t>CARON Alenka [AAt]</t>
        </is>
      </c>
      <c r="O854" s="196" t="inlineStr">
        <is>
          <t>LEROUX Lea [Aest]</t>
        </is>
      </c>
      <c r="P854" s="196" t="inlineStr">
        <is>
          <t>LEROUX Stefano</t>
        </is>
      </c>
      <c r="Q854" s="196" t="inlineStr">
        <is>
          <t>VOGEL Greta</t>
        </is>
      </c>
      <c r="R854" s="196" t="inlineStr">
        <is>
          <t>LEROUX Gaelle</t>
        </is>
      </c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inlineStr">
        <is>
          <t>BLANCHET Giulia [AA]</t>
        </is>
      </c>
      <c r="N857" s="196" t="inlineStr">
        <is>
          <t>MARCHIONI Marco [Aest]</t>
        </is>
      </c>
      <c r="O857" s="196" t="inlineStr">
        <is>
          <t>LEROUX Filippo [Aest]</t>
        </is>
      </c>
      <c r="P857" s="196" t="inlineStr">
        <is>
          <t>CAMPOS Jonas</t>
        </is>
      </c>
      <c r="Q857" s="196" t="inlineStr">
        <is>
          <t>NOVAK Lukas</t>
        </is>
      </c>
      <c r="R857" s="196" t="inlineStr">
        <is>
          <t>ROSSINI Mathilde</t>
        </is>
      </c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inlineStr">
        <is>
          <t>VOGEL Giulia [Aest]</t>
        </is>
      </c>
      <c r="N860" s="196" t="inlineStr">
        <is>
          <t>LEROUX Filippo [Aest]</t>
        </is>
      </c>
      <c r="O860" s="196" t="inlineStr">
        <is>
          <t>NAVARRO Martina [A]</t>
        </is>
      </c>
      <c r="P860" s="196" t="inlineStr">
        <is>
          <t>SANTORI Filippo</t>
        </is>
      </c>
      <c r="Q860" s="196" t="inlineStr">
        <is>
          <t>SEVER Davide</t>
        </is>
      </c>
      <c r="R860" s="196" t="inlineStr">
        <is>
          <t>ROSSINI Sofia</t>
        </is>
      </c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inlineStr">
        <is>
          <t>MORETTO Chiara [A]</t>
        </is>
      </c>
      <c r="N863" s="196" t="inlineStr">
        <is>
          <t>OBLAK Mathilde [A]</t>
        </is>
      </c>
      <c r="O863" s="196" t="inlineStr">
        <is>
          <t>LEFEVRE Vid [A]</t>
        </is>
      </c>
      <c r="P863" s="196" t="inlineStr">
        <is>
          <t>PRADO Lea</t>
        </is>
      </c>
      <c r="Q863" s="196" t="inlineStr">
        <is>
          <t>ROSSINI Stefano</t>
        </is>
      </c>
      <c r="R863" s="196" t="inlineStr">
        <is>
          <t>HOFFMANN Davide</t>
        </is>
      </c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inlineStr">
        <is>
          <t>KOVAC Diego [AAt]</t>
        </is>
      </c>
      <c r="N866" s="196" t="inlineStr">
        <is>
          <t>SOLER Ottavia [AAt]</t>
        </is>
      </c>
      <c r="O866" s="196" t="inlineStr">
        <is>
          <t>BLANCHET Anja [AA]</t>
        </is>
      </c>
      <c r="P866" s="196" t="inlineStr">
        <is>
          <t>MODIC Lea</t>
        </is>
      </c>
      <c r="Q866" s="196" t="inlineStr">
        <is>
          <t>FERRANTE Felix</t>
        </is>
      </c>
      <c r="R866" s="196" t="inlineStr">
        <is>
          <t>ZUPAN Alenka</t>
        </is>
      </c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inlineStr">
        <is>
          <t>LANGER Beatrice [Aest]</t>
        </is>
      </c>
      <c r="N869" s="196" t="inlineStr">
        <is>
          <t>KELLER Mathilde [Aest]</t>
        </is>
      </c>
      <c r="O869" s="196" t="inlineStr">
        <is>
          <t>SANTORI Chiara [A]</t>
        </is>
      </c>
      <c r="P869" s="196" t="inlineStr">
        <is>
          <t>ROMERO Irene</t>
        </is>
      </c>
      <c r="Q869" s="196" t="inlineStr">
        <is>
          <t>MODIC Jonas</t>
        </is>
      </c>
      <c r="R869" s="196" t="inlineStr">
        <is>
          <t>NADAUD Marco</t>
        </is>
      </c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inlineStr">
        <is>
          <t>BRANDT Filippo [AAt]</t>
        </is>
      </c>
      <c r="N874" s="196" t="inlineStr">
        <is>
          <t>FUENTES Irene [AA]</t>
        </is>
      </c>
      <c r="O874" s="196" t="inlineStr">
        <is>
          <t>WEBER Martina [A]</t>
        </is>
      </c>
      <c r="P874" s="196" t="inlineStr">
        <is>
          <t>BRANDT Elena</t>
        </is>
      </c>
      <c r="Q874" s="196" t="inlineStr">
        <is>
          <t>BRANDT Paolo</t>
        </is>
      </c>
      <c r="R874" s="196" t="inlineStr">
        <is>
          <t>VOGEL Giulia</t>
        </is>
      </c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inlineStr">
        <is>
          <t>MORETTO Jonas [AAt]</t>
        </is>
      </c>
      <c r="N877" s="196" t="inlineStr">
        <is>
          <t>KRAJNC Marta [Aest]</t>
        </is>
      </c>
      <c r="O877" s="196" t="inlineStr">
        <is>
          <t>GAUTHIER Noemi [AA]</t>
        </is>
      </c>
      <c r="P877" s="196" t="inlineStr">
        <is>
          <t>MARCHIONI Irene</t>
        </is>
      </c>
      <c r="Q877" s="196" t="inlineStr">
        <is>
          <t>IGLESIAS Greta</t>
        </is>
      </c>
      <c r="R877" s="196" t="inlineStr">
        <is>
          <t>MARCHIONI Nicola</t>
        </is>
      </c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inlineStr">
        <is>
          <t>CONTARDI Beatrice [AAt]</t>
        </is>
      </c>
      <c r="N880" s="196" t="inlineStr">
        <is>
          <t>LANGER Katrin [AAt]</t>
        </is>
      </c>
      <c r="O880" s="196" t="inlineStr">
        <is>
          <t>VIDMAR Noemi [AA]</t>
        </is>
      </c>
      <c r="P880" s="196" t="inlineStr">
        <is>
          <t>VIDMAR Diego</t>
        </is>
      </c>
      <c r="Q880" s="196" t="inlineStr">
        <is>
          <t>ORTEGA Luca</t>
        </is>
      </c>
      <c r="R880" s="196" t="inlineStr">
        <is>
          <t>ROTH Lukas</t>
        </is>
      </c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inlineStr">
        <is>
          <t>HOFFMANN Anja [A]</t>
        </is>
      </c>
      <c r="N883" s="196" t="inlineStr">
        <is>
          <t>AUBERT Martina [AA]</t>
        </is>
      </c>
      <c r="O883" s="196" t="inlineStr">
        <is>
          <t>BLANCHET Lucia [Aest]</t>
        </is>
      </c>
      <c r="P883" s="196" t="inlineStr">
        <is>
          <t>SANTORI Eva</t>
        </is>
      </c>
      <c r="Q883" s="196" t="inlineStr">
        <is>
          <t>VOGEL Irene</t>
        </is>
      </c>
      <c r="R883" s="196" t="inlineStr">
        <is>
          <t>ORTEGA Filippo</t>
        </is>
      </c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inlineStr">
        <is>
          <t>FUENTES Katrin [A]</t>
        </is>
      </c>
      <c r="N886" s="196" t="inlineStr">
        <is>
          <t>CONTARDI Mathilde [A]</t>
        </is>
      </c>
      <c r="O886" s="196" t="inlineStr">
        <is>
          <t>KELLER Chiara [AAt]</t>
        </is>
      </c>
      <c r="P886" s="196" t="inlineStr">
        <is>
          <t>WEBER Matteo</t>
        </is>
      </c>
      <c r="Q886" s="196" t="inlineStr">
        <is>
          <t>BLANCHET Jonas</t>
        </is>
      </c>
      <c r="R886" s="196" t="inlineStr">
        <is>
          <t>BLANCO Stefano</t>
        </is>
      </c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inlineStr">
        <is>
          <t>KELLER Marta [AAt]</t>
        </is>
      </c>
      <c r="N889" s="196" t="inlineStr">
        <is>
          <t>BELLANDI Vid [Aest]</t>
        </is>
      </c>
      <c r="O889" s="196" t="inlineStr">
        <is>
          <t>HOFFMANN Ottavia [AA]</t>
        </is>
      </c>
      <c r="P889" s="196" t="inlineStr">
        <is>
          <t>ZUPAN Paula</t>
        </is>
      </c>
      <c r="Q889" s="196" t="inlineStr">
        <is>
          <t>KRAJNC Stefano</t>
        </is>
      </c>
      <c r="R889" s="196" t="inlineStr">
        <is>
          <t>ROSSINI Sofia</t>
        </is>
      </c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inlineStr">
        <is>
          <t>ROTH Sofia [A]</t>
        </is>
      </c>
      <c r="N892" s="196" t="inlineStr">
        <is>
          <t>ROSSINI Chiara [AAt]</t>
        </is>
      </c>
      <c r="O892" s="196" t="inlineStr">
        <is>
          <t>PELLEGRI Chiara [AAt]</t>
        </is>
      </c>
      <c r="P892" s="196" t="inlineStr">
        <is>
          <t>MARCHIONI Gaelle</t>
        </is>
      </c>
      <c r="Q892" s="196" t="inlineStr">
        <is>
          <t>HOFFMANN Paolo</t>
        </is>
      </c>
      <c r="R892" s="196" t="inlineStr">
        <is>
          <t>MORETTO Beatrice</t>
        </is>
      </c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inlineStr">
        <is>
          <t>HORVAT Giulia [A]</t>
        </is>
      </c>
      <c r="N895" s="196" t="inlineStr">
        <is>
          <t>VALLET Martina [Aest]</t>
        </is>
      </c>
      <c r="O895" s="196" t="inlineStr">
        <is>
          <t>SOLER Alenka [A]</t>
        </is>
      </c>
      <c r="P895" s="196" t="inlineStr">
        <is>
          <t>KOVAC Chiara</t>
        </is>
      </c>
      <c r="Q895" s="196" t="inlineStr">
        <is>
          <t>FUENTES Lukas</t>
        </is>
      </c>
      <c r="R895" s="196" t="inlineStr">
        <is>
          <t>ZUPAN Paula</t>
        </is>
      </c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inlineStr">
        <is>
          <t>CARON Martina [AAt]</t>
        </is>
      </c>
      <c r="N898" s="196" t="inlineStr">
        <is>
          <t>KRUGER Greta [A]</t>
        </is>
      </c>
      <c r="O898" s="196" t="inlineStr">
        <is>
          <t>BIANCHELLI Filippo [AAt]</t>
        </is>
      </c>
      <c r="P898" s="196" t="inlineStr">
        <is>
          <t>AUBERT Lea</t>
        </is>
      </c>
      <c r="Q898" s="196" t="inlineStr">
        <is>
          <t>BLANCO Elena</t>
        </is>
      </c>
      <c r="R898" s="196" t="inlineStr">
        <is>
          <t>GAUTHIER Davide</t>
        </is>
      </c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inlineStr">
        <is>
          <t>VIDMAR Matteo [AA]</t>
        </is>
      </c>
      <c r="N901" s="196" t="inlineStr">
        <is>
          <t>KRUGER Ilaria [A]</t>
        </is>
      </c>
      <c r="O901" s="196" t="inlineStr">
        <is>
          <t>HORVAT Davide [Aest]</t>
        </is>
      </c>
      <c r="P901" s="196" t="inlineStr">
        <is>
          <t>KRAJNC Davide</t>
        </is>
      </c>
      <c r="Q901" s="196" t="inlineStr">
        <is>
          <t>VOGEL Lea</t>
        </is>
      </c>
      <c r="R901" s="196" t="inlineStr">
        <is>
          <t>HORVAT Matteo</t>
        </is>
      </c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inlineStr">
        <is>
          <t>PETERLIN Beatrice [Aest]</t>
        </is>
      </c>
      <c r="N906" s="196" t="inlineStr">
        <is>
          <t>AUBERT Lucia [AAt]</t>
        </is>
      </c>
      <c r="O906" s="196" t="inlineStr">
        <is>
          <t>SEVER Tommaso [AAt]</t>
        </is>
      </c>
      <c r="P906" s="196" t="inlineStr">
        <is>
          <t>KOVAC Nicola</t>
        </is>
      </c>
      <c r="Q906" s="196" t="inlineStr">
        <is>
          <t>ORTEGA Stefano</t>
        </is>
      </c>
      <c r="R906" s="196" t="inlineStr">
        <is>
          <t>SANTORI Miha</t>
        </is>
      </c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inlineStr">
        <is>
          <t>FOURNIER Matteo [AAt]</t>
        </is>
      </c>
      <c r="N909" s="196" t="inlineStr">
        <is>
          <t>MODIC Lukas [AAt]</t>
        </is>
      </c>
      <c r="O909" s="196" t="inlineStr">
        <is>
          <t>HOFFMANN Marco [Aest]</t>
        </is>
      </c>
      <c r="P909" s="196" t="inlineStr">
        <is>
          <t>CASTILLO Davide</t>
        </is>
      </c>
      <c r="Q909" s="196" t="inlineStr">
        <is>
          <t>SOLER Stefano</t>
        </is>
      </c>
      <c r="R909" s="196" t="inlineStr">
        <is>
          <t>CARON Pablo</t>
        </is>
      </c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inlineStr">
        <is>
          <t>WEBER Martina [A]</t>
        </is>
      </c>
      <c r="N912" s="196" t="inlineStr">
        <is>
          <t>PETERLIN Tommaso [AAt]</t>
        </is>
      </c>
      <c r="O912" s="196" t="inlineStr">
        <is>
          <t>OBLAK Stefano [AA]</t>
        </is>
      </c>
      <c r="P912" s="196" t="inlineStr">
        <is>
          <t>VIDMAR Paula</t>
        </is>
      </c>
      <c r="Q912" s="196" t="inlineStr">
        <is>
          <t>GALLINI Irene</t>
        </is>
      </c>
      <c r="R912" s="196" t="inlineStr">
        <is>
          <t>GALLINI Tommaso</t>
        </is>
      </c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inlineStr">
        <is>
          <t>HORVAT Lea [A]</t>
        </is>
      </c>
      <c r="N915" s="196" t="inlineStr">
        <is>
          <t>SEVER Nicola [AA]</t>
        </is>
      </c>
      <c r="O915" s="196" t="inlineStr">
        <is>
          <t>CAMPOS Noemi [AA]</t>
        </is>
      </c>
      <c r="P915" s="196" t="inlineStr">
        <is>
          <t>SEVER Marco</t>
        </is>
      </c>
      <c r="Q915" s="196" t="inlineStr">
        <is>
          <t>IGLESIAS Chiara</t>
        </is>
      </c>
      <c r="R915" s="196" t="inlineStr">
        <is>
          <t>NADAUD Nicola</t>
        </is>
      </c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inlineStr">
        <is>
          <t>ZUPAN Beatrice [AAt]</t>
        </is>
      </c>
      <c r="N918" s="196" t="inlineStr">
        <is>
          <t>SANTORI Nicola [AA]</t>
        </is>
      </c>
      <c r="O918" s="196" t="inlineStr">
        <is>
          <t>WEBER Nicola [AAt]</t>
        </is>
      </c>
      <c r="P918" s="196" t="inlineStr">
        <is>
          <t>MORETTO Noemi</t>
        </is>
      </c>
      <c r="Q918" s="196" t="inlineStr">
        <is>
          <t>MODIC Lucia</t>
        </is>
      </c>
      <c r="R918" s="196" t="inlineStr">
        <is>
          <t>ROMERO Stefano</t>
        </is>
      </c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inlineStr">
        <is>
          <t>MARCHIONI Miha [Aest]</t>
        </is>
      </c>
      <c r="N921" s="196" t="inlineStr">
        <is>
          <t>ROSSINI Alenka [AAt]</t>
        </is>
      </c>
      <c r="O921" s="196" t="inlineStr">
        <is>
          <t>VOGEL Beatrice [AAt]</t>
        </is>
      </c>
      <c r="P921" s="196" t="inlineStr">
        <is>
          <t>BELLANDI Giulia</t>
        </is>
      </c>
      <c r="Q921" s="196" t="inlineStr">
        <is>
          <t>KRAJNC Stefano</t>
        </is>
      </c>
      <c r="R921" s="196" t="inlineStr">
        <is>
          <t>IGLESIAS Eva</t>
        </is>
      </c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inlineStr">
        <is>
          <t>SCHAFER Giulia [AA]</t>
        </is>
      </c>
      <c r="N924" s="196" t="inlineStr">
        <is>
          <t>LANGER Katrin [AAt]</t>
        </is>
      </c>
      <c r="O924" s="196" t="inlineStr">
        <is>
          <t>HOFFMANN Ottavia [AA]</t>
        </is>
      </c>
      <c r="P924" s="196" t="inlineStr">
        <is>
          <t>KRUGER Mathilde</t>
        </is>
      </c>
      <c r="Q924" s="196" t="inlineStr">
        <is>
          <t>OBLAK Anja</t>
        </is>
      </c>
      <c r="R924" s="196" t="inlineStr">
        <is>
          <t>VALLET Stefano</t>
        </is>
      </c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inlineStr">
        <is>
          <t>ENGEL Marco [AA]</t>
        </is>
      </c>
      <c r="N927" s="196" t="inlineStr">
        <is>
          <t>MODIC Katrin [A]</t>
        </is>
      </c>
      <c r="O927" s="196" t="inlineStr">
        <is>
          <t>HORVAT Davide [Aest]</t>
        </is>
      </c>
      <c r="P927" s="196" t="inlineStr">
        <is>
          <t>GAUTHIER Diego</t>
        </is>
      </c>
      <c r="Q927" s="196" t="inlineStr">
        <is>
          <t>ZUPAN Noemi</t>
        </is>
      </c>
      <c r="R927" s="196" t="inlineStr">
        <is>
          <t>CASTILLO Stefano</t>
        </is>
      </c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inlineStr">
        <is>
          <t>PELLEGRI Valerie [AA]</t>
        </is>
      </c>
      <c r="N930" s="196" t="inlineStr">
        <is>
          <t>VALLET Felix [A]</t>
        </is>
      </c>
      <c r="O930" s="196" t="inlineStr">
        <is>
          <t>ZUPAN Felix [AAt]</t>
        </is>
      </c>
      <c r="P930" s="196" t="inlineStr">
        <is>
          <t>VOGEL Giulia</t>
        </is>
      </c>
      <c r="Q930" s="196" t="inlineStr">
        <is>
          <t>PELLEGRI Lea</t>
        </is>
      </c>
      <c r="R930" s="196" t="inlineStr">
        <is>
          <t>PRADO Eva</t>
        </is>
      </c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inlineStr">
        <is>
          <t>MOREAU Pablo [AAt]</t>
        </is>
      </c>
      <c r="N933" s="196" t="inlineStr">
        <is>
          <t>KRAJNC Beatrice [Aest]</t>
        </is>
      </c>
      <c r="O933" s="196" t="inlineStr">
        <is>
          <t>OBLAK Mathilde [A]</t>
        </is>
      </c>
      <c r="P933" s="196" t="inlineStr">
        <is>
          <t>SANTORI Gaelle</t>
        </is>
      </c>
      <c r="Q933" s="196" t="inlineStr">
        <is>
          <t>MARCHIONI Nicola</t>
        </is>
      </c>
      <c r="R933" s="196" t="inlineStr">
        <is>
          <t>SEVER Davide</t>
        </is>
      </c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inlineStr">
        <is>
          <t>PRADO Eva [AAt]</t>
        </is>
      </c>
      <c r="N938" s="196" t="inlineStr">
        <is>
          <t>ORTEGA Diego [A]</t>
        </is>
      </c>
      <c r="O938" s="196" t="inlineStr">
        <is>
          <t>ROTH Eva [A]</t>
        </is>
      </c>
      <c r="P938" s="196" t="inlineStr">
        <is>
          <t>AUBERT Pablo</t>
        </is>
      </c>
      <c r="Q938" s="196" t="inlineStr">
        <is>
          <t>CAMPOS Martina</t>
        </is>
      </c>
      <c r="R938" s="196" t="inlineStr">
        <is>
          <t>NAVARRO Paula</t>
        </is>
      </c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inlineStr">
        <is>
          <t>AUBERT Diego [A]</t>
        </is>
      </c>
      <c r="N941" s="196" t="inlineStr">
        <is>
          <t>LEROUX Elena [AA]</t>
        </is>
      </c>
      <c r="O941" s="196" t="inlineStr">
        <is>
          <t>CONTARDI Lea [AAt]</t>
        </is>
      </c>
      <c r="P941" s="196" t="inlineStr">
        <is>
          <t>NADAUD Andrea</t>
        </is>
      </c>
      <c r="Q941" s="196" t="inlineStr">
        <is>
          <t>MARCHIONI Gaelle</t>
        </is>
      </c>
      <c r="R941" s="196" t="inlineStr">
        <is>
          <t>IGLESIAS Alenka</t>
        </is>
      </c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inlineStr">
        <is>
          <t>NADAUD Paula [Aest]</t>
        </is>
      </c>
      <c r="N944" s="196" t="inlineStr">
        <is>
          <t>BIANCHELLI Vid [AAt]</t>
        </is>
      </c>
      <c r="O944" s="196" t="inlineStr">
        <is>
          <t>KRUGER Nicola [Aest]</t>
        </is>
      </c>
      <c r="P944" s="196" t="inlineStr">
        <is>
          <t>WEBER Ilaria</t>
        </is>
      </c>
      <c r="Q944" s="196" t="inlineStr">
        <is>
          <t>VIDMAR Felix</t>
        </is>
      </c>
      <c r="R944" s="196" t="inlineStr">
        <is>
          <t>ROSSINI Filippo</t>
        </is>
      </c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inlineStr">
        <is>
          <t>KRUGER Lea [AA]</t>
        </is>
      </c>
      <c r="N947" s="196" t="inlineStr">
        <is>
          <t>VIDMAR Elena [AAt]</t>
        </is>
      </c>
      <c r="O947" s="196" t="inlineStr">
        <is>
          <t>ORTEGA Katrin [Aest]</t>
        </is>
      </c>
      <c r="P947" s="196" t="inlineStr">
        <is>
          <t>PRADO Elena</t>
        </is>
      </c>
      <c r="Q947" s="196" t="inlineStr">
        <is>
          <t>HOFFMANN Davide</t>
        </is>
      </c>
      <c r="R947" s="196" t="inlineStr">
        <is>
          <t>ORTEGA Stefano</t>
        </is>
      </c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inlineStr">
        <is>
          <t>MOREAU Andrea [AAt]</t>
        </is>
      </c>
      <c r="N950" s="196" t="inlineStr">
        <is>
          <t>CARON Alenka [AAt]</t>
        </is>
      </c>
      <c r="O950" s="196" t="inlineStr">
        <is>
          <t>NAVARRO Matteo [AA]</t>
        </is>
      </c>
      <c r="P950" s="196" t="inlineStr">
        <is>
          <t>AUBERT Paolo</t>
        </is>
      </c>
      <c r="Q950" s="196" t="inlineStr">
        <is>
          <t>SOLER Pablo</t>
        </is>
      </c>
      <c r="R950" s="196" t="inlineStr">
        <is>
          <t>WEBER Andrea</t>
        </is>
      </c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inlineStr">
        <is>
          <t>ROMERO Stefano [Aest]</t>
        </is>
      </c>
      <c r="N953" s="196" t="inlineStr">
        <is>
          <t>BIANCHELLI Martina [AAt]</t>
        </is>
      </c>
      <c r="O953" s="196" t="inlineStr">
        <is>
          <t>LANGER Ilaria [Aest]</t>
        </is>
      </c>
      <c r="P953" s="196" t="inlineStr">
        <is>
          <t>ROSSINI Mathilde</t>
        </is>
      </c>
      <c r="Q953" s="196" t="inlineStr">
        <is>
          <t>ZUPAN Irene</t>
        </is>
      </c>
      <c r="R953" s="196" t="inlineStr">
        <is>
          <t>GAUTHIER Pablo</t>
        </is>
      </c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inlineStr">
        <is>
          <t>FUENTES Marta [Aest]</t>
        </is>
      </c>
      <c r="N956" s="196" t="inlineStr">
        <is>
          <t>GALLINI Lukas [AA]</t>
        </is>
      </c>
      <c r="O956" s="196" t="inlineStr">
        <is>
          <t>ZUPAN Beatrice [AAt]</t>
        </is>
      </c>
      <c r="P956" s="196" t="inlineStr">
        <is>
          <t>IGLESIAS Hugo</t>
        </is>
      </c>
      <c r="Q956" s="196" t="inlineStr">
        <is>
          <t>FOURNIER Stefano</t>
        </is>
      </c>
      <c r="R956" s="196" t="inlineStr">
        <is>
          <t>MARCHIONI Miha</t>
        </is>
      </c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inlineStr">
        <is>
          <t>MARCHIONI Paolo [AAt]</t>
        </is>
      </c>
      <c r="N959" s="196" t="inlineStr">
        <is>
          <t>BLANCHET Valerie [A]</t>
        </is>
      </c>
      <c r="O959" s="196" t="inlineStr">
        <is>
          <t>MODIC Lukas [AAt]</t>
        </is>
      </c>
      <c r="P959" s="196" t="inlineStr">
        <is>
          <t>KOVAC Paolo</t>
        </is>
      </c>
      <c r="Q959" s="196" t="inlineStr">
        <is>
          <t>BLANCO Lukas</t>
        </is>
      </c>
      <c r="R959" s="196" t="inlineStr">
        <is>
          <t>FOURNIER Paula</t>
        </is>
      </c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inlineStr">
        <is>
          <t>SOLER Ottavia [AAt]</t>
        </is>
      </c>
      <c r="N962" s="196" t="inlineStr">
        <is>
          <t>BELLANDI Paula [A]</t>
        </is>
      </c>
      <c r="O962" s="196" t="inlineStr">
        <is>
          <t>VIDMAR Hugo [AAt]</t>
        </is>
      </c>
      <c r="P962" s="196" t="inlineStr">
        <is>
          <t>BLANCO Lukas</t>
        </is>
      </c>
      <c r="Q962" s="196" t="inlineStr">
        <is>
          <t>NADAUD Andrea</t>
        </is>
      </c>
      <c r="R962" s="196" t="inlineStr">
        <is>
          <t>KELLER Jonas</t>
        </is>
      </c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inlineStr">
        <is>
          <t>ROTH Lucia [A]</t>
        </is>
      </c>
      <c r="N965" s="196" t="inlineStr">
        <is>
          <t>LANGER Marta [A]</t>
        </is>
      </c>
      <c r="O965" s="196" t="inlineStr">
        <is>
          <t>FOURNIER Ottavia [A]</t>
        </is>
      </c>
      <c r="P965" s="196" t="inlineStr">
        <is>
          <t>BLANCHET Alenka</t>
        </is>
      </c>
      <c r="Q965" s="196" t="inlineStr">
        <is>
          <t>BLANCHET Paula</t>
        </is>
      </c>
      <c r="R965" s="196" t="inlineStr">
        <is>
          <t>MARCHIONI Irene</t>
        </is>
      </c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inlineStr">
        <is>
          <t>SOLER Stefano [A]</t>
        </is>
      </c>
      <c r="N970" s="196" t="inlineStr">
        <is>
          <t>FUENTES Katrin [A]</t>
        </is>
      </c>
      <c r="O970" s="196" t="inlineStr">
        <is>
          <t>CARON Martina [AAt]</t>
        </is>
      </c>
      <c r="P970" s="196" t="inlineStr">
        <is>
          <t>KOVAC Nicola</t>
        </is>
      </c>
      <c r="Q970" s="196" t="inlineStr">
        <is>
          <t>SCHAFER Gaelle</t>
        </is>
      </c>
      <c r="R970" s="196" t="inlineStr">
        <is>
          <t>BRANDT Paolo</t>
        </is>
      </c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inlineStr">
        <is>
          <t>KRUGER Sofia [A]</t>
        </is>
      </c>
      <c r="N973" s="196" t="inlineStr">
        <is>
          <t>CAMPOS Vid [AA]</t>
        </is>
      </c>
      <c r="O973" s="196" t="inlineStr">
        <is>
          <t>MOREAU Andrea [AAt]</t>
        </is>
      </c>
      <c r="P973" s="196" t="inlineStr">
        <is>
          <t>VOGEL Greta</t>
        </is>
      </c>
      <c r="Q973" s="196" t="inlineStr">
        <is>
          <t>PRADO Hugo</t>
        </is>
      </c>
      <c r="R973" s="196" t="inlineStr">
        <is>
          <t>SOLER Pablo</t>
        </is>
      </c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inlineStr">
        <is>
          <t>BIANCHELLI Paolo [AA]</t>
        </is>
      </c>
      <c r="N976" s="196" t="inlineStr">
        <is>
          <t>LANGER Marta [A]</t>
        </is>
      </c>
      <c r="O976" s="196" t="inlineStr">
        <is>
          <t>ROSSINI Alenka [AAt]</t>
        </is>
      </c>
      <c r="P976" s="196" t="inlineStr">
        <is>
          <t>KRAJNC Nicola</t>
        </is>
      </c>
      <c r="Q976" s="196" t="inlineStr">
        <is>
          <t>ZUPAN Lucia</t>
        </is>
      </c>
      <c r="R976" s="196" t="inlineStr">
        <is>
          <t>ENGEL Mathilde</t>
        </is>
      </c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inlineStr">
        <is>
          <t>KRAJNC Marta [Aest]</t>
        </is>
      </c>
      <c r="N979" s="196" t="inlineStr">
        <is>
          <t>LANGER Marta [A]</t>
        </is>
      </c>
      <c r="O979" s="196" t="inlineStr">
        <is>
          <t>KRUGER Sofia [A]</t>
        </is>
      </c>
      <c r="P979" s="196" t="inlineStr">
        <is>
          <t>HOFFMANN Paolo</t>
        </is>
      </c>
      <c r="Q979" s="196" t="inlineStr">
        <is>
          <t>WEBER Lea</t>
        </is>
      </c>
      <c r="R979" s="196" t="inlineStr">
        <is>
          <t>BELLANDI Hugo</t>
        </is>
      </c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inlineStr">
        <is>
          <t>SCHAFER Giulia [AA]</t>
        </is>
      </c>
      <c r="N982" s="196" t="inlineStr">
        <is>
          <t>IGLESIAS Felix [AAt]</t>
        </is>
      </c>
      <c r="O982" s="196" t="inlineStr">
        <is>
          <t>CASTILLO Irene [Aest]</t>
        </is>
      </c>
      <c r="P982" s="196" t="inlineStr">
        <is>
          <t>SANTORI Eva</t>
        </is>
      </c>
      <c r="Q982" s="196" t="inlineStr">
        <is>
          <t>MORETTO Noemi</t>
        </is>
      </c>
      <c r="R982" s="196" t="inlineStr">
        <is>
          <t>NAVARRO Giulia</t>
        </is>
      </c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inlineStr">
        <is>
          <t>KRUGER Nicola [Aest]</t>
        </is>
      </c>
      <c r="N985" s="196" t="inlineStr">
        <is>
          <t>MARCHIONI Lukas [AAt]</t>
        </is>
      </c>
      <c r="O985" s="196" t="inlineStr">
        <is>
          <t>GAUTHIER Noemi [AA]</t>
        </is>
      </c>
      <c r="P985" s="196" t="inlineStr">
        <is>
          <t>BELLANDI Lucia</t>
        </is>
      </c>
      <c r="Q985" s="196" t="inlineStr">
        <is>
          <t>SANTORI Filippo</t>
        </is>
      </c>
      <c r="R985" s="196" t="inlineStr">
        <is>
          <t>ZUPAN Greta</t>
        </is>
      </c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inlineStr">
        <is>
          <t>CASTILLO Lucia [AA]</t>
        </is>
      </c>
      <c r="N988" s="196" t="inlineStr">
        <is>
          <t>BLANCHET Anja [AA]</t>
        </is>
      </c>
      <c r="O988" s="196" t="inlineStr">
        <is>
          <t>BIANCHELLI Felix [Aest]</t>
        </is>
      </c>
      <c r="P988" s="196" t="inlineStr">
        <is>
          <t>IGLESIAS Hugo</t>
        </is>
      </c>
      <c r="Q988" s="196" t="inlineStr">
        <is>
          <t>SEVER Nicola</t>
        </is>
      </c>
      <c r="R988" s="196" t="inlineStr">
        <is>
          <t>SEVER Ottavia</t>
        </is>
      </c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inlineStr">
        <is>
          <t>OBLAK Beatrice [AA]</t>
        </is>
      </c>
      <c r="N991" s="196" t="inlineStr">
        <is>
          <t>LEROUX Lea [Aest]</t>
        </is>
      </c>
      <c r="O991" s="196" t="inlineStr">
        <is>
          <t>OBLAK Lucia [AAt]</t>
        </is>
      </c>
      <c r="P991" s="196" t="inlineStr">
        <is>
          <t>SANTORI Paolo</t>
        </is>
      </c>
      <c r="Q991" s="196" t="inlineStr">
        <is>
          <t>WEBER Matteo</t>
        </is>
      </c>
      <c r="R991" s="196" t="inlineStr">
        <is>
          <t>NOVAK Tommaso</t>
        </is>
      </c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inlineStr">
        <is>
          <t>LEROUX Hugo [Aest]</t>
        </is>
      </c>
      <c r="N994" s="196" t="inlineStr">
        <is>
          <t>VIDMAR Noemi [AA]</t>
        </is>
      </c>
      <c r="O994" s="196" t="inlineStr">
        <is>
          <t>BIANCHELLI Felix [Aest]</t>
        </is>
      </c>
      <c r="P994" s="196" t="inlineStr">
        <is>
          <t>ROSSINI Filippo</t>
        </is>
      </c>
      <c r="Q994" s="196" t="inlineStr">
        <is>
          <t>BLANCHET Alenka</t>
        </is>
      </c>
      <c r="R994" s="196" t="inlineStr">
        <is>
          <t>LEROUX Paolo</t>
        </is>
      </c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inlineStr">
        <is>
          <t>ENGEL Gaelle [AAt]</t>
        </is>
      </c>
      <c r="N997" s="196" t="inlineStr">
        <is>
          <t>HORVAT Lea [A]</t>
        </is>
      </c>
      <c r="O997" s="196" t="inlineStr">
        <is>
          <t>MORETTO Anja [Aest]</t>
        </is>
      </c>
      <c r="P997" s="196" t="inlineStr">
        <is>
          <t>KELLER Ottavia</t>
        </is>
      </c>
      <c r="Q997" s="196" t="inlineStr">
        <is>
          <t>ENGEL Elena</t>
        </is>
      </c>
      <c r="R997" s="196" t="inlineStr">
        <is>
          <t>KRUGER Marco</t>
        </is>
      </c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inlineStr">
        <is>
          <t>VOGEL Martina [AA]</t>
        </is>
      </c>
      <c r="N1002" s="196" t="inlineStr">
        <is>
          <t>PETERLIN Luca [Aest]</t>
        </is>
      </c>
      <c r="O1002" s="196" t="inlineStr">
        <is>
          <t>ENGEL Marco [AA]</t>
        </is>
      </c>
      <c r="P1002" s="196" t="inlineStr">
        <is>
          <t>GAUTHIER Andrea</t>
        </is>
      </c>
      <c r="Q1002" s="196" t="inlineStr">
        <is>
          <t>KELLER Stefano</t>
        </is>
      </c>
      <c r="R1002" s="196" t="inlineStr">
        <is>
          <t>KELLER Matteo</t>
        </is>
      </c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inlineStr">
        <is>
          <t>PETERLIN Mathilde [Aest]</t>
        </is>
      </c>
      <c r="N1005" s="196" t="inlineStr">
        <is>
          <t>FOURNIER Tommaso [AA]</t>
        </is>
      </c>
      <c r="O1005" s="196" t="inlineStr">
        <is>
          <t>KELLER Mathilde [Aest]</t>
        </is>
      </c>
      <c r="P1005" s="196" t="inlineStr">
        <is>
          <t>CARON Pablo</t>
        </is>
      </c>
      <c r="Q1005" s="196" t="inlineStr">
        <is>
          <t>ROTH Katrin</t>
        </is>
      </c>
      <c r="R1005" s="196" t="inlineStr">
        <is>
          <t>MORETTO Lea</t>
        </is>
      </c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inlineStr">
        <is>
          <t>MARCHIONI Miha [Aest]</t>
        </is>
      </c>
      <c r="N1008" s="196" t="inlineStr">
        <is>
          <t>MARCHIONI Marco [Aest]</t>
        </is>
      </c>
      <c r="O1008" s="196" t="inlineStr">
        <is>
          <t>IGLESIAS Marco [AAt]</t>
        </is>
      </c>
      <c r="P1008" s="196" t="inlineStr">
        <is>
          <t>BLANCO Chiara</t>
        </is>
      </c>
      <c r="Q1008" s="196" t="inlineStr">
        <is>
          <t>FOURNIER Lucia</t>
        </is>
      </c>
      <c r="R1008" s="196" t="inlineStr">
        <is>
          <t>WEBER Ilaria</t>
        </is>
      </c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inlineStr">
        <is>
          <t>VALLET Tommaso [AAt]</t>
        </is>
      </c>
      <c r="N1011" s="196" t="inlineStr">
        <is>
          <t>SANTORI Eva [AAt]</t>
        </is>
      </c>
      <c r="O1011" s="196" t="inlineStr">
        <is>
          <t>ROTH Katrin [A]</t>
        </is>
      </c>
      <c r="P1011" s="196" t="inlineStr">
        <is>
          <t>GAUTHIER Diego</t>
        </is>
      </c>
      <c r="Q1011" s="196" t="inlineStr">
        <is>
          <t>SOLER Gaelle</t>
        </is>
      </c>
      <c r="R1011" s="196" t="inlineStr">
        <is>
          <t>BELLANDI Lukas</t>
        </is>
      </c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inlineStr">
        <is>
          <t>MOREAU Martina [Aest]</t>
        </is>
      </c>
      <c r="N1014" s="196" t="inlineStr">
        <is>
          <t>GAUTHIER Davide [AA]</t>
        </is>
      </c>
      <c r="O1014" s="196" t="inlineStr">
        <is>
          <t>PRADO Diego [Aest]</t>
        </is>
      </c>
      <c r="P1014" s="196" t="inlineStr">
        <is>
          <t>GAUTHIER Luca</t>
        </is>
      </c>
      <c r="Q1014" s="196" t="inlineStr">
        <is>
          <t>ZUPAN Elena</t>
        </is>
      </c>
      <c r="R1014" s="196" t="inlineStr">
        <is>
          <t>MORETTO Lea</t>
        </is>
      </c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inlineStr">
        <is>
          <t>BRANDT Stefano [AAt]</t>
        </is>
      </c>
      <c r="N1017" s="196" t="inlineStr">
        <is>
          <t>BIANCHELLI Tommaso [A]</t>
        </is>
      </c>
      <c r="O1017" s="196" t="inlineStr">
        <is>
          <t>VIDMAR Hugo [AAt]</t>
        </is>
      </c>
      <c r="P1017" s="196" t="inlineStr">
        <is>
          <t>GAUTHIER Luca</t>
        </is>
      </c>
      <c r="Q1017" s="196" t="inlineStr">
        <is>
          <t>NADAUD Marco</t>
        </is>
      </c>
      <c r="R1017" s="196" t="inlineStr">
        <is>
          <t>ENGEL Tommaso</t>
        </is>
      </c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inlineStr">
        <is>
          <t>LEFEVRE Lukas [Aest]</t>
        </is>
      </c>
      <c r="N1020" s="196" t="inlineStr">
        <is>
          <t>IGLESIAS Beatrice [A]</t>
        </is>
      </c>
      <c r="O1020" s="196" t="inlineStr">
        <is>
          <t>ROMERO Matteo [Aest]</t>
        </is>
      </c>
      <c r="P1020" s="196" t="inlineStr">
        <is>
          <t>KRAJNC Davide</t>
        </is>
      </c>
      <c r="Q1020" s="196" t="inlineStr">
        <is>
          <t>MARCHIONI Gaelle</t>
        </is>
      </c>
      <c r="R1020" s="196" t="inlineStr">
        <is>
          <t>MARCHIONI Nicola</t>
        </is>
      </c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inlineStr">
        <is>
          <t>CONTARDI Nicola [Aest]</t>
        </is>
      </c>
      <c r="N1023" s="196" t="inlineStr">
        <is>
          <t>FUENTES Marta [Aest]</t>
        </is>
      </c>
      <c r="O1023" s="196" t="inlineStr">
        <is>
          <t>KELLER Valerie [AAt]</t>
        </is>
      </c>
      <c r="P1023" s="196" t="inlineStr">
        <is>
          <t>CONTARDI Greta</t>
        </is>
      </c>
      <c r="Q1023" s="196" t="inlineStr">
        <is>
          <t>SANTORI Jonas</t>
        </is>
      </c>
      <c r="R1023" s="196" t="inlineStr">
        <is>
          <t>SCHAFER Sofia</t>
        </is>
      </c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inlineStr">
        <is>
          <t>BELLANDI Paula [A]</t>
        </is>
      </c>
      <c r="N1026" s="196" t="inlineStr">
        <is>
          <t>ORTEGA Elena [Aest]</t>
        </is>
      </c>
      <c r="O1026" s="196" t="inlineStr">
        <is>
          <t>GALLINI Gaelle [A]</t>
        </is>
      </c>
      <c r="P1026" s="196" t="inlineStr">
        <is>
          <t>ROMERO Greta</t>
        </is>
      </c>
      <c r="Q1026" s="196" t="inlineStr">
        <is>
          <t>PRADO Hugo</t>
        </is>
      </c>
      <c r="R1026" s="196" t="inlineStr">
        <is>
          <t>OBLAK Hugo</t>
        </is>
      </c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inlineStr">
        <is>
          <t>FUENTES Eva [A]</t>
        </is>
      </c>
      <c r="N1029" s="196" t="inlineStr">
        <is>
          <t>CARON Alenka [AAt]</t>
        </is>
      </c>
      <c r="O1029" s="196" t="inlineStr">
        <is>
          <t>SOLER Stefano [A]</t>
        </is>
      </c>
      <c r="P1029" s="196" t="inlineStr">
        <is>
          <t>ENGEL Ottavia</t>
        </is>
      </c>
      <c r="Q1029" s="196" t="inlineStr">
        <is>
          <t>CAMPOS Jonas</t>
        </is>
      </c>
      <c r="R1029" s="196" t="inlineStr">
        <is>
          <t>HOFFMANN Paolo</t>
        </is>
      </c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inlineStr">
        <is>
          <t>ENGEL Filippo [A]</t>
        </is>
      </c>
      <c r="N1034" s="196" t="inlineStr">
        <is>
          <t>VALLET Stefano [AAt]</t>
        </is>
      </c>
      <c r="O1034" s="196" t="inlineStr">
        <is>
          <t>VOGEL Andrea [A]</t>
        </is>
      </c>
      <c r="P1034" s="196" t="inlineStr">
        <is>
          <t>ROTH Stefano</t>
        </is>
      </c>
      <c r="Q1034" s="196" t="inlineStr">
        <is>
          <t>KOVAC Nicola</t>
        </is>
      </c>
      <c r="R1034" s="196" t="inlineStr">
        <is>
          <t>KRUGER Marco</t>
        </is>
      </c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inlineStr">
        <is>
          <t>HORVAT Giulia [A]</t>
        </is>
      </c>
      <c r="N1037" s="196" t="inlineStr">
        <is>
          <t>MODIC Katrin [A]</t>
        </is>
      </c>
      <c r="O1037" s="196" t="inlineStr">
        <is>
          <t>VIDMAR Pablo [Aest]</t>
        </is>
      </c>
      <c r="P1037" s="196" t="inlineStr">
        <is>
          <t>ROMERO Greta</t>
        </is>
      </c>
      <c r="Q1037" s="196" t="inlineStr">
        <is>
          <t>VIDMAR Chiara</t>
        </is>
      </c>
      <c r="R1037" s="196" t="inlineStr">
        <is>
          <t>KRUGER Irene</t>
        </is>
      </c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inlineStr">
        <is>
          <t>KELLER Andrea [Aest]</t>
        </is>
      </c>
      <c r="N1040" s="196" t="inlineStr">
        <is>
          <t>BELLANDI Paula [A]</t>
        </is>
      </c>
      <c r="O1040" s="196" t="inlineStr">
        <is>
          <t>MARCHIONI Paula [Aest]</t>
        </is>
      </c>
      <c r="P1040" s="196" t="inlineStr">
        <is>
          <t>OBLAK Chiara</t>
        </is>
      </c>
      <c r="Q1040" s="196" t="inlineStr">
        <is>
          <t>FUENTES Chiara</t>
        </is>
      </c>
      <c r="R1040" s="196" t="inlineStr">
        <is>
          <t>BELLANDI Lucia</t>
        </is>
      </c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inlineStr">
        <is>
          <t>HOFFMANN Lea [AAt]</t>
        </is>
      </c>
      <c r="N1043" s="196" t="inlineStr">
        <is>
          <t>KOVAC Diego [AAt]</t>
        </is>
      </c>
      <c r="O1043" s="196" t="inlineStr">
        <is>
          <t>GAUTHIER Lukas [AA]</t>
        </is>
      </c>
      <c r="P1043" s="196" t="inlineStr">
        <is>
          <t>HORVAT Irene</t>
        </is>
      </c>
      <c r="Q1043" s="196" t="inlineStr">
        <is>
          <t>BLANCO Valerie</t>
        </is>
      </c>
      <c r="R1043" s="196" t="inlineStr">
        <is>
          <t>ORTEGA Marta</t>
        </is>
      </c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inlineStr">
        <is>
          <t>MODIC Miha [A]</t>
        </is>
      </c>
      <c r="N1046" s="196" t="inlineStr">
        <is>
          <t>VOGEL Giulia [Aest]</t>
        </is>
      </c>
      <c r="O1046" s="196" t="inlineStr">
        <is>
          <t>MODIC Matteo [AA]</t>
        </is>
      </c>
      <c r="P1046" s="196" t="inlineStr">
        <is>
          <t>ROTH Lucia</t>
        </is>
      </c>
      <c r="Q1046" s="196" t="inlineStr">
        <is>
          <t>CONTARDI Felix</t>
        </is>
      </c>
      <c r="R1046" s="196" t="inlineStr">
        <is>
          <t>MODIC Marco</t>
        </is>
      </c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inlineStr">
        <is>
          <t>HOFFMANN Anja [A]</t>
        </is>
      </c>
      <c r="N1049" s="196" t="inlineStr">
        <is>
          <t>ZUPAN Felix [AAt]</t>
        </is>
      </c>
      <c r="O1049" s="196" t="inlineStr">
        <is>
          <t>FUENTES Katrin [A]</t>
        </is>
      </c>
      <c r="P1049" s="196" t="inlineStr">
        <is>
          <t>MORETTO Ilaria</t>
        </is>
      </c>
      <c r="Q1049" s="196" t="inlineStr">
        <is>
          <t>KRAJNC Greta</t>
        </is>
      </c>
      <c r="R1049" s="196" t="inlineStr">
        <is>
          <t>CASTILLO Noemi</t>
        </is>
      </c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inlineStr">
        <is>
          <t>SANTORI Jonas [Aest]</t>
        </is>
      </c>
      <c r="N1052" s="196" t="inlineStr">
        <is>
          <t>LANGER Ilaria [Aest]</t>
        </is>
      </c>
      <c r="O1052" s="196" t="inlineStr">
        <is>
          <t>CAMPOS Felix [Aest]</t>
        </is>
      </c>
      <c r="P1052" s="196" t="inlineStr">
        <is>
          <t>MORETTO Lea</t>
        </is>
      </c>
      <c r="Q1052" s="196" t="inlineStr">
        <is>
          <t>OBLAK Anja</t>
        </is>
      </c>
      <c r="R1052" s="196" t="inlineStr">
        <is>
          <t>CASTILLO Giulia</t>
        </is>
      </c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inlineStr">
        <is>
          <t>BRANDT Filippo [AAt]</t>
        </is>
      </c>
      <c r="N1055" s="196" t="inlineStr">
        <is>
          <t>MARCHIONI Lea [AAt]</t>
        </is>
      </c>
      <c r="O1055" s="196" t="inlineStr">
        <is>
          <t>CARON Martina [AAt]</t>
        </is>
      </c>
      <c r="P1055" s="196" t="inlineStr">
        <is>
          <t>ZUPAN Paula</t>
        </is>
      </c>
      <c r="Q1055" s="196" t="inlineStr">
        <is>
          <t>CONTARDI Valerie</t>
        </is>
      </c>
      <c r="R1055" s="196" t="inlineStr">
        <is>
          <t>ORTEGA Ilaria</t>
        </is>
      </c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inlineStr">
        <is>
          <t>GAUTHIER Alenka [Aest]</t>
        </is>
      </c>
      <c r="N1058" s="196" t="inlineStr">
        <is>
          <t>ROTH Andrea [AAt]</t>
        </is>
      </c>
      <c r="O1058" s="196" t="inlineStr">
        <is>
          <t>VALLET Gaelle [Aest]</t>
        </is>
      </c>
      <c r="P1058" s="196" t="inlineStr">
        <is>
          <t>SOLER Pablo</t>
        </is>
      </c>
      <c r="Q1058" s="196" t="inlineStr">
        <is>
          <t>CAMPOS Martina</t>
        </is>
      </c>
      <c r="R1058" s="196" t="inlineStr">
        <is>
          <t>SEVER Giulia</t>
        </is>
      </c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inlineStr">
        <is>
          <t>BELLANDI Chiara [Aest]</t>
        </is>
      </c>
      <c r="N1061" s="196" t="inlineStr">
        <is>
          <t>SOLER Alenka [A]</t>
        </is>
      </c>
      <c r="O1061" s="196" t="inlineStr">
        <is>
          <t>KOVAC Diego [AAt]</t>
        </is>
      </c>
      <c r="P1061" s="196" t="inlineStr">
        <is>
          <t>ORTEGA Gaelle</t>
        </is>
      </c>
      <c r="Q1061" s="196" t="inlineStr">
        <is>
          <t>MORETTO Ilaria</t>
        </is>
      </c>
      <c r="R1061" s="196" t="inlineStr">
        <is>
          <t>KELLER Jonas</t>
        </is>
      </c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inlineStr">
        <is>
          <t>PRADO Marta [AAt]</t>
        </is>
      </c>
      <c r="N1066" s="196" t="inlineStr">
        <is>
          <t>KRUGER Lea [AA]</t>
        </is>
      </c>
      <c r="O1066" s="196" t="inlineStr">
        <is>
          <t>LANGER Katrin [AAt]</t>
        </is>
      </c>
      <c r="P1066" s="196" t="inlineStr">
        <is>
          <t>ORTEGA Marta</t>
        </is>
      </c>
      <c r="Q1066" s="196" t="inlineStr">
        <is>
          <t>FERRANTE Stefano</t>
        </is>
      </c>
      <c r="R1066" s="196" t="inlineStr">
        <is>
          <t>ZUPAN Elena</t>
        </is>
      </c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inlineStr">
        <is>
          <t>LANGER Ilaria [Aest]</t>
        </is>
      </c>
      <c r="N1069" s="196" t="inlineStr">
        <is>
          <t>PETERLIN Tommaso [AAt]</t>
        </is>
      </c>
      <c r="O1069" s="196" t="inlineStr">
        <is>
          <t>KRAJNC Paolo [Aest]</t>
        </is>
      </c>
      <c r="P1069" s="196" t="inlineStr">
        <is>
          <t>ORTEGA Andrea</t>
        </is>
      </c>
      <c r="Q1069" s="196" t="inlineStr">
        <is>
          <t>NADAUD Marco</t>
        </is>
      </c>
      <c r="R1069" s="196" t="inlineStr">
        <is>
          <t>KOVAC Nicola</t>
        </is>
      </c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inlineStr">
        <is>
          <t>KRUGER Lea [AA]</t>
        </is>
      </c>
      <c r="N1072" s="196" t="inlineStr">
        <is>
          <t>MODIC Valerie [A]</t>
        </is>
      </c>
      <c r="O1072" s="196" t="inlineStr">
        <is>
          <t>LEFEVRE Vid [A]</t>
        </is>
      </c>
      <c r="P1072" s="196" t="inlineStr">
        <is>
          <t>MODIC Marco</t>
        </is>
      </c>
      <c r="Q1072" s="196" t="inlineStr">
        <is>
          <t>IGLESIAS Irene</t>
        </is>
      </c>
      <c r="R1072" s="196" t="inlineStr">
        <is>
          <t>FUENTES Matteo</t>
        </is>
      </c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inlineStr">
        <is>
          <t>VIDMAR Pablo [Aest]</t>
        </is>
      </c>
      <c r="N1075" s="196" t="inlineStr">
        <is>
          <t>FUENTES Marta [Aest]</t>
        </is>
      </c>
      <c r="O1075" s="196" t="inlineStr">
        <is>
          <t>BIANCHELLI Martina [AAt]</t>
        </is>
      </c>
      <c r="P1075" s="196" t="inlineStr">
        <is>
          <t>CAMPOS Jonas</t>
        </is>
      </c>
      <c r="Q1075" s="196" t="inlineStr">
        <is>
          <t>CASTILLO Alenka</t>
        </is>
      </c>
      <c r="R1075" s="196" t="inlineStr">
        <is>
          <t>FERRANTE Andrea</t>
        </is>
      </c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inlineStr">
        <is>
          <t>OBLAK Lucia [AAt]</t>
        </is>
      </c>
      <c r="N1078" s="196" t="inlineStr">
        <is>
          <t>GALLINI Valerie [AA]</t>
        </is>
      </c>
      <c r="O1078" s="196" t="inlineStr">
        <is>
          <t>ENGEL Marco [AA]</t>
        </is>
      </c>
      <c r="P1078" s="196" t="inlineStr">
        <is>
          <t>LEROUX Beatrice</t>
        </is>
      </c>
      <c r="Q1078" s="196" t="inlineStr">
        <is>
          <t>WEBER Lea</t>
        </is>
      </c>
      <c r="R1078" s="196" t="inlineStr">
        <is>
          <t>SANTORI Eva</t>
        </is>
      </c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inlineStr">
        <is>
          <t>NADAUD Lucia [AA]</t>
        </is>
      </c>
      <c r="N1081" s="196" t="inlineStr">
        <is>
          <t>KRUGER Gaelle [AAt]</t>
        </is>
      </c>
      <c r="O1081" s="196" t="inlineStr">
        <is>
          <t>VALLET Tommaso [AAt]</t>
        </is>
      </c>
      <c r="P1081" s="196" t="inlineStr">
        <is>
          <t>KRUGER Mathilde</t>
        </is>
      </c>
      <c r="Q1081" s="196" t="inlineStr">
        <is>
          <t>CARON Anja</t>
        </is>
      </c>
      <c r="R1081" s="196" t="inlineStr">
        <is>
          <t>KOVAC Martina</t>
        </is>
      </c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inlineStr">
        <is>
          <t>CONTARDI Giulia [AAt]</t>
        </is>
      </c>
      <c r="N1084" s="196" t="inlineStr">
        <is>
          <t>WEBER Martina [A]</t>
        </is>
      </c>
      <c r="O1084" s="196" t="inlineStr">
        <is>
          <t>PRADO Luca [AA]</t>
        </is>
      </c>
      <c r="P1084" s="196" t="inlineStr">
        <is>
          <t>SANTORI Jonas</t>
        </is>
      </c>
      <c r="Q1084" s="196" t="inlineStr">
        <is>
          <t>SANTORI Marco</t>
        </is>
      </c>
      <c r="R1084" s="196" t="inlineStr">
        <is>
          <t>NADAUD Nicola</t>
        </is>
      </c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inlineStr">
        <is>
          <t>VALLET Gaelle [Aest]</t>
        </is>
      </c>
      <c r="N1087" s="196" t="inlineStr">
        <is>
          <t>VIDMAR Hugo [AAt]</t>
        </is>
      </c>
      <c r="O1087" s="196" t="inlineStr">
        <is>
          <t>NAVARRO Martina [A]</t>
        </is>
      </c>
      <c r="P1087" s="196" t="inlineStr">
        <is>
          <t>ROTH Katrin</t>
        </is>
      </c>
      <c r="Q1087" s="196" t="inlineStr">
        <is>
          <t>NADAUD Jonas</t>
        </is>
      </c>
      <c r="R1087" s="196" t="inlineStr">
        <is>
          <t>NOVAK Filippo</t>
        </is>
      </c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inlineStr">
        <is>
          <t>SANTORI Eva [AAt]</t>
        </is>
      </c>
      <c r="N1090" s="196" t="inlineStr">
        <is>
          <t>AUBERT Diego [A]</t>
        </is>
      </c>
      <c r="O1090" s="196" t="inlineStr">
        <is>
          <t>SANTORI Sofia [AA]</t>
        </is>
      </c>
      <c r="P1090" s="196" t="inlineStr">
        <is>
          <t>GAUTHIER Luca</t>
        </is>
      </c>
      <c r="Q1090" s="196" t="inlineStr">
        <is>
          <t>BLANCO Diego</t>
        </is>
      </c>
      <c r="R1090" s="196" t="inlineStr">
        <is>
          <t>BLANCO Ottavia</t>
        </is>
      </c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inlineStr">
        <is>
          <t>LEROUX Hugo [Aest]</t>
        </is>
      </c>
      <c r="N1093" s="196" t="inlineStr">
        <is>
          <t>KRAJNC Nicola [A]</t>
        </is>
      </c>
      <c r="O1093" s="196" t="inlineStr">
        <is>
          <t>LEROUX Mathilde [AA]</t>
        </is>
      </c>
      <c r="P1093" s="196" t="inlineStr">
        <is>
          <t>VIDMAR Matteo</t>
        </is>
      </c>
      <c r="Q1093" s="196" t="inlineStr">
        <is>
          <t>SANTORI Jonas</t>
        </is>
      </c>
      <c r="R1093" s="196" t="inlineStr">
        <is>
          <t>CARON Diego</t>
        </is>
      </c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inlineStr">
        <is>
          <t>MARCHIONI Filippo [AAt]</t>
        </is>
      </c>
      <c r="N1098" s="196" t="inlineStr">
        <is>
          <t>LANGER Valerie [Aest]</t>
        </is>
      </c>
      <c r="O1098" s="196" t="inlineStr">
        <is>
          <t>LEROUX Elena [AA]</t>
        </is>
      </c>
      <c r="P1098" s="196" t="inlineStr">
        <is>
          <t>OBLAK Chiara</t>
        </is>
      </c>
      <c r="Q1098" s="196" t="inlineStr">
        <is>
          <t>SCHAFER Ottavia</t>
        </is>
      </c>
      <c r="R1098" s="196" t="inlineStr">
        <is>
          <t>BLANCO Eva</t>
        </is>
      </c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inlineStr">
        <is>
          <t>WEBER Nicola [AAt]</t>
        </is>
      </c>
      <c r="N1101" s="196" t="inlineStr">
        <is>
          <t>HOFFMANN Ottavia [AA]</t>
        </is>
      </c>
      <c r="O1101" s="196" t="inlineStr">
        <is>
          <t>CONTARDI Mathilde [A]</t>
        </is>
      </c>
      <c r="P1101" s="196" t="inlineStr">
        <is>
          <t>BIANCHELLI Katrin</t>
        </is>
      </c>
      <c r="Q1101" s="196" t="inlineStr">
        <is>
          <t>VOGEL Lea</t>
        </is>
      </c>
      <c r="R1101" s="196" t="inlineStr">
        <is>
          <t>CAMPOS Anja</t>
        </is>
      </c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inlineStr">
        <is>
          <t>CAMPOS Vid [AA]</t>
        </is>
      </c>
      <c r="N1104" s="196" t="inlineStr">
        <is>
          <t>ZUPAN Mathilde [A]</t>
        </is>
      </c>
      <c r="O1104" s="196" t="inlineStr">
        <is>
          <t>PRADO Luca [AA]</t>
        </is>
      </c>
      <c r="P1104" s="196" t="inlineStr">
        <is>
          <t>IGLESIAS Hugo</t>
        </is>
      </c>
      <c r="Q1104" s="196" t="inlineStr">
        <is>
          <t>ROMERO Elena</t>
        </is>
      </c>
      <c r="R1104" s="196" t="inlineStr">
        <is>
          <t>NAVARRO Giulia</t>
        </is>
      </c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inlineStr">
        <is>
          <t>ENGEL Gaelle [AAt]</t>
        </is>
      </c>
      <c r="N1107" s="196" t="inlineStr">
        <is>
          <t>KOVAC Diego [AAt]</t>
        </is>
      </c>
      <c r="O1107" s="196" t="inlineStr">
        <is>
          <t>SOLER Davide [A]</t>
        </is>
      </c>
      <c r="P1107" s="196" t="inlineStr">
        <is>
          <t>PRADO Elena</t>
        </is>
      </c>
      <c r="Q1107" s="196" t="inlineStr">
        <is>
          <t>KRUGER Katrin</t>
        </is>
      </c>
      <c r="R1107" s="196" t="inlineStr">
        <is>
          <t>ROMERO Alenka</t>
        </is>
      </c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inlineStr">
        <is>
          <t>FOURNIER Tommaso [AA]</t>
        </is>
      </c>
      <c r="N1110" s="196" t="inlineStr">
        <is>
          <t>VOGEL Beatrice [AAt]</t>
        </is>
      </c>
      <c r="O1110" s="196" t="inlineStr">
        <is>
          <t>NADAUD Elena [AA]</t>
        </is>
      </c>
      <c r="P1110" s="196" t="inlineStr">
        <is>
          <t>ROTH Hugo</t>
        </is>
      </c>
      <c r="Q1110" s="196" t="inlineStr">
        <is>
          <t>ROTH Paolo</t>
        </is>
      </c>
      <c r="R1110" s="196" t="inlineStr">
        <is>
          <t>ZUPAN Greta</t>
        </is>
      </c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inlineStr">
        <is>
          <t>LEFEVRE Mathilde [A]</t>
        </is>
      </c>
      <c r="N1113" s="196" t="inlineStr">
        <is>
          <t>CASTILLO Jonas [AA]</t>
        </is>
      </c>
      <c r="O1113" s="196" t="inlineStr">
        <is>
          <t>MARCHIONI Katrin [AA]</t>
        </is>
      </c>
      <c r="P1113" s="196" t="inlineStr">
        <is>
          <t>IGLESIAS Giulia</t>
        </is>
      </c>
      <c r="Q1113" s="196" t="inlineStr">
        <is>
          <t>NADAUD Mathilde</t>
        </is>
      </c>
      <c r="R1113" s="196" t="inlineStr">
        <is>
          <t>KOVAC Nicola</t>
        </is>
      </c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inlineStr">
        <is>
          <t>BIANCHELLI Filippo [AAt]</t>
        </is>
      </c>
      <c r="N1116" s="196" t="inlineStr">
        <is>
          <t>PRADO Marta [AAt]</t>
        </is>
      </c>
      <c r="O1116" s="196" t="inlineStr">
        <is>
          <t>PRADO Marco [AAt]</t>
        </is>
      </c>
      <c r="P1116" s="196" t="inlineStr">
        <is>
          <t>ORTEGA Ilaria</t>
        </is>
      </c>
      <c r="Q1116" s="196" t="inlineStr">
        <is>
          <t>LEFEVRE Ilaria</t>
        </is>
      </c>
      <c r="R1116" s="196" t="inlineStr">
        <is>
          <t>VALLET Miha</t>
        </is>
      </c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inlineStr">
        <is>
          <t>ENGEL Luca [AA]</t>
        </is>
      </c>
      <c r="N1119" s="196" t="inlineStr">
        <is>
          <t>ROMERO Diego [AA]</t>
        </is>
      </c>
      <c r="O1119" s="196" t="inlineStr">
        <is>
          <t>FUENTES Marta [Aest]</t>
        </is>
      </c>
      <c r="P1119" s="196" t="inlineStr">
        <is>
          <t>PRADO Hugo</t>
        </is>
      </c>
      <c r="Q1119" s="196" t="inlineStr">
        <is>
          <t>MORETTO Anja</t>
        </is>
      </c>
      <c r="R1119" s="196" t="inlineStr">
        <is>
          <t>SOLER Gaelle</t>
        </is>
      </c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inlineStr">
        <is>
          <t>LANGER Marta [A]</t>
        </is>
      </c>
      <c r="N1122" s="196" t="inlineStr">
        <is>
          <t>KELLER Valerie [AAt]</t>
        </is>
      </c>
      <c r="O1122" s="196" t="inlineStr">
        <is>
          <t>ROMERO Matteo [Aest]</t>
        </is>
      </c>
      <c r="P1122" s="196" t="inlineStr">
        <is>
          <t>ORTEGA Ilaria</t>
        </is>
      </c>
      <c r="Q1122" s="196" t="inlineStr">
        <is>
          <t>ROTH Paula</t>
        </is>
      </c>
      <c r="R1122" s="196" t="inlineStr">
        <is>
          <t>VOGEL Sofia</t>
        </is>
      </c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inlineStr">
        <is>
          <t>MARCHIONI Matteo [AAt]</t>
        </is>
      </c>
      <c r="N1125" s="196" t="inlineStr">
        <is>
          <t>MODIC Katrin [A]</t>
        </is>
      </c>
      <c r="O1125" s="196" t="inlineStr">
        <is>
          <t>ROSSINI Irene [AA]</t>
        </is>
      </c>
      <c r="P1125" s="196" t="inlineStr">
        <is>
          <t>ENGEL Ottavia</t>
        </is>
      </c>
      <c r="Q1125" s="196" t="inlineStr">
        <is>
          <t>ORTEGA Filippo</t>
        </is>
      </c>
      <c r="R1125" s="196" t="inlineStr">
        <is>
          <t>VOGEL Davide</t>
        </is>
      </c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inlineStr">
        <is>
          <t>NOVAK Felix [A]</t>
        </is>
      </c>
      <c r="N1130" s="196" t="inlineStr">
        <is>
          <t>OBLAK Stefano [AA]</t>
        </is>
      </c>
      <c r="O1130" s="196" t="inlineStr">
        <is>
          <t>KELLER Felix [AAt]</t>
        </is>
      </c>
      <c r="P1130" s="196" t="inlineStr">
        <is>
          <t>GAUTHIER Diego</t>
        </is>
      </c>
      <c r="Q1130" s="196" t="inlineStr">
        <is>
          <t>OBLAK Hugo</t>
        </is>
      </c>
      <c r="R1130" s="196" t="inlineStr">
        <is>
          <t>WEBER Andrea</t>
        </is>
      </c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inlineStr">
        <is>
          <t>KRAJNC Beatrice [Aest]</t>
        </is>
      </c>
      <c r="N1133" s="196" t="inlineStr">
        <is>
          <t>ORTEGA Katrin [Aest]</t>
        </is>
      </c>
      <c r="O1133" s="196" t="inlineStr">
        <is>
          <t>ROSSINI Paula [AAt]</t>
        </is>
      </c>
      <c r="P1133" s="196" t="inlineStr">
        <is>
          <t>FUENTES Chiara</t>
        </is>
      </c>
      <c r="Q1133" s="196" t="inlineStr">
        <is>
          <t>CARON Diego</t>
        </is>
      </c>
      <c r="R1133" s="196" t="inlineStr">
        <is>
          <t>ROTH Paula</t>
        </is>
      </c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inlineStr">
        <is>
          <t>ENGEL Stefano [AAt]</t>
        </is>
      </c>
      <c r="N1136" s="196" t="inlineStr">
        <is>
          <t>SANTORI Sofia [AA]</t>
        </is>
      </c>
      <c r="O1136" s="196" t="inlineStr">
        <is>
          <t>ROSSINI Alenka [AAt]</t>
        </is>
      </c>
      <c r="P1136" s="196" t="inlineStr">
        <is>
          <t>ZUPAN Alenka</t>
        </is>
      </c>
      <c r="Q1136" s="196" t="inlineStr">
        <is>
          <t>BLANCHET Alenka</t>
        </is>
      </c>
      <c r="R1136" s="196" t="inlineStr">
        <is>
          <t>CARON Anja</t>
        </is>
      </c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inlineStr">
        <is>
          <t>SANTORI Nicola [AA]</t>
        </is>
      </c>
      <c r="N1139" s="196" t="inlineStr">
        <is>
          <t>KRUGER Gaelle [AAt]</t>
        </is>
      </c>
      <c r="O1139" s="196" t="inlineStr">
        <is>
          <t>CAMPOS Miha [Aest]</t>
        </is>
      </c>
      <c r="P1139" s="196" t="inlineStr">
        <is>
          <t>SCHAFER Gaelle</t>
        </is>
      </c>
      <c r="Q1139" s="196" t="inlineStr">
        <is>
          <t>PRADO Elena</t>
        </is>
      </c>
      <c r="R1139" s="196" t="inlineStr">
        <is>
          <t>NADAUD Paula</t>
        </is>
      </c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inlineStr">
        <is>
          <t>SANTORI Gaelle [AA]</t>
        </is>
      </c>
      <c r="N1142" s="196" t="inlineStr">
        <is>
          <t>KOVAC Valerie [AAt]</t>
        </is>
      </c>
      <c r="O1142" s="196" t="inlineStr">
        <is>
          <t>NADAUD Elena [AA]</t>
        </is>
      </c>
      <c r="P1142" s="196" t="inlineStr">
        <is>
          <t>LEFEVRE Alenka</t>
        </is>
      </c>
      <c r="Q1142" s="196" t="inlineStr">
        <is>
          <t>ORTEGA Felix</t>
        </is>
      </c>
      <c r="R1142" s="196" t="inlineStr">
        <is>
          <t>PETERLIN Martina</t>
        </is>
      </c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inlineStr">
        <is>
          <t>VIDMAR Noemi [AA]</t>
        </is>
      </c>
      <c r="N1145" s="196" t="inlineStr">
        <is>
          <t>ROSSINI Irene [AA]</t>
        </is>
      </c>
      <c r="O1145" s="196" t="inlineStr">
        <is>
          <t>OBLAK Lucia [AAt]</t>
        </is>
      </c>
      <c r="P1145" s="196" t="inlineStr">
        <is>
          <t>GALLINI Irene</t>
        </is>
      </c>
      <c r="Q1145" s="196" t="inlineStr">
        <is>
          <t>PETERLIN Martina</t>
        </is>
      </c>
      <c r="R1145" s="196" t="inlineStr">
        <is>
          <t>ORTEGA Alenka</t>
        </is>
      </c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inlineStr">
        <is>
          <t>NAVARRO Gaelle [A]</t>
        </is>
      </c>
      <c r="N1148" s="196" t="inlineStr">
        <is>
          <t>KRUGER Lea [AA]</t>
        </is>
      </c>
      <c r="O1148" s="196" t="inlineStr">
        <is>
          <t>HOFFMANN Marco [Aest]</t>
        </is>
      </c>
      <c r="P1148" s="196" t="inlineStr">
        <is>
          <t>SANTORI Eva</t>
        </is>
      </c>
      <c r="Q1148" s="196" t="inlineStr">
        <is>
          <t>VIDMAR Diego</t>
        </is>
      </c>
      <c r="R1148" s="196" t="inlineStr">
        <is>
          <t>SEVER Ottavia</t>
        </is>
      </c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inlineStr">
        <is>
          <t>MODIC Chiara [AA]</t>
        </is>
      </c>
      <c r="N1151" s="196" t="inlineStr">
        <is>
          <t>CONTARDI Beatrice [AAt]</t>
        </is>
      </c>
      <c r="O1151" s="196" t="inlineStr">
        <is>
          <t>FOURNIER Ottavia [A]</t>
        </is>
      </c>
      <c r="P1151" s="196" t="inlineStr">
        <is>
          <t>FOURNIER Stefano</t>
        </is>
      </c>
      <c r="Q1151" s="196" t="inlineStr">
        <is>
          <t>CAMPOS Jonas</t>
        </is>
      </c>
      <c r="R1151" s="196" t="inlineStr">
        <is>
          <t>BIANCHELLI Ottavia</t>
        </is>
      </c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inlineStr">
        <is>
          <t>KRAJNC Elena [AA]</t>
        </is>
      </c>
      <c r="N1154" s="196" t="inlineStr">
        <is>
          <t>PRADO Luca [AA]</t>
        </is>
      </c>
      <c r="O1154" s="196" t="inlineStr">
        <is>
          <t>IGLESIAS Lukas [Aest]</t>
        </is>
      </c>
      <c r="P1154" s="196" t="inlineStr">
        <is>
          <t>BIANCHELLI Valerie</t>
        </is>
      </c>
      <c r="Q1154" s="196" t="inlineStr">
        <is>
          <t>FOURNIER Lucia</t>
        </is>
      </c>
      <c r="R1154" s="196" t="inlineStr">
        <is>
          <t>KRAJNC Greta</t>
        </is>
      </c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inlineStr">
        <is>
          <t>ROSSINI Irene [AA]</t>
        </is>
      </c>
      <c r="N1157" s="196" t="inlineStr">
        <is>
          <t>LEROUX Elena [AA]</t>
        </is>
      </c>
      <c r="O1157" s="196" t="inlineStr">
        <is>
          <t>HOFFMANN Valerie [A]</t>
        </is>
      </c>
      <c r="P1157" s="196" t="inlineStr">
        <is>
          <t>BLANCO Giulia</t>
        </is>
      </c>
      <c r="Q1157" s="196" t="inlineStr">
        <is>
          <t>ZUPAN Elena</t>
        </is>
      </c>
      <c r="R1157" s="196" t="inlineStr">
        <is>
          <t>SEVER Greta</t>
        </is>
      </c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inlineStr">
        <is>
          <t>CAMPOS Miha [Aest]</t>
        </is>
      </c>
      <c r="N1162" s="196" t="inlineStr">
        <is>
          <t>MARCHIONI Filippo [AAt]</t>
        </is>
      </c>
      <c r="O1162" s="196" t="inlineStr">
        <is>
          <t>HOFFMANN Anja [A]</t>
        </is>
      </c>
      <c r="P1162" s="196" t="inlineStr">
        <is>
          <t>BLANCHET Paula</t>
        </is>
      </c>
      <c r="Q1162" s="196" t="inlineStr">
        <is>
          <t>KRUGER Marco</t>
        </is>
      </c>
      <c r="R1162" s="196" t="inlineStr">
        <is>
          <t>BLANCHET Jonas</t>
        </is>
      </c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inlineStr">
        <is>
          <t>AUBERT Diego [A]</t>
        </is>
      </c>
      <c r="N1165" s="196" t="inlineStr">
        <is>
          <t>WEBER Marco [AAt]</t>
        </is>
      </c>
      <c r="O1165" s="196" t="inlineStr">
        <is>
          <t>WEBER Filippo [AA]</t>
        </is>
      </c>
      <c r="P1165" s="196" t="inlineStr">
        <is>
          <t>KELLER Ottavia</t>
        </is>
      </c>
      <c r="Q1165" s="196" t="inlineStr">
        <is>
          <t>FOURNIER Lucia</t>
        </is>
      </c>
      <c r="R1165" s="196" t="inlineStr">
        <is>
          <t>FUENTES Lukas</t>
        </is>
      </c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inlineStr">
        <is>
          <t>CAMPOS Felix [Aest]</t>
        </is>
      </c>
      <c r="N1168" s="196" t="inlineStr">
        <is>
          <t>NADAUD Elena [AA]</t>
        </is>
      </c>
      <c r="O1168" s="196" t="inlineStr">
        <is>
          <t>BELLANDI Paula [A]</t>
        </is>
      </c>
      <c r="P1168" s="196" t="inlineStr">
        <is>
          <t>AUBERT Paolo</t>
        </is>
      </c>
      <c r="Q1168" s="196" t="inlineStr">
        <is>
          <t>FOURNIER Lea</t>
        </is>
      </c>
      <c r="R1168" s="196" t="inlineStr">
        <is>
          <t>WEBER Filippo</t>
        </is>
      </c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inlineStr">
        <is>
          <t>FOURNIER Tommaso [AA]</t>
        </is>
      </c>
      <c r="N1171" s="196" t="inlineStr">
        <is>
          <t>BLANCO Lucia [Aest]</t>
        </is>
      </c>
      <c r="O1171" s="196" t="inlineStr">
        <is>
          <t>OBLAK Lucia [AAt]</t>
        </is>
      </c>
      <c r="P1171" s="196" t="inlineStr">
        <is>
          <t>OBLAK Anja</t>
        </is>
      </c>
      <c r="Q1171" s="196" t="inlineStr">
        <is>
          <t>FERRANTE Chiara</t>
        </is>
      </c>
      <c r="R1171" s="196" t="inlineStr">
        <is>
          <t>SANTORI Marco</t>
        </is>
      </c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inlineStr">
        <is>
          <t>FOURNIER Lucia [AA]</t>
        </is>
      </c>
      <c r="N1174" s="196" t="inlineStr">
        <is>
          <t>VIDMAR Greta [Aest]</t>
        </is>
      </c>
      <c r="O1174" s="196" t="inlineStr">
        <is>
          <t>ROSSINI Irene [AA]</t>
        </is>
      </c>
      <c r="P1174" s="196" t="inlineStr">
        <is>
          <t>FOURNIER Paula</t>
        </is>
      </c>
      <c r="Q1174" s="196" t="inlineStr">
        <is>
          <t>ZUPAN Miha</t>
        </is>
      </c>
      <c r="R1174" s="196" t="inlineStr">
        <is>
          <t>SOLER Irene</t>
        </is>
      </c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inlineStr">
        <is>
          <t>KRAJNC Nicola [A]</t>
        </is>
      </c>
      <c r="N1177" s="196" t="inlineStr">
        <is>
          <t>FOURNIER Ottavia [A]</t>
        </is>
      </c>
      <c r="O1177" s="196" t="inlineStr">
        <is>
          <t>LANGER Sofia [A]</t>
        </is>
      </c>
      <c r="P1177" s="196" t="inlineStr">
        <is>
          <t>KOVAC Chiara</t>
        </is>
      </c>
      <c r="Q1177" s="196" t="inlineStr">
        <is>
          <t>FERRANTE Nicola</t>
        </is>
      </c>
      <c r="R1177" s="196" t="inlineStr">
        <is>
          <t>SOLER Pablo</t>
        </is>
      </c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inlineStr">
        <is>
          <t>CARON Elena [A]</t>
        </is>
      </c>
      <c r="N1180" s="196" t="inlineStr">
        <is>
          <t>LEFEVRE Mathilde [A]</t>
        </is>
      </c>
      <c r="O1180" s="196" t="inlineStr">
        <is>
          <t>MODIC Lukas [AAt]</t>
        </is>
      </c>
      <c r="P1180" s="196" t="inlineStr">
        <is>
          <t>SCHAFER Greta</t>
        </is>
      </c>
      <c r="Q1180" s="196" t="inlineStr">
        <is>
          <t>CAMPOS Martina</t>
        </is>
      </c>
      <c r="R1180" s="196" t="inlineStr">
        <is>
          <t>ROSSINI Stefano</t>
        </is>
      </c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inlineStr">
        <is>
          <t>NOVAK Lea [AA]</t>
        </is>
      </c>
      <c r="N1183" s="196" t="inlineStr">
        <is>
          <t>FOURNIER Matteo [AAt]</t>
        </is>
      </c>
      <c r="O1183" s="196" t="inlineStr">
        <is>
          <t>MARCHIONI Marco [Aest]</t>
        </is>
      </c>
      <c r="P1183" s="196" t="inlineStr">
        <is>
          <t>CASTILLO Elena</t>
        </is>
      </c>
      <c r="Q1183" s="196" t="inlineStr">
        <is>
          <t>KELLER Pablo</t>
        </is>
      </c>
      <c r="R1183" s="196" t="inlineStr">
        <is>
          <t>NOVAK Nicola</t>
        </is>
      </c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inlineStr">
        <is>
          <t>HORVAT Davide [Aest]</t>
        </is>
      </c>
      <c r="N1186" s="196" t="inlineStr">
        <is>
          <t>VIDMAR Stefano [AAt]</t>
        </is>
      </c>
      <c r="O1186" s="196" t="inlineStr">
        <is>
          <t>HOFFMANN Mathilde [AAt]</t>
        </is>
      </c>
      <c r="P1186" s="196" t="inlineStr">
        <is>
          <t>ZUPAN Greta</t>
        </is>
      </c>
      <c r="Q1186" s="196" t="inlineStr">
        <is>
          <t>ZUPAN Alenka</t>
        </is>
      </c>
      <c r="R1186" s="196" t="inlineStr">
        <is>
          <t>SCHAFER Lucia</t>
        </is>
      </c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inlineStr">
        <is>
          <t>IGLESIAS Chiara [AAt]</t>
        </is>
      </c>
      <c r="N1189" s="196" t="inlineStr">
        <is>
          <t>GAUTHIER Noemi [AA]</t>
        </is>
      </c>
      <c r="O1189" s="196" t="inlineStr">
        <is>
          <t>KRAJNC Paolo [Aest]</t>
        </is>
      </c>
      <c r="P1189" s="196" t="inlineStr">
        <is>
          <t>FUENTES Chiara</t>
        </is>
      </c>
      <c r="Q1189" s="196" t="inlineStr">
        <is>
          <t>ENGEL Nicola</t>
        </is>
      </c>
      <c r="R1189" s="196" t="inlineStr">
        <is>
          <t>ZUPAN Lucia</t>
        </is>
      </c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inlineStr">
        <is>
          <t>LEFEVRE Sofia [AAt]</t>
        </is>
      </c>
      <c r="N1194" s="196" t="inlineStr">
        <is>
          <t>CAMPOS Mathilde [Aest]</t>
        </is>
      </c>
      <c r="O1194" s="196" t="inlineStr">
        <is>
          <t>ROSSINI Chiara [AAt]</t>
        </is>
      </c>
      <c r="P1194" s="196" t="inlineStr">
        <is>
          <t>GAUTHIER Filippo</t>
        </is>
      </c>
      <c r="Q1194" s="196" t="inlineStr">
        <is>
          <t>MODIC Jonas</t>
        </is>
      </c>
      <c r="R1194" s="196" t="inlineStr">
        <is>
          <t>PELLEGRI Eva</t>
        </is>
      </c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inlineStr">
        <is>
          <t>LANGER Hugo [AA]</t>
        </is>
      </c>
      <c r="N1197" s="196" t="inlineStr">
        <is>
          <t>KRUGER Greta [A]</t>
        </is>
      </c>
      <c r="O1197" s="196" t="inlineStr">
        <is>
          <t>ZUPAN Felix [AAt]</t>
        </is>
      </c>
      <c r="P1197" s="196" t="inlineStr">
        <is>
          <t>BIANCHELLI Ottavia</t>
        </is>
      </c>
      <c r="Q1197" s="196" t="inlineStr">
        <is>
          <t>CONTARDI Greta</t>
        </is>
      </c>
      <c r="R1197" s="196" t="inlineStr">
        <is>
          <t>FOURNIER Stefano</t>
        </is>
      </c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inlineStr">
        <is>
          <t>KELLER Chiara [AAt]</t>
        </is>
      </c>
      <c r="N1200" s="196" t="inlineStr">
        <is>
          <t>MORETTO Anja [Aest]</t>
        </is>
      </c>
      <c r="O1200" s="196" t="inlineStr">
        <is>
          <t>ENGEL Valerie [Aest]</t>
        </is>
      </c>
      <c r="P1200" s="196" t="inlineStr">
        <is>
          <t>NADAUD Ilaria</t>
        </is>
      </c>
      <c r="Q1200" s="196" t="inlineStr">
        <is>
          <t>KRUGER Marco</t>
        </is>
      </c>
      <c r="R1200" s="196" t="inlineStr">
        <is>
          <t>KRAJNC Stefano</t>
        </is>
      </c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inlineStr">
        <is>
          <t>PETERLIN Filippo [AAt]</t>
        </is>
      </c>
      <c r="N1203" s="196" t="inlineStr">
        <is>
          <t>CONTARDI Marta [Aest]</t>
        </is>
      </c>
      <c r="O1203" s="196" t="inlineStr">
        <is>
          <t>CARON Davide [Aest]</t>
        </is>
      </c>
      <c r="P1203" s="196" t="inlineStr">
        <is>
          <t>WEBER Matteo</t>
        </is>
      </c>
      <c r="Q1203" s="196" t="inlineStr">
        <is>
          <t>LEFEVRE Mathilde</t>
        </is>
      </c>
      <c r="R1203" s="196" t="inlineStr">
        <is>
          <t>GALLINI Irene</t>
        </is>
      </c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inlineStr">
        <is>
          <t>PETERLIN Tommaso [AAt]</t>
        </is>
      </c>
      <c r="N1206" s="196" t="inlineStr">
        <is>
          <t>ROTH Sofia [A]</t>
        </is>
      </c>
      <c r="O1206" s="196" t="inlineStr">
        <is>
          <t>MOREAU Andrea [AAt]</t>
        </is>
      </c>
      <c r="P1206" s="196" t="inlineStr">
        <is>
          <t>PELLEGRI Lea</t>
        </is>
      </c>
      <c r="Q1206" s="196" t="inlineStr">
        <is>
          <t>SANTORI Gaelle</t>
        </is>
      </c>
      <c r="R1206" s="196" t="inlineStr">
        <is>
          <t>OBLAK Hugo</t>
        </is>
      </c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inlineStr">
        <is>
          <t>HOFFMANN Valerie [A]</t>
        </is>
      </c>
      <c r="N1209" s="196" t="inlineStr">
        <is>
          <t>HOFFMANN Marco [Aest]</t>
        </is>
      </c>
      <c r="O1209" s="196" t="inlineStr">
        <is>
          <t>SEVER Diego [A]</t>
        </is>
      </c>
      <c r="P1209" s="196" t="inlineStr">
        <is>
          <t>GALLINI Irene</t>
        </is>
      </c>
      <c r="Q1209" s="196" t="inlineStr">
        <is>
          <t>LEROUX Paolo</t>
        </is>
      </c>
      <c r="R1209" s="196" t="inlineStr">
        <is>
          <t>HOFFMANN Tommaso</t>
        </is>
      </c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inlineStr">
        <is>
          <t>KELLER Marco [Aest]</t>
        </is>
      </c>
      <c r="N1212" s="196" t="inlineStr">
        <is>
          <t>VOGEL Andrea [A]</t>
        </is>
      </c>
      <c r="O1212" s="196" t="inlineStr">
        <is>
          <t>OBLAK Lucia [AAt]</t>
        </is>
      </c>
      <c r="P1212" s="196" t="inlineStr">
        <is>
          <t>ORTEGA Stefano</t>
        </is>
      </c>
      <c r="Q1212" s="196" t="inlineStr">
        <is>
          <t>LANGER Valerie</t>
        </is>
      </c>
      <c r="R1212" s="196" t="inlineStr">
        <is>
          <t>MOREAU Vid</t>
        </is>
      </c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inlineStr">
        <is>
          <t>KRAJNC Elena [AA]</t>
        </is>
      </c>
      <c r="N1215" s="196" t="inlineStr">
        <is>
          <t>LEFEVRE Paula [A]</t>
        </is>
      </c>
      <c r="O1215" s="196" t="inlineStr">
        <is>
          <t>HOFFMANN Marco [Aest]</t>
        </is>
      </c>
      <c r="P1215" s="196" t="inlineStr">
        <is>
          <t>ORTEGA Marta</t>
        </is>
      </c>
      <c r="Q1215" s="196" t="inlineStr">
        <is>
          <t>CAMPOS Noemi</t>
        </is>
      </c>
      <c r="R1215" s="196" t="inlineStr">
        <is>
          <t>FERRANTE Mathilde</t>
        </is>
      </c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inlineStr">
        <is>
          <t>CAMPOS Jonas [AAt]</t>
        </is>
      </c>
      <c r="N1218" s="196" t="inlineStr">
        <is>
          <t>NADAUD Mathilde [AA]</t>
        </is>
      </c>
      <c r="O1218" s="196" t="inlineStr">
        <is>
          <t>KRAJNC Elena [AA]</t>
        </is>
      </c>
      <c r="P1218" s="196" t="inlineStr">
        <is>
          <t>GAUTHIER Andrea</t>
        </is>
      </c>
      <c r="Q1218" s="196" t="inlineStr">
        <is>
          <t>BIANCHELLI Eva</t>
        </is>
      </c>
      <c r="R1218" s="196" t="inlineStr">
        <is>
          <t>VOGEL Davide</t>
        </is>
      </c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inlineStr">
        <is>
          <t>ROTH Katrin [A]</t>
        </is>
      </c>
      <c r="N1221" s="196" t="inlineStr">
        <is>
          <t>LANGER Marta [A]</t>
        </is>
      </c>
      <c r="O1221" s="196" t="inlineStr">
        <is>
          <t>IGLESIAS Lukas [Aest]</t>
        </is>
      </c>
      <c r="P1221" s="196" t="inlineStr">
        <is>
          <t>WEBER Irene</t>
        </is>
      </c>
      <c r="Q1221" s="196" t="inlineStr">
        <is>
          <t>ORTEGA Andrea</t>
        </is>
      </c>
      <c r="R1221" s="196" t="inlineStr">
        <is>
          <t>SOLER Marta</t>
        </is>
      </c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inlineStr">
        <is>
          <t>SEVER Nicola [AA]</t>
        </is>
      </c>
      <c r="N1226" s="196" t="inlineStr">
        <is>
          <t>PELLEGRI Chiara [AAt]</t>
        </is>
      </c>
      <c r="O1226" s="196" t="inlineStr">
        <is>
          <t>VOGEL Andrea [A]</t>
        </is>
      </c>
      <c r="P1226" s="196" t="inlineStr">
        <is>
          <t>CAMPOS Martina</t>
        </is>
      </c>
      <c r="Q1226" s="196" t="inlineStr">
        <is>
          <t>CASTILLO Stefano</t>
        </is>
      </c>
      <c r="R1226" s="196" t="inlineStr">
        <is>
          <t>SCHAFER Katrin</t>
        </is>
      </c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inlineStr">
        <is>
          <t>VIDMAR Matteo [AA]</t>
        </is>
      </c>
      <c r="N1229" s="196" t="inlineStr">
        <is>
          <t>BIANCHELLI Martina [AAt]</t>
        </is>
      </c>
      <c r="O1229" s="196" t="inlineStr">
        <is>
          <t>VALLET Gaelle [Aest]</t>
        </is>
      </c>
      <c r="P1229" s="196" t="inlineStr">
        <is>
          <t>BLANCHET Marta</t>
        </is>
      </c>
      <c r="Q1229" s="196" t="inlineStr">
        <is>
          <t>BLANCHET Paula</t>
        </is>
      </c>
      <c r="R1229" s="196" t="inlineStr">
        <is>
          <t>KELLER Matteo</t>
        </is>
      </c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inlineStr">
        <is>
          <t>OBLAK Beatrice [AA]</t>
        </is>
      </c>
      <c r="N1232" s="196" t="inlineStr">
        <is>
          <t>BLANCHET Valerie [A]</t>
        </is>
      </c>
      <c r="O1232" s="196" t="inlineStr">
        <is>
          <t>KRUGER Lea [AA]</t>
        </is>
      </c>
      <c r="P1232" s="196" t="inlineStr">
        <is>
          <t>ROTH Lucia</t>
        </is>
      </c>
      <c r="Q1232" s="196" t="inlineStr">
        <is>
          <t>CAMPOS Jonas</t>
        </is>
      </c>
      <c r="R1232" s="196" t="inlineStr">
        <is>
          <t>VOGEL Sofia</t>
        </is>
      </c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inlineStr">
        <is>
          <t>MODIC Lukas [AAt]</t>
        </is>
      </c>
      <c r="N1235" s="196" t="inlineStr">
        <is>
          <t>HORVAT Marco [AA]</t>
        </is>
      </c>
      <c r="O1235" s="196" t="inlineStr">
        <is>
          <t>PRADO Diego [Aest]</t>
        </is>
      </c>
      <c r="P1235" s="196" t="inlineStr">
        <is>
          <t>LEROUX Paolo</t>
        </is>
      </c>
      <c r="Q1235" s="196" t="inlineStr">
        <is>
          <t>IGLESIAS Irene</t>
        </is>
      </c>
      <c r="R1235" s="196" t="inlineStr">
        <is>
          <t>PRADO Alenka</t>
        </is>
      </c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inlineStr">
        <is>
          <t>MOREAU Andrea [AAt]</t>
        </is>
      </c>
      <c r="N1238" s="196" t="inlineStr">
        <is>
          <t>AUBERT Beatrice [AA]</t>
        </is>
      </c>
      <c r="O1238" s="196" t="inlineStr">
        <is>
          <t>NOVAK Beatrice [Aest]</t>
        </is>
      </c>
      <c r="P1238" s="196" t="inlineStr">
        <is>
          <t>BIANCHELLI Davide</t>
        </is>
      </c>
      <c r="Q1238" s="196" t="inlineStr">
        <is>
          <t>BIANCHELLI Eva</t>
        </is>
      </c>
      <c r="R1238" s="196" t="inlineStr">
        <is>
          <t>KRUGER Marco</t>
        </is>
      </c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inlineStr">
        <is>
          <t>FUENTES Eva [A]</t>
        </is>
      </c>
      <c r="N1241" s="196" t="inlineStr">
        <is>
          <t>VOGEL Beatrice [AAt]</t>
        </is>
      </c>
      <c r="O1241" s="196" t="inlineStr">
        <is>
          <t>FOURNIER Lucia [AA]</t>
        </is>
      </c>
      <c r="P1241" s="196" t="inlineStr">
        <is>
          <t>ROSSINI Stefano</t>
        </is>
      </c>
      <c r="Q1241" s="196" t="inlineStr">
        <is>
          <t>NAVARRO Lea</t>
        </is>
      </c>
      <c r="R1241" s="196" t="inlineStr">
        <is>
          <t>CARON Diego</t>
        </is>
      </c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inlineStr">
        <is>
          <t>PELLEGRI Chiara [AAt]</t>
        </is>
      </c>
      <c r="N1244" s="196" t="inlineStr">
        <is>
          <t>BIANCHELLI Paolo [AA]</t>
        </is>
      </c>
      <c r="O1244" s="196" t="inlineStr">
        <is>
          <t>LEROUX Hugo [Aest]</t>
        </is>
      </c>
      <c r="P1244" s="196" t="inlineStr">
        <is>
          <t>HOFFMANN Diego</t>
        </is>
      </c>
      <c r="Q1244" s="196" t="inlineStr">
        <is>
          <t>BLANCHET Jonas</t>
        </is>
      </c>
      <c r="R1244" s="196" t="inlineStr">
        <is>
          <t>KELLER Alenka</t>
        </is>
      </c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inlineStr">
        <is>
          <t>OBLAK Jonas [AAt]</t>
        </is>
      </c>
      <c r="N1247" s="196" t="inlineStr">
        <is>
          <t>CAMPOS Noemi [AA]</t>
        </is>
      </c>
      <c r="O1247" s="196" t="inlineStr">
        <is>
          <t>IGLESIAS Felix [AAt]</t>
        </is>
      </c>
      <c r="P1247" s="196" t="inlineStr">
        <is>
          <t>PRADO Lea</t>
        </is>
      </c>
      <c r="Q1247" s="196" t="inlineStr">
        <is>
          <t>ZUPAN Irene</t>
        </is>
      </c>
      <c r="R1247" s="196" t="inlineStr">
        <is>
          <t>BLANCHET Marta</t>
        </is>
      </c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inlineStr">
        <is>
          <t>FERRANTE Luca [AAt]</t>
        </is>
      </c>
      <c r="N1250" s="196" t="inlineStr">
        <is>
          <t>BLANCHET Anja [AA]</t>
        </is>
      </c>
      <c r="O1250" s="196" t="inlineStr">
        <is>
          <t>VOGEL Miha [AAt]</t>
        </is>
      </c>
      <c r="P1250" s="196" t="inlineStr">
        <is>
          <t>HORVAT Matteo</t>
        </is>
      </c>
      <c r="Q1250" s="196" t="inlineStr">
        <is>
          <t>KELLER Ottavia</t>
        </is>
      </c>
      <c r="R1250" s="196" t="inlineStr">
        <is>
          <t>WEBER Matteo</t>
        </is>
      </c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inlineStr">
        <is>
          <t>PRADO Marco [AAt]</t>
        </is>
      </c>
      <c r="N1253" s="196" t="inlineStr">
        <is>
          <t>CAMPOS Vid [AA]</t>
        </is>
      </c>
      <c r="O1253" s="196" t="inlineStr">
        <is>
          <t>BRANDT Felix [A]</t>
        </is>
      </c>
      <c r="P1253" s="196" t="inlineStr">
        <is>
          <t>SCHAFER Gaelle</t>
        </is>
      </c>
      <c r="Q1253" s="196" t="inlineStr">
        <is>
          <t>ENGEL Lucia</t>
        </is>
      </c>
      <c r="R1253" s="196" t="inlineStr">
        <is>
          <t>PETERLIN Martina</t>
        </is>
      </c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216">
        <f>IF('Playoff'!A8="","",'Playoff'!A8)</f>
        <v/>
      </c>
      <c r="B1288" s="133">
        <f>IF('Playoff'!B8="","",'Playoff'!B8)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17" t="inlineStr">
        <is>
          <t>ARBITRI</t>
        </is>
      </c>
      <c r="N1288" s="9" t="n"/>
      <c r="O1288" s="10" t="n"/>
      <c r="P1288" s="217" t="inlineStr">
        <is>
          <t>UFFICIALI DI CAMPO</t>
        </is>
      </c>
      <c r="Q1288" s="9" t="n"/>
      <c r="R1288" s="10" t="n"/>
    </row>
    <row r="1289" ht="14" customHeight="1">
      <c r="A1289" s="135" t="inlineStr">
        <is>
          <t>Gara N.</t>
        </is>
      </c>
      <c r="B1289" s="135" t="inlineStr">
        <is>
          <t>Squadra A</t>
        </is>
      </c>
      <c r="C1289" s="10" t="n"/>
      <c r="D1289" s="135" t="inlineStr">
        <is>
          <t>Squadra B</t>
        </is>
      </c>
      <c r="E1289" s="10" t="n"/>
      <c r="F1289" s="135" t="inlineStr">
        <is>
          <t>Giorno</t>
        </is>
      </c>
      <c r="G1289" s="135" t="inlineStr">
        <is>
          <t>Data</t>
        </is>
      </c>
      <c r="H1289" s="135" t="inlineStr">
        <is>
          <t>Ora</t>
        </is>
      </c>
      <c r="I1289" s="10" t="n"/>
      <c r="J1289" s="135" t="inlineStr">
        <is>
          <t>Risultato</t>
        </is>
      </c>
      <c r="K1289" s="9" t="n"/>
      <c r="L1289" s="10" t="n"/>
      <c r="M1289" s="218" t="inlineStr">
        <is>
          <t>1o Arbitro</t>
        </is>
      </c>
      <c r="N1289" s="218" t="inlineStr">
        <is>
          <t>2o Arbitro</t>
        </is>
      </c>
      <c r="O1289" s="218" t="inlineStr">
        <is>
          <t>3o Arbitro/Tirocinante</t>
        </is>
      </c>
      <c r="P1289" s="218" t="inlineStr">
        <is>
          <t>Referto</t>
        </is>
      </c>
      <c r="Q1289" s="218" t="inlineStr">
        <is>
          <t>Cronometro</t>
        </is>
      </c>
      <c r="R1289" s="218" t="inlineStr">
        <is>
          <t>Foglio Tiri</t>
        </is>
      </c>
    </row>
    <row r="1290" ht="22" customHeight="1">
      <c r="A1290" s="137">
        <f>IF('Playoff'!A10="","",'Playoff'!A10)</f>
        <v/>
      </c>
      <c r="B1290" s="61">
        <f>IF('Playoff'!B10="","",'Playoff'!B10)</f>
        <v/>
      </c>
      <c r="C1290" s="62">
        <f>IF('Playoff'!C10="","",'Playoff'!C10)</f>
        <v/>
      </c>
      <c r="D1290" s="61">
        <f>IF('Playoff'!D10="","",'Playoff'!D10)</f>
        <v/>
      </c>
      <c r="E1290" s="62">
        <f>IF('Playoff'!E10="","",'Playoff'!E10)</f>
        <v/>
      </c>
      <c r="F1290" s="63">
        <f>IF('Playoff'!F10="","",'Playoff'!F10)</f>
        <v/>
      </c>
      <c r="G1290" s="9" t="n"/>
      <c r="H1290" s="9" t="n"/>
      <c r="I1290" s="10" t="n"/>
      <c r="J1290" s="195">
        <f>IF('Playoff'!J10="","",'Playoff'!J10)</f>
        <v/>
      </c>
      <c r="K1290" s="64" t="inlineStr">
        <is>
          <t>-</t>
        </is>
      </c>
      <c r="L1290" s="195">
        <f>IF('Playoff'!L10="","",'Playoff'!L10)</f>
        <v/>
      </c>
      <c r="M1290" s="196" t="inlineStr">
        <is>
          <t>PETERLIN Tommaso [AAt]</t>
        </is>
      </c>
      <c r="N1290" s="196" t="inlineStr">
        <is>
          <t>BELLANDI Andrea [AA]</t>
        </is>
      </c>
      <c r="O1290" s="196" t="inlineStr">
        <is>
          <t>IGLESIAS Giulia [AAt]</t>
        </is>
      </c>
      <c r="P1290" s="196" t="inlineStr">
        <is>
          <t>VIDMAR Diego</t>
        </is>
      </c>
      <c r="Q1290" s="196" t="inlineStr">
        <is>
          <t>NADAUD Nicola</t>
        </is>
      </c>
      <c r="R1290" s="196" t="inlineStr">
        <is>
          <t>KOVAC Nicola</t>
        </is>
      </c>
    </row>
    <row r="1291" ht="15" customHeight="1">
      <c r="A1291" s="141" t="n"/>
      <c r="B1291" s="69">
        <f>IF('Playoff'!B11="","",'Playoff'!B11)</f>
        <v/>
      </c>
      <c r="C1291" s="9" t="n"/>
      <c r="D1291" s="9" t="n"/>
      <c r="E1291" s="9" t="n"/>
      <c r="F1291" s="9" t="n"/>
      <c r="G1291" s="9" t="n"/>
      <c r="H1291" s="10" t="n"/>
      <c r="I1291" s="62">
        <f>IF('Playoff'!I11="","",'Playoff'!I11)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135" t="inlineStr">
        <is>
          <t>Gara N.</t>
        </is>
      </c>
      <c r="B1292" s="135" t="inlineStr">
        <is>
          <t>Squadra A</t>
        </is>
      </c>
      <c r="C1292" s="10" t="n"/>
      <c r="D1292" s="135" t="inlineStr">
        <is>
          <t>Squadra B</t>
        </is>
      </c>
      <c r="E1292" s="10" t="n"/>
      <c r="F1292" s="135" t="inlineStr">
        <is>
          <t>Giorno</t>
        </is>
      </c>
      <c r="G1292" s="135" t="inlineStr">
        <is>
          <t>Data</t>
        </is>
      </c>
      <c r="H1292" s="135" t="inlineStr">
        <is>
          <t>Ora</t>
        </is>
      </c>
      <c r="I1292" s="10" t="n"/>
      <c r="J1292" s="135" t="inlineStr">
        <is>
          <t>Risultato</t>
        </is>
      </c>
      <c r="K1292" s="9" t="n"/>
      <c r="L1292" s="10" t="n"/>
      <c r="M1292" s="218" t="inlineStr">
        <is>
          <t>1o Arbitro</t>
        </is>
      </c>
      <c r="N1292" s="218" t="inlineStr">
        <is>
          <t>2o Arbitro</t>
        </is>
      </c>
      <c r="O1292" s="218" t="inlineStr">
        <is>
          <t>3o Arbitro/Tirocinante</t>
        </is>
      </c>
      <c r="P1292" s="218" t="inlineStr">
        <is>
          <t>Referto</t>
        </is>
      </c>
      <c r="Q1292" s="218" t="inlineStr">
        <is>
          <t>Cronometro</t>
        </is>
      </c>
      <c r="R1292" s="218" t="inlineStr">
        <is>
          <t>Foglio Tiri</t>
        </is>
      </c>
    </row>
    <row r="1293" ht="22" customHeight="1">
      <c r="A1293" s="137">
        <f>IF('Playoff'!A13="","",'Playoff'!A13)</f>
        <v/>
      </c>
      <c r="B1293" s="61">
        <f>IF('Playoff'!B13="","",'Playoff'!B13)</f>
        <v/>
      </c>
      <c r="C1293" s="62">
        <f>IF('Playoff'!C13="","",'Playoff'!C13)</f>
        <v/>
      </c>
      <c r="D1293" s="61">
        <f>IF('Playoff'!D13="","",'Playoff'!D13)</f>
        <v/>
      </c>
      <c r="E1293" s="62">
        <f>IF('Playoff'!E13="","",'Playoff'!E13)</f>
        <v/>
      </c>
      <c r="F1293" s="63">
        <f>IF('Playoff'!F13="","",'Playoff'!F13)</f>
        <v/>
      </c>
      <c r="G1293" s="9" t="n"/>
      <c r="H1293" s="9" t="n"/>
      <c r="I1293" s="10" t="n"/>
      <c r="J1293" s="195">
        <f>IF('Playoff'!J13="","",'Playoff'!J13)</f>
        <v/>
      </c>
      <c r="K1293" s="64" t="inlineStr">
        <is>
          <t>-</t>
        </is>
      </c>
      <c r="L1293" s="195">
        <f>IF('Playoff'!L13="","",'Playoff'!L13)</f>
        <v/>
      </c>
      <c r="M1293" s="196" t="inlineStr">
        <is>
          <t>CASTILLO Paolo [AAt]</t>
        </is>
      </c>
      <c r="N1293" s="196" t="inlineStr">
        <is>
          <t>FUENTES Irene [AA]</t>
        </is>
      </c>
      <c r="O1293" s="196" t="inlineStr">
        <is>
          <t>ROSSINI Beatrice [Aest]</t>
        </is>
      </c>
      <c r="P1293" s="196" t="inlineStr">
        <is>
          <t>WEBER Ilaria</t>
        </is>
      </c>
      <c r="Q1293" s="196" t="inlineStr">
        <is>
          <t>GAUTHIER Diego</t>
        </is>
      </c>
      <c r="R1293" s="196" t="inlineStr">
        <is>
          <t>HOFFMANN Chiara</t>
        </is>
      </c>
    </row>
    <row r="1294" ht="15" customHeight="1">
      <c r="A1294" s="141" t="n"/>
      <c r="B1294" s="69">
        <f>IF('Playoff'!B14="","",'Playoff'!B14)</f>
        <v/>
      </c>
      <c r="C1294" s="9" t="n"/>
      <c r="D1294" s="9" t="n"/>
      <c r="E1294" s="9" t="n"/>
      <c r="F1294" s="9" t="n"/>
      <c r="G1294" s="9" t="n"/>
      <c r="H1294" s="10" t="n"/>
      <c r="I1294" s="62">
        <f>IF('Playoff'!I14="","",'Playoff'!I14)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135" t="inlineStr">
        <is>
          <t>Gara N.</t>
        </is>
      </c>
      <c r="B1295" s="135" t="inlineStr">
        <is>
          <t>Squadra A</t>
        </is>
      </c>
      <c r="C1295" s="10" t="n"/>
      <c r="D1295" s="135" t="inlineStr">
        <is>
          <t>Squadra B</t>
        </is>
      </c>
      <c r="E1295" s="10" t="n"/>
      <c r="F1295" s="135" t="inlineStr">
        <is>
          <t>Giorno</t>
        </is>
      </c>
      <c r="G1295" s="135" t="inlineStr">
        <is>
          <t>Data</t>
        </is>
      </c>
      <c r="H1295" s="135" t="inlineStr">
        <is>
          <t>Ora</t>
        </is>
      </c>
      <c r="I1295" s="10" t="n"/>
      <c r="J1295" s="135" t="inlineStr">
        <is>
          <t>Risultato</t>
        </is>
      </c>
      <c r="K1295" s="9" t="n"/>
      <c r="L1295" s="10" t="n"/>
      <c r="M1295" s="218" t="inlineStr">
        <is>
          <t>1o Arbitro</t>
        </is>
      </c>
      <c r="N1295" s="218" t="inlineStr">
        <is>
          <t>2o Arbitro</t>
        </is>
      </c>
      <c r="O1295" s="218" t="inlineStr">
        <is>
          <t>3o Arbitro/Tirocinante</t>
        </is>
      </c>
      <c r="P1295" s="218" t="inlineStr">
        <is>
          <t>Referto</t>
        </is>
      </c>
      <c r="Q1295" s="218" t="inlineStr">
        <is>
          <t>Cronometro</t>
        </is>
      </c>
      <c r="R1295" s="218" t="inlineStr">
        <is>
          <t>Foglio Tiri</t>
        </is>
      </c>
    </row>
    <row r="1296" ht="22" customHeight="1">
      <c r="A1296" s="137">
        <f>IF('Playoff'!A16="","",'Playoff'!A16)</f>
        <v/>
      </c>
      <c r="B1296" s="61">
        <f>IF('Playoff'!B16="","",'Playoff'!B16)</f>
        <v/>
      </c>
      <c r="C1296" s="62">
        <f>IF('Playoff'!C16="","",'Playoff'!C16)</f>
        <v/>
      </c>
      <c r="D1296" s="61">
        <f>IF('Playoff'!D16="","",'Playoff'!D16)</f>
        <v/>
      </c>
      <c r="E1296" s="62">
        <f>IF('Playoff'!E16="","",'Playoff'!E16)</f>
        <v/>
      </c>
      <c r="F1296" s="63">
        <f>IF('Playoff'!F16="","",'Playoff'!F16)</f>
        <v/>
      </c>
      <c r="G1296" s="9" t="n"/>
      <c r="H1296" s="9" t="n"/>
      <c r="I1296" s="10" t="n"/>
      <c r="J1296" s="195">
        <f>IF('Playoff'!J16="","",'Playoff'!J16)</f>
        <v/>
      </c>
      <c r="K1296" s="64" t="inlineStr">
        <is>
          <t>-</t>
        </is>
      </c>
      <c r="L1296" s="195">
        <f>IF('Playoff'!L16="","",'Playoff'!L16)</f>
        <v/>
      </c>
      <c r="M1296" s="196" t="inlineStr">
        <is>
          <t>ENGEL Luca [AA]</t>
        </is>
      </c>
      <c r="N1296" s="196" t="inlineStr">
        <is>
          <t>KELLER Chiara [AAt]</t>
        </is>
      </c>
      <c r="O1296" s="196" t="inlineStr">
        <is>
          <t>NADAUD Greta [A]</t>
        </is>
      </c>
      <c r="P1296" s="196" t="inlineStr">
        <is>
          <t>SOLER Irene</t>
        </is>
      </c>
      <c r="Q1296" s="196" t="inlineStr">
        <is>
          <t>VOGEL Giulia</t>
        </is>
      </c>
      <c r="R1296" s="196" t="inlineStr">
        <is>
          <t>ORTEGA Marta</t>
        </is>
      </c>
    </row>
    <row r="1297" ht="15" customHeight="1">
      <c r="A1297" s="141" t="n"/>
      <c r="B1297" s="69">
        <f>IF('Playoff'!B17="","",'Playoff'!B17)</f>
        <v/>
      </c>
      <c r="C1297" s="9" t="n"/>
      <c r="D1297" s="9" t="n"/>
      <c r="E1297" s="9" t="n"/>
      <c r="F1297" s="9" t="n"/>
      <c r="G1297" s="9" t="n"/>
      <c r="H1297" s="10" t="n"/>
      <c r="I1297" s="62">
        <f>IF('Playoff'!I17="","",'Playoff'!I17)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135" t="inlineStr">
        <is>
          <t>Gara N.</t>
        </is>
      </c>
      <c r="B1298" s="135" t="inlineStr">
        <is>
          <t>Squadra A</t>
        </is>
      </c>
      <c r="C1298" s="10" t="n"/>
      <c r="D1298" s="135" t="inlineStr">
        <is>
          <t>Squadra B</t>
        </is>
      </c>
      <c r="E1298" s="10" t="n"/>
      <c r="F1298" s="135" t="inlineStr">
        <is>
          <t>Giorno</t>
        </is>
      </c>
      <c r="G1298" s="135" t="inlineStr">
        <is>
          <t>Data</t>
        </is>
      </c>
      <c r="H1298" s="135" t="inlineStr">
        <is>
          <t>Ora</t>
        </is>
      </c>
      <c r="I1298" s="10" t="n"/>
      <c r="J1298" s="135" t="inlineStr">
        <is>
          <t>Risultato</t>
        </is>
      </c>
      <c r="K1298" s="9" t="n"/>
      <c r="L1298" s="10" t="n"/>
      <c r="M1298" s="218" t="inlineStr">
        <is>
          <t>1o Arbitro</t>
        </is>
      </c>
      <c r="N1298" s="218" t="inlineStr">
        <is>
          <t>2o Arbitro</t>
        </is>
      </c>
      <c r="O1298" s="218" t="inlineStr">
        <is>
          <t>3o Arbitro/Tirocinante</t>
        </is>
      </c>
      <c r="P1298" s="218" t="inlineStr">
        <is>
          <t>Referto</t>
        </is>
      </c>
      <c r="Q1298" s="218" t="inlineStr">
        <is>
          <t>Cronometro</t>
        </is>
      </c>
      <c r="R1298" s="218" t="inlineStr">
        <is>
          <t>Foglio Tiri</t>
        </is>
      </c>
    </row>
    <row r="1299" ht="22" customHeight="1">
      <c r="A1299" s="137">
        <f>IF('Playoff'!A19="","",'Playoff'!A19)</f>
        <v/>
      </c>
      <c r="B1299" s="61">
        <f>IF('Playoff'!B19="","",'Playoff'!B19)</f>
        <v/>
      </c>
      <c r="C1299" s="62">
        <f>IF('Playoff'!C19="","",'Playoff'!C19)</f>
        <v/>
      </c>
      <c r="D1299" s="61">
        <f>IF('Playoff'!D19="","",'Playoff'!D19)</f>
        <v/>
      </c>
      <c r="E1299" s="62">
        <f>IF('Playoff'!E19="","",'Playoff'!E19)</f>
        <v/>
      </c>
      <c r="F1299" s="63">
        <f>IF('Playoff'!F19="","",'Playoff'!F19)</f>
        <v/>
      </c>
      <c r="G1299" s="9" t="n"/>
      <c r="H1299" s="9" t="n"/>
      <c r="I1299" s="10" t="n"/>
      <c r="J1299" s="195">
        <f>IF('Playoff'!J19="","",'Playoff'!J19)</f>
        <v/>
      </c>
      <c r="K1299" s="64" t="inlineStr">
        <is>
          <t>-</t>
        </is>
      </c>
      <c r="L1299" s="195">
        <f>IF('Playoff'!L19="","",'Playoff'!L19)</f>
        <v/>
      </c>
      <c r="M1299" s="196" t="inlineStr">
        <is>
          <t>PELLEGRI Eva [AA]</t>
        </is>
      </c>
      <c r="N1299" s="196" t="inlineStr">
        <is>
          <t>PELLEGRI Valerie [AA]</t>
        </is>
      </c>
      <c r="O1299" s="196" t="inlineStr">
        <is>
          <t>PETERLIN Luca [Aest]</t>
        </is>
      </c>
      <c r="P1299" s="196" t="inlineStr">
        <is>
          <t>SANTORI Marco</t>
        </is>
      </c>
      <c r="Q1299" s="196" t="inlineStr">
        <is>
          <t>VOGEL Irene</t>
        </is>
      </c>
      <c r="R1299" s="196" t="inlineStr">
        <is>
          <t>ZUPAN Elena</t>
        </is>
      </c>
    </row>
    <row r="1300" ht="15" customHeight="1">
      <c r="A1300" s="141" t="n"/>
      <c r="B1300" s="69">
        <f>IF('Playoff'!B20="","",'Playoff'!B20)</f>
        <v/>
      </c>
      <c r="C1300" s="9" t="n"/>
      <c r="D1300" s="9" t="n"/>
      <c r="E1300" s="9" t="n"/>
      <c r="F1300" s="9" t="n"/>
      <c r="G1300" s="9" t="n"/>
      <c r="H1300" s="10" t="n"/>
      <c r="I1300" s="62">
        <f>IF('Playoff'!I20="","",'Playoff'!I20)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2" ht="20" customHeight="1">
      <c r="A1302" s="216">
        <f>IF('Playoff'!A22="","",'Playoff'!A22)</f>
        <v/>
      </c>
      <c r="B1302" s="133">
        <f>IF('Playoff'!B22="","",'Playoff'!B22)</f>
        <v/>
      </c>
      <c r="C1302" s="9" t="n"/>
      <c r="D1302" s="9" t="n"/>
      <c r="E1302" s="9" t="n"/>
      <c r="F1302" s="9" t="n"/>
      <c r="G1302" s="9" t="n"/>
      <c r="H1302" s="9" t="n"/>
      <c r="I1302" s="9" t="n"/>
      <c r="J1302" s="9" t="n"/>
      <c r="K1302" s="9" t="n"/>
      <c r="L1302" s="10" t="n"/>
      <c r="M1302" s="217" t="inlineStr">
        <is>
          <t>ARBITRI</t>
        </is>
      </c>
      <c r="N1302" s="9" t="n"/>
      <c r="O1302" s="10" t="n"/>
      <c r="P1302" s="217" t="inlineStr">
        <is>
          <t>UFFICIALI DI CAMPO</t>
        </is>
      </c>
      <c r="Q1302" s="9" t="n"/>
      <c r="R1302" s="10" t="n"/>
    </row>
    <row r="1303" ht="14" customHeight="1">
      <c r="A1303" s="135" t="inlineStr">
        <is>
          <t>Gara N.</t>
        </is>
      </c>
      <c r="B1303" s="135" t="inlineStr">
        <is>
          <t>Squadra A</t>
        </is>
      </c>
      <c r="C1303" s="10" t="n"/>
      <c r="D1303" s="135" t="inlineStr">
        <is>
          <t>Squadra B</t>
        </is>
      </c>
      <c r="E1303" s="10" t="n"/>
      <c r="F1303" s="135" t="inlineStr">
        <is>
          <t>Giorno</t>
        </is>
      </c>
      <c r="G1303" s="135" t="inlineStr">
        <is>
          <t>Data</t>
        </is>
      </c>
      <c r="H1303" s="135" t="inlineStr">
        <is>
          <t>Ora</t>
        </is>
      </c>
      <c r="I1303" s="10" t="n"/>
      <c r="J1303" s="135" t="inlineStr">
        <is>
          <t>Risultato</t>
        </is>
      </c>
      <c r="K1303" s="9" t="n"/>
      <c r="L1303" s="10" t="n"/>
      <c r="M1303" s="218" t="inlineStr">
        <is>
          <t>1o Arbitro</t>
        </is>
      </c>
      <c r="N1303" s="218" t="inlineStr">
        <is>
          <t>2o Arbitro</t>
        </is>
      </c>
      <c r="O1303" s="218" t="inlineStr">
        <is>
          <t>3o Arbitro/Tirocinante</t>
        </is>
      </c>
      <c r="P1303" s="218" t="inlineStr">
        <is>
          <t>Referto</t>
        </is>
      </c>
      <c r="Q1303" s="218" t="inlineStr">
        <is>
          <t>Cronometro</t>
        </is>
      </c>
      <c r="R1303" s="218" t="inlineStr">
        <is>
          <t>Foglio Tiri</t>
        </is>
      </c>
    </row>
    <row r="1304" ht="22" customHeight="1">
      <c r="A1304" s="137">
        <f>IF('Playoff'!A24="","",'Playoff'!A24)</f>
        <v/>
      </c>
      <c r="B1304" s="61">
        <f>IF('Playoff'!B24="","",'Playoff'!B24)</f>
        <v/>
      </c>
      <c r="C1304" s="62">
        <f>IF('Playoff'!C24="","",'Playoff'!C24)</f>
        <v/>
      </c>
      <c r="D1304" s="61">
        <f>IF('Playoff'!D24="","",'Playoff'!D24)</f>
        <v/>
      </c>
      <c r="E1304" s="62">
        <f>IF('Playoff'!E24="","",'Playoff'!E24)</f>
        <v/>
      </c>
      <c r="F1304" s="63">
        <f>IF('Playoff'!F24="","",'Playoff'!F24)</f>
        <v/>
      </c>
      <c r="G1304" s="9" t="n"/>
      <c r="H1304" s="9" t="n"/>
      <c r="I1304" s="10" t="n"/>
      <c r="J1304" s="195">
        <f>IF('Playoff'!J24="","",'Playoff'!J24)</f>
        <v/>
      </c>
      <c r="K1304" s="64" t="inlineStr">
        <is>
          <t>-</t>
        </is>
      </c>
      <c r="L1304" s="195">
        <f>IF('Playoff'!L24="","",'Playoff'!L24)</f>
        <v/>
      </c>
      <c r="M1304" s="196" t="inlineStr">
        <is>
          <t>HOFFMANN Gaelle [AA]</t>
        </is>
      </c>
      <c r="N1304" s="196" t="inlineStr">
        <is>
          <t>KRUGER Sofia [A]</t>
        </is>
      </c>
      <c r="O1304" s="196" t="inlineStr">
        <is>
          <t>HOFFMANN Mathilde [AAt]</t>
        </is>
      </c>
      <c r="P1304" s="196" t="inlineStr">
        <is>
          <t>FOURNIER Lucia</t>
        </is>
      </c>
      <c r="Q1304" s="196" t="inlineStr">
        <is>
          <t>HOFFMANN Matteo</t>
        </is>
      </c>
      <c r="R1304" s="196" t="inlineStr">
        <is>
          <t>PRADO Marco</t>
        </is>
      </c>
    </row>
    <row r="1305" ht="15" customHeight="1">
      <c r="A1305" s="141" t="n"/>
      <c r="B1305" s="69">
        <f>IF('Playoff'!B25="","",'Playoff'!B25)</f>
        <v/>
      </c>
      <c r="C1305" s="9" t="n"/>
      <c r="D1305" s="9" t="n"/>
      <c r="E1305" s="9" t="n"/>
      <c r="F1305" s="9" t="n"/>
      <c r="G1305" s="9" t="n"/>
      <c r="H1305" s="10" t="n"/>
      <c r="I1305" s="62">
        <f>IF('Playoff'!I25="","",'Playoff'!I25)</f>
        <v/>
      </c>
      <c r="J1305" s="141" t="n"/>
      <c r="K1305" s="141" t="n"/>
      <c r="L1305" s="141" t="n"/>
      <c r="M1305" s="141" t="n"/>
      <c r="N1305" s="141" t="n"/>
      <c r="O1305" s="141" t="n"/>
      <c r="P1305" s="141" t="n"/>
      <c r="Q1305" s="141" t="n"/>
      <c r="R1305" s="141" t="n"/>
    </row>
    <row r="1306" ht="14" customHeight="1">
      <c r="A1306" s="135" t="inlineStr">
        <is>
          <t>Gara N.</t>
        </is>
      </c>
      <c r="B1306" s="135" t="inlineStr">
        <is>
          <t>Squadra A</t>
        </is>
      </c>
      <c r="C1306" s="10" t="n"/>
      <c r="D1306" s="135" t="inlineStr">
        <is>
          <t>Squadra B</t>
        </is>
      </c>
      <c r="E1306" s="10" t="n"/>
      <c r="F1306" s="135" t="inlineStr">
        <is>
          <t>Giorno</t>
        </is>
      </c>
      <c r="G1306" s="135" t="inlineStr">
        <is>
          <t>Data</t>
        </is>
      </c>
      <c r="H1306" s="135" t="inlineStr">
        <is>
          <t>Ora</t>
        </is>
      </c>
      <c r="I1306" s="10" t="n"/>
      <c r="J1306" s="135" t="inlineStr">
        <is>
          <t>Risultato</t>
        </is>
      </c>
      <c r="K1306" s="9" t="n"/>
      <c r="L1306" s="10" t="n"/>
      <c r="M1306" s="218" t="inlineStr">
        <is>
          <t>1o Arbitro</t>
        </is>
      </c>
      <c r="N1306" s="218" t="inlineStr">
        <is>
          <t>2o Arbitro</t>
        </is>
      </c>
      <c r="O1306" s="218" t="inlineStr">
        <is>
          <t>3o Arbitro/Tirocinante</t>
        </is>
      </c>
      <c r="P1306" s="218" t="inlineStr">
        <is>
          <t>Referto</t>
        </is>
      </c>
      <c r="Q1306" s="218" t="inlineStr">
        <is>
          <t>Cronometro</t>
        </is>
      </c>
      <c r="R1306" s="218" t="inlineStr">
        <is>
          <t>Foglio Tiri</t>
        </is>
      </c>
    </row>
    <row r="1307" ht="22" customHeight="1">
      <c r="A1307" s="137">
        <f>IF('Playoff'!A27="","",'Playoff'!A27)</f>
        <v/>
      </c>
      <c r="B1307" s="61">
        <f>IF('Playoff'!B27="","",'Playoff'!B27)</f>
        <v/>
      </c>
      <c r="C1307" s="62">
        <f>IF('Playoff'!C27="","",'Playoff'!C27)</f>
        <v/>
      </c>
      <c r="D1307" s="61">
        <f>IF('Playoff'!D27="","",'Playoff'!D27)</f>
        <v/>
      </c>
      <c r="E1307" s="62">
        <f>IF('Playoff'!E27="","",'Playoff'!E27)</f>
        <v/>
      </c>
      <c r="F1307" s="63">
        <f>IF('Playoff'!F27="","",'Playoff'!F27)</f>
        <v/>
      </c>
      <c r="G1307" s="9" t="n"/>
      <c r="H1307" s="9" t="n"/>
      <c r="I1307" s="10" t="n"/>
      <c r="J1307" s="195">
        <f>IF('Playoff'!J27="","",'Playoff'!J27)</f>
        <v/>
      </c>
      <c r="K1307" s="64" t="inlineStr">
        <is>
          <t>-</t>
        </is>
      </c>
      <c r="L1307" s="195">
        <f>IF('Playoff'!L27="","",'Playoff'!L27)</f>
        <v/>
      </c>
      <c r="M1307" s="196" t="inlineStr">
        <is>
          <t>LEFEVRE Pablo [AA]</t>
        </is>
      </c>
      <c r="N1307" s="196" t="inlineStr">
        <is>
          <t>KELLER Marta [AAt]</t>
        </is>
      </c>
      <c r="O1307" s="196" t="inlineStr">
        <is>
          <t>SANTORI Chiara [A]</t>
        </is>
      </c>
      <c r="P1307" s="196" t="inlineStr">
        <is>
          <t>BLANCO Chiara</t>
        </is>
      </c>
      <c r="Q1307" s="196" t="inlineStr">
        <is>
          <t>ZUPAN Lucia</t>
        </is>
      </c>
      <c r="R1307" s="196" t="inlineStr">
        <is>
          <t>ORTEGA Alenka</t>
        </is>
      </c>
    </row>
    <row r="1308" ht="15" customHeight="1">
      <c r="A1308" s="141" t="n"/>
      <c r="B1308" s="69">
        <f>IF('Playoff'!B28="","",'Playoff'!B28)</f>
        <v/>
      </c>
      <c r="C1308" s="9" t="n"/>
      <c r="D1308" s="9" t="n"/>
      <c r="E1308" s="9" t="n"/>
      <c r="F1308" s="9" t="n"/>
      <c r="G1308" s="9" t="n"/>
      <c r="H1308" s="10" t="n"/>
      <c r="I1308" s="62">
        <f>IF('Playoff'!I28="","",'Playoff'!I28)</f>
        <v/>
      </c>
      <c r="J1308" s="141" t="n"/>
      <c r="K1308" s="141" t="n"/>
      <c r="L1308" s="141" t="n"/>
      <c r="M1308" s="141" t="n"/>
      <c r="N1308" s="141" t="n"/>
      <c r="O1308" s="141" t="n"/>
      <c r="P1308" s="141" t="n"/>
      <c r="Q1308" s="141" t="n"/>
      <c r="R1308" s="141" t="n"/>
    </row>
    <row r="1310" ht="20" customHeight="1">
      <c r="A1310" s="216">
        <f>IF('Playoff'!A30="","",'Playoff'!A30)</f>
        <v/>
      </c>
      <c r="B1310" s="133">
        <f>IF('Playoff'!B30="","",'Playoff'!B30)</f>
        <v/>
      </c>
      <c r="C1310" s="9" t="n"/>
      <c r="D1310" s="9" t="n"/>
      <c r="E1310" s="9" t="n"/>
      <c r="F1310" s="9" t="n"/>
      <c r="G1310" s="9" t="n"/>
      <c r="H1310" s="9" t="n"/>
      <c r="I1310" s="9" t="n"/>
      <c r="J1310" s="9" t="n"/>
      <c r="K1310" s="9" t="n"/>
      <c r="L1310" s="10" t="n"/>
      <c r="M1310" s="217" t="inlineStr">
        <is>
          <t>ARBITRI</t>
        </is>
      </c>
      <c r="N1310" s="9" t="n"/>
      <c r="O1310" s="10" t="n"/>
      <c r="P1310" s="217" t="inlineStr">
        <is>
          <t>UFFICIALI DI CAMPO</t>
        </is>
      </c>
      <c r="Q1310" s="9" t="n"/>
      <c r="R1310" s="10" t="n"/>
    </row>
    <row r="1311" ht="14" customHeight="1">
      <c r="A1311" s="135" t="inlineStr">
        <is>
          <t>Gara N.</t>
        </is>
      </c>
      <c r="B1311" s="135" t="inlineStr">
        <is>
          <t>Squadra A</t>
        </is>
      </c>
      <c r="C1311" s="10" t="n"/>
      <c r="D1311" s="135" t="inlineStr">
        <is>
          <t>Squadra B</t>
        </is>
      </c>
      <c r="E1311" s="10" t="n"/>
      <c r="F1311" s="135" t="inlineStr">
        <is>
          <t>Giorno</t>
        </is>
      </c>
      <c r="G1311" s="135" t="inlineStr">
        <is>
          <t>Data</t>
        </is>
      </c>
      <c r="H1311" s="135" t="inlineStr">
        <is>
          <t>Ora</t>
        </is>
      </c>
      <c r="I1311" s="10" t="n"/>
      <c r="J1311" s="135" t="inlineStr">
        <is>
          <t>Risultato</t>
        </is>
      </c>
      <c r="K1311" s="9" t="n"/>
      <c r="L1311" s="10" t="n"/>
      <c r="M1311" s="218" t="inlineStr">
        <is>
          <t>1o Arbitro</t>
        </is>
      </c>
      <c r="N1311" s="218" t="inlineStr">
        <is>
          <t>2o Arbitro</t>
        </is>
      </c>
      <c r="O1311" s="218" t="inlineStr">
        <is>
          <t>3o Arbitro/Tirocinante</t>
        </is>
      </c>
      <c r="P1311" s="218" t="inlineStr">
        <is>
          <t>Referto</t>
        </is>
      </c>
      <c r="Q1311" s="218" t="inlineStr">
        <is>
          <t>Cronometro</t>
        </is>
      </c>
      <c r="R1311" s="218" t="inlineStr">
        <is>
          <t>Foglio Tiri</t>
        </is>
      </c>
    </row>
    <row r="1312" ht="22" customHeight="1">
      <c r="A1312" s="137">
        <f>IF('Playoff'!A32="","",'Playoff'!A32)</f>
        <v/>
      </c>
      <c r="B1312" s="61">
        <f>IF('Playoff'!B32="","",'Playoff'!B32)</f>
        <v/>
      </c>
      <c r="C1312" s="62">
        <f>IF('Playoff'!C32="","",'Playoff'!C32)</f>
        <v/>
      </c>
      <c r="D1312" s="61">
        <f>IF('Playoff'!D32="","",'Playoff'!D32)</f>
        <v/>
      </c>
      <c r="E1312" s="62">
        <f>IF('Playoff'!E32="","",'Playoff'!E32)</f>
        <v/>
      </c>
      <c r="F1312" s="63">
        <f>IF('Playoff'!F32="","",'Playoff'!F32)</f>
        <v/>
      </c>
      <c r="G1312" s="9" t="n"/>
      <c r="H1312" s="9" t="n"/>
      <c r="I1312" s="10" t="n"/>
      <c r="J1312" s="195">
        <f>IF('Playoff'!J32="","",'Playoff'!J32)</f>
        <v/>
      </c>
      <c r="K1312" s="64" t="inlineStr">
        <is>
          <t>-</t>
        </is>
      </c>
      <c r="L1312" s="195">
        <f>IF('Playoff'!L32="","",'Playoff'!L32)</f>
        <v/>
      </c>
      <c r="M1312" s="196" t="inlineStr">
        <is>
          <t>NAVARRO Katrin [A]</t>
        </is>
      </c>
      <c r="N1312" s="196" t="inlineStr">
        <is>
          <t>CONTARDI Lucia [AA]</t>
        </is>
      </c>
      <c r="O1312" s="196" t="inlineStr">
        <is>
          <t>MODIC Valerie [A]</t>
        </is>
      </c>
      <c r="P1312" s="196" t="inlineStr">
        <is>
          <t>LEFEVRE Ilaria</t>
        </is>
      </c>
      <c r="Q1312" s="196" t="inlineStr">
        <is>
          <t>VIDMAR Matteo</t>
        </is>
      </c>
      <c r="R1312" s="196" t="inlineStr">
        <is>
          <t>SANTORI Miha</t>
        </is>
      </c>
    </row>
    <row r="1313" ht="15" customHeight="1">
      <c r="A1313" s="141" t="n"/>
      <c r="B1313" s="69">
        <f>IF('Playoff'!B33="","",'Playoff'!B33)</f>
        <v/>
      </c>
      <c r="C1313" s="9" t="n"/>
      <c r="D1313" s="9" t="n"/>
      <c r="E1313" s="9" t="n"/>
      <c r="F1313" s="9" t="n"/>
      <c r="G1313" s="9" t="n"/>
      <c r="H1313" s="10" t="n"/>
      <c r="I1313" s="62">
        <f>IF('Playoff'!I33="","",'Playoff'!I33)</f>
        <v/>
      </c>
      <c r="J1313" s="141" t="n"/>
      <c r="K1313" s="141" t="n"/>
      <c r="L1313" s="141" t="n"/>
      <c r="M1313" s="141" t="n"/>
      <c r="N1313" s="141" t="n"/>
      <c r="O1313" s="141" t="n"/>
      <c r="P1313" s="141" t="n"/>
      <c r="Q1313" s="141" t="n"/>
      <c r="R1313" s="141" t="n"/>
    </row>
    <row r="1314" ht="14" customHeight="1">
      <c r="A1314" s="135" t="inlineStr">
        <is>
          <t>Gara N.</t>
        </is>
      </c>
      <c r="B1314" s="135" t="inlineStr">
        <is>
          <t>Squadra A</t>
        </is>
      </c>
      <c r="C1314" s="10" t="n"/>
      <c r="D1314" s="135" t="inlineStr">
        <is>
          <t>Squadra B</t>
        </is>
      </c>
      <c r="E1314" s="10" t="n"/>
      <c r="F1314" s="135" t="inlineStr">
        <is>
          <t>Giorno</t>
        </is>
      </c>
      <c r="G1314" s="135" t="inlineStr">
        <is>
          <t>Data</t>
        </is>
      </c>
      <c r="H1314" s="135" t="inlineStr">
        <is>
          <t>Ora</t>
        </is>
      </c>
      <c r="I1314" s="10" t="n"/>
      <c r="J1314" s="135" t="inlineStr">
        <is>
          <t>Risultato</t>
        </is>
      </c>
      <c r="K1314" s="9" t="n"/>
      <c r="L1314" s="10" t="n"/>
      <c r="M1314" s="218" t="inlineStr">
        <is>
          <t>1o Arbitro</t>
        </is>
      </c>
      <c r="N1314" s="218" t="inlineStr">
        <is>
          <t>2o Arbitro</t>
        </is>
      </c>
      <c r="O1314" s="218" t="inlineStr">
        <is>
          <t>3o Arbitro/Tirocinante</t>
        </is>
      </c>
      <c r="P1314" s="218" t="inlineStr">
        <is>
          <t>Referto</t>
        </is>
      </c>
      <c r="Q1314" s="218" t="inlineStr">
        <is>
          <t>Cronometro</t>
        </is>
      </c>
      <c r="R1314" s="218" t="inlineStr">
        <is>
          <t>Foglio Tiri</t>
        </is>
      </c>
    </row>
    <row r="1315" ht="22" customHeight="1">
      <c r="A1315" s="137">
        <f>IF('Playoff'!A35="","",'Playoff'!A35)</f>
        <v/>
      </c>
      <c r="B1315" s="61">
        <f>IF('Playoff'!B35="","",'Playoff'!B35)</f>
        <v/>
      </c>
      <c r="C1315" s="62">
        <f>IF('Playoff'!C35="","",'Playoff'!C35)</f>
        <v/>
      </c>
      <c r="D1315" s="61">
        <f>IF('Playoff'!D35="","",'Playoff'!D35)</f>
        <v/>
      </c>
      <c r="E1315" s="62">
        <f>IF('Playoff'!E35="","",'Playoff'!E35)</f>
        <v/>
      </c>
      <c r="F1315" s="63">
        <f>IF('Playoff'!F35="","",'Playoff'!F35)</f>
        <v/>
      </c>
      <c r="G1315" s="9" t="n"/>
      <c r="H1315" s="9" t="n"/>
      <c r="I1315" s="10" t="n"/>
      <c r="J1315" s="195">
        <f>IF('Playoff'!J35="","",'Playoff'!J35)</f>
        <v/>
      </c>
      <c r="K1315" s="64" t="inlineStr">
        <is>
          <t>-</t>
        </is>
      </c>
      <c r="L1315" s="195">
        <f>IF('Playoff'!L35="","",'Playoff'!L35)</f>
        <v/>
      </c>
      <c r="M1315" s="196" t="inlineStr">
        <is>
          <t>KELLER Marco [Aest]</t>
        </is>
      </c>
      <c r="N1315" s="196" t="inlineStr">
        <is>
          <t>BELLANDI Paula [A]</t>
        </is>
      </c>
      <c r="O1315" s="196" t="inlineStr">
        <is>
          <t>GALLINI Elena [AAt]</t>
        </is>
      </c>
      <c r="P1315" s="196" t="inlineStr">
        <is>
          <t>NOVAK Lukas</t>
        </is>
      </c>
      <c r="Q1315" s="196" t="inlineStr">
        <is>
          <t>VALLET Miha</t>
        </is>
      </c>
      <c r="R1315" s="196" t="inlineStr">
        <is>
          <t>ENGEL Lucia</t>
        </is>
      </c>
    </row>
    <row r="1316" ht="15" customHeight="1">
      <c r="A1316" s="141" t="n"/>
      <c r="B1316" s="69">
        <f>IF('Playoff'!B36="","",'Playoff'!B36)</f>
        <v/>
      </c>
      <c r="C1316" s="9" t="n"/>
      <c r="D1316" s="9" t="n"/>
      <c r="E1316" s="9" t="n"/>
      <c r="F1316" s="9" t="n"/>
      <c r="G1316" s="9" t="n"/>
      <c r="H1316" s="10" t="n"/>
      <c r="I1316" s="62">
        <f>IF('Playoff'!I36="","",'Playoff'!I36)</f>
        <v/>
      </c>
      <c r="J1316" s="141" t="n"/>
      <c r="K1316" s="141" t="n"/>
      <c r="L1316" s="141" t="n"/>
      <c r="M1316" s="141" t="n"/>
      <c r="N1316" s="141" t="n"/>
      <c r="O1316" s="141" t="n"/>
      <c r="P1316" s="141" t="n"/>
      <c r="Q1316" s="141" t="n"/>
      <c r="R1316" s="141" t="n"/>
    </row>
    <row r="1319">
      <c r="A1319" s="51" t="inlineStr">
        <is>
          <t>Designazioni da compilare. Elenchi a discesa dai fogli 'Arbitri' e 'UdC'.</t>
        </is>
      </c>
    </row>
    <row r="1320">
      <c r="A1320" s="51" t="inlineStr">
        <is>
          <t>Formattazione condizionale attiva su tutte le 388 gare predisposte: evidenzia in rosa la stessa persona designata due volte nella stessa gara.</t>
        </is>
      </c>
    </row>
  </sheetData>
  <mergeCells count="6335">
    <mergeCell ref="B1158:H1158"/>
    <mergeCell ref="P749:P750"/>
    <mergeCell ref="M924:M925"/>
    <mergeCell ref="M467:M468"/>
    <mergeCell ref="M461:M462"/>
    <mergeCell ref="M581:M582"/>
    <mergeCell ref="H993:I993"/>
    <mergeCell ref="B248:C248"/>
    <mergeCell ref="P1049:P1050"/>
    <mergeCell ref="H530:I530"/>
    <mergeCell ref="K848:K849"/>
    <mergeCell ref="L211:L212"/>
    <mergeCell ref="K543:K544"/>
    <mergeCell ref="K1148:K1149"/>
    <mergeCell ref="A432:A433"/>
    <mergeCell ref="B574:C574"/>
    <mergeCell ref="J815:L815"/>
    <mergeCell ref="L511:L512"/>
    <mergeCell ref="B887:H887"/>
    <mergeCell ref="H888:I888"/>
    <mergeCell ref="M1066:M1067"/>
    <mergeCell ref="J784:J785"/>
    <mergeCell ref="H1188:I1188"/>
    <mergeCell ref="R1037:R1038"/>
    <mergeCell ref="O1212:O1213"/>
    <mergeCell ref="B1114:H1114"/>
    <mergeCell ref="M1293:M1294"/>
    <mergeCell ref="B716:C716"/>
    <mergeCell ref="J984:L984"/>
    <mergeCell ref="M531:M532"/>
    <mergeCell ref="H943:I943"/>
    <mergeCell ref="A1200:A1201"/>
    <mergeCell ref="K48:K49"/>
    <mergeCell ref="M1136:M1137"/>
    <mergeCell ref="L255:L256"/>
    <mergeCell ref="A901:A902"/>
    <mergeCell ref="A569:A570"/>
    <mergeCell ref="H1243:I1243"/>
    <mergeCell ref="Q57:Q58"/>
    <mergeCell ref="O749:O750"/>
    <mergeCell ref="L467:L468"/>
    <mergeCell ref="D536:E536"/>
    <mergeCell ref="L598:L599"/>
    <mergeCell ref="D79:E79"/>
    <mergeCell ref="Q357:Q358"/>
    <mergeCell ref="A496:A497"/>
    <mergeCell ref="L581:L582"/>
    <mergeCell ref="J879:L879"/>
    <mergeCell ref="O1049:O1050"/>
    <mergeCell ref="R781:R782"/>
    <mergeCell ref="L767:L768"/>
    <mergeCell ref="D836:E836"/>
    <mergeCell ref="D379:E379"/>
    <mergeCell ref="A796:A797"/>
    <mergeCell ref="R476:R477"/>
    <mergeCell ref="J1179:L1179"/>
    <mergeCell ref="J848:J849"/>
    <mergeCell ref="B460:C460"/>
    <mergeCell ref="J1148:J1149"/>
    <mergeCell ref="B760:C760"/>
    <mergeCell ref="R1107:R1108"/>
    <mergeCell ref="R1145:R1146"/>
    <mergeCell ref="M1064:O1064"/>
    <mergeCell ref="Q831:Q832"/>
    <mergeCell ref="N69:N70"/>
    <mergeCell ref="B244:H244"/>
    <mergeCell ref="N674:N675"/>
    <mergeCell ref="J1048:L1048"/>
    <mergeCell ref="L909:L910"/>
    <mergeCell ref="F650:I650"/>
    <mergeCell ref="B550:H550"/>
    <mergeCell ref="B544:H544"/>
    <mergeCell ref="B87:H87"/>
    <mergeCell ref="N700:N701"/>
    <mergeCell ref="F333:I333"/>
    <mergeCell ref="J1290:J1291"/>
    <mergeCell ref="L662:L663"/>
    <mergeCell ref="Q421:Q422"/>
    <mergeCell ref="L1136:L1137"/>
    <mergeCell ref="O1119:O1120"/>
    <mergeCell ref="D748:E748"/>
    <mergeCell ref="L962:L963"/>
    <mergeCell ref="D443:E443"/>
    <mergeCell ref="J1249:L1249"/>
    <mergeCell ref="P57:P58"/>
    <mergeCell ref="K229:K230"/>
    <mergeCell ref="M264:O264"/>
    <mergeCell ref="K1017:K1018"/>
    <mergeCell ref="B260:C260"/>
    <mergeCell ref="K598:K599"/>
    <mergeCell ref="P357:P358"/>
    <mergeCell ref="K554:K555"/>
    <mergeCell ref="N1055:N1056"/>
    <mergeCell ref="Q781:Q782"/>
    <mergeCell ref="K1186:K1187"/>
    <mergeCell ref="Q1212:Q1213"/>
    <mergeCell ref="H181:I181"/>
    <mergeCell ref="J953:J954"/>
    <mergeCell ref="B1224:L1224"/>
    <mergeCell ref="R118:R119"/>
    <mergeCell ref="B614:H614"/>
    <mergeCell ref="N650:N651"/>
    <mergeCell ref="J490:J491"/>
    <mergeCell ref="B800:H800"/>
    <mergeCell ref="M374:M375"/>
    <mergeCell ref="N950:N951"/>
    <mergeCell ref="B402:C402"/>
    <mergeCell ref="P499:P500"/>
    <mergeCell ref="M674:M675"/>
    <mergeCell ref="M217:M218"/>
    <mergeCell ref="M700:M701"/>
    <mergeCell ref="H655:I655"/>
    <mergeCell ref="J418:J419"/>
    <mergeCell ref="H649:I649"/>
    <mergeCell ref="B24:C24"/>
    <mergeCell ref="B337:H337"/>
    <mergeCell ref="M328:O328"/>
    <mergeCell ref="H955:I955"/>
    <mergeCell ref="B942:H942"/>
    <mergeCell ref="A182:A183"/>
    <mergeCell ref="B324:C324"/>
    <mergeCell ref="J565:L565"/>
    <mergeCell ref="J260:L260"/>
    <mergeCell ref="J591:L591"/>
    <mergeCell ref="R950:R951"/>
    <mergeCell ref="D548:E548"/>
    <mergeCell ref="R188:R189"/>
    <mergeCell ref="O336:O337"/>
    <mergeCell ref="J1017:J1018"/>
    <mergeCell ref="J560:J561"/>
    <mergeCell ref="R1250:R1251"/>
    <mergeCell ref="O31:O32"/>
    <mergeCell ref="J434:L434"/>
    <mergeCell ref="B815:C815"/>
    <mergeCell ref="B995:H995"/>
    <mergeCell ref="H1097:I1097"/>
    <mergeCell ref="B472:C472"/>
    <mergeCell ref="B466:C466"/>
    <mergeCell ref="J734:L734"/>
    <mergeCell ref="N86:N87"/>
    <mergeCell ref="A19:A20"/>
    <mergeCell ref="A956:A957"/>
    <mergeCell ref="P1212:P1213"/>
    <mergeCell ref="H367:I367"/>
    <mergeCell ref="H667:I667"/>
    <mergeCell ref="L48:L49"/>
    <mergeCell ref="J946:L946"/>
    <mergeCell ref="O962:O963"/>
    <mergeCell ref="O505:O506"/>
    <mergeCell ref="O499:O500"/>
    <mergeCell ref="L217:L218"/>
    <mergeCell ref="H1150:I1150"/>
    <mergeCell ref="L348:L349"/>
    <mergeCell ref="O805:O806"/>
    <mergeCell ref="Q482:Q483"/>
    <mergeCell ref="Q19:Q20"/>
    <mergeCell ref="D917:E917"/>
    <mergeCell ref="K98:K99"/>
    <mergeCell ref="D460:E460"/>
    <mergeCell ref="M1186:M1187"/>
    <mergeCell ref="D612:E612"/>
    <mergeCell ref="R1200:R1201"/>
    <mergeCell ref="D1217:E1217"/>
    <mergeCell ref="A1221:A1222"/>
    <mergeCell ref="A1304:A1305"/>
    <mergeCell ref="J1103:L1103"/>
    <mergeCell ref="N1066:N1067"/>
    <mergeCell ref="P69:P70"/>
    <mergeCell ref="R1315:R1316"/>
    <mergeCell ref="B1185:C1185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450:N451"/>
    <mergeCell ref="Q793:Q794"/>
    <mergeCell ref="B212:H212"/>
    <mergeCell ref="A575:A576"/>
    <mergeCell ref="B206:H206"/>
    <mergeCell ref="L717:L718"/>
    <mergeCell ref="O1218:O1219"/>
    <mergeCell ref="M86:M87"/>
    <mergeCell ref="O1174:O1175"/>
    <mergeCell ref="L418:L419"/>
    <mergeCell ref="O869:O870"/>
    <mergeCell ref="F758:I758"/>
    <mergeCell ref="Q546:Q547"/>
    <mergeCell ref="M386:M387"/>
    <mergeCell ref="F453:I453"/>
    <mergeCell ref="K467:K468"/>
    <mergeCell ref="N810:N811"/>
    <mergeCell ref="F1058:I1058"/>
    <mergeCell ref="Q330:Q331"/>
    <mergeCell ref="N505:N506"/>
    <mergeCell ref="K653:K654"/>
    <mergeCell ref="K767:K768"/>
    <mergeCell ref="N173:N174"/>
    <mergeCell ref="K354:K355"/>
    <mergeCell ref="N1110:N1111"/>
    <mergeCell ref="K348:K349"/>
    <mergeCell ref="D1167:E1167"/>
    <mergeCell ref="D868:E868"/>
    <mergeCell ref="N805:N806"/>
    <mergeCell ref="P482:P483"/>
    <mergeCell ref="R31:R32"/>
    <mergeCell ref="H236:I236"/>
    <mergeCell ref="B1249:C1249"/>
    <mergeCell ref="K979:K980"/>
    <mergeCell ref="J98:J99"/>
    <mergeCell ref="L1186:L1187"/>
    <mergeCell ref="F927:I927"/>
    <mergeCell ref="N863:N864"/>
    <mergeCell ref="J703:J704"/>
    <mergeCell ref="A944:A945"/>
    <mergeCell ref="N706:N707"/>
    <mergeCell ref="P255:P256"/>
    <mergeCell ref="D1010:E1010"/>
    <mergeCell ref="B707:H707"/>
    <mergeCell ref="H105:I105"/>
    <mergeCell ref="M336:M337"/>
    <mergeCell ref="P1229:P1230"/>
    <mergeCell ref="M450:M451"/>
    <mergeCell ref="P924:P925"/>
    <mergeCell ref="H405:I405"/>
    <mergeCell ref="H536:I536"/>
    <mergeCell ref="J293:J294"/>
    <mergeCell ref="N1005:N1006"/>
    <mergeCell ref="K723:K724"/>
    <mergeCell ref="H705:I705"/>
    <mergeCell ref="P552:R552"/>
    <mergeCell ref="H836:I836"/>
    <mergeCell ref="N1174:N1175"/>
    <mergeCell ref="K418:K419"/>
    <mergeCell ref="K1023:K1024"/>
    <mergeCell ref="J41:L41"/>
    <mergeCell ref="B1067:H1067"/>
    <mergeCell ref="J804:L804"/>
    <mergeCell ref="B718:H718"/>
    <mergeCell ref="J341:L341"/>
    <mergeCell ref="A607:A608"/>
    <mergeCell ref="B1062:H1062"/>
    <mergeCell ref="J773:J774"/>
    <mergeCell ref="J767:J768"/>
    <mergeCell ref="M1241:M1242"/>
    <mergeCell ref="B565:C565"/>
    <mergeCell ref="P205:P206"/>
    <mergeCell ref="H847:I847"/>
    <mergeCell ref="J610:J611"/>
    <mergeCell ref="O569:O570"/>
    <mergeCell ref="R912:R913"/>
    <mergeCell ref="M520:O520"/>
    <mergeCell ref="B591:C591"/>
    <mergeCell ref="R1212:R1213"/>
    <mergeCell ref="J396:L396"/>
    <mergeCell ref="B1196:C1196"/>
    <mergeCell ref="P1293:P1294"/>
    <mergeCell ref="A749:A750"/>
    <mergeCell ref="J1001:L1001"/>
    <mergeCell ref="B891:C891"/>
    <mergeCell ref="P988:P989"/>
    <mergeCell ref="A444:A445"/>
    <mergeCell ref="J696:L696"/>
    <mergeCell ref="M837:M838"/>
    <mergeCell ref="O255:O256"/>
    <mergeCell ref="H1205:I1205"/>
    <mergeCell ref="H900:I900"/>
    <mergeCell ref="L886:L887"/>
    <mergeCell ref="D367:E367"/>
    <mergeCell ref="O1229:O1230"/>
    <mergeCell ref="L429:L430"/>
    <mergeCell ref="J754:L754"/>
    <mergeCell ref="O924:O925"/>
    <mergeCell ref="L1061:L1062"/>
    <mergeCell ref="L124:L125"/>
    <mergeCell ref="D667:E667"/>
    <mergeCell ref="A671:A672"/>
    <mergeCell ref="R351:R352"/>
    <mergeCell ref="L729:L730"/>
    <mergeCell ref="J1054:L1054"/>
    <mergeCell ref="B1033:C1033"/>
    <mergeCell ref="M848:M849"/>
    <mergeCell ref="J1023:J1024"/>
    <mergeCell ref="D222:E222"/>
    <mergeCell ref="J1154:J1155"/>
    <mergeCell ref="K365:K366"/>
    <mergeCell ref="R976:R977"/>
    <mergeCell ref="K60:K61"/>
    <mergeCell ref="M1148:M1149"/>
    <mergeCell ref="Q374:Q375"/>
    <mergeCell ref="P1064:R1064"/>
    <mergeCell ref="A25:A26"/>
    <mergeCell ref="F281:I281"/>
    <mergeCell ref="Q69:Q70"/>
    <mergeCell ref="L1203:L1204"/>
    <mergeCell ref="L784:L785"/>
    <mergeCell ref="Q674:Q675"/>
    <mergeCell ref="A813:A814"/>
    <mergeCell ref="J1065:L1065"/>
    <mergeCell ref="J1196:L1196"/>
    <mergeCell ref="B93:H93"/>
    <mergeCell ref="A508:A509"/>
    <mergeCell ref="J891:L891"/>
    <mergeCell ref="L1084:L1085"/>
    <mergeCell ref="Q586:Q587"/>
    <mergeCell ref="A1113:A1114"/>
    <mergeCell ref="B262:H262"/>
    <mergeCell ref="J1165:J1166"/>
    <mergeCell ref="P310:P311"/>
    <mergeCell ref="O1299:O1300"/>
    <mergeCell ref="N234:N235"/>
    <mergeCell ref="L837:L838"/>
    <mergeCell ref="D318:E318"/>
    <mergeCell ref="M48:M49"/>
    <mergeCell ref="N255:N256"/>
    <mergeCell ref="F1183:I1183"/>
    <mergeCell ref="B1289:C1289"/>
    <mergeCell ref="K429:K430"/>
    <mergeCell ref="B404:H404"/>
    <mergeCell ref="N598:N599"/>
    <mergeCell ref="K729:K730"/>
    <mergeCell ref="R298:R299"/>
    <mergeCell ref="L848:L849"/>
    <mergeCell ref="F1194:I1194"/>
    <mergeCell ref="B157:H157"/>
    <mergeCell ref="D1065:E1065"/>
    <mergeCell ref="R293:R294"/>
    <mergeCell ref="D760:E760"/>
    <mergeCell ref="P380:P381"/>
    <mergeCell ref="B277:C277"/>
    <mergeCell ref="P374:P375"/>
    <mergeCell ref="F1162:I1162"/>
    <mergeCell ref="K1203:K1204"/>
    <mergeCell ref="P674:P675"/>
    <mergeCell ref="P217:P218"/>
    <mergeCell ref="H286:I286"/>
    <mergeCell ref="Q1098:Q1099"/>
    <mergeCell ref="P1005:P1006"/>
    <mergeCell ref="P586:P587"/>
    <mergeCell ref="B817:H817"/>
    <mergeCell ref="A57:A58"/>
    <mergeCell ref="H498:I498"/>
    <mergeCell ref="B512:H512"/>
    <mergeCell ref="B468:H468"/>
    <mergeCell ref="B1117:H1117"/>
    <mergeCell ref="A357:A358"/>
    <mergeCell ref="M234:M235"/>
    <mergeCell ref="R368:R369"/>
    <mergeCell ref="D265:E265"/>
    <mergeCell ref="R362:R363"/>
    <mergeCell ref="F601:I601"/>
    <mergeCell ref="J766:L766"/>
    <mergeCell ref="O325:O326"/>
    <mergeCell ref="O319:O320"/>
    <mergeCell ref="M1017:M1018"/>
    <mergeCell ref="H972:I972"/>
    <mergeCell ref="J735:J736"/>
    <mergeCell ref="B347:C347"/>
    <mergeCell ref="B341:C341"/>
    <mergeCell ref="P1087:P1088"/>
    <mergeCell ref="M287:M288"/>
    <mergeCell ref="A499:A500"/>
    <mergeCell ref="A194:A195"/>
    <mergeCell ref="O380:O381"/>
    <mergeCell ref="J908:L908"/>
    <mergeCell ref="O48:O49"/>
    <mergeCell ref="L223:L224"/>
    <mergeCell ref="L179:L180"/>
    <mergeCell ref="R505:R506"/>
    <mergeCell ref="J877:J878"/>
    <mergeCell ref="O674:O675"/>
    <mergeCell ref="B489:C489"/>
    <mergeCell ref="H1167:I1167"/>
    <mergeCell ref="B1181:H1181"/>
    <mergeCell ref="A421:A422"/>
    <mergeCell ref="O1005:O1006"/>
    <mergeCell ref="M1061:M1062"/>
    <mergeCell ref="N272:N273"/>
    <mergeCell ref="K115:K116"/>
    <mergeCell ref="R1189:R1190"/>
    <mergeCell ref="O575:O576"/>
    <mergeCell ref="H1036:I1036"/>
    <mergeCell ref="L234:L235"/>
    <mergeCell ref="A880:A881"/>
    <mergeCell ref="K141:K142"/>
    <mergeCell ref="J347:L347"/>
    <mergeCell ref="A563:A564"/>
    <mergeCell ref="F406:I406"/>
    <mergeCell ref="J952:L952"/>
    <mergeCell ref="N325:N326"/>
    <mergeCell ref="Q799:Q800"/>
    <mergeCell ref="A869:A870"/>
    <mergeCell ref="Q336:Q337"/>
    <mergeCell ref="L1017:L1018"/>
    <mergeCell ref="F243:I243"/>
    <mergeCell ref="D815:E815"/>
    <mergeCell ref="D472:E472"/>
    <mergeCell ref="B55:H55"/>
    <mergeCell ref="L892:L893"/>
    <mergeCell ref="P86:P87"/>
    <mergeCell ref="R1174:R1175"/>
    <mergeCell ref="F933:I933"/>
    <mergeCell ref="Q810:Q811"/>
    <mergeCell ref="B1039:C1039"/>
    <mergeCell ref="N48:N49"/>
    <mergeCell ref="P1136:P1137"/>
    <mergeCell ref="F717:I717"/>
    <mergeCell ref="K179:K180"/>
    <mergeCell ref="Q505:Q506"/>
    <mergeCell ref="N653:N654"/>
    <mergeCell ref="N348:N349"/>
    <mergeCell ref="B529:H529"/>
    <mergeCell ref="B523:H523"/>
    <mergeCell ref="L1034:L1035"/>
    <mergeCell ref="M403:M404"/>
    <mergeCell ref="F13:I13"/>
    <mergeCell ref="F944:I944"/>
    <mergeCell ref="K1154:K1155"/>
    <mergeCell ref="O1186:O1187"/>
    <mergeCell ref="F1075:I1075"/>
    <mergeCell ref="Q863:Q864"/>
    <mergeCell ref="M703:M704"/>
    <mergeCell ref="R74:R75"/>
    <mergeCell ref="F770:I770"/>
    <mergeCell ref="F313:I313"/>
    <mergeCell ref="P130:P131"/>
    <mergeCell ref="B1192:L1192"/>
    <mergeCell ref="J1228:L1228"/>
    <mergeCell ref="D1185:E1185"/>
    <mergeCell ref="B53:C53"/>
    <mergeCell ref="R101:R102"/>
    <mergeCell ref="M325:M326"/>
    <mergeCell ref="P799:P800"/>
    <mergeCell ref="P755:P756"/>
    <mergeCell ref="P336:P337"/>
    <mergeCell ref="K1296:K1297"/>
    <mergeCell ref="H248:I248"/>
    <mergeCell ref="N1180:N1181"/>
    <mergeCell ref="F781:I781"/>
    <mergeCell ref="N723:N724"/>
    <mergeCell ref="O86:O87"/>
    <mergeCell ref="Q1174:Q1175"/>
    <mergeCell ref="N418:N419"/>
    <mergeCell ref="O691:O692"/>
    <mergeCell ref="B593:H593"/>
    <mergeCell ref="N1023:N1024"/>
    <mergeCell ref="J673:L673"/>
    <mergeCell ref="H306:I306"/>
    <mergeCell ref="R243:R244"/>
    <mergeCell ref="B893:H893"/>
    <mergeCell ref="P941:P942"/>
    <mergeCell ref="J516:L516"/>
    <mergeCell ref="M1072:M1073"/>
    <mergeCell ref="J316:J317"/>
    <mergeCell ref="M659:M660"/>
    <mergeCell ref="M653:M654"/>
    <mergeCell ref="M773:M774"/>
    <mergeCell ref="H722:I722"/>
    <mergeCell ref="J485:J486"/>
    <mergeCell ref="R901:R902"/>
    <mergeCell ref="B1071:C1071"/>
    <mergeCell ref="L77:L78"/>
    <mergeCell ref="P1168:P1169"/>
    <mergeCell ref="B766:C766"/>
    <mergeCell ref="B1035:H1035"/>
    <mergeCell ref="O130:O131"/>
    <mergeCell ref="J658:L658"/>
    <mergeCell ref="A461:A462"/>
    <mergeCell ref="H318:I318"/>
    <mergeCell ref="R255:R256"/>
    <mergeCell ref="L304:L305"/>
    <mergeCell ref="D527:E527"/>
    <mergeCell ref="O755:O756"/>
    <mergeCell ref="R1229:R1230"/>
    <mergeCell ref="B539:C539"/>
    <mergeCell ref="L604:L605"/>
    <mergeCell ref="D210:E210"/>
    <mergeCell ref="A214:A215"/>
    <mergeCell ref="J1296:J1297"/>
    <mergeCell ref="B908:C908"/>
    <mergeCell ref="M723:M724"/>
    <mergeCell ref="D516:E516"/>
    <mergeCell ref="J985:J986"/>
    <mergeCell ref="B1208:C1208"/>
    <mergeCell ref="M1023:M1024"/>
    <mergeCell ref="R1157:R1158"/>
    <mergeCell ref="F156:I156"/>
    <mergeCell ref="H1303:I1303"/>
    <mergeCell ref="R825:R826"/>
    <mergeCell ref="L1078:L1079"/>
    <mergeCell ref="L1072:L1073"/>
    <mergeCell ref="Q549:Q550"/>
    <mergeCell ref="A688:A689"/>
    <mergeCell ref="L773:L774"/>
    <mergeCell ref="J1071:L1071"/>
    <mergeCell ref="O784:O785"/>
    <mergeCell ref="J309:L309"/>
    <mergeCell ref="A988:A989"/>
    <mergeCell ref="D565:E565"/>
    <mergeCell ref="A531:A532"/>
    <mergeCell ref="B1291:H1291"/>
    <mergeCell ref="D108:E108"/>
    <mergeCell ref="J1040:J1041"/>
    <mergeCell ref="R205:R206"/>
    <mergeCell ref="F482:I482"/>
    <mergeCell ref="K77:K78"/>
    <mergeCell ref="M1165:M1166"/>
    <mergeCell ref="O842:O843"/>
    <mergeCell ref="R1299:R1300"/>
    <mergeCell ref="D1196:E1196"/>
    <mergeCell ref="R1293:R1294"/>
    <mergeCell ref="O1142:O1143"/>
    <mergeCell ref="B1252:C1252"/>
    <mergeCell ref="Q691:Q692"/>
    <mergeCell ref="O837:O838"/>
    <mergeCell ref="J1240:L1240"/>
    <mergeCell ref="Q255:Q256"/>
    <mergeCell ref="K304:K305"/>
    <mergeCell ref="A1130:A1131"/>
    <mergeCell ref="B279:H279"/>
    <mergeCell ref="B410:H410"/>
    <mergeCell ref="A825:A826"/>
    <mergeCell ref="N886:N887"/>
    <mergeCell ref="B584:L584"/>
    <mergeCell ref="N429:N430"/>
    <mergeCell ref="K604:K605"/>
    <mergeCell ref="L485:L486"/>
    <mergeCell ref="F226:I226"/>
    <mergeCell ref="R287:R288"/>
    <mergeCell ref="Q613:Q614"/>
    <mergeCell ref="D940:E940"/>
    <mergeCell ref="F63:I63"/>
    <mergeCell ref="L1154:L1155"/>
    <mergeCell ref="M365:M366"/>
    <mergeCell ref="F851:I851"/>
    <mergeCell ref="P249:P250"/>
    <mergeCell ref="F1037:I1037"/>
    <mergeCell ref="J44:L44"/>
    <mergeCell ref="F1151:I1151"/>
    <mergeCell ref="P549:P550"/>
    <mergeCell ref="K746:K747"/>
    <mergeCell ref="P92:P93"/>
    <mergeCell ref="O1206:O1207"/>
    <mergeCell ref="K1046:K1047"/>
    <mergeCell ref="H792:I792"/>
    <mergeCell ref="H786:I786"/>
    <mergeCell ref="H373:I373"/>
    <mergeCell ref="L1165:L1166"/>
    <mergeCell ref="F906:I906"/>
    <mergeCell ref="H329:I329"/>
    <mergeCell ref="B806:H806"/>
    <mergeCell ref="N842:N843"/>
    <mergeCell ref="J682:J683"/>
    <mergeCell ref="B343:H343"/>
    <mergeCell ref="B474:H474"/>
    <mergeCell ref="Q1299:Q1300"/>
    <mergeCell ref="M109:M110"/>
    <mergeCell ref="H673:I673"/>
    <mergeCell ref="F1206:I1206"/>
    <mergeCell ref="N1142:N1143"/>
    <mergeCell ref="B594:C594"/>
    <mergeCell ref="B774:H774"/>
    <mergeCell ref="P691:P692"/>
    <mergeCell ref="P234:P235"/>
    <mergeCell ref="J66:J67"/>
    <mergeCell ref="M409:M410"/>
    <mergeCell ref="R211:R212"/>
    <mergeCell ref="B216:C216"/>
    <mergeCell ref="M1034:M1035"/>
    <mergeCell ref="J278:J279"/>
    <mergeCell ref="B821:C821"/>
    <mergeCell ref="J152:L152"/>
    <mergeCell ref="B1134:H1134"/>
    <mergeCell ref="B516:C516"/>
    <mergeCell ref="J578:J579"/>
    <mergeCell ref="B59:C59"/>
    <mergeCell ref="B190:C190"/>
    <mergeCell ref="A69:A70"/>
    <mergeCell ref="L127:L128"/>
    <mergeCell ref="J452:L452"/>
    <mergeCell ref="A674:A675"/>
    <mergeCell ref="A394:A395"/>
    <mergeCell ref="O953:O954"/>
    <mergeCell ref="Q1011:Q1012"/>
    <mergeCell ref="R837:R838"/>
    <mergeCell ref="L54:L55"/>
    <mergeCell ref="A700:A701"/>
    <mergeCell ref="R380:R381"/>
    <mergeCell ref="D277:E277"/>
    <mergeCell ref="H437:I437"/>
    <mergeCell ref="R374:R375"/>
    <mergeCell ref="J752:J753"/>
    <mergeCell ref="J746:J747"/>
    <mergeCell ref="H1042:I1042"/>
    <mergeCell ref="O223:O224"/>
    <mergeCell ref="J1052:J1053"/>
    <mergeCell ref="J1046:J1047"/>
    <mergeCell ref="B664:C664"/>
    <mergeCell ref="B658:C658"/>
    <mergeCell ref="B201:C201"/>
    <mergeCell ref="D335:E335"/>
    <mergeCell ref="P1061:P1062"/>
    <mergeCell ref="D178:E178"/>
    <mergeCell ref="R275:R276"/>
    <mergeCell ref="N115:N116"/>
    <mergeCell ref="D172:E172"/>
    <mergeCell ref="R575:R576"/>
    <mergeCell ref="O234:O235"/>
    <mergeCell ref="F237:I237"/>
    <mergeCell ref="J821:L821"/>
    <mergeCell ref="H879:I879"/>
    <mergeCell ref="J1194:J1195"/>
    <mergeCell ref="A738:A739"/>
    <mergeCell ref="F537:I537"/>
    <mergeCell ref="F118:I118"/>
    <mergeCell ref="Q325:Q326"/>
    <mergeCell ref="D652:E652"/>
    <mergeCell ref="D804:E804"/>
    <mergeCell ref="D347:E347"/>
    <mergeCell ref="O592:O593"/>
    <mergeCell ref="J1147:L1147"/>
    <mergeCell ref="B648:L648"/>
    <mergeCell ref="K127:K128"/>
    <mergeCell ref="O892:O893"/>
    <mergeCell ref="H172:I172"/>
    <mergeCell ref="P261:P262"/>
    <mergeCell ref="K458:K459"/>
    <mergeCell ref="N342:N343"/>
    <mergeCell ref="B1094:H1094"/>
    <mergeCell ref="K185:K186"/>
    <mergeCell ref="N528:N529"/>
    <mergeCell ref="B160:H160"/>
    <mergeCell ref="N223:N224"/>
    <mergeCell ref="Q1116:Q1117"/>
    <mergeCell ref="N179:N180"/>
    <mergeCell ref="Q653:Q654"/>
    <mergeCell ref="N828:N829"/>
    <mergeCell ref="D489:E489"/>
    <mergeCell ref="D789:E789"/>
    <mergeCell ref="O1061:O1062"/>
    <mergeCell ref="M115:M116"/>
    <mergeCell ref="L447:L448"/>
    <mergeCell ref="F188:I188"/>
    <mergeCell ref="F1250:I1250"/>
    <mergeCell ref="L1235:L1236"/>
    <mergeCell ref="A80:A81"/>
    <mergeCell ref="B228:C228"/>
    <mergeCell ref="P325:P326"/>
    <mergeCell ref="R1125:R1126"/>
    <mergeCell ref="K1171:K1172"/>
    <mergeCell ref="J164:L164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K1312:K1313"/>
    <mergeCell ref="M648:O648"/>
    <mergeCell ref="P816:P817"/>
    <mergeCell ref="B436:H436"/>
    <mergeCell ref="M947:M948"/>
    <mergeCell ref="P1116:P1117"/>
    <mergeCell ref="J333:J334"/>
    <mergeCell ref="P653:P654"/>
    <mergeCell ref="H265:I265"/>
    <mergeCell ref="J28:J29"/>
    <mergeCell ref="M485:M486"/>
    <mergeCell ref="R444:R445"/>
    <mergeCell ref="H565:I565"/>
    <mergeCell ref="N1040:N1041"/>
    <mergeCell ref="N1034:N1035"/>
    <mergeCell ref="J233:L233"/>
    <mergeCell ref="F1315:I1315"/>
    <mergeCell ref="B728:C728"/>
    <mergeCell ref="B910:H910"/>
    <mergeCell ref="A150:A151"/>
    <mergeCell ref="J533:L533"/>
    <mergeCell ref="H492:I492"/>
    <mergeCell ref="K1235:K1236"/>
    <mergeCell ref="J228:L228"/>
    <mergeCell ref="B1028:C1028"/>
    <mergeCell ref="B1210:H1210"/>
    <mergeCell ref="A450:A451"/>
    <mergeCell ref="R130:R131"/>
    <mergeCell ref="J833:L833"/>
    <mergeCell ref="F1157:I1157"/>
    <mergeCell ref="J802:J803"/>
    <mergeCell ref="O761:O762"/>
    <mergeCell ref="J933:J934"/>
    <mergeCell ref="O304:O305"/>
    <mergeCell ref="B414:C414"/>
    <mergeCell ref="O298:O299"/>
    <mergeCell ref="L479:L480"/>
    <mergeCell ref="M712:O712"/>
    <mergeCell ref="D385:E385"/>
    <mergeCell ref="R25:R26"/>
    <mergeCell ref="B1083:C1083"/>
    <mergeCell ref="P723:P724"/>
    <mergeCell ref="M1029:M1030"/>
    <mergeCell ref="H940:I940"/>
    <mergeCell ref="H1092:I1092"/>
    <mergeCell ref="K197:K198"/>
    <mergeCell ref="J944:J945"/>
    <mergeCell ref="J1060:L1060"/>
    <mergeCell ref="L316:L317"/>
    <mergeCell ref="O659:O660"/>
    <mergeCell ref="B104:L104"/>
    <mergeCell ref="L921:L922"/>
    <mergeCell ref="F662:I662"/>
    <mergeCell ref="J1246:L1246"/>
    <mergeCell ref="A400:A401"/>
    <mergeCell ref="Q444:Q445"/>
    <mergeCell ref="D228:E228"/>
    <mergeCell ref="J897:L897"/>
    <mergeCell ref="M1040:M1041"/>
    <mergeCell ref="K557:K558"/>
    <mergeCell ref="R1168:R1169"/>
    <mergeCell ref="K252:K253"/>
    <mergeCell ref="N92:N93"/>
    <mergeCell ref="Q866:Q867"/>
    <mergeCell ref="A1005:A1006"/>
    <mergeCell ref="F368:I368"/>
    <mergeCell ref="B1295:C1295"/>
    <mergeCell ref="N304:N305"/>
    <mergeCell ref="Q778:Q779"/>
    <mergeCell ref="A848:A849"/>
    <mergeCell ref="K147:K148"/>
    <mergeCell ref="N604:N605"/>
    <mergeCell ref="L1029:L1030"/>
    <mergeCell ref="L985:L986"/>
    <mergeCell ref="J502:J503"/>
    <mergeCell ref="O1154:O1155"/>
    <mergeCell ref="J197:J198"/>
    <mergeCell ref="D478:E478"/>
    <mergeCell ref="J1311:L1311"/>
    <mergeCell ref="B596:H596"/>
    <mergeCell ref="K1226:K1227"/>
    <mergeCell ref="K316:K317"/>
    <mergeCell ref="N1209:N1210"/>
    <mergeCell ref="B291:H291"/>
    <mergeCell ref="N746:N747"/>
    <mergeCell ref="K921:K922"/>
    <mergeCell ref="H661:I661"/>
    <mergeCell ref="L1040:L1041"/>
    <mergeCell ref="Q930:Q931"/>
    <mergeCell ref="B349:H349"/>
    <mergeCell ref="Q842:Q843"/>
    <mergeCell ref="M682:M683"/>
    <mergeCell ref="F749:I749"/>
    <mergeCell ref="J1295:L1295"/>
    <mergeCell ref="P566:P567"/>
    <mergeCell ref="B192:H192"/>
    <mergeCell ref="P109:P110"/>
    <mergeCell ref="Q1142:Q1143"/>
    <mergeCell ref="K517:K518"/>
    <mergeCell ref="P866:P867"/>
    <mergeCell ref="P409:P410"/>
    <mergeCell ref="P1197:P1198"/>
    <mergeCell ref="D97:E97"/>
    <mergeCell ref="P778:P779"/>
    <mergeCell ref="R194:R195"/>
    <mergeCell ref="B861:H861"/>
    <mergeCell ref="O159:O160"/>
    <mergeCell ref="B364:C364"/>
    <mergeCell ref="H1109:I1109"/>
    <mergeCell ref="H690:I690"/>
    <mergeCell ref="B65:C65"/>
    <mergeCell ref="P162:P163"/>
    <mergeCell ref="B660:H660"/>
    <mergeCell ref="D1311:E1311"/>
    <mergeCell ref="Q435:Q436"/>
    <mergeCell ref="J383:J384"/>
    <mergeCell ref="B1308:H1308"/>
    <mergeCell ref="J958:L958"/>
    <mergeCell ref="B1003:H1003"/>
    <mergeCell ref="O511:O512"/>
    <mergeCell ref="O54:O55"/>
    <mergeCell ref="R397:R398"/>
    <mergeCell ref="L229:L230"/>
    <mergeCell ref="M1209:M1210"/>
    <mergeCell ref="M752:M753"/>
    <mergeCell ref="R223:R224"/>
    <mergeCell ref="B533:C533"/>
    <mergeCell ref="J595:J596"/>
    <mergeCell ref="R880:R881"/>
    <mergeCell ref="B833:C833"/>
    <mergeCell ref="B376:C376"/>
    <mergeCell ref="M680:O680"/>
    <mergeCell ref="B1164:C1164"/>
    <mergeCell ref="B745:C745"/>
    <mergeCell ref="J1100:L1100"/>
    <mergeCell ref="M1104:M1105"/>
    <mergeCell ref="P232:R232"/>
    <mergeCell ref="L371:L372"/>
    <mergeCell ref="H754:I754"/>
    <mergeCell ref="B747:H747"/>
    <mergeCell ref="J1069:J1070"/>
    <mergeCell ref="B129:C129"/>
    <mergeCell ref="L66:L67"/>
    <mergeCell ref="O409:O410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L697:L698"/>
    <mergeCell ref="K307:K308"/>
    <mergeCell ref="J1022:L1022"/>
    <mergeCell ref="O581:O582"/>
    <mergeCell ref="H1228:I1228"/>
    <mergeCell ref="J659:J660"/>
    <mergeCell ref="A755:A756"/>
    <mergeCell ref="N517:N518"/>
    <mergeCell ref="N54:N55"/>
    <mergeCell ref="Q947:Q948"/>
    <mergeCell ref="J376:L376"/>
    <mergeCell ref="Q528:Q529"/>
    <mergeCell ref="L752:L753"/>
    <mergeCell ref="F435:I435"/>
    <mergeCell ref="Q223:Q224"/>
    <mergeCell ref="J1164:L1164"/>
    <mergeCell ref="Q828:Q829"/>
    <mergeCell ref="D664:E664"/>
    <mergeCell ref="O909:O910"/>
    <mergeCell ref="P278:P279"/>
    <mergeCell ref="B552:L552"/>
    <mergeCell ref="O604:O605"/>
    <mergeCell ref="D964:E964"/>
    <mergeCell ref="R1061:R1062"/>
    <mergeCell ref="P578:P579"/>
    <mergeCell ref="Q1002:Q1003"/>
    <mergeCell ref="K371:K372"/>
    <mergeCell ref="N845:N846"/>
    <mergeCell ref="D1022:E1022"/>
    <mergeCell ref="D559:E559"/>
    <mergeCell ref="K677:K678"/>
    <mergeCell ref="B76:C76"/>
    <mergeCell ref="P173:P174"/>
    <mergeCell ref="D859:E859"/>
    <mergeCell ref="P473:P474"/>
    <mergeCell ref="N1171:N1172"/>
    <mergeCell ref="F810:I810"/>
    <mergeCell ref="M895:M896"/>
    <mergeCell ref="Q1055:Q1056"/>
    <mergeCell ref="Q592:Q593"/>
    <mergeCell ref="F962:I962"/>
    <mergeCell ref="F505:I505"/>
    <mergeCell ref="F499:I499"/>
    <mergeCell ref="Q898:Q899"/>
    <mergeCell ref="Q892:Q893"/>
    <mergeCell ref="F805:I805"/>
    <mergeCell ref="B311:H311"/>
    <mergeCell ref="K819:K820"/>
    <mergeCell ref="B245:C245"/>
    <mergeCell ref="P342:P343"/>
    <mergeCell ref="M490:M491"/>
    <mergeCell ref="P947:P948"/>
    <mergeCell ref="B611:H611"/>
    <mergeCell ref="P528:P529"/>
    <mergeCell ref="H140:I140"/>
    <mergeCell ref="B545:C545"/>
    <mergeCell ref="M333:M334"/>
    <mergeCell ref="P828:P829"/>
    <mergeCell ref="Q1197:Q1198"/>
    <mergeCell ref="H440:I440"/>
    <mergeCell ref="F973:I973"/>
    <mergeCell ref="N915:N916"/>
    <mergeCell ref="B785:H785"/>
    <mergeCell ref="N1215:N1216"/>
    <mergeCell ref="L83:L84"/>
    <mergeCell ref="J408:L408"/>
    <mergeCell ref="B1085:H1085"/>
    <mergeCell ref="B1216:H1216"/>
    <mergeCell ref="J708:L708"/>
    <mergeCell ref="B753:H753"/>
    <mergeCell ref="J45:J46"/>
    <mergeCell ref="M965:M966"/>
    <mergeCell ref="R330:R331"/>
    <mergeCell ref="A293:A294"/>
    <mergeCell ref="J345:J346"/>
    <mergeCell ref="F1174:I1174"/>
    <mergeCell ref="M802:M803"/>
    <mergeCell ref="R761:R762"/>
    <mergeCell ref="J1133:J1134"/>
    <mergeCell ref="O479:O480"/>
    <mergeCell ref="O473:O474"/>
    <mergeCell ref="D260:E260"/>
    <mergeCell ref="M560:M561"/>
    <mergeCell ref="P712:R712"/>
    <mergeCell ref="B914:C914"/>
    <mergeCell ref="B1227:H1227"/>
    <mergeCell ref="A467:A468"/>
    <mergeCell ref="A48:A49"/>
    <mergeCell ref="J850:L850"/>
    <mergeCell ref="M860:M861"/>
    <mergeCell ref="H809:I809"/>
    <mergeCell ref="A653:A654"/>
    <mergeCell ref="B1214:C1214"/>
    <mergeCell ref="P898:P899"/>
    <mergeCell ref="P1029:P1030"/>
    <mergeCell ref="H510:I510"/>
    <mergeCell ref="B497:H497"/>
    <mergeCell ref="J819:J820"/>
    <mergeCell ref="A37:A38"/>
    <mergeCell ref="L796:L797"/>
    <mergeCell ref="H1135:I1135"/>
    <mergeCell ref="L333:L334"/>
    <mergeCell ref="D402:E402"/>
    <mergeCell ref="O316:O317"/>
    <mergeCell ref="B1100:C1100"/>
    <mergeCell ref="L34:L35"/>
    <mergeCell ref="J772:L772"/>
    <mergeCell ref="M915:M916"/>
    <mergeCell ref="P1040:P1041"/>
    <mergeCell ref="M1215:M1216"/>
    <mergeCell ref="K83:K84"/>
    <mergeCell ref="M883:M884"/>
    <mergeCell ref="D728:E728"/>
    <mergeCell ref="K383:K384"/>
    <mergeCell ref="D1028:E1028"/>
    <mergeCell ref="L938:L939"/>
    <mergeCell ref="J501:L501"/>
    <mergeCell ref="Q1066:Q1067"/>
    <mergeCell ref="A1180:A1181"/>
    <mergeCell ref="L1238:L1239"/>
    <mergeCell ref="A723:A724"/>
    <mergeCell ref="F979:I979"/>
    <mergeCell ref="A717:A718"/>
    <mergeCell ref="Q761:Q762"/>
    <mergeCell ref="B996:C996"/>
    <mergeCell ref="D414:E414"/>
    <mergeCell ref="A418:A419"/>
    <mergeCell ref="J1220:L1220"/>
    <mergeCell ref="N479:N480"/>
    <mergeCell ref="J801:L801"/>
    <mergeCell ref="P28:P29"/>
    <mergeCell ref="N147:N148"/>
    <mergeCell ref="L860:L861"/>
    <mergeCell ref="M202:M203"/>
    <mergeCell ref="O1029:O1030"/>
    <mergeCell ref="P240:P241"/>
    <mergeCell ref="D772:E772"/>
    <mergeCell ref="B139:H139"/>
    <mergeCell ref="Q1078:Q1079"/>
    <mergeCell ref="K333:K334"/>
    <mergeCell ref="D984:E984"/>
    <mergeCell ref="R1081:R1082"/>
    <mergeCell ref="N921:N922"/>
    <mergeCell ref="J114:L114"/>
    <mergeCell ref="L1002:L1003"/>
    <mergeCell ref="R147:R148"/>
    <mergeCell ref="F255:I255"/>
    <mergeCell ref="O1040:O1041"/>
    <mergeCell ref="J214:J215"/>
    <mergeCell ref="F1043:I1043"/>
    <mergeCell ref="L883:L884"/>
    <mergeCell ref="H47:I47"/>
    <mergeCell ref="B300:C300"/>
    <mergeCell ref="B67:H67"/>
    <mergeCell ref="P397:P398"/>
    <mergeCell ref="B61:H61"/>
    <mergeCell ref="F1229:I1229"/>
    <mergeCell ref="F924:I924"/>
    <mergeCell ref="K938:K939"/>
    <mergeCell ref="P284:P285"/>
    <mergeCell ref="F613:I613"/>
    <mergeCell ref="R69:R70"/>
    <mergeCell ref="K1238:K1239"/>
    <mergeCell ref="P909:P910"/>
    <mergeCell ref="H978:I978"/>
    <mergeCell ref="H521:I521"/>
    <mergeCell ref="B666:H666"/>
    <mergeCell ref="J158:L158"/>
    <mergeCell ref="B209:H209"/>
    <mergeCell ref="H821:I821"/>
    <mergeCell ref="L202:L203"/>
    <mergeCell ref="K534:K535"/>
    <mergeCell ref="B966:H966"/>
    <mergeCell ref="B509:H509"/>
    <mergeCell ref="N1029:N1030"/>
    <mergeCell ref="K1139:K1140"/>
    <mergeCell ref="L502:L503"/>
    <mergeCell ref="K834:K835"/>
    <mergeCell ref="D114:E114"/>
    <mergeCell ref="R517:R518"/>
    <mergeCell ref="R98:R99"/>
    <mergeCell ref="J889:J890"/>
    <mergeCell ref="J883:J884"/>
    <mergeCell ref="J470:J471"/>
    <mergeCell ref="O229:O230"/>
    <mergeCell ref="M1226:M1227"/>
    <mergeCell ref="H1295:I1295"/>
    <mergeCell ref="O598:O599"/>
    <mergeCell ref="J770:J771"/>
    <mergeCell ref="Q147:Q148"/>
    <mergeCell ref="B382:C382"/>
    <mergeCell ref="P479:P480"/>
    <mergeCell ref="F60:I60"/>
    <mergeCell ref="M610:M611"/>
    <mergeCell ref="H1048:I1048"/>
    <mergeCell ref="A886:A887"/>
    <mergeCell ref="H585:I585"/>
    <mergeCell ref="R109:R110"/>
    <mergeCell ref="J812:L812"/>
    <mergeCell ref="O371:O372"/>
    <mergeCell ref="H929:I929"/>
    <mergeCell ref="M1069:M1070"/>
    <mergeCell ref="H885:I885"/>
    <mergeCell ref="O66:O67"/>
    <mergeCell ref="J781:J782"/>
    <mergeCell ref="B850:C850"/>
    <mergeCell ref="J912:J913"/>
    <mergeCell ref="B393:C393"/>
    <mergeCell ref="R1197:R1198"/>
    <mergeCell ref="B693:C693"/>
    <mergeCell ref="B72:L72"/>
    <mergeCell ref="L1304:L1305"/>
    <mergeCell ref="R467:R468"/>
    <mergeCell ref="N307:N308"/>
    <mergeCell ref="D364:E364"/>
    <mergeCell ref="J681:L681"/>
    <mergeCell ref="D484:E484"/>
    <mergeCell ref="R581:R582"/>
    <mergeCell ref="D65:E65"/>
    <mergeCell ref="R162:R163"/>
    <mergeCell ref="M1290:M1291"/>
    <mergeCell ref="P98:P99"/>
    <mergeCell ref="R767:R768"/>
    <mergeCell ref="J1139:J1140"/>
    <mergeCell ref="J834:J835"/>
    <mergeCell ref="F10:I10"/>
    <mergeCell ref="J556:L556"/>
    <mergeCell ref="B446:C446"/>
    <mergeCell ref="L383:L384"/>
    <mergeCell ref="F124:I124"/>
    <mergeCell ref="J251:L251"/>
    <mergeCell ref="N60:N61"/>
    <mergeCell ref="B1051:C1051"/>
    <mergeCell ref="F729:I729"/>
    <mergeCell ref="A604:A605"/>
    <mergeCell ref="F310:I310"/>
    <mergeCell ref="Q517:Q518"/>
    <mergeCell ref="Q98:Q99"/>
    <mergeCell ref="D207:E207"/>
    <mergeCell ref="O898:O899"/>
    <mergeCell ref="O1084:O1085"/>
    <mergeCell ref="K650:K651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L1069:L1070"/>
    <mergeCell ref="K220:K221"/>
    <mergeCell ref="B247:H247"/>
    <mergeCell ref="D734:E734"/>
    <mergeCell ref="O1226:O1227"/>
    <mergeCell ref="B547:H547"/>
    <mergeCell ref="B1115:C1115"/>
    <mergeCell ref="F837:I837"/>
    <mergeCell ref="H260:I260"/>
    <mergeCell ref="Q598:Q599"/>
    <mergeCell ref="F793:I793"/>
    <mergeCell ref="F380:I380"/>
    <mergeCell ref="O98:O99"/>
    <mergeCell ref="Q767:Q768"/>
    <mergeCell ref="F674:I674"/>
    <mergeCell ref="F1005:I1005"/>
    <mergeCell ref="P490:P491"/>
    <mergeCell ref="M665:M666"/>
    <mergeCell ref="H129:I129"/>
    <mergeCell ref="P1122:P1123"/>
    <mergeCell ref="P185:P186"/>
    <mergeCell ref="K589:K590"/>
    <mergeCell ref="Q915:Q916"/>
    <mergeCell ref="Q909:Q910"/>
    <mergeCell ref="N1084:N1085"/>
    <mergeCell ref="K284:K285"/>
    <mergeCell ref="R278:R279"/>
    <mergeCell ref="J950:J951"/>
    <mergeCell ref="B1233:H1233"/>
    <mergeCell ref="R153:R154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O22:O23"/>
    <mergeCell ref="B132:C132"/>
    <mergeCell ref="P229:P230"/>
    <mergeCell ref="N1226:N1227"/>
    <mergeCell ref="O138:O139"/>
    <mergeCell ref="B1102:H1102"/>
    <mergeCell ref="A342:A343"/>
    <mergeCell ref="B457:C457"/>
    <mergeCell ref="J725:L725"/>
    <mergeCell ref="A10:A11"/>
    <mergeCell ref="H684:I684"/>
    <mergeCell ref="J420:L420"/>
    <mergeCell ref="B757:C757"/>
    <mergeCell ref="J1025:L1025"/>
    <mergeCell ref="A310:A311"/>
    <mergeCell ref="J362:J363"/>
    <mergeCell ref="M819:M820"/>
    <mergeCell ref="P488:R488"/>
    <mergeCell ref="O496:O497"/>
    <mergeCell ref="O490:O491"/>
    <mergeCell ref="R947:R948"/>
    <mergeCell ref="L339:L340"/>
    <mergeCell ref="M904:O904"/>
    <mergeCell ref="O796:O797"/>
    <mergeCell ref="F1186:I1186"/>
    <mergeCell ref="J321:L321"/>
    <mergeCell ref="D577:E577"/>
    <mergeCell ref="D120:E120"/>
    <mergeCell ref="R217:R218"/>
    <mergeCell ref="J589:J590"/>
    <mergeCell ref="B998:H998"/>
    <mergeCell ref="M572:M573"/>
    <mergeCell ref="B812:C812"/>
    <mergeCell ref="P915:P916"/>
    <mergeCell ref="M1177:M1178"/>
    <mergeCell ref="P1215:P1216"/>
    <mergeCell ref="N83:N84"/>
    <mergeCell ref="Q153:Q154"/>
    <mergeCell ref="F66:I66"/>
    <mergeCell ref="L508:L509"/>
    <mergeCell ref="Q941:Q942"/>
    <mergeCell ref="O965:O966"/>
    <mergeCell ref="B296:L296"/>
    <mergeCell ref="L1113:L1114"/>
    <mergeCell ref="B1170:C1170"/>
    <mergeCell ref="A706:A707"/>
    <mergeCell ref="J1089:L1089"/>
    <mergeCell ref="Q1241:Q1242"/>
    <mergeCell ref="F691:I691"/>
    <mergeCell ref="L1133:L1134"/>
    <mergeCell ref="J1189:J1190"/>
    <mergeCell ref="O560:O561"/>
    <mergeCell ref="M77:M78"/>
    <mergeCell ref="O860:O861"/>
    <mergeCell ref="R1203:R1204"/>
    <mergeCell ref="P202:P203"/>
    <mergeCell ref="M377:M378"/>
    <mergeCell ref="L703:L704"/>
    <mergeCell ref="D184:E184"/>
    <mergeCell ref="R1029:R1030"/>
    <mergeCell ref="L819:L820"/>
    <mergeCell ref="H27:I27"/>
    <mergeCell ref="B14:H14"/>
    <mergeCell ref="N496:N497"/>
    <mergeCell ref="A1040:A1041"/>
    <mergeCell ref="N1101:N1102"/>
    <mergeCell ref="A1034:A1035"/>
    <mergeCell ref="K339:K340"/>
    <mergeCell ref="B314:H314"/>
    <mergeCell ref="K453:K454"/>
    <mergeCell ref="N796:N797"/>
    <mergeCell ref="F130:I130"/>
    <mergeCell ref="L1177:L1178"/>
    <mergeCell ref="P557:P558"/>
    <mergeCell ref="F1218:I1218"/>
    <mergeCell ref="D1089:E1089"/>
    <mergeCell ref="A1093:A1094"/>
    <mergeCell ref="F755:I755"/>
    <mergeCell ref="N938:N939"/>
    <mergeCell ref="K656:K657"/>
    <mergeCell ref="N1238:N1239"/>
    <mergeCell ref="H396:I396"/>
    <mergeCell ref="Q1122:Q1123"/>
    <mergeCell ref="R333:R334"/>
    <mergeCell ref="H91:I91"/>
    <mergeCell ref="B84:H84"/>
    <mergeCell ref="H696:I696"/>
    <mergeCell ref="J74:J75"/>
    <mergeCell ref="N1296:N1297"/>
    <mergeCell ref="B384:H384"/>
    <mergeCell ref="B378:H378"/>
    <mergeCell ref="N991:N992"/>
    <mergeCell ref="O202:O203"/>
    <mergeCell ref="Q1290:Q1291"/>
    <mergeCell ref="M258:M259"/>
    <mergeCell ref="O502:O503"/>
    <mergeCell ref="J101:J102"/>
    <mergeCell ref="D289:E289"/>
    <mergeCell ref="R386:R387"/>
    <mergeCell ref="J758:J759"/>
    <mergeCell ref="H233:I233"/>
    <mergeCell ref="P1226:P1227"/>
    <mergeCell ref="M470:M471"/>
    <mergeCell ref="R229:R230"/>
    <mergeCell ref="J1058:J1059"/>
    <mergeCell ref="P354:P355"/>
    <mergeCell ref="B213:C213"/>
    <mergeCell ref="A92:A93"/>
    <mergeCell ref="B852:H852"/>
    <mergeCell ref="N1307:N1308"/>
    <mergeCell ref="J475:L475"/>
    <mergeCell ref="H533:I533"/>
    <mergeCell ref="R598:R599"/>
    <mergeCell ref="P968:R968"/>
    <mergeCell ref="B882:C882"/>
    <mergeCell ref="P979:P980"/>
    <mergeCell ref="D300:E300"/>
    <mergeCell ref="H591:I591"/>
    <mergeCell ref="B1195:H1195"/>
    <mergeCell ref="J687:L687"/>
    <mergeCell ref="O246:O247"/>
    <mergeCell ref="M938:M939"/>
    <mergeCell ref="L89:L90"/>
    <mergeCell ref="J787:J788"/>
    <mergeCell ref="B1053:H1053"/>
    <mergeCell ref="M1238:M1239"/>
    <mergeCell ref="J1087:J1088"/>
    <mergeCell ref="B568:C568"/>
    <mergeCell ref="O572:O573"/>
    <mergeCell ref="D353:E353"/>
    <mergeCell ref="J740:L740"/>
    <mergeCell ref="J1292:L1292"/>
    <mergeCell ref="A1209:A1210"/>
    <mergeCell ref="H946:I946"/>
    <mergeCell ref="A746:A747"/>
    <mergeCell ref="B321:C321"/>
    <mergeCell ref="K51:K52"/>
    <mergeCell ref="M1139:M1140"/>
    <mergeCell ref="L258:L259"/>
    <mergeCell ref="J1129:L1129"/>
    <mergeCell ref="H1246:I1246"/>
    <mergeCell ref="J1098:J1099"/>
    <mergeCell ref="Q60:Q61"/>
    <mergeCell ref="P1224:R1224"/>
    <mergeCell ref="Q665:Q666"/>
    <mergeCell ref="L889:L890"/>
    <mergeCell ref="L470:L471"/>
    <mergeCell ref="J882:L882"/>
    <mergeCell ref="D687:E687"/>
    <mergeCell ref="R784:R785"/>
    <mergeCell ref="L1189:L1190"/>
    <mergeCell ref="L159:L160"/>
    <mergeCell ref="J1057:L1057"/>
    <mergeCell ref="D382:E382"/>
    <mergeCell ref="A799:A800"/>
    <mergeCell ref="R479:R480"/>
    <mergeCell ref="J851:J852"/>
    <mergeCell ref="O610:O611"/>
    <mergeCell ref="B463:C463"/>
    <mergeCell ref="R1084:R1085"/>
    <mergeCell ref="M127:M128"/>
    <mergeCell ref="J1157:J1158"/>
    <mergeCell ref="J1151:J1152"/>
    <mergeCell ref="Q534:Q535"/>
    <mergeCell ref="J873:L873"/>
    <mergeCell ref="B763:C763"/>
    <mergeCell ref="N246:N247"/>
    <mergeCell ref="M936:O936"/>
    <mergeCell ref="N377:N378"/>
    <mergeCell ref="Q720:Q721"/>
    <mergeCell ref="Q834:Q835"/>
    <mergeCell ref="K89:K90"/>
    <mergeCell ref="Q371:Q372"/>
    <mergeCell ref="D740:E740"/>
    <mergeCell ref="Q1020:Q1021"/>
    <mergeCell ref="B395:H395"/>
    <mergeCell ref="J1199:L1199"/>
    <mergeCell ref="B90:H90"/>
    <mergeCell ref="J926:L926"/>
    <mergeCell ref="P307:P308"/>
    <mergeCell ref="J51:J52"/>
    <mergeCell ref="L1139:L1140"/>
    <mergeCell ref="D751:E751"/>
    <mergeCell ref="B268:C268"/>
    <mergeCell ref="P365:P366"/>
    <mergeCell ref="K537:K538"/>
    <mergeCell ref="F1180:I1180"/>
    <mergeCell ref="D1051:E1051"/>
    <mergeCell ref="P60:P61"/>
    <mergeCell ref="P665:P666"/>
    <mergeCell ref="H146:I146"/>
    <mergeCell ref="K889:K890"/>
    <mergeCell ref="Q1203:Q1204"/>
    <mergeCell ref="Q784:Q785"/>
    <mergeCell ref="K1189:K1190"/>
    <mergeCell ref="H577:I577"/>
    <mergeCell ref="K159:K160"/>
    <mergeCell ref="N1046:N1047"/>
    <mergeCell ref="F234:I234"/>
    <mergeCell ref="B134:H134"/>
    <mergeCell ref="Q1090:Q1091"/>
    <mergeCell ref="Q1084:Q1085"/>
    <mergeCell ref="B503:H503"/>
    <mergeCell ref="J126:L126"/>
    <mergeCell ref="P534:P535"/>
    <mergeCell ref="B808:L808"/>
    <mergeCell ref="D1220:E1220"/>
    <mergeCell ref="B803:H803"/>
    <mergeCell ref="P834:P835"/>
    <mergeCell ref="M525:M526"/>
    <mergeCell ref="R48:R49"/>
    <mergeCell ref="M220:M221"/>
    <mergeCell ref="R354:R355"/>
    <mergeCell ref="P136:R136"/>
    <mergeCell ref="R348:R349"/>
    <mergeCell ref="L275:L276"/>
    <mergeCell ref="B332:C332"/>
    <mergeCell ref="J137:L137"/>
    <mergeCell ref="J268:L268"/>
    <mergeCell ref="P735:P736"/>
    <mergeCell ref="H958:I958"/>
    <mergeCell ref="L156:L157"/>
    <mergeCell ref="B945:H945"/>
    <mergeCell ref="A185:A186"/>
    <mergeCell ref="J237:J238"/>
    <mergeCell ref="J537:J538"/>
    <mergeCell ref="M994:M995"/>
    <mergeCell ref="R953:R954"/>
    <mergeCell ref="R496:R497"/>
    <mergeCell ref="H553:I553"/>
    <mergeCell ref="R490:R491"/>
    <mergeCell ref="O671:O672"/>
    <mergeCell ref="F1061:I1061"/>
    <mergeCell ref="O665:O666"/>
    <mergeCell ref="O208:O209"/>
    <mergeCell ref="O322:O323"/>
    <mergeCell ref="B1106:C1106"/>
    <mergeCell ref="J1162:J1163"/>
    <mergeCell ref="L165:L166"/>
    <mergeCell ref="A659:A660"/>
    <mergeCell ref="B801:C801"/>
    <mergeCell ref="J1042:L1042"/>
    <mergeCell ref="M589:M590"/>
    <mergeCell ref="A959:A960"/>
    <mergeCell ref="P758:P759"/>
    <mergeCell ref="N258:N259"/>
    <mergeCell ref="P1058:P1059"/>
    <mergeCell ref="H539:I539"/>
    <mergeCell ref="K101:K102"/>
    <mergeCell ref="O813:O814"/>
    <mergeCell ref="L51:L52"/>
    <mergeCell ref="L525:L526"/>
    <mergeCell ref="D137:E137"/>
    <mergeCell ref="L226:L227"/>
    <mergeCell ref="J937:L937"/>
    <mergeCell ref="L220:L221"/>
    <mergeCell ref="B1015:H1015"/>
    <mergeCell ref="D132:E132"/>
    <mergeCell ref="A549:A550"/>
    <mergeCell ref="D920:E920"/>
    <mergeCell ref="A1312:A1313"/>
    <mergeCell ref="D463:E463"/>
    <mergeCell ref="R560:R561"/>
    <mergeCell ref="O735:O736"/>
    <mergeCell ref="P77:P78"/>
    <mergeCell ref="B513:C513"/>
    <mergeCell ref="K243:K244"/>
    <mergeCell ref="R860:R861"/>
    <mergeCell ref="N127:N128"/>
    <mergeCell ref="B425:C425"/>
    <mergeCell ref="N458:N459"/>
    <mergeCell ref="Q953:Q954"/>
    <mergeCell ref="Q496:Q497"/>
    <mergeCell ref="F403:I403"/>
    <mergeCell ref="N758:N759"/>
    <mergeCell ref="N339:N340"/>
    <mergeCell ref="Q796:Q797"/>
    <mergeCell ref="O877:O878"/>
    <mergeCell ref="L1052:L1053"/>
    <mergeCell ref="M394:M395"/>
    <mergeCell ref="B515:H515"/>
    <mergeCell ref="O1177:O1178"/>
    <mergeCell ref="M694:M695"/>
    <mergeCell ref="F761:I761"/>
    <mergeCell ref="B1199:C1199"/>
    <mergeCell ref="B18:C18"/>
    <mergeCell ref="P115:P116"/>
    <mergeCell ref="N813:N814"/>
    <mergeCell ref="Q938:Q939"/>
    <mergeCell ref="N1113:N1114"/>
    <mergeCell ref="P790:P791"/>
    <mergeCell ref="L1194:L1195"/>
    <mergeCell ref="B657:H657"/>
    <mergeCell ref="J406:J407"/>
    <mergeCell ref="F1235:I1235"/>
    <mergeCell ref="H239:I239"/>
    <mergeCell ref="O77:O78"/>
    <mergeCell ref="Q1165:Q1166"/>
    <mergeCell ref="J243:J244"/>
    <mergeCell ref="F1072:I1072"/>
    <mergeCell ref="N1008:N1009"/>
    <mergeCell ref="O377:O378"/>
    <mergeCell ref="N709:N710"/>
    <mergeCell ref="P258:P259"/>
    <mergeCell ref="M458:M459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M392:O392"/>
    <mergeCell ref="H1013:I1013"/>
    <mergeCell ref="J18:L18"/>
    <mergeCell ref="B388:C388"/>
    <mergeCell ref="K726:K727"/>
    <mergeCell ref="P485:P486"/>
    <mergeCell ref="H708:I708"/>
    <mergeCell ref="B701:H701"/>
    <mergeCell ref="N1177:N1178"/>
    <mergeCell ref="L694:L695"/>
    <mergeCell ref="K1026:K1027"/>
    <mergeCell ref="O121:O122"/>
    <mergeCell ref="J676:L676"/>
    <mergeCell ref="P1154:P1155"/>
    <mergeCell ref="J344:L344"/>
    <mergeCell ref="H766:I766"/>
    <mergeCell ref="J13:J14"/>
    <mergeCell ref="R703:R704"/>
    <mergeCell ref="H309:I309"/>
    <mergeCell ref="R246:R247"/>
    <mergeCell ref="J1075:J1076"/>
    <mergeCell ref="O421:O422"/>
    <mergeCell ref="J313:J314"/>
    <mergeCell ref="H609:I609"/>
    <mergeCell ref="M787:M788"/>
    <mergeCell ref="J918:J919"/>
    <mergeCell ref="B530:C530"/>
    <mergeCell ref="B111:C111"/>
    <mergeCell ref="P208:P209"/>
    <mergeCell ref="B225:C225"/>
    <mergeCell ref="Q970:Q971"/>
    <mergeCell ref="P1165:P1166"/>
    <mergeCell ref="P1296:P1297"/>
    <mergeCell ref="H777:I777"/>
    <mergeCell ref="J1004:L1004"/>
    <mergeCell ref="O563:O564"/>
    <mergeCell ref="J88:L88"/>
    <mergeCell ref="H1077:I1077"/>
    <mergeCell ref="N51:N52"/>
    <mergeCell ref="A921:A922"/>
    <mergeCell ref="J388:L388"/>
    <mergeCell ref="A610:A611"/>
    <mergeCell ref="B264:L264"/>
    <mergeCell ref="R659:R660"/>
    <mergeCell ref="N499:N500"/>
    <mergeCell ref="L1058:L1059"/>
    <mergeCell ref="D676:E676"/>
    <mergeCell ref="R773:R774"/>
    <mergeCell ref="D257:E257"/>
    <mergeCell ref="D213:E213"/>
    <mergeCell ref="P1307:P1308"/>
    <mergeCell ref="R959:R960"/>
    <mergeCell ref="D513:E513"/>
    <mergeCell ref="M851:M852"/>
    <mergeCell ref="R610:R611"/>
    <mergeCell ref="J1026:J1027"/>
    <mergeCell ref="P127:P128"/>
    <mergeCell ref="F316:I316"/>
    <mergeCell ref="N208:N209"/>
    <mergeCell ref="Q709:Q710"/>
    <mergeCell ref="A333:A334"/>
    <mergeCell ref="Q246:Q247"/>
    <mergeCell ref="F159:I159"/>
    <mergeCell ref="F153:I153"/>
    <mergeCell ref="N95:N96"/>
    <mergeCell ref="N89:N90"/>
    <mergeCell ref="A816:A817"/>
    <mergeCell ref="J1068:L1068"/>
    <mergeCell ref="R1101:R1102"/>
    <mergeCell ref="M144:M145"/>
    <mergeCell ref="K290:K291"/>
    <mergeCell ref="A1116:A1117"/>
    <mergeCell ref="N1183:N1184"/>
    <mergeCell ref="K842:K843"/>
    <mergeCell ref="J1168:J1169"/>
    <mergeCell ref="F517:I517"/>
    <mergeCell ref="F511:I511"/>
    <mergeCell ref="F54:I54"/>
    <mergeCell ref="B328:L328"/>
    <mergeCell ref="L1145:L1146"/>
    <mergeCell ref="N563:N564"/>
    <mergeCell ref="B257:C257"/>
    <mergeCell ref="D926:E926"/>
    <mergeCell ref="B107:H107"/>
    <mergeCell ref="P540:P541"/>
    <mergeCell ref="B1292:C1292"/>
    <mergeCell ref="N1194:N1195"/>
    <mergeCell ref="K432:K433"/>
    <mergeCell ref="B407:H407"/>
    <mergeCell ref="K1037:K1038"/>
    <mergeCell ref="J30:L30"/>
    <mergeCell ref="F985:I985"/>
    <mergeCell ref="A860:A861"/>
    <mergeCell ref="N464:N465"/>
    <mergeCell ref="N159:N160"/>
    <mergeCell ref="N764:N765"/>
    <mergeCell ref="O127:O128"/>
    <mergeCell ref="F1197:I1197"/>
    <mergeCell ref="D1068:E1068"/>
    <mergeCell ref="P682:P683"/>
    <mergeCell ref="K906:K907"/>
    <mergeCell ref="P377:P378"/>
    <mergeCell ref="M514:M515"/>
    <mergeCell ref="M95:M96"/>
    <mergeCell ref="F581:I581"/>
    <mergeCell ref="J357:J358"/>
    <mergeCell ref="H158:I158"/>
    <mergeCell ref="P424:R424"/>
    <mergeCell ref="Q1101:Q1102"/>
    <mergeCell ref="K476:K477"/>
    <mergeCell ref="H489:I489"/>
    <mergeCell ref="M1183:M1184"/>
    <mergeCell ref="Q944:Q945"/>
    <mergeCell ref="H789:I789"/>
    <mergeCell ref="B820:H820"/>
    <mergeCell ref="A60:A61"/>
    <mergeCell ref="L118:L119"/>
    <mergeCell ref="J112:J113"/>
    <mergeCell ref="N970:N971"/>
    <mergeCell ref="J226:J227"/>
    <mergeCell ref="J100:L100"/>
    <mergeCell ref="J94:L94"/>
    <mergeCell ref="B1120:H1120"/>
    <mergeCell ref="H59:I59"/>
    <mergeCell ref="M237:M238"/>
    <mergeCell ref="J412:J413"/>
    <mergeCell ref="J80:J81"/>
    <mergeCell ref="D268:E268"/>
    <mergeCell ref="J63:J64"/>
    <mergeCell ref="R365:R366"/>
    <mergeCell ref="M537:M538"/>
    <mergeCell ref="M1194:M1195"/>
    <mergeCell ref="R665:R666"/>
    <mergeCell ref="M584:O584"/>
    <mergeCell ref="J1037:J1038"/>
    <mergeCell ref="B649:C649"/>
    <mergeCell ref="A202:A203"/>
    <mergeCell ref="M464:M465"/>
    <mergeCell ref="B344:C344"/>
    <mergeCell ref="J155:L155"/>
    <mergeCell ref="P1052:P1053"/>
    <mergeCell ref="B949:C949"/>
    <mergeCell ref="M764:M765"/>
    <mergeCell ref="A502:A503"/>
    <mergeCell ref="P680:R680"/>
    <mergeCell ref="O682:O683"/>
    <mergeCell ref="H1202:I1202"/>
    <mergeCell ref="L514:L515"/>
    <mergeCell ref="R813:R814"/>
    <mergeCell ref="O988:O989"/>
    <mergeCell ref="O525:O526"/>
    <mergeCell ref="J50:L50"/>
    <mergeCell ref="D312:E312"/>
    <mergeCell ref="J880:J881"/>
    <mergeCell ref="R409:R410"/>
    <mergeCell ref="H1170:I1170"/>
    <mergeCell ref="B1190:H1190"/>
    <mergeCell ref="F223:I223"/>
    <mergeCell ref="J350:L350"/>
    <mergeCell ref="J1180:J1181"/>
    <mergeCell ref="N275:N276"/>
    <mergeCell ref="D332:E332"/>
    <mergeCell ref="M601:M602"/>
    <mergeCell ref="K118:K119"/>
    <mergeCell ref="R735:R736"/>
    <mergeCell ref="P252:P253"/>
    <mergeCell ref="O578:O579"/>
    <mergeCell ref="L237:L238"/>
    <mergeCell ref="Q127:Q128"/>
    <mergeCell ref="J655:L655"/>
    <mergeCell ref="B1019:C1019"/>
    <mergeCell ref="A1029:A1030"/>
    <mergeCell ref="A572:A573"/>
    <mergeCell ref="F278:I278"/>
    <mergeCell ref="J955:L955"/>
    <mergeCell ref="J949:L949"/>
    <mergeCell ref="F883:I883"/>
    <mergeCell ref="F578:I578"/>
    <mergeCell ref="N933:N934"/>
    <mergeCell ref="Q339:Q340"/>
    <mergeCell ref="O752:O753"/>
    <mergeCell ref="K592:K593"/>
    <mergeCell ref="A866:A867"/>
    <mergeCell ref="J1124:L1124"/>
    <mergeCell ref="D780:E780"/>
    <mergeCell ref="O1052:O1053"/>
    <mergeCell ref="K892:K893"/>
    <mergeCell ref="P394:P395"/>
    <mergeCell ref="L895:L896"/>
    <mergeCell ref="M106:M107"/>
    <mergeCell ref="A1226:A1227"/>
    <mergeCell ref="Q813:Q814"/>
    <mergeCell ref="B506:H506"/>
    <mergeCell ref="B1042:C1042"/>
    <mergeCell ref="N944:N945"/>
    <mergeCell ref="K188:K189"/>
    <mergeCell ref="N525:N526"/>
    <mergeCell ref="Q1113:Q1114"/>
    <mergeCell ref="O1194:O1195"/>
    <mergeCell ref="F778:I778"/>
    <mergeCell ref="H228:I228"/>
    <mergeCell ref="B215:H215"/>
    <mergeCell ref="J124:J125"/>
    <mergeCell ref="Q1171:Q1172"/>
    <mergeCell ref="J118:J119"/>
    <mergeCell ref="F947:I947"/>
    <mergeCell ref="B520:L520"/>
    <mergeCell ref="R77:R78"/>
    <mergeCell ref="P133:P134"/>
    <mergeCell ref="B30:C30"/>
    <mergeCell ref="B361:C361"/>
    <mergeCell ref="P458:P459"/>
    <mergeCell ref="L965:L966"/>
    <mergeCell ref="M933:M934"/>
    <mergeCell ref="B576:H576"/>
    <mergeCell ref="P392:R392"/>
    <mergeCell ref="B570:H570"/>
    <mergeCell ref="B113:H113"/>
    <mergeCell ref="O394:O395"/>
    <mergeCell ref="N726:N727"/>
    <mergeCell ref="F1090:I1090"/>
    <mergeCell ref="O694:O695"/>
    <mergeCell ref="N1026:N1027"/>
    <mergeCell ref="J219:L219"/>
    <mergeCell ref="R578:R579"/>
    <mergeCell ref="B1201:H1201"/>
    <mergeCell ref="R121:R122"/>
    <mergeCell ref="D18:E18"/>
    <mergeCell ref="K1315:K1316"/>
    <mergeCell ref="J493:J494"/>
    <mergeCell ref="P813:P814"/>
    <mergeCell ref="J188:J189"/>
    <mergeCell ref="M662:M663"/>
    <mergeCell ref="R421:R422"/>
    <mergeCell ref="H478:I478"/>
    <mergeCell ref="J1250:J1251"/>
    <mergeCell ref="J793:J794"/>
    <mergeCell ref="R790:R791"/>
    <mergeCell ref="B100:C100"/>
    <mergeCell ref="B705:C705"/>
    <mergeCell ref="K1043:K1044"/>
    <mergeCell ref="P802:P803"/>
    <mergeCell ref="P1160:R1160"/>
    <mergeCell ref="L406:L407"/>
    <mergeCell ref="O290:O291"/>
    <mergeCell ref="B1074:C1074"/>
    <mergeCell ref="P1171:P1172"/>
    <mergeCell ref="P714:P715"/>
    <mergeCell ref="J1298:L1298"/>
    <mergeCell ref="H952:I952"/>
    <mergeCell ref="P1014:P1015"/>
    <mergeCell ref="O133:O134"/>
    <mergeCell ref="H1083:I1083"/>
    <mergeCell ref="J330:J331"/>
    <mergeCell ref="R563:R564"/>
    <mergeCell ref="O738:O739"/>
    <mergeCell ref="H321:I321"/>
    <mergeCell ref="H1252:I1252"/>
    <mergeCell ref="M973:M974"/>
    <mergeCell ref="H926:I926"/>
    <mergeCell ref="D545:E545"/>
    <mergeCell ref="L607:L608"/>
    <mergeCell ref="D88:E88"/>
    <mergeCell ref="J932:L932"/>
    <mergeCell ref="D388:E388"/>
    <mergeCell ref="M726:M727"/>
    <mergeCell ref="R485:R486"/>
    <mergeCell ref="A938:A939"/>
    <mergeCell ref="H1311:I1311"/>
    <mergeCell ref="M1026:M1027"/>
    <mergeCell ref="J405:L405"/>
    <mergeCell ref="B769:C769"/>
    <mergeCell ref="J1315:J1316"/>
    <mergeCell ref="Q252:Q253"/>
    <mergeCell ref="F34:I34"/>
    <mergeCell ref="B1082:H1082"/>
    <mergeCell ref="A322:A323"/>
    <mergeCell ref="J705:L705"/>
    <mergeCell ref="L1081:L1082"/>
    <mergeCell ref="L1075:L1076"/>
    <mergeCell ref="J1074:L1074"/>
    <mergeCell ref="Q89:Q90"/>
    <mergeCell ref="A1296:A1297"/>
    <mergeCell ref="D993:E993"/>
    <mergeCell ref="A991:A992"/>
    <mergeCell ref="F659:I659"/>
    <mergeCell ref="D530:E530"/>
    <mergeCell ref="A534:A535"/>
    <mergeCell ref="F790:I790"/>
    <mergeCell ref="J1043:J1044"/>
    <mergeCell ref="O802:O803"/>
    <mergeCell ref="J917:L917"/>
    <mergeCell ref="P144:P145"/>
    <mergeCell ref="B492:C492"/>
    <mergeCell ref="N112:N113"/>
    <mergeCell ref="N106:N107"/>
    <mergeCell ref="L671:L672"/>
    <mergeCell ref="O1145:O1146"/>
    <mergeCell ref="Q563:Q564"/>
    <mergeCell ref="A1307:A1308"/>
    <mergeCell ref="N412:N413"/>
    <mergeCell ref="B587:H587"/>
    <mergeCell ref="N1069:N1070"/>
    <mergeCell ref="A1002:A1003"/>
    <mergeCell ref="A1133:A1134"/>
    <mergeCell ref="P197:P198"/>
    <mergeCell ref="B282:H282"/>
    <mergeCell ref="O944:O945"/>
    <mergeCell ref="K912:K913"/>
    <mergeCell ref="K607:K608"/>
    <mergeCell ref="M162:M163"/>
    <mergeCell ref="B582:H582"/>
    <mergeCell ref="N1037:N1038"/>
    <mergeCell ref="K1212:K1213"/>
    <mergeCell ref="Q921:Q922"/>
    <mergeCell ref="F828:I828"/>
    <mergeCell ref="J662:J663"/>
    <mergeCell ref="D943:E943"/>
    <mergeCell ref="J962:J963"/>
    <mergeCell ref="D1243:E1243"/>
    <mergeCell ref="B488:L488"/>
    <mergeCell ref="P857:P858"/>
    <mergeCell ref="P400:P401"/>
    <mergeCell ref="P514:P515"/>
    <mergeCell ref="K749:K750"/>
    <mergeCell ref="P95:P96"/>
    <mergeCell ref="N176:N177"/>
    <mergeCell ref="J16:J17"/>
    <mergeCell ref="K1049:K1050"/>
    <mergeCell ref="B326:H326"/>
    <mergeCell ref="O150:O151"/>
    <mergeCell ref="O144:O145"/>
    <mergeCell ref="N476:N477"/>
    <mergeCell ref="P1183:P1184"/>
    <mergeCell ref="H664:I664"/>
    <mergeCell ref="B651:H651"/>
    <mergeCell ref="H964:I964"/>
    <mergeCell ref="M112:M113"/>
    <mergeCell ref="N1145:N1146"/>
    <mergeCell ref="P563:P564"/>
    <mergeCell ref="M831:M832"/>
    <mergeCell ref="J69:J70"/>
    <mergeCell ref="M412:M413"/>
    <mergeCell ref="P869:P870"/>
    <mergeCell ref="R546:R547"/>
    <mergeCell ref="R214:R215"/>
    <mergeCell ref="B524:C524"/>
    <mergeCell ref="L461:L462"/>
    <mergeCell ref="J586:J587"/>
    <mergeCell ref="K793:K794"/>
    <mergeCell ref="B824:C824"/>
    <mergeCell ref="B367:C367"/>
    <mergeCell ref="P464:P465"/>
    <mergeCell ref="A377:A378"/>
    <mergeCell ref="B794:H794"/>
    <mergeCell ref="P764:P765"/>
    <mergeCell ref="H833:I833"/>
    <mergeCell ref="H376:I376"/>
    <mergeCell ref="K1119:K1120"/>
    <mergeCell ref="R688:R689"/>
    <mergeCell ref="H745:I745"/>
    <mergeCell ref="R682:R683"/>
    <mergeCell ref="L57:L58"/>
    <mergeCell ref="O514:O515"/>
    <mergeCell ref="H1045:I1045"/>
    <mergeCell ref="L357:L358"/>
    <mergeCell ref="F98:I98"/>
    <mergeCell ref="J1055:J1056"/>
    <mergeCell ref="M781:M782"/>
    <mergeCell ref="B661:C661"/>
    <mergeCell ref="D181:E181"/>
    <mergeCell ref="N118:N119"/>
    <mergeCell ref="L531:L532"/>
    <mergeCell ref="K293:K294"/>
    <mergeCell ref="J650:J651"/>
    <mergeCell ref="M1107:M1108"/>
    <mergeCell ref="B894:C894"/>
    <mergeCell ref="L831:L832"/>
    <mergeCell ref="F109:I109"/>
    <mergeCell ref="J830:L830"/>
    <mergeCell ref="F240:I240"/>
    <mergeCell ref="J367:L367"/>
    <mergeCell ref="A1046:A1047"/>
    <mergeCell ref="A589:A590"/>
    <mergeCell ref="B1188:C1188"/>
    <mergeCell ref="Q214:Q215"/>
    <mergeCell ref="F409:I409"/>
    <mergeCell ref="A741:A742"/>
    <mergeCell ref="A284:A285"/>
    <mergeCell ref="J667:L667"/>
    <mergeCell ref="L1043:L1044"/>
    <mergeCell ref="D1112:E1112"/>
    <mergeCell ref="D655:E655"/>
    <mergeCell ref="Q933:Q934"/>
    <mergeCell ref="R752:R753"/>
    <mergeCell ref="D649:E649"/>
    <mergeCell ref="O595:O596"/>
    <mergeCell ref="K435:K436"/>
    <mergeCell ref="R1052:R1053"/>
    <mergeCell ref="O1200:O1201"/>
    <mergeCell ref="B1036:C1036"/>
    <mergeCell ref="O901:O902"/>
    <mergeCell ref="O895:O896"/>
    <mergeCell ref="P106:P107"/>
    <mergeCell ref="Q688:Q689"/>
    <mergeCell ref="N819:N820"/>
    <mergeCell ref="A889:A890"/>
    <mergeCell ref="F138:I138"/>
    <mergeCell ref="H1231:I1231"/>
    <mergeCell ref="Q988:Q989"/>
    <mergeCell ref="N188:N189"/>
    <mergeCell ref="A1189:A1190"/>
    <mergeCell ref="K357:K358"/>
    <mergeCell ref="N1250:N1251"/>
    <mergeCell ref="O1069:O1070"/>
    <mergeCell ref="L150:L151"/>
    <mergeCell ref="J86:J87"/>
    <mergeCell ref="L1212:L1213"/>
    <mergeCell ref="D693:E693"/>
    <mergeCell ref="F953:I953"/>
    <mergeCell ref="F496:I496"/>
    <mergeCell ref="F490:I490"/>
    <mergeCell ref="Q883:Q884"/>
    <mergeCell ref="F796:I796"/>
    <mergeCell ref="R252:R253"/>
    <mergeCell ref="K505:K506"/>
    <mergeCell ref="K499:K500"/>
    <mergeCell ref="D1019:E1019"/>
    <mergeCell ref="B536:C536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P933:P934"/>
    <mergeCell ref="H414:I414"/>
    <mergeCell ref="H545:I545"/>
    <mergeCell ref="H126:I126"/>
    <mergeCell ref="H82:I82"/>
    <mergeCell ref="J435:J436"/>
    <mergeCell ref="A1139:A1140"/>
    <mergeCell ref="Q1052:Q1053"/>
    <mergeCell ref="N1200:N1201"/>
    <mergeCell ref="Q1183:Q1184"/>
    <mergeCell ref="R394:R395"/>
    <mergeCell ref="F965:I965"/>
    <mergeCell ref="N901:N902"/>
    <mergeCell ref="B1076:H1076"/>
    <mergeCell ref="M650:M651"/>
    <mergeCell ref="B771:H771"/>
    <mergeCell ref="N1315:N1316"/>
    <mergeCell ref="R269:R270"/>
    <mergeCell ref="M950:M951"/>
    <mergeCell ref="M493:M494"/>
    <mergeCell ref="F560:I560"/>
    <mergeCell ref="J336:J337"/>
    <mergeCell ref="M1250:M1251"/>
    <mergeCell ref="J31:J32"/>
    <mergeCell ref="F860:I860"/>
    <mergeCell ref="Q1194:Q1195"/>
    <mergeCell ref="A127:A128"/>
    <mergeCell ref="B430:H430"/>
    <mergeCell ref="M552:O552"/>
    <mergeCell ref="K1218:K1219"/>
    <mergeCell ref="K1174:K1175"/>
    <mergeCell ref="H1225:I1225"/>
    <mergeCell ref="A458:A459"/>
    <mergeCell ref="R138:R139"/>
    <mergeCell ref="J841:L841"/>
    <mergeCell ref="K869:K870"/>
    <mergeCell ref="B913:H913"/>
    <mergeCell ref="J536:L536"/>
    <mergeCell ref="P883:P884"/>
    <mergeCell ref="J79:L79"/>
    <mergeCell ref="A758:A759"/>
    <mergeCell ref="R438:R439"/>
    <mergeCell ref="A339:A340"/>
    <mergeCell ref="J810:J811"/>
    <mergeCell ref="B1213:H1213"/>
    <mergeCell ref="A453:A454"/>
    <mergeCell ref="O281:O282"/>
    <mergeCell ref="J836:L836"/>
    <mergeCell ref="J505:J506"/>
    <mergeCell ref="H801:I801"/>
    <mergeCell ref="B117:C117"/>
    <mergeCell ref="R738:R739"/>
    <mergeCell ref="H795:I795"/>
    <mergeCell ref="J1110:J1111"/>
    <mergeCell ref="B483:H483"/>
    <mergeCell ref="J805:J806"/>
    <mergeCell ref="B417:C417"/>
    <mergeCell ref="L482:L483"/>
    <mergeCell ref="N31:N32"/>
    <mergeCell ref="O607:O608"/>
    <mergeCell ref="J863:J864"/>
    <mergeCell ref="Q83:Q84"/>
    <mergeCell ref="J580:L580"/>
    <mergeCell ref="Q269:Q270"/>
    <mergeCell ref="L493:L494"/>
    <mergeCell ref="D105:E105"/>
    <mergeCell ref="Q383:Q384"/>
    <mergeCell ref="O1081:O1082"/>
    <mergeCell ref="L793:L794"/>
    <mergeCell ref="D862:E862"/>
    <mergeCell ref="L924:L925"/>
    <mergeCell ref="D405:E405"/>
    <mergeCell ref="J1211:L1211"/>
    <mergeCell ref="F202:I202"/>
    <mergeCell ref="P19:P20"/>
    <mergeCell ref="O351:O352"/>
    <mergeCell ref="H865:I865"/>
    <mergeCell ref="D705:E705"/>
    <mergeCell ref="R802:R803"/>
    <mergeCell ref="J1174:J1175"/>
    <mergeCell ref="P319:P320"/>
    <mergeCell ref="Q138:Q139"/>
    <mergeCell ref="D1074:E1074"/>
    <mergeCell ref="Q438:Q439"/>
    <mergeCell ref="P1128:R1128"/>
    <mergeCell ref="B667:C667"/>
    <mergeCell ref="Q112:Q113"/>
    <mergeCell ref="Q106:Q107"/>
    <mergeCell ref="N287:N288"/>
    <mergeCell ref="N281:N282"/>
    <mergeCell ref="Q738:Q739"/>
    <mergeCell ref="Q1069:Q1070"/>
    <mergeCell ref="B1298:C1298"/>
    <mergeCell ref="F976:I976"/>
    <mergeCell ref="L205:L206"/>
    <mergeCell ref="A851:A852"/>
    <mergeCell ref="N912:N913"/>
    <mergeCell ref="M31:M32"/>
    <mergeCell ref="J1234:L1234"/>
    <mergeCell ref="F703:I703"/>
    <mergeCell ref="F246:I246"/>
    <mergeCell ref="Q34:Q35"/>
    <mergeCell ref="L1293:L1294"/>
    <mergeCell ref="L988:L989"/>
    <mergeCell ref="K255:K256"/>
    <mergeCell ref="B299:H299"/>
    <mergeCell ref="D786:E786"/>
    <mergeCell ref="D769:E769"/>
    <mergeCell ref="F1029:I1029"/>
    <mergeCell ref="P389:P390"/>
    <mergeCell ref="B286:C286"/>
    <mergeCell ref="P383:P384"/>
    <mergeCell ref="B599:H599"/>
    <mergeCell ref="N1081:N1082"/>
    <mergeCell ref="K1229:K1230"/>
    <mergeCell ref="J222:L222"/>
    <mergeCell ref="K924:K925"/>
    <mergeCell ref="B899:H899"/>
    <mergeCell ref="N351:N352"/>
    <mergeCell ref="J191:J192"/>
    <mergeCell ref="H207:I207"/>
    <mergeCell ref="H507:I507"/>
    <mergeCell ref="B500:H500"/>
    <mergeCell ref="B494:H494"/>
    <mergeCell ref="B195:H195"/>
    <mergeCell ref="P112:P113"/>
    <mergeCell ref="F773:I773"/>
    <mergeCell ref="K1066:K1067"/>
    <mergeCell ref="N493:N494"/>
    <mergeCell ref="F610:I610"/>
    <mergeCell ref="H681:I681"/>
    <mergeCell ref="R197:R198"/>
    <mergeCell ref="M912:M913"/>
    <mergeCell ref="N793:N794"/>
    <mergeCell ref="H981:I981"/>
    <mergeCell ref="B236:C236"/>
    <mergeCell ref="P470:P471"/>
    <mergeCell ref="L310:L311"/>
    <mergeCell ref="A208:A209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304:N1305"/>
    <mergeCell ref="A89:A90"/>
    <mergeCell ref="B963:H963"/>
    <mergeCell ref="J255:J256"/>
    <mergeCell ref="R557:R558"/>
    <mergeCell ref="R1162:R1163"/>
    <mergeCell ref="O362:O363"/>
    <mergeCell ref="O389:O390"/>
    <mergeCell ref="R863:R864"/>
    <mergeCell ref="R857:R858"/>
    <mergeCell ref="J1235:J1236"/>
    <mergeCell ref="O57:O58"/>
    <mergeCell ref="R400:R401"/>
    <mergeCell ref="B841:C841"/>
    <mergeCell ref="J598:J599"/>
    <mergeCell ref="B79:C79"/>
    <mergeCell ref="O357:O358"/>
    <mergeCell ref="B1141:C1141"/>
    <mergeCell ref="P781:P782"/>
    <mergeCell ref="B836:C836"/>
    <mergeCell ref="Q150:Q151"/>
    <mergeCell ref="N298:N299"/>
    <mergeCell ref="M319:M320"/>
    <mergeCell ref="L74:L75"/>
    <mergeCell ref="J972:L972"/>
    <mergeCell ref="N293:N294"/>
    <mergeCell ref="O1136:O1137"/>
    <mergeCell ref="B437:C437"/>
    <mergeCell ref="L374:L375"/>
    <mergeCell ref="O717:O718"/>
    <mergeCell ref="J1066:J1067"/>
    <mergeCell ref="L69:L70"/>
    <mergeCell ref="Q508:Q509"/>
    <mergeCell ref="B737:C737"/>
    <mergeCell ref="P1192:R1192"/>
    <mergeCell ref="L674:L675"/>
    <mergeCell ref="A159:A160"/>
    <mergeCell ref="F415:I415"/>
    <mergeCell ref="J961:L961"/>
    <mergeCell ref="A290:A291"/>
    <mergeCell ref="K10:K11"/>
    <mergeCell ref="M1098:M1099"/>
    <mergeCell ref="D524:E524"/>
    <mergeCell ref="L586:L587"/>
    <mergeCell ref="M793:M794"/>
    <mergeCell ref="D1129:E1129"/>
    <mergeCell ref="K310:K311"/>
    <mergeCell ref="D830:E830"/>
    <mergeCell ref="R927:R928"/>
    <mergeCell ref="D824:E824"/>
    <mergeCell ref="J1299:J1300"/>
    <mergeCell ref="M840:O840"/>
    <mergeCell ref="D498:E498"/>
    <mergeCell ref="O1189:O1190"/>
    <mergeCell ref="N435:N436"/>
    <mergeCell ref="O770:O771"/>
    <mergeCell ref="N37:N38"/>
    <mergeCell ref="B1211:C1211"/>
    <mergeCell ref="B748:C748"/>
    <mergeCell ref="Q650:Q651"/>
    <mergeCell ref="N368:N369"/>
    <mergeCell ref="A301:A302"/>
    <mergeCell ref="J1141:L1141"/>
    <mergeCell ref="N362:N363"/>
    <mergeCell ref="J684:L684"/>
    <mergeCell ref="Q819:Q820"/>
    <mergeCell ref="N57:N58"/>
    <mergeCell ref="Q950:Q951"/>
    <mergeCell ref="A1058:A1059"/>
    <mergeCell ref="A601:A602"/>
    <mergeCell ref="D972:E972"/>
    <mergeCell ref="R1069:R1070"/>
    <mergeCell ref="A970:A971"/>
    <mergeCell ref="O1244:O1245"/>
    <mergeCell ref="B669:H669"/>
    <mergeCell ref="O781:O782"/>
    <mergeCell ref="O912:O913"/>
    <mergeCell ref="L1087:L1088"/>
    <mergeCell ref="Q1304:Q1305"/>
    <mergeCell ref="F665:I665"/>
    <mergeCell ref="B49:H49"/>
    <mergeCell ref="N531:N532"/>
    <mergeCell ref="M40:O40"/>
    <mergeCell ref="N1136:N1137"/>
    <mergeCell ref="K380:K381"/>
    <mergeCell ref="D894:E894"/>
    <mergeCell ref="P508:P509"/>
    <mergeCell ref="K674:K675"/>
    <mergeCell ref="H420:I420"/>
    <mergeCell ref="J272:J273"/>
    <mergeCell ref="Q906:Q907"/>
    <mergeCell ref="B712:L712"/>
    <mergeCell ref="F813:I813"/>
    <mergeCell ref="N1189:N1190"/>
    <mergeCell ref="B250:H250"/>
    <mergeCell ref="M435:M436"/>
    <mergeCell ref="F508:I508"/>
    <mergeCell ref="K522:K523"/>
    <mergeCell ref="Q1200:Q1201"/>
    <mergeCell ref="F982:I982"/>
    <mergeCell ref="R569:R570"/>
    <mergeCell ref="D1036:E1036"/>
    <mergeCell ref="Q901:Q902"/>
    <mergeCell ref="J941:J942"/>
    <mergeCell ref="B553:C553"/>
    <mergeCell ref="P650:P651"/>
    <mergeCell ref="M368:M369"/>
    <mergeCell ref="P950:P951"/>
    <mergeCell ref="P493:P494"/>
    <mergeCell ref="J325:J326"/>
    <mergeCell ref="M668:M669"/>
    <mergeCell ref="B548:C548"/>
    <mergeCell ref="M799:M800"/>
    <mergeCell ref="P1250:P1251"/>
    <mergeCell ref="H731:I731"/>
    <mergeCell ref="P220:P221"/>
    <mergeCell ref="N1218:N1219"/>
    <mergeCell ref="L86:L87"/>
    <mergeCell ref="N1212:N1213"/>
    <mergeCell ref="J411:L411"/>
    <mergeCell ref="R313:R314"/>
    <mergeCell ref="J1016:L1016"/>
    <mergeCell ref="B1088:H1088"/>
    <mergeCell ref="R613:R614"/>
    <mergeCell ref="M810:M811"/>
    <mergeCell ref="J48:J49"/>
    <mergeCell ref="F877:I877"/>
    <mergeCell ref="R281:R282"/>
    <mergeCell ref="M505:M506"/>
    <mergeCell ref="J653:J654"/>
    <mergeCell ref="B292:C292"/>
    <mergeCell ref="J348:J349"/>
    <mergeCell ref="F1177:I1177"/>
    <mergeCell ref="Q205:Q206"/>
    <mergeCell ref="O482:O483"/>
    <mergeCell ref="J553:L553"/>
    <mergeCell ref="K1072:K1073"/>
    <mergeCell ref="B917:C917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H812:I812"/>
    <mergeCell ref="B1217:C1217"/>
    <mergeCell ref="B187:C187"/>
    <mergeCell ref="H1118:I1118"/>
    <mergeCell ref="Q258:Q259"/>
    <mergeCell ref="F165:I165"/>
    <mergeCell ref="O950:O951"/>
    <mergeCell ref="N101:N102"/>
    <mergeCell ref="L799:L800"/>
    <mergeCell ref="D280:E280"/>
    <mergeCell ref="L336:L337"/>
    <mergeCell ref="F77:I77"/>
    <mergeCell ref="O1250:O1251"/>
    <mergeCell ref="D580:E580"/>
    <mergeCell ref="R677:R678"/>
    <mergeCell ref="F377:I377"/>
    <mergeCell ref="D248:E248"/>
    <mergeCell ref="M1218:M1219"/>
    <mergeCell ref="K86:K87"/>
    <mergeCell ref="M1174:M1175"/>
    <mergeCell ref="B961:C961"/>
    <mergeCell ref="A514:A515"/>
    <mergeCell ref="K386:K387"/>
    <mergeCell ref="L810:L811"/>
    <mergeCell ref="L941:L942"/>
    <mergeCell ref="Q281:Q282"/>
    <mergeCell ref="B119:H119"/>
    <mergeCell ref="B1173:C1173"/>
    <mergeCell ref="L1110:L1111"/>
    <mergeCell ref="A1183:A1184"/>
    <mergeCell ref="L1241:L1242"/>
    <mergeCell ref="D722:E722"/>
    <mergeCell ref="A726:A727"/>
    <mergeCell ref="R819:R820"/>
    <mergeCell ref="N787:N788"/>
    <mergeCell ref="J1109:L1109"/>
    <mergeCell ref="B419:H419"/>
    <mergeCell ref="N482:N483"/>
    <mergeCell ref="H1182:I1182"/>
    <mergeCell ref="A1026:A1027"/>
    <mergeCell ref="N1087:N1088"/>
    <mergeCell ref="B1103:C1103"/>
    <mergeCell ref="B1314:C1314"/>
    <mergeCell ref="K130:K131"/>
    <mergeCell ref="K1104:K1105"/>
    <mergeCell ref="J97:L97"/>
    <mergeCell ref="B11:H11"/>
    <mergeCell ref="A1168:A1169"/>
    <mergeCell ref="N1229:N1230"/>
    <mergeCell ref="Q656:Q657"/>
    <mergeCell ref="B1099:H1099"/>
    <mergeCell ref="F563:I563"/>
    <mergeCell ref="R19:R20"/>
    <mergeCell ref="Q351:Q352"/>
    <mergeCell ref="F258:I258"/>
    <mergeCell ref="Q956:Q957"/>
    <mergeCell ref="K272:K273"/>
    <mergeCell ref="H382:I382"/>
    <mergeCell ref="F915:I915"/>
    <mergeCell ref="R319:R320"/>
    <mergeCell ref="B369:H369"/>
    <mergeCell ref="J691:J692"/>
    <mergeCell ref="J1173:L1173"/>
    <mergeCell ref="B303:C303"/>
    <mergeCell ref="B680:L680"/>
    <mergeCell ref="J239:L239"/>
    <mergeCell ref="P706:P707"/>
    <mergeCell ref="B603:C603"/>
    <mergeCell ref="K941:K942"/>
    <mergeCell ref="D1303:E1303"/>
    <mergeCell ref="P287:P288"/>
    <mergeCell ref="P281:P282"/>
    <mergeCell ref="M549:M550"/>
    <mergeCell ref="K1241:K1242"/>
    <mergeCell ref="K784:K785"/>
    <mergeCell ref="N668:N669"/>
    <mergeCell ref="O10:O11"/>
    <mergeCell ref="N205:N206"/>
    <mergeCell ref="B843:H843"/>
    <mergeCell ref="H524:I524"/>
    <mergeCell ref="B356:C356"/>
    <mergeCell ref="J161:L161"/>
    <mergeCell ref="B1143:H1143"/>
    <mergeCell ref="R63:R64"/>
    <mergeCell ref="H824:I824"/>
    <mergeCell ref="N1299:N1300"/>
    <mergeCell ref="B838:H838"/>
    <mergeCell ref="N1293:N1294"/>
    <mergeCell ref="J261:J262"/>
    <mergeCell ref="M255:M256"/>
    <mergeCell ref="R406:R407"/>
    <mergeCell ref="R389:R390"/>
    <mergeCell ref="P776:R776"/>
    <mergeCell ref="M1229:M1230"/>
    <mergeCell ref="P656:P657"/>
    <mergeCell ref="J1061:J1062"/>
    <mergeCell ref="A112:A113"/>
    <mergeCell ref="A106:A107"/>
    <mergeCell ref="B254:C254"/>
    <mergeCell ref="P351:P352"/>
    <mergeCell ref="B986:H986"/>
    <mergeCell ref="A226:A227"/>
    <mergeCell ref="J609:L609"/>
    <mergeCell ref="M613:M614"/>
    <mergeCell ref="P956:P957"/>
    <mergeCell ref="J146:L146"/>
    <mergeCell ref="H568:I568"/>
    <mergeCell ref="R874:R875"/>
    <mergeCell ref="L249:L250"/>
    <mergeCell ref="O706:O707"/>
    <mergeCell ref="H1237:I1237"/>
    <mergeCell ref="R717:R718"/>
    <mergeCell ref="L549:L550"/>
    <mergeCell ref="F290:I290"/>
    <mergeCell ref="L92:L93"/>
    <mergeCell ref="Q51:Q52"/>
    <mergeCell ref="H894:I894"/>
    <mergeCell ref="H932:I932"/>
    <mergeCell ref="J1241:J1242"/>
    <mergeCell ref="N10:N11"/>
    <mergeCell ref="P1098:P1099"/>
    <mergeCell ref="F127:I127"/>
    <mergeCell ref="D792:E792"/>
    <mergeCell ref="D373:E373"/>
    <mergeCell ref="R470:R471"/>
    <mergeCell ref="N310:N311"/>
    <mergeCell ref="J842:J843"/>
    <mergeCell ref="A906:A907"/>
    <mergeCell ref="R1075:R1076"/>
    <mergeCell ref="M1299:M1300"/>
    <mergeCell ref="J1289:L1289"/>
    <mergeCell ref="P840:R840"/>
    <mergeCell ref="D673:E673"/>
    <mergeCell ref="R770:R771"/>
    <mergeCell ref="J1142:J1143"/>
    <mergeCell ref="B754:C754"/>
    <mergeCell ref="L691:L692"/>
    <mergeCell ref="Q37:Q38"/>
    <mergeCell ref="A176:A177"/>
    <mergeCell ref="N237:N238"/>
    <mergeCell ref="F432:I432"/>
    <mergeCell ref="J559:L559"/>
    <mergeCell ref="A781:A782"/>
    <mergeCell ref="B923:C923"/>
    <mergeCell ref="Q825:Q826"/>
    <mergeCell ref="B1054:C1054"/>
    <mergeCell ref="A933:A934"/>
    <mergeCell ref="Q362:Q363"/>
    <mergeCell ref="A476:A477"/>
    <mergeCell ref="F732:I732"/>
    <mergeCell ref="N537:N538"/>
    <mergeCell ref="B1236:H1236"/>
    <mergeCell ref="J859:L859"/>
    <mergeCell ref="F269:I269"/>
    <mergeCell ref="Q1125:Q1126"/>
    <mergeCell ref="D841:E841"/>
    <mergeCell ref="O787:O788"/>
    <mergeCell ref="R1244:R1245"/>
    <mergeCell ref="D1141:E1141"/>
    <mergeCell ref="D684:E684"/>
    <mergeCell ref="O1087:O1088"/>
    <mergeCell ref="P298:P299"/>
    <mergeCell ref="B1065:C1065"/>
    <mergeCell ref="P40:R40"/>
    <mergeCell ref="N837:N83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D737:E737"/>
    <mergeCell ref="B855:H855"/>
    <mergeCell ref="M10:M11"/>
    <mergeCell ref="O1098:O1099"/>
    <mergeCell ref="F1101:I1101"/>
    <mergeCell ref="F682:I682"/>
    <mergeCell ref="Q889:Q890"/>
    <mergeCell ref="H132:I132"/>
    <mergeCell ref="B125:H125"/>
    <mergeCell ref="M310:M311"/>
    <mergeCell ref="L1299:L1300"/>
    <mergeCell ref="Q1189:Q1190"/>
    <mergeCell ref="Q770:Q771"/>
    <mergeCell ref="K697:K698"/>
    <mergeCell ref="K691:K692"/>
    <mergeCell ref="P37:P38"/>
    <mergeCell ref="K234:K235"/>
    <mergeCell ref="D1211:E1211"/>
    <mergeCell ref="P825:P826"/>
    <mergeCell ref="O1157:O1158"/>
    <mergeCell ref="K997:K998"/>
    <mergeCell ref="P368:P369"/>
    <mergeCell ref="B265:C265"/>
    <mergeCell ref="P362:P363"/>
    <mergeCell ref="M211:M212"/>
    <mergeCell ref="P1125:P1126"/>
    <mergeCell ref="H737:I737"/>
    <mergeCell ref="H274:I274"/>
    <mergeCell ref="M511:M512"/>
    <mergeCell ref="F1130:I1130"/>
    <mergeCell ref="R586:R587"/>
    <mergeCell ref="Q912:Q913"/>
    <mergeCell ref="R886:R887"/>
    <mergeCell ref="L261:L262"/>
    <mergeCell ref="J129:L129"/>
    <mergeCell ref="J342:J343"/>
    <mergeCell ref="M685:M686"/>
    <mergeCell ref="L1011:L1012"/>
    <mergeCell ref="F752:I752"/>
    <mergeCell ref="R156:R157"/>
    <mergeCell ref="M380:M381"/>
    <mergeCell ref="J528:J529"/>
    <mergeCell ref="B9:C9"/>
    <mergeCell ref="M985:M986"/>
    <mergeCell ref="J223:J224"/>
    <mergeCell ref="F1052:I1052"/>
    <mergeCell ref="J828:J829"/>
    <mergeCell ref="J59:L59"/>
    <mergeCell ref="E1:G3"/>
    <mergeCell ref="R482:R483"/>
    <mergeCell ref="B792:C792"/>
    <mergeCell ref="K1061:K1062"/>
    <mergeCell ref="B1105:H1105"/>
    <mergeCell ref="J728:L728"/>
    <mergeCell ref="J271:L271"/>
    <mergeCell ref="A950:A951"/>
    <mergeCell ref="M275:M276"/>
    <mergeCell ref="J265:L265"/>
    <mergeCell ref="B1092:C1092"/>
    <mergeCell ref="B948:H948"/>
    <mergeCell ref="J1028:L1028"/>
    <mergeCell ref="J697:J698"/>
    <mergeCell ref="R930:R931"/>
    <mergeCell ref="H987:I987"/>
    <mergeCell ref="J234:J235"/>
    <mergeCell ref="D553:E553"/>
    <mergeCell ref="B675:H675"/>
    <mergeCell ref="D853:E853"/>
    <mergeCell ref="Q101:Q102"/>
    <mergeCell ref="L325:L326"/>
    <mergeCell ref="O799:O800"/>
    <mergeCell ref="R525:R526"/>
    <mergeCell ref="D542:E542"/>
    <mergeCell ref="R226:R227"/>
    <mergeCell ref="D123:E123"/>
    <mergeCell ref="B1300:H1300"/>
    <mergeCell ref="K266:K267"/>
    <mergeCell ref="J929:L929"/>
    <mergeCell ref="B777:C777"/>
    <mergeCell ref="K566:K567"/>
    <mergeCell ref="J898:J899"/>
    <mergeCell ref="H1129:I1129"/>
    <mergeCell ref="J892:J893"/>
    <mergeCell ref="B504:C504"/>
    <mergeCell ref="K261:K262"/>
    <mergeCell ref="M808:O808"/>
    <mergeCell ref="L816:L817"/>
    <mergeCell ref="D297:E297"/>
    <mergeCell ref="Q575:Q576"/>
    <mergeCell ref="Q156:Q157"/>
    <mergeCell ref="J1097:L1097"/>
    <mergeCell ref="F25:I25"/>
    <mergeCell ref="O810:O811"/>
    <mergeCell ref="L1116:L1117"/>
    <mergeCell ref="D597:E597"/>
    <mergeCell ref="A1014:A1015"/>
    <mergeCell ref="L653:L654"/>
    <mergeCell ref="F394:I394"/>
    <mergeCell ref="B294:H294"/>
    <mergeCell ref="J940:L940"/>
    <mergeCell ref="J978:L978"/>
    <mergeCell ref="J1092:L1092"/>
    <mergeCell ref="H1057:I1057"/>
    <mergeCell ref="Q787:Q788"/>
    <mergeCell ref="D897:E897"/>
    <mergeCell ref="R994:R995"/>
    <mergeCell ref="A895:A896"/>
    <mergeCell ref="F694:I694"/>
    <mergeCell ref="R906:R907"/>
    <mergeCell ref="O1168:O1169"/>
    <mergeCell ref="O863:O864"/>
    <mergeCell ref="N130:N131"/>
    <mergeCell ref="B305:H305"/>
    <mergeCell ref="F1168:I1168"/>
    <mergeCell ref="H1199:I1199"/>
    <mergeCell ref="L397:L398"/>
    <mergeCell ref="A1043:A1044"/>
    <mergeCell ref="K761:K762"/>
    <mergeCell ref="A1037:A1038"/>
    <mergeCell ref="N1104:N1105"/>
    <mergeCell ref="P101:P102"/>
    <mergeCell ref="N799:N800"/>
    <mergeCell ref="F438:I438"/>
    <mergeCell ref="Q226:Q227"/>
    <mergeCell ref="M66:M67"/>
    <mergeCell ref="F133:I133"/>
    <mergeCell ref="F738:I738"/>
    <mergeCell ref="L1180:L1181"/>
    <mergeCell ref="L723:L724"/>
    <mergeCell ref="B968:L968"/>
    <mergeCell ref="K447:K448"/>
    <mergeCell ref="D961:E961"/>
    <mergeCell ref="M691:M692"/>
    <mergeCell ref="A965:A966"/>
    <mergeCell ref="L1023:L1024"/>
    <mergeCell ref="D1092:E1092"/>
    <mergeCell ref="F1221:I1221"/>
    <mergeCell ref="K816:K817"/>
    <mergeCell ref="P575:P576"/>
    <mergeCell ref="N941:N942"/>
    <mergeCell ref="K1116:K1117"/>
    <mergeCell ref="K659:K660"/>
    <mergeCell ref="Q368:Q369"/>
    <mergeCell ref="N543:N544"/>
    <mergeCell ref="N1241:N1242"/>
    <mergeCell ref="P787:P788"/>
    <mergeCell ref="H399:I399"/>
    <mergeCell ref="Q668:Q669"/>
    <mergeCell ref="H1004:I1004"/>
    <mergeCell ref="H699:I699"/>
    <mergeCell ref="F1232:I1232"/>
    <mergeCell ref="B686:H686"/>
    <mergeCell ref="A1107:A1108"/>
    <mergeCell ref="N1168:N1169"/>
    <mergeCell ref="J1008:J1009"/>
    <mergeCell ref="B387:H387"/>
    <mergeCell ref="M130:M131"/>
    <mergeCell ref="R237:R238"/>
    <mergeCell ref="F802:I802"/>
    <mergeCell ref="J304:J305"/>
    <mergeCell ref="M778:M779"/>
    <mergeCell ref="B542:C542"/>
    <mergeCell ref="H841:I841"/>
    <mergeCell ref="J604:J605"/>
    <mergeCell ref="B673:C673"/>
    <mergeCell ref="A95:A96"/>
    <mergeCell ref="J478:L478"/>
    <mergeCell ref="J21:L21"/>
    <mergeCell ref="H1141:I1141"/>
    <mergeCell ref="B1155:H1155"/>
    <mergeCell ref="B698:H698"/>
    <mergeCell ref="J447:J448"/>
    <mergeCell ref="J690:L690"/>
    <mergeCell ref="O249:O250"/>
    <mergeCell ref="R592:R593"/>
    <mergeCell ref="R706:R707"/>
    <mergeCell ref="H763:I763"/>
    <mergeCell ref="L98:L99"/>
    <mergeCell ref="B756:H756"/>
    <mergeCell ref="O854:O855"/>
    <mergeCell ref="J1078:J1079"/>
    <mergeCell ref="J379:L379"/>
    <mergeCell ref="B271:C271"/>
    <mergeCell ref="O549:O550"/>
    <mergeCell ref="B876:C876"/>
    <mergeCell ref="B1056:H1056"/>
    <mergeCell ref="P973:P974"/>
    <mergeCell ref="Q10:Q11"/>
    <mergeCell ref="N185:N186"/>
    <mergeCell ref="Q310:Q311"/>
    <mergeCell ref="O723:O724"/>
    <mergeCell ref="M842:M843"/>
    <mergeCell ref="P1299:P1300"/>
    <mergeCell ref="L566:L567"/>
    <mergeCell ref="L109:L110"/>
    <mergeCell ref="M1142:M1143"/>
    <mergeCell ref="B929:C929"/>
    <mergeCell ref="L866:L867"/>
    <mergeCell ref="Q237:Q238"/>
    <mergeCell ref="F607:I607"/>
    <mergeCell ref="L409:L410"/>
    <mergeCell ref="H1211:I1211"/>
    <mergeCell ref="A482:A483"/>
    <mergeCell ref="F144:I144"/>
    <mergeCell ref="N80:N81"/>
    <mergeCell ref="L1197:L1198"/>
    <mergeCell ref="L778:L779"/>
    <mergeCell ref="Q537:Q538"/>
    <mergeCell ref="A319:A320"/>
    <mergeCell ref="R656:R657"/>
    <mergeCell ref="D690:E690"/>
    <mergeCell ref="R787:R788"/>
    <mergeCell ref="O918:O919"/>
    <mergeCell ref="R1087:R1088"/>
    <mergeCell ref="B940:C940"/>
    <mergeCell ref="H85:I85"/>
    <mergeCell ref="A493:A494"/>
    <mergeCell ref="N554:N555"/>
    <mergeCell ref="A1098:A1099"/>
    <mergeCell ref="Q74:Q75"/>
    <mergeCell ref="N249:N250"/>
    <mergeCell ref="A793:A794"/>
    <mergeCell ref="K511:K512"/>
    <mergeCell ref="N854:N855"/>
    <mergeCell ref="Q380:Q381"/>
    <mergeCell ref="N549:N550"/>
    <mergeCell ref="N1312:N1313"/>
    <mergeCell ref="B398:H398"/>
    <mergeCell ref="H1161:I1161"/>
    <mergeCell ref="D1001:E1001"/>
    <mergeCell ref="P10:P11"/>
    <mergeCell ref="R1098:R1099"/>
    <mergeCell ref="O947:O948"/>
    <mergeCell ref="A1151:A1152"/>
    <mergeCell ref="F514:I514"/>
    <mergeCell ref="K109:K110"/>
    <mergeCell ref="D754:E754"/>
    <mergeCell ref="N691:N692"/>
    <mergeCell ref="K866:K867"/>
    <mergeCell ref="K409:K410"/>
    <mergeCell ref="J76:L76"/>
    <mergeCell ref="D1054:E1054"/>
    <mergeCell ref="K1197:K1198"/>
    <mergeCell ref="P543:P544"/>
    <mergeCell ref="H155:I155"/>
    <mergeCell ref="R92:R93"/>
    <mergeCell ref="H149:I149"/>
    <mergeCell ref="P211:P212"/>
    <mergeCell ref="J464:J465"/>
    <mergeCell ref="J159:J160"/>
    <mergeCell ref="H449:I449"/>
    <mergeCell ref="D1228:E1228"/>
    <mergeCell ref="B811:H811"/>
    <mergeCell ref="Q1093:Q1094"/>
    <mergeCell ref="Q1087:Q1088"/>
    <mergeCell ref="B925:H925"/>
    <mergeCell ref="P842:P843"/>
    <mergeCell ref="P1142:P1143"/>
    <mergeCell ref="P685:P686"/>
    <mergeCell ref="J517:J518"/>
    <mergeCell ref="H297:I297"/>
    <mergeCell ref="B740:C740"/>
    <mergeCell ref="J54:J55"/>
    <mergeCell ref="M397:M398"/>
    <mergeCell ref="M528:M529"/>
    <mergeCell ref="M223:M224"/>
    <mergeCell ref="L278:L279"/>
    <mergeCell ref="B335:C335"/>
    <mergeCell ref="N947:N948"/>
    <mergeCell ref="J140:L140"/>
    <mergeCell ref="N1061:N1062"/>
    <mergeCell ref="A362:A363"/>
    <mergeCell ref="Q406:Q407"/>
    <mergeCell ref="D59:E59"/>
    <mergeCell ref="B823:H823"/>
    <mergeCell ref="J440:L440"/>
    <mergeCell ref="M1002:M1003"/>
    <mergeCell ref="F1069:I1069"/>
    <mergeCell ref="J845:J846"/>
    <mergeCell ref="B21:C21"/>
    <mergeCell ref="J83:J84"/>
    <mergeCell ref="Q1157:Q1158"/>
    <mergeCell ref="J745:L745"/>
    <mergeCell ref="B1109:C1109"/>
    <mergeCell ref="B652:C652"/>
    <mergeCell ref="M1055:M1056"/>
    <mergeCell ref="N266:N267"/>
    <mergeCell ref="M592:M593"/>
    <mergeCell ref="P1093:P1094"/>
    <mergeCell ref="J184:L184"/>
    <mergeCell ref="M892:M893"/>
    <mergeCell ref="F357:I357"/>
    <mergeCell ref="H961:I961"/>
    <mergeCell ref="O685:O686"/>
    <mergeCell ref="O816:O817"/>
    <mergeCell ref="L991:L992"/>
    <mergeCell ref="L947:L948"/>
    <mergeCell ref="L528:L529"/>
    <mergeCell ref="D140:E140"/>
    <mergeCell ref="O985:O986"/>
    <mergeCell ref="F874:I874"/>
    <mergeCell ref="O1116:O1117"/>
    <mergeCell ref="J510:L510"/>
    <mergeCell ref="Q662:Q663"/>
    <mergeCell ref="L828:L829"/>
    <mergeCell ref="A863:A864"/>
    <mergeCell ref="F569:I569"/>
    <mergeCell ref="R543:R544"/>
    <mergeCell ref="D440:E440"/>
    <mergeCell ref="A857:A858"/>
    <mergeCell ref="R537:R538"/>
    <mergeCell ref="J1115:L1115"/>
    <mergeCell ref="J909:J910"/>
    <mergeCell ref="Q962:Q963"/>
    <mergeCell ref="K278:K279"/>
    <mergeCell ref="O1043:O1044"/>
    <mergeCell ref="K883:K884"/>
    <mergeCell ref="J1215:J1216"/>
    <mergeCell ref="K578:K579"/>
    <mergeCell ref="F42:I42"/>
    <mergeCell ref="Q130:Q131"/>
    <mergeCell ref="J652:L652"/>
    <mergeCell ref="A912:A913"/>
    <mergeCell ref="N1093:N1094"/>
    <mergeCell ref="O397:O398"/>
    <mergeCell ref="Q1104:Q1105"/>
    <mergeCell ref="A1218:A1219"/>
    <mergeCell ref="A1212:A1213"/>
    <mergeCell ref="H911:I911"/>
    <mergeCell ref="O1180:O1181"/>
    <mergeCell ref="D809:E809"/>
    <mergeCell ref="L898:L899"/>
    <mergeCell ref="D510:E510"/>
    <mergeCell ref="N816:N817"/>
    <mergeCell ref="K947:K948"/>
    <mergeCell ref="H30:I30"/>
    <mergeCell ref="N1116:N1117"/>
    <mergeCell ref="Q543:Q544"/>
    <mergeCell ref="O16:O17"/>
    <mergeCell ref="B561:H561"/>
    <mergeCell ref="B872:L872"/>
    <mergeCell ref="Q1168:Q1169"/>
    <mergeCell ref="A101:A102"/>
    <mergeCell ref="J252:J253"/>
    <mergeCell ref="F1081:I1081"/>
    <mergeCell ref="B795:C795"/>
    <mergeCell ref="P892:P893"/>
    <mergeCell ref="N1017:N1018"/>
    <mergeCell ref="B518:H518"/>
    <mergeCell ref="R112:R113"/>
    <mergeCell ref="R412:R413"/>
    <mergeCell ref="N397:N398"/>
    <mergeCell ref="M761:M762"/>
    <mergeCell ref="P1104:P1105"/>
    <mergeCell ref="M304:M305"/>
    <mergeCell ref="H716:I716"/>
    <mergeCell ref="J479:J480"/>
    <mergeCell ref="B91:C91"/>
    <mergeCell ref="H411:I411"/>
    <mergeCell ref="J27:L27"/>
    <mergeCell ref="H1016:I1016"/>
    <mergeCell ref="Q162:Q163"/>
    <mergeCell ref="A243:A244"/>
    <mergeCell ref="B385:C385"/>
    <mergeCell ref="J196:L196"/>
    <mergeCell ref="K1029:K1030"/>
    <mergeCell ref="L240:L241"/>
    <mergeCell ref="O124:O125"/>
    <mergeCell ref="R554:R555"/>
    <mergeCell ref="R249:R250"/>
    <mergeCell ref="B936:L936"/>
    <mergeCell ref="B931:H931"/>
    <mergeCell ref="P848:P849"/>
    <mergeCell ref="B865:C865"/>
    <mergeCell ref="R549:R550"/>
    <mergeCell ref="J921:J922"/>
    <mergeCell ref="M805:M806"/>
    <mergeCell ref="P1148:P1149"/>
    <mergeCell ref="N16:N17"/>
    <mergeCell ref="J338:L338"/>
    <mergeCell ref="K1040:K1041"/>
    <mergeCell ref="Q185:Q186"/>
    <mergeCell ref="A255:A256"/>
    <mergeCell ref="O266:O267"/>
    <mergeCell ref="O566:O567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O866:O867"/>
    <mergeCell ref="B768:H768"/>
    <mergeCell ref="L1066:L1067"/>
    <mergeCell ref="A613:A614"/>
    <mergeCell ref="F319:I319"/>
    <mergeCell ref="Q80:Q81"/>
    <mergeCell ref="O778:O779"/>
    <mergeCell ref="K34:K35"/>
    <mergeCell ref="K28:K29"/>
    <mergeCell ref="D978:E978"/>
    <mergeCell ref="R662:R663"/>
    <mergeCell ref="D521:E521"/>
    <mergeCell ref="O793:O794"/>
    <mergeCell ref="D216:E216"/>
    <mergeCell ref="P1032:R1032"/>
    <mergeCell ref="R962:R963"/>
    <mergeCell ref="A368:A369"/>
    <mergeCell ref="L426:L427"/>
    <mergeCell ref="J1029:J1030"/>
    <mergeCell ref="J865:L865"/>
    <mergeCell ref="B1246:C1246"/>
    <mergeCell ref="Q554:Q555"/>
    <mergeCell ref="A668:A669"/>
    <mergeCell ref="B783:C783"/>
    <mergeCell ref="A205:A206"/>
    <mergeCell ref="F461:I461"/>
    <mergeCell ref="Q249:Q250"/>
    <mergeCell ref="B484:C484"/>
    <mergeCell ref="H1124:I1124"/>
    <mergeCell ref="Q854:Q855"/>
    <mergeCell ref="N98:N99"/>
    <mergeCell ref="B273:H273"/>
    <mergeCell ref="D876:E876"/>
    <mergeCell ref="A1293:A1294"/>
    <mergeCell ref="R973:R974"/>
    <mergeCell ref="Q1312:Q1313"/>
    <mergeCell ref="B573:H573"/>
    <mergeCell ref="M147:M148"/>
    <mergeCell ref="O930:O931"/>
    <mergeCell ref="F389:I389"/>
    <mergeCell ref="H402:I402"/>
    <mergeCell ref="K1145:K1146"/>
    <mergeCell ref="M1203:M1204"/>
    <mergeCell ref="D1048:E1048"/>
    <mergeCell ref="A1:D2"/>
    <mergeCell ref="N572:N573"/>
    <mergeCell ref="N566:N567"/>
    <mergeCell ref="N109:N110"/>
    <mergeCell ref="D1234:E1234"/>
    <mergeCell ref="K415:K416"/>
    <mergeCell ref="D929:E929"/>
    <mergeCell ref="N866:N867"/>
    <mergeCell ref="B110:H110"/>
    <mergeCell ref="P80:P81"/>
    <mergeCell ref="B715:H715"/>
    <mergeCell ref="N1197:N1198"/>
    <mergeCell ref="L1253:L1254"/>
    <mergeCell ref="F531:I531"/>
    <mergeCell ref="N467:N468"/>
    <mergeCell ref="J307:J308"/>
    <mergeCell ref="F1136:I1136"/>
    <mergeCell ref="Q918:Q919"/>
    <mergeCell ref="N162:N163"/>
    <mergeCell ref="F831:I831"/>
    <mergeCell ref="B1311:C1311"/>
    <mergeCell ref="O435:O436"/>
    <mergeCell ref="N767:N768"/>
    <mergeCell ref="D1071:E1071"/>
    <mergeCell ref="P560:P561"/>
    <mergeCell ref="P554:P555"/>
    <mergeCell ref="J60:J61"/>
    <mergeCell ref="M517:M518"/>
    <mergeCell ref="P854:P855"/>
    <mergeCell ref="M98:M99"/>
    <mergeCell ref="H472:I472"/>
    <mergeCell ref="M54:M55"/>
    <mergeCell ref="H466:I466"/>
    <mergeCell ref="J229:J230"/>
    <mergeCell ref="H9:I9"/>
    <mergeCell ref="H161:I161"/>
    <mergeCell ref="B154:H154"/>
    <mergeCell ref="A1174:A1175"/>
    <mergeCell ref="L147:L148"/>
    <mergeCell ref="K1084:K1085"/>
    <mergeCell ref="L453:L454"/>
    <mergeCell ref="B1111:H1111"/>
    <mergeCell ref="P150:P151"/>
    <mergeCell ref="B779:H779"/>
    <mergeCell ref="P1002:P1003"/>
    <mergeCell ref="H62:I62"/>
    <mergeCell ref="B1079:H1079"/>
    <mergeCell ref="J371:J372"/>
    <mergeCell ref="F1244:I1244"/>
    <mergeCell ref="M845:M846"/>
    <mergeCell ref="J1020:J1021"/>
    <mergeCell ref="M1197:M1198"/>
    <mergeCell ref="K1253:K1254"/>
    <mergeCell ref="B521:C521"/>
    <mergeCell ref="J920:L920"/>
    <mergeCell ref="A74:A75"/>
    <mergeCell ref="J463:L463"/>
    <mergeCell ref="J457:L457"/>
    <mergeCell ref="B827:C827"/>
    <mergeCell ref="P1055:P1056"/>
    <mergeCell ref="B495:C495"/>
    <mergeCell ref="A374:A375"/>
    <mergeCell ref="M767:M768"/>
    <mergeCell ref="J757:L757"/>
    <mergeCell ref="R842:R843"/>
    <mergeCell ref="A63:A64"/>
    <mergeCell ref="P1288:R1288"/>
    <mergeCell ref="L822:L823"/>
    <mergeCell ref="R1142:R1143"/>
    <mergeCell ref="D15:E15"/>
    <mergeCell ref="Q293:Q294"/>
    <mergeCell ref="R685:R686"/>
    <mergeCell ref="L517:L518"/>
    <mergeCell ref="O991:O992"/>
    <mergeCell ref="D129:E129"/>
    <mergeCell ref="L1122:L1123"/>
    <mergeCell ref="O528:O529"/>
    <mergeCell ref="J53:L53"/>
    <mergeCell ref="D315:E315"/>
    <mergeCell ref="A732:A733"/>
    <mergeCell ref="B969:C969"/>
    <mergeCell ref="J1084:J1085"/>
    <mergeCell ref="O586:O587"/>
    <mergeCell ref="R1043:R1044"/>
    <mergeCell ref="M1000:O1000"/>
    <mergeCell ref="O1307:O1308"/>
    <mergeCell ref="O886:O887"/>
    <mergeCell ref="F217:I217"/>
    <mergeCell ref="O1002:O1003"/>
    <mergeCell ref="A1206:A1207"/>
    <mergeCell ref="L845:L846"/>
    <mergeCell ref="F586:I586"/>
    <mergeCell ref="J1132:L1132"/>
    <mergeCell ref="A874:A875"/>
    <mergeCell ref="B1022:C1022"/>
    <mergeCell ref="B23:H23"/>
    <mergeCell ref="J827:L827"/>
    <mergeCell ref="Q979:Q980"/>
    <mergeCell ref="H1249:I1249"/>
    <mergeCell ref="F886:I886"/>
    <mergeCell ref="J1226:J1227"/>
    <mergeCell ref="O1055:O1056"/>
    <mergeCell ref="P266:P267"/>
    <mergeCell ref="D798:E798"/>
    <mergeCell ref="R1066:R1067"/>
    <mergeCell ref="N322:N323"/>
    <mergeCell ref="J1185:L1185"/>
    <mergeCell ref="K165:K166"/>
    <mergeCell ref="H178:I178"/>
    <mergeCell ref="J969:L969"/>
    <mergeCell ref="K496:K497"/>
    <mergeCell ref="P293:P294"/>
    <mergeCell ref="K490:K491"/>
    <mergeCell ref="Q816:Q817"/>
    <mergeCell ref="N534:N535"/>
    <mergeCell ref="F298:I298"/>
    <mergeCell ref="N217:N218"/>
    <mergeCell ref="L915:L916"/>
    <mergeCell ref="Q1043:Q1044"/>
    <mergeCell ref="L1215:L1216"/>
    <mergeCell ref="D827:E827"/>
    <mergeCell ref="F950:I950"/>
    <mergeCell ref="D821:E821"/>
    <mergeCell ref="P435:P436"/>
    <mergeCell ref="M153:M154"/>
    <mergeCell ref="K851:K852"/>
    <mergeCell ref="P610:P611"/>
    <mergeCell ref="K845:K846"/>
    <mergeCell ref="P741:P742"/>
    <mergeCell ref="K965:K966"/>
    <mergeCell ref="J169:L169"/>
    <mergeCell ref="P1066:P1067"/>
    <mergeCell ref="J22:J23"/>
    <mergeCell ref="M479:M480"/>
    <mergeCell ref="H891:I891"/>
    <mergeCell ref="J138:J139"/>
    <mergeCell ref="B878:H878"/>
    <mergeCell ref="A1299:A1300"/>
    <mergeCell ref="K560:K561"/>
    <mergeCell ref="B579:H579"/>
    <mergeCell ref="B535:H535"/>
    <mergeCell ref="B116:H116"/>
    <mergeCell ref="B840:L840"/>
    <mergeCell ref="B230:H230"/>
    <mergeCell ref="K860:K861"/>
    <mergeCell ref="N1203:N1204"/>
    <mergeCell ref="J527:L527"/>
    <mergeCell ref="F994:I994"/>
    <mergeCell ref="B1204:H1204"/>
    <mergeCell ref="R124:R125"/>
    <mergeCell ref="J496:J497"/>
    <mergeCell ref="M970:M971"/>
    <mergeCell ref="R729:R730"/>
    <mergeCell ref="J1101:J1102"/>
    <mergeCell ref="H1033:I1033"/>
    <mergeCell ref="J796:J797"/>
    <mergeCell ref="B408:C408"/>
    <mergeCell ref="P505:P506"/>
    <mergeCell ref="J213:L213"/>
    <mergeCell ref="K915:K916"/>
    <mergeCell ref="B708:C708"/>
    <mergeCell ref="P805:P806"/>
    <mergeCell ref="Q16:Q17"/>
    <mergeCell ref="A130:A131"/>
    <mergeCell ref="A261:A262"/>
    <mergeCell ref="J513:L513"/>
    <mergeCell ref="K1215:K1216"/>
    <mergeCell ref="H603:I603"/>
    <mergeCell ref="D169:E169"/>
    <mergeCell ref="R266:R267"/>
    <mergeCell ref="O441:O442"/>
    <mergeCell ref="R898:R899"/>
    <mergeCell ref="R566:R567"/>
    <mergeCell ref="O741:O742"/>
    <mergeCell ref="J108:L108"/>
    <mergeCell ref="J938:J939"/>
    <mergeCell ref="B1248:H1248"/>
    <mergeCell ref="O1066:O1067"/>
    <mergeCell ref="J1238:J1239"/>
    <mergeCell ref="D396:E396"/>
    <mergeCell ref="R493:R494"/>
    <mergeCell ref="N333:N334"/>
    <mergeCell ref="D91:E91"/>
    <mergeCell ref="D696:E696"/>
    <mergeCell ref="R793:R794"/>
    <mergeCell ref="L301:L302"/>
    <mergeCell ref="J860:J861"/>
    <mergeCell ref="A941:A942"/>
    <mergeCell ref="K202:K203"/>
    <mergeCell ref="B1077:C1077"/>
    <mergeCell ref="Q429:Q430"/>
    <mergeCell ref="L601:L602"/>
    <mergeCell ref="F342:I342"/>
    <mergeCell ref="F336:I336"/>
    <mergeCell ref="B772:C772"/>
    <mergeCell ref="Q124:Q125"/>
    <mergeCell ref="K502:K503"/>
    <mergeCell ref="A325:A326"/>
    <mergeCell ref="F31:I31"/>
    <mergeCell ref="N386:N387"/>
    <mergeCell ref="Q729:Q730"/>
    <mergeCell ref="A930:A931"/>
    <mergeCell ref="D233:E233"/>
    <mergeCell ref="L1226:L1227"/>
    <mergeCell ref="N229:N230"/>
    <mergeCell ref="A842:A843"/>
    <mergeCell ref="D865:E865"/>
    <mergeCell ref="M22:M23"/>
    <mergeCell ref="O1110:O1111"/>
    <mergeCell ref="L354:L355"/>
    <mergeCell ref="D533:E533"/>
    <mergeCell ref="P16:P17"/>
    <mergeCell ref="D719:E719"/>
    <mergeCell ref="B1132:C1132"/>
    <mergeCell ref="Q266:Q267"/>
    <mergeCell ref="K246:K247"/>
    <mergeCell ref="N589:N590"/>
    <mergeCell ref="Q566:Q567"/>
    <mergeCell ref="N284:N285"/>
    <mergeCell ref="B590:H590"/>
    <mergeCell ref="B285:H285"/>
    <mergeCell ref="J182:J183"/>
    <mergeCell ref="Q924:Q925"/>
    <mergeCell ref="F706:I706"/>
    <mergeCell ref="K301:K302"/>
    <mergeCell ref="D946:E946"/>
    <mergeCell ref="R435:R436"/>
    <mergeCell ref="K601:K602"/>
    <mergeCell ref="D1246:E1246"/>
    <mergeCell ref="P403:P404"/>
    <mergeCell ref="H15:I15"/>
    <mergeCell ref="P517:P518"/>
    <mergeCell ref="B29:H29"/>
    <mergeCell ref="M229:M230"/>
    <mergeCell ref="H184:I184"/>
    <mergeCell ref="F848:I848"/>
    <mergeCell ref="F1148:I1148"/>
    <mergeCell ref="K610:K611"/>
    <mergeCell ref="B654:H654"/>
    <mergeCell ref="J283:L283"/>
    <mergeCell ref="J277:L277"/>
    <mergeCell ref="B960:H960"/>
    <mergeCell ref="P877:P878"/>
    <mergeCell ref="B954:H954"/>
    <mergeCell ref="O1203:O1204"/>
    <mergeCell ref="J577:L577"/>
    <mergeCell ref="J246:J247"/>
    <mergeCell ref="M720:M721"/>
    <mergeCell ref="H783:I783"/>
    <mergeCell ref="M1020:M1021"/>
    <mergeCell ref="B158:C158"/>
    <mergeCell ref="B527:C527"/>
    <mergeCell ref="L770:L771"/>
    <mergeCell ref="Q141:Q142"/>
    <mergeCell ref="B370:C370"/>
    <mergeCell ref="J1304:J1305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B1313:H1313"/>
    <mergeCell ref="O522:O523"/>
    <mergeCell ref="L365:L366"/>
    <mergeCell ref="F1098:I1098"/>
    <mergeCell ref="O822:O823"/>
    <mergeCell ref="L60:L61"/>
    <mergeCell ref="O403:O404"/>
    <mergeCell ref="O517:O518"/>
    <mergeCell ref="L665:L666"/>
    <mergeCell ref="D146:E146"/>
    <mergeCell ref="R991:R992"/>
    <mergeCell ref="B844:C844"/>
    <mergeCell ref="O1122:O1123"/>
    <mergeCell ref="O703:O704"/>
    <mergeCell ref="M784:M785"/>
    <mergeCell ref="A691:A692"/>
    <mergeCell ref="M1090:M1091"/>
    <mergeCell ref="M1084:M1085"/>
    <mergeCell ref="Q179:Q180"/>
    <mergeCell ref="H1153:I1153"/>
    <mergeCell ref="R1218:R1219"/>
    <mergeCell ref="F92:I92"/>
    <mergeCell ref="P1000:R1000"/>
    <mergeCell ref="L534:L535"/>
    <mergeCell ref="L720:L721"/>
    <mergeCell ref="J1007:L1007"/>
    <mergeCell ref="R1002:R1003"/>
    <mergeCell ref="L834:L835"/>
    <mergeCell ref="J702:L702"/>
    <mergeCell ref="F112:I112"/>
    <mergeCell ref="O845:O846"/>
    <mergeCell ref="L1020:L1021"/>
    <mergeCell ref="J370:L370"/>
    <mergeCell ref="A1049:A1050"/>
    <mergeCell ref="A592:A593"/>
    <mergeCell ref="R272:R273"/>
    <mergeCell ref="J975:L975"/>
    <mergeCell ref="K13:K14"/>
    <mergeCell ref="A892:A893"/>
    <mergeCell ref="B556:C556"/>
    <mergeCell ref="O1072:O1073"/>
    <mergeCell ref="D958:E958"/>
    <mergeCell ref="R1055:R1056"/>
    <mergeCell ref="O773:O774"/>
    <mergeCell ref="H53:I53"/>
    <mergeCell ref="N522:N523"/>
    <mergeCell ref="M1160:O1160"/>
    <mergeCell ref="J844:L844"/>
    <mergeCell ref="H353:I353"/>
    <mergeCell ref="B340:H340"/>
    <mergeCell ref="N822:N823"/>
    <mergeCell ref="J1144:L1144"/>
    <mergeCell ref="N953:N954"/>
    <mergeCell ref="Q1296:Q1297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B366:H366"/>
    <mergeCell ref="J1202:L1202"/>
    <mergeCell ref="O915:O916"/>
    <mergeCell ref="L1090:L1091"/>
    <mergeCell ref="L1221:L1222"/>
    <mergeCell ref="D702:E702"/>
    <mergeCell ref="A1119:A1120"/>
    <mergeCell ref="A656:A657"/>
    <mergeCell ref="O1215:O1216"/>
    <mergeCell ref="Q1307:Q1308"/>
    <mergeCell ref="Q886:Q887"/>
    <mergeCell ref="D539:E539"/>
    <mergeCell ref="F799:I799"/>
    <mergeCell ref="K813:K814"/>
    <mergeCell ref="P153:P154"/>
    <mergeCell ref="K508:K509"/>
    <mergeCell ref="Q272:Q273"/>
    <mergeCell ref="H117:I117"/>
    <mergeCell ref="M354:M355"/>
    <mergeCell ref="P1241:P1242"/>
    <mergeCell ref="H853:I853"/>
    <mergeCell ref="H417:I417"/>
    <mergeCell ref="P264:R264"/>
    <mergeCell ref="O89:O90"/>
    <mergeCell ref="J33:L33"/>
    <mergeCell ref="K735:K736"/>
    <mergeCell ref="B710:H710"/>
    <mergeCell ref="M953:M954"/>
    <mergeCell ref="M496:M497"/>
    <mergeCell ref="H908:I908"/>
    <mergeCell ref="J671:J672"/>
    <mergeCell ref="J339:J340"/>
    <mergeCell ref="M796:M797"/>
    <mergeCell ref="H1208:I1208"/>
    <mergeCell ref="B577:C577"/>
    <mergeCell ref="B120:C120"/>
    <mergeCell ref="Q22:Q23"/>
    <mergeCell ref="M424:O424"/>
    <mergeCell ref="J56:L56"/>
    <mergeCell ref="L432:L433"/>
    <mergeCell ref="Q191:Q192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128:L1128"/>
    <mergeCell ref="J813:J814"/>
    <mergeCell ref="O153:O154"/>
    <mergeCell ref="J508:J509"/>
    <mergeCell ref="H804:I804"/>
    <mergeCell ref="R741:R742"/>
    <mergeCell ref="O941:O942"/>
    <mergeCell ref="A31:A32"/>
    <mergeCell ref="J1113:J1114"/>
    <mergeCell ref="B725:C725"/>
    <mergeCell ref="P822:P823"/>
    <mergeCell ref="B719:C719"/>
    <mergeCell ref="D271:E271"/>
    <mergeCell ref="L790:L791"/>
    <mergeCell ref="O1241:O1242"/>
    <mergeCell ref="B1025:C1025"/>
    <mergeCell ref="D571:E571"/>
    <mergeCell ref="A447:A448"/>
    <mergeCell ref="R668:R669"/>
    <mergeCell ref="D239:E239"/>
    <mergeCell ref="L476:L477"/>
    <mergeCell ref="Q418:Q419"/>
    <mergeCell ref="K377:K378"/>
    <mergeCell ref="A42:A43"/>
    <mergeCell ref="Q86:Q87"/>
    <mergeCell ref="N261:N262"/>
    <mergeCell ref="J120:L120"/>
    <mergeCell ref="L496:L497"/>
    <mergeCell ref="O970:O971"/>
    <mergeCell ref="Q386:Q387"/>
    <mergeCell ref="L1101:L1102"/>
    <mergeCell ref="D713:E713"/>
    <mergeCell ref="R810:R811"/>
    <mergeCell ref="D408:E408"/>
    <mergeCell ref="J1208:L1208"/>
    <mergeCell ref="H1173:I1173"/>
    <mergeCell ref="K63:K64"/>
    <mergeCell ref="P22:P23"/>
    <mergeCell ref="D1013:E1013"/>
    <mergeCell ref="R1110:R1111"/>
    <mergeCell ref="H868:I868"/>
    <mergeCell ref="D708:E708"/>
    <mergeCell ref="R805:R806"/>
    <mergeCell ref="J1177:J1178"/>
    <mergeCell ref="B789:C789"/>
    <mergeCell ref="Q746:Q747"/>
    <mergeCell ref="B975:C975"/>
    <mergeCell ref="F653:I653"/>
    <mergeCell ref="B1089:C1089"/>
    <mergeCell ref="Q441:Q442"/>
    <mergeCell ref="D766:E766"/>
    <mergeCell ref="B1306:C1306"/>
    <mergeCell ref="Q1046:Q1047"/>
    <mergeCell ref="K421:K422"/>
    <mergeCell ref="B465:H465"/>
    <mergeCell ref="Q741:Q742"/>
    <mergeCell ref="K790:K791"/>
    <mergeCell ref="B765:H765"/>
    <mergeCell ref="F554:I554"/>
    <mergeCell ref="R10:R11"/>
    <mergeCell ref="Q342:Q343"/>
    <mergeCell ref="J1252:L1252"/>
    <mergeCell ref="F249:I249"/>
    <mergeCell ref="J77:J78"/>
    <mergeCell ref="F854:I854"/>
    <mergeCell ref="R310:R311"/>
    <mergeCell ref="D777:E777"/>
    <mergeCell ref="F549:I549"/>
    <mergeCell ref="K563:K564"/>
    <mergeCell ref="D1121:E1121"/>
    <mergeCell ref="D1077:E1077"/>
    <mergeCell ref="A1081:A1082"/>
    <mergeCell ref="K258:K259"/>
    <mergeCell ref="B907:H907"/>
    <mergeCell ref="A147:A148"/>
    <mergeCell ref="B289:C289"/>
    <mergeCell ref="P386:P387"/>
    <mergeCell ref="H190:I190"/>
    <mergeCell ref="F723:I723"/>
    <mergeCell ref="N659:N660"/>
    <mergeCell ref="N773:N774"/>
    <mergeCell ref="Q1110:Q1111"/>
    <mergeCell ref="N354:N355"/>
    <mergeCell ref="L1307:L1308"/>
    <mergeCell ref="F1023:I1023"/>
    <mergeCell ref="K485:K486"/>
    <mergeCell ref="N959:N960"/>
    <mergeCell ref="H815:I815"/>
    <mergeCell ref="B835:H835"/>
    <mergeCell ref="B829:H829"/>
    <mergeCell ref="B372:H372"/>
    <mergeCell ref="M709:M710"/>
    <mergeCell ref="M246:M247"/>
    <mergeCell ref="P589:P590"/>
    <mergeCell ref="H658:I658"/>
    <mergeCell ref="P720:P721"/>
    <mergeCell ref="H201:I201"/>
    <mergeCell ref="J95:J96"/>
    <mergeCell ref="J89:J90"/>
    <mergeCell ref="F918:I918"/>
    <mergeCell ref="Q706:Q707"/>
    <mergeCell ref="H1289:I1289"/>
    <mergeCell ref="H984:I984"/>
    <mergeCell ref="L182:L183"/>
    <mergeCell ref="B239:C239"/>
    <mergeCell ref="B977:H977"/>
    <mergeCell ref="B971:H971"/>
    <mergeCell ref="A211:A212"/>
    <mergeCell ref="J594:L594"/>
    <mergeCell ref="L970:L971"/>
    <mergeCell ref="J289:L289"/>
    <mergeCell ref="H254:I254"/>
    <mergeCell ref="D94:E94"/>
    <mergeCell ref="A98:A99"/>
    <mergeCell ref="R191:R192"/>
    <mergeCell ref="A511:A512"/>
    <mergeCell ref="B814:H814"/>
    <mergeCell ref="J563:J564"/>
    <mergeCell ref="H859:I859"/>
    <mergeCell ref="J258:J259"/>
    <mergeCell ref="R522:R523"/>
    <mergeCell ref="O697:O698"/>
    <mergeCell ref="B475:C475"/>
    <mergeCell ref="L540:L541"/>
    <mergeCell ref="D21:E21"/>
    <mergeCell ref="R822:R823"/>
    <mergeCell ref="O997:O998"/>
    <mergeCell ref="P1247:P1248"/>
    <mergeCell ref="Q458:Q459"/>
    <mergeCell ref="B687:C687"/>
    <mergeCell ref="P784:P785"/>
    <mergeCell ref="A109:A110"/>
    <mergeCell ref="F365:I365"/>
    <mergeCell ref="M959:M960"/>
    <mergeCell ref="J492:L492"/>
    <mergeCell ref="P1084:P1085"/>
    <mergeCell ref="A1197:A1198"/>
    <mergeCell ref="R877:R878"/>
    <mergeCell ref="Q28:Q29"/>
    <mergeCell ref="B309:C309"/>
    <mergeCell ref="L246:L247"/>
    <mergeCell ref="L377:L378"/>
    <mergeCell ref="O720:O721"/>
    <mergeCell ref="J664:L664"/>
    <mergeCell ref="H1240:I1240"/>
    <mergeCell ref="J245:L245"/>
    <mergeCell ref="A924:A925"/>
    <mergeCell ref="R1177:R1178"/>
    <mergeCell ref="B1161:C1161"/>
    <mergeCell ref="A581:A582"/>
    <mergeCell ref="O1020:O1021"/>
    <mergeCell ref="D158:E158"/>
    <mergeCell ref="A162:A163"/>
    <mergeCell ref="J964:L964"/>
    <mergeCell ref="J545:L545"/>
    <mergeCell ref="H923:I923"/>
    <mergeCell ref="A767:A768"/>
    <mergeCell ref="M1101:M1102"/>
    <mergeCell ref="N470:N471"/>
    <mergeCell ref="R1235:R1236"/>
    <mergeCell ref="M944:M945"/>
    <mergeCell ref="R1072:R1073"/>
    <mergeCell ref="A1066:A1067"/>
    <mergeCell ref="Q522:Q523"/>
    <mergeCell ref="B751:C751"/>
    <mergeCell ref="J1019:L1019"/>
    <mergeCell ref="A304:A305"/>
    <mergeCell ref="N365:N366"/>
    <mergeCell ref="K540:K541"/>
    <mergeCell ref="F1034:I1034"/>
    <mergeCell ref="A909:A910"/>
    <mergeCell ref="Q822:Q823"/>
    <mergeCell ref="K214:K215"/>
    <mergeCell ref="N665:N666"/>
    <mergeCell ref="Q1008:Q1009"/>
    <mergeCell ref="D844:E844"/>
    <mergeCell ref="Q92:Q93"/>
    <mergeCell ref="O1247:O1248"/>
    <mergeCell ref="B541:H541"/>
    <mergeCell ref="J914:L914"/>
    <mergeCell ref="O1090:O1091"/>
    <mergeCell ref="H370:I370"/>
    <mergeCell ref="J133:J134"/>
    <mergeCell ref="F1093:I1093"/>
    <mergeCell ref="J1214:L1214"/>
    <mergeCell ref="K682:K683"/>
    <mergeCell ref="D1202:E1202"/>
    <mergeCell ref="N1139:N1140"/>
    <mergeCell ref="K988:K989"/>
    <mergeCell ref="K525:K526"/>
    <mergeCell ref="N409:N410"/>
    <mergeCell ref="L1107:L1108"/>
    <mergeCell ref="J275:J276"/>
    <mergeCell ref="F1142:I1142"/>
    <mergeCell ref="F685:I685"/>
    <mergeCell ref="F816:I816"/>
    <mergeCell ref="P170:P171"/>
    <mergeCell ref="N735:N736"/>
    <mergeCell ref="Q1209:Q1210"/>
    <mergeCell ref="F1116:I1116"/>
    <mergeCell ref="D1225:E1225"/>
    <mergeCell ref="J361:L361"/>
    <mergeCell ref="R261:R262"/>
    <mergeCell ref="P496:P497"/>
    <mergeCell ref="M671:M672"/>
    <mergeCell ref="J661:L661"/>
    <mergeCell ref="H1039:I1039"/>
    <mergeCell ref="K752:K753"/>
    <mergeCell ref="B126:C126"/>
    <mergeCell ref="B727:H727"/>
    <mergeCell ref="B422:H422"/>
    <mergeCell ref="K1052:K1053"/>
    <mergeCell ref="Q197:Q198"/>
    <mergeCell ref="L394:L395"/>
    <mergeCell ref="B1027:H1027"/>
    <mergeCell ref="D219:E219"/>
    <mergeCell ref="R316:R317"/>
    <mergeCell ref="J688:J689"/>
    <mergeCell ref="O447:O448"/>
    <mergeCell ref="M813:M814"/>
    <mergeCell ref="J988:J989"/>
    <mergeCell ref="J525:J526"/>
    <mergeCell ref="B137:C137"/>
    <mergeCell ref="R941:R942"/>
    <mergeCell ref="M1113:M1114"/>
    <mergeCell ref="B900:C900"/>
    <mergeCell ref="O790:O791"/>
    <mergeCell ref="P997:P998"/>
    <mergeCell ref="Q208:Q209"/>
    <mergeCell ref="R1241:R1242"/>
    <mergeCell ref="J425:L425"/>
    <mergeCell ref="B1225:C1225"/>
    <mergeCell ref="O176:O177"/>
    <mergeCell ref="R511:R512"/>
    <mergeCell ref="O170:O171"/>
    <mergeCell ref="M735:M736"/>
    <mergeCell ref="P1209:P1210"/>
    <mergeCell ref="B232:L232"/>
    <mergeCell ref="N77:N78"/>
    <mergeCell ref="A947:A948"/>
    <mergeCell ref="J300:L300"/>
    <mergeCell ref="J1130:J1131"/>
    <mergeCell ref="L133:L134"/>
    <mergeCell ref="J414:L414"/>
    <mergeCell ref="H990:I990"/>
    <mergeCell ref="H1121:I1121"/>
    <mergeCell ref="A217:A218"/>
    <mergeCell ref="F473:I473"/>
    <mergeCell ref="F16:I16"/>
    <mergeCell ref="Q261:Q262"/>
    <mergeCell ref="B911:C911"/>
    <mergeCell ref="R970:R971"/>
    <mergeCell ref="D283:E283"/>
    <mergeCell ref="J1083:L1083"/>
    <mergeCell ref="D888:E888"/>
    <mergeCell ref="R985:R986"/>
    <mergeCell ref="O828:O829"/>
    <mergeCell ref="M877:M878"/>
    <mergeCell ref="J1183:J1184"/>
    <mergeCell ref="K394:K395"/>
    <mergeCell ref="H1132:I1132"/>
    <mergeCell ref="B964:C964"/>
    <mergeCell ref="K694:K695"/>
    <mergeCell ref="J769:L769"/>
    <mergeCell ref="N121:N122"/>
    <mergeCell ref="A54:A55"/>
    <mergeCell ref="L813:L814"/>
    <mergeCell ref="Q159:Q160"/>
    <mergeCell ref="D425:E425"/>
    <mergeCell ref="N421:N422"/>
    <mergeCell ref="B1176:C1176"/>
    <mergeCell ref="D725:E725"/>
    <mergeCell ref="N790:N791"/>
    <mergeCell ref="J1112:L1112"/>
    <mergeCell ref="P339:P340"/>
    <mergeCell ref="Q1247:Q1248"/>
    <mergeCell ref="M57:M58"/>
    <mergeCell ref="H1185:I1185"/>
    <mergeCell ref="D1025:E1025"/>
    <mergeCell ref="R1122:R1123"/>
    <mergeCell ref="L1171:L1172"/>
    <mergeCell ref="L714:L715"/>
    <mergeCell ref="O1209:O1210"/>
    <mergeCell ref="D952:E952"/>
    <mergeCell ref="L1014:L1015"/>
    <mergeCell ref="K133:K134"/>
    <mergeCell ref="K738:K739"/>
    <mergeCell ref="D1252:E1252"/>
    <mergeCell ref="B477:H477"/>
    <mergeCell ref="B20:H20"/>
    <mergeCell ref="H21:I21"/>
    <mergeCell ref="F266:I266"/>
    <mergeCell ref="F898:I898"/>
    <mergeCell ref="Q659:Q660"/>
    <mergeCell ref="A1186:A1187"/>
    <mergeCell ref="F566:I566"/>
    <mergeCell ref="R22:R23"/>
    <mergeCell ref="Q354:Q355"/>
    <mergeCell ref="J394:J395"/>
    <mergeCell ref="N485:N486"/>
    <mergeCell ref="Q959:Q960"/>
    <mergeCell ref="F866:I866"/>
    <mergeCell ref="J694:J695"/>
    <mergeCell ref="R1078:R1079"/>
    <mergeCell ref="D975:E975"/>
    <mergeCell ref="M121:M122"/>
    <mergeCell ref="B678:H678"/>
    <mergeCell ref="M252:M253"/>
    <mergeCell ref="P595:P596"/>
    <mergeCell ref="P1008:P1009"/>
    <mergeCell ref="P709:P710"/>
    <mergeCell ref="D1306:E1306"/>
    <mergeCell ref="P246:P247"/>
    <mergeCell ref="M421:M422"/>
    <mergeCell ref="H44:I44"/>
    <mergeCell ref="O339:O340"/>
    <mergeCell ref="K802:K803"/>
    <mergeCell ref="B846:H846"/>
    <mergeCell ref="A86:A87"/>
    <mergeCell ref="J469:L469"/>
    <mergeCell ref="H527:I527"/>
    <mergeCell ref="J12:L12"/>
    <mergeCell ref="H1001:I1001"/>
    <mergeCell ref="O182:O183"/>
    <mergeCell ref="N514:N515"/>
    <mergeCell ref="K714:K715"/>
    <mergeCell ref="B1152:H1152"/>
    <mergeCell ref="B1146:H1146"/>
    <mergeCell ref="A386:A387"/>
    <mergeCell ref="R66:R67"/>
    <mergeCell ref="B689:H689"/>
    <mergeCell ref="J438:J439"/>
    <mergeCell ref="J106:J107"/>
    <mergeCell ref="K1014:K1015"/>
    <mergeCell ref="M563:M564"/>
    <mergeCell ref="J738:J739"/>
    <mergeCell ref="O240:O241"/>
    <mergeCell ref="R697:R698"/>
    <mergeCell ref="D594:E594"/>
    <mergeCell ref="R691:R692"/>
    <mergeCell ref="H1306:I1306"/>
    <mergeCell ref="O540:O541"/>
    <mergeCell ref="B981:C981"/>
    <mergeCell ref="P1078:P1079"/>
    <mergeCell ref="B562:C562"/>
    <mergeCell ref="B742:H742"/>
    <mergeCell ref="P659:P660"/>
    <mergeCell ref="L499:L500"/>
    <mergeCell ref="A397:A398"/>
    <mergeCell ref="B1294:H1294"/>
    <mergeCell ref="H271:I271"/>
    <mergeCell ref="B676:C676"/>
    <mergeCell ref="J612:L612"/>
    <mergeCell ref="B862:C862"/>
    <mergeCell ref="P959:P960"/>
    <mergeCell ref="Q170:Q171"/>
    <mergeCell ref="H571:I571"/>
    <mergeCell ref="H108:I108"/>
    <mergeCell ref="O1014:O1015"/>
    <mergeCell ref="O1008:O1009"/>
    <mergeCell ref="L252:L253"/>
    <mergeCell ref="O709:O710"/>
    <mergeCell ref="B40:L40"/>
    <mergeCell ref="R720:R721"/>
    <mergeCell ref="D33:E33"/>
    <mergeCell ref="L95:L96"/>
    <mergeCell ref="D164:E164"/>
    <mergeCell ref="M976:M977"/>
    <mergeCell ref="B873:C873"/>
    <mergeCell ref="B1004:C1004"/>
    <mergeCell ref="P1101:P1102"/>
    <mergeCell ref="K144:K145"/>
    <mergeCell ref="R778:R779"/>
    <mergeCell ref="L1183:L1184"/>
    <mergeCell ref="P1312:P1313"/>
    <mergeCell ref="L726:L727"/>
    <mergeCell ref="L1026:L1027"/>
    <mergeCell ref="J1145:J1146"/>
    <mergeCell ref="L563:L564"/>
    <mergeCell ref="F304:I304"/>
    <mergeCell ref="D175:E175"/>
    <mergeCell ref="B1231:C1231"/>
    <mergeCell ref="N240:N241"/>
    <mergeCell ref="J562:L562"/>
    <mergeCell ref="A1241:A1242"/>
    <mergeCell ref="F909:I909"/>
    <mergeCell ref="A784:A785"/>
    <mergeCell ref="Q697:Q698"/>
    <mergeCell ref="B926:C926"/>
    <mergeCell ref="J1167:L1167"/>
    <mergeCell ref="F604:I604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O1078:O1079"/>
    <mergeCell ref="D1150:E1150"/>
    <mergeCell ref="R1247:R1248"/>
    <mergeCell ref="L464:L465"/>
    <mergeCell ref="O959:O960"/>
    <mergeCell ref="L764:L765"/>
    <mergeCell ref="D833:E833"/>
    <mergeCell ref="A837:A838"/>
    <mergeCell ref="B1068:C1068"/>
    <mergeCell ref="B75:H75"/>
    <mergeCell ref="N688:N689"/>
    <mergeCell ref="D745:E745"/>
    <mergeCell ref="B227:H227"/>
    <mergeCell ref="N682:N683"/>
    <mergeCell ref="K857:K85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Q409:Q410"/>
    <mergeCell ref="B858:H858"/>
    <mergeCell ref="F322:I322"/>
    <mergeCell ref="O1101:O1102"/>
    <mergeCell ref="J150:J151"/>
    <mergeCell ref="J144:J145"/>
    <mergeCell ref="K1183:K1184"/>
    <mergeCell ref="J1231:L1231"/>
    <mergeCell ref="B128:H128"/>
    <mergeCell ref="P45:P46"/>
    <mergeCell ref="J450:J451"/>
    <mergeCell ref="B62:C62"/>
    <mergeCell ref="D731:E731"/>
    <mergeCell ref="A1148:A1149"/>
    <mergeCell ref="F991:I991"/>
    <mergeCell ref="P345:P346"/>
    <mergeCell ref="M360:O360"/>
    <mergeCell ref="K237:K238"/>
    <mergeCell ref="O95:O96"/>
    <mergeCell ref="M214:M215"/>
    <mergeCell ref="P671:P672"/>
    <mergeCell ref="H740:I740"/>
    <mergeCell ref="H283:I283"/>
    <mergeCell ref="H277:I277"/>
    <mergeCell ref="F1307:I1307"/>
    <mergeCell ref="N752:N753"/>
    <mergeCell ref="K927:K928"/>
    <mergeCell ref="F1002:I1002"/>
    <mergeCell ref="K464:K465"/>
    <mergeCell ref="B902:H902"/>
    <mergeCell ref="N1052:N1053"/>
    <mergeCell ref="D50:E50"/>
    <mergeCell ref="D44:E44"/>
    <mergeCell ref="L106:L107"/>
    <mergeCell ref="J431:L431"/>
    <mergeCell ref="M1145:M1146"/>
    <mergeCell ref="M688:M689"/>
    <mergeCell ref="R447:R448"/>
    <mergeCell ref="R28:R29"/>
    <mergeCell ref="B12:C12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B1044:H1044"/>
    <mergeCell ref="R1116:R1117"/>
    <mergeCell ref="A953:A954"/>
    <mergeCell ref="H652:I652"/>
    <mergeCell ref="D73:E73"/>
    <mergeCell ref="A490:A491"/>
    <mergeCell ref="R170:R171"/>
    <mergeCell ref="O764:O765"/>
    <mergeCell ref="J1005:J1006"/>
    <mergeCell ref="H347:I347"/>
    <mergeCell ref="N252:N253"/>
    <mergeCell ref="H996:I996"/>
    <mergeCell ref="M1130:M1131"/>
    <mergeCell ref="O976:O977"/>
    <mergeCell ref="L214:L215"/>
    <mergeCell ref="D431:E431"/>
    <mergeCell ref="R528:R529"/>
    <mergeCell ref="L933:L934"/>
    <mergeCell ref="D126:E126"/>
    <mergeCell ref="R834:R835"/>
    <mergeCell ref="R828:R829"/>
    <mergeCell ref="M1052:M1053"/>
    <mergeCell ref="J1200:J1201"/>
    <mergeCell ref="H1007:I1007"/>
    <mergeCell ref="K569:K570"/>
    <mergeCell ref="A234:A235"/>
    <mergeCell ref="J901:J902"/>
    <mergeCell ref="J895:J896"/>
    <mergeCell ref="Q278:Q279"/>
    <mergeCell ref="J318:L318"/>
    <mergeCell ref="J312:L312"/>
    <mergeCell ref="Q578:Q579"/>
    <mergeCell ref="Q121:Q122"/>
    <mergeCell ref="Q115:Q116"/>
    <mergeCell ref="A229:A230"/>
    <mergeCell ref="F28:I28"/>
    <mergeCell ref="D600:E600"/>
    <mergeCell ref="A1017:A1018"/>
    <mergeCell ref="A560:A561"/>
    <mergeCell ref="J943:L943"/>
    <mergeCell ref="D1205:E1205"/>
    <mergeCell ref="P214:P215"/>
    <mergeCell ref="O546:O547"/>
    <mergeCell ref="O83:O84"/>
    <mergeCell ref="H1060:I1060"/>
    <mergeCell ref="Q790:Q791"/>
    <mergeCell ref="D900:E900"/>
    <mergeCell ref="R997:R998"/>
    <mergeCell ref="J1243:L1243"/>
    <mergeCell ref="O383:O384"/>
    <mergeCell ref="O1171:O1172"/>
    <mergeCell ref="D501:E501"/>
    <mergeCell ref="N438:N439"/>
    <mergeCell ref="D495:E495"/>
    <mergeCell ref="M1128:O1128"/>
    <mergeCell ref="J1303:L1303"/>
    <mergeCell ref="B1124:C1124"/>
    <mergeCell ref="N133:N134"/>
    <mergeCell ref="D801:E801"/>
    <mergeCell ref="N738:N739"/>
    <mergeCell ref="D795:E795"/>
    <mergeCell ref="D911:E911"/>
    <mergeCell ref="F1171:I1171"/>
    <mergeCell ref="J965:J966"/>
    <mergeCell ref="F141:I141"/>
    <mergeCell ref="H196:I196"/>
    <mergeCell ref="K933:K934"/>
    <mergeCell ref="F441:I441"/>
    <mergeCell ref="D969:E969"/>
    <mergeCell ref="F741:I741"/>
    <mergeCell ref="B181:C181"/>
    <mergeCell ref="F1066:I1066"/>
    <mergeCell ref="P426:P427"/>
    <mergeCell ref="B481:C481"/>
    <mergeCell ref="P121:P122"/>
    <mergeCell ref="M269:M270"/>
    <mergeCell ref="H338:I338"/>
    <mergeCell ref="K662:K663"/>
    <mergeCell ref="P421:P422"/>
    <mergeCell ref="H33:I33"/>
    <mergeCell ref="Q976:Q977"/>
    <mergeCell ref="L19:L20"/>
    <mergeCell ref="N802:N803"/>
    <mergeCell ref="L319:L320"/>
    <mergeCell ref="B564:H564"/>
    <mergeCell ref="M138:M139"/>
    <mergeCell ref="B558:H558"/>
    <mergeCell ref="B695:H695"/>
    <mergeCell ref="J187:L187"/>
    <mergeCell ref="B864:H864"/>
    <mergeCell ref="M438:M439"/>
    <mergeCell ref="M133:M134"/>
    <mergeCell ref="J281:J282"/>
    <mergeCell ref="R572:R573"/>
    <mergeCell ref="F1110:I1110"/>
    <mergeCell ref="M738:M739"/>
    <mergeCell ref="R240:R241"/>
    <mergeCell ref="O415:O416"/>
    <mergeCell ref="R866:R867"/>
    <mergeCell ref="R540:R541"/>
    <mergeCell ref="H1176:I1176"/>
    <mergeCell ref="B1163:H1163"/>
    <mergeCell ref="A403:A404"/>
    <mergeCell ref="J786:L786"/>
    <mergeCell ref="J329:L329"/>
    <mergeCell ref="P1253:P1254"/>
    <mergeCell ref="J481:L481"/>
    <mergeCell ref="M34:M35"/>
    <mergeCell ref="J24:L24"/>
    <mergeCell ref="H446:I446"/>
    <mergeCell ref="A703:A704"/>
    <mergeCell ref="B1006:H1006"/>
    <mergeCell ref="A246:A247"/>
    <mergeCell ref="J755:J756"/>
    <mergeCell ref="R714:R715"/>
    <mergeCell ref="O426:O427"/>
    <mergeCell ref="O557:O558"/>
    <mergeCell ref="R1014:R1015"/>
    <mergeCell ref="L269:L270"/>
    <mergeCell ref="H1071:I1071"/>
    <mergeCell ref="O252:O253"/>
    <mergeCell ref="R595:R596"/>
    <mergeCell ref="L389:L390"/>
    <mergeCell ref="O857:O858"/>
    <mergeCell ref="B759:H759"/>
    <mergeCell ref="J1081:J1082"/>
    <mergeCell ref="R895:R896"/>
    <mergeCell ref="B1064:L1064"/>
    <mergeCell ref="B879:C879"/>
    <mergeCell ref="B1059:H1059"/>
    <mergeCell ref="P976:P977"/>
    <mergeCell ref="K19:K20"/>
    <mergeCell ref="J351:J352"/>
    <mergeCell ref="J1314:L1314"/>
    <mergeCell ref="P819:P820"/>
    <mergeCell ref="K319:K320"/>
    <mergeCell ref="D507:E507"/>
    <mergeCell ref="L569:L570"/>
    <mergeCell ref="L112:L113"/>
    <mergeCell ref="J393:L393"/>
    <mergeCell ref="B932:C932"/>
    <mergeCell ref="A773:A774"/>
    <mergeCell ref="Q240:Q241"/>
    <mergeCell ref="M80:M81"/>
    <mergeCell ref="D350:E350"/>
    <mergeCell ref="A354:A355"/>
    <mergeCell ref="L412:L413"/>
    <mergeCell ref="J1156:L1156"/>
    <mergeCell ref="F147:I147"/>
    <mergeCell ref="J693:L693"/>
    <mergeCell ref="H1115:I1115"/>
    <mergeCell ref="D681:E681"/>
    <mergeCell ref="Q540:Q541"/>
    <mergeCell ref="D981:E981"/>
    <mergeCell ref="O1253:O1254"/>
    <mergeCell ref="O927:O928"/>
    <mergeCell ref="O921:O922"/>
    <mergeCell ref="R965:R966"/>
    <mergeCell ref="D251:E251"/>
    <mergeCell ref="Q714:Q715"/>
    <mergeCell ref="B943:C943"/>
    <mergeCell ref="J748:L748"/>
    <mergeCell ref="N557:N558"/>
    <mergeCell ref="F1226:I1226"/>
    <mergeCell ref="A1101:A1102"/>
    <mergeCell ref="Q1014:Q1015"/>
    <mergeCell ref="B1243:C1243"/>
    <mergeCell ref="K389:K390"/>
    <mergeCell ref="N857:N858"/>
    <mergeCell ref="N400:N401"/>
    <mergeCell ref="Q284:Q285"/>
    <mergeCell ref="F191:I191"/>
    <mergeCell ref="J356:L356"/>
    <mergeCell ref="B8:L8"/>
    <mergeCell ref="F522:I522"/>
    <mergeCell ref="M150:M151"/>
    <mergeCell ref="A1023:A1024"/>
    <mergeCell ref="A1154:A1155"/>
    <mergeCell ref="F822:I822"/>
    <mergeCell ref="N453:N454"/>
    <mergeCell ref="K112:K113"/>
    <mergeCell ref="K717:K718"/>
    <mergeCell ref="Q426:Q427"/>
    <mergeCell ref="D1231:E1231"/>
    <mergeCell ref="K412:K413"/>
    <mergeCell ref="P845:P846"/>
    <mergeCell ref="H457:I457"/>
    <mergeCell ref="P546:P547"/>
    <mergeCell ref="H152:I152"/>
    <mergeCell ref="J467:J468"/>
    <mergeCell ref="H757:I757"/>
    <mergeCell ref="A1165:A1166"/>
    <mergeCell ref="K470:K471"/>
    <mergeCell ref="H452:I452"/>
    <mergeCell ref="B445:H445"/>
    <mergeCell ref="N927:N928"/>
    <mergeCell ref="L444:L445"/>
    <mergeCell ref="K770:K771"/>
    <mergeCell ref="F845:I845"/>
    <mergeCell ref="B797:H797"/>
    <mergeCell ref="P104:R104"/>
    <mergeCell ref="O165:O166"/>
    <mergeCell ref="P1145:P1146"/>
    <mergeCell ref="P688:P689"/>
    <mergeCell ref="J57:J58"/>
    <mergeCell ref="A153:A154"/>
    <mergeCell ref="H600:I600"/>
    <mergeCell ref="K1244:K1245"/>
    <mergeCell ref="K781:K782"/>
    <mergeCell ref="B1219:H1219"/>
    <mergeCell ref="J105:L105"/>
    <mergeCell ref="J143:L143"/>
    <mergeCell ref="B1131:H1131"/>
    <mergeCell ref="R464:R465"/>
    <mergeCell ref="A365:A366"/>
    <mergeCell ref="R45:R46"/>
    <mergeCell ref="M1304:M1305"/>
    <mergeCell ref="O307:O308"/>
    <mergeCell ref="H827:I827"/>
    <mergeCell ref="M1005:M1006"/>
    <mergeCell ref="A665:A666"/>
    <mergeCell ref="R345:R346"/>
    <mergeCell ref="J1136:J1137"/>
    <mergeCell ref="J717:J718"/>
    <mergeCell ref="B329:C329"/>
    <mergeCell ref="R1133:R1134"/>
    <mergeCell ref="N243:N244"/>
    <mergeCell ref="D420:E420"/>
    <mergeCell ref="M1232:M1233"/>
    <mergeCell ref="B1112:C1112"/>
    <mergeCell ref="B655:C655"/>
    <mergeCell ref="P752:P753"/>
    <mergeCell ref="M927:M928"/>
    <mergeCell ref="N569:N570"/>
    <mergeCell ref="A409:A410"/>
    <mergeCell ref="F208:I208"/>
    <mergeCell ref="Q453:Q454"/>
    <mergeCell ref="L650:L651"/>
    <mergeCell ref="H850:I850"/>
    <mergeCell ref="O688:O689"/>
    <mergeCell ref="L950:L951"/>
    <mergeCell ref="O1293:O1294"/>
    <mergeCell ref="D12:E12"/>
    <mergeCell ref="J818:L818"/>
    <mergeCell ref="D143:E143"/>
    <mergeCell ref="R845:R846"/>
    <mergeCell ref="A735:A736"/>
    <mergeCell ref="J1118:L1118"/>
    <mergeCell ref="K586:K587"/>
    <mergeCell ref="O677:O678"/>
    <mergeCell ref="D1100:E1100"/>
    <mergeCell ref="F261:I261"/>
    <mergeCell ref="B1156:C1156"/>
    <mergeCell ref="K886:K887"/>
    <mergeCell ref="J1218:J1219"/>
    <mergeCell ref="Q464:Q465"/>
    <mergeCell ref="J1212:J1213"/>
    <mergeCell ref="M1302:O1302"/>
    <mergeCell ref="L1005:L1006"/>
    <mergeCell ref="Q764:Q765"/>
    <mergeCell ref="O889:O890"/>
    <mergeCell ref="H169:I169"/>
    <mergeCell ref="F677:I677"/>
    <mergeCell ref="N613:N614"/>
    <mergeCell ref="D670:E670"/>
    <mergeCell ref="A877:A878"/>
    <mergeCell ref="P74:P75"/>
    <mergeCell ref="B151:H151"/>
    <mergeCell ref="M205:M206"/>
    <mergeCell ref="A1177:A1178"/>
    <mergeCell ref="F272:I272"/>
    <mergeCell ref="K482:K483"/>
    <mergeCell ref="L906:L907"/>
    <mergeCell ref="H1220:I1220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118:E1118"/>
    <mergeCell ref="F1241:I1241"/>
    <mergeCell ref="P601:P602"/>
    <mergeCell ref="K950:K951"/>
    <mergeCell ref="K493:K494"/>
    <mergeCell ref="K1250:K1251"/>
    <mergeCell ref="K837:K838"/>
    <mergeCell ref="A77:A78"/>
    <mergeCell ref="F301:I301"/>
    <mergeCell ref="H882:I882"/>
    <mergeCell ref="N677:N678"/>
    <mergeCell ref="Q1151:Q1152"/>
    <mergeCell ref="O19:O20"/>
    <mergeCell ref="L194:L195"/>
    <mergeCell ref="R57:R58"/>
    <mergeCell ref="J429:J430"/>
    <mergeCell ref="B498:C498"/>
    <mergeCell ref="B41:C41"/>
    <mergeCell ref="H719:I719"/>
    <mergeCell ref="P138:P139"/>
    <mergeCell ref="B870:H870"/>
    <mergeCell ref="P901:P902"/>
    <mergeCell ref="J156:J157"/>
    <mergeCell ref="P438:P439"/>
    <mergeCell ref="H50:I50"/>
    <mergeCell ref="M281:M282"/>
    <mergeCell ref="P738:P739"/>
    <mergeCell ref="H350:I350"/>
    <mergeCell ref="R415:R416"/>
    <mergeCell ref="O74:O75"/>
    <mergeCell ref="K994:K995"/>
    <mergeCell ref="J482:J483"/>
    <mergeCell ref="J204:L204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J298:J299"/>
    <mergeCell ref="K1206:K1207"/>
    <mergeCell ref="M755:M756"/>
    <mergeCell ref="R889:R890"/>
    <mergeCell ref="R883:R884"/>
    <mergeCell ref="Q1215:Q1216"/>
    <mergeCell ref="R426:R427"/>
    <mergeCell ref="O732:O733"/>
    <mergeCell ref="F1122:I1122"/>
    <mergeCell ref="J257:L257"/>
    <mergeCell ref="O269:O270"/>
    <mergeCell ref="B105:C105"/>
    <mergeCell ref="B1167:C1167"/>
    <mergeCell ref="B934:H934"/>
    <mergeCell ref="P851:P852"/>
    <mergeCell ref="J1229:J1230"/>
    <mergeCell ref="M982:M983"/>
    <mergeCell ref="B868:C868"/>
    <mergeCell ref="P965:P966"/>
    <mergeCell ref="J924:J925"/>
    <mergeCell ref="B405:C405"/>
    <mergeCell ref="P1151:P1152"/>
    <mergeCell ref="N19:N20"/>
    <mergeCell ref="H300:I300"/>
    <mergeCell ref="A258:A259"/>
    <mergeCell ref="N319:N320"/>
    <mergeCell ref="O438:O439"/>
    <mergeCell ref="L706:L707"/>
    <mergeCell ref="L287:L288"/>
    <mergeCell ref="L281:L282"/>
    <mergeCell ref="F22:I22"/>
    <mergeCell ref="J568:L568"/>
    <mergeCell ref="J368:J369"/>
    <mergeCell ref="Q415:Q416"/>
    <mergeCell ref="B1245:H1245"/>
    <mergeCell ref="A485:A486"/>
    <mergeCell ref="K336:K337"/>
    <mergeCell ref="J668:J669"/>
    <mergeCell ref="D856:E856"/>
    <mergeCell ref="D850:E850"/>
    <mergeCell ref="J1237:L1237"/>
    <mergeCell ref="D1156:E1156"/>
    <mergeCell ref="R1253:R1254"/>
    <mergeCell ref="B818:C818"/>
    <mergeCell ref="L755:L756"/>
    <mergeCell ref="A976:A977"/>
    <mergeCell ref="B1118:C1118"/>
    <mergeCell ref="Q557:Q558"/>
    <mergeCell ref="F470:I470"/>
    <mergeCell ref="N269:N270"/>
    <mergeCell ref="N406:N407"/>
    <mergeCell ref="Q1162:Q1163"/>
    <mergeCell ref="N389:N390"/>
    <mergeCell ref="Q857:Q858"/>
    <mergeCell ref="L656:L657"/>
    <mergeCell ref="D879:E879"/>
    <mergeCell ref="L351:L352"/>
    <mergeCell ref="F1154:I1154"/>
    <mergeCell ref="L956:L957"/>
    <mergeCell ref="F697:I697"/>
    <mergeCell ref="D568:E568"/>
    <mergeCell ref="F997:I997"/>
    <mergeCell ref="N874:N875"/>
    <mergeCell ref="K706:K707"/>
    <mergeCell ref="K287:K288"/>
    <mergeCell ref="D1237:E1237"/>
    <mergeCell ref="J373:L373"/>
    <mergeCell ref="N717:N718"/>
    <mergeCell ref="D932:E932"/>
    <mergeCell ref="Q601:Q602"/>
    <mergeCell ref="B1050:H1050"/>
    <mergeCell ref="J210:L210"/>
    <mergeCell ref="J10:J11"/>
    <mergeCell ref="F534:I534"/>
    <mergeCell ref="Q1232:Q1233"/>
    <mergeCell ref="J179:J180"/>
    <mergeCell ref="Q1226:Q1227"/>
    <mergeCell ref="J310:J311"/>
    <mergeCell ref="F1139:I1139"/>
    <mergeCell ref="Q927:Q928"/>
    <mergeCell ref="F834:I834"/>
    <mergeCell ref="K1034:K1035"/>
    <mergeCell ref="M37:M38"/>
    <mergeCell ref="M825:M826"/>
    <mergeCell ref="P1162:P1163"/>
    <mergeCell ref="M406:M407"/>
    <mergeCell ref="R165:R166"/>
    <mergeCell ref="M389:M390"/>
    <mergeCell ref="P863:P864"/>
    <mergeCell ref="H469:I469"/>
    <mergeCell ref="H12:I12"/>
    <mergeCell ref="B449:C449"/>
    <mergeCell ref="K787:K788"/>
    <mergeCell ref="P904:R904"/>
    <mergeCell ref="B762:H762"/>
    <mergeCell ref="N1244:N1245"/>
    <mergeCell ref="J437:L437"/>
    <mergeCell ref="N781:N782"/>
    <mergeCell ref="K956:K957"/>
    <mergeCell ref="K1087:K1088"/>
    <mergeCell ref="H1100:I1100"/>
    <mergeCell ref="L298:L299"/>
    <mergeCell ref="R34:R35"/>
    <mergeCell ref="J737:L737"/>
    <mergeCell ref="P1221:P1222"/>
    <mergeCell ref="J280:L280"/>
    <mergeCell ref="H702:I702"/>
    <mergeCell ref="M880:M881"/>
    <mergeCell ref="J1011:J1012"/>
    <mergeCell ref="P1304:P1305"/>
    <mergeCell ref="O25:O26"/>
    <mergeCell ref="J706:J707"/>
    <mergeCell ref="J837:J838"/>
    <mergeCell ref="B318:C318"/>
    <mergeCell ref="M1180:M1181"/>
    <mergeCell ref="J380:J381"/>
    <mergeCell ref="J374:J375"/>
    <mergeCell ref="M717:M718"/>
    <mergeCell ref="F1247:I1247"/>
    <mergeCell ref="O508:O509"/>
    <mergeCell ref="R851:R852"/>
    <mergeCell ref="B172:C172"/>
    <mergeCell ref="J674:J675"/>
    <mergeCell ref="K1098:K1099"/>
    <mergeCell ref="Q243:Q244"/>
    <mergeCell ref="P1232:P1233"/>
    <mergeCell ref="B1129:C1129"/>
    <mergeCell ref="H844:I844"/>
    <mergeCell ref="A682:A683"/>
    <mergeCell ref="B830:C830"/>
    <mergeCell ref="P927:P928"/>
    <mergeCell ref="M1075:M1076"/>
    <mergeCell ref="N444:N445"/>
    <mergeCell ref="M770:M771"/>
    <mergeCell ref="H1144:I1144"/>
    <mergeCell ref="J1034:J1035"/>
    <mergeCell ref="L37:L38"/>
    <mergeCell ref="A66:A67"/>
    <mergeCell ref="L825:L826"/>
    <mergeCell ref="L368:L369"/>
    <mergeCell ref="Q165:Q166"/>
    <mergeCell ref="L362:L363"/>
    <mergeCell ref="L1125:L1126"/>
    <mergeCell ref="D606:E606"/>
    <mergeCell ref="J993:L993"/>
    <mergeCell ref="J987:L987"/>
    <mergeCell ref="D274:E274"/>
    <mergeCell ref="A278:A279"/>
    <mergeCell ref="B972:C972"/>
    <mergeCell ref="R1020:R1021"/>
    <mergeCell ref="P1069:P1070"/>
    <mergeCell ref="M1244:M1245"/>
    <mergeCell ref="N586:N587"/>
    <mergeCell ref="J1093:J1094"/>
    <mergeCell ref="K298:K299"/>
    <mergeCell ref="Q13:Q14"/>
    <mergeCell ref="A3:D3"/>
    <mergeCell ref="O1221:O1222"/>
    <mergeCell ref="P1302:R1302"/>
    <mergeCell ref="Q313:Q314"/>
    <mergeCell ref="O1304:O1305"/>
    <mergeCell ref="Q307:Q308"/>
    <mergeCell ref="F220:I220"/>
    <mergeCell ref="N25:N26"/>
    <mergeCell ref="N156:N157"/>
    <mergeCell ref="B331:H331"/>
    <mergeCell ref="A752:A753"/>
    <mergeCell ref="D329:E329"/>
    <mergeCell ref="J1135:L1135"/>
    <mergeCell ref="B32:H32"/>
    <mergeCell ref="B26:H26"/>
    <mergeCell ref="N508:N509"/>
    <mergeCell ref="A1052:A1053"/>
    <mergeCell ref="P243:P244"/>
    <mergeCell ref="F447:I447"/>
    <mergeCell ref="K42:K43"/>
    <mergeCell ref="O906:O907"/>
    <mergeCell ref="R1090:R1091"/>
    <mergeCell ref="K37:K38"/>
    <mergeCell ref="N930:N931"/>
    <mergeCell ref="D987:E987"/>
    <mergeCell ref="J123:L123"/>
    <mergeCell ref="B174:H174"/>
    <mergeCell ref="K825:K826"/>
    <mergeCell ref="K368:K369"/>
    <mergeCell ref="A1194:A1195"/>
    <mergeCell ref="K1125:K1126"/>
    <mergeCell ref="K668:K669"/>
    <mergeCell ref="H56:I56"/>
    <mergeCell ref="F589:I589"/>
    <mergeCell ref="K799:K800"/>
    <mergeCell ref="F284:I284"/>
    <mergeCell ref="Q982:Q983"/>
    <mergeCell ref="M586:M587"/>
    <mergeCell ref="Q677:Q678"/>
    <mergeCell ref="O194:O195"/>
    <mergeCell ref="B96:H96"/>
    <mergeCell ref="P13:P14"/>
    <mergeCell ref="M886:M887"/>
    <mergeCell ref="L1218:L1219"/>
    <mergeCell ref="P313:P314"/>
    <mergeCell ref="P444:P445"/>
    <mergeCell ref="M575:M576"/>
    <mergeCell ref="P918:P919"/>
    <mergeCell ref="M156:M157"/>
    <mergeCell ref="P613:P614"/>
    <mergeCell ref="K810:K811"/>
    <mergeCell ref="H225:I225"/>
    <mergeCell ref="R290:R291"/>
    <mergeCell ref="P72:R72"/>
    <mergeCell ref="D1057:E1057"/>
    <mergeCell ref="N994:N995"/>
    <mergeCell ref="O205:O206"/>
    <mergeCell ref="B1169:H1169"/>
    <mergeCell ref="N906:N907"/>
    <mergeCell ref="J47:L47"/>
    <mergeCell ref="B1187:H1187"/>
    <mergeCell ref="F89:I89"/>
    <mergeCell ref="B724:H724"/>
    <mergeCell ref="M298:M299"/>
    <mergeCell ref="N1206:N1207"/>
    <mergeCell ref="J473:J474"/>
    <mergeCell ref="M930:M931"/>
    <mergeCell ref="J130:J131"/>
    <mergeCell ref="R432:R433"/>
    <mergeCell ref="O258:O259"/>
    <mergeCell ref="R732:R733"/>
    <mergeCell ref="J1104:J1105"/>
    <mergeCell ref="B585:C585"/>
    <mergeCell ref="L101:L102"/>
    <mergeCell ref="A138:A139"/>
    <mergeCell ref="J799:J800"/>
    <mergeCell ref="B280:C280"/>
    <mergeCell ref="J521:L521"/>
    <mergeCell ref="B411:C411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A133:A134"/>
    <mergeCell ref="N194:N195"/>
    <mergeCell ref="D41:E41"/>
    <mergeCell ref="R1206:R1207"/>
    <mergeCell ref="O444:O445"/>
    <mergeCell ref="L575:L576"/>
    <mergeCell ref="B951:H951"/>
    <mergeCell ref="J443:L443"/>
    <mergeCell ref="J574:L574"/>
    <mergeCell ref="H1106:I1106"/>
    <mergeCell ref="J111:L111"/>
    <mergeCell ref="O287:O288"/>
    <mergeCell ref="B1251:H1251"/>
    <mergeCell ref="D68:E68"/>
    <mergeCell ref="A34:A35"/>
    <mergeCell ref="A28:A29"/>
    <mergeCell ref="J543:J544"/>
    <mergeCell ref="B722:C722"/>
    <mergeCell ref="L787:L788"/>
    <mergeCell ref="D399:E399"/>
    <mergeCell ref="M1125:M1126"/>
    <mergeCell ref="K54:K55"/>
    <mergeCell ref="D699:E699"/>
    <mergeCell ref="R796:R797"/>
    <mergeCell ref="M296:O296"/>
    <mergeCell ref="Q63:Q64"/>
    <mergeCell ref="J585:L585"/>
    <mergeCell ref="H94:I94"/>
    <mergeCell ref="Q432:Q433"/>
    <mergeCell ref="F339:I339"/>
    <mergeCell ref="J885:L885"/>
    <mergeCell ref="Q1037:Q1038"/>
    <mergeCell ref="Q732:Q733"/>
    <mergeCell ref="Q275:Q276"/>
    <mergeCell ref="A802:A803"/>
    <mergeCell ref="Q389:Q390"/>
    <mergeCell ref="D1173:E1173"/>
    <mergeCell ref="B456:L456"/>
    <mergeCell ref="A1171:A1172"/>
    <mergeCell ref="L1229:L1230"/>
    <mergeCell ref="F970:I970"/>
    <mergeCell ref="O1113:O1114"/>
    <mergeCell ref="O656:O657"/>
    <mergeCell ref="R1151:R1152"/>
    <mergeCell ref="B1135:C1135"/>
    <mergeCell ref="O956:O957"/>
    <mergeCell ref="N749:N750"/>
    <mergeCell ref="F540:I540"/>
    <mergeCell ref="K581:K582"/>
    <mergeCell ref="Q874:Q875"/>
    <mergeCell ref="F656:I656"/>
    <mergeCell ref="N1049:N1050"/>
    <mergeCell ref="K249:K250"/>
    <mergeCell ref="N592:N593"/>
    <mergeCell ref="B224:H224"/>
    <mergeCell ref="D763:E763"/>
    <mergeCell ref="K854:K855"/>
    <mergeCell ref="K549:K550"/>
    <mergeCell ref="L973:L974"/>
    <mergeCell ref="F714:I714"/>
    <mergeCell ref="M342:M343"/>
    <mergeCell ref="H289:I289"/>
    <mergeCell ref="L668:L669"/>
    <mergeCell ref="Q1107:Q1108"/>
    <mergeCell ref="J185:J186"/>
    <mergeCell ref="F1014:I1014"/>
    <mergeCell ref="F1008:I1008"/>
    <mergeCell ref="A883:A884"/>
    <mergeCell ref="F709:I709"/>
    <mergeCell ref="P63:P64"/>
    <mergeCell ref="B97:C97"/>
    <mergeCell ref="P194:P195"/>
    <mergeCell ref="K909:K910"/>
    <mergeCell ref="H344:I344"/>
    <mergeCell ref="P406:P407"/>
    <mergeCell ref="A144:A145"/>
    <mergeCell ref="H949:I949"/>
    <mergeCell ref="H187:I187"/>
    <mergeCell ref="N1119:N1120"/>
    <mergeCell ref="N656:N657"/>
    <mergeCell ref="B108:C108"/>
    <mergeCell ref="K962:K963"/>
    <mergeCell ref="L173:L174"/>
    <mergeCell ref="Q1244:Q1245"/>
    <mergeCell ref="Q1238:Q1239"/>
    <mergeCell ref="N956:N957"/>
    <mergeCell ref="D85:E85"/>
    <mergeCell ref="R182:R183"/>
    <mergeCell ref="J554:J555"/>
    <mergeCell ref="P880:P881"/>
    <mergeCell ref="B957:H957"/>
    <mergeCell ref="A197:A198"/>
    <mergeCell ref="P874:P875"/>
    <mergeCell ref="M1011:M1012"/>
    <mergeCell ref="J249:J250"/>
    <mergeCell ref="F1078:I1078"/>
    <mergeCell ref="M706:M707"/>
    <mergeCell ref="J854:J855"/>
    <mergeCell ref="P1180:P1181"/>
    <mergeCell ref="J549:J550"/>
    <mergeCell ref="B161:C161"/>
    <mergeCell ref="K973:K974"/>
    <mergeCell ref="R508:R509"/>
    <mergeCell ref="Q118:Q119"/>
    <mergeCell ref="J1312:J1313"/>
    <mergeCell ref="P808:R808"/>
    <mergeCell ref="M8:O8"/>
    <mergeCell ref="P1107:P1108"/>
    <mergeCell ref="L10:L11"/>
    <mergeCell ref="N1098:N1099"/>
    <mergeCell ref="J297:L297"/>
    <mergeCell ref="B373:C373"/>
    <mergeCell ref="O42:O43"/>
    <mergeCell ref="J723:J724"/>
    <mergeCell ref="F51:I51"/>
    <mergeCell ref="J597:L597"/>
    <mergeCell ref="H1019:I1019"/>
    <mergeCell ref="R956:R957"/>
    <mergeCell ref="P1075:P1076"/>
    <mergeCell ref="H556:I556"/>
    <mergeCell ref="J324:L324"/>
    <mergeCell ref="L700:L701"/>
    <mergeCell ref="O37:O38"/>
    <mergeCell ref="O1130:O1131"/>
    <mergeCell ref="O825:O826"/>
    <mergeCell ref="O406:O407"/>
    <mergeCell ref="L537:L538"/>
    <mergeCell ref="H1314:I1314"/>
    <mergeCell ref="D155:E155"/>
    <mergeCell ref="D149:E149"/>
    <mergeCell ref="M776:O776"/>
    <mergeCell ref="O1125:O1126"/>
    <mergeCell ref="D449:E449"/>
    <mergeCell ref="B1147:C1147"/>
    <mergeCell ref="P1244:P1245"/>
    <mergeCell ref="H856:I856"/>
    <mergeCell ref="N761:N762"/>
    <mergeCell ref="M1093:M1094"/>
    <mergeCell ref="M1087:M1088"/>
    <mergeCell ref="Q188:Q189"/>
    <mergeCell ref="Q182:Q183"/>
    <mergeCell ref="P872:R872"/>
    <mergeCell ref="H1156:I1156"/>
    <mergeCell ref="R1221:R1222"/>
    <mergeCell ref="F95:I95"/>
    <mergeCell ref="L1142:L1143"/>
    <mergeCell ref="R1304:R1305"/>
    <mergeCell ref="L685:L686"/>
    <mergeCell ref="J1010:L1010"/>
    <mergeCell ref="Q25:Q26"/>
    <mergeCell ref="A1232:A1233"/>
    <mergeCell ref="L380:L381"/>
    <mergeCell ref="D923:E923"/>
    <mergeCell ref="A927:A928"/>
    <mergeCell ref="F720:I720"/>
    <mergeCell ref="A595:A596"/>
    <mergeCell ref="F1020:I1020"/>
    <mergeCell ref="J947:J948"/>
    <mergeCell ref="D1135:E1135"/>
    <mergeCell ref="R1232:R1233"/>
    <mergeCell ref="N42:N43"/>
    <mergeCell ref="H361:I361"/>
    <mergeCell ref="O1075:O1076"/>
    <mergeCell ref="B43:H43"/>
    <mergeCell ref="N473:N474"/>
    <mergeCell ref="A1069:A1070"/>
    <mergeCell ref="N1130:N1131"/>
    <mergeCell ref="H356:I356"/>
    <mergeCell ref="N825:N826"/>
    <mergeCell ref="M1157:M1158"/>
    <mergeCell ref="F464:I464"/>
    <mergeCell ref="M92:M93"/>
    <mergeCell ref="N1125:N1126"/>
    <mergeCell ref="P8:R8"/>
    <mergeCell ref="F764:I764"/>
    <mergeCell ref="O69:O70"/>
    <mergeCell ref="J266:J267"/>
    <mergeCell ref="F1133:I1133"/>
    <mergeCell ref="Q1315:Q1316"/>
    <mergeCell ref="D1004:E1004"/>
    <mergeCell ref="L1093:L1094"/>
    <mergeCell ref="D242:E242"/>
    <mergeCell ref="J147:J148"/>
    <mergeCell ref="Q1221:Q1222"/>
    <mergeCell ref="D847:E847"/>
    <mergeCell ref="P461:P462"/>
    <mergeCell ref="K1142:K1143"/>
    <mergeCell ref="K685:K686"/>
    <mergeCell ref="H100:I100"/>
    <mergeCell ref="P156:P157"/>
    <mergeCell ref="K985:K986"/>
    <mergeCell ref="H425:I425"/>
    <mergeCell ref="N869:N870"/>
    <mergeCell ref="O211:O212"/>
    <mergeCell ref="H725:I725"/>
    <mergeCell ref="Q994:Q995"/>
    <mergeCell ref="B233:C233"/>
    <mergeCell ref="B413:H413"/>
    <mergeCell ref="P330:P331"/>
    <mergeCell ref="J36:L36"/>
    <mergeCell ref="H1025:I1025"/>
    <mergeCell ref="B1018:H1018"/>
    <mergeCell ref="M173:M174"/>
    <mergeCell ref="M473:M474"/>
    <mergeCell ref="M16:M17"/>
    <mergeCell ref="P930:P931"/>
    <mergeCell ref="R607:R608"/>
    <mergeCell ref="N1011:N1012"/>
    <mergeCell ref="J979:J980"/>
    <mergeCell ref="R144:R145"/>
    <mergeCell ref="R258:R259"/>
    <mergeCell ref="P531:P532"/>
    <mergeCell ref="B428:C428"/>
    <mergeCell ref="P525:P526"/>
    <mergeCell ref="F106:I106"/>
    <mergeCell ref="P226:P227"/>
    <mergeCell ref="B123:C123"/>
    <mergeCell ref="J364:L364"/>
    <mergeCell ref="H769:I769"/>
    <mergeCell ref="Q194:Q195"/>
    <mergeCell ref="R13:R14"/>
    <mergeCell ref="J716:L716"/>
    <mergeCell ref="O275:O276"/>
    <mergeCell ref="L450:L451"/>
    <mergeCell ref="R749:R750"/>
    <mergeCell ref="O461:O462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B1126:H1126"/>
    <mergeCell ref="B1060:C1060"/>
    <mergeCell ref="P1157:P1158"/>
    <mergeCell ref="J1116:J1117"/>
    <mergeCell ref="B597:C597"/>
    <mergeCell ref="N211:N212"/>
    <mergeCell ref="M543:M544"/>
    <mergeCell ref="B897:C897"/>
    <mergeCell ref="P994:P995"/>
    <mergeCell ref="H606:I606"/>
    <mergeCell ref="D574:E574"/>
    <mergeCell ref="R671:R672"/>
    <mergeCell ref="N511:N512"/>
    <mergeCell ref="J460:L460"/>
    <mergeCell ref="M1168:M1169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L130:L131"/>
    <mergeCell ref="B798:C798"/>
    <mergeCell ref="A677:A678"/>
    <mergeCell ref="A351:A352"/>
    <mergeCell ref="F57:I57"/>
    <mergeCell ref="A345:A346"/>
    <mergeCell ref="J397:J398"/>
    <mergeCell ref="L1104:L1105"/>
    <mergeCell ref="D585:E585"/>
    <mergeCell ref="D716:E716"/>
    <mergeCell ref="O531:O532"/>
    <mergeCell ref="D411:E411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O831:O832"/>
    <mergeCell ref="H111:I111"/>
    <mergeCell ref="Q749:Q750"/>
    <mergeCell ref="B978:C978"/>
    <mergeCell ref="A819:A820"/>
    <mergeCell ref="K124:K125"/>
    <mergeCell ref="B99:H99"/>
    <mergeCell ref="N581:N582"/>
    <mergeCell ref="N575:N576"/>
    <mergeCell ref="Q1049:Q1050"/>
    <mergeCell ref="O368:O369"/>
    <mergeCell ref="H164:I164"/>
    <mergeCell ref="L543:L544"/>
    <mergeCell ref="O973:O974"/>
    <mergeCell ref="L1148:L1149"/>
    <mergeCell ref="F889:I889"/>
    <mergeCell ref="F426:I426"/>
    <mergeCell ref="O668:O669"/>
    <mergeCell ref="F557:I557"/>
    <mergeCell ref="M185:M186"/>
    <mergeCell ref="F1189:I1189"/>
    <mergeCell ref="F252:I252"/>
    <mergeCell ref="F857:I857"/>
    <mergeCell ref="M232:O232"/>
    <mergeCell ref="K898:K899"/>
    <mergeCell ref="N909:N910"/>
    <mergeCell ref="D1086:E1086"/>
    <mergeCell ref="D1080:E1080"/>
    <mergeCell ref="P700:P701"/>
    <mergeCell ref="P694:P695"/>
    <mergeCell ref="H175:I175"/>
    <mergeCell ref="P237:P238"/>
    <mergeCell ref="J402:L402"/>
    <mergeCell ref="J202:J203"/>
    <mergeCell ref="L1290:L1291"/>
    <mergeCell ref="H475:I475"/>
    <mergeCell ref="P328:R328"/>
    <mergeCell ref="K778:K779"/>
    <mergeCell ref="P537:P538"/>
    <mergeCell ref="B1048:C1048"/>
    <mergeCell ref="H193:I193"/>
    <mergeCell ref="F726:I726"/>
    <mergeCell ref="N662:N663"/>
    <mergeCell ref="B163:H163"/>
    <mergeCell ref="Q1119:Q1120"/>
    <mergeCell ref="L162:L163"/>
    <mergeCell ref="F1026:I1026"/>
    <mergeCell ref="N831:N832"/>
    <mergeCell ref="N962:N963"/>
    <mergeCell ref="O173:O174"/>
    <mergeCell ref="B1137:H1137"/>
    <mergeCell ref="B832:H832"/>
    <mergeCell ref="R357:R358"/>
    <mergeCell ref="M554:M555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973:N974"/>
    <mergeCell ref="M1312:M1313"/>
    <mergeCell ref="H1292:I1292"/>
    <mergeCell ref="L490:L491"/>
    <mergeCell ref="L185:L186"/>
    <mergeCell ref="J472:L472"/>
    <mergeCell ref="B974:H974"/>
    <mergeCell ref="J466:L466"/>
    <mergeCell ref="H562:I562"/>
    <mergeCell ref="R499:R500"/>
    <mergeCell ref="B1149:H1149"/>
    <mergeCell ref="R42:R43"/>
    <mergeCell ref="A389:A390"/>
    <mergeCell ref="O217:O218"/>
    <mergeCell ref="H257:I257"/>
    <mergeCell ref="J572:J573"/>
    <mergeCell ref="J566:J567"/>
    <mergeCell ref="M909:M910"/>
    <mergeCell ref="H862:I862"/>
    <mergeCell ref="J109:J110"/>
    <mergeCell ref="B178:C178"/>
    <mergeCell ref="O700:O701"/>
    <mergeCell ref="J866:J867"/>
    <mergeCell ref="O237:O238"/>
    <mergeCell ref="J409:J410"/>
    <mergeCell ref="B478:C478"/>
    <mergeCell ref="D24:E24"/>
    <mergeCell ref="K1290:K1291"/>
    <mergeCell ref="L80:L81"/>
    <mergeCell ref="J1197:J1198"/>
    <mergeCell ref="M1081:M1082"/>
    <mergeCell ref="D324:E324"/>
    <mergeCell ref="P1119:P1120"/>
    <mergeCell ref="B690:C690"/>
    <mergeCell ref="M962:M963"/>
    <mergeCell ref="M918:M919"/>
    <mergeCell ref="H873:I873"/>
    <mergeCell ref="L560:L561"/>
    <mergeCell ref="L554:L555"/>
    <mergeCell ref="Q31:Q32"/>
    <mergeCell ref="O1011:O1012"/>
    <mergeCell ref="L854:L855"/>
    <mergeCell ref="F595:I595"/>
    <mergeCell ref="B168:L168"/>
    <mergeCell ref="D466:E466"/>
    <mergeCell ref="A470:A471"/>
    <mergeCell ref="B1230:H1230"/>
    <mergeCell ref="D9:E9"/>
    <mergeCell ref="D161:E161"/>
    <mergeCell ref="M1310:O1310"/>
    <mergeCell ref="N778:N779"/>
    <mergeCell ref="F895:I895"/>
    <mergeCell ref="R869:R870"/>
    <mergeCell ref="A770:A771"/>
    <mergeCell ref="L1312:L1313"/>
    <mergeCell ref="Q499:Q500"/>
    <mergeCell ref="Q42:Q43"/>
    <mergeCell ref="Q805:Q806"/>
    <mergeCell ref="H73:I73"/>
    <mergeCell ref="B1086:C1086"/>
    <mergeCell ref="B218:H218"/>
    <mergeCell ref="Q1130:Q1131"/>
    <mergeCell ref="A1244:A1245"/>
    <mergeCell ref="A1238:A1239"/>
    <mergeCell ref="Q400:Q401"/>
    <mergeCell ref="F307:I307"/>
    <mergeCell ref="Q95:Q96"/>
    <mergeCell ref="K16:K17"/>
    <mergeCell ref="D1179:E1179"/>
    <mergeCell ref="B1228:C1228"/>
    <mergeCell ref="B47:C47"/>
    <mergeCell ref="B424:L424"/>
    <mergeCell ref="O1093:O1094"/>
    <mergeCell ref="P450:P451"/>
    <mergeCell ref="P31:P32"/>
    <mergeCell ref="B203:H203"/>
    <mergeCell ref="M293:M294"/>
    <mergeCell ref="N685:N686"/>
    <mergeCell ref="K991:K992"/>
    <mergeCell ref="K528:K529"/>
    <mergeCell ref="F476:I476"/>
    <mergeCell ref="O80:O81"/>
    <mergeCell ref="Q869:Q870"/>
    <mergeCell ref="H268:I268"/>
    <mergeCell ref="O386:O387"/>
    <mergeCell ref="F1107:I1107"/>
    <mergeCell ref="P42:P43"/>
    <mergeCell ref="F1293:I1293"/>
    <mergeCell ref="K1307:K1308"/>
    <mergeCell ref="M348:M349"/>
    <mergeCell ref="K1002:K1003"/>
    <mergeCell ref="D36:E36"/>
    <mergeCell ref="P1130:P1131"/>
    <mergeCell ref="R133:R134"/>
    <mergeCell ref="A586:A587"/>
    <mergeCell ref="D1249:E1249"/>
    <mergeCell ref="M979:M980"/>
    <mergeCell ref="P520:R520"/>
    <mergeCell ref="N1186:N1187"/>
    <mergeCell ref="A269:A270"/>
    <mergeCell ref="B730:H730"/>
    <mergeCell ref="J353:L353"/>
    <mergeCell ref="H312:I312"/>
    <mergeCell ref="B916:H916"/>
    <mergeCell ref="A156:A157"/>
    <mergeCell ref="K1055:K1056"/>
    <mergeCell ref="L266:L267"/>
    <mergeCell ref="B1030:H1030"/>
    <mergeCell ref="J322:J323"/>
    <mergeCell ref="O450:O451"/>
    <mergeCell ref="R924:R925"/>
    <mergeCell ref="Q1250:Q1251"/>
    <mergeCell ref="R461:R462"/>
    <mergeCell ref="L293:L294"/>
    <mergeCell ref="M816:M817"/>
    <mergeCell ref="J991:J992"/>
    <mergeCell ref="J534:J535"/>
    <mergeCell ref="B140:C140"/>
    <mergeCell ref="P1174:P1175"/>
    <mergeCell ref="M418:M419"/>
    <mergeCell ref="M1116:M1117"/>
    <mergeCell ref="O662:O663"/>
    <mergeCell ref="A298:A299"/>
    <mergeCell ref="Q211:Q212"/>
    <mergeCell ref="B440:C440"/>
    <mergeCell ref="M1032:O1032"/>
    <mergeCell ref="M744:O744"/>
    <mergeCell ref="Q511:Q512"/>
    <mergeCell ref="A650:A651"/>
    <mergeCell ref="M1043:M1044"/>
    <mergeCell ref="J1033:L1033"/>
    <mergeCell ref="J1307:J1308"/>
    <mergeCell ref="J886:J887"/>
    <mergeCell ref="F45:I45"/>
    <mergeCell ref="J1002:J1003"/>
    <mergeCell ref="H1298:I1298"/>
    <mergeCell ref="J303:L303"/>
    <mergeCell ref="A525:A526"/>
    <mergeCell ref="L610:L611"/>
    <mergeCell ref="Q569:Q570"/>
    <mergeCell ref="F351:I351"/>
    <mergeCell ref="F345:I345"/>
    <mergeCell ref="B980:H980"/>
    <mergeCell ref="A220:A221"/>
    <mergeCell ref="Q133:Q134"/>
    <mergeCell ref="J603:L603"/>
    <mergeCell ref="L979:L980"/>
    <mergeCell ref="D591:E591"/>
    <mergeCell ref="B184:C184"/>
    <mergeCell ref="D891:E891"/>
    <mergeCell ref="R988:R989"/>
    <mergeCell ref="R531:R532"/>
    <mergeCell ref="D428:E428"/>
    <mergeCell ref="J777:L777"/>
    <mergeCell ref="R831:R832"/>
    <mergeCell ref="J1203:J1204"/>
    <mergeCell ref="B809:C809"/>
    <mergeCell ref="F493:I493"/>
    <mergeCell ref="J1077:L1077"/>
    <mergeCell ref="F74:I74"/>
    <mergeCell ref="B510:C510"/>
    <mergeCell ref="N124:N125"/>
    <mergeCell ref="Q467:Q468"/>
    <mergeCell ref="A994:A995"/>
    <mergeCell ref="Q461:Q462"/>
    <mergeCell ref="A1125:A1126"/>
    <mergeCell ref="F374:I374"/>
    <mergeCell ref="Q581:Q582"/>
    <mergeCell ref="D481:E481"/>
    <mergeCell ref="D1033:E1033"/>
    <mergeCell ref="R1130:R1131"/>
    <mergeCell ref="O848:O849"/>
    <mergeCell ref="B904:L904"/>
    <mergeCell ref="O543:O544"/>
    <mergeCell ref="M60:M61"/>
    <mergeCell ref="O1148:O1149"/>
    <mergeCell ref="H428:I428"/>
    <mergeCell ref="F546:I546"/>
    <mergeCell ref="A1136:A1137"/>
    <mergeCell ref="K441:K442"/>
    <mergeCell ref="N784:N785"/>
    <mergeCell ref="B416:H416"/>
    <mergeCell ref="N898:N899"/>
    <mergeCell ref="D955:E955"/>
    <mergeCell ref="P569:P570"/>
    <mergeCell ref="K741:K742"/>
    <mergeCell ref="P412:P413"/>
    <mergeCell ref="H481:I481"/>
    <mergeCell ref="H24:I24"/>
    <mergeCell ref="H18:I18"/>
    <mergeCell ref="Q1293:Q1294"/>
    <mergeCell ref="J377:J378"/>
    <mergeCell ref="B38:H38"/>
    <mergeCell ref="F1200:I1200"/>
    <mergeCell ref="Q531:Q532"/>
    <mergeCell ref="M371:M372"/>
    <mergeCell ref="F901:I901"/>
    <mergeCell ref="H324:I324"/>
    <mergeCell ref="Q1136:Q1137"/>
    <mergeCell ref="D1097:E1097"/>
    <mergeCell ref="M429:M430"/>
    <mergeCell ref="M124:M125"/>
    <mergeCell ref="P1017:P1018"/>
    <mergeCell ref="P598:P599"/>
    <mergeCell ref="H79:I79"/>
    <mergeCell ref="A336:A337"/>
    <mergeCell ref="P581:P582"/>
    <mergeCell ref="M729:M730"/>
    <mergeCell ref="J719:L719"/>
    <mergeCell ref="B180:H180"/>
    <mergeCell ref="H798:I798"/>
    <mergeCell ref="H379:I379"/>
    <mergeCell ref="N848:N849"/>
    <mergeCell ref="N979:N980"/>
    <mergeCell ref="B480:H480"/>
    <mergeCell ref="K1110:K1111"/>
    <mergeCell ref="Q973:Q974"/>
    <mergeCell ref="N1148:N1149"/>
    <mergeCell ref="L16:L17"/>
    <mergeCell ref="J15:L15"/>
    <mergeCell ref="A694:A695"/>
    <mergeCell ref="B1302:L1302"/>
    <mergeCell ref="B692:H692"/>
    <mergeCell ref="M266:M267"/>
    <mergeCell ref="J441:J442"/>
    <mergeCell ref="J315:L315"/>
    <mergeCell ref="R674:R675"/>
    <mergeCell ref="M566:M567"/>
    <mergeCell ref="J741:J742"/>
    <mergeCell ref="O112:O113"/>
    <mergeCell ref="R1005:R1006"/>
    <mergeCell ref="J284:J285"/>
    <mergeCell ref="B353:C353"/>
    <mergeCell ref="K1165:K1166"/>
    <mergeCell ref="R700:R701"/>
    <mergeCell ref="R694:R695"/>
    <mergeCell ref="M866:M867"/>
    <mergeCell ref="M200:O200"/>
    <mergeCell ref="O412:O413"/>
    <mergeCell ref="B196:C196"/>
    <mergeCell ref="N1290:N1291"/>
    <mergeCell ref="J489:L489"/>
    <mergeCell ref="B984:C984"/>
    <mergeCell ref="P1081:P1082"/>
    <mergeCell ref="P662:P663"/>
    <mergeCell ref="J789:L789"/>
    <mergeCell ref="J783:L783"/>
    <mergeCell ref="H748:I748"/>
    <mergeCell ref="J484:L484"/>
    <mergeCell ref="P962:P963"/>
    <mergeCell ref="H443:I443"/>
    <mergeCell ref="H574:I574"/>
    <mergeCell ref="H1179:I1179"/>
    <mergeCell ref="J426:J427"/>
    <mergeCell ref="Q319:Q320"/>
    <mergeCell ref="O1017:O1018"/>
    <mergeCell ref="O554:O555"/>
    <mergeCell ref="L735:L736"/>
    <mergeCell ref="L272:L273"/>
    <mergeCell ref="D341:E341"/>
    <mergeCell ref="L403:L404"/>
    <mergeCell ref="M968:O968"/>
    <mergeCell ref="R650:R651"/>
    <mergeCell ref="N490:N491"/>
    <mergeCell ref="Q48:Q49"/>
    <mergeCell ref="L877:L878"/>
    <mergeCell ref="Q217:Q218"/>
    <mergeCell ref="Q348:Q349"/>
    <mergeCell ref="L572:L573"/>
    <mergeCell ref="Q1005:Q1006"/>
    <mergeCell ref="B1234:C1234"/>
    <mergeCell ref="F912:I912"/>
    <mergeCell ref="D783:E783"/>
    <mergeCell ref="A787:A788"/>
    <mergeCell ref="Q700:Q701"/>
    <mergeCell ref="J1039:L1039"/>
    <mergeCell ref="J1170:L1170"/>
    <mergeCell ref="J1153:L1153"/>
    <mergeCell ref="F1212:I1212"/>
    <mergeCell ref="R1186:R1187"/>
    <mergeCell ref="A1087:A1088"/>
    <mergeCell ref="F182:I182"/>
    <mergeCell ref="J1253:J1254"/>
    <mergeCell ref="M598:M599"/>
    <mergeCell ref="M141:M142"/>
    <mergeCell ref="K191:K192"/>
    <mergeCell ref="B235:H235"/>
    <mergeCell ref="B222:C222"/>
    <mergeCell ref="B78:H78"/>
    <mergeCell ref="N560:N561"/>
    <mergeCell ref="K822:K823"/>
    <mergeCell ref="K403:K404"/>
    <mergeCell ref="N860:N861"/>
    <mergeCell ref="J127:J128"/>
    <mergeCell ref="B1166:H1166"/>
    <mergeCell ref="K703:K704"/>
    <mergeCell ref="R86:R87"/>
    <mergeCell ref="H143:I143"/>
    <mergeCell ref="R80:R81"/>
    <mergeCell ref="Q412:Q413"/>
    <mergeCell ref="J458:J459"/>
    <mergeCell ref="B136:L136"/>
    <mergeCell ref="B131:H131"/>
    <mergeCell ref="P48:P49"/>
    <mergeCell ref="R1136:R1137"/>
    <mergeCell ref="J453:J454"/>
    <mergeCell ref="M179:M180"/>
    <mergeCell ref="D1153:E1153"/>
    <mergeCell ref="B736:H736"/>
    <mergeCell ref="A1157:A1158"/>
    <mergeCell ref="K877:K878"/>
    <mergeCell ref="P767:P768"/>
    <mergeCell ref="P348:P349"/>
    <mergeCell ref="K572:K573"/>
    <mergeCell ref="N1002:N1003"/>
    <mergeCell ref="K1177:K1178"/>
    <mergeCell ref="N729:N730"/>
    <mergeCell ref="H917:I917"/>
    <mergeCell ref="H460:I460"/>
    <mergeCell ref="Q1186:Q1187"/>
    <mergeCell ref="H612:I612"/>
    <mergeCell ref="B605:H605"/>
    <mergeCell ref="B142:H142"/>
    <mergeCell ref="H1217:I1217"/>
    <mergeCell ref="F1304:I1304"/>
    <mergeCell ref="L141:L142"/>
    <mergeCell ref="B442:H442"/>
    <mergeCell ref="L441:L442"/>
    <mergeCell ref="K773:K774"/>
    <mergeCell ref="D53:E53"/>
    <mergeCell ref="R150:R151"/>
    <mergeCell ref="D47:E47"/>
    <mergeCell ref="M322:M323"/>
    <mergeCell ref="J522:J523"/>
    <mergeCell ref="R755:R756"/>
    <mergeCell ref="R336:R337"/>
    <mergeCell ref="R450:R451"/>
    <mergeCell ref="J822:J823"/>
    <mergeCell ref="J403:J404"/>
    <mergeCell ref="B434:C434"/>
    <mergeCell ref="M1296:M1297"/>
    <mergeCell ref="B15:C15"/>
    <mergeCell ref="O293:O294"/>
    <mergeCell ref="D1103:E1103"/>
    <mergeCell ref="M991:M992"/>
    <mergeCell ref="P717:P718"/>
    <mergeCell ref="J1122:J1123"/>
    <mergeCell ref="J92:J93"/>
    <mergeCell ref="A173:A174"/>
    <mergeCell ref="P418:P419"/>
    <mergeCell ref="B315:C315"/>
    <mergeCell ref="J539:L539"/>
    <mergeCell ref="P1023:P1024"/>
    <mergeCell ref="A473:A474"/>
    <mergeCell ref="F293:I293"/>
    <mergeCell ref="O467:O468"/>
    <mergeCell ref="P1043:P1044"/>
    <mergeCell ref="O653:O654"/>
    <mergeCell ref="O767:O768"/>
    <mergeCell ref="M1307:M1308"/>
    <mergeCell ref="L153:L154"/>
    <mergeCell ref="M272:M273"/>
    <mergeCell ref="F194:I194"/>
    <mergeCell ref="O979:O980"/>
    <mergeCell ref="D117:E117"/>
    <mergeCell ref="P1186:P1187"/>
    <mergeCell ref="D303:E303"/>
    <mergeCell ref="D417:E417"/>
    <mergeCell ref="D603:E603"/>
    <mergeCell ref="J1072:J1073"/>
    <mergeCell ref="J1209:J1210"/>
    <mergeCell ref="B684:C684"/>
    <mergeCell ref="H1010:I1010"/>
    <mergeCell ref="F362:I362"/>
    <mergeCell ref="A237:A238"/>
    <mergeCell ref="L322:L323"/>
    <mergeCell ref="Q755:Q756"/>
    <mergeCell ref="B990:C990"/>
    <mergeCell ref="F668:I668"/>
    <mergeCell ref="A543:A544"/>
    <mergeCell ref="B1297:H1297"/>
    <mergeCell ref="A537:A538"/>
    <mergeCell ref="F205:I205"/>
    <mergeCell ref="Q450:Q451"/>
    <mergeCell ref="M1288:O1288"/>
    <mergeCell ref="L1296:L1297"/>
    <mergeCell ref="D908:E908"/>
    <mergeCell ref="O418:O419"/>
    <mergeCell ref="D1208:E1208"/>
    <mergeCell ref="R848:R849"/>
    <mergeCell ref="O1023:O1024"/>
    <mergeCell ref="J915:J916"/>
    <mergeCell ref="R1148:R1149"/>
    <mergeCell ref="N141:N142"/>
    <mergeCell ref="A1011:A1012"/>
    <mergeCell ref="B1153:C1153"/>
    <mergeCell ref="N441:N442"/>
    <mergeCell ref="J1306:L1306"/>
    <mergeCell ref="K153:K154"/>
    <mergeCell ref="N610:N611"/>
    <mergeCell ref="N741:N742"/>
    <mergeCell ref="O1165:O1166"/>
    <mergeCell ref="J208:J209"/>
    <mergeCell ref="L1008:L1009"/>
    <mergeCell ref="F444:I444"/>
    <mergeCell ref="J990:L990"/>
    <mergeCell ref="F1049:I1049"/>
    <mergeCell ref="Q837:Q838"/>
    <mergeCell ref="K322:K323"/>
    <mergeCell ref="P886:P887"/>
    <mergeCell ref="K1058:K1059"/>
    <mergeCell ref="P429:P430"/>
    <mergeCell ref="M604:M605"/>
    <mergeCell ref="H41:I41"/>
    <mergeCell ref="B27:C27"/>
    <mergeCell ref="P124:P125"/>
    <mergeCell ref="K970:K971"/>
    <mergeCell ref="P729:P730"/>
    <mergeCell ref="H341:I341"/>
    <mergeCell ref="B355:H355"/>
    <mergeCell ref="H36:I36"/>
    <mergeCell ref="Q848:Q849"/>
    <mergeCell ref="N1154:N1155"/>
    <mergeCell ref="L22:L23"/>
    <mergeCell ref="O365:O366"/>
    <mergeCell ref="O60:O61"/>
    <mergeCell ref="Q1148:Q1149"/>
    <mergeCell ref="L191:L192"/>
    <mergeCell ref="B1024:H1024"/>
    <mergeCell ref="B567:H567"/>
    <mergeCell ref="J190:L190"/>
    <mergeCell ref="B501:C501"/>
    <mergeCell ref="M746:M747"/>
    <mergeCell ref="B169:C169"/>
    <mergeCell ref="P1203:P1204"/>
    <mergeCell ref="B867:H867"/>
    <mergeCell ref="M441:M442"/>
    <mergeCell ref="Q1206:Q1207"/>
    <mergeCell ref="J153:J154"/>
    <mergeCell ref="J290:J291"/>
    <mergeCell ref="M1046:M1047"/>
    <mergeCell ref="F1119:I1119"/>
    <mergeCell ref="F1113:I1113"/>
    <mergeCell ref="M741:M742"/>
    <mergeCell ref="M488:O488"/>
    <mergeCell ref="N1165:N1166"/>
    <mergeCell ref="P200:R200"/>
    <mergeCell ref="J1247:J1248"/>
    <mergeCell ref="K1008:K1009"/>
    <mergeCell ref="B853:C853"/>
    <mergeCell ref="B396:C396"/>
    <mergeCell ref="K1122:K1123"/>
    <mergeCell ref="A406:A407"/>
    <mergeCell ref="J201:L201"/>
    <mergeCell ref="J332:L332"/>
    <mergeCell ref="R234:R235"/>
    <mergeCell ref="P837:P838"/>
    <mergeCell ref="B696:C696"/>
    <mergeCell ref="P793:P794"/>
    <mergeCell ref="B1009:H1009"/>
    <mergeCell ref="A249:A250"/>
    <mergeCell ref="J301:J302"/>
    <mergeCell ref="F101:I101"/>
    <mergeCell ref="O429:O430"/>
    <mergeCell ref="J601:J602"/>
    <mergeCell ref="O1034:O1035"/>
    <mergeCell ref="R1017:R1018"/>
    <mergeCell ref="H1074:I1074"/>
    <mergeCell ref="J970:J971"/>
    <mergeCell ref="L386:L387"/>
    <mergeCell ref="O729:O730"/>
    <mergeCell ref="J254:L254"/>
    <mergeCell ref="D190:E190"/>
    <mergeCell ref="M1154:M1155"/>
    <mergeCell ref="P522:P523"/>
    <mergeCell ref="K22:K23"/>
    <mergeCell ref="J1106:L1106"/>
    <mergeCell ref="J354:J355"/>
    <mergeCell ref="M1110:M1111"/>
    <mergeCell ref="H1065:I1065"/>
    <mergeCell ref="J959:J960"/>
    <mergeCell ref="H760:I760"/>
    <mergeCell ref="L746:L747"/>
    <mergeCell ref="L1046:L1047"/>
    <mergeCell ref="B360:L360"/>
    <mergeCell ref="L589:L590"/>
    <mergeCell ref="D658:E658"/>
    <mergeCell ref="F330:I330"/>
    <mergeCell ref="A662:A663"/>
    <mergeCell ref="D201:E201"/>
    <mergeCell ref="B804:C804"/>
    <mergeCell ref="A962:A963"/>
    <mergeCell ref="D1289:E1289"/>
    <mergeCell ref="L342:L343"/>
    <mergeCell ref="Q234:Q235"/>
    <mergeCell ref="D1170:E1170"/>
    <mergeCell ref="D254:E254"/>
    <mergeCell ref="N191:N192"/>
    <mergeCell ref="B946:C946"/>
    <mergeCell ref="A973:A974"/>
    <mergeCell ref="A1104:A1105"/>
    <mergeCell ref="Q1017:Q1018"/>
    <mergeCell ref="B253:H253"/>
    <mergeCell ref="N403:N404"/>
    <mergeCell ref="B1041:H1041"/>
    <mergeCell ref="Q287:Q288"/>
    <mergeCell ref="L1247:L1248"/>
    <mergeCell ref="J170:J171"/>
    <mergeCell ref="F37:I37"/>
    <mergeCell ref="F825:I825"/>
    <mergeCell ref="P179:P180"/>
    <mergeCell ref="Q1218:Q1219"/>
    <mergeCell ref="N877:N878"/>
    <mergeCell ref="M28:M29"/>
    <mergeCell ref="F1125:I1125"/>
    <mergeCell ref="K720:K721"/>
    <mergeCell ref="D1240:E1240"/>
    <mergeCell ref="Q1061:Q1062"/>
    <mergeCell ref="K1020:K1021"/>
    <mergeCell ref="R403:R404"/>
    <mergeCell ref="O115:O116"/>
    <mergeCell ref="B17:H17"/>
    <mergeCell ref="B148:H148"/>
    <mergeCell ref="F1299:I1299"/>
    <mergeCell ref="F880:I880"/>
    <mergeCell ref="H303:I303"/>
    <mergeCell ref="N1235:N1236"/>
    <mergeCell ref="B317:H317"/>
    <mergeCell ref="B448:H448"/>
    <mergeCell ref="O141:O142"/>
    <mergeCell ref="K1194:K1195"/>
    <mergeCell ref="N1072:N1073"/>
    <mergeCell ref="M191:M192"/>
    <mergeCell ref="F869:I869"/>
    <mergeCell ref="R325:R326"/>
    <mergeCell ref="M522:M523"/>
    <mergeCell ref="M1171:M1172"/>
    <mergeCell ref="J365:J366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459:H459"/>
    <mergeCell ref="M1122:M1123"/>
    <mergeCell ref="J82:L82"/>
    <mergeCell ref="A348:A349"/>
    <mergeCell ref="K1247:K1248"/>
    <mergeCell ref="L458:L459"/>
    <mergeCell ref="B1222:H1222"/>
    <mergeCell ref="L758:L759"/>
    <mergeCell ref="K1090:K1091"/>
    <mergeCell ref="D370:E370"/>
    <mergeCell ref="O179:O180"/>
    <mergeCell ref="O310:O311"/>
    <mergeCell ref="R653:R654"/>
    <mergeCell ref="P1218:P1219"/>
    <mergeCell ref="H830:I830"/>
    <mergeCell ref="L28:L29"/>
    <mergeCell ref="J726:J727"/>
    <mergeCell ref="O485:O486"/>
    <mergeCell ref="J720:J721"/>
    <mergeCell ref="F69:I69"/>
    <mergeCell ref="B937:C937"/>
    <mergeCell ref="P1034:P1035"/>
    <mergeCell ref="R37:R38"/>
    <mergeCell ref="Q403:Q404"/>
    <mergeCell ref="B175:C175"/>
    <mergeCell ref="M1224:O1224"/>
    <mergeCell ref="P272:P273"/>
    <mergeCell ref="D292:E292"/>
    <mergeCell ref="Q703:Q704"/>
    <mergeCell ref="M1235:M1236"/>
    <mergeCell ref="J1225:L1225"/>
    <mergeCell ref="L170:L171"/>
    <mergeCell ref="M1078:M1079"/>
    <mergeCell ref="J495:L495"/>
    <mergeCell ref="L802:L803"/>
    <mergeCell ref="B859:C859"/>
    <mergeCell ref="Q304:Q305"/>
    <mergeCell ref="Q298:Q299"/>
    <mergeCell ref="A412:A413"/>
    <mergeCell ref="B1172:H1172"/>
    <mergeCell ref="L522:L523"/>
    <mergeCell ref="F211:I211"/>
    <mergeCell ref="J795:L795"/>
    <mergeCell ref="O1296:O1297"/>
    <mergeCell ref="K106:K107"/>
    <mergeCell ref="D1083:E1083"/>
    <mergeCell ref="R1180:R1181"/>
    <mergeCell ref="D1039:E1039"/>
    <mergeCell ref="R723:R724"/>
    <mergeCell ref="D321:E321"/>
    <mergeCell ref="R418:R419"/>
    <mergeCell ref="J1121:L1121"/>
    <mergeCell ref="R1023:R1024"/>
    <mergeCell ref="M197:M198"/>
    <mergeCell ref="B1007:C1007"/>
    <mergeCell ref="L944:L945"/>
    <mergeCell ref="B1001:C1001"/>
    <mergeCell ref="J1090:J1091"/>
    <mergeCell ref="A554:A555"/>
    <mergeCell ref="B702:C702"/>
    <mergeCell ref="Q1072:Q1073"/>
    <mergeCell ref="N316:N317"/>
    <mergeCell ref="B491:H491"/>
    <mergeCell ref="Q773:Q774"/>
    <mergeCell ref="A854:A855"/>
    <mergeCell ref="B186:H186"/>
    <mergeCell ref="N153:N154"/>
    <mergeCell ref="B791:H791"/>
    <mergeCell ref="B1096:L1096"/>
    <mergeCell ref="B486:H486"/>
    <mergeCell ref="B1091:H1091"/>
    <mergeCell ref="R1165:R1166"/>
    <mergeCell ref="H68:I68"/>
    <mergeCell ref="L997:L998"/>
    <mergeCell ref="M208:M209"/>
    <mergeCell ref="F275:I275"/>
    <mergeCell ref="J1232:J1233"/>
    <mergeCell ref="M89:M90"/>
    <mergeCell ref="F575:I575"/>
    <mergeCell ref="K176:K177"/>
    <mergeCell ref="K170:K171"/>
    <mergeCell ref="N1090:N1091"/>
    <mergeCell ref="D1147:E1147"/>
    <mergeCell ref="B392:L392"/>
    <mergeCell ref="L1209:L1210"/>
    <mergeCell ref="P304:P305"/>
    <mergeCell ref="D990:E990"/>
    <mergeCell ref="B171:H171"/>
    <mergeCell ref="M261:M262"/>
    <mergeCell ref="P604:P605"/>
    <mergeCell ref="H216:I216"/>
    <mergeCell ref="H210:I210"/>
    <mergeCell ref="Q723:Q724"/>
    <mergeCell ref="H516:I516"/>
    <mergeCell ref="N985:N986"/>
    <mergeCell ref="B198:H198"/>
    <mergeCell ref="Q1023:Q1024"/>
    <mergeCell ref="K828:K829"/>
    <mergeCell ref="Q1154:Q1155"/>
    <mergeCell ref="L197:L198"/>
    <mergeCell ref="F930:I930"/>
    <mergeCell ref="K944:K945"/>
    <mergeCell ref="B1160:L1160"/>
    <mergeCell ref="D1132:E1132"/>
    <mergeCell ref="P141:P142"/>
    <mergeCell ref="M316:M317"/>
    <mergeCell ref="P746:P747"/>
    <mergeCell ref="M921:M922"/>
    <mergeCell ref="J121:J122"/>
    <mergeCell ref="J115:J116"/>
    <mergeCell ref="P441:P442"/>
    <mergeCell ref="M159:M160"/>
    <mergeCell ref="P1046:P1047"/>
    <mergeCell ref="J421:J422"/>
    <mergeCell ref="B672:H672"/>
    <mergeCell ref="M941:M942"/>
    <mergeCell ref="J790:J791"/>
    <mergeCell ref="L208:L209"/>
    <mergeCell ref="M1247:M1248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J176:J177"/>
    <mergeCell ref="K1209:K1210"/>
    <mergeCell ref="H580:I580"/>
    <mergeCell ref="B1184:H1184"/>
    <mergeCell ref="M301:M302"/>
    <mergeCell ref="J476:J477"/>
    <mergeCell ref="R429:R430"/>
    <mergeCell ref="O278:O279"/>
    <mergeCell ref="B1242:H1242"/>
    <mergeCell ref="B713:C713"/>
    <mergeCell ref="P810:P811"/>
    <mergeCell ref="J981:L981"/>
    <mergeCell ref="A266:A267"/>
    <mergeCell ref="J649:L649"/>
    <mergeCell ref="B1013:C1013"/>
    <mergeCell ref="N22:N23"/>
    <mergeCell ref="P1110:P1111"/>
    <mergeCell ref="A566:A567"/>
    <mergeCell ref="Q54:Q55"/>
    <mergeCell ref="O746:O747"/>
    <mergeCell ref="N1078:N1079"/>
    <mergeCell ref="L595:L596"/>
    <mergeCell ref="J876:L876"/>
    <mergeCell ref="L709:L710"/>
    <mergeCell ref="O1046:O1047"/>
    <mergeCell ref="L290:L291"/>
    <mergeCell ref="A188:A189"/>
    <mergeCell ref="J571:L571"/>
    <mergeCell ref="A1250:A1251"/>
    <mergeCell ref="D376:E376"/>
    <mergeCell ref="F173:I173"/>
    <mergeCell ref="D1164:E1164"/>
    <mergeCell ref="F287:I287"/>
    <mergeCell ref="O1104:O1105"/>
    <mergeCell ref="O342:O343"/>
    <mergeCell ref="K182:K183"/>
    <mergeCell ref="N66:N67"/>
    <mergeCell ref="B1240:C1240"/>
    <mergeCell ref="B241:H241"/>
    <mergeCell ref="J1176:L1176"/>
    <mergeCell ref="A330:A331"/>
    <mergeCell ref="A979:A980"/>
    <mergeCell ref="B1121:C1121"/>
    <mergeCell ref="K240:K241"/>
    <mergeCell ref="H222:I222"/>
    <mergeCell ref="N697:N698"/>
    <mergeCell ref="Q1034:Q1035"/>
    <mergeCell ref="N278:N279"/>
    <mergeCell ref="N578:N579"/>
    <mergeCell ref="J982:J983"/>
    <mergeCell ref="L659:L660"/>
    <mergeCell ref="L959:L960"/>
    <mergeCell ref="F700:I700"/>
    <mergeCell ref="P54:P55"/>
    <mergeCell ref="B270:H270"/>
    <mergeCell ref="A1315:A1316"/>
    <mergeCell ref="A1290:A1291"/>
    <mergeCell ref="K595:K596"/>
    <mergeCell ref="Q877:Q878"/>
    <mergeCell ref="K709:K710"/>
    <mergeCell ref="D1109:E1109"/>
    <mergeCell ref="N720:N721"/>
    <mergeCell ref="K895:K896"/>
    <mergeCell ref="H335:I335"/>
    <mergeCell ref="Q604:Q605"/>
    <mergeCell ref="R115:R116"/>
    <mergeCell ref="Q447:Q448"/>
    <mergeCell ref="F842:I842"/>
    <mergeCell ref="H292:I292"/>
    <mergeCell ref="B323:H323"/>
    <mergeCell ref="Q1235:Q1236"/>
    <mergeCell ref="Q1229:Q1230"/>
    <mergeCell ref="F1011:I1011"/>
    <mergeCell ref="B94:C94"/>
    <mergeCell ref="P191:P192"/>
    <mergeCell ref="J240:J241"/>
    <mergeCell ref="R473:R474"/>
    <mergeCell ref="M697:M698"/>
    <mergeCell ref="J540:J541"/>
    <mergeCell ref="B152:C152"/>
    <mergeCell ref="B334:H334"/>
    <mergeCell ref="M997:M998"/>
    <mergeCell ref="M456:O456"/>
    <mergeCell ref="A179:A180"/>
    <mergeCell ref="K1078:K1079"/>
    <mergeCell ref="B452:C452"/>
    <mergeCell ref="N1247:N1248"/>
    <mergeCell ref="O458:O459"/>
    <mergeCell ref="D245:E245"/>
    <mergeCell ref="K959:K960"/>
    <mergeCell ref="R342:R343"/>
    <mergeCell ref="J1045:L1045"/>
    <mergeCell ref="J714:J715"/>
    <mergeCell ref="O185:O186"/>
    <mergeCell ref="P761:P762"/>
    <mergeCell ref="H242:I242"/>
    <mergeCell ref="D82:E82"/>
    <mergeCell ref="J1014:J1015"/>
    <mergeCell ref="R179:R180"/>
    <mergeCell ref="B207:C207"/>
    <mergeCell ref="D1295:E1295"/>
    <mergeCell ref="O28:O29"/>
    <mergeCell ref="J709:J710"/>
    <mergeCell ref="B992:H992"/>
    <mergeCell ref="B507:C507"/>
    <mergeCell ref="A16:A17"/>
    <mergeCell ref="K1107:K1108"/>
    <mergeCell ref="K1101:K1102"/>
    <mergeCell ref="B1138:C1138"/>
    <mergeCell ref="P1235:P1236"/>
    <mergeCell ref="L45:L46"/>
    <mergeCell ref="Q173:Q174"/>
    <mergeCell ref="H1147:I1147"/>
    <mergeCell ref="L345:L346"/>
    <mergeCell ref="F86:I86"/>
    <mergeCell ref="F80:I80"/>
    <mergeCell ref="Q479:Q480"/>
    <mergeCell ref="Q473:Q474"/>
    <mergeCell ref="F386:I386"/>
    <mergeCell ref="D309:E309"/>
    <mergeCell ref="D914:E914"/>
    <mergeCell ref="R1011:R1012"/>
    <mergeCell ref="K95:K96"/>
    <mergeCell ref="D609:E609"/>
    <mergeCell ref="K281:K282"/>
    <mergeCell ref="J996:L996"/>
    <mergeCell ref="D1214:E1214"/>
    <mergeCell ref="P223:P224"/>
    <mergeCell ref="R892:R893"/>
    <mergeCell ref="O92:O93"/>
    <mergeCell ref="P1310:R1310"/>
    <mergeCell ref="O1312:O1313"/>
    <mergeCell ref="B1182:C1182"/>
    <mergeCell ref="A729:A730"/>
    <mergeCell ref="F397:I397"/>
    <mergeCell ref="F528:I528"/>
    <mergeCell ref="Q316:Q317"/>
    <mergeCell ref="N447:N448"/>
    <mergeCell ref="N28:N29"/>
    <mergeCell ref="B1202:C1202"/>
    <mergeCell ref="J1138:L1138"/>
    <mergeCell ref="R1040:R1041"/>
    <mergeCell ref="D937:E937"/>
    <mergeCell ref="R1034:R1035"/>
    <mergeCell ref="M83:M84"/>
    <mergeCell ref="A1055:A1056"/>
    <mergeCell ref="F150:I150"/>
    <mergeCell ref="J1107:J1108"/>
    <mergeCell ref="M383:M384"/>
    <mergeCell ref="F450:I450"/>
    <mergeCell ref="O1235:O1236"/>
    <mergeCell ref="K45:K46"/>
    <mergeCell ref="K764:K765"/>
    <mergeCell ref="N170:N171"/>
    <mergeCell ref="K345:K346"/>
    <mergeCell ref="D996:E996"/>
    <mergeCell ref="R1093:R1094"/>
    <mergeCell ref="K1133:K1134"/>
    <mergeCell ref="B46:H46"/>
    <mergeCell ref="B1108:H1108"/>
    <mergeCell ref="P147:P148"/>
    <mergeCell ref="B346:H346"/>
    <mergeCell ref="K976:K977"/>
    <mergeCell ref="H385:I385"/>
    <mergeCell ref="Q685:Q686"/>
    <mergeCell ref="J1182:L1182"/>
    <mergeCell ref="F592:I592"/>
    <mergeCell ref="Q1029:Q1030"/>
    <mergeCell ref="Q985:Q986"/>
    <mergeCell ref="F892:I892"/>
    <mergeCell ref="O197:O198"/>
    <mergeCell ref="D1007:E1007"/>
    <mergeCell ref="B704:H704"/>
    <mergeCell ref="M278:M279"/>
    <mergeCell ref="B219:C219"/>
    <mergeCell ref="P316:P317"/>
    <mergeCell ref="M447:M448"/>
    <mergeCell ref="M578:M579"/>
    <mergeCell ref="P921:P922"/>
    <mergeCell ref="Q1040:Q1041"/>
    <mergeCell ref="D1060:E1060"/>
    <mergeCell ref="M790:M791"/>
    <mergeCell ref="N997:N998"/>
    <mergeCell ref="B1178:H1178"/>
    <mergeCell ref="B114:C114"/>
    <mergeCell ref="J382:L382"/>
    <mergeCell ref="B427:H427"/>
    <mergeCell ref="J749:J750"/>
    <mergeCell ref="M176:M177"/>
    <mergeCell ref="P511:P512"/>
    <mergeCell ref="J764:J765"/>
    <mergeCell ref="M170:M171"/>
    <mergeCell ref="R304:R305"/>
    <mergeCell ref="M476:M477"/>
    <mergeCell ref="R909:R910"/>
    <mergeCell ref="O147:O148"/>
    <mergeCell ref="O261:O262"/>
    <mergeCell ref="R604:R605"/>
    <mergeCell ref="J976:J977"/>
    <mergeCell ref="B1045:C1045"/>
    <mergeCell ref="B588:C588"/>
    <mergeCell ref="A598:A599"/>
    <mergeCell ref="A141:A142"/>
    <mergeCell ref="N202:N203"/>
    <mergeCell ref="P1290:P1291"/>
    <mergeCell ref="B283:C283"/>
    <mergeCell ref="J524:L524"/>
    <mergeCell ref="M534:M535"/>
    <mergeCell ref="B888:C888"/>
    <mergeCell ref="P985:P986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N197:N198"/>
    <mergeCell ref="H897:I897"/>
    <mergeCell ref="P744:R744"/>
    <mergeCell ref="Q229:Q230"/>
    <mergeCell ref="R1209:R1210"/>
    <mergeCell ref="J751:L751"/>
    <mergeCell ref="R746:R747"/>
    <mergeCell ref="L578:L579"/>
    <mergeCell ref="L121:L122"/>
    <mergeCell ref="O464:O465"/>
    <mergeCell ref="J446:L446"/>
    <mergeCell ref="J1051:L1051"/>
    <mergeCell ref="B1123:H1123"/>
    <mergeCell ref="L421:L422"/>
    <mergeCell ref="B1254:H1254"/>
    <mergeCell ref="F162:I162"/>
    <mergeCell ref="J546:J547"/>
    <mergeCell ref="Q682:Q683"/>
    <mergeCell ref="K57:K58"/>
    <mergeCell ref="R1104:R1105"/>
    <mergeCell ref="R799:R800"/>
    <mergeCell ref="J1171:J1172"/>
    <mergeCell ref="L176:L177"/>
    <mergeCell ref="Q66:Q67"/>
    <mergeCell ref="J588:L588"/>
    <mergeCell ref="L781:L782"/>
    <mergeCell ref="L912:L913"/>
    <mergeCell ref="D393:E393"/>
    <mergeCell ref="A810:A811"/>
    <mergeCell ref="B952:C952"/>
    <mergeCell ref="J1193:L1193"/>
    <mergeCell ref="H97:I97"/>
    <mergeCell ref="A505:A506"/>
    <mergeCell ref="J894:L894"/>
    <mergeCell ref="O333:O334"/>
    <mergeCell ref="M898:M899"/>
    <mergeCell ref="J888:L888"/>
    <mergeCell ref="A1110:A1111"/>
    <mergeCell ref="A805:A806"/>
    <mergeCell ref="J1188:L1188"/>
    <mergeCell ref="O1290:O1291"/>
    <mergeCell ref="D1176:E1176"/>
    <mergeCell ref="M45:M46"/>
    <mergeCell ref="D446:E446"/>
    <mergeCell ref="N383:N384"/>
    <mergeCell ref="B681:C681"/>
    <mergeCell ref="B259:H259"/>
    <mergeCell ref="N714:N715"/>
    <mergeCell ref="K426:K427"/>
    <mergeCell ref="Q752:Q753"/>
    <mergeCell ref="K121:K122"/>
    <mergeCell ref="N1014:N1015"/>
    <mergeCell ref="N595:N596"/>
    <mergeCell ref="N895:N896"/>
    <mergeCell ref="B1070:H1070"/>
    <mergeCell ref="L976:L977"/>
    <mergeCell ref="F1017:I1017"/>
    <mergeCell ref="B274:C274"/>
    <mergeCell ref="B454:H454"/>
    <mergeCell ref="P371:P372"/>
    <mergeCell ref="P66:P67"/>
    <mergeCell ref="M240:M241"/>
    <mergeCell ref="J415:J416"/>
    <mergeCell ref="P697:P698"/>
    <mergeCell ref="D1115:E1115"/>
    <mergeCell ref="M540:M541"/>
    <mergeCell ref="H495:I495"/>
    <mergeCell ref="J132:L132"/>
    <mergeCell ref="P456:R456"/>
    <mergeCell ref="B183:H183"/>
    <mergeCell ref="B177:H177"/>
    <mergeCell ref="J499:J500"/>
    <mergeCell ref="M168:O168"/>
    <mergeCell ref="A1203:A1204"/>
    <mergeCell ref="N965:N966"/>
    <mergeCell ref="B1140:H1140"/>
    <mergeCell ref="M714:M715"/>
    <mergeCell ref="R54:R55"/>
    <mergeCell ref="R185:R186"/>
    <mergeCell ref="J557:J558"/>
    <mergeCell ref="M1014:M1015"/>
    <mergeCell ref="M595:M596"/>
    <mergeCell ref="H969:I969"/>
    <mergeCell ref="H548:I548"/>
    <mergeCell ref="J857:J858"/>
    <mergeCell ref="B338:C338"/>
    <mergeCell ref="M1200:M1201"/>
    <mergeCell ref="J400:J401"/>
    <mergeCell ref="B469:C469"/>
    <mergeCell ref="B33:C33"/>
    <mergeCell ref="J274:L274"/>
    <mergeCell ref="M284:M285"/>
    <mergeCell ref="B164:C164"/>
    <mergeCell ref="A191:A192"/>
    <mergeCell ref="D562:E562"/>
    <mergeCell ref="A522:A523"/>
    <mergeCell ref="O45:O46"/>
    <mergeCell ref="J600:L600"/>
    <mergeCell ref="H1022:I1022"/>
    <mergeCell ref="H559:I559"/>
    <mergeCell ref="O345:O346"/>
    <mergeCell ref="O1133:O1134"/>
    <mergeCell ref="R1171:R1172"/>
    <mergeCell ref="D457:E457"/>
    <mergeCell ref="L546:L547"/>
    <mergeCell ref="D152:E152"/>
    <mergeCell ref="D757:E757"/>
    <mergeCell ref="R854:R855"/>
    <mergeCell ref="D452:E452"/>
    <mergeCell ref="H1164:I1164"/>
    <mergeCell ref="J927:J928"/>
    <mergeCell ref="O819:O820"/>
    <mergeCell ref="R1312:R1313"/>
    <mergeCell ref="Q490:Q491"/>
    <mergeCell ref="Q333:Q334"/>
    <mergeCell ref="L688:L689"/>
    <mergeCell ref="L682:L683"/>
    <mergeCell ref="A1235:A1236"/>
    <mergeCell ref="R915:R916"/>
    <mergeCell ref="A1229:A1230"/>
    <mergeCell ref="R1215:R1216"/>
    <mergeCell ref="P83:P84"/>
    <mergeCell ref="F325:I325"/>
    <mergeCell ref="B1193:C1193"/>
    <mergeCell ref="D196:E196"/>
    <mergeCell ref="N45:N46"/>
    <mergeCell ref="N345:N346"/>
    <mergeCell ref="Q802:Q803"/>
    <mergeCell ref="N1133:N1134"/>
    <mergeCell ref="B221:H221"/>
    <mergeCell ref="Q560:Q561"/>
    <mergeCell ref="M400:M401"/>
    <mergeCell ref="K546:K547"/>
    <mergeCell ref="F467:I467"/>
    <mergeCell ref="Q860:Q861"/>
    <mergeCell ref="Q397:Q398"/>
    <mergeCell ref="F767:I767"/>
    <mergeCell ref="N703:N704"/>
    <mergeCell ref="K362:K363"/>
    <mergeCell ref="K205:K206"/>
    <mergeCell ref="D1182:E1182"/>
    <mergeCell ref="B50:C50"/>
    <mergeCell ref="B363:H363"/>
    <mergeCell ref="M453:M454"/>
    <mergeCell ref="P333:P334"/>
    <mergeCell ref="J165:J166"/>
    <mergeCell ref="K688:K689"/>
    <mergeCell ref="P447:P448"/>
    <mergeCell ref="P34:P35"/>
    <mergeCell ref="B390:H390"/>
    <mergeCell ref="O214:O215"/>
    <mergeCell ref="H728:I728"/>
    <mergeCell ref="B721:H721"/>
    <mergeCell ref="B890:H890"/>
    <mergeCell ref="H1028:I1028"/>
    <mergeCell ref="B1021:H1021"/>
    <mergeCell ref="P938:P939"/>
    <mergeCell ref="M351:M352"/>
    <mergeCell ref="M345:M346"/>
    <mergeCell ref="P1238:P1239"/>
    <mergeCell ref="J613:J614"/>
    <mergeCell ref="M1133:M1134"/>
    <mergeCell ref="J399:L399"/>
    <mergeCell ref="P860:P861"/>
    <mergeCell ref="P991:P992"/>
    <mergeCell ref="Q202:Q203"/>
    <mergeCell ref="A316:A317"/>
    <mergeCell ref="B431:C431"/>
    <mergeCell ref="A272:A273"/>
    <mergeCell ref="J699:L699"/>
    <mergeCell ref="J236:L236"/>
    <mergeCell ref="H772:I772"/>
    <mergeCell ref="Q502:Q503"/>
    <mergeCell ref="F1165:I1165"/>
    <mergeCell ref="O883:O884"/>
    <mergeCell ref="O470:O471"/>
    <mergeCell ref="R1226:R1227"/>
    <mergeCell ref="R921:R922"/>
    <mergeCell ref="J1293:J1294"/>
    <mergeCell ref="B905:C905"/>
    <mergeCell ref="B600:C600"/>
    <mergeCell ref="B1205:C1205"/>
    <mergeCell ref="N214:N215"/>
    <mergeCell ref="M546:M547"/>
    <mergeCell ref="K351:K352"/>
    <mergeCell ref="H914:I914"/>
    <mergeCell ref="D882:E882"/>
    <mergeCell ref="J677:J678"/>
    <mergeCell ref="R979:R980"/>
    <mergeCell ref="M1151:M1152"/>
    <mergeCell ref="P936:R936"/>
    <mergeCell ref="H1214:I1214"/>
    <mergeCell ref="O938:O939"/>
    <mergeCell ref="L138:L139"/>
    <mergeCell ref="A685:A686"/>
    <mergeCell ref="B958:C958"/>
    <mergeCell ref="O1238:O1239"/>
    <mergeCell ref="A380:A381"/>
    <mergeCell ref="L438:L439"/>
    <mergeCell ref="J763:L763"/>
    <mergeCell ref="A985:A986"/>
    <mergeCell ref="Q572:Q573"/>
    <mergeCell ref="D236:E236"/>
    <mergeCell ref="L738:L739"/>
    <mergeCell ref="F479:I479"/>
    <mergeCell ref="J606:L606"/>
    <mergeCell ref="N415:N416"/>
    <mergeCell ref="K74:K75"/>
    <mergeCell ref="D588:E588"/>
    <mergeCell ref="D1193:E1193"/>
    <mergeCell ref="R1290:R1291"/>
    <mergeCell ref="O534:O535"/>
    <mergeCell ref="K374:K375"/>
    <mergeCell ref="M51:M52"/>
    <mergeCell ref="O1139:O1140"/>
    <mergeCell ref="P502:P503"/>
    <mergeCell ref="O834:O835"/>
    <mergeCell ref="H114:I114"/>
    <mergeCell ref="J905:L905"/>
    <mergeCell ref="L1098:L1099"/>
    <mergeCell ref="N889:N890"/>
    <mergeCell ref="A822:A823"/>
    <mergeCell ref="N883:N884"/>
    <mergeCell ref="J1205:L1205"/>
    <mergeCell ref="N426:N427"/>
    <mergeCell ref="B102:H102"/>
    <mergeCell ref="K732:K733"/>
    <mergeCell ref="A1008:A1009"/>
    <mergeCell ref="K269:K270"/>
    <mergeCell ref="Q595:Q596"/>
    <mergeCell ref="A1122:A1123"/>
    <mergeCell ref="L851:L852"/>
    <mergeCell ref="Q610:Q611"/>
    <mergeCell ref="L1151:L1152"/>
    <mergeCell ref="J19:J20"/>
    <mergeCell ref="M362:M363"/>
    <mergeCell ref="B1303:C1303"/>
    <mergeCell ref="F429:I429"/>
    <mergeCell ref="F543:I543"/>
    <mergeCell ref="J319:J320"/>
    <mergeCell ref="K138:K139"/>
    <mergeCell ref="K1200:K1201"/>
    <mergeCell ref="M104:O104"/>
    <mergeCell ref="K901:K902"/>
    <mergeCell ref="K438:K439"/>
    <mergeCell ref="P572:P573"/>
    <mergeCell ref="B782:H782"/>
    <mergeCell ref="A22:A23"/>
    <mergeCell ref="M415:M416"/>
    <mergeCell ref="R307:R308"/>
    <mergeCell ref="H364:I364"/>
    <mergeCell ref="H484:I484"/>
    <mergeCell ref="H65:I65"/>
    <mergeCell ref="B471:H471"/>
    <mergeCell ref="F1203:I1203"/>
    <mergeCell ref="B776:L776"/>
    <mergeCell ref="B166:H166"/>
    <mergeCell ref="K796:K797"/>
    <mergeCell ref="N1253:N1254"/>
    <mergeCell ref="B352:H352"/>
    <mergeCell ref="R60:R61"/>
    <mergeCell ref="B683:H683"/>
    <mergeCell ref="J432:J433"/>
    <mergeCell ref="M889:M890"/>
    <mergeCell ref="M426:M427"/>
    <mergeCell ref="B983:H983"/>
    <mergeCell ref="M557:M558"/>
    <mergeCell ref="J732:J733"/>
    <mergeCell ref="J269:J270"/>
    <mergeCell ref="M1162:M1163"/>
    <mergeCell ref="B526:H526"/>
    <mergeCell ref="M1189:M1190"/>
    <mergeCell ref="J389:J390"/>
    <mergeCell ref="J149:L149"/>
    <mergeCell ref="M857:M858"/>
    <mergeCell ref="B826:H826"/>
    <mergeCell ref="J449:L449"/>
    <mergeCell ref="O650:O651"/>
    <mergeCell ref="N976:N977"/>
    <mergeCell ref="K1151:K1152"/>
    <mergeCell ref="J780:L780"/>
    <mergeCell ref="R202:R203"/>
    <mergeCell ref="P953:P954"/>
    <mergeCell ref="O34:O35"/>
    <mergeCell ref="H434:I434"/>
    <mergeCell ref="R371:R372"/>
    <mergeCell ref="R502:R503"/>
    <mergeCell ref="J874:J875"/>
    <mergeCell ref="O220:O221"/>
    <mergeCell ref="H734:I734"/>
    <mergeCell ref="J569:J570"/>
    <mergeCell ref="B350:C350"/>
    <mergeCell ref="L415:L416"/>
    <mergeCell ref="D27:E27"/>
    <mergeCell ref="K1136:K1137"/>
    <mergeCell ref="M1253:M1254"/>
    <mergeCell ref="H876:I876"/>
    <mergeCell ref="O994:O995"/>
    <mergeCell ref="B251:C251"/>
    <mergeCell ref="O714:O715"/>
    <mergeCell ref="F115:I115"/>
    <mergeCell ref="Q322:Q323"/>
    <mergeCell ref="L557:L558"/>
    <mergeCell ref="F229:I229"/>
    <mergeCell ref="L1162:L1163"/>
    <mergeCell ref="N165:N166"/>
    <mergeCell ref="A778:A779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J1244:J1245"/>
    <mergeCell ref="M101:M102"/>
    <mergeCell ref="N34:N35"/>
    <mergeCell ref="Q45:Q46"/>
    <mergeCell ref="N220:N221"/>
    <mergeCell ref="K25:K26"/>
    <mergeCell ref="H76:I76"/>
    <mergeCell ref="Q345:Q346"/>
    <mergeCell ref="Q1133:Q1134"/>
    <mergeCell ref="A1247:A1248"/>
    <mergeCell ref="Q735:Q736"/>
    <mergeCell ref="B64:H64"/>
    <mergeCell ref="M243:M244"/>
    <mergeCell ref="I1:L3"/>
    <mergeCell ref="F179:I179"/>
    <mergeCell ref="L1232:L1233"/>
    <mergeCell ref="F485:I485"/>
    <mergeCell ref="L927:L928"/>
    <mergeCell ref="B122:H122"/>
    <mergeCell ref="J444:J445"/>
    <mergeCell ref="B238:H238"/>
    <mergeCell ref="A1142:A1143"/>
    <mergeCell ref="P322:P323"/>
    <mergeCell ref="P453:P454"/>
    <mergeCell ref="B538:H538"/>
    <mergeCell ref="B532:H532"/>
    <mergeCell ref="K1168:K1169"/>
    <mergeCell ref="K1162:K1163"/>
    <mergeCell ref="M165:M166"/>
    <mergeCell ref="H120:I120"/>
    <mergeCell ref="K863:K864"/>
    <mergeCell ref="F784:I784"/>
    <mergeCell ref="Q1177:Q1178"/>
    <mergeCell ref="F1084:I1084"/>
    <mergeCell ref="N1020:N1021"/>
    <mergeCell ref="R83:R84"/>
    <mergeCell ref="D1199:E1199"/>
    <mergeCell ref="B896:H896"/>
    <mergeCell ref="M13:M14"/>
    <mergeCell ref="B433:H433"/>
    <mergeCell ref="K1221:K1222"/>
    <mergeCell ref="F1296:I1296"/>
    <mergeCell ref="P1113:P1114"/>
    <mergeCell ref="M313:M314"/>
    <mergeCell ref="K1304:K1305"/>
    <mergeCell ref="M307:M308"/>
    <mergeCell ref="J25:J26"/>
    <mergeCell ref="K1005:K1006"/>
    <mergeCell ref="P1133:P1134"/>
    <mergeCell ref="K275:K276"/>
    <mergeCell ref="O400:O401"/>
    <mergeCell ref="Q77:Q78"/>
    <mergeCell ref="B306:C306"/>
    <mergeCell ref="L243:L244"/>
    <mergeCell ref="B1038:H1038"/>
    <mergeCell ref="K575:K576"/>
    <mergeCell ref="J530:L530"/>
    <mergeCell ref="H588:I588"/>
    <mergeCell ref="B420:C420"/>
    <mergeCell ref="B602:H602"/>
    <mergeCell ref="K1232:K1233"/>
    <mergeCell ref="B733:H733"/>
    <mergeCell ref="J225:L225"/>
    <mergeCell ref="Q377:Q378"/>
    <mergeCell ref="B1207:H1207"/>
    <mergeCell ref="P703:P704"/>
    <mergeCell ref="A578:A579"/>
    <mergeCell ref="H315:I315"/>
    <mergeCell ref="O758:O759"/>
    <mergeCell ref="J930:J931"/>
    <mergeCell ref="O301:O302"/>
    <mergeCell ref="O453:O454"/>
    <mergeCell ref="L144:L145"/>
    <mergeCell ref="B780:C780"/>
    <mergeCell ref="O1058:O1059"/>
    <mergeCell ref="B1080:C1080"/>
    <mergeCell ref="B143:C143"/>
    <mergeCell ref="P1177:P1178"/>
    <mergeCell ref="A170:A171"/>
    <mergeCell ref="H1089:I1089"/>
    <mergeCell ref="R1154:R1155"/>
    <mergeCell ref="L13:L14"/>
    <mergeCell ref="J1221:J1222"/>
    <mergeCell ref="R938:R939"/>
    <mergeCell ref="L313:L314"/>
    <mergeCell ref="R1238:R1239"/>
    <mergeCell ref="A528:A529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828:A829"/>
    <mergeCell ref="N74:N75"/>
    <mergeCell ref="J994:J995"/>
    <mergeCell ref="R1296:R1297"/>
    <mergeCell ref="J575:J576"/>
    <mergeCell ref="R534:R535"/>
    <mergeCell ref="J906:J907"/>
    <mergeCell ref="B1144:C1144"/>
    <mergeCell ref="K874:K875"/>
    <mergeCell ref="J1206:J1207"/>
    <mergeCell ref="A697:A698"/>
    <mergeCell ref="J1086:L1086"/>
    <mergeCell ref="J1080:L1080"/>
    <mergeCell ref="N301:N302"/>
    <mergeCell ref="N432:N433"/>
    <mergeCell ref="Q470:Q471"/>
    <mergeCell ref="A997:A998"/>
    <mergeCell ref="N1058:N1059"/>
    <mergeCell ref="N601:N602"/>
    <mergeCell ref="B302:H302"/>
    <mergeCell ref="N732:N733"/>
    <mergeCell ref="J923:L923"/>
    <mergeCell ref="R1307:R1308"/>
    <mergeCell ref="Q485:Q486"/>
    <mergeCell ref="D905:E905"/>
    <mergeCell ref="O851:O852"/>
    <mergeCell ref="L982:L983"/>
    <mergeCell ref="R127:R128"/>
    <mergeCell ref="L677:L678"/>
    <mergeCell ref="F418:I418"/>
    <mergeCell ref="O1151:O1152"/>
    <mergeCell ref="J194:J195"/>
    <mergeCell ref="A898:A899"/>
    <mergeCell ref="P89:P90"/>
    <mergeCell ref="N138:N139"/>
    <mergeCell ref="K313:K314"/>
    <mergeCell ref="K444:K445"/>
    <mergeCell ref="B288:H288"/>
    <mergeCell ref="K918:K919"/>
    <mergeCell ref="K613:K614"/>
    <mergeCell ref="D1106:E1106"/>
    <mergeCell ref="M290:M291"/>
    <mergeCell ref="L1168:L1169"/>
    <mergeCell ref="P415:P416"/>
    <mergeCell ref="M74:M75"/>
    <mergeCell ref="J205:J206"/>
    <mergeCell ref="F1209:I1209"/>
    <mergeCell ref="F746:I746"/>
    <mergeCell ref="O51:O52"/>
    <mergeCell ref="Q1139:Q1140"/>
    <mergeCell ref="F1046:I1046"/>
    <mergeCell ref="Q1253:Q1254"/>
    <mergeCell ref="M63:M64"/>
    <mergeCell ref="K755:K756"/>
    <mergeCell ref="P1194:P1195"/>
    <mergeCell ref="M432:M433"/>
    <mergeCell ref="P889:P890"/>
    <mergeCell ref="B786:C786"/>
    <mergeCell ref="M1037:M1038"/>
    <mergeCell ref="H501:I501"/>
    <mergeCell ref="F1104:I1104"/>
    <mergeCell ref="M732:M733"/>
    <mergeCell ref="H687:I687"/>
    <mergeCell ref="P1189:P1190"/>
    <mergeCell ref="P159:P160"/>
    <mergeCell ref="B56:C56"/>
    <mergeCell ref="B788:H788"/>
    <mergeCell ref="N851:N852"/>
    <mergeCell ref="K982:K983"/>
    <mergeCell ref="K1113:K1114"/>
    <mergeCell ref="B1310:L1310"/>
    <mergeCell ref="N1157:N1158"/>
    <mergeCell ref="N1151:N1152"/>
    <mergeCell ref="M906:M907"/>
    <mergeCell ref="R377:R378"/>
    <mergeCell ref="A240:A241"/>
    <mergeCell ref="M1206:M1207"/>
    <mergeCell ref="R220:R221"/>
    <mergeCell ref="M901:M902"/>
    <mergeCell ref="J1049:J1050"/>
    <mergeCell ref="J592:J593"/>
    <mergeCell ref="B204:C204"/>
    <mergeCell ref="A83:A84"/>
    <mergeCell ref="J287:J288"/>
    <mergeCell ref="O1183:O1184"/>
    <mergeCell ref="J9:L9"/>
    <mergeCell ref="A383:A384"/>
    <mergeCell ref="B1316:H1316"/>
    <mergeCell ref="A714:A715"/>
    <mergeCell ref="P970:P971"/>
    <mergeCell ref="B856:C8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J62:L62"/>
    <mergeCell ref="H1051:I1051"/>
    <mergeCell ref="B739:H739"/>
    <mergeCell ref="L1037:L1038"/>
    <mergeCell ref="L732:L733"/>
    <mergeCell ref="D344:E344"/>
    <mergeCell ref="J1150:L1150"/>
    <mergeCell ref="O1162:O1163"/>
    <mergeCell ref="D949:E949"/>
    <mergeCell ref="R1046:R1047"/>
    <mergeCell ref="R589:R590"/>
    <mergeCell ref="D187:E187"/>
    <mergeCell ref="J1119:J1120"/>
    <mergeCell ref="R284:R285"/>
    <mergeCell ref="K330:K331"/>
    <mergeCell ref="J656:J657"/>
    <mergeCell ref="H1193:I1193"/>
    <mergeCell ref="J956:J957"/>
    <mergeCell ref="N182:N183"/>
    <mergeCell ref="Q525:Q526"/>
    <mergeCell ref="M872:O872"/>
    <mergeCell ref="L880:L881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A790:A791"/>
    <mergeCell ref="F458:I458"/>
    <mergeCell ref="B358:H358"/>
    <mergeCell ref="P275:P276"/>
    <mergeCell ref="P269:P270"/>
    <mergeCell ref="N394:N395"/>
    <mergeCell ref="O601:O602"/>
    <mergeCell ref="M118:M119"/>
    <mergeCell ref="F185:I185"/>
    <mergeCell ref="J731:L731"/>
    <mergeCell ref="O1232:O1233"/>
    <mergeCell ref="K194:K195"/>
    <mergeCell ref="D556:E556"/>
    <mergeCell ref="B81:H81"/>
    <mergeCell ref="K1157:K1158"/>
    <mergeCell ref="M72:O72"/>
    <mergeCell ref="L918:L919"/>
    <mergeCell ref="N1162:N1163"/>
    <mergeCell ref="K406:K407"/>
    <mergeCell ref="P165:P166"/>
    <mergeCell ref="D1314:E1314"/>
    <mergeCell ref="B381:H381"/>
    <mergeCell ref="Q589:Q590"/>
    <mergeCell ref="F959:I959"/>
    <mergeCell ref="O106:O107"/>
    <mergeCell ref="L1244:L1245"/>
    <mergeCell ref="B308:H308"/>
    <mergeCell ref="J761:J762"/>
    <mergeCell ref="B242:C242"/>
    <mergeCell ref="B1032:L1032"/>
    <mergeCell ref="O101:O102"/>
    <mergeCell ref="B744:L744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M25:M26"/>
    <mergeCell ref="K1180:K1181"/>
    <mergeCell ref="F1312:I1312"/>
    <mergeCell ref="H920:I920"/>
    <mergeCell ref="H463:I463"/>
    <mergeCell ref="J73:L73"/>
    <mergeCell ref="O243:O244"/>
    <mergeCell ref="B145:H145"/>
    <mergeCell ref="M656:M657"/>
    <mergeCell ref="D30:E30"/>
    <mergeCell ref="B750:H750"/>
    <mergeCell ref="N1232:N1233"/>
    <mergeCell ref="J42:J43"/>
    <mergeCell ref="B451:H451"/>
    <mergeCell ref="M956:M957"/>
    <mergeCell ref="K1081:K1082"/>
    <mergeCell ref="D361:E361"/>
    <mergeCell ref="K1075:K1076"/>
    <mergeCell ref="R458:R459"/>
    <mergeCell ref="J68:L68"/>
    <mergeCell ref="R758:R759"/>
    <mergeCell ref="J37:J38"/>
    <mergeCell ref="R339:R340"/>
    <mergeCell ref="O933:O934"/>
    <mergeCell ref="D356:E356"/>
    <mergeCell ref="R453:R454"/>
    <mergeCell ref="J825:J826"/>
    <mergeCell ref="R1058:R1059"/>
    <mergeCell ref="J242:L242"/>
    <mergeCell ref="Q394:Q395"/>
    <mergeCell ref="P726:P727"/>
    <mergeCell ref="A464:A465"/>
    <mergeCell ref="J1125:J1126"/>
    <mergeCell ref="B606:C606"/>
    <mergeCell ref="J847:L847"/>
    <mergeCell ref="H905:I905"/>
    <mergeCell ref="J428:L428"/>
    <mergeCell ref="B919:H919"/>
    <mergeCell ref="J542:L542"/>
    <mergeCell ref="Q694:Q695"/>
    <mergeCell ref="P1026:P1027"/>
    <mergeCell ref="A764:A765"/>
    <mergeCell ref="P1020:P1021"/>
    <mergeCell ref="K69:K70"/>
    <mergeCell ref="M1315:M1316"/>
    <mergeCell ref="O13:O14"/>
    <mergeCell ref="L188:L189"/>
    <mergeCell ref="M1221:M1222"/>
    <mergeCell ref="O313:O314"/>
    <mergeCell ref="B1097:C1097"/>
    <mergeCell ref="D100:E100"/>
    <mergeCell ref="A517:A518"/>
    <mergeCell ref="J900:L900"/>
    <mergeCell ref="O613:O614"/>
    <mergeCell ref="Q290:Q291"/>
    <mergeCell ref="J869:J870"/>
    <mergeCell ref="F197:I197"/>
    <mergeCell ref="K211:K212"/>
    <mergeCell ref="D306:E306"/>
    <mergeCell ref="L330:L331"/>
    <mergeCell ref="R1008:R1009"/>
    <mergeCell ref="R709:R710"/>
    <mergeCell ref="B1150:C1150"/>
    <mergeCell ref="B1305:H1305"/>
    <mergeCell ref="P1096:R1096"/>
    <mergeCell ref="J911:L911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25:P26"/>
    <mergeCell ref="N144:N145"/>
    <mergeCell ref="Q1058:Q1059"/>
    <mergeCell ref="L842:L843"/>
    <mergeCell ref="O726:O727"/>
    <mergeCell ref="O1026:O1027"/>
    <mergeCell ref="O982:O983"/>
    <mergeCell ref="L1315:L1316"/>
    <mergeCell ref="M194:M195"/>
    <mergeCell ref="N13:N14"/>
    <mergeCell ref="D1138:E1138"/>
    <mergeCell ref="N1075:N1076"/>
    <mergeCell ref="N313:N314"/>
    <mergeCell ref="K461:K462"/>
    <mergeCell ref="N918:N919"/>
    <mergeCell ref="K162:K163"/>
    <mergeCell ref="K156:K157"/>
    <mergeCell ref="L1157:L1158"/>
    <mergeCell ref="P290:P291"/>
    <mergeCell ref="J211:J212"/>
    <mergeCell ref="F1040:I1040"/>
    <mergeCell ref="B200:L200"/>
    <mergeCell ref="A915:A916"/>
    <mergeCell ref="D492:E492"/>
    <mergeCell ref="B1057:C1057"/>
    <mergeCell ref="L994:L995"/>
    <mergeCell ref="F735:I735"/>
    <mergeCell ref="B189:H189"/>
    <mergeCell ref="N671:N672"/>
    <mergeCell ref="J511:J512"/>
    <mergeCell ref="Q1145:Q1146"/>
    <mergeCell ref="A1215:A1216"/>
    <mergeCell ref="F921:I921"/>
    <mergeCell ref="R51:R52"/>
    <mergeCell ref="K930:K931"/>
    <mergeCell ref="P432:P433"/>
    <mergeCell ref="M607:M608"/>
    <mergeCell ref="M1212:M1213"/>
    <mergeCell ref="H676:I676"/>
    <mergeCell ref="H670:I670"/>
    <mergeCell ref="P732:P733"/>
    <mergeCell ref="H213:I213"/>
    <mergeCell ref="K531:K532"/>
    <mergeCell ref="H513:I513"/>
    <mergeCell ref="Q851:Q852"/>
    <mergeCell ref="P360:R360"/>
    <mergeCell ref="N982:N983"/>
    <mergeCell ref="K226:K227"/>
    <mergeCell ref="N694:N695"/>
    <mergeCell ref="K831:K832"/>
    <mergeCell ref="D111:E111"/>
    <mergeCell ref="B875:H875"/>
    <mergeCell ref="R208:R209"/>
    <mergeCell ref="J498:L498"/>
    <mergeCell ref="P906:P907"/>
    <mergeCell ref="J193:L193"/>
    <mergeCell ref="B1175:H1175"/>
    <mergeCell ref="M749:M750"/>
    <mergeCell ref="R95:R96"/>
    <mergeCell ref="R89:R90"/>
    <mergeCell ref="J461:J462"/>
    <mergeCell ref="M444:M445"/>
    <mergeCell ref="F1290:I1290"/>
    <mergeCell ref="B73:C73"/>
    <mergeCell ref="J581:J582"/>
    <mergeCell ref="J162:J163"/>
    <mergeCell ref="M1049:M1050"/>
    <mergeCell ref="Q144:Q145"/>
    <mergeCell ref="B379:C379"/>
    <mergeCell ref="P476:P477"/>
    <mergeCell ref="R1183:R1184"/>
    <mergeCell ref="M1096:O1096"/>
    <mergeCell ref="B68:C68"/>
    <mergeCell ref="B399:C399"/>
    <mergeCell ref="J335:L335"/>
    <mergeCell ref="A426:A427"/>
    <mergeCell ref="A557:A558"/>
    <mergeCell ref="A252:A253"/>
    <mergeCell ref="O63:O64"/>
    <mergeCell ref="H594:I594"/>
    <mergeCell ref="B847:C847"/>
    <mergeCell ref="R1194:R1195"/>
    <mergeCell ref="O432:O433"/>
    <mergeCell ref="O1037:O1038"/>
    <mergeCell ref="B939:H939"/>
    <mergeCell ref="B1239:H1239"/>
    <mergeCell ref="D62:E62"/>
    <mergeCell ref="R159:R160"/>
    <mergeCell ref="D56:E56"/>
    <mergeCell ref="D193:E193"/>
    <mergeCell ref="J531:J532"/>
    <mergeCell ref="R764:R765"/>
    <mergeCell ref="M1119:M1120"/>
    <mergeCell ref="H1068:I1068"/>
    <mergeCell ref="J831:J832"/>
    <mergeCell ref="B443:C443"/>
    <mergeCell ref="F121:I121"/>
    <mergeCell ref="Q514:Q515"/>
    <mergeCell ref="L749:L750"/>
    <mergeCell ref="J1036:L1036"/>
    <mergeCell ref="F421:I421"/>
    <mergeCell ref="N357:N358"/>
    <mergeCell ref="O880:O881"/>
    <mergeCell ref="O874:O875"/>
    <mergeCell ref="L1055:L1056"/>
    <mergeCell ref="L1049:L1050"/>
    <mergeCell ref="L592:L593"/>
    <mergeCell ref="D661:E661"/>
    <mergeCell ref="D204:E204"/>
    <mergeCell ref="R301:R302"/>
    <mergeCell ref="O476:O477"/>
    <mergeCell ref="A1253:A1254"/>
    <mergeCell ref="D504:E504"/>
    <mergeCell ref="R601:R602"/>
    <mergeCell ref="J973:J974"/>
    <mergeCell ref="P118:P119"/>
    <mergeCell ref="K342:K343"/>
    <mergeCell ref="D1292:E1292"/>
    <mergeCell ref="O1107:O1108"/>
    <mergeCell ref="N226:N227"/>
    <mergeCell ref="K217:K218"/>
    <mergeCell ref="N63:N64"/>
    <mergeCell ref="D1188:E1188"/>
    <mergeCell ref="L1250:L1251"/>
    <mergeCell ref="B375:H375"/>
    <mergeCell ref="K700:K701"/>
    <mergeCell ref="N1043:N1044"/>
    <mergeCell ref="P592:P593"/>
    <mergeCell ref="B256:H256"/>
    <mergeCell ref="F371:I371"/>
    <mergeCell ref="F502:I502"/>
    <mergeCell ref="Q895:Q896"/>
    <mergeCell ref="R106:R107"/>
    <mergeCell ref="L1119:L1120"/>
    <mergeCell ref="M330:M331"/>
    <mergeCell ref="J173:J174"/>
    <mergeCell ref="D873:E873"/>
    <mergeCell ref="P188:P189"/>
    <mergeCell ref="B85:C85"/>
    <mergeCell ref="P182:P183"/>
    <mergeCell ref="B267:H267"/>
    <mergeCell ref="M357:M358"/>
    <mergeCell ref="N880:N881"/>
    <mergeCell ref="K1011:K1012"/>
    <mergeCell ref="F819:I819"/>
    <mergeCell ref="H332:I332"/>
    <mergeCell ref="J778:J779"/>
    <mergeCell ref="O118:O119"/>
    <mergeCell ref="N1107:N1108"/>
    <mergeCell ref="J248:L248"/>
    <mergeCell ref="B559:C559"/>
    <mergeCell ref="B320:H320"/>
    <mergeCell ref="A165:A166"/>
    <mergeCell ref="M499:M500"/>
    <mergeCell ref="M42:M43"/>
    <mergeCell ref="F572:I572"/>
    <mergeCell ref="J217:J218"/>
    <mergeCell ref="Q965:Q966"/>
    <mergeCell ref="R176:R177"/>
    <mergeCell ref="J700:J701"/>
    <mergeCell ref="P584:R584"/>
    <mergeCell ref="R933:R934"/>
    <mergeCell ref="J117:L117"/>
    <mergeCell ref="B1288:L1288"/>
    <mergeCell ref="L435:L436"/>
    <mergeCell ref="H780:I780"/>
    <mergeCell ref="A51:A52"/>
    <mergeCell ref="B612:C612"/>
    <mergeCell ref="B155:C155"/>
    <mergeCell ref="B193:C193"/>
    <mergeCell ref="B149:C149"/>
    <mergeCell ref="J417:L417"/>
    <mergeCell ref="J548:L548"/>
    <mergeCell ref="B462:H462"/>
    <mergeCell ref="P895:P896"/>
    <mergeCell ref="J85:L85"/>
    <mergeCell ref="A307:A308"/>
    <mergeCell ref="J385:L385"/>
    <mergeCell ref="P1315:P1316"/>
    <mergeCell ref="L761:L762"/>
    <mergeCell ref="O493:O494"/>
    <mergeCell ref="K1093:K1094"/>
    <mergeCell ref="R944:R945"/>
    <mergeCell ref="O188:O189"/>
    <mergeCell ref="H1138:I1138"/>
    <mergeCell ref="L31:L32"/>
    <mergeCell ref="J685:J686"/>
    <mergeCell ref="B989:H989"/>
    <mergeCell ref="P1037:P1038"/>
    <mergeCell ref="K80:K81"/>
    <mergeCell ref="M869:M870"/>
    <mergeCell ref="O330:O331"/>
    <mergeCell ref="L505:L506"/>
    <mergeCell ref="A1145:A1146"/>
    <mergeCell ref="L42:L43"/>
    <mergeCell ref="A720:A721"/>
    <mergeCell ref="L805:L806"/>
    <mergeCell ref="Q176:Q177"/>
    <mergeCell ref="A834:A835"/>
    <mergeCell ref="A415:A416"/>
    <mergeCell ref="F83:I83"/>
    <mergeCell ref="J1217:L1217"/>
    <mergeCell ref="A371:A372"/>
    <mergeCell ref="F214:I214"/>
    <mergeCell ref="A1020:A1021"/>
    <mergeCell ref="L1130:L1131"/>
    <mergeCell ref="Q476:Q477"/>
    <mergeCell ref="Q607:Q608"/>
    <mergeCell ref="F383:I383"/>
    <mergeCell ref="J1186:J1187"/>
    <mergeCell ref="K397:K398"/>
    <mergeCell ref="L400:L401"/>
    <mergeCell ref="R726:R727"/>
    <mergeCell ref="R1026:R1027"/>
    <mergeCell ref="M69:M70"/>
    <mergeCell ref="B1010:C1010"/>
    <mergeCell ref="O1315:O1316"/>
    <mergeCell ref="F688:I688"/>
    <mergeCell ref="K150:K151"/>
    <mergeCell ref="J809:L809"/>
    <mergeCell ref="Q1081:Q1082"/>
    <mergeCell ref="A1162:A1163"/>
    <mergeCell ref="Q1075:Q1076"/>
    <mergeCell ref="F988:I988"/>
    <mergeCell ref="K450:K451"/>
    <mergeCell ref="K31:K32"/>
    <mergeCell ref="N924:N925"/>
    <mergeCell ref="F525:I525"/>
    <mergeCell ref="N461:N462"/>
    <mergeCell ref="L1174:L1175"/>
    <mergeCell ref="L869:L870"/>
    <mergeCell ref="J386:J387"/>
    <mergeCell ref="J868:L868"/>
    <mergeCell ref="F1215:I1215"/>
    <mergeCell ref="A1090:A1091"/>
    <mergeCell ref="Q671:Q672"/>
    <mergeCell ref="N330:N331"/>
    <mergeCell ref="P296:R296"/>
    <mergeCell ref="K173:K174"/>
    <mergeCell ref="B1000:L1000"/>
    <mergeCell ref="D1298:E1298"/>
    <mergeCell ref="K479:K480"/>
    <mergeCell ref="K473:K474"/>
    <mergeCell ref="P912:P913"/>
    <mergeCell ref="H393:I393"/>
    <mergeCell ref="K1130:K1131"/>
    <mergeCell ref="P607:P608"/>
    <mergeCell ref="H88:I88"/>
    <mergeCell ref="H219:I219"/>
    <mergeCell ref="H693:I693"/>
    <mergeCell ref="F938:I938"/>
    <mergeCell ref="H388:I388"/>
    <mergeCell ref="Q726:Q727"/>
    <mergeCell ref="N988:N989"/>
    <mergeCell ref="F1238:I1238"/>
    <mergeCell ref="Q1026:Q1027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4:R1304 M1307:R1307 M1312:R1312 M1315:R1315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4:O1304 M1307:O1307 M1312:O1312 M1315:O1315" showDropDown="0" showInputMessage="0" showErrorMessage="0" allowBlank="1" errorTitle="Arbitro non valido" error="Nominativo non presente nell'elenco del foglio Arbitri." type="list">
      <formula1>=ARBITRI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4:R1304 P1307:R1307 P1312:R1312 P1315:R1315" showDropDown="0" showInputMessage="0" showErrorMessage="0" allowBlank="1" errorTitle="Ufficiale di campo non valido" error="Nominativo non presente nell'elenco del foglio UdC." type="list">
      <formula1>=UDC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"Arbitri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inlineStr">
        <is>
          <t>FUENTES Matteo [Aest]</t>
        </is>
      </c>
      <c r="E5" s="220" t="n"/>
      <c r="L5" s="64">
        <f>IF($D5="","",SUM(M5:O5))</f>
        <v/>
      </c>
      <c r="M5" s="64">
        <f>IF($D5="","",COUNTIF(DESIGNAZIONI!M$8:M$1323,$D5))</f>
        <v/>
      </c>
      <c r="N5" s="64">
        <f>IF($D5="","",COUNTIF(DESIGNAZIONI!N$8:N$1323,$D5))</f>
        <v/>
      </c>
      <c r="O5" s="64">
        <f>IF($D5="","",COUNTIF(DESIGNAZIONI!O$8:O$1323,$D5))</f>
        <v/>
      </c>
    </row>
    <row r="6">
      <c r="C6" s="224" t="n"/>
      <c r="D6" s="13" t="inlineStr">
        <is>
          <t>LANGER Marta [A]</t>
        </is>
      </c>
      <c r="E6" s="220" t="n"/>
      <c r="L6" s="64">
        <f>IF($D6="","",SUM(M6:O6))</f>
        <v/>
      </c>
      <c r="M6" s="64">
        <f>IF($D6="","",COUNTIF(DESIGNAZIONI!M$8:M$1323,$D6))</f>
        <v/>
      </c>
      <c r="N6" s="64">
        <f>IF($D6="","",COUNTIF(DESIGNAZIONI!N$8:N$1323,$D6))</f>
        <v/>
      </c>
      <c r="O6" s="64">
        <f>IF($D6="","",COUNTIF(DESIGNAZIONI!O$8:O$1323,$D6))</f>
        <v/>
      </c>
    </row>
    <row r="7">
      <c r="C7" s="224" t="n"/>
      <c r="D7" s="13" t="inlineStr">
        <is>
          <t>MODIC Chiara [AA]</t>
        </is>
      </c>
      <c r="E7" s="220" t="n"/>
      <c r="L7" s="64">
        <f>IF($D7="","",SUM(M7:O7))</f>
        <v/>
      </c>
      <c r="M7" s="64">
        <f>IF($D7="","",COUNTIF(DESIGNAZIONI!M$8:M$1323,$D7))</f>
        <v/>
      </c>
      <c r="N7" s="64">
        <f>IF($D7="","",COUNTIF(DESIGNAZIONI!N$8:N$1323,$D7))</f>
        <v/>
      </c>
      <c r="O7" s="64">
        <f>IF($D7="","",COUNTIF(DESIGNAZIONI!O$8:O$1323,$D7))</f>
        <v/>
      </c>
    </row>
    <row r="8">
      <c r="C8" s="224" t="n"/>
      <c r="D8" s="13" t="inlineStr">
        <is>
          <t>CARON Paolo [AA]</t>
        </is>
      </c>
      <c r="E8" s="220" t="n"/>
      <c r="L8" s="64">
        <f>IF($D8="","",SUM(M8:O8))</f>
        <v/>
      </c>
      <c r="M8" s="64">
        <f>IF($D8="","",COUNTIF(DESIGNAZIONI!M$8:M$1323,$D8))</f>
        <v/>
      </c>
      <c r="N8" s="64">
        <f>IF($D8="","",COUNTIF(DESIGNAZIONI!N$8:N$1323,$D8))</f>
        <v/>
      </c>
      <c r="O8" s="64">
        <f>IF($D8="","",COUNTIF(DESIGNAZIONI!O$8:O$1323,$D8))</f>
        <v/>
      </c>
    </row>
    <row r="9">
      <c r="C9" s="224" t="n"/>
      <c r="D9" s="13" t="inlineStr">
        <is>
          <t>BRANDT Stefano [AAt]</t>
        </is>
      </c>
      <c r="E9" s="220" t="n"/>
      <c r="L9" s="64">
        <f>IF($D9="","",SUM(M9:O9))</f>
        <v/>
      </c>
      <c r="M9" s="64">
        <f>IF($D9="","",COUNTIF(DESIGNAZIONI!M$8:M$1323,$D9))</f>
        <v/>
      </c>
      <c r="N9" s="64">
        <f>IF($D9="","",COUNTIF(DESIGNAZIONI!N$8:N$1323,$D9))</f>
        <v/>
      </c>
      <c r="O9" s="64">
        <f>IF($D9="","",COUNTIF(DESIGNAZIONI!O$8:O$1323,$D9))</f>
        <v/>
      </c>
    </row>
    <row r="10">
      <c r="C10" s="224" t="n"/>
      <c r="D10" s="13" t="inlineStr">
        <is>
          <t>AUBERT Filippo [AA]</t>
        </is>
      </c>
      <c r="E10" s="220" t="n"/>
      <c r="L10" s="64">
        <f>IF($D10="","",SUM(M10:O10))</f>
        <v/>
      </c>
      <c r="M10" s="64">
        <f>IF($D10="","",COUNTIF(DESIGNAZIONI!M$8:M$1323,$D10))</f>
        <v/>
      </c>
      <c r="N10" s="64">
        <f>IF($D10="","",COUNTIF(DESIGNAZIONI!N$8:N$1323,$D10))</f>
        <v/>
      </c>
      <c r="O10" s="64">
        <f>IF($D10="","",COUNTIF(DESIGNAZIONI!O$8:O$1323,$D10))</f>
        <v/>
      </c>
    </row>
    <row r="11">
      <c r="C11" s="224" t="n"/>
      <c r="D11" s="13" t="inlineStr">
        <is>
          <t>MARCHIONI Matteo [AAt]</t>
        </is>
      </c>
      <c r="E11" s="220" t="n"/>
      <c r="L11" s="64">
        <f>IF($D11="","",SUM(M11:O11))</f>
        <v/>
      </c>
      <c r="M11" s="64">
        <f>IF($D11="","",COUNTIF(DESIGNAZIONI!M$8:M$1323,$D11))</f>
        <v/>
      </c>
      <c r="N11" s="64">
        <f>IF($D11="","",COUNTIF(DESIGNAZIONI!N$8:N$1323,$D11))</f>
        <v/>
      </c>
      <c r="O11" s="64">
        <f>IF($D11="","",COUNTIF(DESIGNAZIONI!O$8:O$1323,$D11))</f>
        <v/>
      </c>
    </row>
    <row r="12">
      <c r="C12" s="224" t="n"/>
      <c r="D12" s="13" t="inlineStr">
        <is>
          <t>NAVARRO Matteo [AA]</t>
        </is>
      </c>
      <c r="E12" s="220" t="n"/>
      <c r="L12" s="64">
        <f>IF($D12="","",SUM(M12:O12))</f>
        <v/>
      </c>
      <c r="M12" s="64">
        <f>IF($D12="","",COUNTIF(DESIGNAZIONI!M$8:M$1323,$D12))</f>
        <v/>
      </c>
      <c r="N12" s="64">
        <f>IF($D12="","",COUNTIF(DESIGNAZIONI!N$8:N$1323,$D12))</f>
        <v/>
      </c>
      <c r="O12" s="64">
        <f>IF($D12="","",COUNTIF(DESIGNAZIONI!O$8:O$1323,$D12))</f>
        <v/>
      </c>
    </row>
    <row r="13">
      <c r="C13" s="224" t="n"/>
      <c r="D13" s="13" t="inlineStr">
        <is>
          <t>FOURNIER Tommaso [AA]</t>
        </is>
      </c>
      <c r="E13" s="220" t="n"/>
      <c r="L13" s="64">
        <f>IF($D13="","",SUM(M13:O13))</f>
        <v/>
      </c>
      <c r="M13" s="64">
        <f>IF($D13="","",COUNTIF(DESIGNAZIONI!M$8:M$1323,$D13))</f>
        <v/>
      </c>
      <c r="N13" s="64">
        <f>IF($D13="","",COUNTIF(DESIGNAZIONI!N$8:N$1323,$D13))</f>
        <v/>
      </c>
      <c r="O13" s="64">
        <f>IF($D13="","",COUNTIF(DESIGNAZIONI!O$8:O$1323,$D13))</f>
        <v/>
      </c>
    </row>
    <row r="14">
      <c r="C14" s="224" t="n"/>
      <c r="D14" s="13" t="inlineStr">
        <is>
          <t>MODIC Katrin [A]</t>
        </is>
      </c>
      <c r="E14" s="220" t="n"/>
      <c r="L14" s="64">
        <f>IF($D14="","",SUM(M14:O14))</f>
        <v/>
      </c>
      <c r="M14" s="64">
        <f>IF($D14="","",COUNTIF(DESIGNAZIONI!M$8:M$1323,$D14))</f>
        <v/>
      </c>
      <c r="N14" s="64">
        <f>IF($D14="","",COUNTIF(DESIGNAZIONI!N$8:N$1323,$D14))</f>
        <v/>
      </c>
      <c r="O14" s="64">
        <f>IF($D14="","",COUNTIF(DESIGNAZIONI!O$8:O$1323,$D14))</f>
        <v/>
      </c>
    </row>
    <row r="15">
      <c r="C15" s="224" t="n"/>
      <c r="D15" s="13" t="inlineStr">
        <is>
          <t>LEROUX Lea [Aest]</t>
        </is>
      </c>
      <c r="E15" s="220" t="n"/>
      <c r="L15" s="64">
        <f>IF($D15="","",SUM(M15:O15))</f>
        <v/>
      </c>
      <c r="M15" s="64">
        <f>IF($D15="","",COUNTIF(DESIGNAZIONI!M$8:M$1323,$D15))</f>
        <v/>
      </c>
      <c r="N15" s="64">
        <f>IF($D15="","",COUNTIF(DESIGNAZIONI!N$8:N$1323,$D15))</f>
        <v/>
      </c>
      <c r="O15" s="64">
        <f>IF($D15="","",COUNTIF(DESIGNAZIONI!O$8:O$1323,$D15))</f>
        <v/>
      </c>
    </row>
    <row r="16">
      <c r="C16" s="224" t="n"/>
      <c r="D16" s="13" t="inlineStr">
        <is>
          <t>KRUGER Sofia [A]</t>
        </is>
      </c>
      <c r="E16" s="220" t="n"/>
      <c r="L16" s="64">
        <f>IF($D16="","",SUM(M16:O16))</f>
        <v/>
      </c>
      <c r="M16" s="64">
        <f>IF($D16="","",COUNTIF(DESIGNAZIONI!M$8:M$1323,$D16))</f>
        <v/>
      </c>
      <c r="N16" s="64">
        <f>IF($D16="","",COUNTIF(DESIGNAZIONI!N$8:N$1323,$D16))</f>
        <v/>
      </c>
      <c r="O16" s="64">
        <f>IF($D16="","",COUNTIF(DESIGNAZIONI!O$8:O$1323,$D16))</f>
        <v/>
      </c>
    </row>
    <row r="17">
      <c r="C17" s="224" t="n"/>
      <c r="D17" s="13" t="inlineStr">
        <is>
          <t>BIANCHELLI Paolo [AA]</t>
        </is>
      </c>
      <c r="E17" s="220" t="n"/>
      <c r="L17" s="64">
        <f>IF($D17="","",SUM(M17:O17))</f>
        <v/>
      </c>
      <c r="M17" s="64">
        <f>IF($D17="","",COUNTIF(DESIGNAZIONI!M$8:M$1323,$D17))</f>
        <v/>
      </c>
      <c r="N17" s="64">
        <f>IF($D17="","",COUNTIF(DESIGNAZIONI!N$8:N$1323,$D17))</f>
        <v/>
      </c>
      <c r="O17" s="64">
        <f>IF($D17="","",COUNTIF(DESIGNAZIONI!O$8:O$1323,$D17))</f>
        <v/>
      </c>
    </row>
    <row r="18">
      <c r="C18" s="224" t="n"/>
      <c r="D18" s="13" t="inlineStr">
        <is>
          <t>KRAJNC Marta [Aest]</t>
        </is>
      </c>
      <c r="E18" s="220" t="n"/>
      <c r="L18" s="64">
        <f>IF($D18="","",SUM(M18:O18))</f>
        <v/>
      </c>
      <c r="M18" s="64">
        <f>IF($D18="","",COUNTIF(DESIGNAZIONI!M$8:M$1323,$D18))</f>
        <v/>
      </c>
      <c r="N18" s="64">
        <f>IF($D18="","",COUNTIF(DESIGNAZIONI!N$8:N$1323,$D18))</f>
        <v/>
      </c>
      <c r="O18" s="64">
        <f>IF($D18="","",COUNTIF(DESIGNAZIONI!O$8:O$1323,$D18))</f>
        <v/>
      </c>
    </row>
    <row r="19">
      <c r="C19" s="224" t="n"/>
      <c r="D19" s="13" t="inlineStr">
        <is>
          <t>SOLER Stefano [A]</t>
        </is>
      </c>
      <c r="E19" s="220" t="n"/>
      <c r="L19" s="64">
        <f>IF($D19="","",SUM(M19:O19))</f>
        <v/>
      </c>
      <c r="M19" s="64">
        <f>IF($D19="","",COUNTIF(DESIGNAZIONI!M$8:M$1323,$D19))</f>
        <v/>
      </c>
      <c r="N19" s="64">
        <f>IF($D19="","",COUNTIF(DESIGNAZIONI!N$8:N$1323,$D19))</f>
        <v/>
      </c>
      <c r="O19" s="64">
        <f>IF($D19="","",COUNTIF(DESIGNAZIONI!O$8:O$1323,$D19))</f>
        <v/>
      </c>
    </row>
    <row r="20">
      <c r="C20" s="224" t="n"/>
      <c r="D20" s="13" t="inlineStr">
        <is>
          <t>MARCHIONI Lea [AAt]</t>
        </is>
      </c>
      <c r="E20" s="220" t="n"/>
      <c r="L20" s="64">
        <f>IF($D20="","",SUM(M20:O20))</f>
        <v/>
      </c>
      <c r="M20" s="64">
        <f>IF($D20="","",COUNTIF(DESIGNAZIONI!M$8:M$1323,$D20))</f>
        <v/>
      </c>
      <c r="N20" s="64">
        <f>IF($D20="","",COUNTIF(DESIGNAZIONI!N$8:N$1323,$D20))</f>
        <v/>
      </c>
      <c r="O20" s="64">
        <f>IF($D20="","",COUNTIF(DESIGNAZIONI!O$8:O$1323,$D20))</f>
        <v/>
      </c>
    </row>
    <row r="21">
      <c r="C21" s="224" t="n"/>
      <c r="D21" s="13" t="inlineStr">
        <is>
          <t>MODIC Lukas [AAt]</t>
        </is>
      </c>
      <c r="E21" s="220" t="n"/>
      <c r="L21" s="64">
        <f>IF($D21="","",SUM(M21:O21))</f>
        <v/>
      </c>
      <c r="M21" s="64">
        <f>IF($D21="","",COUNTIF(DESIGNAZIONI!M$8:M$1323,$D21))</f>
        <v/>
      </c>
      <c r="N21" s="64">
        <f>IF($D21="","",COUNTIF(DESIGNAZIONI!N$8:N$1323,$D21))</f>
        <v/>
      </c>
      <c r="O21" s="64">
        <f>IF($D21="","",COUNTIF(DESIGNAZIONI!O$8:O$1323,$D21))</f>
        <v/>
      </c>
    </row>
    <row r="22">
      <c r="C22" s="224" t="n"/>
      <c r="D22" s="13" t="inlineStr">
        <is>
          <t>PRADO Eva [AAt]</t>
        </is>
      </c>
      <c r="E22" s="220" t="n"/>
      <c r="L22" s="64">
        <f>IF($D22="","",SUM(M22:O22))</f>
        <v/>
      </c>
      <c r="M22" s="64">
        <f>IF($D22="","",COUNTIF(DESIGNAZIONI!M$8:M$1323,$D22))</f>
        <v/>
      </c>
      <c r="N22" s="64">
        <f>IF($D22="","",COUNTIF(DESIGNAZIONI!N$8:N$1323,$D22))</f>
        <v/>
      </c>
      <c r="O22" s="64">
        <f>IF($D22="","",COUNTIF(DESIGNAZIONI!O$8:O$1323,$D22))</f>
        <v/>
      </c>
    </row>
    <row r="23">
      <c r="C23" s="224" t="n"/>
      <c r="D23" s="13" t="inlineStr">
        <is>
          <t>HORVAT Lea [A]</t>
        </is>
      </c>
      <c r="E23" s="220" t="n"/>
      <c r="L23" s="64">
        <f>IF($D23="","",SUM(M23:O23))</f>
        <v/>
      </c>
      <c r="M23" s="64">
        <f>IF($D23="","",COUNTIF(DESIGNAZIONI!M$8:M$1323,$D23))</f>
        <v/>
      </c>
      <c r="N23" s="64">
        <f>IF($D23="","",COUNTIF(DESIGNAZIONI!N$8:N$1323,$D23))</f>
        <v/>
      </c>
      <c r="O23" s="64">
        <f>IF($D23="","",COUNTIF(DESIGNAZIONI!O$8:O$1323,$D23))</f>
        <v/>
      </c>
    </row>
    <row r="24">
      <c r="C24" s="224" t="n"/>
      <c r="D24" s="13" t="inlineStr">
        <is>
          <t>ROMERO Elena [A]</t>
        </is>
      </c>
      <c r="E24" s="220" t="n"/>
      <c r="L24" s="64">
        <f>IF($D24="","",SUM(M24:O24))</f>
        <v/>
      </c>
      <c r="M24" s="64">
        <f>IF($D24="","",COUNTIF(DESIGNAZIONI!M$8:M$1323,$D24))</f>
        <v/>
      </c>
      <c r="N24" s="64">
        <f>IF($D24="","",COUNTIF(DESIGNAZIONI!N$8:N$1323,$D24))</f>
        <v/>
      </c>
      <c r="O24" s="64">
        <f>IF($D24="","",COUNTIF(DESIGNAZIONI!O$8:O$1323,$D24))</f>
        <v/>
      </c>
    </row>
    <row r="25">
      <c r="C25" s="224" t="n"/>
      <c r="D25" s="13" t="inlineStr">
        <is>
          <t>PRADO Giulia [AAt]</t>
        </is>
      </c>
      <c r="E25" s="220" t="n"/>
      <c r="L25" s="64">
        <f>IF($D25="","",SUM(M25:O25))</f>
        <v/>
      </c>
      <c r="M25" s="64">
        <f>IF($D25="","",COUNTIF(DESIGNAZIONI!M$8:M$1323,$D25))</f>
        <v/>
      </c>
      <c r="N25" s="64">
        <f>IF($D25="","",COUNTIF(DESIGNAZIONI!N$8:N$1323,$D25))</f>
        <v/>
      </c>
      <c r="O25" s="64">
        <f>IF($D25="","",COUNTIF(DESIGNAZIONI!O$8:O$1323,$D25))</f>
        <v/>
      </c>
    </row>
    <row r="26">
      <c r="C26" s="224" t="n"/>
      <c r="D26" s="13" t="inlineStr">
        <is>
          <t>SANTORI Sofia [AA]</t>
        </is>
      </c>
      <c r="E26" s="220" t="n"/>
      <c r="L26" s="64">
        <f>IF($D26="","",SUM(M26:O26))</f>
        <v/>
      </c>
      <c r="M26" s="64">
        <f>IF($D26="","",COUNTIF(DESIGNAZIONI!M$8:M$1323,$D26))</f>
        <v/>
      </c>
      <c r="N26" s="64">
        <f>IF($D26="","",COUNTIF(DESIGNAZIONI!N$8:N$1323,$D26))</f>
        <v/>
      </c>
      <c r="O26" s="64">
        <f>IF($D26="","",COUNTIF(DESIGNAZIONI!O$8:O$1323,$D26))</f>
        <v/>
      </c>
    </row>
    <row r="27">
      <c r="C27" s="224" t="n"/>
      <c r="D27" s="13" t="inlineStr">
        <is>
          <t>CAMPOS Miha [Aest]</t>
        </is>
      </c>
      <c r="E27" s="220" t="n"/>
      <c r="L27" s="64">
        <f>IF($D27="","",SUM(M27:O27))</f>
        <v/>
      </c>
      <c r="M27" s="64">
        <f>IF($D27="","",COUNTIF(DESIGNAZIONI!M$8:M$1323,$D27))</f>
        <v/>
      </c>
      <c r="N27" s="64">
        <f>IF($D27="","",COUNTIF(DESIGNAZIONI!N$8:N$1323,$D27))</f>
        <v/>
      </c>
      <c r="O27" s="64">
        <f>IF($D27="","",COUNTIF(DESIGNAZIONI!O$8:O$1323,$D27))</f>
        <v/>
      </c>
    </row>
    <row r="28">
      <c r="C28" s="224" t="n"/>
      <c r="D28" s="13" t="inlineStr">
        <is>
          <t>ROSSINI Irene [AA]</t>
        </is>
      </c>
      <c r="E28" s="220" t="n"/>
      <c r="L28" s="64">
        <f>IF($D28="","",SUM(M28:O28))</f>
        <v/>
      </c>
      <c r="M28" s="64">
        <f>IF($D28="","",COUNTIF(DESIGNAZIONI!M$8:M$1323,$D28))</f>
        <v/>
      </c>
      <c r="N28" s="64">
        <f>IF($D28="","",COUNTIF(DESIGNAZIONI!N$8:N$1323,$D28))</f>
        <v/>
      </c>
      <c r="O28" s="64">
        <f>IF($D28="","",COUNTIF(DESIGNAZIONI!O$8:O$1323,$D28))</f>
        <v/>
      </c>
    </row>
    <row r="29">
      <c r="C29" s="224" t="n"/>
      <c r="D29" s="13" t="inlineStr">
        <is>
          <t>BLANCHET Anja [AA]</t>
        </is>
      </c>
      <c r="E29" s="220" t="n"/>
      <c r="L29" s="64">
        <f>IF($D29="","",SUM(M29:O29))</f>
        <v/>
      </c>
      <c r="M29" s="64">
        <f>IF($D29="","",COUNTIF(DESIGNAZIONI!M$8:M$1323,$D29))</f>
        <v/>
      </c>
      <c r="N29" s="64">
        <f>IF($D29="","",COUNTIF(DESIGNAZIONI!N$8:N$1323,$D29))</f>
        <v/>
      </c>
      <c r="O29" s="64">
        <f>IF($D29="","",COUNTIF(DESIGNAZIONI!O$8:O$1323,$D29))</f>
        <v/>
      </c>
    </row>
    <row r="30">
      <c r="C30" s="224" t="n"/>
      <c r="D30" s="13" t="inlineStr">
        <is>
          <t>GALLINI Valerie [AA]</t>
        </is>
      </c>
      <c r="E30" s="220" t="n"/>
      <c r="L30" s="64">
        <f>IF($D30="","",SUM(M30:O30))</f>
        <v/>
      </c>
      <c r="M30" s="64">
        <f>IF($D30="","",COUNTIF(DESIGNAZIONI!M$8:M$1323,$D30))</f>
        <v/>
      </c>
      <c r="N30" s="64">
        <f>IF($D30="","",COUNTIF(DESIGNAZIONI!N$8:N$1323,$D30))</f>
        <v/>
      </c>
      <c r="O30" s="64">
        <f>IF($D30="","",COUNTIF(DESIGNAZIONI!O$8:O$1323,$D30))</f>
        <v/>
      </c>
    </row>
    <row r="31">
      <c r="C31" s="224" t="n"/>
      <c r="D31" s="13" t="inlineStr">
        <is>
          <t>SCHAFER Giulia [AA]</t>
        </is>
      </c>
      <c r="E31" s="220" t="n"/>
      <c r="L31" s="64">
        <f>IF($D31="","",SUM(M31:O31))</f>
        <v/>
      </c>
      <c r="M31" s="64">
        <f>IF($D31="","",COUNTIF(DESIGNAZIONI!M$8:M$1323,$D31))</f>
        <v/>
      </c>
      <c r="N31" s="64">
        <f>IF($D31="","",COUNTIF(DESIGNAZIONI!N$8:N$1323,$D31))</f>
        <v/>
      </c>
      <c r="O31" s="64">
        <f>IF($D31="","",COUNTIF(DESIGNAZIONI!O$8:O$1323,$D31))</f>
        <v/>
      </c>
    </row>
    <row r="32">
      <c r="C32" s="224" t="n"/>
      <c r="D32" s="13" t="inlineStr">
        <is>
          <t>IGLESIAS Jonas [AAt]</t>
        </is>
      </c>
      <c r="E32" s="220" t="n"/>
      <c r="L32" s="64">
        <f>IF($D32="","",SUM(M32:O32))</f>
        <v/>
      </c>
      <c r="M32" s="64">
        <f>IF($D32="","",COUNTIF(DESIGNAZIONI!M$8:M$1323,$D32))</f>
        <v/>
      </c>
      <c r="N32" s="64">
        <f>IF($D32="","",COUNTIF(DESIGNAZIONI!N$8:N$1323,$D32))</f>
        <v/>
      </c>
      <c r="O32" s="64">
        <f>IF($D32="","",COUNTIF(DESIGNAZIONI!O$8:O$1323,$D32))</f>
        <v/>
      </c>
    </row>
    <row r="33">
      <c r="C33" s="224" t="n"/>
      <c r="D33" s="13" t="inlineStr">
        <is>
          <t>KELLER Andrea [Aest]</t>
        </is>
      </c>
      <c r="E33" s="220" t="n"/>
      <c r="L33" s="64">
        <f>IF($D33="","",SUM(M33:O33))</f>
        <v/>
      </c>
      <c r="M33" s="64">
        <f>IF($D33="","",COUNTIF(DESIGNAZIONI!M$8:M$1323,$D33))</f>
        <v/>
      </c>
      <c r="N33" s="64">
        <f>IF($D33="","",COUNTIF(DESIGNAZIONI!N$8:N$1323,$D33))</f>
        <v/>
      </c>
      <c r="O33" s="64">
        <f>IF($D33="","",COUNTIF(DESIGNAZIONI!O$8:O$1323,$D33))</f>
        <v/>
      </c>
    </row>
    <row r="34">
      <c r="C34" s="224" t="n"/>
      <c r="D34" s="13" t="inlineStr">
        <is>
          <t>ENGEL Gaelle [AAt]</t>
        </is>
      </c>
      <c r="E34" s="220" t="n"/>
      <c r="L34" s="64">
        <f>IF($D34="","",SUM(M34:O34))</f>
        <v/>
      </c>
      <c r="M34" s="64">
        <f>IF($D34="","",COUNTIF(DESIGNAZIONI!M$8:M$1323,$D34))</f>
        <v/>
      </c>
      <c r="N34" s="64">
        <f>IF($D34="","",COUNTIF(DESIGNAZIONI!N$8:N$1323,$D34))</f>
        <v/>
      </c>
      <c r="O34" s="64">
        <f>IF($D34="","",COUNTIF(DESIGNAZIONI!O$8:O$1323,$D34))</f>
        <v/>
      </c>
    </row>
    <row r="35">
      <c r="C35" s="224" t="n"/>
      <c r="D35" s="13" t="inlineStr">
        <is>
          <t>KELLER Felix [AAt]</t>
        </is>
      </c>
      <c r="E35" s="220" t="n"/>
      <c r="L35" s="64">
        <f>IF($D35="","",SUM(M35:O35))</f>
        <v/>
      </c>
      <c r="M35" s="64">
        <f>IF($D35="","",COUNTIF(DESIGNAZIONI!M$8:M$1323,$D35))</f>
        <v/>
      </c>
      <c r="N35" s="64">
        <f>IF($D35="","",COUNTIF(DESIGNAZIONI!N$8:N$1323,$D35))</f>
        <v/>
      </c>
      <c r="O35" s="64">
        <f>IF($D35="","",COUNTIF(DESIGNAZIONI!O$8:O$1323,$D35))</f>
        <v/>
      </c>
    </row>
    <row r="36">
      <c r="C36" s="224" t="n"/>
      <c r="D36" s="13" t="inlineStr">
        <is>
          <t>VALLET Martina [Aest]</t>
        </is>
      </c>
      <c r="E36" s="220" t="n"/>
      <c r="L36" s="64">
        <f>IF($D36="","",SUM(M36:O36))</f>
        <v/>
      </c>
      <c r="M36" s="64">
        <f>IF($D36="","",COUNTIF(DESIGNAZIONI!M$8:M$1323,$D36))</f>
        <v/>
      </c>
      <c r="N36" s="64">
        <f>IF($D36="","",COUNTIF(DESIGNAZIONI!N$8:N$1323,$D36))</f>
        <v/>
      </c>
      <c r="O36" s="64">
        <f>IF($D36="","",COUNTIF(DESIGNAZIONI!O$8:O$1323,$D36))</f>
        <v/>
      </c>
    </row>
    <row r="37">
      <c r="C37" s="224" t="n"/>
      <c r="D37" s="13" t="inlineStr">
        <is>
          <t>CARON Alenka [AAt]</t>
        </is>
      </c>
      <c r="E37" s="220" t="n"/>
      <c r="L37" s="64">
        <f>IF($D37="","",SUM(M37:O37))</f>
        <v/>
      </c>
      <c r="M37" s="64">
        <f>IF($D37="","",COUNTIF(DESIGNAZIONI!M$8:M$1323,$D37))</f>
        <v/>
      </c>
      <c r="N37" s="64">
        <f>IF($D37="","",COUNTIF(DESIGNAZIONI!N$8:N$1323,$D37))</f>
        <v/>
      </c>
      <c r="O37" s="64">
        <f>IF($D37="","",COUNTIF(DESIGNAZIONI!O$8:O$1323,$D37))</f>
        <v/>
      </c>
    </row>
    <row r="38">
      <c r="C38" s="224" t="n"/>
      <c r="D38" s="13" t="inlineStr">
        <is>
          <t>CONTARDI Beatrice [AAt]</t>
        </is>
      </c>
      <c r="E38" s="220" t="n"/>
      <c r="L38" s="64">
        <f>IF($D38="","",SUM(M38:O38))</f>
        <v/>
      </c>
      <c r="M38" s="64">
        <f>IF($D38="","",COUNTIF(DESIGNAZIONI!M$8:M$1323,$D38))</f>
        <v/>
      </c>
      <c r="N38" s="64">
        <f>IF($D38="","",COUNTIF(DESIGNAZIONI!N$8:N$1323,$D38))</f>
        <v/>
      </c>
      <c r="O38" s="64">
        <f>IF($D38="","",COUNTIF(DESIGNAZIONI!O$8:O$1323,$D38))</f>
        <v/>
      </c>
    </row>
    <row r="39">
      <c r="C39" s="224" t="n"/>
      <c r="D39" s="13" t="inlineStr">
        <is>
          <t>LANGER Valerie [Aest]</t>
        </is>
      </c>
      <c r="E39" s="220" t="n"/>
      <c r="L39" s="64">
        <f>IF($D39="","",SUM(M39:O39))</f>
        <v/>
      </c>
      <c r="M39" s="64">
        <f>IF($D39="","",COUNTIF(DESIGNAZIONI!M$8:M$1323,$D39))</f>
        <v/>
      </c>
      <c r="N39" s="64">
        <f>IF($D39="","",COUNTIF(DESIGNAZIONI!N$8:N$1323,$D39))</f>
        <v/>
      </c>
      <c r="O39" s="64">
        <f>IF($D39="","",COUNTIF(DESIGNAZIONI!O$8:O$1323,$D39))</f>
        <v/>
      </c>
    </row>
    <row r="40">
      <c r="C40" s="224" t="n"/>
      <c r="D40" s="13" t="inlineStr">
        <is>
          <t>NADAUD Elena [AA]</t>
        </is>
      </c>
      <c r="E40" s="220" t="n"/>
      <c r="L40" s="64">
        <f>IF($D40="","",SUM(M40:O40))</f>
        <v/>
      </c>
      <c r="M40" s="64">
        <f>IF($D40="","",COUNTIF(DESIGNAZIONI!M$8:M$1323,$D40))</f>
        <v/>
      </c>
      <c r="N40" s="64">
        <f>IF($D40="","",COUNTIF(DESIGNAZIONI!N$8:N$1323,$D40))</f>
        <v/>
      </c>
      <c r="O40" s="64">
        <f>IF($D40="","",COUNTIF(DESIGNAZIONI!O$8:O$1323,$D40))</f>
        <v/>
      </c>
    </row>
    <row r="41">
      <c r="C41" s="224" t="n"/>
      <c r="D41" s="13" t="inlineStr">
        <is>
          <t>LANGER Hugo [AA]</t>
        </is>
      </c>
      <c r="E41" s="220" t="n"/>
      <c r="L41" s="64">
        <f>IF($D41="","",SUM(M41:O41))</f>
        <v/>
      </c>
      <c r="M41" s="64">
        <f>IF($D41="","",COUNTIF(DESIGNAZIONI!M$8:M$1323,$D41))</f>
        <v/>
      </c>
      <c r="N41" s="64">
        <f>IF($D41="","",COUNTIF(DESIGNAZIONI!N$8:N$1323,$D41))</f>
        <v/>
      </c>
      <c r="O41" s="64">
        <f>IF($D41="","",COUNTIF(DESIGNAZIONI!O$8:O$1323,$D41))</f>
        <v/>
      </c>
    </row>
    <row r="42">
      <c r="C42" s="224" t="n"/>
      <c r="D42" s="13" t="inlineStr">
        <is>
          <t>IGLESIAS Chiara [AAt]</t>
        </is>
      </c>
      <c r="E42" s="220" t="n"/>
      <c r="L42" s="64">
        <f>IF($D42="","",SUM(M42:O42))</f>
        <v/>
      </c>
      <c r="M42" s="64">
        <f>IF($D42="","",COUNTIF(DESIGNAZIONI!M$8:M$1323,$D42))</f>
        <v/>
      </c>
      <c r="N42" s="64">
        <f>IF($D42="","",COUNTIF(DESIGNAZIONI!N$8:N$1323,$D42))</f>
        <v/>
      </c>
      <c r="O42" s="64">
        <f>IF($D42="","",COUNTIF(DESIGNAZIONI!O$8:O$1323,$D42))</f>
        <v/>
      </c>
    </row>
    <row r="43">
      <c r="C43" s="224" t="n"/>
      <c r="D43" s="13" t="inlineStr">
        <is>
          <t>ROSSINI Chiara [AAt]</t>
        </is>
      </c>
      <c r="E43" s="220" t="n"/>
      <c r="L43" s="64">
        <f>IF($D43="","",SUM(M43:O43))</f>
        <v/>
      </c>
      <c r="M43" s="64">
        <f>IF($D43="","",COUNTIF(DESIGNAZIONI!M$8:M$1323,$D43))</f>
        <v/>
      </c>
      <c r="N43" s="64">
        <f>IF($D43="","",COUNTIF(DESIGNAZIONI!N$8:N$1323,$D43))</f>
        <v/>
      </c>
      <c r="O43" s="64">
        <f>IF($D43="","",COUNTIF(DESIGNAZIONI!O$8:O$1323,$D43))</f>
        <v/>
      </c>
    </row>
    <row r="44">
      <c r="C44" s="224" t="n"/>
      <c r="D44" s="13" t="inlineStr">
        <is>
          <t>KRAJNC Elena [AA]</t>
        </is>
      </c>
      <c r="E44" s="220" t="n"/>
      <c r="L44" s="64">
        <f>IF($D44="","",SUM(M44:O44))</f>
        <v/>
      </c>
      <c r="M44" s="64">
        <f>IF($D44="","",COUNTIF(DESIGNAZIONI!M$8:M$1323,$D44))</f>
        <v/>
      </c>
      <c r="N44" s="64">
        <f>IF($D44="","",COUNTIF(DESIGNAZIONI!N$8:N$1323,$D44))</f>
        <v/>
      </c>
      <c r="O44" s="64">
        <f>IF($D44="","",COUNTIF(DESIGNAZIONI!O$8:O$1323,$D44))</f>
        <v/>
      </c>
    </row>
    <row r="45">
      <c r="C45" s="224" t="n"/>
      <c r="D45" s="13" t="inlineStr">
        <is>
          <t>BLANCHET Giulia [AA]</t>
        </is>
      </c>
      <c r="E45" s="220" t="n"/>
      <c r="L45" s="64">
        <f>IF($D45="","",SUM(M45:O45))</f>
        <v/>
      </c>
      <c r="M45" s="64">
        <f>IF($D45="","",COUNTIF(DESIGNAZIONI!M$8:M$1323,$D45))</f>
        <v/>
      </c>
      <c r="N45" s="64">
        <f>IF($D45="","",COUNTIF(DESIGNAZIONI!N$8:N$1323,$D45))</f>
        <v/>
      </c>
      <c r="O45" s="64">
        <f>IF($D45="","",COUNTIF(DESIGNAZIONI!O$8:O$1323,$D45))</f>
        <v/>
      </c>
    </row>
    <row r="46">
      <c r="C46" s="224" t="n"/>
      <c r="D46" s="13" t="inlineStr">
        <is>
          <t>VALLET Felix [A]</t>
        </is>
      </c>
      <c r="E46" s="220" t="n"/>
      <c r="L46" s="64">
        <f>IF($D46="","",SUM(M46:O46))</f>
        <v/>
      </c>
      <c r="M46" s="64">
        <f>IF($D46="","",COUNTIF(DESIGNAZIONI!M$8:M$1323,$D46))</f>
        <v/>
      </c>
      <c r="N46" s="64">
        <f>IF($D46="","",COUNTIF(DESIGNAZIONI!N$8:N$1323,$D46))</f>
        <v/>
      </c>
      <c r="O46" s="64">
        <f>IF($D46="","",COUNTIF(DESIGNAZIONI!O$8:O$1323,$D46))</f>
        <v/>
      </c>
    </row>
    <row r="47">
      <c r="C47" s="224" t="n"/>
      <c r="D47" s="13" t="inlineStr">
        <is>
          <t>BELLANDI Paula [A]</t>
        </is>
      </c>
      <c r="E47" s="220" t="n"/>
      <c r="L47" s="64">
        <f>IF($D47="","",SUM(M47:O47))</f>
        <v/>
      </c>
      <c r="M47" s="64">
        <f>IF($D47="","",COUNTIF(DESIGNAZIONI!M$8:M$1323,$D47))</f>
        <v/>
      </c>
      <c r="N47" s="64">
        <f>IF($D47="","",COUNTIF(DESIGNAZIONI!N$8:N$1323,$D47))</f>
        <v/>
      </c>
      <c r="O47" s="64">
        <f>IF($D47="","",COUNTIF(DESIGNAZIONI!O$8:O$1323,$D47))</f>
        <v/>
      </c>
    </row>
    <row r="48">
      <c r="C48" s="224" t="n"/>
      <c r="D48" s="13" t="inlineStr">
        <is>
          <t>NOVAK Felix [A]</t>
        </is>
      </c>
      <c r="E48" s="220" t="n"/>
      <c r="L48" s="64">
        <f>IF($D48="","",SUM(M48:O48))</f>
        <v/>
      </c>
      <c r="M48" s="64">
        <f>IF($D48="","",COUNTIF(DESIGNAZIONI!M$8:M$1323,$D48))</f>
        <v/>
      </c>
      <c r="N48" s="64">
        <f>IF($D48="","",COUNTIF(DESIGNAZIONI!N$8:N$1323,$D48))</f>
        <v/>
      </c>
      <c r="O48" s="64">
        <f>IF($D48="","",COUNTIF(DESIGNAZIONI!O$8:O$1323,$D48))</f>
        <v/>
      </c>
    </row>
    <row r="49">
      <c r="C49" s="224" t="n"/>
      <c r="D49" s="13" t="inlineStr">
        <is>
          <t>VOGEL Beatrice [AAt]</t>
        </is>
      </c>
      <c r="E49" s="220" t="n"/>
      <c r="L49" s="64">
        <f>IF($D49="","",SUM(M49:O49))</f>
        <v/>
      </c>
      <c r="M49" s="64">
        <f>IF($D49="","",COUNTIF(DESIGNAZIONI!M$8:M$1323,$D49))</f>
        <v/>
      </c>
      <c r="N49" s="64">
        <f>IF($D49="","",COUNTIF(DESIGNAZIONI!N$8:N$1323,$D49))</f>
        <v/>
      </c>
      <c r="O49" s="64">
        <f>IF($D49="","",COUNTIF(DESIGNAZIONI!O$8:O$1323,$D49))</f>
        <v/>
      </c>
    </row>
    <row r="50">
      <c r="C50" s="224" t="n"/>
      <c r="D50" s="13" t="inlineStr">
        <is>
          <t>SANTORI Chiara [A]</t>
        </is>
      </c>
      <c r="E50" s="220" t="n"/>
      <c r="L50" s="64">
        <f>IF($D50="","",SUM(M50:O50))</f>
        <v/>
      </c>
      <c r="M50" s="64">
        <f>IF($D50="","",COUNTIF(DESIGNAZIONI!M$8:M$1323,$D50))</f>
        <v/>
      </c>
      <c r="N50" s="64">
        <f>IF($D50="","",COUNTIF(DESIGNAZIONI!N$8:N$1323,$D50))</f>
        <v/>
      </c>
      <c r="O50" s="64">
        <f>IF($D50="","",COUNTIF(DESIGNAZIONI!O$8:O$1323,$D50))</f>
        <v/>
      </c>
    </row>
    <row r="51">
      <c r="C51" s="224" t="n"/>
      <c r="D51" s="13" t="inlineStr">
        <is>
          <t>FUENTES Lukas [Aest]</t>
        </is>
      </c>
      <c r="E51" s="220" t="n"/>
      <c r="L51" s="64">
        <f>IF($D51="","",SUM(M51:O51))</f>
        <v/>
      </c>
      <c r="M51" s="64">
        <f>IF($D51="","",COUNTIF(DESIGNAZIONI!M$8:M$1323,$D51))</f>
        <v/>
      </c>
      <c r="N51" s="64">
        <f>IF($D51="","",COUNTIF(DESIGNAZIONI!N$8:N$1323,$D51))</f>
        <v/>
      </c>
      <c r="O51" s="64">
        <f>IF($D51="","",COUNTIF(DESIGNAZIONI!O$8:O$1323,$D51))</f>
        <v/>
      </c>
    </row>
    <row r="52">
      <c r="C52" s="224" t="n"/>
      <c r="D52" s="13" t="inlineStr">
        <is>
          <t>GAUTHIER Alenka [Aest]</t>
        </is>
      </c>
      <c r="E52" s="220" t="n"/>
      <c r="L52" s="64">
        <f>IF($D52="","",SUM(M52:O52))</f>
        <v/>
      </c>
      <c r="M52" s="64">
        <f>IF($D52="","",COUNTIF(DESIGNAZIONI!M$8:M$1323,$D52))</f>
        <v/>
      </c>
      <c r="N52" s="64">
        <f>IF($D52="","",COUNTIF(DESIGNAZIONI!N$8:N$1323,$D52))</f>
        <v/>
      </c>
      <c r="O52" s="64">
        <f>IF($D52="","",COUNTIF(DESIGNAZIONI!O$8:O$1323,$D52))</f>
        <v/>
      </c>
    </row>
    <row r="53">
      <c r="C53" s="224" t="n"/>
      <c r="D53" s="13" t="inlineStr">
        <is>
          <t>ROTH Lucia [A]</t>
        </is>
      </c>
      <c r="E53" s="220" t="n"/>
      <c r="L53" s="64">
        <f>IF($D53="","",SUM(M53:O53))</f>
        <v/>
      </c>
      <c r="M53" s="64">
        <f>IF($D53="","",COUNTIF(DESIGNAZIONI!M$8:M$1323,$D53))</f>
        <v/>
      </c>
      <c r="N53" s="64">
        <f>IF($D53="","",COUNTIF(DESIGNAZIONI!N$8:N$1323,$D53))</f>
        <v/>
      </c>
      <c r="O53" s="64">
        <f>IF($D53="","",COUNTIF(DESIGNAZIONI!O$8:O$1323,$D53))</f>
        <v/>
      </c>
    </row>
    <row r="54">
      <c r="C54" s="224" t="n"/>
      <c r="D54" s="13" t="inlineStr">
        <is>
          <t>OBLAK Stefano [AA]</t>
        </is>
      </c>
      <c r="E54" s="220" t="n"/>
      <c r="L54" s="64">
        <f>IF($D54="","",SUM(M54:O54))</f>
        <v/>
      </c>
      <c r="M54" s="64">
        <f>IF($D54="","",COUNTIF(DESIGNAZIONI!M$8:M$1323,$D54))</f>
        <v/>
      </c>
      <c r="N54" s="64">
        <f>IF($D54="","",COUNTIF(DESIGNAZIONI!N$8:N$1323,$D54))</f>
        <v/>
      </c>
      <c r="O54" s="64">
        <f>IF($D54="","",COUNTIF(DESIGNAZIONI!O$8:O$1323,$D54))</f>
        <v/>
      </c>
    </row>
    <row r="55">
      <c r="C55" s="224" t="n"/>
      <c r="D55" s="13" t="inlineStr">
        <is>
          <t>NOVAK Beatrice [Aest]</t>
        </is>
      </c>
      <c r="E55" s="220" t="n"/>
      <c r="L55" s="64">
        <f>IF($D55="","",SUM(M55:O55))</f>
        <v/>
      </c>
      <c r="M55" s="64">
        <f>IF($D55="","",COUNTIF(DESIGNAZIONI!M$8:M$1323,$D55))</f>
        <v/>
      </c>
      <c r="N55" s="64">
        <f>IF($D55="","",COUNTIF(DESIGNAZIONI!N$8:N$1323,$D55))</f>
        <v/>
      </c>
      <c r="O55" s="64">
        <f>IF($D55="","",COUNTIF(DESIGNAZIONI!O$8:O$1323,$D55))</f>
        <v/>
      </c>
    </row>
    <row r="56">
      <c r="C56" s="224" t="n"/>
      <c r="D56" s="13" t="inlineStr">
        <is>
          <t>LANGER Beatrice [Aest]</t>
        </is>
      </c>
      <c r="E56" s="220" t="n"/>
      <c r="L56" s="64">
        <f>IF($D56="","",SUM(M56:O56))</f>
        <v/>
      </c>
      <c r="M56" s="64">
        <f>IF($D56="","",COUNTIF(DESIGNAZIONI!M$8:M$1323,$D56))</f>
        <v/>
      </c>
      <c r="N56" s="64">
        <f>IF($D56="","",COUNTIF(DESIGNAZIONI!N$8:N$1323,$D56))</f>
        <v/>
      </c>
      <c r="O56" s="64">
        <f>IF($D56="","",COUNTIF(DESIGNAZIONI!O$8:O$1323,$D56))</f>
        <v/>
      </c>
    </row>
    <row r="57">
      <c r="C57" s="224" t="n"/>
      <c r="D57" s="13" t="inlineStr">
        <is>
          <t>BLANCHET Valerie [A]</t>
        </is>
      </c>
      <c r="E57" s="220" t="n"/>
      <c r="L57" s="64">
        <f>IF($D57="","",SUM(M57:O57))</f>
        <v/>
      </c>
      <c r="M57" s="64">
        <f>IF($D57="","",COUNTIF(DESIGNAZIONI!M$8:M$1323,$D57))</f>
        <v/>
      </c>
      <c r="N57" s="64">
        <f>IF($D57="","",COUNTIF(DESIGNAZIONI!N$8:N$1323,$D57))</f>
        <v/>
      </c>
      <c r="O57" s="64">
        <f>IF($D57="","",COUNTIF(DESIGNAZIONI!O$8:O$1323,$D57))</f>
        <v/>
      </c>
    </row>
    <row r="58">
      <c r="C58" s="224" t="n"/>
      <c r="D58" s="13" t="inlineStr">
        <is>
          <t>OBLAK Lucia [AAt]</t>
        </is>
      </c>
      <c r="E58" s="220" t="n"/>
      <c r="L58" s="64">
        <f>IF($D58="","",SUM(M58:O58))</f>
        <v/>
      </c>
      <c r="M58" s="64">
        <f>IF($D58="","",COUNTIF(DESIGNAZIONI!M$8:M$1323,$D58))</f>
        <v/>
      </c>
      <c r="N58" s="64">
        <f>IF($D58="","",COUNTIF(DESIGNAZIONI!N$8:N$1323,$D58))</f>
        <v/>
      </c>
      <c r="O58" s="64">
        <f>IF($D58="","",COUNTIF(DESIGNAZIONI!O$8:O$1323,$D58))</f>
        <v/>
      </c>
    </row>
    <row r="59">
      <c r="C59" s="224" t="n"/>
      <c r="D59" s="13" t="inlineStr">
        <is>
          <t>CARON Martina [AAt]</t>
        </is>
      </c>
      <c r="E59" s="220" t="n"/>
      <c r="L59" s="64">
        <f>IF($D59="","",SUM(M59:O59))</f>
        <v/>
      </c>
      <c r="M59" s="64">
        <f>IF($D59="","",COUNTIF(DESIGNAZIONI!M$8:M$1323,$D59))</f>
        <v/>
      </c>
      <c r="N59" s="64">
        <f>IF($D59="","",COUNTIF(DESIGNAZIONI!N$8:N$1323,$D59))</f>
        <v/>
      </c>
      <c r="O59" s="64">
        <f>IF($D59="","",COUNTIF(DESIGNAZIONI!O$8:O$1323,$D59))</f>
        <v/>
      </c>
    </row>
    <row r="60">
      <c r="C60" s="224" t="n"/>
      <c r="D60" s="13" t="inlineStr">
        <is>
          <t>CARON Davide [Aest]</t>
        </is>
      </c>
      <c r="E60" s="220" t="n"/>
      <c r="L60" s="64">
        <f>IF($D60="","",SUM(M60:O60))</f>
        <v/>
      </c>
      <c r="M60" s="64">
        <f>IF($D60="","",COUNTIF(DESIGNAZIONI!M$8:M$1323,$D60))</f>
        <v/>
      </c>
      <c r="N60" s="64">
        <f>IF($D60="","",COUNTIF(DESIGNAZIONI!N$8:N$1323,$D60))</f>
        <v/>
      </c>
      <c r="O60" s="64">
        <f>IF($D60="","",COUNTIF(DESIGNAZIONI!O$8:O$1323,$D60))</f>
        <v/>
      </c>
    </row>
    <row r="61">
      <c r="C61" s="224" t="n"/>
      <c r="D61" s="13" t="inlineStr">
        <is>
          <t>VOGEL Giulia [Aest]</t>
        </is>
      </c>
      <c r="E61" s="220" t="n"/>
      <c r="L61" s="64">
        <f>IF($D61="","",SUM(M61:O61))</f>
        <v/>
      </c>
      <c r="M61" s="64">
        <f>IF($D61="","",COUNTIF(DESIGNAZIONI!M$8:M$1323,$D61))</f>
        <v/>
      </c>
      <c r="N61" s="64">
        <f>IF($D61="","",COUNTIF(DESIGNAZIONI!N$8:N$1323,$D61))</f>
        <v/>
      </c>
      <c r="O61" s="64">
        <f>IF($D61="","",COUNTIF(DESIGNAZIONI!O$8:O$1323,$D61))</f>
        <v/>
      </c>
    </row>
    <row r="62">
      <c r="C62" s="224" t="n"/>
      <c r="D62" s="13" t="inlineStr">
        <is>
          <t>VOGEL Miha [AAt]</t>
        </is>
      </c>
      <c r="E62" s="220" t="n"/>
      <c r="L62" s="64">
        <f>IF($D62="","",SUM(M62:O62))</f>
        <v/>
      </c>
      <c r="M62" s="64">
        <f>IF($D62="","",COUNTIF(DESIGNAZIONI!M$8:M$1323,$D62))</f>
        <v/>
      </c>
      <c r="N62" s="64">
        <f>IF($D62="","",COUNTIF(DESIGNAZIONI!N$8:N$1323,$D62))</f>
        <v/>
      </c>
      <c r="O62" s="64">
        <f>IF($D62="","",COUNTIF(DESIGNAZIONI!O$8:O$1323,$D62))</f>
        <v/>
      </c>
    </row>
    <row r="63">
      <c r="C63" s="224" t="n"/>
      <c r="D63" s="13" t="inlineStr">
        <is>
          <t>VIDMAR Hugo [AAt]</t>
        </is>
      </c>
      <c r="E63" s="220" t="n"/>
      <c r="L63" s="64">
        <f>IF($D63="","",SUM(M63:O63))</f>
        <v/>
      </c>
      <c r="M63" s="64">
        <f>IF($D63="","",COUNTIF(DESIGNAZIONI!M$8:M$1323,$D63))</f>
        <v/>
      </c>
      <c r="N63" s="64">
        <f>IF($D63="","",COUNTIF(DESIGNAZIONI!N$8:N$1323,$D63))</f>
        <v/>
      </c>
      <c r="O63" s="64">
        <f>IF($D63="","",COUNTIF(DESIGNAZIONI!O$8:O$1323,$D63))</f>
        <v/>
      </c>
    </row>
    <row r="64">
      <c r="C64" s="224" t="n"/>
      <c r="D64" s="13" t="inlineStr">
        <is>
          <t>KELLER Chiara [AAt]</t>
        </is>
      </c>
      <c r="E64" s="220" t="n"/>
      <c r="L64" s="64">
        <f>IF($D64="","",SUM(M64:O64))</f>
        <v/>
      </c>
      <c r="M64" s="64">
        <f>IF($D64="","",COUNTIF(DESIGNAZIONI!M$8:M$1323,$D64))</f>
        <v/>
      </c>
      <c r="N64" s="64">
        <f>IF($D64="","",COUNTIF(DESIGNAZIONI!N$8:N$1323,$D64))</f>
        <v/>
      </c>
      <c r="O64" s="64">
        <f>IF($D64="","",COUNTIF(DESIGNAZIONI!O$8:O$1323,$D64))</f>
        <v/>
      </c>
    </row>
    <row r="65">
      <c r="C65" s="224" t="n"/>
      <c r="D65" s="13" t="inlineStr">
        <is>
          <t>WEBER Marco [AAt]</t>
        </is>
      </c>
      <c r="E65" s="220" t="n"/>
      <c r="L65" s="64">
        <f>IF($D65="","",SUM(M65:O65))</f>
        <v/>
      </c>
      <c r="M65" s="64">
        <f>IF($D65="","",COUNTIF(DESIGNAZIONI!M$8:M$1323,$D65))</f>
        <v/>
      </c>
      <c r="N65" s="64">
        <f>IF($D65="","",COUNTIF(DESIGNAZIONI!N$8:N$1323,$D65))</f>
        <v/>
      </c>
      <c r="O65" s="64">
        <f>IF($D65="","",COUNTIF(DESIGNAZIONI!O$8:O$1323,$D65))</f>
        <v/>
      </c>
    </row>
    <row r="66">
      <c r="C66" s="224" t="n"/>
      <c r="D66" s="13" t="inlineStr">
        <is>
          <t>MARCHIONI Katrin [AA]</t>
        </is>
      </c>
      <c r="E66" s="220" t="n"/>
      <c r="L66" s="64">
        <f>IF($D66="","",SUM(M66:O66))</f>
        <v/>
      </c>
      <c r="M66" s="64">
        <f>IF($D66="","",COUNTIF(DESIGNAZIONI!M$8:M$1323,$D66))</f>
        <v/>
      </c>
      <c r="N66" s="64">
        <f>IF($D66="","",COUNTIF(DESIGNAZIONI!N$8:N$1323,$D66))</f>
        <v/>
      </c>
      <c r="O66" s="64">
        <f>IF($D66="","",COUNTIF(DESIGNAZIONI!O$8:O$1323,$D66))</f>
        <v/>
      </c>
    </row>
    <row r="67">
      <c r="C67" s="224" t="n"/>
      <c r="D67" s="13" t="inlineStr">
        <is>
          <t>MARCHIONI Lukas [AAt]</t>
        </is>
      </c>
      <c r="E67" s="220" t="n"/>
      <c r="L67" s="64">
        <f>IF($D67="","",SUM(M67:O67))</f>
        <v/>
      </c>
      <c r="M67" s="64">
        <f>IF($D67="","",COUNTIF(DESIGNAZIONI!M$8:M$1323,$D67))</f>
        <v/>
      </c>
      <c r="N67" s="64">
        <f>IF($D67="","",COUNTIF(DESIGNAZIONI!N$8:N$1323,$D67))</f>
        <v/>
      </c>
      <c r="O67" s="64">
        <f>IF($D67="","",COUNTIF(DESIGNAZIONI!O$8:O$1323,$D67))</f>
        <v/>
      </c>
    </row>
    <row r="68">
      <c r="C68" s="224" t="n"/>
      <c r="D68" s="13" t="inlineStr">
        <is>
          <t>ENGEL Luca [AA]</t>
        </is>
      </c>
      <c r="E68" s="220" t="n"/>
      <c r="L68" s="64">
        <f>IF($D68="","",SUM(M68:O68))</f>
        <v/>
      </c>
      <c r="M68" s="64">
        <f>IF($D68="","",COUNTIF(DESIGNAZIONI!M$8:M$1323,$D68))</f>
        <v/>
      </c>
      <c r="N68" s="64">
        <f>IF($D68="","",COUNTIF(DESIGNAZIONI!N$8:N$1323,$D68))</f>
        <v/>
      </c>
      <c r="O68" s="64">
        <f>IF($D68="","",COUNTIF(DESIGNAZIONI!O$8:O$1323,$D68))</f>
        <v/>
      </c>
    </row>
    <row r="69">
      <c r="C69" s="224" t="n"/>
      <c r="D69" s="13" t="inlineStr">
        <is>
          <t>SEVER Nicola [AA]</t>
        </is>
      </c>
      <c r="E69" s="220" t="n"/>
      <c r="L69" s="64">
        <f>IF($D69="","",SUM(M69:O69))</f>
        <v/>
      </c>
      <c r="M69" s="64">
        <f>IF($D69="","",COUNTIF(DESIGNAZIONI!M$8:M$1323,$D69))</f>
        <v/>
      </c>
      <c r="N69" s="64">
        <f>IF($D69="","",COUNTIF(DESIGNAZIONI!N$8:N$1323,$D69))</f>
        <v/>
      </c>
      <c r="O69" s="64">
        <f>IF($D69="","",COUNTIF(DESIGNAZIONI!O$8:O$1323,$D69))</f>
        <v/>
      </c>
    </row>
    <row r="70">
      <c r="C70" s="224" t="n"/>
      <c r="D70" s="13" t="inlineStr">
        <is>
          <t>ORTEGA Katrin [Aest]</t>
        </is>
      </c>
      <c r="E70" s="220" t="n"/>
      <c r="L70" s="64">
        <f>IF($D70="","",SUM(M70:O70))</f>
        <v/>
      </c>
      <c r="M70" s="64">
        <f>IF($D70="","",COUNTIF(DESIGNAZIONI!M$8:M$1323,$D70))</f>
        <v/>
      </c>
      <c r="N70" s="64">
        <f>IF($D70="","",COUNTIF(DESIGNAZIONI!N$8:N$1323,$D70))</f>
        <v/>
      </c>
      <c r="O70" s="64">
        <f>IF($D70="","",COUNTIF(DESIGNAZIONI!O$8:O$1323,$D70))</f>
        <v/>
      </c>
    </row>
    <row r="71">
      <c r="C71" s="224" t="n"/>
      <c r="D71" s="13" t="inlineStr">
        <is>
          <t>ROMERO Diego [AA]</t>
        </is>
      </c>
      <c r="E71" s="220" t="n"/>
      <c r="L71" s="64">
        <f>IF($D71="","",SUM(M71:O71))</f>
        <v/>
      </c>
      <c r="M71" s="64">
        <f>IF($D71="","",COUNTIF(DESIGNAZIONI!M$8:M$1323,$D71))</f>
        <v/>
      </c>
      <c r="N71" s="64">
        <f>IF($D71="","",COUNTIF(DESIGNAZIONI!N$8:N$1323,$D71))</f>
        <v/>
      </c>
      <c r="O71" s="64">
        <f>IF($D71="","",COUNTIF(DESIGNAZIONI!O$8:O$1323,$D71))</f>
        <v/>
      </c>
    </row>
    <row r="72">
      <c r="C72" s="224" t="n"/>
      <c r="D72" s="13" t="inlineStr">
        <is>
          <t>PRADO Marta [AAt]</t>
        </is>
      </c>
      <c r="E72" s="220" t="n"/>
      <c r="L72" s="64">
        <f>IF($D72="","",SUM(M72:O72))</f>
        <v/>
      </c>
      <c r="M72" s="64">
        <f>IF($D72="","",COUNTIF(DESIGNAZIONI!M$8:M$1323,$D72))</f>
        <v/>
      </c>
      <c r="N72" s="64">
        <f>IF($D72="","",COUNTIF(DESIGNAZIONI!N$8:N$1323,$D72))</f>
        <v/>
      </c>
      <c r="O72" s="64">
        <f>IF($D72="","",COUNTIF(DESIGNAZIONI!O$8:O$1323,$D72))</f>
        <v/>
      </c>
    </row>
    <row r="73">
      <c r="C73" s="224" t="n"/>
      <c r="D73" s="13" t="inlineStr">
        <is>
          <t>AUBERT Beatrice [AA]</t>
        </is>
      </c>
      <c r="E73" s="220" t="n"/>
      <c r="L73" s="64">
        <f>IF($D73="","",SUM(M73:O73))</f>
        <v/>
      </c>
      <c r="M73" s="64">
        <f>IF($D73="","",COUNTIF(DESIGNAZIONI!M$8:M$1323,$D73))</f>
        <v/>
      </c>
      <c r="N73" s="64">
        <f>IF($D73="","",COUNTIF(DESIGNAZIONI!N$8:N$1323,$D73))</f>
        <v/>
      </c>
      <c r="O73" s="64">
        <f>IF($D73="","",COUNTIF(DESIGNAZIONI!O$8:O$1323,$D73))</f>
        <v/>
      </c>
    </row>
    <row r="74">
      <c r="C74" s="224" t="n"/>
      <c r="D74" s="13" t="inlineStr">
        <is>
          <t>SANTORI Gaelle [AA]</t>
        </is>
      </c>
      <c r="E74" s="220" t="n"/>
      <c r="L74" s="64">
        <f>IF($D74="","",SUM(M74:O74))</f>
        <v/>
      </c>
      <c r="M74" s="64">
        <f>IF($D74="","",COUNTIF(DESIGNAZIONI!M$8:M$1323,$D74))</f>
        <v/>
      </c>
      <c r="N74" s="64">
        <f>IF($D74="","",COUNTIF(DESIGNAZIONI!N$8:N$1323,$D74))</f>
        <v/>
      </c>
      <c r="O74" s="64">
        <f>IF($D74="","",COUNTIF(DESIGNAZIONI!O$8:O$1323,$D74))</f>
        <v/>
      </c>
    </row>
    <row r="75">
      <c r="C75" s="224" t="n"/>
      <c r="D75" s="13" t="inlineStr">
        <is>
          <t>VIDMAR Noemi [AA]</t>
        </is>
      </c>
      <c r="E75" s="220" t="n"/>
      <c r="L75" s="64">
        <f>IF($D75="","",SUM(M75:O75))</f>
        <v/>
      </c>
      <c r="M75" s="64">
        <f>IF($D75="","",COUNTIF(DESIGNAZIONI!M$8:M$1323,$D75))</f>
        <v/>
      </c>
      <c r="N75" s="64">
        <f>IF($D75="","",COUNTIF(DESIGNAZIONI!N$8:N$1323,$D75))</f>
        <v/>
      </c>
      <c r="O75" s="64">
        <f>IF($D75="","",COUNTIF(DESIGNAZIONI!O$8:O$1323,$D75))</f>
        <v/>
      </c>
    </row>
    <row r="76">
      <c r="C76" s="224" t="n"/>
      <c r="D76" s="13" t="inlineStr">
        <is>
          <t>HORVAT Davide [Aest]</t>
        </is>
      </c>
      <c r="E76" s="220" t="n"/>
      <c r="L76" s="64">
        <f>IF($D76="","",SUM(M76:O76))</f>
        <v/>
      </c>
      <c r="M76" s="64">
        <f>IF($D76="","",COUNTIF(DESIGNAZIONI!M$8:M$1323,$D76))</f>
        <v/>
      </c>
      <c r="N76" s="64">
        <f>IF($D76="","",COUNTIF(DESIGNAZIONI!N$8:N$1323,$D76))</f>
        <v/>
      </c>
      <c r="O76" s="64">
        <f>IF($D76="","",COUNTIF(DESIGNAZIONI!O$8:O$1323,$D76))</f>
        <v/>
      </c>
    </row>
    <row r="77">
      <c r="C77" s="224" t="n"/>
      <c r="D77" s="13" t="inlineStr">
        <is>
          <t>SOLER Ottavia [AAt]</t>
        </is>
      </c>
      <c r="E77" s="220" t="n"/>
      <c r="L77" s="64">
        <f>IF($D77="","",SUM(M77:O77))</f>
        <v/>
      </c>
      <c r="M77" s="64">
        <f>IF($D77="","",COUNTIF(DESIGNAZIONI!M$8:M$1323,$D77))</f>
        <v/>
      </c>
      <c r="N77" s="64">
        <f>IF($D77="","",COUNTIF(DESIGNAZIONI!N$8:N$1323,$D77))</f>
        <v/>
      </c>
      <c r="O77" s="64">
        <f>IF($D77="","",COUNTIF(DESIGNAZIONI!O$8:O$1323,$D77))</f>
        <v/>
      </c>
    </row>
    <row r="78">
      <c r="C78" s="224" t="n"/>
      <c r="D78" s="13" t="inlineStr">
        <is>
          <t>VOGEL Martina [AA]</t>
        </is>
      </c>
      <c r="E78" s="220" t="n"/>
      <c r="L78" s="64">
        <f>IF($D78="","",SUM(M78:O78))</f>
        <v/>
      </c>
      <c r="M78" s="64">
        <f>IF($D78="","",COUNTIF(DESIGNAZIONI!M$8:M$1323,$D78))</f>
        <v/>
      </c>
      <c r="N78" s="64">
        <f>IF($D78="","",COUNTIF(DESIGNAZIONI!N$8:N$1323,$D78))</f>
        <v/>
      </c>
      <c r="O78" s="64">
        <f>IF($D78="","",COUNTIF(DESIGNAZIONI!O$8:O$1323,$D78))</f>
        <v/>
      </c>
    </row>
    <row r="79">
      <c r="C79" s="224" t="n"/>
      <c r="D79" s="13" t="inlineStr">
        <is>
          <t>BELLANDI Matteo [AA]</t>
        </is>
      </c>
      <c r="E79" s="220" t="n"/>
      <c r="L79" s="64">
        <f>IF($D79="","",SUM(M79:O79))</f>
        <v/>
      </c>
      <c r="M79" s="64">
        <f>IF($D79="","",COUNTIF(DESIGNAZIONI!M$8:M$1323,$D79))</f>
        <v/>
      </c>
      <c r="N79" s="64">
        <f>IF($D79="","",COUNTIF(DESIGNAZIONI!N$8:N$1323,$D79))</f>
        <v/>
      </c>
      <c r="O79" s="64">
        <f>IF($D79="","",COUNTIF(DESIGNAZIONI!O$8:O$1323,$D79))</f>
        <v/>
      </c>
    </row>
    <row r="80">
      <c r="C80" s="224" t="n"/>
      <c r="D80" s="13" t="inlineStr">
        <is>
          <t>OBLAK Mathilde [A]</t>
        </is>
      </c>
      <c r="E80" s="220" t="n"/>
      <c r="L80" s="64">
        <f>IF($D80="","",SUM(M80:O80))</f>
        <v/>
      </c>
      <c r="M80" s="64">
        <f>IF($D80="","",COUNTIF(DESIGNAZIONI!M$8:M$1323,$D80))</f>
        <v/>
      </c>
      <c r="N80" s="64">
        <f>IF($D80="","",COUNTIF(DESIGNAZIONI!N$8:N$1323,$D80))</f>
        <v/>
      </c>
      <c r="O80" s="64">
        <f>IF($D80="","",COUNTIF(DESIGNAZIONI!O$8:O$1323,$D80))</f>
        <v/>
      </c>
    </row>
    <row r="81">
      <c r="C81" s="224" t="n"/>
      <c r="D81" s="13" t="inlineStr">
        <is>
          <t>PETERLIN Beatrice [Aest]</t>
        </is>
      </c>
      <c r="E81" s="220" t="n"/>
      <c r="L81" s="64">
        <f>IF($D81="","",SUM(M81:O81))</f>
        <v/>
      </c>
      <c r="M81" s="64">
        <f>IF($D81="","",COUNTIF(DESIGNAZIONI!M$8:M$1323,$D81))</f>
        <v/>
      </c>
      <c r="N81" s="64">
        <f>IF($D81="","",COUNTIF(DESIGNAZIONI!N$8:N$1323,$D81))</f>
        <v/>
      </c>
      <c r="O81" s="64">
        <f>IF($D81="","",COUNTIF(DESIGNAZIONI!O$8:O$1323,$D81))</f>
        <v/>
      </c>
    </row>
    <row r="82">
      <c r="C82" s="224" t="n"/>
      <c r="D82" s="13" t="inlineStr">
        <is>
          <t>GALLINI Sofia [AA]</t>
        </is>
      </c>
      <c r="E82" s="220" t="n"/>
      <c r="L82" s="64">
        <f>IF($D82="","",SUM(M82:O82))</f>
        <v/>
      </c>
      <c r="M82" s="64">
        <f>IF($D82="","",COUNTIF(DESIGNAZIONI!M$8:M$1323,$D82))</f>
        <v/>
      </c>
      <c r="N82" s="64">
        <f>IF($D82="","",COUNTIF(DESIGNAZIONI!N$8:N$1323,$D82))</f>
        <v/>
      </c>
      <c r="O82" s="64">
        <f>IF($D82="","",COUNTIF(DESIGNAZIONI!O$8:O$1323,$D82))</f>
        <v/>
      </c>
    </row>
    <row r="83">
      <c r="C83" s="224" t="n"/>
      <c r="D83" s="13" t="inlineStr">
        <is>
          <t>KELLER Valerie [AAt]</t>
        </is>
      </c>
      <c r="E83" s="220" t="n"/>
      <c r="L83" s="64">
        <f>IF($D83="","",SUM(M83:O83))</f>
        <v/>
      </c>
      <c r="M83" s="64">
        <f>IF($D83="","",COUNTIF(DESIGNAZIONI!M$8:M$1323,$D83))</f>
        <v/>
      </c>
      <c r="N83" s="64">
        <f>IF($D83="","",COUNTIF(DESIGNAZIONI!N$8:N$1323,$D83))</f>
        <v/>
      </c>
      <c r="O83" s="64">
        <f>IF($D83="","",COUNTIF(DESIGNAZIONI!O$8:O$1323,$D83))</f>
        <v/>
      </c>
    </row>
    <row r="84">
      <c r="C84" s="224" t="n"/>
      <c r="D84" s="13" t="inlineStr">
        <is>
          <t>KELLER Beatrice [AAt]</t>
        </is>
      </c>
      <c r="E84" s="220" t="n"/>
      <c r="L84" s="64">
        <f>IF($D84="","",SUM(M84:O84))</f>
        <v/>
      </c>
      <c r="M84" s="64">
        <f>IF($D84="","",COUNTIF(DESIGNAZIONI!M$8:M$1323,$D84))</f>
        <v/>
      </c>
      <c r="N84" s="64">
        <f>IF($D84="","",COUNTIF(DESIGNAZIONI!N$8:N$1323,$D84))</f>
        <v/>
      </c>
      <c r="O84" s="64">
        <f>IF($D84="","",COUNTIF(DESIGNAZIONI!O$8:O$1323,$D84))</f>
        <v/>
      </c>
    </row>
    <row r="85">
      <c r="C85" s="224" t="n"/>
      <c r="D85" s="13" t="inlineStr">
        <is>
          <t>BELLANDI Chiara [Aest]</t>
        </is>
      </c>
      <c r="E85" s="220" t="n"/>
      <c r="L85" s="64">
        <f>IF($D85="","",SUM(M85:O85))</f>
        <v/>
      </c>
      <c r="M85" s="64">
        <f>IF($D85="","",COUNTIF(DESIGNAZIONI!M$8:M$1323,$D85))</f>
        <v/>
      </c>
      <c r="N85" s="64">
        <f>IF($D85="","",COUNTIF(DESIGNAZIONI!N$8:N$1323,$D85))</f>
        <v/>
      </c>
      <c r="O85" s="64">
        <f>IF($D85="","",COUNTIF(DESIGNAZIONI!O$8:O$1323,$D85))</f>
        <v/>
      </c>
    </row>
    <row r="86">
      <c r="C86" s="224" t="n"/>
      <c r="D86" s="13" t="inlineStr">
        <is>
          <t>CASTILLO Paolo [AAt]</t>
        </is>
      </c>
      <c r="E86" s="220" t="n"/>
      <c r="L86" s="64">
        <f>IF($D86="","",SUM(M86:O86))</f>
        <v/>
      </c>
      <c r="M86" s="64">
        <f>IF($D86="","",COUNTIF(DESIGNAZIONI!M$8:M$1323,$D86))</f>
        <v/>
      </c>
      <c r="N86" s="64">
        <f>IF($D86="","",COUNTIF(DESIGNAZIONI!N$8:N$1323,$D86))</f>
        <v/>
      </c>
      <c r="O86" s="64">
        <f>IF($D86="","",COUNTIF(DESIGNAZIONI!O$8:O$1323,$D86))</f>
        <v/>
      </c>
    </row>
    <row r="87">
      <c r="C87" s="224" t="n"/>
      <c r="D87" s="13" t="inlineStr">
        <is>
          <t>BELLANDI Vid [Aest]</t>
        </is>
      </c>
      <c r="E87" s="220" t="n"/>
      <c r="L87" s="64">
        <f>IF($D87="","",SUM(M87:O87))</f>
        <v/>
      </c>
      <c r="M87" s="64">
        <f>IF($D87="","",COUNTIF(DESIGNAZIONI!M$8:M$1323,$D87))</f>
        <v/>
      </c>
      <c r="N87" s="64">
        <f>IF($D87="","",COUNTIF(DESIGNAZIONI!N$8:N$1323,$D87))</f>
        <v/>
      </c>
      <c r="O87" s="64">
        <f>IF($D87="","",COUNTIF(DESIGNAZIONI!O$8:O$1323,$D87))</f>
        <v/>
      </c>
    </row>
    <row r="88">
      <c r="C88" s="224" t="n"/>
      <c r="D88" s="13" t="inlineStr">
        <is>
          <t>ROSSINI Beatrice [Aest]</t>
        </is>
      </c>
      <c r="E88" s="220" t="n"/>
      <c r="L88" s="64">
        <f>IF($D88="","",SUM(M88:O88))</f>
        <v/>
      </c>
      <c r="M88" s="64">
        <f>IF($D88="","",COUNTIF(DESIGNAZIONI!M$8:M$1323,$D88))</f>
        <v/>
      </c>
      <c r="N88" s="64">
        <f>IF($D88="","",COUNTIF(DESIGNAZIONI!N$8:N$1323,$D88))</f>
        <v/>
      </c>
      <c r="O88" s="64">
        <f>IF($D88="","",COUNTIF(DESIGNAZIONI!O$8:O$1323,$D88))</f>
        <v/>
      </c>
    </row>
    <row r="89">
      <c r="C89" s="224" t="n"/>
      <c r="D89" s="13" t="inlineStr">
        <is>
          <t>NOVAK Lea [AA]</t>
        </is>
      </c>
      <c r="E89" s="220" t="n"/>
      <c r="L89" s="64">
        <f>IF($D89="","",SUM(M89:O89))</f>
        <v/>
      </c>
      <c r="M89" s="64">
        <f>IF($D89="","",COUNTIF(DESIGNAZIONI!M$8:M$1323,$D89))</f>
        <v/>
      </c>
      <c r="N89" s="64">
        <f>IF($D89="","",COUNTIF(DESIGNAZIONI!N$8:N$1323,$D89))</f>
        <v/>
      </c>
      <c r="O89" s="64">
        <f>IF($D89="","",COUNTIF(DESIGNAZIONI!O$8:O$1323,$D89))</f>
        <v/>
      </c>
    </row>
    <row r="90">
      <c r="C90" s="224" t="n"/>
      <c r="D90" s="13" t="inlineStr">
        <is>
          <t>NAVARRO Gaelle [A]</t>
        </is>
      </c>
      <c r="E90" s="220" t="n"/>
      <c r="L90" s="64">
        <f>IF($D90="","",SUM(M90:O90))</f>
        <v/>
      </c>
      <c r="M90" s="64">
        <f>IF($D90="","",COUNTIF(DESIGNAZIONI!M$8:M$1323,$D90))</f>
        <v/>
      </c>
      <c r="N90" s="64">
        <f>IF($D90="","",COUNTIF(DESIGNAZIONI!N$8:N$1323,$D90))</f>
        <v/>
      </c>
      <c r="O90" s="64">
        <f>IF($D90="","",COUNTIF(DESIGNAZIONI!O$8:O$1323,$D90))</f>
        <v/>
      </c>
    </row>
    <row r="91">
      <c r="C91" s="224" t="n"/>
      <c r="D91" s="13" t="inlineStr">
        <is>
          <t>ZUPAN Diego [AA]</t>
        </is>
      </c>
      <c r="E91" s="220" t="n"/>
      <c r="L91" s="64">
        <f>IF($D91="","",SUM(M91:O91))</f>
        <v/>
      </c>
      <c r="M91" s="64">
        <f>IF($D91="","",COUNTIF(DESIGNAZIONI!M$8:M$1323,$D91))</f>
        <v/>
      </c>
      <c r="N91" s="64">
        <f>IF($D91="","",COUNTIF(DESIGNAZIONI!N$8:N$1323,$D91))</f>
        <v/>
      </c>
      <c r="O91" s="64">
        <f>IF($D91="","",COUNTIF(DESIGNAZIONI!O$8:O$1323,$D91))</f>
        <v/>
      </c>
    </row>
    <row r="92">
      <c r="C92" s="224" t="n"/>
      <c r="D92" s="13" t="inlineStr">
        <is>
          <t>MOREAU Katrin [A]</t>
        </is>
      </c>
      <c r="E92" s="220" t="n"/>
      <c r="L92" s="64">
        <f>IF($D92="","",SUM(M92:O92))</f>
        <v/>
      </c>
      <c r="M92" s="64">
        <f>IF($D92="","",COUNTIF(DESIGNAZIONI!M$8:M$1323,$D92))</f>
        <v/>
      </c>
      <c r="N92" s="64">
        <f>IF($D92="","",COUNTIF(DESIGNAZIONI!N$8:N$1323,$D92))</f>
        <v/>
      </c>
      <c r="O92" s="64">
        <f>IF($D92="","",COUNTIF(DESIGNAZIONI!O$8:O$1323,$D92))</f>
        <v/>
      </c>
    </row>
    <row r="93">
      <c r="C93" s="224" t="n"/>
      <c r="D93" s="13" t="inlineStr">
        <is>
          <t>ROTH Eva [A]</t>
        </is>
      </c>
      <c r="E93" s="220" t="n"/>
      <c r="L93" s="64">
        <f>IF($D93="","",SUM(M93:O93))</f>
        <v/>
      </c>
      <c r="M93" s="64">
        <f>IF($D93="","",COUNTIF(DESIGNAZIONI!M$8:M$1323,$D93))</f>
        <v/>
      </c>
      <c r="N93" s="64">
        <f>IF($D93="","",COUNTIF(DESIGNAZIONI!N$8:N$1323,$D93))</f>
        <v/>
      </c>
      <c r="O93" s="64">
        <f>IF($D93="","",COUNTIF(DESIGNAZIONI!O$8:O$1323,$D93))</f>
        <v/>
      </c>
    </row>
    <row r="94">
      <c r="C94" s="224" t="n"/>
      <c r="D94" s="13" t="inlineStr">
        <is>
          <t>BLANCHET Nicola [AA]</t>
        </is>
      </c>
      <c r="E94" s="220" t="n"/>
      <c r="L94" s="64">
        <f>IF($D94="","",SUM(M94:O94))</f>
        <v/>
      </c>
      <c r="M94" s="64">
        <f>IF($D94="","",COUNTIF(DESIGNAZIONI!M$8:M$1323,$D94))</f>
        <v/>
      </c>
      <c r="N94" s="64">
        <f>IF($D94="","",COUNTIF(DESIGNAZIONI!N$8:N$1323,$D94))</f>
        <v/>
      </c>
      <c r="O94" s="64">
        <f>IF($D94="","",COUNTIF(DESIGNAZIONI!O$8:O$1323,$D94))</f>
        <v/>
      </c>
    </row>
    <row r="95">
      <c r="C95" s="224" t="n"/>
      <c r="D95" s="13" t="inlineStr">
        <is>
          <t>MORETTO Jonas [AAt]</t>
        </is>
      </c>
      <c r="E95" s="220" t="n"/>
      <c r="L95" s="64">
        <f>IF($D95="","",SUM(M95:O95))</f>
        <v/>
      </c>
      <c r="M95" s="64">
        <f>IF($D95="","",COUNTIF(DESIGNAZIONI!M$8:M$1323,$D95))</f>
        <v/>
      </c>
      <c r="N95" s="64">
        <f>IF($D95="","",COUNTIF(DESIGNAZIONI!N$8:N$1323,$D95))</f>
        <v/>
      </c>
      <c r="O95" s="64">
        <f>IF($D95="","",COUNTIF(DESIGNAZIONI!O$8:O$1323,$D95))</f>
        <v/>
      </c>
    </row>
    <row r="96">
      <c r="C96" s="224" t="n"/>
      <c r="D96" s="13" t="inlineStr">
        <is>
          <t>GALLINI Elena [AAt]</t>
        </is>
      </c>
      <c r="E96" s="220" t="n"/>
      <c r="L96" s="64">
        <f>IF($D96="","",SUM(M96:O96))</f>
        <v/>
      </c>
      <c r="M96" s="64">
        <f>IF($D96="","",COUNTIF(DESIGNAZIONI!M$8:M$1323,$D96))</f>
        <v/>
      </c>
      <c r="N96" s="64">
        <f>IF($D96="","",COUNTIF(DESIGNAZIONI!N$8:N$1323,$D96))</f>
        <v/>
      </c>
      <c r="O96" s="64">
        <f>IF($D96="","",COUNTIF(DESIGNAZIONI!O$8:O$1323,$D96))</f>
        <v/>
      </c>
    </row>
    <row r="97">
      <c r="C97" s="224" t="n"/>
      <c r="D97" s="13" t="inlineStr">
        <is>
          <t>CONTARDI Mathilde [A]</t>
        </is>
      </c>
      <c r="E97" s="220" t="n"/>
      <c r="L97" s="64">
        <f>IF($D97="","",SUM(M97:O97))</f>
        <v/>
      </c>
      <c r="M97" s="64">
        <f>IF($D97="","",COUNTIF(DESIGNAZIONI!M$8:M$1323,$D97))</f>
        <v/>
      </c>
      <c r="N97" s="64">
        <f>IF($D97="","",COUNTIF(DESIGNAZIONI!N$8:N$1323,$D97))</f>
        <v/>
      </c>
      <c r="O97" s="64">
        <f>IF($D97="","",COUNTIF(DESIGNAZIONI!O$8:O$1323,$D97))</f>
        <v/>
      </c>
    </row>
    <row r="98">
      <c r="C98" s="224" t="n"/>
      <c r="D98" s="13" t="inlineStr">
        <is>
          <t>SANTORI Jonas [Aest]</t>
        </is>
      </c>
      <c r="E98" s="220" t="n"/>
      <c r="L98" s="64">
        <f>IF($D98="","",SUM(M98:O98))</f>
        <v/>
      </c>
      <c r="M98" s="64">
        <f>IF($D98="","",COUNTIF(DESIGNAZIONI!M$8:M$1323,$D98))</f>
        <v/>
      </c>
      <c r="N98" s="64">
        <f>IF($D98="","",COUNTIF(DESIGNAZIONI!N$8:N$1323,$D98))</f>
        <v/>
      </c>
      <c r="O98" s="64">
        <f>IF($D98="","",COUNTIF(DESIGNAZIONI!O$8:O$1323,$D98))</f>
        <v/>
      </c>
    </row>
    <row r="99">
      <c r="C99" s="224" t="n"/>
      <c r="D99" s="13" t="inlineStr">
        <is>
          <t>IGLESIAS Marco [AAt]</t>
        </is>
      </c>
      <c r="E99" s="220" t="n"/>
      <c r="L99" s="64">
        <f>IF($D99="","",SUM(M99:O99))</f>
        <v/>
      </c>
      <c r="M99" s="64">
        <f>IF($D99="","",COUNTIF(DESIGNAZIONI!M$8:M$1323,$D99))</f>
        <v/>
      </c>
      <c r="N99" s="64">
        <f>IF($D99="","",COUNTIF(DESIGNAZIONI!N$8:N$1323,$D99))</f>
        <v/>
      </c>
      <c r="O99" s="64">
        <f>IF($D99="","",COUNTIF(DESIGNAZIONI!O$8:O$1323,$D99))</f>
        <v/>
      </c>
    </row>
    <row r="100">
      <c r="C100" s="224" t="n"/>
      <c r="D100" s="13" t="inlineStr">
        <is>
          <t>CARON Elena [A]</t>
        </is>
      </c>
      <c r="E100" s="220" t="n"/>
      <c r="L100" s="64">
        <f>IF($D100="","",SUM(M100:O100))</f>
        <v/>
      </c>
      <c r="M100" s="64">
        <f>IF($D100="","",COUNTIF(DESIGNAZIONI!M$8:M$1323,$D100))</f>
        <v/>
      </c>
      <c r="N100" s="64">
        <f>IF($D100="","",COUNTIF(DESIGNAZIONI!N$8:N$1323,$D100))</f>
        <v/>
      </c>
      <c r="O100" s="64">
        <f>IF($D100="","",COUNTIF(DESIGNAZIONI!O$8:O$1323,$D100))</f>
        <v/>
      </c>
    </row>
    <row r="101">
      <c r="C101" s="224" t="n"/>
      <c r="D101" s="13" t="inlineStr">
        <is>
          <t>GAUTHIER Irene [Aest]</t>
        </is>
      </c>
      <c r="E101" s="220" t="n"/>
      <c r="L101" s="64">
        <f>IF($D101="","",SUM(M101:O101))</f>
        <v/>
      </c>
      <c r="M101" s="64">
        <f>IF($D101="","",COUNTIF(DESIGNAZIONI!M$8:M$1323,$D101))</f>
        <v/>
      </c>
      <c r="N101" s="64">
        <f>IF($D101="","",COUNTIF(DESIGNAZIONI!N$8:N$1323,$D101))</f>
        <v/>
      </c>
      <c r="O101" s="64">
        <f>IF($D101="","",COUNTIF(DESIGNAZIONI!O$8:O$1323,$D101))</f>
        <v/>
      </c>
    </row>
    <row r="102">
      <c r="C102" s="224" t="n"/>
      <c r="D102" s="13" t="inlineStr">
        <is>
          <t>HOFFMANN Filippo [AA]</t>
        </is>
      </c>
      <c r="E102" s="220" t="n"/>
      <c r="L102" s="64">
        <f>IF($D102="","",SUM(M102:O102))</f>
        <v/>
      </c>
      <c r="M102" s="64">
        <f>IF($D102="","",COUNTIF(DESIGNAZIONI!M$8:M$1323,$D102))</f>
        <v/>
      </c>
      <c r="N102" s="64">
        <f>IF($D102="","",COUNTIF(DESIGNAZIONI!N$8:N$1323,$D102))</f>
        <v/>
      </c>
      <c r="O102" s="64">
        <f>IF($D102="","",COUNTIF(DESIGNAZIONI!O$8:O$1323,$D102))</f>
        <v/>
      </c>
    </row>
    <row r="103">
      <c r="C103" s="224" t="n"/>
      <c r="D103" s="13" t="inlineStr">
        <is>
          <t>BIANCHELLI Vid [AAt]</t>
        </is>
      </c>
      <c r="E103" s="220" t="n"/>
      <c r="L103" s="64">
        <f>IF($D103="","",SUM(M103:O103))</f>
        <v/>
      </c>
      <c r="M103" s="64">
        <f>IF($D103="","",COUNTIF(DESIGNAZIONI!M$8:M$1323,$D103))</f>
        <v/>
      </c>
      <c r="N103" s="64">
        <f>IF($D103="","",COUNTIF(DESIGNAZIONI!N$8:N$1323,$D103))</f>
        <v/>
      </c>
      <c r="O103" s="64">
        <f>IF($D103="","",COUNTIF(DESIGNAZIONI!O$8:O$1323,$D103))</f>
        <v/>
      </c>
    </row>
    <row r="104">
      <c r="C104" s="224" t="n"/>
      <c r="D104" s="13" t="inlineStr">
        <is>
          <t>FOURNIER Ottavia [A]</t>
        </is>
      </c>
      <c r="E104" s="220" t="n"/>
      <c r="L104" s="64">
        <f>IF($D104="","",SUM(M104:O104))</f>
        <v/>
      </c>
      <c r="M104" s="64">
        <f>IF($D104="","",COUNTIF(DESIGNAZIONI!M$8:M$1323,$D104))</f>
        <v/>
      </c>
      <c r="N104" s="64">
        <f>IF($D104="","",COUNTIF(DESIGNAZIONI!N$8:N$1323,$D104))</f>
        <v/>
      </c>
      <c r="O104" s="64">
        <f>IF($D104="","",COUNTIF(DESIGNAZIONI!O$8:O$1323,$D104))</f>
        <v/>
      </c>
    </row>
    <row r="105">
      <c r="C105" s="224" t="n"/>
      <c r="D105" s="13" t="inlineStr">
        <is>
          <t>ENGEL Lea [AAt]</t>
        </is>
      </c>
      <c r="E105" s="220" t="n"/>
      <c r="L105" s="64">
        <f>IF($D105="","",SUM(M105:O105))</f>
        <v/>
      </c>
      <c r="M105" s="64">
        <f>IF($D105="","",COUNTIF(DESIGNAZIONI!M$8:M$1323,$D105))</f>
        <v/>
      </c>
      <c r="N105" s="64">
        <f>IF($D105="","",COUNTIF(DESIGNAZIONI!N$8:N$1323,$D105))</f>
        <v/>
      </c>
      <c r="O105" s="64">
        <f>IF($D105="","",COUNTIF(DESIGNAZIONI!O$8:O$1323,$D105))</f>
        <v/>
      </c>
    </row>
    <row r="106">
      <c r="C106" s="224" t="n"/>
      <c r="D106" s="13" t="inlineStr">
        <is>
          <t>MARCHIONI Miha [Aest]</t>
        </is>
      </c>
      <c r="E106" s="220" t="n"/>
      <c r="L106" s="64">
        <f>IF($D106="","",SUM(M106:O106))</f>
        <v/>
      </c>
      <c r="M106" s="64">
        <f>IF($D106="","",COUNTIF(DESIGNAZIONI!M$8:M$1323,$D106))</f>
        <v/>
      </c>
      <c r="N106" s="64">
        <f>IF($D106="","",COUNTIF(DESIGNAZIONI!N$8:N$1323,$D106))</f>
        <v/>
      </c>
      <c r="O106" s="64">
        <f>IF($D106="","",COUNTIF(DESIGNAZIONI!O$8:O$1323,$D106))</f>
        <v/>
      </c>
    </row>
    <row r="107">
      <c r="C107" s="224" t="n"/>
      <c r="D107" s="13" t="inlineStr">
        <is>
          <t>OBLAK Jonas [AAt]</t>
        </is>
      </c>
      <c r="E107" s="220" t="n"/>
      <c r="L107" s="64">
        <f>IF($D107="","",SUM(M107:O107))</f>
        <v/>
      </c>
      <c r="M107" s="64">
        <f>IF($D107="","",COUNTIF(DESIGNAZIONI!M$8:M$1323,$D107))</f>
        <v/>
      </c>
      <c r="N107" s="64">
        <f>IF($D107="","",COUNTIF(DESIGNAZIONI!N$8:N$1323,$D107))</f>
        <v/>
      </c>
      <c r="O107" s="64">
        <f>IF($D107="","",COUNTIF(DESIGNAZIONI!O$8:O$1323,$D107))</f>
        <v/>
      </c>
    </row>
    <row r="108">
      <c r="C108" s="224" t="n"/>
      <c r="D108" s="13" t="inlineStr">
        <is>
          <t>KRUGER Lea [AA]</t>
        </is>
      </c>
      <c r="E108" s="220" t="n"/>
      <c r="L108" s="64">
        <f>IF($D108="","",SUM(M108:O108))</f>
        <v/>
      </c>
      <c r="M108" s="64">
        <f>IF($D108="","",COUNTIF(DESIGNAZIONI!M$8:M$1323,$D108))</f>
        <v/>
      </c>
      <c r="N108" s="64">
        <f>IF($D108="","",COUNTIF(DESIGNAZIONI!N$8:N$1323,$D108))</f>
        <v/>
      </c>
      <c r="O108" s="64">
        <f>IF($D108="","",COUNTIF(DESIGNAZIONI!O$8:O$1323,$D108))</f>
        <v/>
      </c>
    </row>
    <row r="109">
      <c r="C109" s="224" t="n"/>
      <c r="D109" s="13" t="inlineStr">
        <is>
          <t>NOVAK Mathilde [Aest]</t>
        </is>
      </c>
      <c r="E109" s="220" t="n"/>
      <c r="L109" s="64">
        <f>IF($D109="","",SUM(M109:O109))</f>
        <v/>
      </c>
      <c r="M109" s="64">
        <f>IF($D109="","",COUNTIF(DESIGNAZIONI!M$8:M$1323,$D109))</f>
        <v/>
      </c>
      <c r="N109" s="64">
        <f>IF($D109="","",COUNTIF(DESIGNAZIONI!N$8:N$1323,$D109))</f>
        <v/>
      </c>
      <c r="O109" s="64">
        <f>IF($D109="","",COUNTIF(DESIGNAZIONI!O$8:O$1323,$D109))</f>
        <v/>
      </c>
    </row>
    <row r="110">
      <c r="C110" s="224" t="n"/>
      <c r="D110" s="13" t="inlineStr">
        <is>
          <t>ENGEL Valerie [Aest]</t>
        </is>
      </c>
      <c r="E110" s="220" t="n"/>
      <c r="L110" s="64">
        <f>IF($D110="","",SUM(M110:O110))</f>
        <v/>
      </c>
      <c r="M110" s="64">
        <f>IF($D110="","",COUNTIF(DESIGNAZIONI!M$8:M$1323,$D110))</f>
        <v/>
      </c>
      <c r="N110" s="64">
        <f>IF($D110="","",COUNTIF(DESIGNAZIONI!N$8:N$1323,$D110))</f>
        <v/>
      </c>
      <c r="O110" s="64">
        <f>IF($D110="","",COUNTIF(DESIGNAZIONI!O$8:O$1323,$D110))</f>
        <v/>
      </c>
    </row>
    <row r="111">
      <c r="C111" s="224" t="n"/>
      <c r="D111" s="13" t="inlineStr">
        <is>
          <t>GAUTHIER Elena [AA]</t>
        </is>
      </c>
      <c r="E111" s="220" t="n"/>
      <c r="L111" s="64">
        <f>IF($D111="","",SUM(M111:O111))</f>
        <v/>
      </c>
      <c r="M111" s="64">
        <f>IF($D111="","",COUNTIF(DESIGNAZIONI!M$8:M$1323,$D111))</f>
        <v/>
      </c>
      <c r="N111" s="64">
        <f>IF($D111="","",COUNTIF(DESIGNAZIONI!N$8:N$1323,$D111))</f>
        <v/>
      </c>
      <c r="O111" s="64">
        <f>IF($D111="","",COUNTIF(DESIGNAZIONI!O$8:O$1323,$D111))</f>
        <v/>
      </c>
    </row>
    <row r="112">
      <c r="C112" s="224" t="n"/>
      <c r="D112" s="13" t="inlineStr">
        <is>
          <t>IGLESIAS Lukas [Aest]</t>
        </is>
      </c>
      <c r="E112" s="220" t="n"/>
      <c r="L112" s="64">
        <f>IF($D112="","",SUM(M112:O112))</f>
        <v/>
      </c>
      <c r="M112" s="64">
        <f>IF($D112="","",COUNTIF(DESIGNAZIONI!M$8:M$1323,$D112))</f>
        <v/>
      </c>
      <c r="N112" s="64">
        <f>IF($D112="","",COUNTIF(DESIGNAZIONI!N$8:N$1323,$D112))</f>
        <v/>
      </c>
      <c r="O112" s="64">
        <f>IF($D112="","",COUNTIF(DESIGNAZIONI!O$8:O$1323,$D112))</f>
        <v/>
      </c>
    </row>
    <row r="113">
      <c r="C113" s="224" t="n"/>
      <c r="D113" s="13" t="inlineStr">
        <is>
          <t>CARON Greta [AA]</t>
        </is>
      </c>
      <c r="E113" s="220" t="n"/>
      <c r="L113" s="64">
        <f>IF($D113="","",SUM(M113:O113))</f>
        <v/>
      </c>
      <c r="M113" s="64">
        <f>IF($D113="","",COUNTIF(DESIGNAZIONI!M$8:M$1323,$D113))</f>
        <v/>
      </c>
      <c r="N113" s="64">
        <f>IF($D113="","",COUNTIF(DESIGNAZIONI!N$8:N$1323,$D113))</f>
        <v/>
      </c>
      <c r="O113" s="64">
        <f>IF($D113="","",COUNTIF(DESIGNAZIONI!O$8:O$1323,$D113))</f>
        <v/>
      </c>
    </row>
    <row r="114">
      <c r="C114" s="224" t="n"/>
      <c r="D114" s="13" t="inlineStr">
        <is>
          <t>SEVER Tommaso [AAt]</t>
        </is>
      </c>
      <c r="E114" s="220" t="n"/>
      <c r="L114" s="64">
        <f>IF($D114="","",SUM(M114:O114))</f>
        <v/>
      </c>
      <c r="M114" s="64">
        <f>IF($D114="","",COUNTIF(DESIGNAZIONI!M$8:M$1323,$D114))</f>
        <v/>
      </c>
      <c r="N114" s="64">
        <f>IF($D114="","",COUNTIF(DESIGNAZIONI!N$8:N$1323,$D114))</f>
        <v/>
      </c>
      <c r="O114" s="64">
        <f>IF($D114="","",COUNTIF(DESIGNAZIONI!O$8:O$1323,$D114))</f>
        <v/>
      </c>
    </row>
    <row r="115">
      <c r="C115" s="224" t="n"/>
      <c r="D115" s="13" t="inlineStr">
        <is>
          <t>GAUTHIER Noemi [AA]</t>
        </is>
      </c>
      <c r="E115" s="220" t="n"/>
      <c r="L115" s="64">
        <f>IF($D115="","",SUM(M115:O115))</f>
        <v/>
      </c>
      <c r="M115" s="64">
        <f>IF($D115="","",COUNTIF(DESIGNAZIONI!M$8:M$1323,$D115))</f>
        <v/>
      </c>
      <c r="N115" s="64">
        <f>IF($D115="","",COUNTIF(DESIGNAZIONI!N$8:N$1323,$D115))</f>
        <v/>
      </c>
      <c r="O115" s="64">
        <f>IF($D115="","",COUNTIF(DESIGNAZIONI!O$8:O$1323,$D115))</f>
        <v/>
      </c>
    </row>
    <row r="116">
      <c r="C116" s="224" t="n"/>
      <c r="D116" s="13" t="inlineStr">
        <is>
          <t>ENGEL Noemi [Aest]</t>
        </is>
      </c>
      <c r="E116" s="220" t="n"/>
      <c r="L116" s="64">
        <f>IF($D116="","",SUM(M116:O116))</f>
        <v/>
      </c>
      <c r="M116" s="64">
        <f>IF($D116="","",COUNTIF(DESIGNAZIONI!M$8:M$1323,$D116))</f>
        <v/>
      </c>
      <c r="N116" s="64">
        <f>IF($D116="","",COUNTIF(DESIGNAZIONI!N$8:N$1323,$D116))</f>
        <v/>
      </c>
      <c r="O116" s="64">
        <f>IF($D116="","",COUNTIF(DESIGNAZIONI!O$8:O$1323,$D116))</f>
        <v/>
      </c>
    </row>
    <row r="117">
      <c r="C117" s="224" t="n"/>
      <c r="D117" s="13" t="inlineStr">
        <is>
          <t>MODIC Gaelle [AA]</t>
        </is>
      </c>
      <c r="E117" s="220" t="n"/>
      <c r="L117" s="64">
        <f>IF($D117="","",SUM(M117:O117))</f>
        <v/>
      </c>
      <c r="M117" s="64">
        <f>IF($D117="","",COUNTIF(DESIGNAZIONI!M$8:M$1323,$D117))</f>
        <v/>
      </c>
      <c r="N117" s="64">
        <f>IF($D117="","",COUNTIF(DESIGNAZIONI!N$8:N$1323,$D117))</f>
        <v/>
      </c>
      <c r="O117" s="64">
        <f>IF($D117="","",COUNTIF(DESIGNAZIONI!O$8:O$1323,$D117))</f>
        <v/>
      </c>
    </row>
    <row r="118">
      <c r="C118" s="224" t="n"/>
      <c r="D118" s="13" t="inlineStr">
        <is>
          <t>CAMPOS Ottavia [A]</t>
        </is>
      </c>
      <c r="E118" s="220" t="n"/>
      <c r="L118" s="64">
        <f>IF($D118="","",SUM(M118:O118))</f>
        <v/>
      </c>
      <c r="M118" s="64">
        <f>IF($D118="","",COUNTIF(DESIGNAZIONI!M$8:M$1323,$D118))</f>
        <v/>
      </c>
      <c r="N118" s="64">
        <f>IF($D118="","",COUNTIF(DESIGNAZIONI!N$8:N$1323,$D118))</f>
        <v/>
      </c>
      <c r="O118" s="64">
        <f>IF($D118="","",COUNTIF(DESIGNAZIONI!O$8:O$1323,$D118))</f>
        <v/>
      </c>
    </row>
    <row r="119">
      <c r="C119" s="224" t="n"/>
      <c r="D119" s="13" t="inlineStr">
        <is>
          <t>BRANDT Filippo [AAt]</t>
        </is>
      </c>
      <c r="E119" s="220" t="n"/>
      <c r="L119" s="64">
        <f>IF($D119="","",SUM(M119:O119))</f>
        <v/>
      </c>
      <c r="M119" s="64">
        <f>IF($D119="","",COUNTIF(DESIGNAZIONI!M$8:M$1323,$D119))</f>
        <v/>
      </c>
      <c r="N119" s="64">
        <f>IF($D119="","",COUNTIF(DESIGNAZIONI!N$8:N$1323,$D119))</f>
        <v/>
      </c>
      <c r="O119" s="64">
        <f>IF($D119="","",COUNTIF(DESIGNAZIONI!O$8:O$1323,$D119))</f>
        <v/>
      </c>
    </row>
    <row r="120">
      <c r="C120" s="224" t="n"/>
      <c r="D120" s="13" t="inlineStr">
        <is>
          <t>ROMERO Matteo [Aest]</t>
        </is>
      </c>
      <c r="E120" s="220" t="n"/>
      <c r="L120" s="64">
        <f>IF($D120="","",SUM(M120:O120))</f>
        <v/>
      </c>
      <c r="M120" s="64">
        <f>IF($D120="","",COUNTIF(DESIGNAZIONI!M$8:M$1323,$D120))</f>
        <v/>
      </c>
      <c r="N120" s="64">
        <f>IF($D120="","",COUNTIF(DESIGNAZIONI!N$8:N$1323,$D120))</f>
        <v/>
      </c>
      <c r="O120" s="64">
        <f>IF($D120="","",COUNTIF(DESIGNAZIONI!O$8:O$1323,$D120))</f>
        <v/>
      </c>
    </row>
    <row r="121">
      <c r="C121" s="224" t="n"/>
      <c r="D121" s="13" t="inlineStr">
        <is>
          <t>FUENTES Marta [Aest]</t>
        </is>
      </c>
      <c r="E121" s="220" t="n"/>
      <c r="L121" s="64">
        <f>IF($D121="","",SUM(M121:O121))</f>
        <v/>
      </c>
      <c r="M121" s="64">
        <f>IF($D121="","",COUNTIF(DESIGNAZIONI!M$8:M$1323,$D121))</f>
        <v/>
      </c>
      <c r="N121" s="64">
        <f>IF($D121="","",COUNTIF(DESIGNAZIONI!N$8:N$1323,$D121))</f>
        <v/>
      </c>
      <c r="O121" s="64">
        <f>IF($D121="","",COUNTIF(DESIGNAZIONI!O$8:O$1323,$D121))</f>
        <v/>
      </c>
    </row>
    <row r="122">
      <c r="C122" s="224" t="n"/>
      <c r="D122" s="13" t="inlineStr">
        <is>
          <t>BIANCHELLI Tommaso [A]</t>
        </is>
      </c>
      <c r="E122" s="220" t="n"/>
      <c r="L122" s="64">
        <f>IF($D122="","",SUM(M122:O122))</f>
        <v/>
      </c>
      <c r="M122" s="64">
        <f>IF($D122="","",COUNTIF(DESIGNAZIONI!M$8:M$1323,$D122))</f>
        <v/>
      </c>
      <c r="N122" s="64">
        <f>IF($D122="","",COUNTIF(DESIGNAZIONI!N$8:N$1323,$D122))</f>
        <v/>
      </c>
      <c r="O122" s="64">
        <f>IF($D122="","",COUNTIF(DESIGNAZIONI!O$8:O$1323,$D122))</f>
        <v/>
      </c>
    </row>
    <row r="123">
      <c r="C123" s="224" t="n"/>
      <c r="D123" s="13" t="inlineStr">
        <is>
          <t>FOURNIER Lucia [AA]</t>
        </is>
      </c>
      <c r="E123" s="220" t="n"/>
      <c r="L123" s="64">
        <f>IF($D123="","",SUM(M123:O123))</f>
        <v/>
      </c>
      <c r="M123" s="64">
        <f>IF($D123="","",COUNTIF(DESIGNAZIONI!M$8:M$1323,$D123))</f>
        <v/>
      </c>
      <c r="N123" s="64">
        <f>IF($D123="","",COUNTIF(DESIGNAZIONI!N$8:N$1323,$D123))</f>
        <v/>
      </c>
      <c r="O123" s="64">
        <f>IF($D123="","",COUNTIF(DESIGNAZIONI!O$8:O$1323,$D123))</f>
        <v/>
      </c>
    </row>
    <row r="124">
      <c r="C124" s="224" t="n"/>
      <c r="D124" s="13" t="inlineStr">
        <is>
          <t>PRADO Marco [AAt]</t>
        </is>
      </c>
      <c r="E124" s="220" t="n"/>
      <c r="L124" s="64">
        <f>IF($D124="","",SUM(M124:O124))</f>
        <v/>
      </c>
      <c r="M124" s="64">
        <f>IF($D124="","",COUNTIF(DESIGNAZIONI!M$8:M$1323,$D124))</f>
        <v/>
      </c>
      <c r="N124" s="64">
        <f>IF($D124="","",COUNTIF(DESIGNAZIONI!N$8:N$1323,$D124))</f>
        <v/>
      </c>
      <c r="O124" s="64">
        <f>IF($D124="","",COUNTIF(DESIGNAZIONI!O$8:O$1323,$D124))</f>
        <v/>
      </c>
    </row>
    <row r="125">
      <c r="C125" s="224" t="n"/>
      <c r="D125" s="13" t="inlineStr">
        <is>
          <t>ENGEL Diego [A]</t>
        </is>
      </c>
      <c r="E125" s="220" t="n"/>
      <c r="L125" s="64">
        <f>IF($D125="","",SUM(M125:O125))</f>
        <v/>
      </c>
      <c r="M125" s="64">
        <f>IF($D125="","",COUNTIF(DESIGNAZIONI!M$8:M$1323,$D125))</f>
        <v/>
      </c>
      <c r="N125" s="64">
        <f>IF($D125="","",COUNTIF(DESIGNAZIONI!N$8:N$1323,$D125))</f>
        <v/>
      </c>
      <c r="O125" s="64">
        <f>IF($D125="","",COUNTIF(DESIGNAZIONI!O$8:O$1323,$D125))</f>
        <v/>
      </c>
    </row>
    <row r="126">
      <c r="C126" s="224" t="n"/>
      <c r="D126" s="13" t="inlineStr">
        <is>
          <t>LEFEVRE Sofia [AAt]</t>
        </is>
      </c>
      <c r="E126" s="220" t="n"/>
      <c r="L126" s="64">
        <f>IF($D126="","",SUM(M126:O126))</f>
        <v/>
      </c>
      <c r="M126" s="64">
        <f>IF($D126="","",COUNTIF(DESIGNAZIONI!M$8:M$1323,$D126))</f>
        <v/>
      </c>
      <c r="N126" s="64">
        <f>IF($D126="","",COUNTIF(DESIGNAZIONI!N$8:N$1323,$D126))</f>
        <v/>
      </c>
      <c r="O126" s="64">
        <f>IF($D126="","",COUNTIF(DESIGNAZIONI!O$8:O$1323,$D126))</f>
        <v/>
      </c>
    </row>
    <row r="127">
      <c r="C127" s="224" t="n"/>
      <c r="D127" s="13" t="inlineStr">
        <is>
          <t>LEROUX Elena [AA]</t>
        </is>
      </c>
      <c r="E127" s="220" t="n"/>
      <c r="L127" s="64">
        <f>IF($D127="","",SUM(M127:O127))</f>
        <v/>
      </c>
      <c r="M127" s="64">
        <f>IF($D127="","",COUNTIF(DESIGNAZIONI!M$8:M$1323,$D127))</f>
        <v/>
      </c>
      <c r="N127" s="64">
        <f>IF($D127="","",COUNTIF(DESIGNAZIONI!N$8:N$1323,$D127))</f>
        <v/>
      </c>
      <c r="O127" s="64">
        <f>IF($D127="","",COUNTIF(DESIGNAZIONI!O$8:O$1323,$D127))</f>
        <v/>
      </c>
    </row>
    <row r="128">
      <c r="C128" s="224" t="n"/>
      <c r="D128" s="13" t="inlineStr">
        <is>
          <t>SOLER Marta [AAt]</t>
        </is>
      </c>
      <c r="E128" s="220" t="n"/>
      <c r="L128" s="64">
        <f>IF($D128="","",SUM(M128:O128))</f>
        <v/>
      </c>
      <c r="M128" s="64">
        <f>IF($D128="","",COUNTIF(DESIGNAZIONI!M$8:M$1323,$D128))</f>
        <v/>
      </c>
      <c r="N128" s="64">
        <f>IF($D128="","",COUNTIF(DESIGNAZIONI!N$8:N$1323,$D128))</f>
        <v/>
      </c>
      <c r="O128" s="64">
        <f>IF($D128="","",COUNTIF(DESIGNAZIONI!O$8:O$1323,$D128))</f>
        <v/>
      </c>
    </row>
    <row r="129">
      <c r="C129" s="224" t="n"/>
      <c r="D129" s="13" t="inlineStr">
        <is>
          <t>LANGER Ilaria [Aest]</t>
        </is>
      </c>
      <c r="E129" s="220" t="n"/>
      <c r="L129" s="64">
        <f>IF($D129="","",SUM(M129:O129))</f>
        <v/>
      </c>
      <c r="M129" s="64">
        <f>IF($D129="","",COUNTIF(DESIGNAZIONI!M$8:M$1323,$D129))</f>
        <v/>
      </c>
      <c r="N129" s="64">
        <f>IF($D129="","",COUNTIF(DESIGNAZIONI!N$8:N$1323,$D129))</f>
        <v/>
      </c>
      <c r="O129" s="64">
        <f>IF($D129="","",COUNTIF(DESIGNAZIONI!O$8:O$1323,$D129))</f>
        <v/>
      </c>
    </row>
    <row r="130">
      <c r="C130" s="224" t="n"/>
      <c r="D130" s="13" t="inlineStr">
        <is>
          <t>AUBERT Gaelle [AAt]</t>
        </is>
      </c>
      <c r="E130" s="220" t="n"/>
      <c r="L130" s="64">
        <f>IF($D130="","",SUM(M130:O130))</f>
        <v/>
      </c>
      <c r="M130" s="64">
        <f>IF($D130="","",COUNTIF(DESIGNAZIONI!M$8:M$1323,$D130))</f>
        <v/>
      </c>
      <c r="N130" s="64">
        <f>IF($D130="","",COUNTIF(DESIGNAZIONI!N$8:N$1323,$D130))</f>
        <v/>
      </c>
      <c r="O130" s="64">
        <f>IF($D130="","",COUNTIF(DESIGNAZIONI!O$8:O$1323,$D130))</f>
        <v/>
      </c>
    </row>
    <row r="131">
      <c r="C131" s="224" t="n"/>
      <c r="D131" s="13" t="inlineStr">
        <is>
          <t>VIDMAR Elena [AAt]</t>
        </is>
      </c>
      <c r="E131" s="220" t="n"/>
      <c r="L131" s="64">
        <f>IF($D131="","",SUM(M131:O131))</f>
        <v/>
      </c>
      <c r="M131" s="64">
        <f>IF($D131="","",COUNTIF(DESIGNAZIONI!M$8:M$1323,$D131))</f>
        <v/>
      </c>
      <c r="N131" s="64">
        <f>IF($D131="","",COUNTIF(DESIGNAZIONI!N$8:N$1323,$D131))</f>
        <v/>
      </c>
      <c r="O131" s="64">
        <f>IF($D131="","",COUNTIF(DESIGNAZIONI!O$8:O$1323,$D131))</f>
        <v/>
      </c>
    </row>
    <row r="132">
      <c r="C132" s="224" t="n"/>
      <c r="D132" s="13" t="inlineStr">
        <is>
          <t>CONTARDI Lucia [AA]</t>
        </is>
      </c>
      <c r="E132" s="220" t="n"/>
      <c r="L132" s="64">
        <f>IF($D132="","",SUM(M132:O132))</f>
        <v/>
      </c>
      <c r="M132" s="64">
        <f>IF($D132="","",COUNTIF(DESIGNAZIONI!M$8:M$1323,$D132))</f>
        <v/>
      </c>
      <c r="N132" s="64">
        <f>IF($D132="","",COUNTIF(DESIGNAZIONI!N$8:N$1323,$D132))</f>
        <v/>
      </c>
      <c r="O132" s="64">
        <f>IF($D132="","",COUNTIF(DESIGNAZIONI!O$8:O$1323,$D132))</f>
        <v/>
      </c>
    </row>
    <row r="133">
      <c r="C133" s="224" t="n"/>
      <c r="D133" s="13" t="inlineStr">
        <is>
          <t>NADAUD Greta [A]</t>
        </is>
      </c>
      <c r="E133" s="220" t="n"/>
      <c r="L133" s="64">
        <f>IF($D133="","",SUM(M133:O133))</f>
        <v/>
      </c>
      <c r="M133" s="64">
        <f>IF($D133="","",COUNTIF(DESIGNAZIONI!M$8:M$1323,$D133))</f>
        <v/>
      </c>
      <c r="N133" s="64">
        <f>IF($D133="","",COUNTIF(DESIGNAZIONI!N$8:N$1323,$D133))</f>
        <v/>
      </c>
      <c r="O133" s="64">
        <f>IF($D133="","",COUNTIF(DESIGNAZIONI!O$8:O$1323,$D133))</f>
        <v/>
      </c>
    </row>
    <row r="134">
      <c r="C134" s="224" t="n"/>
      <c r="D134" s="13" t="inlineStr">
        <is>
          <t>PETERLIN Mathilde [Aest]</t>
        </is>
      </c>
      <c r="E134" s="220" t="n"/>
      <c r="L134" s="64">
        <f>IF($D134="","",SUM(M134:O134))</f>
        <v/>
      </c>
      <c r="M134" s="64">
        <f>IF($D134="","",COUNTIF(DESIGNAZIONI!M$8:M$1323,$D134))</f>
        <v/>
      </c>
      <c r="N134" s="64">
        <f>IF($D134="","",COUNTIF(DESIGNAZIONI!N$8:N$1323,$D134))</f>
        <v/>
      </c>
      <c r="O134" s="64">
        <f>IF($D134="","",COUNTIF(DESIGNAZIONI!O$8:O$1323,$D134))</f>
        <v/>
      </c>
    </row>
    <row r="135">
      <c r="C135" s="224" t="n"/>
      <c r="D135" s="13" t="inlineStr">
        <is>
          <t>GALLINI Lukas [AA]</t>
        </is>
      </c>
      <c r="E135" s="220" t="n"/>
      <c r="L135" s="64">
        <f>IF($D135="","",SUM(M135:O135))</f>
        <v/>
      </c>
      <c r="M135" s="64">
        <f>IF($D135="","",COUNTIF(DESIGNAZIONI!M$8:M$1323,$D135))</f>
        <v/>
      </c>
      <c r="N135" s="64">
        <f>IF($D135="","",COUNTIF(DESIGNAZIONI!N$8:N$1323,$D135))</f>
        <v/>
      </c>
      <c r="O135" s="64">
        <f>IF($D135="","",COUNTIF(DESIGNAZIONI!O$8:O$1323,$D135))</f>
        <v/>
      </c>
    </row>
    <row r="136">
      <c r="C136" s="224" t="n"/>
      <c r="D136" s="13" t="inlineStr">
        <is>
          <t>PETERLIN Filippo [AAt]</t>
        </is>
      </c>
      <c r="E136" s="220" t="n"/>
      <c r="L136" s="64">
        <f>IF($D136="","",SUM(M136:O136))</f>
        <v/>
      </c>
      <c r="M136" s="64">
        <f>IF($D136="","",COUNTIF(DESIGNAZIONI!M$8:M$1323,$D136))</f>
        <v/>
      </c>
      <c r="N136" s="64">
        <f>IF($D136="","",COUNTIF(DESIGNAZIONI!N$8:N$1323,$D136))</f>
        <v/>
      </c>
      <c r="O136" s="64">
        <f>IF($D136="","",COUNTIF(DESIGNAZIONI!O$8:O$1323,$D136))</f>
        <v/>
      </c>
    </row>
    <row r="137">
      <c r="C137" s="224" t="n"/>
      <c r="D137" s="13" t="inlineStr">
        <is>
          <t>PELLEGRI Paolo [AAt]</t>
        </is>
      </c>
      <c r="E137" s="220" t="n"/>
      <c r="L137" s="64">
        <f>IF($D137="","",SUM(M137:O137))</f>
        <v/>
      </c>
      <c r="M137" s="64">
        <f>IF($D137="","",COUNTIF(DESIGNAZIONI!M$8:M$1323,$D137))</f>
        <v/>
      </c>
      <c r="N137" s="64">
        <f>IF($D137="","",COUNTIF(DESIGNAZIONI!N$8:N$1323,$D137))</f>
        <v/>
      </c>
      <c r="O137" s="64">
        <f>IF($D137="","",COUNTIF(DESIGNAZIONI!O$8:O$1323,$D137))</f>
        <v/>
      </c>
    </row>
    <row r="138">
      <c r="C138" s="224" t="n"/>
      <c r="D138" s="13" t="inlineStr">
        <is>
          <t>NAVARRO Katrin [A]</t>
        </is>
      </c>
      <c r="E138" s="220" t="n"/>
      <c r="L138" s="64">
        <f>IF($D138="","",SUM(M138:O138))</f>
        <v/>
      </c>
      <c r="M138" s="64">
        <f>IF($D138="","",COUNTIF(DESIGNAZIONI!M$8:M$1323,$D138))</f>
        <v/>
      </c>
      <c r="N138" s="64">
        <f>IF($D138="","",COUNTIF(DESIGNAZIONI!N$8:N$1323,$D138))</f>
        <v/>
      </c>
      <c r="O138" s="64">
        <f>IF($D138="","",COUNTIF(DESIGNAZIONI!O$8:O$1323,$D138))</f>
        <v/>
      </c>
    </row>
    <row r="139">
      <c r="C139" s="224" t="n"/>
      <c r="D139" s="13" t="inlineStr">
        <is>
          <t>CASTILLO Jonas [AA]</t>
        </is>
      </c>
      <c r="E139" s="220" t="n"/>
      <c r="L139" s="64">
        <f>IF($D139="","",SUM(M139:O139))</f>
        <v/>
      </c>
      <c r="M139" s="64">
        <f>IF($D139="","",COUNTIF(DESIGNAZIONI!M$8:M$1323,$D139))</f>
        <v/>
      </c>
      <c r="N139" s="64">
        <f>IF($D139="","",COUNTIF(DESIGNAZIONI!N$8:N$1323,$D139))</f>
        <v/>
      </c>
      <c r="O139" s="64">
        <f>IF($D139="","",COUNTIF(DESIGNAZIONI!O$8:O$1323,$D139))</f>
        <v/>
      </c>
    </row>
    <row r="140">
      <c r="C140" s="224" t="n"/>
      <c r="D140" s="13" t="inlineStr">
        <is>
          <t>BLANCHET Diego [A]</t>
        </is>
      </c>
      <c r="E140" s="220" t="n"/>
      <c r="L140" s="64">
        <f>IF($D140="","",SUM(M140:O140))</f>
        <v/>
      </c>
      <c r="M140" s="64">
        <f>IF($D140="","",COUNTIF(DESIGNAZIONI!M$8:M$1323,$D140))</f>
        <v/>
      </c>
      <c r="N140" s="64">
        <f>IF($D140="","",COUNTIF(DESIGNAZIONI!N$8:N$1323,$D140))</f>
        <v/>
      </c>
      <c r="O140" s="64">
        <f>IF($D140="","",COUNTIF(DESIGNAZIONI!O$8:O$1323,$D140))</f>
        <v/>
      </c>
    </row>
    <row r="141">
      <c r="C141" s="224" t="n"/>
      <c r="D141" s="13" t="inlineStr">
        <is>
          <t>MODIC Valerie [A]</t>
        </is>
      </c>
      <c r="E141" s="220" t="n"/>
      <c r="L141" s="64">
        <f>IF($D141="","",SUM(M141:O141))</f>
        <v/>
      </c>
      <c r="M141" s="64">
        <f>IF($D141="","",COUNTIF(DESIGNAZIONI!M$8:M$1323,$D141))</f>
        <v/>
      </c>
      <c r="N141" s="64">
        <f>IF($D141="","",COUNTIF(DESIGNAZIONI!N$8:N$1323,$D141))</f>
        <v/>
      </c>
      <c r="O141" s="64">
        <f>IF($D141="","",COUNTIF(DESIGNAZIONI!O$8:O$1323,$D141))</f>
        <v/>
      </c>
    </row>
    <row r="142">
      <c r="C142" s="224" t="n"/>
      <c r="D142" s="13" t="inlineStr">
        <is>
          <t>FUENTES Valerie [AAt]</t>
        </is>
      </c>
      <c r="E142" s="220" t="n"/>
      <c r="L142" s="64">
        <f>IF($D142="","",SUM(M142:O142))</f>
        <v/>
      </c>
      <c r="M142" s="64">
        <f>IF($D142="","",COUNTIF(DESIGNAZIONI!M$8:M$1323,$D142))</f>
        <v/>
      </c>
      <c r="N142" s="64">
        <f>IF($D142="","",COUNTIF(DESIGNAZIONI!N$8:N$1323,$D142))</f>
        <v/>
      </c>
      <c r="O142" s="64">
        <f>IF($D142="","",COUNTIF(DESIGNAZIONI!O$8:O$1323,$D142))</f>
        <v/>
      </c>
    </row>
    <row r="143">
      <c r="C143" s="224" t="n"/>
      <c r="D143" s="13" t="inlineStr">
        <is>
          <t>HOFFMANN Anja [A]</t>
        </is>
      </c>
      <c r="E143" s="220" t="n"/>
      <c r="L143" s="64">
        <f>IF($D143="","",SUM(M143:O143))</f>
        <v/>
      </c>
      <c r="M143" s="64">
        <f>IF($D143="","",COUNTIF(DESIGNAZIONI!M$8:M$1323,$D143))</f>
        <v/>
      </c>
      <c r="N143" s="64">
        <f>IF($D143="","",COUNTIF(DESIGNAZIONI!N$8:N$1323,$D143))</f>
        <v/>
      </c>
      <c r="O143" s="64">
        <f>IF($D143="","",COUNTIF(DESIGNAZIONI!O$8:O$1323,$D143))</f>
        <v/>
      </c>
    </row>
    <row r="144">
      <c r="C144" s="224" t="n"/>
      <c r="D144" s="13" t="inlineStr">
        <is>
          <t>VOGEL Andrea [A]</t>
        </is>
      </c>
      <c r="E144" s="220" t="n"/>
      <c r="L144" s="64">
        <f>IF($D144="","",SUM(M144:O144))</f>
        <v/>
      </c>
      <c r="M144" s="64">
        <f>IF($D144="","",COUNTIF(DESIGNAZIONI!M$8:M$1323,$D144))</f>
        <v/>
      </c>
      <c r="N144" s="64">
        <f>IF($D144="","",COUNTIF(DESIGNAZIONI!N$8:N$1323,$D144))</f>
        <v/>
      </c>
      <c r="O144" s="64">
        <f>IF($D144="","",COUNTIF(DESIGNAZIONI!O$8:O$1323,$D144))</f>
        <v/>
      </c>
    </row>
    <row r="145">
      <c r="C145" s="224" t="n"/>
      <c r="D145" s="13" t="inlineStr">
        <is>
          <t>BLANCO Ottavia [AA]</t>
        </is>
      </c>
      <c r="E145" s="220" t="n"/>
      <c r="L145" s="64">
        <f>IF($D145="","",SUM(M145:O145))</f>
        <v/>
      </c>
      <c r="M145" s="64">
        <f>IF($D145="","",COUNTIF(DESIGNAZIONI!M$8:M$1323,$D145))</f>
        <v/>
      </c>
      <c r="N145" s="64">
        <f>IF($D145="","",COUNTIF(DESIGNAZIONI!N$8:N$1323,$D145))</f>
        <v/>
      </c>
      <c r="O145" s="64">
        <f>IF($D145="","",COUNTIF(DESIGNAZIONI!O$8:O$1323,$D145))</f>
        <v/>
      </c>
    </row>
    <row r="146">
      <c r="C146" s="224" t="n"/>
      <c r="D146" s="13" t="inlineStr">
        <is>
          <t>WEBER Nicola [AAt]</t>
        </is>
      </c>
      <c r="E146" s="220" t="n"/>
      <c r="L146" s="64">
        <f>IF($D146="","",SUM(M146:O146))</f>
        <v/>
      </c>
      <c r="M146" s="64">
        <f>IF($D146="","",COUNTIF(DESIGNAZIONI!M$8:M$1323,$D146))</f>
        <v/>
      </c>
      <c r="N146" s="64">
        <f>IF($D146="","",COUNTIF(DESIGNAZIONI!N$8:N$1323,$D146))</f>
        <v/>
      </c>
      <c r="O146" s="64">
        <f>IF($D146="","",COUNTIF(DESIGNAZIONI!O$8:O$1323,$D146))</f>
        <v/>
      </c>
    </row>
    <row r="147">
      <c r="C147" s="224" t="n"/>
      <c r="D147" s="13" t="inlineStr">
        <is>
          <t>CAMPOS Anja [Aest]</t>
        </is>
      </c>
      <c r="E147" s="220" t="n"/>
      <c r="L147" s="64">
        <f>IF($D147="","",SUM(M147:O147))</f>
        <v/>
      </c>
      <c r="M147" s="64">
        <f>IF($D147="","",COUNTIF(DESIGNAZIONI!M$8:M$1323,$D147))</f>
        <v/>
      </c>
      <c r="N147" s="64">
        <f>IF($D147="","",COUNTIF(DESIGNAZIONI!N$8:N$1323,$D147))</f>
        <v/>
      </c>
      <c r="O147" s="64">
        <f>IF($D147="","",COUNTIF(DESIGNAZIONI!O$8:O$1323,$D147))</f>
        <v/>
      </c>
    </row>
    <row r="148">
      <c r="C148" s="224" t="n"/>
      <c r="D148" s="13" t="inlineStr">
        <is>
          <t>HORVAT Marco [AA]</t>
        </is>
      </c>
      <c r="E148" s="220" t="n"/>
      <c r="L148" s="64">
        <f>IF($D148="","",SUM(M148:O148))</f>
        <v/>
      </c>
      <c r="M148" s="64">
        <f>IF($D148="","",COUNTIF(DESIGNAZIONI!M$8:M$1323,$D148))</f>
        <v/>
      </c>
      <c r="N148" s="64">
        <f>IF($D148="","",COUNTIF(DESIGNAZIONI!N$8:N$1323,$D148))</f>
        <v/>
      </c>
      <c r="O148" s="64">
        <f>IF($D148="","",COUNTIF(DESIGNAZIONI!O$8:O$1323,$D148))</f>
        <v/>
      </c>
    </row>
    <row r="149">
      <c r="C149" s="224" t="n"/>
      <c r="D149" s="13" t="inlineStr">
        <is>
          <t>BLANCO Sofia [AA]</t>
        </is>
      </c>
      <c r="E149" s="220" t="n"/>
      <c r="L149" s="64">
        <f>IF($D149="","",SUM(M149:O149))</f>
        <v/>
      </c>
      <c r="M149" s="64">
        <f>IF($D149="","",COUNTIF(DESIGNAZIONI!M$8:M$1323,$D149))</f>
        <v/>
      </c>
      <c r="N149" s="64">
        <f>IF($D149="","",COUNTIF(DESIGNAZIONI!N$8:N$1323,$D149))</f>
        <v/>
      </c>
      <c r="O149" s="64">
        <f>IF($D149="","",COUNTIF(DESIGNAZIONI!O$8:O$1323,$D149))</f>
        <v/>
      </c>
    </row>
    <row r="150">
      <c r="C150" s="224" t="n"/>
      <c r="D150" s="13" t="inlineStr">
        <is>
          <t>CAMPOS Felix [Aest]</t>
        </is>
      </c>
      <c r="E150" s="220" t="n"/>
      <c r="L150" s="64">
        <f>IF($D150="","",SUM(M150:O150))</f>
        <v/>
      </c>
      <c r="M150" s="64">
        <f>IF($D150="","",COUNTIF(DESIGNAZIONI!M$8:M$1323,$D150))</f>
        <v/>
      </c>
      <c r="N150" s="64">
        <f>IF($D150="","",COUNTIF(DESIGNAZIONI!N$8:N$1323,$D150))</f>
        <v/>
      </c>
      <c r="O150" s="64">
        <f>IF($D150="","",COUNTIF(DESIGNAZIONI!O$8:O$1323,$D150))</f>
        <v/>
      </c>
    </row>
    <row r="151">
      <c r="C151" s="224" t="n"/>
      <c r="D151" s="13" t="inlineStr">
        <is>
          <t>LEROUX Filippo [Aest]</t>
        </is>
      </c>
      <c r="E151" s="220" t="n"/>
      <c r="L151" s="64">
        <f>IF($D151="","",SUM(M151:O151))</f>
        <v/>
      </c>
      <c r="M151" s="64">
        <f>IF($D151="","",COUNTIF(DESIGNAZIONI!M$8:M$1323,$D151))</f>
        <v/>
      </c>
      <c r="N151" s="64">
        <f>IF($D151="","",COUNTIF(DESIGNAZIONI!N$8:N$1323,$D151))</f>
        <v/>
      </c>
      <c r="O151" s="64">
        <f>IF($D151="","",COUNTIF(DESIGNAZIONI!O$8:O$1323,$D151))</f>
        <v/>
      </c>
    </row>
    <row r="152">
      <c r="C152" s="224" t="n"/>
      <c r="D152" s="13" t="inlineStr">
        <is>
          <t>BELLANDI Marta [A]</t>
        </is>
      </c>
      <c r="E152" s="220" t="n"/>
      <c r="L152" s="64">
        <f>IF($D152="","",SUM(M152:O152))</f>
        <v/>
      </c>
      <c r="M152" s="64">
        <f>IF($D152="","",COUNTIF(DESIGNAZIONI!M$8:M$1323,$D152))</f>
        <v/>
      </c>
      <c r="N152" s="64">
        <f>IF($D152="","",COUNTIF(DESIGNAZIONI!N$8:N$1323,$D152))</f>
        <v/>
      </c>
      <c r="O152" s="64">
        <f>IF($D152="","",COUNTIF(DESIGNAZIONI!O$8:O$1323,$D152))</f>
        <v/>
      </c>
    </row>
    <row r="153">
      <c r="C153" s="224" t="n"/>
      <c r="D153" s="13" t="inlineStr">
        <is>
          <t>KRAJNC Paolo [Aest]</t>
        </is>
      </c>
      <c r="E153" s="220" t="n"/>
      <c r="L153" s="64">
        <f>IF($D153="","",SUM(M153:O153))</f>
        <v/>
      </c>
      <c r="M153" s="64">
        <f>IF($D153="","",COUNTIF(DESIGNAZIONI!M$8:M$1323,$D153))</f>
        <v/>
      </c>
      <c r="N153" s="64">
        <f>IF($D153="","",COUNTIF(DESIGNAZIONI!N$8:N$1323,$D153))</f>
        <v/>
      </c>
      <c r="O153" s="64">
        <f>IF($D153="","",COUNTIF(DESIGNAZIONI!O$8:O$1323,$D153))</f>
        <v/>
      </c>
    </row>
    <row r="154">
      <c r="C154" s="224" t="n"/>
      <c r="D154" s="13" t="inlineStr">
        <is>
          <t>BIANCHELLI Martina [AAt]</t>
        </is>
      </c>
      <c r="E154" s="220" t="n"/>
      <c r="L154" s="64">
        <f>IF($D154="","",SUM(M154:O154))</f>
        <v/>
      </c>
      <c r="M154" s="64">
        <f>IF($D154="","",COUNTIF(DESIGNAZIONI!M$8:M$1323,$D154))</f>
        <v/>
      </c>
      <c r="N154" s="64">
        <f>IF($D154="","",COUNTIF(DESIGNAZIONI!N$8:N$1323,$D154))</f>
        <v/>
      </c>
      <c r="O154" s="64">
        <f>IF($D154="","",COUNTIF(DESIGNAZIONI!O$8:O$1323,$D154))</f>
        <v/>
      </c>
    </row>
    <row r="155">
      <c r="C155" s="224" t="n"/>
      <c r="D155" s="13" t="inlineStr">
        <is>
          <t>MARCHIONI Paula [Aest]</t>
        </is>
      </c>
      <c r="E155" s="220" t="n"/>
      <c r="L155" s="64">
        <f>IF($D155="","",SUM(M155:O155))</f>
        <v/>
      </c>
      <c r="M155" s="64">
        <f>IF($D155="","",COUNTIF(DESIGNAZIONI!M$8:M$1323,$D155))</f>
        <v/>
      </c>
      <c r="N155" s="64">
        <f>IF($D155="","",COUNTIF(DESIGNAZIONI!N$8:N$1323,$D155))</f>
        <v/>
      </c>
      <c r="O155" s="64">
        <f>IF($D155="","",COUNTIF(DESIGNAZIONI!O$8:O$1323,$D155))</f>
        <v/>
      </c>
    </row>
    <row r="156">
      <c r="C156" s="224" t="n"/>
      <c r="D156" s="13" t="inlineStr">
        <is>
          <t>GALLINI Filippo [A]</t>
        </is>
      </c>
      <c r="E156" s="220" t="n"/>
      <c r="L156" s="64">
        <f>IF($D156="","",SUM(M156:O156))</f>
        <v/>
      </c>
      <c r="M156" s="64">
        <f>IF($D156="","",COUNTIF(DESIGNAZIONI!M$8:M$1323,$D156))</f>
        <v/>
      </c>
      <c r="N156" s="64">
        <f>IF($D156="","",COUNTIF(DESIGNAZIONI!N$8:N$1323,$D156))</f>
        <v/>
      </c>
      <c r="O156" s="64">
        <f>IF($D156="","",COUNTIF(DESIGNAZIONI!O$8:O$1323,$D156))</f>
        <v/>
      </c>
    </row>
    <row r="157">
      <c r="C157" s="224" t="n"/>
      <c r="D157" s="13" t="inlineStr">
        <is>
          <t>AUBERT Martina [AA]</t>
        </is>
      </c>
      <c r="E157" s="220" t="n"/>
      <c r="L157" s="64">
        <f>IF($D157="","",SUM(M157:O157))</f>
        <v/>
      </c>
      <c r="M157" s="64">
        <f>IF($D157="","",COUNTIF(DESIGNAZIONI!M$8:M$1323,$D157))</f>
        <v/>
      </c>
      <c r="N157" s="64">
        <f>IF($D157="","",COUNTIF(DESIGNAZIONI!N$8:N$1323,$D157))</f>
        <v/>
      </c>
      <c r="O157" s="64">
        <f>IF($D157="","",COUNTIF(DESIGNAZIONI!O$8:O$1323,$D157))</f>
        <v/>
      </c>
    </row>
    <row r="158">
      <c r="C158" s="224" t="n"/>
      <c r="D158" s="13" t="inlineStr">
        <is>
          <t>KOVAC Diego [AAt]</t>
        </is>
      </c>
      <c r="E158" s="220" t="n"/>
      <c r="L158" s="64">
        <f>IF($D158="","",SUM(M158:O158))</f>
        <v/>
      </c>
      <c r="M158" s="64">
        <f>IF($D158="","",COUNTIF(DESIGNAZIONI!M$8:M$1323,$D158))</f>
        <v/>
      </c>
      <c r="N158" s="64">
        <f>IF($D158="","",COUNTIF(DESIGNAZIONI!N$8:N$1323,$D158))</f>
        <v/>
      </c>
      <c r="O158" s="64">
        <f>IF($D158="","",COUNTIF(DESIGNAZIONI!O$8:O$1323,$D158))</f>
        <v/>
      </c>
    </row>
    <row r="159">
      <c r="C159" s="224" t="n"/>
      <c r="D159" s="13" t="inlineStr">
        <is>
          <t>ENGEL Stefano [AAt]</t>
        </is>
      </c>
      <c r="E159" s="220" t="n"/>
      <c r="L159" s="64">
        <f>IF($D159="","",SUM(M159:O159))</f>
        <v/>
      </c>
      <c r="M159" s="64">
        <f>IF($D159="","",COUNTIF(DESIGNAZIONI!M$8:M$1323,$D159))</f>
        <v/>
      </c>
      <c r="N159" s="64">
        <f>IF($D159="","",COUNTIF(DESIGNAZIONI!N$8:N$1323,$D159))</f>
        <v/>
      </c>
      <c r="O159" s="64">
        <f>IF($D159="","",COUNTIF(DESIGNAZIONI!O$8:O$1323,$D159))</f>
        <v/>
      </c>
    </row>
    <row r="160">
      <c r="C160" s="224" t="n"/>
      <c r="D160" s="13" t="inlineStr">
        <is>
          <t>PRADO Luca [AA]</t>
        </is>
      </c>
      <c r="E160" s="220" t="n"/>
      <c r="L160" s="64">
        <f>IF($D160="","",SUM(M160:O160))</f>
        <v/>
      </c>
      <c r="M160" s="64">
        <f>IF($D160="","",COUNTIF(DESIGNAZIONI!M$8:M$1323,$D160))</f>
        <v/>
      </c>
      <c r="N160" s="64">
        <f>IF($D160="","",COUNTIF(DESIGNAZIONI!N$8:N$1323,$D160))</f>
        <v/>
      </c>
      <c r="O160" s="64">
        <f>IF($D160="","",COUNTIF(DESIGNAZIONI!O$8:O$1323,$D160))</f>
        <v/>
      </c>
    </row>
    <row r="161">
      <c r="C161" s="224" t="n"/>
      <c r="D161" s="13" t="inlineStr">
        <is>
          <t>VALLET Tommaso [AAt]</t>
        </is>
      </c>
      <c r="E161" s="220" t="n"/>
      <c r="L161" s="64">
        <f>IF($D161="","",SUM(M161:O161))</f>
        <v/>
      </c>
      <c r="M161" s="64">
        <f>IF($D161="","",COUNTIF(DESIGNAZIONI!M$8:M$1323,$D161))</f>
        <v/>
      </c>
      <c r="N161" s="64">
        <f>IF($D161="","",COUNTIF(DESIGNAZIONI!N$8:N$1323,$D161))</f>
        <v/>
      </c>
      <c r="O161" s="64">
        <f>IF($D161="","",COUNTIF(DESIGNAZIONI!O$8:O$1323,$D161))</f>
        <v/>
      </c>
    </row>
    <row r="162">
      <c r="C162" s="224" t="n"/>
      <c r="D162" s="13" t="inlineStr">
        <is>
          <t>CONTARDI Tommaso [AA]</t>
        </is>
      </c>
      <c r="E162" s="220" t="n"/>
      <c r="L162" s="64">
        <f>IF($D162="","",SUM(M162:O162))</f>
        <v/>
      </c>
      <c r="M162" s="64">
        <f>IF($D162="","",COUNTIF(DESIGNAZIONI!M$8:M$1323,$D162))</f>
        <v/>
      </c>
      <c r="N162" s="64">
        <f>IF($D162="","",COUNTIF(DESIGNAZIONI!N$8:N$1323,$D162))</f>
        <v/>
      </c>
      <c r="O162" s="64">
        <f>IF($D162="","",COUNTIF(DESIGNAZIONI!O$8:O$1323,$D162))</f>
        <v/>
      </c>
    </row>
    <row r="163">
      <c r="C163" s="224" t="n"/>
      <c r="D163" s="13" t="inlineStr">
        <is>
          <t>CASTILLO Irene [Aest]</t>
        </is>
      </c>
      <c r="E163" s="220" t="n"/>
      <c r="L163" s="64">
        <f>IF($D163="","",SUM(M163:O163))</f>
        <v/>
      </c>
      <c r="M163" s="64">
        <f>IF($D163="","",COUNTIF(DESIGNAZIONI!M$8:M$1323,$D163))</f>
        <v/>
      </c>
      <c r="N163" s="64">
        <f>IF($D163="","",COUNTIF(DESIGNAZIONI!N$8:N$1323,$D163))</f>
        <v/>
      </c>
      <c r="O163" s="64">
        <f>IF($D163="","",COUNTIF(DESIGNAZIONI!O$8:O$1323,$D163))</f>
        <v/>
      </c>
    </row>
    <row r="164">
      <c r="C164" s="224" t="n"/>
      <c r="D164" s="13" t="inlineStr">
        <is>
          <t>NAVARRO Martina [A]</t>
        </is>
      </c>
      <c r="E164" s="220" t="n"/>
      <c r="L164" s="64">
        <f>IF($D164="","",SUM(M164:O164))</f>
        <v/>
      </c>
      <c r="M164" s="64">
        <f>IF($D164="","",COUNTIF(DESIGNAZIONI!M$8:M$1323,$D164))</f>
        <v/>
      </c>
      <c r="N164" s="64">
        <f>IF($D164="","",COUNTIF(DESIGNAZIONI!N$8:N$1323,$D164))</f>
        <v/>
      </c>
      <c r="O164" s="64">
        <f>IF($D164="","",COUNTIF(DESIGNAZIONI!O$8:O$1323,$D164))</f>
        <v/>
      </c>
    </row>
    <row r="165">
      <c r="C165" s="224" t="n"/>
      <c r="D165" s="13" t="inlineStr">
        <is>
          <t>LEROUX Mathilde [AA]</t>
        </is>
      </c>
      <c r="E165" s="220" t="n"/>
      <c r="L165" s="64">
        <f>IF($D165="","",SUM(M165:O165))</f>
        <v/>
      </c>
      <c r="M165" s="64">
        <f>IF($D165="","",COUNTIF(DESIGNAZIONI!M$8:M$1323,$D165))</f>
        <v/>
      </c>
      <c r="N165" s="64">
        <f>IF($D165="","",COUNTIF(DESIGNAZIONI!N$8:N$1323,$D165))</f>
        <v/>
      </c>
      <c r="O165" s="64">
        <f>IF($D165="","",COUNTIF(DESIGNAZIONI!O$8:O$1323,$D165))</f>
        <v/>
      </c>
    </row>
    <row r="166">
      <c r="C166" s="224" t="n"/>
      <c r="D166" s="13" t="inlineStr">
        <is>
          <t>MORETTO Chiara [A]</t>
        </is>
      </c>
      <c r="E166" s="220" t="n"/>
      <c r="L166" s="64">
        <f>IF($D166="","",SUM(M166:O166))</f>
        <v/>
      </c>
      <c r="M166" s="64">
        <f>IF($D166="","",COUNTIF(DESIGNAZIONI!M$8:M$1323,$D166))</f>
        <v/>
      </c>
      <c r="N166" s="64">
        <f>IF($D166="","",COUNTIF(DESIGNAZIONI!N$8:N$1323,$D166))</f>
        <v/>
      </c>
      <c r="O166" s="64">
        <f>IF($D166="","",COUNTIF(DESIGNAZIONI!O$8:O$1323,$D166))</f>
        <v/>
      </c>
    </row>
    <row r="167">
      <c r="C167" s="224" t="n"/>
      <c r="D167" s="13" t="inlineStr">
        <is>
          <t>ROSSINI Sofia [AA]</t>
        </is>
      </c>
      <c r="E167" s="220" t="n"/>
      <c r="L167" s="64">
        <f>IF($D167="","",SUM(M167:O167))</f>
        <v/>
      </c>
      <c r="M167" s="64">
        <f>IF($D167="","",COUNTIF(DESIGNAZIONI!M$8:M$1323,$D167))</f>
        <v/>
      </c>
      <c r="N167" s="64">
        <f>IF($D167="","",COUNTIF(DESIGNAZIONI!N$8:N$1323,$D167))</f>
        <v/>
      </c>
      <c r="O167" s="64">
        <f>IF($D167="","",COUNTIF(DESIGNAZIONI!O$8:O$1323,$D167))</f>
        <v/>
      </c>
    </row>
    <row r="168">
      <c r="C168" s="224" t="n"/>
      <c r="D168" s="13" t="inlineStr">
        <is>
          <t>ORTEGA Diego [A]</t>
        </is>
      </c>
      <c r="E168" s="220" t="n"/>
      <c r="L168" s="64">
        <f>IF($D168="","",SUM(M168:O168))</f>
        <v/>
      </c>
      <c r="M168" s="64">
        <f>IF($D168="","",COUNTIF(DESIGNAZIONI!M$8:M$1323,$D168))</f>
        <v/>
      </c>
      <c r="N168" s="64">
        <f>IF($D168="","",COUNTIF(DESIGNAZIONI!N$8:N$1323,$D168))</f>
        <v/>
      </c>
      <c r="O168" s="64">
        <f>IF($D168="","",COUNTIF(DESIGNAZIONI!O$8:O$1323,$D168))</f>
        <v/>
      </c>
    </row>
    <row r="169">
      <c r="C169" s="224" t="n"/>
      <c r="D169" s="13" t="inlineStr">
        <is>
          <t>WEBER Matteo [A]</t>
        </is>
      </c>
      <c r="E169" s="220" t="n"/>
      <c r="L169" s="64">
        <f>IF($D169="","",SUM(M169:O169))</f>
        <v/>
      </c>
      <c r="M169" s="64">
        <f>IF($D169="","",COUNTIF(DESIGNAZIONI!M$8:M$1323,$D169))</f>
        <v/>
      </c>
      <c r="N169" s="64">
        <f>IF($D169="","",COUNTIF(DESIGNAZIONI!N$8:N$1323,$D169))</f>
        <v/>
      </c>
      <c r="O169" s="64">
        <f>IF($D169="","",COUNTIF(DESIGNAZIONI!O$8:O$1323,$D169))</f>
        <v/>
      </c>
    </row>
    <row r="170">
      <c r="C170" s="224" t="n"/>
      <c r="D170" s="13" t="inlineStr">
        <is>
          <t>ROSSINI Paula [AAt]</t>
        </is>
      </c>
      <c r="E170" s="220" t="n"/>
      <c r="L170" s="64">
        <f>IF($D170="","",SUM(M170:O170))</f>
        <v/>
      </c>
      <c r="M170" s="64">
        <f>IF($D170="","",COUNTIF(DESIGNAZIONI!M$8:M$1323,$D170))</f>
        <v/>
      </c>
      <c r="N170" s="64">
        <f>IF($D170="","",COUNTIF(DESIGNAZIONI!N$8:N$1323,$D170))</f>
        <v/>
      </c>
      <c r="O170" s="64">
        <f>IF($D170="","",COUNTIF(DESIGNAZIONI!O$8:O$1323,$D170))</f>
        <v/>
      </c>
    </row>
    <row r="171">
      <c r="C171" s="224" t="n"/>
      <c r="D171" s="13" t="inlineStr">
        <is>
          <t>ZUPAN Felix [AAt]</t>
        </is>
      </c>
      <c r="E171" s="220" t="n"/>
      <c r="L171" s="64">
        <f>IF($D171="","",SUM(M171:O171))</f>
        <v/>
      </c>
      <c r="M171" s="64">
        <f>IF($D171="","",COUNTIF(DESIGNAZIONI!M$8:M$1323,$D171))</f>
        <v/>
      </c>
      <c r="N171" s="64">
        <f>IF($D171="","",COUNTIF(DESIGNAZIONI!N$8:N$1323,$D171))</f>
        <v/>
      </c>
      <c r="O171" s="64">
        <f>IF($D171="","",COUNTIF(DESIGNAZIONI!O$8:O$1323,$D171))</f>
        <v/>
      </c>
    </row>
    <row r="172">
      <c r="C172" s="224" t="n"/>
      <c r="D172" s="13" t="inlineStr">
        <is>
          <t>ROTH Katrin [A]</t>
        </is>
      </c>
      <c r="E172" s="220" t="n"/>
      <c r="L172" s="64">
        <f>IF($D172="","",SUM(M172:O172))</f>
        <v/>
      </c>
      <c r="M172" s="64">
        <f>IF($D172="","",COUNTIF(DESIGNAZIONI!M$8:M$1323,$D172))</f>
        <v/>
      </c>
      <c r="N172" s="64">
        <f>IF($D172="","",COUNTIF(DESIGNAZIONI!N$8:N$1323,$D172))</f>
        <v/>
      </c>
      <c r="O172" s="64">
        <f>IF($D172="","",COUNTIF(DESIGNAZIONI!O$8:O$1323,$D172))</f>
        <v/>
      </c>
    </row>
    <row r="173">
      <c r="C173" s="224" t="n"/>
      <c r="D173" s="13" t="inlineStr">
        <is>
          <t>LANGER Katrin [AAt]</t>
        </is>
      </c>
      <c r="E173" s="220" t="n"/>
      <c r="L173" s="64">
        <f>IF($D173="","",SUM(M173:O173))</f>
        <v/>
      </c>
      <c r="M173" s="64">
        <f>IF($D173="","",COUNTIF(DESIGNAZIONI!M$8:M$1323,$D173))</f>
        <v/>
      </c>
      <c r="N173" s="64">
        <f>IF($D173="","",COUNTIF(DESIGNAZIONI!N$8:N$1323,$D173))</f>
        <v/>
      </c>
      <c r="O173" s="64">
        <f>IF($D173="","",COUNTIF(DESIGNAZIONI!O$8:O$1323,$D173))</f>
        <v/>
      </c>
    </row>
    <row r="174">
      <c r="C174" s="224" t="n"/>
      <c r="D174" s="13" t="inlineStr">
        <is>
          <t>LANGER Sofia [A]</t>
        </is>
      </c>
      <c r="E174" s="220" t="n"/>
      <c r="L174" s="64">
        <f>IF($D174="","",SUM(M174:O174))</f>
        <v/>
      </c>
      <c r="M174" s="64">
        <f>IF($D174="","",COUNTIF(DESIGNAZIONI!M$8:M$1323,$D174))</f>
        <v/>
      </c>
      <c r="N174" s="64">
        <f>IF($D174="","",COUNTIF(DESIGNAZIONI!N$8:N$1323,$D174))</f>
        <v/>
      </c>
      <c r="O174" s="64">
        <f>IF($D174="","",COUNTIF(DESIGNAZIONI!O$8:O$1323,$D174))</f>
        <v/>
      </c>
    </row>
    <row r="175">
      <c r="C175" s="224" t="n"/>
      <c r="D175" s="13" t="inlineStr">
        <is>
          <t>KELLER Mathilde [Aest]</t>
        </is>
      </c>
      <c r="E175" s="220" t="n"/>
      <c r="L175" s="64">
        <f>IF($D175="","",SUM(M175:O175))</f>
        <v/>
      </c>
      <c r="M175" s="64">
        <f>IF($D175="","",COUNTIF(DESIGNAZIONI!M$8:M$1323,$D175))</f>
        <v/>
      </c>
      <c r="N175" s="64">
        <f>IF($D175="","",COUNTIF(DESIGNAZIONI!N$8:N$1323,$D175))</f>
        <v/>
      </c>
      <c r="O175" s="64">
        <f>IF($D175="","",COUNTIF(DESIGNAZIONI!O$8:O$1323,$D175))</f>
        <v/>
      </c>
    </row>
    <row r="176">
      <c r="C176" s="224" t="n"/>
      <c r="D176" s="13" t="inlineStr">
        <is>
          <t>KRUGER Greta [A]</t>
        </is>
      </c>
      <c r="E176" s="220" t="n"/>
      <c r="L176" s="64">
        <f>IF($D176="","",SUM(M176:O176))</f>
        <v/>
      </c>
      <c r="M176" s="64">
        <f>IF($D176="","",COUNTIF(DESIGNAZIONI!M$8:M$1323,$D176))</f>
        <v/>
      </c>
      <c r="N176" s="64">
        <f>IF($D176="","",COUNTIF(DESIGNAZIONI!N$8:N$1323,$D176))</f>
        <v/>
      </c>
      <c r="O176" s="64">
        <f>IF($D176="","",COUNTIF(DESIGNAZIONI!O$8:O$1323,$D176))</f>
        <v/>
      </c>
    </row>
    <row r="177">
      <c r="C177" s="224" t="n"/>
      <c r="D177" s="13" t="inlineStr">
        <is>
          <t>SOLER Mathilde [AA]</t>
        </is>
      </c>
      <c r="E177" s="220" t="n"/>
      <c r="L177" s="64">
        <f>IF($D177="","",SUM(M177:O177))</f>
        <v/>
      </c>
      <c r="M177" s="64">
        <f>IF($D177="","",COUNTIF(DESIGNAZIONI!M$8:M$1323,$D177))</f>
        <v/>
      </c>
      <c r="N177" s="64">
        <f>IF($D177="","",COUNTIF(DESIGNAZIONI!N$8:N$1323,$D177))</f>
        <v/>
      </c>
      <c r="O177" s="64">
        <f>IF($D177="","",COUNTIF(DESIGNAZIONI!O$8:O$1323,$D177))</f>
        <v/>
      </c>
    </row>
    <row r="178">
      <c r="C178" s="224" t="n"/>
      <c r="D178" s="13" t="inlineStr">
        <is>
          <t>CARON Vid [A]</t>
        </is>
      </c>
      <c r="E178" s="220" t="n"/>
      <c r="L178" s="64">
        <f>IF($D178="","",SUM(M178:O178))</f>
        <v/>
      </c>
      <c r="M178" s="64">
        <f>IF($D178="","",COUNTIF(DESIGNAZIONI!M$8:M$1323,$D178))</f>
        <v/>
      </c>
      <c r="N178" s="64">
        <f>IF($D178="","",COUNTIF(DESIGNAZIONI!N$8:N$1323,$D178))</f>
        <v/>
      </c>
      <c r="O178" s="64">
        <f>IF($D178="","",COUNTIF(DESIGNAZIONI!O$8:O$1323,$D178))</f>
        <v/>
      </c>
    </row>
    <row r="179">
      <c r="C179" s="224" t="n"/>
      <c r="D179" s="13" t="inlineStr">
        <is>
          <t>IGLESIAS Giulia [AAt]</t>
        </is>
      </c>
      <c r="E179" s="220" t="n"/>
      <c r="L179" s="64">
        <f>IF($D179="","",SUM(M179:O179))</f>
        <v/>
      </c>
      <c r="M179" s="64">
        <f>IF($D179="","",COUNTIF(DESIGNAZIONI!M$8:M$1323,$D179))</f>
        <v/>
      </c>
      <c r="N179" s="64">
        <f>IF($D179="","",COUNTIF(DESIGNAZIONI!N$8:N$1323,$D179))</f>
        <v/>
      </c>
      <c r="O179" s="64">
        <f>IF($D179="","",COUNTIF(DESIGNAZIONI!O$8:O$1323,$D179))</f>
        <v/>
      </c>
    </row>
    <row r="180">
      <c r="C180" s="224" t="n"/>
      <c r="D180" s="13" t="inlineStr">
        <is>
          <t>BLANCO Stefano [A]</t>
        </is>
      </c>
      <c r="E180" s="220" t="n"/>
      <c r="L180" s="64">
        <f>IF($D180="","",SUM(M180:O180))</f>
        <v/>
      </c>
      <c r="M180" s="64">
        <f>IF($D180="","",COUNTIF(DESIGNAZIONI!M$8:M$1323,$D180))</f>
        <v/>
      </c>
      <c r="N180" s="64">
        <f>IF($D180="","",COUNTIF(DESIGNAZIONI!N$8:N$1323,$D180))</f>
        <v/>
      </c>
      <c r="O180" s="64">
        <f>IF($D180="","",COUNTIF(DESIGNAZIONI!O$8:O$1323,$D180))</f>
        <v/>
      </c>
    </row>
    <row r="181">
      <c r="C181" s="224" t="n"/>
      <c r="D181" s="13" t="inlineStr">
        <is>
          <t>ROTH Andrea [AAt]</t>
        </is>
      </c>
      <c r="E181" s="220" t="n"/>
      <c r="L181" s="64">
        <f>IF($D181="","",SUM(M181:O181))</f>
        <v/>
      </c>
      <c r="M181" s="64">
        <f>IF($D181="","",COUNTIF(DESIGNAZIONI!M$8:M$1323,$D181))</f>
        <v/>
      </c>
      <c r="N181" s="64">
        <f>IF($D181="","",COUNTIF(DESIGNAZIONI!N$8:N$1323,$D181))</f>
        <v/>
      </c>
      <c r="O181" s="64">
        <f>IF($D181="","",COUNTIF(DESIGNAZIONI!O$8:O$1323,$D181))</f>
        <v/>
      </c>
    </row>
    <row r="182">
      <c r="C182" s="224" t="n"/>
      <c r="D182" s="13" t="inlineStr">
        <is>
          <t>VIDMAR Eva [AA]</t>
        </is>
      </c>
      <c r="E182" s="220" t="n"/>
      <c r="L182" s="64">
        <f>IF($D182="","",SUM(M182:O182))</f>
        <v/>
      </c>
      <c r="M182" s="64">
        <f>IF($D182="","",COUNTIF(DESIGNAZIONI!M$8:M$1323,$D182))</f>
        <v/>
      </c>
      <c r="N182" s="64">
        <f>IF($D182="","",COUNTIF(DESIGNAZIONI!N$8:N$1323,$D182))</f>
        <v/>
      </c>
      <c r="O182" s="64">
        <f>IF($D182="","",COUNTIF(DESIGNAZIONI!O$8:O$1323,$D182))</f>
        <v/>
      </c>
    </row>
    <row r="183">
      <c r="C183" s="224" t="n"/>
      <c r="D183" s="13" t="inlineStr">
        <is>
          <t>ROMERO Stefano [Aest]</t>
        </is>
      </c>
      <c r="E183" s="220" t="n"/>
      <c r="L183" s="64">
        <f>IF($D183="","",SUM(M183:O183))</f>
        <v/>
      </c>
      <c r="M183" s="64">
        <f>IF($D183="","",COUNTIF(DESIGNAZIONI!M$8:M$1323,$D183))</f>
        <v/>
      </c>
      <c r="N183" s="64">
        <f>IF($D183="","",COUNTIF(DESIGNAZIONI!N$8:N$1323,$D183))</f>
        <v/>
      </c>
      <c r="O183" s="64">
        <f>IF($D183="","",COUNTIF(DESIGNAZIONI!O$8:O$1323,$D183))</f>
        <v/>
      </c>
    </row>
    <row r="184">
      <c r="C184" s="224" t="n"/>
      <c r="D184" s="13" t="inlineStr">
        <is>
          <t>MARCHIONI Marco [Aest]</t>
        </is>
      </c>
      <c r="E184" s="220" t="n"/>
      <c r="L184" s="64">
        <f>IF($D184="","",SUM(M184:O184))</f>
        <v/>
      </c>
      <c r="M184" s="64">
        <f>IF($D184="","",COUNTIF(DESIGNAZIONI!M$8:M$1323,$D184))</f>
        <v/>
      </c>
      <c r="N184" s="64">
        <f>IF($D184="","",COUNTIF(DESIGNAZIONI!N$8:N$1323,$D184))</f>
        <v/>
      </c>
      <c r="O184" s="64">
        <f>IF($D184="","",COUNTIF(DESIGNAZIONI!O$8:O$1323,$D184))</f>
        <v/>
      </c>
    </row>
    <row r="185">
      <c r="C185" s="224" t="n"/>
      <c r="D185" s="13" t="inlineStr">
        <is>
          <t>ROSSINI Martina [AAt]</t>
        </is>
      </c>
      <c r="E185" s="220" t="n"/>
      <c r="L185" s="64">
        <f>IF($D185="","",SUM(M185:O185))</f>
        <v/>
      </c>
      <c r="M185" s="64">
        <f>IF($D185="","",COUNTIF(DESIGNAZIONI!M$8:M$1323,$D185))</f>
        <v/>
      </c>
      <c r="N185" s="64">
        <f>IF($D185="","",COUNTIF(DESIGNAZIONI!N$8:N$1323,$D185))</f>
        <v/>
      </c>
      <c r="O185" s="64">
        <f>IF($D185="","",COUNTIF(DESIGNAZIONI!O$8:O$1323,$D185))</f>
        <v/>
      </c>
    </row>
    <row r="186">
      <c r="C186" s="224" t="n"/>
      <c r="D186" s="13" t="inlineStr">
        <is>
          <t>LEFEVRE Mathilde [A]</t>
        </is>
      </c>
      <c r="E186" s="220" t="n"/>
      <c r="L186" s="64">
        <f>IF($D186="","",SUM(M186:O186))</f>
        <v/>
      </c>
      <c r="M186" s="64">
        <f>IF($D186="","",COUNTIF(DESIGNAZIONI!M$8:M$1323,$D186))</f>
        <v/>
      </c>
      <c r="N186" s="64">
        <f>IF($D186="","",COUNTIF(DESIGNAZIONI!N$8:N$1323,$D186))</f>
        <v/>
      </c>
      <c r="O186" s="64">
        <f>IF($D186="","",COUNTIF(DESIGNAZIONI!O$8:O$1323,$D186))</f>
        <v/>
      </c>
    </row>
    <row r="187">
      <c r="C187" s="224" t="n"/>
      <c r="D187" s="13" t="inlineStr">
        <is>
          <t>KRAJNC Lukas [Aest]</t>
        </is>
      </c>
      <c r="E187" s="220" t="n"/>
      <c r="L187" s="64">
        <f>IF($D187="","",SUM(M187:O187))</f>
        <v/>
      </c>
      <c r="M187" s="64">
        <f>IF($D187="","",COUNTIF(DESIGNAZIONI!M$8:M$1323,$D187))</f>
        <v/>
      </c>
      <c r="N187" s="64">
        <f>IF($D187="","",COUNTIF(DESIGNAZIONI!N$8:N$1323,$D187))</f>
        <v/>
      </c>
      <c r="O187" s="64">
        <f>IF($D187="","",COUNTIF(DESIGNAZIONI!O$8:O$1323,$D187))</f>
        <v/>
      </c>
    </row>
    <row r="188">
      <c r="C188" s="224" t="n"/>
      <c r="D188" s="13" t="inlineStr">
        <is>
          <t>CAMPOS Mathilde [Aest]</t>
        </is>
      </c>
      <c r="E188" s="220" t="n"/>
      <c r="L188" s="64">
        <f>IF($D188="","",SUM(M188:O188))</f>
        <v/>
      </c>
      <c r="M188" s="64">
        <f>IF($D188="","",COUNTIF(DESIGNAZIONI!M$8:M$1323,$D188))</f>
        <v/>
      </c>
      <c r="N188" s="64">
        <f>IF($D188="","",COUNTIF(DESIGNAZIONI!N$8:N$1323,$D188))</f>
        <v/>
      </c>
      <c r="O188" s="64">
        <f>IF($D188="","",COUNTIF(DESIGNAZIONI!O$8:O$1323,$D188))</f>
        <v/>
      </c>
    </row>
    <row r="189">
      <c r="C189" s="224" t="n"/>
      <c r="D189" s="13" t="inlineStr">
        <is>
          <t>KOVAC Noemi [Aest]</t>
        </is>
      </c>
      <c r="E189" s="220" t="n"/>
      <c r="L189" s="64">
        <f>IF($D189="","",SUM(M189:O189))</f>
        <v/>
      </c>
      <c r="M189" s="64">
        <f>IF($D189="","",COUNTIF(DESIGNAZIONI!M$8:M$1323,$D189))</f>
        <v/>
      </c>
      <c r="N189" s="64">
        <f>IF($D189="","",COUNTIF(DESIGNAZIONI!N$8:N$1323,$D189))</f>
        <v/>
      </c>
      <c r="O189" s="64">
        <f>IF($D189="","",COUNTIF(DESIGNAZIONI!O$8:O$1323,$D189))</f>
        <v/>
      </c>
    </row>
    <row r="190">
      <c r="C190" s="224" t="n"/>
      <c r="D190" s="13" t="inlineStr">
        <is>
          <t>CASTILLO Ilaria [AAt]</t>
        </is>
      </c>
      <c r="E190" s="220" t="n"/>
      <c r="L190" s="64">
        <f>IF($D190="","",SUM(M190:O190))</f>
        <v/>
      </c>
      <c r="M190" s="64">
        <f>IF($D190="","",COUNTIF(DESIGNAZIONI!M$8:M$1323,$D190))</f>
        <v/>
      </c>
      <c r="N190" s="64">
        <f>IF($D190="","",COUNTIF(DESIGNAZIONI!N$8:N$1323,$D190))</f>
        <v/>
      </c>
      <c r="O190" s="64">
        <f>IF($D190="","",COUNTIF(DESIGNAZIONI!O$8:O$1323,$D190))</f>
        <v/>
      </c>
    </row>
    <row r="191">
      <c r="C191" s="224" t="n"/>
      <c r="D191" s="13" t="inlineStr">
        <is>
          <t>SOLER Alenka [A]</t>
        </is>
      </c>
      <c r="E191" s="220" t="n"/>
      <c r="L191" s="64">
        <f>IF($D191="","",SUM(M191:O191))</f>
        <v/>
      </c>
      <c r="M191" s="64">
        <f>IF($D191="","",COUNTIF(DESIGNAZIONI!M$8:M$1323,$D191))</f>
        <v/>
      </c>
      <c r="N191" s="64">
        <f>IF($D191="","",COUNTIF(DESIGNAZIONI!N$8:N$1323,$D191))</f>
        <v/>
      </c>
      <c r="O191" s="64">
        <f>IF($D191="","",COUNTIF(DESIGNAZIONI!O$8:O$1323,$D191))</f>
        <v/>
      </c>
    </row>
    <row r="192">
      <c r="C192" s="224" t="n"/>
      <c r="D192" s="13" t="inlineStr">
        <is>
          <t>KRUGER Ilaria [A]</t>
        </is>
      </c>
      <c r="E192" s="220" t="n"/>
      <c r="L192" s="64">
        <f>IF($D192="","",SUM(M192:O192))</f>
        <v/>
      </c>
      <c r="M192" s="64">
        <f>IF($D192="","",COUNTIF(DESIGNAZIONI!M$8:M$1323,$D192))</f>
        <v/>
      </c>
      <c r="N192" s="64">
        <f>IF($D192="","",COUNTIF(DESIGNAZIONI!N$8:N$1323,$D192))</f>
        <v/>
      </c>
      <c r="O192" s="64">
        <f>IF($D192="","",COUNTIF(DESIGNAZIONI!O$8:O$1323,$D192))</f>
        <v/>
      </c>
    </row>
    <row r="193">
      <c r="C193" s="224" t="n"/>
      <c r="D193" s="13" t="inlineStr">
        <is>
          <t>SCHAFER Eva [AA]</t>
        </is>
      </c>
      <c r="E193" s="220" t="n"/>
      <c r="L193" s="64">
        <f>IF($D193="","",SUM(M193:O193))</f>
        <v/>
      </c>
      <c r="M193" s="64">
        <f>IF($D193="","",COUNTIF(DESIGNAZIONI!M$8:M$1323,$D193))</f>
        <v/>
      </c>
      <c r="N193" s="64">
        <f>IF($D193="","",COUNTIF(DESIGNAZIONI!N$8:N$1323,$D193))</f>
        <v/>
      </c>
      <c r="O193" s="64">
        <f>IF($D193="","",COUNTIF(DESIGNAZIONI!O$8:O$1323,$D193))</f>
        <v/>
      </c>
    </row>
    <row r="194">
      <c r="C194" s="224" t="n"/>
      <c r="D194" s="13" t="inlineStr">
        <is>
          <t>NADAUD Mathilde [AA]</t>
        </is>
      </c>
      <c r="E194" s="220" t="n"/>
      <c r="L194" s="64">
        <f>IF($D194="","",SUM(M194:O194))</f>
        <v/>
      </c>
      <c r="M194" s="64">
        <f>IF($D194="","",COUNTIF(DESIGNAZIONI!M$8:M$1323,$D194))</f>
        <v/>
      </c>
      <c r="N194" s="64">
        <f>IF($D194="","",COUNTIF(DESIGNAZIONI!N$8:N$1323,$D194))</f>
        <v/>
      </c>
      <c r="O194" s="64">
        <f>IF($D194="","",COUNTIF(DESIGNAZIONI!O$8:O$1323,$D194))</f>
        <v/>
      </c>
    </row>
    <row r="195">
      <c r="C195" s="224" t="n"/>
      <c r="D195" s="13" t="inlineStr">
        <is>
          <t>KELLER Marta [AAt]</t>
        </is>
      </c>
      <c r="E195" s="220" t="n"/>
      <c r="L195" s="64">
        <f>IF($D195="","",SUM(M195:O195))</f>
        <v/>
      </c>
      <c r="M195" s="64">
        <f>IF($D195="","",COUNTIF(DESIGNAZIONI!M$8:M$1323,$D195))</f>
        <v/>
      </c>
      <c r="N195" s="64">
        <f>IF($D195="","",COUNTIF(DESIGNAZIONI!N$8:N$1323,$D195))</f>
        <v/>
      </c>
      <c r="O195" s="64">
        <f>IF($D195="","",COUNTIF(DESIGNAZIONI!O$8:O$1323,$D195))</f>
        <v/>
      </c>
    </row>
    <row r="196">
      <c r="C196" s="224" t="n"/>
      <c r="D196" s="13" t="inlineStr">
        <is>
          <t>CONTARDI Marta [Aest]</t>
        </is>
      </c>
      <c r="E196" s="220" t="n"/>
      <c r="L196" s="64">
        <f>IF($D196="","",SUM(M196:O196))</f>
        <v/>
      </c>
      <c r="M196" s="64">
        <f>IF($D196="","",COUNTIF(DESIGNAZIONI!M$8:M$1323,$D196))</f>
        <v/>
      </c>
      <c r="N196" s="64">
        <f>IF($D196="","",COUNTIF(DESIGNAZIONI!N$8:N$1323,$D196))</f>
        <v/>
      </c>
      <c r="O196" s="64">
        <f>IF($D196="","",COUNTIF(DESIGNAZIONI!O$8:O$1323,$D196))</f>
        <v/>
      </c>
    </row>
    <row r="197">
      <c r="C197" s="224" t="n"/>
      <c r="D197" s="13" t="inlineStr">
        <is>
          <t>NADAUD Hugo [AAt]</t>
        </is>
      </c>
      <c r="E197" s="220" t="n"/>
      <c r="L197" s="64">
        <f>IF($D197="","",SUM(M197:O197))</f>
        <v/>
      </c>
      <c r="M197" s="64">
        <f>IF($D197="","",COUNTIF(DESIGNAZIONI!M$8:M$1323,$D197))</f>
        <v/>
      </c>
      <c r="N197" s="64">
        <f>IF($D197="","",COUNTIF(DESIGNAZIONI!N$8:N$1323,$D197))</f>
        <v/>
      </c>
      <c r="O197" s="64">
        <f>IF($D197="","",COUNTIF(DESIGNAZIONI!O$8:O$1323,$D197))</f>
        <v/>
      </c>
    </row>
    <row r="198">
      <c r="C198" s="224" t="n"/>
      <c r="D198" s="13" t="inlineStr">
        <is>
          <t>MOREAU Andrea [AAt]</t>
        </is>
      </c>
      <c r="E198" s="220" t="n"/>
      <c r="L198" s="64">
        <f>IF($D198="","",SUM(M198:O198))</f>
        <v/>
      </c>
      <c r="M198" s="64">
        <f>IF($D198="","",COUNTIF(DESIGNAZIONI!M$8:M$1323,$D198))</f>
        <v/>
      </c>
      <c r="N198" s="64">
        <f>IF($D198="","",COUNTIF(DESIGNAZIONI!N$8:N$1323,$D198))</f>
        <v/>
      </c>
      <c r="O198" s="64">
        <f>IF($D198="","",COUNTIF(DESIGNAZIONI!O$8:O$1323,$D198))</f>
        <v/>
      </c>
    </row>
    <row r="199">
      <c r="C199" s="224" t="n"/>
      <c r="D199" s="13" t="inlineStr">
        <is>
          <t>HOFFMANN Mathilde [AAt]</t>
        </is>
      </c>
      <c r="E199" s="220" t="n"/>
      <c r="L199" s="64">
        <f>IF($D199="","",SUM(M199:O199))</f>
        <v/>
      </c>
      <c r="M199" s="64">
        <f>IF($D199="","",COUNTIF(DESIGNAZIONI!M$8:M$1323,$D199))</f>
        <v/>
      </c>
      <c r="N199" s="64">
        <f>IF($D199="","",COUNTIF(DESIGNAZIONI!N$8:N$1323,$D199))</f>
        <v/>
      </c>
      <c r="O199" s="64">
        <f>IF($D199="","",COUNTIF(DESIGNAZIONI!O$8:O$1323,$D199))</f>
        <v/>
      </c>
    </row>
    <row r="200">
      <c r="C200" s="224" t="n"/>
      <c r="D200" s="13" t="inlineStr">
        <is>
          <t>MOREAU Martina [Aest]</t>
        </is>
      </c>
      <c r="E200" s="220" t="n"/>
      <c r="L200" s="64">
        <f>IF($D200="","",SUM(M200:O200))</f>
        <v/>
      </c>
      <c r="M200" s="64">
        <f>IF($D200="","",COUNTIF(DESIGNAZIONI!M$8:M$1323,$D200))</f>
        <v/>
      </c>
      <c r="N200" s="64">
        <f>IF($D200="","",COUNTIF(DESIGNAZIONI!N$8:N$1323,$D200))</f>
        <v/>
      </c>
      <c r="O200" s="64">
        <f>IF($D200="","",COUNTIF(DESIGNAZIONI!O$8:O$1323,$D200))</f>
        <v/>
      </c>
    </row>
    <row r="201">
      <c r="C201" s="224" t="n"/>
      <c r="D201" s="13" t="inlineStr">
        <is>
          <t>BIANCHELLI Filippo [AAt]</t>
        </is>
      </c>
      <c r="E201" s="220" t="n"/>
      <c r="L201" s="64">
        <f>IF($D201="","",SUM(M201:O201))</f>
        <v/>
      </c>
      <c r="M201" s="64">
        <f>IF($D201="","",COUNTIF(DESIGNAZIONI!M$8:M$1323,$D201))</f>
        <v/>
      </c>
      <c r="N201" s="64">
        <f>IF($D201="","",COUNTIF(DESIGNAZIONI!N$8:N$1323,$D201))</f>
        <v/>
      </c>
      <c r="O201" s="64">
        <f>IF($D201="","",COUNTIF(DESIGNAZIONI!O$8:O$1323,$D201))</f>
        <v/>
      </c>
    </row>
    <row r="202">
      <c r="C202" s="224" t="n"/>
      <c r="D202" s="13" t="inlineStr">
        <is>
          <t>MOREAU Pablo [AAt]</t>
        </is>
      </c>
      <c r="E202" s="220" t="n"/>
      <c r="L202" s="64">
        <f>IF($D202="","",SUM(M202:O202))</f>
        <v/>
      </c>
      <c r="M202" s="64">
        <f>IF($D202="","",COUNTIF(DESIGNAZIONI!M$8:M$1323,$D202))</f>
        <v/>
      </c>
      <c r="N202" s="64">
        <f>IF($D202="","",COUNTIF(DESIGNAZIONI!N$8:N$1323,$D202))</f>
        <v/>
      </c>
      <c r="O202" s="64">
        <f>IF($D202="","",COUNTIF(DESIGNAZIONI!O$8:O$1323,$D202))</f>
        <v/>
      </c>
    </row>
    <row r="203">
      <c r="C203" s="224" t="n"/>
      <c r="D203" s="13" t="inlineStr">
        <is>
          <t>MARCHIONI Filippo [AAt]</t>
        </is>
      </c>
      <c r="E203" s="220" t="n"/>
      <c r="L203" s="64">
        <f>IF($D203="","",SUM(M203:O203))</f>
        <v/>
      </c>
      <c r="M203" s="64">
        <f>IF($D203="","",COUNTIF(DESIGNAZIONI!M$8:M$1323,$D203))</f>
        <v/>
      </c>
      <c r="N203" s="64">
        <f>IF($D203="","",COUNTIF(DESIGNAZIONI!N$8:N$1323,$D203))</f>
        <v/>
      </c>
      <c r="O203" s="64">
        <f>IF($D203="","",COUNTIF(DESIGNAZIONI!O$8:O$1323,$D203))</f>
        <v/>
      </c>
    </row>
    <row r="204">
      <c r="C204" s="224" t="n"/>
      <c r="D204" s="13" t="inlineStr">
        <is>
          <t>HOFFMANN Valerie [A]</t>
        </is>
      </c>
      <c r="E204" s="220" t="n"/>
      <c r="L204" s="64">
        <f>IF($D204="","",SUM(M204:O204))</f>
        <v/>
      </c>
      <c r="M204" s="64">
        <f>IF($D204="","",COUNTIF(DESIGNAZIONI!M$8:M$1323,$D204))</f>
        <v/>
      </c>
      <c r="N204" s="64">
        <f>IF($D204="","",COUNTIF(DESIGNAZIONI!N$8:N$1323,$D204))</f>
        <v/>
      </c>
      <c r="O204" s="64">
        <f>IF($D204="","",COUNTIF(DESIGNAZIONI!O$8:O$1323,$D204))</f>
        <v/>
      </c>
    </row>
    <row r="205">
      <c r="C205" s="224" t="n"/>
      <c r="D205" s="13" t="inlineStr">
        <is>
          <t>HOFFMANN Lea [AAt]</t>
        </is>
      </c>
      <c r="E205" s="220" t="n"/>
      <c r="L205" s="64">
        <f>IF($D205="","",SUM(M205:O205))</f>
        <v/>
      </c>
      <c r="M205" s="64">
        <f>IF($D205="","",COUNTIF(DESIGNAZIONI!M$8:M$1323,$D205))</f>
        <v/>
      </c>
      <c r="N205" s="64">
        <f>IF($D205="","",COUNTIF(DESIGNAZIONI!N$8:N$1323,$D205))</f>
        <v/>
      </c>
      <c r="O205" s="64">
        <f>IF($D205="","",COUNTIF(DESIGNAZIONI!O$8:O$1323,$D205))</f>
        <v/>
      </c>
    </row>
    <row r="206">
      <c r="C206" s="224" t="n"/>
      <c r="D206" s="13" t="inlineStr">
        <is>
          <t>LEFEVRE Vid [A]</t>
        </is>
      </c>
      <c r="E206" s="220" t="n"/>
      <c r="L206" s="64">
        <f>IF($D206="","",SUM(M206:O206))</f>
        <v/>
      </c>
      <c r="M206" s="64">
        <f>IF($D206="","",COUNTIF(DESIGNAZIONI!M$8:M$1323,$D206))</f>
        <v/>
      </c>
      <c r="N206" s="64">
        <f>IF($D206="","",COUNTIF(DESIGNAZIONI!N$8:N$1323,$D206))</f>
        <v/>
      </c>
      <c r="O206" s="64">
        <f>IF($D206="","",COUNTIF(DESIGNAZIONI!O$8:O$1323,$D206))</f>
        <v/>
      </c>
    </row>
    <row r="207">
      <c r="C207" s="224" t="n"/>
      <c r="D207" s="13" t="inlineStr">
        <is>
          <t>CARON Giulia [AAt]</t>
        </is>
      </c>
      <c r="E207" s="220" t="n"/>
      <c r="L207" s="64">
        <f>IF($D207="","",SUM(M207:O207))</f>
        <v/>
      </c>
      <c r="M207" s="64">
        <f>IF($D207="","",COUNTIF(DESIGNAZIONI!M$8:M$1323,$D207))</f>
        <v/>
      </c>
      <c r="N207" s="64">
        <f>IF($D207="","",COUNTIF(DESIGNAZIONI!N$8:N$1323,$D207))</f>
        <v/>
      </c>
      <c r="O207" s="64">
        <f>IF($D207="","",COUNTIF(DESIGNAZIONI!O$8:O$1323,$D207))</f>
        <v/>
      </c>
    </row>
    <row r="208">
      <c r="C208" s="224" t="n"/>
      <c r="D208" s="13" t="inlineStr">
        <is>
          <t>IGLESIAS Felix [AAt]</t>
        </is>
      </c>
      <c r="E208" s="220" t="n"/>
      <c r="L208" s="64">
        <f>IF($D208="","",SUM(M208:O208))</f>
        <v/>
      </c>
      <c r="M208" s="64">
        <f>IF($D208="","",COUNTIF(DESIGNAZIONI!M$8:M$1323,$D208))</f>
        <v/>
      </c>
      <c r="N208" s="64">
        <f>IF($D208="","",COUNTIF(DESIGNAZIONI!N$8:N$1323,$D208))</f>
        <v/>
      </c>
      <c r="O208" s="64">
        <f>IF($D208="","",COUNTIF(DESIGNAZIONI!O$8:O$1323,$D208))</f>
        <v/>
      </c>
    </row>
    <row r="209">
      <c r="C209" s="224" t="n"/>
      <c r="D209" s="13" t="inlineStr">
        <is>
          <t>OBLAK Beatrice [AA]</t>
        </is>
      </c>
      <c r="E209" s="220" t="n"/>
      <c r="L209" s="64">
        <f>IF($D209="","",SUM(M209:O209))</f>
        <v/>
      </c>
      <c r="M209" s="64">
        <f>IF($D209="","",COUNTIF(DESIGNAZIONI!M$8:M$1323,$D209))</f>
        <v/>
      </c>
      <c r="N209" s="64">
        <f>IF($D209="","",COUNTIF(DESIGNAZIONI!N$8:N$1323,$D209))</f>
        <v/>
      </c>
      <c r="O209" s="64">
        <f>IF($D209="","",COUNTIF(DESIGNAZIONI!O$8:O$1323,$D209))</f>
        <v/>
      </c>
    </row>
    <row r="210">
      <c r="C210" s="224" t="n"/>
      <c r="D210" s="13" t="inlineStr">
        <is>
          <t>BELLANDI Andrea [AA]</t>
        </is>
      </c>
      <c r="E210" s="220" t="n"/>
      <c r="L210" s="64">
        <f>IF($D210="","",SUM(M210:O210))</f>
        <v/>
      </c>
      <c r="M210" s="64">
        <f>IF($D210="","",COUNTIF(DESIGNAZIONI!M$8:M$1323,$D210))</f>
        <v/>
      </c>
      <c r="N210" s="64">
        <f>IF($D210="","",COUNTIF(DESIGNAZIONI!N$8:N$1323,$D210))</f>
        <v/>
      </c>
      <c r="O210" s="64">
        <f>IF($D210="","",COUNTIF(DESIGNAZIONI!O$8:O$1323,$D210))</f>
        <v/>
      </c>
    </row>
    <row r="211">
      <c r="C211" s="224" t="n"/>
      <c r="D211" s="13" t="inlineStr">
        <is>
          <t>ORTEGA Felix [AA]</t>
        </is>
      </c>
      <c r="E211" s="220" t="n"/>
      <c r="L211" s="64">
        <f>IF($D211="","",SUM(M211:O211))</f>
        <v/>
      </c>
      <c r="M211" s="64">
        <f>IF($D211="","",COUNTIF(DESIGNAZIONI!M$8:M$1323,$D211))</f>
        <v/>
      </c>
      <c r="N211" s="64">
        <f>IF($D211="","",COUNTIF(DESIGNAZIONI!N$8:N$1323,$D211))</f>
        <v/>
      </c>
      <c r="O211" s="64">
        <f>IF($D211="","",COUNTIF(DESIGNAZIONI!O$8:O$1323,$D211))</f>
        <v/>
      </c>
    </row>
    <row r="212">
      <c r="C212" s="224" t="n"/>
      <c r="D212" s="13" t="inlineStr">
        <is>
          <t>WEBER Martina [A]</t>
        </is>
      </c>
      <c r="E212" s="220" t="n"/>
      <c r="L212" s="64">
        <f>IF($D212="","",SUM(M212:O212))</f>
        <v/>
      </c>
      <c r="M212" s="64">
        <f>IF($D212="","",COUNTIF(DESIGNAZIONI!M$8:M$1323,$D212))</f>
        <v/>
      </c>
      <c r="N212" s="64">
        <f>IF($D212="","",COUNTIF(DESIGNAZIONI!N$8:N$1323,$D212))</f>
        <v/>
      </c>
      <c r="O212" s="64">
        <f>IF($D212="","",COUNTIF(DESIGNAZIONI!O$8:O$1323,$D212))</f>
        <v/>
      </c>
    </row>
    <row r="213">
      <c r="C213" s="224" t="n"/>
      <c r="D213" s="13" t="inlineStr">
        <is>
          <t>CASTILLO Lucia [AA]</t>
        </is>
      </c>
      <c r="E213" s="220" t="n"/>
      <c r="L213" s="64">
        <f>IF($D213="","",SUM(M213:O213))</f>
        <v/>
      </c>
      <c r="M213" s="64">
        <f>IF($D213="","",COUNTIF(DESIGNAZIONI!M$8:M$1323,$D213))</f>
        <v/>
      </c>
      <c r="N213" s="64">
        <f>IF($D213="","",COUNTIF(DESIGNAZIONI!N$8:N$1323,$D213))</f>
        <v/>
      </c>
      <c r="O213" s="64">
        <f>IF($D213="","",COUNTIF(DESIGNAZIONI!O$8:O$1323,$D213))</f>
        <v/>
      </c>
    </row>
    <row r="214">
      <c r="C214" s="224" t="n"/>
      <c r="D214" s="13" t="inlineStr">
        <is>
          <t>FOURNIER Matteo [AAt]</t>
        </is>
      </c>
      <c r="E214" s="220" t="n"/>
      <c r="L214" s="64">
        <f>IF($D214="","",SUM(M214:O214))</f>
        <v/>
      </c>
      <c r="M214" s="64">
        <f>IF($D214="","",COUNTIF(DESIGNAZIONI!M$8:M$1323,$D214))</f>
        <v/>
      </c>
      <c r="N214" s="64">
        <f>IF($D214="","",COUNTIF(DESIGNAZIONI!N$8:N$1323,$D214))</f>
        <v/>
      </c>
      <c r="O214" s="64">
        <f>IF($D214="","",COUNTIF(DESIGNAZIONI!O$8:O$1323,$D214))</f>
        <v/>
      </c>
    </row>
    <row r="215">
      <c r="C215" s="224" t="n"/>
      <c r="D215" s="13" t="inlineStr">
        <is>
          <t>FOURNIER Andrea [AA]</t>
        </is>
      </c>
      <c r="E215" s="220" t="n"/>
      <c r="L215" s="64">
        <f>IF($D215="","",SUM(M215:O215))</f>
        <v/>
      </c>
      <c r="M215" s="64">
        <f>IF($D215="","",COUNTIF(DESIGNAZIONI!M$8:M$1323,$D215))</f>
        <v/>
      </c>
      <c r="N215" s="64">
        <f>IF($D215="","",COUNTIF(DESIGNAZIONI!N$8:N$1323,$D215))</f>
        <v/>
      </c>
      <c r="O215" s="64">
        <f>IF($D215="","",COUNTIF(DESIGNAZIONI!O$8:O$1323,$D215))</f>
        <v/>
      </c>
    </row>
    <row r="216">
      <c r="C216" s="224" t="n"/>
      <c r="D216" s="13" t="inlineStr">
        <is>
          <t>CAMPOS Vid [AA]</t>
        </is>
      </c>
      <c r="E216" s="220" t="n"/>
      <c r="L216" s="64">
        <f>IF($D216="","",SUM(M216:O216))</f>
        <v/>
      </c>
      <c r="M216" s="64">
        <f>IF($D216="","",COUNTIF(DESIGNAZIONI!M$8:M$1323,$D216))</f>
        <v/>
      </c>
      <c r="N216" s="64">
        <f>IF($D216="","",COUNTIF(DESIGNAZIONI!N$8:N$1323,$D216))</f>
        <v/>
      </c>
      <c r="O216" s="64">
        <f>IF($D216="","",COUNTIF(DESIGNAZIONI!O$8:O$1323,$D216))</f>
        <v/>
      </c>
    </row>
    <row r="217">
      <c r="C217" s="224" t="n"/>
      <c r="D217" s="13" t="inlineStr">
        <is>
          <t>KOVAC Valerie [AAt]</t>
        </is>
      </c>
      <c r="E217" s="220" t="n"/>
      <c r="L217" s="64">
        <f>IF($D217="","",SUM(M217:O217))</f>
        <v/>
      </c>
      <c r="M217" s="64">
        <f>IF($D217="","",COUNTIF(DESIGNAZIONI!M$8:M$1323,$D217))</f>
        <v/>
      </c>
      <c r="N217" s="64">
        <f>IF($D217="","",COUNTIF(DESIGNAZIONI!N$8:N$1323,$D217))</f>
        <v/>
      </c>
      <c r="O217" s="64">
        <f>IF($D217="","",COUNTIF(DESIGNAZIONI!O$8:O$1323,$D217))</f>
        <v/>
      </c>
    </row>
    <row r="218">
      <c r="C218" s="224" t="n"/>
      <c r="D218" s="13" t="inlineStr">
        <is>
          <t>HOFFMANN Tommaso [A]</t>
        </is>
      </c>
      <c r="E218" s="220" t="n"/>
      <c r="L218" s="64">
        <f>IF($D218="","",SUM(M218:O218))</f>
        <v/>
      </c>
      <c r="M218" s="64">
        <f>IF($D218="","",COUNTIF(DESIGNAZIONI!M$8:M$1323,$D218))</f>
        <v/>
      </c>
      <c r="N218" s="64">
        <f>IF($D218="","",COUNTIF(DESIGNAZIONI!N$8:N$1323,$D218))</f>
        <v/>
      </c>
      <c r="O218" s="64">
        <f>IF($D218="","",COUNTIF(DESIGNAZIONI!O$8:O$1323,$D218))</f>
        <v/>
      </c>
    </row>
    <row r="219">
      <c r="C219" s="224" t="n"/>
      <c r="D219" s="13" t="inlineStr">
        <is>
          <t>GAUTHIER Lukas [AA]</t>
        </is>
      </c>
      <c r="E219" s="220" t="n"/>
      <c r="L219" s="64">
        <f>IF($D219="","",SUM(M219:O219))</f>
        <v/>
      </c>
      <c r="M219" s="64">
        <f>IF($D219="","",COUNTIF(DESIGNAZIONI!M$8:M$1323,$D219))</f>
        <v/>
      </c>
      <c r="N219" s="64">
        <f>IF($D219="","",COUNTIF(DESIGNAZIONI!N$8:N$1323,$D219))</f>
        <v/>
      </c>
      <c r="O219" s="64">
        <f>IF($D219="","",COUNTIF(DESIGNAZIONI!O$8:O$1323,$D219))</f>
        <v/>
      </c>
    </row>
    <row r="220">
      <c r="C220" s="224" t="n"/>
      <c r="D220" s="13" t="inlineStr">
        <is>
          <t>LEFEVRE Pablo [AA]</t>
        </is>
      </c>
      <c r="E220" s="220" t="n"/>
      <c r="L220" s="64">
        <f>IF($D220="","",SUM(M220:O220))</f>
        <v/>
      </c>
      <c r="M220" s="64">
        <f>IF($D220="","",COUNTIF(DESIGNAZIONI!M$8:M$1323,$D220))</f>
        <v/>
      </c>
      <c r="N220" s="64">
        <f>IF($D220="","",COUNTIF(DESIGNAZIONI!N$8:N$1323,$D220))</f>
        <v/>
      </c>
      <c r="O220" s="64">
        <f>IF($D220="","",COUNTIF(DESIGNAZIONI!O$8:O$1323,$D220))</f>
        <v/>
      </c>
    </row>
    <row r="221">
      <c r="C221" s="224" t="n"/>
      <c r="D221" s="13" t="inlineStr">
        <is>
          <t>CAMPOS Jonas [AAt]</t>
        </is>
      </c>
      <c r="E221" s="220" t="n"/>
      <c r="L221" s="64">
        <f>IF($D221="","",SUM(M221:O221))</f>
        <v/>
      </c>
      <c r="M221" s="64">
        <f>IF($D221="","",COUNTIF(DESIGNAZIONI!M$8:M$1323,$D221))</f>
        <v/>
      </c>
      <c r="N221" s="64">
        <f>IF($D221="","",COUNTIF(DESIGNAZIONI!N$8:N$1323,$D221))</f>
        <v/>
      </c>
      <c r="O221" s="64">
        <f>IF($D221="","",COUNTIF(DESIGNAZIONI!O$8:O$1323,$D221))</f>
        <v/>
      </c>
    </row>
    <row r="222">
      <c r="C222" s="224" t="n"/>
      <c r="D222" s="13" t="inlineStr">
        <is>
          <t>CONTARDI Giulia [AAt]</t>
        </is>
      </c>
      <c r="E222" s="220" t="n"/>
      <c r="L222" s="64">
        <f>IF($D222="","",SUM(M222:O222))</f>
        <v/>
      </c>
      <c r="M222" s="64">
        <f>IF($D222="","",COUNTIF(DESIGNAZIONI!M$8:M$1323,$D222))</f>
        <v/>
      </c>
      <c r="N222" s="64">
        <f>IF($D222="","",COUNTIF(DESIGNAZIONI!N$8:N$1323,$D222))</f>
        <v/>
      </c>
      <c r="O222" s="64">
        <f>IF($D222="","",COUNTIF(DESIGNAZIONI!O$8:O$1323,$D222))</f>
        <v/>
      </c>
    </row>
    <row r="223">
      <c r="C223" s="224" t="n"/>
      <c r="D223" s="13" t="inlineStr">
        <is>
          <t>HOFFMANN Ottavia [AA]</t>
        </is>
      </c>
      <c r="E223" s="220" t="n"/>
      <c r="L223" s="64">
        <f>IF($D223="","",SUM(M223:O223))</f>
        <v/>
      </c>
      <c r="M223" s="64">
        <f>IF($D223="","",COUNTIF(DESIGNAZIONI!M$8:M$1323,$D223))</f>
        <v/>
      </c>
      <c r="N223" s="64">
        <f>IF($D223="","",COUNTIF(DESIGNAZIONI!N$8:N$1323,$D223))</f>
        <v/>
      </c>
      <c r="O223" s="64">
        <f>IF($D223="","",COUNTIF(DESIGNAZIONI!O$8:O$1323,$D223))</f>
        <v/>
      </c>
    </row>
    <row r="224">
      <c r="C224" s="224" t="n"/>
      <c r="D224" s="13" t="inlineStr">
        <is>
          <t>NAVARRO Irene [Aest]</t>
        </is>
      </c>
      <c r="E224" s="220" t="n"/>
      <c r="L224" s="64">
        <f>IF($D224="","",SUM(M224:O224))</f>
        <v/>
      </c>
      <c r="M224" s="64">
        <f>IF($D224="","",COUNTIF(DESIGNAZIONI!M$8:M$1323,$D224))</f>
        <v/>
      </c>
      <c r="N224" s="64">
        <f>IF($D224="","",COUNTIF(DESIGNAZIONI!N$8:N$1323,$D224))</f>
        <v/>
      </c>
      <c r="O224" s="64">
        <f>IF($D224="","",COUNTIF(DESIGNAZIONI!O$8:O$1323,$D224))</f>
        <v/>
      </c>
    </row>
    <row r="225">
      <c r="C225" s="224" t="n"/>
      <c r="D225" s="13" t="inlineStr">
        <is>
          <t>HORVAT Ottavia [A]</t>
        </is>
      </c>
      <c r="E225" s="220" t="n"/>
      <c r="L225" s="64">
        <f>IF($D225="","",SUM(M225:O225))</f>
        <v/>
      </c>
      <c r="M225" s="64">
        <f>IF($D225="","",COUNTIF(DESIGNAZIONI!M$8:M$1323,$D225))</f>
        <v/>
      </c>
      <c r="N225" s="64">
        <f>IF($D225="","",COUNTIF(DESIGNAZIONI!N$8:N$1323,$D225))</f>
        <v/>
      </c>
      <c r="O225" s="64">
        <f>IF($D225="","",COUNTIF(DESIGNAZIONI!O$8:O$1323,$D225))</f>
        <v/>
      </c>
    </row>
    <row r="226">
      <c r="C226" s="224" t="n"/>
      <c r="D226" s="13" t="inlineStr">
        <is>
          <t>ROTH Mathilde [A]</t>
        </is>
      </c>
      <c r="E226" s="220" t="n"/>
      <c r="L226" s="64">
        <f>IF($D226="","",SUM(M226:O226))</f>
        <v/>
      </c>
      <c r="M226" s="64">
        <f>IF($D226="","",COUNTIF(DESIGNAZIONI!M$8:M$1323,$D226))</f>
        <v/>
      </c>
      <c r="N226" s="64">
        <f>IF($D226="","",COUNTIF(DESIGNAZIONI!N$8:N$1323,$D226))</f>
        <v/>
      </c>
      <c r="O226" s="64">
        <f>IF($D226="","",COUNTIF(DESIGNAZIONI!O$8:O$1323,$D226))</f>
        <v/>
      </c>
    </row>
    <row r="227">
      <c r="C227" s="224" t="n"/>
      <c r="D227" s="13" t="inlineStr">
        <is>
          <t>AUBERT Greta [Aest]</t>
        </is>
      </c>
      <c r="E227" s="220" t="n"/>
      <c r="L227" s="64">
        <f>IF($D227="","",SUM(M227:O227))</f>
        <v/>
      </c>
      <c r="M227" s="64">
        <f>IF($D227="","",COUNTIF(DESIGNAZIONI!M$8:M$1323,$D227))</f>
        <v/>
      </c>
      <c r="N227" s="64">
        <f>IF($D227="","",COUNTIF(DESIGNAZIONI!N$8:N$1323,$D227))</f>
        <v/>
      </c>
      <c r="O227" s="64">
        <f>IF($D227="","",COUNTIF(DESIGNAZIONI!O$8:O$1323,$D227))</f>
        <v/>
      </c>
    </row>
    <row r="228">
      <c r="C228" s="224" t="n"/>
      <c r="D228" s="13" t="inlineStr">
        <is>
          <t>FUENTES Katrin [A]</t>
        </is>
      </c>
      <c r="E228" s="220" t="n"/>
      <c r="L228" s="64">
        <f>IF($D228="","",SUM(M228:O228))</f>
        <v/>
      </c>
      <c r="M228" s="64">
        <f>IF($D228="","",COUNTIF(DESIGNAZIONI!M$8:M$1323,$D228))</f>
        <v/>
      </c>
      <c r="N228" s="64">
        <f>IF($D228="","",COUNTIF(DESIGNAZIONI!N$8:N$1323,$D228))</f>
        <v/>
      </c>
      <c r="O228" s="64">
        <f>IF($D228="","",COUNTIF(DESIGNAZIONI!O$8:O$1323,$D228))</f>
        <v/>
      </c>
    </row>
    <row r="229">
      <c r="C229" s="224" t="n"/>
      <c r="D229" s="13" t="inlineStr">
        <is>
          <t>ORTEGA Elena [Aest]</t>
        </is>
      </c>
      <c r="E229" s="220" t="n"/>
      <c r="L229" s="64">
        <f>IF($D229="","",SUM(M229:O229))</f>
        <v/>
      </c>
      <c r="M229" s="64">
        <f>IF($D229="","",COUNTIF(DESIGNAZIONI!M$8:M$1323,$D229))</f>
        <v/>
      </c>
      <c r="N229" s="64">
        <f>IF($D229="","",COUNTIF(DESIGNAZIONI!N$8:N$1323,$D229))</f>
        <v/>
      </c>
      <c r="O229" s="64">
        <f>IF($D229="","",COUNTIF(DESIGNAZIONI!O$8:O$1323,$D229))</f>
        <v/>
      </c>
    </row>
    <row r="230">
      <c r="C230" s="224" t="n"/>
      <c r="D230" s="13" t="inlineStr">
        <is>
          <t>SCHAFER Stefano [A]</t>
        </is>
      </c>
      <c r="E230" s="220" t="n"/>
      <c r="L230" s="64">
        <f>IF($D230="","",SUM(M230:O230))</f>
        <v/>
      </c>
      <c r="M230" s="64">
        <f>IF($D230="","",COUNTIF(DESIGNAZIONI!M$8:M$1323,$D230))</f>
        <v/>
      </c>
      <c r="N230" s="64">
        <f>IF($D230="","",COUNTIF(DESIGNAZIONI!N$8:N$1323,$D230))</f>
        <v/>
      </c>
      <c r="O230" s="64">
        <f>IF($D230="","",COUNTIF(DESIGNAZIONI!O$8:O$1323,$D230))</f>
        <v/>
      </c>
    </row>
    <row r="231">
      <c r="C231" s="224" t="n"/>
      <c r="D231" s="13" t="inlineStr">
        <is>
          <t>CONTARDI Lea [AAt]</t>
        </is>
      </c>
      <c r="E231" s="220" t="n"/>
      <c r="L231" s="64">
        <f>IF($D231="","",SUM(M231:O231))</f>
        <v/>
      </c>
      <c r="M231" s="64">
        <f>IF($D231="","",COUNTIF(DESIGNAZIONI!M$8:M$1323,$D231))</f>
        <v/>
      </c>
      <c r="N231" s="64">
        <f>IF($D231="","",COUNTIF(DESIGNAZIONI!N$8:N$1323,$D231))</f>
        <v/>
      </c>
      <c r="O231" s="64">
        <f>IF($D231="","",COUNTIF(DESIGNAZIONI!O$8:O$1323,$D231))</f>
        <v/>
      </c>
    </row>
    <row r="232">
      <c r="C232" s="224" t="n"/>
      <c r="D232" s="13" t="inlineStr">
        <is>
          <t>NADAUD Lucia [AA]</t>
        </is>
      </c>
      <c r="E232" s="220" t="n"/>
      <c r="L232" s="64">
        <f>IF($D232="","",SUM(M232:O232))</f>
        <v/>
      </c>
      <c r="M232" s="64">
        <f>IF($D232="","",COUNTIF(DESIGNAZIONI!M$8:M$1323,$D232))</f>
        <v/>
      </c>
      <c r="N232" s="64">
        <f>IF($D232="","",COUNTIF(DESIGNAZIONI!N$8:N$1323,$D232))</f>
        <v/>
      </c>
      <c r="O232" s="64">
        <f>IF($D232="","",COUNTIF(DESIGNAZIONI!O$8:O$1323,$D232))</f>
        <v/>
      </c>
    </row>
    <row r="233">
      <c r="C233" s="224" t="n"/>
      <c r="D233" s="13" t="inlineStr">
        <is>
          <t>ZUPAN Mathilde [A]</t>
        </is>
      </c>
      <c r="E233" s="220" t="n"/>
      <c r="L233" s="64">
        <f>IF($D233="","",SUM(M233:O233))</f>
        <v/>
      </c>
      <c r="M233" s="64">
        <f>IF($D233="","",COUNTIF(DESIGNAZIONI!M$8:M$1323,$D233))</f>
        <v/>
      </c>
      <c r="N233" s="64">
        <f>IF($D233="","",COUNTIF(DESIGNAZIONI!N$8:N$1323,$D233))</f>
        <v/>
      </c>
      <c r="O233" s="64">
        <f>IF($D233="","",COUNTIF(DESIGNAZIONI!O$8:O$1323,$D233))</f>
        <v/>
      </c>
    </row>
    <row r="234">
      <c r="C234" s="224" t="n"/>
      <c r="D234" s="13" t="inlineStr">
        <is>
          <t>WEBER Filippo [AA]</t>
        </is>
      </c>
      <c r="E234" s="220" t="n"/>
      <c r="L234" s="64">
        <f>IF($D234="","",SUM(M234:O234))</f>
        <v/>
      </c>
      <c r="M234" s="64">
        <f>IF($D234="","",COUNTIF(DESIGNAZIONI!M$8:M$1323,$D234))</f>
        <v/>
      </c>
      <c r="N234" s="64">
        <f>IF($D234="","",COUNTIF(DESIGNAZIONI!N$8:N$1323,$D234))</f>
        <v/>
      </c>
      <c r="O234" s="64">
        <f>IF($D234="","",COUNTIF(DESIGNAZIONI!O$8:O$1323,$D234))</f>
        <v/>
      </c>
    </row>
    <row r="235">
      <c r="C235" s="224" t="n"/>
      <c r="D235" s="13" t="inlineStr">
        <is>
          <t>AUBERT Lucia [AAt]</t>
        </is>
      </c>
      <c r="E235" s="220" t="n"/>
      <c r="L235" s="64">
        <f>IF($D235="","",SUM(M235:O235))</f>
        <v/>
      </c>
      <c r="M235" s="64">
        <f>IF($D235="","",COUNTIF(DESIGNAZIONI!M$8:M$1323,$D235))</f>
        <v/>
      </c>
      <c r="N235" s="64">
        <f>IF($D235="","",COUNTIF(DESIGNAZIONI!N$8:N$1323,$D235))</f>
        <v/>
      </c>
      <c r="O235" s="64">
        <f>IF($D235="","",COUNTIF(DESIGNAZIONI!O$8:O$1323,$D235))</f>
        <v/>
      </c>
    </row>
    <row r="236">
      <c r="C236" s="224" t="n"/>
      <c r="D236" s="13" t="inlineStr">
        <is>
          <t>ROTH Sofia [A]</t>
        </is>
      </c>
      <c r="E236" s="220" t="n"/>
      <c r="L236" s="64">
        <f>IF($D236="","",SUM(M236:O236))</f>
        <v/>
      </c>
      <c r="M236" s="64">
        <f>IF($D236="","",COUNTIF(DESIGNAZIONI!M$8:M$1323,$D236))</f>
        <v/>
      </c>
      <c r="N236" s="64">
        <f>IF($D236="","",COUNTIF(DESIGNAZIONI!N$8:N$1323,$D236))</f>
        <v/>
      </c>
      <c r="O236" s="64">
        <f>IF($D236="","",COUNTIF(DESIGNAZIONI!O$8:O$1323,$D236))</f>
        <v/>
      </c>
    </row>
    <row r="237">
      <c r="C237" s="224" t="n"/>
      <c r="D237" s="13" t="inlineStr">
        <is>
          <t>SOLER Davide [A]</t>
        </is>
      </c>
      <c r="E237" s="220" t="n"/>
      <c r="L237" s="64">
        <f>IF($D237="","",SUM(M237:O237))</f>
        <v/>
      </c>
      <c r="M237" s="64">
        <f>IF($D237="","",COUNTIF(DESIGNAZIONI!M$8:M$1323,$D237))</f>
        <v/>
      </c>
      <c r="N237" s="64">
        <f>IF($D237="","",COUNTIF(DESIGNAZIONI!N$8:N$1323,$D237))</f>
        <v/>
      </c>
      <c r="O237" s="64">
        <f>IF($D237="","",COUNTIF(DESIGNAZIONI!O$8:O$1323,$D237))</f>
        <v/>
      </c>
    </row>
    <row r="238">
      <c r="C238" s="224" t="n"/>
      <c r="D238" s="13" t="inlineStr">
        <is>
          <t>LEROUX Diego [AAt]</t>
        </is>
      </c>
      <c r="E238" s="220" t="n"/>
      <c r="L238" s="64">
        <f>IF($D238="","",SUM(M238:O238))</f>
        <v/>
      </c>
      <c r="M238" s="64">
        <f>IF($D238="","",COUNTIF(DESIGNAZIONI!M$8:M$1323,$D238))</f>
        <v/>
      </c>
      <c r="N238" s="64">
        <f>IF($D238="","",COUNTIF(DESIGNAZIONI!N$8:N$1323,$D238))</f>
        <v/>
      </c>
      <c r="O238" s="64">
        <f>IF($D238="","",COUNTIF(DESIGNAZIONI!O$8:O$1323,$D238))</f>
        <v/>
      </c>
    </row>
    <row r="239">
      <c r="C239" s="224" t="n"/>
      <c r="D239" s="13" t="inlineStr">
        <is>
          <t>PETERLIN Luca [Aest]</t>
        </is>
      </c>
      <c r="E239" s="220" t="n"/>
      <c r="L239" s="64">
        <f>IF($D239="","",SUM(M239:O239))</f>
        <v/>
      </c>
      <c r="M239" s="64">
        <f>IF($D239="","",COUNTIF(DESIGNAZIONI!M$8:M$1323,$D239))</f>
        <v/>
      </c>
      <c r="N239" s="64">
        <f>IF($D239="","",COUNTIF(DESIGNAZIONI!N$8:N$1323,$D239))</f>
        <v/>
      </c>
      <c r="O239" s="64">
        <f>IF($D239="","",COUNTIF(DESIGNAZIONI!O$8:O$1323,$D239))</f>
        <v/>
      </c>
    </row>
    <row r="240">
      <c r="C240" s="224" t="n"/>
      <c r="D240" s="13" t="inlineStr">
        <is>
          <t>LEFEVRE Lukas [Aest]</t>
        </is>
      </c>
      <c r="E240" s="220" t="n"/>
      <c r="L240" s="64">
        <f>IF($D240="","",SUM(M240:O240))</f>
        <v/>
      </c>
      <c r="M240" s="64">
        <f>IF($D240="","",COUNTIF(DESIGNAZIONI!M$8:M$1323,$D240))</f>
        <v/>
      </c>
      <c r="N240" s="64">
        <f>IF($D240="","",COUNTIF(DESIGNAZIONI!N$8:N$1323,$D240))</f>
        <v/>
      </c>
      <c r="O240" s="64">
        <f>IF($D240="","",COUNTIF(DESIGNAZIONI!O$8:O$1323,$D240))</f>
        <v/>
      </c>
    </row>
    <row r="241">
      <c r="C241" s="224" t="n"/>
      <c r="D241" s="13" t="inlineStr">
        <is>
          <t>ENGEL Marco [AA]</t>
        </is>
      </c>
      <c r="E241" s="220" t="n"/>
      <c r="L241" s="64">
        <f>IF($D241="","",SUM(M241:O241))</f>
        <v/>
      </c>
      <c r="M241" s="64">
        <f>IF($D241="","",COUNTIF(DESIGNAZIONI!M$8:M$1323,$D241))</f>
        <v/>
      </c>
      <c r="N241" s="64">
        <f>IF($D241="","",COUNTIF(DESIGNAZIONI!N$8:N$1323,$D241))</f>
        <v/>
      </c>
      <c r="O241" s="64">
        <f>IF($D241="","",COUNTIF(DESIGNAZIONI!O$8:O$1323,$D241))</f>
        <v/>
      </c>
    </row>
    <row r="242">
      <c r="C242" s="224" t="n"/>
      <c r="D242" s="13" t="inlineStr">
        <is>
          <t>LEROUX Hugo [Aest]</t>
        </is>
      </c>
      <c r="E242" s="220" t="n"/>
      <c r="L242" s="64">
        <f>IF($D242="","",SUM(M242:O242))</f>
        <v/>
      </c>
      <c r="M242" s="64">
        <f>IF($D242="","",COUNTIF(DESIGNAZIONI!M$8:M$1323,$D242))</f>
        <v/>
      </c>
      <c r="N242" s="64">
        <f>IF($D242="","",COUNTIF(DESIGNAZIONI!N$8:N$1323,$D242))</f>
        <v/>
      </c>
      <c r="O242" s="64">
        <f>IF($D242="","",COUNTIF(DESIGNAZIONI!O$8:O$1323,$D242))</f>
        <v/>
      </c>
    </row>
    <row r="243">
      <c r="C243" s="224" t="n"/>
      <c r="D243" s="13" t="inlineStr">
        <is>
          <t>BELLANDI Ottavia [Aest]</t>
        </is>
      </c>
      <c r="E243" s="220" t="n"/>
      <c r="L243" s="64">
        <f>IF($D243="","",SUM(M243:O243))</f>
        <v/>
      </c>
      <c r="M243" s="64">
        <f>IF($D243="","",COUNTIF(DESIGNAZIONI!M$8:M$1323,$D243))</f>
        <v/>
      </c>
      <c r="N243" s="64">
        <f>IF($D243="","",COUNTIF(DESIGNAZIONI!N$8:N$1323,$D243))</f>
        <v/>
      </c>
      <c r="O243" s="64">
        <f>IF($D243="","",COUNTIF(DESIGNAZIONI!O$8:O$1323,$D243))</f>
        <v/>
      </c>
    </row>
    <row r="244">
      <c r="C244" s="224" t="n"/>
      <c r="D244" s="13" t="inlineStr">
        <is>
          <t>MODIC Matteo [AA]</t>
        </is>
      </c>
      <c r="E244" s="220" t="n"/>
      <c r="L244" s="64">
        <f>IF($D244="","",SUM(M244:O244))</f>
        <v/>
      </c>
      <c r="M244" s="64">
        <f>IF($D244="","",COUNTIF(DESIGNAZIONI!M$8:M$1323,$D244))</f>
        <v/>
      </c>
      <c r="N244" s="64">
        <f>IF($D244="","",COUNTIF(DESIGNAZIONI!N$8:N$1323,$D244))</f>
        <v/>
      </c>
      <c r="O244" s="64">
        <f>IF($D244="","",COUNTIF(DESIGNAZIONI!O$8:O$1323,$D244))</f>
        <v/>
      </c>
    </row>
    <row r="245">
      <c r="C245" s="224" t="n"/>
      <c r="D245" s="13" t="inlineStr">
        <is>
          <t>PETERLIN Tommaso [AAt]</t>
        </is>
      </c>
      <c r="E245" s="220" t="n"/>
      <c r="L245" s="64">
        <f>IF($D245="","",SUM(M245:O245))</f>
        <v/>
      </c>
      <c r="M245" s="64">
        <f>IF($D245="","",COUNTIF(DESIGNAZIONI!M$8:M$1323,$D245))</f>
        <v/>
      </c>
      <c r="N245" s="64">
        <f>IF($D245="","",COUNTIF(DESIGNAZIONI!N$8:N$1323,$D245))</f>
        <v/>
      </c>
      <c r="O245" s="64">
        <f>IF($D245="","",COUNTIF(DESIGNAZIONI!O$8:O$1323,$D245))</f>
        <v/>
      </c>
    </row>
    <row r="246">
      <c r="C246" s="224" t="n"/>
      <c r="D246" s="13" t="inlineStr">
        <is>
          <t>HORVAT Giulia [A]</t>
        </is>
      </c>
      <c r="E246" s="220" t="n"/>
      <c r="L246" s="64">
        <f>IF($D246="","",SUM(M246:O246))</f>
        <v/>
      </c>
      <c r="M246" s="64">
        <f>IF($D246="","",COUNTIF(DESIGNAZIONI!M$8:M$1323,$D246))</f>
        <v/>
      </c>
      <c r="N246" s="64">
        <f>IF($D246="","",COUNTIF(DESIGNAZIONI!N$8:N$1323,$D246))</f>
        <v/>
      </c>
      <c r="O246" s="64">
        <f>IF($D246="","",COUNTIF(DESIGNAZIONI!O$8:O$1323,$D246))</f>
        <v/>
      </c>
    </row>
    <row r="247">
      <c r="C247" s="224" t="n"/>
      <c r="D247" s="13" t="inlineStr">
        <is>
          <t>KRUGER Nicola [Aest]</t>
        </is>
      </c>
      <c r="E247" s="220" t="n"/>
      <c r="L247" s="64">
        <f>IF($D247="","",SUM(M247:O247))</f>
        <v/>
      </c>
      <c r="M247" s="64">
        <f>IF($D247="","",COUNTIF(DESIGNAZIONI!M$8:M$1323,$D247))</f>
        <v/>
      </c>
      <c r="N247" s="64">
        <f>IF($D247="","",COUNTIF(DESIGNAZIONI!N$8:N$1323,$D247))</f>
        <v/>
      </c>
      <c r="O247" s="64">
        <f>IF($D247="","",COUNTIF(DESIGNAZIONI!O$8:O$1323,$D247))</f>
        <v/>
      </c>
    </row>
    <row r="248">
      <c r="C248" s="224" t="n"/>
      <c r="D248" s="13" t="inlineStr">
        <is>
          <t>PELLEGRI Chiara [AAt]</t>
        </is>
      </c>
      <c r="E248" s="220" t="n"/>
      <c r="L248" s="64">
        <f>IF($D248="","",SUM(M248:O248))</f>
        <v/>
      </c>
      <c r="M248" s="64">
        <f>IF($D248="","",COUNTIF(DESIGNAZIONI!M$8:M$1323,$D248))</f>
        <v/>
      </c>
      <c r="N248" s="64">
        <f>IF($D248="","",COUNTIF(DESIGNAZIONI!N$8:N$1323,$D248))</f>
        <v/>
      </c>
      <c r="O248" s="64">
        <f>IF($D248="","",COUNTIF(DESIGNAZIONI!O$8:O$1323,$D248))</f>
        <v/>
      </c>
    </row>
    <row r="249">
      <c r="C249" s="224" t="n"/>
      <c r="D249" s="13" t="inlineStr">
        <is>
          <t>CAMPOS Noemi [AA]</t>
        </is>
      </c>
      <c r="E249" s="220" t="n"/>
      <c r="L249" s="64">
        <f>IF($D249="","",SUM(M249:O249))</f>
        <v/>
      </c>
      <c r="M249" s="64">
        <f>IF($D249="","",COUNTIF(DESIGNAZIONI!M$8:M$1323,$D249))</f>
        <v/>
      </c>
      <c r="N249" s="64">
        <f>IF($D249="","",COUNTIF(DESIGNAZIONI!N$8:N$1323,$D249))</f>
        <v/>
      </c>
      <c r="O249" s="64">
        <f>IF($D249="","",COUNTIF(DESIGNAZIONI!O$8:O$1323,$D249))</f>
        <v/>
      </c>
    </row>
    <row r="250">
      <c r="C250" s="224" t="n"/>
      <c r="D250" s="13" t="inlineStr">
        <is>
          <t>BLANCO Tommaso [AAt]</t>
        </is>
      </c>
      <c r="E250" s="220" t="n"/>
      <c r="L250" s="64">
        <f>IF($D250="","",SUM(M250:O250))</f>
        <v/>
      </c>
      <c r="M250" s="64">
        <f>IF($D250="","",COUNTIF(DESIGNAZIONI!M$8:M$1323,$D250))</f>
        <v/>
      </c>
      <c r="N250" s="64">
        <f>IF($D250="","",COUNTIF(DESIGNAZIONI!N$8:N$1323,$D250))</f>
        <v/>
      </c>
      <c r="O250" s="64">
        <f>IF($D250="","",COUNTIF(DESIGNAZIONI!O$8:O$1323,$D250))</f>
        <v/>
      </c>
    </row>
    <row r="251">
      <c r="C251" s="224" t="n"/>
      <c r="D251" s="13" t="inlineStr">
        <is>
          <t>KRAJNC Nicola [A]</t>
        </is>
      </c>
      <c r="E251" s="220" t="n"/>
      <c r="L251" s="64">
        <f>IF($D251="","",SUM(M251:O251))</f>
        <v/>
      </c>
      <c r="M251" s="64">
        <f>IF($D251="","",COUNTIF(DESIGNAZIONI!M$8:M$1323,$D251))</f>
        <v/>
      </c>
      <c r="N251" s="64">
        <f>IF($D251="","",COUNTIF(DESIGNAZIONI!N$8:N$1323,$D251))</f>
        <v/>
      </c>
      <c r="O251" s="64">
        <f>IF($D251="","",COUNTIF(DESIGNAZIONI!O$8:O$1323,$D251))</f>
        <v/>
      </c>
    </row>
    <row r="252">
      <c r="C252" s="224" t="n"/>
      <c r="D252" s="13" t="inlineStr">
        <is>
          <t>VIDMAR Matteo [AA]</t>
        </is>
      </c>
      <c r="E252" s="220" t="n"/>
      <c r="L252" s="64">
        <f>IF($D252="","",SUM(M252:O252))</f>
        <v/>
      </c>
      <c r="M252" s="64">
        <f>IF($D252="","",COUNTIF(DESIGNAZIONI!M$8:M$1323,$D252))</f>
        <v/>
      </c>
      <c r="N252" s="64">
        <f>IF($D252="","",COUNTIF(DESIGNAZIONI!N$8:N$1323,$D252))</f>
        <v/>
      </c>
      <c r="O252" s="64">
        <f>IF($D252="","",COUNTIF(DESIGNAZIONI!O$8:O$1323,$D252))</f>
        <v/>
      </c>
    </row>
    <row r="253">
      <c r="C253" s="224" t="n"/>
      <c r="D253" s="13" t="inlineStr">
        <is>
          <t>HOFFMANN Marco [Aest]</t>
        </is>
      </c>
      <c r="E253" s="220" t="n"/>
      <c r="L253" s="64">
        <f>IF($D253="","",SUM(M253:O253))</f>
        <v/>
      </c>
      <c r="M253" s="64">
        <f>IF($D253="","",COUNTIF(DESIGNAZIONI!M$8:M$1323,$D253))</f>
        <v/>
      </c>
      <c r="N253" s="64">
        <f>IF($D253="","",COUNTIF(DESIGNAZIONI!N$8:N$1323,$D253))</f>
        <v/>
      </c>
      <c r="O253" s="64">
        <f>IF($D253="","",COUNTIF(DESIGNAZIONI!O$8:O$1323,$D253))</f>
        <v/>
      </c>
    </row>
    <row r="254">
      <c r="C254" s="224" t="n"/>
      <c r="D254" s="13" t="inlineStr">
        <is>
          <t>ROTH Lea [A]</t>
        </is>
      </c>
      <c r="E254" s="220" t="n"/>
      <c r="L254" s="64">
        <f>IF($D254="","",SUM(M254:O254))</f>
        <v/>
      </c>
      <c r="M254" s="64">
        <f>IF($D254="","",COUNTIF(DESIGNAZIONI!M$8:M$1323,$D254))</f>
        <v/>
      </c>
      <c r="N254" s="64">
        <f>IF($D254="","",COUNTIF(DESIGNAZIONI!N$8:N$1323,$D254))</f>
        <v/>
      </c>
      <c r="O254" s="64">
        <f>IF($D254="","",COUNTIF(DESIGNAZIONI!O$8:O$1323,$D254))</f>
        <v/>
      </c>
    </row>
    <row r="255">
      <c r="C255" s="224" t="n"/>
      <c r="D255" s="13" t="inlineStr">
        <is>
          <t>GAUTHIER Davide [AA]</t>
        </is>
      </c>
      <c r="E255" s="220" t="n"/>
      <c r="L255" s="64">
        <f>IF($D255="","",SUM(M255:O255))</f>
        <v/>
      </c>
      <c r="M255" s="64">
        <f>IF($D255="","",COUNTIF(DESIGNAZIONI!M$8:M$1323,$D255))</f>
        <v/>
      </c>
      <c r="N255" s="64">
        <f>IF($D255="","",COUNTIF(DESIGNAZIONI!N$8:N$1323,$D255))</f>
        <v/>
      </c>
      <c r="O255" s="64">
        <f>IF($D255="","",COUNTIF(DESIGNAZIONI!O$8:O$1323,$D255))</f>
        <v/>
      </c>
    </row>
    <row r="256">
      <c r="C256" s="224" t="n"/>
      <c r="D256" s="13" t="inlineStr">
        <is>
          <t>KRUGER Gaelle [AAt]</t>
        </is>
      </c>
      <c r="E256" s="220" t="n"/>
      <c r="L256" s="64">
        <f>IF($D256="","",SUM(M256:O256))</f>
        <v/>
      </c>
      <c r="M256" s="64">
        <f>IF($D256="","",COUNTIF(DESIGNAZIONI!M$8:M$1323,$D256))</f>
        <v/>
      </c>
      <c r="N256" s="64">
        <f>IF($D256="","",COUNTIF(DESIGNAZIONI!N$8:N$1323,$D256))</f>
        <v/>
      </c>
      <c r="O256" s="64">
        <f>IF($D256="","",COUNTIF(DESIGNAZIONI!O$8:O$1323,$D256))</f>
        <v/>
      </c>
    </row>
    <row r="257">
      <c r="C257" s="224" t="n"/>
      <c r="D257" s="13" t="inlineStr">
        <is>
          <t>FUENTES Stefano [Aest]</t>
        </is>
      </c>
      <c r="E257" s="220" t="n"/>
      <c r="L257" s="64">
        <f>IF($D257="","",SUM(M257:O257))</f>
        <v/>
      </c>
      <c r="M257" s="64">
        <f>IF($D257="","",COUNTIF(DESIGNAZIONI!M$8:M$1323,$D257))</f>
        <v/>
      </c>
      <c r="N257" s="64">
        <f>IF($D257="","",COUNTIF(DESIGNAZIONI!N$8:N$1323,$D257))</f>
        <v/>
      </c>
      <c r="O257" s="64">
        <f>IF($D257="","",COUNTIF(DESIGNAZIONI!O$8:O$1323,$D257))</f>
        <v/>
      </c>
    </row>
    <row r="258">
      <c r="C258" s="224" t="n"/>
      <c r="D258" s="13" t="inlineStr">
        <is>
          <t>CONTARDI Nicola [Aest]</t>
        </is>
      </c>
      <c r="E258" s="220" t="n"/>
      <c r="L258" s="64">
        <f>IF($D258="","",SUM(M258:O258))</f>
        <v/>
      </c>
      <c r="M258" s="64">
        <f>IF($D258="","",COUNTIF(DESIGNAZIONI!M$8:M$1323,$D258))</f>
        <v/>
      </c>
      <c r="N258" s="64">
        <f>IF($D258="","",COUNTIF(DESIGNAZIONI!N$8:N$1323,$D258))</f>
        <v/>
      </c>
      <c r="O258" s="64">
        <f>IF($D258="","",COUNTIF(DESIGNAZIONI!O$8:O$1323,$D258))</f>
        <v/>
      </c>
    </row>
    <row r="259">
      <c r="C259" s="224" t="n"/>
      <c r="D259" s="13" t="inlineStr">
        <is>
          <t>IGLESIAS Beatrice [A]</t>
        </is>
      </c>
      <c r="E259" s="220" t="n"/>
      <c r="L259" s="64">
        <f>IF($D259="","",SUM(M259:O259))</f>
        <v/>
      </c>
      <c r="M259" s="64">
        <f>IF($D259="","",COUNTIF(DESIGNAZIONI!M$8:M$1323,$D259))</f>
        <v/>
      </c>
      <c r="N259" s="64">
        <f>IF($D259="","",COUNTIF(DESIGNAZIONI!N$8:N$1323,$D259))</f>
        <v/>
      </c>
      <c r="O259" s="64">
        <f>IF($D259="","",COUNTIF(DESIGNAZIONI!O$8:O$1323,$D259))</f>
        <v/>
      </c>
    </row>
    <row r="260">
      <c r="C260" s="224" t="n"/>
      <c r="D260" s="13" t="inlineStr">
        <is>
          <t>AUBERT Diego [A]</t>
        </is>
      </c>
      <c r="E260" s="220" t="n"/>
      <c r="L260" s="64">
        <f>IF($D260="","",SUM(M260:O260))</f>
        <v/>
      </c>
      <c r="M260" s="64">
        <f>IF($D260="","",COUNTIF(DESIGNAZIONI!M$8:M$1323,$D260))</f>
        <v/>
      </c>
      <c r="N260" s="64">
        <f>IF($D260="","",COUNTIF(DESIGNAZIONI!N$8:N$1323,$D260))</f>
        <v/>
      </c>
      <c r="O260" s="64">
        <f>IF($D260="","",COUNTIF(DESIGNAZIONI!O$8:O$1323,$D260))</f>
        <v/>
      </c>
    </row>
    <row r="261">
      <c r="C261" s="224" t="n"/>
      <c r="D261" s="13" t="inlineStr">
        <is>
          <t>PRADO Diego [Aest]</t>
        </is>
      </c>
      <c r="E261" s="220" t="n"/>
      <c r="L261" s="64">
        <f>IF($D261="","",SUM(M261:O261))</f>
        <v/>
      </c>
      <c r="M261" s="64">
        <f>IF($D261="","",COUNTIF(DESIGNAZIONI!M$8:M$1323,$D261))</f>
        <v/>
      </c>
      <c r="N261" s="64">
        <f>IF($D261="","",COUNTIF(DESIGNAZIONI!N$8:N$1323,$D261))</f>
        <v/>
      </c>
      <c r="O261" s="64">
        <f>IF($D261="","",COUNTIF(DESIGNAZIONI!O$8:O$1323,$D261))</f>
        <v/>
      </c>
    </row>
    <row r="262">
      <c r="C262" s="224" t="n"/>
      <c r="D262" s="13" t="inlineStr">
        <is>
          <t>VALLET Gaelle [Aest]</t>
        </is>
      </c>
      <c r="E262" s="220" t="n"/>
      <c r="L262" s="64">
        <f>IF($D262="","",SUM(M262:O262))</f>
        <v/>
      </c>
      <c r="M262" s="64">
        <f>IF($D262="","",COUNTIF(DESIGNAZIONI!M$8:M$1323,$D262))</f>
        <v/>
      </c>
      <c r="N262" s="64">
        <f>IF($D262="","",COUNTIF(DESIGNAZIONI!N$8:N$1323,$D262))</f>
        <v/>
      </c>
      <c r="O262" s="64">
        <f>IF($D262="","",COUNTIF(DESIGNAZIONI!O$8:O$1323,$D262))</f>
        <v/>
      </c>
    </row>
    <row r="263">
      <c r="C263" s="224" t="n"/>
      <c r="D263" s="13" t="inlineStr">
        <is>
          <t>FUENTES Noemi [Aest]</t>
        </is>
      </c>
      <c r="E263" s="220" t="n"/>
      <c r="L263" s="64">
        <f>IF($D263="","",SUM(M263:O263))</f>
        <v/>
      </c>
      <c r="M263" s="64">
        <f>IF($D263="","",COUNTIF(DESIGNAZIONI!M$8:M$1323,$D263))</f>
        <v/>
      </c>
      <c r="N263" s="64">
        <f>IF($D263="","",COUNTIF(DESIGNAZIONI!N$8:N$1323,$D263))</f>
        <v/>
      </c>
      <c r="O263" s="64">
        <f>IF($D263="","",COUNTIF(DESIGNAZIONI!O$8:O$1323,$D263))</f>
        <v/>
      </c>
    </row>
    <row r="264">
      <c r="C264" s="224" t="n"/>
      <c r="D264" s="13" t="inlineStr">
        <is>
          <t>BLANCO Lucia [Aest]</t>
        </is>
      </c>
      <c r="E264" s="220" t="n"/>
      <c r="L264" s="64">
        <f>IF($D264="","",SUM(M264:O264))</f>
        <v/>
      </c>
      <c r="M264" s="64">
        <f>IF($D264="","",COUNTIF(DESIGNAZIONI!M$8:M$1323,$D264))</f>
        <v/>
      </c>
      <c r="N264" s="64">
        <f>IF($D264="","",COUNTIF(DESIGNAZIONI!N$8:N$1323,$D264))</f>
        <v/>
      </c>
      <c r="O264" s="64">
        <f>IF($D264="","",COUNTIF(DESIGNAZIONI!O$8:O$1323,$D264))</f>
        <v/>
      </c>
    </row>
    <row r="265">
      <c r="C265" s="224" t="n"/>
      <c r="D265" s="13" t="inlineStr">
        <is>
          <t>BIANCHELLI Felix [Aest]</t>
        </is>
      </c>
      <c r="E265" s="220" t="n"/>
      <c r="L265" s="64">
        <f>IF($D265="","",SUM(M265:O265))</f>
        <v/>
      </c>
      <c r="M265" s="64">
        <f>IF($D265="","",COUNTIF(DESIGNAZIONI!M$8:M$1323,$D265))</f>
        <v/>
      </c>
      <c r="N265" s="64">
        <f>IF($D265="","",COUNTIF(DESIGNAZIONI!N$8:N$1323,$D265))</f>
        <v/>
      </c>
      <c r="O265" s="64">
        <f>IF($D265="","",COUNTIF(DESIGNAZIONI!O$8:O$1323,$D265))</f>
        <v/>
      </c>
    </row>
    <row r="266">
      <c r="C266" s="224" t="n"/>
      <c r="D266" s="13" t="inlineStr">
        <is>
          <t>SANTORI Nicola [AA]</t>
        </is>
      </c>
      <c r="E266" s="220" t="n"/>
      <c r="L266" s="64">
        <f>IF($D266="","",SUM(M266:O266))</f>
        <v/>
      </c>
      <c r="M266" s="64">
        <f>IF($D266="","",COUNTIF(DESIGNAZIONI!M$8:M$1323,$D266))</f>
        <v/>
      </c>
      <c r="N266" s="64">
        <f>IF($D266="","",COUNTIF(DESIGNAZIONI!N$8:N$1323,$D266))</f>
        <v/>
      </c>
      <c r="O266" s="64">
        <f>IF($D266="","",COUNTIF(DESIGNAZIONI!O$8:O$1323,$D266))</f>
        <v/>
      </c>
    </row>
    <row r="267">
      <c r="C267" s="224" t="n"/>
      <c r="D267" s="13" t="inlineStr">
        <is>
          <t>MODIC Vid [Aest]</t>
        </is>
      </c>
      <c r="E267" s="220" t="n"/>
      <c r="L267" s="64">
        <f>IF($D267="","",SUM(M267:O267))</f>
        <v/>
      </c>
      <c r="M267" s="64">
        <f>IF($D267="","",COUNTIF(DESIGNAZIONI!M$8:M$1323,$D267))</f>
        <v/>
      </c>
      <c r="N267" s="64">
        <f>IF($D267="","",COUNTIF(DESIGNAZIONI!N$8:N$1323,$D267))</f>
        <v/>
      </c>
      <c r="O267" s="64">
        <f>IF($D267="","",COUNTIF(DESIGNAZIONI!O$8:O$1323,$D267))</f>
        <v/>
      </c>
    </row>
    <row r="268">
      <c r="C268" s="224" t="n"/>
      <c r="D268" s="13" t="inlineStr">
        <is>
          <t>SEVER Diego [A]</t>
        </is>
      </c>
      <c r="E268" s="220" t="n"/>
      <c r="L268" s="64">
        <f>IF($D268="","",SUM(M268:O268))</f>
        <v/>
      </c>
      <c r="M268" s="64">
        <f>IF($D268="","",COUNTIF(DESIGNAZIONI!M$8:M$1323,$D268))</f>
        <v/>
      </c>
      <c r="N268" s="64">
        <f>IF($D268="","",COUNTIF(DESIGNAZIONI!N$8:N$1323,$D268))</f>
        <v/>
      </c>
      <c r="O268" s="64">
        <f>IF($D268="","",COUNTIF(DESIGNAZIONI!O$8:O$1323,$D268))</f>
        <v/>
      </c>
    </row>
    <row r="269">
      <c r="C269" s="224" t="n"/>
      <c r="D269" s="13" t="inlineStr">
        <is>
          <t>FUENTES Eva [A]</t>
        </is>
      </c>
      <c r="E269" s="220" t="n"/>
      <c r="L269" s="64">
        <f>IF($D269="","",SUM(M269:O269))</f>
        <v/>
      </c>
      <c r="M269" s="64">
        <f>IF($D269="","",COUNTIF(DESIGNAZIONI!M$8:M$1323,$D269))</f>
        <v/>
      </c>
      <c r="N269" s="64">
        <f>IF($D269="","",COUNTIF(DESIGNAZIONI!N$8:N$1323,$D269))</f>
        <v/>
      </c>
      <c r="O269" s="64">
        <f>IF($D269="","",COUNTIF(DESIGNAZIONI!O$8:O$1323,$D269))</f>
        <v/>
      </c>
    </row>
    <row r="270">
      <c r="C270" s="224" t="n"/>
      <c r="D270" s="13" t="inlineStr">
        <is>
          <t>KRAJNC Beatrice [Aest]</t>
        </is>
      </c>
      <c r="E270" s="220" t="n"/>
      <c r="L270" s="64">
        <f>IF($D270="","",SUM(M270:O270))</f>
        <v/>
      </c>
      <c r="M270" s="64">
        <f>IF($D270="","",COUNTIF(DESIGNAZIONI!M$8:M$1323,$D270))</f>
        <v/>
      </c>
      <c r="N270" s="64">
        <f>IF($D270="","",COUNTIF(DESIGNAZIONI!N$8:N$1323,$D270))</f>
        <v/>
      </c>
      <c r="O270" s="64">
        <f>IF($D270="","",COUNTIF(DESIGNAZIONI!O$8:O$1323,$D270))</f>
        <v/>
      </c>
    </row>
    <row r="271">
      <c r="C271" s="224" t="n"/>
      <c r="D271" s="13" t="inlineStr">
        <is>
          <t>KOVAC Miha [Aest]</t>
        </is>
      </c>
      <c r="E271" s="220" t="n"/>
      <c r="L271" s="64">
        <f>IF($D271="","",SUM(M271:O271))</f>
        <v/>
      </c>
      <c r="M271" s="64">
        <f>IF($D271="","",COUNTIF(DESIGNAZIONI!M$8:M$1323,$D271))</f>
        <v/>
      </c>
      <c r="N271" s="64">
        <f>IF($D271="","",COUNTIF(DESIGNAZIONI!N$8:N$1323,$D271))</f>
        <v/>
      </c>
      <c r="O271" s="64">
        <f>IF($D271="","",COUNTIF(DESIGNAZIONI!O$8:O$1323,$D271))</f>
        <v/>
      </c>
    </row>
    <row r="272">
      <c r="C272" s="224" t="n"/>
      <c r="D272" s="13" t="inlineStr">
        <is>
          <t>WEBER Andrea [AAt]</t>
        </is>
      </c>
      <c r="E272" s="220" t="n"/>
      <c r="L272" s="64">
        <f>IF($D272="","",SUM(M272:O272))</f>
        <v/>
      </c>
      <c r="M272" s="64">
        <f>IF($D272="","",COUNTIF(DESIGNAZIONI!M$8:M$1323,$D272))</f>
        <v/>
      </c>
      <c r="N272" s="64">
        <f>IF($D272="","",COUNTIF(DESIGNAZIONI!N$8:N$1323,$D272))</f>
        <v/>
      </c>
      <c r="O272" s="64">
        <f>IF($D272="","",COUNTIF(DESIGNAZIONI!O$8:O$1323,$D272))</f>
        <v/>
      </c>
    </row>
    <row r="273">
      <c r="C273" s="224" t="n"/>
      <c r="D273" s="13" t="inlineStr">
        <is>
          <t>NAVARRO Miha [A]</t>
        </is>
      </c>
      <c r="E273" s="220" t="n"/>
      <c r="L273" s="64">
        <f>IF($D273="","",SUM(M273:O273))</f>
        <v/>
      </c>
      <c r="M273" s="64">
        <f>IF($D273="","",COUNTIF(DESIGNAZIONI!M$8:M$1323,$D273))</f>
        <v/>
      </c>
      <c r="N273" s="64">
        <f>IF($D273="","",COUNTIF(DESIGNAZIONI!N$8:N$1323,$D273))</f>
        <v/>
      </c>
      <c r="O273" s="64">
        <f>IF($D273="","",COUNTIF(DESIGNAZIONI!O$8:O$1323,$D273))</f>
        <v/>
      </c>
    </row>
    <row r="274">
      <c r="C274" s="224" t="n"/>
      <c r="D274" s="13" t="inlineStr">
        <is>
          <t>MODIC Miha [A]</t>
        </is>
      </c>
      <c r="E274" s="220" t="n"/>
      <c r="L274" s="64">
        <f>IF($D274="","",SUM(M274:O274))</f>
        <v/>
      </c>
      <c r="M274" s="64">
        <f>IF($D274="","",COUNTIF(DESIGNAZIONI!M$8:M$1323,$D274))</f>
        <v/>
      </c>
      <c r="N274" s="64">
        <f>IF($D274="","",COUNTIF(DESIGNAZIONI!N$8:N$1323,$D274))</f>
        <v/>
      </c>
      <c r="O274" s="64">
        <f>IF($D274="","",COUNTIF(DESIGNAZIONI!O$8:O$1323,$D274))</f>
        <v/>
      </c>
    </row>
    <row r="275">
      <c r="C275" s="224" t="n"/>
      <c r="D275" s="13" t="inlineStr">
        <is>
          <t>ROSSINI Alenka [AAt]</t>
        </is>
      </c>
      <c r="E275" s="220" t="n"/>
      <c r="L275" s="64">
        <f>IF($D275="","",SUM(M275:O275))</f>
        <v/>
      </c>
      <c r="M275" s="64">
        <f>IF($D275="","",COUNTIF(DESIGNAZIONI!M$8:M$1323,$D275))</f>
        <v/>
      </c>
      <c r="N275" s="64">
        <f>IF($D275="","",COUNTIF(DESIGNAZIONI!N$8:N$1323,$D275))</f>
        <v/>
      </c>
      <c r="O275" s="64">
        <f>IF($D275="","",COUNTIF(DESIGNAZIONI!O$8:O$1323,$D275))</f>
        <v/>
      </c>
    </row>
    <row r="276">
      <c r="C276" s="224" t="n"/>
      <c r="D276" s="13" t="inlineStr">
        <is>
          <t>PELLEGRI Valerie [AA]</t>
        </is>
      </c>
      <c r="E276" s="220" t="n"/>
      <c r="L276" s="64">
        <f>IF($D276="","",SUM(M276:O276))</f>
        <v/>
      </c>
      <c r="M276" s="64">
        <f>IF($D276="","",COUNTIF(DESIGNAZIONI!M$8:M$1323,$D276))</f>
        <v/>
      </c>
      <c r="N276" s="64">
        <f>IF($D276="","",COUNTIF(DESIGNAZIONI!N$8:N$1323,$D276))</f>
        <v/>
      </c>
      <c r="O276" s="64">
        <f>IF($D276="","",COUNTIF(DESIGNAZIONI!O$8:O$1323,$D276))</f>
        <v/>
      </c>
    </row>
    <row r="277">
      <c r="C277" s="224" t="n"/>
      <c r="D277" s="13" t="inlineStr">
        <is>
          <t>BLANCHET Lucia [Aest]</t>
        </is>
      </c>
      <c r="E277" s="220" t="n"/>
      <c r="L277" s="64">
        <f>IF($D277="","",SUM(M277:O277))</f>
        <v/>
      </c>
      <c r="M277" s="64">
        <f>IF($D277="","",COUNTIF(DESIGNAZIONI!M$8:M$1323,$D277))</f>
        <v/>
      </c>
      <c r="N277" s="64">
        <f>IF($D277="","",COUNTIF(DESIGNAZIONI!N$8:N$1323,$D277))</f>
        <v/>
      </c>
      <c r="O277" s="64">
        <f>IF($D277="","",COUNTIF(DESIGNAZIONI!O$8:O$1323,$D277))</f>
        <v/>
      </c>
    </row>
    <row r="278">
      <c r="C278" s="224" t="n"/>
      <c r="D278" s="13" t="inlineStr">
        <is>
          <t>SANTORI Eva [AAt]</t>
        </is>
      </c>
      <c r="E278" s="220" t="n"/>
      <c r="L278" s="64">
        <f>IF($D278="","",SUM(M278:O278))</f>
        <v/>
      </c>
      <c r="M278" s="64">
        <f>IF($D278="","",COUNTIF(DESIGNAZIONI!M$8:M$1323,$D278))</f>
        <v/>
      </c>
      <c r="N278" s="64">
        <f>IF($D278="","",COUNTIF(DESIGNAZIONI!N$8:N$1323,$D278))</f>
        <v/>
      </c>
      <c r="O278" s="64">
        <f>IF($D278="","",COUNTIF(DESIGNAZIONI!O$8:O$1323,$D278))</f>
        <v/>
      </c>
    </row>
    <row r="279">
      <c r="C279" s="224" t="n"/>
      <c r="D279" s="13" t="inlineStr">
        <is>
          <t>VALLET Stefano [AAt]</t>
        </is>
      </c>
      <c r="E279" s="220" t="n"/>
      <c r="L279" s="64">
        <f>IF($D279="","",SUM(M279:O279))</f>
        <v/>
      </c>
      <c r="M279" s="64">
        <f>IF($D279="","",COUNTIF(DESIGNAZIONI!M$8:M$1323,$D279))</f>
        <v/>
      </c>
      <c r="N279" s="64">
        <f>IF($D279="","",COUNTIF(DESIGNAZIONI!N$8:N$1323,$D279))</f>
        <v/>
      </c>
      <c r="O279" s="64">
        <f>IF($D279="","",COUNTIF(DESIGNAZIONI!O$8:O$1323,$D279))</f>
        <v/>
      </c>
    </row>
    <row r="280">
      <c r="C280" s="224" t="n"/>
      <c r="D280" s="13" t="inlineStr">
        <is>
          <t>MARCHIONI Paolo [AAt]</t>
        </is>
      </c>
      <c r="E280" s="220" t="n"/>
      <c r="L280" s="64">
        <f>IF($D280="","",SUM(M280:O280))</f>
        <v/>
      </c>
      <c r="M280" s="64">
        <f>IF($D280="","",COUNTIF(DESIGNAZIONI!M$8:M$1323,$D280))</f>
        <v/>
      </c>
      <c r="N280" s="64">
        <f>IF($D280="","",COUNTIF(DESIGNAZIONI!N$8:N$1323,$D280))</f>
        <v/>
      </c>
      <c r="O280" s="64">
        <f>IF($D280="","",COUNTIF(DESIGNAZIONI!O$8:O$1323,$D280))</f>
        <v/>
      </c>
    </row>
    <row r="281">
      <c r="C281" s="224" t="n"/>
      <c r="D281" s="13" t="inlineStr">
        <is>
          <t>FUENTES Irene [AA]</t>
        </is>
      </c>
      <c r="E281" s="220" t="n"/>
      <c r="L281" s="64">
        <f>IF($D281="","",SUM(M281:O281))</f>
        <v/>
      </c>
      <c r="M281" s="64">
        <f>IF($D281="","",COUNTIF(DESIGNAZIONI!M$8:M$1323,$D281))</f>
        <v/>
      </c>
      <c r="N281" s="64">
        <f>IF($D281="","",COUNTIF(DESIGNAZIONI!N$8:N$1323,$D281))</f>
        <v/>
      </c>
      <c r="O281" s="64">
        <f>IF($D281="","",COUNTIF(DESIGNAZIONI!O$8:O$1323,$D281))</f>
        <v/>
      </c>
    </row>
    <row r="282">
      <c r="C282" s="224" t="n"/>
      <c r="D282" s="13" t="inlineStr">
        <is>
          <t>NADAUD Paula [Aest]</t>
        </is>
      </c>
      <c r="E282" s="220" t="n"/>
      <c r="L282" s="64">
        <f>IF($D282="","",SUM(M282:O282))</f>
        <v/>
      </c>
      <c r="M282" s="64">
        <f>IF($D282="","",COUNTIF(DESIGNAZIONI!M$8:M$1323,$D282))</f>
        <v/>
      </c>
      <c r="N282" s="64">
        <f>IF($D282="","",COUNTIF(DESIGNAZIONI!N$8:N$1323,$D282))</f>
        <v/>
      </c>
      <c r="O282" s="64">
        <f>IF($D282="","",COUNTIF(DESIGNAZIONI!O$8:O$1323,$D282))</f>
        <v/>
      </c>
    </row>
    <row r="283">
      <c r="C283" s="224" t="n"/>
      <c r="D283" s="13" t="inlineStr">
        <is>
          <t>MORETTO Anja [Aest]</t>
        </is>
      </c>
      <c r="E283" s="220" t="n"/>
      <c r="L283" s="64">
        <f>IF($D283="","",SUM(M283:O283))</f>
        <v/>
      </c>
      <c r="M283" s="64">
        <f>IF($D283="","",COUNTIF(DESIGNAZIONI!M$8:M$1323,$D283))</f>
        <v/>
      </c>
      <c r="N283" s="64">
        <f>IF($D283="","",COUNTIF(DESIGNAZIONI!N$8:N$1323,$D283))</f>
        <v/>
      </c>
      <c r="O283" s="64">
        <f>IF($D283="","",COUNTIF(DESIGNAZIONI!O$8:O$1323,$D283))</f>
        <v/>
      </c>
    </row>
    <row r="284">
      <c r="C284" s="224" t="n"/>
      <c r="D284" s="13" t="inlineStr">
        <is>
          <t>GALLINI Gaelle [A]</t>
        </is>
      </c>
      <c r="E284" s="220" t="n"/>
      <c r="L284" s="64">
        <f>IF($D284="","",SUM(M284:O284))</f>
        <v/>
      </c>
      <c r="M284" s="64">
        <f>IF($D284="","",COUNTIF(DESIGNAZIONI!M$8:M$1323,$D284))</f>
        <v/>
      </c>
      <c r="N284" s="64">
        <f>IF($D284="","",COUNTIF(DESIGNAZIONI!N$8:N$1323,$D284))</f>
        <v/>
      </c>
      <c r="O284" s="64">
        <f>IF($D284="","",COUNTIF(DESIGNAZIONI!O$8:O$1323,$D284))</f>
        <v/>
      </c>
    </row>
    <row r="285">
      <c r="C285" s="224" t="n"/>
      <c r="D285" s="13" t="inlineStr">
        <is>
          <t>LEFEVRE Filippo [AA]</t>
        </is>
      </c>
      <c r="E285" s="220" t="n"/>
      <c r="L285" s="64">
        <f>IF($D285="","",SUM(M285:O285))</f>
        <v/>
      </c>
      <c r="M285" s="64">
        <f>IF($D285="","",COUNTIF(DESIGNAZIONI!M$8:M$1323,$D285))</f>
        <v/>
      </c>
      <c r="N285" s="64">
        <f>IF($D285="","",COUNTIF(DESIGNAZIONI!N$8:N$1323,$D285))</f>
        <v/>
      </c>
      <c r="O285" s="64">
        <f>IF($D285="","",COUNTIF(DESIGNAZIONI!O$8:O$1323,$D285))</f>
        <v/>
      </c>
    </row>
    <row r="286">
      <c r="C286" s="224" t="n"/>
      <c r="D286" s="13" t="inlineStr">
        <is>
          <t>VIDMAR Greta [Aest]</t>
        </is>
      </c>
      <c r="E286" s="220" t="n"/>
      <c r="L286" s="64">
        <f>IF($D286="","",SUM(M286:O286))</f>
        <v/>
      </c>
      <c r="M286" s="64">
        <f>IF($D286="","",COUNTIF(DESIGNAZIONI!M$8:M$1323,$D286))</f>
        <v/>
      </c>
      <c r="N286" s="64">
        <f>IF($D286="","",COUNTIF(DESIGNAZIONI!N$8:N$1323,$D286))</f>
        <v/>
      </c>
      <c r="O286" s="64">
        <f>IF($D286="","",COUNTIF(DESIGNAZIONI!O$8:O$1323,$D286))</f>
        <v/>
      </c>
    </row>
    <row r="287">
      <c r="C287" s="224" t="n"/>
      <c r="D287" s="13" t="inlineStr">
        <is>
          <t>HORVAT Vid [A]</t>
        </is>
      </c>
      <c r="E287" s="220" t="n"/>
      <c r="L287" s="64">
        <f>IF($D287="","",SUM(M287:O287))</f>
        <v/>
      </c>
      <c r="M287" s="64">
        <f>IF($D287="","",COUNTIF(DESIGNAZIONI!M$8:M$1323,$D287))</f>
        <v/>
      </c>
      <c r="N287" s="64">
        <f>IF($D287="","",COUNTIF(DESIGNAZIONI!N$8:N$1323,$D287))</f>
        <v/>
      </c>
      <c r="O287" s="64">
        <f>IF($D287="","",COUNTIF(DESIGNAZIONI!O$8:O$1323,$D287))</f>
        <v/>
      </c>
    </row>
    <row r="288">
      <c r="C288" s="224" t="n"/>
      <c r="D288" s="13" t="inlineStr">
        <is>
          <t>HOFFMANN Gaelle [AA]</t>
        </is>
      </c>
      <c r="E288" s="220" t="n"/>
      <c r="L288" s="64">
        <f>IF($D288="","",SUM(M288:O288))</f>
        <v/>
      </c>
      <c r="M288" s="64">
        <f>IF($D288="","",COUNTIF(DESIGNAZIONI!M$8:M$1323,$D288))</f>
        <v/>
      </c>
      <c r="N288" s="64">
        <f>IF($D288="","",COUNTIF(DESIGNAZIONI!N$8:N$1323,$D288))</f>
        <v/>
      </c>
      <c r="O288" s="64">
        <f>IF($D288="","",COUNTIF(DESIGNAZIONI!O$8:O$1323,$D288))</f>
        <v/>
      </c>
    </row>
    <row r="289">
      <c r="C289" s="224" t="n"/>
      <c r="D289" s="13" t="inlineStr">
        <is>
          <t>ROTH Martina [AA]</t>
        </is>
      </c>
      <c r="E289" s="220" t="n"/>
      <c r="L289" s="64">
        <f>IF($D289="","",SUM(M289:O289))</f>
        <v/>
      </c>
      <c r="M289" s="64">
        <f>IF($D289="","",COUNTIF(DESIGNAZIONI!M$8:M$1323,$D289))</f>
        <v/>
      </c>
      <c r="N289" s="64">
        <f>IF($D289="","",COUNTIF(DESIGNAZIONI!N$8:N$1323,$D289))</f>
        <v/>
      </c>
      <c r="O289" s="64">
        <f>IF($D289="","",COUNTIF(DESIGNAZIONI!O$8:O$1323,$D289))</f>
        <v/>
      </c>
    </row>
    <row r="290">
      <c r="C290" s="224" t="n"/>
      <c r="D290" s="13" t="inlineStr">
        <is>
          <t>OBLAK Valerie [AA]</t>
        </is>
      </c>
      <c r="E290" s="220" t="n"/>
      <c r="L290" s="64">
        <f>IF($D290="","",SUM(M290:O290))</f>
        <v/>
      </c>
      <c r="M290" s="64">
        <f>IF($D290="","",COUNTIF(DESIGNAZIONI!M$8:M$1323,$D290))</f>
        <v/>
      </c>
      <c r="N290" s="64">
        <f>IF($D290="","",COUNTIF(DESIGNAZIONI!N$8:N$1323,$D290))</f>
        <v/>
      </c>
      <c r="O290" s="64">
        <f>IF($D290="","",COUNTIF(DESIGNAZIONI!O$8:O$1323,$D290))</f>
        <v/>
      </c>
    </row>
    <row r="291">
      <c r="C291" s="224" t="n"/>
      <c r="D291" s="13" t="inlineStr">
        <is>
          <t>MORETTO Ottavia [A]</t>
        </is>
      </c>
      <c r="E291" s="220" t="n"/>
      <c r="L291" s="64">
        <f>IF($D291="","",SUM(M291:O291))</f>
        <v/>
      </c>
      <c r="M291" s="64">
        <f>IF($D291="","",COUNTIF(DESIGNAZIONI!M$8:M$1323,$D291))</f>
        <v/>
      </c>
      <c r="N291" s="64">
        <f>IF($D291="","",COUNTIF(DESIGNAZIONI!N$8:N$1323,$D291))</f>
        <v/>
      </c>
      <c r="O291" s="64">
        <f>IF($D291="","",COUNTIF(DESIGNAZIONI!O$8:O$1323,$D291))</f>
        <v/>
      </c>
    </row>
    <row r="292">
      <c r="C292" s="224" t="n"/>
      <c r="D292" s="13" t="inlineStr">
        <is>
          <t>ENGEL Filippo [A]</t>
        </is>
      </c>
      <c r="E292" s="220" t="n"/>
      <c r="L292" s="64">
        <f>IF($D292="","",SUM(M292:O292))</f>
        <v/>
      </c>
      <c r="M292" s="64">
        <f>IF($D292="","",COUNTIF(DESIGNAZIONI!M$8:M$1323,$D292))</f>
        <v/>
      </c>
      <c r="N292" s="64">
        <f>IF($D292="","",COUNTIF(DESIGNAZIONI!N$8:N$1323,$D292))</f>
        <v/>
      </c>
      <c r="O292" s="64">
        <f>IF($D292="","",COUNTIF(DESIGNAZIONI!O$8:O$1323,$D292))</f>
        <v/>
      </c>
    </row>
    <row r="293">
      <c r="C293" s="224" t="n"/>
      <c r="D293" s="13" t="inlineStr">
        <is>
          <t>FERRANTE Luca [AAt]</t>
        </is>
      </c>
      <c r="E293" s="220" t="n"/>
      <c r="L293" s="64">
        <f>IF($D293="","",SUM(M293:O293))</f>
        <v/>
      </c>
      <c r="M293" s="64">
        <f>IF($D293="","",COUNTIF(DESIGNAZIONI!M$8:M$1323,$D293))</f>
        <v/>
      </c>
      <c r="N293" s="64">
        <f>IF($D293="","",COUNTIF(DESIGNAZIONI!N$8:N$1323,$D293))</f>
        <v/>
      </c>
      <c r="O293" s="64">
        <f>IF($D293="","",COUNTIF(DESIGNAZIONI!O$8:O$1323,$D293))</f>
        <v/>
      </c>
    </row>
    <row r="294">
      <c r="C294" s="224" t="n"/>
      <c r="D294" s="13" t="inlineStr">
        <is>
          <t>VIDMAR Stefano [AAt]</t>
        </is>
      </c>
      <c r="E294" s="220" t="n"/>
      <c r="L294" s="64">
        <f>IF($D294="","",SUM(M294:O294))</f>
        <v/>
      </c>
      <c r="M294" s="64">
        <f>IF($D294="","",COUNTIF(DESIGNAZIONI!M$8:M$1323,$D294))</f>
        <v/>
      </c>
      <c r="N294" s="64">
        <f>IF($D294="","",COUNTIF(DESIGNAZIONI!N$8:N$1323,$D294))</f>
        <v/>
      </c>
      <c r="O294" s="64">
        <f>IF($D294="","",COUNTIF(DESIGNAZIONI!O$8:O$1323,$D294))</f>
        <v/>
      </c>
    </row>
    <row r="295">
      <c r="C295" s="224" t="n"/>
      <c r="D295" s="13" t="inlineStr">
        <is>
          <t>LEFEVRE Paula [A]</t>
        </is>
      </c>
      <c r="E295" s="220" t="n"/>
      <c r="L295" s="64">
        <f>IF($D295="","",SUM(M295:O295))</f>
        <v/>
      </c>
      <c r="M295" s="64">
        <f>IF($D295="","",COUNTIF(DESIGNAZIONI!M$8:M$1323,$D295))</f>
        <v/>
      </c>
      <c r="N295" s="64">
        <f>IF($D295="","",COUNTIF(DESIGNAZIONI!N$8:N$1323,$D295))</f>
        <v/>
      </c>
      <c r="O295" s="64">
        <f>IF($D295="","",COUNTIF(DESIGNAZIONI!O$8:O$1323,$D295))</f>
        <v/>
      </c>
    </row>
    <row r="296">
      <c r="C296" s="224" t="n"/>
      <c r="D296" s="13" t="inlineStr">
        <is>
          <t>PELLEGRI Eva [AA]</t>
        </is>
      </c>
      <c r="E296" s="220" t="n"/>
      <c r="L296" s="64">
        <f>IF($D296="","",SUM(M296:O296))</f>
        <v/>
      </c>
      <c r="M296" s="64">
        <f>IF($D296="","",COUNTIF(DESIGNAZIONI!M$8:M$1323,$D296))</f>
        <v/>
      </c>
      <c r="N296" s="64">
        <f>IF($D296="","",COUNTIF(DESIGNAZIONI!N$8:N$1323,$D296))</f>
        <v/>
      </c>
      <c r="O296" s="64">
        <f>IF($D296="","",COUNTIF(DESIGNAZIONI!O$8:O$1323,$D296))</f>
        <v/>
      </c>
    </row>
    <row r="297">
      <c r="C297" s="224" t="n"/>
      <c r="D297" s="13" t="inlineStr">
        <is>
          <t>CAMPOS Ilaria [A]</t>
        </is>
      </c>
      <c r="E297" s="220" t="n"/>
      <c r="L297" s="64">
        <f>IF($D297="","",SUM(M297:O297))</f>
        <v/>
      </c>
      <c r="M297" s="64">
        <f>IF($D297="","",COUNTIF(DESIGNAZIONI!M$8:M$1323,$D297))</f>
        <v/>
      </c>
      <c r="N297" s="64">
        <f>IF($D297="","",COUNTIF(DESIGNAZIONI!N$8:N$1323,$D297))</f>
        <v/>
      </c>
      <c r="O297" s="64">
        <f>IF($D297="","",COUNTIF(DESIGNAZIONI!O$8:O$1323,$D297))</f>
        <v/>
      </c>
    </row>
    <row r="298">
      <c r="C298" s="224" t="n"/>
      <c r="D298" s="13" t="inlineStr">
        <is>
          <t>VOGEL Stefano [AAt]</t>
        </is>
      </c>
      <c r="E298" s="220" t="n"/>
      <c r="L298" s="64">
        <f>IF($D298="","",SUM(M298:O298))</f>
        <v/>
      </c>
      <c r="M298" s="64">
        <f>IF($D298="","",COUNTIF(DESIGNAZIONI!M$8:M$1323,$D298))</f>
        <v/>
      </c>
      <c r="N298" s="64">
        <f>IF($D298="","",COUNTIF(DESIGNAZIONI!N$8:N$1323,$D298))</f>
        <v/>
      </c>
      <c r="O298" s="64">
        <f>IF($D298="","",COUNTIF(DESIGNAZIONI!O$8:O$1323,$D298))</f>
        <v/>
      </c>
    </row>
    <row r="299">
      <c r="C299" s="224" t="n"/>
      <c r="D299" s="13" t="inlineStr">
        <is>
          <t>FERRANTE Filippo [AAt]</t>
        </is>
      </c>
      <c r="E299" s="220" t="n"/>
      <c r="L299" s="64">
        <f>IF($D299="","",SUM(M299:O299))</f>
        <v/>
      </c>
      <c r="M299" s="64">
        <f>IF($D299="","",COUNTIF(DESIGNAZIONI!M$8:M$1323,$D299))</f>
        <v/>
      </c>
      <c r="N299" s="64">
        <f>IF($D299="","",COUNTIF(DESIGNAZIONI!N$8:N$1323,$D299))</f>
        <v/>
      </c>
      <c r="O299" s="64">
        <f>IF($D299="","",COUNTIF(DESIGNAZIONI!O$8:O$1323,$D299))</f>
        <v/>
      </c>
    </row>
    <row r="300">
      <c r="C300" s="224" t="n"/>
      <c r="D300" s="13" t="inlineStr">
        <is>
          <t>ZUPAN Beatrice [AAt]</t>
        </is>
      </c>
      <c r="E300" s="220" t="n"/>
      <c r="L300" s="64">
        <f>IF($D300="","",SUM(M300:O300))</f>
        <v/>
      </c>
      <c r="M300" s="64">
        <f>IF($D300="","",COUNTIF(DESIGNAZIONI!M$8:M$1323,$D300))</f>
        <v/>
      </c>
      <c r="N300" s="64">
        <f>IF($D300="","",COUNTIF(DESIGNAZIONI!N$8:N$1323,$D300))</f>
        <v/>
      </c>
      <c r="O300" s="64">
        <f>IF($D300="","",COUNTIF(DESIGNAZIONI!O$8:O$1323,$D300))</f>
        <v/>
      </c>
    </row>
    <row r="301">
      <c r="C301" s="224" t="n"/>
      <c r="D301" s="13" t="inlineStr">
        <is>
          <t>VIDMAR Pablo [Aest]</t>
        </is>
      </c>
      <c r="E301" s="220" t="n"/>
      <c r="L301" s="64">
        <f>IF($D301="","",SUM(M301:O301))</f>
        <v/>
      </c>
      <c r="M301" s="64">
        <f>IF($D301="","",COUNTIF(DESIGNAZIONI!M$8:M$1323,$D301))</f>
        <v/>
      </c>
      <c r="N301" s="64">
        <f>IF($D301="","",COUNTIF(DESIGNAZIONI!N$8:N$1323,$D301))</f>
        <v/>
      </c>
      <c r="O301" s="64">
        <f>IF($D301="","",COUNTIF(DESIGNAZIONI!O$8:O$1323,$D301))</f>
        <v/>
      </c>
    </row>
    <row r="302">
      <c r="C302" s="224" t="n"/>
      <c r="D302" s="13" t="inlineStr">
        <is>
          <t>WEBER Lucia [AA]</t>
        </is>
      </c>
      <c r="E302" s="220" t="n"/>
      <c r="L302" s="64">
        <f>IF($D302="","",SUM(M302:O302))</f>
        <v/>
      </c>
      <c r="M302" s="64">
        <f>IF($D302="","",COUNTIF(DESIGNAZIONI!M$8:M$1323,$D302))</f>
        <v/>
      </c>
      <c r="N302" s="64">
        <f>IF($D302="","",COUNTIF(DESIGNAZIONI!N$8:N$1323,$D302))</f>
        <v/>
      </c>
      <c r="O302" s="64">
        <f>IF($D302="","",COUNTIF(DESIGNAZIONI!O$8:O$1323,$D302))</f>
        <v/>
      </c>
    </row>
    <row r="303">
      <c r="C303" s="224" t="n"/>
      <c r="D303" s="13" t="inlineStr">
        <is>
          <t>BRANDT Felix [A]</t>
        </is>
      </c>
      <c r="E303" s="220" t="n"/>
      <c r="L303" s="64">
        <f>IF($D303="","",SUM(M303:O303))</f>
        <v/>
      </c>
      <c r="M303" s="64">
        <f>IF($D303="","",COUNTIF(DESIGNAZIONI!M$8:M$1323,$D303))</f>
        <v/>
      </c>
      <c r="N303" s="64">
        <f>IF($D303="","",COUNTIF(DESIGNAZIONI!N$8:N$1323,$D303))</f>
        <v/>
      </c>
      <c r="O303" s="64">
        <f>IF($D303="","",COUNTIF(DESIGNAZIONI!O$8:O$1323,$D303))</f>
        <v/>
      </c>
    </row>
    <row r="304">
      <c r="C304" s="224" t="n"/>
      <c r="D304" s="13" t="inlineStr">
        <is>
          <t>KELLER Marco [Aest]</t>
        </is>
      </c>
      <c r="E304" s="220" t="n"/>
      <c r="L304" s="64">
        <f>IF($D304="","",SUM(M304:O304))</f>
        <v/>
      </c>
      <c r="M304" s="64">
        <f>IF($D304="","",COUNTIF(DESIGNAZIONI!M$8:M$1323,$D304))</f>
        <v/>
      </c>
      <c r="N304" s="64">
        <f>IF($D304="","",COUNTIF(DESIGNAZIONI!N$8:N$1323,$D304))</f>
        <v/>
      </c>
      <c r="O304" s="64">
        <f>IF($D304="","",COUNTIF(DESIGNAZIONI!O$8:O$1323,$D304))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constNomeCampionato&amp;""</f>
        <v/>
      </c>
    </row>
    <row r="2">
      <c r="A2" s="219">
        <f>"Ufficiali di campo - Stagione "&amp;constStagionaCampionato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inlineStr">
        <is>
          <t>MARCHIONI Irene</t>
        </is>
      </c>
      <c r="E5" s="220" t="n"/>
      <c r="L5" s="64">
        <f>IF($D5="","",SUM(M5:O5))</f>
        <v/>
      </c>
      <c r="M5" s="64">
        <f>IF($D5="","",COUNTIF(DESIGNAZIONI!P$8:P$1323,$D5))</f>
        <v/>
      </c>
      <c r="N5" s="64">
        <f>IF($D5="","",COUNTIF(DESIGNAZIONI!Q$8:Q$1323,$D5))</f>
        <v/>
      </c>
      <c r="O5" s="64">
        <f>IF($D5="","",COUNTIF(DESIGNAZIONI!R$8:R$1323,$D5))</f>
        <v/>
      </c>
    </row>
    <row r="6">
      <c r="C6" s="224" t="n"/>
      <c r="D6" s="13" t="inlineStr">
        <is>
          <t>VOGEL Irene</t>
        </is>
      </c>
      <c r="E6" s="220" t="n"/>
      <c r="L6" s="64">
        <f>IF($D6="","",SUM(M6:O6))</f>
        <v/>
      </c>
      <c r="M6" s="64">
        <f>IF($D6="","",COUNTIF(DESIGNAZIONI!P$8:P$1323,$D6))</f>
        <v/>
      </c>
      <c r="N6" s="64">
        <f>IF($D6="","",COUNTIF(DESIGNAZIONI!Q$8:Q$1323,$D6))</f>
        <v/>
      </c>
      <c r="O6" s="64">
        <f>IF($D6="","",COUNTIF(DESIGNAZIONI!R$8:R$1323,$D6))</f>
        <v/>
      </c>
    </row>
    <row r="7">
      <c r="C7" s="224" t="n"/>
      <c r="D7" s="13" t="inlineStr">
        <is>
          <t>ORTEGA Alenka</t>
        </is>
      </c>
      <c r="E7" s="220" t="n"/>
      <c r="L7" s="64">
        <f>IF($D7="","",SUM(M7:O7))</f>
        <v/>
      </c>
      <c r="M7" s="64">
        <f>IF($D7="","",COUNTIF(DESIGNAZIONI!P$8:P$1323,$D7))</f>
        <v/>
      </c>
      <c r="N7" s="64">
        <f>IF($D7="","",COUNTIF(DESIGNAZIONI!Q$8:Q$1323,$D7))</f>
        <v/>
      </c>
      <c r="O7" s="64">
        <f>IF($D7="","",COUNTIF(DESIGNAZIONI!R$8:R$1323,$D7))</f>
        <v/>
      </c>
    </row>
    <row r="8">
      <c r="C8" s="224" t="n"/>
      <c r="D8" s="13" t="inlineStr">
        <is>
          <t>BELLANDI Irene</t>
        </is>
      </c>
      <c r="E8" s="220" t="n"/>
      <c r="L8" s="64">
        <f>IF($D8="","",SUM(M8:O8))</f>
        <v/>
      </c>
      <c r="M8" s="64">
        <f>IF($D8="","",COUNTIF(DESIGNAZIONI!P$8:P$1323,$D8))</f>
        <v/>
      </c>
      <c r="N8" s="64">
        <f>IF($D8="","",COUNTIF(DESIGNAZIONI!Q$8:Q$1323,$D8))</f>
        <v/>
      </c>
      <c r="O8" s="64">
        <f>IF($D8="","",COUNTIF(DESIGNAZIONI!R$8:R$1323,$D8))</f>
        <v/>
      </c>
    </row>
    <row r="9">
      <c r="C9" s="224" t="n"/>
      <c r="D9" s="13" t="inlineStr">
        <is>
          <t>BLANCHET Matteo</t>
        </is>
      </c>
      <c r="E9" s="220" t="n"/>
      <c r="L9" s="64">
        <f>IF($D9="","",SUM(M9:O9))</f>
        <v/>
      </c>
      <c r="M9" s="64">
        <f>IF($D9="","",COUNTIF(DESIGNAZIONI!P$8:P$1323,$D9))</f>
        <v/>
      </c>
      <c r="N9" s="64">
        <f>IF($D9="","",COUNTIF(DESIGNAZIONI!Q$8:Q$1323,$D9))</f>
        <v/>
      </c>
      <c r="O9" s="64">
        <f>IF($D9="","",COUNTIF(DESIGNAZIONI!R$8:R$1323,$D9))</f>
        <v/>
      </c>
    </row>
    <row r="10">
      <c r="C10" s="224" t="n"/>
      <c r="D10" s="13" t="inlineStr">
        <is>
          <t>LEFEVRE Filippo</t>
        </is>
      </c>
      <c r="E10" s="220" t="n"/>
      <c r="L10" s="64">
        <f>IF($D10="","",SUM(M10:O10))</f>
        <v/>
      </c>
      <c r="M10" s="64">
        <f>IF($D10="","",COUNTIF(DESIGNAZIONI!P$8:P$1323,$D10))</f>
        <v/>
      </c>
      <c r="N10" s="64">
        <f>IF($D10="","",COUNTIF(DESIGNAZIONI!Q$8:Q$1323,$D10))</f>
        <v/>
      </c>
      <c r="O10" s="64">
        <f>IF($D10="","",COUNTIF(DESIGNAZIONI!R$8:R$1323,$D10))</f>
        <v/>
      </c>
    </row>
    <row r="11">
      <c r="C11" s="224" t="n"/>
      <c r="D11" s="13" t="inlineStr">
        <is>
          <t>BELLANDI Giulia</t>
        </is>
      </c>
      <c r="E11" s="220" t="n"/>
      <c r="L11" s="64">
        <f>IF($D11="","",SUM(M11:O11))</f>
        <v/>
      </c>
      <c r="M11" s="64">
        <f>IF($D11="","",COUNTIF(DESIGNAZIONI!P$8:P$1323,$D11))</f>
        <v/>
      </c>
      <c r="N11" s="64">
        <f>IF($D11="","",COUNTIF(DESIGNAZIONI!Q$8:Q$1323,$D11))</f>
        <v/>
      </c>
      <c r="O11" s="64">
        <f>IF($D11="","",COUNTIF(DESIGNAZIONI!R$8:R$1323,$D11))</f>
        <v/>
      </c>
    </row>
    <row r="12">
      <c r="C12" s="224" t="n"/>
      <c r="D12" s="13" t="inlineStr">
        <is>
          <t>VIDMAR Ilaria</t>
        </is>
      </c>
      <c r="E12" s="220" t="n"/>
      <c r="L12" s="64">
        <f>IF($D12="","",SUM(M12:O12))</f>
        <v/>
      </c>
      <c r="M12" s="64">
        <f>IF($D12="","",COUNTIF(DESIGNAZIONI!P$8:P$1323,$D12))</f>
        <v/>
      </c>
      <c r="N12" s="64">
        <f>IF($D12="","",COUNTIF(DESIGNAZIONI!Q$8:Q$1323,$D12))</f>
        <v/>
      </c>
      <c r="O12" s="64">
        <f>IF($D12="","",COUNTIF(DESIGNAZIONI!R$8:R$1323,$D12))</f>
        <v/>
      </c>
    </row>
    <row r="13">
      <c r="C13" s="224" t="n"/>
      <c r="D13" s="13" t="inlineStr">
        <is>
          <t>GAUTHIER Filippo</t>
        </is>
      </c>
      <c r="E13" s="220" t="n"/>
      <c r="L13" s="64">
        <f>IF($D13="","",SUM(M13:O13))</f>
        <v/>
      </c>
      <c r="M13" s="64">
        <f>IF($D13="","",COUNTIF(DESIGNAZIONI!P$8:P$1323,$D13))</f>
        <v/>
      </c>
      <c r="N13" s="64">
        <f>IF($D13="","",COUNTIF(DESIGNAZIONI!Q$8:Q$1323,$D13))</f>
        <v/>
      </c>
      <c r="O13" s="64">
        <f>IF($D13="","",COUNTIF(DESIGNAZIONI!R$8:R$1323,$D13))</f>
        <v/>
      </c>
    </row>
    <row r="14">
      <c r="C14" s="224" t="n"/>
      <c r="D14" s="13" t="inlineStr">
        <is>
          <t>GAUTHIER Diego</t>
        </is>
      </c>
      <c r="E14" s="220" t="n"/>
      <c r="L14" s="64">
        <f>IF($D14="","",SUM(M14:O14))</f>
        <v/>
      </c>
      <c r="M14" s="64">
        <f>IF($D14="","",COUNTIF(DESIGNAZIONI!P$8:P$1323,$D14))</f>
        <v/>
      </c>
      <c r="N14" s="64">
        <f>IF($D14="","",COUNTIF(DESIGNAZIONI!Q$8:Q$1323,$D14))</f>
        <v/>
      </c>
      <c r="O14" s="64">
        <f>IF($D14="","",COUNTIF(DESIGNAZIONI!R$8:R$1323,$D14))</f>
        <v/>
      </c>
    </row>
    <row r="15">
      <c r="C15" s="224" t="n"/>
      <c r="D15" s="13" t="inlineStr">
        <is>
          <t>SOLER Stefano</t>
        </is>
      </c>
      <c r="E15" s="220" t="n"/>
      <c r="L15" s="64">
        <f>IF($D15="","",SUM(M15:O15))</f>
        <v/>
      </c>
      <c r="M15" s="64">
        <f>IF($D15="","",COUNTIF(DESIGNAZIONI!P$8:P$1323,$D15))</f>
        <v/>
      </c>
      <c r="N15" s="64">
        <f>IF($D15="","",COUNTIF(DESIGNAZIONI!Q$8:Q$1323,$D15))</f>
        <v/>
      </c>
      <c r="O15" s="64">
        <f>IF($D15="","",COUNTIF(DESIGNAZIONI!R$8:R$1323,$D15))</f>
        <v/>
      </c>
    </row>
    <row r="16">
      <c r="C16" s="224" t="n"/>
      <c r="D16" s="13" t="inlineStr">
        <is>
          <t>PELLEGRI Lea</t>
        </is>
      </c>
      <c r="E16" s="220" t="n"/>
      <c r="L16" s="64">
        <f>IF($D16="","",SUM(M16:O16))</f>
        <v/>
      </c>
      <c r="M16" s="64">
        <f>IF($D16="","",COUNTIF(DESIGNAZIONI!P$8:P$1323,$D16))</f>
        <v/>
      </c>
      <c r="N16" s="64">
        <f>IF($D16="","",COUNTIF(DESIGNAZIONI!Q$8:Q$1323,$D16))</f>
        <v/>
      </c>
      <c r="O16" s="64">
        <f>IF($D16="","",COUNTIF(DESIGNAZIONI!R$8:R$1323,$D16))</f>
        <v/>
      </c>
    </row>
    <row r="17">
      <c r="C17" s="224" t="n"/>
      <c r="D17" s="13" t="inlineStr">
        <is>
          <t>HORVAT Matteo</t>
        </is>
      </c>
      <c r="E17" s="220" t="n"/>
      <c r="L17" s="64">
        <f>IF($D17="","",SUM(M17:O17))</f>
        <v/>
      </c>
      <c r="M17" s="64">
        <f>IF($D17="","",COUNTIF(DESIGNAZIONI!P$8:P$1323,$D17))</f>
        <v/>
      </c>
      <c r="N17" s="64">
        <f>IF($D17="","",COUNTIF(DESIGNAZIONI!Q$8:Q$1323,$D17))</f>
        <v/>
      </c>
      <c r="O17" s="64">
        <f>IF($D17="","",COUNTIF(DESIGNAZIONI!R$8:R$1323,$D17))</f>
        <v/>
      </c>
    </row>
    <row r="18">
      <c r="C18" s="224" t="n"/>
      <c r="D18" s="13" t="inlineStr">
        <is>
          <t>FOURNIER Lucia</t>
        </is>
      </c>
      <c r="E18" s="220" t="n"/>
      <c r="L18" s="64">
        <f>IF($D18="","",SUM(M18:O18))</f>
        <v/>
      </c>
      <c r="M18" s="64">
        <f>IF($D18="","",COUNTIF(DESIGNAZIONI!P$8:P$1323,$D18))</f>
        <v/>
      </c>
      <c r="N18" s="64">
        <f>IF($D18="","",COUNTIF(DESIGNAZIONI!Q$8:Q$1323,$D18))</f>
        <v/>
      </c>
      <c r="O18" s="64">
        <f>IF($D18="","",COUNTIF(DESIGNAZIONI!R$8:R$1323,$D18))</f>
        <v/>
      </c>
    </row>
    <row r="19">
      <c r="C19" s="224" t="n"/>
      <c r="D19" s="13" t="inlineStr">
        <is>
          <t>SOLER Pablo</t>
        </is>
      </c>
      <c r="E19" s="220" t="n"/>
      <c r="L19" s="64">
        <f>IF($D19="","",SUM(M19:O19))</f>
        <v/>
      </c>
      <c r="M19" s="64">
        <f>IF($D19="","",COUNTIF(DESIGNAZIONI!P$8:P$1323,$D19))</f>
        <v/>
      </c>
      <c r="N19" s="64">
        <f>IF($D19="","",COUNTIF(DESIGNAZIONI!Q$8:Q$1323,$D19))</f>
        <v/>
      </c>
      <c r="O19" s="64">
        <f>IF($D19="","",COUNTIF(DESIGNAZIONI!R$8:R$1323,$D19))</f>
        <v/>
      </c>
    </row>
    <row r="20">
      <c r="C20" s="224" t="n"/>
      <c r="D20" s="13" t="inlineStr">
        <is>
          <t>GAUTHIER Andrea</t>
        </is>
      </c>
      <c r="E20" s="220" t="n"/>
      <c r="L20" s="64">
        <f>IF($D20="","",SUM(M20:O20))</f>
        <v/>
      </c>
      <c r="M20" s="64">
        <f>IF($D20="","",COUNTIF(DESIGNAZIONI!P$8:P$1323,$D20))</f>
        <v/>
      </c>
      <c r="N20" s="64">
        <f>IF($D20="","",COUNTIF(DESIGNAZIONI!Q$8:Q$1323,$D20))</f>
        <v/>
      </c>
      <c r="O20" s="64">
        <f>IF($D20="","",COUNTIF(DESIGNAZIONI!R$8:R$1323,$D20))</f>
        <v/>
      </c>
    </row>
    <row r="21">
      <c r="C21" s="224" t="n"/>
      <c r="D21" s="13" t="inlineStr">
        <is>
          <t>WEBER Ilaria</t>
        </is>
      </c>
      <c r="E21" s="220" t="n"/>
      <c r="L21" s="64">
        <f>IF($D21="","",SUM(M21:O21))</f>
        <v/>
      </c>
      <c r="M21" s="64">
        <f>IF($D21="","",COUNTIF(DESIGNAZIONI!P$8:P$1323,$D21))</f>
        <v/>
      </c>
      <c r="N21" s="64">
        <f>IF($D21="","",COUNTIF(DESIGNAZIONI!Q$8:Q$1323,$D21))</f>
        <v/>
      </c>
      <c r="O21" s="64">
        <f>IF($D21="","",COUNTIF(DESIGNAZIONI!R$8:R$1323,$D21))</f>
        <v/>
      </c>
    </row>
    <row r="22">
      <c r="C22" s="224" t="n"/>
      <c r="D22" s="13" t="inlineStr">
        <is>
          <t>MARCHIONI Miha</t>
        </is>
      </c>
      <c r="E22" s="220" t="n"/>
      <c r="L22" s="64">
        <f>IF($D22="","",SUM(M22:O22))</f>
        <v/>
      </c>
      <c r="M22" s="64">
        <f>IF($D22="","",COUNTIF(DESIGNAZIONI!P$8:P$1323,$D22))</f>
        <v/>
      </c>
      <c r="N22" s="64">
        <f>IF($D22="","",COUNTIF(DESIGNAZIONI!Q$8:Q$1323,$D22))</f>
        <v/>
      </c>
      <c r="O22" s="64">
        <f>IF($D22="","",COUNTIF(DESIGNAZIONI!R$8:R$1323,$D22))</f>
        <v/>
      </c>
    </row>
    <row r="23">
      <c r="C23" s="224" t="n"/>
      <c r="D23" s="13" t="inlineStr">
        <is>
          <t>WEBER Matteo</t>
        </is>
      </c>
      <c r="E23" s="220" t="n"/>
      <c r="L23" s="64">
        <f>IF($D23="","",SUM(M23:O23))</f>
        <v/>
      </c>
      <c r="M23" s="64">
        <f>IF($D23="","",COUNTIF(DESIGNAZIONI!P$8:P$1323,$D23))</f>
        <v/>
      </c>
      <c r="N23" s="64">
        <f>IF($D23="","",COUNTIF(DESIGNAZIONI!Q$8:Q$1323,$D23))</f>
        <v/>
      </c>
      <c r="O23" s="64">
        <f>IF($D23="","",COUNTIF(DESIGNAZIONI!R$8:R$1323,$D23))</f>
        <v/>
      </c>
    </row>
    <row r="24">
      <c r="C24" s="224" t="n"/>
      <c r="D24" s="13" t="inlineStr">
        <is>
          <t>WEBER Lea</t>
        </is>
      </c>
      <c r="E24" s="220" t="n"/>
      <c r="L24" s="64">
        <f>IF($D24="","",SUM(M24:O24))</f>
        <v/>
      </c>
      <c r="M24" s="64">
        <f>IF($D24="","",COUNTIF(DESIGNAZIONI!P$8:P$1323,$D24))</f>
        <v/>
      </c>
      <c r="N24" s="64">
        <f>IF($D24="","",COUNTIF(DESIGNAZIONI!Q$8:Q$1323,$D24))</f>
        <v/>
      </c>
      <c r="O24" s="64">
        <f>IF($D24="","",COUNTIF(DESIGNAZIONI!R$8:R$1323,$D24))</f>
        <v/>
      </c>
    </row>
    <row r="25">
      <c r="C25" s="224" t="n"/>
      <c r="D25" s="13" t="inlineStr">
        <is>
          <t>ZUPAN Katrin</t>
        </is>
      </c>
      <c r="E25" s="220" t="n"/>
      <c r="L25" s="64">
        <f>IF($D25="","",SUM(M25:O25))</f>
        <v/>
      </c>
      <c r="M25" s="64">
        <f>IF($D25="","",COUNTIF(DESIGNAZIONI!P$8:P$1323,$D25))</f>
        <v/>
      </c>
      <c r="N25" s="64">
        <f>IF($D25="","",COUNTIF(DESIGNAZIONI!Q$8:Q$1323,$D25))</f>
        <v/>
      </c>
      <c r="O25" s="64">
        <f>IF($D25="","",COUNTIF(DESIGNAZIONI!R$8:R$1323,$D25))</f>
        <v/>
      </c>
    </row>
    <row r="26">
      <c r="C26" s="224" t="n"/>
      <c r="D26" s="13" t="inlineStr">
        <is>
          <t>SEVER Greta</t>
        </is>
      </c>
      <c r="E26" s="220" t="n"/>
      <c r="L26" s="64">
        <f>IF($D26="","",SUM(M26:O26))</f>
        <v/>
      </c>
      <c r="M26" s="64">
        <f>IF($D26="","",COUNTIF(DESIGNAZIONI!P$8:P$1323,$D26))</f>
        <v/>
      </c>
      <c r="N26" s="64">
        <f>IF($D26="","",COUNTIF(DESIGNAZIONI!Q$8:Q$1323,$D26))</f>
        <v/>
      </c>
      <c r="O26" s="64">
        <f>IF($D26="","",COUNTIF(DESIGNAZIONI!R$8:R$1323,$D26))</f>
        <v/>
      </c>
    </row>
    <row r="27">
      <c r="C27" s="224" t="n"/>
      <c r="D27" s="13" t="inlineStr">
        <is>
          <t>LANGER Valerie</t>
        </is>
      </c>
      <c r="E27" s="220" t="n"/>
      <c r="L27" s="64">
        <f>IF($D27="","",SUM(M27:O27))</f>
        <v/>
      </c>
      <c r="M27" s="64">
        <f>IF($D27="","",COUNTIF(DESIGNAZIONI!P$8:P$1323,$D27))</f>
        <v/>
      </c>
      <c r="N27" s="64">
        <f>IF($D27="","",COUNTIF(DESIGNAZIONI!Q$8:Q$1323,$D27))</f>
        <v/>
      </c>
      <c r="O27" s="64">
        <f>IF($D27="","",COUNTIF(DESIGNAZIONI!R$8:R$1323,$D27))</f>
        <v/>
      </c>
    </row>
    <row r="28">
      <c r="C28" s="224" t="n"/>
      <c r="D28" s="13" t="inlineStr">
        <is>
          <t>BLANCHET Luca</t>
        </is>
      </c>
      <c r="E28" s="220" t="n"/>
      <c r="L28" s="64">
        <f>IF($D28="","",SUM(M28:O28))</f>
        <v/>
      </c>
      <c r="M28" s="64">
        <f>IF($D28="","",COUNTIF(DESIGNAZIONI!P$8:P$1323,$D28))</f>
        <v/>
      </c>
      <c r="N28" s="64">
        <f>IF($D28="","",COUNTIF(DESIGNAZIONI!Q$8:Q$1323,$D28))</f>
        <v/>
      </c>
      <c r="O28" s="64">
        <f>IF($D28="","",COUNTIF(DESIGNAZIONI!R$8:R$1323,$D28))</f>
        <v/>
      </c>
    </row>
    <row r="29">
      <c r="C29" s="224" t="n"/>
      <c r="D29" s="13" t="inlineStr">
        <is>
          <t>BLANCO Elena</t>
        </is>
      </c>
      <c r="E29" s="220" t="n"/>
      <c r="L29" s="64">
        <f>IF($D29="","",SUM(M29:O29))</f>
        <v/>
      </c>
      <c r="M29" s="64">
        <f>IF($D29="","",COUNTIF(DESIGNAZIONI!P$8:P$1323,$D29))</f>
        <v/>
      </c>
      <c r="N29" s="64">
        <f>IF($D29="","",COUNTIF(DESIGNAZIONI!Q$8:Q$1323,$D29))</f>
        <v/>
      </c>
      <c r="O29" s="64">
        <f>IF($D29="","",COUNTIF(DESIGNAZIONI!R$8:R$1323,$D29))</f>
        <v/>
      </c>
    </row>
    <row r="30">
      <c r="C30" s="224" t="n"/>
      <c r="D30" s="13" t="inlineStr">
        <is>
          <t>ZUPAN Paula</t>
        </is>
      </c>
      <c r="E30" s="220" t="n"/>
      <c r="L30" s="64">
        <f>IF($D30="","",SUM(M30:O30))</f>
        <v/>
      </c>
      <c r="M30" s="64">
        <f>IF($D30="","",COUNTIF(DESIGNAZIONI!P$8:P$1323,$D30))</f>
        <v/>
      </c>
      <c r="N30" s="64">
        <f>IF($D30="","",COUNTIF(DESIGNAZIONI!Q$8:Q$1323,$D30))</f>
        <v/>
      </c>
      <c r="O30" s="64">
        <f>IF($D30="","",COUNTIF(DESIGNAZIONI!R$8:R$1323,$D30))</f>
        <v/>
      </c>
    </row>
    <row r="31">
      <c r="C31" s="224" t="n"/>
      <c r="D31" s="13" t="inlineStr">
        <is>
          <t>ZUPAN Noemi</t>
        </is>
      </c>
      <c r="E31" s="220" t="n"/>
      <c r="L31" s="64">
        <f>IF($D31="","",SUM(M31:O31))</f>
        <v/>
      </c>
      <c r="M31" s="64">
        <f>IF($D31="","",COUNTIF(DESIGNAZIONI!P$8:P$1323,$D31))</f>
        <v/>
      </c>
      <c r="N31" s="64">
        <f>IF($D31="","",COUNTIF(DESIGNAZIONI!Q$8:Q$1323,$D31))</f>
        <v/>
      </c>
      <c r="O31" s="64">
        <f>IF($D31="","",COUNTIF(DESIGNAZIONI!R$8:R$1323,$D31))</f>
        <v/>
      </c>
    </row>
    <row r="32">
      <c r="C32" s="224" t="n"/>
      <c r="D32" s="13" t="inlineStr">
        <is>
          <t>HOFFMANN Davide</t>
        </is>
      </c>
      <c r="E32" s="220" t="n"/>
      <c r="L32" s="64">
        <f>IF($D32="","",SUM(M32:O32))</f>
        <v/>
      </c>
      <c r="M32" s="64">
        <f>IF($D32="","",COUNTIF(DESIGNAZIONI!P$8:P$1323,$D32))</f>
        <v/>
      </c>
      <c r="N32" s="64">
        <f>IF($D32="","",COUNTIF(DESIGNAZIONI!Q$8:Q$1323,$D32))</f>
        <v/>
      </c>
      <c r="O32" s="64">
        <f>IF($D32="","",COUNTIF(DESIGNAZIONI!R$8:R$1323,$D32))</f>
        <v/>
      </c>
    </row>
    <row r="33">
      <c r="C33" s="224" t="n"/>
      <c r="D33" s="13" t="inlineStr">
        <is>
          <t>FUENTES Lukas</t>
        </is>
      </c>
      <c r="E33" s="220" t="n"/>
      <c r="L33" s="64">
        <f>IF($D33="","",SUM(M33:O33))</f>
        <v/>
      </c>
      <c r="M33" s="64">
        <f>IF($D33="","",COUNTIF(DESIGNAZIONI!P$8:P$1323,$D33))</f>
        <v/>
      </c>
      <c r="N33" s="64">
        <f>IF($D33="","",COUNTIF(DESIGNAZIONI!Q$8:Q$1323,$D33))</f>
        <v/>
      </c>
      <c r="O33" s="64">
        <f>IF($D33="","",COUNTIF(DESIGNAZIONI!R$8:R$1323,$D33))</f>
        <v/>
      </c>
    </row>
    <row r="34">
      <c r="C34" s="224" t="n"/>
      <c r="D34" s="13" t="inlineStr">
        <is>
          <t>FERRANTE Andrea</t>
        </is>
      </c>
      <c r="E34" s="220" t="n"/>
      <c r="L34" s="64">
        <f>IF($D34="","",SUM(M34:O34))</f>
        <v/>
      </c>
      <c r="M34" s="64">
        <f>IF($D34="","",COUNTIF(DESIGNAZIONI!P$8:P$1323,$D34))</f>
        <v/>
      </c>
      <c r="N34" s="64">
        <f>IF($D34="","",COUNTIF(DESIGNAZIONI!Q$8:Q$1323,$D34))</f>
        <v/>
      </c>
      <c r="O34" s="64">
        <f>IF($D34="","",COUNTIF(DESIGNAZIONI!R$8:R$1323,$D34))</f>
        <v/>
      </c>
    </row>
    <row r="35">
      <c r="C35" s="224" t="n"/>
      <c r="D35" s="13" t="inlineStr">
        <is>
          <t>BLANCO Valerie</t>
        </is>
      </c>
      <c r="E35" s="220" t="n"/>
      <c r="L35" s="64">
        <f>IF($D35="","",SUM(M35:O35))</f>
        <v/>
      </c>
      <c r="M35" s="64">
        <f>IF($D35="","",COUNTIF(DESIGNAZIONI!P$8:P$1323,$D35))</f>
        <v/>
      </c>
      <c r="N35" s="64">
        <f>IF($D35="","",COUNTIF(DESIGNAZIONI!Q$8:Q$1323,$D35))</f>
        <v/>
      </c>
      <c r="O35" s="64">
        <f>IF($D35="","",COUNTIF(DESIGNAZIONI!R$8:R$1323,$D35))</f>
        <v/>
      </c>
    </row>
    <row r="36">
      <c r="C36" s="224" t="n"/>
      <c r="D36" s="13" t="inlineStr">
        <is>
          <t>ZUPAN Miha</t>
        </is>
      </c>
      <c r="E36" s="220" t="n"/>
      <c r="L36" s="64">
        <f>IF($D36="","",SUM(M36:O36))</f>
        <v/>
      </c>
      <c r="M36" s="64">
        <f>IF($D36="","",COUNTIF(DESIGNAZIONI!P$8:P$1323,$D36))</f>
        <v/>
      </c>
      <c r="N36" s="64">
        <f>IF($D36="","",COUNTIF(DESIGNAZIONI!Q$8:Q$1323,$D36))</f>
        <v/>
      </c>
      <c r="O36" s="64">
        <f>IF($D36="","",COUNTIF(DESIGNAZIONI!R$8:R$1323,$D36))</f>
        <v/>
      </c>
    </row>
    <row r="37">
      <c r="C37" s="224" t="n"/>
      <c r="D37" s="13" t="inlineStr">
        <is>
          <t>WEBER Nicola</t>
        </is>
      </c>
      <c r="E37" s="220" t="n"/>
      <c r="L37" s="64">
        <f>IF($D37="","",SUM(M37:O37))</f>
        <v/>
      </c>
      <c r="M37" s="64">
        <f>IF($D37="","",COUNTIF(DESIGNAZIONI!P$8:P$1323,$D37))</f>
        <v/>
      </c>
      <c r="N37" s="64">
        <f>IF($D37="","",COUNTIF(DESIGNAZIONI!Q$8:Q$1323,$D37))</f>
        <v/>
      </c>
      <c r="O37" s="64">
        <f>IF($D37="","",COUNTIF(DESIGNAZIONI!R$8:R$1323,$D37))</f>
        <v/>
      </c>
    </row>
    <row r="38">
      <c r="C38" s="224" t="n"/>
      <c r="D38" s="13" t="inlineStr">
        <is>
          <t>ORTEGA Ilaria</t>
        </is>
      </c>
      <c r="E38" s="220" t="n"/>
      <c r="L38" s="64">
        <f>IF($D38="","",SUM(M38:O38))</f>
        <v/>
      </c>
      <c r="M38" s="64">
        <f>IF($D38="","",COUNTIF(DESIGNAZIONI!P$8:P$1323,$D38))</f>
        <v/>
      </c>
      <c r="N38" s="64">
        <f>IF($D38="","",COUNTIF(DESIGNAZIONI!Q$8:Q$1323,$D38))</f>
        <v/>
      </c>
      <c r="O38" s="64">
        <f>IF($D38="","",COUNTIF(DESIGNAZIONI!R$8:R$1323,$D38))</f>
        <v/>
      </c>
    </row>
    <row r="39">
      <c r="C39" s="224" t="n"/>
      <c r="D39" s="13" t="inlineStr">
        <is>
          <t>KRAJNC Greta</t>
        </is>
      </c>
      <c r="E39" s="220" t="n"/>
      <c r="L39" s="64">
        <f>IF($D39="","",SUM(M39:O39))</f>
        <v/>
      </c>
      <c r="M39" s="64">
        <f>IF($D39="","",COUNTIF(DESIGNAZIONI!P$8:P$1323,$D39))</f>
        <v/>
      </c>
      <c r="N39" s="64">
        <f>IF($D39="","",COUNTIF(DESIGNAZIONI!Q$8:Q$1323,$D39))</f>
        <v/>
      </c>
      <c r="O39" s="64">
        <f>IF($D39="","",COUNTIF(DESIGNAZIONI!R$8:R$1323,$D39))</f>
        <v/>
      </c>
    </row>
    <row r="40">
      <c r="C40" s="224" t="n"/>
      <c r="D40" s="13" t="inlineStr">
        <is>
          <t>LEROUX Stefano</t>
        </is>
      </c>
      <c r="E40" s="220" t="n"/>
      <c r="L40" s="64">
        <f>IF($D40="","",SUM(M40:O40))</f>
        <v/>
      </c>
      <c r="M40" s="64">
        <f>IF($D40="","",COUNTIF(DESIGNAZIONI!P$8:P$1323,$D40))</f>
        <v/>
      </c>
      <c r="N40" s="64">
        <f>IF($D40="","",COUNTIF(DESIGNAZIONI!Q$8:Q$1323,$D40))</f>
        <v/>
      </c>
      <c r="O40" s="64">
        <f>IF($D40="","",COUNTIF(DESIGNAZIONI!R$8:R$1323,$D40))</f>
        <v/>
      </c>
    </row>
    <row r="41">
      <c r="C41" s="224" t="n"/>
      <c r="D41" s="13" t="inlineStr">
        <is>
          <t>FOURNIER Paula</t>
        </is>
      </c>
      <c r="E41" s="220" t="n"/>
      <c r="L41" s="64">
        <f>IF($D41="","",SUM(M41:O41))</f>
        <v/>
      </c>
      <c r="M41" s="64">
        <f>IF($D41="","",COUNTIF(DESIGNAZIONI!P$8:P$1323,$D41))</f>
        <v/>
      </c>
      <c r="N41" s="64">
        <f>IF($D41="","",COUNTIF(DESIGNAZIONI!Q$8:Q$1323,$D41))</f>
        <v/>
      </c>
      <c r="O41" s="64">
        <f>IF($D41="","",COUNTIF(DESIGNAZIONI!R$8:R$1323,$D41))</f>
        <v/>
      </c>
    </row>
    <row r="42">
      <c r="C42" s="224" t="n"/>
      <c r="D42" s="13" t="inlineStr">
        <is>
          <t>BIANCHELLI Valerie</t>
        </is>
      </c>
      <c r="E42" s="220" t="n"/>
      <c r="L42" s="64">
        <f>IF($D42="","",SUM(M42:O42))</f>
        <v/>
      </c>
      <c r="M42" s="64">
        <f>IF($D42="","",COUNTIF(DESIGNAZIONI!P$8:P$1323,$D42))</f>
        <v/>
      </c>
      <c r="N42" s="64">
        <f>IF($D42="","",COUNTIF(DESIGNAZIONI!Q$8:Q$1323,$D42))</f>
        <v/>
      </c>
      <c r="O42" s="64">
        <f>IF($D42="","",COUNTIF(DESIGNAZIONI!R$8:R$1323,$D42))</f>
        <v/>
      </c>
    </row>
    <row r="43">
      <c r="C43" s="224" t="n"/>
      <c r="D43" s="13" t="inlineStr">
        <is>
          <t>VALLET Stefano</t>
        </is>
      </c>
      <c r="E43" s="220" t="n"/>
      <c r="L43" s="64">
        <f>IF($D43="","",SUM(M43:O43))</f>
        <v/>
      </c>
      <c r="M43" s="64">
        <f>IF($D43="","",COUNTIF(DESIGNAZIONI!P$8:P$1323,$D43))</f>
        <v/>
      </c>
      <c r="N43" s="64">
        <f>IF($D43="","",COUNTIF(DESIGNAZIONI!Q$8:Q$1323,$D43))</f>
        <v/>
      </c>
      <c r="O43" s="64">
        <f>IF($D43="","",COUNTIF(DESIGNAZIONI!R$8:R$1323,$D43))</f>
        <v/>
      </c>
    </row>
    <row r="44">
      <c r="C44" s="224" t="n"/>
      <c r="D44" s="13" t="inlineStr">
        <is>
          <t>ROSSINI Gaelle</t>
        </is>
      </c>
      <c r="E44" s="220" t="n"/>
      <c r="L44" s="64">
        <f>IF($D44="","",SUM(M44:O44))</f>
        <v/>
      </c>
      <c r="M44" s="64">
        <f>IF($D44="","",COUNTIF(DESIGNAZIONI!P$8:P$1323,$D44))</f>
        <v/>
      </c>
      <c r="N44" s="64">
        <f>IF($D44="","",COUNTIF(DESIGNAZIONI!Q$8:Q$1323,$D44))</f>
        <v/>
      </c>
      <c r="O44" s="64">
        <f>IF($D44="","",COUNTIF(DESIGNAZIONI!R$8:R$1323,$D44))</f>
        <v/>
      </c>
    </row>
    <row r="45">
      <c r="C45" s="224" t="n"/>
      <c r="D45" s="13" t="inlineStr">
        <is>
          <t>NAVARRO Pablo</t>
        </is>
      </c>
      <c r="E45" s="220" t="n"/>
      <c r="L45" s="64">
        <f>IF($D45="","",SUM(M45:O45))</f>
        <v/>
      </c>
      <c r="M45" s="64">
        <f>IF($D45="","",COUNTIF(DESIGNAZIONI!P$8:P$1323,$D45))</f>
        <v/>
      </c>
      <c r="N45" s="64">
        <f>IF($D45="","",COUNTIF(DESIGNAZIONI!Q$8:Q$1323,$D45))</f>
        <v/>
      </c>
      <c r="O45" s="64">
        <f>IF($D45="","",COUNTIF(DESIGNAZIONI!R$8:R$1323,$D45))</f>
        <v/>
      </c>
    </row>
    <row r="46">
      <c r="C46" s="224" t="n"/>
      <c r="D46" s="13" t="inlineStr">
        <is>
          <t>IGLESIAS Giulia</t>
        </is>
      </c>
      <c r="E46" s="220" t="n"/>
      <c r="L46" s="64">
        <f>IF($D46="","",SUM(M46:O46))</f>
        <v/>
      </c>
      <c r="M46" s="64">
        <f>IF($D46="","",COUNTIF(DESIGNAZIONI!P$8:P$1323,$D46))</f>
        <v/>
      </c>
      <c r="N46" s="64">
        <f>IF($D46="","",COUNTIF(DESIGNAZIONI!Q$8:Q$1323,$D46))</f>
        <v/>
      </c>
      <c r="O46" s="64">
        <f>IF($D46="","",COUNTIF(DESIGNAZIONI!R$8:R$1323,$D46))</f>
        <v/>
      </c>
    </row>
    <row r="47">
      <c r="C47" s="224" t="n"/>
      <c r="D47" s="13" t="inlineStr">
        <is>
          <t>VOGEL Giulia</t>
        </is>
      </c>
      <c r="E47" s="220" t="n"/>
      <c r="L47" s="64">
        <f>IF($D47="","",SUM(M47:O47))</f>
        <v/>
      </c>
      <c r="M47" s="64">
        <f>IF($D47="","",COUNTIF(DESIGNAZIONI!P$8:P$1323,$D47))</f>
        <v/>
      </c>
      <c r="N47" s="64">
        <f>IF($D47="","",COUNTIF(DESIGNAZIONI!Q$8:Q$1323,$D47))</f>
        <v/>
      </c>
      <c r="O47" s="64">
        <f>IF($D47="","",COUNTIF(DESIGNAZIONI!R$8:R$1323,$D47))</f>
        <v/>
      </c>
    </row>
    <row r="48">
      <c r="C48" s="224" t="n"/>
      <c r="D48" s="13" t="inlineStr">
        <is>
          <t>FERRANTE Greta</t>
        </is>
      </c>
      <c r="E48" s="220" t="n"/>
      <c r="L48" s="64">
        <f>IF($D48="","",SUM(M48:O48))</f>
        <v/>
      </c>
      <c r="M48" s="64">
        <f>IF($D48="","",COUNTIF(DESIGNAZIONI!P$8:P$1323,$D48))</f>
        <v/>
      </c>
      <c r="N48" s="64">
        <f>IF($D48="","",COUNTIF(DESIGNAZIONI!Q$8:Q$1323,$D48))</f>
        <v/>
      </c>
      <c r="O48" s="64">
        <f>IF($D48="","",COUNTIF(DESIGNAZIONI!R$8:R$1323,$D48))</f>
        <v/>
      </c>
    </row>
    <row r="49">
      <c r="C49" s="224" t="n"/>
      <c r="D49" s="13" t="inlineStr">
        <is>
          <t>VOGEL Greta</t>
        </is>
      </c>
      <c r="E49" s="220" t="n"/>
      <c r="L49" s="64">
        <f>IF($D49="","",SUM(M49:O49))</f>
        <v/>
      </c>
      <c r="M49" s="64">
        <f>IF($D49="","",COUNTIF(DESIGNAZIONI!P$8:P$1323,$D49))</f>
        <v/>
      </c>
      <c r="N49" s="64">
        <f>IF($D49="","",COUNTIF(DESIGNAZIONI!Q$8:Q$1323,$D49))</f>
        <v/>
      </c>
      <c r="O49" s="64">
        <f>IF($D49="","",COUNTIF(DESIGNAZIONI!R$8:R$1323,$D49))</f>
        <v/>
      </c>
    </row>
    <row r="50">
      <c r="C50" s="224" t="n"/>
      <c r="D50" s="13" t="inlineStr">
        <is>
          <t>NOVAK Giulia</t>
        </is>
      </c>
      <c r="E50" s="220" t="n"/>
      <c r="L50" s="64">
        <f>IF($D50="","",SUM(M50:O50))</f>
        <v/>
      </c>
      <c r="M50" s="64">
        <f>IF($D50="","",COUNTIF(DESIGNAZIONI!P$8:P$1323,$D50))</f>
        <v/>
      </c>
      <c r="N50" s="64">
        <f>IF($D50="","",COUNTIF(DESIGNAZIONI!Q$8:Q$1323,$D50))</f>
        <v/>
      </c>
      <c r="O50" s="64">
        <f>IF($D50="","",COUNTIF(DESIGNAZIONI!R$8:R$1323,$D50))</f>
        <v/>
      </c>
    </row>
    <row r="51">
      <c r="C51" s="224" t="n"/>
      <c r="D51" s="13" t="inlineStr">
        <is>
          <t>ROSSINI Andrea</t>
        </is>
      </c>
      <c r="E51" s="220" t="n"/>
      <c r="L51" s="64">
        <f>IF($D51="","",SUM(M51:O51))</f>
        <v/>
      </c>
      <c r="M51" s="64">
        <f>IF($D51="","",COUNTIF(DESIGNAZIONI!P$8:P$1323,$D51))</f>
        <v/>
      </c>
      <c r="N51" s="64">
        <f>IF($D51="","",COUNTIF(DESIGNAZIONI!Q$8:Q$1323,$D51))</f>
        <v/>
      </c>
      <c r="O51" s="64">
        <f>IF($D51="","",COUNTIF(DESIGNAZIONI!R$8:R$1323,$D51))</f>
        <v/>
      </c>
    </row>
    <row r="52">
      <c r="C52" s="224" t="n"/>
      <c r="D52" s="13" t="inlineStr">
        <is>
          <t>ROTH Stefano</t>
        </is>
      </c>
      <c r="E52" s="220" t="n"/>
      <c r="L52" s="64">
        <f>IF($D52="","",SUM(M52:O52))</f>
        <v/>
      </c>
      <c r="M52" s="64">
        <f>IF($D52="","",COUNTIF(DESIGNAZIONI!P$8:P$1323,$D52))</f>
        <v/>
      </c>
      <c r="N52" s="64">
        <f>IF($D52="","",COUNTIF(DESIGNAZIONI!Q$8:Q$1323,$D52))</f>
        <v/>
      </c>
      <c r="O52" s="64">
        <f>IF($D52="","",COUNTIF(DESIGNAZIONI!R$8:R$1323,$D52))</f>
        <v/>
      </c>
    </row>
    <row r="53">
      <c r="C53" s="224" t="n"/>
      <c r="D53" s="13" t="inlineStr">
        <is>
          <t>ENGEL Lucia</t>
        </is>
      </c>
      <c r="E53" s="220" t="n"/>
      <c r="L53" s="64">
        <f>IF($D53="","",SUM(M53:O53))</f>
        <v/>
      </c>
      <c r="M53" s="64">
        <f>IF($D53="","",COUNTIF(DESIGNAZIONI!P$8:P$1323,$D53))</f>
        <v/>
      </c>
      <c r="N53" s="64">
        <f>IF($D53="","",COUNTIF(DESIGNAZIONI!Q$8:Q$1323,$D53))</f>
        <v/>
      </c>
      <c r="O53" s="64">
        <f>IF($D53="","",COUNTIF(DESIGNAZIONI!R$8:R$1323,$D53))</f>
        <v/>
      </c>
    </row>
    <row r="54">
      <c r="C54" s="224" t="n"/>
      <c r="D54" s="13" t="inlineStr">
        <is>
          <t>FOURNIER Lea</t>
        </is>
      </c>
      <c r="E54" s="220" t="n"/>
      <c r="L54" s="64">
        <f>IF($D54="","",SUM(M54:O54))</f>
        <v/>
      </c>
      <c r="M54" s="64">
        <f>IF($D54="","",COUNTIF(DESIGNAZIONI!P$8:P$1323,$D54))</f>
        <v/>
      </c>
      <c r="N54" s="64">
        <f>IF($D54="","",COUNTIF(DESIGNAZIONI!Q$8:Q$1323,$D54))</f>
        <v/>
      </c>
      <c r="O54" s="64">
        <f>IF($D54="","",COUNTIF(DESIGNAZIONI!R$8:R$1323,$D54))</f>
        <v/>
      </c>
    </row>
    <row r="55">
      <c r="C55" s="224" t="n"/>
      <c r="D55" s="13" t="inlineStr">
        <is>
          <t>SEVER Marco</t>
        </is>
      </c>
      <c r="E55" s="220" t="n"/>
      <c r="L55" s="64">
        <f>IF($D55="","",SUM(M55:O55))</f>
        <v/>
      </c>
      <c r="M55" s="64">
        <f>IF($D55="","",COUNTIF(DESIGNAZIONI!P$8:P$1323,$D55))</f>
        <v/>
      </c>
      <c r="N55" s="64">
        <f>IF($D55="","",COUNTIF(DESIGNAZIONI!Q$8:Q$1323,$D55))</f>
        <v/>
      </c>
      <c r="O55" s="64">
        <f>IF($D55="","",COUNTIF(DESIGNAZIONI!R$8:R$1323,$D55))</f>
        <v/>
      </c>
    </row>
    <row r="56">
      <c r="C56" s="224" t="n"/>
      <c r="D56" s="13" t="inlineStr">
        <is>
          <t>SCHAFER Lea</t>
        </is>
      </c>
      <c r="E56" s="220" t="n"/>
      <c r="L56" s="64">
        <f>IF($D56="","",SUM(M56:O56))</f>
        <v/>
      </c>
      <c r="M56" s="64">
        <f>IF($D56="","",COUNTIF(DESIGNAZIONI!P$8:P$1323,$D56))</f>
        <v/>
      </c>
      <c r="N56" s="64">
        <f>IF($D56="","",COUNTIF(DESIGNAZIONI!Q$8:Q$1323,$D56))</f>
        <v/>
      </c>
      <c r="O56" s="64">
        <f>IF($D56="","",COUNTIF(DESIGNAZIONI!R$8:R$1323,$D56))</f>
        <v/>
      </c>
    </row>
    <row r="57">
      <c r="C57" s="224" t="n"/>
      <c r="D57" s="13" t="inlineStr">
        <is>
          <t>HOFFMANN Andrea</t>
        </is>
      </c>
      <c r="E57" s="220" t="n"/>
      <c r="L57" s="64">
        <f>IF($D57="","",SUM(M57:O57))</f>
        <v/>
      </c>
      <c r="M57" s="64">
        <f>IF($D57="","",COUNTIF(DESIGNAZIONI!P$8:P$1323,$D57))</f>
        <v/>
      </c>
      <c r="N57" s="64">
        <f>IF($D57="","",COUNTIF(DESIGNAZIONI!Q$8:Q$1323,$D57))</f>
        <v/>
      </c>
      <c r="O57" s="64">
        <f>IF($D57="","",COUNTIF(DESIGNAZIONI!R$8:R$1323,$D57))</f>
        <v/>
      </c>
    </row>
    <row r="58">
      <c r="C58" s="224" t="n"/>
      <c r="D58" s="13" t="inlineStr">
        <is>
          <t>SCHAFER Greta</t>
        </is>
      </c>
      <c r="E58" s="220" t="n"/>
      <c r="L58" s="64">
        <f>IF($D58="","",SUM(M58:O58))</f>
        <v/>
      </c>
      <c r="M58" s="64">
        <f>IF($D58="","",COUNTIF(DESIGNAZIONI!P$8:P$1323,$D58))</f>
        <v/>
      </c>
      <c r="N58" s="64">
        <f>IF($D58="","",COUNTIF(DESIGNAZIONI!Q$8:Q$1323,$D58))</f>
        <v/>
      </c>
      <c r="O58" s="64">
        <f>IF($D58="","",COUNTIF(DESIGNAZIONI!R$8:R$1323,$D58))</f>
        <v/>
      </c>
    </row>
    <row r="59">
      <c r="C59" s="224" t="n"/>
      <c r="D59" s="13" t="inlineStr">
        <is>
          <t>VIDMAR Felix</t>
        </is>
      </c>
      <c r="E59" s="220" t="n"/>
      <c r="L59" s="64">
        <f>IF($D59="","",SUM(M59:O59))</f>
        <v/>
      </c>
      <c r="M59" s="64">
        <f>IF($D59="","",COUNTIF(DESIGNAZIONI!P$8:P$1323,$D59))</f>
        <v/>
      </c>
      <c r="N59" s="64">
        <f>IF($D59="","",COUNTIF(DESIGNAZIONI!Q$8:Q$1323,$D59))</f>
        <v/>
      </c>
      <c r="O59" s="64">
        <f>IF($D59="","",COUNTIF(DESIGNAZIONI!R$8:R$1323,$D59))</f>
        <v/>
      </c>
    </row>
    <row r="60">
      <c r="C60" s="224" t="n"/>
      <c r="D60" s="13" t="inlineStr">
        <is>
          <t>ENGEL Elena</t>
        </is>
      </c>
      <c r="E60" s="220" t="n"/>
      <c r="L60" s="64">
        <f>IF($D60="","",SUM(M60:O60))</f>
        <v/>
      </c>
      <c r="M60" s="64">
        <f>IF($D60="","",COUNTIF(DESIGNAZIONI!P$8:P$1323,$D60))</f>
        <v/>
      </c>
      <c r="N60" s="64">
        <f>IF($D60="","",COUNTIF(DESIGNAZIONI!Q$8:Q$1323,$D60))</f>
        <v/>
      </c>
      <c r="O60" s="64">
        <f>IF($D60="","",COUNTIF(DESIGNAZIONI!R$8:R$1323,$D60))</f>
        <v/>
      </c>
    </row>
    <row r="61">
      <c r="C61" s="224" t="n"/>
      <c r="D61" s="13" t="inlineStr">
        <is>
          <t>ORTEGA Jonas</t>
        </is>
      </c>
      <c r="E61" s="220" t="n"/>
      <c r="L61" s="64">
        <f>IF($D61="","",SUM(M61:O61))</f>
        <v/>
      </c>
      <c r="M61" s="64">
        <f>IF($D61="","",COUNTIF(DESIGNAZIONI!P$8:P$1323,$D61))</f>
        <v/>
      </c>
      <c r="N61" s="64">
        <f>IF($D61="","",COUNTIF(DESIGNAZIONI!Q$8:Q$1323,$D61))</f>
        <v/>
      </c>
      <c r="O61" s="64">
        <f>IF($D61="","",COUNTIF(DESIGNAZIONI!R$8:R$1323,$D61))</f>
        <v/>
      </c>
    </row>
    <row r="62">
      <c r="C62" s="224" t="n"/>
      <c r="D62" s="13" t="inlineStr">
        <is>
          <t>SANTORI Gaelle</t>
        </is>
      </c>
      <c r="E62" s="220" t="n"/>
      <c r="L62" s="64">
        <f>IF($D62="","",SUM(M62:O62))</f>
        <v/>
      </c>
      <c r="M62" s="64">
        <f>IF($D62="","",COUNTIF(DESIGNAZIONI!P$8:P$1323,$D62))</f>
        <v/>
      </c>
      <c r="N62" s="64">
        <f>IF($D62="","",COUNTIF(DESIGNAZIONI!Q$8:Q$1323,$D62))</f>
        <v/>
      </c>
      <c r="O62" s="64">
        <f>IF($D62="","",COUNTIF(DESIGNAZIONI!R$8:R$1323,$D62))</f>
        <v/>
      </c>
    </row>
    <row r="63">
      <c r="C63" s="224" t="n"/>
      <c r="D63" s="13" t="inlineStr">
        <is>
          <t>MORETTO Lea</t>
        </is>
      </c>
      <c r="E63" s="220" t="n"/>
      <c r="L63" s="64">
        <f>IF($D63="","",SUM(M63:O63))</f>
        <v/>
      </c>
      <c r="M63" s="64">
        <f>IF($D63="","",COUNTIF(DESIGNAZIONI!P$8:P$1323,$D63))</f>
        <v/>
      </c>
      <c r="N63" s="64">
        <f>IF($D63="","",COUNTIF(DESIGNAZIONI!Q$8:Q$1323,$D63))</f>
        <v/>
      </c>
      <c r="O63" s="64">
        <f>IF($D63="","",COUNTIF(DESIGNAZIONI!R$8:R$1323,$D63))</f>
        <v/>
      </c>
    </row>
    <row r="64">
      <c r="C64" s="224" t="n"/>
      <c r="D64" s="13" t="inlineStr">
        <is>
          <t>FERRANTE Stefano</t>
        </is>
      </c>
      <c r="E64" s="220" t="n"/>
      <c r="L64" s="64">
        <f>IF($D64="","",SUM(M64:O64))</f>
        <v/>
      </c>
      <c r="M64" s="64">
        <f>IF($D64="","",COUNTIF(DESIGNAZIONI!P$8:P$1323,$D64))</f>
        <v/>
      </c>
      <c r="N64" s="64">
        <f>IF($D64="","",COUNTIF(DESIGNAZIONI!Q$8:Q$1323,$D64))</f>
        <v/>
      </c>
      <c r="O64" s="64">
        <f>IF($D64="","",COUNTIF(DESIGNAZIONI!R$8:R$1323,$D64))</f>
        <v/>
      </c>
    </row>
    <row r="65">
      <c r="C65" s="224" t="n"/>
      <c r="D65" s="13" t="inlineStr">
        <is>
          <t>CASTILLO Stefano</t>
        </is>
      </c>
      <c r="E65" s="220" t="n"/>
      <c r="L65" s="64">
        <f>IF($D65="","",SUM(M65:O65))</f>
        <v/>
      </c>
      <c r="M65" s="64">
        <f>IF($D65="","",COUNTIF(DESIGNAZIONI!P$8:P$1323,$D65))</f>
        <v/>
      </c>
      <c r="N65" s="64">
        <f>IF($D65="","",COUNTIF(DESIGNAZIONI!Q$8:Q$1323,$D65))</f>
        <v/>
      </c>
      <c r="O65" s="64">
        <f>IF($D65="","",COUNTIF(DESIGNAZIONI!R$8:R$1323,$D65))</f>
        <v/>
      </c>
    </row>
    <row r="66">
      <c r="C66" s="224" t="n"/>
      <c r="D66" s="13" t="inlineStr">
        <is>
          <t>BLANCHET Alenka</t>
        </is>
      </c>
      <c r="E66" s="220" t="n"/>
      <c r="L66" s="64">
        <f>IF($D66="","",SUM(M66:O66))</f>
        <v/>
      </c>
      <c r="M66" s="64">
        <f>IF($D66="","",COUNTIF(DESIGNAZIONI!P$8:P$1323,$D66))</f>
        <v/>
      </c>
      <c r="N66" s="64">
        <f>IF($D66="","",COUNTIF(DESIGNAZIONI!Q$8:Q$1323,$D66))</f>
        <v/>
      </c>
      <c r="O66" s="64">
        <f>IF($D66="","",COUNTIF(DESIGNAZIONI!R$8:R$1323,$D66))</f>
        <v/>
      </c>
    </row>
    <row r="67">
      <c r="C67" s="224" t="n"/>
      <c r="D67" s="13" t="inlineStr">
        <is>
          <t>ENGEL Tommaso</t>
        </is>
      </c>
      <c r="E67" s="220" t="n"/>
      <c r="L67" s="64">
        <f>IF($D67="","",SUM(M67:O67))</f>
        <v/>
      </c>
      <c r="M67" s="64">
        <f>IF($D67="","",COUNTIF(DESIGNAZIONI!P$8:P$1323,$D67))</f>
        <v/>
      </c>
      <c r="N67" s="64">
        <f>IF($D67="","",COUNTIF(DESIGNAZIONI!Q$8:Q$1323,$D67))</f>
        <v/>
      </c>
      <c r="O67" s="64">
        <f>IF($D67="","",COUNTIF(DESIGNAZIONI!R$8:R$1323,$D67))</f>
        <v/>
      </c>
    </row>
    <row r="68">
      <c r="C68" s="224" t="n"/>
      <c r="D68" s="13" t="inlineStr">
        <is>
          <t>BLANCO Eva</t>
        </is>
      </c>
      <c r="E68" s="220" t="n"/>
      <c r="L68" s="64">
        <f>IF($D68="","",SUM(M68:O68))</f>
        <v/>
      </c>
      <c r="M68" s="64">
        <f>IF($D68="","",COUNTIF(DESIGNAZIONI!P$8:P$1323,$D68))</f>
        <v/>
      </c>
      <c r="N68" s="64">
        <f>IF($D68="","",COUNTIF(DESIGNAZIONI!Q$8:Q$1323,$D68))</f>
        <v/>
      </c>
      <c r="O68" s="64">
        <f>IF($D68="","",COUNTIF(DESIGNAZIONI!R$8:R$1323,$D68))</f>
        <v/>
      </c>
    </row>
    <row r="69">
      <c r="C69" s="224" t="n"/>
      <c r="D69" s="13" t="inlineStr">
        <is>
          <t>KRUGER Irene</t>
        </is>
      </c>
      <c r="E69" s="220" t="n"/>
      <c r="L69" s="64">
        <f>IF($D69="","",SUM(M69:O69))</f>
        <v/>
      </c>
      <c r="M69" s="64">
        <f>IF($D69="","",COUNTIF(DESIGNAZIONI!P$8:P$1323,$D69))</f>
        <v/>
      </c>
      <c r="N69" s="64">
        <f>IF($D69="","",COUNTIF(DESIGNAZIONI!Q$8:Q$1323,$D69))</f>
        <v/>
      </c>
      <c r="O69" s="64">
        <f>IF($D69="","",COUNTIF(DESIGNAZIONI!R$8:R$1323,$D69))</f>
        <v/>
      </c>
    </row>
    <row r="70">
      <c r="C70" s="224" t="n"/>
      <c r="D70" s="13" t="inlineStr">
        <is>
          <t>SEVER Nicola</t>
        </is>
      </c>
      <c r="E70" s="220" t="n"/>
      <c r="L70" s="64">
        <f>IF($D70="","",SUM(M70:O70))</f>
        <v/>
      </c>
      <c r="M70" s="64">
        <f>IF($D70="","",COUNTIF(DESIGNAZIONI!P$8:P$1323,$D70))</f>
        <v/>
      </c>
      <c r="N70" s="64">
        <f>IF($D70="","",COUNTIF(DESIGNAZIONI!Q$8:Q$1323,$D70))</f>
        <v/>
      </c>
      <c r="O70" s="64">
        <f>IF($D70="","",COUNTIF(DESIGNAZIONI!R$8:R$1323,$D70))</f>
        <v/>
      </c>
    </row>
    <row r="71">
      <c r="C71" s="224" t="n"/>
      <c r="D71" s="13" t="inlineStr">
        <is>
          <t>CONTARDI Greta</t>
        </is>
      </c>
      <c r="E71" s="220" t="n"/>
      <c r="L71" s="64">
        <f>IF($D71="","",SUM(M71:O71))</f>
        <v/>
      </c>
      <c r="M71" s="64">
        <f>IF($D71="","",COUNTIF(DESIGNAZIONI!P$8:P$1323,$D71))</f>
        <v/>
      </c>
      <c r="N71" s="64">
        <f>IF($D71="","",COUNTIF(DESIGNAZIONI!Q$8:Q$1323,$D71))</f>
        <v/>
      </c>
      <c r="O71" s="64">
        <f>IF($D71="","",COUNTIF(DESIGNAZIONI!R$8:R$1323,$D71))</f>
        <v/>
      </c>
    </row>
    <row r="72">
      <c r="C72" s="224" t="n"/>
      <c r="D72" s="13" t="inlineStr">
        <is>
          <t>BELLANDI Tommaso</t>
        </is>
      </c>
      <c r="E72" s="220" t="n"/>
      <c r="L72" s="64">
        <f>IF($D72="","",SUM(M72:O72))</f>
        <v/>
      </c>
      <c r="M72" s="64">
        <f>IF($D72="","",COUNTIF(DESIGNAZIONI!P$8:P$1323,$D72))</f>
        <v/>
      </c>
      <c r="N72" s="64">
        <f>IF($D72="","",COUNTIF(DESIGNAZIONI!Q$8:Q$1323,$D72))</f>
        <v/>
      </c>
      <c r="O72" s="64">
        <f>IF($D72="","",COUNTIF(DESIGNAZIONI!R$8:R$1323,$D72))</f>
        <v/>
      </c>
    </row>
    <row r="73">
      <c r="C73" s="224" t="n"/>
      <c r="D73" s="13" t="inlineStr">
        <is>
          <t>KELLER Alenka</t>
        </is>
      </c>
      <c r="E73" s="220" t="n"/>
      <c r="L73" s="64">
        <f>IF($D73="","",SUM(M73:O73))</f>
        <v/>
      </c>
      <c r="M73" s="64">
        <f>IF($D73="","",COUNTIF(DESIGNAZIONI!P$8:P$1323,$D73))</f>
        <v/>
      </c>
      <c r="N73" s="64">
        <f>IF($D73="","",COUNTIF(DESIGNAZIONI!Q$8:Q$1323,$D73))</f>
        <v/>
      </c>
      <c r="O73" s="64">
        <f>IF($D73="","",COUNTIF(DESIGNAZIONI!R$8:R$1323,$D73))</f>
        <v/>
      </c>
    </row>
    <row r="74">
      <c r="C74" s="224" t="n"/>
      <c r="D74" s="13" t="inlineStr">
        <is>
          <t>ROSSINI Filippo</t>
        </is>
      </c>
      <c r="E74" s="220" t="n"/>
      <c r="L74" s="64">
        <f>IF($D74="","",SUM(M74:O74))</f>
        <v/>
      </c>
      <c r="M74" s="64">
        <f>IF($D74="","",COUNTIF(DESIGNAZIONI!P$8:P$1323,$D74))</f>
        <v/>
      </c>
      <c r="N74" s="64">
        <f>IF($D74="","",COUNTIF(DESIGNAZIONI!Q$8:Q$1323,$D74))</f>
        <v/>
      </c>
      <c r="O74" s="64">
        <f>IF($D74="","",COUNTIF(DESIGNAZIONI!R$8:R$1323,$D74))</f>
        <v/>
      </c>
    </row>
    <row r="75">
      <c r="C75" s="224" t="n"/>
      <c r="D75" s="13" t="inlineStr">
        <is>
          <t>FERRANTE Felix</t>
        </is>
      </c>
      <c r="E75" s="220" t="n"/>
      <c r="L75" s="64">
        <f>IF($D75="","",SUM(M75:O75))</f>
        <v/>
      </c>
      <c r="M75" s="64">
        <f>IF($D75="","",COUNTIF(DESIGNAZIONI!P$8:P$1323,$D75))</f>
        <v/>
      </c>
      <c r="N75" s="64">
        <f>IF($D75="","",COUNTIF(DESIGNAZIONI!Q$8:Q$1323,$D75))</f>
        <v/>
      </c>
      <c r="O75" s="64">
        <f>IF($D75="","",COUNTIF(DESIGNAZIONI!R$8:R$1323,$D75))</f>
        <v/>
      </c>
    </row>
    <row r="76">
      <c r="C76" s="224" t="n"/>
      <c r="D76" s="13" t="inlineStr">
        <is>
          <t>KOVAC Nicola</t>
        </is>
      </c>
      <c r="E76" s="220" t="n"/>
      <c r="L76" s="64">
        <f>IF($D76="","",SUM(M76:O76))</f>
        <v/>
      </c>
      <c r="M76" s="64">
        <f>IF($D76="","",COUNTIF(DESIGNAZIONI!P$8:P$1323,$D76))</f>
        <v/>
      </c>
      <c r="N76" s="64">
        <f>IF($D76="","",COUNTIF(DESIGNAZIONI!Q$8:Q$1323,$D76))</f>
        <v/>
      </c>
      <c r="O76" s="64">
        <f>IF($D76="","",COUNTIF(DESIGNAZIONI!R$8:R$1323,$D76))</f>
        <v/>
      </c>
    </row>
    <row r="77">
      <c r="C77" s="224" t="n"/>
      <c r="D77" s="13" t="inlineStr">
        <is>
          <t>LEROUX Paolo</t>
        </is>
      </c>
      <c r="E77" s="220" t="n"/>
      <c r="L77" s="64">
        <f>IF($D77="","",SUM(M77:O77))</f>
        <v/>
      </c>
      <c r="M77" s="64">
        <f>IF($D77="","",COUNTIF(DESIGNAZIONI!P$8:P$1323,$D77))</f>
        <v/>
      </c>
      <c r="N77" s="64">
        <f>IF($D77="","",COUNTIF(DESIGNAZIONI!Q$8:Q$1323,$D77))</f>
        <v/>
      </c>
      <c r="O77" s="64">
        <f>IF($D77="","",COUNTIF(DESIGNAZIONI!R$8:R$1323,$D77))</f>
        <v/>
      </c>
    </row>
    <row r="78">
      <c r="C78" s="224" t="n"/>
      <c r="D78" s="13" t="inlineStr">
        <is>
          <t>WEBER Jonas</t>
        </is>
      </c>
      <c r="E78" s="220" t="n"/>
      <c r="L78" s="64">
        <f>IF($D78="","",SUM(M78:O78))</f>
        <v/>
      </c>
      <c r="M78" s="64">
        <f>IF($D78="","",COUNTIF(DESIGNAZIONI!P$8:P$1323,$D78))</f>
        <v/>
      </c>
      <c r="N78" s="64">
        <f>IF($D78="","",COUNTIF(DESIGNAZIONI!Q$8:Q$1323,$D78))</f>
        <v/>
      </c>
      <c r="O78" s="64">
        <f>IF($D78="","",COUNTIF(DESIGNAZIONI!R$8:R$1323,$D78))</f>
        <v/>
      </c>
    </row>
    <row r="79">
      <c r="C79" s="224" t="n"/>
      <c r="D79" s="13" t="inlineStr">
        <is>
          <t>VIDMAR Matteo</t>
        </is>
      </c>
      <c r="E79" s="220" t="n"/>
      <c r="L79" s="64">
        <f>IF($D79="","",SUM(M79:O79))</f>
        <v/>
      </c>
      <c r="M79" s="64">
        <f>IF($D79="","",COUNTIF(DESIGNAZIONI!P$8:P$1323,$D79))</f>
        <v/>
      </c>
      <c r="N79" s="64">
        <f>IF($D79="","",COUNTIF(DESIGNAZIONI!Q$8:Q$1323,$D79))</f>
        <v/>
      </c>
      <c r="O79" s="64">
        <f>IF($D79="","",COUNTIF(DESIGNAZIONI!R$8:R$1323,$D79))</f>
        <v/>
      </c>
    </row>
    <row r="80">
      <c r="C80" s="224" t="n"/>
      <c r="D80" s="13" t="inlineStr">
        <is>
          <t>SANTORI Paolo</t>
        </is>
      </c>
      <c r="E80" s="220" t="n"/>
      <c r="L80" s="64">
        <f>IF($D80="","",SUM(M80:O80))</f>
        <v/>
      </c>
      <c r="M80" s="64">
        <f>IF($D80="","",COUNTIF(DESIGNAZIONI!P$8:P$1323,$D80))</f>
        <v/>
      </c>
      <c r="N80" s="64">
        <f>IF($D80="","",COUNTIF(DESIGNAZIONI!Q$8:Q$1323,$D80))</f>
        <v/>
      </c>
      <c r="O80" s="64">
        <f>IF($D80="","",COUNTIF(DESIGNAZIONI!R$8:R$1323,$D80))</f>
        <v/>
      </c>
    </row>
    <row r="81">
      <c r="C81" s="224" t="n"/>
      <c r="D81" s="13" t="inlineStr">
        <is>
          <t>BLANCHET Marta</t>
        </is>
      </c>
      <c r="E81" s="220" t="n"/>
      <c r="L81" s="64">
        <f>IF($D81="","",SUM(M81:O81))</f>
        <v/>
      </c>
      <c r="M81" s="64">
        <f>IF($D81="","",COUNTIF(DESIGNAZIONI!P$8:P$1323,$D81))</f>
        <v/>
      </c>
      <c r="N81" s="64">
        <f>IF($D81="","",COUNTIF(DESIGNAZIONI!Q$8:Q$1323,$D81))</f>
        <v/>
      </c>
      <c r="O81" s="64">
        <f>IF($D81="","",COUNTIF(DESIGNAZIONI!R$8:R$1323,$D81))</f>
        <v/>
      </c>
    </row>
    <row r="82">
      <c r="C82" s="224" t="n"/>
      <c r="D82" s="13" t="inlineStr">
        <is>
          <t>ROSSINI Mathilde</t>
        </is>
      </c>
      <c r="E82" s="220" t="n"/>
      <c r="L82" s="64">
        <f>IF($D82="","",SUM(M82:O82))</f>
        <v/>
      </c>
      <c r="M82" s="64">
        <f>IF($D82="","",COUNTIF(DESIGNAZIONI!P$8:P$1323,$D82))</f>
        <v/>
      </c>
      <c r="N82" s="64">
        <f>IF($D82="","",COUNTIF(DESIGNAZIONI!Q$8:Q$1323,$D82))</f>
        <v/>
      </c>
      <c r="O82" s="64">
        <f>IF($D82="","",COUNTIF(DESIGNAZIONI!R$8:R$1323,$D82))</f>
        <v/>
      </c>
    </row>
    <row r="83">
      <c r="C83" s="224" t="n"/>
      <c r="D83" s="13" t="inlineStr">
        <is>
          <t>ORTEGA Marta</t>
        </is>
      </c>
      <c r="E83" s="220" t="n"/>
      <c r="L83" s="64">
        <f>IF($D83="","",SUM(M83:O83))</f>
        <v/>
      </c>
      <c r="M83" s="64">
        <f>IF($D83="","",COUNTIF(DESIGNAZIONI!P$8:P$1323,$D83))</f>
        <v/>
      </c>
      <c r="N83" s="64">
        <f>IF($D83="","",COUNTIF(DESIGNAZIONI!Q$8:Q$1323,$D83))</f>
        <v/>
      </c>
      <c r="O83" s="64">
        <f>IF($D83="","",COUNTIF(DESIGNAZIONI!R$8:R$1323,$D83))</f>
        <v/>
      </c>
    </row>
    <row r="84">
      <c r="C84" s="224" t="n"/>
      <c r="D84" s="13" t="inlineStr">
        <is>
          <t>ROMERO Felix</t>
        </is>
      </c>
      <c r="E84" s="220" t="n"/>
      <c r="L84" s="64">
        <f>IF($D84="","",SUM(M84:O84))</f>
        <v/>
      </c>
      <c r="M84" s="64">
        <f>IF($D84="","",COUNTIF(DESIGNAZIONI!P$8:P$1323,$D84))</f>
        <v/>
      </c>
      <c r="N84" s="64">
        <f>IF($D84="","",COUNTIF(DESIGNAZIONI!Q$8:Q$1323,$D84))</f>
        <v/>
      </c>
      <c r="O84" s="64">
        <f>IF($D84="","",COUNTIF(DESIGNAZIONI!R$8:R$1323,$D84))</f>
        <v/>
      </c>
    </row>
    <row r="85">
      <c r="C85" s="224" t="n"/>
      <c r="D85" s="13" t="inlineStr">
        <is>
          <t>NADAUD Nicola</t>
        </is>
      </c>
      <c r="E85" s="220" t="n"/>
      <c r="L85" s="64">
        <f>IF($D85="","",SUM(M85:O85))</f>
        <v/>
      </c>
      <c r="M85" s="64">
        <f>IF($D85="","",COUNTIF(DESIGNAZIONI!P$8:P$1323,$D85))</f>
        <v/>
      </c>
      <c r="N85" s="64">
        <f>IF($D85="","",COUNTIF(DESIGNAZIONI!Q$8:Q$1323,$D85))</f>
        <v/>
      </c>
      <c r="O85" s="64">
        <f>IF($D85="","",COUNTIF(DESIGNAZIONI!R$8:R$1323,$D85))</f>
        <v/>
      </c>
    </row>
    <row r="86">
      <c r="C86" s="224" t="n"/>
      <c r="D86" s="13" t="inlineStr">
        <is>
          <t>VALLET Miha</t>
        </is>
      </c>
      <c r="E86" s="220" t="n"/>
      <c r="L86" s="64">
        <f>IF($D86="","",SUM(M86:O86))</f>
        <v/>
      </c>
      <c r="M86" s="64">
        <f>IF($D86="","",COUNTIF(DESIGNAZIONI!P$8:P$1323,$D86))</f>
        <v/>
      </c>
      <c r="N86" s="64">
        <f>IF($D86="","",COUNTIF(DESIGNAZIONI!Q$8:Q$1323,$D86))</f>
        <v/>
      </c>
      <c r="O86" s="64">
        <f>IF($D86="","",COUNTIF(DESIGNAZIONI!R$8:R$1323,$D86))</f>
        <v/>
      </c>
    </row>
    <row r="87">
      <c r="C87" s="224" t="n"/>
      <c r="D87" s="13" t="inlineStr">
        <is>
          <t>PRADO Stefano</t>
        </is>
      </c>
      <c r="E87" s="220" t="n"/>
      <c r="L87" s="64">
        <f>IF($D87="","",SUM(M87:O87))</f>
        <v/>
      </c>
      <c r="M87" s="64">
        <f>IF($D87="","",COUNTIF(DESIGNAZIONI!P$8:P$1323,$D87))</f>
        <v/>
      </c>
      <c r="N87" s="64">
        <f>IF($D87="","",COUNTIF(DESIGNAZIONI!Q$8:Q$1323,$D87))</f>
        <v/>
      </c>
      <c r="O87" s="64">
        <f>IF($D87="","",COUNTIF(DESIGNAZIONI!R$8:R$1323,$D87))</f>
        <v/>
      </c>
    </row>
    <row r="88">
      <c r="C88" s="224" t="n"/>
      <c r="D88" s="13" t="inlineStr">
        <is>
          <t>SANTORI Miha</t>
        </is>
      </c>
      <c r="E88" s="220" t="n"/>
      <c r="L88" s="64">
        <f>IF($D88="","",SUM(M88:O88))</f>
        <v/>
      </c>
      <c r="M88" s="64">
        <f>IF($D88="","",COUNTIF(DESIGNAZIONI!P$8:P$1323,$D88))</f>
        <v/>
      </c>
      <c r="N88" s="64">
        <f>IF($D88="","",COUNTIF(DESIGNAZIONI!Q$8:Q$1323,$D88))</f>
        <v/>
      </c>
      <c r="O88" s="64">
        <f>IF($D88="","",COUNTIF(DESIGNAZIONI!R$8:R$1323,$D88))</f>
        <v/>
      </c>
    </row>
    <row r="89">
      <c r="C89" s="224" t="n"/>
      <c r="D89" s="13" t="inlineStr">
        <is>
          <t>WEBER Andrea</t>
        </is>
      </c>
      <c r="E89" s="220" t="n"/>
      <c r="L89" s="64">
        <f>IF($D89="","",SUM(M89:O89))</f>
        <v/>
      </c>
      <c r="M89" s="64">
        <f>IF($D89="","",COUNTIF(DESIGNAZIONI!P$8:P$1323,$D89))</f>
        <v/>
      </c>
      <c r="N89" s="64">
        <f>IF($D89="","",COUNTIF(DESIGNAZIONI!Q$8:Q$1323,$D89))</f>
        <v/>
      </c>
      <c r="O89" s="64">
        <f>IF($D89="","",COUNTIF(DESIGNAZIONI!R$8:R$1323,$D89))</f>
        <v/>
      </c>
    </row>
    <row r="90">
      <c r="C90" s="224" t="n"/>
      <c r="D90" s="13" t="inlineStr">
        <is>
          <t>AUBERT Paolo</t>
        </is>
      </c>
      <c r="E90" s="220" t="n"/>
      <c r="L90" s="64">
        <f>IF($D90="","",SUM(M90:O90))</f>
        <v/>
      </c>
      <c r="M90" s="64">
        <f>IF($D90="","",COUNTIF(DESIGNAZIONI!P$8:P$1323,$D90))</f>
        <v/>
      </c>
      <c r="N90" s="64">
        <f>IF($D90="","",COUNTIF(DESIGNAZIONI!Q$8:Q$1323,$D90))</f>
        <v/>
      </c>
      <c r="O90" s="64">
        <f>IF($D90="","",COUNTIF(DESIGNAZIONI!R$8:R$1323,$D90))</f>
        <v/>
      </c>
    </row>
    <row r="91">
      <c r="C91" s="224" t="n"/>
      <c r="D91" s="13" t="inlineStr">
        <is>
          <t>FERRANTE Martina</t>
        </is>
      </c>
      <c r="E91" s="220" t="n"/>
      <c r="L91" s="64">
        <f>IF($D91="","",SUM(M91:O91))</f>
        <v/>
      </c>
      <c r="M91" s="64">
        <f>IF($D91="","",COUNTIF(DESIGNAZIONI!P$8:P$1323,$D91))</f>
        <v/>
      </c>
      <c r="N91" s="64">
        <f>IF($D91="","",COUNTIF(DESIGNAZIONI!Q$8:Q$1323,$D91))</f>
        <v/>
      </c>
      <c r="O91" s="64">
        <f>IF($D91="","",COUNTIF(DESIGNAZIONI!R$8:R$1323,$D91))</f>
        <v/>
      </c>
    </row>
    <row r="92">
      <c r="C92" s="224" t="n"/>
      <c r="D92" s="13" t="inlineStr">
        <is>
          <t>ROMERO Alenka</t>
        </is>
      </c>
      <c r="E92" s="220" t="n"/>
      <c r="L92" s="64">
        <f>IF($D92="","",SUM(M92:O92))</f>
        <v/>
      </c>
      <c r="M92" s="64">
        <f>IF($D92="","",COUNTIF(DESIGNAZIONI!P$8:P$1323,$D92))</f>
        <v/>
      </c>
      <c r="N92" s="64">
        <f>IF($D92="","",COUNTIF(DESIGNAZIONI!Q$8:Q$1323,$D92))</f>
        <v/>
      </c>
      <c r="O92" s="64">
        <f>IF($D92="","",COUNTIF(DESIGNAZIONI!R$8:R$1323,$D92))</f>
        <v/>
      </c>
    </row>
    <row r="93">
      <c r="C93" s="224" t="n"/>
      <c r="D93" s="13" t="inlineStr">
        <is>
          <t>SEVER Davide</t>
        </is>
      </c>
      <c r="E93" s="220" t="n"/>
      <c r="L93" s="64">
        <f>IF($D93="","",SUM(M93:O93))</f>
        <v/>
      </c>
      <c r="M93" s="64">
        <f>IF($D93="","",COUNTIF(DESIGNAZIONI!P$8:P$1323,$D93))</f>
        <v/>
      </c>
      <c r="N93" s="64">
        <f>IF($D93="","",COUNTIF(DESIGNAZIONI!Q$8:Q$1323,$D93))</f>
        <v/>
      </c>
      <c r="O93" s="64">
        <f>IF($D93="","",COUNTIF(DESIGNAZIONI!R$8:R$1323,$D93))</f>
        <v/>
      </c>
    </row>
    <row r="94">
      <c r="C94" s="224" t="n"/>
      <c r="D94" s="13" t="inlineStr">
        <is>
          <t>ROTH Lucia</t>
        </is>
      </c>
      <c r="E94" s="220" t="n"/>
      <c r="L94" s="64">
        <f>IF($D94="","",SUM(M94:O94))</f>
        <v/>
      </c>
      <c r="M94" s="64">
        <f>IF($D94="","",COUNTIF(DESIGNAZIONI!P$8:P$1323,$D94))</f>
        <v/>
      </c>
      <c r="N94" s="64">
        <f>IF($D94="","",COUNTIF(DESIGNAZIONI!Q$8:Q$1323,$D94))</f>
        <v/>
      </c>
      <c r="O94" s="64">
        <f>IF($D94="","",COUNTIF(DESIGNAZIONI!R$8:R$1323,$D94))</f>
        <v/>
      </c>
    </row>
    <row r="95">
      <c r="C95" s="224" t="n"/>
      <c r="D95" s="13" t="inlineStr">
        <is>
          <t>ROTH Hugo</t>
        </is>
      </c>
      <c r="E95" s="220" t="n"/>
      <c r="L95" s="64">
        <f>IF($D95="","",SUM(M95:O95))</f>
        <v/>
      </c>
      <c r="M95" s="64">
        <f>IF($D95="","",COUNTIF(DESIGNAZIONI!P$8:P$1323,$D95))</f>
        <v/>
      </c>
      <c r="N95" s="64">
        <f>IF($D95="","",COUNTIF(DESIGNAZIONI!Q$8:Q$1323,$D95))</f>
        <v/>
      </c>
      <c r="O95" s="64">
        <f>IF($D95="","",COUNTIF(DESIGNAZIONI!R$8:R$1323,$D95))</f>
        <v/>
      </c>
    </row>
    <row r="96">
      <c r="C96" s="224" t="n"/>
      <c r="D96" s="13" t="inlineStr">
        <is>
          <t>HORVAT Lukas</t>
        </is>
      </c>
      <c r="E96" s="220" t="n"/>
      <c r="L96" s="64">
        <f>IF($D96="","",SUM(M96:O96))</f>
        <v/>
      </c>
      <c r="M96" s="64">
        <f>IF($D96="","",COUNTIF(DESIGNAZIONI!P$8:P$1323,$D96))</f>
        <v/>
      </c>
      <c r="N96" s="64">
        <f>IF($D96="","",COUNTIF(DESIGNAZIONI!Q$8:Q$1323,$D96))</f>
        <v/>
      </c>
      <c r="O96" s="64">
        <f>IF($D96="","",COUNTIF(DESIGNAZIONI!R$8:R$1323,$D96))</f>
        <v/>
      </c>
    </row>
    <row r="97">
      <c r="C97" s="224" t="n"/>
      <c r="D97" s="13" t="inlineStr">
        <is>
          <t>NAVARRO Luca</t>
        </is>
      </c>
      <c r="E97" s="220" t="n"/>
      <c r="L97" s="64">
        <f>IF($D97="","",SUM(M97:O97))</f>
        <v/>
      </c>
      <c r="M97" s="64">
        <f>IF($D97="","",COUNTIF(DESIGNAZIONI!P$8:P$1323,$D97))</f>
        <v/>
      </c>
      <c r="N97" s="64">
        <f>IF($D97="","",COUNTIF(DESIGNAZIONI!Q$8:Q$1323,$D97))</f>
        <v/>
      </c>
      <c r="O97" s="64">
        <f>IF($D97="","",COUNTIF(DESIGNAZIONI!R$8:R$1323,$D97))</f>
        <v/>
      </c>
    </row>
    <row r="98">
      <c r="C98" s="224" t="n"/>
      <c r="D98" s="13" t="inlineStr">
        <is>
          <t>BELLANDI Lukas</t>
        </is>
      </c>
      <c r="E98" s="220" t="n"/>
      <c r="L98" s="64">
        <f>IF($D98="","",SUM(M98:O98))</f>
        <v/>
      </c>
      <c r="M98" s="64">
        <f>IF($D98="","",COUNTIF(DESIGNAZIONI!P$8:P$1323,$D98))</f>
        <v/>
      </c>
      <c r="N98" s="64">
        <f>IF($D98="","",COUNTIF(DESIGNAZIONI!Q$8:Q$1323,$D98))</f>
        <v/>
      </c>
      <c r="O98" s="64">
        <f>IF($D98="","",COUNTIF(DESIGNAZIONI!R$8:R$1323,$D98))</f>
        <v/>
      </c>
    </row>
    <row r="99">
      <c r="C99" s="224" t="n"/>
      <c r="D99" s="13" t="inlineStr">
        <is>
          <t>SANTORI Marco</t>
        </is>
      </c>
      <c r="E99" s="220" t="n"/>
      <c r="L99" s="64">
        <f>IF($D99="","",SUM(M99:O99))</f>
        <v/>
      </c>
      <c r="M99" s="64">
        <f>IF($D99="","",COUNTIF(DESIGNAZIONI!P$8:P$1323,$D99))</f>
        <v/>
      </c>
      <c r="N99" s="64">
        <f>IF($D99="","",COUNTIF(DESIGNAZIONI!Q$8:Q$1323,$D99))</f>
        <v/>
      </c>
      <c r="O99" s="64">
        <f>IF($D99="","",COUNTIF(DESIGNAZIONI!R$8:R$1323,$D99))</f>
        <v/>
      </c>
    </row>
    <row r="100">
      <c r="C100" s="224" t="n"/>
      <c r="D100" s="13" t="inlineStr">
        <is>
          <t>NADAUD Marco</t>
        </is>
      </c>
      <c r="E100" s="220" t="n"/>
      <c r="L100" s="64">
        <f>IF($D100="","",SUM(M100:O100))</f>
        <v/>
      </c>
      <c r="M100" s="64">
        <f>IF($D100="","",COUNTIF(DESIGNAZIONI!P$8:P$1323,$D100))</f>
        <v/>
      </c>
      <c r="N100" s="64">
        <f>IF($D100="","",COUNTIF(DESIGNAZIONI!Q$8:Q$1323,$D100))</f>
        <v/>
      </c>
      <c r="O100" s="64">
        <f>IF($D100="","",COUNTIF(DESIGNAZIONI!R$8:R$1323,$D100))</f>
        <v/>
      </c>
    </row>
    <row r="101">
      <c r="C101" s="224" t="n"/>
      <c r="D101" s="13" t="inlineStr">
        <is>
          <t>SEVER Ottavia</t>
        </is>
      </c>
      <c r="E101" s="220" t="n"/>
      <c r="L101" s="64">
        <f>IF($D101="","",SUM(M101:O101))</f>
        <v/>
      </c>
      <c r="M101" s="64">
        <f>IF($D101="","",COUNTIF(DESIGNAZIONI!P$8:P$1323,$D101))</f>
        <v/>
      </c>
      <c r="N101" s="64">
        <f>IF($D101="","",COUNTIF(DESIGNAZIONI!Q$8:Q$1323,$D101))</f>
        <v/>
      </c>
      <c r="O101" s="64">
        <f>IF($D101="","",COUNTIF(DESIGNAZIONI!R$8:R$1323,$D101))</f>
        <v/>
      </c>
    </row>
    <row r="102">
      <c r="C102" s="224" t="n"/>
      <c r="D102" s="13" t="inlineStr">
        <is>
          <t>BRANDT Beatrice</t>
        </is>
      </c>
      <c r="E102" s="220" t="n"/>
      <c r="L102" s="64">
        <f>IF($D102="","",SUM(M102:O102))</f>
        <v/>
      </c>
      <c r="M102" s="64">
        <f>IF($D102="","",COUNTIF(DESIGNAZIONI!P$8:P$1323,$D102))</f>
        <v/>
      </c>
      <c r="N102" s="64">
        <f>IF($D102="","",COUNTIF(DESIGNAZIONI!Q$8:Q$1323,$D102))</f>
        <v/>
      </c>
      <c r="O102" s="64">
        <f>IF($D102="","",COUNTIF(DESIGNAZIONI!R$8:R$1323,$D102))</f>
        <v/>
      </c>
    </row>
    <row r="103">
      <c r="C103" s="224" t="n"/>
      <c r="D103" s="13" t="inlineStr">
        <is>
          <t>KRUGER Giulia</t>
        </is>
      </c>
      <c r="E103" s="220" t="n"/>
      <c r="L103" s="64">
        <f>IF($D103="","",SUM(M103:O103))</f>
        <v/>
      </c>
      <c r="M103" s="64">
        <f>IF($D103="","",COUNTIF(DESIGNAZIONI!P$8:P$1323,$D103))</f>
        <v/>
      </c>
      <c r="N103" s="64">
        <f>IF($D103="","",COUNTIF(DESIGNAZIONI!Q$8:Q$1323,$D103))</f>
        <v/>
      </c>
      <c r="O103" s="64">
        <f>IF($D103="","",COUNTIF(DESIGNAZIONI!R$8:R$1323,$D103))</f>
        <v/>
      </c>
    </row>
    <row r="104">
      <c r="C104" s="224" t="n"/>
      <c r="D104" s="13" t="inlineStr">
        <is>
          <t>FUENTES Matteo</t>
        </is>
      </c>
      <c r="E104" s="220" t="n"/>
      <c r="L104" s="64">
        <f>IF($D104="","",SUM(M104:O104))</f>
        <v/>
      </c>
      <c r="M104" s="64">
        <f>IF($D104="","",COUNTIF(DESIGNAZIONI!P$8:P$1323,$D104))</f>
        <v/>
      </c>
      <c r="N104" s="64">
        <f>IF($D104="","",COUNTIF(DESIGNAZIONI!Q$8:Q$1323,$D104))</f>
        <v/>
      </c>
      <c r="O104" s="64">
        <f>IF($D104="","",COUNTIF(DESIGNAZIONI!R$8:R$1323,$D104))</f>
        <v/>
      </c>
    </row>
    <row r="105">
      <c r="C105" s="224" t="n"/>
      <c r="D105" s="13" t="inlineStr">
        <is>
          <t>ZUPAN Alenka</t>
        </is>
      </c>
      <c r="E105" s="220" t="n"/>
      <c r="L105" s="64">
        <f>IF($D105="","",SUM(M105:O105))</f>
        <v/>
      </c>
      <c r="M105" s="64">
        <f>IF($D105="","",COUNTIF(DESIGNAZIONI!P$8:P$1323,$D105))</f>
        <v/>
      </c>
      <c r="N105" s="64">
        <f>IF($D105="","",COUNTIF(DESIGNAZIONI!Q$8:Q$1323,$D105))</f>
        <v/>
      </c>
      <c r="O105" s="64">
        <f>IF($D105="","",COUNTIF(DESIGNAZIONI!R$8:R$1323,$D105))</f>
        <v/>
      </c>
    </row>
    <row r="106">
      <c r="C106" s="224" t="n"/>
      <c r="D106" s="13" t="inlineStr">
        <is>
          <t>NADAUD Alenka</t>
        </is>
      </c>
      <c r="E106" s="220" t="n"/>
      <c r="L106" s="64">
        <f>IF($D106="","",SUM(M106:O106))</f>
        <v/>
      </c>
      <c r="M106" s="64">
        <f>IF($D106="","",COUNTIF(DESIGNAZIONI!P$8:P$1323,$D106))</f>
        <v/>
      </c>
      <c r="N106" s="64">
        <f>IF($D106="","",COUNTIF(DESIGNAZIONI!Q$8:Q$1323,$D106))</f>
        <v/>
      </c>
      <c r="O106" s="64">
        <f>IF($D106="","",COUNTIF(DESIGNAZIONI!R$8:R$1323,$D106))</f>
        <v/>
      </c>
    </row>
    <row r="107">
      <c r="C107" s="224" t="n"/>
      <c r="D107" s="13" t="inlineStr">
        <is>
          <t>LEROUX Gaelle</t>
        </is>
      </c>
      <c r="E107" s="220" t="n"/>
      <c r="L107" s="64">
        <f>IF($D107="","",SUM(M107:O107))</f>
        <v/>
      </c>
      <c r="M107" s="64">
        <f>IF($D107="","",COUNTIF(DESIGNAZIONI!P$8:P$1323,$D107))</f>
        <v/>
      </c>
      <c r="N107" s="64">
        <f>IF($D107="","",COUNTIF(DESIGNAZIONI!Q$8:Q$1323,$D107))</f>
        <v/>
      </c>
      <c r="O107" s="64">
        <f>IF($D107="","",COUNTIF(DESIGNAZIONI!R$8:R$1323,$D107))</f>
        <v/>
      </c>
    </row>
    <row r="108">
      <c r="C108" s="224" t="n"/>
      <c r="D108" s="13" t="inlineStr">
        <is>
          <t>SCHAFER Katrin</t>
        </is>
      </c>
      <c r="E108" s="220" t="n"/>
      <c r="L108" s="64">
        <f>IF($D108="","",SUM(M108:O108))</f>
        <v/>
      </c>
      <c r="M108" s="64">
        <f>IF($D108="","",COUNTIF(DESIGNAZIONI!P$8:P$1323,$D108))</f>
        <v/>
      </c>
      <c r="N108" s="64">
        <f>IF($D108="","",COUNTIF(DESIGNAZIONI!Q$8:Q$1323,$D108))</f>
        <v/>
      </c>
      <c r="O108" s="64">
        <f>IF($D108="","",COUNTIF(DESIGNAZIONI!R$8:R$1323,$D108))</f>
        <v/>
      </c>
    </row>
    <row r="109">
      <c r="C109" s="224" t="n"/>
      <c r="D109" s="13" t="inlineStr">
        <is>
          <t>KOVAC Paolo</t>
        </is>
      </c>
      <c r="E109" s="220" t="n"/>
      <c r="L109" s="64">
        <f>IF($D109="","",SUM(M109:O109))</f>
        <v/>
      </c>
      <c r="M109" s="64">
        <f>IF($D109="","",COUNTIF(DESIGNAZIONI!P$8:P$1323,$D109))</f>
        <v/>
      </c>
      <c r="N109" s="64">
        <f>IF($D109="","",COUNTIF(DESIGNAZIONI!Q$8:Q$1323,$D109))</f>
        <v/>
      </c>
      <c r="O109" s="64">
        <f>IF($D109="","",COUNTIF(DESIGNAZIONI!R$8:R$1323,$D109))</f>
        <v/>
      </c>
    </row>
    <row r="110">
      <c r="C110" s="224" t="n"/>
      <c r="D110" s="13" t="inlineStr">
        <is>
          <t>LANGER Andrea</t>
        </is>
      </c>
      <c r="E110" s="220" t="n"/>
      <c r="L110" s="64">
        <f>IF($D110="","",SUM(M110:O110))</f>
        <v/>
      </c>
      <c r="M110" s="64">
        <f>IF($D110="","",COUNTIF(DESIGNAZIONI!P$8:P$1323,$D110))</f>
        <v/>
      </c>
      <c r="N110" s="64">
        <f>IF($D110="","",COUNTIF(DESIGNAZIONI!Q$8:Q$1323,$D110))</f>
        <v/>
      </c>
      <c r="O110" s="64">
        <f>IF($D110="","",COUNTIF(DESIGNAZIONI!R$8:R$1323,$D110))</f>
        <v/>
      </c>
    </row>
    <row r="111">
      <c r="C111" s="224" t="n"/>
      <c r="D111" s="13" t="inlineStr">
        <is>
          <t>NADAUD Andrea</t>
        </is>
      </c>
      <c r="E111" s="220" t="n"/>
      <c r="L111" s="64">
        <f>IF($D111="","",SUM(M111:O111))</f>
        <v/>
      </c>
      <c r="M111" s="64">
        <f>IF($D111="","",COUNTIF(DESIGNAZIONI!P$8:P$1323,$D111))</f>
        <v/>
      </c>
      <c r="N111" s="64">
        <f>IF($D111="","",COUNTIF(DESIGNAZIONI!Q$8:Q$1323,$D111))</f>
        <v/>
      </c>
      <c r="O111" s="64">
        <f>IF($D111="","",COUNTIF(DESIGNAZIONI!R$8:R$1323,$D111))</f>
        <v/>
      </c>
    </row>
    <row r="112">
      <c r="C112" s="224" t="n"/>
      <c r="D112" s="13" t="inlineStr">
        <is>
          <t>KELLER Pablo</t>
        </is>
      </c>
      <c r="E112" s="220" t="n"/>
      <c r="L112" s="64">
        <f>IF($D112="","",SUM(M112:O112))</f>
        <v/>
      </c>
      <c r="M112" s="64">
        <f>IF($D112="","",COUNTIF(DESIGNAZIONI!P$8:P$1323,$D112))</f>
        <v/>
      </c>
      <c r="N112" s="64">
        <f>IF($D112="","",COUNTIF(DESIGNAZIONI!Q$8:Q$1323,$D112))</f>
        <v/>
      </c>
      <c r="O112" s="64">
        <f>IF($D112="","",COUNTIF(DESIGNAZIONI!R$8:R$1323,$D112))</f>
        <v/>
      </c>
    </row>
    <row r="113">
      <c r="C113" s="224" t="n"/>
      <c r="D113" s="13" t="inlineStr">
        <is>
          <t>OBLAK Chiara</t>
        </is>
      </c>
      <c r="E113" s="220" t="n"/>
      <c r="L113" s="64">
        <f>IF($D113="","",SUM(M113:O113))</f>
        <v/>
      </c>
      <c r="M113" s="64">
        <f>IF($D113="","",COUNTIF(DESIGNAZIONI!P$8:P$1323,$D113))</f>
        <v/>
      </c>
      <c r="N113" s="64">
        <f>IF($D113="","",COUNTIF(DESIGNAZIONI!Q$8:Q$1323,$D113))</f>
        <v/>
      </c>
      <c r="O113" s="64">
        <f>IF($D113="","",COUNTIF(DESIGNAZIONI!R$8:R$1323,$D113))</f>
        <v/>
      </c>
    </row>
    <row r="114">
      <c r="C114" s="224" t="n"/>
      <c r="D114" s="13" t="inlineStr">
        <is>
          <t>FUENTES Greta</t>
        </is>
      </c>
      <c r="E114" s="220" t="n"/>
      <c r="L114" s="64">
        <f>IF($D114="","",SUM(M114:O114))</f>
        <v/>
      </c>
      <c r="M114" s="64">
        <f>IF($D114="","",COUNTIF(DESIGNAZIONI!P$8:P$1323,$D114))</f>
        <v/>
      </c>
      <c r="N114" s="64">
        <f>IF($D114="","",COUNTIF(DESIGNAZIONI!Q$8:Q$1323,$D114))</f>
        <v/>
      </c>
      <c r="O114" s="64">
        <f>IF($D114="","",COUNTIF(DESIGNAZIONI!R$8:R$1323,$D114))</f>
        <v/>
      </c>
    </row>
    <row r="115">
      <c r="C115" s="224" t="n"/>
      <c r="D115" s="13" t="inlineStr">
        <is>
          <t>CASTILLO Martina</t>
        </is>
      </c>
      <c r="E115" s="220" t="n"/>
      <c r="L115" s="64">
        <f>IF($D115="","",SUM(M115:O115))</f>
        <v/>
      </c>
      <c r="M115" s="64">
        <f>IF($D115="","",COUNTIF(DESIGNAZIONI!P$8:P$1323,$D115))</f>
        <v/>
      </c>
      <c r="N115" s="64">
        <f>IF($D115="","",COUNTIF(DESIGNAZIONI!Q$8:Q$1323,$D115))</f>
        <v/>
      </c>
      <c r="O115" s="64">
        <f>IF($D115="","",COUNTIF(DESIGNAZIONI!R$8:R$1323,$D115))</f>
        <v/>
      </c>
    </row>
    <row r="116">
      <c r="C116" s="224" t="n"/>
      <c r="D116" s="13" t="inlineStr">
        <is>
          <t>KOVAC Gaelle</t>
        </is>
      </c>
      <c r="E116" s="220" t="n"/>
      <c r="L116" s="64">
        <f>IF($D116="","",SUM(M116:O116))</f>
        <v/>
      </c>
      <c r="M116" s="64">
        <f>IF($D116="","",COUNTIF(DESIGNAZIONI!P$8:P$1323,$D116))</f>
        <v/>
      </c>
      <c r="N116" s="64">
        <f>IF($D116="","",COUNTIF(DESIGNAZIONI!Q$8:Q$1323,$D116))</f>
        <v/>
      </c>
      <c r="O116" s="64">
        <f>IF($D116="","",COUNTIF(DESIGNAZIONI!R$8:R$1323,$D116))</f>
        <v/>
      </c>
    </row>
    <row r="117">
      <c r="C117" s="224" t="n"/>
      <c r="D117" s="13" t="inlineStr">
        <is>
          <t>AUBERT Pablo</t>
        </is>
      </c>
      <c r="E117" s="220" t="n"/>
      <c r="L117" s="64">
        <f>IF($D117="","",SUM(M117:O117))</f>
        <v/>
      </c>
      <c r="M117" s="64">
        <f>IF($D117="","",COUNTIF(DESIGNAZIONI!P$8:P$1323,$D117))</f>
        <v/>
      </c>
      <c r="N117" s="64">
        <f>IF($D117="","",COUNTIF(DESIGNAZIONI!Q$8:Q$1323,$D117))</f>
        <v/>
      </c>
      <c r="O117" s="64">
        <f>IF($D117="","",COUNTIF(DESIGNAZIONI!R$8:R$1323,$D117))</f>
        <v/>
      </c>
    </row>
    <row r="118">
      <c r="C118" s="224" t="n"/>
      <c r="D118" s="13" t="inlineStr">
        <is>
          <t>CASTILLO Alenka</t>
        </is>
      </c>
      <c r="E118" s="220" t="n"/>
      <c r="L118" s="64">
        <f>IF($D118="","",SUM(M118:O118))</f>
        <v/>
      </c>
      <c r="M118" s="64">
        <f>IF($D118="","",COUNTIF(DESIGNAZIONI!P$8:P$1323,$D118))</f>
        <v/>
      </c>
      <c r="N118" s="64">
        <f>IF($D118="","",COUNTIF(DESIGNAZIONI!Q$8:Q$1323,$D118))</f>
        <v/>
      </c>
      <c r="O118" s="64">
        <f>IF($D118="","",COUNTIF(DESIGNAZIONI!R$8:R$1323,$D118))</f>
        <v/>
      </c>
    </row>
    <row r="119">
      <c r="C119" s="224" t="n"/>
      <c r="D119" s="13" t="inlineStr">
        <is>
          <t>VOGEL Pablo</t>
        </is>
      </c>
      <c r="E119" s="220" t="n"/>
      <c r="L119" s="64">
        <f>IF($D119="","",SUM(M119:O119))</f>
        <v/>
      </c>
      <c r="M119" s="64">
        <f>IF($D119="","",COUNTIF(DESIGNAZIONI!P$8:P$1323,$D119))</f>
        <v/>
      </c>
      <c r="N119" s="64">
        <f>IF($D119="","",COUNTIF(DESIGNAZIONI!Q$8:Q$1323,$D119))</f>
        <v/>
      </c>
      <c r="O119" s="64">
        <f>IF($D119="","",COUNTIF(DESIGNAZIONI!R$8:R$1323,$D119))</f>
        <v/>
      </c>
    </row>
    <row r="120">
      <c r="C120" s="224" t="n"/>
      <c r="D120" s="13" t="inlineStr">
        <is>
          <t>LEFEVRE Mathilde</t>
        </is>
      </c>
      <c r="E120" s="220" t="n"/>
      <c r="L120" s="64">
        <f>IF($D120="","",SUM(M120:O120))</f>
        <v/>
      </c>
      <c r="M120" s="64">
        <f>IF($D120="","",COUNTIF(DESIGNAZIONI!P$8:P$1323,$D120))</f>
        <v/>
      </c>
      <c r="N120" s="64">
        <f>IF($D120="","",COUNTIF(DESIGNAZIONI!Q$8:Q$1323,$D120))</f>
        <v/>
      </c>
      <c r="O120" s="64">
        <f>IF($D120="","",COUNTIF(DESIGNAZIONI!R$8:R$1323,$D120))</f>
        <v/>
      </c>
    </row>
    <row r="121">
      <c r="C121" s="224" t="n"/>
      <c r="D121" s="13" t="inlineStr">
        <is>
          <t>NADAUD Paula</t>
        </is>
      </c>
      <c r="E121" s="220" t="n"/>
      <c r="L121" s="64">
        <f>IF($D121="","",SUM(M121:O121))</f>
        <v/>
      </c>
      <c r="M121" s="64">
        <f>IF($D121="","",COUNTIF(DESIGNAZIONI!P$8:P$1323,$D121))</f>
        <v/>
      </c>
      <c r="N121" s="64">
        <f>IF($D121="","",COUNTIF(DESIGNAZIONI!Q$8:Q$1323,$D121))</f>
        <v/>
      </c>
      <c r="O121" s="64">
        <f>IF($D121="","",COUNTIF(DESIGNAZIONI!R$8:R$1323,$D121))</f>
        <v/>
      </c>
    </row>
    <row r="122">
      <c r="C122" s="224" t="n"/>
      <c r="D122" s="13" t="inlineStr">
        <is>
          <t>CASTILLO Davide</t>
        </is>
      </c>
      <c r="E122" s="220" t="n"/>
      <c r="L122" s="64">
        <f>IF($D122="","",SUM(M122:O122))</f>
        <v/>
      </c>
      <c r="M122" s="64">
        <f>IF($D122="","",COUNTIF(DESIGNAZIONI!P$8:P$1323,$D122))</f>
        <v/>
      </c>
      <c r="N122" s="64">
        <f>IF($D122="","",COUNTIF(DESIGNAZIONI!Q$8:Q$1323,$D122))</f>
        <v/>
      </c>
      <c r="O122" s="64">
        <f>IF($D122="","",COUNTIF(DESIGNAZIONI!R$8:R$1323,$D122))</f>
        <v/>
      </c>
    </row>
    <row r="123">
      <c r="C123" s="224" t="n"/>
      <c r="D123" s="13" t="inlineStr">
        <is>
          <t>SCHAFER Ottavia</t>
        </is>
      </c>
      <c r="E123" s="220" t="n"/>
      <c r="L123" s="64">
        <f>IF($D123="","",SUM(M123:O123))</f>
        <v/>
      </c>
      <c r="M123" s="64">
        <f>IF($D123="","",COUNTIF(DESIGNAZIONI!P$8:P$1323,$D123))</f>
        <v/>
      </c>
      <c r="N123" s="64">
        <f>IF($D123="","",COUNTIF(DESIGNAZIONI!Q$8:Q$1323,$D123))</f>
        <v/>
      </c>
      <c r="O123" s="64">
        <f>IF($D123="","",COUNTIF(DESIGNAZIONI!R$8:R$1323,$D123))</f>
        <v/>
      </c>
    </row>
    <row r="124">
      <c r="C124" s="224" t="n"/>
      <c r="D124" s="13" t="inlineStr">
        <is>
          <t>KRUGER Paolo</t>
        </is>
      </c>
      <c r="E124" s="220" t="n"/>
      <c r="L124" s="64">
        <f>IF($D124="","",SUM(M124:O124))</f>
        <v/>
      </c>
      <c r="M124" s="64">
        <f>IF($D124="","",COUNTIF(DESIGNAZIONI!P$8:P$1323,$D124))</f>
        <v/>
      </c>
      <c r="N124" s="64">
        <f>IF($D124="","",COUNTIF(DESIGNAZIONI!Q$8:Q$1323,$D124))</f>
        <v/>
      </c>
      <c r="O124" s="64">
        <f>IF($D124="","",COUNTIF(DESIGNAZIONI!R$8:R$1323,$D124))</f>
        <v/>
      </c>
    </row>
    <row r="125">
      <c r="C125" s="224" t="n"/>
      <c r="D125" s="13" t="inlineStr">
        <is>
          <t>NADAUD Ilaria</t>
        </is>
      </c>
      <c r="E125" s="220" t="n"/>
      <c r="L125" s="64">
        <f>IF($D125="","",SUM(M125:O125))</f>
        <v/>
      </c>
      <c r="M125" s="64">
        <f>IF($D125="","",COUNTIF(DESIGNAZIONI!P$8:P$1323,$D125))</f>
        <v/>
      </c>
      <c r="N125" s="64">
        <f>IF($D125="","",COUNTIF(DESIGNAZIONI!Q$8:Q$1323,$D125))</f>
        <v/>
      </c>
      <c r="O125" s="64">
        <f>IF($D125="","",COUNTIF(DESIGNAZIONI!R$8:R$1323,$D125))</f>
        <v/>
      </c>
    </row>
    <row r="126">
      <c r="C126" s="224" t="n"/>
      <c r="D126" s="13" t="inlineStr">
        <is>
          <t>WEBER Irene</t>
        </is>
      </c>
      <c r="E126" s="220" t="n"/>
      <c r="L126" s="64">
        <f>IF($D126="","",SUM(M126:O126))</f>
        <v/>
      </c>
      <c r="M126" s="64">
        <f>IF($D126="","",COUNTIF(DESIGNAZIONI!P$8:P$1323,$D126))</f>
        <v/>
      </c>
      <c r="N126" s="64">
        <f>IF($D126="","",COUNTIF(DESIGNAZIONI!Q$8:Q$1323,$D126))</f>
        <v/>
      </c>
      <c r="O126" s="64">
        <f>IF($D126="","",COUNTIF(DESIGNAZIONI!R$8:R$1323,$D126))</f>
        <v/>
      </c>
    </row>
    <row r="127">
      <c r="C127" s="224" t="n"/>
      <c r="D127" s="13" t="inlineStr">
        <is>
          <t>NAVARRO Giulia</t>
        </is>
      </c>
      <c r="E127" s="220" t="n"/>
      <c r="L127" s="64">
        <f>IF($D127="","",SUM(M127:O127))</f>
        <v/>
      </c>
      <c r="M127" s="64">
        <f>IF($D127="","",COUNTIF(DESIGNAZIONI!P$8:P$1323,$D127))</f>
        <v/>
      </c>
      <c r="N127" s="64">
        <f>IF($D127="","",COUNTIF(DESIGNAZIONI!Q$8:Q$1323,$D127))</f>
        <v/>
      </c>
      <c r="O127" s="64">
        <f>IF($D127="","",COUNTIF(DESIGNAZIONI!R$8:R$1323,$D127))</f>
        <v/>
      </c>
    </row>
    <row r="128">
      <c r="C128" s="224" t="n"/>
      <c r="D128" s="13" t="inlineStr">
        <is>
          <t>HOFFMANN Tommaso</t>
        </is>
      </c>
      <c r="E128" s="220" t="n"/>
      <c r="L128" s="64">
        <f>IF($D128="","",SUM(M128:O128))</f>
        <v/>
      </c>
      <c r="M128" s="64">
        <f>IF($D128="","",COUNTIF(DESIGNAZIONI!P$8:P$1323,$D128))</f>
        <v/>
      </c>
      <c r="N128" s="64">
        <f>IF($D128="","",COUNTIF(DESIGNAZIONI!Q$8:Q$1323,$D128))</f>
        <v/>
      </c>
      <c r="O128" s="64">
        <f>IF($D128="","",COUNTIF(DESIGNAZIONI!R$8:R$1323,$D128))</f>
        <v/>
      </c>
    </row>
    <row r="129">
      <c r="C129" s="224" t="n"/>
      <c r="D129" s="13" t="inlineStr">
        <is>
          <t>NADAUD Mathilde</t>
        </is>
      </c>
      <c r="E129" s="220" t="n"/>
      <c r="L129" s="64">
        <f>IF($D129="","",SUM(M129:O129))</f>
        <v/>
      </c>
      <c r="M129" s="64">
        <f>IF($D129="","",COUNTIF(DESIGNAZIONI!P$8:P$1323,$D129))</f>
        <v/>
      </c>
      <c r="N129" s="64">
        <f>IF($D129="","",COUNTIF(DESIGNAZIONI!Q$8:Q$1323,$D129))</f>
        <v/>
      </c>
      <c r="O129" s="64">
        <f>IF($D129="","",COUNTIF(DESIGNAZIONI!R$8:R$1323,$D129))</f>
        <v/>
      </c>
    </row>
    <row r="130">
      <c r="C130" s="224" t="n"/>
      <c r="D130" s="13" t="inlineStr">
        <is>
          <t>IGLESIAS Greta</t>
        </is>
      </c>
      <c r="E130" s="220" t="n"/>
      <c r="L130" s="64">
        <f>IF($D130="","",SUM(M130:O130))</f>
        <v/>
      </c>
      <c r="M130" s="64">
        <f>IF($D130="","",COUNTIF(DESIGNAZIONI!P$8:P$1323,$D130))</f>
        <v/>
      </c>
      <c r="N130" s="64">
        <f>IF($D130="","",COUNTIF(DESIGNAZIONI!Q$8:Q$1323,$D130))</f>
        <v/>
      </c>
      <c r="O130" s="64">
        <f>IF($D130="","",COUNTIF(DESIGNAZIONI!R$8:R$1323,$D130))</f>
        <v/>
      </c>
    </row>
    <row r="131">
      <c r="C131" s="224" t="n"/>
      <c r="D131" s="13" t="inlineStr">
        <is>
          <t>BLANCO Ottavia</t>
        </is>
      </c>
      <c r="E131" s="220" t="n"/>
      <c r="L131" s="64">
        <f>IF($D131="","",SUM(M131:O131))</f>
        <v/>
      </c>
      <c r="M131" s="64">
        <f>IF($D131="","",COUNTIF(DESIGNAZIONI!P$8:P$1323,$D131))</f>
        <v/>
      </c>
      <c r="N131" s="64">
        <f>IF($D131="","",COUNTIF(DESIGNAZIONI!Q$8:Q$1323,$D131))</f>
        <v/>
      </c>
      <c r="O131" s="64">
        <f>IF($D131="","",COUNTIF(DESIGNAZIONI!R$8:R$1323,$D131))</f>
        <v/>
      </c>
    </row>
    <row r="132">
      <c r="C132" s="224" t="n"/>
      <c r="D132" s="13" t="inlineStr">
        <is>
          <t>BLANCO Chiara</t>
        </is>
      </c>
      <c r="E132" s="220" t="n"/>
      <c r="L132" s="64">
        <f>IF($D132="","",SUM(M132:O132))</f>
        <v/>
      </c>
      <c r="M132" s="64">
        <f>IF($D132="","",COUNTIF(DESIGNAZIONI!P$8:P$1323,$D132))</f>
        <v/>
      </c>
      <c r="N132" s="64">
        <f>IF($D132="","",COUNTIF(DESIGNAZIONI!Q$8:Q$1323,$D132))</f>
        <v/>
      </c>
      <c r="O132" s="64">
        <f>IF($D132="","",COUNTIF(DESIGNAZIONI!R$8:R$1323,$D132))</f>
        <v/>
      </c>
    </row>
    <row r="133">
      <c r="C133" s="224" t="n"/>
      <c r="D133" s="13" t="inlineStr">
        <is>
          <t>PRADO Alenka</t>
        </is>
      </c>
      <c r="E133" s="220" t="n"/>
      <c r="L133" s="64">
        <f>IF($D133="","",SUM(M133:O133))</f>
        <v/>
      </c>
      <c r="M133" s="64">
        <f>IF($D133="","",COUNTIF(DESIGNAZIONI!P$8:P$1323,$D133))</f>
        <v/>
      </c>
      <c r="N133" s="64">
        <f>IF($D133="","",COUNTIF(DESIGNAZIONI!Q$8:Q$1323,$D133))</f>
        <v/>
      </c>
      <c r="O133" s="64">
        <f>IF($D133="","",COUNTIF(DESIGNAZIONI!R$8:R$1323,$D133))</f>
        <v/>
      </c>
    </row>
    <row r="134">
      <c r="C134" s="224" t="n"/>
      <c r="D134" s="13" t="inlineStr">
        <is>
          <t>ROSSINI Stefano</t>
        </is>
      </c>
      <c r="E134" s="220" t="n"/>
      <c r="L134" s="64">
        <f>IF($D134="","",SUM(M134:O134))</f>
        <v/>
      </c>
      <c r="M134" s="64">
        <f>IF($D134="","",COUNTIF(DESIGNAZIONI!P$8:P$1323,$D134))</f>
        <v/>
      </c>
      <c r="N134" s="64">
        <f>IF($D134="","",COUNTIF(DESIGNAZIONI!Q$8:Q$1323,$D134))</f>
        <v/>
      </c>
      <c r="O134" s="64">
        <f>IF($D134="","",COUNTIF(DESIGNAZIONI!R$8:R$1323,$D134))</f>
        <v/>
      </c>
    </row>
    <row r="135">
      <c r="C135" s="224" t="n"/>
      <c r="D135" s="13" t="inlineStr">
        <is>
          <t>SANTORI Jonas</t>
        </is>
      </c>
      <c r="E135" s="220" t="n"/>
      <c r="L135" s="64">
        <f>IF($D135="","",SUM(M135:O135))</f>
        <v/>
      </c>
      <c r="M135" s="64">
        <f>IF($D135="","",COUNTIF(DESIGNAZIONI!P$8:P$1323,$D135))</f>
        <v/>
      </c>
      <c r="N135" s="64">
        <f>IF($D135="","",COUNTIF(DESIGNAZIONI!Q$8:Q$1323,$D135))</f>
        <v/>
      </c>
      <c r="O135" s="64">
        <f>IF($D135="","",COUNTIF(DESIGNAZIONI!R$8:R$1323,$D135))</f>
        <v/>
      </c>
    </row>
    <row r="136">
      <c r="C136" s="224" t="n"/>
      <c r="D136" s="13" t="inlineStr">
        <is>
          <t>BLANCO Diego</t>
        </is>
      </c>
      <c r="E136" s="220" t="n"/>
      <c r="L136" s="64">
        <f>IF($D136="","",SUM(M136:O136))</f>
        <v/>
      </c>
      <c r="M136" s="64">
        <f>IF($D136="","",COUNTIF(DESIGNAZIONI!P$8:P$1323,$D136))</f>
        <v/>
      </c>
      <c r="N136" s="64">
        <f>IF($D136="","",COUNTIF(DESIGNAZIONI!Q$8:Q$1323,$D136))</f>
        <v/>
      </c>
      <c r="O136" s="64">
        <f>IF($D136="","",COUNTIF(DESIGNAZIONI!R$8:R$1323,$D136))</f>
        <v/>
      </c>
    </row>
    <row r="137">
      <c r="C137" s="224" t="n"/>
      <c r="D137" s="13" t="inlineStr">
        <is>
          <t>KELLER Matteo</t>
        </is>
      </c>
      <c r="E137" s="220" t="n"/>
      <c r="L137" s="64">
        <f>IF($D137="","",SUM(M137:O137))</f>
        <v/>
      </c>
      <c r="M137" s="64">
        <f>IF($D137="","",COUNTIF(DESIGNAZIONI!P$8:P$1323,$D137))</f>
        <v/>
      </c>
      <c r="N137" s="64">
        <f>IF($D137="","",COUNTIF(DESIGNAZIONI!Q$8:Q$1323,$D137))</f>
        <v/>
      </c>
      <c r="O137" s="64">
        <f>IF($D137="","",COUNTIF(DESIGNAZIONI!R$8:R$1323,$D137))</f>
        <v/>
      </c>
    </row>
    <row r="138">
      <c r="C138" s="224" t="n"/>
      <c r="D138" s="13" t="inlineStr">
        <is>
          <t>NADAUD Jonas</t>
        </is>
      </c>
      <c r="E138" s="220" t="n"/>
      <c r="L138" s="64">
        <f>IF($D138="","",SUM(M138:O138))</f>
        <v/>
      </c>
      <c r="M138" s="64">
        <f>IF($D138="","",COUNTIF(DESIGNAZIONI!P$8:P$1323,$D138))</f>
        <v/>
      </c>
      <c r="N138" s="64">
        <f>IF($D138="","",COUNTIF(DESIGNAZIONI!Q$8:Q$1323,$D138))</f>
        <v/>
      </c>
      <c r="O138" s="64">
        <f>IF($D138="","",COUNTIF(DESIGNAZIONI!R$8:R$1323,$D138))</f>
        <v/>
      </c>
    </row>
    <row r="139">
      <c r="C139" s="224" t="n"/>
      <c r="D139" s="13" t="inlineStr">
        <is>
          <t>MOREAU Felix</t>
        </is>
      </c>
      <c r="E139" s="220" t="n"/>
      <c r="L139" s="64">
        <f>IF($D139="","",SUM(M139:O139))</f>
        <v/>
      </c>
      <c r="M139" s="64">
        <f>IF($D139="","",COUNTIF(DESIGNAZIONI!P$8:P$1323,$D139))</f>
        <v/>
      </c>
      <c r="N139" s="64">
        <f>IF($D139="","",COUNTIF(DESIGNAZIONI!Q$8:Q$1323,$D139))</f>
        <v/>
      </c>
      <c r="O139" s="64">
        <f>IF($D139="","",COUNTIF(DESIGNAZIONI!R$8:R$1323,$D139))</f>
        <v/>
      </c>
    </row>
    <row r="140">
      <c r="C140" s="224" t="n"/>
      <c r="D140" s="13" t="inlineStr">
        <is>
          <t>NAVARRO Paula</t>
        </is>
      </c>
      <c r="E140" s="220" t="n"/>
      <c r="L140" s="64">
        <f>IF($D140="","",SUM(M140:O140))</f>
        <v/>
      </c>
      <c r="M140" s="64">
        <f>IF($D140="","",COUNTIF(DESIGNAZIONI!P$8:P$1323,$D140))</f>
        <v/>
      </c>
      <c r="N140" s="64">
        <f>IF($D140="","",COUNTIF(DESIGNAZIONI!Q$8:Q$1323,$D140))</f>
        <v/>
      </c>
      <c r="O140" s="64">
        <f>IF($D140="","",COUNTIF(DESIGNAZIONI!R$8:R$1323,$D140))</f>
        <v/>
      </c>
    </row>
    <row r="141">
      <c r="C141" s="224" t="n"/>
      <c r="D141" s="13" t="inlineStr">
        <is>
          <t>NOVAK Lukas</t>
        </is>
      </c>
      <c r="E141" s="220" t="n"/>
      <c r="L141" s="64">
        <f>IF($D141="","",SUM(M141:O141))</f>
        <v/>
      </c>
      <c r="M141" s="64">
        <f>IF($D141="","",COUNTIF(DESIGNAZIONI!P$8:P$1323,$D141))</f>
        <v/>
      </c>
      <c r="N141" s="64">
        <f>IF($D141="","",COUNTIF(DESIGNAZIONI!Q$8:Q$1323,$D141))</f>
        <v/>
      </c>
      <c r="O141" s="64">
        <f>IF($D141="","",COUNTIF(DESIGNAZIONI!R$8:R$1323,$D141))</f>
        <v/>
      </c>
    </row>
    <row r="142">
      <c r="C142" s="224" t="n"/>
      <c r="D142" s="13" t="inlineStr">
        <is>
          <t>ROTH Lukas</t>
        </is>
      </c>
      <c r="E142" s="220" t="n"/>
      <c r="L142" s="64">
        <f>IF($D142="","",SUM(M142:O142))</f>
        <v/>
      </c>
      <c r="M142" s="64">
        <f>IF($D142="","",COUNTIF(DESIGNAZIONI!P$8:P$1323,$D142))</f>
        <v/>
      </c>
      <c r="N142" s="64">
        <f>IF($D142="","",COUNTIF(DESIGNAZIONI!Q$8:Q$1323,$D142))</f>
        <v/>
      </c>
      <c r="O142" s="64">
        <f>IF($D142="","",COUNTIF(DESIGNAZIONI!R$8:R$1323,$D142))</f>
        <v/>
      </c>
    </row>
    <row r="143">
      <c r="C143" s="224" t="n"/>
      <c r="D143" s="13" t="inlineStr">
        <is>
          <t>LEFEVRE Noemi</t>
        </is>
      </c>
      <c r="E143" s="220" t="n"/>
      <c r="L143" s="64">
        <f>IF($D143="","",SUM(M143:O143))</f>
        <v/>
      </c>
      <c r="M143" s="64">
        <f>IF($D143="","",COUNTIF(DESIGNAZIONI!P$8:P$1323,$D143))</f>
        <v/>
      </c>
      <c r="N143" s="64">
        <f>IF($D143="","",COUNTIF(DESIGNAZIONI!Q$8:Q$1323,$D143))</f>
        <v/>
      </c>
      <c r="O143" s="64">
        <f>IF($D143="","",COUNTIF(DESIGNAZIONI!R$8:R$1323,$D143))</f>
        <v/>
      </c>
    </row>
    <row r="144">
      <c r="C144" s="224" t="n"/>
      <c r="D144" s="13" t="inlineStr">
        <is>
          <t>NOVAK Nicola</t>
        </is>
      </c>
      <c r="E144" s="220" t="n"/>
      <c r="L144" s="64">
        <f>IF($D144="","",SUM(M144:O144))</f>
        <v/>
      </c>
      <c r="M144" s="64">
        <f>IF($D144="","",COUNTIF(DESIGNAZIONI!P$8:P$1323,$D144))</f>
        <v/>
      </c>
      <c r="N144" s="64">
        <f>IF($D144="","",COUNTIF(DESIGNAZIONI!Q$8:Q$1323,$D144))</f>
        <v/>
      </c>
      <c r="O144" s="64">
        <f>IF($D144="","",COUNTIF(DESIGNAZIONI!R$8:R$1323,$D144))</f>
        <v/>
      </c>
    </row>
    <row r="145">
      <c r="C145" s="224" t="n"/>
      <c r="D145" s="13" t="inlineStr">
        <is>
          <t>FERRANTE Mathilde</t>
        </is>
      </c>
      <c r="E145" s="220" t="n"/>
      <c r="L145" s="64">
        <f>IF($D145="","",SUM(M145:O145))</f>
        <v/>
      </c>
      <c r="M145" s="64">
        <f>IF($D145="","",COUNTIF(DESIGNAZIONI!P$8:P$1323,$D145))</f>
        <v/>
      </c>
      <c r="N145" s="64">
        <f>IF($D145="","",COUNTIF(DESIGNAZIONI!Q$8:Q$1323,$D145))</f>
        <v/>
      </c>
      <c r="O145" s="64">
        <f>IF($D145="","",COUNTIF(DESIGNAZIONI!R$8:R$1323,$D145))</f>
        <v/>
      </c>
    </row>
    <row r="146">
      <c r="C146" s="224" t="n"/>
      <c r="D146" s="13" t="inlineStr">
        <is>
          <t>BLANCHET Jonas</t>
        </is>
      </c>
      <c r="E146" s="220" t="n"/>
      <c r="L146" s="64">
        <f>IF($D146="","",SUM(M146:O146))</f>
        <v/>
      </c>
      <c r="M146" s="64">
        <f>IF($D146="","",COUNTIF(DESIGNAZIONI!P$8:P$1323,$D146))</f>
        <v/>
      </c>
      <c r="N146" s="64">
        <f>IF($D146="","",COUNTIF(DESIGNAZIONI!Q$8:Q$1323,$D146))</f>
        <v/>
      </c>
      <c r="O146" s="64">
        <f>IF($D146="","",COUNTIF(DESIGNAZIONI!R$8:R$1323,$D146))</f>
        <v/>
      </c>
    </row>
    <row r="147">
      <c r="C147" s="224" t="n"/>
      <c r="D147" s="13" t="inlineStr">
        <is>
          <t>KRAJNC Davide</t>
        </is>
      </c>
      <c r="E147" s="220" t="n"/>
      <c r="L147" s="64">
        <f>IF($D147="","",SUM(M147:O147))</f>
        <v/>
      </c>
      <c r="M147" s="64">
        <f>IF($D147="","",COUNTIF(DESIGNAZIONI!P$8:P$1323,$D147))</f>
        <v/>
      </c>
      <c r="N147" s="64">
        <f>IF($D147="","",COUNTIF(DESIGNAZIONI!Q$8:Q$1323,$D147))</f>
        <v/>
      </c>
      <c r="O147" s="64">
        <f>IF($D147="","",COUNTIF(DESIGNAZIONI!R$8:R$1323,$D147))</f>
        <v/>
      </c>
    </row>
    <row r="148">
      <c r="C148" s="224" t="n"/>
      <c r="D148" s="13" t="inlineStr">
        <is>
          <t>SEVER Hugo</t>
        </is>
      </c>
      <c r="E148" s="220" t="n"/>
      <c r="L148" s="64">
        <f>IF($D148="","",SUM(M148:O148))</f>
        <v/>
      </c>
      <c r="M148" s="64">
        <f>IF($D148="","",COUNTIF(DESIGNAZIONI!P$8:P$1323,$D148))</f>
        <v/>
      </c>
      <c r="N148" s="64">
        <f>IF($D148="","",COUNTIF(DESIGNAZIONI!Q$8:Q$1323,$D148))</f>
        <v/>
      </c>
      <c r="O148" s="64">
        <f>IF($D148="","",COUNTIF(DESIGNAZIONI!R$8:R$1323,$D148))</f>
        <v/>
      </c>
    </row>
    <row r="149">
      <c r="C149" s="224" t="n"/>
      <c r="D149" s="13" t="inlineStr">
        <is>
          <t>CARON Diego</t>
        </is>
      </c>
      <c r="E149" s="220" t="n"/>
      <c r="L149" s="64">
        <f>IF($D149="","",SUM(M149:O149))</f>
        <v/>
      </c>
      <c r="M149" s="64">
        <f>IF($D149="","",COUNTIF(DESIGNAZIONI!P$8:P$1323,$D149))</f>
        <v/>
      </c>
      <c r="N149" s="64">
        <f>IF($D149="","",COUNTIF(DESIGNAZIONI!Q$8:Q$1323,$D149))</f>
        <v/>
      </c>
      <c r="O149" s="64">
        <f>IF($D149="","",COUNTIF(DESIGNAZIONI!R$8:R$1323,$D149))</f>
        <v/>
      </c>
    </row>
    <row r="150">
      <c r="C150" s="224" t="n"/>
      <c r="D150" s="13" t="inlineStr">
        <is>
          <t>MODIC Lea</t>
        </is>
      </c>
      <c r="E150" s="220" t="n"/>
      <c r="L150" s="64">
        <f>IF($D150="","",SUM(M150:O150))</f>
        <v/>
      </c>
      <c r="M150" s="64">
        <f>IF($D150="","",COUNTIF(DESIGNAZIONI!P$8:P$1323,$D150))</f>
        <v/>
      </c>
      <c r="N150" s="64">
        <f>IF($D150="","",COUNTIF(DESIGNAZIONI!Q$8:Q$1323,$D150))</f>
        <v/>
      </c>
      <c r="O150" s="64">
        <f>IF($D150="","",COUNTIF(DESIGNAZIONI!R$8:R$1323,$D150))</f>
        <v/>
      </c>
    </row>
    <row r="151">
      <c r="C151" s="224" t="n"/>
      <c r="D151" s="13" t="inlineStr">
        <is>
          <t>IGLESIAS Jonas</t>
        </is>
      </c>
      <c r="E151" s="220" t="n"/>
      <c r="L151" s="64">
        <f>IF($D151="","",SUM(M151:O151))</f>
        <v/>
      </c>
      <c r="M151" s="64">
        <f>IF($D151="","",COUNTIF(DESIGNAZIONI!P$8:P$1323,$D151))</f>
        <v/>
      </c>
      <c r="N151" s="64">
        <f>IF($D151="","",COUNTIF(DESIGNAZIONI!Q$8:Q$1323,$D151))</f>
        <v/>
      </c>
      <c r="O151" s="64">
        <f>IF($D151="","",COUNTIF(DESIGNAZIONI!R$8:R$1323,$D151))</f>
        <v/>
      </c>
    </row>
    <row r="152">
      <c r="C152" s="224" t="n"/>
      <c r="D152" s="13" t="inlineStr">
        <is>
          <t>VOGEL Lea</t>
        </is>
      </c>
      <c r="E152" s="220" t="n"/>
      <c r="L152" s="64">
        <f>IF($D152="","",SUM(M152:O152))</f>
        <v/>
      </c>
      <c r="M152" s="64">
        <f>IF($D152="","",COUNTIF(DESIGNAZIONI!P$8:P$1323,$D152))</f>
        <v/>
      </c>
      <c r="N152" s="64">
        <f>IF($D152="","",COUNTIF(DESIGNAZIONI!Q$8:Q$1323,$D152))</f>
        <v/>
      </c>
      <c r="O152" s="64">
        <f>IF($D152="","",COUNTIF(DESIGNAZIONI!R$8:R$1323,$D152))</f>
        <v/>
      </c>
    </row>
    <row r="153">
      <c r="C153" s="224" t="n"/>
      <c r="D153" s="13" t="inlineStr">
        <is>
          <t>FUENTES Anja</t>
        </is>
      </c>
      <c r="E153" s="220" t="n"/>
      <c r="L153" s="64">
        <f>IF($D153="","",SUM(M153:O153))</f>
        <v/>
      </c>
      <c r="M153" s="64">
        <f>IF($D153="","",COUNTIF(DESIGNAZIONI!P$8:P$1323,$D153))</f>
        <v/>
      </c>
      <c r="N153" s="64">
        <f>IF($D153="","",COUNTIF(DESIGNAZIONI!Q$8:Q$1323,$D153))</f>
        <v/>
      </c>
      <c r="O153" s="64">
        <f>IF($D153="","",COUNTIF(DESIGNAZIONI!R$8:R$1323,$D153))</f>
        <v/>
      </c>
    </row>
    <row r="154">
      <c r="C154" s="224" t="n"/>
      <c r="D154" s="13" t="inlineStr">
        <is>
          <t>MARCHIONI Greta</t>
        </is>
      </c>
      <c r="E154" s="220" t="n"/>
      <c r="L154" s="64">
        <f>IF($D154="","",SUM(M154:O154))</f>
        <v/>
      </c>
      <c r="M154" s="64">
        <f>IF($D154="","",COUNTIF(DESIGNAZIONI!P$8:P$1323,$D154))</f>
        <v/>
      </c>
      <c r="N154" s="64">
        <f>IF($D154="","",COUNTIF(DESIGNAZIONI!Q$8:Q$1323,$D154))</f>
        <v/>
      </c>
      <c r="O154" s="64">
        <f>IF($D154="","",COUNTIF(DESIGNAZIONI!R$8:R$1323,$D154))</f>
        <v/>
      </c>
    </row>
    <row r="155">
      <c r="C155" s="224" t="n"/>
      <c r="D155" s="13" t="inlineStr">
        <is>
          <t>ROTH Paolo</t>
        </is>
      </c>
      <c r="E155" s="220" t="n"/>
      <c r="L155" s="64">
        <f>IF($D155="","",SUM(M155:O155))</f>
        <v/>
      </c>
      <c r="M155" s="64">
        <f>IF($D155="","",COUNTIF(DESIGNAZIONI!P$8:P$1323,$D155))</f>
        <v/>
      </c>
      <c r="N155" s="64">
        <f>IF($D155="","",COUNTIF(DESIGNAZIONI!Q$8:Q$1323,$D155))</f>
        <v/>
      </c>
      <c r="O155" s="64">
        <f>IF($D155="","",COUNTIF(DESIGNAZIONI!R$8:R$1323,$D155))</f>
        <v/>
      </c>
    </row>
    <row r="156">
      <c r="C156" s="224" t="n"/>
      <c r="D156" s="13" t="inlineStr">
        <is>
          <t>BLANCHET Paula</t>
        </is>
      </c>
      <c r="E156" s="220" t="n"/>
      <c r="L156" s="64">
        <f>IF($D156="","",SUM(M156:O156))</f>
        <v/>
      </c>
      <c r="M156" s="64">
        <f>IF($D156="","",COUNTIF(DESIGNAZIONI!P$8:P$1323,$D156))</f>
        <v/>
      </c>
      <c r="N156" s="64">
        <f>IF($D156="","",COUNTIF(DESIGNAZIONI!Q$8:Q$1323,$D156))</f>
        <v/>
      </c>
      <c r="O156" s="64">
        <f>IF($D156="","",COUNTIF(DESIGNAZIONI!R$8:R$1323,$D156))</f>
        <v/>
      </c>
    </row>
    <row r="157">
      <c r="C157" s="224" t="n"/>
      <c r="D157" s="13" t="inlineStr">
        <is>
          <t>HOFFMANN Diego</t>
        </is>
      </c>
      <c r="E157" s="220" t="n"/>
      <c r="L157" s="64">
        <f>IF($D157="","",SUM(M157:O157))</f>
        <v/>
      </c>
      <c r="M157" s="64">
        <f>IF($D157="","",COUNTIF(DESIGNAZIONI!P$8:P$1323,$D157))</f>
        <v/>
      </c>
      <c r="N157" s="64">
        <f>IF($D157="","",COUNTIF(DESIGNAZIONI!Q$8:Q$1323,$D157))</f>
        <v/>
      </c>
      <c r="O157" s="64">
        <f>IF($D157="","",COUNTIF(DESIGNAZIONI!R$8:R$1323,$D157))</f>
        <v/>
      </c>
    </row>
    <row r="158">
      <c r="C158" s="224" t="n"/>
      <c r="D158" s="13" t="inlineStr">
        <is>
          <t>VIDMAR Paula</t>
        </is>
      </c>
      <c r="E158" s="220" t="n"/>
      <c r="L158" s="64">
        <f>IF($D158="","",SUM(M158:O158))</f>
        <v/>
      </c>
      <c r="M158" s="64">
        <f>IF($D158="","",COUNTIF(DESIGNAZIONI!P$8:P$1323,$D158))</f>
        <v/>
      </c>
      <c r="N158" s="64">
        <f>IF($D158="","",COUNTIF(DESIGNAZIONI!Q$8:Q$1323,$D158))</f>
        <v/>
      </c>
      <c r="O158" s="64">
        <f>IF($D158="","",COUNTIF(DESIGNAZIONI!R$8:R$1323,$D158))</f>
        <v/>
      </c>
    </row>
    <row r="159">
      <c r="C159" s="224" t="n"/>
      <c r="D159" s="13" t="inlineStr">
        <is>
          <t>LEROUX Lucia</t>
        </is>
      </c>
      <c r="E159" s="220" t="n"/>
      <c r="L159" s="64">
        <f>IF($D159="","",SUM(M159:O159))</f>
        <v/>
      </c>
      <c r="M159" s="64">
        <f>IF($D159="","",COUNTIF(DESIGNAZIONI!P$8:P$1323,$D159))</f>
        <v/>
      </c>
      <c r="N159" s="64">
        <f>IF($D159="","",COUNTIF(DESIGNAZIONI!Q$8:Q$1323,$D159))</f>
        <v/>
      </c>
      <c r="O159" s="64">
        <f>IF($D159="","",COUNTIF(DESIGNAZIONI!R$8:R$1323,$D159))</f>
        <v/>
      </c>
    </row>
    <row r="160">
      <c r="C160" s="224" t="n"/>
      <c r="D160" s="13" t="inlineStr">
        <is>
          <t>ORTEGA Luca</t>
        </is>
      </c>
      <c r="E160" s="220" t="n"/>
      <c r="L160" s="64">
        <f>IF($D160="","",SUM(M160:O160))</f>
        <v/>
      </c>
      <c r="M160" s="64">
        <f>IF($D160="","",COUNTIF(DESIGNAZIONI!P$8:P$1323,$D160))</f>
        <v/>
      </c>
      <c r="N160" s="64">
        <f>IF($D160="","",COUNTIF(DESIGNAZIONI!Q$8:Q$1323,$D160))</f>
        <v/>
      </c>
      <c r="O160" s="64">
        <f>IF($D160="","",COUNTIF(DESIGNAZIONI!R$8:R$1323,$D160))</f>
        <v/>
      </c>
    </row>
    <row r="161">
      <c r="C161" s="224" t="n"/>
      <c r="D161" s="13" t="inlineStr">
        <is>
          <t>BIANCHELLI Davide</t>
        </is>
      </c>
      <c r="E161" s="220" t="n"/>
      <c r="L161" s="64">
        <f>IF($D161="","",SUM(M161:O161))</f>
        <v/>
      </c>
      <c r="M161" s="64">
        <f>IF($D161="","",COUNTIF(DESIGNAZIONI!P$8:P$1323,$D161))</f>
        <v/>
      </c>
      <c r="N161" s="64">
        <f>IF($D161="","",COUNTIF(DESIGNAZIONI!Q$8:Q$1323,$D161))</f>
        <v/>
      </c>
      <c r="O161" s="64">
        <f>IF($D161="","",COUNTIF(DESIGNAZIONI!R$8:R$1323,$D161))</f>
        <v/>
      </c>
    </row>
    <row r="162">
      <c r="C162" s="224" t="n"/>
      <c r="D162" s="13" t="inlineStr">
        <is>
          <t>VIDMAR Diego</t>
        </is>
      </c>
      <c r="E162" s="220" t="n"/>
      <c r="L162" s="64">
        <f>IF($D162="","",SUM(M162:O162))</f>
        <v/>
      </c>
      <c r="M162" s="64">
        <f>IF($D162="","",COUNTIF(DESIGNAZIONI!P$8:P$1323,$D162))</f>
        <v/>
      </c>
      <c r="N162" s="64">
        <f>IF($D162="","",COUNTIF(DESIGNAZIONI!Q$8:Q$1323,$D162))</f>
        <v/>
      </c>
      <c r="O162" s="64">
        <f>IF($D162="","",COUNTIF(DESIGNAZIONI!R$8:R$1323,$D162))</f>
        <v/>
      </c>
    </row>
    <row r="163">
      <c r="C163" s="224" t="n"/>
      <c r="D163" s="13" t="inlineStr">
        <is>
          <t>GAUTHIER Luca</t>
        </is>
      </c>
      <c r="E163" s="220" t="n"/>
      <c r="L163" s="64">
        <f>IF($D163="","",SUM(M163:O163))</f>
        <v/>
      </c>
      <c r="M163" s="64">
        <f>IF($D163="","",COUNTIF(DESIGNAZIONI!P$8:P$1323,$D163))</f>
        <v/>
      </c>
      <c r="N163" s="64">
        <f>IF($D163="","",COUNTIF(DESIGNAZIONI!Q$8:Q$1323,$D163))</f>
        <v/>
      </c>
      <c r="O163" s="64">
        <f>IF($D163="","",COUNTIF(DESIGNAZIONI!R$8:R$1323,$D163))</f>
        <v/>
      </c>
    </row>
    <row r="164">
      <c r="C164" s="224" t="n"/>
      <c r="D164" s="13" t="inlineStr">
        <is>
          <t>OBLAK Anja</t>
        </is>
      </c>
      <c r="E164" s="220" t="n"/>
      <c r="L164" s="64">
        <f>IF($D164="","",SUM(M164:O164))</f>
        <v/>
      </c>
      <c r="M164" s="64">
        <f>IF($D164="","",COUNTIF(DESIGNAZIONI!P$8:P$1323,$D164))</f>
        <v/>
      </c>
      <c r="N164" s="64">
        <f>IF($D164="","",COUNTIF(DESIGNAZIONI!Q$8:Q$1323,$D164))</f>
        <v/>
      </c>
      <c r="O164" s="64">
        <f>IF($D164="","",COUNTIF(DESIGNAZIONI!R$8:R$1323,$D164))</f>
        <v/>
      </c>
    </row>
    <row r="165">
      <c r="C165" s="224" t="n"/>
      <c r="D165" s="13" t="inlineStr">
        <is>
          <t>CAMPOS Anja</t>
        </is>
      </c>
      <c r="E165" s="220" t="n"/>
      <c r="L165" s="64">
        <f>IF($D165="","",SUM(M165:O165))</f>
        <v/>
      </c>
      <c r="M165" s="64">
        <f>IF($D165="","",COUNTIF(DESIGNAZIONI!P$8:P$1323,$D165))</f>
        <v/>
      </c>
      <c r="N165" s="64">
        <f>IF($D165="","",COUNTIF(DESIGNAZIONI!Q$8:Q$1323,$D165))</f>
        <v/>
      </c>
      <c r="O165" s="64">
        <f>IF($D165="","",COUNTIF(DESIGNAZIONI!R$8:R$1323,$D165))</f>
        <v/>
      </c>
    </row>
    <row r="166">
      <c r="C166" s="224" t="n"/>
      <c r="D166" s="13" t="inlineStr">
        <is>
          <t>FUENTES Beatrice</t>
        </is>
      </c>
      <c r="E166" s="220" t="n"/>
      <c r="L166" s="64">
        <f>IF($D166="","",SUM(M166:O166))</f>
        <v/>
      </c>
      <c r="M166" s="64">
        <f>IF($D166="","",COUNTIF(DESIGNAZIONI!P$8:P$1323,$D166))</f>
        <v/>
      </c>
      <c r="N166" s="64">
        <f>IF($D166="","",COUNTIF(DESIGNAZIONI!Q$8:Q$1323,$D166))</f>
        <v/>
      </c>
      <c r="O166" s="64">
        <f>IF($D166="","",COUNTIF(DESIGNAZIONI!R$8:R$1323,$D166))</f>
        <v/>
      </c>
    </row>
    <row r="167">
      <c r="C167" s="224" t="n"/>
      <c r="D167" s="13" t="inlineStr">
        <is>
          <t>ENGEL Mathilde</t>
        </is>
      </c>
      <c r="E167" s="220" t="n"/>
      <c r="L167" s="64">
        <f>IF($D167="","",SUM(M167:O167))</f>
        <v/>
      </c>
      <c r="M167" s="64">
        <f>IF($D167="","",COUNTIF(DESIGNAZIONI!P$8:P$1323,$D167))</f>
        <v/>
      </c>
      <c r="N167" s="64">
        <f>IF($D167="","",COUNTIF(DESIGNAZIONI!Q$8:Q$1323,$D167))</f>
        <v/>
      </c>
      <c r="O167" s="64">
        <f>IF($D167="","",COUNTIF(DESIGNAZIONI!R$8:R$1323,$D167))</f>
        <v/>
      </c>
    </row>
    <row r="168">
      <c r="C168" s="224" t="n"/>
      <c r="D168" s="13" t="inlineStr">
        <is>
          <t>PRADO Lea</t>
        </is>
      </c>
      <c r="E168" s="220" t="n"/>
      <c r="L168" s="64">
        <f>IF($D168="","",SUM(M168:O168))</f>
        <v/>
      </c>
      <c r="M168" s="64">
        <f>IF($D168="","",COUNTIF(DESIGNAZIONI!P$8:P$1323,$D168))</f>
        <v/>
      </c>
      <c r="N168" s="64">
        <f>IF($D168="","",COUNTIF(DESIGNAZIONI!Q$8:Q$1323,$D168))</f>
        <v/>
      </c>
      <c r="O168" s="64">
        <f>IF($D168="","",COUNTIF(DESIGNAZIONI!R$8:R$1323,$D168))</f>
        <v/>
      </c>
    </row>
    <row r="169">
      <c r="C169" s="224" t="n"/>
      <c r="D169" s="13" t="inlineStr">
        <is>
          <t>ORTEGA Felix</t>
        </is>
      </c>
      <c r="E169" s="220" t="n"/>
      <c r="L169" s="64">
        <f>IF($D169="","",SUM(M169:O169))</f>
        <v/>
      </c>
      <c r="M169" s="64">
        <f>IF($D169="","",COUNTIF(DESIGNAZIONI!P$8:P$1323,$D169))</f>
        <v/>
      </c>
      <c r="N169" s="64">
        <f>IF($D169="","",COUNTIF(DESIGNAZIONI!Q$8:Q$1323,$D169))</f>
        <v/>
      </c>
      <c r="O169" s="64">
        <f>IF($D169="","",COUNTIF(DESIGNAZIONI!R$8:R$1323,$D169))</f>
        <v/>
      </c>
    </row>
    <row r="170">
      <c r="C170" s="224" t="n"/>
      <c r="D170" s="13" t="inlineStr">
        <is>
          <t>CONTARDI Miha</t>
        </is>
      </c>
      <c r="E170" s="220" t="n"/>
      <c r="L170" s="64">
        <f>IF($D170="","",SUM(M170:O170))</f>
        <v/>
      </c>
      <c r="M170" s="64">
        <f>IF($D170="","",COUNTIF(DESIGNAZIONI!P$8:P$1323,$D170))</f>
        <v/>
      </c>
      <c r="N170" s="64">
        <f>IF($D170="","",COUNTIF(DESIGNAZIONI!Q$8:Q$1323,$D170))</f>
        <v/>
      </c>
      <c r="O170" s="64">
        <f>IF($D170="","",COUNTIF(DESIGNAZIONI!R$8:R$1323,$D170))</f>
        <v/>
      </c>
    </row>
    <row r="171">
      <c r="C171" s="224" t="n"/>
      <c r="D171" s="13" t="inlineStr">
        <is>
          <t>PRADO Eva</t>
        </is>
      </c>
      <c r="E171" s="220" t="n"/>
      <c r="L171" s="64">
        <f>IF($D171="","",SUM(M171:O171))</f>
        <v/>
      </c>
      <c r="M171" s="64">
        <f>IF($D171="","",COUNTIF(DESIGNAZIONI!P$8:P$1323,$D171))</f>
        <v/>
      </c>
      <c r="N171" s="64">
        <f>IF($D171="","",COUNTIF(DESIGNAZIONI!Q$8:Q$1323,$D171))</f>
        <v/>
      </c>
      <c r="O171" s="64">
        <f>IF($D171="","",COUNTIF(DESIGNAZIONI!R$8:R$1323,$D171))</f>
        <v/>
      </c>
    </row>
    <row r="172">
      <c r="C172" s="224" t="n"/>
      <c r="D172" s="13" t="inlineStr">
        <is>
          <t>SCHAFER Lucia</t>
        </is>
      </c>
      <c r="E172" s="220" t="n"/>
      <c r="L172" s="64">
        <f>IF($D172="","",SUM(M172:O172))</f>
        <v/>
      </c>
      <c r="M172" s="64">
        <f>IF($D172="","",COUNTIF(DESIGNAZIONI!P$8:P$1323,$D172))</f>
        <v/>
      </c>
      <c r="N172" s="64">
        <f>IF($D172="","",COUNTIF(DESIGNAZIONI!Q$8:Q$1323,$D172))</f>
        <v/>
      </c>
      <c r="O172" s="64">
        <f>IF($D172="","",COUNTIF(DESIGNAZIONI!R$8:R$1323,$D172))</f>
        <v/>
      </c>
    </row>
    <row r="173">
      <c r="C173" s="224" t="n"/>
      <c r="D173" s="13" t="inlineStr">
        <is>
          <t>SCHAFER Gaelle</t>
        </is>
      </c>
      <c r="E173" s="220" t="n"/>
      <c r="L173" s="64">
        <f>IF($D173="","",SUM(M173:O173))</f>
        <v/>
      </c>
      <c r="M173" s="64">
        <f>IF($D173="","",COUNTIF(DESIGNAZIONI!P$8:P$1323,$D173))</f>
        <v/>
      </c>
      <c r="N173" s="64">
        <f>IF($D173="","",COUNTIF(DESIGNAZIONI!Q$8:Q$1323,$D173))</f>
        <v/>
      </c>
      <c r="O173" s="64">
        <f>IF($D173="","",COUNTIF(DESIGNAZIONI!R$8:R$1323,$D173))</f>
        <v/>
      </c>
    </row>
    <row r="174">
      <c r="C174" s="224" t="n"/>
      <c r="D174" s="13" t="inlineStr">
        <is>
          <t>CASTILLO Noemi</t>
        </is>
      </c>
      <c r="E174" s="220" t="n"/>
      <c r="L174" s="64">
        <f>IF($D174="","",SUM(M174:O174))</f>
        <v/>
      </c>
      <c r="M174" s="64">
        <f>IF($D174="","",COUNTIF(DESIGNAZIONI!P$8:P$1323,$D174))</f>
        <v/>
      </c>
      <c r="N174" s="64">
        <f>IF($D174="","",COUNTIF(DESIGNAZIONI!Q$8:Q$1323,$D174))</f>
        <v/>
      </c>
      <c r="O174" s="64">
        <f>IF($D174="","",COUNTIF(DESIGNAZIONI!R$8:R$1323,$D174))</f>
        <v/>
      </c>
    </row>
    <row r="175">
      <c r="C175" s="224" t="n"/>
      <c r="D175" s="13" t="inlineStr">
        <is>
          <t>LANGER Katrin</t>
        </is>
      </c>
      <c r="E175" s="220" t="n"/>
      <c r="L175" s="64">
        <f>IF($D175="","",SUM(M175:O175))</f>
        <v/>
      </c>
      <c r="M175" s="64">
        <f>IF($D175="","",COUNTIF(DESIGNAZIONI!P$8:P$1323,$D175))</f>
        <v/>
      </c>
      <c r="N175" s="64">
        <f>IF($D175="","",COUNTIF(DESIGNAZIONI!Q$8:Q$1323,$D175))</f>
        <v/>
      </c>
      <c r="O175" s="64">
        <f>IF($D175="","",COUNTIF(DESIGNAZIONI!R$8:R$1323,$D175))</f>
        <v/>
      </c>
    </row>
    <row r="176">
      <c r="C176" s="224" t="n"/>
      <c r="D176" s="13" t="inlineStr">
        <is>
          <t>KRAJNC Nicola</t>
        </is>
      </c>
      <c r="E176" s="220" t="n"/>
      <c r="L176" s="64">
        <f>IF($D176="","",SUM(M176:O176))</f>
        <v/>
      </c>
      <c r="M176" s="64">
        <f>IF($D176="","",COUNTIF(DESIGNAZIONI!P$8:P$1323,$D176))</f>
        <v/>
      </c>
      <c r="N176" s="64">
        <f>IF($D176="","",COUNTIF(DESIGNAZIONI!Q$8:Q$1323,$D176))</f>
        <v/>
      </c>
      <c r="O176" s="64">
        <f>IF($D176="","",COUNTIF(DESIGNAZIONI!R$8:R$1323,$D176))</f>
        <v/>
      </c>
    </row>
    <row r="177">
      <c r="C177" s="224" t="n"/>
      <c r="D177" s="13" t="inlineStr">
        <is>
          <t>BLANCO Lukas</t>
        </is>
      </c>
      <c r="E177" s="220" t="n"/>
      <c r="L177" s="64">
        <f>IF($D177="","",SUM(M177:O177))</f>
        <v/>
      </c>
      <c r="M177" s="64">
        <f>IF($D177="","",COUNTIF(DESIGNAZIONI!P$8:P$1323,$D177))</f>
        <v/>
      </c>
      <c r="N177" s="64">
        <f>IF($D177="","",COUNTIF(DESIGNAZIONI!Q$8:Q$1323,$D177))</f>
        <v/>
      </c>
      <c r="O177" s="64">
        <f>IF($D177="","",COUNTIF(DESIGNAZIONI!R$8:R$1323,$D177))</f>
        <v/>
      </c>
    </row>
    <row r="178">
      <c r="C178" s="224" t="n"/>
      <c r="D178" s="13" t="inlineStr">
        <is>
          <t>CARON Anja</t>
        </is>
      </c>
      <c r="E178" s="220" t="n"/>
      <c r="L178" s="64">
        <f>IF($D178="","",SUM(M178:O178))</f>
        <v/>
      </c>
      <c r="M178" s="64">
        <f>IF($D178="","",COUNTIF(DESIGNAZIONI!P$8:P$1323,$D178))</f>
        <v/>
      </c>
      <c r="N178" s="64">
        <f>IF($D178="","",COUNTIF(DESIGNAZIONI!Q$8:Q$1323,$D178))</f>
        <v/>
      </c>
      <c r="O178" s="64">
        <f>IF($D178="","",COUNTIF(DESIGNAZIONI!R$8:R$1323,$D178))</f>
        <v/>
      </c>
    </row>
    <row r="179">
      <c r="C179" s="224" t="n"/>
      <c r="D179" s="13" t="inlineStr">
        <is>
          <t>GALLINI Tommaso</t>
        </is>
      </c>
      <c r="E179" s="220" t="n"/>
      <c r="L179" s="64">
        <f>IF($D179="","",SUM(M179:O179))</f>
        <v/>
      </c>
      <c r="M179" s="64">
        <f>IF($D179="","",COUNTIF(DESIGNAZIONI!P$8:P$1323,$D179))</f>
        <v/>
      </c>
      <c r="N179" s="64">
        <f>IF($D179="","",COUNTIF(DESIGNAZIONI!Q$8:Q$1323,$D179))</f>
        <v/>
      </c>
      <c r="O179" s="64">
        <f>IF($D179="","",COUNTIF(DESIGNAZIONI!R$8:R$1323,$D179))</f>
        <v/>
      </c>
    </row>
    <row r="180">
      <c r="C180" s="224" t="n"/>
      <c r="D180" s="13" t="inlineStr">
        <is>
          <t>PELLEGRI Eva</t>
        </is>
      </c>
      <c r="E180" s="220" t="n"/>
      <c r="L180" s="64">
        <f>IF($D180="","",SUM(M180:O180))</f>
        <v/>
      </c>
      <c r="M180" s="64">
        <f>IF($D180="","",COUNTIF(DESIGNAZIONI!P$8:P$1323,$D180))</f>
        <v/>
      </c>
      <c r="N180" s="64">
        <f>IF($D180="","",COUNTIF(DESIGNAZIONI!Q$8:Q$1323,$D180))</f>
        <v/>
      </c>
      <c r="O180" s="64">
        <f>IF($D180="","",COUNTIF(DESIGNAZIONI!R$8:R$1323,$D180))</f>
        <v/>
      </c>
    </row>
    <row r="181">
      <c r="C181" s="224" t="n"/>
      <c r="D181" s="13" t="inlineStr">
        <is>
          <t>KRAJNC Marco</t>
        </is>
      </c>
      <c r="E181" s="220" t="n"/>
      <c r="L181" s="64">
        <f>IF($D181="","",SUM(M181:O181))</f>
        <v/>
      </c>
      <c r="M181" s="64">
        <f>IF($D181="","",COUNTIF(DESIGNAZIONI!P$8:P$1323,$D181))</f>
        <v/>
      </c>
      <c r="N181" s="64">
        <f>IF($D181="","",COUNTIF(DESIGNAZIONI!Q$8:Q$1323,$D181))</f>
        <v/>
      </c>
      <c r="O181" s="64">
        <f>IF($D181="","",COUNTIF(DESIGNAZIONI!R$8:R$1323,$D181))</f>
        <v/>
      </c>
    </row>
    <row r="182">
      <c r="C182" s="224" t="n"/>
      <c r="D182" s="13" t="inlineStr">
        <is>
          <t>FOURNIER Elena</t>
        </is>
      </c>
      <c r="E182" s="220" t="n"/>
      <c r="L182" s="64">
        <f>IF($D182="","",SUM(M182:O182))</f>
        <v/>
      </c>
      <c r="M182" s="64">
        <f>IF($D182="","",COUNTIF(DESIGNAZIONI!P$8:P$1323,$D182))</f>
        <v/>
      </c>
      <c r="N182" s="64">
        <f>IF($D182="","",COUNTIF(DESIGNAZIONI!Q$8:Q$1323,$D182))</f>
        <v/>
      </c>
      <c r="O182" s="64">
        <f>IF($D182="","",COUNTIF(DESIGNAZIONI!R$8:R$1323,$D182))</f>
        <v/>
      </c>
    </row>
    <row r="183">
      <c r="C183" s="224" t="n"/>
      <c r="D183" s="13" t="inlineStr">
        <is>
          <t>BIANCHELLI Katrin</t>
        </is>
      </c>
      <c r="E183" s="220" t="n"/>
      <c r="L183" s="64">
        <f>IF($D183="","",SUM(M183:O183))</f>
        <v/>
      </c>
      <c r="M183" s="64">
        <f>IF($D183="","",COUNTIF(DESIGNAZIONI!P$8:P$1323,$D183))</f>
        <v/>
      </c>
      <c r="N183" s="64">
        <f>IF($D183="","",COUNTIF(DESIGNAZIONI!Q$8:Q$1323,$D183))</f>
        <v/>
      </c>
      <c r="O183" s="64">
        <f>IF($D183="","",COUNTIF(DESIGNAZIONI!R$8:R$1323,$D183))</f>
        <v/>
      </c>
    </row>
    <row r="184">
      <c r="C184" s="224" t="n"/>
      <c r="D184" s="13" t="inlineStr">
        <is>
          <t>ENGEL Nicola</t>
        </is>
      </c>
      <c r="E184" s="220" t="n"/>
      <c r="L184" s="64">
        <f>IF($D184="","",SUM(M184:O184))</f>
        <v/>
      </c>
      <c r="M184" s="64">
        <f>IF($D184="","",COUNTIF(DESIGNAZIONI!P$8:P$1323,$D184))</f>
        <v/>
      </c>
      <c r="N184" s="64">
        <f>IF($D184="","",COUNTIF(DESIGNAZIONI!Q$8:Q$1323,$D184))</f>
        <v/>
      </c>
      <c r="O184" s="64">
        <f>IF($D184="","",COUNTIF(DESIGNAZIONI!R$8:R$1323,$D184))</f>
        <v/>
      </c>
    </row>
    <row r="185">
      <c r="C185" s="224" t="n"/>
      <c r="D185" s="13" t="inlineStr">
        <is>
          <t>WEBER Sofia</t>
        </is>
      </c>
      <c r="E185" s="220" t="n"/>
      <c r="L185" s="64">
        <f>IF($D185="","",SUM(M185:O185))</f>
        <v/>
      </c>
      <c r="M185" s="64">
        <f>IF($D185="","",COUNTIF(DESIGNAZIONI!P$8:P$1323,$D185))</f>
        <v/>
      </c>
      <c r="N185" s="64">
        <f>IF($D185="","",COUNTIF(DESIGNAZIONI!Q$8:Q$1323,$D185))</f>
        <v/>
      </c>
      <c r="O185" s="64">
        <f>IF($D185="","",COUNTIF(DESIGNAZIONI!R$8:R$1323,$D185))</f>
        <v/>
      </c>
    </row>
    <row r="186">
      <c r="C186" s="224" t="n"/>
      <c r="D186" s="13" t="inlineStr">
        <is>
          <t>SCHAFER Sofia</t>
        </is>
      </c>
      <c r="E186" s="220" t="n"/>
      <c r="L186" s="64">
        <f>IF($D186="","",SUM(M186:O186))</f>
        <v/>
      </c>
      <c r="M186" s="64">
        <f>IF($D186="","",COUNTIF(DESIGNAZIONI!P$8:P$1323,$D186))</f>
        <v/>
      </c>
      <c r="N186" s="64">
        <f>IF($D186="","",COUNTIF(DESIGNAZIONI!Q$8:Q$1323,$D186))</f>
        <v/>
      </c>
      <c r="O186" s="64">
        <f>IF($D186="","",COUNTIF(DESIGNAZIONI!R$8:R$1323,$D186))</f>
        <v/>
      </c>
    </row>
    <row r="187">
      <c r="C187" s="224" t="n"/>
      <c r="D187" s="13" t="inlineStr">
        <is>
          <t>ORTEGA Gaelle</t>
        </is>
      </c>
      <c r="E187" s="220" t="n"/>
      <c r="L187" s="64">
        <f>IF($D187="","",SUM(M187:O187))</f>
        <v/>
      </c>
      <c r="M187" s="64">
        <f>IF($D187="","",COUNTIF(DESIGNAZIONI!P$8:P$1323,$D187))</f>
        <v/>
      </c>
      <c r="N187" s="64">
        <f>IF($D187="","",COUNTIF(DESIGNAZIONI!Q$8:Q$1323,$D187))</f>
        <v/>
      </c>
      <c r="O187" s="64">
        <f>IF($D187="","",COUNTIF(DESIGNAZIONI!R$8:R$1323,$D187))</f>
        <v/>
      </c>
    </row>
    <row r="188">
      <c r="C188" s="224" t="n"/>
      <c r="D188" s="13" t="inlineStr">
        <is>
          <t>LEFEVRE Ilaria</t>
        </is>
      </c>
      <c r="E188" s="220" t="n"/>
      <c r="L188" s="64">
        <f>IF($D188="","",SUM(M188:O188))</f>
        <v/>
      </c>
      <c r="M188" s="64">
        <f>IF($D188="","",COUNTIF(DESIGNAZIONI!P$8:P$1323,$D188))</f>
        <v/>
      </c>
      <c r="N188" s="64">
        <f>IF($D188="","",COUNTIF(DESIGNAZIONI!Q$8:Q$1323,$D188))</f>
        <v/>
      </c>
      <c r="O188" s="64">
        <f>IF($D188="","",COUNTIF(DESIGNAZIONI!R$8:R$1323,$D188))</f>
        <v/>
      </c>
    </row>
    <row r="189">
      <c r="C189" s="224" t="n"/>
      <c r="D189" s="13" t="inlineStr">
        <is>
          <t>HOFFMANN Chiara</t>
        </is>
      </c>
      <c r="E189" s="220" t="n"/>
      <c r="L189" s="64">
        <f>IF($D189="","",SUM(M189:O189))</f>
        <v/>
      </c>
      <c r="M189" s="64">
        <f>IF($D189="","",COUNTIF(DESIGNAZIONI!P$8:P$1323,$D189))</f>
        <v/>
      </c>
      <c r="N189" s="64">
        <f>IF($D189="","",COUNTIF(DESIGNAZIONI!Q$8:Q$1323,$D189))</f>
        <v/>
      </c>
      <c r="O189" s="64">
        <f>IF($D189="","",COUNTIF(DESIGNAZIONI!R$8:R$1323,$D189))</f>
        <v/>
      </c>
    </row>
    <row r="190">
      <c r="C190" s="224" t="n"/>
      <c r="D190" s="13" t="inlineStr">
        <is>
          <t>BELLANDI Greta</t>
        </is>
      </c>
      <c r="E190" s="220" t="n"/>
      <c r="L190" s="64">
        <f>IF($D190="","",SUM(M190:O190))</f>
        <v/>
      </c>
      <c r="M190" s="64">
        <f>IF($D190="","",COUNTIF(DESIGNAZIONI!P$8:P$1323,$D190))</f>
        <v/>
      </c>
      <c r="N190" s="64">
        <f>IF($D190="","",COUNTIF(DESIGNAZIONI!Q$8:Q$1323,$D190))</f>
        <v/>
      </c>
      <c r="O190" s="64">
        <f>IF($D190="","",COUNTIF(DESIGNAZIONI!R$8:R$1323,$D190))</f>
        <v/>
      </c>
    </row>
    <row r="191">
      <c r="C191" s="224" t="n"/>
      <c r="D191" s="13" t="inlineStr">
        <is>
          <t>HORVAT Irene</t>
        </is>
      </c>
      <c r="E191" s="220" t="n"/>
      <c r="L191" s="64">
        <f>IF($D191="","",SUM(M191:O191))</f>
        <v/>
      </c>
      <c r="M191" s="64">
        <f>IF($D191="","",COUNTIF(DESIGNAZIONI!P$8:P$1323,$D191))</f>
        <v/>
      </c>
      <c r="N191" s="64">
        <f>IF($D191="","",COUNTIF(DESIGNAZIONI!Q$8:Q$1323,$D191))</f>
        <v/>
      </c>
      <c r="O191" s="64">
        <f>IF($D191="","",COUNTIF(DESIGNAZIONI!R$8:R$1323,$D191))</f>
        <v/>
      </c>
    </row>
    <row r="192">
      <c r="C192" s="224" t="n"/>
      <c r="D192" s="13" t="inlineStr">
        <is>
          <t>BLANCO Giulia</t>
        </is>
      </c>
      <c r="E192" s="220" t="n"/>
      <c r="L192" s="64">
        <f>IF($D192="","",SUM(M192:O192))</f>
        <v/>
      </c>
      <c r="M192" s="64">
        <f>IF($D192="","",COUNTIF(DESIGNAZIONI!P$8:P$1323,$D192))</f>
        <v/>
      </c>
      <c r="N192" s="64">
        <f>IF($D192="","",COUNTIF(DESIGNAZIONI!Q$8:Q$1323,$D192))</f>
        <v/>
      </c>
      <c r="O192" s="64">
        <f>IF($D192="","",COUNTIF(DESIGNAZIONI!R$8:R$1323,$D192))</f>
        <v/>
      </c>
    </row>
    <row r="193">
      <c r="C193" s="224" t="n"/>
      <c r="D193" s="13" t="inlineStr">
        <is>
          <t>OBLAK Hugo</t>
        </is>
      </c>
      <c r="E193" s="220" t="n"/>
      <c r="L193" s="64">
        <f>IF($D193="","",SUM(M193:O193))</f>
        <v/>
      </c>
      <c r="M193" s="64">
        <f>IF($D193="","",COUNTIF(DESIGNAZIONI!P$8:P$1323,$D193))</f>
        <v/>
      </c>
      <c r="N193" s="64">
        <f>IF($D193="","",COUNTIF(DESIGNAZIONI!Q$8:Q$1323,$D193))</f>
        <v/>
      </c>
      <c r="O193" s="64">
        <f>IF($D193="","",COUNTIF(DESIGNAZIONI!R$8:R$1323,$D193))</f>
        <v/>
      </c>
    </row>
    <row r="194">
      <c r="C194" s="224" t="n"/>
      <c r="D194" s="13" t="inlineStr">
        <is>
          <t>KOVAC Felix</t>
        </is>
      </c>
      <c r="E194" s="220" t="n"/>
      <c r="L194" s="64">
        <f>IF($D194="","",SUM(M194:O194))</f>
        <v/>
      </c>
      <c r="M194" s="64">
        <f>IF($D194="","",COUNTIF(DESIGNAZIONI!P$8:P$1323,$D194))</f>
        <v/>
      </c>
      <c r="N194" s="64">
        <f>IF($D194="","",COUNTIF(DESIGNAZIONI!Q$8:Q$1323,$D194))</f>
        <v/>
      </c>
      <c r="O194" s="64">
        <f>IF($D194="","",COUNTIF(DESIGNAZIONI!R$8:R$1323,$D194))</f>
        <v/>
      </c>
    </row>
    <row r="195">
      <c r="C195" s="224" t="n"/>
      <c r="D195" s="13" t="inlineStr">
        <is>
          <t>VOGEL Martina</t>
        </is>
      </c>
      <c r="E195" s="220" t="n"/>
      <c r="L195" s="64">
        <f>IF($D195="","",SUM(M195:O195))</f>
        <v/>
      </c>
      <c r="M195" s="64">
        <f>IF($D195="","",COUNTIF(DESIGNAZIONI!P$8:P$1323,$D195))</f>
        <v/>
      </c>
      <c r="N195" s="64">
        <f>IF($D195="","",COUNTIF(DESIGNAZIONI!Q$8:Q$1323,$D195))</f>
        <v/>
      </c>
      <c r="O195" s="64">
        <f>IF($D195="","",COUNTIF(DESIGNAZIONI!R$8:R$1323,$D195))</f>
        <v/>
      </c>
    </row>
    <row r="196">
      <c r="C196" s="224" t="n"/>
      <c r="D196" s="13" t="inlineStr">
        <is>
          <t>SOLER Irene</t>
        </is>
      </c>
      <c r="E196" s="220" t="n"/>
      <c r="L196" s="64">
        <f>IF($D196="","",SUM(M196:O196))</f>
        <v/>
      </c>
      <c r="M196" s="64">
        <f>IF($D196="","",COUNTIF(DESIGNAZIONI!P$8:P$1323,$D196))</f>
        <v/>
      </c>
      <c r="N196" s="64">
        <f>IF($D196="","",COUNTIF(DESIGNAZIONI!Q$8:Q$1323,$D196))</f>
        <v/>
      </c>
      <c r="O196" s="64">
        <f>IF($D196="","",COUNTIF(DESIGNAZIONI!R$8:R$1323,$D196))</f>
        <v/>
      </c>
    </row>
    <row r="197">
      <c r="C197" s="224" t="n"/>
      <c r="D197" s="13" t="inlineStr">
        <is>
          <t>KRAJNC Tommaso</t>
        </is>
      </c>
      <c r="E197" s="220" t="n"/>
      <c r="L197" s="64">
        <f>IF($D197="","",SUM(M197:O197))</f>
        <v/>
      </c>
      <c r="M197" s="64">
        <f>IF($D197="","",COUNTIF(DESIGNAZIONI!P$8:P$1323,$D197))</f>
        <v/>
      </c>
      <c r="N197" s="64">
        <f>IF($D197="","",COUNTIF(DESIGNAZIONI!Q$8:Q$1323,$D197))</f>
        <v/>
      </c>
      <c r="O197" s="64">
        <f>IF($D197="","",COUNTIF(DESIGNAZIONI!R$8:R$1323,$D197))</f>
        <v/>
      </c>
    </row>
    <row r="198">
      <c r="C198" s="224" t="n"/>
      <c r="D198" s="13" t="inlineStr">
        <is>
          <t>VOGEL Sofia</t>
        </is>
      </c>
      <c r="E198" s="220" t="n"/>
      <c r="L198" s="64">
        <f>IF($D198="","",SUM(M198:O198))</f>
        <v/>
      </c>
      <c r="M198" s="64">
        <f>IF($D198="","",COUNTIF(DESIGNAZIONI!P$8:P$1323,$D198))</f>
        <v/>
      </c>
      <c r="N198" s="64">
        <f>IF($D198="","",COUNTIF(DESIGNAZIONI!Q$8:Q$1323,$D198))</f>
        <v/>
      </c>
      <c r="O198" s="64">
        <f>IF($D198="","",COUNTIF(DESIGNAZIONI!R$8:R$1323,$D198))</f>
        <v/>
      </c>
    </row>
    <row r="199">
      <c r="C199" s="224" t="n"/>
      <c r="D199" s="13" t="inlineStr">
        <is>
          <t>VIDMAR Chiara</t>
        </is>
      </c>
      <c r="E199" s="220" t="n"/>
      <c r="L199" s="64">
        <f>IF($D199="","",SUM(M199:O199))</f>
        <v/>
      </c>
      <c r="M199" s="64">
        <f>IF($D199="","",COUNTIF(DESIGNAZIONI!P$8:P$1323,$D199))</f>
        <v/>
      </c>
      <c r="N199" s="64">
        <f>IF($D199="","",COUNTIF(DESIGNAZIONI!Q$8:Q$1323,$D199))</f>
        <v/>
      </c>
      <c r="O199" s="64">
        <f>IF($D199="","",COUNTIF(DESIGNAZIONI!R$8:R$1323,$D199))</f>
        <v/>
      </c>
    </row>
    <row r="200">
      <c r="C200" s="224" t="n"/>
      <c r="D200" s="13" t="inlineStr">
        <is>
          <t>CASTILLO Giulia</t>
        </is>
      </c>
      <c r="E200" s="220" t="n"/>
      <c r="L200" s="64">
        <f>IF($D200="","",SUM(M200:O200))</f>
        <v/>
      </c>
      <c r="M200" s="64">
        <f>IF($D200="","",COUNTIF(DESIGNAZIONI!P$8:P$1323,$D200))</f>
        <v/>
      </c>
      <c r="N200" s="64">
        <f>IF($D200="","",COUNTIF(DESIGNAZIONI!Q$8:Q$1323,$D200))</f>
        <v/>
      </c>
      <c r="O200" s="64">
        <f>IF($D200="","",COUNTIF(DESIGNAZIONI!R$8:R$1323,$D200))</f>
        <v/>
      </c>
    </row>
    <row r="201">
      <c r="C201" s="224" t="n"/>
      <c r="D201" s="13" t="inlineStr">
        <is>
          <t>IGLESIAS Alenka</t>
        </is>
      </c>
      <c r="E201" s="220" t="n"/>
      <c r="L201" s="64">
        <f>IF($D201="","",SUM(M201:O201))</f>
        <v/>
      </c>
      <c r="M201" s="64">
        <f>IF($D201="","",COUNTIF(DESIGNAZIONI!P$8:P$1323,$D201))</f>
        <v/>
      </c>
      <c r="N201" s="64">
        <f>IF($D201="","",COUNTIF(DESIGNAZIONI!Q$8:Q$1323,$D201))</f>
        <v/>
      </c>
      <c r="O201" s="64">
        <f>IF($D201="","",COUNTIF(DESIGNAZIONI!R$8:R$1323,$D201))</f>
        <v/>
      </c>
    </row>
    <row r="202">
      <c r="C202" s="224" t="n"/>
      <c r="D202" s="13" t="inlineStr">
        <is>
          <t>ORTEGA Stefano</t>
        </is>
      </c>
      <c r="E202" s="220" t="n"/>
      <c r="L202" s="64">
        <f>IF($D202="","",SUM(M202:O202))</f>
        <v/>
      </c>
      <c r="M202" s="64">
        <f>IF($D202="","",COUNTIF(DESIGNAZIONI!P$8:P$1323,$D202))</f>
        <v/>
      </c>
      <c r="N202" s="64">
        <f>IF($D202="","",COUNTIF(DESIGNAZIONI!Q$8:Q$1323,$D202))</f>
        <v/>
      </c>
      <c r="O202" s="64">
        <f>IF($D202="","",COUNTIF(DESIGNAZIONI!R$8:R$1323,$D202))</f>
        <v/>
      </c>
    </row>
    <row r="203">
      <c r="C203" s="224" t="n"/>
      <c r="D203" s="13" t="inlineStr">
        <is>
          <t>IGLESIAS Hugo</t>
        </is>
      </c>
      <c r="E203" s="220" t="n"/>
      <c r="L203" s="64">
        <f>IF($D203="","",SUM(M203:O203))</f>
        <v/>
      </c>
      <c r="M203" s="64">
        <f>IF($D203="","",COUNTIF(DESIGNAZIONI!P$8:P$1323,$D203))</f>
        <v/>
      </c>
      <c r="N203" s="64">
        <f>IF($D203="","",COUNTIF(DESIGNAZIONI!Q$8:Q$1323,$D203))</f>
        <v/>
      </c>
      <c r="O203" s="64">
        <f>IF($D203="","",COUNTIF(DESIGNAZIONI!R$8:R$1323,$D203))</f>
        <v/>
      </c>
    </row>
    <row r="204">
      <c r="C204" s="224" t="n"/>
      <c r="D204" s="13" t="inlineStr">
        <is>
          <t>NOVAK Tommaso</t>
        </is>
      </c>
      <c r="E204" s="220" t="n"/>
      <c r="L204" s="64">
        <f>IF($D204="","",SUM(M204:O204))</f>
        <v/>
      </c>
      <c r="M204" s="64">
        <f>IF($D204="","",COUNTIF(DESIGNAZIONI!P$8:P$1323,$D204))</f>
        <v/>
      </c>
      <c r="N204" s="64">
        <f>IF($D204="","",COUNTIF(DESIGNAZIONI!Q$8:Q$1323,$D204))</f>
        <v/>
      </c>
      <c r="O204" s="64">
        <f>IF($D204="","",COUNTIF(DESIGNAZIONI!R$8:R$1323,$D204))</f>
        <v/>
      </c>
    </row>
    <row r="205">
      <c r="C205" s="224" t="n"/>
      <c r="D205" s="13" t="inlineStr">
        <is>
          <t>CAMPOS Noemi</t>
        </is>
      </c>
      <c r="E205" s="220" t="n"/>
      <c r="L205" s="64">
        <f>IF($D205="","",SUM(M205:O205))</f>
        <v/>
      </c>
      <c r="M205" s="64">
        <f>IF($D205="","",COUNTIF(DESIGNAZIONI!P$8:P$1323,$D205))</f>
        <v/>
      </c>
      <c r="N205" s="64">
        <f>IF($D205="","",COUNTIF(DESIGNAZIONI!Q$8:Q$1323,$D205))</f>
        <v/>
      </c>
      <c r="O205" s="64">
        <f>IF($D205="","",COUNTIF(DESIGNAZIONI!R$8:R$1323,$D205))</f>
        <v/>
      </c>
    </row>
    <row r="206">
      <c r="C206" s="224" t="n"/>
      <c r="D206" s="13" t="inlineStr">
        <is>
          <t>FOURNIER Miha</t>
        </is>
      </c>
      <c r="E206" s="220" t="n"/>
      <c r="L206" s="64">
        <f>IF($D206="","",SUM(M206:O206))</f>
        <v/>
      </c>
      <c r="M206" s="64">
        <f>IF($D206="","",COUNTIF(DESIGNAZIONI!P$8:P$1323,$D206))</f>
        <v/>
      </c>
      <c r="N206" s="64">
        <f>IF($D206="","",COUNTIF(DESIGNAZIONI!Q$8:Q$1323,$D206))</f>
        <v/>
      </c>
      <c r="O206" s="64">
        <f>IF($D206="","",COUNTIF(DESIGNAZIONI!R$8:R$1323,$D206))</f>
        <v/>
      </c>
    </row>
    <row r="207">
      <c r="C207" s="224" t="n"/>
      <c r="D207" s="13" t="inlineStr">
        <is>
          <t>KRUGER Valerie</t>
        </is>
      </c>
      <c r="E207" s="220" t="n"/>
      <c r="L207" s="64">
        <f>IF($D207="","",SUM(M207:O207))</f>
        <v/>
      </c>
      <c r="M207" s="64">
        <f>IF($D207="","",COUNTIF(DESIGNAZIONI!P$8:P$1323,$D207))</f>
        <v/>
      </c>
      <c r="N207" s="64">
        <f>IF($D207="","",COUNTIF(DESIGNAZIONI!Q$8:Q$1323,$D207))</f>
        <v/>
      </c>
      <c r="O207" s="64">
        <f>IF($D207="","",COUNTIF(DESIGNAZIONI!R$8:R$1323,$D207))</f>
        <v/>
      </c>
    </row>
    <row r="208">
      <c r="C208" s="224" t="n"/>
      <c r="D208" s="13" t="inlineStr">
        <is>
          <t>ZUPAN Greta</t>
        </is>
      </c>
      <c r="E208" s="220" t="n"/>
      <c r="L208" s="64">
        <f>IF($D208="","",SUM(M208:O208))</f>
        <v/>
      </c>
      <c r="M208" s="64">
        <f>IF($D208="","",COUNTIF(DESIGNAZIONI!P$8:P$1323,$D208))</f>
        <v/>
      </c>
      <c r="N208" s="64">
        <f>IF($D208="","",COUNTIF(DESIGNAZIONI!Q$8:Q$1323,$D208))</f>
        <v/>
      </c>
      <c r="O208" s="64">
        <f>IF($D208="","",COUNTIF(DESIGNAZIONI!R$8:R$1323,$D208))</f>
        <v/>
      </c>
    </row>
    <row r="209">
      <c r="C209" s="224" t="n"/>
      <c r="D209" s="13" t="inlineStr">
        <is>
          <t>ENGEL Martina</t>
        </is>
      </c>
      <c r="E209" s="220" t="n"/>
      <c r="L209" s="64">
        <f>IF($D209="","",SUM(M209:O209))</f>
        <v/>
      </c>
      <c r="M209" s="64">
        <f>IF($D209="","",COUNTIF(DESIGNAZIONI!P$8:P$1323,$D209))</f>
        <v/>
      </c>
      <c r="N209" s="64">
        <f>IF($D209="","",COUNTIF(DESIGNAZIONI!Q$8:Q$1323,$D209))</f>
        <v/>
      </c>
      <c r="O209" s="64">
        <f>IF($D209="","",COUNTIF(DESIGNAZIONI!R$8:R$1323,$D209))</f>
        <v/>
      </c>
    </row>
    <row r="210">
      <c r="C210" s="224" t="n"/>
      <c r="D210" s="13" t="inlineStr">
        <is>
          <t>LEROUX Beatrice</t>
        </is>
      </c>
      <c r="E210" s="220" t="n"/>
      <c r="L210" s="64">
        <f>IF($D210="","",SUM(M210:O210))</f>
        <v/>
      </c>
      <c r="M210" s="64">
        <f>IF($D210="","",COUNTIF(DESIGNAZIONI!P$8:P$1323,$D210))</f>
        <v/>
      </c>
      <c r="N210" s="64">
        <f>IF($D210="","",COUNTIF(DESIGNAZIONI!Q$8:Q$1323,$D210))</f>
        <v/>
      </c>
      <c r="O210" s="64">
        <f>IF($D210="","",COUNTIF(DESIGNAZIONI!R$8:R$1323,$D210))</f>
        <v/>
      </c>
    </row>
    <row r="211">
      <c r="C211" s="224" t="n"/>
      <c r="D211" s="13" t="inlineStr">
        <is>
          <t>AUBERT Giulia</t>
        </is>
      </c>
      <c r="E211" s="220" t="n"/>
      <c r="L211" s="64">
        <f>IF($D211="","",SUM(M211:O211))</f>
        <v/>
      </c>
      <c r="M211" s="64">
        <f>IF($D211="","",COUNTIF(DESIGNAZIONI!P$8:P$1323,$D211))</f>
        <v/>
      </c>
      <c r="N211" s="64">
        <f>IF($D211="","",COUNTIF(DESIGNAZIONI!Q$8:Q$1323,$D211))</f>
        <v/>
      </c>
      <c r="O211" s="64">
        <f>IF($D211="","",COUNTIF(DESIGNAZIONI!R$8:R$1323,$D211))</f>
        <v/>
      </c>
    </row>
    <row r="212">
      <c r="C212" s="224" t="n"/>
      <c r="D212" s="13" t="inlineStr">
        <is>
          <t>MODIC Jonas</t>
        </is>
      </c>
      <c r="E212" s="220" t="n"/>
      <c r="L212" s="64">
        <f>IF($D212="","",SUM(M212:O212))</f>
        <v/>
      </c>
      <c r="M212" s="64">
        <f>IF($D212="","",COUNTIF(DESIGNAZIONI!P$8:P$1323,$D212))</f>
        <v/>
      </c>
      <c r="N212" s="64">
        <f>IF($D212="","",COUNTIF(DESIGNAZIONI!Q$8:Q$1323,$D212))</f>
        <v/>
      </c>
      <c r="O212" s="64">
        <f>IF($D212="","",COUNTIF(DESIGNAZIONI!R$8:R$1323,$D212))</f>
        <v/>
      </c>
    </row>
    <row r="213">
      <c r="C213" s="224" t="n"/>
      <c r="D213" s="13" t="inlineStr">
        <is>
          <t>SANTORI Eva</t>
        </is>
      </c>
      <c r="E213" s="220" t="n"/>
      <c r="L213" s="64">
        <f>IF($D213="","",SUM(M213:O213))</f>
        <v/>
      </c>
      <c r="M213" s="64">
        <f>IF($D213="","",COUNTIF(DESIGNAZIONI!P$8:P$1323,$D213))</f>
        <v/>
      </c>
      <c r="N213" s="64">
        <f>IF($D213="","",COUNTIF(DESIGNAZIONI!Q$8:Q$1323,$D213))</f>
        <v/>
      </c>
      <c r="O213" s="64">
        <f>IF($D213="","",COUNTIF(DESIGNAZIONI!R$8:R$1323,$D213))</f>
        <v/>
      </c>
    </row>
    <row r="214">
      <c r="C214" s="224" t="n"/>
      <c r="D214" s="13" t="inlineStr">
        <is>
          <t>PETERLIN Martina</t>
        </is>
      </c>
      <c r="E214" s="220" t="n"/>
      <c r="L214" s="64">
        <f>IF($D214="","",SUM(M214:O214))</f>
        <v/>
      </c>
      <c r="M214" s="64">
        <f>IF($D214="","",COUNTIF(DESIGNAZIONI!P$8:P$1323,$D214))</f>
        <v/>
      </c>
      <c r="N214" s="64">
        <f>IF($D214="","",COUNTIF(DESIGNAZIONI!Q$8:Q$1323,$D214))</f>
        <v/>
      </c>
      <c r="O214" s="64">
        <f>IF($D214="","",COUNTIF(DESIGNAZIONI!R$8:R$1323,$D214))</f>
        <v/>
      </c>
    </row>
    <row r="215">
      <c r="C215" s="224" t="n"/>
      <c r="D215" s="13" t="inlineStr">
        <is>
          <t>IGLESIAS Paula</t>
        </is>
      </c>
      <c r="E215" s="220" t="n"/>
      <c r="L215" s="64">
        <f>IF($D215="","",SUM(M215:O215))</f>
        <v/>
      </c>
      <c r="M215" s="64">
        <f>IF($D215="","",COUNTIF(DESIGNAZIONI!P$8:P$1323,$D215))</f>
        <v/>
      </c>
      <c r="N215" s="64">
        <f>IF($D215="","",COUNTIF(DESIGNAZIONI!Q$8:Q$1323,$D215))</f>
        <v/>
      </c>
      <c r="O215" s="64">
        <f>IF($D215="","",COUNTIF(DESIGNAZIONI!R$8:R$1323,$D215))</f>
        <v/>
      </c>
    </row>
    <row r="216">
      <c r="C216" s="224" t="n"/>
      <c r="D216" s="13" t="inlineStr">
        <is>
          <t>BIANCHELLI Ottavia</t>
        </is>
      </c>
      <c r="E216" s="220" t="n"/>
      <c r="L216" s="64">
        <f>IF($D216="","",SUM(M216:O216))</f>
        <v/>
      </c>
      <c r="M216" s="64">
        <f>IF($D216="","",COUNTIF(DESIGNAZIONI!P$8:P$1323,$D216))</f>
        <v/>
      </c>
      <c r="N216" s="64">
        <f>IF($D216="","",COUNTIF(DESIGNAZIONI!Q$8:Q$1323,$D216))</f>
        <v/>
      </c>
      <c r="O216" s="64">
        <f>IF($D216="","",COUNTIF(DESIGNAZIONI!R$8:R$1323,$D216))</f>
        <v/>
      </c>
    </row>
    <row r="217">
      <c r="C217" s="224" t="n"/>
      <c r="D217" s="13" t="inlineStr">
        <is>
          <t>SOLER Gaelle</t>
        </is>
      </c>
      <c r="E217" s="220" t="n"/>
      <c r="L217" s="64">
        <f>IF($D217="","",SUM(M217:O217))</f>
        <v/>
      </c>
      <c r="M217" s="64">
        <f>IF($D217="","",COUNTIF(DESIGNAZIONI!P$8:P$1323,$D217))</f>
        <v/>
      </c>
      <c r="N217" s="64">
        <f>IF($D217="","",COUNTIF(DESIGNAZIONI!Q$8:Q$1323,$D217))</f>
        <v/>
      </c>
      <c r="O217" s="64">
        <f>IF($D217="","",COUNTIF(DESIGNAZIONI!R$8:R$1323,$D217))</f>
        <v/>
      </c>
    </row>
    <row r="218">
      <c r="C218" s="224" t="n"/>
      <c r="D218" s="13" t="inlineStr">
        <is>
          <t>PRADO Elena</t>
        </is>
      </c>
      <c r="E218" s="220" t="n"/>
      <c r="L218" s="64">
        <f>IF($D218="","",SUM(M218:O218))</f>
        <v/>
      </c>
      <c r="M218" s="64">
        <f>IF($D218="","",COUNTIF(DESIGNAZIONI!P$8:P$1323,$D218))</f>
        <v/>
      </c>
      <c r="N218" s="64">
        <f>IF($D218="","",COUNTIF(DESIGNAZIONI!Q$8:Q$1323,$D218))</f>
        <v/>
      </c>
      <c r="O218" s="64">
        <f>IF($D218="","",COUNTIF(DESIGNAZIONI!R$8:R$1323,$D218))</f>
        <v/>
      </c>
    </row>
    <row r="219">
      <c r="C219" s="224" t="n"/>
      <c r="D219" s="13" t="inlineStr">
        <is>
          <t>NAVARRO Lea</t>
        </is>
      </c>
      <c r="E219" s="220" t="n"/>
      <c r="L219" s="64">
        <f>IF($D219="","",SUM(M219:O219))</f>
        <v/>
      </c>
      <c r="M219" s="64">
        <f>IF($D219="","",COUNTIF(DESIGNAZIONI!P$8:P$1323,$D219))</f>
        <v/>
      </c>
      <c r="N219" s="64">
        <f>IF($D219="","",COUNTIF(DESIGNAZIONI!Q$8:Q$1323,$D219))</f>
        <v/>
      </c>
      <c r="O219" s="64">
        <f>IF($D219="","",COUNTIF(DESIGNAZIONI!R$8:R$1323,$D219))</f>
        <v/>
      </c>
    </row>
    <row r="220">
      <c r="C220" s="224" t="n"/>
      <c r="D220" s="13" t="inlineStr">
        <is>
          <t>FOURNIER Stefano</t>
        </is>
      </c>
      <c r="E220" s="220" t="n"/>
      <c r="L220" s="64">
        <f>IF($D220="","",SUM(M220:O220))</f>
        <v/>
      </c>
      <c r="M220" s="64">
        <f>IF($D220="","",COUNTIF(DESIGNAZIONI!P$8:P$1323,$D220))</f>
        <v/>
      </c>
      <c r="N220" s="64">
        <f>IF($D220="","",COUNTIF(DESIGNAZIONI!Q$8:Q$1323,$D220))</f>
        <v/>
      </c>
      <c r="O220" s="64">
        <f>IF($D220="","",COUNTIF(DESIGNAZIONI!R$8:R$1323,$D220))</f>
        <v/>
      </c>
    </row>
    <row r="221">
      <c r="C221" s="224" t="n"/>
      <c r="D221" s="13" t="inlineStr">
        <is>
          <t>IGLESIAS Chiara</t>
        </is>
      </c>
      <c r="E221" s="220" t="n"/>
      <c r="L221" s="64">
        <f>IF($D221="","",SUM(M221:O221))</f>
        <v/>
      </c>
      <c r="M221" s="64">
        <f>IF($D221="","",COUNTIF(DESIGNAZIONI!P$8:P$1323,$D221))</f>
        <v/>
      </c>
      <c r="N221" s="64">
        <f>IF($D221="","",COUNTIF(DESIGNAZIONI!Q$8:Q$1323,$D221))</f>
        <v/>
      </c>
      <c r="O221" s="64">
        <f>IF($D221="","",COUNTIF(DESIGNAZIONI!R$8:R$1323,$D221))</f>
        <v/>
      </c>
    </row>
    <row r="222">
      <c r="C222" s="224" t="n"/>
      <c r="D222" s="13" t="inlineStr">
        <is>
          <t>KRUGER Vid</t>
        </is>
      </c>
      <c r="E222" s="220" t="n"/>
      <c r="L222" s="64">
        <f>IF($D222="","",SUM(M222:O222))</f>
        <v/>
      </c>
      <c r="M222" s="64">
        <f>IF($D222="","",COUNTIF(DESIGNAZIONI!P$8:P$1323,$D222))</f>
        <v/>
      </c>
      <c r="N222" s="64">
        <f>IF($D222="","",COUNTIF(DESIGNAZIONI!Q$8:Q$1323,$D222))</f>
        <v/>
      </c>
      <c r="O222" s="64">
        <f>IF($D222="","",COUNTIF(DESIGNAZIONI!R$8:R$1323,$D222))</f>
        <v/>
      </c>
    </row>
    <row r="223">
      <c r="C223" s="224" t="n"/>
      <c r="D223" s="13" t="inlineStr">
        <is>
          <t>BLANCHET Tommaso</t>
        </is>
      </c>
      <c r="E223" s="220" t="n"/>
      <c r="L223" s="64">
        <f>IF($D223="","",SUM(M223:O223))</f>
        <v/>
      </c>
      <c r="M223" s="64">
        <f>IF($D223="","",COUNTIF(DESIGNAZIONI!P$8:P$1323,$D223))</f>
        <v/>
      </c>
      <c r="N223" s="64">
        <f>IF($D223="","",COUNTIF(DESIGNAZIONI!Q$8:Q$1323,$D223))</f>
        <v/>
      </c>
      <c r="O223" s="64">
        <f>IF($D223="","",COUNTIF(DESIGNAZIONI!R$8:R$1323,$D223))</f>
        <v/>
      </c>
    </row>
    <row r="224">
      <c r="C224" s="224" t="n"/>
      <c r="D224" s="13" t="inlineStr">
        <is>
          <t>GAUTHIER Matteo</t>
        </is>
      </c>
      <c r="E224" s="220" t="n"/>
      <c r="L224" s="64">
        <f>IF($D224="","",SUM(M224:O224))</f>
        <v/>
      </c>
      <c r="M224" s="64">
        <f>IF($D224="","",COUNTIF(DESIGNAZIONI!P$8:P$1323,$D224))</f>
        <v/>
      </c>
      <c r="N224" s="64">
        <f>IF($D224="","",COUNTIF(DESIGNAZIONI!Q$8:Q$1323,$D224))</f>
        <v/>
      </c>
      <c r="O224" s="64">
        <f>IF($D224="","",COUNTIF(DESIGNAZIONI!R$8:R$1323,$D224))</f>
        <v/>
      </c>
    </row>
    <row r="225">
      <c r="C225" s="224" t="n"/>
      <c r="D225" s="13" t="inlineStr">
        <is>
          <t>LEFEVRE Tommaso</t>
        </is>
      </c>
      <c r="E225" s="220" t="n"/>
      <c r="L225" s="64">
        <f>IF($D225="","",SUM(M225:O225))</f>
        <v/>
      </c>
      <c r="M225" s="64">
        <f>IF($D225="","",COUNTIF(DESIGNAZIONI!P$8:P$1323,$D225))</f>
        <v/>
      </c>
      <c r="N225" s="64">
        <f>IF($D225="","",COUNTIF(DESIGNAZIONI!Q$8:Q$1323,$D225))</f>
        <v/>
      </c>
      <c r="O225" s="64">
        <f>IF($D225="","",COUNTIF(DESIGNAZIONI!R$8:R$1323,$D225))</f>
        <v/>
      </c>
    </row>
    <row r="226">
      <c r="C226" s="224" t="n"/>
      <c r="D226" s="13" t="inlineStr">
        <is>
          <t>CAMPOS Martina</t>
        </is>
      </c>
      <c r="E226" s="220" t="n"/>
      <c r="L226" s="64">
        <f>IF($D226="","",SUM(M226:O226))</f>
        <v/>
      </c>
      <c r="M226" s="64">
        <f>IF($D226="","",COUNTIF(DESIGNAZIONI!P$8:P$1323,$D226))</f>
        <v/>
      </c>
      <c r="N226" s="64">
        <f>IF($D226="","",COUNTIF(DESIGNAZIONI!Q$8:Q$1323,$D226))</f>
        <v/>
      </c>
      <c r="O226" s="64">
        <f>IF($D226="","",COUNTIF(DESIGNAZIONI!R$8:R$1323,$D226))</f>
        <v/>
      </c>
    </row>
    <row r="227">
      <c r="C227" s="224" t="n"/>
      <c r="D227" s="13" t="inlineStr">
        <is>
          <t>GAUTHIER Pablo</t>
        </is>
      </c>
      <c r="E227" s="220" t="n"/>
      <c r="L227" s="64">
        <f>IF($D227="","",SUM(M227:O227))</f>
        <v/>
      </c>
      <c r="M227" s="64">
        <f>IF($D227="","",COUNTIF(DESIGNAZIONI!P$8:P$1323,$D227))</f>
        <v/>
      </c>
      <c r="N227" s="64">
        <f>IF($D227="","",COUNTIF(DESIGNAZIONI!Q$8:Q$1323,$D227))</f>
        <v/>
      </c>
      <c r="O227" s="64">
        <f>IF($D227="","",COUNTIF(DESIGNAZIONI!R$8:R$1323,$D227))</f>
        <v/>
      </c>
    </row>
    <row r="228">
      <c r="C228" s="224" t="n"/>
      <c r="D228" s="13" t="inlineStr">
        <is>
          <t>BIANCHELLI Eva</t>
        </is>
      </c>
      <c r="E228" s="220" t="n"/>
      <c r="L228" s="64">
        <f>IF($D228="","",SUM(M228:O228))</f>
        <v/>
      </c>
      <c r="M228" s="64">
        <f>IF($D228="","",COUNTIF(DESIGNAZIONI!P$8:P$1323,$D228))</f>
        <v/>
      </c>
      <c r="N228" s="64">
        <f>IF($D228="","",COUNTIF(DESIGNAZIONI!Q$8:Q$1323,$D228))</f>
        <v/>
      </c>
      <c r="O228" s="64">
        <f>IF($D228="","",COUNTIF(DESIGNAZIONI!R$8:R$1323,$D228))</f>
        <v/>
      </c>
    </row>
    <row r="229">
      <c r="C229" s="224" t="n"/>
      <c r="D229" s="13" t="inlineStr">
        <is>
          <t>KRUGER Katrin</t>
        </is>
      </c>
      <c r="E229" s="220" t="n"/>
      <c r="L229" s="64">
        <f>IF($D229="","",SUM(M229:O229))</f>
        <v/>
      </c>
      <c r="M229" s="64">
        <f>IF($D229="","",COUNTIF(DESIGNAZIONI!P$8:P$1323,$D229))</f>
        <v/>
      </c>
      <c r="N229" s="64">
        <f>IF($D229="","",COUNTIF(DESIGNAZIONI!Q$8:Q$1323,$D229))</f>
        <v/>
      </c>
      <c r="O229" s="64">
        <f>IF($D229="","",COUNTIF(DESIGNAZIONI!R$8:R$1323,$D229))</f>
        <v/>
      </c>
    </row>
    <row r="230">
      <c r="C230" s="224" t="n"/>
      <c r="D230" s="13" t="inlineStr">
        <is>
          <t>MODIC Marco</t>
        </is>
      </c>
      <c r="E230" s="220" t="n"/>
      <c r="L230" s="64">
        <f>IF($D230="","",SUM(M230:O230))</f>
        <v/>
      </c>
      <c r="M230" s="64">
        <f>IF($D230="","",COUNTIF(DESIGNAZIONI!P$8:P$1323,$D230))</f>
        <v/>
      </c>
      <c r="N230" s="64">
        <f>IF($D230="","",COUNTIF(DESIGNAZIONI!Q$8:Q$1323,$D230))</f>
        <v/>
      </c>
      <c r="O230" s="64">
        <f>IF($D230="","",COUNTIF(DESIGNAZIONI!R$8:R$1323,$D230))</f>
        <v/>
      </c>
    </row>
    <row r="231">
      <c r="C231" s="224" t="n"/>
      <c r="D231" s="13" t="inlineStr">
        <is>
          <t>GALLINI Gaelle</t>
        </is>
      </c>
      <c r="E231" s="220" t="n"/>
      <c r="L231" s="64">
        <f>IF($D231="","",SUM(M231:O231))</f>
        <v/>
      </c>
      <c r="M231" s="64">
        <f>IF($D231="","",COUNTIF(DESIGNAZIONI!P$8:P$1323,$D231))</f>
        <v/>
      </c>
      <c r="N231" s="64">
        <f>IF($D231="","",COUNTIF(DESIGNAZIONI!Q$8:Q$1323,$D231))</f>
        <v/>
      </c>
      <c r="O231" s="64">
        <f>IF($D231="","",COUNTIF(DESIGNAZIONI!R$8:R$1323,$D231))</f>
        <v/>
      </c>
    </row>
    <row r="232">
      <c r="C232" s="224" t="n"/>
      <c r="D232" s="13" t="inlineStr">
        <is>
          <t>ZUPAN Elena</t>
        </is>
      </c>
      <c r="E232" s="220" t="n"/>
      <c r="L232" s="64">
        <f>IF($D232="","",SUM(M232:O232))</f>
        <v/>
      </c>
      <c r="M232" s="64">
        <f>IF($D232="","",COUNTIF(DESIGNAZIONI!P$8:P$1323,$D232))</f>
        <v/>
      </c>
      <c r="N232" s="64">
        <f>IF($D232="","",COUNTIF(DESIGNAZIONI!Q$8:Q$1323,$D232))</f>
        <v/>
      </c>
      <c r="O232" s="64">
        <f>IF($D232="","",COUNTIF(DESIGNAZIONI!R$8:R$1323,$D232))</f>
        <v/>
      </c>
    </row>
    <row r="233">
      <c r="C233" s="224" t="n"/>
      <c r="D233" s="13" t="inlineStr">
        <is>
          <t>FERRANTE Nicola</t>
        </is>
      </c>
      <c r="E233" s="220" t="n"/>
      <c r="L233" s="64">
        <f>IF($D233="","",SUM(M233:O233))</f>
        <v/>
      </c>
      <c r="M233" s="64">
        <f>IF($D233="","",COUNTIF(DESIGNAZIONI!P$8:P$1323,$D233))</f>
        <v/>
      </c>
      <c r="N233" s="64">
        <f>IF($D233="","",COUNTIF(DESIGNAZIONI!Q$8:Q$1323,$D233))</f>
        <v/>
      </c>
      <c r="O233" s="64">
        <f>IF($D233="","",COUNTIF(DESIGNAZIONI!R$8:R$1323,$D233))</f>
        <v/>
      </c>
    </row>
    <row r="234">
      <c r="C234" s="224" t="n"/>
      <c r="D234" s="13" t="inlineStr">
        <is>
          <t>GALLINI Irene</t>
        </is>
      </c>
      <c r="E234" s="220" t="n"/>
      <c r="L234" s="64">
        <f>IF($D234="","",SUM(M234:O234))</f>
        <v/>
      </c>
      <c r="M234" s="64">
        <f>IF($D234="","",COUNTIF(DESIGNAZIONI!P$8:P$1323,$D234))</f>
        <v/>
      </c>
      <c r="N234" s="64">
        <f>IF($D234="","",COUNTIF(DESIGNAZIONI!Q$8:Q$1323,$D234))</f>
        <v/>
      </c>
      <c r="O234" s="64">
        <f>IF($D234="","",COUNTIF(DESIGNAZIONI!R$8:R$1323,$D234))</f>
        <v/>
      </c>
    </row>
    <row r="235">
      <c r="C235" s="224" t="n"/>
      <c r="D235" s="13" t="inlineStr">
        <is>
          <t>ROMERO Elena</t>
        </is>
      </c>
      <c r="E235" s="220" t="n"/>
      <c r="L235" s="64">
        <f>IF($D235="","",SUM(M235:O235))</f>
        <v/>
      </c>
      <c r="M235" s="64">
        <f>IF($D235="","",COUNTIF(DESIGNAZIONI!P$8:P$1323,$D235))</f>
        <v/>
      </c>
      <c r="N235" s="64">
        <f>IF($D235="","",COUNTIF(DESIGNAZIONI!Q$8:Q$1323,$D235))</f>
        <v/>
      </c>
      <c r="O235" s="64">
        <f>IF($D235="","",COUNTIF(DESIGNAZIONI!R$8:R$1323,$D235))</f>
        <v/>
      </c>
    </row>
    <row r="236">
      <c r="C236" s="224" t="n"/>
      <c r="D236" s="13" t="inlineStr">
        <is>
          <t>BLANCO Irene</t>
        </is>
      </c>
      <c r="E236" s="220" t="n"/>
      <c r="L236" s="64">
        <f>IF($D236="","",SUM(M236:O236))</f>
        <v/>
      </c>
      <c r="M236" s="64">
        <f>IF($D236="","",COUNTIF(DESIGNAZIONI!P$8:P$1323,$D236))</f>
        <v/>
      </c>
      <c r="N236" s="64">
        <f>IF($D236="","",COUNTIF(DESIGNAZIONI!Q$8:Q$1323,$D236))</f>
        <v/>
      </c>
      <c r="O236" s="64">
        <f>IF($D236="","",COUNTIF(DESIGNAZIONI!R$8:R$1323,$D236))</f>
        <v/>
      </c>
    </row>
    <row r="237">
      <c r="C237" s="224" t="n"/>
      <c r="D237" s="13" t="inlineStr">
        <is>
          <t>MARCHIONI Nicola</t>
        </is>
      </c>
      <c r="E237" s="220" t="n"/>
      <c r="L237" s="64">
        <f>IF($D237="","",SUM(M237:O237))</f>
        <v/>
      </c>
      <c r="M237" s="64">
        <f>IF($D237="","",COUNTIF(DESIGNAZIONI!P$8:P$1323,$D237))</f>
        <v/>
      </c>
      <c r="N237" s="64">
        <f>IF($D237="","",COUNTIF(DESIGNAZIONI!Q$8:Q$1323,$D237))</f>
        <v/>
      </c>
      <c r="O237" s="64">
        <f>IF($D237="","",COUNTIF(DESIGNAZIONI!R$8:R$1323,$D237))</f>
        <v/>
      </c>
    </row>
    <row r="238">
      <c r="C238" s="224" t="n"/>
      <c r="D238" s="13" t="inlineStr">
        <is>
          <t>BELLANDI Hugo</t>
        </is>
      </c>
      <c r="E238" s="220" t="n"/>
      <c r="L238" s="64">
        <f>IF($D238="","",SUM(M238:O238))</f>
        <v/>
      </c>
      <c r="M238" s="64">
        <f>IF($D238="","",COUNTIF(DESIGNAZIONI!P$8:P$1323,$D238))</f>
        <v/>
      </c>
      <c r="N238" s="64">
        <f>IF($D238="","",COUNTIF(DESIGNAZIONI!Q$8:Q$1323,$D238))</f>
        <v/>
      </c>
      <c r="O238" s="64">
        <f>IF($D238="","",COUNTIF(DESIGNAZIONI!R$8:R$1323,$D238))</f>
        <v/>
      </c>
    </row>
    <row r="239">
      <c r="C239" s="224" t="n"/>
      <c r="D239" s="13" t="inlineStr">
        <is>
          <t>KOVAC Martina</t>
        </is>
      </c>
      <c r="E239" s="220" t="n"/>
      <c r="L239" s="64">
        <f>IF($D239="","",SUM(M239:O239))</f>
        <v/>
      </c>
      <c r="M239" s="64">
        <f>IF($D239="","",COUNTIF(DESIGNAZIONI!P$8:P$1323,$D239))</f>
        <v/>
      </c>
      <c r="N239" s="64">
        <f>IF($D239="","",COUNTIF(DESIGNAZIONI!Q$8:Q$1323,$D239))</f>
        <v/>
      </c>
      <c r="O239" s="64">
        <f>IF($D239="","",COUNTIF(DESIGNAZIONI!R$8:R$1323,$D239))</f>
        <v/>
      </c>
    </row>
    <row r="240">
      <c r="C240" s="224" t="n"/>
      <c r="D240" s="13" t="inlineStr">
        <is>
          <t>KELLER Ottavia</t>
        </is>
      </c>
      <c r="E240" s="220" t="n"/>
      <c r="L240" s="64">
        <f>IF($D240="","",SUM(M240:O240))</f>
        <v/>
      </c>
      <c r="M240" s="64">
        <f>IF($D240="","",COUNTIF(DESIGNAZIONI!P$8:P$1323,$D240))</f>
        <v/>
      </c>
      <c r="N240" s="64">
        <f>IF($D240="","",COUNTIF(DESIGNAZIONI!Q$8:Q$1323,$D240))</f>
        <v/>
      </c>
      <c r="O240" s="64">
        <f>IF($D240="","",COUNTIF(DESIGNAZIONI!R$8:R$1323,$D240))</f>
        <v/>
      </c>
    </row>
    <row r="241">
      <c r="C241" s="224" t="n"/>
      <c r="D241" s="13" t="inlineStr">
        <is>
          <t>KELLER Stefano</t>
        </is>
      </c>
      <c r="E241" s="220" t="n"/>
      <c r="L241" s="64">
        <f>IF($D241="","",SUM(M241:O241))</f>
        <v/>
      </c>
      <c r="M241" s="64">
        <f>IF($D241="","",COUNTIF(DESIGNAZIONI!P$8:P$1323,$D241))</f>
        <v/>
      </c>
      <c r="N241" s="64">
        <f>IF($D241="","",COUNTIF(DESIGNAZIONI!Q$8:Q$1323,$D241))</f>
        <v/>
      </c>
      <c r="O241" s="64">
        <f>IF($D241="","",COUNTIF(DESIGNAZIONI!R$8:R$1323,$D241))</f>
        <v/>
      </c>
    </row>
    <row r="242">
      <c r="C242" s="224" t="n"/>
      <c r="D242" s="13" t="inlineStr">
        <is>
          <t>ORTEGA Filippo</t>
        </is>
      </c>
      <c r="E242" s="220" t="n"/>
      <c r="L242" s="64">
        <f>IF($D242="","",SUM(M242:O242))</f>
        <v/>
      </c>
      <c r="M242" s="64">
        <f>IF($D242="","",COUNTIF(DESIGNAZIONI!P$8:P$1323,$D242))</f>
        <v/>
      </c>
      <c r="N242" s="64">
        <f>IF($D242="","",COUNTIF(DESIGNAZIONI!Q$8:Q$1323,$D242))</f>
        <v/>
      </c>
      <c r="O242" s="64">
        <f>IF($D242="","",COUNTIF(DESIGNAZIONI!R$8:R$1323,$D242))</f>
        <v/>
      </c>
    </row>
    <row r="243">
      <c r="C243" s="224" t="n"/>
      <c r="D243" s="13" t="inlineStr">
        <is>
          <t>FERRANTE Chiara</t>
        </is>
      </c>
      <c r="E243" s="220" t="n"/>
      <c r="L243" s="64">
        <f>IF($D243="","",SUM(M243:O243))</f>
        <v/>
      </c>
      <c r="M243" s="64">
        <f>IF($D243="","",COUNTIF(DESIGNAZIONI!P$8:P$1323,$D243))</f>
        <v/>
      </c>
      <c r="N243" s="64">
        <f>IF($D243="","",COUNTIF(DESIGNAZIONI!Q$8:Q$1323,$D243))</f>
        <v/>
      </c>
      <c r="O243" s="64">
        <f>IF($D243="","",COUNTIF(DESIGNAZIONI!R$8:R$1323,$D243))</f>
        <v/>
      </c>
    </row>
    <row r="244">
      <c r="C244" s="224" t="n"/>
      <c r="D244" s="13" t="inlineStr">
        <is>
          <t>GAUTHIER Davide</t>
        </is>
      </c>
      <c r="E244" s="220" t="n"/>
      <c r="L244" s="64">
        <f>IF($D244="","",SUM(M244:O244))</f>
        <v/>
      </c>
      <c r="M244" s="64">
        <f>IF($D244="","",COUNTIF(DESIGNAZIONI!P$8:P$1323,$D244))</f>
        <v/>
      </c>
      <c r="N244" s="64">
        <f>IF($D244="","",COUNTIF(DESIGNAZIONI!Q$8:Q$1323,$D244))</f>
        <v/>
      </c>
      <c r="O244" s="64">
        <f>IF($D244="","",COUNTIF(DESIGNAZIONI!R$8:R$1323,$D244))</f>
        <v/>
      </c>
    </row>
    <row r="245">
      <c r="C245" s="224" t="n"/>
      <c r="D245" s="13" t="inlineStr">
        <is>
          <t>PRADO Hugo</t>
        </is>
      </c>
      <c r="E245" s="220" t="n"/>
      <c r="L245" s="64">
        <f>IF($D245="","",SUM(M245:O245))</f>
        <v/>
      </c>
      <c r="M245" s="64">
        <f>IF($D245="","",COUNTIF(DESIGNAZIONI!P$8:P$1323,$D245))</f>
        <v/>
      </c>
      <c r="N245" s="64">
        <f>IF($D245="","",COUNTIF(DESIGNAZIONI!Q$8:Q$1323,$D245))</f>
        <v/>
      </c>
      <c r="O245" s="64">
        <f>IF($D245="","",COUNTIF(DESIGNAZIONI!R$8:R$1323,$D245))</f>
        <v/>
      </c>
    </row>
    <row r="246">
      <c r="C246" s="224" t="n"/>
      <c r="D246" s="13" t="inlineStr">
        <is>
          <t>VOGEL Davide</t>
        </is>
      </c>
      <c r="E246" s="220" t="n"/>
      <c r="L246" s="64">
        <f>IF($D246="","",SUM(M246:O246))</f>
        <v/>
      </c>
      <c r="M246" s="64">
        <f>IF($D246="","",COUNTIF(DESIGNAZIONI!P$8:P$1323,$D246))</f>
        <v/>
      </c>
      <c r="N246" s="64">
        <f>IF($D246="","",COUNTIF(DESIGNAZIONI!Q$8:Q$1323,$D246))</f>
        <v/>
      </c>
      <c r="O246" s="64">
        <f>IF($D246="","",COUNTIF(DESIGNAZIONI!R$8:R$1323,$D246))</f>
        <v/>
      </c>
    </row>
    <row r="247">
      <c r="C247" s="224" t="n"/>
      <c r="D247" s="13" t="inlineStr">
        <is>
          <t>MORETTO Anja</t>
        </is>
      </c>
      <c r="E247" s="220" t="n"/>
      <c r="L247" s="64">
        <f>IF($D247="","",SUM(M247:O247))</f>
        <v/>
      </c>
      <c r="M247" s="64">
        <f>IF($D247="","",COUNTIF(DESIGNAZIONI!P$8:P$1323,$D247))</f>
        <v/>
      </c>
      <c r="N247" s="64">
        <f>IF($D247="","",COUNTIF(DESIGNAZIONI!Q$8:Q$1323,$D247))</f>
        <v/>
      </c>
      <c r="O247" s="64">
        <f>IF($D247="","",COUNTIF(DESIGNAZIONI!R$8:R$1323,$D247))</f>
        <v/>
      </c>
    </row>
    <row r="248">
      <c r="C248" s="224" t="n"/>
      <c r="D248" s="13" t="inlineStr">
        <is>
          <t>BRANDT Paolo</t>
        </is>
      </c>
      <c r="E248" s="220" t="n"/>
      <c r="L248" s="64">
        <f>IF($D248="","",SUM(M248:O248))</f>
        <v/>
      </c>
      <c r="M248" s="64">
        <f>IF($D248="","",COUNTIF(DESIGNAZIONI!P$8:P$1323,$D248))</f>
        <v/>
      </c>
      <c r="N248" s="64">
        <f>IF($D248="","",COUNTIF(DESIGNAZIONI!Q$8:Q$1323,$D248))</f>
        <v/>
      </c>
      <c r="O248" s="64">
        <f>IF($D248="","",COUNTIF(DESIGNAZIONI!R$8:R$1323,$D248))</f>
        <v/>
      </c>
    </row>
    <row r="249">
      <c r="C249" s="224" t="n"/>
      <c r="D249" s="13" t="inlineStr">
        <is>
          <t>FERRANTE Hugo</t>
        </is>
      </c>
      <c r="E249" s="220" t="n"/>
      <c r="L249" s="64">
        <f>IF($D249="","",SUM(M249:O249))</f>
        <v/>
      </c>
      <c r="M249" s="64">
        <f>IF($D249="","",COUNTIF(DESIGNAZIONI!P$8:P$1323,$D249))</f>
        <v/>
      </c>
      <c r="N249" s="64">
        <f>IF($D249="","",COUNTIF(DESIGNAZIONI!Q$8:Q$1323,$D249))</f>
        <v/>
      </c>
      <c r="O249" s="64">
        <f>IF($D249="","",COUNTIF(DESIGNAZIONI!R$8:R$1323,$D249))</f>
        <v/>
      </c>
    </row>
    <row r="250">
      <c r="C250" s="224" t="n"/>
      <c r="D250" s="13" t="inlineStr">
        <is>
          <t>ZUPAN Luca</t>
        </is>
      </c>
      <c r="E250" s="220" t="n"/>
      <c r="L250" s="64">
        <f>IF($D250="","",SUM(M250:O250))</f>
        <v/>
      </c>
      <c r="M250" s="64">
        <f>IF($D250="","",COUNTIF(DESIGNAZIONI!P$8:P$1323,$D250))</f>
        <v/>
      </c>
      <c r="N250" s="64">
        <f>IF($D250="","",COUNTIF(DESIGNAZIONI!Q$8:Q$1323,$D250))</f>
        <v/>
      </c>
      <c r="O250" s="64">
        <f>IF($D250="","",COUNTIF(DESIGNAZIONI!R$8:R$1323,$D250))</f>
        <v/>
      </c>
    </row>
    <row r="251">
      <c r="C251" s="224" t="n"/>
      <c r="D251" s="13" t="inlineStr">
        <is>
          <t>KRUGER Marco</t>
        </is>
      </c>
      <c r="E251" s="220" t="n"/>
      <c r="L251" s="64">
        <f>IF($D251="","",SUM(M251:O251))</f>
        <v/>
      </c>
      <c r="M251" s="64">
        <f>IF($D251="","",COUNTIF(DESIGNAZIONI!P$8:P$1323,$D251))</f>
        <v/>
      </c>
      <c r="N251" s="64">
        <f>IF($D251="","",COUNTIF(DESIGNAZIONI!Q$8:Q$1323,$D251))</f>
        <v/>
      </c>
      <c r="O251" s="64">
        <f>IF($D251="","",COUNTIF(DESIGNAZIONI!R$8:R$1323,$D251))</f>
        <v/>
      </c>
    </row>
    <row r="252">
      <c r="C252" s="224" t="n"/>
      <c r="D252" s="13" t="inlineStr">
        <is>
          <t>NOVAK Ilaria</t>
        </is>
      </c>
      <c r="E252" s="220" t="n"/>
      <c r="L252" s="64">
        <f>IF($D252="","",SUM(M252:O252))</f>
        <v/>
      </c>
      <c r="M252" s="64">
        <f>IF($D252="","",COUNTIF(DESIGNAZIONI!P$8:P$1323,$D252))</f>
        <v/>
      </c>
      <c r="N252" s="64">
        <f>IF($D252="","",COUNTIF(DESIGNAZIONI!Q$8:Q$1323,$D252))</f>
        <v/>
      </c>
      <c r="O252" s="64">
        <f>IF($D252="","",COUNTIF(DESIGNAZIONI!R$8:R$1323,$D252))</f>
        <v/>
      </c>
    </row>
    <row r="253">
      <c r="C253" s="224" t="n"/>
      <c r="D253" s="13" t="inlineStr">
        <is>
          <t>MOREAU Vid</t>
        </is>
      </c>
      <c r="E253" s="220" t="n"/>
      <c r="L253" s="64">
        <f>IF($D253="","",SUM(M253:O253))</f>
        <v/>
      </c>
      <c r="M253" s="64">
        <f>IF($D253="","",COUNTIF(DESIGNAZIONI!P$8:P$1323,$D253))</f>
        <v/>
      </c>
      <c r="N253" s="64">
        <f>IF($D253="","",COUNTIF(DESIGNAZIONI!Q$8:Q$1323,$D253))</f>
        <v/>
      </c>
      <c r="O253" s="64">
        <f>IF($D253="","",COUNTIF(DESIGNAZIONI!R$8:R$1323,$D253))</f>
        <v/>
      </c>
    </row>
    <row r="254">
      <c r="C254" s="224" t="n"/>
      <c r="D254" s="13" t="inlineStr">
        <is>
          <t>SANTORI Filippo</t>
        </is>
      </c>
      <c r="E254" s="220" t="n"/>
      <c r="L254" s="64">
        <f>IF($D254="","",SUM(M254:O254))</f>
        <v/>
      </c>
      <c r="M254" s="64">
        <f>IF($D254="","",COUNTIF(DESIGNAZIONI!P$8:P$1323,$D254))</f>
        <v/>
      </c>
      <c r="N254" s="64">
        <f>IF($D254="","",COUNTIF(DESIGNAZIONI!Q$8:Q$1323,$D254))</f>
        <v/>
      </c>
      <c r="O254" s="64">
        <f>IF($D254="","",COUNTIF(DESIGNAZIONI!R$8:R$1323,$D254))</f>
        <v/>
      </c>
    </row>
    <row r="255">
      <c r="C255" s="224" t="n"/>
      <c r="D255" s="13" t="inlineStr">
        <is>
          <t>CONTARDI Felix</t>
        </is>
      </c>
      <c r="E255" s="220" t="n"/>
      <c r="L255" s="64">
        <f>IF($D255="","",SUM(M255:O255))</f>
        <v/>
      </c>
      <c r="M255" s="64">
        <f>IF($D255="","",COUNTIF(DESIGNAZIONI!P$8:P$1323,$D255))</f>
        <v/>
      </c>
      <c r="N255" s="64">
        <f>IF($D255="","",COUNTIF(DESIGNAZIONI!Q$8:Q$1323,$D255))</f>
        <v/>
      </c>
      <c r="O255" s="64">
        <f>IF($D255="","",COUNTIF(DESIGNAZIONI!R$8:R$1323,$D255))</f>
        <v/>
      </c>
    </row>
    <row r="256">
      <c r="C256" s="224" t="n"/>
      <c r="D256" s="13" t="inlineStr">
        <is>
          <t>KELLER Jonas</t>
        </is>
      </c>
      <c r="E256" s="220" t="n"/>
      <c r="L256" s="64">
        <f>IF($D256="","",SUM(M256:O256))</f>
        <v/>
      </c>
      <c r="M256" s="64">
        <f>IF($D256="","",COUNTIF(DESIGNAZIONI!P$8:P$1323,$D256))</f>
        <v/>
      </c>
      <c r="N256" s="64">
        <f>IF($D256="","",COUNTIF(DESIGNAZIONI!Q$8:Q$1323,$D256))</f>
        <v/>
      </c>
      <c r="O256" s="64">
        <f>IF($D256="","",COUNTIF(DESIGNAZIONI!R$8:R$1323,$D256))</f>
        <v/>
      </c>
    </row>
    <row r="257">
      <c r="C257" s="224" t="n"/>
      <c r="D257" s="13" t="inlineStr">
        <is>
          <t>ROTH Andrea</t>
        </is>
      </c>
      <c r="E257" s="220" t="n"/>
      <c r="L257" s="64">
        <f>IF($D257="","",SUM(M257:O257))</f>
        <v/>
      </c>
      <c r="M257" s="64">
        <f>IF($D257="","",COUNTIF(DESIGNAZIONI!P$8:P$1323,$D257))</f>
        <v/>
      </c>
      <c r="N257" s="64">
        <f>IF($D257="","",COUNTIF(DESIGNAZIONI!Q$8:Q$1323,$D257))</f>
        <v/>
      </c>
      <c r="O257" s="64">
        <f>IF($D257="","",COUNTIF(DESIGNAZIONI!R$8:R$1323,$D257))</f>
        <v/>
      </c>
    </row>
    <row r="258">
      <c r="C258" s="224" t="n"/>
      <c r="D258" s="13" t="inlineStr">
        <is>
          <t>CONTARDI Valerie</t>
        </is>
      </c>
      <c r="E258" s="220" t="n"/>
      <c r="L258" s="64">
        <f>IF($D258="","",SUM(M258:O258))</f>
        <v/>
      </c>
      <c r="M258" s="64">
        <f>IF($D258="","",COUNTIF(DESIGNAZIONI!P$8:P$1323,$D258))</f>
        <v/>
      </c>
      <c r="N258" s="64">
        <f>IF($D258="","",COUNTIF(DESIGNAZIONI!Q$8:Q$1323,$D258))</f>
        <v/>
      </c>
      <c r="O258" s="64">
        <f>IF($D258="","",COUNTIF(DESIGNAZIONI!R$8:R$1323,$D258))</f>
        <v/>
      </c>
    </row>
    <row r="259">
      <c r="C259" s="224" t="n"/>
      <c r="D259" s="13" t="inlineStr">
        <is>
          <t>SANTORI Pablo</t>
        </is>
      </c>
      <c r="E259" s="220" t="n"/>
      <c r="L259" s="64">
        <f>IF($D259="","",SUM(M259:O259))</f>
        <v/>
      </c>
      <c r="M259" s="64">
        <f>IF($D259="","",COUNTIF(DESIGNAZIONI!P$8:P$1323,$D259))</f>
        <v/>
      </c>
      <c r="N259" s="64">
        <f>IF($D259="","",COUNTIF(DESIGNAZIONI!Q$8:Q$1323,$D259))</f>
        <v/>
      </c>
      <c r="O259" s="64">
        <f>IF($D259="","",COUNTIF(DESIGNAZIONI!R$8:R$1323,$D259))</f>
        <v/>
      </c>
    </row>
    <row r="260">
      <c r="C260" s="224" t="n"/>
      <c r="D260" s="13" t="inlineStr">
        <is>
          <t>MARCHIONI Mathilde</t>
        </is>
      </c>
      <c r="E260" s="220" t="n"/>
      <c r="L260" s="64">
        <f>IF($D260="","",SUM(M260:O260))</f>
        <v/>
      </c>
      <c r="M260" s="64">
        <f>IF($D260="","",COUNTIF(DESIGNAZIONI!P$8:P$1323,$D260))</f>
        <v/>
      </c>
      <c r="N260" s="64">
        <f>IF($D260="","",COUNTIF(DESIGNAZIONI!Q$8:Q$1323,$D260))</f>
        <v/>
      </c>
      <c r="O260" s="64">
        <f>IF($D260="","",COUNTIF(DESIGNAZIONI!R$8:R$1323,$D260))</f>
        <v/>
      </c>
    </row>
    <row r="261">
      <c r="C261" s="224" t="n"/>
      <c r="D261" s="13" t="inlineStr">
        <is>
          <t>IGLESIAS Eva</t>
        </is>
      </c>
      <c r="E261" s="220" t="n"/>
      <c r="L261" s="64">
        <f>IF($D261="","",SUM(M261:O261))</f>
        <v/>
      </c>
      <c r="M261" s="64">
        <f>IF($D261="","",COUNTIF(DESIGNAZIONI!P$8:P$1323,$D261))</f>
        <v/>
      </c>
      <c r="N261" s="64">
        <f>IF($D261="","",COUNTIF(DESIGNAZIONI!Q$8:Q$1323,$D261))</f>
        <v/>
      </c>
      <c r="O261" s="64">
        <f>IF($D261="","",COUNTIF(DESIGNAZIONI!R$8:R$1323,$D261))</f>
        <v/>
      </c>
    </row>
    <row r="262">
      <c r="C262" s="224" t="n"/>
      <c r="D262" s="13" t="inlineStr">
        <is>
          <t>ENGEL Ottavia</t>
        </is>
      </c>
      <c r="E262" s="220" t="n"/>
      <c r="L262" s="64">
        <f>IF($D262="","",SUM(M262:O262))</f>
        <v/>
      </c>
      <c r="M262" s="64">
        <f>IF($D262="","",COUNTIF(DESIGNAZIONI!P$8:P$1323,$D262))</f>
        <v/>
      </c>
      <c r="N262" s="64">
        <f>IF($D262="","",COUNTIF(DESIGNAZIONI!Q$8:Q$1323,$D262))</f>
        <v/>
      </c>
      <c r="O262" s="64">
        <f>IF($D262="","",COUNTIF(DESIGNAZIONI!R$8:R$1323,$D262))</f>
        <v/>
      </c>
    </row>
    <row r="263">
      <c r="C263" s="224" t="n"/>
      <c r="D263" s="13" t="inlineStr">
        <is>
          <t>CAMPOS Jonas</t>
        </is>
      </c>
      <c r="E263" s="220" t="n"/>
      <c r="L263" s="64">
        <f>IF($D263="","",SUM(M263:O263))</f>
        <v/>
      </c>
      <c r="M263" s="64">
        <f>IF($D263="","",COUNTIF(DESIGNAZIONI!P$8:P$1323,$D263))</f>
        <v/>
      </c>
      <c r="N263" s="64">
        <f>IF($D263="","",COUNTIF(DESIGNAZIONI!Q$8:Q$1323,$D263))</f>
        <v/>
      </c>
      <c r="O263" s="64">
        <f>IF($D263="","",COUNTIF(DESIGNAZIONI!R$8:R$1323,$D263))</f>
        <v/>
      </c>
    </row>
    <row r="264">
      <c r="C264" s="224" t="n"/>
      <c r="D264" s="13" t="inlineStr">
        <is>
          <t>AUBERT Lea</t>
        </is>
      </c>
      <c r="E264" s="220" t="n"/>
      <c r="L264" s="64">
        <f>IF($D264="","",SUM(M264:O264))</f>
        <v/>
      </c>
      <c r="M264" s="64">
        <f>IF($D264="","",COUNTIF(DESIGNAZIONI!P$8:P$1323,$D264))</f>
        <v/>
      </c>
      <c r="N264" s="64">
        <f>IF($D264="","",COUNTIF(DESIGNAZIONI!Q$8:Q$1323,$D264))</f>
        <v/>
      </c>
      <c r="O264" s="64">
        <f>IF($D264="","",COUNTIF(DESIGNAZIONI!R$8:R$1323,$D264))</f>
        <v/>
      </c>
    </row>
    <row r="265">
      <c r="C265" s="224" t="n"/>
      <c r="D265" s="13" t="inlineStr">
        <is>
          <t>BELLANDI Lucia</t>
        </is>
      </c>
      <c r="E265" s="220" t="n"/>
      <c r="L265" s="64">
        <f>IF($D265="","",SUM(M265:O265))</f>
        <v/>
      </c>
      <c r="M265" s="64">
        <f>IF($D265="","",COUNTIF(DESIGNAZIONI!P$8:P$1323,$D265))</f>
        <v/>
      </c>
      <c r="N265" s="64">
        <f>IF($D265="","",COUNTIF(DESIGNAZIONI!Q$8:Q$1323,$D265))</f>
        <v/>
      </c>
      <c r="O265" s="64">
        <f>IF($D265="","",COUNTIF(DESIGNAZIONI!R$8:R$1323,$D265))</f>
        <v/>
      </c>
    </row>
    <row r="266">
      <c r="C266" s="224" t="n"/>
      <c r="D266" s="13" t="inlineStr">
        <is>
          <t>GAUTHIER Sofia</t>
        </is>
      </c>
      <c r="E266" s="220" t="n"/>
      <c r="L266" s="64">
        <f>IF($D266="","",SUM(M266:O266))</f>
        <v/>
      </c>
      <c r="M266" s="64">
        <f>IF($D266="","",COUNTIF(DESIGNAZIONI!P$8:P$1323,$D266))</f>
        <v/>
      </c>
      <c r="N266" s="64">
        <f>IF($D266="","",COUNTIF(DESIGNAZIONI!Q$8:Q$1323,$D266))</f>
        <v/>
      </c>
      <c r="O266" s="64">
        <f>IF($D266="","",COUNTIF(DESIGNAZIONI!R$8:R$1323,$D266))</f>
        <v/>
      </c>
    </row>
    <row r="267">
      <c r="C267" s="224" t="n"/>
      <c r="D267" s="13" t="inlineStr">
        <is>
          <t>BIANCHELLI Mathilde</t>
        </is>
      </c>
      <c r="E267" s="220" t="n"/>
      <c r="L267" s="64">
        <f>IF($D267="","",SUM(M267:O267))</f>
        <v/>
      </c>
      <c r="M267" s="64">
        <f>IF($D267="","",COUNTIF(DESIGNAZIONI!P$8:P$1323,$D267))</f>
        <v/>
      </c>
      <c r="N267" s="64">
        <f>IF($D267="","",COUNTIF(DESIGNAZIONI!Q$8:Q$1323,$D267))</f>
        <v/>
      </c>
      <c r="O267" s="64">
        <f>IF($D267="","",COUNTIF(DESIGNAZIONI!R$8:R$1323,$D267))</f>
        <v/>
      </c>
    </row>
    <row r="268">
      <c r="C268" s="224" t="n"/>
      <c r="D268" s="13" t="inlineStr">
        <is>
          <t>MORETTO Ilaria</t>
        </is>
      </c>
      <c r="E268" s="220" t="n"/>
      <c r="L268" s="64">
        <f>IF($D268="","",SUM(M268:O268))</f>
        <v/>
      </c>
      <c r="M268" s="64">
        <f>IF($D268="","",COUNTIF(DESIGNAZIONI!P$8:P$1323,$D268))</f>
        <v/>
      </c>
      <c r="N268" s="64">
        <f>IF($D268="","",COUNTIF(DESIGNAZIONI!Q$8:Q$1323,$D268))</f>
        <v/>
      </c>
      <c r="O268" s="64">
        <f>IF($D268="","",COUNTIF(DESIGNAZIONI!R$8:R$1323,$D268))</f>
        <v/>
      </c>
    </row>
    <row r="269">
      <c r="C269" s="224" t="n"/>
      <c r="D269" s="13" t="inlineStr">
        <is>
          <t>CASTILLO Elena</t>
        </is>
      </c>
      <c r="E269" s="220" t="n"/>
      <c r="L269" s="64">
        <f>IF($D269="","",SUM(M269:O269))</f>
        <v/>
      </c>
      <c r="M269" s="64">
        <f>IF($D269="","",COUNTIF(DESIGNAZIONI!P$8:P$1323,$D269))</f>
        <v/>
      </c>
      <c r="N269" s="64">
        <f>IF($D269="","",COUNTIF(DESIGNAZIONI!Q$8:Q$1323,$D269))</f>
        <v/>
      </c>
      <c r="O269" s="64">
        <f>IF($D269="","",COUNTIF(DESIGNAZIONI!R$8:R$1323,$D269))</f>
        <v/>
      </c>
    </row>
    <row r="270">
      <c r="C270" s="224" t="n"/>
      <c r="D270" s="13" t="inlineStr">
        <is>
          <t>KRAJNC Stefano</t>
        </is>
      </c>
      <c r="E270" s="220" t="n"/>
      <c r="L270" s="64">
        <f>IF($D270="","",SUM(M270:O270))</f>
        <v/>
      </c>
      <c r="M270" s="64">
        <f>IF($D270="","",COUNTIF(DESIGNAZIONI!P$8:P$1323,$D270))</f>
        <v/>
      </c>
      <c r="N270" s="64">
        <f>IF($D270="","",COUNTIF(DESIGNAZIONI!Q$8:Q$1323,$D270))</f>
        <v/>
      </c>
      <c r="O270" s="64">
        <f>IF($D270="","",COUNTIF(DESIGNAZIONI!R$8:R$1323,$D270))</f>
        <v/>
      </c>
    </row>
    <row r="271">
      <c r="C271" s="224" t="n"/>
      <c r="D271" s="13" t="inlineStr">
        <is>
          <t>CARON Pablo</t>
        </is>
      </c>
      <c r="E271" s="220" t="n"/>
      <c r="L271" s="64">
        <f>IF($D271="","",SUM(M271:O271))</f>
        <v/>
      </c>
      <c r="M271" s="64">
        <f>IF($D271="","",COUNTIF(DESIGNAZIONI!P$8:P$1323,$D271))</f>
        <v/>
      </c>
      <c r="N271" s="64">
        <f>IF($D271="","",COUNTIF(DESIGNAZIONI!Q$8:Q$1323,$D271))</f>
        <v/>
      </c>
      <c r="O271" s="64">
        <f>IF($D271="","",COUNTIF(DESIGNAZIONI!R$8:R$1323,$D271))</f>
        <v/>
      </c>
    </row>
    <row r="272">
      <c r="C272" s="224" t="n"/>
      <c r="D272" s="13" t="inlineStr">
        <is>
          <t>ROSSINI Pablo</t>
        </is>
      </c>
      <c r="E272" s="220" t="n"/>
      <c r="L272" s="64">
        <f>IF($D272="","",SUM(M272:O272))</f>
        <v/>
      </c>
      <c r="M272" s="64">
        <f>IF($D272="","",COUNTIF(DESIGNAZIONI!P$8:P$1323,$D272))</f>
        <v/>
      </c>
      <c r="N272" s="64">
        <f>IF($D272="","",COUNTIF(DESIGNAZIONI!Q$8:Q$1323,$D272))</f>
        <v/>
      </c>
      <c r="O272" s="64">
        <f>IF($D272="","",COUNTIF(DESIGNAZIONI!R$8:R$1323,$D272))</f>
        <v/>
      </c>
    </row>
    <row r="273">
      <c r="C273" s="224" t="n"/>
      <c r="D273" s="13" t="inlineStr">
        <is>
          <t>KOVAC Lea</t>
        </is>
      </c>
      <c r="E273" s="220" t="n"/>
      <c r="L273" s="64">
        <f>IF($D273="","",SUM(M273:O273))</f>
        <v/>
      </c>
      <c r="M273" s="64">
        <f>IF($D273="","",COUNTIF(DESIGNAZIONI!P$8:P$1323,$D273))</f>
        <v/>
      </c>
      <c r="N273" s="64">
        <f>IF($D273="","",COUNTIF(DESIGNAZIONI!Q$8:Q$1323,$D273))</f>
        <v/>
      </c>
      <c r="O273" s="64">
        <f>IF($D273="","",COUNTIF(DESIGNAZIONI!R$8:R$1323,$D273))</f>
        <v/>
      </c>
    </row>
    <row r="274">
      <c r="C274" s="224" t="n"/>
      <c r="D274" s="13" t="inlineStr">
        <is>
          <t>ZUPAN Lucia</t>
        </is>
      </c>
      <c r="E274" s="220" t="n"/>
      <c r="L274" s="64">
        <f>IF($D274="","",SUM(M274:O274))</f>
        <v/>
      </c>
      <c r="M274" s="64">
        <f>IF($D274="","",COUNTIF(DESIGNAZIONI!P$8:P$1323,$D274))</f>
        <v/>
      </c>
      <c r="N274" s="64">
        <f>IF($D274="","",COUNTIF(DESIGNAZIONI!Q$8:Q$1323,$D274))</f>
        <v/>
      </c>
      <c r="O274" s="64">
        <f>IF($D274="","",COUNTIF(DESIGNAZIONI!R$8:R$1323,$D274))</f>
        <v/>
      </c>
    </row>
    <row r="275">
      <c r="C275" s="224" t="n"/>
      <c r="D275" s="13" t="inlineStr">
        <is>
          <t>NOVAK Filippo</t>
        </is>
      </c>
      <c r="E275" s="220" t="n"/>
      <c r="L275" s="64">
        <f>IF($D275="","",SUM(M275:O275))</f>
        <v/>
      </c>
      <c r="M275" s="64">
        <f>IF($D275="","",COUNTIF(DESIGNAZIONI!P$8:P$1323,$D275))</f>
        <v/>
      </c>
      <c r="N275" s="64">
        <f>IF($D275="","",COUNTIF(DESIGNAZIONI!Q$8:Q$1323,$D275))</f>
        <v/>
      </c>
      <c r="O275" s="64">
        <f>IF($D275="","",COUNTIF(DESIGNAZIONI!R$8:R$1323,$D275))</f>
        <v/>
      </c>
    </row>
    <row r="276">
      <c r="C276" s="224" t="n"/>
      <c r="D276" s="13" t="inlineStr">
        <is>
          <t>ROMERO Stefano</t>
        </is>
      </c>
      <c r="E276" s="220" t="n"/>
      <c r="L276" s="64">
        <f>IF($D276="","",SUM(M276:O276))</f>
        <v/>
      </c>
      <c r="M276" s="64">
        <f>IF($D276="","",COUNTIF(DESIGNAZIONI!P$8:P$1323,$D276))</f>
        <v/>
      </c>
      <c r="N276" s="64">
        <f>IF($D276="","",COUNTIF(DESIGNAZIONI!Q$8:Q$1323,$D276))</f>
        <v/>
      </c>
      <c r="O276" s="64">
        <f>IF($D276="","",COUNTIF(DESIGNAZIONI!R$8:R$1323,$D276))</f>
        <v/>
      </c>
    </row>
    <row r="277">
      <c r="C277" s="224" t="n"/>
      <c r="D277" s="13" t="inlineStr">
        <is>
          <t>MORETTO Beatrice</t>
        </is>
      </c>
      <c r="E277" s="220" t="n"/>
      <c r="L277" s="64">
        <f>IF($D277="","",SUM(M277:O277))</f>
        <v/>
      </c>
      <c r="M277" s="64">
        <f>IF($D277="","",COUNTIF(DESIGNAZIONI!P$8:P$1323,$D277))</f>
        <v/>
      </c>
      <c r="N277" s="64">
        <f>IF($D277="","",COUNTIF(DESIGNAZIONI!Q$8:Q$1323,$D277))</f>
        <v/>
      </c>
      <c r="O277" s="64">
        <f>IF($D277="","",COUNTIF(DESIGNAZIONI!R$8:R$1323,$D277))</f>
        <v/>
      </c>
    </row>
    <row r="278">
      <c r="C278" s="224" t="n"/>
      <c r="D278" s="13" t="inlineStr">
        <is>
          <t>ROTH Paula</t>
        </is>
      </c>
      <c r="E278" s="220" t="n"/>
      <c r="L278" s="64">
        <f>IF($D278="","",SUM(M278:O278))</f>
        <v/>
      </c>
      <c r="M278" s="64">
        <f>IF($D278="","",COUNTIF(DESIGNAZIONI!P$8:P$1323,$D278))</f>
        <v/>
      </c>
      <c r="N278" s="64">
        <f>IF($D278="","",COUNTIF(DESIGNAZIONI!Q$8:Q$1323,$D278))</f>
        <v/>
      </c>
      <c r="O278" s="64">
        <f>IF($D278="","",COUNTIF(DESIGNAZIONI!R$8:R$1323,$D278))</f>
        <v/>
      </c>
    </row>
    <row r="279">
      <c r="C279" s="224" t="n"/>
      <c r="D279" s="13" t="inlineStr">
        <is>
          <t>BLANCO Stefano</t>
        </is>
      </c>
      <c r="E279" s="220" t="n"/>
      <c r="L279" s="64">
        <f>IF($D279="","",SUM(M279:O279))</f>
        <v/>
      </c>
      <c r="M279" s="64">
        <f>IF($D279="","",COUNTIF(DESIGNAZIONI!P$8:P$1323,$D279))</f>
        <v/>
      </c>
      <c r="N279" s="64">
        <f>IF($D279="","",COUNTIF(DESIGNAZIONI!Q$8:Q$1323,$D279))</f>
        <v/>
      </c>
      <c r="O279" s="64">
        <f>IF($D279="","",COUNTIF(DESIGNAZIONI!R$8:R$1323,$D279))</f>
        <v/>
      </c>
    </row>
    <row r="280">
      <c r="C280" s="224" t="n"/>
      <c r="D280" s="13" t="inlineStr">
        <is>
          <t>BRANDT Elena</t>
        </is>
      </c>
      <c r="E280" s="220" t="n"/>
      <c r="L280" s="64">
        <f>IF($D280="","",SUM(M280:O280))</f>
        <v/>
      </c>
      <c r="M280" s="64">
        <f>IF($D280="","",COUNTIF(DESIGNAZIONI!P$8:P$1323,$D280))</f>
        <v/>
      </c>
      <c r="N280" s="64">
        <f>IF($D280="","",COUNTIF(DESIGNAZIONI!Q$8:Q$1323,$D280))</f>
        <v/>
      </c>
      <c r="O280" s="64">
        <f>IF($D280="","",COUNTIF(DESIGNAZIONI!R$8:R$1323,$D280))</f>
        <v/>
      </c>
    </row>
    <row r="281">
      <c r="C281" s="224" t="n"/>
      <c r="D281" s="13" t="inlineStr">
        <is>
          <t>HOFFMANN Paolo</t>
        </is>
      </c>
      <c r="E281" s="220" t="n"/>
      <c r="L281" s="64">
        <f>IF($D281="","",SUM(M281:O281))</f>
        <v/>
      </c>
      <c r="M281" s="64">
        <f>IF($D281="","",COUNTIF(DESIGNAZIONI!P$8:P$1323,$D281))</f>
        <v/>
      </c>
      <c r="N281" s="64">
        <f>IF($D281="","",COUNTIF(DESIGNAZIONI!Q$8:Q$1323,$D281))</f>
        <v/>
      </c>
      <c r="O281" s="64">
        <f>IF($D281="","",COUNTIF(DESIGNAZIONI!R$8:R$1323,$D281))</f>
        <v/>
      </c>
    </row>
    <row r="282">
      <c r="C282" s="224" t="n"/>
      <c r="D282" s="13" t="inlineStr">
        <is>
          <t>SEVER Giulia</t>
        </is>
      </c>
      <c r="E282" s="220" t="n"/>
      <c r="L282" s="64">
        <f>IF($D282="","",SUM(M282:O282))</f>
        <v/>
      </c>
      <c r="M282" s="64">
        <f>IF($D282="","",COUNTIF(DESIGNAZIONI!P$8:P$1323,$D282))</f>
        <v/>
      </c>
      <c r="N282" s="64">
        <f>IF($D282="","",COUNTIF(DESIGNAZIONI!Q$8:Q$1323,$D282))</f>
        <v/>
      </c>
      <c r="O282" s="64">
        <f>IF($D282="","",COUNTIF(DESIGNAZIONI!R$8:R$1323,$D282))</f>
        <v/>
      </c>
    </row>
    <row r="283">
      <c r="C283" s="224" t="n"/>
      <c r="D283" s="13" t="inlineStr">
        <is>
          <t>ZUPAN Irene</t>
        </is>
      </c>
      <c r="E283" s="220" t="n"/>
      <c r="L283" s="64">
        <f>IF($D283="","",SUM(M283:O283))</f>
        <v/>
      </c>
      <c r="M283" s="64">
        <f>IF($D283="","",COUNTIF(DESIGNAZIONI!P$8:P$1323,$D283))</f>
        <v/>
      </c>
      <c r="N283" s="64">
        <f>IF($D283="","",COUNTIF(DESIGNAZIONI!Q$8:Q$1323,$D283))</f>
        <v/>
      </c>
      <c r="O283" s="64">
        <f>IF($D283="","",COUNTIF(DESIGNAZIONI!R$8:R$1323,$D283))</f>
        <v/>
      </c>
    </row>
    <row r="284">
      <c r="C284" s="224" t="n"/>
      <c r="D284" s="13" t="inlineStr">
        <is>
          <t>HOFFMANN Matteo</t>
        </is>
      </c>
      <c r="E284" s="220" t="n"/>
      <c r="L284" s="64">
        <f>IF($D284="","",SUM(M284:O284))</f>
        <v/>
      </c>
      <c r="M284" s="64">
        <f>IF($D284="","",COUNTIF(DESIGNAZIONI!P$8:P$1323,$D284))</f>
        <v/>
      </c>
      <c r="N284" s="64">
        <f>IF($D284="","",COUNTIF(DESIGNAZIONI!Q$8:Q$1323,$D284))</f>
        <v/>
      </c>
      <c r="O284" s="64">
        <f>IF($D284="","",COUNTIF(DESIGNAZIONI!R$8:R$1323,$D284))</f>
        <v/>
      </c>
    </row>
    <row r="285">
      <c r="C285" s="224" t="n"/>
      <c r="D285" s="13" t="inlineStr">
        <is>
          <t>SOLER Marta</t>
        </is>
      </c>
      <c r="E285" s="220" t="n"/>
      <c r="L285" s="64">
        <f>IF($D285="","",SUM(M285:O285))</f>
        <v/>
      </c>
      <c r="M285" s="64">
        <f>IF($D285="","",COUNTIF(DESIGNAZIONI!P$8:P$1323,$D285))</f>
        <v/>
      </c>
      <c r="N285" s="64">
        <f>IF($D285="","",COUNTIF(DESIGNAZIONI!Q$8:Q$1323,$D285))</f>
        <v/>
      </c>
      <c r="O285" s="64">
        <f>IF($D285="","",COUNTIF(DESIGNAZIONI!R$8:R$1323,$D285))</f>
        <v/>
      </c>
    </row>
    <row r="286">
      <c r="C286" s="224" t="n"/>
      <c r="D286" s="13" t="inlineStr">
        <is>
          <t>ROMERO Irene</t>
        </is>
      </c>
      <c r="E286" s="220" t="n"/>
      <c r="L286" s="64">
        <f>IF($D286="","",SUM(M286:O286))</f>
        <v/>
      </c>
      <c r="M286" s="64">
        <f>IF($D286="","",COUNTIF(DESIGNAZIONI!P$8:P$1323,$D286))</f>
        <v/>
      </c>
      <c r="N286" s="64">
        <f>IF($D286="","",COUNTIF(DESIGNAZIONI!Q$8:Q$1323,$D286))</f>
        <v/>
      </c>
      <c r="O286" s="64">
        <f>IF($D286="","",COUNTIF(DESIGNAZIONI!R$8:R$1323,$D286))</f>
        <v/>
      </c>
    </row>
    <row r="287">
      <c r="C287" s="224" t="n"/>
      <c r="D287" s="13" t="inlineStr">
        <is>
          <t>MODIC Lucia</t>
        </is>
      </c>
      <c r="E287" s="220" t="n"/>
      <c r="L287" s="64">
        <f>IF($D287="","",SUM(M287:O287))</f>
        <v/>
      </c>
      <c r="M287" s="64">
        <f>IF($D287="","",COUNTIF(DESIGNAZIONI!P$8:P$1323,$D287))</f>
        <v/>
      </c>
      <c r="N287" s="64">
        <f>IF($D287="","",COUNTIF(DESIGNAZIONI!Q$8:Q$1323,$D287))</f>
        <v/>
      </c>
      <c r="O287" s="64">
        <f>IF($D287="","",COUNTIF(DESIGNAZIONI!R$8:R$1323,$D287))</f>
        <v/>
      </c>
    </row>
    <row r="288">
      <c r="C288" s="224" t="n"/>
      <c r="D288" s="13" t="inlineStr">
        <is>
          <t>ROMERO Giulia</t>
        </is>
      </c>
      <c r="E288" s="220" t="n"/>
      <c r="L288" s="64">
        <f>IF($D288="","",SUM(M288:O288))</f>
        <v/>
      </c>
      <c r="M288" s="64">
        <f>IF($D288="","",COUNTIF(DESIGNAZIONI!P$8:P$1323,$D288))</f>
        <v/>
      </c>
      <c r="N288" s="64">
        <f>IF($D288="","",COUNTIF(DESIGNAZIONI!Q$8:Q$1323,$D288))</f>
        <v/>
      </c>
      <c r="O288" s="64">
        <f>IF($D288="","",COUNTIF(DESIGNAZIONI!R$8:R$1323,$D288))</f>
        <v/>
      </c>
    </row>
    <row r="289">
      <c r="C289" s="224" t="n"/>
      <c r="D289" s="13" t="inlineStr">
        <is>
          <t>ROMERO Greta</t>
        </is>
      </c>
      <c r="E289" s="220" t="n"/>
      <c r="L289" s="64">
        <f>IF($D289="","",SUM(M289:O289))</f>
        <v/>
      </c>
      <c r="M289" s="64">
        <f>IF($D289="","",COUNTIF(DESIGNAZIONI!P$8:P$1323,$D289))</f>
        <v/>
      </c>
      <c r="N289" s="64">
        <f>IF($D289="","",COUNTIF(DESIGNAZIONI!Q$8:Q$1323,$D289))</f>
        <v/>
      </c>
      <c r="O289" s="64">
        <f>IF($D289="","",COUNTIF(DESIGNAZIONI!R$8:R$1323,$D289))</f>
        <v/>
      </c>
    </row>
    <row r="290">
      <c r="C290" s="224" t="n"/>
      <c r="D290" s="13" t="inlineStr">
        <is>
          <t>LEFEVRE Alenka</t>
        </is>
      </c>
      <c r="E290" s="220" t="n"/>
      <c r="L290" s="64">
        <f>IF($D290="","",SUM(M290:O290))</f>
        <v/>
      </c>
      <c r="M290" s="64">
        <f>IF($D290="","",COUNTIF(DESIGNAZIONI!P$8:P$1323,$D290))</f>
        <v/>
      </c>
      <c r="N290" s="64">
        <f>IF($D290="","",COUNTIF(DESIGNAZIONI!Q$8:Q$1323,$D290))</f>
        <v/>
      </c>
      <c r="O290" s="64">
        <f>IF($D290="","",COUNTIF(DESIGNAZIONI!R$8:R$1323,$D290))</f>
        <v/>
      </c>
    </row>
    <row r="291">
      <c r="C291" s="224" t="n"/>
      <c r="D291" s="13" t="inlineStr">
        <is>
          <t>ORTEGA Andrea</t>
        </is>
      </c>
      <c r="E291" s="220" t="n"/>
      <c r="L291" s="64">
        <f>IF($D291="","",SUM(M291:O291))</f>
        <v/>
      </c>
      <c r="M291" s="64">
        <f>IF($D291="","",COUNTIF(DESIGNAZIONI!P$8:P$1323,$D291))</f>
        <v/>
      </c>
      <c r="N291" s="64">
        <f>IF($D291="","",COUNTIF(DESIGNAZIONI!Q$8:Q$1323,$D291))</f>
        <v/>
      </c>
      <c r="O291" s="64">
        <f>IF($D291="","",COUNTIF(DESIGNAZIONI!R$8:R$1323,$D291))</f>
        <v/>
      </c>
    </row>
    <row r="292">
      <c r="C292" s="224" t="n"/>
      <c r="D292" s="13" t="inlineStr">
        <is>
          <t>IGLESIAS Irene</t>
        </is>
      </c>
      <c r="E292" s="220" t="n"/>
      <c r="L292" s="64">
        <f>IF($D292="","",SUM(M292:O292))</f>
        <v/>
      </c>
      <c r="M292" s="64">
        <f>IF($D292="","",COUNTIF(DESIGNAZIONI!P$8:P$1323,$D292))</f>
        <v/>
      </c>
      <c r="N292" s="64">
        <f>IF($D292="","",COUNTIF(DESIGNAZIONI!Q$8:Q$1323,$D292))</f>
        <v/>
      </c>
      <c r="O292" s="64">
        <f>IF($D292="","",COUNTIF(DESIGNAZIONI!R$8:R$1323,$D292))</f>
        <v/>
      </c>
    </row>
    <row r="293">
      <c r="C293" s="224" t="n"/>
      <c r="D293" s="13" t="inlineStr">
        <is>
          <t>WEBER Filippo</t>
        </is>
      </c>
      <c r="E293" s="220" t="n"/>
      <c r="L293" s="64">
        <f>IF($D293="","",SUM(M293:O293))</f>
        <v/>
      </c>
      <c r="M293" s="64">
        <f>IF($D293="","",COUNTIF(DESIGNAZIONI!P$8:P$1323,$D293))</f>
        <v/>
      </c>
      <c r="N293" s="64">
        <f>IF($D293="","",COUNTIF(DESIGNAZIONI!Q$8:Q$1323,$D293))</f>
        <v/>
      </c>
      <c r="O293" s="64">
        <f>IF($D293="","",COUNTIF(DESIGNAZIONI!R$8:R$1323,$D293))</f>
        <v/>
      </c>
    </row>
    <row r="294">
      <c r="C294" s="224" t="n"/>
      <c r="D294" s="13" t="inlineStr">
        <is>
          <t>MORETTO Noemi</t>
        </is>
      </c>
      <c r="E294" s="220" t="n"/>
      <c r="L294" s="64">
        <f>IF($D294="","",SUM(M294:O294))</f>
        <v/>
      </c>
      <c r="M294" s="64">
        <f>IF($D294="","",COUNTIF(DESIGNAZIONI!P$8:P$1323,$D294))</f>
        <v/>
      </c>
      <c r="N294" s="64">
        <f>IF($D294="","",COUNTIF(DESIGNAZIONI!Q$8:Q$1323,$D294))</f>
        <v/>
      </c>
      <c r="O294" s="64">
        <f>IF($D294="","",COUNTIF(DESIGNAZIONI!R$8:R$1323,$D294))</f>
        <v/>
      </c>
    </row>
    <row r="295">
      <c r="C295" s="224" t="n"/>
      <c r="D295" s="13" t="inlineStr">
        <is>
          <t>KOVAC Chiara</t>
        </is>
      </c>
      <c r="E295" s="220" t="n"/>
      <c r="L295" s="64">
        <f>IF($D295="","",SUM(M295:O295))</f>
        <v/>
      </c>
      <c r="M295" s="64">
        <f>IF($D295="","",COUNTIF(DESIGNAZIONI!P$8:P$1323,$D295))</f>
        <v/>
      </c>
      <c r="N295" s="64">
        <f>IF($D295="","",COUNTIF(DESIGNAZIONI!Q$8:Q$1323,$D295))</f>
        <v/>
      </c>
      <c r="O295" s="64">
        <f>IF($D295="","",COUNTIF(DESIGNAZIONI!R$8:R$1323,$D295))</f>
        <v/>
      </c>
    </row>
    <row r="296">
      <c r="C296" s="224" t="n"/>
      <c r="D296" s="13" t="inlineStr">
        <is>
          <t>HORVAT Pablo</t>
        </is>
      </c>
      <c r="E296" s="220" t="n"/>
      <c r="L296" s="64">
        <f>IF($D296="","",SUM(M296:O296))</f>
        <v/>
      </c>
      <c r="M296" s="64">
        <f>IF($D296="","",COUNTIF(DESIGNAZIONI!P$8:P$1323,$D296))</f>
        <v/>
      </c>
      <c r="N296" s="64">
        <f>IF($D296="","",COUNTIF(DESIGNAZIONI!Q$8:Q$1323,$D296))</f>
        <v/>
      </c>
      <c r="O296" s="64">
        <f>IF($D296="","",COUNTIF(DESIGNAZIONI!R$8:R$1323,$D296))</f>
        <v/>
      </c>
    </row>
    <row r="297">
      <c r="C297" s="224" t="n"/>
      <c r="D297" s="13" t="inlineStr">
        <is>
          <t>PRADO Marco</t>
        </is>
      </c>
      <c r="E297" s="220" t="n"/>
      <c r="L297" s="64">
        <f>IF($D297="","",SUM(M297:O297))</f>
        <v/>
      </c>
      <c r="M297" s="64">
        <f>IF($D297="","",COUNTIF(DESIGNAZIONI!P$8:P$1323,$D297))</f>
        <v/>
      </c>
      <c r="N297" s="64">
        <f>IF($D297="","",COUNTIF(DESIGNAZIONI!Q$8:Q$1323,$D297))</f>
        <v/>
      </c>
      <c r="O297" s="64">
        <f>IF($D297="","",COUNTIF(DESIGNAZIONI!R$8:R$1323,$D297))</f>
        <v/>
      </c>
    </row>
    <row r="298">
      <c r="C298" s="224" t="n"/>
      <c r="D298" s="13" t="inlineStr">
        <is>
          <t>ROSSINI Sofia</t>
        </is>
      </c>
      <c r="E298" s="220" t="n"/>
      <c r="L298" s="64">
        <f>IF($D298="","",SUM(M298:O298))</f>
        <v/>
      </c>
      <c r="M298" s="64">
        <f>IF($D298="","",COUNTIF(DESIGNAZIONI!P$8:P$1323,$D298))</f>
        <v/>
      </c>
      <c r="N298" s="64">
        <f>IF($D298="","",COUNTIF(DESIGNAZIONI!Q$8:Q$1323,$D298))</f>
        <v/>
      </c>
      <c r="O298" s="64">
        <f>IF($D298="","",COUNTIF(DESIGNAZIONI!R$8:R$1323,$D298))</f>
        <v/>
      </c>
    </row>
    <row r="299">
      <c r="C299" s="224" t="n"/>
      <c r="D299" s="13" t="inlineStr">
        <is>
          <t>GAUTHIER Irene</t>
        </is>
      </c>
      <c r="E299" s="220" t="n"/>
      <c r="L299" s="64">
        <f>IF($D299="","",SUM(M299:O299))</f>
        <v/>
      </c>
      <c r="M299" s="64">
        <f>IF($D299="","",COUNTIF(DESIGNAZIONI!P$8:P$1323,$D299))</f>
        <v/>
      </c>
      <c r="N299" s="64">
        <f>IF($D299="","",COUNTIF(DESIGNAZIONI!Q$8:Q$1323,$D299))</f>
        <v/>
      </c>
      <c r="O299" s="64">
        <f>IF($D299="","",COUNTIF(DESIGNAZIONI!R$8:R$1323,$D299))</f>
        <v/>
      </c>
    </row>
    <row r="300">
      <c r="C300" s="224" t="n"/>
      <c r="D300" s="13" t="inlineStr">
        <is>
          <t>MORETTO Jonas</t>
        </is>
      </c>
      <c r="E300" s="220" t="n"/>
      <c r="L300" s="64">
        <f>IF($D300="","",SUM(M300:O300))</f>
        <v/>
      </c>
      <c r="M300" s="64">
        <f>IF($D300="","",COUNTIF(DESIGNAZIONI!P$8:P$1323,$D300))</f>
        <v/>
      </c>
      <c r="N300" s="64">
        <f>IF($D300="","",COUNTIF(DESIGNAZIONI!Q$8:Q$1323,$D300))</f>
        <v/>
      </c>
      <c r="O300" s="64">
        <f>IF($D300="","",COUNTIF(DESIGNAZIONI!R$8:R$1323,$D300))</f>
        <v/>
      </c>
    </row>
    <row r="301">
      <c r="C301" s="224" t="n"/>
      <c r="D301" s="13" t="inlineStr">
        <is>
          <t>KRUGER Mathilde</t>
        </is>
      </c>
      <c r="E301" s="220" t="n"/>
      <c r="L301" s="64">
        <f>IF($D301="","",SUM(M301:O301))</f>
        <v/>
      </c>
      <c r="M301" s="64">
        <f>IF($D301="","",COUNTIF(DESIGNAZIONI!P$8:P$1323,$D301))</f>
        <v/>
      </c>
      <c r="N301" s="64">
        <f>IF($D301="","",COUNTIF(DESIGNAZIONI!Q$8:Q$1323,$D301))</f>
        <v/>
      </c>
      <c r="O301" s="64">
        <f>IF($D301="","",COUNTIF(DESIGNAZIONI!R$8:R$1323,$D301))</f>
        <v/>
      </c>
    </row>
    <row r="302">
      <c r="C302" s="224" t="n"/>
      <c r="D302" s="13" t="inlineStr">
        <is>
          <t>MARCHIONI Gaelle</t>
        </is>
      </c>
      <c r="E302" s="220" t="n"/>
      <c r="L302" s="64">
        <f>IF($D302="","",SUM(M302:O302))</f>
        <v/>
      </c>
      <c r="M302" s="64">
        <f>IF($D302="","",COUNTIF(DESIGNAZIONI!P$8:P$1323,$D302))</f>
        <v/>
      </c>
      <c r="N302" s="64">
        <f>IF($D302="","",COUNTIF(DESIGNAZIONI!Q$8:Q$1323,$D302))</f>
        <v/>
      </c>
      <c r="O302" s="64">
        <f>IF($D302="","",COUNTIF(DESIGNAZIONI!R$8:R$1323,$D302))</f>
        <v/>
      </c>
    </row>
    <row r="303">
      <c r="C303" s="224" t="n"/>
      <c r="D303" s="13" t="inlineStr">
        <is>
          <t>ROTH Katrin</t>
        </is>
      </c>
      <c r="E303" s="220" t="n"/>
      <c r="L303" s="64">
        <f>IF($D303="","",SUM(M303:O303))</f>
        <v/>
      </c>
      <c r="M303" s="64">
        <f>IF($D303="","",COUNTIF(DESIGNAZIONI!P$8:P$1323,$D303))</f>
        <v/>
      </c>
      <c r="N303" s="64">
        <f>IF($D303="","",COUNTIF(DESIGNAZIONI!Q$8:Q$1323,$D303))</f>
        <v/>
      </c>
      <c r="O303" s="64">
        <f>IF($D303="","",COUNTIF(DESIGNAZIONI!R$8:R$1323,$D303))</f>
        <v/>
      </c>
    </row>
    <row r="304">
      <c r="C304" s="224" t="n"/>
      <c r="D304" s="13" t="inlineStr">
        <is>
          <t>FUENTES Chiara</t>
        </is>
      </c>
      <c r="E304" s="220" t="n"/>
      <c r="L304" s="64">
        <f>IF($D304="","",SUM(M304:O304))</f>
        <v/>
      </c>
      <c r="M304" s="64">
        <f>IF($D304="","",COUNTIF(DESIGNAZIONI!P$8:P$1323,$D304))</f>
        <v/>
      </c>
      <c r="N304" s="64">
        <f>IF($D304="","",COUNTIF(DESIGNAZIONI!Q$8:Q$1323,$D304))</f>
        <v/>
      </c>
      <c r="O304" s="64">
        <f>IF($D304="","",COUNTIF(DESIGNAZIONI!R$8:R$1323,$D304))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9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FILE DI ESEMPIO</t>
        </is>
      </c>
    </row>
    <row r="3">
      <c r="A3" s="225" t="inlineStr">
        <is>
          <t>* File di ESEMPIO: tutti i 388 risultati (380 di girone + 8 di playoff) sono compilati e simulati.</t>
        </is>
      </c>
    </row>
    <row r="4">
      <c r="A4" s="225" t="inlineStr">
        <is>
          <t>* Le classifiche, gli accoppiamenti playoff e la classifica finale derivano interamente da quei risultati.</t>
        </is>
      </c>
    </row>
    <row r="5">
      <c r="A5" s="225" t="inlineStr">
        <is>
          <t>* Anche il foglio DESIGNAZIONI e' compilato: 3 arbitri e 3 ufficiali di campo per ognuna delle 388 gare, 2328 designazioni.</t>
        </is>
      </c>
    </row>
    <row r="6">
      <c r="A6" s="225" t="inlineStr">
        <is>
          <t>* Tutti i nomi (squadre, campi, arbitri, ufficiali di campo) sono di fantasia.</t>
        </is>
      </c>
    </row>
    <row r="8">
      <c r="A8" s="226" t="inlineStr">
        <is>
          <t>COSA COMPILARE, nell'ordine:</t>
        </is>
      </c>
    </row>
    <row r="9">
      <c r="A9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10">
      <c r="A10" s="225" t="inlineStr">
        <is>
          <t>2) Foglio Campionato, colonna C righe 14-53 (blocco SQUADRE, 20 per girone): i nomi squadra nel formato 'Nome-Citta PR'. La lettera in colonna E decide il girone: cambiandola la squadra cambia girone, ma vanno poi sistemati a mano il calendario e i colori.</t>
        </is>
      </c>
    </row>
    <row r="11">
      <c r="A11" s="225" t="inlineStr">
        <is>
          <t>3) Foglio Campionato, blocco CAMPI: righe 57-96 nome e link mappa del campo di ogni squadra; righe 97-104 gli otto campi neutri PO1-PO8 per la fase a eliminazione diretta.</t>
        </is>
      </c>
    </row>
    <row r="12">
      <c r="A12" s="225" t="inlineStr">
        <is>
          <t>4) Fogli Calendario A-B: per ogni gara i codici squadra (colonne C ed E), la data con orario (colonna F) e il codice campo (colonna I della riga sottostante).</t>
        </is>
      </c>
    </row>
    <row r="13">
      <c r="A13" s="225" t="inlineStr">
        <is>
          <t>5) Fogli Arbitri e UdC, colonna D righe 5-304: i nominativi che alimentano gli elenchi a discesa delle designazioni.</t>
        </is>
      </c>
    </row>
    <row r="14">
      <c r="A14" s="225" t="inlineStr">
        <is>
          <t>6) Foglio DESIGNAZIONI: arbitri e ufficiali di campo, scelti dagli elenchi a discesa.</t>
        </is>
      </c>
    </row>
    <row r="15">
      <c r="A15" s="225" t="inlineStr">
        <is>
          <t>* Durante la stagione si inseriscono solo i punteggi nelle colonne Risultato dei fogli Calendario e Playoff: tutto il resto si aggiorna da solo.</t>
        </is>
      </c>
    </row>
    <row r="16">
      <c r="A16" s="225" t="inlineStr">
        <is>
          <t>* Capienza del modello: fino a 40 squadre distribuite su un massimo di 2 gironi (A-B) da 20 squadre ciascuno.</t>
        </is>
      </c>
    </row>
    <row r="17">
      <c r="A17" s="225" t="inlineStr">
        <is>
          <t>* Nome squadra: se contiene un trattino (es. Nome-Citta PR) nei calendari compare la parte prima del trattino, altrimenti il nome per intero.</t>
        </is>
      </c>
    </row>
    <row r="18">
      <c r="A18" s="225" t="inlineStr">
        <is>
          <t>* Il girone di una squadra dipende SOLO dalla lettera in colonna E del foglio Campionato, non dalla riga in cui si trova.</t>
        </is>
      </c>
    </row>
    <row r="19">
      <c r="A19" s="225" t="inlineStr">
        <is>
          <t>* I gironi si elencano separati da virgola nella cella dei parametri (es. A,B,C,D): cosi' si possono usare anche lettere non consecutive.</t>
        </is>
      </c>
    </row>
    <row r="20">
      <c r="A20" s="225" t="inlineStr">
        <is>
          <t>* La colonna E ha un elenco a discesa con le lettere di girone previste.</t>
        </is>
      </c>
    </row>
    <row r="21">
      <c r="A21" s="225" t="inlineStr">
        <is>
          <t>* Cambiando la lettera in colonna E la squadra passa di girone in classifica; calendario e colori vanno poi sistemati a mano.</t>
        </is>
      </c>
    </row>
    <row r="22">
      <c r="A22" s="225" t="inlineStr">
        <is>
          <t>* Playoff a 8 squadre: le prime quattro classificate dei gironi A e B, con la relativa classifica finale.</t>
        </is>
      </c>
    </row>
    <row r="23">
      <c r="A23" s="225" t="inlineStr">
        <is>
          <t>* Ogni girone ha il proprio foglio calendario ('Calendario A' ... 'Calendario B') e un colore identificativo.</t>
        </is>
      </c>
    </row>
    <row r="24">
      <c r="A24" s="225" t="inlineStr">
        <is>
          <t>* Calendario di sola andata generato con il metodo del girone all'italiana (Berger): 19 giornate da 10 gare, 190 gare per girone, 380 gare in totale.</t>
        </is>
      </c>
    </row>
    <row r="25">
      <c r="A25" s="225" t="inlineStr">
        <is>
          <t>* Ogni giornata e' un concentramento ospitato da due squadre del girone: 10 gare su due palazzetti (5 gare ciascuno: 09:30, 11:00, 14:30, 16:00, 17:30).</t>
        </is>
      </c>
    </row>
    <row r="26">
      <c r="A26" s="225" t="inlineStr">
        <is>
          <t>* L'ospitalita' ruota fra le squadre del girone: le squadre ospitanti della giornata determinano i due campi.</t>
        </is>
      </c>
    </row>
    <row r="27">
      <c r="A27" s="225" t="inlineStr">
        <is>
          <t>* Il foglio nascosto 'Dati' consolida le righe di servizio dei 2 calendari: le classifiche cercano li' per nome squadra.</t>
        </is>
      </c>
    </row>
    <row r="28">
      <c r="A28" s="225" t="inlineStr">
        <is>
          <t>* Playoff: quarti 1A-4B, 2B-3A, 1B-4A, 2A-3B; poi semifinali e finali. Nei quarti si affrontano sempre squadre di gironi diversi.</t>
        </is>
      </c>
    </row>
    <row r="29">
      <c r="A29" s="225" t="inlineStr">
        <is>
          <t>* Gli accoppiamenti dei turni successivi si aggiornano da soli inserendo i risultati del turno precedente. Le gare di playoff sono numerate di seguito a quelle di girone, dalla 381.</t>
        </is>
      </c>
    </row>
    <row r="30">
      <c r="A30" s="225" t="inlineStr">
        <is>
          <t>* Per usare meno squadre basta lasciare vuota la colonna C delle righe non utilizzate: classifiche e calendari si adeguano.</t>
        </is>
      </c>
    </row>
    <row r="31">
      <c r="A31" s="225" t="inlineStr">
        <is>
          <t>* Le classifiche si popolano automaticamente inserendo i punteggi nelle colonne Risultato dei fogli calendario.</t>
        </is>
      </c>
    </row>
    <row r="32">
      <c r="A32" s="225" t="inlineStr">
        <is>
          <t>* Il punteggio di forfait e' parametrico (foglio Campionato, cella D9): il valore predefinito e' 40-0.</t>
        </is>
      </c>
    </row>
    <row r="33">
      <c r="A33" s="225" t="inlineStr">
        <is>
          <t>* Foglio DESIGNAZIONI: convalida a elenco e formattazione condizionale anti-duplicato attive su TUTTE le righe predisposte.</t>
        </is>
      </c>
    </row>
    <row r="34">
      <c r="A34" s="225" t="inlineStr">
        <is>
          <t>* La formattazione condizionale evidenzia in rosa la stessa persona designata due volte nella stessa gara.</t>
        </is>
      </c>
    </row>
    <row r="35">
      <c r="A35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B'. Se la cella e' vuota, o manca un nome, si usa la lettera.</t>
        </is>
      </c>
    </row>
    <row r="36">
      <c r="A36" s="225" t="inlineStr">
        <is>
          <t>* Loghi: i link ai due loghi (URL pubblico di un'immagine) vanno nelle celle D3 e D4 del foglio Campionato. Compaiono, con la funzione IMAGE, nelle intestazioni di Calendario A-B, Playoff, Classifica, Classifica Finale e DESIGNAZIONI. Funziona in Google Sheets; in Excel serve la versione 365.</t>
        </is>
      </c>
    </row>
    <row r="37">
      <c r="A37" s="225" t="inlineStr">
        <is>
          <t>* Colori dei gironi: A oro (Gold), B argento (Silver).</t>
        </is>
      </c>
    </row>
    <row r="38">
      <c r="A38" s="225" t="inlineStr">
        <is>
          <t>* Foglio REGOLAMENTO (in fondo): pagine del regolamento, inserite solo per riferimento.</t>
        </is>
      </c>
    </row>
    <row r="39">
      <c r="A39" s="225" t="inlineStr">
        <is>
          <t>* Con 40 squadre e 380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757575"/>
    <outlinePr summaryBelow="1" summaryRight="1"/>
    <pageSetUpPr/>
  </sheetPr>
  <dimension ref="A1:I391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IF('Playoff'!$B10="","",'Playoff'!$B10&amp;" vs "&amp;'Playoff'!$D10&amp;" "&amp;'Playoff'!$AC10)</f>
        <v/>
      </c>
      <c r="C382" s="222">
        <f>IF($B382="","",DATE(YEAR('Playoff'!$F10),MONTH('Playoff'!$F10),DAY('Playoff'!$F10)))</f>
        <v/>
      </c>
      <c r="D382" s="223">
        <f>IF($B382="","",TIME(HOUR('Playoff'!$F10),MINUTE('Playoff'!$F10),0))</f>
        <v/>
      </c>
      <c r="E382" s="222">
        <f>IF($B382="","",DATE(YEAR('Playoff'!$F10),MONTH('Playoff'!$F10),DAY('Playoff'!$F10)))</f>
        <v/>
      </c>
      <c r="F382" s="223">
        <f>IF($B382="","",TIME(HOUR('Playoff'!$F10)+2,MINUTE('Playoff'!$F10),0))</f>
        <v/>
      </c>
      <c r="G382" s="68">
        <f>IF($B382="","",'Playoff'!$B11)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IF('Playoff'!$B13="","",'Playoff'!$B13&amp;" vs "&amp;'Playoff'!$D13&amp;" "&amp;'Playoff'!$AC13)</f>
        <v/>
      </c>
      <c r="C383" s="222">
        <f>IF($B383="","",DATE(YEAR('Playoff'!$F13),MONTH('Playoff'!$F13),DAY('Playoff'!$F13)))</f>
        <v/>
      </c>
      <c r="D383" s="223">
        <f>IF($B383="","",TIME(HOUR('Playoff'!$F13),MINUTE('Playoff'!$F13),0))</f>
        <v/>
      </c>
      <c r="E383" s="222">
        <f>IF($B383="","",DATE(YEAR('Playoff'!$F13),MONTH('Playoff'!$F13),DAY('Playoff'!$F13)))</f>
        <v/>
      </c>
      <c r="F383" s="223">
        <f>IF($B383="","",TIME(HOUR('Playoff'!$F13)+2,MINUTE('Playoff'!$F13),0))</f>
        <v/>
      </c>
      <c r="G383" s="68">
        <f>IF($B383="","",'Playoff'!$B14)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IF('Playoff'!$B16="","",'Playoff'!$B16&amp;" vs "&amp;'Playoff'!$D16&amp;" "&amp;'Playoff'!$AC16)</f>
        <v/>
      </c>
      <c r="C384" s="222">
        <f>IF($B384="","",DATE(YEAR('Playoff'!$F16),MONTH('Playoff'!$F16),DAY('Playoff'!$F16)))</f>
        <v/>
      </c>
      <c r="D384" s="223">
        <f>IF($B384="","",TIME(HOUR('Playoff'!$F16),MINUTE('Playoff'!$F16),0))</f>
        <v/>
      </c>
      <c r="E384" s="222">
        <f>IF($B384="","",DATE(YEAR('Playoff'!$F16),MONTH('Playoff'!$F16),DAY('Playoff'!$F16)))</f>
        <v/>
      </c>
      <c r="F384" s="223">
        <f>IF($B384="","",TIME(HOUR('Playoff'!$F16)+2,MINUTE('Playoff'!$F16),0))</f>
        <v/>
      </c>
      <c r="G384" s="68">
        <f>IF($B384="","",'Playoff'!$B17)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IF('Playoff'!$B19="","",'Playoff'!$B19&amp;" vs "&amp;'Playoff'!$D19&amp;" "&amp;'Playoff'!$AC19)</f>
        <v/>
      </c>
      <c r="C385" s="222">
        <f>IF($B385="","",DATE(YEAR('Playoff'!$F19),MONTH('Playoff'!$F19),DAY('Playoff'!$F19)))</f>
        <v/>
      </c>
      <c r="D385" s="223">
        <f>IF($B385="","",TIME(HOUR('Playoff'!$F19),MINUTE('Playoff'!$F19),0))</f>
        <v/>
      </c>
      <c r="E385" s="222">
        <f>IF($B385="","",DATE(YEAR('Playoff'!$F19),MONTH('Playoff'!$F19),DAY('Playoff'!$F19)))</f>
        <v/>
      </c>
      <c r="F385" s="223">
        <f>IF($B385="","",TIME(HOUR('Playoff'!$F19)+2,MINUTE('Playoff'!$F19),0))</f>
        <v/>
      </c>
      <c r="G385" s="68">
        <f>IF($B385="","",'Playoff'!$B20)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IF('Playoff'!$B24="","",'Playoff'!$B24&amp;" vs "&amp;'Playoff'!$D24&amp;" "&amp;'Playoff'!$AC24)</f>
        <v/>
      </c>
      <c r="C386" s="222">
        <f>IF($B386="","",DATE(YEAR('Playoff'!$F24),MONTH('Playoff'!$F24),DAY('Playoff'!$F24)))</f>
        <v/>
      </c>
      <c r="D386" s="223">
        <f>IF($B386="","",TIME(HOUR('Playoff'!$F24),MINUTE('Playoff'!$F24),0))</f>
        <v/>
      </c>
      <c r="E386" s="222">
        <f>IF($B386="","",DATE(YEAR('Playoff'!$F24),MONTH('Playoff'!$F24),DAY('Playoff'!$F24)))</f>
        <v/>
      </c>
      <c r="F386" s="223">
        <f>IF($B386="","",TIME(HOUR('Playoff'!$F24)+2,MINUTE('Playoff'!$F24),0))</f>
        <v/>
      </c>
      <c r="G386" s="68">
        <f>IF($B386="","",'Playoff'!$B25)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IF('Playoff'!$B27="","",'Playoff'!$B27&amp;" vs "&amp;'Playoff'!$D27&amp;" "&amp;'Playoff'!$AC27)</f>
        <v/>
      </c>
      <c r="C387" s="222">
        <f>IF($B387="","",DATE(YEAR('Playoff'!$F27),MONTH('Playoff'!$F27),DAY('Playoff'!$F27)))</f>
        <v/>
      </c>
      <c r="D387" s="223">
        <f>IF($B387="","",TIME(HOUR('Playoff'!$F27),MINUTE('Playoff'!$F27),0))</f>
        <v/>
      </c>
      <c r="E387" s="222">
        <f>IF($B387="","",DATE(YEAR('Playoff'!$F27),MONTH('Playoff'!$F27),DAY('Playoff'!$F27)))</f>
        <v/>
      </c>
      <c r="F387" s="223">
        <f>IF($B387="","",TIME(HOUR('Playoff'!$F27)+2,MINUTE('Playoff'!$F27),0))</f>
        <v/>
      </c>
      <c r="G387" s="68">
        <f>IF($B387="","",'Playoff'!$B28)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IF('Playoff'!$B32="","",'Playoff'!$B32&amp;" vs "&amp;'Playoff'!$D32&amp;" "&amp;'Playoff'!$AC32)</f>
        <v/>
      </c>
      <c r="C388" s="222">
        <f>IF($B388="","",DATE(YEAR('Playoff'!$F32),MONTH('Playoff'!$F32),DAY('Playoff'!$F32)))</f>
        <v/>
      </c>
      <c r="D388" s="223">
        <f>IF($B388="","",TIME(HOUR('Playoff'!$F32),MINUTE('Playoff'!$F32),0))</f>
        <v/>
      </c>
      <c r="E388" s="222">
        <f>IF($B388="","",DATE(YEAR('Playoff'!$F32),MONTH('Playoff'!$F32),DAY('Playoff'!$F32)))</f>
        <v/>
      </c>
      <c r="F388" s="223">
        <f>IF($B388="","",TIME(HOUR('Playoff'!$F32)+2,MINUTE('Playoff'!$F32),0))</f>
        <v/>
      </c>
      <c r="G388" s="68">
        <f>IF($B388="","",'Playoff'!$B33)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IF('Playoff'!$B35="","",'Playoff'!$B35&amp;" vs "&amp;'Playoff'!$D35&amp;" "&amp;'Playoff'!$AC35)</f>
        <v/>
      </c>
      <c r="C389" s="222">
        <f>IF($B389="","",DATE(YEAR('Playoff'!$F35),MONTH('Playoff'!$F35),DAY('Playoff'!$F35)))</f>
        <v/>
      </c>
      <c r="D389" s="223">
        <f>IF($B389="","",TIME(HOUR('Playoff'!$F35),MINUTE('Playoff'!$F35),0))</f>
        <v/>
      </c>
      <c r="E389" s="222">
        <f>IF($B389="","",DATE(YEAR('Playoff'!$F35),MONTH('Playoff'!$F35),DAY('Playoff'!$F35)))</f>
        <v/>
      </c>
      <c r="F389" s="223">
        <f>IF($B389="","",TIME(HOUR('Playoff'!$F35)+2,MINUTE('Playoff'!$F35),0))</f>
        <v/>
      </c>
      <c r="G389" s="68">
        <f>IF($B389="","",'Playoff'!$B36)</f>
        <v/>
      </c>
      <c r="H389" s="68">
        <f>IF($B389="","",Campionato!$D$2&amp;" "&amp;Campionato!$D$6)</f>
        <v/>
      </c>
      <c r="I389" s="68" t="n"/>
    </row>
    <row r="391">
      <c r="A391" s="68">
        <f>"END:VCALENDAR"</f>
        <v/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8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A-B: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2026-10-16T16:04:54Z</dcterms:modified>
</cp:coreProperties>
</file>