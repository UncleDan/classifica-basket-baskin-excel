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61A6B305-D78C-4FB4-ACAA-E5DBEA3DEA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Finale'!$A$1:$C$470</definedName>
    <definedName name="_xlnm.Print_Area" localSheetId="14">DESIGNAZIONI!$A$1:$R$1768</definedName>
    <definedName name="_xlnm.Print_Area" localSheetId="17">MEMO!$A$1:$A$22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E16" i="20"/>
  <c r="A469" i="19"/>
  <c r="B379" i="19"/>
  <c r="B285" i="19"/>
  <c r="H252" i="19"/>
  <c r="H148" i="19"/>
  <c r="D145" i="19"/>
  <c r="B20" i="19"/>
  <c r="B2" i="19"/>
  <c r="A1" i="19"/>
  <c r="O104" i="17"/>
  <c r="N104" i="17"/>
  <c r="M104" i="17"/>
  <c r="L104" i="17"/>
  <c r="O103" i="17"/>
  <c r="N103" i="17"/>
  <c r="M103" i="17"/>
  <c r="L103" i="17"/>
  <c r="O102" i="17"/>
  <c r="N102" i="17"/>
  <c r="M102" i="17"/>
  <c r="L102" i="17"/>
  <c r="O101" i="17"/>
  <c r="N101" i="17"/>
  <c r="M101" i="17"/>
  <c r="L101" i="17"/>
  <c r="O100" i="17"/>
  <c r="N100" i="17"/>
  <c r="M100" i="17"/>
  <c r="L100" i="17"/>
  <c r="O99" i="17"/>
  <c r="N99" i="17"/>
  <c r="M99" i="17"/>
  <c r="L99" i="17"/>
  <c r="O98" i="17"/>
  <c r="N98" i="17"/>
  <c r="M98" i="17"/>
  <c r="L98" i="17"/>
  <c r="O97" i="17"/>
  <c r="N97" i="17"/>
  <c r="M97" i="17"/>
  <c r="L97" i="17"/>
  <c r="O96" i="17"/>
  <c r="N96" i="17"/>
  <c r="M96" i="17"/>
  <c r="L96" i="17"/>
  <c r="O95" i="17"/>
  <c r="N95" i="17"/>
  <c r="M95" i="17"/>
  <c r="L95" i="17"/>
  <c r="O94" i="17"/>
  <c r="N94" i="17"/>
  <c r="M94" i="17"/>
  <c r="L94" i="17"/>
  <c r="O93" i="17"/>
  <c r="N93" i="17"/>
  <c r="M93" i="17"/>
  <c r="L93" i="17"/>
  <c r="O92" i="17"/>
  <c r="N92" i="17"/>
  <c r="M92" i="17"/>
  <c r="L92" i="17"/>
  <c r="O91" i="17"/>
  <c r="N91" i="17"/>
  <c r="M91" i="17"/>
  <c r="L91" i="17"/>
  <c r="O90" i="17"/>
  <c r="N90" i="17"/>
  <c r="M90" i="17"/>
  <c r="L90" i="17"/>
  <c r="O89" i="17"/>
  <c r="N89" i="17"/>
  <c r="M89" i="17"/>
  <c r="L89" i="17"/>
  <c r="O88" i="17"/>
  <c r="N88" i="17"/>
  <c r="M88" i="17"/>
  <c r="L88" i="17"/>
  <c r="O87" i="17"/>
  <c r="N87" i="17"/>
  <c r="M87" i="17"/>
  <c r="L87" i="17"/>
  <c r="O86" i="17"/>
  <c r="N86" i="17"/>
  <c r="M86" i="17"/>
  <c r="L86" i="17"/>
  <c r="O85" i="17"/>
  <c r="N85" i="17"/>
  <c r="M85" i="17"/>
  <c r="L85" i="17"/>
  <c r="O84" i="17"/>
  <c r="N84" i="17"/>
  <c r="M84" i="17"/>
  <c r="L84" i="17"/>
  <c r="O83" i="17"/>
  <c r="N83" i="17"/>
  <c r="M83" i="17"/>
  <c r="L83" i="17"/>
  <c r="O82" i="17"/>
  <c r="N82" i="17"/>
  <c r="M82" i="17"/>
  <c r="L82" i="17"/>
  <c r="O81" i="17"/>
  <c r="N81" i="17"/>
  <c r="M81" i="17"/>
  <c r="L81" i="17"/>
  <c r="O80" i="17"/>
  <c r="N80" i="17"/>
  <c r="M80" i="17"/>
  <c r="L80" i="17"/>
  <c r="O79" i="17"/>
  <c r="N79" i="17"/>
  <c r="M79" i="17"/>
  <c r="L79" i="17"/>
  <c r="O78" i="17"/>
  <c r="N78" i="17"/>
  <c r="M78" i="17"/>
  <c r="L78" i="17"/>
  <c r="O77" i="17"/>
  <c r="N77" i="17"/>
  <c r="M77" i="17"/>
  <c r="L77" i="17"/>
  <c r="O76" i="17"/>
  <c r="N76" i="17"/>
  <c r="M76" i="17"/>
  <c r="L76" i="17"/>
  <c r="O75" i="17"/>
  <c r="N75" i="17"/>
  <c r="M75" i="17"/>
  <c r="L75" i="17"/>
  <c r="O74" i="17"/>
  <c r="N74" i="17"/>
  <c r="M74" i="17"/>
  <c r="L74" i="17"/>
  <c r="O73" i="17"/>
  <c r="N73" i="17"/>
  <c r="M73" i="17"/>
  <c r="L73" i="17"/>
  <c r="O72" i="17"/>
  <c r="N72" i="17"/>
  <c r="M72" i="17"/>
  <c r="L72" i="17"/>
  <c r="O71" i="17"/>
  <c r="N71" i="17"/>
  <c r="M71" i="17"/>
  <c r="L71" i="17"/>
  <c r="O70" i="17"/>
  <c r="N70" i="17"/>
  <c r="M70" i="17"/>
  <c r="L70" i="17"/>
  <c r="O69" i="17"/>
  <c r="N69" i="17"/>
  <c r="M69" i="17"/>
  <c r="L69" i="17"/>
  <c r="O68" i="17"/>
  <c r="N68" i="17"/>
  <c r="M68" i="17"/>
  <c r="L68" i="17"/>
  <c r="O67" i="17"/>
  <c r="N67" i="17"/>
  <c r="M67" i="17"/>
  <c r="L67" i="17"/>
  <c r="O66" i="17"/>
  <c r="N66" i="17"/>
  <c r="M66" i="17"/>
  <c r="L66" i="17"/>
  <c r="O65" i="17"/>
  <c r="N65" i="17"/>
  <c r="M65" i="17"/>
  <c r="L65" i="17"/>
  <c r="O64" i="17"/>
  <c r="N64" i="17"/>
  <c r="M64" i="17"/>
  <c r="L64" i="17"/>
  <c r="O63" i="17"/>
  <c r="N63" i="17"/>
  <c r="M63" i="17"/>
  <c r="L63" i="17"/>
  <c r="O62" i="17"/>
  <c r="N62" i="17"/>
  <c r="M62" i="17"/>
  <c r="L62" i="17"/>
  <c r="O61" i="17"/>
  <c r="N61" i="17"/>
  <c r="M61" i="17"/>
  <c r="L61" i="17"/>
  <c r="O60" i="17"/>
  <c r="N60" i="17"/>
  <c r="M60" i="17"/>
  <c r="L60" i="17"/>
  <c r="O59" i="17"/>
  <c r="N59" i="17"/>
  <c r="M59" i="17"/>
  <c r="L59" i="17"/>
  <c r="O58" i="17"/>
  <c r="N58" i="17"/>
  <c r="M58" i="17"/>
  <c r="L58" i="17"/>
  <c r="O57" i="17"/>
  <c r="N57" i="17"/>
  <c r="M57" i="17"/>
  <c r="L57" i="17"/>
  <c r="O56" i="17"/>
  <c r="N56" i="17"/>
  <c r="M56" i="17"/>
  <c r="L56" i="17"/>
  <c r="O55" i="17"/>
  <c r="N55" i="17"/>
  <c r="M55" i="17"/>
  <c r="L55" i="17"/>
  <c r="O54" i="17"/>
  <c r="N54" i="17"/>
  <c r="M54" i="17"/>
  <c r="L54" i="17"/>
  <c r="O53" i="17"/>
  <c r="N53" i="17"/>
  <c r="M53" i="17"/>
  <c r="L53" i="17"/>
  <c r="O52" i="17"/>
  <c r="N52" i="17"/>
  <c r="M52" i="17"/>
  <c r="L52" i="17"/>
  <c r="O51" i="17"/>
  <c r="N51" i="17"/>
  <c r="M51" i="17"/>
  <c r="L51" i="17"/>
  <c r="O50" i="17"/>
  <c r="N50" i="17"/>
  <c r="M50" i="17"/>
  <c r="L50" i="17"/>
  <c r="O49" i="17"/>
  <c r="N49" i="17"/>
  <c r="M49" i="17"/>
  <c r="L49" i="17"/>
  <c r="O48" i="17"/>
  <c r="N48" i="17"/>
  <c r="M48" i="17"/>
  <c r="L48" i="17"/>
  <c r="O47" i="17"/>
  <c r="N47" i="17"/>
  <c r="M47" i="17"/>
  <c r="L47" i="17"/>
  <c r="O46" i="17"/>
  <c r="N46" i="17"/>
  <c r="M46" i="17"/>
  <c r="L46" i="17"/>
  <c r="O45" i="17"/>
  <c r="N45" i="17"/>
  <c r="M45" i="17"/>
  <c r="L45" i="17"/>
  <c r="O44" i="17"/>
  <c r="N44" i="17"/>
  <c r="M44" i="17"/>
  <c r="L44" i="17"/>
  <c r="O43" i="17"/>
  <c r="N43" i="17"/>
  <c r="M43" i="17"/>
  <c r="L43" i="17"/>
  <c r="O42" i="17"/>
  <c r="N42" i="17"/>
  <c r="M42" i="17"/>
  <c r="L42" i="17"/>
  <c r="O41" i="17"/>
  <c r="N41" i="17"/>
  <c r="M41" i="17"/>
  <c r="L41" i="17"/>
  <c r="O40" i="17"/>
  <c r="N40" i="17"/>
  <c r="M40" i="17"/>
  <c r="L40" i="17"/>
  <c r="O39" i="17"/>
  <c r="N39" i="17"/>
  <c r="M39" i="17"/>
  <c r="L39" i="17"/>
  <c r="O38" i="17"/>
  <c r="N38" i="17"/>
  <c r="M38" i="17"/>
  <c r="L38" i="17"/>
  <c r="O37" i="17"/>
  <c r="N37" i="17"/>
  <c r="M37" i="17"/>
  <c r="L37" i="17"/>
  <c r="O36" i="17"/>
  <c r="N36" i="17"/>
  <c r="M36" i="17"/>
  <c r="L36" i="17"/>
  <c r="O35" i="17"/>
  <c r="N35" i="17"/>
  <c r="M35" i="17"/>
  <c r="L35" i="17"/>
  <c r="O34" i="17"/>
  <c r="N34" i="17"/>
  <c r="M34" i="17"/>
  <c r="L34" i="17"/>
  <c r="O33" i="17"/>
  <c r="N33" i="17"/>
  <c r="M33" i="17"/>
  <c r="L33" i="17"/>
  <c r="O32" i="17"/>
  <c r="N32" i="17"/>
  <c r="M32" i="17"/>
  <c r="L32" i="17"/>
  <c r="O31" i="17"/>
  <c r="N31" i="17"/>
  <c r="M31" i="17"/>
  <c r="L31" i="17"/>
  <c r="O30" i="17"/>
  <c r="N30" i="17"/>
  <c r="M30" i="17"/>
  <c r="L30" i="17"/>
  <c r="O29" i="17"/>
  <c r="N29" i="17"/>
  <c r="M29" i="17"/>
  <c r="L29" i="17"/>
  <c r="O28" i="17"/>
  <c r="N28" i="17"/>
  <c r="M28" i="17"/>
  <c r="L28" i="17"/>
  <c r="O27" i="17"/>
  <c r="N27" i="17"/>
  <c r="M27" i="17"/>
  <c r="L27" i="17"/>
  <c r="O26" i="17"/>
  <c r="N26" i="17"/>
  <c r="M26" i="17"/>
  <c r="L26" i="17"/>
  <c r="O25" i="17"/>
  <c r="N25" i="17"/>
  <c r="M25" i="17"/>
  <c r="L25" i="17"/>
  <c r="O24" i="17"/>
  <c r="N24" i="17"/>
  <c r="M24" i="17"/>
  <c r="L24" i="17"/>
  <c r="O23" i="17"/>
  <c r="N23" i="17"/>
  <c r="M23" i="17"/>
  <c r="L23" i="17"/>
  <c r="O22" i="17"/>
  <c r="N22" i="17"/>
  <c r="M22" i="17"/>
  <c r="L22" i="17"/>
  <c r="O21" i="17"/>
  <c r="N21" i="17"/>
  <c r="M21" i="17"/>
  <c r="L21" i="17"/>
  <c r="O20" i="17"/>
  <c r="N20" i="17"/>
  <c r="M20" i="17"/>
  <c r="L20" i="17"/>
  <c r="O19" i="17"/>
  <c r="N19" i="17"/>
  <c r="M19" i="17"/>
  <c r="L19" i="17"/>
  <c r="O18" i="17"/>
  <c r="N18" i="17"/>
  <c r="M18" i="17"/>
  <c r="L18" i="17"/>
  <c r="O17" i="17"/>
  <c r="N17" i="17"/>
  <c r="M17" i="17"/>
  <c r="L17" i="17"/>
  <c r="O16" i="17"/>
  <c r="N16" i="17"/>
  <c r="M16" i="17"/>
  <c r="L16" i="17"/>
  <c r="O15" i="17"/>
  <c r="N15" i="17"/>
  <c r="M15" i="17"/>
  <c r="L15" i="17"/>
  <c r="O14" i="17"/>
  <c r="N14" i="17"/>
  <c r="M14" i="17"/>
  <c r="L14" i="17"/>
  <c r="O13" i="17"/>
  <c r="N13" i="17"/>
  <c r="M13" i="17"/>
  <c r="L13" i="17"/>
  <c r="O12" i="17"/>
  <c r="N12" i="17"/>
  <c r="M12" i="17"/>
  <c r="L12" i="17"/>
  <c r="O11" i="17"/>
  <c r="N11" i="17"/>
  <c r="M11" i="17"/>
  <c r="L11" i="17"/>
  <c r="O10" i="17"/>
  <c r="N10" i="17"/>
  <c r="M10" i="17"/>
  <c r="L10" i="17"/>
  <c r="O9" i="17"/>
  <c r="N9" i="17"/>
  <c r="M9" i="17"/>
  <c r="L9" i="17"/>
  <c r="O8" i="17"/>
  <c r="N8" i="17"/>
  <c r="M8" i="17"/>
  <c r="L8" i="17"/>
  <c r="O7" i="17"/>
  <c r="N7" i="17"/>
  <c r="M7" i="17"/>
  <c r="L7" i="17"/>
  <c r="O6" i="17"/>
  <c r="N6" i="17"/>
  <c r="M6" i="17"/>
  <c r="L6" i="17"/>
  <c r="O5" i="17"/>
  <c r="N5" i="17"/>
  <c r="M5" i="17"/>
  <c r="L5" i="17"/>
  <c r="A2" i="17"/>
  <c r="A1" i="17"/>
  <c r="O104" i="16"/>
  <c r="N104" i="16"/>
  <c r="M104" i="16"/>
  <c r="L104" i="16"/>
  <c r="O103" i="16"/>
  <c r="N103" i="16"/>
  <c r="M103" i="16"/>
  <c r="L103" i="16"/>
  <c r="O102" i="16"/>
  <c r="N102" i="16"/>
  <c r="M102" i="16"/>
  <c r="L102" i="16"/>
  <c r="O101" i="16"/>
  <c r="N101" i="16"/>
  <c r="M101" i="16"/>
  <c r="L101" i="16"/>
  <c r="O100" i="16"/>
  <c r="N100" i="16"/>
  <c r="M100" i="16"/>
  <c r="L100" i="16"/>
  <c r="O99" i="16"/>
  <c r="N99" i="16"/>
  <c r="M99" i="16"/>
  <c r="L99" i="16"/>
  <c r="O98" i="16"/>
  <c r="N98" i="16"/>
  <c r="M98" i="16"/>
  <c r="L98" i="16"/>
  <c r="O97" i="16"/>
  <c r="N97" i="16"/>
  <c r="M97" i="16"/>
  <c r="L97" i="16"/>
  <c r="O96" i="16"/>
  <c r="N96" i="16"/>
  <c r="M96" i="16"/>
  <c r="L96" i="16"/>
  <c r="O95" i="16"/>
  <c r="N95" i="16"/>
  <c r="M95" i="16"/>
  <c r="L95" i="16"/>
  <c r="O94" i="16"/>
  <c r="N94" i="16"/>
  <c r="M94" i="16"/>
  <c r="L94" i="16"/>
  <c r="O93" i="16"/>
  <c r="N93" i="16"/>
  <c r="M93" i="16"/>
  <c r="L93" i="16"/>
  <c r="O92" i="16"/>
  <c r="N92" i="16"/>
  <c r="M92" i="16"/>
  <c r="L92" i="16"/>
  <c r="O91" i="16"/>
  <c r="N91" i="16"/>
  <c r="M91" i="16"/>
  <c r="L91" i="16"/>
  <c r="O90" i="16"/>
  <c r="N90" i="16"/>
  <c r="M90" i="16"/>
  <c r="L90" i="16"/>
  <c r="O89" i="16"/>
  <c r="N89" i="16"/>
  <c r="M89" i="16"/>
  <c r="L89" i="16"/>
  <c r="O88" i="16"/>
  <c r="N88" i="16"/>
  <c r="M88" i="16"/>
  <c r="L88" i="16"/>
  <c r="O87" i="16"/>
  <c r="N87" i="16"/>
  <c r="M87" i="16"/>
  <c r="L87" i="16"/>
  <c r="O86" i="16"/>
  <c r="N86" i="16"/>
  <c r="M86" i="16"/>
  <c r="L86" i="16"/>
  <c r="O85" i="16"/>
  <c r="N85" i="16"/>
  <c r="M85" i="16"/>
  <c r="L85" i="16"/>
  <c r="O84" i="16"/>
  <c r="N84" i="16"/>
  <c r="M84" i="16"/>
  <c r="L84" i="16"/>
  <c r="O83" i="16"/>
  <c r="N83" i="16"/>
  <c r="M83" i="16"/>
  <c r="L83" i="16"/>
  <c r="O82" i="16"/>
  <c r="N82" i="16"/>
  <c r="M82" i="16"/>
  <c r="L82" i="16"/>
  <c r="O81" i="16"/>
  <c r="N81" i="16"/>
  <c r="M81" i="16"/>
  <c r="L81" i="16"/>
  <c r="O80" i="16"/>
  <c r="N80" i="16"/>
  <c r="M80" i="16"/>
  <c r="L80" i="16"/>
  <c r="O79" i="16"/>
  <c r="N79" i="16"/>
  <c r="M79" i="16"/>
  <c r="L79" i="16"/>
  <c r="O78" i="16"/>
  <c r="N78" i="16"/>
  <c r="M78" i="16"/>
  <c r="L78" i="16"/>
  <c r="O77" i="16"/>
  <c r="N77" i="16"/>
  <c r="M77" i="16"/>
  <c r="L77" i="16"/>
  <c r="O76" i="16"/>
  <c r="N76" i="16"/>
  <c r="M76" i="16"/>
  <c r="L76" i="16"/>
  <c r="O75" i="16"/>
  <c r="N75" i="16"/>
  <c r="M75" i="16"/>
  <c r="L75" i="16"/>
  <c r="O74" i="16"/>
  <c r="N74" i="16"/>
  <c r="M74" i="16"/>
  <c r="L74" i="16"/>
  <c r="O73" i="16"/>
  <c r="N73" i="16"/>
  <c r="M73" i="16"/>
  <c r="L73" i="16"/>
  <c r="O72" i="16"/>
  <c r="N72" i="16"/>
  <c r="M72" i="16"/>
  <c r="L72" i="16"/>
  <c r="O71" i="16"/>
  <c r="N71" i="16"/>
  <c r="M71" i="16"/>
  <c r="L71" i="16"/>
  <c r="O70" i="16"/>
  <c r="N70" i="16"/>
  <c r="M70" i="16"/>
  <c r="L70" i="16"/>
  <c r="O69" i="16"/>
  <c r="N69" i="16"/>
  <c r="M69" i="16"/>
  <c r="L69" i="16"/>
  <c r="O68" i="16"/>
  <c r="N68" i="16"/>
  <c r="M68" i="16"/>
  <c r="L68" i="16"/>
  <c r="O67" i="16"/>
  <c r="N67" i="16"/>
  <c r="M67" i="16"/>
  <c r="L67" i="16"/>
  <c r="O66" i="16"/>
  <c r="N66" i="16"/>
  <c r="M66" i="16"/>
  <c r="L66" i="16"/>
  <c r="O65" i="16"/>
  <c r="N65" i="16"/>
  <c r="M65" i="16"/>
  <c r="L65" i="16"/>
  <c r="O64" i="16"/>
  <c r="N64" i="16"/>
  <c r="M64" i="16"/>
  <c r="L64" i="16"/>
  <c r="O63" i="16"/>
  <c r="N63" i="16"/>
  <c r="M63" i="16"/>
  <c r="L63" i="16"/>
  <c r="O62" i="16"/>
  <c r="N62" i="16"/>
  <c r="M62" i="16"/>
  <c r="L62" i="16"/>
  <c r="O61" i="16"/>
  <c r="N61" i="16"/>
  <c r="M61" i="16"/>
  <c r="L61" i="16"/>
  <c r="O60" i="16"/>
  <c r="N60" i="16"/>
  <c r="M60" i="16"/>
  <c r="L60" i="16"/>
  <c r="O59" i="16"/>
  <c r="N59" i="16"/>
  <c r="M59" i="16"/>
  <c r="L59" i="16"/>
  <c r="O58" i="16"/>
  <c r="N58" i="16"/>
  <c r="M58" i="16"/>
  <c r="L58" i="16"/>
  <c r="O57" i="16"/>
  <c r="N57" i="16"/>
  <c r="M57" i="16"/>
  <c r="L57" i="16"/>
  <c r="O56" i="16"/>
  <c r="N56" i="16"/>
  <c r="M56" i="16"/>
  <c r="L56" i="16"/>
  <c r="O55" i="16"/>
  <c r="N55" i="16"/>
  <c r="M55" i="16"/>
  <c r="L55" i="16"/>
  <c r="O54" i="16"/>
  <c r="N54" i="16"/>
  <c r="M54" i="16"/>
  <c r="L54" i="16"/>
  <c r="O53" i="16"/>
  <c r="N53" i="16"/>
  <c r="M53" i="16"/>
  <c r="L53" i="16"/>
  <c r="O52" i="16"/>
  <c r="N52" i="16"/>
  <c r="M52" i="16"/>
  <c r="L52" i="16"/>
  <c r="O51" i="16"/>
  <c r="N51" i="16"/>
  <c r="M51" i="16"/>
  <c r="L51" i="16"/>
  <c r="O50" i="16"/>
  <c r="N50" i="16"/>
  <c r="M50" i="16"/>
  <c r="L50" i="16"/>
  <c r="O49" i="16"/>
  <c r="N49" i="16"/>
  <c r="M49" i="16"/>
  <c r="L49" i="16"/>
  <c r="O48" i="16"/>
  <c r="N48" i="16"/>
  <c r="M48" i="16"/>
  <c r="L48" i="16"/>
  <c r="O47" i="16"/>
  <c r="N47" i="16"/>
  <c r="M47" i="16"/>
  <c r="L47" i="16"/>
  <c r="O46" i="16"/>
  <c r="N46" i="16"/>
  <c r="M46" i="16"/>
  <c r="L46" i="16"/>
  <c r="O45" i="16"/>
  <c r="N45" i="16"/>
  <c r="M45" i="16"/>
  <c r="L45" i="16"/>
  <c r="O44" i="16"/>
  <c r="N44" i="16"/>
  <c r="M44" i="16"/>
  <c r="L44" i="16"/>
  <c r="O43" i="16"/>
  <c r="N43" i="16"/>
  <c r="M43" i="16"/>
  <c r="L43" i="16"/>
  <c r="O42" i="16"/>
  <c r="N42" i="16"/>
  <c r="M42" i="16"/>
  <c r="L42" i="16"/>
  <c r="O41" i="16"/>
  <c r="N41" i="16"/>
  <c r="M41" i="16"/>
  <c r="L41" i="16"/>
  <c r="O40" i="16"/>
  <c r="N40" i="16"/>
  <c r="M40" i="16"/>
  <c r="L40" i="16"/>
  <c r="O39" i="16"/>
  <c r="N39" i="16"/>
  <c r="M39" i="16"/>
  <c r="L39" i="16"/>
  <c r="O38" i="16"/>
  <c r="N38" i="16"/>
  <c r="M38" i="16"/>
  <c r="L38" i="16"/>
  <c r="O37" i="16"/>
  <c r="N37" i="16"/>
  <c r="M37" i="16"/>
  <c r="L37" i="16"/>
  <c r="O36" i="16"/>
  <c r="N36" i="16"/>
  <c r="M36" i="16"/>
  <c r="L36" i="16"/>
  <c r="O35" i="16"/>
  <c r="N35" i="16"/>
  <c r="M35" i="16"/>
  <c r="L35" i="16"/>
  <c r="O34" i="16"/>
  <c r="N34" i="16"/>
  <c r="M34" i="16"/>
  <c r="L34" i="16"/>
  <c r="O33" i="16"/>
  <c r="N33" i="16"/>
  <c r="M33" i="16"/>
  <c r="L33" i="16"/>
  <c r="O32" i="16"/>
  <c r="N32" i="16"/>
  <c r="M32" i="16"/>
  <c r="L32" i="16"/>
  <c r="O31" i="16"/>
  <c r="N31" i="16"/>
  <c r="M31" i="16"/>
  <c r="L31" i="16"/>
  <c r="O30" i="16"/>
  <c r="N30" i="16"/>
  <c r="M30" i="16"/>
  <c r="L30" i="16"/>
  <c r="O29" i="16"/>
  <c r="N29" i="16"/>
  <c r="M29" i="16"/>
  <c r="L29" i="16"/>
  <c r="O28" i="16"/>
  <c r="N28" i="16"/>
  <c r="M28" i="16"/>
  <c r="L28" i="16"/>
  <c r="O27" i="16"/>
  <c r="N27" i="16"/>
  <c r="M27" i="16"/>
  <c r="L27" i="16"/>
  <c r="O26" i="16"/>
  <c r="N26" i="16"/>
  <c r="M26" i="16"/>
  <c r="L26" i="16"/>
  <c r="O25" i="16"/>
  <c r="N25" i="16"/>
  <c r="M25" i="16"/>
  <c r="L25" i="16"/>
  <c r="O24" i="16"/>
  <c r="N24" i="16"/>
  <c r="M24" i="16"/>
  <c r="L24" i="16"/>
  <c r="O23" i="16"/>
  <c r="N23" i="16"/>
  <c r="M23" i="16"/>
  <c r="L23" i="16"/>
  <c r="O22" i="16"/>
  <c r="N22" i="16"/>
  <c r="M22" i="16"/>
  <c r="L22" i="16"/>
  <c r="O21" i="16"/>
  <c r="N21" i="16"/>
  <c r="M21" i="16"/>
  <c r="L21" i="16"/>
  <c r="O20" i="16"/>
  <c r="N20" i="16"/>
  <c r="M20" i="16"/>
  <c r="L20" i="16"/>
  <c r="O19" i="16"/>
  <c r="N19" i="16"/>
  <c r="M19" i="16"/>
  <c r="L19" i="16"/>
  <c r="O18" i="16"/>
  <c r="N18" i="16"/>
  <c r="M18" i="16"/>
  <c r="L18" i="16"/>
  <c r="O17" i="16"/>
  <c r="N17" i="16"/>
  <c r="M17" i="16"/>
  <c r="L17" i="16"/>
  <c r="O16" i="16"/>
  <c r="N16" i="16"/>
  <c r="M16" i="16"/>
  <c r="L16" i="16"/>
  <c r="O15" i="16"/>
  <c r="N15" i="16"/>
  <c r="M15" i="16"/>
  <c r="L15" i="16"/>
  <c r="O14" i="16"/>
  <c r="N14" i="16"/>
  <c r="M14" i="16"/>
  <c r="L14" i="16"/>
  <c r="O13" i="16"/>
  <c r="N13" i="16"/>
  <c r="M13" i="16"/>
  <c r="L13" i="16"/>
  <c r="O12" i="16"/>
  <c r="N12" i="16"/>
  <c r="M12" i="16"/>
  <c r="L12" i="16"/>
  <c r="O11" i="16"/>
  <c r="N11" i="16"/>
  <c r="M11" i="16"/>
  <c r="L11" i="16"/>
  <c r="O10" i="16"/>
  <c r="N10" i="16"/>
  <c r="M10" i="16"/>
  <c r="L10" i="16"/>
  <c r="O9" i="16"/>
  <c r="N9" i="16"/>
  <c r="M9" i="16"/>
  <c r="L9" i="16"/>
  <c r="O8" i="16"/>
  <c r="N8" i="16"/>
  <c r="M8" i="16"/>
  <c r="L8" i="16"/>
  <c r="O7" i="16"/>
  <c r="N7" i="16"/>
  <c r="M7" i="16"/>
  <c r="L7" i="16"/>
  <c r="O6" i="16"/>
  <c r="N6" i="16"/>
  <c r="M6" i="16"/>
  <c r="L6" i="16"/>
  <c r="O5" i="16"/>
  <c r="N5" i="16"/>
  <c r="M5" i="16"/>
  <c r="L5" i="16"/>
  <c r="A2" i="16"/>
  <c r="A1" i="16"/>
  <c r="I1762" i="15"/>
  <c r="B1762" i="15"/>
  <c r="L1761" i="15"/>
  <c r="J1761" i="15"/>
  <c r="F1761" i="15"/>
  <c r="I1759" i="15"/>
  <c r="B1759" i="15"/>
  <c r="L1758" i="15"/>
  <c r="J1758" i="15"/>
  <c r="F1758" i="15"/>
  <c r="B1756" i="15"/>
  <c r="A1756" i="15"/>
  <c r="I1754" i="15"/>
  <c r="L1753" i="15"/>
  <c r="J1753" i="15"/>
  <c r="F1753" i="15"/>
  <c r="I1751" i="15"/>
  <c r="L1750" i="15"/>
  <c r="J1750" i="15"/>
  <c r="F1750" i="15"/>
  <c r="B1748" i="15"/>
  <c r="A1748" i="15"/>
  <c r="I1746" i="15"/>
  <c r="L1745" i="15"/>
  <c r="J1745" i="15"/>
  <c r="F1745" i="15"/>
  <c r="I1743" i="15"/>
  <c r="L1742" i="15"/>
  <c r="J1742" i="15"/>
  <c r="F1742" i="15"/>
  <c r="I1740" i="15"/>
  <c r="L1739" i="15"/>
  <c r="J1739" i="15"/>
  <c r="F1739" i="15"/>
  <c r="I1737" i="15"/>
  <c r="L1736" i="15"/>
  <c r="J1736" i="15"/>
  <c r="F1736" i="15"/>
  <c r="B1734" i="15"/>
  <c r="A1734" i="15"/>
  <c r="I1732" i="15"/>
  <c r="L1731" i="15"/>
  <c r="J1731" i="15"/>
  <c r="F1731" i="15"/>
  <c r="E1731" i="15"/>
  <c r="C1731" i="15"/>
  <c r="I1729" i="15"/>
  <c r="L1728" i="15"/>
  <c r="J1728" i="15"/>
  <c r="F1728" i="15"/>
  <c r="E1728" i="15"/>
  <c r="C1728" i="15"/>
  <c r="I1726" i="15"/>
  <c r="L1725" i="15"/>
  <c r="J1725" i="15"/>
  <c r="F1725" i="15"/>
  <c r="E1725" i="15"/>
  <c r="C1725" i="15"/>
  <c r="I1723" i="15"/>
  <c r="L1722" i="15"/>
  <c r="J1722" i="15"/>
  <c r="F1722" i="15"/>
  <c r="E1722" i="15"/>
  <c r="C1722" i="15"/>
  <c r="I1720" i="15"/>
  <c r="L1719" i="15"/>
  <c r="J1719" i="15"/>
  <c r="F1719" i="15"/>
  <c r="E1719" i="15"/>
  <c r="C1719" i="15"/>
  <c r="I1717" i="15"/>
  <c r="L1716" i="15"/>
  <c r="J1716" i="15"/>
  <c r="F1716" i="15"/>
  <c r="E1716" i="15"/>
  <c r="C1716" i="15"/>
  <c r="I1714" i="15"/>
  <c r="L1713" i="15"/>
  <c r="J1713" i="15"/>
  <c r="F1713" i="15"/>
  <c r="E1713" i="15"/>
  <c r="C1713" i="15"/>
  <c r="I1711" i="15"/>
  <c r="L1710" i="15"/>
  <c r="J1710" i="15"/>
  <c r="F1710" i="15"/>
  <c r="E1710" i="15"/>
  <c r="C1710" i="15"/>
  <c r="A1710" i="15"/>
  <c r="B1708" i="15"/>
  <c r="A1708" i="15"/>
  <c r="I1689" i="15"/>
  <c r="L1688" i="15"/>
  <c r="J1688" i="15"/>
  <c r="F1688" i="15"/>
  <c r="E1688" i="15"/>
  <c r="C1688" i="15"/>
  <c r="I1686" i="15"/>
  <c r="L1685" i="15"/>
  <c r="J1685" i="15"/>
  <c r="F1685" i="15"/>
  <c r="E1685" i="15"/>
  <c r="C1685" i="15"/>
  <c r="I1683" i="15"/>
  <c r="L1682" i="15"/>
  <c r="J1682" i="15"/>
  <c r="F1682" i="15"/>
  <c r="E1682" i="15"/>
  <c r="C1682" i="15"/>
  <c r="I1680" i="15"/>
  <c r="L1679" i="15"/>
  <c r="J1679" i="15"/>
  <c r="F1679" i="15"/>
  <c r="E1679" i="15"/>
  <c r="C1679" i="15"/>
  <c r="I1677" i="15"/>
  <c r="B1677" i="15"/>
  <c r="L1676" i="15"/>
  <c r="J1676" i="15"/>
  <c r="F1676" i="15"/>
  <c r="E1676" i="15"/>
  <c r="C1676" i="15"/>
  <c r="A1674" i="15"/>
  <c r="I1672" i="15"/>
  <c r="L1671" i="15"/>
  <c r="J1671" i="15"/>
  <c r="F1671" i="15"/>
  <c r="E1671" i="15"/>
  <c r="C1671" i="15"/>
  <c r="I1669" i="15"/>
  <c r="L1668" i="15"/>
  <c r="J1668" i="15"/>
  <c r="F1668" i="15"/>
  <c r="E1668" i="15"/>
  <c r="C1668" i="15"/>
  <c r="I1666" i="15"/>
  <c r="L1665" i="15"/>
  <c r="J1665" i="15"/>
  <c r="F1665" i="15"/>
  <c r="E1665" i="15"/>
  <c r="C1665" i="15"/>
  <c r="I1663" i="15"/>
  <c r="L1662" i="15"/>
  <c r="J1662" i="15"/>
  <c r="F1662" i="15"/>
  <c r="E1662" i="15"/>
  <c r="C1662" i="15"/>
  <c r="B1662" i="15"/>
  <c r="I1660" i="15"/>
  <c r="L1659" i="15"/>
  <c r="J1659" i="15"/>
  <c r="F1659" i="15"/>
  <c r="E1659" i="15"/>
  <c r="C1659" i="15"/>
  <c r="A1657" i="15"/>
  <c r="I1655" i="15"/>
  <c r="L1654" i="15"/>
  <c r="J1654" i="15"/>
  <c r="F1654" i="15"/>
  <c r="E1654" i="15"/>
  <c r="C1654" i="15"/>
  <c r="I1652" i="15"/>
  <c r="L1651" i="15"/>
  <c r="J1651" i="15"/>
  <c r="F1651" i="15"/>
  <c r="E1651" i="15"/>
  <c r="C1651" i="15"/>
  <c r="I1649" i="15"/>
  <c r="L1648" i="15"/>
  <c r="J1648" i="15"/>
  <c r="F1648" i="15"/>
  <c r="E1648" i="15"/>
  <c r="C1648" i="15"/>
  <c r="I1646" i="15"/>
  <c r="L1645" i="15"/>
  <c r="J1645" i="15"/>
  <c r="F1645" i="15"/>
  <c r="E1645" i="15"/>
  <c r="C1645" i="15"/>
  <c r="I1643" i="15"/>
  <c r="L1642" i="15"/>
  <c r="J1642" i="15"/>
  <c r="F1642" i="15"/>
  <c r="E1642" i="15"/>
  <c r="C1642" i="15"/>
  <c r="A1640" i="15"/>
  <c r="I1638" i="15"/>
  <c r="L1637" i="15"/>
  <c r="J1637" i="15"/>
  <c r="F1637" i="15"/>
  <c r="E1637" i="15"/>
  <c r="C1637" i="15"/>
  <c r="I1635" i="15"/>
  <c r="L1634" i="15"/>
  <c r="J1634" i="15"/>
  <c r="F1634" i="15"/>
  <c r="E1634" i="15"/>
  <c r="C1634" i="15"/>
  <c r="I1632" i="15"/>
  <c r="L1631" i="15"/>
  <c r="J1631" i="15"/>
  <c r="F1631" i="15"/>
  <c r="E1631" i="15"/>
  <c r="C1631" i="15"/>
  <c r="I1629" i="15"/>
  <c r="L1628" i="15"/>
  <c r="J1628" i="15"/>
  <c r="F1628" i="15"/>
  <c r="E1628" i="15"/>
  <c r="C1628" i="15"/>
  <c r="I1626" i="15"/>
  <c r="L1625" i="15"/>
  <c r="J1625" i="15"/>
  <c r="F1625" i="15"/>
  <c r="E1625" i="15"/>
  <c r="C1625" i="15"/>
  <c r="A1623" i="15"/>
  <c r="I1621" i="15"/>
  <c r="L1620" i="15"/>
  <c r="J1620" i="15"/>
  <c r="F1620" i="15"/>
  <c r="E1620" i="15"/>
  <c r="C1620" i="15"/>
  <c r="I1618" i="15"/>
  <c r="L1617" i="15"/>
  <c r="J1617" i="15"/>
  <c r="F1617" i="15"/>
  <c r="E1617" i="15"/>
  <c r="C1617" i="15"/>
  <c r="I1615" i="15"/>
  <c r="L1614" i="15"/>
  <c r="J1614" i="15"/>
  <c r="F1614" i="15"/>
  <c r="E1614" i="15"/>
  <c r="C1614" i="15"/>
  <c r="I1612" i="15"/>
  <c r="L1611" i="15"/>
  <c r="J1611" i="15"/>
  <c r="F1611" i="15"/>
  <c r="E1611" i="15"/>
  <c r="C1611" i="15"/>
  <c r="I1609" i="15"/>
  <c r="L1608" i="15"/>
  <c r="J1608" i="15"/>
  <c r="F1608" i="15"/>
  <c r="E1608" i="15"/>
  <c r="C1608" i="15"/>
  <c r="A1606" i="15"/>
  <c r="I1604" i="15"/>
  <c r="L1603" i="15"/>
  <c r="J1603" i="15"/>
  <c r="F1603" i="15"/>
  <c r="E1603" i="15"/>
  <c r="C1603" i="15"/>
  <c r="I1601" i="15"/>
  <c r="L1600" i="15"/>
  <c r="J1600" i="15"/>
  <c r="F1600" i="15"/>
  <c r="E1600" i="15"/>
  <c r="C1600" i="15"/>
  <c r="I1598" i="15"/>
  <c r="L1597" i="15"/>
  <c r="J1597" i="15"/>
  <c r="F1597" i="15"/>
  <c r="E1597" i="15"/>
  <c r="C1597" i="15"/>
  <c r="I1595" i="15"/>
  <c r="L1594" i="15"/>
  <c r="J1594" i="15"/>
  <c r="F1594" i="15"/>
  <c r="E1594" i="15"/>
  <c r="C1594" i="15"/>
  <c r="I1592" i="15"/>
  <c r="L1591" i="15"/>
  <c r="J1591" i="15"/>
  <c r="F1591" i="15"/>
  <c r="E1591" i="15"/>
  <c r="C1591" i="15"/>
  <c r="A1589" i="15"/>
  <c r="I1587" i="15"/>
  <c r="L1586" i="15"/>
  <c r="J1586" i="15"/>
  <c r="F1586" i="15"/>
  <c r="E1586" i="15"/>
  <c r="C1586" i="15"/>
  <c r="I1584" i="15"/>
  <c r="L1583" i="15"/>
  <c r="J1583" i="15"/>
  <c r="F1583" i="15"/>
  <c r="E1583" i="15"/>
  <c r="C1583" i="15"/>
  <c r="I1581" i="15"/>
  <c r="L1580" i="15"/>
  <c r="J1580" i="15"/>
  <c r="F1580" i="15"/>
  <c r="E1580" i="15"/>
  <c r="C1580" i="15"/>
  <c r="I1578" i="15"/>
  <c r="L1577" i="15"/>
  <c r="J1577" i="15"/>
  <c r="F1577" i="15"/>
  <c r="E1577" i="15"/>
  <c r="C1577" i="15"/>
  <c r="I1575" i="15"/>
  <c r="B1575" i="15"/>
  <c r="L1574" i="15"/>
  <c r="J1574" i="15"/>
  <c r="F1574" i="15"/>
  <c r="E1574" i="15"/>
  <c r="C1574" i="15"/>
  <c r="A1572" i="15"/>
  <c r="I1570" i="15"/>
  <c r="L1569" i="15"/>
  <c r="J1569" i="15"/>
  <c r="F1569" i="15"/>
  <c r="E1569" i="15"/>
  <c r="C1569" i="15"/>
  <c r="I1567" i="15"/>
  <c r="L1566" i="15"/>
  <c r="J1566" i="15"/>
  <c r="F1566" i="15"/>
  <c r="E1566" i="15"/>
  <c r="C1566" i="15"/>
  <c r="I1564" i="15"/>
  <c r="L1563" i="15"/>
  <c r="J1563" i="15"/>
  <c r="F1563" i="15"/>
  <c r="E1563" i="15"/>
  <c r="C1563" i="15"/>
  <c r="I1561" i="15"/>
  <c r="L1560" i="15"/>
  <c r="J1560" i="15"/>
  <c r="F1560" i="15"/>
  <c r="E1560" i="15"/>
  <c r="C1560" i="15"/>
  <c r="B1560" i="15"/>
  <c r="I1558" i="15"/>
  <c r="L1557" i="15"/>
  <c r="J1557" i="15"/>
  <c r="F1557" i="15"/>
  <c r="E1557" i="15"/>
  <c r="C1557" i="15"/>
  <c r="A1555" i="15"/>
  <c r="I1553" i="15"/>
  <c r="L1552" i="15"/>
  <c r="J1552" i="15"/>
  <c r="F1552" i="15"/>
  <c r="E1552" i="15"/>
  <c r="C1552" i="15"/>
  <c r="I1550" i="15"/>
  <c r="L1549" i="15"/>
  <c r="J1549" i="15"/>
  <c r="F1549" i="15"/>
  <c r="E1549" i="15"/>
  <c r="C1549" i="15"/>
  <c r="I1547" i="15"/>
  <c r="L1546" i="15"/>
  <c r="J1546" i="15"/>
  <c r="F1546" i="15"/>
  <c r="E1546" i="15"/>
  <c r="C1546" i="15"/>
  <c r="I1544" i="15"/>
  <c r="L1543" i="15"/>
  <c r="J1543" i="15"/>
  <c r="F1543" i="15"/>
  <c r="E1543" i="15"/>
  <c r="C1543" i="15"/>
  <c r="I1541" i="15"/>
  <c r="B1541" i="15"/>
  <c r="L1540" i="15"/>
  <c r="J1540" i="15"/>
  <c r="F1540" i="15"/>
  <c r="E1540" i="15"/>
  <c r="C1540" i="15"/>
  <c r="A1540" i="15"/>
  <c r="B1538" i="15"/>
  <c r="A1538" i="15"/>
  <c r="I1519" i="15"/>
  <c r="L1518" i="15"/>
  <c r="J1518" i="15"/>
  <c r="F1518" i="15"/>
  <c r="E1518" i="15"/>
  <c r="C1518" i="15"/>
  <c r="I1516" i="15"/>
  <c r="L1515" i="15"/>
  <c r="J1515" i="15"/>
  <c r="F1515" i="15"/>
  <c r="E1515" i="15"/>
  <c r="C1515" i="15"/>
  <c r="I1513" i="15"/>
  <c r="L1512" i="15"/>
  <c r="J1512" i="15"/>
  <c r="F1512" i="15"/>
  <c r="E1512" i="15"/>
  <c r="C1512" i="15"/>
  <c r="I1510" i="15"/>
  <c r="L1509" i="15"/>
  <c r="J1509" i="15"/>
  <c r="F1509" i="15"/>
  <c r="E1509" i="15"/>
  <c r="C1509" i="15"/>
  <c r="I1507" i="15"/>
  <c r="L1506" i="15"/>
  <c r="J1506" i="15"/>
  <c r="F1506" i="15"/>
  <c r="E1506" i="15"/>
  <c r="C1506" i="15"/>
  <c r="A1504" i="15"/>
  <c r="I1502" i="15"/>
  <c r="L1501" i="15"/>
  <c r="J1501" i="15"/>
  <c r="F1501" i="15"/>
  <c r="E1501" i="15"/>
  <c r="C1501" i="15"/>
  <c r="I1499" i="15"/>
  <c r="L1498" i="15"/>
  <c r="J1498" i="15"/>
  <c r="F1498" i="15"/>
  <c r="E1498" i="15"/>
  <c r="C1498" i="15"/>
  <c r="I1496" i="15"/>
  <c r="L1495" i="15"/>
  <c r="J1495" i="15"/>
  <c r="F1495" i="15"/>
  <c r="E1495" i="15"/>
  <c r="C1495" i="15"/>
  <c r="I1493" i="15"/>
  <c r="L1492" i="15"/>
  <c r="J1492" i="15"/>
  <c r="F1492" i="15"/>
  <c r="E1492" i="15"/>
  <c r="C1492" i="15"/>
  <c r="I1490" i="15"/>
  <c r="L1489" i="15"/>
  <c r="J1489" i="15"/>
  <c r="F1489" i="15"/>
  <c r="E1489" i="15"/>
  <c r="C1489" i="15"/>
  <c r="A1487" i="15"/>
  <c r="I1485" i="15"/>
  <c r="L1484" i="15"/>
  <c r="J1484" i="15"/>
  <c r="F1484" i="15"/>
  <c r="E1484" i="15"/>
  <c r="C1484" i="15"/>
  <c r="I1482" i="15"/>
  <c r="L1481" i="15"/>
  <c r="J1481" i="15"/>
  <c r="F1481" i="15"/>
  <c r="E1481" i="15"/>
  <c r="C1481" i="15"/>
  <c r="I1479" i="15"/>
  <c r="L1478" i="15"/>
  <c r="J1478" i="15"/>
  <c r="F1478" i="15"/>
  <c r="E1478" i="15"/>
  <c r="C1478" i="15"/>
  <c r="I1476" i="15"/>
  <c r="L1475" i="15"/>
  <c r="J1475" i="15"/>
  <c r="F1475" i="15"/>
  <c r="E1475" i="15"/>
  <c r="C1475" i="15"/>
  <c r="I1473" i="15"/>
  <c r="L1472" i="15"/>
  <c r="J1472" i="15"/>
  <c r="F1472" i="15"/>
  <c r="E1472" i="15"/>
  <c r="C1472" i="15"/>
  <c r="A1470" i="15"/>
  <c r="I1468" i="15"/>
  <c r="L1467" i="15"/>
  <c r="J1467" i="15"/>
  <c r="F1467" i="15"/>
  <c r="E1467" i="15"/>
  <c r="C1467" i="15"/>
  <c r="I1465" i="15"/>
  <c r="L1464" i="15"/>
  <c r="J1464" i="15"/>
  <c r="F1464" i="15"/>
  <c r="E1464" i="15"/>
  <c r="C1464" i="15"/>
  <c r="I1462" i="15"/>
  <c r="L1461" i="15"/>
  <c r="J1461" i="15"/>
  <c r="F1461" i="15"/>
  <c r="E1461" i="15"/>
  <c r="C1461" i="15"/>
  <c r="I1459" i="15"/>
  <c r="L1458" i="15"/>
  <c r="J1458" i="15"/>
  <c r="F1458" i="15"/>
  <c r="E1458" i="15"/>
  <c r="C1458" i="15"/>
  <c r="I1456" i="15"/>
  <c r="L1455" i="15"/>
  <c r="J1455" i="15"/>
  <c r="F1455" i="15"/>
  <c r="E1455" i="15"/>
  <c r="C1455" i="15"/>
  <c r="A1453" i="15"/>
  <c r="I1451" i="15"/>
  <c r="L1450" i="15"/>
  <c r="J1450" i="15"/>
  <c r="F1450" i="15"/>
  <c r="E1450" i="15"/>
  <c r="C1450" i="15"/>
  <c r="I1448" i="15"/>
  <c r="L1447" i="15"/>
  <c r="J1447" i="15"/>
  <c r="F1447" i="15"/>
  <c r="E1447" i="15"/>
  <c r="C1447" i="15"/>
  <c r="I1445" i="15"/>
  <c r="L1444" i="15"/>
  <c r="J1444" i="15"/>
  <c r="F1444" i="15"/>
  <c r="E1444" i="15"/>
  <c r="C1444" i="15"/>
  <c r="I1442" i="15"/>
  <c r="L1441" i="15"/>
  <c r="J1441" i="15"/>
  <c r="F1441" i="15"/>
  <c r="E1441" i="15"/>
  <c r="C1441" i="15"/>
  <c r="I1439" i="15"/>
  <c r="L1438" i="15"/>
  <c r="J1438" i="15"/>
  <c r="F1438" i="15"/>
  <c r="E1438" i="15"/>
  <c r="C1438" i="15"/>
  <c r="A1436" i="15"/>
  <c r="I1434" i="15"/>
  <c r="L1433" i="15"/>
  <c r="J1433" i="15"/>
  <c r="F1433" i="15"/>
  <c r="E1433" i="15"/>
  <c r="C1433" i="15"/>
  <c r="I1431" i="15"/>
  <c r="L1430" i="15"/>
  <c r="J1430" i="15"/>
  <c r="F1430" i="15"/>
  <c r="E1430" i="15"/>
  <c r="C1430" i="15"/>
  <c r="I1428" i="15"/>
  <c r="L1427" i="15"/>
  <c r="J1427" i="15"/>
  <c r="F1427" i="15"/>
  <c r="E1427" i="15"/>
  <c r="C1427" i="15"/>
  <c r="I1425" i="15"/>
  <c r="L1424" i="15"/>
  <c r="J1424" i="15"/>
  <c r="F1424" i="15"/>
  <c r="E1424" i="15"/>
  <c r="C1424" i="15"/>
  <c r="I1422" i="15"/>
  <c r="L1421" i="15"/>
  <c r="J1421" i="15"/>
  <c r="F1421" i="15"/>
  <c r="E1421" i="15"/>
  <c r="C1421" i="15"/>
  <c r="A1419" i="15"/>
  <c r="I1417" i="15"/>
  <c r="L1416" i="15"/>
  <c r="J1416" i="15"/>
  <c r="F1416" i="15"/>
  <c r="E1416" i="15"/>
  <c r="C1416" i="15"/>
  <c r="B1416" i="15"/>
  <c r="I1414" i="15"/>
  <c r="L1413" i="15"/>
  <c r="J1413" i="15"/>
  <c r="F1413" i="15"/>
  <c r="E1413" i="15"/>
  <c r="C1413" i="15"/>
  <c r="I1411" i="15"/>
  <c r="L1410" i="15"/>
  <c r="J1410" i="15"/>
  <c r="F1410" i="15"/>
  <c r="E1410" i="15"/>
  <c r="C1410" i="15"/>
  <c r="I1408" i="15"/>
  <c r="L1407" i="15"/>
  <c r="J1407" i="15"/>
  <c r="F1407" i="15"/>
  <c r="E1407" i="15"/>
  <c r="C1407" i="15"/>
  <c r="I1405" i="15"/>
  <c r="L1404" i="15"/>
  <c r="J1404" i="15"/>
  <c r="F1404" i="15"/>
  <c r="E1404" i="15"/>
  <c r="C1404" i="15"/>
  <c r="A1402" i="15"/>
  <c r="I1400" i="15"/>
  <c r="L1399" i="15"/>
  <c r="J1399" i="15"/>
  <c r="F1399" i="15"/>
  <c r="E1399" i="15"/>
  <c r="C1399" i="15"/>
  <c r="I1397" i="15"/>
  <c r="B1397" i="15"/>
  <c r="L1396" i="15"/>
  <c r="J1396" i="15"/>
  <c r="F1396" i="15"/>
  <c r="E1396" i="15"/>
  <c r="C1396" i="15"/>
  <c r="I1394" i="15"/>
  <c r="L1393" i="15"/>
  <c r="J1393" i="15"/>
  <c r="F1393" i="15"/>
  <c r="E1393" i="15"/>
  <c r="C1393" i="15"/>
  <c r="I1391" i="15"/>
  <c r="L1390" i="15"/>
  <c r="J1390" i="15"/>
  <c r="F1390" i="15"/>
  <c r="E1390" i="15"/>
  <c r="C1390" i="15"/>
  <c r="I1388" i="15"/>
  <c r="L1387" i="15"/>
  <c r="J1387" i="15"/>
  <c r="F1387" i="15"/>
  <c r="E1387" i="15"/>
  <c r="C1387" i="15"/>
  <c r="A1385" i="15"/>
  <c r="I1383" i="15"/>
  <c r="L1382" i="15"/>
  <c r="J1382" i="15"/>
  <c r="F1382" i="15"/>
  <c r="E1382" i="15"/>
  <c r="C1382" i="15"/>
  <c r="I1380" i="15"/>
  <c r="L1379" i="15"/>
  <c r="J1379" i="15"/>
  <c r="F1379" i="15"/>
  <c r="E1379" i="15"/>
  <c r="C1379" i="15"/>
  <c r="I1377" i="15"/>
  <c r="L1376" i="15"/>
  <c r="J1376" i="15"/>
  <c r="F1376" i="15"/>
  <c r="E1376" i="15"/>
  <c r="C1376" i="15"/>
  <c r="I1374" i="15"/>
  <c r="L1373" i="15"/>
  <c r="J1373" i="15"/>
  <c r="F1373" i="15"/>
  <c r="E1373" i="15"/>
  <c r="C1373" i="15"/>
  <c r="I1371" i="15"/>
  <c r="L1370" i="15"/>
  <c r="J1370" i="15"/>
  <c r="F1370" i="15"/>
  <c r="E1370" i="15"/>
  <c r="C1370" i="15"/>
  <c r="A1370" i="15"/>
  <c r="A1368" i="15"/>
  <c r="I1349" i="15"/>
  <c r="L1348" i="15"/>
  <c r="J1348" i="15"/>
  <c r="F1348" i="15"/>
  <c r="E1348" i="15"/>
  <c r="C1348" i="15"/>
  <c r="I1346" i="15"/>
  <c r="L1345" i="15"/>
  <c r="J1345" i="15"/>
  <c r="F1345" i="15"/>
  <c r="E1345" i="15"/>
  <c r="C1345" i="15"/>
  <c r="I1343" i="15"/>
  <c r="L1342" i="15"/>
  <c r="J1342" i="15"/>
  <c r="F1342" i="15"/>
  <c r="E1342" i="15"/>
  <c r="C1342" i="15"/>
  <c r="I1340" i="15"/>
  <c r="B1340" i="15"/>
  <c r="L1339" i="15"/>
  <c r="J1339" i="15"/>
  <c r="F1339" i="15"/>
  <c r="E1339" i="15"/>
  <c r="C1339" i="15"/>
  <c r="I1337" i="15"/>
  <c r="L1336" i="15"/>
  <c r="J1336" i="15"/>
  <c r="F1336" i="15"/>
  <c r="E1336" i="15"/>
  <c r="C1336" i="15"/>
  <c r="A1334" i="15"/>
  <c r="I1332" i="15"/>
  <c r="L1331" i="15"/>
  <c r="J1331" i="15"/>
  <c r="F1331" i="15"/>
  <c r="E1331" i="15"/>
  <c r="D1331" i="15"/>
  <c r="C1331" i="15"/>
  <c r="I1329" i="15"/>
  <c r="L1328" i="15"/>
  <c r="J1328" i="15"/>
  <c r="F1328" i="15"/>
  <c r="E1328" i="15"/>
  <c r="C1328" i="15"/>
  <c r="I1326" i="15"/>
  <c r="L1325" i="15"/>
  <c r="J1325" i="15"/>
  <c r="F1325" i="15"/>
  <c r="E1325" i="15"/>
  <c r="C1325" i="15"/>
  <c r="I1323" i="15"/>
  <c r="L1322" i="15"/>
  <c r="J1322" i="15"/>
  <c r="F1322" i="15"/>
  <c r="E1322" i="15"/>
  <c r="C1322" i="15"/>
  <c r="I1320" i="15"/>
  <c r="L1319" i="15"/>
  <c r="J1319" i="15"/>
  <c r="F1319" i="15"/>
  <c r="E1319" i="15"/>
  <c r="C1319" i="15"/>
  <c r="A1317" i="15"/>
  <c r="I1315" i="15"/>
  <c r="L1314" i="15"/>
  <c r="J1314" i="15"/>
  <c r="F1314" i="15"/>
  <c r="E1314" i="15"/>
  <c r="C1314" i="15"/>
  <c r="I1312" i="15"/>
  <c r="L1311" i="15"/>
  <c r="J1311" i="15"/>
  <c r="F1311" i="15"/>
  <c r="E1311" i="15"/>
  <c r="C1311" i="15"/>
  <c r="I1309" i="15"/>
  <c r="L1308" i="15"/>
  <c r="J1308" i="15"/>
  <c r="F1308" i="15"/>
  <c r="E1308" i="15"/>
  <c r="C1308" i="15"/>
  <c r="I1306" i="15"/>
  <c r="L1305" i="15"/>
  <c r="J1305" i="15"/>
  <c r="F1305" i="15"/>
  <c r="E1305" i="15"/>
  <c r="C1305" i="15"/>
  <c r="I1303" i="15"/>
  <c r="L1302" i="15"/>
  <c r="J1302" i="15"/>
  <c r="F1302" i="15"/>
  <c r="E1302" i="15"/>
  <c r="C1302" i="15"/>
  <c r="A1300" i="15"/>
  <c r="I1298" i="15"/>
  <c r="L1297" i="15"/>
  <c r="J1297" i="15"/>
  <c r="F1297" i="15"/>
  <c r="E1297" i="15"/>
  <c r="C1297" i="15"/>
  <c r="I1295" i="15"/>
  <c r="L1294" i="15"/>
  <c r="J1294" i="15"/>
  <c r="F1294" i="15"/>
  <c r="E1294" i="15"/>
  <c r="C1294" i="15"/>
  <c r="I1292" i="15"/>
  <c r="L1291" i="15"/>
  <c r="J1291" i="15"/>
  <c r="F1291" i="15"/>
  <c r="E1291" i="15"/>
  <c r="C1291" i="15"/>
  <c r="I1289" i="15"/>
  <c r="L1288" i="15"/>
  <c r="J1288" i="15"/>
  <c r="F1288" i="15"/>
  <c r="E1288" i="15"/>
  <c r="C1288" i="15"/>
  <c r="I1286" i="15"/>
  <c r="L1285" i="15"/>
  <c r="J1285" i="15"/>
  <c r="F1285" i="15"/>
  <c r="E1285" i="15"/>
  <c r="C1285" i="15"/>
  <c r="A1283" i="15"/>
  <c r="I1281" i="15"/>
  <c r="L1280" i="15"/>
  <c r="J1280" i="15"/>
  <c r="F1280" i="15"/>
  <c r="E1280" i="15"/>
  <c r="C1280" i="15"/>
  <c r="I1278" i="15"/>
  <c r="L1277" i="15"/>
  <c r="J1277" i="15"/>
  <c r="F1277" i="15"/>
  <c r="E1277" i="15"/>
  <c r="C1277" i="15"/>
  <c r="I1275" i="15"/>
  <c r="L1274" i="15"/>
  <c r="J1274" i="15"/>
  <c r="F1274" i="15"/>
  <c r="E1274" i="15"/>
  <c r="C1274" i="15"/>
  <c r="I1272" i="15"/>
  <c r="L1271" i="15"/>
  <c r="J1271" i="15"/>
  <c r="F1271" i="15"/>
  <c r="E1271" i="15"/>
  <c r="C1271" i="15"/>
  <c r="I1269" i="15"/>
  <c r="L1268" i="15"/>
  <c r="J1268" i="15"/>
  <c r="F1268" i="15"/>
  <c r="E1268" i="15"/>
  <c r="C1268" i="15"/>
  <c r="A1266" i="15"/>
  <c r="I1264" i="15"/>
  <c r="L1263" i="15"/>
  <c r="J1263" i="15"/>
  <c r="F1263" i="15"/>
  <c r="E1263" i="15"/>
  <c r="C1263" i="15"/>
  <c r="I1261" i="15"/>
  <c r="L1260" i="15"/>
  <c r="J1260" i="15"/>
  <c r="F1260" i="15"/>
  <c r="E1260" i="15"/>
  <c r="C1260" i="15"/>
  <c r="I1258" i="15"/>
  <c r="L1257" i="15"/>
  <c r="J1257" i="15"/>
  <c r="F1257" i="15"/>
  <c r="E1257" i="15"/>
  <c r="D1257" i="15"/>
  <c r="C1257" i="15"/>
  <c r="I1255" i="15"/>
  <c r="L1254" i="15"/>
  <c r="J1254" i="15"/>
  <c r="F1254" i="15"/>
  <c r="E1254" i="15"/>
  <c r="C1254" i="15"/>
  <c r="I1252" i="15"/>
  <c r="L1251" i="15"/>
  <c r="J1251" i="15"/>
  <c r="F1251" i="15"/>
  <c r="E1251" i="15"/>
  <c r="C1251" i="15"/>
  <c r="A1249" i="15"/>
  <c r="I1247" i="15"/>
  <c r="L1246" i="15"/>
  <c r="J1246" i="15"/>
  <c r="F1246" i="15"/>
  <c r="E1246" i="15"/>
  <c r="C1246" i="15"/>
  <c r="I1244" i="15"/>
  <c r="L1243" i="15"/>
  <c r="J1243" i="15"/>
  <c r="F1243" i="15"/>
  <c r="E1243" i="15"/>
  <c r="C1243" i="15"/>
  <c r="I1241" i="15"/>
  <c r="B1241" i="15"/>
  <c r="L1240" i="15"/>
  <c r="J1240" i="15"/>
  <c r="F1240" i="15"/>
  <c r="E1240" i="15"/>
  <c r="C1240" i="15"/>
  <c r="I1238" i="15"/>
  <c r="L1237" i="15"/>
  <c r="J1237" i="15"/>
  <c r="F1237" i="15"/>
  <c r="E1237" i="15"/>
  <c r="C1237" i="15"/>
  <c r="B1237" i="15"/>
  <c r="I1235" i="15"/>
  <c r="L1234" i="15"/>
  <c r="J1234" i="15"/>
  <c r="F1234" i="15"/>
  <c r="E1234" i="15"/>
  <c r="C1234" i="15"/>
  <c r="A1232" i="15"/>
  <c r="I1230" i="15"/>
  <c r="L1229" i="15"/>
  <c r="J1229" i="15"/>
  <c r="F1229" i="15"/>
  <c r="E1229" i="15"/>
  <c r="C1229" i="15"/>
  <c r="I1227" i="15"/>
  <c r="L1226" i="15"/>
  <c r="J1226" i="15"/>
  <c r="F1226" i="15"/>
  <c r="E1226" i="15"/>
  <c r="C1226" i="15"/>
  <c r="I1224" i="15"/>
  <c r="L1223" i="15"/>
  <c r="J1223" i="15"/>
  <c r="F1223" i="15"/>
  <c r="E1223" i="15"/>
  <c r="C1223" i="15"/>
  <c r="I1221" i="15"/>
  <c r="L1220" i="15"/>
  <c r="J1220" i="15"/>
  <c r="F1220" i="15"/>
  <c r="E1220" i="15"/>
  <c r="C1220" i="15"/>
  <c r="I1218" i="15"/>
  <c r="L1217" i="15"/>
  <c r="J1217" i="15"/>
  <c r="F1217" i="15"/>
  <c r="E1217" i="15"/>
  <c r="C1217" i="15"/>
  <c r="A1215" i="15"/>
  <c r="I1213" i="15"/>
  <c r="L1212" i="15"/>
  <c r="J1212" i="15"/>
  <c r="F1212" i="15"/>
  <c r="E1212" i="15"/>
  <c r="C1212" i="15"/>
  <c r="I1210" i="15"/>
  <c r="L1209" i="15"/>
  <c r="J1209" i="15"/>
  <c r="F1209" i="15"/>
  <c r="E1209" i="15"/>
  <c r="C1209" i="15"/>
  <c r="I1207" i="15"/>
  <c r="B1207" i="15"/>
  <c r="L1206" i="15"/>
  <c r="J1206" i="15"/>
  <c r="F1206" i="15"/>
  <c r="E1206" i="15"/>
  <c r="C1206" i="15"/>
  <c r="I1204" i="15"/>
  <c r="L1203" i="15"/>
  <c r="J1203" i="15"/>
  <c r="F1203" i="15"/>
  <c r="E1203" i="15"/>
  <c r="C1203" i="15"/>
  <c r="I1201" i="15"/>
  <c r="L1200" i="15"/>
  <c r="J1200" i="15"/>
  <c r="F1200" i="15"/>
  <c r="E1200" i="15"/>
  <c r="D1200" i="15"/>
  <c r="C1200" i="15"/>
  <c r="A1200" i="15"/>
  <c r="A1198" i="15"/>
  <c r="I1179" i="15"/>
  <c r="L1178" i="15"/>
  <c r="J1178" i="15"/>
  <c r="F1178" i="15"/>
  <c r="E1178" i="15"/>
  <c r="C1178" i="15"/>
  <c r="B1178" i="15"/>
  <c r="I1176" i="15"/>
  <c r="L1175" i="15"/>
  <c r="J1175" i="15"/>
  <c r="F1175" i="15"/>
  <c r="E1175" i="15"/>
  <c r="C1175" i="15"/>
  <c r="B1175" i="15"/>
  <c r="I1173" i="15"/>
  <c r="L1172" i="15"/>
  <c r="J1172" i="15"/>
  <c r="F1172" i="15"/>
  <c r="E1172" i="15"/>
  <c r="C1172" i="15"/>
  <c r="I1170" i="15"/>
  <c r="L1169" i="15"/>
  <c r="J1169" i="15"/>
  <c r="F1169" i="15"/>
  <c r="E1169" i="15"/>
  <c r="C1169" i="15"/>
  <c r="I1167" i="15"/>
  <c r="B1167" i="15"/>
  <c r="L1166" i="15"/>
  <c r="J1166" i="15"/>
  <c r="F1166" i="15"/>
  <c r="E1166" i="15"/>
  <c r="C1166" i="15"/>
  <c r="B1164" i="15"/>
  <c r="A1164" i="15"/>
  <c r="I1162" i="15"/>
  <c r="L1161" i="15"/>
  <c r="J1161" i="15"/>
  <c r="F1161" i="15"/>
  <c r="E1161" i="15"/>
  <c r="C1161" i="15"/>
  <c r="I1159" i="15"/>
  <c r="L1158" i="15"/>
  <c r="J1158" i="15"/>
  <c r="F1158" i="15"/>
  <c r="E1158" i="15"/>
  <c r="C1158" i="15"/>
  <c r="I1156" i="15"/>
  <c r="B1156" i="15"/>
  <c r="L1155" i="15"/>
  <c r="J1155" i="15"/>
  <c r="F1155" i="15"/>
  <c r="E1155" i="15"/>
  <c r="C1155" i="15"/>
  <c r="I1153" i="15"/>
  <c r="L1152" i="15"/>
  <c r="J1152" i="15"/>
  <c r="F1152" i="15"/>
  <c r="E1152" i="15"/>
  <c r="D1152" i="15"/>
  <c r="C1152" i="15"/>
  <c r="I1150" i="15"/>
  <c r="L1149" i="15"/>
  <c r="J1149" i="15"/>
  <c r="F1149" i="15"/>
  <c r="E1149" i="15"/>
  <c r="C1149" i="15"/>
  <c r="A1147" i="15"/>
  <c r="I1145" i="15"/>
  <c r="L1144" i="15"/>
  <c r="J1144" i="15"/>
  <c r="F1144" i="15"/>
  <c r="E1144" i="15"/>
  <c r="C1144" i="15"/>
  <c r="I1142" i="15"/>
  <c r="L1141" i="15"/>
  <c r="J1141" i="15"/>
  <c r="F1141" i="15"/>
  <c r="E1141" i="15"/>
  <c r="C1141" i="15"/>
  <c r="B1141" i="15"/>
  <c r="I1139" i="15"/>
  <c r="L1138" i="15"/>
  <c r="J1138" i="15"/>
  <c r="F1138" i="15"/>
  <c r="E1138" i="15"/>
  <c r="C1138" i="15"/>
  <c r="I1136" i="15"/>
  <c r="L1135" i="15"/>
  <c r="J1135" i="15"/>
  <c r="F1135" i="15"/>
  <c r="E1135" i="15"/>
  <c r="C1135" i="15"/>
  <c r="I1133" i="15"/>
  <c r="L1132" i="15"/>
  <c r="J1132" i="15"/>
  <c r="F1132" i="15"/>
  <c r="E1132" i="15"/>
  <c r="C1132" i="15"/>
  <c r="A1130" i="15"/>
  <c r="I1128" i="15"/>
  <c r="L1127" i="15"/>
  <c r="J1127" i="15"/>
  <c r="F1127" i="15"/>
  <c r="E1127" i="15"/>
  <c r="C1127" i="15"/>
  <c r="I1125" i="15"/>
  <c r="L1124" i="15"/>
  <c r="J1124" i="15"/>
  <c r="F1124" i="15"/>
  <c r="E1124" i="15"/>
  <c r="C1124" i="15"/>
  <c r="I1122" i="15"/>
  <c r="L1121" i="15"/>
  <c r="J1121" i="15"/>
  <c r="F1121" i="15"/>
  <c r="E1121" i="15"/>
  <c r="C1121" i="15"/>
  <c r="I1119" i="15"/>
  <c r="L1118" i="15"/>
  <c r="J1118" i="15"/>
  <c r="F1118" i="15"/>
  <c r="E1118" i="15"/>
  <c r="C1118" i="15"/>
  <c r="I1116" i="15"/>
  <c r="L1115" i="15"/>
  <c r="J1115" i="15"/>
  <c r="F1115" i="15"/>
  <c r="E1115" i="15"/>
  <c r="C1115" i="15"/>
  <c r="A1113" i="15"/>
  <c r="I1111" i="15"/>
  <c r="B1111" i="15"/>
  <c r="L1110" i="15"/>
  <c r="J1110" i="15"/>
  <c r="F1110" i="15"/>
  <c r="E1110" i="15"/>
  <c r="C1110" i="15"/>
  <c r="I1108" i="15"/>
  <c r="L1107" i="15"/>
  <c r="J1107" i="15"/>
  <c r="F1107" i="15"/>
  <c r="E1107" i="15"/>
  <c r="C1107" i="15"/>
  <c r="I1105" i="15"/>
  <c r="L1104" i="15"/>
  <c r="J1104" i="15"/>
  <c r="F1104" i="15"/>
  <c r="E1104" i="15"/>
  <c r="D1104" i="15"/>
  <c r="C1104" i="15"/>
  <c r="I1102" i="15"/>
  <c r="L1101" i="15"/>
  <c r="J1101" i="15"/>
  <c r="F1101" i="15"/>
  <c r="E1101" i="15"/>
  <c r="C1101" i="15"/>
  <c r="I1099" i="15"/>
  <c r="L1098" i="15"/>
  <c r="J1098" i="15"/>
  <c r="F1098" i="15"/>
  <c r="E1098" i="15"/>
  <c r="C1098" i="15"/>
  <c r="A1096" i="15"/>
  <c r="I1094" i="15"/>
  <c r="L1093" i="15"/>
  <c r="J1093" i="15"/>
  <c r="F1093" i="15"/>
  <c r="E1093" i="15"/>
  <c r="D1093" i="15"/>
  <c r="C1093" i="15"/>
  <c r="I1091" i="15"/>
  <c r="L1090" i="15"/>
  <c r="J1090" i="15"/>
  <c r="F1090" i="15"/>
  <c r="E1090" i="15"/>
  <c r="C1090" i="15"/>
  <c r="I1088" i="15"/>
  <c r="L1087" i="15"/>
  <c r="J1087" i="15"/>
  <c r="F1087" i="15"/>
  <c r="E1087" i="15"/>
  <c r="C1087" i="15"/>
  <c r="I1085" i="15"/>
  <c r="L1084" i="15"/>
  <c r="J1084" i="15"/>
  <c r="F1084" i="15"/>
  <c r="E1084" i="15"/>
  <c r="C1084" i="15"/>
  <c r="B1084" i="15"/>
  <c r="I1082" i="15"/>
  <c r="L1081" i="15"/>
  <c r="J1081" i="15"/>
  <c r="F1081" i="15"/>
  <c r="E1081" i="15"/>
  <c r="C1081" i="15"/>
  <c r="A1079" i="15"/>
  <c r="I1077" i="15"/>
  <c r="L1076" i="15"/>
  <c r="J1076" i="15"/>
  <c r="F1076" i="15"/>
  <c r="E1076" i="15"/>
  <c r="C1076" i="15"/>
  <c r="B1076" i="15"/>
  <c r="I1074" i="15"/>
  <c r="L1073" i="15"/>
  <c r="J1073" i="15"/>
  <c r="F1073" i="15"/>
  <c r="E1073" i="15"/>
  <c r="C1073" i="15"/>
  <c r="I1071" i="15"/>
  <c r="L1070" i="15"/>
  <c r="J1070" i="15"/>
  <c r="F1070" i="15"/>
  <c r="E1070" i="15"/>
  <c r="C1070" i="15"/>
  <c r="I1068" i="15"/>
  <c r="L1067" i="15"/>
  <c r="J1067" i="15"/>
  <c r="F1067" i="15"/>
  <c r="E1067" i="15"/>
  <c r="C1067" i="15"/>
  <c r="I1065" i="15"/>
  <c r="L1064" i="15"/>
  <c r="J1064" i="15"/>
  <c r="F1064" i="15"/>
  <c r="E1064" i="15"/>
  <c r="C1064" i="15"/>
  <c r="A1062" i="15"/>
  <c r="I1060" i="15"/>
  <c r="L1059" i="15"/>
  <c r="J1059" i="15"/>
  <c r="F1059" i="15"/>
  <c r="E1059" i="15"/>
  <c r="C1059" i="15"/>
  <c r="I1057" i="15"/>
  <c r="L1056" i="15"/>
  <c r="J1056" i="15"/>
  <c r="F1056" i="15"/>
  <c r="E1056" i="15"/>
  <c r="C1056" i="15"/>
  <c r="I1054" i="15"/>
  <c r="L1053" i="15"/>
  <c r="J1053" i="15"/>
  <c r="F1053" i="15"/>
  <c r="E1053" i="15"/>
  <c r="C1053" i="15"/>
  <c r="I1051" i="15"/>
  <c r="L1050" i="15"/>
  <c r="J1050" i="15"/>
  <c r="F1050" i="15"/>
  <c r="E1050" i="15"/>
  <c r="C1050" i="15"/>
  <c r="I1048" i="15"/>
  <c r="L1047" i="15"/>
  <c r="J1047" i="15"/>
  <c r="F1047" i="15"/>
  <c r="E1047" i="15"/>
  <c r="C1047" i="15"/>
  <c r="A1045" i="15"/>
  <c r="I1043" i="15"/>
  <c r="L1042" i="15"/>
  <c r="J1042" i="15"/>
  <c r="F1042" i="15"/>
  <c r="E1042" i="15"/>
  <c r="C1042" i="15"/>
  <c r="I1040" i="15"/>
  <c r="L1039" i="15"/>
  <c r="J1039" i="15"/>
  <c r="F1039" i="15"/>
  <c r="E1039" i="15"/>
  <c r="C1039" i="15"/>
  <c r="I1037" i="15"/>
  <c r="L1036" i="15"/>
  <c r="J1036" i="15"/>
  <c r="F1036" i="15"/>
  <c r="E1036" i="15"/>
  <c r="C1036" i="15"/>
  <c r="I1034" i="15"/>
  <c r="L1033" i="15"/>
  <c r="J1033" i="15"/>
  <c r="F1033" i="15"/>
  <c r="E1033" i="15"/>
  <c r="C1033" i="15"/>
  <c r="I1031" i="15"/>
  <c r="L1030" i="15"/>
  <c r="J1030" i="15"/>
  <c r="F1030" i="15"/>
  <c r="E1030" i="15"/>
  <c r="C1030" i="15"/>
  <c r="A1030" i="15"/>
  <c r="A1028" i="15"/>
  <c r="I1009" i="15"/>
  <c r="L1008" i="15"/>
  <c r="J1008" i="15"/>
  <c r="F1008" i="15"/>
  <c r="E1008" i="15"/>
  <c r="C1008" i="15"/>
  <c r="I1006" i="15"/>
  <c r="L1005" i="15"/>
  <c r="J1005" i="15"/>
  <c r="F1005" i="15"/>
  <c r="E1005" i="15"/>
  <c r="C1005" i="15"/>
  <c r="I1003" i="15"/>
  <c r="L1002" i="15"/>
  <c r="J1002" i="15"/>
  <c r="F1002" i="15"/>
  <c r="E1002" i="15"/>
  <c r="C1002" i="15"/>
  <c r="I1000" i="15"/>
  <c r="L999" i="15"/>
  <c r="J999" i="15"/>
  <c r="F999" i="15"/>
  <c r="E999" i="15"/>
  <c r="D999" i="15"/>
  <c r="C999" i="15"/>
  <c r="I997" i="15"/>
  <c r="L996" i="15"/>
  <c r="J996" i="15"/>
  <c r="F996" i="15"/>
  <c r="E996" i="15"/>
  <c r="C996" i="15"/>
  <c r="A994" i="15"/>
  <c r="I992" i="15"/>
  <c r="L991" i="15"/>
  <c r="J991" i="15"/>
  <c r="F991" i="15"/>
  <c r="E991" i="15"/>
  <c r="C991" i="15"/>
  <c r="I989" i="15"/>
  <c r="L988" i="15"/>
  <c r="J988" i="15"/>
  <c r="F988" i="15"/>
  <c r="E988" i="15"/>
  <c r="C988" i="15"/>
  <c r="I986" i="15"/>
  <c r="L985" i="15"/>
  <c r="J985" i="15"/>
  <c r="F985" i="15"/>
  <c r="E985" i="15"/>
  <c r="C985" i="15"/>
  <c r="I983" i="15"/>
  <c r="L982" i="15"/>
  <c r="J982" i="15"/>
  <c r="F982" i="15"/>
  <c r="E982" i="15"/>
  <c r="C982" i="15"/>
  <c r="I980" i="15"/>
  <c r="L979" i="15"/>
  <c r="J979" i="15"/>
  <c r="F979" i="15"/>
  <c r="E979" i="15"/>
  <c r="C979" i="15"/>
  <c r="B979" i="15"/>
  <c r="A977" i="15"/>
  <c r="I975" i="15"/>
  <c r="L974" i="15"/>
  <c r="J974" i="15"/>
  <c r="F974" i="15"/>
  <c r="E974" i="15"/>
  <c r="C974" i="15"/>
  <c r="I972" i="15"/>
  <c r="L971" i="15"/>
  <c r="J971" i="15"/>
  <c r="F971" i="15"/>
  <c r="E971" i="15"/>
  <c r="C971" i="15"/>
  <c r="I969" i="15"/>
  <c r="L968" i="15"/>
  <c r="J968" i="15"/>
  <c r="F968" i="15"/>
  <c r="E968" i="15"/>
  <c r="C968" i="15"/>
  <c r="B968" i="15"/>
  <c r="I966" i="15"/>
  <c r="L965" i="15"/>
  <c r="J965" i="15"/>
  <c r="F965" i="15"/>
  <c r="E965" i="15"/>
  <c r="C965" i="15"/>
  <c r="I963" i="15"/>
  <c r="L962" i="15"/>
  <c r="J962" i="15"/>
  <c r="F962" i="15"/>
  <c r="E962" i="15"/>
  <c r="C962" i="15"/>
  <c r="A960" i="15"/>
  <c r="I958" i="15"/>
  <c r="L957" i="15"/>
  <c r="J957" i="15"/>
  <c r="F957" i="15"/>
  <c r="E957" i="15"/>
  <c r="C957" i="15"/>
  <c r="I955" i="15"/>
  <c r="L954" i="15"/>
  <c r="J954" i="15"/>
  <c r="F954" i="15"/>
  <c r="E954" i="15"/>
  <c r="D954" i="15"/>
  <c r="C954" i="15"/>
  <c r="I952" i="15"/>
  <c r="L951" i="15"/>
  <c r="J951" i="15"/>
  <c r="F951" i="15"/>
  <c r="E951" i="15"/>
  <c r="C951" i="15"/>
  <c r="I949" i="15"/>
  <c r="L948" i="15"/>
  <c r="J948" i="15"/>
  <c r="F948" i="15"/>
  <c r="E948" i="15"/>
  <c r="C948" i="15"/>
  <c r="I946" i="15"/>
  <c r="L945" i="15"/>
  <c r="J945" i="15"/>
  <c r="F945" i="15"/>
  <c r="E945" i="15"/>
  <c r="C945" i="15"/>
  <c r="A943" i="15"/>
  <c r="I941" i="15"/>
  <c r="L940" i="15"/>
  <c r="J940" i="15"/>
  <c r="F940" i="15"/>
  <c r="E940" i="15"/>
  <c r="C940" i="15"/>
  <c r="I938" i="15"/>
  <c r="L937" i="15"/>
  <c r="J937" i="15"/>
  <c r="F937" i="15"/>
  <c r="E937" i="15"/>
  <c r="C937" i="15"/>
  <c r="I935" i="15"/>
  <c r="L934" i="15"/>
  <c r="J934" i="15"/>
  <c r="F934" i="15"/>
  <c r="E934" i="15"/>
  <c r="C934" i="15"/>
  <c r="B934" i="15"/>
  <c r="I932" i="15"/>
  <c r="L931" i="15"/>
  <c r="J931" i="15"/>
  <c r="F931" i="15"/>
  <c r="E931" i="15"/>
  <c r="C931" i="15"/>
  <c r="B931" i="15"/>
  <c r="I929" i="15"/>
  <c r="L928" i="15"/>
  <c r="J928" i="15"/>
  <c r="F928" i="15"/>
  <c r="E928" i="15"/>
  <c r="C928" i="15"/>
  <c r="A926" i="15"/>
  <c r="I924" i="15"/>
  <c r="L923" i="15"/>
  <c r="J923" i="15"/>
  <c r="F923" i="15"/>
  <c r="E923" i="15"/>
  <c r="C923" i="15"/>
  <c r="I921" i="15"/>
  <c r="L920" i="15"/>
  <c r="J920" i="15"/>
  <c r="F920" i="15"/>
  <c r="E920" i="15"/>
  <c r="C920" i="15"/>
  <c r="I918" i="15"/>
  <c r="L917" i="15"/>
  <c r="J917" i="15"/>
  <c r="F917" i="15"/>
  <c r="E917" i="15"/>
  <c r="C917" i="15"/>
  <c r="I915" i="15"/>
  <c r="L914" i="15"/>
  <c r="J914" i="15"/>
  <c r="F914" i="15"/>
  <c r="E914" i="15"/>
  <c r="C914" i="15"/>
  <c r="I912" i="15"/>
  <c r="L911" i="15"/>
  <c r="J911" i="15"/>
  <c r="F911" i="15"/>
  <c r="E911" i="15"/>
  <c r="C911" i="15"/>
  <c r="A909" i="15"/>
  <c r="I907" i="15"/>
  <c r="L906" i="15"/>
  <c r="J906" i="15"/>
  <c r="F906" i="15"/>
  <c r="E906" i="15"/>
  <c r="D906" i="15"/>
  <c r="C906" i="15"/>
  <c r="I904" i="15"/>
  <c r="L903" i="15"/>
  <c r="J903" i="15"/>
  <c r="F903" i="15"/>
  <c r="E903" i="15"/>
  <c r="C903" i="15"/>
  <c r="I901" i="15"/>
  <c r="L900" i="15"/>
  <c r="J900" i="15"/>
  <c r="F900" i="15"/>
  <c r="E900" i="15"/>
  <c r="C900" i="15"/>
  <c r="I898" i="15"/>
  <c r="L897" i="15"/>
  <c r="J897" i="15"/>
  <c r="F897" i="15"/>
  <c r="E897" i="15"/>
  <c r="C897" i="15"/>
  <c r="B897" i="15"/>
  <c r="I895" i="15"/>
  <c r="L894" i="15"/>
  <c r="J894" i="15"/>
  <c r="F894" i="15"/>
  <c r="E894" i="15"/>
  <c r="C894" i="15"/>
  <c r="A892" i="15"/>
  <c r="I890" i="15"/>
  <c r="L889" i="15"/>
  <c r="J889" i="15"/>
  <c r="F889" i="15"/>
  <c r="E889" i="15"/>
  <c r="C889" i="15"/>
  <c r="B889" i="15"/>
  <c r="I887" i="15"/>
  <c r="L886" i="15"/>
  <c r="J886" i="15"/>
  <c r="F886" i="15"/>
  <c r="E886" i="15"/>
  <c r="C886" i="15"/>
  <c r="B886" i="15"/>
  <c r="I884" i="15"/>
  <c r="L883" i="15"/>
  <c r="J883" i="15"/>
  <c r="F883" i="15"/>
  <c r="E883" i="15"/>
  <c r="C883" i="15"/>
  <c r="I881" i="15"/>
  <c r="L880" i="15"/>
  <c r="J880" i="15"/>
  <c r="F880" i="15"/>
  <c r="E880" i="15"/>
  <c r="C880" i="15"/>
  <c r="I878" i="15"/>
  <c r="L877" i="15"/>
  <c r="J877" i="15"/>
  <c r="F877" i="15"/>
  <c r="E877" i="15"/>
  <c r="C877" i="15"/>
  <c r="A875" i="15"/>
  <c r="I873" i="15"/>
  <c r="L872" i="15"/>
  <c r="J872" i="15"/>
  <c r="F872" i="15"/>
  <c r="E872" i="15"/>
  <c r="C872" i="15"/>
  <c r="I870" i="15"/>
  <c r="L869" i="15"/>
  <c r="J869" i="15"/>
  <c r="F869" i="15"/>
  <c r="E869" i="15"/>
  <c r="C869" i="15"/>
  <c r="I867" i="15"/>
  <c r="L866" i="15"/>
  <c r="J866" i="15"/>
  <c r="F866" i="15"/>
  <c r="E866" i="15"/>
  <c r="C866" i="15"/>
  <c r="I864" i="15"/>
  <c r="L863" i="15"/>
  <c r="J863" i="15"/>
  <c r="F863" i="15"/>
  <c r="E863" i="15"/>
  <c r="C863" i="15"/>
  <c r="I861" i="15"/>
  <c r="L860" i="15"/>
  <c r="J860" i="15"/>
  <c r="F860" i="15"/>
  <c r="E860" i="15"/>
  <c r="C860" i="15"/>
  <c r="A860" i="15"/>
  <c r="A858" i="15"/>
  <c r="I839" i="15"/>
  <c r="B839" i="15"/>
  <c r="L838" i="15"/>
  <c r="J838" i="15"/>
  <c r="F838" i="15"/>
  <c r="E838" i="15"/>
  <c r="C838" i="15"/>
  <c r="B838" i="15"/>
  <c r="I836" i="15"/>
  <c r="L835" i="15"/>
  <c r="J835" i="15"/>
  <c r="F835" i="15"/>
  <c r="E835" i="15"/>
  <c r="C835" i="15"/>
  <c r="I833" i="15"/>
  <c r="L832" i="15"/>
  <c r="J832" i="15"/>
  <c r="F832" i="15"/>
  <c r="E832" i="15"/>
  <c r="C832" i="15"/>
  <c r="I830" i="15"/>
  <c r="L829" i="15"/>
  <c r="J829" i="15"/>
  <c r="F829" i="15"/>
  <c r="E829" i="15"/>
  <c r="C829" i="15"/>
  <c r="I827" i="15"/>
  <c r="L826" i="15"/>
  <c r="J826" i="15"/>
  <c r="F826" i="15"/>
  <c r="E826" i="15"/>
  <c r="C826" i="15"/>
  <c r="B824" i="15"/>
  <c r="A824" i="15"/>
  <c r="I822" i="15"/>
  <c r="L821" i="15"/>
  <c r="J821" i="15"/>
  <c r="F821" i="15"/>
  <c r="E821" i="15"/>
  <c r="C821" i="15"/>
  <c r="I819" i="15"/>
  <c r="L818" i="15"/>
  <c r="J818" i="15"/>
  <c r="F818" i="15"/>
  <c r="E818" i="15"/>
  <c r="C818" i="15"/>
  <c r="I816" i="15"/>
  <c r="L815" i="15"/>
  <c r="J815" i="15"/>
  <c r="F815" i="15"/>
  <c r="E815" i="15"/>
  <c r="C815" i="15"/>
  <c r="I813" i="15"/>
  <c r="L812" i="15"/>
  <c r="J812" i="15"/>
  <c r="F812" i="15"/>
  <c r="E812" i="15"/>
  <c r="C812" i="15"/>
  <c r="I810" i="15"/>
  <c r="L809" i="15"/>
  <c r="J809" i="15"/>
  <c r="F809" i="15"/>
  <c r="E809" i="15"/>
  <c r="C809" i="15"/>
  <c r="A807" i="15"/>
  <c r="I805" i="15"/>
  <c r="L804" i="15"/>
  <c r="J804" i="15"/>
  <c r="F804" i="15"/>
  <c r="E804" i="15"/>
  <c r="C804" i="15"/>
  <c r="I802" i="15"/>
  <c r="L801" i="15"/>
  <c r="J801" i="15"/>
  <c r="F801" i="15"/>
  <c r="E801" i="15"/>
  <c r="C801" i="15"/>
  <c r="I799" i="15"/>
  <c r="L798" i="15"/>
  <c r="J798" i="15"/>
  <c r="F798" i="15"/>
  <c r="E798" i="15"/>
  <c r="C798" i="15"/>
  <c r="I796" i="15"/>
  <c r="L795" i="15"/>
  <c r="J795" i="15"/>
  <c r="F795" i="15"/>
  <c r="E795" i="15"/>
  <c r="C795" i="15"/>
  <c r="I793" i="15"/>
  <c r="L792" i="15"/>
  <c r="J792" i="15"/>
  <c r="F792" i="15"/>
  <c r="E792" i="15"/>
  <c r="C792" i="15"/>
  <c r="A790" i="15"/>
  <c r="I788" i="15"/>
  <c r="L787" i="15"/>
  <c r="J787" i="15"/>
  <c r="F787" i="15"/>
  <c r="E787" i="15"/>
  <c r="C787" i="15"/>
  <c r="I785" i="15"/>
  <c r="L784" i="15"/>
  <c r="J784" i="15"/>
  <c r="F784" i="15"/>
  <c r="E784" i="15"/>
  <c r="C784" i="15"/>
  <c r="I782" i="15"/>
  <c r="L781" i="15"/>
  <c r="J781" i="15"/>
  <c r="F781" i="15"/>
  <c r="E781" i="15"/>
  <c r="C781" i="15"/>
  <c r="I779" i="15"/>
  <c r="L778" i="15"/>
  <c r="J778" i="15"/>
  <c r="F778" i="15"/>
  <c r="E778" i="15"/>
  <c r="C778" i="15"/>
  <c r="I776" i="15"/>
  <c r="L775" i="15"/>
  <c r="J775" i="15"/>
  <c r="F775" i="15"/>
  <c r="E775" i="15"/>
  <c r="C775" i="15"/>
  <c r="A773" i="15"/>
  <c r="I771" i="15"/>
  <c r="L770" i="15"/>
  <c r="J770" i="15"/>
  <c r="F770" i="15"/>
  <c r="E770" i="15"/>
  <c r="C770" i="15"/>
  <c r="I768" i="15"/>
  <c r="L767" i="15"/>
  <c r="J767" i="15"/>
  <c r="F767" i="15"/>
  <c r="E767" i="15"/>
  <c r="C767" i="15"/>
  <c r="I765" i="15"/>
  <c r="L764" i="15"/>
  <c r="J764" i="15"/>
  <c r="F764" i="15"/>
  <c r="E764" i="15"/>
  <c r="C764" i="15"/>
  <c r="I762" i="15"/>
  <c r="L761" i="15"/>
  <c r="J761" i="15"/>
  <c r="F761" i="15"/>
  <c r="E761" i="15"/>
  <c r="C761" i="15"/>
  <c r="I759" i="15"/>
  <c r="L758" i="15"/>
  <c r="J758" i="15"/>
  <c r="F758" i="15"/>
  <c r="E758" i="15"/>
  <c r="C758" i="15"/>
  <c r="A756" i="15"/>
  <c r="I754" i="15"/>
  <c r="L753" i="15"/>
  <c r="J753" i="15"/>
  <c r="F753" i="15"/>
  <c r="E753" i="15"/>
  <c r="C753" i="15"/>
  <c r="I751" i="15"/>
  <c r="L750" i="15"/>
  <c r="J750" i="15"/>
  <c r="F750" i="15"/>
  <c r="E750" i="15"/>
  <c r="C750" i="15"/>
  <c r="I748" i="15"/>
  <c r="L747" i="15"/>
  <c r="J747" i="15"/>
  <c r="F747" i="15"/>
  <c r="E747" i="15"/>
  <c r="C747" i="15"/>
  <c r="I745" i="15"/>
  <c r="L744" i="15"/>
  <c r="J744" i="15"/>
  <c r="F744" i="15"/>
  <c r="E744" i="15"/>
  <c r="C744" i="15"/>
  <c r="I742" i="15"/>
  <c r="L741" i="15"/>
  <c r="J741" i="15"/>
  <c r="F741" i="15"/>
  <c r="E741" i="15"/>
  <c r="C741" i="15"/>
  <c r="A739" i="15"/>
  <c r="I737" i="15"/>
  <c r="L736" i="15"/>
  <c r="J736" i="15"/>
  <c r="F736" i="15"/>
  <c r="E736" i="15"/>
  <c r="C736" i="15"/>
  <c r="I734" i="15"/>
  <c r="L733" i="15"/>
  <c r="J733" i="15"/>
  <c r="F733" i="15"/>
  <c r="E733" i="15"/>
  <c r="C733" i="15"/>
  <c r="I731" i="15"/>
  <c r="L730" i="15"/>
  <c r="J730" i="15"/>
  <c r="F730" i="15"/>
  <c r="E730" i="15"/>
  <c r="C730" i="15"/>
  <c r="I728" i="15"/>
  <c r="L727" i="15"/>
  <c r="J727" i="15"/>
  <c r="F727" i="15"/>
  <c r="E727" i="15"/>
  <c r="C727" i="15"/>
  <c r="I725" i="15"/>
  <c r="B725" i="15"/>
  <c r="L724" i="15"/>
  <c r="J724" i="15"/>
  <c r="F724" i="15"/>
  <c r="E724" i="15"/>
  <c r="C724" i="15"/>
  <c r="B722" i="15"/>
  <c r="A722" i="15"/>
  <c r="I720" i="15"/>
  <c r="L719" i="15"/>
  <c r="J719" i="15"/>
  <c r="F719" i="15"/>
  <c r="E719" i="15"/>
  <c r="C719" i="15"/>
  <c r="I717" i="15"/>
  <c r="L716" i="15"/>
  <c r="J716" i="15"/>
  <c r="F716" i="15"/>
  <c r="E716" i="15"/>
  <c r="C716" i="15"/>
  <c r="I714" i="15"/>
  <c r="B714" i="15"/>
  <c r="L713" i="15"/>
  <c r="J713" i="15"/>
  <c r="F713" i="15"/>
  <c r="E713" i="15"/>
  <c r="C713" i="15"/>
  <c r="I711" i="15"/>
  <c r="L710" i="15"/>
  <c r="J710" i="15"/>
  <c r="F710" i="15"/>
  <c r="E710" i="15"/>
  <c r="D710" i="15"/>
  <c r="C710" i="15"/>
  <c r="I708" i="15"/>
  <c r="L707" i="15"/>
  <c r="J707" i="15"/>
  <c r="F707" i="15"/>
  <c r="E707" i="15"/>
  <c r="C707" i="15"/>
  <c r="A705" i="15"/>
  <c r="I703" i="15"/>
  <c r="L702" i="15"/>
  <c r="J702" i="15"/>
  <c r="F702" i="15"/>
  <c r="E702" i="15"/>
  <c r="C702" i="15"/>
  <c r="I700" i="15"/>
  <c r="L699" i="15"/>
  <c r="J699" i="15"/>
  <c r="F699" i="15"/>
  <c r="E699" i="15"/>
  <c r="C699" i="15"/>
  <c r="I697" i="15"/>
  <c r="L696" i="15"/>
  <c r="J696" i="15"/>
  <c r="F696" i="15"/>
  <c r="E696" i="15"/>
  <c r="C696" i="15"/>
  <c r="I694" i="15"/>
  <c r="L693" i="15"/>
  <c r="J693" i="15"/>
  <c r="F693" i="15"/>
  <c r="E693" i="15"/>
  <c r="C693" i="15"/>
  <c r="I691" i="15"/>
  <c r="L690" i="15"/>
  <c r="J690" i="15"/>
  <c r="F690" i="15"/>
  <c r="E690" i="15"/>
  <c r="C690" i="15"/>
  <c r="B690" i="15"/>
  <c r="A690" i="15"/>
  <c r="A688" i="15"/>
  <c r="I669" i="15"/>
  <c r="L668" i="15"/>
  <c r="J668" i="15"/>
  <c r="F668" i="15"/>
  <c r="E668" i="15"/>
  <c r="C668" i="15"/>
  <c r="I666" i="15"/>
  <c r="L665" i="15"/>
  <c r="J665" i="15"/>
  <c r="F665" i="15"/>
  <c r="E665" i="15"/>
  <c r="C665" i="15"/>
  <c r="I663" i="15"/>
  <c r="L662" i="15"/>
  <c r="J662" i="15"/>
  <c r="F662" i="15"/>
  <c r="E662" i="15"/>
  <c r="C662" i="15"/>
  <c r="I660" i="15"/>
  <c r="L659" i="15"/>
  <c r="J659" i="15"/>
  <c r="F659" i="15"/>
  <c r="E659" i="15"/>
  <c r="C659" i="15"/>
  <c r="I657" i="15"/>
  <c r="L656" i="15"/>
  <c r="J656" i="15"/>
  <c r="F656" i="15"/>
  <c r="E656" i="15"/>
  <c r="C656" i="15"/>
  <c r="A654" i="15"/>
  <c r="I652" i="15"/>
  <c r="B652" i="15"/>
  <c r="L651" i="15"/>
  <c r="J651" i="15"/>
  <c r="F651" i="15"/>
  <c r="E651" i="15"/>
  <c r="C651" i="15"/>
  <c r="I649" i="15"/>
  <c r="L648" i="15"/>
  <c r="J648" i="15"/>
  <c r="F648" i="15"/>
  <c r="E648" i="15"/>
  <c r="C648" i="15"/>
  <c r="I646" i="15"/>
  <c r="L645" i="15"/>
  <c r="J645" i="15"/>
  <c r="F645" i="15"/>
  <c r="E645" i="15"/>
  <c r="D645" i="15"/>
  <c r="C645" i="15"/>
  <c r="I643" i="15"/>
  <c r="L642" i="15"/>
  <c r="J642" i="15"/>
  <c r="F642" i="15"/>
  <c r="E642" i="15"/>
  <c r="C642" i="15"/>
  <c r="I640" i="15"/>
  <c r="L639" i="15"/>
  <c r="J639" i="15"/>
  <c r="F639" i="15"/>
  <c r="E639" i="15"/>
  <c r="C639" i="15"/>
  <c r="B639" i="15"/>
  <c r="A637" i="15"/>
  <c r="I635" i="15"/>
  <c r="L634" i="15"/>
  <c r="J634" i="15"/>
  <c r="F634" i="15"/>
  <c r="E634" i="15"/>
  <c r="D634" i="15"/>
  <c r="C634" i="15"/>
  <c r="I632" i="15"/>
  <c r="L631" i="15"/>
  <c r="J631" i="15"/>
  <c r="F631" i="15"/>
  <c r="E631" i="15"/>
  <c r="C631" i="15"/>
  <c r="I629" i="15"/>
  <c r="L628" i="15"/>
  <c r="J628" i="15"/>
  <c r="F628" i="15"/>
  <c r="E628" i="15"/>
  <c r="C628" i="15"/>
  <c r="B628" i="15"/>
  <c r="I626" i="15"/>
  <c r="L625" i="15"/>
  <c r="J625" i="15"/>
  <c r="F625" i="15"/>
  <c r="E625" i="15"/>
  <c r="C625" i="15"/>
  <c r="I623" i="15"/>
  <c r="L622" i="15"/>
  <c r="J622" i="15"/>
  <c r="F622" i="15"/>
  <c r="E622" i="15"/>
  <c r="D622" i="15"/>
  <c r="C622" i="15"/>
  <c r="A620" i="15"/>
  <c r="I618" i="15"/>
  <c r="L617" i="15"/>
  <c r="J617" i="15"/>
  <c r="F617" i="15"/>
  <c r="E617" i="15"/>
  <c r="C617" i="15"/>
  <c r="I615" i="15"/>
  <c r="L614" i="15"/>
  <c r="J614" i="15"/>
  <c r="F614" i="15"/>
  <c r="E614" i="15"/>
  <c r="C614" i="15"/>
  <c r="I612" i="15"/>
  <c r="L611" i="15"/>
  <c r="J611" i="15"/>
  <c r="F611" i="15"/>
  <c r="E611" i="15"/>
  <c r="C611" i="15"/>
  <c r="I609" i="15"/>
  <c r="L608" i="15"/>
  <c r="J608" i="15"/>
  <c r="F608" i="15"/>
  <c r="E608" i="15"/>
  <c r="C608" i="15"/>
  <c r="I606" i="15"/>
  <c r="L605" i="15"/>
  <c r="J605" i="15"/>
  <c r="F605" i="15"/>
  <c r="E605" i="15"/>
  <c r="C605" i="15"/>
  <c r="A603" i="15"/>
  <c r="I601" i="15"/>
  <c r="L600" i="15"/>
  <c r="J600" i="15"/>
  <c r="F600" i="15"/>
  <c r="E600" i="15"/>
  <c r="C600" i="15"/>
  <c r="I598" i="15"/>
  <c r="L597" i="15"/>
  <c r="J597" i="15"/>
  <c r="F597" i="15"/>
  <c r="E597" i="15"/>
  <c r="C597" i="15"/>
  <c r="I595" i="15"/>
  <c r="L594" i="15"/>
  <c r="J594" i="15"/>
  <c r="F594" i="15"/>
  <c r="E594" i="15"/>
  <c r="C594" i="15"/>
  <c r="I592" i="15"/>
  <c r="L591" i="15"/>
  <c r="J591" i="15"/>
  <c r="F591" i="15"/>
  <c r="E591" i="15"/>
  <c r="C591" i="15"/>
  <c r="B591" i="15"/>
  <c r="I589" i="15"/>
  <c r="L588" i="15"/>
  <c r="J588" i="15"/>
  <c r="F588" i="15"/>
  <c r="E588" i="15"/>
  <c r="C588" i="15"/>
  <c r="A586" i="15"/>
  <c r="I584" i="15"/>
  <c r="L583" i="15"/>
  <c r="J583" i="15"/>
  <c r="F583" i="15"/>
  <c r="E583" i="15"/>
  <c r="C583" i="15"/>
  <c r="B583" i="15"/>
  <c r="I581" i="15"/>
  <c r="L580" i="15"/>
  <c r="J580" i="15"/>
  <c r="F580" i="15"/>
  <c r="E580" i="15"/>
  <c r="C580" i="15"/>
  <c r="I578" i="15"/>
  <c r="L577" i="15"/>
  <c r="J577" i="15"/>
  <c r="F577" i="15"/>
  <c r="E577" i="15"/>
  <c r="C577" i="15"/>
  <c r="I575" i="15"/>
  <c r="L574" i="15"/>
  <c r="J574" i="15"/>
  <c r="F574" i="15"/>
  <c r="E574" i="15"/>
  <c r="C574" i="15"/>
  <c r="I572" i="15"/>
  <c r="B572" i="15"/>
  <c r="L571" i="15"/>
  <c r="J571" i="15"/>
  <c r="F571" i="15"/>
  <c r="E571" i="15"/>
  <c r="C571" i="15"/>
  <c r="A569" i="15"/>
  <c r="I567" i="15"/>
  <c r="L566" i="15"/>
  <c r="J566" i="15"/>
  <c r="F566" i="15"/>
  <c r="E566" i="15"/>
  <c r="D566" i="15"/>
  <c r="C566" i="15"/>
  <c r="I564" i="15"/>
  <c r="L563" i="15"/>
  <c r="J563" i="15"/>
  <c r="F563" i="15"/>
  <c r="E563" i="15"/>
  <c r="C563" i="15"/>
  <c r="I561" i="15"/>
  <c r="L560" i="15"/>
  <c r="J560" i="15"/>
  <c r="F560" i="15"/>
  <c r="E560" i="15"/>
  <c r="C560" i="15"/>
  <c r="I558" i="15"/>
  <c r="L557" i="15"/>
  <c r="J557" i="15"/>
  <c r="F557" i="15"/>
  <c r="E557" i="15"/>
  <c r="C557" i="15"/>
  <c r="I555" i="15"/>
  <c r="L554" i="15"/>
  <c r="J554" i="15"/>
  <c r="F554" i="15"/>
  <c r="E554" i="15"/>
  <c r="C554" i="15"/>
  <c r="A552" i="15"/>
  <c r="I550" i="15"/>
  <c r="B550" i="15"/>
  <c r="L549" i="15"/>
  <c r="J549" i="15"/>
  <c r="F549" i="15"/>
  <c r="E549" i="15"/>
  <c r="C549" i="15"/>
  <c r="I547" i="15"/>
  <c r="L546" i="15"/>
  <c r="J546" i="15"/>
  <c r="F546" i="15"/>
  <c r="E546" i="15"/>
  <c r="C546" i="15"/>
  <c r="I544" i="15"/>
  <c r="L543" i="15"/>
  <c r="J543" i="15"/>
  <c r="F543" i="15"/>
  <c r="E543" i="15"/>
  <c r="C543" i="15"/>
  <c r="I541" i="15"/>
  <c r="L540" i="15"/>
  <c r="J540" i="15"/>
  <c r="F540" i="15"/>
  <c r="E540" i="15"/>
  <c r="C540" i="15"/>
  <c r="I538" i="15"/>
  <c r="L537" i="15"/>
  <c r="J537" i="15"/>
  <c r="F537" i="15"/>
  <c r="E537" i="15"/>
  <c r="C537" i="15"/>
  <c r="A535" i="15"/>
  <c r="I533" i="15"/>
  <c r="L532" i="15"/>
  <c r="J532" i="15"/>
  <c r="F532" i="15"/>
  <c r="E532" i="15"/>
  <c r="C532" i="15"/>
  <c r="I530" i="15"/>
  <c r="L529" i="15"/>
  <c r="J529" i="15"/>
  <c r="F529" i="15"/>
  <c r="E529" i="15"/>
  <c r="C529" i="15"/>
  <c r="I527" i="15"/>
  <c r="B527" i="15"/>
  <c r="L526" i="15"/>
  <c r="J526" i="15"/>
  <c r="F526" i="15"/>
  <c r="E526" i="15"/>
  <c r="C526" i="15"/>
  <c r="I524" i="15"/>
  <c r="L523" i="15"/>
  <c r="J523" i="15"/>
  <c r="F523" i="15"/>
  <c r="E523" i="15"/>
  <c r="C523" i="15"/>
  <c r="I521" i="15"/>
  <c r="L520" i="15"/>
  <c r="J520" i="15"/>
  <c r="F520" i="15"/>
  <c r="E520" i="15"/>
  <c r="D520" i="15"/>
  <c r="C520" i="15"/>
  <c r="A520" i="15"/>
  <c r="A518" i="15"/>
  <c r="I499" i="15"/>
  <c r="B499" i="15"/>
  <c r="L498" i="15"/>
  <c r="J498" i="15"/>
  <c r="F498" i="15"/>
  <c r="E498" i="15"/>
  <c r="C498" i="15"/>
  <c r="I496" i="15"/>
  <c r="L495" i="15"/>
  <c r="J495" i="15"/>
  <c r="F495" i="15"/>
  <c r="E495" i="15"/>
  <c r="C495" i="15"/>
  <c r="I493" i="15"/>
  <c r="L492" i="15"/>
  <c r="J492" i="15"/>
  <c r="F492" i="15"/>
  <c r="E492" i="15"/>
  <c r="C492" i="15"/>
  <c r="I490" i="15"/>
  <c r="L489" i="15"/>
  <c r="J489" i="15"/>
  <c r="F489" i="15"/>
  <c r="E489" i="15"/>
  <c r="C489" i="15"/>
  <c r="I487" i="15"/>
  <c r="L486" i="15"/>
  <c r="J486" i="15"/>
  <c r="F486" i="15"/>
  <c r="E486" i="15"/>
  <c r="C486" i="15"/>
  <c r="A484" i="15"/>
  <c r="I482" i="15"/>
  <c r="L481" i="15"/>
  <c r="J481" i="15"/>
  <c r="F481" i="15"/>
  <c r="E481" i="15"/>
  <c r="C481" i="15"/>
  <c r="I479" i="15"/>
  <c r="L478" i="15"/>
  <c r="J478" i="15"/>
  <c r="F478" i="15"/>
  <c r="E478" i="15"/>
  <c r="C478" i="15"/>
  <c r="I476" i="15"/>
  <c r="L475" i="15"/>
  <c r="J475" i="15"/>
  <c r="F475" i="15"/>
  <c r="E475" i="15"/>
  <c r="C475" i="15"/>
  <c r="I473" i="15"/>
  <c r="L472" i="15"/>
  <c r="J472" i="15"/>
  <c r="F472" i="15"/>
  <c r="E472" i="15"/>
  <c r="C472" i="15"/>
  <c r="I470" i="15"/>
  <c r="L469" i="15"/>
  <c r="J469" i="15"/>
  <c r="F469" i="15"/>
  <c r="E469" i="15"/>
  <c r="D469" i="15"/>
  <c r="C469" i="15"/>
  <c r="A467" i="15"/>
  <c r="I465" i="15"/>
  <c r="L464" i="15"/>
  <c r="J464" i="15"/>
  <c r="F464" i="15"/>
  <c r="E464" i="15"/>
  <c r="C464" i="15"/>
  <c r="I462" i="15"/>
  <c r="L461" i="15"/>
  <c r="J461" i="15"/>
  <c r="F461" i="15"/>
  <c r="E461" i="15"/>
  <c r="C461" i="15"/>
  <c r="I459" i="15"/>
  <c r="L458" i="15"/>
  <c r="J458" i="15"/>
  <c r="F458" i="15"/>
  <c r="E458" i="15"/>
  <c r="C458" i="15"/>
  <c r="I456" i="15"/>
  <c r="L455" i="15"/>
  <c r="J455" i="15"/>
  <c r="F455" i="15"/>
  <c r="E455" i="15"/>
  <c r="C455" i="15"/>
  <c r="I453" i="15"/>
  <c r="L452" i="15"/>
  <c r="J452" i="15"/>
  <c r="F452" i="15"/>
  <c r="E452" i="15"/>
  <c r="C452" i="15"/>
  <c r="A450" i="15"/>
  <c r="I448" i="15"/>
  <c r="L447" i="15"/>
  <c r="J447" i="15"/>
  <c r="F447" i="15"/>
  <c r="E447" i="15"/>
  <c r="C447" i="15"/>
  <c r="I445" i="15"/>
  <c r="L444" i="15"/>
  <c r="J444" i="15"/>
  <c r="F444" i="15"/>
  <c r="E444" i="15"/>
  <c r="C444" i="15"/>
  <c r="I442" i="15"/>
  <c r="L441" i="15"/>
  <c r="J441" i="15"/>
  <c r="F441" i="15"/>
  <c r="E441" i="15"/>
  <c r="C441" i="15"/>
  <c r="B441" i="15"/>
  <c r="I439" i="15"/>
  <c r="L438" i="15"/>
  <c r="J438" i="15"/>
  <c r="F438" i="15"/>
  <c r="E438" i="15"/>
  <c r="C438" i="15"/>
  <c r="I436" i="15"/>
  <c r="L435" i="15"/>
  <c r="J435" i="15"/>
  <c r="F435" i="15"/>
  <c r="E435" i="15"/>
  <c r="C435" i="15"/>
  <c r="A433" i="15"/>
  <c r="I431" i="15"/>
  <c r="L430" i="15"/>
  <c r="J430" i="15"/>
  <c r="F430" i="15"/>
  <c r="E430" i="15"/>
  <c r="C430" i="15"/>
  <c r="I428" i="15"/>
  <c r="L427" i="15"/>
  <c r="J427" i="15"/>
  <c r="F427" i="15"/>
  <c r="E427" i="15"/>
  <c r="D427" i="15"/>
  <c r="C427" i="15"/>
  <c r="I425" i="15"/>
  <c r="L424" i="15"/>
  <c r="J424" i="15"/>
  <c r="F424" i="15"/>
  <c r="E424" i="15"/>
  <c r="C424" i="15"/>
  <c r="I422" i="15"/>
  <c r="L421" i="15"/>
  <c r="J421" i="15"/>
  <c r="F421" i="15"/>
  <c r="E421" i="15"/>
  <c r="C421" i="15"/>
  <c r="I419" i="15"/>
  <c r="L418" i="15"/>
  <c r="J418" i="15"/>
  <c r="F418" i="15"/>
  <c r="E418" i="15"/>
  <c r="C418" i="15"/>
  <c r="A416" i="15"/>
  <c r="I414" i="15"/>
  <c r="L413" i="15"/>
  <c r="J413" i="15"/>
  <c r="F413" i="15"/>
  <c r="E413" i="15"/>
  <c r="D413" i="15"/>
  <c r="C413" i="15"/>
  <c r="I411" i="15"/>
  <c r="L410" i="15"/>
  <c r="J410" i="15"/>
  <c r="F410" i="15"/>
  <c r="E410" i="15"/>
  <c r="C410" i="15"/>
  <c r="I408" i="15"/>
  <c r="L407" i="15"/>
  <c r="J407" i="15"/>
  <c r="F407" i="15"/>
  <c r="E407" i="15"/>
  <c r="C407" i="15"/>
  <c r="I405" i="15"/>
  <c r="L404" i="15"/>
  <c r="J404" i="15"/>
  <c r="F404" i="15"/>
  <c r="E404" i="15"/>
  <c r="C404" i="15"/>
  <c r="I402" i="15"/>
  <c r="L401" i="15"/>
  <c r="J401" i="15"/>
  <c r="F401" i="15"/>
  <c r="E401" i="15"/>
  <c r="C401" i="15"/>
  <c r="A399" i="15"/>
  <c r="I397" i="15"/>
  <c r="L396" i="15"/>
  <c r="J396" i="15"/>
  <c r="F396" i="15"/>
  <c r="E396" i="15"/>
  <c r="C396" i="15"/>
  <c r="I394" i="15"/>
  <c r="L393" i="15"/>
  <c r="J393" i="15"/>
  <c r="F393" i="15"/>
  <c r="E393" i="15"/>
  <c r="C393" i="15"/>
  <c r="I391" i="15"/>
  <c r="L390" i="15"/>
  <c r="J390" i="15"/>
  <c r="F390" i="15"/>
  <c r="E390" i="15"/>
  <c r="C390" i="15"/>
  <c r="I388" i="15"/>
  <c r="L387" i="15"/>
  <c r="J387" i="15"/>
  <c r="F387" i="15"/>
  <c r="E387" i="15"/>
  <c r="C387" i="15"/>
  <c r="I385" i="15"/>
  <c r="L384" i="15"/>
  <c r="J384" i="15"/>
  <c r="F384" i="15"/>
  <c r="E384" i="15"/>
  <c r="C384" i="15"/>
  <c r="A382" i="15"/>
  <c r="I380" i="15"/>
  <c r="L379" i="15"/>
  <c r="J379" i="15"/>
  <c r="F379" i="15"/>
  <c r="E379" i="15"/>
  <c r="C379" i="15"/>
  <c r="I377" i="15"/>
  <c r="L376" i="15"/>
  <c r="J376" i="15"/>
  <c r="F376" i="15"/>
  <c r="E376" i="15"/>
  <c r="C376" i="15"/>
  <c r="I374" i="15"/>
  <c r="B374" i="15"/>
  <c r="L373" i="15"/>
  <c r="J373" i="15"/>
  <c r="F373" i="15"/>
  <c r="E373" i="15"/>
  <c r="C373" i="15"/>
  <c r="I371" i="15"/>
  <c r="L370" i="15"/>
  <c r="J370" i="15"/>
  <c r="F370" i="15"/>
  <c r="E370" i="15"/>
  <c r="D370" i="15"/>
  <c r="C370" i="15"/>
  <c r="I368" i="15"/>
  <c r="L367" i="15"/>
  <c r="J367" i="15"/>
  <c r="F367" i="15"/>
  <c r="E367" i="15"/>
  <c r="C367" i="15"/>
  <c r="A365" i="15"/>
  <c r="I363" i="15"/>
  <c r="L362" i="15"/>
  <c r="J362" i="15"/>
  <c r="F362" i="15"/>
  <c r="E362" i="15"/>
  <c r="C362" i="15"/>
  <c r="I360" i="15"/>
  <c r="L359" i="15"/>
  <c r="J359" i="15"/>
  <c r="F359" i="15"/>
  <c r="E359" i="15"/>
  <c r="C359" i="15"/>
  <c r="I357" i="15"/>
  <c r="L356" i="15"/>
  <c r="J356" i="15"/>
  <c r="F356" i="15"/>
  <c r="E356" i="15"/>
  <c r="C356" i="15"/>
  <c r="I354" i="15"/>
  <c r="L353" i="15"/>
  <c r="J353" i="15"/>
  <c r="F353" i="15"/>
  <c r="E353" i="15"/>
  <c r="C353" i="15"/>
  <c r="I351" i="15"/>
  <c r="L350" i="15"/>
  <c r="J350" i="15"/>
  <c r="F350" i="15"/>
  <c r="E350" i="15"/>
  <c r="C350" i="15"/>
  <c r="A350" i="15"/>
  <c r="A348" i="15"/>
  <c r="I329" i="15"/>
  <c r="L328" i="15"/>
  <c r="J328" i="15"/>
  <c r="F328" i="15"/>
  <c r="E328" i="15"/>
  <c r="C328" i="15"/>
  <c r="I326" i="15"/>
  <c r="L325" i="15"/>
  <c r="J325" i="15"/>
  <c r="F325" i="15"/>
  <c r="E325" i="15"/>
  <c r="C325" i="15"/>
  <c r="I323" i="15"/>
  <c r="L322" i="15"/>
  <c r="J322" i="15"/>
  <c r="F322" i="15"/>
  <c r="E322" i="15"/>
  <c r="C322" i="15"/>
  <c r="I320" i="15"/>
  <c r="L319" i="15"/>
  <c r="J319" i="15"/>
  <c r="F319" i="15"/>
  <c r="E319" i="15"/>
  <c r="D319" i="15"/>
  <c r="C319" i="15"/>
  <c r="I317" i="15"/>
  <c r="L316" i="15"/>
  <c r="J316" i="15"/>
  <c r="F316" i="15"/>
  <c r="E316" i="15"/>
  <c r="C316" i="15"/>
  <c r="A314" i="15"/>
  <c r="I312" i="15"/>
  <c r="L311" i="15"/>
  <c r="J311" i="15"/>
  <c r="F311" i="15"/>
  <c r="E311" i="15"/>
  <c r="C311" i="15"/>
  <c r="I309" i="15"/>
  <c r="L308" i="15"/>
  <c r="J308" i="15"/>
  <c r="F308" i="15"/>
  <c r="E308" i="15"/>
  <c r="C308" i="15"/>
  <c r="I306" i="15"/>
  <c r="L305" i="15"/>
  <c r="J305" i="15"/>
  <c r="F305" i="15"/>
  <c r="E305" i="15"/>
  <c r="C305" i="15"/>
  <c r="I303" i="15"/>
  <c r="L302" i="15"/>
  <c r="J302" i="15"/>
  <c r="F302" i="15"/>
  <c r="E302" i="15"/>
  <c r="C302" i="15"/>
  <c r="I300" i="15"/>
  <c r="L299" i="15"/>
  <c r="J299" i="15"/>
  <c r="F299" i="15"/>
  <c r="E299" i="15"/>
  <c r="C299" i="15"/>
  <c r="A297" i="15"/>
  <c r="I295" i="15"/>
  <c r="L294" i="15"/>
  <c r="J294" i="15"/>
  <c r="F294" i="15"/>
  <c r="E294" i="15"/>
  <c r="C294" i="15"/>
  <c r="I292" i="15"/>
  <c r="L291" i="15"/>
  <c r="J291" i="15"/>
  <c r="F291" i="15"/>
  <c r="E291" i="15"/>
  <c r="C291" i="15"/>
  <c r="I289" i="15"/>
  <c r="L288" i="15"/>
  <c r="J288" i="15"/>
  <c r="F288" i="15"/>
  <c r="E288" i="15"/>
  <c r="C288" i="15"/>
  <c r="I286" i="15"/>
  <c r="L285" i="15"/>
  <c r="J285" i="15"/>
  <c r="F285" i="15"/>
  <c r="E285" i="15"/>
  <c r="C285" i="15"/>
  <c r="I283" i="15"/>
  <c r="L282" i="15"/>
  <c r="J282" i="15"/>
  <c r="F282" i="15"/>
  <c r="E282" i="15"/>
  <c r="C282" i="15"/>
  <c r="A280" i="15"/>
  <c r="I278" i="15"/>
  <c r="L277" i="15"/>
  <c r="J277" i="15"/>
  <c r="F277" i="15"/>
  <c r="E277" i="15"/>
  <c r="C277" i="15"/>
  <c r="I275" i="15"/>
  <c r="L274" i="15"/>
  <c r="J274" i="15"/>
  <c r="F274" i="15"/>
  <c r="E274" i="15"/>
  <c r="C274" i="15"/>
  <c r="I272" i="15"/>
  <c r="L271" i="15"/>
  <c r="J271" i="15"/>
  <c r="F271" i="15"/>
  <c r="E271" i="15"/>
  <c r="C271" i="15"/>
  <c r="I269" i="15"/>
  <c r="B269" i="15"/>
  <c r="L268" i="15"/>
  <c r="J268" i="15"/>
  <c r="F268" i="15"/>
  <c r="E268" i="15"/>
  <c r="C268" i="15"/>
  <c r="I266" i="15"/>
  <c r="L265" i="15"/>
  <c r="J265" i="15"/>
  <c r="F265" i="15"/>
  <c r="E265" i="15"/>
  <c r="C265" i="15"/>
  <c r="B263" i="15"/>
  <c r="A263" i="15"/>
  <c r="I261" i="15"/>
  <c r="L260" i="15"/>
  <c r="J260" i="15"/>
  <c r="F260" i="15"/>
  <c r="E260" i="15"/>
  <c r="C260" i="15"/>
  <c r="I258" i="15"/>
  <c r="L257" i="15"/>
  <c r="J257" i="15"/>
  <c r="F257" i="15"/>
  <c r="E257" i="15"/>
  <c r="C257" i="15"/>
  <c r="I255" i="15"/>
  <c r="B255" i="15"/>
  <c r="L254" i="15"/>
  <c r="J254" i="15"/>
  <c r="F254" i="15"/>
  <c r="E254" i="15"/>
  <c r="C254" i="15"/>
  <c r="I252" i="15"/>
  <c r="L251" i="15"/>
  <c r="J251" i="15"/>
  <c r="F251" i="15"/>
  <c r="E251" i="15"/>
  <c r="C251" i="15"/>
  <c r="I249" i="15"/>
  <c r="L248" i="15"/>
  <c r="J248" i="15"/>
  <c r="F248" i="15"/>
  <c r="E248" i="15"/>
  <c r="C248" i="15"/>
  <c r="A246" i="15"/>
  <c r="I244" i="15"/>
  <c r="L243" i="15"/>
  <c r="J243" i="15"/>
  <c r="F243" i="15"/>
  <c r="E243" i="15"/>
  <c r="C243" i="15"/>
  <c r="I241" i="15"/>
  <c r="L240" i="15"/>
  <c r="J240" i="15"/>
  <c r="F240" i="15"/>
  <c r="E240" i="15"/>
  <c r="C240" i="15"/>
  <c r="I238" i="15"/>
  <c r="L237" i="15"/>
  <c r="J237" i="15"/>
  <c r="F237" i="15"/>
  <c r="E237" i="15"/>
  <c r="C237" i="15"/>
  <c r="I235" i="15"/>
  <c r="L234" i="15"/>
  <c r="J234" i="15"/>
  <c r="F234" i="15"/>
  <c r="E234" i="15"/>
  <c r="C234" i="15"/>
  <c r="I232" i="15"/>
  <c r="L231" i="15"/>
  <c r="J231" i="15"/>
  <c r="F231" i="15"/>
  <c r="E231" i="15"/>
  <c r="C231" i="15"/>
  <c r="B231" i="15"/>
  <c r="A229" i="15"/>
  <c r="I227" i="15"/>
  <c r="L226" i="15"/>
  <c r="J226" i="15"/>
  <c r="F226" i="15"/>
  <c r="E226" i="15"/>
  <c r="C226" i="15"/>
  <c r="I224" i="15"/>
  <c r="L223" i="15"/>
  <c r="J223" i="15"/>
  <c r="F223" i="15"/>
  <c r="E223" i="15"/>
  <c r="C223" i="15"/>
  <c r="I221" i="15"/>
  <c r="B221" i="15"/>
  <c r="L220" i="15"/>
  <c r="J220" i="15"/>
  <c r="F220" i="15"/>
  <c r="E220" i="15"/>
  <c r="C220" i="15"/>
  <c r="I218" i="15"/>
  <c r="L217" i="15"/>
  <c r="J217" i="15"/>
  <c r="F217" i="15"/>
  <c r="E217" i="15"/>
  <c r="C217" i="15"/>
  <c r="I215" i="15"/>
  <c r="L214" i="15"/>
  <c r="J214" i="15"/>
  <c r="F214" i="15"/>
  <c r="E214" i="15"/>
  <c r="C214" i="15"/>
  <c r="A212" i="15"/>
  <c r="I210" i="15"/>
  <c r="L209" i="15"/>
  <c r="J209" i="15"/>
  <c r="F209" i="15"/>
  <c r="E209" i="15"/>
  <c r="C209" i="15"/>
  <c r="I207" i="15"/>
  <c r="L206" i="15"/>
  <c r="J206" i="15"/>
  <c r="F206" i="15"/>
  <c r="E206" i="15"/>
  <c r="C206" i="15"/>
  <c r="I204" i="15"/>
  <c r="L203" i="15"/>
  <c r="J203" i="15"/>
  <c r="F203" i="15"/>
  <c r="E203" i="15"/>
  <c r="C203" i="15"/>
  <c r="I201" i="15"/>
  <c r="L200" i="15"/>
  <c r="J200" i="15"/>
  <c r="F200" i="15"/>
  <c r="E200" i="15"/>
  <c r="C200" i="15"/>
  <c r="I198" i="15"/>
  <c r="L197" i="15"/>
  <c r="J197" i="15"/>
  <c r="F197" i="15"/>
  <c r="E197" i="15"/>
  <c r="C197" i="15"/>
  <c r="A195" i="15"/>
  <c r="I193" i="15"/>
  <c r="L192" i="15"/>
  <c r="J192" i="15"/>
  <c r="F192" i="15"/>
  <c r="E192" i="15"/>
  <c r="D192" i="15"/>
  <c r="C192" i="15"/>
  <c r="I190" i="15"/>
  <c r="L189" i="15"/>
  <c r="J189" i="15"/>
  <c r="F189" i="15"/>
  <c r="E189" i="15"/>
  <c r="C189" i="15"/>
  <c r="I187" i="15"/>
  <c r="L186" i="15"/>
  <c r="J186" i="15"/>
  <c r="F186" i="15"/>
  <c r="E186" i="15"/>
  <c r="C186" i="15"/>
  <c r="I184" i="15"/>
  <c r="L183" i="15"/>
  <c r="J183" i="15"/>
  <c r="F183" i="15"/>
  <c r="E183" i="15"/>
  <c r="C183" i="15"/>
  <c r="I181" i="15"/>
  <c r="L180" i="15"/>
  <c r="J180" i="15"/>
  <c r="F180" i="15"/>
  <c r="E180" i="15"/>
  <c r="C180" i="15"/>
  <c r="A180" i="15"/>
  <c r="A178" i="15"/>
  <c r="I159" i="15"/>
  <c r="L158" i="15"/>
  <c r="J158" i="15"/>
  <c r="F158" i="15"/>
  <c r="E158" i="15"/>
  <c r="C158" i="15"/>
  <c r="I156" i="15"/>
  <c r="L155" i="15"/>
  <c r="J155" i="15"/>
  <c r="F155" i="15"/>
  <c r="E155" i="15"/>
  <c r="C155" i="15"/>
  <c r="B155" i="15"/>
  <c r="I153" i="15"/>
  <c r="L152" i="15"/>
  <c r="J152" i="15"/>
  <c r="F152" i="15"/>
  <c r="E152" i="15"/>
  <c r="C152" i="15"/>
  <c r="I150" i="15"/>
  <c r="B150" i="15"/>
  <c r="L149" i="15"/>
  <c r="J149" i="15"/>
  <c r="F149" i="15"/>
  <c r="E149" i="15"/>
  <c r="C149" i="15"/>
  <c r="I147" i="15"/>
  <c r="L146" i="15"/>
  <c r="J146" i="15"/>
  <c r="F146" i="15"/>
  <c r="E146" i="15"/>
  <c r="D146" i="15"/>
  <c r="C146" i="15"/>
  <c r="A144" i="15"/>
  <c r="I142" i="15"/>
  <c r="L141" i="15"/>
  <c r="J141" i="15"/>
  <c r="F141" i="15"/>
  <c r="E141" i="15"/>
  <c r="C141" i="15"/>
  <c r="I139" i="15"/>
  <c r="L138" i="15"/>
  <c r="J138" i="15"/>
  <c r="F138" i="15"/>
  <c r="E138" i="15"/>
  <c r="C138" i="15"/>
  <c r="I136" i="15"/>
  <c r="L135" i="15"/>
  <c r="J135" i="15"/>
  <c r="F135" i="15"/>
  <c r="E135" i="15"/>
  <c r="C135" i="15"/>
  <c r="I133" i="15"/>
  <c r="L132" i="15"/>
  <c r="J132" i="15"/>
  <c r="F132" i="15"/>
  <c r="E132" i="15"/>
  <c r="C132" i="15"/>
  <c r="I130" i="15"/>
  <c r="L129" i="15"/>
  <c r="J129" i="15"/>
  <c r="F129" i="15"/>
  <c r="E129" i="15"/>
  <c r="C129" i="15"/>
  <c r="A127" i="15"/>
  <c r="I125" i="15"/>
  <c r="L124" i="15"/>
  <c r="J124" i="15"/>
  <c r="F124" i="15"/>
  <c r="E124" i="15"/>
  <c r="C124" i="15"/>
  <c r="I122" i="15"/>
  <c r="L121" i="15"/>
  <c r="J121" i="15"/>
  <c r="F121" i="15"/>
  <c r="E121" i="15"/>
  <c r="D121" i="15"/>
  <c r="C121" i="15"/>
  <c r="I119" i="15"/>
  <c r="L118" i="15"/>
  <c r="J118" i="15"/>
  <c r="F118" i="15"/>
  <c r="E118" i="15"/>
  <c r="D118" i="15"/>
  <c r="C118" i="15"/>
  <c r="I116" i="15"/>
  <c r="L115" i="15"/>
  <c r="J115" i="15"/>
  <c r="F115" i="15"/>
  <c r="E115" i="15"/>
  <c r="C115" i="15"/>
  <c r="B115" i="15"/>
  <c r="I113" i="15"/>
  <c r="L112" i="15"/>
  <c r="J112" i="15"/>
  <c r="F112" i="15"/>
  <c r="E112" i="15"/>
  <c r="C112" i="15"/>
  <c r="A110" i="15"/>
  <c r="I108" i="15"/>
  <c r="L107" i="15"/>
  <c r="J107" i="15"/>
  <c r="F107" i="15"/>
  <c r="E107" i="15"/>
  <c r="C107" i="15"/>
  <c r="I105" i="15"/>
  <c r="L104" i="15"/>
  <c r="J104" i="15"/>
  <c r="F104" i="15"/>
  <c r="E104" i="15"/>
  <c r="C104" i="15"/>
  <c r="I102" i="15"/>
  <c r="L101" i="15"/>
  <c r="J101" i="15"/>
  <c r="F101" i="15"/>
  <c r="E101" i="15"/>
  <c r="C101" i="15"/>
  <c r="I99" i="15"/>
  <c r="L98" i="15"/>
  <c r="J98" i="15"/>
  <c r="F98" i="15"/>
  <c r="E98" i="15"/>
  <c r="C98" i="15"/>
  <c r="I96" i="15"/>
  <c r="L95" i="15"/>
  <c r="J95" i="15"/>
  <c r="F95" i="15"/>
  <c r="E95" i="15"/>
  <c r="C95" i="15"/>
  <c r="A93" i="15"/>
  <c r="I91" i="15"/>
  <c r="L90" i="15"/>
  <c r="J90" i="15"/>
  <c r="F90" i="15"/>
  <c r="E90" i="15"/>
  <c r="C90" i="15"/>
  <c r="I88" i="15"/>
  <c r="L87" i="15"/>
  <c r="J87" i="15"/>
  <c r="F87" i="15"/>
  <c r="E87" i="15"/>
  <c r="C87" i="15"/>
  <c r="I85" i="15"/>
  <c r="L84" i="15"/>
  <c r="J84" i="15"/>
  <c r="F84" i="15"/>
  <c r="E84" i="15"/>
  <c r="C84" i="15"/>
  <c r="I82" i="15"/>
  <c r="L81" i="15"/>
  <c r="J81" i="15"/>
  <c r="F81" i="15"/>
  <c r="E81" i="15"/>
  <c r="C81" i="15"/>
  <c r="I79" i="15"/>
  <c r="L78" i="15"/>
  <c r="J78" i="15"/>
  <c r="F78" i="15"/>
  <c r="E78" i="15"/>
  <c r="C78" i="15"/>
  <c r="A76" i="15"/>
  <c r="I74" i="15"/>
  <c r="L73" i="15"/>
  <c r="J73" i="15"/>
  <c r="F73" i="15"/>
  <c r="E73" i="15"/>
  <c r="C73" i="15"/>
  <c r="I71" i="15"/>
  <c r="L70" i="15"/>
  <c r="J70" i="15"/>
  <c r="F70" i="15"/>
  <c r="E70" i="15"/>
  <c r="C70" i="15"/>
  <c r="I68" i="15"/>
  <c r="L67" i="15"/>
  <c r="J67" i="15"/>
  <c r="F67" i="15"/>
  <c r="E67" i="15"/>
  <c r="C67" i="15"/>
  <c r="I65" i="15"/>
  <c r="L64" i="15"/>
  <c r="J64" i="15"/>
  <c r="F64" i="15"/>
  <c r="E64" i="15"/>
  <c r="C64" i="15"/>
  <c r="B64" i="15"/>
  <c r="I62" i="15"/>
  <c r="L61" i="15"/>
  <c r="J61" i="15"/>
  <c r="F61" i="15"/>
  <c r="E61" i="15"/>
  <c r="C61" i="15"/>
  <c r="A59" i="15"/>
  <c r="I57" i="15"/>
  <c r="L56" i="15"/>
  <c r="J56" i="15"/>
  <c r="F56" i="15"/>
  <c r="E56" i="15"/>
  <c r="C56" i="15"/>
  <c r="I54" i="15"/>
  <c r="L53" i="15"/>
  <c r="J53" i="15"/>
  <c r="F53" i="15"/>
  <c r="E53" i="15"/>
  <c r="C53" i="15"/>
  <c r="I51" i="15"/>
  <c r="L50" i="15"/>
  <c r="J50" i="15"/>
  <c r="F50" i="15"/>
  <c r="E50" i="15"/>
  <c r="D50" i="15"/>
  <c r="C50" i="15"/>
  <c r="I48" i="15"/>
  <c r="L47" i="15"/>
  <c r="J47" i="15"/>
  <c r="F47" i="15"/>
  <c r="E47" i="15"/>
  <c r="C47" i="15"/>
  <c r="I45" i="15"/>
  <c r="L44" i="15"/>
  <c r="J44" i="15"/>
  <c r="F44" i="15"/>
  <c r="E44" i="15"/>
  <c r="C44" i="15"/>
  <c r="A42" i="15"/>
  <c r="I40" i="15"/>
  <c r="L39" i="15"/>
  <c r="J39" i="15"/>
  <c r="F39" i="15"/>
  <c r="E39" i="15"/>
  <c r="C39" i="15"/>
  <c r="I37" i="15"/>
  <c r="L36" i="15"/>
  <c r="J36" i="15"/>
  <c r="F36" i="15"/>
  <c r="E36" i="15"/>
  <c r="C36" i="15"/>
  <c r="I34" i="15"/>
  <c r="B34" i="15"/>
  <c r="L33" i="15"/>
  <c r="J33" i="15"/>
  <c r="F33" i="15"/>
  <c r="E33" i="15"/>
  <c r="C33" i="15"/>
  <c r="I31" i="15"/>
  <c r="L30" i="15"/>
  <c r="J30" i="15"/>
  <c r="F30" i="15"/>
  <c r="E30" i="15"/>
  <c r="C30" i="15"/>
  <c r="I28" i="15"/>
  <c r="L27" i="15"/>
  <c r="J27" i="15"/>
  <c r="F27" i="15"/>
  <c r="E27" i="15"/>
  <c r="C27" i="15"/>
  <c r="B25" i="15"/>
  <c r="A25" i="15"/>
  <c r="I23" i="15"/>
  <c r="L22" i="15"/>
  <c r="J22" i="15"/>
  <c r="F22" i="15"/>
  <c r="E22" i="15"/>
  <c r="D22" i="15"/>
  <c r="C22" i="15"/>
  <c r="I20" i="15"/>
  <c r="L19" i="15"/>
  <c r="J19" i="15"/>
  <c r="F19" i="15"/>
  <c r="E19" i="15"/>
  <c r="C19" i="15"/>
  <c r="B19" i="15"/>
  <c r="I17" i="15"/>
  <c r="L16" i="15"/>
  <c r="J16" i="15"/>
  <c r="F16" i="15"/>
  <c r="E16" i="15"/>
  <c r="C16" i="15"/>
  <c r="I14" i="15"/>
  <c r="L13" i="15"/>
  <c r="J13" i="15"/>
  <c r="F13" i="15"/>
  <c r="E13" i="15"/>
  <c r="C13" i="15"/>
  <c r="I11" i="15"/>
  <c r="L10" i="15"/>
  <c r="J10" i="15"/>
  <c r="F10" i="15"/>
  <c r="E10" i="15"/>
  <c r="C10" i="15"/>
  <c r="A10" i="15"/>
  <c r="A8" i="15"/>
  <c r="A3" i="15"/>
  <c r="A1" i="15"/>
  <c r="B22" i="14"/>
  <c r="A3" i="14"/>
  <c r="A1" i="14"/>
  <c r="A132" i="13"/>
  <c r="A118" i="13"/>
  <c r="A104" i="13"/>
  <c r="A90" i="13"/>
  <c r="A76" i="13"/>
  <c r="A62" i="13"/>
  <c r="A48" i="13"/>
  <c r="A34" i="13"/>
  <c r="A20" i="13"/>
  <c r="A6" i="13"/>
  <c r="A3" i="13"/>
  <c r="A1" i="13"/>
  <c r="B62" i="12"/>
  <c r="AB61" i="12"/>
  <c r="B8" i="14" s="1"/>
  <c r="AA61" i="12"/>
  <c r="B7" i="14" s="1"/>
  <c r="Z61" i="12"/>
  <c r="Y61" i="12"/>
  <c r="X61" i="12"/>
  <c r="W61" i="12"/>
  <c r="V61" i="12"/>
  <c r="U61" i="12"/>
  <c r="T61" i="12"/>
  <c r="S61" i="12"/>
  <c r="R61" i="12"/>
  <c r="Q61" i="12"/>
  <c r="P61" i="12"/>
  <c r="O61" i="12"/>
  <c r="N61" i="12"/>
  <c r="B59" i="12"/>
  <c r="AB58" i="12"/>
  <c r="B10" i="14" s="1"/>
  <c r="AA58" i="12"/>
  <c r="B9" i="14" s="1"/>
  <c r="Z58" i="12"/>
  <c r="Y58" i="12"/>
  <c r="X58" i="12"/>
  <c r="W58" i="12"/>
  <c r="V58" i="12"/>
  <c r="U58" i="12"/>
  <c r="S58" i="12"/>
  <c r="R58" i="12"/>
  <c r="Q58" i="12"/>
  <c r="P58" i="12"/>
  <c r="O58" i="12"/>
  <c r="N58" i="12"/>
  <c r="B54" i="12"/>
  <c r="B1754" i="15" s="1"/>
  <c r="AC53" i="12"/>
  <c r="AB53" i="12"/>
  <c r="D58" i="12" s="1"/>
  <c r="AA53" i="12"/>
  <c r="D61" i="12" s="1"/>
  <c r="D1761" i="15" s="1"/>
  <c r="Z53" i="12"/>
  <c r="Y53" i="12"/>
  <c r="X53" i="12"/>
  <c r="W53" i="12"/>
  <c r="V53" i="12"/>
  <c r="U53" i="12"/>
  <c r="T53" i="12"/>
  <c r="S53" i="12"/>
  <c r="R53" i="12"/>
  <c r="Q53" i="12"/>
  <c r="P53" i="12"/>
  <c r="O53" i="12"/>
  <c r="N53" i="12"/>
  <c r="M53" i="12"/>
  <c r="B53" i="12"/>
  <c r="B51" i="12"/>
  <c r="B1751" i="15" s="1"/>
  <c r="AB50" i="12"/>
  <c r="B58" i="12" s="1"/>
  <c r="AC58" i="12" s="1"/>
  <c r="AA50" i="12"/>
  <c r="B61" i="12" s="1"/>
  <c r="Z50" i="12"/>
  <c r="Y50" i="12"/>
  <c r="X50" i="12"/>
  <c r="W50" i="12"/>
  <c r="V50" i="12"/>
  <c r="U50" i="12"/>
  <c r="S50" i="12"/>
  <c r="R50" i="12"/>
  <c r="Q50" i="12"/>
  <c r="P50" i="12"/>
  <c r="O50" i="12"/>
  <c r="N50" i="12"/>
  <c r="B50" i="12"/>
  <c r="B46" i="12"/>
  <c r="B1746" i="15" s="1"/>
  <c r="AB45" i="12"/>
  <c r="B14" i="14" s="1"/>
  <c r="AA45" i="12"/>
  <c r="D50" i="12" s="1"/>
  <c r="Z45" i="12"/>
  <c r="Y45" i="12"/>
  <c r="X45" i="12"/>
  <c r="W45" i="12"/>
  <c r="V45" i="12"/>
  <c r="U45" i="12"/>
  <c r="S45" i="12"/>
  <c r="R45" i="12"/>
  <c r="Q45" i="12"/>
  <c r="P45" i="12"/>
  <c r="O45" i="12"/>
  <c r="N45" i="12"/>
  <c r="B43" i="12"/>
  <c r="B1743" i="15" s="1"/>
  <c r="AB42" i="12"/>
  <c r="B13" i="14" s="1"/>
  <c r="AA42" i="12"/>
  <c r="D53" i="12" s="1"/>
  <c r="D1753" i="15" s="1"/>
  <c r="Z42" i="12"/>
  <c r="Y42" i="12"/>
  <c r="X42" i="12"/>
  <c r="W42" i="12"/>
  <c r="V42" i="12"/>
  <c r="U42" i="12"/>
  <c r="S42" i="12"/>
  <c r="R42" i="12"/>
  <c r="Q42" i="12"/>
  <c r="P42" i="12"/>
  <c r="O42" i="12"/>
  <c r="N42" i="12"/>
  <c r="D42" i="12"/>
  <c r="D1742" i="15" s="1"/>
  <c r="B40" i="12"/>
  <c r="B1740" i="15" s="1"/>
  <c r="AB39" i="12"/>
  <c r="B12" i="14" s="1"/>
  <c r="AA39" i="12"/>
  <c r="Z39" i="12"/>
  <c r="Y39" i="12"/>
  <c r="X39" i="12"/>
  <c r="W39" i="12"/>
  <c r="V39" i="12"/>
  <c r="U39" i="12"/>
  <c r="S39" i="12"/>
  <c r="R39" i="12"/>
  <c r="Q39" i="12"/>
  <c r="P39" i="12"/>
  <c r="O39" i="12"/>
  <c r="N39" i="12"/>
  <c r="B39" i="12"/>
  <c r="B37" i="12"/>
  <c r="B1737" i="15" s="1"/>
  <c r="AC36" i="12"/>
  <c r="AB36" i="12"/>
  <c r="B11" i="14" s="1"/>
  <c r="AA36" i="12"/>
  <c r="Z36" i="12"/>
  <c r="Y36" i="12"/>
  <c r="X36" i="12"/>
  <c r="W36" i="12"/>
  <c r="V36" i="12"/>
  <c r="U36" i="12"/>
  <c r="S36" i="12"/>
  <c r="R36" i="12"/>
  <c r="Q36" i="12"/>
  <c r="P36" i="12"/>
  <c r="O36" i="12"/>
  <c r="N36" i="12"/>
  <c r="M36" i="12"/>
  <c r="D36" i="12"/>
  <c r="C36" i="12"/>
  <c r="C1736" i="15" s="1"/>
  <c r="B32" i="12"/>
  <c r="B1732" i="15" s="1"/>
  <c r="AB31" i="12"/>
  <c r="AA31" i="12"/>
  <c r="Z31" i="12"/>
  <c r="Y31" i="12"/>
  <c r="X31" i="12"/>
  <c r="W31" i="12"/>
  <c r="V31" i="12"/>
  <c r="U31" i="12"/>
  <c r="S31" i="12"/>
  <c r="R31" i="12"/>
  <c r="Q31" i="12"/>
  <c r="P31" i="12"/>
  <c r="O31" i="12"/>
  <c r="N31" i="12"/>
  <c r="B29" i="12"/>
  <c r="B1729" i="15" s="1"/>
  <c r="AB28" i="12"/>
  <c r="B21" i="14" s="1"/>
  <c r="AA28" i="12"/>
  <c r="D39" i="12" s="1"/>
  <c r="Z28" i="12"/>
  <c r="Y28" i="12"/>
  <c r="X28" i="12"/>
  <c r="W28" i="12"/>
  <c r="V28" i="12"/>
  <c r="U28" i="12"/>
  <c r="S28" i="12"/>
  <c r="R28" i="12"/>
  <c r="Q28" i="12"/>
  <c r="P28" i="12"/>
  <c r="O28" i="12"/>
  <c r="N28" i="12"/>
  <c r="B26" i="12"/>
  <c r="B1726" i="15" s="1"/>
  <c r="AB25" i="12"/>
  <c r="B20" i="14" s="1"/>
  <c r="AA25" i="12"/>
  <c r="Z25" i="12"/>
  <c r="Y25" i="12"/>
  <c r="X25" i="12"/>
  <c r="W25" i="12"/>
  <c r="V25" i="12"/>
  <c r="U25" i="12"/>
  <c r="S25" i="12"/>
  <c r="R25" i="12"/>
  <c r="Q25" i="12"/>
  <c r="P25" i="12"/>
  <c r="O25" i="12"/>
  <c r="N25" i="12"/>
  <c r="B23" i="12"/>
  <c r="B1723" i="15" s="1"/>
  <c r="AB22" i="12"/>
  <c r="B19" i="14" s="1"/>
  <c r="AA22" i="12"/>
  <c r="D45" i="12" s="1"/>
  <c r="Z22" i="12"/>
  <c r="Y22" i="12"/>
  <c r="X22" i="12"/>
  <c r="W22" i="12"/>
  <c r="V22" i="12"/>
  <c r="U22" i="12"/>
  <c r="S22" i="12"/>
  <c r="R22" i="12"/>
  <c r="Q22" i="12"/>
  <c r="P22" i="12"/>
  <c r="O22" i="12"/>
  <c r="N22" i="12"/>
  <c r="B20" i="12"/>
  <c r="B1720" i="15" s="1"/>
  <c r="AB19" i="12"/>
  <c r="B18" i="14" s="1"/>
  <c r="AA19" i="12"/>
  <c r="B45" i="12" s="1"/>
  <c r="Z19" i="12"/>
  <c r="Y19" i="12"/>
  <c r="X19" i="12"/>
  <c r="W19" i="12"/>
  <c r="V19" i="12"/>
  <c r="U19" i="12"/>
  <c r="S19" i="12"/>
  <c r="R19" i="12"/>
  <c r="Q19" i="12"/>
  <c r="P19" i="12"/>
  <c r="O19" i="12"/>
  <c r="N19" i="12"/>
  <c r="B17" i="12"/>
  <c r="B1717" i="15" s="1"/>
  <c r="AB16" i="12"/>
  <c r="B17" i="14" s="1"/>
  <c r="AA16" i="12"/>
  <c r="B42" i="12" s="1"/>
  <c r="Z16" i="12"/>
  <c r="Y16" i="12"/>
  <c r="X16" i="12"/>
  <c r="W16" i="12"/>
  <c r="V16" i="12"/>
  <c r="U16" i="12"/>
  <c r="S16" i="12"/>
  <c r="R16" i="12"/>
  <c r="Q16" i="12"/>
  <c r="P16" i="12"/>
  <c r="O16" i="12"/>
  <c r="N16" i="12"/>
  <c r="B14" i="12"/>
  <c r="B1714" i="15" s="1"/>
  <c r="AB13" i="12"/>
  <c r="B16" i="14" s="1"/>
  <c r="AA13" i="12"/>
  <c r="Z13" i="12"/>
  <c r="Y13" i="12"/>
  <c r="X13" i="12"/>
  <c r="W13" i="12"/>
  <c r="V13" i="12"/>
  <c r="U13" i="12"/>
  <c r="S13" i="12"/>
  <c r="R13" i="12"/>
  <c r="Q13" i="12"/>
  <c r="P13" i="12"/>
  <c r="O13" i="12"/>
  <c r="N13" i="12"/>
  <c r="A13" i="12"/>
  <c r="B11" i="12"/>
  <c r="B1711" i="15" s="1"/>
  <c r="AB10" i="12"/>
  <c r="B15" i="14" s="1"/>
  <c r="AA10" i="12"/>
  <c r="B36" i="12" s="1"/>
  <c r="Z10" i="12"/>
  <c r="Y10" i="12"/>
  <c r="X10" i="12"/>
  <c r="W10" i="12"/>
  <c r="V10" i="12"/>
  <c r="U10" i="12"/>
  <c r="S10" i="12"/>
  <c r="R10" i="12"/>
  <c r="Q10" i="12"/>
  <c r="P10" i="12"/>
  <c r="O10" i="12"/>
  <c r="N10" i="12"/>
  <c r="A3" i="12"/>
  <c r="A1" i="12"/>
  <c r="B159" i="11"/>
  <c r="B1689" i="15" s="1"/>
  <c r="AC158" i="11"/>
  <c r="AB158" i="11"/>
  <c r="AA158" i="11"/>
  <c r="Z158" i="11"/>
  <c r="N451" i="20" s="1"/>
  <c r="Y158" i="11"/>
  <c r="M451" i="20" s="1"/>
  <c r="X158" i="11"/>
  <c r="L451" i="20" s="1"/>
  <c r="W158" i="11"/>
  <c r="K451" i="20" s="1"/>
  <c r="V158" i="11"/>
  <c r="J451" i="20" s="1"/>
  <c r="U158" i="11"/>
  <c r="I451" i="20" s="1"/>
  <c r="S158" i="11"/>
  <c r="G451" i="20" s="1"/>
  <c r="R158" i="11"/>
  <c r="F451" i="20" s="1"/>
  <c r="Q158" i="11"/>
  <c r="E451" i="20" s="1"/>
  <c r="P158" i="11"/>
  <c r="D451" i="20" s="1"/>
  <c r="O158" i="11"/>
  <c r="C451" i="20" s="1"/>
  <c r="N158" i="11"/>
  <c r="B451" i="20" s="1"/>
  <c r="D158" i="11"/>
  <c r="D1688" i="15" s="1"/>
  <c r="B158" i="11"/>
  <c r="B156" i="11"/>
  <c r="B1686" i="15" s="1"/>
  <c r="AC155" i="11"/>
  <c r="AB155" i="11"/>
  <c r="AA155" i="11"/>
  <c r="Z155" i="11"/>
  <c r="N450" i="20" s="1"/>
  <c r="Y155" i="11"/>
  <c r="M450" i="20" s="1"/>
  <c r="X155" i="11"/>
  <c r="L450" i="20" s="1"/>
  <c r="W155" i="11"/>
  <c r="K450" i="20" s="1"/>
  <c r="V155" i="11"/>
  <c r="J450" i="20" s="1"/>
  <c r="U155" i="11"/>
  <c r="I450" i="20" s="1"/>
  <c r="S155" i="11"/>
  <c r="G450" i="20" s="1"/>
  <c r="R155" i="11"/>
  <c r="F450" i="20" s="1"/>
  <c r="Q155" i="11"/>
  <c r="E450" i="20" s="1"/>
  <c r="P155" i="11"/>
  <c r="D450" i="20" s="1"/>
  <c r="O155" i="11"/>
  <c r="C450" i="20" s="1"/>
  <c r="N155" i="11"/>
  <c r="B450" i="20" s="1"/>
  <c r="M155" i="11"/>
  <c r="A450" i="20" s="1"/>
  <c r="D155" i="11"/>
  <c r="D1685" i="15" s="1"/>
  <c r="B155" i="11"/>
  <c r="B153" i="11"/>
  <c r="B1683" i="15" s="1"/>
  <c r="AC152" i="11"/>
  <c r="AB152" i="11"/>
  <c r="AA152" i="11"/>
  <c r="Z152" i="11"/>
  <c r="N449" i="20" s="1"/>
  <c r="Y152" i="11"/>
  <c r="M449" i="20" s="1"/>
  <c r="X152" i="11"/>
  <c r="L449" i="20" s="1"/>
  <c r="W152" i="11"/>
  <c r="K449" i="20" s="1"/>
  <c r="V152" i="11"/>
  <c r="J449" i="20" s="1"/>
  <c r="U152" i="11"/>
  <c r="I449" i="20" s="1"/>
  <c r="S152" i="11"/>
  <c r="G449" i="20" s="1"/>
  <c r="R152" i="11"/>
  <c r="F449" i="20" s="1"/>
  <c r="Q152" i="11"/>
  <c r="E449" i="20" s="1"/>
  <c r="P152" i="11"/>
  <c r="D449" i="20" s="1"/>
  <c r="O152" i="11"/>
  <c r="C449" i="20" s="1"/>
  <c r="N152" i="11"/>
  <c r="B449" i="20" s="1"/>
  <c r="M152" i="11"/>
  <c r="A449" i="20" s="1"/>
  <c r="D152" i="11"/>
  <c r="D1682" i="15" s="1"/>
  <c r="B152" i="11"/>
  <c r="B150" i="11"/>
  <c r="B1680" i="15" s="1"/>
  <c r="AC149" i="11"/>
  <c r="AB149" i="11"/>
  <c r="AA149" i="11"/>
  <c r="Z149" i="11"/>
  <c r="N448" i="20" s="1"/>
  <c r="Y149" i="11"/>
  <c r="M448" i="20" s="1"/>
  <c r="X149" i="11"/>
  <c r="L448" i="20" s="1"/>
  <c r="W149" i="11"/>
  <c r="K448" i="20" s="1"/>
  <c r="V149" i="11"/>
  <c r="J448" i="20" s="1"/>
  <c r="U149" i="11"/>
  <c r="I448" i="20" s="1"/>
  <c r="S149" i="11"/>
  <c r="G448" i="20" s="1"/>
  <c r="R149" i="11"/>
  <c r="F448" i="20" s="1"/>
  <c r="Q149" i="11"/>
  <c r="E448" i="20" s="1"/>
  <c r="P149" i="11"/>
  <c r="D448" i="20" s="1"/>
  <c r="O149" i="11"/>
  <c r="C448" i="20" s="1"/>
  <c r="N149" i="11"/>
  <c r="B448" i="20" s="1"/>
  <c r="D149" i="11"/>
  <c r="D1679" i="15" s="1"/>
  <c r="B149" i="11"/>
  <c r="B147" i="11"/>
  <c r="AC146" i="11"/>
  <c r="AB146" i="11"/>
  <c r="AA146" i="11"/>
  <c r="Z146" i="11"/>
  <c r="N447" i="20" s="1"/>
  <c r="Y146" i="11"/>
  <c r="M447" i="20" s="1"/>
  <c r="X146" i="11"/>
  <c r="L447" i="20" s="1"/>
  <c r="W146" i="11"/>
  <c r="K447" i="20" s="1"/>
  <c r="V146" i="11"/>
  <c r="J447" i="20" s="1"/>
  <c r="U146" i="11"/>
  <c r="I447" i="20" s="1"/>
  <c r="T146" i="11"/>
  <c r="H447" i="20" s="1"/>
  <c r="S146" i="11"/>
  <c r="G447" i="20" s="1"/>
  <c r="R146" i="11"/>
  <c r="F447" i="20" s="1"/>
  <c r="Q146" i="11"/>
  <c r="E447" i="20" s="1"/>
  <c r="P146" i="11"/>
  <c r="D447" i="20" s="1"/>
  <c r="O146" i="11"/>
  <c r="C447" i="20" s="1"/>
  <c r="N146" i="11"/>
  <c r="B447" i="20" s="1"/>
  <c r="D146" i="11"/>
  <c r="D1676" i="15" s="1"/>
  <c r="B146" i="11"/>
  <c r="B144" i="11"/>
  <c r="B1674" i="15" s="1"/>
  <c r="B142" i="11"/>
  <c r="B1672" i="15" s="1"/>
  <c r="AC141" i="11"/>
  <c r="AB141" i="11"/>
  <c r="AA141" i="11"/>
  <c r="Z141" i="11"/>
  <c r="N446" i="20" s="1"/>
  <c r="Y141" i="11"/>
  <c r="M446" i="20" s="1"/>
  <c r="X141" i="11"/>
  <c r="L446" i="20" s="1"/>
  <c r="W141" i="11"/>
  <c r="K446" i="20" s="1"/>
  <c r="V141" i="11"/>
  <c r="J446" i="20" s="1"/>
  <c r="U141" i="11"/>
  <c r="I446" i="20" s="1"/>
  <c r="S141" i="11"/>
  <c r="G446" i="20" s="1"/>
  <c r="R141" i="11"/>
  <c r="F446" i="20" s="1"/>
  <c r="Q141" i="11"/>
  <c r="E446" i="20" s="1"/>
  <c r="P141" i="11"/>
  <c r="D446" i="20" s="1"/>
  <c r="O141" i="11"/>
  <c r="C446" i="20" s="1"/>
  <c r="N141" i="11"/>
  <c r="B446" i="20" s="1"/>
  <c r="M141" i="11"/>
  <c r="A446" i="20" s="1"/>
  <c r="D141" i="11"/>
  <c r="D1671" i="15" s="1"/>
  <c r="B141" i="11"/>
  <c r="B139" i="11"/>
  <c r="B1669" i="15" s="1"/>
  <c r="AC138" i="11"/>
  <c r="AB138" i="11"/>
  <c r="AA138" i="11"/>
  <c r="Z138" i="11"/>
  <c r="N445" i="20" s="1"/>
  <c r="Y138" i="11"/>
  <c r="M445" i="20" s="1"/>
  <c r="X138" i="11"/>
  <c r="L445" i="20" s="1"/>
  <c r="W138" i="11"/>
  <c r="K445" i="20" s="1"/>
  <c r="V138" i="11"/>
  <c r="J445" i="20" s="1"/>
  <c r="U138" i="11"/>
  <c r="I445" i="20" s="1"/>
  <c r="T138" i="11"/>
  <c r="H445" i="20" s="1"/>
  <c r="S138" i="11"/>
  <c r="G445" i="20" s="1"/>
  <c r="R138" i="11"/>
  <c r="F445" i="20" s="1"/>
  <c r="Q138" i="11"/>
  <c r="E445" i="20" s="1"/>
  <c r="P138" i="11"/>
  <c r="D445" i="20" s="1"/>
  <c r="O138" i="11"/>
  <c r="C445" i="20" s="1"/>
  <c r="N138" i="11"/>
  <c r="B445" i="20" s="1"/>
  <c r="D138" i="11"/>
  <c r="D1668" i="15" s="1"/>
  <c r="B138" i="11"/>
  <c r="B136" i="11"/>
  <c r="B1666" i="15" s="1"/>
  <c r="AC135" i="11"/>
  <c r="AB135" i="11"/>
  <c r="AA135" i="11"/>
  <c r="Z135" i="11"/>
  <c r="N444" i="20" s="1"/>
  <c r="Y135" i="11"/>
  <c r="M444" i="20" s="1"/>
  <c r="X135" i="11"/>
  <c r="L444" i="20" s="1"/>
  <c r="W135" i="11"/>
  <c r="K444" i="20" s="1"/>
  <c r="V135" i="11"/>
  <c r="J444" i="20" s="1"/>
  <c r="U135" i="11"/>
  <c r="I444" i="20" s="1"/>
  <c r="S135" i="11"/>
  <c r="G444" i="20" s="1"/>
  <c r="R135" i="11"/>
  <c r="F444" i="20" s="1"/>
  <c r="Q135" i="11"/>
  <c r="E444" i="20" s="1"/>
  <c r="P135" i="11"/>
  <c r="D444" i="20" s="1"/>
  <c r="O135" i="11"/>
  <c r="C444" i="20" s="1"/>
  <c r="N135" i="11"/>
  <c r="B444" i="20" s="1"/>
  <c r="D135" i="11"/>
  <c r="D1665" i="15" s="1"/>
  <c r="B135" i="11"/>
  <c r="B133" i="11"/>
  <c r="B1663" i="15" s="1"/>
  <c r="AC132" i="11"/>
  <c r="AB132" i="11"/>
  <c r="AA132" i="11"/>
  <c r="Z132" i="11"/>
  <c r="N443" i="20" s="1"/>
  <c r="Y132" i="11"/>
  <c r="M443" i="20" s="1"/>
  <c r="X132" i="11"/>
  <c r="L443" i="20" s="1"/>
  <c r="W132" i="11"/>
  <c r="K443" i="20" s="1"/>
  <c r="V132" i="11"/>
  <c r="J443" i="20" s="1"/>
  <c r="U132" i="11"/>
  <c r="I443" i="20" s="1"/>
  <c r="S132" i="11"/>
  <c r="G443" i="20" s="1"/>
  <c r="R132" i="11"/>
  <c r="F443" i="20" s="1"/>
  <c r="Q132" i="11"/>
  <c r="E443" i="20" s="1"/>
  <c r="P132" i="11"/>
  <c r="D443" i="20" s="1"/>
  <c r="O132" i="11"/>
  <c r="C443" i="20" s="1"/>
  <c r="N132" i="11"/>
  <c r="B443" i="20" s="1"/>
  <c r="M132" i="11"/>
  <c r="A443" i="20" s="1"/>
  <c r="D132" i="11"/>
  <c r="D1662" i="15" s="1"/>
  <c r="B132" i="11"/>
  <c r="B443" i="19" s="1"/>
  <c r="B130" i="11"/>
  <c r="B1660" i="15" s="1"/>
  <c r="AC129" i="11"/>
  <c r="AB129" i="11"/>
  <c r="AA129" i="11"/>
  <c r="Z129" i="11"/>
  <c r="N442" i="20" s="1"/>
  <c r="Y129" i="11"/>
  <c r="M442" i="20" s="1"/>
  <c r="X129" i="11"/>
  <c r="L442" i="20" s="1"/>
  <c r="W129" i="11"/>
  <c r="K442" i="20" s="1"/>
  <c r="V129" i="11"/>
  <c r="J442" i="20" s="1"/>
  <c r="U129" i="11"/>
  <c r="I442" i="20" s="1"/>
  <c r="S129" i="11"/>
  <c r="G442" i="20" s="1"/>
  <c r="R129" i="11"/>
  <c r="F442" i="20" s="1"/>
  <c r="Q129" i="11"/>
  <c r="E442" i="20" s="1"/>
  <c r="P129" i="11"/>
  <c r="D442" i="20" s="1"/>
  <c r="O129" i="11"/>
  <c r="C442" i="20" s="1"/>
  <c r="N129" i="11"/>
  <c r="B442" i="20" s="1"/>
  <c r="M129" i="11"/>
  <c r="A442" i="20" s="1"/>
  <c r="D129" i="11"/>
  <c r="D1659" i="15" s="1"/>
  <c r="B129" i="11"/>
  <c r="B127" i="11"/>
  <c r="B1657" i="15" s="1"/>
  <c r="B125" i="11"/>
  <c r="B1655" i="15" s="1"/>
  <c r="AC124" i="11"/>
  <c r="AB124" i="11"/>
  <c r="AA124" i="11"/>
  <c r="Z124" i="11"/>
  <c r="N441" i="20" s="1"/>
  <c r="Y124" i="11"/>
  <c r="M441" i="20" s="1"/>
  <c r="X124" i="11"/>
  <c r="L441" i="20" s="1"/>
  <c r="W124" i="11"/>
  <c r="K441" i="20" s="1"/>
  <c r="V124" i="11"/>
  <c r="J441" i="20" s="1"/>
  <c r="U124" i="11"/>
  <c r="I441" i="20" s="1"/>
  <c r="T124" i="11"/>
  <c r="H441" i="20" s="1"/>
  <c r="S124" i="11"/>
  <c r="G441" i="20" s="1"/>
  <c r="R124" i="11"/>
  <c r="F441" i="20" s="1"/>
  <c r="Q124" i="11"/>
  <c r="E441" i="20" s="1"/>
  <c r="P124" i="11"/>
  <c r="D441" i="20" s="1"/>
  <c r="O124" i="11"/>
  <c r="C441" i="20" s="1"/>
  <c r="N124" i="11"/>
  <c r="B441" i="20" s="1"/>
  <c r="D124" i="11"/>
  <c r="D1654" i="15" s="1"/>
  <c r="B124" i="11"/>
  <c r="B122" i="11"/>
  <c r="B1652" i="15" s="1"/>
  <c r="AC121" i="11"/>
  <c r="AB121" i="11"/>
  <c r="AA121" i="11"/>
  <c r="Z121" i="11"/>
  <c r="N440" i="20" s="1"/>
  <c r="Y121" i="11"/>
  <c r="M440" i="20" s="1"/>
  <c r="X121" i="11"/>
  <c r="L440" i="20" s="1"/>
  <c r="W121" i="11"/>
  <c r="K440" i="20" s="1"/>
  <c r="V121" i="11"/>
  <c r="J440" i="20" s="1"/>
  <c r="U121" i="11"/>
  <c r="I440" i="20" s="1"/>
  <c r="S121" i="11"/>
  <c r="G440" i="20" s="1"/>
  <c r="R121" i="11"/>
  <c r="F440" i="20" s="1"/>
  <c r="Q121" i="11"/>
  <c r="E440" i="20" s="1"/>
  <c r="P121" i="11"/>
  <c r="D440" i="20" s="1"/>
  <c r="O121" i="11"/>
  <c r="C440" i="20" s="1"/>
  <c r="N121" i="11"/>
  <c r="B440" i="20" s="1"/>
  <c r="M121" i="11"/>
  <c r="A440" i="20" s="1"/>
  <c r="D121" i="11"/>
  <c r="D1651" i="15" s="1"/>
  <c r="B121" i="11"/>
  <c r="B119" i="11"/>
  <c r="B1649" i="15" s="1"/>
  <c r="AC118" i="11"/>
  <c r="AB118" i="11"/>
  <c r="AA118" i="11"/>
  <c r="Z118" i="11"/>
  <c r="N439" i="20" s="1"/>
  <c r="Y118" i="11"/>
  <c r="M439" i="20" s="1"/>
  <c r="X118" i="11"/>
  <c r="L439" i="20" s="1"/>
  <c r="W118" i="11"/>
  <c r="K439" i="20" s="1"/>
  <c r="V118" i="11"/>
  <c r="J439" i="20" s="1"/>
  <c r="U118" i="11"/>
  <c r="I439" i="20" s="1"/>
  <c r="S118" i="11"/>
  <c r="G439" i="20" s="1"/>
  <c r="R118" i="11"/>
  <c r="F439" i="20" s="1"/>
  <c r="Q118" i="11"/>
  <c r="E439" i="20" s="1"/>
  <c r="P118" i="11"/>
  <c r="D439" i="20" s="1"/>
  <c r="O118" i="11"/>
  <c r="C439" i="20" s="1"/>
  <c r="N118" i="11"/>
  <c r="B439" i="20" s="1"/>
  <c r="M118" i="11"/>
  <c r="A439" i="20" s="1"/>
  <c r="D118" i="11"/>
  <c r="D1648" i="15" s="1"/>
  <c r="B118" i="11"/>
  <c r="B116" i="11"/>
  <c r="B1646" i="15" s="1"/>
  <c r="AC115" i="11"/>
  <c r="AB115" i="11"/>
  <c r="AA115" i="11"/>
  <c r="Z115" i="11"/>
  <c r="N438" i="20" s="1"/>
  <c r="Y115" i="11"/>
  <c r="M438" i="20" s="1"/>
  <c r="X115" i="11"/>
  <c r="L438" i="20" s="1"/>
  <c r="W115" i="11"/>
  <c r="K438" i="20" s="1"/>
  <c r="V115" i="11"/>
  <c r="J438" i="20" s="1"/>
  <c r="U115" i="11"/>
  <c r="I438" i="20" s="1"/>
  <c r="S115" i="11"/>
  <c r="G438" i="20" s="1"/>
  <c r="R115" i="11"/>
  <c r="F438" i="20" s="1"/>
  <c r="Q115" i="11"/>
  <c r="E438" i="20" s="1"/>
  <c r="P115" i="11"/>
  <c r="D438" i="20" s="1"/>
  <c r="O115" i="11"/>
  <c r="C438" i="20" s="1"/>
  <c r="N115" i="11"/>
  <c r="B438" i="20" s="1"/>
  <c r="D115" i="11"/>
  <c r="D1645" i="15" s="1"/>
  <c r="B115" i="11"/>
  <c r="B113" i="11"/>
  <c r="B1643" i="15" s="1"/>
  <c r="AC112" i="11"/>
  <c r="AB112" i="11"/>
  <c r="AA112" i="11"/>
  <c r="Z112" i="11"/>
  <c r="N437" i="20" s="1"/>
  <c r="Y112" i="11"/>
  <c r="M437" i="20" s="1"/>
  <c r="X112" i="11"/>
  <c r="L437" i="20" s="1"/>
  <c r="W112" i="11"/>
  <c r="K437" i="20" s="1"/>
  <c r="V112" i="11"/>
  <c r="J437" i="20" s="1"/>
  <c r="U112" i="11"/>
  <c r="I437" i="20" s="1"/>
  <c r="S112" i="11"/>
  <c r="G437" i="20" s="1"/>
  <c r="R112" i="11"/>
  <c r="F437" i="20" s="1"/>
  <c r="Q112" i="11"/>
  <c r="E437" i="20" s="1"/>
  <c r="P112" i="11"/>
  <c r="D437" i="20" s="1"/>
  <c r="O112" i="11"/>
  <c r="C437" i="20" s="1"/>
  <c r="N112" i="11"/>
  <c r="B437" i="20" s="1"/>
  <c r="M112" i="11"/>
  <c r="A437" i="20" s="1"/>
  <c r="D112" i="11"/>
  <c r="D1642" i="15" s="1"/>
  <c r="B112" i="11"/>
  <c r="B110" i="11"/>
  <c r="B1640" i="15" s="1"/>
  <c r="B108" i="11"/>
  <c r="B1638" i="15" s="1"/>
  <c r="AC107" i="11"/>
  <c r="AB107" i="11"/>
  <c r="AA107" i="11"/>
  <c r="Z107" i="11"/>
  <c r="N436" i="20" s="1"/>
  <c r="Y107" i="11"/>
  <c r="M436" i="20" s="1"/>
  <c r="X107" i="11"/>
  <c r="L436" i="20" s="1"/>
  <c r="W107" i="11"/>
  <c r="K436" i="20" s="1"/>
  <c r="V107" i="11"/>
  <c r="J436" i="20" s="1"/>
  <c r="U107" i="11"/>
  <c r="I436" i="20" s="1"/>
  <c r="S107" i="11"/>
  <c r="G436" i="20" s="1"/>
  <c r="R107" i="11"/>
  <c r="F436" i="20" s="1"/>
  <c r="Q107" i="11"/>
  <c r="E436" i="20" s="1"/>
  <c r="P107" i="11"/>
  <c r="D436" i="20" s="1"/>
  <c r="O107" i="11"/>
  <c r="C436" i="20" s="1"/>
  <c r="N107" i="11"/>
  <c r="B436" i="20" s="1"/>
  <c r="D107" i="11"/>
  <c r="D1637" i="15" s="1"/>
  <c r="B107" i="11"/>
  <c r="B105" i="11"/>
  <c r="B1635" i="15" s="1"/>
  <c r="AC104" i="11"/>
  <c r="AB104" i="11"/>
  <c r="AA104" i="11"/>
  <c r="Z104" i="11"/>
  <c r="N435" i="20" s="1"/>
  <c r="Y104" i="11"/>
  <c r="M435" i="20" s="1"/>
  <c r="X104" i="11"/>
  <c r="L435" i="20" s="1"/>
  <c r="W104" i="11"/>
  <c r="K435" i="20" s="1"/>
  <c r="V104" i="11"/>
  <c r="J435" i="20" s="1"/>
  <c r="U104" i="11"/>
  <c r="I435" i="20" s="1"/>
  <c r="S104" i="11"/>
  <c r="G435" i="20" s="1"/>
  <c r="R104" i="11"/>
  <c r="F435" i="20" s="1"/>
  <c r="Q104" i="11"/>
  <c r="E435" i="20" s="1"/>
  <c r="P104" i="11"/>
  <c r="D435" i="20" s="1"/>
  <c r="O104" i="11"/>
  <c r="C435" i="20" s="1"/>
  <c r="N104" i="11"/>
  <c r="B435" i="20" s="1"/>
  <c r="D104" i="11"/>
  <c r="D1634" i="15" s="1"/>
  <c r="B104" i="11"/>
  <c r="B102" i="11"/>
  <c r="B1632" i="15" s="1"/>
  <c r="AC101" i="11"/>
  <c r="AB101" i="11"/>
  <c r="AA101" i="11"/>
  <c r="Z101" i="11"/>
  <c r="N434" i="20" s="1"/>
  <c r="Y101" i="11"/>
  <c r="M434" i="20" s="1"/>
  <c r="X101" i="11"/>
  <c r="L434" i="20" s="1"/>
  <c r="W101" i="11"/>
  <c r="K434" i="20" s="1"/>
  <c r="V101" i="11"/>
  <c r="J434" i="20" s="1"/>
  <c r="U101" i="11"/>
  <c r="I434" i="20" s="1"/>
  <c r="S101" i="11"/>
  <c r="G434" i="20" s="1"/>
  <c r="R101" i="11"/>
  <c r="F434" i="20" s="1"/>
  <c r="Q101" i="11"/>
  <c r="E434" i="20" s="1"/>
  <c r="P101" i="11"/>
  <c r="D434" i="20" s="1"/>
  <c r="O101" i="11"/>
  <c r="C434" i="20" s="1"/>
  <c r="N101" i="11"/>
  <c r="B434" i="20" s="1"/>
  <c r="M101" i="11"/>
  <c r="A434" i="20" s="1"/>
  <c r="D101" i="11"/>
  <c r="D1631" i="15" s="1"/>
  <c r="B101" i="11"/>
  <c r="B99" i="11"/>
  <c r="B1629" i="15" s="1"/>
  <c r="AC98" i="11"/>
  <c r="AB98" i="11"/>
  <c r="AA98" i="11"/>
  <c r="Z98" i="11"/>
  <c r="N433" i="20" s="1"/>
  <c r="Y98" i="11"/>
  <c r="M433" i="20" s="1"/>
  <c r="X98" i="11"/>
  <c r="L433" i="20" s="1"/>
  <c r="W98" i="11"/>
  <c r="K433" i="20" s="1"/>
  <c r="V98" i="11"/>
  <c r="J433" i="20" s="1"/>
  <c r="U98" i="11"/>
  <c r="I433" i="20" s="1"/>
  <c r="S98" i="11"/>
  <c r="G433" i="20" s="1"/>
  <c r="R98" i="11"/>
  <c r="F433" i="20" s="1"/>
  <c r="Q98" i="11"/>
  <c r="E433" i="20" s="1"/>
  <c r="P98" i="11"/>
  <c r="D433" i="20" s="1"/>
  <c r="O98" i="11"/>
  <c r="C433" i="20" s="1"/>
  <c r="N98" i="11"/>
  <c r="B433" i="20" s="1"/>
  <c r="M98" i="11"/>
  <c r="A433" i="20" s="1"/>
  <c r="D98" i="11"/>
  <c r="D1628" i="15" s="1"/>
  <c r="B98" i="11"/>
  <c r="B433" i="19" s="1"/>
  <c r="B96" i="11"/>
  <c r="B1626" i="15" s="1"/>
  <c r="AC95" i="11"/>
  <c r="AB95" i="11"/>
  <c r="AA95" i="11"/>
  <c r="Z95" i="11"/>
  <c r="N432" i="20" s="1"/>
  <c r="Y95" i="11"/>
  <c r="M432" i="20" s="1"/>
  <c r="X95" i="11"/>
  <c r="L432" i="20" s="1"/>
  <c r="W95" i="11"/>
  <c r="K432" i="20" s="1"/>
  <c r="V95" i="11"/>
  <c r="J432" i="20" s="1"/>
  <c r="U95" i="11"/>
  <c r="I432" i="20" s="1"/>
  <c r="S95" i="11"/>
  <c r="G432" i="20" s="1"/>
  <c r="R95" i="11"/>
  <c r="F432" i="20" s="1"/>
  <c r="Q95" i="11"/>
  <c r="E432" i="20" s="1"/>
  <c r="P95" i="11"/>
  <c r="D432" i="20" s="1"/>
  <c r="O95" i="11"/>
  <c r="C432" i="20" s="1"/>
  <c r="N95" i="11"/>
  <c r="B432" i="20" s="1"/>
  <c r="M95" i="11"/>
  <c r="A432" i="20" s="1"/>
  <c r="D95" i="11"/>
  <c r="D1625" i="15" s="1"/>
  <c r="B95" i="11"/>
  <c r="B93" i="11"/>
  <c r="B1623" i="15" s="1"/>
  <c r="B91" i="11"/>
  <c r="B1621" i="15" s="1"/>
  <c r="AC90" i="11"/>
  <c r="AB90" i="11"/>
  <c r="AA90" i="11"/>
  <c r="Z90" i="11"/>
  <c r="N431" i="20" s="1"/>
  <c r="Y90" i="11"/>
  <c r="M431" i="20" s="1"/>
  <c r="X90" i="11"/>
  <c r="L431" i="20" s="1"/>
  <c r="W90" i="11"/>
  <c r="K431" i="20" s="1"/>
  <c r="V90" i="11"/>
  <c r="J431" i="20" s="1"/>
  <c r="U90" i="11"/>
  <c r="I431" i="20" s="1"/>
  <c r="S90" i="11"/>
  <c r="G431" i="20" s="1"/>
  <c r="R90" i="11"/>
  <c r="F431" i="20" s="1"/>
  <c r="Q90" i="11"/>
  <c r="E431" i="20" s="1"/>
  <c r="P90" i="11"/>
  <c r="D431" i="20" s="1"/>
  <c r="O90" i="11"/>
  <c r="C431" i="20" s="1"/>
  <c r="N90" i="11"/>
  <c r="B431" i="20" s="1"/>
  <c r="M90" i="11"/>
  <c r="A431" i="20" s="1"/>
  <c r="D90" i="11"/>
  <c r="D1620" i="15" s="1"/>
  <c r="B90" i="11"/>
  <c r="B88" i="11"/>
  <c r="B1618" i="15" s="1"/>
  <c r="AC87" i="11"/>
  <c r="AB87" i="11"/>
  <c r="AA87" i="11"/>
  <c r="Z87" i="11"/>
  <c r="N430" i="20" s="1"/>
  <c r="Y87" i="11"/>
  <c r="M430" i="20" s="1"/>
  <c r="X87" i="11"/>
  <c r="L430" i="20" s="1"/>
  <c r="W87" i="11"/>
  <c r="K430" i="20" s="1"/>
  <c r="V87" i="11"/>
  <c r="J430" i="20" s="1"/>
  <c r="U87" i="11"/>
  <c r="I430" i="20" s="1"/>
  <c r="S87" i="11"/>
  <c r="G430" i="20" s="1"/>
  <c r="R87" i="11"/>
  <c r="F430" i="20" s="1"/>
  <c r="Q87" i="11"/>
  <c r="E430" i="20" s="1"/>
  <c r="P87" i="11"/>
  <c r="D430" i="20" s="1"/>
  <c r="O87" i="11"/>
  <c r="C430" i="20" s="1"/>
  <c r="N87" i="11"/>
  <c r="B430" i="20" s="1"/>
  <c r="M87" i="11"/>
  <c r="A430" i="20" s="1"/>
  <c r="D87" i="11"/>
  <c r="D1617" i="15" s="1"/>
  <c r="B87" i="11"/>
  <c r="B85" i="11"/>
  <c r="B1615" i="15" s="1"/>
  <c r="AC84" i="11"/>
  <c r="AB84" i="11"/>
  <c r="AA84" i="11"/>
  <c r="Z84" i="11"/>
  <c r="N429" i="20" s="1"/>
  <c r="Y84" i="11"/>
  <c r="M429" i="20" s="1"/>
  <c r="X84" i="11"/>
  <c r="L429" i="20" s="1"/>
  <c r="W84" i="11"/>
  <c r="K429" i="20" s="1"/>
  <c r="V84" i="11"/>
  <c r="J429" i="20" s="1"/>
  <c r="U84" i="11"/>
  <c r="I429" i="20" s="1"/>
  <c r="S84" i="11"/>
  <c r="G429" i="20" s="1"/>
  <c r="R84" i="11"/>
  <c r="F429" i="20" s="1"/>
  <c r="Q84" i="11"/>
  <c r="E429" i="20" s="1"/>
  <c r="P84" i="11"/>
  <c r="D429" i="20" s="1"/>
  <c r="O84" i="11"/>
  <c r="C429" i="20" s="1"/>
  <c r="N84" i="11"/>
  <c r="B429" i="20" s="1"/>
  <c r="M84" i="11"/>
  <c r="A429" i="20" s="1"/>
  <c r="D84" i="11"/>
  <c r="D1614" i="15" s="1"/>
  <c r="B84" i="11"/>
  <c r="B82" i="11"/>
  <c r="B1612" i="15" s="1"/>
  <c r="AC81" i="11"/>
  <c r="AB81" i="11"/>
  <c r="AA81" i="11"/>
  <c r="Z81" i="11"/>
  <c r="N428" i="20" s="1"/>
  <c r="Y81" i="11"/>
  <c r="M428" i="20" s="1"/>
  <c r="X81" i="11"/>
  <c r="L428" i="20" s="1"/>
  <c r="W81" i="11"/>
  <c r="K428" i="20" s="1"/>
  <c r="V81" i="11"/>
  <c r="J428" i="20" s="1"/>
  <c r="U81" i="11"/>
  <c r="I428" i="20" s="1"/>
  <c r="T81" i="11"/>
  <c r="H428" i="20" s="1"/>
  <c r="S81" i="11"/>
  <c r="G428" i="20" s="1"/>
  <c r="R81" i="11"/>
  <c r="F428" i="20" s="1"/>
  <c r="Q81" i="11"/>
  <c r="E428" i="20" s="1"/>
  <c r="P81" i="11"/>
  <c r="D428" i="20" s="1"/>
  <c r="O81" i="11"/>
  <c r="C428" i="20" s="1"/>
  <c r="N81" i="11"/>
  <c r="B428" i="20" s="1"/>
  <c r="D81" i="11"/>
  <c r="D1611" i="15" s="1"/>
  <c r="B81" i="11"/>
  <c r="B1611" i="15" s="1"/>
  <c r="B79" i="11"/>
  <c r="B1609" i="15" s="1"/>
  <c r="AC78" i="11"/>
  <c r="AB78" i="11"/>
  <c r="AA78" i="11"/>
  <c r="Z78" i="11"/>
  <c r="N427" i="20" s="1"/>
  <c r="Y78" i="11"/>
  <c r="M427" i="20" s="1"/>
  <c r="X78" i="11"/>
  <c r="L427" i="20" s="1"/>
  <c r="W78" i="11"/>
  <c r="K427" i="20" s="1"/>
  <c r="V78" i="11"/>
  <c r="J427" i="20" s="1"/>
  <c r="U78" i="11"/>
  <c r="I427" i="20" s="1"/>
  <c r="T78" i="11"/>
  <c r="H427" i="20" s="1"/>
  <c r="S78" i="11"/>
  <c r="G427" i="20" s="1"/>
  <c r="R78" i="11"/>
  <c r="F427" i="20" s="1"/>
  <c r="Q78" i="11"/>
  <c r="E427" i="20" s="1"/>
  <c r="P78" i="11"/>
  <c r="D427" i="20" s="1"/>
  <c r="O78" i="11"/>
  <c r="C427" i="20" s="1"/>
  <c r="N78" i="11"/>
  <c r="B427" i="20" s="1"/>
  <c r="D78" i="11"/>
  <c r="D1608" i="15" s="1"/>
  <c r="B78" i="11"/>
  <c r="B76" i="11"/>
  <c r="B1606" i="15" s="1"/>
  <c r="B74" i="11"/>
  <c r="B1604" i="15" s="1"/>
  <c r="AC73" i="11"/>
  <c r="AB73" i="11"/>
  <c r="AA73" i="11"/>
  <c r="Z73" i="11"/>
  <c r="N426" i="20" s="1"/>
  <c r="Y73" i="11"/>
  <c r="M426" i="20" s="1"/>
  <c r="X73" i="11"/>
  <c r="L426" i="20" s="1"/>
  <c r="W73" i="11"/>
  <c r="K426" i="20" s="1"/>
  <c r="V73" i="11"/>
  <c r="J426" i="20" s="1"/>
  <c r="U73" i="11"/>
  <c r="I426" i="20" s="1"/>
  <c r="S73" i="11"/>
  <c r="G426" i="20" s="1"/>
  <c r="R73" i="11"/>
  <c r="F426" i="20" s="1"/>
  <c r="Q73" i="11"/>
  <c r="E426" i="20" s="1"/>
  <c r="P73" i="11"/>
  <c r="D426" i="20" s="1"/>
  <c r="O73" i="11"/>
  <c r="C426" i="20" s="1"/>
  <c r="N73" i="11"/>
  <c r="B426" i="20" s="1"/>
  <c r="M73" i="11"/>
  <c r="A426" i="20" s="1"/>
  <c r="D73" i="11"/>
  <c r="D1603" i="15" s="1"/>
  <c r="B73" i="11"/>
  <c r="B71" i="11"/>
  <c r="B1601" i="15" s="1"/>
  <c r="AC70" i="11"/>
  <c r="AB70" i="11"/>
  <c r="AA70" i="11"/>
  <c r="Z70" i="11"/>
  <c r="N425" i="20" s="1"/>
  <c r="Y70" i="11"/>
  <c r="M425" i="20" s="1"/>
  <c r="X70" i="11"/>
  <c r="L425" i="20" s="1"/>
  <c r="W70" i="11"/>
  <c r="K425" i="20" s="1"/>
  <c r="V70" i="11"/>
  <c r="J425" i="20" s="1"/>
  <c r="U70" i="11"/>
  <c r="I425" i="20" s="1"/>
  <c r="T70" i="11"/>
  <c r="H425" i="20" s="1"/>
  <c r="S70" i="11"/>
  <c r="G425" i="20" s="1"/>
  <c r="R70" i="11"/>
  <c r="F425" i="20" s="1"/>
  <c r="Q70" i="11"/>
  <c r="E425" i="20" s="1"/>
  <c r="P70" i="11"/>
  <c r="D425" i="20" s="1"/>
  <c r="O70" i="11"/>
  <c r="C425" i="20" s="1"/>
  <c r="N70" i="11"/>
  <c r="B425" i="20" s="1"/>
  <c r="D70" i="11"/>
  <c r="D1600" i="15" s="1"/>
  <c r="B70" i="11"/>
  <c r="B68" i="11"/>
  <c r="B1598" i="15" s="1"/>
  <c r="AC67" i="11"/>
  <c r="AB67" i="11"/>
  <c r="AA67" i="11"/>
  <c r="Z67" i="11"/>
  <c r="N424" i="20" s="1"/>
  <c r="Y67" i="11"/>
  <c r="M424" i="20" s="1"/>
  <c r="X67" i="11"/>
  <c r="L424" i="20" s="1"/>
  <c r="W67" i="11"/>
  <c r="K424" i="20" s="1"/>
  <c r="V67" i="11"/>
  <c r="J424" i="20" s="1"/>
  <c r="U67" i="11"/>
  <c r="I424" i="20" s="1"/>
  <c r="T67" i="11"/>
  <c r="H424" i="20" s="1"/>
  <c r="S67" i="11"/>
  <c r="G424" i="20" s="1"/>
  <c r="R67" i="11"/>
  <c r="F424" i="20" s="1"/>
  <c r="Q67" i="11"/>
  <c r="E424" i="20" s="1"/>
  <c r="P67" i="11"/>
  <c r="D424" i="20" s="1"/>
  <c r="O67" i="11"/>
  <c r="C424" i="20" s="1"/>
  <c r="N67" i="11"/>
  <c r="B424" i="20" s="1"/>
  <c r="D67" i="11"/>
  <c r="D1597" i="15" s="1"/>
  <c r="B67" i="11"/>
  <c r="B65" i="11"/>
  <c r="B1595" i="15" s="1"/>
  <c r="AC64" i="11"/>
  <c r="AB64" i="11"/>
  <c r="AA64" i="11"/>
  <c r="Z64" i="11"/>
  <c r="N423" i="20" s="1"/>
  <c r="Y64" i="11"/>
  <c r="M423" i="20" s="1"/>
  <c r="X64" i="11"/>
  <c r="L423" i="20" s="1"/>
  <c r="W64" i="11"/>
  <c r="K423" i="20" s="1"/>
  <c r="V64" i="11"/>
  <c r="J423" i="20" s="1"/>
  <c r="U64" i="11"/>
  <c r="I423" i="20" s="1"/>
  <c r="S64" i="11"/>
  <c r="G423" i="20" s="1"/>
  <c r="R64" i="11"/>
  <c r="F423" i="20" s="1"/>
  <c r="Q64" i="11"/>
  <c r="E423" i="20" s="1"/>
  <c r="P64" i="11"/>
  <c r="D423" i="20" s="1"/>
  <c r="O64" i="11"/>
  <c r="C423" i="20" s="1"/>
  <c r="N64" i="11"/>
  <c r="B423" i="20" s="1"/>
  <c r="M64" i="11"/>
  <c r="A423" i="20" s="1"/>
  <c r="D64" i="11"/>
  <c r="D1594" i="15" s="1"/>
  <c r="B64" i="11"/>
  <c r="B423" i="19" s="1"/>
  <c r="B62" i="11"/>
  <c r="B1592" i="15" s="1"/>
  <c r="AC61" i="11"/>
  <c r="AB61" i="11"/>
  <c r="AA61" i="11"/>
  <c r="Z61" i="11"/>
  <c r="N422" i="20" s="1"/>
  <c r="Y61" i="11"/>
  <c r="M422" i="20" s="1"/>
  <c r="X61" i="11"/>
  <c r="L422" i="20" s="1"/>
  <c r="W61" i="11"/>
  <c r="K422" i="20" s="1"/>
  <c r="V61" i="11"/>
  <c r="J422" i="20" s="1"/>
  <c r="U61" i="11"/>
  <c r="I422" i="20" s="1"/>
  <c r="S61" i="11"/>
  <c r="G422" i="20" s="1"/>
  <c r="R61" i="11"/>
  <c r="F422" i="20" s="1"/>
  <c r="Q61" i="11"/>
  <c r="E422" i="20" s="1"/>
  <c r="P61" i="11"/>
  <c r="D422" i="20" s="1"/>
  <c r="O61" i="11"/>
  <c r="C422" i="20" s="1"/>
  <c r="N61" i="11"/>
  <c r="B422" i="20" s="1"/>
  <c r="M61" i="11"/>
  <c r="A422" i="20" s="1"/>
  <c r="D61" i="11"/>
  <c r="D1591" i="15" s="1"/>
  <c r="B61" i="11"/>
  <c r="B59" i="11"/>
  <c r="B1589" i="15" s="1"/>
  <c r="B57" i="11"/>
  <c r="B1587" i="15" s="1"/>
  <c r="AC56" i="11"/>
  <c r="AB56" i="11"/>
  <c r="AA56" i="11"/>
  <c r="Z56" i="11"/>
  <c r="N421" i="20" s="1"/>
  <c r="Y56" i="11"/>
  <c r="M421" i="20" s="1"/>
  <c r="X56" i="11"/>
  <c r="L421" i="20" s="1"/>
  <c r="W56" i="11"/>
  <c r="K421" i="20" s="1"/>
  <c r="V56" i="11"/>
  <c r="J421" i="20" s="1"/>
  <c r="U56" i="11"/>
  <c r="I421" i="20" s="1"/>
  <c r="S56" i="11"/>
  <c r="G421" i="20" s="1"/>
  <c r="R56" i="11"/>
  <c r="F421" i="20" s="1"/>
  <c r="Q56" i="11"/>
  <c r="E421" i="20" s="1"/>
  <c r="P56" i="11"/>
  <c r="D421" i="20" s="1"/>
  <c r="O56" i="11"/>
  <c r="C421" i="20" s="1"/>
  <c r="N56" i="11"/>
  <c r="B421" i="20" s="1"/>
  <c r="D56" i="11"/>
  <c r="B56" i="11"/>
  <c r="B54" i="11"/>
  <c r="B1584" i="15" s="1"/>
  <c r="AC53" i="11"/>
  <c r="AB53" i="11"/>
  <c r="AA53" i="11"/>
  <c r="Z53" i="11"/>
  <c r="N420" i="20" s="1"/>
  <c r="Y53" i="11"/>
  <c r="M420" i="20" s="1"/>
  <c r="X53" i="11"/>
  <c r="L420" i="20" s="1"/>
  <c r="W53" i="11"/>
  <c r="K420" i="20" s="1"/>
  <c r="V53" i="11"/>
  <c r="J420" i="20" s="1"/>
  <c r="U53" i="11"/>
  <c r="I420" i="20" s="1"/>
  <c r="T53" i="11"/>
  <c r="H420" i="20" s="1"/>
  <c r="S53" i="11"/>
  <c r="G420" i="20" s="1"/>
  <c r="R53" i="11"/>
  <c r="F420" i="20" s="1"/>
  <c r="Q53" i="11"/>
  <c r="E420" i="20" s="1"/>
  <c r="P53" i="11"/>
  <c r="D420" i="20" s="1"/>
  <c r="O53" i="11"/>
  <c r="C420" i="20" s="1"/>
  <c r="N53" i="11"/>
  <c r="B420" i="20" s="1"/>
  <c r="M53" i="11"/>
  <c r="A420" i="20" s="1"/>
  <c r="D53" i="11"/>
  <c r="D1583" i="15" s="1"/>
  <c r="B53" i="11"/>
  <c r="B51" i="11"/>
  <c r="B1581" i="15" s="1"/>
  <c r="AC50" i="11"/>
  <c r="AB50" i="11"/>
  <c r="AA50" i="11"/>
  <c r="Z50" i="11"/>
  <c r="N419" i="20" s="1"/>
  <c r="Y50" i="11"/>
  <c r="M419" i="20" s="1"/>
  <c r="X50" i="11"/>
  <c r="L419" i="20" s="1"/>
  <c r="W50" i="11"/>
  <c r="K419" i="20" s="1"/>
  <c r="V50" i="11"/>
  <c r="J419" i="20" s="1"/>
  <c r="U50" i="11"/>
  <c r="I419" i="20" s="1"/>
  <c r="S50" i="11"/>
  <c r="G419" i="20" s="1"/>
  <c r="R50" i="11"/>
  <c r="F419" i="20" s="1"/>
  <c r="Q50" i="11"/>
  <c r="E419" i="20" s="1"/>
  <c r="P50" i="11"/>
  <c r="D419" i="20" s="1"/>
  <c r="O50" i="11"/>
  <c r="C419" i="20" s="1"/>
  <c r="N50" i="11"/>
  <c r="B419" i="20" s="1"/>
  <c r="D50" i="11"/>
  <c r="D1580" i="15" s="1"/>
  <c r="B50" i="11"/>
  <c r="B48" i="11"/>
  <c r="B1578" i="15" s="1"/>
  <c r="AC47" i="11"/>
  <c r="AB47" i="11"/>
  <c r="AA47" i="11"/>
  <c r="Z47" i="11"/>
  <c r="N418" i="20" s="1"/>
  <c r="Y47" i="11"/>
  <c r="M418" i="20" s="1"/>
  <c r="X47" i="11"/>
  <c r="L418" i="20" s="1"/>
  <c r="W47" i="11"/>
  <c r="K418" i="20" s="1"/>
  <c r="V47" i="11"/>
  <c r="J418" i="20" s="1"/>
  <c r="U47" i="11"/>
  <c r="I418" i="20" s="1"/>
  <c r="S47" i="11"/>
  <c r="G418" i="20" s="1"/>
  <c r="R47" i="11"/>
  <c r="F418" i="20" s="1"/>
  <c r="Q47" i="11"/>
  <c r="E418" i="20" s="1"/>
  <c r="P47" i="11"/>
  <c r="D418" i="20" s="1"/>
  <c r="O47" i="11"/>
  <c r="C418" i="20" s="1"/>
  <c r="N47" i="11"/>
  <c r="B418" i="20" s="1"/>
  <c r="D47" i="11"/>
  <c r="D1577" i="15" s="1"/>
  <c r="B47" i="11"/>
  <c r="B45" i="11"/>
  <c r="AC44" i="11"/>
  <c r="AB44" i="11"/>
  <c r="AA44" i="11"/>
  <c r="Z44" i="11"/>
  <c r="N417" i="20" s="1"/>
  <c r="Y44" i="11"/>
  <c r="M417" i="20" s="1"/>
  <c r="X44" i="11"/>
  <c r="L417" i="20" s="1"/>
  <c r="W44" i="11"/>
  <c r="K417" i="20" s="1"/>
  <c r="V44" i="11"/>
  <c r="J417" i="20" s="1"/>
  <c r="U44" i="11"/>
  <c r="I417" i="20" s="1"/>
  <c r="S44" i="11"/>
  <c r="G417" i="20" s="1"/>
  <c r="R44" i="11"/>
  <c r="F417" i="20" s="1"/>
  <c r="Q44" i="11"/>
  <c r="E417" i="20" s="1"/>
  <c r="P44" i="11"/>
  <c r="D417" i="20" s="1"/>
  <c r="O44" i="11"/>
  <c r="C417" i="20" s="1"/>
  <c r="N44" i="11"/>
  <c r="B417" i="20" s="1"/>
  <c r="M44" i="11"/>
  <c r="A417" i="20" s="1"/>
  <c r="D44" i="11"/>
  <c r="D1574" i="15" s="1"/>
  <c r="B44" i="11"/>
  <c r="B42" i="11"/>
  <c r="B1572" i="15" s="1"/>
  <c r="B40" i="11"/>
  <c r="B1570" i="15" s="1"/>
  <c r="AC39" i="11"/>
  <c r="AB39" i="11"/>
  <c r="AA39" i="11"/>
  <c r="Z39" i="11"/>
  <c r="N416" i="20" s="1"/>
  <c r="Y39" i="11"/>
  <c r="M416" i="20" s="1"/>
  <c r="X39" i="11"/>
  <c r="L416" i="20" s="1"/>
  <c r="W39" i="11"/>
  <c r="K416" i="20" s="1"/>
  <c r="V39" i="11"/>
  <c r="J416" i="20" s="1"/>
  <c r="U39" i="11"/>
  <c r="I416" i="20" s="1"/>
  <c r="S39" i="11"/>
  <c r="G416" i="20" s="1"/>
  <c r="R39" i="11"/>
  <c r="F416" i="20" s="1"/>
  <c r="Q39" i="11"/>
  <c r="E416" i="20" s="1"/>
  <c r="P39" i="11"/>
  <c r="D416" i="20" s="1"/>
  <c r="O39" i="11"/>
  <c r="C416" i="20" s="1"/>
  <c r="N39" i="11"/>
  <c r="B416" i="20" s="1"/>
  <c r="M39" i="11"/>
  <c r="A416" i="20" s="1"/>
  <c r="D39" i="11"/>
  <c r="D1569" i="15" s="1"/>
  <c r="B39" i="11"/>
  <c r="B37" i="11"/>
  <c r="B1567" i="15" s="1"/>
  <c r="AC36" i="11"/>
  <c r="AB36" i="11"/>
  <c r="AA36" i="11"/>
  <c r="Z36" i="11"/>
  <c r="N415" i="20" s="1"/>
  <c r="Y36" i="11"/>
  <c r="M415" i="20" s="1"/>
  <c r="X36" i="11"/>
  <c r="L415" i="20" s="1"/>
  <c r="W36" i="11"/>
  <c r="K415" i="20" s="1"/>
  <c r="V36" i="11"/>
  <c r="J415" i="20" s="1"/>
  <c r="U36" i="11"/>
  <c r="I415" i="20" s="1"/>
  <c r="S36" i="11"/>
  <c r="G415" i="20" s="1"/>
  <c r="R36" i="11"/>
  <c r="F415" i="20" s="1"/>
  <c r="Q36" i="11"/>
  <c r="E415" i="20" s="1"/>
  <c r="P36" i="11"/>
  <c r="D415" i="20" s="1"/>
  <c r="O36" i="11"/>
  <c r="C415" i="20" s="1"/>
  <c r="N36" i="11"/>
  <c r="B415" i="20" s="1"/>
  <c r="D36" i="11"/>
  <c r="D1566" i="15" s="1"/>
  <c r="B36" i="11"/>
  <c r="B34" i="11"/>
  <c r="B1564" i="15" s="1"/>
  <c r="AC33" i="11"/>
  <c r="AB33" i="11"/>
  <c r="AA33" i="11"/>
  <c r="Z33" i="11"/>
  <c r="N414" i="20" s="1"/>
  <c r="Y33" i="11"/>
  <c r="M414" i="20" s="1"/>
  <c r="X33" i="11"/>
  <c r="L414" i="20" s="1"/>
  <c r="W33" i="11"/>
  <c r="K414" i="20" s="1"/>
  <c r="V33" i="11"/>
  <c r="J414" i="20" s="1"/>
  <c r="U33" i="11"/>
  <c r="I414" i="20" s="1"/>
  <c r="S33" i="11"/>
  <c r="G414" i="20" s="1"/>
  <c r="R33" i="11"/>
  <c r="F414" i="20" s="1"/>
  <c r="Q33" i="11"/>
  <c r="E414" i="20" s="1"/>
  <c r="P33" i="11"/>
  <c r="D414" i="20" s="1"/>
  <c r="O33" i="11"/>
  <c r="C414" i="20" s="1"/>
  <c r="N33" i="11"/>
  <c r="B414" i="20" s="1"/>
  <c r="D33" i="11"/>
  <c r="D1563" i="15" s="1"/>
  <c r="B33" i="11"/>
  <c r="B31" i="11"/>
  <c r="B1561" i="15" s="1"/>
  <c r="AC30" i="11"/>
  <c r="AB30" i="11"/>
  <c r="AA30" i="11"/>
  <c r="Z30" i="11"/>
  <c r="N413" i="20" s="1"/>
  <c r="Y30" i="11"/>
  <c r="M413" i="20" s="1"/>
  <c r="X30" i="11"/>
  <c r="L413" i="20" s="1"/>
  <c r="W30" i="11"/>
  <c r="K413" i="20" s="1"/>
  <c r="V30" i="11"/>
  <c r="J413" i="20" s="1"/>
  <c r="U30" i="11"/>
  <c r="I413" i="20" s="1"/>
  <c r="S30" i="11"/>
  <c r="G413" i="20" s="1"/>
  <c r="R30" i="11"/>
  <c r="F413" i="20" s="1"/>
  <c r="Q30" i="11"/>
  <c r="E413" i="20" s="1"/>
  <c r="P30" i="11"/>
  <c r="D413" i="20" s="1"/>
  <c r="O30" i="11"/>
  <c r="C413" i="20" s="1"/>
  <c r="N30" i="11"/>
  <c r="B413" i="20" s="1"/>
  <c r="M30" i="11"/>
  <c r="A413" i="20" s="1"/>
  <c r="D30" i="11"/>
  <c r="D1560" i="15" s="1"/>
  <c r="B30" i="11"/>
  <c r="B413" i="19" s="1"/>
  <c r="B28" i="11"/>
  <c r="B1558" i="15" s="1"/>
  <c r="AC27" i="11"/>
  <c r="AB27" i="11"/>
  <c r="AA27" i="11"/>
  <c r="Z27" i="11"/>
  <c r="N412" i="20" s="1"/>
  <c r="Y27" i="11"/>
  <c r="M412" i="20" s="1"/>
  <c r="X27" i="11"/>
  <c r="L412" i="20" s="1"/>
  <c r="W27" i="11"/>
  <c r="K412" i="20" s="1"/>
  <c r="V27" i="11"/>
  <c r="J412" i="20" s="1"/>
  <c r="U27" i="11"/>
  <c r="I412" i="20" s="1"/>
  <c r="S27" i="11"/>
  <c r="G412" i="20" s="1"/>
  <c r="R27" i="11"/>
  <c r="F412" i="20" s="1"/>
  <c r="Q27" i="11"/>
  <c r="E412" i="20" s="1"/>
  <c r="P27" i="11"/>
  <c r="D412" i="20" s="1"/>
  <c r="O27" i="11"/>
  <c r="C412" i="20" s="1"/>
  <c r="N27" i="11"/>
  <c r="B412" i="20" s="1"/>
  <c r="M27" i="11"/>
  <c r="A412" i="20" s="1"/>
  <c r="D27" i="11"/>
  <c r="D1557" i="15" s="1"/>
  <c r="B27" i="11"/>
  <c r="B25" i="11"/>
  <c r="B1555" i="15" s="1"/>
  <c r="B23" i="11"/>
  <c r="B1553" i="15" s="1"/>
  <c r="AC22" i="11"/>
  <c r="AB22" i="11"/>
  <c r="AA22" i="11"/>
  <c r="Z22" i="11"/>
  <c r="N411" i="20" s="1"/>
  <c r="Y22" i="11"/>
  <c r="M411" i="20" s="1"/>
  <c r="X22" i="11"/>
  <c r="L411" i="20" s="1"/>
  <c r="W22" i="11"/>
  <c r="K411" i="20" s="1"/>
  <c r="V22" i="11"/>
  <c r="J411" i="20" s="1"/>
  <c r="U22" i="11"/>
  <c r="I411" i="20" s="1"/>
  <c r="S22" i="11"/>
  <c r="G411" i="20" s="1"/>
  <c r="R22" i="11"/>
  <c r="F411" i="20" s="1"/>
  <c r="Q22" i="11"/>
  <c r="E411" i="20" s="1"/>
  <c r="P22" i="11"/>
  <c r="D411" i="20" s="1"/>
  <c r="O22" i="11"/>
  <c r="C411" i="20" s="1"/>
  <c r="N22" i="11"/>
  <c r="B411" i="20" s="1"/>
  <c r="M22" i="11"/>
  <c r="A411" i="20" s="1"/>
  <c r="D22" i="11"/>
  <c r="D1552" i="15" s="1"/>
  <c r="B22" i="11"/>
  <c r="B20" i="11"/>
  <c r="B1550" i="15" s="1"/>
  <c r="AC19" i="11"/>
  <c r="AB19" i="11"/>
  <c r="AA19" i="11"/>
  <c r="Z19" i="11"/>
  <c r="N410" i="20" s="1"/>
  <c r="Y19" i="11"/>
  <c r="M410" i="20" s="1"/>
  <c r="X19" i="11"/>
  <c r="L410" i="20" s="1"/>
  <c r="W19" i="11"/>
  <c r="K410" i="20" s="1"/>
  <c r="V19" i="11"/>
  <c r="J410" i="20" s="1"/>
  <c r="U19" i="11"/>
  <c r="I410" i="20" s="1"/>
  <c r="S19" i="11"/>
  <c r="G410" i="20" s="1"/>
  <c r="R19" i="11"/>
  <c r="F410" i="20" s="1"/>
  <c r="Q19" i="11"/>
  <c r="E410" i="20" s="1"/>
  <c r="P19" i="11"/>
  <c r="D410" i="20" s="1"/>
  <c r="O19" i="11"/>
  <c r="C410" i="20" s="1"/>
  <c r="N19" i="11"/>
  <c r="B410" i="20" s="1"/>
  <c r="M19" i="11"/>
  <c r="A410" i="20" s="1"/>
  <c r="D19" i="11"/>
  <c r="D1549" i="15" s="1"/>
  <c r="B19" i="11"/>
  <c r="B17" i="11"/>
  <c r="B1547" i="15" s="1"/>
  <c r="AC16" i="11"/>
  <c r="AB16" i="11"/>
  <c r="AA16" i="11"/>
  <c r="Z16" i="11"/>
  <c r="N409" i="20" s="1"/>
  <c r="Y16" i="11"/>
  <c r="M409" i="20" s="1"/>
  <c r="X16" i="11"/>
  <c r="L409" i="20" s="1"/>
  <c r="W16" i="11"/>
  <c r="K409" i="20" s="1"/>
  <c r="V16" i="11"/>
  <c r="J409" i="20" s="1"/>
  <c r="U16" i="11"/>
  <c r="I409" i="20" s="1"/>
  <c r="S16" i="11"/>
  <c r="G409" i="20" s="1"/>
  <c r="R16" i="11"/>
  <c r="F409" i="20" s="1"/>
  <c r="Q16" i="11"/>
  <c r="E409" i="20" s="1"/>
  <c r="P16" i="11"/>
  <c r="D409" i="20" s="1"/>
  <c r="O16" i="11"/>
  <c r="C409" i="20" s="1"/>
  <c r="N16" i="11"/>
  <c r="B409" i="20" s="1"/>
  <c r="M16" i="11"/>
  <c r="A409" i="20" s="1"/>
  <c r="D16" i="11"/>
  <c r="D1546" i="15" s="1"/>
  <c r="B16" i="11"/>
  <c r="B14" i="11"/>
  <c r="B1544" i="15" s="1"/>
  <c r="AC13" i="11"/>
  <c r="AB13" i="11"/>
  <c r="AA13" i="11"/>
  <c r="Z13" i="11"/>
  <c r="N408" i="20" s="1"/>
  <c r="Y13" i="11"/>
  <c r="M408" i="20" s="1"/>
  <c r="X13" i="11"/>
  <c r="L408" i="20" s="1"/>
  <c r="W13" i="11"/>
  <c r="K408" i="20" s="1"/>
  <c r="V13" i="11"/>
  <c r="J408" i="20" s="1"/>
  <c r="U13" i="11"/>
  <c r="I408" i="20" s="1"/>
  <c r="S13" i="11"/>
  <c r="G408" i="20" s="1"/>
  <c r="R13" i="11"/>
  <c r="F408" i="20" s="1"/>
  <c r="Q13" i="11"/>
  <c r="E408" i="20" s="1"/>
  <c r="P13" i="11"/>
  <c r="D408" i="20" s="1"/>
  <c r="O13" i="11"/>
  <c r="C408" i="20" s="1"/>
  <c r="N13" i="11"/>
  <c r="B408" i="20" s="1"/>
  <c r="D13" i="11"/>
  <c r="B13" i="11"/>
  <c r="A13" i="11"/>
  <c r="B11" i="11"/>
  <c r="AC10" i="11"/>
  <c r="AB10" i="11"/>
  <c r="AA10" i="11"/>
  <c r="Z10" i="11"/>
  <c r="N407" i="20" s="1"/>
  <c r="Y10" i="11"/>
  <c r="M407" i="20" s="1"/>
  <c r="X10" i="11"/>
  <c r="L407" i="20" s="1"/>
  <c r="W10" i="11"/>
  <c r="K407" i="20" s="1"/>
  <c r="V10" i="11"/>
  <c r="J407" i="20" s="1"/>
  <c r="U10" i="11"/>
  <c r="I407" i="20" s="1"/>
  <c r="S10" i="11"/>
  <c r="G407" i="20" s="1"/>
  <c r="R10" i="11"/>
  <c r="F407" i="20" s="1"/>
  <c r="Q10" i="11"/>
  <c r="E407" i="20" s="1"/>
  <c r="P10" i="11"/>
  <c r="D407" i="20" s="1"/>
  <c r="O10" i="11"/>
  <c r="C407" i="20" s="1"/>
  <c r="N10" i="11"/>
  <c r="B407" i="20" s="1"/>
  <c r="D10" i="11"/>
  <c r="B10" i="11"/>
  <c r="B8" i="11"/>
  <c r="A3" i="11"/>
  <c r="A1" i="11"/>
  <c r="B159" i="10"/>
  <c r="B1519" i="15" s="1"/>
  <c r="AC158" i="10"/>
  <c r="AB158" i="10"/>
  <c r="AA158" i="10"/>
  <c r="Z158" i="10"/>
  <c r="N406" i="20" s="1"/>
  <c r="Y158" i="10"/>
  <c r="M406" i="20" s="1"/>
  <c r="X158" i="10"/>
  <c r="L406" i="20" s="1"/>
  <c r="W158" i="10"/>
  <c r="K406" i="20" s="1"/>
  <c r="V158" i="10"/>
  <c r="J406" i="20" s="1"/>
  <c r="U158" i="10"/>
  <c r="I406" i="20" s="1"/>
  <c r="S158" i="10"/>
  <c r="G406" i="20" s="1"/>
  <c r="R158" i="10"/>
  <c r="F406" i="20" s="1"/>
  <c r="Q158" i="10"/>
  <c r="E406" i="20" s="1"/>
  <c r="P158" i="10"/>
  <c r="D406" i="20" s="1"/>
  <c r="O158" i="10"/>
  <c r="C406" i="20" s="1"/>
  <c r="N158" i="10"/>
  <c r="B406" i="20" s="1"/>
  <c r="D158" i="10"/>
  <c r="D1518" i="15" s="1"/>
  <c r="B158" i="10"/>
  <c r="B156" i="10"/>
  <c r="B1516" i="15" s="1"/>
  <c r="AC155" i="10"/>
  <c r="AB155" i="10"/>
  <c r="AA155" i="10"/>
  <c r="Z155" i="10"/>
  <c r="N405" i="20" s="1"/>
  <c r="Y155" i="10"/>
  <c r="M405" i="20" s="1"/>
  <c r="X155" i="10"/>
  <c r="L405" i="20" s="1"/>
  <c r="W155" i="10"/>
  <c r="K405" i="20" s="1"/>
  <c r="V155" i="10"/>
  <c r="J405" i="20" s="1"/>
  <c r="U155" i="10"/>
  <c r="I405" i="20" s="1"/>
  <c r="S155" i="10"/>
  <c r="G405" i="20" s="1"/>
  <c r="R155" i="10"/>
  <c r="F405" i="20" s="1"/>
  <c r="Q155" i="10"/>
  <c r="E405" i="20" s="1"/>
  <c r="P155" i="10"/>
  <c r="D405" i="20" s="1"/>
  <c r="O155" i="10"/>
  <c r="C405" i="20" s="1"/>
  <c r="N155" i="10"/>
  <c r="B405" i="20" s="1"/>
  <c r="M155" i="10"/>
  <c r="A405" i="20" s="1"/>
  <c r="D155" i="10"/>
  <c r="D1515" i="15" s="1"/>
  <c r="B155" i="10"/>
  <c r="B153" i="10"/>
  <c r="B1513" i="15" s="1"/>
  <c r="AC152" i="10"/>
  <c r="AB152" i="10"/>
  <c r="AA152" i="10"/>
  <c r="Z152" i="10"/>
  <c r="N404" i="20" s="1"/>
  <c r="Y152" i="10"/>
  <c r="M404" i="20" s="1"/>
  <c r="X152" i="10"/>
  <c r="L404" i="20" s="1"/>
  <c r="W152" i="10"/>
  <c r="K404" i="20" s="1"/>
  <c r="V152" i="10"/>
  <c r="J404" i="20" s="1"/>
  <c r="U152" i="10"/>
  <c r="I404" i="20" s="1"/>
  <c r="S152" i="10"/>
  <c r="G404" i="20" s="1"/>
  <c r="R152" i="10"/>
  <c r="F404" i="20" s="1"/>
  <c r="Q152" i="10"/>
  <c r="E404" i="20" s="1"/>
  <c r="P152" i="10"/>
  <c r="D404" i="20" s="1"/>
  <c r="O152" i="10"/>
  <c r="C404" i="20" s="1"/>
  <c r="N152" i="10"/>
  <c r="B404" i="20" s="1"/>
  <c r="M152" i="10"/>
  <c r="A404" i="20" s="1"/>
  <c r="D152" i="10"/>
  <c r="D1512" i="15" s="1"/>
  <c r="B152" i="10"/>
  <c r="B150" i="10"/>
  <c r="B1510" i="15" s="1"/>
  <c r="AC149" i="10"/>
  <c r="AB149" i="10"/>
  <c r="AA149" i="10"/>
  <c r="Z149" i="10"/>
  <c r="N403" i="20" s="1"/>
  <c r="Y149" i="10"/>
  <c r="M403" i="20" s="1"/>
  <c r="X149" i="10"/>
  <c r="L403" i="20" s="1"/>
  <c r="W149" i="10"/>
  <c r="K403" i="20" s="1"/>
  <c r="V149" i="10"/>
  <c r="J403" i="20" s="1"/>
  <c r="U149" i="10"/>
  <c r="I403" i="20" s="1"/>
  <c r="S149" i="10"/>
  <c r="G403" i="20" s="1"/>
  <c r="R149" i="10"/>
  <c r="F403" i="20" s="1"/>
  <c r="Q149" i="10"/>
  <c r="E403" i="20" s="1"/>
  <c r="P149" i="10"/>
  <c r="D403" i="20" s="1"/>
  <c r="O149" i="10"/>
  <c r="C403" i="20" s="1"/>
  <c r="N149" i="10"/>
  <c r="B403" i="20" s="1"/>
  <c r="M149" i="10"/>
  <c r="A403" i="20" s="1"/>
  <c r="D149" i="10"/>
  <c r="D1509" i="15" s="1"/>
  <c r="B149" i="10"/>
  <c r="B147" i="10"/>
  <c r="B1507" i="15" s="1"/>
  <c r="AC146" i="10"/>
  <c r="AB146" i="10"/>
  <c r="AA146" i="10"/>
  <c r="Z146" i="10"/>
  <c r="N402" i="20" s="1"/>
  <c r="Y146" i="10"/>
  <c r="M402" i="20" s="1"/>
  <c r="X146" i="10"/>
  <c r="L402" i="20" s="1"/>
  <c r="W146" i="10"/>
  <c r="K402" i="20" s="1"/>
  <c r="V146" i="10"/>
  <c r="J402" i="20" s="1"/>
  <c r="U146" i="10"/>
  <c r="I402" i="20" s="1"/>
  <c r="T146" i="10"/>
  <c r="H402" i="20" s="1"/>
  <c r="S146" i="10"/>
  <c r="G402" i="20" s="1"/>
  <c r="R146" i="10"/>
  <c r="F402" i="20" s="1"/>
  <c r="Q146" i="10"/>
  <c r="E402" i="20" s="1"/>
  <c r="P146" i="10"/>
  <c r="D402" i="20" s="1"/>
  <c r="O146" i="10"/>
  <c r="C402" i="20" s="1"/>
  <c r="N146" i="10"/>
  <c r="B402" i="20" s="1"/>
  <c r="D146" i="10"/>
  <c r="D1506" i="15" s="1"/>
  <c r="B146" i="10"/>
  <c r="B144" i="10"/>
  <c r="B1504" i="15" s="1"/>
  <c r="B142" i="10"/>
  <c r="B1502" i="15" s="1"/>
  <c r="AC141" i="10"/>
  <c r="AB141" i="10"/>
  <c r="AA141" i="10"/>
  <c r="Z141" i="10"/>
  <c r="N401" i="20" s="1"/>
  <c r="Y141" i="10"/>
  <c r="M401" i="20" s="1"/>
  <c r="X141" i="10"/>
  <c r="L401" i="20" s="1"/>
  <c r="W141" i="10"/>
  <c r="K401" i="20" s="1"/>
  <c r="V141" i="10"/>
  <c r="J401" i="20" s="1"/>
  <c r="U141" i="10"/>
  <c r="I401" i="20" s="1"/>
  <c r="S141" i="10"/>
  <c r="G401" i="20" s="1"/>
  <c r="R141" i="10"/>
  <c r="F401" i="20" s="1"/>
  <c r="Q141" i="10"/>
  <c r="E401" i="20" s="1"/>
  <c r="P141" i="10"/>
  <c r="D401" i="20" s="1"/>
  <c r="O141" i="10"/>
  <c r="C401" i="20" s="1"/>
  <c r="N141" i="10"/>
  <c r="B401" i="20" s="1"/>
  <c r="M141" i="10"/>
  <c r="A401" i="20" s="1"/>
  <c r="D141" i="10"/>
  <c r="D1501" i="15" s="1"/>
  <c r="B141" i="10"/>
  <c r="B139" i="10"/>
  <c r="B1499" i="15" s="1"/>
  <c r="AC138" i="10"/>
  <c r="AB138" i="10"/>
  <c r="AA138" i="10"/>
  <c r="Z138" i="10"/>
  <c r="N400" i="20" s="1"/>
  <c r="Y138" i="10"/>
  <c r="M400" i="20" s="1"/>
  <c r="X138" i="10"/>
  <c r="L400" i="20" s="1"/>
  <c r="W138" i="10"/>
  <c r="K400" i="20" s="1"/>
  <c r="V138" i="10"/>
  <c r="J400" i="20" s="1"/>
  <c r="U138" i="10"/>
  <c r="I400" i="20" s="1"/>
  <c r="S138" i="10"/>
  <c r="G400" i="20" s="1"/>
  <c r="R138" i="10"/>
  <c r="F400" i="20" s="1"/>
  <c r="Q138" i="10"/>
  <c r="E400" i="20" s="1"/>
  <c r="P138" i="10"/>
  <c r="D400" i="20" s="1"/>
  <c r="O138" i="10"/>
  <c r="C400" i="20" s="1"/>
  <c r="N138" i="10"/>
  <c r="B400" i="20" s="1"/>
  <c r="M138" i="10"/>
  <c r="A400" i="20" s="1"/>
  <c r="D138" i="10"/>
  <c r="D1498" i="15" s="1"/>
  <c r="B138" i="10"/>
  <c r="B136" i="10"/>
  <c r="B1496" i="15" s="1"/>
  <c r="AC135" i="10"/>
  <c r="AB135" i="10"/>
  <c r="AA135" i="10"/>
  <c r="Z135" i="10"/>
  <c r="N399" i="20" s="1"/>
  <c r="Y135" i="10"/>
  <c r="M399" i="20" s="1"/>
  <c r="X135" i="10"/>
  <c r="L399" i="20" s="1"/>
  <c r="W135" i="10"/>
  <c r="K399" i="20" s="1"/>
  <c r="V135" i="10"/>
  <c r="J399" i="20" s="1"/>
  <c r="U135" i="10"/>
  <c r="I399" i="20" s="1"/>
  <c r="T135" i="10"/>
  <c r="H399" i="20" s="1"/>
  <c r="S135" i="10"/>
  <c r="G399" i="20" s="1"/>
  <c r="R135" i="10"/>
  <c r="F399" i="20" s="1"/>
  <c r="Q135" i="10"/>
  <c r="E399" i="20" s="1"/>
  <c r="P135" i="10"/>
  <c r="D399" i="20" s="1"/>
  <c r="O135" i="10"/>
  <c r="C399" i="20" s="1"/>
  <c r="N135" i="10"/>
  <c r="B399" i="20" s="1"/>
  <c r="D135" i="10"/>
  <c r="D1495" i="15" s="1"/>
  <c r="B135" i="10"/>
  <c r="B133" i="10"/>
  <c r="B1493" i="15" s="1"/>
  <c r="AC132" i="10"/>
  <c r="AB132" i="10"/>
  <c r="AA132" i="10"/>
  <c r="Z132" i="10"/>
  <c r="N398" i="20" s="1"/>
  <c r="Y132" i="10"/>
  <c r="M398" i="20" s="1"/>
  <c r="X132" i="10"/>
  <c r="L398" i="20" s="1"/>
  <c r="W132" i="10"/>
  <c r="K398" i="20" s="1"/>
  <c r="V132" i="10"/>
  <c r="J398" i="20" s="1"/>
  <c r="U132" i="10"/>
  <c r="I398" i="20" s="1"/>
  <c r="T132" i="10"/>
  <c r="H398" i="20" s="1"/>
  <c r="S132" i="10"/>
  <c r="G398" i="20" s="1"/>
  <c r="R132" i="10"/>
  <c r="F398" i="20" s="1"/>
  <c r="Q132" i="10"/>
  <c r="E398" i="20" s="1"/>
  <c r="P132" i="10"/>
  <c r="D398" i="20" s="1"/>
  <c r="O132" i="10"/>
  <c r="C398" i="20" s="1"/>
  <c r="N132" i="10"/>
  <c r="B398" i="20" s="1"/>
  <c r="D132" i="10"/>
  <c r="D1492" i="15" s="1"/>
  <c r="B132" i="10"/>
  <c r="B130" i="10"/>
  <c r="B1490" i="15" s="1"/>
  <c r="AC129" i="10"/>
  <c r="AB129" i="10"/>
  <c r="AA129" i="10"/>
  <c r="Z129" i="10"/>
  <c r="N397" i="20" s="1"/>
  <c r="Y129" i="10"/>
  <c r="M397" i="20" s="1"/>
  <c r="X129" i="10"/>
  <c r="L397" i="20" s="1"/>
  <c r="W129" i="10"/>
  <c r="K397" i="20" s="1"/>
  <c r="V129" i="10"/>
  <c r="J397" i="20" s="1"/>
  <c r="U129" i="10"/>
  <c r="I397" i="20" s="1"/>
  <c r="S129" i="10"/>
  <c r="G397" i="20" s="1"/>
  <c r="R129" i="10"/>
  <c r="F397" i="20" s="1"/>
  <c r="Q129" i="10"/>
  <c r="E397" i="20" s="1"/>
  <c r="P129" i="10"/>
  <c r="D397" i="20" s="1"/>
  <c r="O129" i="10"/>
  <c r="C397" i="20" s="1"/>
  <c r="N129" i="10"/>
  <c r="B397" i="20" s="1"/>
  <c r="M129" i="10"/>
  <c r="A397" i="20" s="1"/>
  <c r="D129" i="10"/>
  <c r="D1489" i="15" s="1"/>
  <c r="B129" i="10"/>
  <c r="B127" i="10"/>
  <c r="B1487" i="15" s="1"/>
  <c r="B125" i="10"/>
  <c r="B1485" i="15" s="1"/>
  <c r="AC124" i="10"/>
  <c r="AB124" i="10"/>
  <c r="AA124" i="10"/>
  <c r="Z124" i="10"/>
  <c r="N396" i="20" s="1"/>
  <c r="Y124" i="10"/>
  <c r="M396" i="20" s="1"/>
  <c r="X124" i="10"/>
  <c r="L396" i="20" s="1"/>
  <c r="W124" i="10"/>
  <c r="K396" i="20" s="1"/>
  <c r="V124" i="10"/>
  <c r="J396" i="20" s="1"/>
  <c r="U124" i="10"/>
  <c r="I396" i="20" s="1"/>
  <c r="T124" i="10"/>
  <c r="H396" i="20" s="1"/>
  <c r="S124" i="10"/>
  <c r="G396" i="20" s="1"/>
  <c r="R124" i="10"/>
  <c r="F396" i="20" s="1"/>
  <c r="Q124" i="10"/>
  <c r="E396" i="20" s="1"/>
  <c r="P124" i="10"/>
  <c r="D396" i="20" s="1"/>
  <c r="O124" i="10"/>
  <c r="C396" i="20" s="1"/>
  <c r="N124" i="10"/>
  <c r="B396" i="20" s="1"/>
  <c r="D124" i="10"/>
  <c r="D1484" i="15" s="1"/>
  <c r="B124" i="10"/>
  <c r="B122" i="10"/>
  <c r="B1482" i="15" s="1"/>
  <c r="AC121" i="10"/>
  <c r="AB121" i="10"/>
  <c r="AA121" i="10"/>
  <c r="Z121" i="10"/>
  <c r="N395" i="20" s="1"/>
  <c r="Y121" i="10"/>
  <c r="M395" i="20" s="1"/>
  <c r="X121" i="10"/>
  <c r="L395" i="20" s="1"/>
  <c r="W121" i="10"/>
  <c r="K395" i="20" s="1"/>
  <c r="V121" i="10"/>
  <c r="J395" i="20" s="1"/>
  <c r="U121" i="10"/>
  <c r="I395" i="20" s="1"/>
  <c r="S121" i="10"/>
  <c r="G395" i="20" s="1"/>
  <c r="R121" i="10"/>
  <c r="F395" i="20" s="1"/>
  <c r="Q121" i="10"/>
  <c r="E395" i="20" s="1"/>
  <c r="P121" i="10"/>
  <c r="D395" i="20" s="1"/>
  <c r="O121" i="10"/>
  <c r="C395" i="20" s="1"/>
  <c r="N121" i="10"/>
  <c r="B395" i="20" s="1"/>
  <c r="D121" i="10"/>
  <c r="D1481" i="15" s="1"/>
  <c r="B121" i="10"/>
  <c r="B119" i="10"/>
  <c r="B1479" i="15" s="1"/>
  <c r="AC118" i="10"/>
  <c r="AB118" i="10"/>
  <c r="AA118" i="10"/>
  <c r="Z118" i="10"/>
  <c r="N394" i="20" s="1"/>
  <c r="Y118" i="10"/>
  <c r="M394" i="20" s="1"/>
  <c r="X118" i="10"/>
  <c r="L394" i="20" s="1"/>
  <c r="W118" i="10"/>
  <c r="K394" i="20" s="1"/>
  <c r="V118" i="10"/>
  <c r="J394" i="20" s="1"/>
  <c r="U118" i="10"/>
  <c r="I394" i="20" s="1"/>
  <c r="S118" i="10"/>
  <c r="G394" i="20" s="1"/>
  <c r="R118" i="10"/>
  <c r="F394" i="20" s="1"/>
  <c r="Q118" i="10"/>
  <c r="E394" i="20" s="1"/>
  <c r="P118" i="10"/>
  <c r="D394" i="20" s="1"/>
  <c r="O118" i="10"/>
  <c r="C394" i="20" s="1"/>
  <c r="N118" i="10"/>
  <c r="B394" i="20" s="1"/>
  <c r="M118" i="10"/>
  <c r="A394" i="20" s="1"/>
  <c r="D118" i="10"/>
  <c r="D1478" i="15" s="1"/>
  <c r="B118" i="10"/>
  <c r="B116" i="10"/>
  <c r="B1476" i="15" s="1"/>
  <c r="AC115" i="10"/>
  <c r="AB115" i="10"/>
  <c r="AA115" i="10"/>
  <c r="Z115" i="10"/>
  <c r="N393" i="20" s="1"/>
  <c r="Y115" i="10"/>
  <c r="M393" i="20" s="1"/>
  <c r="X115" i="10"/>
  <c r="L393" i="20" s="1"/>
  <c r="W115" i="10"/>
  <c r="K393" i="20" s="1"/>
  <c r="V115" i="10"/>
  <c r="J393" i="20" s="1"/>
  <c r="U115" i="10"/>
  <c r="I393" i="20" s="1"/>
  <c r="S115" i="10"/>
  <c r="G393" i="20" s="1"/>
  <c r="R115" i="10"/>
  <c r="F393" i="20" s="1"/>
  <c r="Q115" i="10"/>
  <c r="E393" i="20" s="1"/>
  <c r="P115" i="10"/>
  <c r="D393" i="20" s="1"/>
  <c r="O115" i="10"/>
  <c r="C393" i="20" s="1"/>
  <c r="N115" i="10"/>
  <c r="B393" i="20" s="1"/>
  <c r="D115" i="10"/>
  <c r="D1475" i="15" s="1"/>
  <c r="B115" i="10"/>
  <c r="B113" i="10"/>
  <c r="B1473" i="15" s="1"/>
  <c r="AC112" i="10"/>
  <c r="AB112" i="10"/>
  <c r="AA112" i="10"/>
  <c r="Z112" i="10"/>
  <c r="N392" i="20" s="1"/>
  <c r="Y112" i="10"/>
  <c r="M392" i="20" s="1"/>
  <c r="X112" i="10"/>
  <c r="L392" i="20" s="1"/>
  <c r="W112" i="10"/>
  <c r="K392" i="20" s="1"/>
  <c r="V112" i="10"/>
  <c r="J392" i="20" s="1"/>
  <c r="U112" i="10"/>
  <c r="I392" i="20" s="1"/>
  <c r="S112" i="10"/>
  <c r="G392" i="20" s="1"/>
  <c r="R112" i="10"/>
  <c r="F392" i="20" s="1"/>
  <c r="Q112" i="10"/>
  <c r="E392" i="20" s="1"/>
  <c r="P112" i="10"/>
  <c r="D392" i="20" s="1"/>
  <c r="O112" i="10"/>
  <c r="C392" i="20" s="1"/>
  <c r="N112" i="10"/>
  <c r="B392" i="20" s="1"/>
  <c r="D112" i="10"/>
  <c r="D1472" i="15" s="1"/>
  <c r="B112" i="10"/>
  <c r="B110" i="10"/>
  <c r="B1470" i="15" s="1"/>
  <c r="B108" i="10"/>
  <c r="B1468" i="15" s="1"/>
  <c r="AC107" i="10"/>
  <c r="AB107" i="10"/>
  <c r="AA107" i="10"/>
  <c r="Z107" i="10"/>
  <c r="N391" i="20" s="1"/>
  <c r="Y107" i="10"/>
  <c r="M391" i="20" s="1"/>
  <c r="X107" i="10"/>
  <c r="L391" i="20" s="1"/>
  <c r="W107" i="10"/>
  <c r="K391" i="20" s="1"/>
  <c r="V107" i="10"/>
  <c r="J391" i="20" s="1"/>
  <c r="U107" i="10"/>
  <c r="I391" i="20" s="1"/>
  <c r="S107" i="10"/>
  <c r="G391" i="20" s="1"/>
  <c r="R107" i="10"/>
  <c r="F391" i="20" s="1"/>
  <c r="Q107" i="10"/>
  <c r="E391" i="20" s="1"/>
  <c r="P107" i="10"/>
  <c r="D391" i="20" s="1"/>
  <c r="O107" i="10"/>
  <c r="C391" i="20" s="1"/>
  <c r="N107" i="10"/>
  <c r="B391" i="20" s="1"/>
  <c r="M107" i="10"/>
  <c r="A391" i="20" s="1"/>
  <c r="D107" i="10"/>
  <c r="D1467" i="15" s="1"/>
  <c r="B107" i="10"/>
  <c r="B105" i="10"/>
  <c r="B1465" i="15" s="1"/>
  <c r="AC104" i="10"/>
  <c r="AB104" i="10"/>
  <c r="AA104" i="10"/>
  <c r="Z104" i="10"/>
  <c r="N390" i="20" s="1"/>
  <c r="Y104" i="10"/>
  <c r="M390" i="20" s="1"/>
  <c r="X104" i="10"/>
  <c r="L390" i="20" s="1"/>
  <c r="W104" i="10"/>
  <c r="K390" i="20" s="1"/>
  <c r="V104" i="10"/>
  <c r="J390" i="20" s="1"/>
  <c r="U104" i="10"/>
  <c r="I390" i="20" s="1"/>
  <c r="S104" i="10"/>
  <c r="G390" i="20" s="1"/>
  <c r="R104" i="10"/>
  <c r="F390" i="20" s="1"/>
  <c r="Q104" i="10"/>
  <c r="E390" i="20" s="1"/>
  <c r="P104" i="10"/>
  <c r="D390" i="20" s="1"/>
  <c r="O104" i="10"/>
  <c r="C390" i="20" s="1"/>
  <c r="N104" i="10"/>
  <c r="B390" i="20" s="1"/>
  <c r="M104" i="10"/>
  <c r="A390" i="20" s="1"/>
  <c r="D104" i="10"/>
  <c r="D1464" i="15" s="1"/>
  <c r="B104" i="10"/>
  <c r="B102" i="10"/>
  <c r="B1462" i="15" s="1"/>
  <c r="AC101" i="10"/>
  <c r="AB101" i="10"/>
  <c r="AA101" i="10"/>
  <c r="Z101" i="10"/>
  <c r="N389" i="20" s="1"/>
  <c r="Y101" i="10"/>
  <c r="M389" i="20" s="1"/>
  <c r="X101" i="10"/>
  <c r="L389" i="20" s="1"/>
  <c r="W101" i="10"/>
  <c r="K389" i="20" s="1"/>
  <c r="V101" i="10"/>
  <c r="J389" i="20" s="1"/>
  <c r="U101" i="10"/>
  <c r="I389" i="20" s="1"/>
  <c r="S101" i="10"/>
  <c r="G389" i="20" s="1"/>
  <c r="R101" i="10"/>
  <c r="F389" i="20" s="1"/>
  <c r="Q101" i="10"/>
  <c r="E389" i="20" s="1"/>
  <c r="P101" i="10"/>
  <c r="D389" i="20" s="1"/>
  <c r="O101" i="10"/>
  <c r="C389" i="20" s="1"/>
  <c r="N101" i="10"/>
  <c r="B389" i="20" s="1"/>
  <c r="D101" i="10"/>
  <c r="D1461" i="15" s="1"/>
  <c r="B101" i="10"/>
  <c r="B99" i="10"/>
  <c r="B1459" i="15" s="1"/>
  <c r="AC98" i="10"/>
  <c r="AB98" i="10"/>
  <c r="AA98" i="10"/>
  <c r="Z98" i="10"/>
  <c r="N388" i="20" s="1"/>
  <c r="Y98" i="10"/>
  <c r="M388" i="20" s="1"/>
  <c r="X98" i="10"/>
  <c r="L388" i="20" s="1"/>
  <c r="W98" i="10"/>
  <c r="K388" i="20" s="1"/>
  <c r="V98" i="10"/>
  <c r="J388" i="20" s="1"/>
  <c r="U98" i="10"/>
  <c r="I388" i="20" s="1"/>
  <c r="S98" i="10"/>
  <c r="G388" i="20" s="1"/>
  <c r="R98" i="10"/>
  <c r="F388" i="20" s="1"/>
  <c r="Q98" i="10"/>
  <c r="E388" i="20" s="1"/>
  <c r="P98" i="10"/>
  <c r="D388" i="20" s="1"/>
  <c r="O98" i="10"/>
  <c r="C388" i="20" s="1"/>
  <c r="N98" i="10"/>
  <c r="B388" i="20" s="1"/>
  <c r="D98" i="10"/>
  <c r="D1458" i="15" s="1"/>
  <c r="B98" i="10"/>
  <c r="B96" i="10"/>
  <c r="B1456" i="15" s="1"/>
  <c r="AC95" i="10"/>
  <c r="AB95" i="10"/>
  <c r="AA95" i="10"/>
  <c r="Z95" i="10"/>
  <c r="N387" i="20" s="1"/>
  <c r="Y95" i="10"/>
  <c r="M387" i="20" s="1"/>
  <c r="X95" i="10"/>
  <c r="L387" i="20" s="1"/>
  <c r="W95" i="10"/>
  <c r="K387" i="20" s="1"/>
  <c r="V95" i="10"/>
  <c r="J387" i="20" s="1"/>
  <c r="U95" i="10"/>
  <c r="I387" i="20" s="1"/>
  <c r="S95" i="10"/>
  <c r="G387" i="20" s="1"/>
  <c r="R95" i="10"/>
  <c r="F387" i="20" s="1"/>
  <c r="Q95" i="10"/>
  <c r="E387" i="20" s="1"/>
  <c r="P95" i="10"/>
  <c r="D387" i="20" s="1"/>
  <c r="O95" i="10"/>
  <c r="C387" i="20" s="1"/>
  <c r="N95" i="10"/>
  <c r="B387" i="20" s="1"/>
  <c r="M95" i="10"/>
  <c r="A387" i="20" s="1"/>
  <c r="D95" i="10"/>
  <c r="D1455" i="15" s="1"/>
  <c r="B95" i="10"/>
  <c r="B93" i="10"/>
  <c r="B1453" i="15" s="1"/>
  <c r="B91" i="10"/>
  <c r="B1451" i="15" s="1"/>
  <c r="AC90" i="10"/>
  <c r="AB90" i="10"/>
  <c r="AA90" i="10"/>
  <c r="Z90" i="10"/>
  <c r="N386" i="20" s="1"/>
  <c r="Y90" i="10"/>
  <c r="M386" i="20" s="1"/>
  <c r="X90" i="10"/>
  <c r="L386" i="20" s="1"/>
  <c r="W90" i="10"/>
  <c r="K386" i="20" s="1"/>
  <c r="V90" i="10"/>
  <c r="J386" i="20" s="1"/>
  <c r="U90" i="10"/>
  <c r="I386" i="20" s="1"/>
  <c r="S90" i="10"/>
  <c r="G386" i="20" s="1"/>
  <c r="R90" i="10"/>
  <c r="F386" i="20" s="1"/>
  <c r="Q90" i="10"/>
  <c r="E386" i="20" s="1"/>
  <c r="P90" i="10"/>
  <c r="D386" i="20" s="1"/>
  <c r="O90" i="10"/>
  <c r="C386" i="20" s="1"/>
  <c r="N90" i="10"/>
  <c r="B386" i="20" s="1"/>
  <c r="D90" i="10"/>
  <c r="D1450" i="15" s="1"/>
  <c r="B90" i="10"/>
  <c r="B88" i="10"/>
  <c r="B1448" i="15" s="1"/>
  <c r="AC87" i="10"/>
  <c r="AB87" i="10"/>
  <c r="AA87" i="10"/>
  <c r="Z87" i="10"/>
  <c r="N385" i="20" s="1"/>
  <c r="Y87" i="10"/>
  <c r="M385" i="20" s="1"/>
  <c r="X87" i="10"/>
  <c r="L385" i="20" s="1"/>
  <c r="W87" i="10"/>
  <c r="K385" i="20" s="1"/>
  <c r="V87" i="10"/>
  <c r="J385" i="20" s="1"/>
  <c r="U87" i="10"/>
  <c r="I385" i="20" s="1"/>
  <c r="S87" i="10"/>
  <c r="G385" i="20" s="1"/>
  <c r="R87" i="10"/>
  <c r="F385" i="20" s="1"/>
  <c r="Q87" i="10"/>
  <c r="E385" i="20" s="1"/>
  <c r="P87" i="10"/>
  <c r="D385" i="20" s="1"/>
  <c r="O87" i="10"/>
  <c r="C385" i="20" s="1"/>
  <c r="N87" i="10"/>
  <c r="B385" i="20" s="1"/>
  <c r="D87" i="10"/>
  <c r="D1447" i="15" s="1"/>
  <c r="B87" i="10"/>
  <c r="B85" i="10"/>
  <c r="B1445" i="15" s="1"/>
  <c r="AC84" i="10"/>
  <c r="AB84" i="10"/>
  <c r="AA84" i="10"/>
  <c r="Z84" i="10"/>
  <c r="N384" i="20" s="1"/>
  <c r="Y84" i="10"/>
  <c r="M384" i="20" s="1"/>
  <c r="X84" i="10"/>
  <c r="L384" i="20" s="1"/>
  <c r="W84" i="10"/>
  <c r="K384" i="20" s="1"/>
  <c r="V84" i="10"/>
  <c r="J384" i="20" s="1"/>
  <c r="U84" i="10"/>
  <c r="I384" i="20" s="1"/>
  <c r="S84" i="10"/>
  <c r="G384" i="20" s="1"/>
  <c r="R84" i="10"/>
  <c r="F384" i="20" s="1"/>
  <c r="Q84" i="10"/>
  <c r="E384" i="20" s="1"/>
  <c r="P84" i="10"/>
  <c r="D384" i="20" s="1"/>
  <c r="O84" i="10"/>
  <c r="C384" i="20" s="1"/>
  <c r="N84" i="10"/>
  <c r="B384" i="20" s="1"/>
  <c r="M84" i="10"/>
  <c r="A384" i="20" s="1"/>
  <c r="D84" i="10"/>
  <c r="D1444" i="15" s="1"/>
  <c r="B84" i="10"/>
  <c r="B82" i="10"/>
  <c r="B1442" i="15" s="1"/>
  <c r="AC81" i="10"/>
  <c r="AB81" i="10"/>
  <c r="AA81" i="10"/>
  <c r="Z81" i="10"/>
  <c r="N383" i="20" s="1"/>
  <c r="Y81" i="10"/>
  <c r="M383" i="20" s="1"/>
  <c r="X81" i="10"/>
  <c r="L383" i="20" s="1"/>
  <c r="W81" i="10"/>
  <c r="K383" i="20" s="1"/>
  <c r="V81" i="10"/>
  <c r="J383" i="20" s="1"/>
  <c r="U81" i="10"/>
  <c r="I383" i="20" s="1"/>
  <c r="S81" i="10"/>
  <c r="G383" i="20" s="1"/>
  <c r="R81" i="10"/>
  <c r="F383" i="20" s="1"/>
  <c r="Q81" i="10"/>
  <c r="E383" i="20" s="1"/>
  <c r="P81" i="10"/>
  <c r="D383" i="20" s="1"/>
  <c r="O81" i="10"/>
  <c r="C383" i="20" s="1"/>
  <c r="N81" i="10"/>
  <c r="B383" i="20" s="1"/>
  <c r="M81" i="10"/>
  <c r="A383" i="20" s="1"/>
  <c r="D81" i="10"/>
  <c r="D1441" i="15" s="1"/>
  <c r="B81" i="10"/>
  <c r="B79" i="10"/>
  <c r="B1439" i="15" s="1"/>
  <c r="AC78" i="10"/>
  <c r="AB78" i="10"/>
  <c r="AA78" i="10"/>
  <c r="Z78" i="10"/>
  <c r="N382" i="20" s="1"/>
  <c r="Y78" i="10"/>
  <c r="M382" i="20" s="1"/>
  <c r="X78" i="10"/>
  <c r="L382" i="20" s="1"/>
  <c r="W78" i="10"/>
  <c r="K382" i="20" s="1"/>
  <c r="V78" i="10"/>
  <c r="J382" i="20" s="1"/>
  <c r="U78" i="10"/>
  <c r="I382" i="20" s="1"/>
  <c r="S78" i="10"/>
  <c r="G382" i="20" s="1"/>
  <c r="R78" i="10"/>
  <c r="F382" i="20" s="1"/>
  <c r="Q78" i="10"/>
  <c r="E382" i="20" s="1"/>
  <c r="P78" i="10"/>
  <c r="D382" i="20" s="1"/>
  <c r="O78" i="10"/>
  <c r="C382" i="20" s="1"/>
  <c r="N78" i="10"/>
  <c r="B382" i="20" s="1"/>
  <c r="D78" i="10"/>
  <c r="B78" i="10"/>
  <c r="B76" i="10"/>
  <c r="B1436" i="15" s="1"/>
  <c r="B74" i="10"/>
  <c r="B1434" i="15" s="1"/>
  <c r="AC73" i="10"/>
  <c r="AB73" i="10"/>
  <c r="AA73" i="10"/>
  <c r="Z73" i="10"/>
  <c r="N381" i="20" s="1"/>
  <c r="Y73" i="10"/>
  <c r="M381" i="20" s="1"/>
  <c r="X73" i="10"/>
  <c r="L381" i="20" s="1"/>
  <c r="W73" i="10"/>
  <c r="K381" i="20" s="1"/>
  <c r="V73" i="10"/>
  <c r="J381" i="20" s="1"/>
  <c r="U73" i="10"/>
  <c r="I381" i="20" s="1"/>
  <c r="S73" i="10"/>
  <c r="G381" i="20" s="1"/>
  <c r="R73" i="10"/>
  <c r="F381" i="20" s="1"/>
  <c r="Q73" i="10"/>
  <c r="E381" i="20" s="1"/>
  <c r="P73" i="10"/>
  <c r="D381" i="20" s="1"/>
  <c r="O73" i="10"/>
  <c r="C381" i="20" s="1"/>
  <c r="N73" i="10"/>
  <c r="B381" i="20" s="1"/>
  <c r="M73" i="10"/>
  <c r="A381" i="20" s="1"/>
  <c r="D73" i="10"/>
  <c r="D1433" i="15" s="1"/>
  <c r="B73" i="10"/>
  <c r="B71" i="10"/>
  <c r="B1431" i="15" s="1"/>
  <c r="AC70" i="10"/>
  <c r="AB70" i="10"/>
  <c r="AA70" i="10"/>
  <c r="Z70" i="10"/>
  <c r="N380" i="20" s="1"/>
  <c r="Y70" i="10"/>
  <c r="M380" i="20" s="1"/>
  <c r="X70" i="10"/>
  <c r="L380" i="20" s="1"/>
  <c r="W70" i="10"/>
  <c r="K380" i="20" s="1"/>
  <c r="V70" i="10"/>
  <c r="J380" i="20" s="1"/>
  <c r="U70" i="10"/>
  <c r="I380" i="20" s="1"/>
  <c r="S70" i="10"/>
  <c r="G380" i="20" s="1"/>
  <c r="R70" i="10"/>
  <c r="F380" i="20" s="1"/>
  <c r="Q70" i="10"/>
  <c r="E380" i="20" s="1"/>
  <c r="P70" i="10"/>
  <c r="D380" i="20" s="1"/>
  <c r="O70" i="10"/>
  <c r="C380" i="20" s="1"/>
  <c r="N70" i="10"/>
  <c r="B380" i="20" s="1"/>
  <c r="M70" i="10"/>
  <c r="A380" i="20" s="1"/>
  <c r="D70" i="10"/>
  <c r="D1430" i="15" s="1"/>
  <c r="B70" i="10"/>
  <c r="B68" i="10"/>
  <c r="B1428" i="15" s="1"/>
  <c r="AC67" i="10"/>
  <c r="AB67" i="10"/>
  <c r="AA67" i="10"/>
  <c r="Z67" i="10"/>
  <c r="N379" i="20" s="1"/>
  <c r="Y67" i="10"/>
  <c r="M379" i="20" s="1"/>
  <c r="X67" i="10"/>
  <c r="L379" i="20" s="1"/>
  <c r="W67" i="10"/>
  <c r="K379" i="20" s="1"/>
  <c r="V67" i="10"/>
  <c r="J379" i="20" s="1"/>
  <c r="U67" i="10"/>
  <c r="I379" i="20" s="1"/>
  <c r="T67" i="10"/>
  <c r="H379" i="20" s="1"/>
  <c r="S67" i="10"/>
  <c r="G379" i="20" s="1"/>
  <c r="R67" i="10"/>
  <c r="F379" i="20" s="1"/>
  <c r="Q67" i="10"/>
  <c r="E379" i="20" s="1"/>
  <c r="P67" i="10"/>
  <c r="D379" i="20" s="1"/>
  <c r="O67" i="10"/>
  <c r="C379" i="20" s="1"/>
  <c r="N67" i="10"/>
  <c r="B379" i="20" s="1"/>
  <c r="D67" i="10"/>
  <c r="D1427" i="15" s="1"/>
  <c r="B67" i="10"/>
  <c r="B1427" i="15" s="1"/>
  <c r="B65" i="10"/>
  <c r="B1425" i="15" s="1"/>
  <c r="AC64" i="10"/>
  <c r="AB64" i="10"/>
  <c r="AA64" i="10"/>
  <c r="Z64" i="10"/>
  <c r="N378" i="20" s="1"/>
  <c r="Y64" i="10"/>
  <c r="M378" i="20" s="1"/>
  <c r="X64" i="10"/>
  <c r="L378" i="20" s="1"/>
  <c r="W64" i="10"/>
  <c r="K378" i="20" s="1"/>
  <c r="V64" i="10"/>
  <c r="J378" i="20" s="1"/>
  <c r="U64" i="10"/>
  <c r="I378" i="20" s="1"/>
  <c r="T64" i="10"/>
  <c r="H378" i="20" s="1"/>
  <c r="S64" i="10"/>
  <c r="G378" i="20" s="1"/>
  <c r="R64" i="10"/>
  <c r="F378" i="20" s="1"/>
  <c r="Q64" i="10"/>
  <c r="E378" i="20" s="1"/>
  <c r="P64" i="10"/>
  <c r="D378" i="20" s="1"/>
  <c r="O64" i="10"/>
  <c r="C378" i="20" s="1"/>
  <c r="N64" i="10"/>
  <c r="B378" i="20" s="1"/>
  <c r="D64" i="10"/>
  <c r="D1424" i="15" s="1"/>
  <c r="B64" i="10"/>
  <c r="B62" i="10"/>
  <c r="B1422" i="15" s="1"/>
  <c r="AC61" i="10"/>
  <c r="AB61" i="10"/>
  <c r="AA61" i="10"/>
  <c r="Z61" i="10"/>
  <c r="N377" i="20" s="1"/>
  <c r="Y61" i="10"/>
  <c r="M377" i="20" s="1"/>
  <c r="X61" i="10"/>
  <c r="L377" i="20" s="1"/>
  <c r="W61" i="10"/>
  <c r="K377" i="20" s="1"/>
  <c r="V61" i="10"/>
  <c r="J377" i="20" s="1"/>
  <c r="U61" i="10"/>
  <c r="I377" i="20" s="1"/>
  <c r="S61" i="10"/>
  <c r="G377" i="20" s="1"/>
  <c r="R61" i="10"/>
  <c r="F377" i="20" s="1"/>
  <c r="Q61" i="10"/>
  <c r="E377" i="20" s="1"/>
  <c r="P61" i="10"/>
  <c r="D377" i="20" s="1"/>
  <c r="O61" i="10"/>
  <c r="C377" i="20" s="1"/>
  <c r="N61" i="10"/>
  <c r="B377" i="20" s="1"/>
  <c r="M61" i="10"/>
  <c r="A377" i="20" s="1"/>
  <c r="D61" i="10"/>
  <c r="D1421" i="15" s="1"/>
  <c r="B61" i="10"/>
  <c r="B59" i="10"/>
  <c r="B1419" i="15" s="1"/>
  <c r="B57" i="10"/>
  <c r="B1417" i="15" s="1"/>
  <c r="AC56" i="10"/>
  <c r="AB56" i="10"/>
  <c r="AA56" i="10"/>
  <c r="Z56" i="10"/>
  <c r="N376" i="20" s="1"/>
  <c r="Y56" i="10"/>
  <c r="M376" i="20" s="1"/>
  <c r="X56" i="10"/>
  <c r="L376" i="20" s="1"/>
  <c r="W56" i="10"/>
  <c r="K376" i="20" s="1"/>
  <c r="V56" i="10"/>
  <c r="J376" i="20" s="1"/>
  <c r="U56" i="10"/>
  <c r="I376" i="20" s="1"/>
  <c r="T56" i="10"/>
  <c r="H376" i="20" s="1"/>
  <c r="S56" i="10"/>
  <c r="G376" i="20" s="1"/>
  <c r="R56" i="10"/>
  <c r="F376" i="20" s="1"/>
  <c r="Q56" i="10"/>
  <c r="E376" i="20" s="1"/>
  <c r="P56" i="10"/>
  <c r="D376" i="20" s="1"/>
  <c r="O56" i="10"/>
  <c r="C376" i="20" s="1"/>
  <c r="N56" i="10"/>
  <c r="B376" i="20" s="1"/>
  <c r="D56" i="10"/>
  <c r="D1416" i="15" s="1"/>
  <c r="B56" i="10"/>
  <c r="B376" i="19" s="1"/>
  <c r="B54" i="10"/>
  <c r="B1414" i="15" s="1"/>
  <c r="AC53" i="10"/>
  <c r="AB53" i="10"/>
  <c r="AA53" i="10"/>
  <c r="Z53" i="10"/>
  <c r="N375" i="20" s="1"/>
  <c r="Y53" i="10"/>
  <c r="M375" i="20" s="1"/>
  <c r="X53" i="10"/>
  <c r="L375" i="20" s="1"/>
  <c r="W53" i="10"/>
  <c r="K375" i="20" s="1"/>
  <c r="V53" i="10"/>
  <c r="J375" i="20" s="1"/>
  <c r="U53" i="10"/>
  <c r="I375" i="20" s="1"/>
  <c r="T53" i="10"/>
  <c r="H375" i="20" s="1"/>
  <c r="S53" i="10"/>
  <c r="G375" i="20" s="1"/>
  <c r="R53" i="10"/>
  <c r="F375" i="20" s="1"/>
  <c r="Q53" i="10"/>
  <c r="E375" i="20" s="1"/>
  <c r="P53" i="10"/>
  <c r="D375" i="20" s="1"/>
  <c r="O53" i="10"/>
  <c r="C375" i="20" s="1"/>
  <c r="N53" i="10"/>
  <c r="B375" i="20" s="1"/>
  <c r="D53" i="10"/>
  <c r="D1413" i="15" s="1"/>
  <c r="B53" i="10"/>
  <c r="B51" i="10"/>
  <c r="B1411" i="15" s="1"/>
  <c r="AC50" i="10"/>
  <c r="AB50" i="10"/>
  <c r="AA50" i="10"/>
  <c r="Z50" i="10"/>
  <c r="N374" i="20" s="1"/>
  <c r="Y50" i="10"/>
  <c r="M374" i="20" s="1"/>
  <c r="X50" i="10"/>
  <c r="L374" i="20" s="1"/>
  <c r="W50" i="10"/>
  <c r="K374" i="20" s="1"/>
  <c r="V50" i="10"/>
  <c r="J374" i="20" s="1"/>
  <c r="U50" i="10"/>
  <c r="I374" i="20" s="1"/>
  <c r="S50" i="10"/>
  <c r="G374" i="20" s="1"/>
  <c r="R50" i="10"/>
  <c r="F374" i="20" s="1"/>
  <c r="Q50" i="10"/>
  <c r="E374" i="20" s="1"/>
  <c r="P50" i="10"/>
  <c r="D374" i="20" s="1"/>
  <c r="O50" i="10"/>
  <c r="C374" i="20" s="1"/>
  <c r="N50" i="10"/>
  <c r="B374" i="20" s="1"/>
  <c r="M50" i="10"/>
  <c r="A374" i="20" s="1"/>
  <c r="D50" i="10"/>
  <c r="D1410" i="15" s="1"/>
  <c r="B50" i="10"/>
  <c r="B48" i="10"/>
  <c r="B1408" i="15" s="1"/>
  <c r="AC47" i="10"/>
  <c r="AB47" i="10"/>
  <c r="AA47" i="10"/>
  <c r="Z47" i="10"/>
  <c r="N373" i="20" s="1"/>
  <c r="Y47" i="10"/>
  <c r="M373" i="20" s="1"/>
  <c r="X47" i="10"/>
  <c r="L373" i="20" s="1"/>
  <c r="W47" i="10"/>
  <c r="K373" i="20" s="1"/>
  <c r="V47" i="10"/>
  <c r="J373" i="20" s="1"/>
  <c r="U47" i="10"/>
  <c r="I373" i="20" s="1"/>
  <c r="S47" i="10"/>
  <c r="G373" i="20" s="1"/>
  <c r="R47" i="10"/>
  <c r="F373" i="20" s="1"/>
  <c r="Q47" i="10"/>
  <c r="E373" i="20" s="1"/>
  <c r="P47" i="10"/>
  <c r="D373" i="20" s="1"/>
  <c r="O47" i="10"/>
  <c r="C373" i="20" s="1"/>
  <c r="N47" i="10"/>
  <c r="B373" i="20" s="1"/>
  <c r="M47" i="10"/>
  <c r="A373" i="20" s="1"/>
  <c r="D47" i="10"/>
  <c r="D1407" i="15" s="1"/>
  <c r="B47" i="10"/>
  <c r="B45" i="10"/>
  <c r="B1405" i="15" s="1"/>
  <c r="AC44" i="10"/>
  <c r="AB44" i="10"/>
  <c r="AA44" i="10"/>
  <c r="Z44" i="10"/>
  <c r="N372" i="20" s="1"/>
  <c r="Y44" i="10"/>
  <c r="M372" i="20" s="1"/>
  <c r="X44" i="10"/>
  <c r="L372" i="20" s="1"/>
  <c r="W44" i="10"/>
  <c r="K372" i="20" s="1"/>
  <c r="V44" i="10"/>
  <c r="J372" i="20" s="1"/>
  <c r="U44" i="10"/>
  <c r="I372" i="20" s="1"/>
  <c r="S44" i="10"/>
  <c r="G372" i="20" s="1"/>
  <c r="R44" i="10"/>
  <c r="F372" i="20" s="1"/>
  <c r="Q44" i="10"/>
  <c r="E372" i="20" s="1"/>
  <c r="P44" i="10"/>
  <c r="D372" i="20" s="1"/>
  <c r="O44" i="10"/>
  <c r="C372" i="20" s="1"/>
  <c r="N44" i="10"/>
  <c r="B372" i="20" s="1"/>
  <c r="D44" i="10"/>
  <c r="D1404" i="15" s="1"/>
  <c r="B44" i="10"/>
  <c r="B42" i="10"/>
  <c r="B1402" i="15" s="1"/>
  <c r="B40" i="10"/>
  <c r="B1400" i="15" s="1"/>
  <c r="AC39" i="10"/>
  <c r="AB39" i="10"/>
  <c r="AA39" i="10"/>
  <c r="Z39" i="10"/>
  <c r="N371" i="20" s="1"/>
  <c r="Y39" i="10"/>
  <c r="M371" i="20" s="1"/>
  <c r="X39" i="10"/>
  <c r="L371" i="20" s="1"/>
  <c r="W39" i="10"/>
  <c r="K371" i="20" s="1"/>
  <c r="V39" i="10"/>
  <c r="J371" i="20" s="1"/>
  <c r="U39" i="10"/>
  <c r="I371" i="20" s="1"/>
  <c r="S39" i="10"/>
  <c r="G371" i="20" s="1"/>
  <c r="R39" i="10"/>
  <c r="F371" i="20" s="1"/>
  <c r="Q39" i="10"/>
  <c r="E371" i="20" s="1"/>
  <c r="P39" i="10"/>
  <c r="D371" i="20" s="1"/>
  <c r="O39" i="10"/>
  <c r="C371" i="20" s="1"/>
  <c r="N39" i="10"/>
  <c r="B371" i="20" s="1"/>
  <c r="M39" i="10"/>
  <c r="A371" i="20" s="1"/>
  <c r="D39" i="10"/>
  <c r="D1399" i="15" s="1"/>
  <c r="B39" i="10"/>
  <c r="B37" i="10"/>
  <c r="AC36" i="10"/>
  <c r="AB36" i="10"/>
  <c r="AA36" i="10"/>
  <c r="Z36" i="10"/>
  <c r="N370" i="20" s="1"/>
  <c r="Y36" i="10"/>
  <c r="M370" i="20" s="1"/>
  <c r="X36" i="10"/>
  <c r="L370" i="20" s="1"/>
  <c r="W36" i="10"/>
  <c r="K370" i="20" s="1"/>
  <c r="V36" i="10"/>
  <c r="J370" i="20" s="1"/>
  <c r="U36" i="10"/>
  <c r="I370" i="20" s="1"/>
  <c r="S36" i="10"/>
  <c r="G370" i="20" s="1"/>
  <c r="R36" i="10"/>
  <c r="F370" i="20" s="1"/>
  <c r="Q36" i="10"/>
  <c r="E370" i="20" s="1"/>
  <c r="P36" i="10"/>
  <c r="D370" i="20" s="1"/>
  <c r="O36" i="10"/>
  <c r="C370" i="20" s="1"/>
  <c r="N36" i="10"/>
  <c r="B370" i="20" s="1"/>
  <c r="D36" i="10"/>
  <c r="D1396" i="15" s="1"/>
  <c r="B36" i="10"/>
  <c r="B34" i="10"/>
  <c r="B1394" i="15" s="1"/>
  <c r="AC33" i="10"/>
  <c r="AB33" i="10"/>
  <c r="AA33" i="10"/>
  <c r="Z33" i="10"/>
  <c r="N369" i="20" s="1"/>
  <c r="Y33" i="10"/>
  <c r="M369" i="20" s="1"/>
  <c r="X33" i="10"/>
  <c r="L369" i="20" s="1"/>
  <c r="W33" i="10"/>
  <c r="K369" i="20" s="1"/>
  <c r="V33" i="10"/>
  <c r="J369" i="20" s="1"/>
  <c r="U33" i="10"/>
  <c r="I369" i="20" s="1"/>
  <c r="S33" i="10"/>
  <c r="G369" i="20" s="1"/>
  <c r="R33" i="10"/>
  <c r="F369" i="20" s="1"/>
  <c r="Q33" i="10"/>
  <c r="E369" i="20" s="1"/>
  <c r="P33" i="10"/>
  <c r="D369" i="20" s="1"/>
  <c r="O33" i="10"/>
  <c r="C369" i="20" s="1"/>
  <c r="N33" i="10"/>
  <c r="B369" i="20" s="1"/>
  <c r="D33" i="10"/>
  <c r="D1393" i="15" s="1"/>
  <c r="B33" i="10"/>
  <c r="B31" i="10"/>
  <c r="B1391" i="15" s="1"/>
  <c r="AC30" i="10"/>
  <c r="AB30" i="10"/>
  <c r="AA30" i="10"/>
  <c r="Z30" i="10"/>
  <c r="N368" i="20" s="1"/>
  <c r="Y30" i="10"/>
  <c r="M368" i="20" s="1"/>
  <c r="X30" i="10"/>
  <c r="L368" i="20" s="1"/>
  <c r="W30" i="10"/>
  <c r="K368" i="20" s="1"/>
  <c r="V30" i="10"/>
  <c r="J368" i="20" s="1"/>
  <c r="U30" i="10"/>
  <c r="I368" i="20" s="1"/>
  <c r="S30" i="10"/>
  <c r="G368" i="20" s="1"/>
  <c r="R30" i="10"/>
  <c r="F368" i="20" s="1"/>
  <c r="Q30" i="10"/>
  <c r="E368" i="20" s="1"/>
  <c r="P30" i="10"/>
  <c r="D368" i="20" s="1"/>
  <c r="O30" i="10"/>
  <c r="C368" i="20" s="1"/>
  <c r="N30" i="10"/>
  <c r="B368" i="20" s="1"/>
  <c r="M30" i="10"/>
  <c r="A368" i="20" s="1"/>
  <c r="D30" i="10"/>
  <c r="D1390" i="15" s="1"/>
  <c r="B30" i="10"/>
  <c r="B28" i="10"/>
  <c r="B1388" i="15" s="1"/>
  <c r="AC27" i="10"/>
  <c r="AB27" i="10"/>
  <c r="AA27" i="10"/>
  <c r="Z27" i="10"/>
  <c r="N367" i="20" s="1"/>
  <c r="Y27" i="10"/>
  <c r="M367" i="20" s="1"/>
  <c r="X27" i="10"/>
  <c r="L367" i="20" s="1"/>
  <c r="W27" i="10"/>
  <c r="K367" i="20" s="1"/>
  <c r="V27" i="10"/>
  <c r="J367" i="20" s="1"/>
  <c r="U27" i="10"/>
  <c r="I367" i="20" s="1"/>
  <c r="S27" i="10"/>
  <c r="G367" i="20" s="1"/>
  <c r="R27" i="10"/>
  <c r="F367" i="20" s="1"/>
  <c r="Q27" i="10"/>
  <c r="E367" i="20" s="1"/>
  <c r="P27" i="10"/>
  <c r="D367" i="20" s="1"/>
  <c r="O27" i="10"/>
  <c r="C367" i="20" s="1"/>
  <c r="N27" i="10"/>
  <c r="B367" i="20" s="1"/>
  <c r="M27" i="10"/>
  <c r="A367" i="20" s="1"/>
  <c r="D27" i="10"/>
  <c r="D1387" i="15" s="1"/>
  <c r="B27" i="10"/>
  <c r="B1387" i="15" s="1"/>
  <c r="B25" i="10"/>
  <c r="B1385" i="15" s="1"/>
  <c r="B23" i="10"/>
  <c r="B1383" i="15" s="1"/>
  <c r="AC22" i="10"/>
  <c r="AB22" i="10"/>
  <c r="AA22" i="10"/>
  <c r="Z22" i="10"/>
  <c r="N366" i="20" s="1"/>
  <c r="Y22" i="10"/>
  <c r="M366" i="20" s="1"/>
  <c r="X22" i="10"/>
  <c r="L366" i="20" s="1"/>
  <c r="W22" i="10"/>
  <c r="K366" i="20" s="1"/>
  <c r="V22" i="10"/>
  <c r="J366" i="20" s="1"/>
  <c r="U22" i="10"/>
  <c r="I366" i="20" s="1"/>
  <c r="S22" i="10"/>
  <c r="G366" i="20" s="1"/>
  <c r="R22" i="10"/>
  <c r="F366" i="20" s="1"/>
  <c r="Q22" i="10"/>
  <c r="E366" i="20" s="1"/>
  <c r="P22" i="10"/>
  <c r="D366" i="20" s="1"/>
  <c r="O22" i="10"/>
  <c r="C366" i="20" s="1"/>
  <c r="N22" i="10"/>
  <c r="B366" i="20" s="1"/>
  <c r="D22" i="10"/>
  <c r="D1382" i="15" s="1"/>
  <c r="B22" i="10"/>
  <c r="B20" i="10"/>
  <c r="B1380" i="15" s="1"/>
  <c r="AC19" i="10"/>
  <c r="AB19" i="10"/>
  <c r="AA19" i="10"/>
  <c r="Z19" i="10"/>
  <c r="N365" i="20" s="1"/>
  <c r="Y19" i="10"/>
  <c r="M365" i="20" s="1"/>
  <c r="X19" i="10"/>
  <c r="L365" i="20" s="1"/>
  <c r="W19" i="10"/>
  <c r="K365" i="20" s="1"/>
  <c r="V19" i="10"/>
  <c r="J365" i="20" s="1"/>
  <c r="U19" i="10"/>
  <c r="I365" i="20" s="1"/>
  <c r="S19" i="10"/>
  <c r="G365" i="20" s="1"/>
  <c r="R19" i="10"/>
  <c r="F365" i="20" s="1"/>
  <c r="Q19" i="10"/>
  <c r="E365" i="20" s="1"/>
  <c r="P19" i="10"/>
  <c r="D365" i="20" s="1"/>
  <c r="O19" i="10"/>
  <c r="C365" i="20" s="1"/>
  <c r="N19" i="10"/>
  <c r="B365" i="20" s="1"/>
  <c r="M19" i="10"/>
  <c r="A365" i="20" s="1"/>
  <c r="D19" i="10"/>
  <c r="D1379" i="15" s="1"/>
  <c r="B19" i="10"/>
  <c r="B17" i="10"/>
  <c r="B1377" i="15" s="1"/>
  <c r="AC16" i="10"/>
  <c r="AB16" i="10"/>
  <c r="AA16" i="10"/>
  <c r="Z16" i="10"/>
  <c r="N364" i="20" s="1"/>
  <c r="Y16" i="10"/>
  <c r="M364" i="20" s="1"/>
  <c r="X16" i="10"/>
  <c r="L364" i="20" s="1"/>
  <c r="W16" i="10"/>
  <c r="K364" i="20" s="1"/>
  <c r="V16" i="10"/>
  <c r="J364" i="20" s="1"/>
  <c r="U16" i="10"/>
  <c r="I364" i="20" s="1"/>
  <c r="S16" i="10"/>
  <c r="G364" i="20" s="1"/>
  <c r="R16" i="10"/>
  <c r="F364" i="20" s="1"/>
  <c r="Q16" i="10"/>
  <c r="E364" i="20" s="1"/>
  <c r="P16" i="10"/>
  <c r="D364" i="20" s="1"/>
  <c r="O16" i="10"/>
  <c r="C364" i="20" s="1"/>
  <c r="N16" i="10"/>
  <c r="B364" i="20" s="1"/>
  <c r="M16" i="10"/>
  <c r="A364" i="20" s="1"/>
  <c r="D16" i="10"/>
  <c r="D1376" i="15" s="1"/>
  <c r="B16" i="10"/>
  <c r="A16" i="10"/>
  <c r="A1376" i="15" s="1"/>
  <c r="B14" i="10"/>
  <c r="B1374" i="15" s="1"/>
  <c r="AC13" i="10"/>
  <c r="AB13" i="10"/>
  <c r="AA13" i="10"/>
  <c r="Z13" i="10"/>
  <c r="N363" i="20" s="1"/>
  <c r="Y13" i="10"/>
  <c r="M363" i="20" s="1"/>
  <c r="X13" i="10"/>
  <c r="L363" i="20" s="1"/>
  <c r="W13" i="10"/>
  <c r="K363" i="20" s="1"/>
  <c r="V13" i="10"/>
  <c r="J363" i="20" s="1"/>
  <c r="U13" i="10"/>
  <c r="I363" i="20" s="1"/>
  <c r="S13" i="10"/>
  <c r="G363" i="20" s="1"/>
  <c r="R13" i="10"/>
  <c r="F363" i="20" s="1"/>
  <c r="Q13" i="10"/>
  <c r="E363" i="20" s="1"/>
  <c r="P13" i="10"/>
  <c r="D363" i="20" s="1"/>
  <c r="O13" i="10"/>
  <c r="C363" i="20" s="1"/>
  <c r="N13" i="10"/>
  <c r="B363" i="20" s="1"/>
  <c r="M13" i="10"/>
  <c r="A363" i="20" s="1"/>
  <c r="D13" i="10"/>
  <c r="D1373" i="15" s="1"/>
  <c r="B13" i="10"/>
  <c r="B363" i="19" s="1"/>
  <c r="A13" i="10"/>
  <c r="B11" i="10"/>
  <c r="B1371" i="15" s="1"/>
  <c r="AC10" i="10"/>
  <c r="AB10" i="10"/>
  <c r="AA10" i="10"/>
  <c r="Z10" i="10"/>
  <c r="N362" i="20" s="1"/>
  <c r="Y10" i="10"/>
  <c r="M362" i="20" s="1"/>
  <c r="X10" i="10"/>
  <c r="L362" i="20" s="1"/>
  <c r="W10" i="10"/>
  <c r="K362" i="20" s="1"/>
  <c r="V10" i="10"/>
  <c r="J362" i="20" s="1"/>
  <c r="U10" i="10"/>
  <c r="I362" i="20" s="1"/>
  <c r="S10" i="10"/>
  <c r="G362" i="20" s="1"/>
  <c r="R10" i="10"/>
  <c r="F362" i="20" s="1"/>
  <c r="Q10" i="10"/>
  <c r="E362" i="20" s="1"/>
  <c r="P10" i="10"/>
  <c r="D362" i="20" s="1"/>
  <c r="O10" i="10"/>
  <c r="C362" i="20" s="1"/>
  <c r="N10" i="10"/>
  <c r="B362" i="20" s="1"/>
  <c r="M10" i="10"/>
  <c r="A362" i="20" s="1"/>
  <c r="D10" i="10"/>
  <c r="D1370" i="15" s="1"/>
  <c r="B10" i="10"/>
  <c r="B8" i="10"/>
  <c r="B1368" i="15" s="1"/>
  <c r="A3" i="10"/>
  <c r="A1" i="10"/>
  <c r="B159" i="9"/>
  <c r="B1349" i="15" s="1"/>
  <c r="AC158" i="9"/>
  <c r="AB158" i="9"/>
  <c r="AA158" i="9"/>
  <c r="Z158" i="9"/>
  <c r="N361" i="20" s="1"/>
  <c r="Y158" i="9"/>
  <c r="M361" i="20" s="1"/>
  <c r="X158" i="9"/>
  <c r="L361" i="20" s="1"/>
  <c r="W158" i="9"/>
  <c r="K361" i="20" s="1"/>
  <c r="V158" i="9"/>
  <c r="J361" i="20" s="1"/>
  <c r="U158" i="9"/>
  <c r="I361" i="20" s="1"/>
  <c r="S158" i="9"/>
  <c r="G361" i="20" s="1"/>
  <c r="R158" i="9"/>
  <c r="F361" i="20" s="1"/>
  <c r="Q158" i="9"/>
  <c r="E361" i="20" s="1"/>
  <c r="P158" i="9"/>
  <c r="D361" i="20" s="1"/>
  <c r="O158" i="9"/>
  <c r="C361" i="20" s="1"/>
  <c r="N158" i="9"/>
  <c r="B361" i="20" s="1"/>
  <c r="M158" i="9"/>
  <c r="A361" i="20" s="1"/>
  <c r="D158" i="9"/>
  <c r="D1348" i="15" s="1"/>
  <c r="B158" i="9"/>
  <c r="B156" i="9"/>
  <c r="B1346" i="15" s="1"/>
  <c r="AC155" i="9"/>
  <c r="AB155" i="9"/>
  <c r="AA155" i="9"/>
  <c r="Z155" i="9"/>
  <c r="N360" i="20" s="1"/>
  <c r="Y155" i="9"/>
  <c r="M360" i="20" s="1"/>
  <c r="X155" i="9"/>
  <c r="L360" i="20" s="1"/>
  <c r="W155" i="9"/>
  <c r="K360" i="20" s="1"/>
  <c r="V155" i="9"/>
  <c r="J360" i="20" s="1"/>
  <c r="U155" i="9"/>
  <c r="I360" i="20" s="1"/>
  <c r="S155" i="9"/>
  <c r="G360" i="20" s="1"/>
  <c r="R155" i="9"/>
  <c r="F360" i="20" s="1"/>
  <c r="Q155" i="9"/>
  <c r="E360" i="20" s="1"/>
  <c r="P155" i="9"/>
  <c r="D360" i="20" s="1"/>
  <c r="O155" i="9"/>
  <c r="C360" i="20" s="1"/>
  <c r="N155" i="9"/>
  <c r="B360" i="20" s="1"/>
  <c r="D155" i="9"/>
  <c r="D1345" i="15" s="1"/>
  <c r="B155" i="9"/>
  <c r="B153" i="9"/>
  <c r="B1343" i="15" s="1"/>
  <c r="AC152" i="9"/>
  <c r="AB152" i="9"/>
  <c r="AA152" i="9"/>
  <c r="Z152" i="9"/>
  <c r="N359" i="20" s="1"/>
  <c r="Y152" i="9"/>
  <c r="M359" i="20" s="1"/>
  <c r="X152" i="9"/>
  <c r="L359" i="20" s="1"/>
  <c r="W152" i="9"/>
  <c r="K359" i="20" s="1"/>
  <c r="V152" i="9"/>
  <c r="J359" i="20" s="1"/>
  <c r="U152" i="9"/>
  <c r="I359" i="20" s="1"/>
  <c r="S152" i="9"/>
  <c r="G359" i="20" s="1"/>
  <c r="R152" i="9"/>
  <c r="F359" i="20" s="1"/>
  <c r="Q152" i="9"/>
  <c r="E359" i="20" s="1"/>
  <c r="P152" i="9"/>
  <c r="D359" i="20" s="1"/>
  <c r="O152" i="9"/>
  <c r="C359" i="20" s="1"/>
  <c r="N152" i="9"/>
  <c r="B359" i="20" s="1"/>
  <c r="D152" i="9"/>
  <c r="D1342" i="15" s="1"/>
  <c r="B152" i="9"/>
  <c r="B150" i="9"/>
  <c r="AC149" i="9"/>
  <c r="AB149" i="9"/>
  <c r="AA149" i="9"/>
  <c r="Z149" i="9"/>
  <c r="N358" i="20" s="1"/>
  <c r="Y149" i="9"/>
  <c r="M358" i="20" s="1"/>
  <c r="X149" i="9"/>
  <c r="L358" i="20" s="1"/>
  <c r="W149" i="9"/>
  <c r="K358" i="20" s="1"/>
  <c r="V149" i="9"/>
  <c r="J358" i="20" s="1"/>
  <c r="U149" i="9"/>
  <c r="I358" i="20" s="1"/>
  <c r="S149" i="9"/>
  <c r="G358" i="20" s="1"/>
  <c r="R149" i="9"/>
  <c r="F358" i="20" s="1"/>
  <c r="Q149" i="9"/>
  <c r="E358" i="20" s="1"/>
  <c r="P149" i="9"/>
  <c r="D358" i="20" s="1"/>
  <c r="O149" i="9"/>
  <c r="C358" i="20" s="1"/>
  <c r="N149" i="9"/>
  <c r="B358" i="20" s="1"/>
  <c r="M149" i="9"/>
  <c r="A358" i="20" s="1"/>
  <c r="D149" i="9"/>
  <c r="D1339" i="15" s="1"/>
  <c r="B149" i="9"/>
  <c r="B147" i="9"/>
  <c r="B1337" i="15" s="1"/>
  <c r="AC146" i="9"/>
  <c r="AB146" i="9"/>
  <c r="AA146" i="9"/>
  <c r="Z146" i="9"/>
  <c r="N357" i="20" s="1"/>
  <c r="Y146" i="9"/>
  <c r="M357" i="20" s="1"/>
  <c r="X146" i="9"/>
  <c r="L357" i="20" s="1"/>
  <c r="W146" i="9"/>
  <c r="K357" i="20" s="1"/>
  <c r="V146" i="9"/>
  <c r="J357" i="20" s="1"/>
  <c r="U146" i="9"/>
  <c r="I357" i="20" s="1"/>
  <c r="S146" i="9"/>
  <c r="G357" i="20" s="1"/>
  <c r="R146" i="9"/>
  <c r="F357" i="20" s="1"/>
  <c r="Q146" i="9"/>
  <c r="E357" i="20" s="1"/>
  <c r="P146" i="9"/>
  <c r="D357" i="20" s="1"/>
  <c r="O146" i="9"/>
  <c r="C357" i="20" s="1"/>
  <c r="N146" i="9"/>
  <c r="B357" i="20" s="1"/>
  <c r="M146" i="9"/>
  <c r="A357" i="20" s="1"/>
  <c r="D146" i="9"/>
  <c r="D1336" i="15" s="1"/>
  <c r="B146" i="9"/>
  <c r="B144" i="9"/>
  <c r="B1334" i="15" s="1"/>
  <c r="B142" i="9"/>
  <c r="B1332" i="15" s="1"/>
  <c r="AC141" i="9"/>
  <c r="AB141" i="9"/>
  <c r="AA141" i="9"/>
  <c r="Z141" i="9"/>
  <c r="N356" i="20" s="1"/>
  <c r="Y141" i="9"/>
  <c r="M356" i="20" s="1"/>
  <c r="X141" i="9"/>
  <c r="L356" i="20" s="1"/>
  <c r="W141" i="9"/>
  <c r="K356" i="20" s="1"/>
  <c r="V141" i="9"/>
  <c r="J356" i="20" s="1"/>
  <c r="U141" i="9"/>
  <c r="I356" i="20" s="1"/>
  <c r="S141" i="9"/>
  <c r="G356" i="20" s="1"/>
  <c r="R141" i="9"/>
  <c r="F356" i="20" s="1"/>
  <c r="Q141" i="9"/>
  <c r="E356" i="20" s="1"/>
  <c r="P141" i="9"/>
  <c r="D356" i="20" s="1"/>
  <c r="O141" i="9"/>
  <c r="C356" i="20" s="1"/>
  <c r="N141" i="9"/>
  <c r="B356" i="20" s="1"/>
  <c r="D141" i="9"/>
  <c r="T141" i="9" s="1"/>
  <c r="H356" i="20" s="1"/>
  <c r="B141" i="9"/>
  <c r="B139" i="9"/>
  <c r="B1329" i="15" s="1"/>
  <c r="AC138" i="9"/>
  <c r="AB138" i="9"/>
  <c r="AA138" i="9"/>
  <c r="Z138" i="9"/>
  <c r="N355" i="20" s="1"/>
  <c r="Y138" i="9"/>
  <c r="M355" i="20" s="1"/>
  <c r="X138" i="9"/>
  <c r="L355" i="20" s="1"/>
  <c r="W138" i="9"/>
  <c r="K355" i="20" s="1"/>
  <c r="V138" i="9"/>
  <c r="J355" i="20" s="1"/>
  <c r="U138" i="9"/>
  <c r="I355" i="20" s="1"/>
  <c r="S138" i="9"/>
  <c r="G355" i="20" s="1"/>
  <c r="R138" i="9"/>
  <c r="F355" i="20" s="1"/>
  <c r="Q138" i="9"/>
  <c r="E355" i="20" s="1"/>
  <c r="P138" i="9"/>
  <c r="D355" i="20" s="1"/>
  <c r="O138" i="9"/>
  <c r="C355" i="20" s="1"/>
  <c r="N138" i="9"/>
  <c r="B355" i="20" s="1"/>
  <c r="M138" i="9"/>
  <c r="A355" i="20" s="1"/>
  <c r="D138" i="9"/>
  <c r="D1328" i="15" s="1"/>
  <c r="B138" i="9"/>
  <c r="B1328" i="15" s="1"/>
  <c r="B136" i="9"/>
  <c r="B1326" i="15" s="1"/>
  <c r="AC135" i="9"/>
  <c r="AB135" i="9"/>
  <c r="AA135" i="9"/>
  <c r="Z135" i="9"/>
  <c r="N354" i="20" s="1"/>
  <c r="Y135" i="9"/>
  <c r="M354" i="20" s="1"/>
  <c r="X135" i="9"/>
  <c r="L354" i="20" s="1"/>
  <c r="W135" i="9"/>
  <c r="K354" i="20" s="1"/>
  <c r="V135" i="9"/>
  <c r="J354" i="20" s="1"/>
  <c r="U135" i="9"/>
  <c r="I354" i="20" s="1"/>
  <c r="S135" i="9"/>
  <c r="G354" i="20" s="1"/>
  <c r="R135" i="9"/>
  <c r="F354" i="20" s="1"/>
  <c r="Q135" i="9"/>
  <c r="E354" i="20" s="1"/>
  <c r="P135" i="9"/>
  <c r="D354" i="20" s="1"/>
  <c r="O135" i="9"/>
  <c r="C354" i="20" s="1"/>
  <c r="N135" i="9"/>
  <c r="B354" i="20" s="1"/>
  <c r="M135" i="9"/>
  <c r="A354" i="20" s="1"/>
  <c r="D135" i="9"/>
  <c r="D1325" i="15" s="1"/>
  <c r="B135" i="9"/>
  <c r="B133" i="9"/>
  <c r="B1323" i="15" s="1"/>
  <c r="AC132" i="9"/>
  <c r="AB132" i="9"/>
  <c r="AA132" i="9"/>
  <c r="Z132" i="9"/>
  <c r="N353" i="20" s="1"/>
  <c r="Y132" i="9"/>
  <c r="M353" i="20" s="1"/>
  <c r="X132" i="9"/>
  <c r="L353" i="20" s="1"/>
  <c r="W132" i="9"/>
  <c r="K353" i="20" s="1"/>
  <c r="V132" i="9"/>
  <c r="J353" i="20" s="1"/>
  <c r="U132" i="9"/>
  <c r="I353" i="20" s="1"/>
  <c r="S132" i="9"/>
  <c r="G353" i="20" s="1"/>
  <c r="R132" i="9"/>
  <c r="F353" i="20" s="1"/>
  <c r="Q132" i="9"/>
  <c r="E353" i="20" s="1"/>
  <c r="P132" i="9"/>
  <c r="D353" i="20" s="1"/>
  <c r="O132" i="9"/>
  <c r="C353" i="20" s="1"/>
  <c r="N132" i="9"/>
  <c r="B353" i="20" s="1"/>
  <c r="M132" i="9"/>
  <c r="A353" i="20" s="1"/>
  <c r="D132" i="9"/>
  <c r="D1322" i="15" s="1"/>
  <c r="B132" i="9"/>
  <c r="B130" i="9"/>
  <c r="B1320" i="15" s="1"/>
  <c r="AC129" i="9"/>
  <c r="AB129" i="9"/>
  <c r="AA129" i="9"/>
  <c r="Z129" i="9"/>
  <c r="N352" i="20" s="1"/>
  <c r="Y129" i="9"/>
  <c r="M352" i="20" s="1"/>
  <c r="X129" i="9"/>
  <c r="L352" i="20" s="1"/>
  <c r="W129" i="9"/>
  <c r="K352" i="20" s="1"/>
  <c r="V129" i="9"/>
  <c r="J352" i="20" s="1"/>
  <c r="U129" i="9"/>
  <c r="I352" i="20" s="1"/>
  <c r="S129" i="9"/>
  <c r="G352" i="20" s="1"/>
  <c r="R129" i="9"/>
  <c r="F352" i="20" s="1"/>
  <c r="Q129" i="9"/>
  <c r="E352" i="20" s="1"/>
  <c r="P129" i="9"/>
  <c r="D352" i="20" s="1"/>
  <c r="O129" i="9"/>
  <c r="C352" i="20" s="1"/>
  <c r="N129" i="9"/>
  <c r="B352" i="20" s="1"/>
  <c r="D129" i="9"/>
  <c r="B129" i="9"/>
  <c r="B127" i="9"/>
  <c r="B1317" i="15" s="1"/>
  <c r="B125" i="9"/>
  <c r="B1315" i="15" s="1"/>
  <c r="AC124" i="9"/>
  <c r="AB124" i="9"/>
  <c r="AA124" i="9"/>
  <c r="Z124" i="9"/>
  <c r="N351" i="20" s="1"/>
  <c r="Y124" i="9"/>
  <c r="M351" i="20" s="1"/>
  <c r="X124" i="9"/>
  <c r="L351" i="20" s="1"/>
  <c r="W124" i="9"/>
  <c r="K351" i="20" s="1"/>
  <c r="V124" i="9"/>
  <c r="J351" i="20" s="1"/>
  <c r="U124" i="9"/>
  <c r="I351" i="20" s="1"/>
  <c r="S124" i="9"/>
  <c r="G351" i="20" s="1"/>
  <c r="R124" i="9"/>
  <c r="F351" i="20" s="1"/>
  <c r="Q124" i="9"/>
  <c r="E351" i="20" s="1"/>
  <c r="P124" i="9"/>
  <c r="D351" i="20" s="1"/>
  <c r="O124" i="9"/>
  <c r="C351" i="20" s="1"/>
  <c r="N124" i="9"/>
  <c r="B351" i="20" s="1"/>
  <c r="M124" i="9"/>
  <c r="A351" i="20" s="1"/>
  <c r="D124" i="9"/>
  <c r="D1314" i="15" s="1"/>
  <c r="B124" i="9"/>
  <c r="B122" i="9"/>
  <c r="B1312" i="15" s="1"/>
  <c r="AC121" i="9"/>
  <c r="AB121" i="9"/>
  <c r="AA121" i="9"/>
  <c r="Z121" i="9"/>
  <c r="N350" i="20" s="1"/>
  <c r="Y121" i="9"/>
  <c r="M350" i="20" s="1"/>
  <c r="X121" i="9"/>
  <c r="L350" i="20" s="1"/>
  <c r="W121" i="9"/>
  <c r="K350" i="20" s="1"/>
  <c r="V121" i="9"/>
  <c r="J350" i="20" s="1"/>
  <c r="U121" i="9"/>
  <c r="I350" i="20" s="1"/>
  <c r="S121" i="9"/>
  <c r="G350" i="20" s="1"/>
  <c r="R121" i="9"/>
  <c r="F350" i="20" s="1"/>
  <c r="Q121" i="9"/>
  <c r="E350" i="20" s="1"/>
  <c r="P121" i="9"/>
  <c r="D350" i="20" s="1"/>
  <c r="O121" i="9"/>
  <c r="C350" i="20" s="1"/>
  <c r="N121" i="9"/>
  <c r="B350" i="20" s="1"/>
  <c r="M121" i="9"/>
  <c r="A350" i="20" s="1"/>
  <c r="D121" i="9"/>
  <c r="D1311" i="15" s="1"/>
  <c r="B121" i="9"/>
  <c r="B119" i="9"/>
  <c r="B1309" i="15" s="1"/>
  <c r="AC118" i="9"/>
  <c r="AB118" i="9"/>
  <c r="AA118" i="9"/>
  <c r="Z118" i="9"/>
  <c r="N349" i="20" s="1"/>
  <c r="Y118" i="9"/>
  <c r="M349" i="20" s="1"/>
  <c r="X118" i="9"/>
  <c r="L349" i="20" s="1"/>
  <c r="W118" i="9"/>
  <c r="K349" i="20" s="1"/>
  <c r="V118" i="9"/>
  <c r="J349" i="20" s="1"/>
  <c r="U118" i="9"/>
  <c r="I349" i="20" s="1"/>
  <c r="T118" i="9"/>
  <c r="H349" i="20" s="1"/>
  <c r="S118" i="9"/>
  <c r="G349" i="20" s="1"/>
  <c r="R118" i="9"/>
  <c r="F349" i="20" s="1"/>
  <c r="Q118" i="9"/>
  <c r="E349" i="20" s="1"/>
  <c r="P118" i="9"/>
  <c r="D349" i="20" s="1"/>
  <c r="O118" i="9"/>
  <c r="C349" i="20" s="1"/>
  <c r="N118" i="9"/>
  <c r="B349" i="20" s="1"/>
  <c r="D118" i="9"/>
  <c r="D1308" i="15" s="1"/>
  <c r="B118" i="9"/>
  <c r="B116" i="9"/>
  <c r="B1306" i="15" s="1"/>
  <c r="AC115" i="9"/>
  <c r="AB115" i="9"/>
  <c r="AA115" i="9"/>
  <c r="Z115" i="9"/>
  <c r="N348" i="20" s="1"/>
  <c r="Y115" i="9"/>
  <c r="M348" i="20" s="1"/>
  <c r="X115" i="9"/>
  <c r="L348" i="20" s="1"/>
  <c r="W115" i="9"/>
  <c r="K348" i="20" s="1"/>
  <c r="V115" i="9"/>
  <c r="J348" i="20" s="1"/>
  <c r="U115" i="9"/>
  <c r="I348" i="20" s="1"/>
  <c r="S115" i="9"/>
  <c r="G348" i="20" s="1"/>
  <c r="R115" i="9"/>
  <c r="F348" i="20" s="1"/>
  <c r="Q115" i="9"/>
  <c r="E348" i="20" s="1"/>
  <c r="P115" i="9"/>
  <c r="D348" i="20" s="1"/>
  <c r="O115" i="9"/>
  <c r="C348" i="20" s="1"/>
  <c r="N115" i="9"/>
  <c r="B348" i="20" s="1"/>
  <c r="M115" i="9"/>
  <c r="A348" i="20" s="1"/>
  <c r="D115" i="9"/>
  <c r="D1305" i="15" s="1"/>
  <c r="B115" i="9"/>
  <c r="B113" i="9"/>
  <c r="B1303" i="15" s="1"/>
  <c r="AC112" i="9"/>
  <c r="AB112" i="9"/>
  <c r="AA112" i="9"/>
  <c r="Z112" i="9"/>
  <c r="N347" i="20" s="1"/>
  <c r="Y112" i="9"/>
  <c r="M347" i="20" s="1"/>
  <c r="X112" i="9"/>
  <c r="L347" i="20" s="1"/>
  <c r="W112" i="9"/>
  <c r="K347" i="20" s="1"/>
  <c r="V112" i="9"/>
  <c r="J347" i="20" s="1"/>
  <c r="U112" i="9"/>
  <c r="I347" i="20" s="1"/>
  <c r="S112" i="9"/>
  <c r="G347" i="20" s="1"/>
  <c r="R112" i="9"/>
  <c r="F347" i="20" s="1"/>
  <c r="Q112" i="9"/>
  <c r="E347" i="20" s="1"/>
  <c r="P112" i="9"/>
  <c r="D347" i="20" s="1"/>
  <c r="O112" i="9"/>
  <c r="C347" i="20" s="1"/>
  <c r="N112" i="9"/>
  <c r="B347" i="20" s="1"/>
  <c r="M112" i="9"/>
  <c r="A347" i="20" s="1"/>
  <c r="D112" i="9"/>
  <c r="D1302" i="15" s="1"/>
  <c r="B112" i="9"/>
  <c r="B110" i="9"/>
  <c r="B1300" i="15" s="1"/>
  <c r="B108" i="9"/>
  <c r="B1298" i="15" s="1"/>
  <c r="AC107" i="9"/>
  <c r="AB107" i="9"/>
  <c r="AA107" i="9"/>
  <c r="Z107" i="9"/>
  <c r="N346" i="20" s="1"/>
  <c r="Y107" i="9"/>
  <c r="M346" i="20" s="1"/>
  <c r="X107" i="9"/>
  <c r="L346" i="20" s="1"/>
  <c r="W107" i="9"/>
  <c r="K346" i="20" s="1"/>
  <c r="V107" i="9"/>
  <c r="J346" i="20" s="1"/>
  <c r="U107" i="9"/>
  <c r="I346" i="20" s="1"/>
  <c r="S107" i="9"/>
  <c r="G346" i="20" s="1"/>
  <c r="R107" i="9"/>
  <c r="F346" i="20" s="1"/>
  <c r="Q107" i="9"/>
  <c r="E346" i="20" s="1"/>
  <c r="P107" i="9"/>
  <c r="D346" i="20" s="1"/>
  <c r="O107" i="9"/>
  <c r="C346" i="20" s="1"/>
  <c r="N107" i="9"/>
  <c r="B346" i="20" s="1"/>
  <c r="D107" i="9"/>
  <c r="B107" i="9"/>
  <c r="B105" i="9"/>
  <c r="B1295" i="15" s="1"/>
  <c r="AC104" i="9"/>
  <c r="AB104" i="9"/>
  <c r="AA104" i="9"/>
  <c r="Z104" i="9"/>
  <c r="N345" i="20" s="1"/>
  <c r="Y104" i="9"/>
  <c r="M345" i="20" s="1"/>
  <c r="X104" i="9"/>
  <c r="L345" i="20" s="1"/>
  <c r="W104" i="9"/>
  <c r="K345" i="20" s="1"/>
  <c r="V104" i="9"/>
  <c r="J345" i="20" s="1"/>
  <c r="U104" i="9"/>
  <c r="I345" i="20" s="1"/>
  <c r="S104" i="9"/>
  <c r="G345" i="20" s="1"/>
  <c r="R104" i="9"/>
  <c r="F345" i="20" s="1"/>
  <c r="Q104" i="9"/>
  <c r="E345" i="20" s="1"/>
  <c r="P104" i="9"/>
  <c r="D345" i="20" s="1"/>
  <c r="O104" i="9"/>
  <c r="C345" i="20" s="1"/>
  <c r="N104" i="9"/>
  <c r="B345" i="20" s="1"/>
  <c r="M104" i="9"/>
  <c r="A345" i="20" s="1"/>
  <c r="D104" i="9"/>
  <c r="D1294" i="15" s="1"/>
  <c r="B104" i="9"/>
  <c r="B102" i="9"/>
  <c r="B1292" i="15" s="1"/>
  <c r="AC101" i="9"/>
  <c r="AB101" i="9"/>
  <c r="AA101" i="9"/>
  <c r="Z101" i="9"/>
  <c r="N344" i="20" s="1"/>
  <c r="Y101" i="9"/>
  <c r="M344" i="20" s="1"/>
  <c r="X101" i="9"/>
  <c r="L344" i="20" s="1"/>
  <c r="W101" i="9"/>
  <c r="K344" i="20" s="1"/>
  <c r="V101" i="9"/>
  <c r="J344" i="20" s="1"/>
  <c r="U101" i="9"/>
  <c r="I344" i="20" s="1"/>
  <c r="S101" i="9"/>
  <c r="G344" i="20" s="1"/>
  <c r="R101" i="9"/>
  <c r="F344" i="20" s="1"/>
  <c r="Q101" i="9"/>
  <c r="E344" i="20" s="1"/>
  <c r="P101" i="9"/>
  <c r="D344" i="20" s="1"/>
  <c r="O101" i="9"/>
  <c r="C344" i="20" s="1"/>
  <c r="N101" i="9"/>
  <c r="B344" i="20" s="1"/>
  <c r="D101" i="9"/>
  <c r="D1291" i="15" s="1"/>
  <c r="B101" i="9"/>
  <c r="B99" i="9"/>
  <c r="B1289" i="15" s="1"/>
  <c r="AC98" i="9"/>
  <c r="AB98" i="9"/>
  <c r="AA98" i="9"/>
  <c r="Z98" i="9"/>
  <c r="N343" i="20" s="1"/>
  <c r="Y98" i="9"/>
  <c r="M343" i="20" s="1"/>
  <c r="X98" i="9"/>
  <c r="L343" i="20" s="1"/>
  <c r="W98" i="9"/>
  <c r="K343" i="20" s="1"/>
  <c r="V98" i="9"/>
  <c r="J343" i="20" s="1"/>
  <c r="U98" i="9"/>
  <c r="I343" i="20" s="1"/>
  <c r="S98" i="9"/>
  <c r="G343" i="20" s="1"/>
  <c r="R98" i="9"/>
  <c r="F343" i="20" s="1"/>
  <c r="Q98" i="9"/>
  <c r="E343" i="20" s="1"/>
  <c r="P98" i="9"/>
  <c r="D343" i="20" s="1"/>
  <c r="O98" i="9"/>
  <c r="C343" i="20" s="1"/>
  <c r="N98" i="9"/>
  <c r="B343" i="20" s="1"/>
  <c r="D98" i="9"/>
  <c r="D1288" i="15" s="1"/>
  <c r="B98" i="9"/>
  <c r="B96" i="9"/>
  <c r="B1286" i="15" s="1"/>
  <c r="AC95" i="9"/>
  <c r="AB95" i="9"/>
  <c r="AA95" i="9"/>
  <c r="Z95" i="9"/>
  <c r="N342" i="20" s="1"/>
  <c r="Y95" i="9"/>
  <c r="M342" i="20" s="1"/>
  <c r="X95" i="9"/>
  <c r="L342" i="20" s="1"/>
  <c r="W95" i="9"/>
  <c r="K342" i="20" s="1"/>
  <c r="V95" i="9"/>
  <c r="J342" i="20" s="1"/>
  <c r="U95" i="9"/>
  <c r="I342" i="20" s="1"/>
  <c r="S95" i="9"/>
  <c r="G342" i="20" s="1"/>
  <c r="R95" i="9"/>
  <c r="F342" i="20" s="1"/>
  <c r="Q95" i="9"/>
  <c r="E342" i="20" s="1"/>
  <c r="P95" i="9"/>
  <c r="D342" i="20" s="1"/>
  <c r="O95" i="9"/>
  <c r="C342" i="20" s="1"/>
  <c r="N95" i="9"/>
  <c r="B342" i="20" s="1"/>
  <c r="M95" i="9"/>
  <c r="A342" i="20" s="1"/>
  <c r="D95" i="9"/>
  <c r="D1285" i="15" s="1"/>
  <c r="B95" i="9"/>
  <c r="B93" i="9"/>
  <c r="B1283" i="15" s="1"/>
  <c r="B91" i="9"/>
  <c r="B1281" i="15" s="1"/>
  <c r="AC90" i="9"/>
  <c r="AB90" i="9"/>
  <c r="AA90" i="9"/>
  <c r="Z90" i="9"/>
  <c r="N341" i="20" s="1"/>
  <c r="Y90" i="9"/>
  <c r="M341" i="20" s="1"/>
  <c r="X90" i="9"/>
  <c r="L341" i="20" s="1"/>
  <c r="W90" i="9"/>
  <c r="K341" i="20" s="1"/>
  <c r="V90" i="9"/>
  <c r="J341" i="20" s="1"/>
  <c r="U90" i="9"/>
  <c r="I341" i="20" s="1"/>
  <c r="S90" i="9"/>
  <c r="G341" i="20" s="1"/>
  <c r="R90" i="9"/>
  <c r="F341" i="20" s="1"/>
  <c r="Q90" i="9"/>
  <c r="E341" i="20" s="1"/>
  <c r="P90" i="9"/>
  <c r="D341" i="20" s="1"/>
  <c r="O90" i="9"/>
  <c r="C341" i="20" s="1"/>
  <c r="N90" i="9"/>
  <c r="B341" i="20" s="1"/>
  <c r="M90" i="9"/>
  <c r="A341" i="20" s="1"/>
  <c r="D90" i="9"/>
  <c r="D1280" i="15" s="1"/>
  <c r="B90" i="9"/>
  <c r="B88" i="9"/>
  <c r="B1278" i="15" s="1"/>
  <c r="AC87" i="9"/>
  <c r="AB87" i="9"/>
  <c r="AA87" i="9"/>
  <c r="Z87" i="9"/>
  <c r="N340" i="20" s="1"/>
  <c r="Y87" i="9"/>
  <c r="M340" i="20" s="1"/>
  <c r="X87" i="9"/>
  <c r="L340" i="20" s="1"/>
  <c r="W87" i="9"/>
  <c r="K340" i="20" s="1"/>
  <c r="V87" i="9"/>
  <c r="J340" i="20" s="1"/>
  <c r="U87" i="9"/>
  <c r="I340" i="20" s="1"/>
  <c r="S87" i="9"/>
  <c r="G340" i="20" s="1"/>
  <c r="R87" i="9"/>
  <c r="F340" i="20" s="1"/>
  <c r="Q87" i="9"/>
  <c r="E340" i="20" s="1"/>
  <c r="P87" i="9"/>
  <c r="D340" i="20" s="1"/>
  <c r="O87" i="9"/>
  <c r="C340" i="20" s="1"/>
  <c r="N87" i="9"/>
  <c r="B340" i="20" s="1"/>
  <c r="D87" i="9"/>
  <c r="D1277" i="15" s="1"/>
  <c r="B87" i="9"/>
  <c r="B85" i="9"/>
  <c r="B1275" i="15" s="1"/>
  <c r="AC84" i="9"/>
  <c r="AB84" i="9"/>
  <c r="AA84" i="9"/>
  <c r="Z84" i="9"/>
  <c r="N339" i="20" s="1"/>
  <c r="Y84" i="9"/>
  <c r="M339" i="20" s="1"/>
  <c r="X84" i="9"/>
  <c r="L339" i="20" s="1"/>
  <c r="W84" i="9"/>
  <c r="K339" i="20" s="1"/>
  <c r="V84" i="9"/>
  <c r="J339" i="20" s="1"/>
  <c r="U84" i="9"/>
  <c r="I339" i="20" s="1"/>
  <c r="S84" i="9"/>
  <c r="G339" i="20" s="1"/>
  <c r="R84" i="9"/>
  <c r="F339" i="20" s="1"/>
  <c r="Q84" i="9"/>
  <c r="E339" i="20" s="1"/>
  <c r="P84" i="9"/>
  <c r="D339" i="20" s="1"/>
  <c r="O84" i="9"/>
  <c r="C339" i="20" s="1"/>
  <c r="N84" i="9"/>
  <c r="B339" i="20" s="1"/>
  <c r="D84" i="9"/>
  <c r="D1274" i="15" s="1"/>
  <c r="B84" i="9"/>
  <c r="B82" i="9"/>
  <c r="B1272" i="15" s="1"/>
  <c r="AC81" i="9"/>
  <c r="AB81" i="9"/>
  <c r="AA81" i="9"/>
  <c r="Z81" i="9"/>
  <c r="N338" i="20" s="1"/>
  <c r="Y81" i="9"/>
  <c r="M338" i="20" s="1"/>
  <c r="X81" i="9"/>
  <c r="L338" i="20" s="1"/>
  <c r="W81" i="9"/>
  <c r="K338" i="20" s="1"/>
  <c r="V81" i="9"/>
  <c r="J338" i="20" s="1"/>
  <c r="U81" i="9"/>
  <c r="I338" i="20" s="1"/>
  <c r="S81" i="9"/>
  <c r="G338" i="20" s="1"/>
  <c r="R81" i="9"/>
  <c r="F338" i="20" s="1"/>
  <c r="Q81" i="9"/>
  <c r="E338" i="20" s="1"/>
  <c r="P81" i="9"/>
  <c r="D338" i="20" s="1"/>
  <c r="O81" i="9"/>
  <c r="C338" i="20" s="1"/>
  <c r="N81" i="9"/>
  <c r="B338" i="20" s="1"/>
  <c r="M81" i="9"/>
  <c r="A338" i="20" s="1"/>
  <c r="D81" i="9"/>
  <c r="D1271" i="15" s="1"/>
  <c r="B81" i="9"/>
  <c r="B79" i="9"/>
  <c r="B1269" i="15" s="1"/>
  <c r="AC78" i="9"/>
  <c r="AB78" i="9"/>
  <c r="AA78" i="9"/>
  <c r="Z78" i="9"/>
  <c r="N337" i="20" s="1"/>
  <c r="Y78" i="9"/>
  <c r="M337" i="20" s="1"/>
  <c r="X78" i="9"/>
  <c r="L337" i="20" s="1"/>
  <c r="W78" i="9"/>
  <c r="K337" i="20" s="1"/>
  <c r="V78" i="9"/>
  <c r="J337" i="20" s="1"/>
  <c r="U78" i="9"/>
  <c r="I337" i="20" s="1"/>
  <c r="S78" i="9"/>
  <c r="G337" i="20" s="1"/>
  <c r="R78" i="9"/>
  <c r="F337" i="20" s="1"/>
  <c r="Q78" i="9"/>
  <c r="E337" i="20" s="1"/>
  <c r="P78" i="9"/>
  <c r="D337" i="20" s="1"/>
  <c r="O78" i="9"/>
  <c r="C337" i="20" s="1"/>
  <c r="N78" i="9"/>
  <c r="B337" i="20" s="1"/>
  <c r="M78" i="9"/>
  <c r="A337" i="20" s="1"/>
  <c r="D78" i="9"/>
  <c r="D1268" i="15" s="1"/>
  <c r="B78" i="9"/>
  <c r="B76" i="9"/>
  <c r="B1266" i="15" s="1"/>
  <c r="B74" i="9"/>
  <c r="B1264" i="15" s="1"/>
  <c r="AC73" i="9"/>
  <c r="AB73" i="9"/>
  <c r="AA73" i="9"/>
  <c r="Z73" i="9"/>
  <c r="N336" i="20" s="1"/>
  <c r="Y73" i="9"/>
  <c r="M336" i="20" s="1"/>
  <c r="X73" i="9"/>
  <c r="L336" i="20" s="1"/>
  <c r="W73" i="9"/>
  <c r="K336" i="20" s="1"/>
  <c r="V73" i="9"/>
  <c r="J336" i="20" s="1"/>
  <c r="U73" i="9"/>
  <c r="I336" i="20" s="1"/>
  <c r="S73" i="9"/>
  <c r="G336" i="20" s="1"/>
  <c r="R73" i="9"/>
  <c r="F336" i="20" s="1"/>
  <c r="Q73" i="9"/>
  <c r="E336" i="20" s="1"/>
  <c r="P73" i="9"/>
  <c r="D336" i="20" s="1"/>
  <c r="O73" i="9"/>
  <c r="C336" i="20" s="1"/>
  <c r="N73" i="9"/>
  <c r="B336" i="20" s="1"/>
  <c r="M73" i="9"/>
  <c r="A336" i="20" s="1"/>
  <c r="D73" i="9"/>
  <c r="D1263" i="15" s="1"/>
  <c r="B73" i="9"/>
  <c r="B71" i="9"/>
  <c r="B1261" i="15" s="1"/>
  <c r="AC70" i="9"/>
  <c r="AB70" i="9"/>
  <c r="AA70" i="9"/>
  <c r="Z70" i="9"/>
  <c r="N335" i="20" s="1"/>
  <c r="Y70" i="9"/>
  <c r="M335" i="20" s="1"/>
  <c r="X70" i="9"/>
  <c r="L335" i="20" s="1"/>
  <c r="W70" i="9"/>
  <c r="K335" i="20" s="1"/>
  <c r="V70" i="9"/>
  <c r="J335" i="20" s="1"/>
  <c r="U70" i="9"/>
  <c r="I335" i="20" s="1"/>
  <c r="S70" i="9"/>
  <c r="G335" i="20" s="1"/>
  <c r="R70" i="9"/>
  <c r="F335" i="20" s="1"/>
  <c r="Q70" i="9"/>
  <c r="E335" i="20" s="1"/>
  <c r="P70" i="9"/>
  <c r="D335" i="20" s="1"/>
  <c r="O70" i="9"/>
  <c r="C335" i="20" s="1"/>
  <c r="N70" i="9"/>
  <c r="B335" i="20" s="1"/>
  <c r="M70" i="9"/>
  <c r="A335" i="20" s="1"/>
  <c r="D70" i="9"/>
  <c r="D1260" i="15" s="1"/>
  <c r="B70" i="9"/>
  <c r="B68" i="9"/>
  <c r="B1258" i="15" s="1"/>
  <c r="AC67" i="9"/>
  <c r="AB67" i="9"/>
  <c r="AA67" i="9"/>
  <c r="Z67" i="9"/>
  <c r="N334" i="20" s="1"/>
  <c r="Y67" i="9"/>
  <c r="M334" i="20" s="1"/>
  <c r="X67" i="9"/>
  <c r="L334" i="20" s="1"/>
  <c r="W67" i="9"/>
  <c r="K334" i="20" s="1"/>
  <c r="V67" i="9"/>
  <c r="J334" i="20" s="1"/>
  <c r="U67" i="9"/>
  <c r="I334" i="20" s="1"/>
  <c r="S67" i="9"/>
  <c r="G334" i="20" s="1"/>
  <c r="R67" i="9"/>
  <c r="F334" i="20" s="1"/>
  <c r="Q67" i="9"/>
  <c r="E334" i="20" s="1"/>
  <c r="P67" i="9"/>
  <c r="D334" i="20" s="1"/>
  <c r="O67" i="9"/>
  <c r="C334" i="20" s="1"/>
  <c r="N67" i="9"/>
  <c r="B334" i="20" s="1"/>
  <c r="M67" i="9"/>
  <c r="A334" i="20" s="1"/>
  <c r="D67" i="9"/>
  <c r="T67" i="9" s="1"/>
  <c r="H334" i="20" s="1"/>
  <c r="B67" i="9"/>
  <c r="B65" i="9"/>
  <c r="B1255" i="15" s="1"/>
  <c r="AC64" i="9"/>
  <c r="AB64" i="9"/>
  <c r="AA64" i="9"/>
  <c r="Z64" i="9"/>
  <c r="N333" i="20" s="1"/>
  <c r="Y64" i="9"/>
  <c r="M333" i="20" s="1"/>
  <c r="X64" i="9"/>
  <c r="L333" i="20" s="1"/>
  <c r="W64" i="9"/>
  <c r="K333" i="20" s="1"/>
  <c r="V64" i="9"/>
  <c r="J333" i="20" s="1"/>
  <c r="U64" i="9"/>
  <c r="I333" i="20" s="1"/>
  <c r="S64" i="9"/>
  <c r="G333" i="20" s="1"/>
  <c r="R64" i="9"/>
  <c r="F333" i="20" s="1"/>
  <c r="Q64" i="9"/>
  <c r="E333" i="20" s="1"/>
  <c r="P64" i="9"/>
  <c r="D333" i="20" s="1"/>
  <c r="O64" i="9"/>
  <c r="C333" i="20" s="1"/>
  <c r="N64" i="9"/>
  <c r="B333" i="20" s="1"/>
  <c r="D64" i="9"/>
  <c r="B64" i="9"/>
  <c r="B62" i="9"/>
  <c r="B1252" i="15" s="1"/>
  <c r="AC61" i="9"/>
  <c r="AB61" i="9"/>
  <c r="AA61" i="9"/>
  <c r="Z61" i="9"/>
  <c r="N332" i="20" s="1"/>
  <c r="Y61" i="9"/>
  <c r="M332" i="20" s="1"/>
  <c r="X61" i="9"/>
  <c r="L332" i="20" s="1"/>
  <c r="W61" i="9"/>
  <c r="K332" i="20" s="1"/>
  <c r="V61" i="9"/>
  <c r="J332" i="20" s="1"/>
  <c r="U61" i="9"/>
  <c r="I332" i="20" s="1"/>
  <c r="S61" i="9"/>
  <c r="G332" i="20" s="1"/>
  <c r="R61" i="9"/>
  <c r="F332" i="20" s="1"/>
  <c r="Q61" i="9"/>
  <c r="E332" i="20" s="1"/>
  <c r="P61" i="9"/>
  <c r="D332" i="20" s="1"/>
  <c r="O61" i="9"/>
  <c r="C332" i="20" s="1"/>
  <c r="N61" i="9"/>
  <c r="B332" i="20" s="1"/>
  <c r="D61" i="9"/>
  <c r="B61" i="9"/>
  <c r="B59" i="9"/>
  <c r="B1249" i="15" s="1"/>
  <c r="B57" i="9"/>
  <c r="B1247" i="15" s="1"/>
  <c r="AC56" i="9"/>
  <c r="AB56" i="9"/>
  <c r="AA56" i="9"/>
  <c r="Z56" i="9"/>
  <c r="N331" i="20" s="1"/>
  <c r="Y56" i="9"/>
  <c r="M331" i="20" s="1"/>
  <c r="X56" i="9"/>
  <c r="L331" i="20" s="1"/>
  <c r="W56" i="9"/>
  <c r="K331" i="20" s="1"/>
  <c r="V56" i="9"/>
  <c r="J331" i="20" s="1"/>
  <c r="U56" i="9"/>
  <c r="I331" i="20" s="1"/>
  <c r="S56" i="9"/>
  <c r="G331" i="20" s="1"/>
  <c r="R56" i="9"/>
  <c r="F331" i="20" s="1"/>
  <c r="Q56" i="9"/>
  <c r="E331" i="20" s="1"/>
  <c r="P56" i="9"/>
  <c r="D331" i="20" s="1"/>
  <c r="O56" i="9"/>
  <c r="C331" i="20" s="1"/>
  <c r="N56" i="9"/>
  <c r="B331" i="20" s="1"/>
  <c r="M56" i="9"/>
  <c r="A331" i="20" s="1"/>
  <c r="D56" i="9"/>
  <c r="D1246" i="15" s="1"/>
  <c r="B56" i="9"/>
  <c r="B54" i="9"/>
  <c r="B1244" i="15" s="1"/>
  <c r="AC53" i="9"/>
  <c r="AB53" i="9"/>
  <c r="AA53" i="9"/>
  <c r="Z53" i="9"/>
  <c r="N330" i="20" s="1"/>
  <c r="Y53" i="9"/>
  <c r="M330" i="20" s="1"/>
  <c r="X53" i="9"/>
  <c r="L330" i="20" s="1"/>
  <c r="W53" i="9"/>
  <c r="K330" i="20" s="1"/>
  <c r="V53" i="9"/>
  <c r="J330" i="20" s="1"/>
  <c r="U53" i="9"/>
  <c r="I330" i="20" s="1"/>
  <c r="S53" i="9"/>
  <c r="G330" i="20" s="1"/>
  <c r="R53" i="9"/>
  <c r="F330" i="20" s="1"/>
  <c r="Q53" i="9"/>
  <c r="E330" i="20" s="1"/>
  <c r="P53" i="9"/>
  <c r="D330" i="20" s="1"/>
  <c r="O53" i="9"/>
  <c r="C330" i="20" s="1"/>
  <c r="N53" i="9"/>
  <c r="B330" i="20" s="1"/>
  <c r="D53" i="9"/>
  <c r="B53" i="9"/>
  <c r="B51" i="9"/>
  <c r="AC50" i="9"/>
  <c r="AB50" i="9"/>
  <c r="AA50" i="9"/>
  <c r="Z50" i="9"/>
  <c r="N329" i="20" s="1"/>
  <c r="Y50" i="9"/>
  <c r="M329" i="20" s="1"/>
  <c r="X50" i="9"/>
  <c r="L329" i="20" s="1"/>
  <c r="W50" i="9"/>
  <c r="K329" i="20" s="1"/>
  <c r="V50" i="9"/>
  <c r="J329" i="20" s="1"/>
  <c r="U50" i="9"/>
  <c r="I329" i="20" s="1"/>
  <c r="S50" i="9"/>
  <c r="G329" i="20" s="1"/>
  <c r="R50" i="9"/>
  <c r="F329" i="20" s="1"/>
  <c r="Q50" i="9"/>
  <c r="E329" i="20" s="1"/>
  <c r="P50" i="9"/>
  <c r="D329" i="20" s="1"/>
  <c r="O50" i="9"/>
  <c r="C329" i="20" s="1"/>
  <c r="N50" i="9"/>
  <c r="B329" i="20" s="1"/>
  <c r="D50" i="9"/>
  <c r="B50" i="9"/>
  <c r="B48" i="9"/>
  <c r="B1238" i="15" s="1"/>
  <c r="AC47" i="9"/>
  <c r="AB47" i="9"/>
  <c r="AA47" i="9"/>
  <c r="Z47" i="9"/>
  <c r="N328" i="20" s="1"/>
  <c r="Y47" i="9"/>
  <c r="M328" i="20" s="1"/>
  <c r="X47" i="9"/>
  <c r="L328" i="20" s="1"/>
  <c r="W47" i="9"/>
  <c r="K328" i="20" s="1"/>
  <c r="V47" i="9"/>
  <c r="J328" i="20" s="1"/>
  <c r="U47" i="9"/>
  <c r="I328" i="20" s="1"/>
  <c r="S47" i="9"/>
  <c r="G328" i="20" s="1"/>
  <c r="R47" i="9"/>
  <c r="F328" i="20" s="1"/>
  <c r="Q47" i="9"/>
  <c r="E328" i="20" s="1"/>
  <c r="P47" i="9"/>
  <c r="D328" i="20" s="1"/>
  <c r="O47" i="9"/>
  <c r="C328" i="20" s="1"/>
  <c r="N47" i="9"/>
  <c r="B328" i="20" s="1"/>
  <c r="M47" i="9"/>
  <c r="A328" i="20" s="1"/>
  <c r="D47" i="9"/>
  <c r="D1237" i="15" s="1"/>
  <c r="B47" i="9"/>
  <c r="B328" i="19" s="1"/>
  <c r="B45" i="9"/>
  <c r="B1235" i="15" s="1"/>
  <c r="AC44" i="9"/>
  <c r="AB44" i="9"/>
  <c r="AA44" i="9"/>
  <c r="Z44" i="9"/>
  <c r="N327" i="20" s="1"/>
  <c r="Y44" i="9"/>
  <c r="M327" i="20" s="1"/>
  <c r="X44" i="9"/>
  <c r="L327" i="20" s="1"/>
  <c r="W44" i="9"/>
  <c r="K327" i="20" s="1"/>
  <c r="V44" i="9"/>
  <c r="J327" i="20" s="1"/>
  <c r="U44" i="9"/>
  <c r="I327" i="20" s="1"/>
  <c r="S44" i="9"/>
  <c r="G327" i="20" s="1"/>
  <c r="R44" i="9"/>
  <c r="F327" i="20" s="1"/>
  <c r="Q44" i="9"/>
  <c r="E327" i="20" s="1"/>
  <c r="P44" i="9"/>
  <c r="D327" i="20" s="1"/>
  <c r="O44" i="9"/>
  <c r="C327" i="20" s="1"/>
  <c r="N44" i="9"/>
  <c r="B327" i="20" s="1"/>
  <c r="D44" i="9"/>
  <c r="D1234" i="15" s="1"/>
  <c r="B44" i="9"/>
  <c r="B42" i="9"/>
  <c r="B1232" i="15" s="1"/>
  <c r="B40" i="9"/>
  <c r="B1230" i="15" s="1"/>
  <c r="AC39" i="9"/>
  <c r="AB39" i="9"/>
  <c r="AA39" i="9"/>
  <c r="Z39" i="9"/>
  <c r="N326" i="20" s="1"/>
  <c r="Y39" i="9"/>
  <c r="M326" i="20" s="1"/>
  <c r="X39" i="9"/>
  <c r="L326" i="20" s="1"/>
  <c r="W39" i="9"/>
  <c r="K326" i="20" s="1"/>
  <c r="V39" i="9"/>
  <c r="J326" i="20" s="1"/>
  <c r="U39" i="9"/>
  <c r="I326" i="20" s="1"/>
  <c r="T39" i="9"/>
  <c r="H326" i="20" s="1"/>
  <c r="S39" i="9"/>
  <c r="G326" i="20" s="1"/>
  <c r="R39" i="9"/>
  <c r="F326" i="20" s="1"/>
  <c r="Q39" i="9"/>
  <c r="E326" i="20" s="1"/>
  <c r="P39" i="9"/>
  <c r="D326" i="20" s="1"/>
  <c r="O39" i="9"/>
  <c r="C326" i="20" s="1"/>
  <c r="N39" i="9"/>
  <c r="B326" i="20" s="1"/>
  <c r="D39" i="9"/>
  <c r="D1229" i="15" s="1"/>
  <c r="B39" i="9"/>
  <c r="B37" i="9"/>
  <c r="B1227" i="15" s="1"/>
  <c r="AC36" i="9"/>
  <c r="AB36" i="9"/>
  <c r="AA36" i="9"/>
  <c r="Z36" i="9"/>
  <c r="N325" i="20" s="1"/>
  <c r="Y36" i="9"/>
  <c r="M325" i="20" s="1"/>
  <c r="X36" i="9"/>
  <c r="L325" i="20" s="1"/>
  <c r="W36" i="9"/>
  <c r="K325" i="20" s="1"/>
  <c r="V36" i="9"/>
  <c r="J325" i="20" s="1"/>
  <c r="U36" i="9"/>
  <c r="I325" i="20" s="1"/>
  <c r="S36" i="9"/>
  <c r="G325" i="20" s="1"/>
  <c r="R36" i="9"/>
  <c r="F325" i="20" s="1"/>
  <c r="Q36" i="9"/>
  <c r="E325" i="20" s="1"/>
  <c r="P36" i="9"/>
  <c r="D325" i="20" s="1"/>
  <c r="O36" i="9"/>
  <c r="C325" i="20" s="1"/>
  <c r="N36" i="9"/>
  <c r="B325" i="20" s="1"/>
  <c r="M36" i="9"/>
  <c r="A325" i="20" s="1"/>
  <c r="D36" i="9"/>
  <c r="D1226" i="15" s="1"/>
  <c r="B36" i="9"/>
  <c r="B325" i="19" s="1"/>
  <c r="B34" i="9"/>
  <c r="B1224" i="15" s="1"/>
  <c r="AC33" i="9"/>
  <c r="AB33" i="9"/>
  <c r="AA33" i="9"/>
  <c r="Z33" i="9"/>
  <c r="N324" i="20" s="1"/>
  <c r="Y33" i="9"/>
  <c r="M324" i="20" s="1"/>
  <c r="X33" i="9"/>
  <c r="L324" i="20" s="1"/>
  <c r="W33" i="9"/>
  <c r="K324" i="20" s="1"/>
  <c r="V33" i="9"/>
  <c r="J324" i="20" s="1"/>
  <c r="U33" i="9"/>
  <c r="I324" i="20" s="1"/>
  <c r="S33" i="9"/>
  <c r="G324" i="20" s="1"/>
  <c r="R33" i="9"/>
  <c r="F324" i="20" s="1"/>
  <c r="Q33" i="9"/>
  <c r="E324" i="20" s="1"/>
  <c r="P33" i="9"/>
  <c r="D324" i="20" s="1"/>
  <c r="O33" i="9"/>
  <c r="C324" i="20" s="1"/>
  <c r="N33" i="9"/>
  <c r="B324" i="20" s="1"/>
  <c r="D33" i="9"/>
  <c r="D1223" i="15" s="1"/>
  <c r="B33" i="9"/>
  <c r="B31" i="9"/>
  <c r="B1221" i="15" s="1"/>
  <c r="AC30" i="9"/>
  <c r="AB30" i="9"/>
  <c r="AA30" i="9"/>
  <c r="Z30" i="9"/>
  <c r="N323" i="20" s="1"/>
  <c r="Y30" i="9"/>
  <c r="M323" i="20" s="1"/>
  <c r="X30" i="9"/>
  <c r="L323" i="20" s="1"/>
  <c r="W30" i="9"/>
  <c r="K323" i="20" s="1"/>
  <c r="V30" i="9"/>
  <c r="J323" i="20" s="1"/>
  <c r="U30" i="9"/>
  <c r="I323" i="20" s="1"/>
  <c r="S30" i="9"/>
  <c r="G323" i="20" s="1"/>
  <c r="R30" i="9"/>
  <c r="F323" i="20" s="1"/>
  <c r="Q30" i="9"/>
  <c r="E323" i="20" s="1"/>
  <c r="P30" i="9"/>
  <c r="D323" i="20" s="1"/>
  <c r="O30" i="9"/>
  <c r="C323" i="20" s="1"/>
  <c r="N30" i="9"/>
  <c r="B323" i="20" s="1"/>
  <c r="D30" i="9"/>
  <c r="D1220" i="15" s="1"/>
  <c r="B30" i="9"/>
  <c r="B28" i="9"/>
  <c r="B1218" i="15" s="1"/>
  <c r="AC27" i="9"/>
  <c r="AB27" i="9"/>
  <c r="AA27" i="9"/>
  <c r="Z27" i="9"/>
  <c r="N322" i="20" s="1"/>
  <c r="Y27" i="9"/>
  <c r="M322" i="20" s="1"/>
  <c r="X27" i="9"/>
  <c r="L322" i="20" s="1"/>
  <c r="W27" i="9"/>
  <c r="K322" i="20" s="1"/>
  <c r="V27" i="9"/>
  <c r="J322" i="20" s="1"/>
  <c r="U27" i="9"/>
  <c r="I322" i="20" s="1"/>
  <c r="S27" i="9"/>
  <c r="G322" i="20" s="1"/>
  <c r="R27" i="9"/>
  <c r="F322" i="20" s="1"/>
  <c r="Q27" i="9"/>
  <c r="E322" i="20" s="1"/>
  <c r="P27" i="9"/>
  <c r="D322" i="20" s="1"/>
  <c r="O27" i="9"/>
  <c r="C322" i="20" s="1"/>
  <c r="N27" i="9"/>
  <c r="B322" i="20" s="1"/>
  <c r="M27" i="9"/>
  <c r="A322" i="20" s="1"/>
  <c r="D27" i="9"/>
  <c r="D1217" i="15" s="1"/>
  <c r="B27" i="9"/>
  <c r="B25" i="9"/>
  <c r="B1215" i="15" s="1"/>
  <c r="B23" i="9"/>
  <c r="B1213" i="15" s="1"/>
  <c r="AC22" i="9"/>
  <c r="AB22" i="9"/>
  <c r="AA22" i="9"/>
  <c r="Z22" i="9"/>
  <c r="N321" i="20" s="1"/>
  <c r="Y22" i="9"/>
  <c r="M321" i="20" s="1"/>
  <c r="X22" i="9"/>
  <c r="L321" i="20" s="1"/>
  <c r="W22" i="9"/>
  <c r="K321" i="20" s="1"/>
  <c r="V22" i="9"/>
  <c r="J321" i="20" s="1"/>
  <c r="U22" i="9"/>
  <c r="I321" i="20" s="1"/>
  <c r="S22" i="9"/>
  <c r="G321" i="20" s="1"/>
  <c r="R22" i="9"/>
  <c r="F321" i="20" s="1"/>
  <c r="Q22" i="9"/>
  <c r="E321" i="20" s="1"/>
  <c r="P22" i="9"/>
  <c r="D321" i="20" s="1"/>
  <c r="O22" i="9"/>
  <c r="C321" i="20" s="1"/>
  <c r="N22" i="9"/>
  <c r="B321" i="20" s="1"/>
  <c r="M22" i="9"/>
  <c r="A321" i="20" s="1"/>
  <c r="D22" i="9"/>
  <c r="D1212" i="15" s="1"/>
  <c r="B22" i="9"/>
  <c r="B20" i="9"/>
  <c r="B1210" i="15" s="1"/>
  <c r="AC19" i="9"/>
  <c r="AB19" i="9"/>
  <c r="AA19" i="9"/>
  <c r="Z19" i="9"/>
  <c r="N320" i="20" s="1"/>
  <c r="Y19" i="9"/>
  <c r="M320" i="20" s="1"/>
  <c r="X19" i="9"/>
  <c r="L320" i="20" s="1"/>
  <c r="W19" i="9"/>
  <c r="K320" i="20" s="1"/>
  <c r="V19" i="9"/>
  <c r="J320" i="20" s="1"/>
  <c r="U19" i="9"/>
  <c r="I320" i="20" s="1"/>
  <c r="S19" i="9"/>
  <c r="G320" i="20" s="1"/>
  <c r="R19" i="9"/>
  <c r="F320" i="20" s="1"/>
  <c r="Q19" i="9"/>
  <c r="E320" i="20" s="1"/>
  <c r="P19" i="9"/>
  <c r="D320" i="20" s="1"/>
  <c r="O19" i="9"/>
  <c r="C320" i="20" s="1"/>
  <c r="N19" i="9"/>
  <c r="B320" i="20" s="1"/>
  <c r="D19" i="9"/>
  <c r="D1209" i="15" s="1"/>
  <c r="B19" i="9"/>
  <c r="B17" i="9"/>
  <c r="AC16" i="9"/>
  <c r="AB16" i="9"/>
  <c r="AA16" i="9"/>
  <c r="Z16" i="9"/>
  <c r="N319" i="20" s="1"/>
  <c r="Y16" i="9"/>
  <c r="M319" i="20" s="1"/>
  <c r="X16" i="9"/>
  <c r="L319" i="20" s="1"/>
  <c r="W16" i="9"/>
  <c r="K319" i="20" s="1"/>
  <c r="V16" i="9"/>
  <c r="J319" i="20" s="1"/>
  <c r="U16" i="9"/>
  <c r="I319" i="20" s="1"/>
  <c r="S16" i="9"/>
  <c r="G319" i="20" s="1"/>
  <c r="R16" i="9"/>
  <c r="F319" i="20" s="1"/>
  <c r="Q16" i="9"/>
  <c r="E319" i="20" s="1"/>
  <c r="P16" i="9"/>
  <c r="D319" i="20" s="1"/>
  <c r="O16" i="9"/>
  <c r="C319" i="20" s="1"/>
  <c r="N16" i="9"/>
  <c r="B319" i="20" s="1"/>
  <c r="D16" i="9"/>
  <c r="D1206" i="15" s="1"/>
  <c r="B16" i="9"/>
  <c r="B14" i="9"/>
  <c r="B1204" i="15" s="1"/>
  <c r="AC13" i="9"/>
  <c r="AB13" i="9"/>
  <c r="AA13" i="9"/>
  <c r="Z13" i="9"/>
  <c r="N318" i="20" s="1"/>
  <c r="Y13" i="9"/>
  <c r="M318" i="20" s="1"/>
  <c r="X13" i="9"/>
  <c r="L318" i="20" s="1"/>
  <c r="W13" i="9"/>
  <c r="K318" i="20" s="1"/>
  <c r="V13" i="9"/>
  <c r="J318" i="20" s="1"/>
  <c r="U13" i="9"/>
  <c r="I318" i="20" s="1"/>
  <c r="S13" i="9"/>
  <c r="G318" i="20" s="1"/>
  <c r="R13" i="9"/>
  <c r="F318" i="20" s="1"/>
  <c r="Q13" i="9"/>
  <c r="E318" i="20" s="1"/>
  <c r="P13" i="9"/>
  <c r="D318" i="20" s="1"/>
  <c r="O13" i="9"/>
  <c r="C318" i="20" s="1"/>
  <c r="N13" i="9"/>
  <c r="B318" i="20" s="1"/>
  <c r="M13" i="9"/>
  <c r="A318" i="20" s="1"/>
  <c r="D13" i="9"/>
  <c r="D1203" i="15" s="1"/>
  <c r="B13" i="9"/>
  <c r="A13" i="9"/>
  <c r="B11" i="9"/>
  <c r="B1201" i="15" s="1"/>
  <c r="AC10" i="9"/>
  <c r="AB10" i="9"/>
  <c r="AA10" i="9"/>
  <c r="Z10" i="9"/>
  <c r="N317" i="20" s="1"/>
  <c r="Y10" i="9"/>
  <c r="M317" i="20" s="1"/>
  <c r="X10" i="9"/>
  <c r="L317" i="20" s="1"/>
  <c r="W10" i="9"/>
  <c r="K317" i="20" s="1"/>
  <c r="V10" i="9"/>
  <c r="J317" i="20" s="1"/>
  <c r="U10" i="9"/>
  <c r="I317" i="20" s="1"/>
  <c r="S10" i="9"/>
  <c r="G317" i="20" s="1"/>
  <c r="R10" i="9"/>
  <c r="F317" i="20" s="1"/>
  <c r="Q10" i="9"/>
  <c r="E317" i="20" s="1"/>
  <c r="P10" i="9"/>
  <c r="D317" i="20" s="1"/>
  <c r="O10" i="9"/>
  <c r="C317" i="20" s="1"/>
  <c r="N10" i="9"/>
  <c r="B317" i="20" s="1"/>
  <c r="M10" i="9"/>
  <c r="A317" i="20" s="1"/>
  <c r="D10" i="9"/>
  <c r="T10" i="9" s="1"/>
  <c r="H317" i="20" s="1"/>
  <c r="B10" i="9"/>
  <c r="B8" i="9"/>
  <c r="B1198" i="15" s="1"/>
  <c r="A3" i="9"/>
  <c r="A1" i="9"/>
  <c r="B159" i="8"/>
  <c r="B1179" i="15" s="1"/>
  <c r="AC158" i="8"/>
  <c r="AB158" i="8"/>
  <c r="AA158" i="8"/>
  <c r="Z158" i="8"/>
  <c r="N316" i="20" s="1"/>
  <c r="Y158" i="8"/>
  <c r="M316" i="20" s="1"/>
  <c r="X158" i="8"/>
  <c r="L316" i="20" s="1"/>
  <c r="W158" i="8"/>
  <c r="K316" i="20" s="1"/>
  <c r="V158" i="8"/>
  <c r="J316" i="20" s="1"/>
  <c r="U158" i="8"/>
  <c r="I316" i="20" s="1"/>
  <c r="S158" i="8"/>
  <c r="G316" i="20" s="1"/>
  <c r="R158" i="8"/>
  <c r="F316" i="20" s="1"/>
  <c r="Q158" i="8"/>
  <c r="E316" i="20" s="1"/>
  <c r="P158" i="8"/>
  <c r="D316" i="20" s="1"/>
  <c r="O158" i="8"/>
  <c r="C316" i="20" s="1"/>
  <c r="N158" i="8"/>
  <c r="B316" i="20" s="1"/>
  <c r="M158" i="8"/>
  <c r="A316" i="20" s="1"/>
  <c r="D158" i="8"/>
  <c r="D1178" i="15" s="1"/>
  <c r="B158" i="8"/>
  <c r="B316" i="19" s="1"/>
  <c r="B156" i="8"/>
  <c r="B1176" i="15" s="1"/>
  <c r="AC155" i="8"/>
  <c r="AB155" i="8"/>
  <c r="AA155" i="8"/>
  <c r="Z155" i="8"/>
  <c r="N315" i="20" s="1"/>
  <c r="Y155" i="8"/>
  <c r="M315" i="20" s="1"/>
  <c r="X155" i="8"/>
  <c r="L315" i="20" s="1"/>
  <c r="W155" i="8"/>
  <c r="K315" i="20" s="1"/>
  <c r="V155" i="8"/>
  <c r="J315" i="20" s="1"/>
  <c r="U155" i="8"/>
  <c r="I315" i="20" s="1"/>
  <c r="S155" i="8"/>
  <c r="G315" i="20" s="1"/>
  <c r="R155" i="8"/>
  <c r="F315" i="20" s="1"/>
  <c r="Q155" i="8"/>
  <c r="E315" i="20" s="1"/>
  <c r="P155" i="8"/>
  <c r="D315" i="20" s="1"/>
  <c r="O155" i="8"/>
  <c r="C315" i="20" s="1"/>
  <c r="N155" i="8"/>
  <c r="B315" i="20" s="1"/>
  <c r="M155" i="8"/>
  <c r="A315" i="20" s="1"/>
  <c r="D155" i="8"/>
  <c r="D1175" i="15" s="1"/>
  <c r="B155" i="8"/>
  <c r="B315" i="19" s="1"/>
  <c r="B153" i="8"/>
  <c r="B1173" i="15" s="1"/>
  <c r="AC152" i="8"/>
  <c r="AB152" i="8"/>
  <c r="AA152" i="8"/>
  <c r="Z152" i="8"/>
  <c r="N314" i="20" s="1"/>
  <c r="Y152" i="8"/>
  <c r="M314" i="20" s="1"/>
  <c r="X152" i="8"/>
  <c r="L314" i="20" s="1"/>
  <c r="W152" i="8"/>
  <c r="K314" i="20" s="1"/>
  <c r="V152" i="8"/>
  <c r="J314" i="20" s="1"/>
  <c r="U152" i="8"/>
  <c r="I314" i="20" s="1"/>
  <c r="S152" i="8"/>
  <c r="G314" i="20" s="1"/>
  <c r="R152" i="8"/>
  <c r="F314" i="20" s="1"/>
  <c r="Q152" i="8"/>
  <c r="E314" i="20" s="1"/>
  <c r="P152" i="8"/>
  <c r="D314" i="20" s="1"/>
  <c r="O152" i="8"/>
  <c r="C314" i="20" s="1"/>
  <c r="N152" i="8"/>
  <c r="B314" i="20" s="1"/>
  <c r="D152" i="8"/>
  <c r="D1172" i="15" s="1"/>
  <c r="B152" i="8"/>
  <c r="B150" i="8"/>
  <c r="B1170" i="15" s="1"/>
  <c r="AC149" i="8"/>
  <c r="AB149" i="8"/>
  <c r="AA149" i="8"/>
  <c r="Z149" i="8"/>
  <c r="N313" i="20" s="1"/>
  <c r="Y149" i="8"/>
  <c r="M313" i="20" s="1"/>
  <c r="X149" i="8"/>
  <c r="L313" i="20" s="1"/>
  <c r="W149" i="8"/>
  <c r="K313" i="20" s="1"/>
  <c r="V149" i="8"/>
  <c r="J313" i="20" s="1"/>
  <c r="U149" i="8"/>
  <c r="I313" i="20" s="1"/>
  <c r="S149" i="8"/>
  <c r="G313" i="20" s="1"/>
  <c r="R149" i="8"/>
  <c r="F313" i="20" s="1"/>
  <c r="Q149" i="8"/>
  <c r="E313" i="20" s="1"/>
  <c r="P149" i="8"/>
  <c r="D313" i="20" s="1"/>
  <c r="O149" i="8"/>
  <c r="C313" i="20" s="1"/>
  <c r="N149" i="8"/>
  <c r="B313" i="20" s="1"/>
  <c r="D149" i="8"/>
  <c r="D1169" i="15" s="1"/>
  <c r="B149" i="8"/>
  <c r="B147" i="8"/>
  <c r="AC146" i="8"/>
  <c r="AB146" i="8"/>
  <c r="AA146" i="8"/>
  <c r="Z146" i="8"/>
  <c r="N312" i="20" s="1"/>
  <c r="Y146" i="8"/>
  <c r="M312" i="20" s="1"/>
  <c r="X146" i="8"/>
  <c r="L312" i="20" s="1"/>
  <c r="W146" i="8"/>
  <c r="K312" i="20" s="1"/>
  <c r="V146" i="8"/>
  <c r="J312" i="20" s="1"/>
  <c r="U146" i="8"/>
  <c r="I312" i="20" s="1"/>
  <c r="S146" i="8"/>
  <c r="G312" i="20" s="1"/>
  <c r="R146" i="8"/>
  <c r="F312" i="20" s="1"/>
  <c r="Q146" i="8"/>
  <c r="E312" i="20" s="1"/>
  <c r="P146" i="8"/>
  <c r="D312" i="20" s="1"/>
  <c r="O146" i="8"/>
  <c r="C312" i="20" s="1"/>
  <c r="N146" i="8"/>
  <c r="B312" i="20" s="1"/>
  <c r="M146" i="8"/>
  <c r="A312" i="20" s="1"/>
  <c r="D146" i="8"/>
  <c r="D1166" i="15" s="1"/>
  <c r="B146" i="8"/>
  <c r="B144" i="8"/>
  <c r="B142" i="8"/>
  <c r="B1162" i="15" s="1"/>
  <c r="AC141" i="8"/>
  <c r="AB141" i="8"/>
  <c r="AA141" i="8"/>
  <c r="Z141" i="8"/>
  <c r="N311" i="20" s="1"/>
  <c r="Y141" i="8"/>
  <c r="M311" i="20" s="1"/>
  <c r="X141" i="8"/>
  <c r="L311" i="20" s="1"/>
  <c r="W141" i="8"/>
  <c r="K311" i="20" s="1"/>
  <c r="V141" i="8"/>
  <c r="J311" i="20" s="1"/>
  <c r="U141" i="8"/>
  <c r="I311" i="20" s="1"/>
  <c r="S141" i="8"/>
  <c r="G311" i="20" s="1"/>
  <c r="R141" i="8"/>
  <c r="F311" i="20" s="1"/>
  <c r="Q141" i="8"/>
  <c r="E311" i="20" s="1"/>
  <c r="P141" i="8"/>
  <c r="D311" i="20" s="1"/>
  <c r="O141" i="8"/>
  <c r="C311" i="20" s="1"/>
  <c r="N141" i="8"/>
  <c r="B311" i="20" s="1"/>
  <c r="D141" i="8"/>
  <c r="D1161" i="15" s="1"/>
  <c r="B141" i="8"/>
  <c r="B139" i="8"/>
  <c r="B1159" i="15" s="1"/>
  <c r="AC138" i="8"/>
  <c r="AB138" i="8"/>
  <c r="AA138" i="8"/>
  <c r="Z138" i="8"/>
  <c r="N310" i="20" s="1"/>
  <c r="Y138" i="8"/>
  <c r="M310" i="20" s="1"/>
  <c r="X138" i="8"/>
  <c r="L310" i="20" s="1"/>
  <c r="W138" i="8"/>
  <c r="K310" i="20" s="1"/>
  <c r="V138" i="8"/>
  <c r="J310" i="20" s="1"/>
  <c r="U138" i="8"/>
  <c r="I310" i="20" s="1"/>
  <c r="S138" i="8"/>
  <c r="G310" i="20" s="1"/>
  <c r="R138" i="8"/>
  <c r="F310" i="20" s="1"/>
  <c r="Q138" i="8"/>
  <c r="E310" i="20" s="1"/>
  <c r="P138" i="8"/>
  <c r="D310" i="20" s="1"/>
  <c r="O138" i="8"/>
  <c r="C310" i="20" s="1"/>
  <c r="N138" i="8"/>
  <c r="B310" i="20" s="1"/>
  <c r="D138" i="8"/>
  <c r="D1158" i="15" s="1"/>
  <c r="B138" i="8"/>
  <c r="B136" i="8"/>
  <c r="AC135" i="8"/>
  <c r="AB135" i="8"/>
  <c r="AA135" i="8"/>
  <c r="Z135" i="8"/>
  <c r="N309" i="20" s="1"/>
  <c r="Y135" i="8"/>
  <c r="M309" i="20" s="1"/>
  <c r="X135" i="8"/>
  <c r="L309" i="20" s="1"/>
  <c r="W135" i="8"/>
  <c r="K309" i="20" s="1"/>
  <c r="V135" i="8"/>
  <c r="J309" i="20" s="1"/>
  <c r="U135" i="8"/>
  <c r="I309" i="20" s="1"/>
  <c r="S135" i="8"/>
  <c r="G309" i="20" s="1"/>
  <c r="R135" i="8"/>
  <c r="F309" i="20" s="1"/>
  <c r="Q135" i="8"/>
  <c r="E309" i="20" s="1"/>
  <c r="P135" i="8"/>
  <c r="D309" i="20" s="1"/>
  <c r="O135" i="8"/>
  <c r="C309" i="20" s="1"/>
  <c r="N135" i="8"/>
  <c r="B309" i="20" s="1"/>
  <c r="M135" i="8"/>
  <c r="A309" i="20" s="1"/>
  <c r="D135" i="8"/>
  <c r="D1155" i="15" s="1"/>
  <c r="B135" i="8"/>
  <c r="B133" i="8"/>
  <c r="B1153" i="15" s="1"/>
  <c r="AC132" i="8"/>
  <c r="AB132" i="8"/>
  <c r="AA132" i="8"/>
  <c r="Z132" i="8"/>
  <c r="N308" i="20" s="1"/>
  <c r="Y132" i="8"/>
  <c r="M308" i="20" s="1"/>
  <c r="X132" i="8"/>
  <c r="L308" i="20" s="1"/>
  <c r="W132" i="8"/>
  <c r="K308" i="20" s="1"/>
  <c r="V132" i="8"/>
  <c r="J308" i="20" s="1"/>
  <c r="U132" i="8"/>
  <c r="I308" i="20" s="1"/>
  <c r="S132" i="8"/>
  <c r="G308" i="20" s="1"/>
  <c r="R132" i="8"/>
  <c r="F308" i="20" s="1"/>
  <c r="Q132" i="8"/>
  <c r="E308" i="20" s="1"/>
  <c r="P132" i="8"/>
  <c r="D308" i="20" s="1"/>
  <c r="O132" i="8"/>
  <c r="C308" i="20" s="1"/>
  <c r="N132" i="8"/>
  <c r="B308" i="20" s="1"/>
  <c r="M132" i="8"/>
  <c r="A308" i="20" s="1"/>
  <c r="D132" i="8"/>
  <c r="T132" i="8" s="1"/>
  <c r="H308" i="20" s="1"/>
  <c r="B132" i="8"/>
  <c r="B130" i="8"/>
  <c r="B1150" i="15" s="1"/>
  <c r="AC129" i="8"/>
  <c r="AB129" i="8"/>
  <c r="AA129" i="8"/>
  <c r="Z129" i="8"/>
  <c r="N307" i="20" s="1"/>
  <c r="Y129" i="8"/>
  <c r="M307" i="20" s="1"/>
  <c r="X129" i="8"/>
  <c r="L307" i="20" s="1"/>
  <c r="W129" i="8"/>
  <c r="K307" i="20" s="1"/>
  <c r="V129" i="8"/>
  <c r="J307" i="20" s="1"/>
  <c r="U129" i="8"/>
  <c r="I307" i="20" s="1"/>
  <c r="S129" i="8"/>
  <c r="G307" i="20" s="1"/>
  <c r="R129" i="8"/>
  <c r="F307" i="20" s="1"/>
  <c r="Q129" i="8"/>
  <c r="E307" i="20" s="1"/>
  <c r="P129" i="8"/>
  <c r="D307" i="20" s="1"/>
  <c r="O129" i="8"/>
  <c r="C307" i="20" s="1"/>
  <c r="N129" i="8"/>
  <c r="B307" i="20" s="1"/>
  <c r="D129" i="8"/>
  <c r="D1149" i="15" s="1"/>
  <c r="B129" i="8"/>
  <c r="B127" i="8"/>
  <c r="B1147" i="15" s="1"/>
  <c r="B125" i="8"/>
  <c r="B1145" i="15" s="1"/>
  <c r="AC124" i="8"/>
  <c r="AB124" i="8"/>
  <c r="AA124" i="8"/>
  <c r="Z124" i="8"/>
  <c r="N306" i="20" s="1"/>
  <c r="Y124" i="8"/>
  <c r="M306" i="20" s="1"/>
  <c r="X124" i="8"/>
  <c r="L306" i="20" s="1"/>
  <c r="W124" i="8"/>
  <c r="K306" i="20" s="1"/>
  <c r="V124" i="8"/>
  <c r="J306" i="20" s="1"/>
  <c r="U124" i="8"/>
  <c r="I306" i="20" s="1"/>
  <c r="S124" i="8"/>
  <c r="G306" i="20" s="1"/>
  <c r="R124" i="8"/>
  <c r="F306" i="20" s="1"/>
  <c r="Q124" i="8"/>
  <c r="E306" i="20" s="1"/>
  <c r="P124" i="8"/>
  <c r="D306" i="20" s="1"/>
  <c r="O124" i="8"/>
  <c r="C306" i="20" s="1"/>
  <c r="N124" i="8"/>
  <c r="B306" i="20" s="1"/>
  <c r="M124" i="8"/>
  <c r="A306" i="20" s="1"/>
  <c r="D124" i="8"/>
  <c r="D1144" i="15" s="1"/>
  <c r="B124" i="8"/>
  <c r="B122" i="8"/>
  <c r="B1142" i="15" s="1"/>
  <c r="AC121" i="8"/>
  <c r="AB121" i="8"/>
  <c r="AA121" i="8"/>
  <c r="Z121" i="8"/>
  <c r="N305" i="20" s="1"/>
  <c r="Y121" i="8"/>
  <c r="M305" i="20" s="1"/>
  <c r="X121" i="8"/>
  <c r="L305" i="20" s="1"/>
  <c r="W121" i="8"/>
  <c r="K305" i="20" s="1"/>
  <c r="V121" i="8"/>
  <c r="J305" i="20" s="1"/>
  <c r="U121" i="8"/>
  <c r="I305" i="20" s="1"/>
  <c r="S121" i="8"/>
  <c r="G305" i="20" s="1"/>
  <c r="R121" i="8"/>
  <c r="F305" i="20" s="1"/>
  <c r="Q121" i="8"/>
  <c r="E305" i="20" s="1"/>
  <c r="P121" i="8"/>
  <c r="D305" i="20" s="1"/>
  <c r="O121" i="8"/>
  <c r="C305" i="20" s="1"/>
  <c r="N121" i="8"/>
  <c r="B305" i="20" s="1"/>
  <c r="M121" i="8"/>
  <c r="A305" i="20" s="1"/>
  <c r="D121" i="8"/>
  <c r="D1141" i="15" s="1"/>
  <c r="B121" i="8"/>
  <c r="B305" i="19" s="1"/>
  <c r="B119" i="8"/>
  <c r="B1139" i="15" s="1"/>
  <c r="AC118" i="8"/>
  <c r="AB118" i="8"/>
  <c r="AA118" i="8"/>
  <c r="Z118" i="8"/>
  <c r="N304" i="20" s="1"/>
  <c r="Y118" i="8"/>
  <c r="M304" i="20" s="1"/>
  <c r="X118" i="8"/>
  <c r="L304" i="20" s="1"/>
  <c r="W118" i="8"/>
  <c r="K304" i="20" s="1"/>
  <c r="V118" i="8"/>
  <c r="J304" i="20" s="1"/>
  <c r="U118" i="8"/>
  <c r="I304" i="20" s="1"/>
  <c r="S118" i="8"/>
  <c r="G304" i="20" s="1"/>
  <c r="R118" i="8"/>
  <c r="F304" i="20" s="1"/>
  <c r="Q118" i="8"/>
  <c r="E304" i="20" s="1"/>
  <c r="P118" i="8"/>
  <c r="D304" i="20" s="1"/>
  <c r="O118" i="8"/>
  <c r="C304" i="20" s="1"/>
  <c r="N118" i="8"/>
  <c r="B304" i="20" s="1"/>
  <c r="D118" i="8"/>
  <c r="B118" i="8"/>
  <c r="B116" i="8"/>
  <c r="B1136" i="15" s="1"/>
  <c r="AC115" i="8"/>
  <c r="AB115" i="8"/>
  <c r="AA115" i="8"/>
  <c r="Z115" i="8"/>
  <c r="N303" i="20" s="1"/>
  <c r="Y115" i="8"/>
  <c r="M303" i="20" s="1"/>
  <c r="X115" i="8"/>
  <c r="L303" i="20" s="1"/>
  <c r="W115" i="8"/>
  <c r="K303" i="20" s="1"/>
  <c r="V115" i="8"/>
  <c r="J303" i="20" s="1"/>
  <c r="U115" i="8"/>
  <c r="I303" i="20" s="1"/>
  <c r="S115" i="8"/>
  <c r="G303" i="20" s="1"/>
  <c r="R115" i="8"/>
  <c r="F303" i="20" s="1"/>
  <c r="Q115" i="8"/>
  <c r="E303" i="20" s="1"/>
  <c r="P115" i="8"/>
  <c r="D303" i="20" s="1"/>
  <c r="O115" i="8"/>
  <c r="C303" i="20" s="1"/>
  <c r="N115" i="8"/>
  <c r="B303" i="20" s="1"/>
  <c r="D115" i="8"/>
  <c r="B115" i="8"/>
  <c r="B113" i="8"/>
  <c r="B1133" i="15" s="1"/>
  <c r="AC112" i="8"/>
  <c r="AB112" i="8"/>
  <c r="AA112" i="8"/>
  <c r="Z112" i="8"/>
  <c r="N302" i="20" s="1"/>
  <c r="Y112" i="8"/>
  <c r="M302" i="20" s="1"/>
  <c r="X112" i="8"/>
  <c r="L302" i="20" s="1"/>
  <c r="W112" i="8"/>
  <c r="K302" i="20" s="1"/>
  <c r="V112" i="8"/>
  <c r="J302" i="20" s="1"/>
  <c r="U112" i="8"/>
  <c r="I302" i="20" s="1"/>
  <c r="S112" i="8"/>
  <c r="G302" i="20" s="1"/>
  <c r="R112" i="8"/>
  <c r="F302" i="20" s="1"/>
  <c r="Q112" i="8"/>
  <c r="E302" i="20" s="1"/>
  <c r="P112" i="8"/>
  <c r="D302" i="20" s="1"/>
  <c r="O112" i="8"/>
  <c r="C302" i="20" s="1"/>
  <c r="N112" i="8"/>
  <c r="B302" i="20" s="1"/>
  <c r="M112" i="8"/>
  <c r="A302" i="20" s="1"/>
  <c r="D112" i="8"/>
  <c r="D1132" i="15" s="1"/>
  <c r="B112" i="8"/>
  <c r="B302" i="19" s="1"/>
  <c r="B110" i="8"/>
  <c r="B1130" i="15" s="1"/>
  <c r="B108" i="8"/>
  <c r="B1128" i="15" s="1"/>
  <c r="AC107" i="8"/>
  <c r="AB107" i="8"/>
  <c r="AA107" i="8"/>
  <c r="Z107" i="8"/>
  <c r="N301" i="20" s="1"/>
  <c r="Y107" i="8"/>
  <c r="M301" i="20" s="1"/>
  <c r="X107" i="8"/>
  <c r="L301" i="20" s="1"/>
  <c r="W107" i="8"/>
  <c r="K301" i="20" s="1"/>
  <c r="V107" i="8"/>
  <c r="J301" i="20" s="1"/>
  <c r="U107" i="8"/>
  <c r="I301" i="20" s="1"/>
  <c r="S107" i="8"/>
  <c r="G301" i="20" s="1"/>
  <c r="R107" i="8"/>
  <c r="F301" i="20" s="1"/>
  <c r="Q107" i="8"/>
  <c r="E301" i="20" s="1"/>
  <c r="P107" i="8"/>
  <c r="D301" i="20" s="1"/>
  <c r="O107" i="8"/>
  <c r="C301" i="20" s="1"/>
  <c r="N107" i="8"/>
  <c r="B301" i="20" s="1"/>
  <c r="D107" i="8"/>
  <c r="B107" i="8"/>
  <c r="B105" i="8"/>
  <c r="B1125" i="15" s="1"/>
  <c r="AC104" i="8"/>
  <c r="AB104" i="8"/>
  <c r="AA104" i="8"/>
  <c r="Z104" i="8"/>
  <c r="N300" i="20" s="1"/>
  <c r="Y104" i="8"/>
  <c r="M300" i="20" s="1"/>
  <c r="X104" i="8"/>
  <c r="L300" i="20" s="1"/>
  <c r="W104" i="8"/>
  <c r="K300" i="20" s="1"/>
  <c r="V104" i="8"/>
  <c r="J300" i="20" s="1"/>
  <c r="U104" i="8"/>
  <c r="I300" i="20" s="1"/>
  <c r="S104" i="8"/>
  <c r="G300" i="20" s="1"/>
  <c r="R104" i="8"/>
  <c r="F300" i="20" s="1"/>
  <c r="Q104" i="8"/>
  <c r="E300" i="20" s="1"/>
  <c r="P104" i="8"/>
  <c r="D300" i="20" s="1"/>
  <c r="O104" i="8"/>
  <c r="C300" i="20" s="1"/>
  <c r="N104" i="8"/>
  <c r="B300" i="20" s="1"/>
  <c r="D104" i="8"/>
  <c r="B104" i="8"/>
  <c r="B102" i="8"/>
  <c r="B1122" i="15" s="1"/>
  <c r="AC101" i="8"/>
  <c r="AB101" i="8"/>
  <c r="AA101" i="8"/>
  <c r="Z101" i="8"/>
  <c r="N299" i="20" s="1"/>
  <c r="Y101" i="8"/>
  <c r="M299" i="20" s="1"/>
  <c r="X101" i="8"/>
  <c r="L299" i="20" s="1"/>
  <c r="W101" i="8"/>
  <c r="K299" i="20" s="1"/>
  <c r="V101" i="8"/>
  <c r="J299" i="20" s="1"/>
  <c r="U101" i="8"/>
  <c r="I299" i="20" s="1"/>
  <c r="S101" i="8"/>
  <c r="G299" i="20" s="1"/>
  <c r="R101" i="8"/>
  <c r="F299" i="20" s="1"/>
  <c r="Q101" i="8"/>
  <c r="E299" i="20" s="1"/>
  <c r="P101" i="8"/>
  <c r="D299" i="20" s="1"/>
  <c r="O101" i="8"/>
  <c r="C299" i="20" s="1"/>
  <c r="N101" i="8"/>
  <c r="B299" i="20" s="1"/>
  <c r="M101" i="8"/>
  <c r="A299" i="20" s="1"/>
  <c r="D101" i="8"/>
  <c r="D1121" i="15" s="1"/>
  <c r="B101" i="8"/>
  <c r="B299" i="19" s="1"/>
  <c r="B99" i="8"/>
  <c r="B1119" i="15" s="1"/>
  <c r="AC98" i="8"/>
  <c r="AB98" i="8"/>
  <c r="AA98" i="8"/>
  <c r="Z98" i="8"/>
  <c r="N298" i="20" s="1"/>
  <c r="Y98" i="8"/>
  <c r="M298" i="20" s="1"/>
  <c r="X98" i="8"/>
  <c r="L298" i="20" s="1"/>
  <c r="W98" i="8"/>
  <c r="K298" i="20" s="1"/>
  <c r="V98" i="8"/>
  <c r="J298" i="20" s="1"/>
  <c r="U98" i="8"/>
  <c r="I298" i="20" s="1"/>
  <c r="S98" i="8"/>
  <c r="G298" i="20" s="1"/>
  <c r="R98" i="8"/>
  <c r="F298" i="20" s="1"/>
  <c r="Q98" i="8"/>
  <c r="E298" i="20" s="1"/>
  <c r="P98" i="8"/>
  <c r="D298" i="20" s="1"/>
  <c r="O98" i="8"/>
  <c r="C298" i="20" s="1"/>
  <c r="N98" i="8"/>
  <c r="B298" i="20" s="1"/>
  <c r="D98" i="8"/>
  <c r="D1118" i="15" s="1"/>
  <c r="B98" i="8"/>
  <c r="B96" i="8"/>
  <c r="B1116" i="15" s="1"/>
  <c r="AC95" i="8"/>
  <c r="AB95" i="8"/>
  <c r="AA95" i="8"/>
  <c r="Z95" i="8"/>
  <c r="N297" i="20" s="1"/>
  <c r="Y95" i="8"/>
  <c r="M297" i="20" s="1"/>
  <c r="X95" i="8"/>
  <c r="L297" i="20" s="1"/>
  <c r="W95" i="8"/>
  <c r="K297" i="20" s="1"/>
  <c r="V95" i="8"/>
  <c r="J297" i="20" s="1"/>
  <c r="U95" i="8"/>
  <c r="I297" i="20" s="1"/>
  <c r="S95" i="8"/>
  <c r="G297" i="20" s="1"/>
  <c r="R95" i="8"/>
  <c r="F297" i="20" s="1"/>
  <c r="Q95" i="8"/>
  <c r="E297" i="20" s="1"/>
  <c r="P95" i="8"/>
  <c r="D297" i="20" s="1"/>
  <c r="O95" i="8"/>
  <c r="C297" i="20" s="1"/>
  <c r="N95" i="8"/>
  <c r="B297" i="20" s="1"/>
  <c r="D95" i="8"/>
  <c r="D1115" i="15" s="1"/>
  <c r="B95" i="8"/>
  <c r="B93" i="8"/>
  <c r="B1113" i="15" s="1"/>
  <c r="B91" i="8"/>
  <c r="AC90" i="8"/>
  <c r="AB90" i="8"/>
  <c r="AA90" i="8"/>
  <c r="Z90" i="8"/>
  <c r="N296" i="20" s="1"/>
  <c r="Y90" i="8"/>
  <c r="M296" i="20" s="1"/>
  <c r="X90" i="8"/>
  <c r="L296" i="20" s="1"/>
  <c r="W90" i="8"/>
  <c r="K296" i="20" s="1"/>
  <c r="V90" i="8"/>
  <c r="J296" i="20" s="1"/>
  <c r="U90" i="8"/>
  <c r="I296" i="20" s="1"/>
  <c r="S90" i="8"/>
  <c r="G296" i="20" s="1"/>
  <c r="R90" i="8"/>
  <c r="F296" i="20" s="1"/>
  <c r="Q90" i="8"/>
  <c r="E296" i="20" s="1"/>
  <c r="P90" i="8"/>
  <c r="D296" i="20" s="1"/>
  <c r="O90" i="8"/>
  <c r="C296" i="20" s="1"/>
  <c r="N90" i="8"/>
  <c r="B296" i="20" s="1"/>
  <c r="M90" i="8"/>
  <c r="A296" i="20" s="1"/>
  <c r="D90" i="8"/>
  <c r="D1110" i="15" s="1"/>
  <c r="B90" i="8"/>
  <c r="B88" i="8"/>
  <c r="B1108" i="15" s="1"/>
  <c r="AC87" i="8"/>
  <c r="AB87" i="8"/>
  <c r="AA87" i="8"/>
  <c r="Z87" i="8"/>
  <c r="N295" i="20" s="1"/>
  <c r="Y87" i="8"/>
  <c r="M295" i="20" s="1"/>
  <c r="X87" i="8"/>
  <c r="L295" i="20" s="1"/>
  <c r="W87" i="8"/>
  <c r="K295" i="20" s="1"/>
  <c r="V87" i="8"/>
  <c r="J295" i="20" s="1"/>
  <c r="U87" i="8"/>
  <c r="I295" i="20" s="1"/>
  <c r="S87" i="8"/>
  <c r="G295" i="20" s="1"/>
  <c r="R87" i="8"/>
  <c r="F295" i="20" s="1"/>
  <c r="Q87" i="8"/>
  <c r="E295" i="20" s="1"/>
  <c r="P87" i="8"/>
  <c r="D295" i="20" s="1"/>
  <c r="O87" i="8"/>
  <c r="C295" i="20" s="1"/>
  <c r="N87" i="8"/>
  <c r="B295" i="20" s="1"/>
  <c r="D87" i="8"/>
  <c r="T87" i="8" s="1"/>
  <c r="H295" i="20" s="1"/>
  <c r="B87" i="8"/>
  <c r="B85" i="8"/>
  <c r="B1105" i="15" s="1"/>
  <c r="AC84" i="8"/>
  <c r="AB84" i="8"/>
  <c r="AA84" i="8"/>
  <c r="Z84" i="8"/>
  <c r="N294" i="20" s="1"/>
  <c r="Y84" i="8"/>
  <c r="M294" i="20" s="1"/>
  <c r="X84" i="8"/>
  <c r="L294" i="20" s="1"/>
  <c r="W84" i="8"/>
  <c r="K294" i="20" s="1"/>
  <c r="V84" i="8"/>
  <c r="J294" i="20" s="1"/>
  <c r="U84" i="8"/>
  <c r="I294" i="20" s="1"/>
  <c r="S84" i="8"/>
  <c r="G294" i="20" s="1"/>
  <c r="R84" i="8"/>
  <c r="F294" i="20" s="1"/>
  <c r="Q84" i="8"/>
  <c r="E294" i="20" s="1"/>
  <c r="P84" i="8"/>
  <c r="D294" i="20" s="1"/>
  <c r="O84" i="8"/>
  <c r="C294" i="20" s="1"/>
  <c r="N84" i="8"/>
  <c r="B294" i="20" s="1"/>
  <c r="D84" i="8"/>
  <c r="T84" i="8" s="1"/>
  <c r="H294" i="20" s="1"/>
  <c r="B84" i="8"/>
  <c r="B82" i="8"/>
  <c r="B1102" i="15" s="1"/>
  <c r="AC81" i="8"/>
  <c r="AB81" i="8"/>
  <c r="AA81" i="8"/>
  <c r="Z81" i="8"/>
  <c r="N293" i="20" s="1"/>
  <c r="Y81" i="8"/>
  <c r="M293" i="20" s="1"/>
  <c r="X81" i="8"/>
  <c r="L293" i="20" s="1"/>
  <c r="W81" i="8"/>
  <c r="K293" i="20" s="1"/>
  <c r="V81" i="8"/>
  <c r="J293" i="20" s="1"/>
  <c r="U81" i="8"/>
  <c r="I293" i="20" s="1"/>
  <c r="S81" i="8"/>
  <c r="G293" i="20" s="1"/>
  <c r="R81" i="8"/>
  <c r="F293" i="20" s="1"/>
  <c r="Q81" i="8"/>
  <c r="E293" i="20" s="1"/>
  <c r="P81" i="8"/>
  <c r="D293" i="20" s="1"/>
  <c r="O81" i="8"/>
  <c r="C293" i="20" s="1"/>
  <c r="N81" i="8"/>
  <c r="B293" i="20" s="1"/>
  <c r="M81" i="8"/>
  <c r="A293" i="20" s="1"/>
  <c r="D81" i="8"/>
  <c r="D1101" i="15" s="1"/>
  <c r="B81" i="8"/>
  <c r="B79" i="8"/>
  <c r="B1099" i="15" s="1"/>
  <c r="AC78" i="8"/>
  <c r="AB78" i="8"/>
  <c r="AA78" i="8"/>
  <c r="Z78" i="8"/>
  <c r="N292" i="20" s="1"/>
  <c r="Y78" i="8"/>
  <c r="M292" i="20" s="1"/>
  <c r="X78" i="8"/>
  <c r="L292" i="20" s="1"/>
  <c r="W78" i="8"/>
  <c r="K292" i="20" s="1"/>
  <c r="V78" i="8"/>
  <c r="J292" i="20" s="1"/>
  <c r="U78" i="8"/>
  <c r="I292" i="20" s="1"/>
  <c r="S78" i="8"/>
  <c r="G292" i="20" s="1"/>
  <c r="R78" i="8"/>
  <c r="F292" i="20" s="1"/>
  <c r="Q78" i="8"/>
  <c r="E292" i="20" s="1"/>
  <c r="P78" i="8"/>
  <c r="D292" i="20" s="1"/>
  <c r="O78" i="8"/>
  <c r="C292" i="20" s="1"/>
  <c r="N78" i="8"/>
  <c r="B292" i="20" s="1"/>
  <c r="M78" i="8"/>
  <c r="A292" i="20" s="1"/>
  <c r="D78" i="8"/>
  <c r="D1098" i="15" s="1"/>
  <c r="B78" i="8"/>
  <c r="B76" i="8"/>
  <c r="B1096" i="15" s="1"/>
  <c r="B74" i="8"/>
  <c r="B1094" i="15" s="1"/>
  <c r="AC73" i="8"/>
  <c r="AB73" i="8"/>
  <c r="AA73" i="8"/>
  <c r="Z73" i="8"/>
  <c r="N291" i="20" s="1"/>
  <c r="Y73" i="8"/>
  <c r="M291" i="20" s="1"/>
  <c r="X73" i="8"/>
  <c r="L291" i="20" s="1"/>
  <c r="W73" i="8"/>
  <c r="K291" i="20" s="1"/>
  <c r="V73" i="8"/>
  <c r="J291" i="20" s="1"/>
  <c r="U73" i="8"/>
  <c r="I291" i="20" s="1"/>
  <c r="S73" i="8"/>
  <c r="G291" i="20" s="1"/>
  <c r="R73" i="8"/>
  <c r="F291" i="20" s="1"/>
  <c r="Q73" i="8"/>
  <c r="E291" i="20" s="1"/>
  <c r="P73" i="8"/>
  <c r="D291" i="20" s="1"/>
  <c r="O73" i="8"/>
  <c r="C291" i="20" s="1"/>
  <c r="N73" i="8"/>
  <c r="B291" i="20" s="1"/>
  <c r="D73" i="8"/>
  <c r="T73" i="8" s="1"/>
  <c r="H291" i="20" s="1"/>
  <c r="B73" i="8"/>
  <c r="B71" i="8"/>
  <c r="B1091" i="15" s="1"/>
  <c r="AC70" i="8"/>
  <c r="AB70" i="8"/>
  <c r="AA70" i="8"/>
  <c r="Z70" i="8"/>
  <c r="N290" i="20" s="1"/>
  <c r="Y70" i="8"/>
  <c r="M290" i="20" s="1"/>
  <c r="X70" i="8"/>
  <c r="L290" i="20" s="1"/>
  <c r="W70" i="8"/>
  <c r="K290" i="20" s="1"/>
  <c r="V70" i="8"/>
  <c r="J290" i="20" s="1"/>
  <c r="U70" i="8"/>
  <c r="I290" i="20" s="1"/>
  <c r="S70" i="8"/>
  <c r="G290" i="20" s="1"/>
  <c r="R70" i="8"/>
  <c r="F290" i="20" s="1"/>
  <c r="Q70" i="8"/>
  <c r="E290" i="20" s="1"/>
  <c r="P70" i="8"/>
  <c r="D290" i="20" s="1"/>
  <c r="O70" i="8"/>
  <c r="C290" i="20" s="1"/>
  <c r="N70" i="8"/>
  <c r="B290" i="20" s="1"/>
  <c r="M70" i="8"/>
  <c r="A290" i="20" s="1"/>
  <c r="D70" i="8"/>
  <c r="D1090" i="15" s="1"/>
  <c r="B70" i="8"/>
  <c r="B68" i="8"/>
  <c r="B1088" i="15" s="1"/>
  <c r="AC67" i="8"/>
  <c r="AB67" i="8"/>
  <c r="AA67" i="8"/>
  <c r="Z67" i="8"/>
  <c r="N289" i="20" s="1"/>
  <c r="Y67" i="8"/>
  <c r="M289" i="20" s="1"/>
  <c r="X67" i="8"/>
  <c r="L289" i="20" s="1"/>
  <c r="W67" i="8"/>
  <c r="K289" i="20" s="1"/>
  <c r="V67" i="8"/>
  <c r="J289" i="20" s="1"/>
  <c r="U67" i="8"/>
  <c r="I289" i="20" s="1"/>
  <c r="S67" i="8"/>
  <c r="G289" i="20" s="1"/>
  <c r="R67" i="8"/>
  <c r="F289" i="20" s="1"/>
  <c r="Q67" i="8"/>
  <c r="E289" i="20" s="1"/>
  <c r="P67" i="8"/>
  <c r="D289" i="20" s="1"/>
  <c r="O67" i="8"/>
  <c r="C289" i="20" s="1"/>
  <c r="N67" i="8"/>
  <c r="B289" i="20" s="1"/>
  <c r="M67" i="8"/>
  <c r="A289" i="20" s="1"/>
  <c r="D67" i="8"/>
  <c r="D1087" i="15" s="1"/>
  <c r="B67" i="8"/>
  <c r="B65" i="8"/>
  <c r="B1085" i="15" s="1"/>
  <c r="AC64" i="8"/>
  <c r="AB64" i="8"/>
  <c r="AA64" i="8"/>
  <c r="Z64" i="8"/>
  <c r="N288" i="20" s="1"/>
  <c r="Y64" i="8"/>
  <c r="M288" i="20" s="1"/>
  <c r="X64" i="8"/>
  <c r="L288" i="20" s="1"/>
  <c r="W64" i="8"/>
  <c r="K288" i="20" s="1"/>
  <c r="V64" i="8"/>
  <c r="J288" i="20" s="1"/>
  <c r="U64" i="8"/>
  <c r="I288" i="20" s="1"/>
  <c r="S64" i="8"/>
  <c r="G288" i="20" s="1"/>
  <c r="R64" i="8"/>
  <c r="F288" i="20" s="1"/>
  <c r="Q64" i="8"/>
  <c r="E288" i="20" s="1"/>
  <c r="P64" i="8"/>
  <c r="D288" i="20" s="1"/>
  <c r="O64" i="8"/>
  <c r="C288" i="20" s="1"/>
  <c r="N64" i="8"/>
  <c r="B288" i="20" s="1"/>
  <c r="M64" i="8"/>
  <c r="A288" i="20" s="1"/>
  <c r="D64" i="8"/>
  <c r="D1084" i="15" s="1"/>
  <c r="B64" i="8"/>
  <c r="B288" i="19" s="1"/>
  <c r="B62" i="8"/>
  <c r="B1082" i="15" s="1"/>
  <c r="AC61" i="8"/>
  <c r="AB61" i="8"/>
  <c r="AA61" i="8"/>
  <c r="Z61" i="8"/>
  <c r="N287" i="20" s="1"/>
  <c r="Y61" i="8"/>
  <c r="M287" i="20" s="1"/>
  <c r="X61" i="8"/>
  <c r="L287" i="20" s="1"/>
  <c r="W61" i="8"/>
  <c r="K287" i="20" s="1"/>
  <c r="V61" i="8"/>
  <c r="J287" i="20" s="1"/>
  <c r="U61" i="8"/>
  <c r="I287" i="20" s="1"/>
  <c r="S61" i="8"/>
  <c r="G287" i="20" s="1"/>
  <c r="R61" i="8"/>
  <c r="F287" i="20" s="1"/>
  <c r="Q61" i="8"/>
  <c r="E287" i="20" s="1"/>
  <c r="P61" i="8"/>
  <c r="D287" i="20" s="1"/>
  <c r="O61" i="8"/>
  <c r="C287" i="20" s="1"/>
  <c r="N61" i="8"/>
  <c r="B287" i="20" s="1"/>
  <c r="D61" i="8"/>
  <c r="B61" i="8"/>
  <c r="B59" i="8"/>
  <c r="B1079" i="15" s="1"/>
  <c r="B57" i="8"/>
  <c r="B1077" i="15" s="1"/>
  <c r="AC56" i="8"/>
  <c r="AB56" i="8"/>
  <c r="AA56" i="8"/>
  <c r="Z56" i="8"/>
  <c r="N286" i="20" s="1"/>
  <c r="Y56" i="8"/>
  <c r="M286" i="20" s="1"/>
  <c r="X56" i="8"/>
  <c r="L286" i="20" s="1"/>
  <c r="W56" i="8"/>
  <c r="K286" i="20" s="1"/>
  <c r="V56" i="8"/>
  <c r="J286" i="20" s="1"/>
  <c r="U56" i="8"/>
  <c r="I286" i="20" s="1"/>
  <c r="S56" i="8"/>
  <c r="G286" i="20" s="1"/>
  <c r="R56" i="8"/>
  <c r="F286" i="20" s="1"/>
  <c r="Q56" i="8"/>
  <c r="E286" i="20" s="1"/>
  <c r="P56" i="8"/>
  <c r="D286" i="20" s="1"/>
  <c r="O56" i="8"/>
  <c r="C286" i="20" s="1"/>
  <c r="N56" i="8"/>
  <c r="B286" i="20" s="1"/>
  <c r="M56" i="8"/>
  <c r="A286" i="20" s="1"/>
  <c r="D56" i="8"/>
  <c r="D1076" i="15" s="1"/>
  <c r="B56" i="8"/>
  <c r="B286" i="19" s="1"/>
  <c r="B54" i="8"/>
  <c r="B1074" i="15" s="1"/>
  <c r="AC53" i="8"/>
  <c r="AB53" i="8"/>
  <c r="AA53" i="8"/>
  <c r="Z53" i="8"/>
  <c r="N285" i="20" s="1"/>
  <c r="Y53" i="8"/>
  <c r="M285" i="20" s="1"/>
  <c r="X53" i="8"/>
  <c r="L285" i="20" s="1"/>
  <c r="W53" i="8"/>
  <c r="K285" i="20" s="1"/>
  <c r="V53" i="8"/>
  <c r="J285" i="20" s="1"/>
  <c r="U53" i="8"/>
  <c r="I285" i="20" s="1"/>
  <c r="S53" i="8"/>
  <c r="G285" i="20" s="1"/>
  <c r="R53" i="8"/>
  <c r="F285" i="20" s="1"/>
  <c r="Q53" i="8"/>
  <c r="E285" i="20" s="1"/>
  <c r="P53" i="8"/>
  <c r="D285" i="20" s="1"/>
  <c r="O53" i="8"/>
  <c r="C285" i="20" s="1"/>
  <c r="N53" i="8"/>
  <c r="B285" i="20" s="1"/>
  <c r="M53" i="8"/>
  <c r="A285" i="20" s="1"/>
  <c r="D53" i="8"/>
  <c r="D1073" i="15" s="1"/>
  <c r="B53" i="8"/>
  <c r="B1073" i="15" s="1"/>
  <c r="B51" i="8"/>
  <c r="B1071" i="15" s="1"/>
  <c r="AC50" i="8"/>
  <c r="AB50" i="8"/>
  <c r="AA50" i="8"/>
  <c r="Z50" i="8"/>
  <c r="N284" i="20" s="1"/>
  <c r="Y50" i="8"/>
  <c r="M284" i="20" s="1"/>
  <c r="X50" i="8"/>
  <c r="L284" i="20" s="1"/>
  <c r="W50" i="8"/>
  <c r="K284" i="20" s="1"/>
  <c r="V50" i="8"/>
  <c r="J284" i="20" s="1"/>
  <c r="U50" i="8"/>
  <c r="I284" i="20" s="1"/>
  <c r="T50" i="8"/>
  <c r="H284" i="20" s="1"/>
  <c r="S50" i="8"/>
  <c r="G284" i="20" s="1"/>
  <c r="R50" i="8"/>
  <c r="F284" i="20" s="1"/>
  <c r="Q50" i="8"/>
  <c r="E284" i="20" s="1"/>
  <c r="P50" i="8"/>
  <c r="D284" i="20" s="1"/>
  <c r="O50" i="8"/>
  <c r="C284" i="20" s="1"/>
  <c r="N50" i="8"/>
  <c r="B284" i="20" s="1"/>
  <c r="D50" i="8"/>
  <c r="D1070" i="15" s="1"/>
  <c r="B50" i="8"/>
  <c r="B48" i="8"/>
  <c r="B1068" i="15" s="1"/>
  <c r="AC47" i="8"/>
  <c r="AB47" i="8"/>
  <c r="AA47" i="8"/>
  <c r="Z47" i="8"/>
  <c r="N283" i="20" s="1"/>
  <c r="Y47" i="8"/>
  <c r="M283" i="20" s="1"/>
  <c r="X47" i="8"/>
  <c r="L283" i="20" s="1"/>
  <c r="W47" i="8"/>
  <c r="K283" i="20" s="1"/>
  <c r="V47" i="8"/>
  <c r="J283" i="20" s="1"/>
  <c r="U47" i="8"/>
  <c r="I283" i="20" s="1"/>
  <c r="S47" i="8"/>
  <c r="G283" i="20" s="1"/>
  <c r="R47" i="8"/>
  <c r="F283" i="20" s="1"/>
  <c r="Q47" i="8"/>
  <c r="E283" i="20" s="1"/>
  <c r="P47" i="8"/>
  <c r="D283" i="20" s="1"/>
  <c r="O47" i="8"/>
  <c r="C283" i="20" s="1"/>
  <c r="N47" i="8"/>
  <c r="B283" i="20" s="1"/>
  <c r="D47" i="8"/>
  <c r="D1067" i="15" s="1"/>
  <c r="B47" i="8"/>
  <c r="B45" i="8"/>
  <c r="B1065" i="15" s="1"/>
  <c r="AC44" i="8"/>
  <c r="AB44" i="8"/>
  <c r="AA44" i="8"/>
  <c r="Z44" i="8"/>
  <c r="N282" i="20" s="1"/>
  <c r="Y44" i="8"/>
  <c r="M282" i="20" s="1"/>
  <c r="X44" i="8"/>
  <c r="L282" i="20" s="1"/>
  <c r="W44" i="8"/>
  <c r="K282" i="20" s="1"/>
  <c r="V44" i="8"/>
  <c r="J282" i="20" s="1"/>
  <c r="U44" i="8"/>
  <c r="I282" i="20" s="1"/>
  <c r="S44" i="8"/>
  <c r="G282" i="20" s="1"/>
  <c r="R44" i="8"/>
  <c r="F282" i="20" s="1"/>
  <c r="Q44" i="8"/>
  <c r="E282" i="20" s="1"/>
  <c r="P44" i="8"/>
  <c r="D282" i="20" s="1"/>
  <c r="O44" i="8"/>
  <c r="C282" i="20" s="1"/>
  <c r="N44" i="8"/>
  <c r="B282" i="20" s="1"/>
  <c r="M44" i="8"/>
  <c r="A282" i="20" s="1"/>
  <c r="D44" i="8"/>
  <c r="D1064" i="15" s="1"/>
  <c r="B44" i="8"/>
  <c r="B42" i="8"/>
  <c r="B1062" i="15" s="1"/>
  <c r="B40" i="8"/>
  <c r="B1060" i="15" s="1"/>
  <c r="AC39" i="8"/>
  <c r="AB39" i="8"/>
  <c r="AA39" i="8"/>
  <c r="Z39" i="8"/>
  <c r="N281" i="20" s="1"/>
  <c r="Y39" i="8"/>
  <c r="M281" i="20" s="1"/>
  <c r="X39" i="8"/>
  <c r="L281" i="20" s="1"/>
  <c r="W39" i="8"/>
  <c r="K281" i="20" s="1"/>
  <c r="V39" i="8"/>
  <c r="J281" i="20" s="1"/>
  <c r="U39" i="8"/>
  <c r="I281" i="20" s="1"/>
  <c r="S39" i="8"/>
  <c r="G281" i="20" s="1"/>
  <c r="R39" i="8"/>
  <c r="F281" i="20" s="1"/>
  <c r="Q39" i="8"/>
  <c r="E281" i="20" s="1"/>
  <c r="P39" i="8"/>
  <c r="D281" i="20" s="1"/>
  <c r="O39" i="8"/>
  <c r="C281" i="20" s="1"/>
  <c r="N39" i="8"/>
  <c r="B281" i="20" s="1"/>
  <c r="D39" i="8"/>
  <c r="D1059" i="15" s="1"/>
  <c r="B39" i="8"/>
  <c r="B37" i="8"/>
  <c r="B1057" i="15" s="1"/>
  <c r="AC36" i="8"/>
  <c r="AB36" i="8"/>
  <c r="AA36" i="8"/>
  <c r="Z36" i="8"/>
  <c r="N280" i="20" s="1"/>
  <c r="Y36" i="8"/>
  <c r="M280" i="20" s="1"/>
  <c r="X36" i="8"/>
  <c r="L280" i="20" s="1"/>
  <c r="W36" i="8"/>
  <c r="K280" i="20" s="1"/>
  <c r="V36" i="8"/>
  <c r="J280" i="20" s="1"/>
  <c r="U36" i="8"/>
  <c r="I280" i="20" s="1"/>
  <c r="T36" i="8"/>
  <c r="H280" i="20" s="1"/>
  <c r="S36" i="8"/>
  <c r="G280" i="20" s="1"/>
  <c r="R36" i="8"/>
  <c r="F280" i="20" s="1"/>
  <c r="Q36" i="8"/>
  <c r="E280" i="20" s="1"/>
  <c r="P36" i="8"/>
  <c r="D280" i="20" s="1"/>
  <c r="O36" i="8"/>
  <c r="C280" i="20" s="1"/>
  <c r="N36" i="8"/>
  <c r="B280" i="20" s="1"/>
  <c r="D36" i="8"/>
  <c r="D1056" i="15" s="1"/>
  <c r="B36" i="8"/>
  <c r="B34" i="8"/>
  <c r="B1054" i="15" s="1"/>
  <c r="AC33" i="8"/>
  <c r="AB33" i="8"/>
  <c r="AA33" i="8"/>
  <c r="Z33" i="8"/>
  <c r="N279" i="20" s="1"/>
  <c r="Y33" i="8"/>
  <c r="M279" i="20" s="1"/>
  <c r="X33" i="8"/>
  <c r="L279" i="20" s="1"/>
  <c r="W33" i="8"/>
  <c r="K279" i="20" s="1"/>
  <c r="V33" i="8"/>
  <c r="J279" i="20" s="1"/>
  <c r="U33" i="8"/>
  <c r="I279" i="20" s="1"/>
  <c r="S33" i="8"/>
  <c r="G279" i="20" s="1"/>
  <c r="R33" i="8"/>
  <c r="F279" i="20" s="1"/>
  <c r="Q33" i="8"/>
  <c r="E279" i="20" s="1"/>
  <c r="P33" i="8"/>
  <c r="D279" i="20" s="1"/>
  <c r="O33" i="8"/>
  <c r="C279" i="20" s="1"/>
  <c r="N33" i="8"/>
  <c r="B279" i="20" s="1"/>
  <c r="M33" i="8"/>
  <c r="A279" i="20" s="1"/>
  <c r="D33" i="8"/>
  <c r="D1053" i="15" s="1"/>
  <c r="B33" i="8"/>
  <c r="B31" i="8"/>
  <c r="B1051" i="15" s="1"/>
  <c r="AC30" i="8"/>
  <c r="AB30" i="8"/>
  <c r="AA30" i="8"/>
  <c r="Z30" i="8"/>
  <c r="N278" i="20" s="1"/>
  <c r="Y30" i="8"/>
  <c r="M278" i="20" s="1"/>
  <c r="X30" i="8"/>
  <c r="L278" i="20" s="1"/>
  <c r="W30" i="8"/>
  <c r="K278" i="20" s="1"/>
  <c r="V30" i="8"/>
  <c r="J278" i="20" s="1"/>
  <c r="U30" i="8"/>
  <c r="I278" i="20" s="1"/>
  <c r="S30" i="8"/>
  <c r="G278" i="20" s="1"/>
  <c r="R30" i="8"/>
  <c r="F278" i="20" s="1"/>
  <c r="Q30" i="8"/>
  <c r="E278" i="20" s="1"/>
  <c r="P30" i="8"/>
  <c r="D278" i="20" s="1"/>
  <c r="O30" i="8"/>
  <c r="C278" i="20" s="1"/>
  <c r="N30" i="8"/>
  <c r="B278" i="20" s="1"/>
  <c r="M30" i="8"/>
  <c r="A278" i="20" s="1"/>
  <c r="D30" i="8"/>
  <c r="D1050" i="15" s="1"/>
  <c r="B30" i="8"/>
  <c r="B28" i="8"/>
  <c r="B1048" i="15" s="1"/>
  <c r="AC27" i="8"/>
  <c r="AB27" i="8"/>
  <c r="AA27" i="8"/>
  <c r="Z27" i="8"/>
  <c r="N277" i="20" s="1"/>
  <c r="Y27" i="8"/>
  <c r="M277" i="20" s="1"/>
  <c r="X27" i="8"/>
  <c r="L277" i="20" s="1"/>
  <c r="W27" i="8"/>
  <c r="K277" i="20" s="1"/>
  <c r="V27" i="8"/>
  <c r="J277" i="20" s="1"/>
  <c r="U27" i="8"/>
  <c r="I277" i="20" s="1"/>
  <c r="S27" i="8"/>
  <c r="G277" i="20" s="1"/>
  <c r="R27" i="8"/>
  <c r="F277" i="20" s="1"/>
  <c r="Q27" i="8"/>
  <c r="E277" i="20" s="1"/>
  <c r="P27" i="8"/>
  <c r="D277" i="20" s="1"/>
  <c r="O27" i="8"/>
  <c r="C277" i="20" s="1"/>
  <c r="N27" i="8"/>
  <c r="B277" i="20" s="1"/>
  <c r="D27" i="8"/>
  <c r="D1047" i="15" s="1"/>
  <c r="B27" i="8"/>
  <c r="B25" i="8"/>
  <c r="B1045" i="15" s="1"/>
  <c r="B23" i="8"/>
  <c r="B1043" i="15" s="1"/>
  <c r="AC22" i="8"/>
  <c r="AB22" i="8"/>
  <c r="AA22" i="8"/>
  <c r="Z22" i="8"/>
  <c r="N276" i="20" s="1"/>
  <c r="Y22" i="8"/>
  <c r="M276" i="20" s="1"/>
  <c r="X22" i="8"/>
  <c r="L276" i="20" s="1"/>
  <c r="W22" i="8"/>
  <c r="K276" i="20" s="1"/>
  <c r="V22" i="8"/>
  <c r="J276" i="20" s="1"/>
  <c r="U22" i="8"/>
  <c r="I276" i="20" s="1"/>
  <c r="S22" i="8"/>
  <c r="G276" i="20" s="1"/>
  <c r="R22" i="8"/>
  <c r="F276" i="20" s="1"/>
  <c r="Q22" i="8"/>
  <c r="E276" i="20" s="1"/>
  <c r="P22" i="8"/>
  <c r="D276" i="20" s="1"/>
  <c r="O22" i="8"/>
  <c r="C276" i="20" s="1"/>
  <c r="N22" i="8"/>
  <c r="B276" i="20" s="1"/>
  <c r="M22" i="8"/>
  <c r="A276" i="20" s="1"/>
  <c r="D22" i="8"/>
  <c r="D1042" i="15" s="1"/>
  <c r="B22" i="8"/>
  <c r="B1042" i="15" s="1"/>
  <c r="B20" i="8"/>
  <c r="B1040" i="15" s="1"/>
  <c r="AC19" i="8"/>
  <c r="AB19" i="8"/>
  <c r="AA19" i="8"/>
  <c r="Z19" i="8"/>
  <c r="N275" i="20" s="1"/>
  <c r="Y19" i="8"/>
  <c r="M275" i="20" s="1"/>
  <c r="X19" i="8"/>
  <c r="L275" i="20" s="1"/>
  <c r="W19" i="8"/>
  <c r="K275" i="20" s="1"/>
  <c r="V19" i="8"/>
  <c r="J275" i="20" s="1"/>
  <c r="U19" i="8"/>
  <c r="I275" i="20" s="1"/>
  <c r="S19" i="8"/>
  <c r="G275" i="20" s="1"/>
  <c r="R19" i="8"/>
  <c r="F275" i="20" s="1"/>
  <c r="Q19" i="8"/>
  <c r="E275" i="20" s="1"/>
  <c r="P19" i="8"/>
  <c r="D275" i="20" s="1"/>
  <c r="O19" i="8"/>
  <c r="C275" i="20" s="1"/>
  <c r="N19" i="8"/>
  <c r="B275" i="20" s="1"/>
  <c r="M19" i="8"/>
  <c r="A275" i="20" s="1"/>
  <c r="D19" i="8"/>
  <c r="D1039" i="15" s="1"/>
  <c r="B19" i="8"/>
  <c r="B17" i="8"/>
  <c r="B1037" i="15" s="1"/>
  <c r="AC16" i="8"/>
  <c r="AB16" i="8"/>
  <c r="AA16" i="8"/>
  <c r="Z16" i="8"/>
  <c r="N274" i="20" s="1"/>
  <c r="Y16" i="8"/>
  <c r="M274" i="20" s="1"/>
  <c r="X16" i="8"/>
  <c r="L274" i="20" s="1"/>
  <c r="W16" i="8"/>
  <c r="K274" i="20" s="1"/>
  <c r="V16" i="8"/>
  <c r="J274" i="20" s="1"/>
  <c r="U16" i="8"/>
  <c r="I274" i="20" s="1"/>
  <c r="S16" i="8"/>
  <c r="G274" i="20" s="1"/>
  <c r="R16" i="8"/>
  <c r="F274" i="20" s="1"/>
  <c r="Q16" i="8"/>
  <c r="E274" i="20" s="1"/>
  <c r="P16" i="8"/>
  <c r="D274" i="20" s="1"/>
  <c r="O16" i="8"/>
  <c r="C274" i="20" s="1"/>
  <c r="N16" i="8"/>
  <c r="B274" i="20" s="1"/>
  <c r="D16" i="8"/>
  <c r="D1036" i="15" s="1"/>
  <c r="B16" i="8"/>
  <c r="A16" i="8"/>
  <c r="B14" i="8"/>
  <c r="B1034" i="15" s="1"/>
  <c r="AC13" i="8"/>
  <c r="AB13" i="8"/>
  <c r="AA13" i="8"/>
  <c r="Z13" i="8"/>
  <c r="N273" i="20" s="1"/>
  <c r="Y13" i="8"/>
  <c r="M273" i="20" s="1"/>
  <c r="X13" i="8"/>
  <c r="L273" i="20" s="1"/>
  <c r="W13" i="8"/>
  <c r="K273" i="20" s="1"/>
  <c r="V13" i="8"/>
  <c r="J273" i="20" s="1"/>
  <c r="U13" i="8"/>
  <c r="I273" i="20" s="1"/>
  <c r="S13" i="8"/>
  <c r="G273" i="20" s="1"/>
  <c r="R13" i="8"/>
  <c r="F273" i="20" s="1"/>
  <c r="Q13" i="8"/>
  <c r="E273" i="20" s="1"/>
  <c r="P13" i="8"/>
  <c r="D273" i="20" s="1"/>
  <c r="O13" i="8"/>
  <c r="C273" i="20" s="1"/>
  <c r="N13" i="8"/>
  <c r="B273" i="20" s="1"/>
  <c r="D13" i="8"/>
  <c r="D1033" i="15" s="1"/>
  <c r="B13" i="8"/>
  <c r="A13" i="8"/>
  <c r="A1033" i="15" s="1"/>
  <c r="B11" i="8"/>
  <c r="B1031" i="15" s="1"/>
  <c r="AC10" i="8"/>
  <c r="AB10" i="8"/>
  <c r="AA10" i="8"/>
  <c r="Z10" i="8"/>
  <c r="N272" i="20" s="1"/>
  <c r="Y10" i="8"/>
  <c r="M272" i="20" s="1"/>
  <c r="X10" i="8"/>
  <c r="L272" i="20" s="1"/>
  <c r="W10" i="8"/>
  <c r="K272" i="20" s="1"/>
  <c r="V10" i="8"/>
  <c r="J272" i="20" s="1"/>
  <c r="U10" i="8"/>
  <c r="I272" i="20" s="1"/>
  <c r="S10" i="8"/>
  <c r="G272" i="20" s="1"/>
  <c r="R10" i="8"/>
  <c r="F272" i="20" s="1"/>
  <c r="Q10" i="8"/>
  <c r="E272" i="20" s="1"/>
  <c r="P10" i="8"/>
  <c r="D272" i="20" s="1"/>
  <c r="O10" i="8"/>
  <c r="C272" i="20" s="1"/>
  <c r="N10" i="8"/>
  <c r="B272" i="20" s="1"/>
  <c r="M10" i="8"/>
  <c r="A272" i="20" s="1"/>
  <c r="D10" i="8"/>
  <c r="D1030" i="15" s="1"/>
  <c r="B10" i="8"/>
  <c r="B8" i="8"/>
  <c r="B1028" i="15" s="1"/>
  <c r="A3" i="8"/>
  <c r="A1" i="8"/>
  <c r="B159" i="7"/>
  <c r="B1009" i="15" s="1"/>
  <c r="AC158" i="7"/>
  <c r="AB158" i="7"/>
  <c r="AA158" i="7"/>
  <c r="Z158" i="7"/>
  <c r="N271" i="20" s="1"/>
  <c r="Y158" i="7"/>
  <c r="M271" i="20" s="1"/>
  <c r="X158" i="7"/>
  <c r="L271" i="20" s="1"/>
  <c r="W158" i="7"/>
  <c r="K271" i="20" s="1"/>
  <c r="V158" i="7"/>
  <c r="J271" i="20" s="1"/>
  <c r="U158" i="7"/>
  <c r="I271" i="20" s="1"/>
  <c r="T158" i="7"/>
  <c r="H271" i="20" s="1"/>
  <c r="S158" i="7"/>
  <c r="G271" i="20" s="1"/>
  <c r="R158" i="7"/>
  <c r="F271" i="20" s="1"/>
  <c r="Q158" i="7"/>
  <c r="E271" i="20" s="1"/>
  <c r="P158" i="7"/>
  <c r="D271" i="20" s="1"/>
  <c r="O158" i="7"/>
  <c r="C271" i="20" s="1"/>
  <c r="N158" i="7"/>
  <c r="B271" i="20" s="1"/>
  <c r="D158" i="7"/>
  <c r="D1008" i="15" s="1"/>
  <c r="B158" i="7"/>
  <c r="B156" i="7"/>
  <c r="B1006" i="15" s="1"/>
  <c r="AC155" i="7"/>
  <c r="AB155" i="7"/>
  <c r="AA155" i="7"/>
  <c r="Z155" i="7"/>
  <c r="N270" i="20" s="1"/>
  <c r="Y155" i="7"/>
  <c r="M270" i="20" s="1"/>
  <c r="X155" i="7"/>
  <c r="L270" i="20" s="1"/>
  <c r="W155" i="7"/>
  <c r="K270" i="20" s="1"/>
  <c r="V155" i="7"/>
  <c r="J270" i="20" s="1"/>
  <c r="U155" i="7"/>
  <c r="I270" i="20" s="1"/>
  <c r="S155" i="7"/>
  <c r="G270" i="20" s="1"/>
  <c r="R155" i="7"/>
  <c r="F270" i="20" s="1"/>
  <c r="Q155" i="7"/>
  <c r="E270" i="20" s="1"/>
  <c r="P155" i="7"/>
  <c r="D270" i="20" s="1"/>
  <c r="O155" i="7"/>
  <c r="C270" i="20" s="1"/>
  <c r="N155" i="7"/>
  <c r="B270" i="20" s="1"/>
  <c r="M155" i="7"/>
  <c r="A270" i="20" s="1"/>
  <c r="D155" i="7"/>
  <c r="D1005" i="15" s="1"/>
  <c r="B155" i="7"/>
  <c r="B153" i="7"/>
  <c r="B1003" i="15" s="1"/>
  <c r="AC152" i="7"/>
  <c r="AB152" i="7"/>
  <c r="AA152" i="7"/>
  <c r="Z152" i="7"/>
  <c r="N269" i="20" s="1"/>
  <c r="Y152" i="7"/>
  <c r="M269" i="20" s="1"/>
  <c r="X152" i="7"/>
  <c r="L269" i="20" s="1"/>
  <c r="W152" i="7"/>
  <c r="K269" i="20" s="1"/>
  <c r="V152" i="7"/>
  <c r="J269" i="20" s="1"/>
  <c r="U152" i="7"/>
  <c r="I269" i="20" s="1"/>
  <c r="S152" i="7"/>
  <c r="G269" i="20" s="1"/>
  <c r="R152" i="7"/>
  <c r="F269" i="20" s="1"/>
  <c r="Q152" i="7"/>
  <c r="E269" i="20" s="1"/>
  <c r="P152" i="7"/>
  <c r="D269" i="20" s="1"/>
  <c r="O152" i="7"/>
  <c r="C269" i="20" s="1"/>
  <c r="N152" i="7"/>
  <c r="B269" i="20" s="1"/>
  <c r="M152" i="7"/>
  <c r="A269" i="20" s="1"/>
  <c r="D152" i="7"/>
  <c r="D1002" i="15" s="1"/>
  <c r="B152" i="7"/>
  <c r="B150" i="7"/>
  <c r="B1000" i="15" s="1"/>
  <c r="AC149" i="7"/>
  <c r="AB149" i="7"/>
  <c r="AA149" i="7"/>
  <c r="Z149" i="7"/>
  <c r="N268" i="20" s="1"/>
  <c r="Y149" i="7"/>
  <c r="M268" i="20" s="1"/>
  <c r="X149" i="7"/>
  <c r="L268" i="20" s="1"/>
  <c r="W149" i="7"/>
  <c r="K268" i="20" s="1"/>
  <c r="V149" i="7"/>
  <c r="J268" i="20" s="1"/>
  <c r="U149" i="7"/>
  <c r="I268" i="20" s="1"/>
  <c r="S149" i="7"/>
  <c r="G268" i="20" s="1"/>
  <c r="R149" i="7"/>
  <c r="F268" i="20" s="1"/>
  <c r="Q149" i="7"/>
  <c r="E268" i="20" s="1"/>
  <c r="P149" i="7"/>
  <c r="D268" i="20" s="1"/>
  <c r="O149" i="7"/>
  <c r="C268" i="20" s="1"/>
  <c r="N149" i="7"/>
  <c r="B268" i="20" s="1"/>
  <c r="D149" i="7"/>
  <c r="T149" i="7" s="1"/>
  <c r="H268" i="20" s="1"/>
  <c r="B149" i="7"/>
  <c r="B147" i="7"/>
  <c r="B997" i="15" s="1"/>
  <c r="AC146" i="7"/>
  <c r="AB146" i="7"/>
  <c r="AA146" i="7"/>
  <c r="Z146" i="7"/>
  <c r="N267" i="20" s="1"/>
  <c r="Y146" i="7"/>
  <c r="M267" i="20" s="1"/>
  <c r="X146" i="7"/>
  <c r="L267" i="20" s="1"/>
  <c r="W146" i="7"/>
  <c r="K267" i="20" s="1"/>
  <c r="V146" i="7"/>
  <c r="J267" i="20" s="1"/>
  <c r="U146" i="7"/>
  <c r="I267" i="20" s="1"/>
  <c r="S146" i="7"/>
  <c r="G267" i="20" s="1"/>
  <c r="R146" i="7"/>
  <c r="F267" i="20" s="1"/>
  <c r="Q146" i="7"/>
  <c r="E267" i="20" s="1"/>
  <c r="P146" i="7"/>
  <c r="D267" i="20" s="1"/>
  <c r="O146" i="7"/>
  <c r="C267" i="20" s="1"/>
  <c r="N146" i="7"/>
  <c r="B267" i="20" s="1"/>
  <c r="D146" i="7"/>
  <c r="T146" i="7" s="1"/>
  <c r="H267" i="20" s="1"/>
  <c r="B146" i="7"/>
  <c r="B144" i="7"/>
  <c r="B994" i="15" s="1"/>
  <c r="B142" i="7"/>
  <c r="B992" i="15" s="1"/>
  <c r="AC141" i="7"/>
  <c r="AB141" i="7"/>
  <c r="AA141" i="7"/>
  <c r="Z141" i="7"/>
  <c r="N266" i="20" s="1"/>
  <c r="Y141" i="7"/>
  <c r="M266" i="20" s="1"/>
  <c r="X141" i="7"/>
  <c r="L266" i="20" s="1"/>
  <c r="W141" i="7"/>
  <c r="K266" i="20" s="1"/>
  <c r="V141" i="7"/>
  <c r="J266" i="20" s="1"/>
  <c r="U141" i="7"/>
  <c r="I266" i="20" s="1"/>
  <c r="S141" i="7"/>
  <c r="G266" i="20" s="1"/>
  <c r="R141" i="7"/>
  <c r="F266" i="20" s="1"/>
  <c r="Q141" i="7"/>
  <c r="E266" i="20" s="1"/>
  <c r="P141" i="7"/>
  <c r="D266" i="20" s="1"/>
  <c r="O141" i="7"/>
  <c r="C266" i="20" s="1"/>
  <c r="N141" i="7"/>
  <c r="B266" i="20" s="1"/>
  <c r="D141" i="7"/>
  <c r="D991" i="15" s="1"/>
  <c r="B141" i="7"/>
  <c r="B139" i="7"/>
  <c r="B989" i="15" s="1"/>
  <c r="AC138" i="7"/>
  <c r="AB138" i="7"/>
  <c r="AA138" i="7"/>
  <c r="Z138" i="7"/>
  <c r="N265" i="20" s="1"/>
  <c r="Y138" i="7"/>
  <c r="M265" i="20" s="1"/>
  <c r="X138" i="7"/>
  <c r="L265" i="20" s="1"/>
  <c r="W138" i="7"/>
  <c r="K265" i="20" s="1"/>
  <c r="V138" i="7"/>
  <c r="J265" i="20" s="1"/>
  <c r="U138" i="7"/>
  <c r="I265" i="20" s="1"/>
  <c r="S138" i="7"/>
  <c r="G265" i="20" s="1"/>
  <c r="R138" i="7"/>
  <c r="F265" i="20" s="1"/>
  <c r="Q138" i="7"/>
  <c r="E265" i="20" s="1"/>
  <c r="P138" i="7"/>
  <c r="D265" i="20" s="1"/>
  <c r="O138" i="7"/>
  <c r="C265" i="20" s="1"/>
  <c r="N138" i="7"/>
  <c r="B265" i="20" s="1"/>
  <c r="D138" i="7"/>
  <c r="D988" i="15" s="1"/>
  <c r="B138" i="7"/>
  <c r="B136" i="7"/>
  <c r="B986" i="15" s="1"/>
  <c r="AC135" i="7"/>
  <c r="AB135" i="7"/>
  <c r="AA135" i="7"/>
  <c r="Z135" i="7"/>
  <c r="N264" i="20" s="1"/>
  <c r="Y135" i="7"/>
  <c r="M264" i="20" s="1"/>
  <c r="X135" i="7"/>
  <c r="L264" i="20" s="1"/>
  <c r="W135" i="7"/>
  <c r="K264" i="20" s="1"/>
  <c r="V135" i="7"/>
  <c r="J264" i="20" s="1"/>
  <c r="U135" i="7"/>
  <c r="I264" i="20" s="1"/>
  <c r="S135" i="7"/>
  <c r="G264" i="20" s="1"/>
  <c r="R135" i="7"/>
  <c r="F264" i="20" s="1"/>
  <c r="Q135" i="7"/>
  <c r="E264" i="20" s="1"/>
  <c r="P135" i="7"/>
  <c r="D264" i="20" s="1"/>
  <c r="O135" i="7"/>
  <c r="C264" i="20" s="1"/>
  <c r="N135" i="7"/>
  <c r="B264" i="20" s="1"/>
  <c r="M135" i="7"/>
  <c r="A264" i="20" s="1"/>
  <c r="D135" i="7"/>
  <c r="D985" i="15" s="1"/>
  <c r="B135" i="7"/>
  <c r="B133" i="7"/>
  <c r="B983" i="15" s="1"/>
  <c r="AC132" i="7"/>
  <c r="AB132" i="7"/>
  <c r="AA132" i="7"/>
  <c r="Z132" i="7"/>
  <c r="N263" i="20" s="1"/>
  <c r="Y132" i="7"/>
  <c r="M263" i="20" s="1"/>
  <c r="X132" i="7"/>
  <c r="L263" i="20" s="1"/>
  <c r="W132" i="7"/>
  <c r="K263" i="20" s="1"/>
  <c r="V132" i="7"/>
  <c r="J263" i="20" s="1"/>
  <c r="U132" i="7"/>
  <c r="I263" i="20" s="1"/>
  <c r="S132" i="7"/>
  <c r="G263" i="20" s="1"/>
  <c r="R132" i="7"/>
  <c r="F263" i="20" s="1"/>
  <c r="Q132" i="7"/>
  <c r="E263" i="20" s="1"/>
  <c r="P132" i="7"/>
  <c r="D263" i="20" s="1"/>
  <c r="O132" i="7"/>
  <c r="C263" i="20" s="1"/>
  <c r="N132" i="7"/>
  <c r="B263" i="20" s="1"/>
  <c r="M132" i="7"/>
  <c r="A263" i="20" s="1"/>
  <c r="D132" i="7"/>
  <c r="D982" i="15" s="1"/>
  <c r="B132" i="7"/>
  <c r="B130" i="7"/>
  <c r="B980" i="15" s="1"/>
  <c r="AC129" i="7"/>
  <c r="AB129" i="7"/>
  <c r="AA129" i="7"/>
  <c r="Z129" i="7"/>
  <c r="N262" i="20" s="1"/>
  <c r="Y129" i="7"/>
  <c r="M262" i="20" s="1"/>
  <c r="X129" i="7"/>
  <c r="L262" i="20" s="1"/>
  <c r="W129" i="7"/>
  <c r="K262" i="20" s="1"/>
  <c r="V129" i="7"/>
  <c r="J262" i="20" s="1"/>
  <c r="U129" i="7"/>
  <c r="I262" i="20" s="1"/>
  <c r="S129" i="7"/>
  <c r="G262" i="20" s="1"/>
  <c r="R129" i="7"/>
  <c r="F262" i="20" s="1"/>
  <c r="Q129" i="7"/>
  <c r="E262" i="20" s="1"/>
  <c r="P129" i="7"/>
  <c r="D262" i="20" s="1"/>
  <c r="O129" i="7"/>
  <c r="C262" i="20" s="1"/>
  <c r="N129" i="7"/>
  <c r="B262" i="20" s="1"/>
  <c r="M129" i="7"/>
  <c r="A262" i="20" s="1"/>
  <c r="D129" i="7"/>
  <c r="D979" i="15" s="1"/>
  <c r="B129" i="7"/>
  <c r="B262" i="19" s="1"/>
  <c r="B127" i="7"/>
  <c r="B977" i="15" s="1"/>
  <c r="B125" i="7"/>
  <c r="B975" i="15" s="1"/>
  <c r="AC124" i="7"/>
  <c r="AB124" i="7"/>
  <c r="AA124" i="7"/>
  <c r="Z124" i="7"/>
  <c r="N261" i="20" s="1"/>
  <c r="Y124" i="7"/>
  <c r="M261" i="20" s="1"/>
  <c r="X124" i="7"/>
  <c r="L261" i="20" s="1"/>
  <c r="W124" i="7"/>
  <c r="K261" i="20" s="1"/>
  <c r="V124" i="7"/>
  <c r="J261" i="20" s="1"/>
  <c r="U124" i="7"/>
  <c r="I261" i="20" s="1"/>
  <c r="S124" i="7"/>
  <c r="G261" i="20" s="1"/>
  <c r="R124" i="7"/>
  <c r="F261" i="20" s="1"/>
  <c r="Q124" i="7"/>
  <c r="E261" i="20" s="1"/>
  <c r="P124" i="7"/>
  <c r="D261" i="20" s="1"/>
  <c r="O124" i="7"/>
  <c r="C261" i="20" s="1"/>
  <c r="N124" i="7"/>
  <c r="B261" i="20" s="1"/>
  <c r="M124" i="7"/>
  <c r="A261" i="20" s="1"/>
  <c r="D124" i="7"/>
  <c r="D974" i="15" s="1"/>
  <c r="B124" i="7"/>
  <c r="B122" i="7"/>
  <c r="B972" i="15" s="1"/>
  <c r="AC121" i="7"/>
  <c r="AB121" i="7"/>
  <c r="AA121" i="7"/>
  <c r="Z121" i="7"/>
  <c r="N260" i="20" s="1"/>
  <c r="Y121" i="7"/>
  <c r="M260" i="20" s="1"/>
  <c r="X121" i="7"/>
  <c r="L260" i="20" s="1"/>
  <c r="W121" i="7"/>
  <c r="K260" i="20" s="1"/>
  <c r="V121" i="7"/>
  <c r="J260" i="20" s="1"/>
  <c r="U121" i="7"/>
  <c r="I260" i="20" s="1"/>
  <c r="S121" i="7"/>
  <c r="G260" i="20" s="1"/>
  <c r="R121" i="7"/>
  <c r="F260" i="20" s="1"/>
  <c r="Q121" i="7"/>
  <c r="E260" i="20" s="1"/>
  <c r="P121" i="7"/>
  <c r="D260" i="20" s="1"/>
  <c r="O121" i="7"/>
  <c r="C260" i="20" s="1"/>
  <c r="N121" i="7"/>
  <c r="B260" i="20" s="1"/>
  <c r="M121" i="7"/>
  <c r="A260" i="20" s="1"/>
  <c r="D121" i="7"/>
  <c r="D971" i="15" s="1"/>
  <c r="B121" i="7"/>
  <c r="B119" i="7"/>
  <c r="B969" i="15" s="1"/>
  <c r="AC118" i="7"/>
  <c r="AB118" i="7"/>
  <c r="AA118" i="7"/>
  <c r="Z118" i="7"/>
  <c r="N259" i="20" s="1"/>
  <c r="Y118" i="7"/>
  <c r="M259" i="20" s="1"/>
  <c r="X118" i="7"/>
  <c r="L259" i="20" s="1"/>
  <c r="W118" i="7"/>
  <c r="K259" i="20" s="1"/>
  <c r="V118" i="7"/>
  <c r="J259" i="20" s="1"/>
  <c r="U118" i="7"/>
  <c r="I259" i="20" s="1"/>
  <c r="S118" i="7"/>
  <c r="G259" i="20" s="1"/>
  <c r="R118" i="7"/>
  <c r="F259" i="20" s="1"/>
  <c r="Q118" i="7"/>
  <c r="E259" i="20" s="1"/>
  <c r="P118" i="7"/>
  <c r="D259" i="20" s="1"/>
  <c r="O118" i="7"/>
  <c r="C259" i="20" s="1"/>
  <c r="N118" i="7"/>
  <c r="B259" i="20" s="1"/>
  <c r="M118" i="7"/>
  <c r="A259" i="20" s="1"/>
  <c r="D118" i="7"/>
  <c r="D968" i="15" s="1"/>
  <c r="B118" i="7"/>
  <c r="B259" i="19" s="1"/>
  <c r="B116" i="7"/>
  <c r="B966" i="15" s="1"/>
  <c r="AC115" i="7"/>
  <c r="AB115" i="7"/>
  <c r="AA115" i="7"/>
  <c r="Z115" i="7"/>
  <c r="N258" i="20" s="1"/>
  <c r="Y115" i="7"/>
  <c r="M258" i="20" s="1"/>
  <c r="X115" i="7"/>
  <c r="L258" i="20" s="1"/>
  <c r="W115" i="7"/>
  <c r="K258" i="20" s="1"/>
  <c r="V115" i="7"/>
  <c r="J258" i="20" s="1"/>
  <c r="U115" i="7"/>
  <c r="I258" i="20" s="1"/>
  <c r="T115" i="7"/>
  <c r="H258" i="20" s="1"/>
  <c r="S115" i="7"/>
  <c r="G258" i="20" s="1"/>
  <c r="R115" i="7"/>
  <c r="F258" i="20" s="1"/>
  <c r="Q115" i="7"/>
  <c r="E258" i="20" s="1"/>
  <c r="P115" i="7"/>
  <c r="D258" i="20" s="1"/>
  <c r="O115" i="7"/>
  <c r="C258" i="20" s="1"/>
  <c r="N115" i="7"/>
  <c r="B258" i="20" s="1"/>
  <c r="D115" i="7"/>
  <c r="D965" i="15" s="1"/>
  <c r="B115" i="7"/>
  <c r="B113" i="7"/>
  <c r="B963" i="15" s="1"/>
  <c r="AC112" i="7"/>
  <c r="AB112" i="7"/>
  <c r="AA112" i="7"/>
  <c r="Z112" i="7"/>
  <c r="N257" i="20" s="1"/>
  <c r="Y112" i="7"/>
  <c r="M257" i="20" s="1"/>
  <c r="X112" i="7"/>
  <c r="L257" i="20" s="1"/>
  <c r="W112" i="7"/>
  <c r="K257" i="20" s="1"/>
  <c r="V112" i="7"/>
  <c r="J257" i="20" s="1"/>
  <c r="U112" i="7"/>
  <c r="I257" i="20" s="1"/>
  <c r="T112" i="7"/>
  <c r="H257" i="20" s="1"/>
  <c r="S112" i="7"/>
  <c r="G257" i="20" s="1"/>
  <c r="R112" i="7"/>
  <c r="F257" i="20" s="1"/>
  <c r="Q112" i="7"/>
  <c r="E257" i="20" s="1"/>
  <c r="P112" i="7"/>
  <c r="D257" i="20" s="1"/>
  <c r="O112" i="7"/>
  <c r="C257" i="20" s="1"/>
  <c r="N112" i="7"/>
  <c r="B257" i="20" s="1"/>
  <c r="D112" i="7"/>
  <c r="D962" i="15" s="1"/>
  <c r="B112" i="7"/>
  <c r="B110" i="7"/>
  <c r="B960" i="15" s="1"/>
  <c r="B108" i="7"/>
  <c r="B958" i="15" s="1"/>
  <c r="AC107" i="7"/>
  <c r="AB107" i="7"/>
  <c r="AA107" i="7"/>
  <c r="Z107" i="7"/>
  <c r="N256" i="20" s="1"/>
  <c r="Y107" i="7"/>
  <c r="M256" i="20" s="1"/>
  <c r="X107" i="7"/>
  <c r="L256" i="20" s="1"/>
  <c r="W107" i="7"/>
  <c r="K256" i="20" s="1"/>
  <c r="V107" i="7"/>
  <c r="J256" i="20" s="1"/>
  <c r="U107" i="7"/>
  <c r="I256" i="20" s="1"/>
  <c r="S107" i="7"/>
  <c r="G256" i="20" s="1"/>
  <c r="R107" i="7"/>
  <c r="F256" i="20" s="1"/>
  <c r="Q107" i="7"/>
  <c r="E256" i="20" s="1"/>
  <c r="P107" i="7"/>
  <c r="D256" i="20" s="1"/>
  <c r="O107" i="7"/>
  <c r="C256" i="20" s="1"/>
  <c r="N107" i="7"/>
  <c r="B256" i="20" s="1"/>
  <c r="M107" i="7"/>
  <c r="A256" i="20" s="1"/>
  <c r="D107" i="7"/>
  <c r="D957" i="15" s="1"/>
  <c r="B107" i="7"/>
  <c r="B105" i="7"/>
  <c r="B955" i="15" s="1"/>
  <c r="AC104" i="7"/>
  <c r="AB104" i="7"/>
  <c r="AA104" i="7"/>
  <c r="Z104" i="7"/>
  <c r="N255" i="20" s="1"/>
  <c r="Y104" i="7"/>
  <c r="M255" i="20" s="1"/>
  <c r="X104" i="7"/>
  <c r="L255" i="20" s="1"/>
  <c r="W104" i="7"/>
  <c r="K255" i="20" s="1"/>
  <c r="V104" i="7"/>
  <c r="J255" i="20" s="1"/>
  <c r="U104" i="7"/>
  <c r="I255" i="20" s="1"/>
  <c r="T104" i="7"/>
  <c r="H255" i="20" s="1"/>
  <c r="S104" i="7"/>
  <c r="G255" i="20" s="1"/>
  <c r="R104" i="7"/>
  <c r="F255" i="20" s="1"/>
  <c r="Q104" i="7"/>
  <c r="E255" i="20" s="1"/>
  <c r="P104" i="7"/>
  <c r="D255" i="20" s="1"/>
  <c r="O104" i="7"/>
  <c r="C255" i="20" s="1"/>
  <c r="N104" i="7"/>
  <c r="B255" i="20" s="1"/>
  <c r="D104" i="7"/>
  <c r="B104" i="7"/>
  <c r="B102" i="7"/>
  <c r="B952" i="15" s="1"/>
  <c r="AC101" i="7"/>
  <c r="AB101" i="7"/>
  <c r="AA101" i="7"/>
  <c r="Z101" i="7"/>
  <c r="N254" i="20" s="1"/>
  <c r="Y101" i="7"/>
  <c r="M254" i="20" s="1"/>
  <c r="X101" i="7"/>
  <c r="L254" i="20" s="1"/>
  <c r="W101" i="7"/>
  <c r="K254" i="20" s="1"/>
  <c r="V101" i="7"/>
  <c r="J254" i="20" s="1"/>
  <c r="U101" i="7"/>
  <c r="I254" i="20" s="1"/>
  <c r="T101" i="7"/>
  <c r="H254" i="20" s="1"/>
  <c r="S101" i="7"/>
  <c r="G254" i="20" s="1"/>
  <c r="R101" i="7"/>
  <c r="F254" i="20" s="1"/>
  <c r="Q101" i="7"/>
  <c r="E254" i="20" s="1"/>
  <c r="P101" i="7"/>
  <c r="D254" i="20" s="1"/>
  <c r="O101" i="7"/>
  <c r="C254" i="20" s="1"/>
  <c r="N101" i="7"/>
  <c r="B254" i="20" s="1"/>
  <c r="D101" i="7"/>
  <c r="D951" i="15" s="1"/>
  <c r="B101" i="7"/>
  <c r="B99" i="7"/>
  <c r="B949" i="15" s="1"/>
  <c r="AC98" i="7"/>
  <c r="AB98" i="7"/>
  <c r="AA98" i="7"/>
  <c r="Z98" i="7"/>
  <c r="N253" i="20" s="1"/>
  <c r="Y98" i="7"/>
  <c r="M253" i="20" s="1"/>
  <c r="X98" i="7"/>
  <c r="L253" i="20" s="1"/>
  <c r="W98" i="7"/>
  <c r="K253" i="20" s="1"/>
  <c r="V98" i="7"/>
  <c r="J253" i="20" s="1"/>
  <c r="U98" i="7"/>
  <c r="I253" i="20" s="1"/>
  <c r="S98" i="7"/>
  <c r="G253" i="20" s="1"/>
  <c r="R98" i="7"/>
  <c r="F253" i="20" s="1"/>
  <c r="Q98" i="7"/>
  <c r="E253" i="20" s="1"/>
  <c r="P98" i="7"/>
  <c r="D253" i="20" s="1"/>
  <c r="O98" i="7"/>
  <c r="C253" i="20" s="1"/>
  <c r="N98" i="7"/>
  <c r="B253" i="20" s="1"/>
  <c r="M98" i="7"/>
  <c r="A253" i="20" s="1"/>
  <c r="D98" i="7"/>
  <c r="D948" i="15" s="1"/>
  <c r="B98" i="7"/>
  <c r="B96" i="7"/>
  <c r="B946" i="15" s="1"/>
  <c r="AC95" i="7"/>
  <c r="AB95" i="7"/>
  <c r="AA95" i="7"/>
  <c r="Z95" i="7"/>
  <c r="N252" i="20" s="1"/>
  <c r="Y95" i="7"/>
  <c r="M252" i="20" s="1"/>
  <c r="X95" i="7"/>
  <c r="L252" i="20" s="1"/>
  <c r="W95" i="7"/>
  <c r="K252" i="20" s="1"/>
  <c r="V95" i="7"/>
  <c r="J252" i="20" s="1"/>
  <c r="U95" i="7"/>
  <c r="I252" i="20" s="1"/>
  <c r="S95" i="7"/>
  <c r="G252" i="20" s="1"/>
  <c r="R95" i="7"/>
  <c r="F252" i="20" s="1"/>
  <c r="Q95" i="7"/>
  <c r="E252" i="20" s="1"/>
  <c r="P95" i="7"/>
  <c r="D252" i="20" s="1"/>
  <c r="O95" i="7"/>
  <c r="C252" i="20" s="1"/>
  <c r="N95" i="7"/>
  <c r="B252" i="20" s="1"/>
  <c r="M95" i="7"/>
  <c r="A252" i="20" s="1"/>
  <c r="D95" i="7"/>
  <c r="D945" i="15" s="1"/>
  <c r="B95" i="7"/>
  <c r="B252" i="19" s="1"/>
  <c r="B93" i="7"/>
  <c r="B943" i="15" s="1"/>
  <c r="B91" i="7"/>
  <c r="B941" i="15" s="1"/>
  <c r="AC90" i="7"/>
  <c r="AB90" i="7"/>
  <c r="AA90" i="7"/>
  <c r="Z90" i="7"/>
  <c r="N251" i="20" s="1"/>
  <c r="Y90" i="7"/>
  <c r="M251" i="20" s="1"/>
  <c r="X90" i="7"/>
  <c r="L251" i="20" s="1"/>
  <c r="W90" i="7"/>
  <c r="K251" i="20" s="1"/>
  <c r="V90" i="7"/>
  <c r="J251" i="20" s="1"/>
  <c r="U90" i="7"/>
  <c r="I251" i="20" s="1"/>
  <c r="S90" i="7"/>
  <c r="G251" i="20" s="1"/>
  <c r="R90" i="7"/>
  <c r="F251" i="20" s="1"/>
  <c r="Q90" i="7"/>
  <c r="E251" i="20" s="1"/>
  <c r="P90" i="7"/>
  <c r="D251" i="20" s="1"/>
  <c r="O90" i="7"/>
  <c r="C251" i="20" s="1"/>
  <c r="N90" i="7"/>
  <c r="B251" i="20" s="1"/>
  <c r="D90" i="7"/>
  <c r="B90" i="7"/>
  <c r="B88" i="7"/>
  <c r="B938" i="15" s="1"/>
  <c r="AC87" i="7"/>
  <c r="AB87" i="7"/>
  <c r="AA87" i="7"/>
  <c r="Z87" i="7"/>
  <c r="N250" i="20" s="1"/>
  <c r="Y87" i="7"/>
  <c r="M250" i="20" s="1"/>
  <c r="X87" i="7"/>
  <c r="L250" i="20" s="1"/>
  <c r="W87" i="7"/>
  <c r="K250" i="20" s="1"/>
  <c r="V87" i="7"/>
  <c r="J250" i="20" s="1"/>
  <c r="U87" i="7"/>
  <c r="I250" i="20" s="1"/>
  <c r="S87" i="7"/>
  <c r="G250" i="20" s="1"/>
  <c r="R87" i="7"/>
  <c r="F250" i="20" s="1"/>
  <c r="Q87" i="7"/>
  <c r="E250" i="20" s="1"/>
  <c r="P87" i="7"/>
  <c r="D250" i="20" s="1"/>
  <c r="O87" i="7"/>
  <c r="C250" i="20" s="1"/>
  <c r="N87" i="7"/>
  <c r="B250" i="20" s="1"/>
  <c r="M87" i="7"/>
  <c r="A250" i="20" s="1"/>
  <c r="D87" i="7"/>
  <c r="D937" i="15" s="1"/>
  <c r="B87" i="7"/>
  <c r="B85" i="7"/>
  <c r="B935" i="15" s="1"/>
  <c r="AC84" i="7"/>
  <c r="AB84" i="7"/>
  <c r="AA84" i="7"/>
  <c r="Z84" i="7"/>
  <c r="N249" i="20" s="1"/>
  <c r="Y84" i="7"/>
  <c r="M249" i="20" s="1"/>
  <c r="X84" i="7"/>
  <c r="L249" i="20" s="1"/>
  <c r="W84" i="7"/>
  <c r="K249" i="20" s="1"/>
  <c r="V84" i="7"/>
  <c r="J249" i="20" s="1"/>
  <c r="U84" i="7"/>
  <c r="I249" i="20" s="1"/>
  <c r="S84" i="7"/>
  <c r="G249" i="20" s="1"/>
  <c r="R84" i="7"/>
  <c r="F249" i="20" s="1"/>
  <c r="Q84" i="7"/>
  <c r="E249" i="20" s="1"/>
  <c r="P84" i="7"/>
  <c r="D249" i="20" s="1"/>
  <c r="O84" i="7"/>
  <c r="C249" i="20" s="1"/>
  <c r="N84" i="7"/>
  <c r="B249" i="20" s="1"/>
  <c r="M84" i="7"/>
  <c r="A249" i="20" s="1"/>
  <c r="D84" i="7"/>
  <c r="D934" i="15" s="1"/>
  <c r="B84" i="7"/>
  <c r="B249" i="19" s="1"/>
  <c r="B82" i="7"/>
  <c r="B932" i="15" s="1"/>
  <c r="AC81" i="7"/>
  <c r="AB81" i="7"/>
  <c r="AA81" i="7"/>
  <c r="Z81" i="7"/>
  <c r="N248" i="20" s="1"/>
  <c r="Y81" i="7"/>
  <c r="M248" i="20" s="1"/>
  <c r="X81" i="7"/>
  <c r="L248" i="20" s="1"/>
  <c r="W81" i="7"/>
  <c r="K248" i="20" s="1"/>
  <c r="V81" i="7"/>
  <c r="J248" i="20" s="1"/>
  <c r="U81" i="7"/>
  <c r="I248" i="20" s="1"/>
  <c r="S81" i="7"/>
  <c r="G248" i="20" s="1"/>
  <c r="R81" i="7"/>
  <c r="F248" i="20" s="1"/>
  <c r="Q81" i="7"/>
  <c r="E248" i="20" s="1"/>
  <c r="P81" i="7"/>
  <c r="D248" i="20" s="1"/>
  <c r="O81" i="7"/>
  <c r="C248" i="20" s="1"/>
  <c r="N81" i="7"/>
  <c r="B248" i="20" s="1"/>
  <c r="D81" i="7"/>
  <c r="D931" i="15" s="1"/>
  <c r="B81" i="7"/>
  <c r="B79" i="7"/>
  <c r="B929" i="15" s="1"/>
  <c r="AC78" i="7"/>
  <c r="AB78" i="7"/>
  <c r="AA78" i="7"/>
  <c r="Z78" i="7"/>
  <c r="N247" i="20" s="1"/>
  <c r="Y78" i="7"/>
  <c r="M247" i="20" s="1"/>
  <c r="X78" i="7"/>
  <c r="L247" i="20" s="1"/>
  <c r="W78" i="7"/>
  <c r="K247" i="20" s="1"/>
  <c r="V78" i="7"/>
  <c r="J247" i="20" s="1"/>
  <c r="U78" i="7"/>
  <c r="I247" i="20" s="1"/>
  <c r="S78" i="7"/>
  <c r="G247" i="20" s="1"/>
  <c r="R78" i="7"/>
  <c r="F247" i="20" s="1"/>
  <c r="Q78" i="7"/>
  <c r="E247" i="20" s="1"/>
  <c r="P78" i="7"/>
  <c r="D247" i="20" s="1"/>
  <c r="O78" i="7"/>
  <c r="C247" i="20" s="1"/>
  <c r="N78" i="7"/>
  <c r="B247" i="20" s="1"/>
  <c r="M78" i="7"/>
  <c r="A247" i="20" s="1"/>
  <c r="D78" i="7"/>
  <c r="D928" i="15" s="1"/>
  <c r="B78" i="7"/>
  <c r="B76" i="7"/>
  <c r="B926" i="15" s="1"/>
  <c r="B74" i="7"/>
  <c r="B924" i="15" s="1"/>
  <c r="AC73" i="7"/>
  <c r="AB73" i="7"/>
  <c r="AA73" i="7"/>
  <c r="Z73" i="7"/>
  <c r="N246" i="20" s="1"/>
  <c r="Y73" i="7"/>
  <c r="M246" i="20" s="1"/>
  <c r="X73" i="7"/>
  <c r="L246" i="20" s="1"/>
  <c r="W73" i="7"/>
  <c r="K246" i="20" s="1"/>
  <c r="V73" i="7"/>
  <c r="J246" i="20" s="1"/>
  <c r="U73" i="7"/>
  <c r="I246" i="20" s="1"/>
  <c r="S73" i="7"/>
  <c r="G246" i="20" s="1"/>
  <c r="R73" i="7"/>
  <c r="F246" i="20" s="1"/>
  <c r="Q73" i="7"/>
  <c r="E246" i="20" s="1"/>
  <c r="P73" i="7"/>
  <c r="D246" i="20" s="1"/>
  <c r="O73" i="7"/>
  <c r="C246" i="20" s="1"/>
  <c r="N73" i="7"/>
  <c r="B246" i="20" s="1"/>
  <c r="M73" i="7"/>
  <c r="A246" i="20" s="1"/>
  <c r="D73" i="7"/>
  <c r="D923" i="15" s="1"/>
  <c r="B73" i="7"/>
  <c r="B246" i="19" s="1"/>
  <c r="B71" i="7"/>
  <c r="B921" i="15" s="1"/>
  <c r="AC70" i="7"/>
  <c r="AB70" i="7"/>
  <c r="AA70" i="7"/>
  <c r="Z70" i="7"/>
  <c r="N245" i="20" s="1"/>
  <c r="Y70" i="7"/>
  <c r="M245" i="20" s="1"/>
  <c r="X70" i="7"/>
  <c r="L245" i="20" s="1"/>
  <c r="W70" i="7"/>
  <c r="K245" i="20" s="1"/>
  <c r="V70" i="7"/>
  <c r="J245" i="20" s="1"/>
  <c r="U70" i="7"/>
  <c r="I245" i="20" s="1"/>
  <c r="S70" i="7"/>
  <c r="G245" i="20" s="1"/>
  <c r="R70" i="7"/>
  <c r="F245" i="20" s="1"/>
  <c r="Q70" i="7"/>
  <c r="E245" i="20" s="1"/>
  <c r="P70" i="7"/>
  <c r="D245" i="20" s="1"/>
  <c r="O70" i="7"/>
  <c r="C245" i="20" s="1"/>
  <c r="N70" i="7"/>
  <c r="B245" i="20" s="1"/>
  <c r="D70" i="7"/>
  <c r="D920" i="15" s="1"/>
  <c r="B70" i="7"/>
  <c r="B68" i="7"/>
  <c r="B918" i="15" s="1"/>
  <c r="AC67" i="7"/>
  <c r="AB67" i="7"/>
  <c r="AA67" i="7"/>
  <c r="Z67" i="7"/>
  <c r="N244" i="20" s="1"/>
  <c r="Y67" i="7"/>
  <c r="M244" i="20" s="1"/>
  <c r="X67" i="7"/>
  <c r="L244" i="20" s="1"/>
  <c r="W67" i="7"/>
  <c r="K244" i="20" s="1"/>
  <c r="V67" i="7"/>
  <c r="J244" i="20" s="1"/>
  <c r="U67" i="7"/>
  <c r="I244" i="20" s="1"/>
  <c r="S67" i="7"/>
  <c r="G244" i="20" s="1"/>
  <c r="R67" i="7"/>
  <c r="F244" i="20" s="1"/>
  <c r="Q67" i="7"/>
  <c r="E244" i="20" s="1"/>
  <c r="P67" i="7"/>
  <c r="D244" i="20" s="1"/>
  <c r="O67" i="7"/>
  <c r="C244" i="20" s="1"/>
  <c r="N67" i="7"/>
  <c r="B244" i="20" s="1"/>
  <c r="M67" i="7"/>
  <c r="A244" i="20" s="1"/>
  <c r="D67" i="7"/>
  <c r="T67" i="7" s="1"/>
  <c r="H244" i="20" s="1"/>
  <c r="B67" i="7"/>
  <c r="B65" i="7"/>
  <c r="B915" i="15" s="1"/>
  <c r="AC64" i="7"/>
  <c r="AB64" i="7"/>
  <c r="AA64" i="7"/>
  <c r="Z64" i="7"/>
  <c r="N243" i="20" s="1"/>
  <c r="Y64" i="7"/>
  <c r="M243" i="20" s="1"/>
  <c r="X64" i="7"/>
  <c r="L243" i="20" s="1"/>
  <c r="W64" i="7"/>
  <c r="K243" i="20" s="1"/>
  <c r="V64" i="7"/>
  <c r="J243" i="20" s="1"/>
  <c r="U64" i="7"/>
  <c r="I243" i="20" s="1"/>
  <c r="S64" i="7"/>
  <c r="G243" i="20" s="1"/>
  <c r="R64" i="7"/>
  <c r="F243" i="20" s="1"/>
  <c r="Q64" i="7"/>
  <c r="E243" i="20" s="1"/>
  <c r="P64" i="7"/>
  <c r="D243" i="20" s="1"/>
  <c r="O64" i="7"/>
  <c r="C243" i="20" s="1"/>
  <c r="N64" i="7"/>
  <c r="B243" i="20" s="1"/>
  <c r="M64" i="7"/>
  <c r="A243" i="20" s="1"/>
  <c r="D64" i="7"/>
  <c r="D914" i="15" s="1"/>
  <c r="B64" i="7"/>
  <c r="B62" i="7"/>
  <c r="B912" i="15" s="1"/>
  <c r="AC61" i="7"/>
  <c r="AB61" i="7"/>
  <c r="AA61" i="7"/>
  <c r="Z61" i="7"/>
  <c r="N242" i="20" s="1"/>
  <c r="Y61" i="7"/>
  <c r="M242" i="20" s="1"/>
  <c r="X61" i="7"/>
  <c r="L242" i="20" s="1"/>
  <c r="W61" i="7"/>
  <c r="K242" i="20" s="1"/>
  <c r="V61" i="7"/>
  <c r="J242" i="20" s="1"/>
  <c r="U61" i="7"/>
  <c r="I242" i="20" s="1"/>
  <c r="S61" i="7"/>
  <c r="G242" i="20" s="1"/>
  <c r="R61" i="7"/>
  <c r="F242" i="20" s="1"/>
  <c r="Q61" i="7"/>
  <c r="E242" i="20" s="1"/>
  <c r="P61" i="7"/>
  <c r="D242" i="20" s="1"/>
  <c r="O61" i="7"/>
  <c r="C242" i="20" s="1"/>
  <c r="N61" i="7"/>
  <c r="B242" i="20" s="1"/>
  <c r="M61" i="7"/>
  <c r="A242" i="20" s="1"/>
  <c r="D61" i="7"/>
  <c r="D911" i="15" s="1"/>
  <c r="B61" i="7"/>
  <c r="B59" i="7"/>
  <c r="B909" i="15" s="1"/>
  <c r="B57" i="7"/>
  <c r="B907" i="15" s="1"/>
  <c r="AC56" i="7"/>
  <c r="AB56" i="7"/>
  <c r="AA56" i="7"/>
  <c r="Z56" i="7"/>
  <c r="N241" i="20" s="1"/>
  <c r="Y56" i="7"/>
  <c r="M241" i="20" s="1"/>
  <c r="X56" i="7"/>
  <c r="L241" i="20" s="1"/>
  <c r="W56" i="7"/>
  <c r="K241" i="20" s="1"/>
  <c r="V56" i="7"/>
  <c r="J241" i="20" s="1"/>
  <c r="U56" i="7"/>
  <c r="I241" i="20" s="1"/>
  <c r="S56" i="7"/>
  <c r="G241" i="20" s="1"/>
  <c r="R56" i="7"/>
  <c r="F241" i="20" s="1"/>
  <c r="Q56" i="7"/>
  <c r="E241" i="20" s="1"/>
  <c r="P56" i="7"/>
  <c r="D241" i="20" s="1"/>
  <c r="O56" i="7"/>
  <c r="C241" i="20" s="1"/>
  <c r="N56" i="7"/>
  <c r="B241" i="20" s="1"/>
  <c r="M56" i="7"/>
  <c r="A241" i="20" s="1"/>
  <c r="D56" i="7"/>
  <c r="T56" i="7" s="1"/>
  <c r="H241" i="20" s="1"/>
  <c r="B56" i="7"/>
  <c r="B54" i="7"/>
  <c r="B904" i="15" s="1"/>
  <c r="AC53" i="7"/>
  <c r="AB53" i="7"/>
  <c r="AA53" i="7"/>
  <c r="Z53" i="7"/>
  <c r="N240" i="20" s="1"/>
  <c r="Y53" i="7"/>
  <c r="M240" i="20" s="1"/>
  <c r="X53" i="7"/>
  <c r="L240" i="20" s="1"/>
  <c r="W53" i="7"/>
  <c r="K240" i="20" s="1"/>
  <c r="V53" i="7"/>
  <c r="J240" i="20" s="1"/>
  <c r="U53" i="7"/>
  <c r="I240" i="20" s="1"/>
  <c r="S53" i="7"/>
  <c r="G240" i="20" s="1"/>
  <c r="R53" i="7"/>
  <c r="F240" i="20" s="1"/>
  <c r="Q53" i="7"/>
  <c r="E240" i="20" s="1"/>
  <c r="P53" i="7"/>
  <c r="D240" i="20" s="1"/>
  <c r="O53" i="7"/>
  <c r="C240" i="20" s="1"/>
  <c r="N53" i="7"/>
  <c r="B240" i="20" s="1"/>
  <c r="M53" i="7"/>
  <c r="A240" i="20" s="1"/>
  <c r="D53" i="7"/>
  <c r="D903" i="15" s="1"/>
  <c r="B53" i="7"/>
  <c r="B51" i="7"/>
  <c r="B901" i="15" s="1"/>
  <c r="AC50" i="7"/>
  <c r="AB50" i="7"/>
  <c r="AA50" i="7"/>
  <c r="Z50" i="7"/>
  <c r="N239" i="20" s="1"/>
  <c r="Y50" i="7"/>
  <c r="M239" i="20" s="1"/>
  <c r="X50" i="7"/>
  <c r="L239" i="20" s="1"/>
  <c r="W50" i="7"/>
  <c r="K239" i="20" s="1"/>
  <c r="V50" i="7"/>
  <c r="J239" i="20" s="1"/>
  <c r="U50" i="7"/>
  <c r="I239" i="20" s="1"/>
  <c r="S50" i="7"/>
  <c r="G239" i="20" s="1"/>
  <c r="R50" i="7"/>
  <c r="F239" i="20" s="1"/>
  <c r="Q50" i="7"/>
  <c r="E239" i="20" s="1"/>
  <c r="P50" i="7"/>
  <c r="D239" i="20" s="1"/>
  <c r="O50" i="7"/>
  <c r="C239" i="20" s="1"/>
  <c r="N50" i="7"/>
  <c r="B239" i="20" s="1"/>
  <c r="M50" i="7"/>
  <c r="A239" i="20" s="1"/>
  <c r="D50" i="7"/>
  <c r="D900" i="15" s="1"/>
  <c r="B50" i="7"/>
  <c r="B48" i="7"/>
  <c r="B898" i="15" s="1"/>
  <c r="AC47" i="7"/>
  <c r="AB47" i="7"/>
  <c r="AA47" i="7"/>
  <c r="Z47" i="7"/>
  <c r="N238" i="20" s="1"/>
  <c r="Y47" i="7"/>
  <c r="M238" i="20" s="1"/>
  <c r="X47" i="7"/>
  <c r="L238" i="20" s="1"/>
  <c r="W47" i="7"/>
  <c r="K238" i="20" s="1"/>
  <c r="V47" i="7"/>
  <c r="J238" i="20" s="1"/>
  <c r="U47" i="7"/>
  <c r="I238" i="20" s="1"/>
  <c r="S47" i="7"/>
  <c r="G238" i="20" s="1"/>
  <c r="R47" i="7"/>
  <c r="F238" i="20" s="1"/>
  <c r="Q47" i="7"/>
  <c r="E238" i="20" s="1"/>
  <c r="P47" i="7"/>
  <c r="D238" i="20" s="1"/>
  <c r="O47" i="7"/>
  <c r="C238" i="20" s="1"/>
  <c r="N47" i="7"/>
  <c r="B238" i="20" s="1"/>
  <c r="D47" i="7"/>
  <c r="B47" i="7"/>
  <c r="B238" i="19" s="1"/>
  <c r="B45" i="7"/>
  <c r="B895" i="15" s="1"/>
  <c r="AC44" i="7"/>
  <c r="AB44" i="7"/>
  <c r="AA44" i="7"/>
  <c r="Z44" i="7"/>
  <c r="N237" i="20" s="1"/>
  <c r="Y44" i="7"/>
  <c r="M237" i="20" s="1"/>
  <c r="X44" i="7"/>
  <c r="L237" i="20" s="1"/>
  <c r="W44" i="7"/>
  <c r="K237" i="20" s="1"/>
  <c r="V44" i="7"/>
  <c r="J237" i="20" s="1"/>
  <c r="U44" i="7"/>
  <c r="I237" i="20" s="1"/>
  <c r="S44" i="7"/>
  <c r="G237" i="20" s="1"/>
  <c r="R44" i="7"/>
  <c r="F237" i="20" s="1"/>
  <c r="Q44" i="7"/>
  <c r="E237" i="20" s="1"/>
  <c r="P44" i="7"/>
  <c r="D237" i="20" s="1"/>
  <c r="O44" i="7"/>
  <c r="C237" i="20" s="1"/>
  <c r="N44" i="7"/>
  <c r="B237" i="20" s="1"/>
  <c r="D44" i="7"/>
  <c r="B44" i="7"/>
  <c r="B42" i="7"/>
  <c r="B892" i="15" s="1"/>
  <c r="B40" i="7"/>
  <c r="B890" i="15" s="1"/>
  <c r="AC39" i="7"/>
  <c r="AB39" i="7"/>
  <c r="AA39" i="7"/>
  <c r="Z39" i="7"/>
  <c r="N236" i="20" s="1"/>
  <c r="Y39" i="7"/>
  <c r="M236" i="20" s="1"/>
  <c r="X39" i="7"/>
  <c r="L236" i="20" s="1"/>
  <c r="W39" i="7"/>
  <c r="K236" i="20" s="1"/>
  <c r="V39" i="7"/>
  <c r="J236" i="20" s="1"/>
  <c r="U39" i="7"/>
  <c r="I236" i="20" s="1"/>
  <c r="S39" i="7"/>
  <c r="G236" i="20" s="1"/>
  <c r="R39" i="7"/>
  <c r="F236" i="20" s="1"/>
  <c r="Q39" i="7"/>
  <c r="E236" i="20" s="1"/>
  <c r="P39" i="7"/>
  <c r="D236" i="20" s="1"/>
  <c r="O39" i="7"/>
  <c r="C236" i="20" s="1"/>
  <c r="N39" i="7"/>
  <c r="B236" i="20" s="1"/>
  <c r="M39" i="7"/>
  <c r="A236" i="20" s="1"/>
  <c r="D39" i="7"/>
  <c r="D889" i="15" s="1"/>
  <c r="B39" i="7"/>
  <c r="B236" i="19" s="1"/>
  <c r="B37" i="7"/>
  <c r="B887" i="15" s="1"/>
  <c r="AC36" i="7"/>
  <c r="AB36" i="7"/>
  <c r="AA36" i="7"/>
  <c r="Z36" i="7"/>
  <c r="N235" i="20" s="1"/>
  <c r="Y36" i="7"/>
  <c r="M235" i="20" s="1"/>
  <c r="X36" i="7"/>
  <c r="L235" i="20" s="1"/>
  <c r="W36" i="7"/>
  <c r="K235" i="20" s="1"/>
  <c r="V36" i="7"/>
  <c r="J235" i="20" s="1"/>
  <c r="U36" i="7"/>
  <c r="I235" i="20" s="1"/>
  <c r="S36" i="7"/>
  <c r="G235" i="20" s="1"/>
  <c r="R36" i="7"/>
  <c r="F235" i="20" s="1"/>
  <c r="Q36" i="7"/>
  <c r="E235" i="20" s="1"/>
  <c r="P36" i="7"/>
  <c r="D235" i="20" s="1"/>
  <c r="O36" i="7"/>
  <c r="C235" i="20" s="1"/>
  <c r="N36" i="7"/>
  <c r="B235" i="20" s="1"/>
  <c r="D36" i="7"/>
  <c r="B36" i="7"/>
  <c r="B235" i="19" s="1"/>
  <c r="B34" i="7"/>
  <c r="B884" i="15" s="1"/>
  <c r="AC33" i="7"/>
  <c r="AB33" i="7"/>
  <c r="AA33" i="7"/>
  <c r="Z33" i="7"/>
  <c r="N234" i="20" s="1"/>
  <c r="Y33" i="7"/>
  <c r="M234" i="20" s="1"/>
  <c r="X33" i="7"/>
  <c r="L234" i="20" s="1"/>
  <c r="W33" i="7"/>
  <c r="K234" i="20" s="1"/>
  <c r="V33" i="7"/>
  <c r="J234" i="20" s="1"/>
  <c r="U33" i="7"/>
  <c r="I234" i="20" s="1"/>
  <c r="S33" i="7"/>
  <c r="G234" i="20" s="1"/>
  <c r="R33" i="7"/>
  <c r="F234" i="20" s="1"/>
  <c r="Q33" i="7"/>
  <c r="E234" i="20" s="1"/>
  <c r="P33" i="7"/>
  <c r="D234" i="20" s="1"/>
  <c r="O33" i="7"/>
  <c r="C234" i="20" s="1"/>
  <c r="N33" i="7"/>
  <c r="B234" i="20" s="1"/>
  <c r="D33" i="7"/>
  <c r="B33" i="7"/>
  <c r="B31" i="7"/>
  <c r="B881" i="15" s="1"/>
  <c r="AC30" i="7"/>
  <c r="AB30" i="7"/>
  <c r="AA30" i="7"/>
  <c r="Z30" i="7"/>
  <c r="N233" i="20" s="1"/>
  <c r="Y30" i="7"/>
  <c r="M233" i="20" s="1"/>
  <c r="X30" i="7"/>
  <c r="L233" i="20" s="1"/>
  <c r="W30" i="7"/>
  <c r="K233" i="20" s="1"/>
  <c r="V30" i="7"/>
  <c r="J233" i="20" s="1"/>
  <c r="U30" i="7"/>
  <c r="I233" i="20" s="1"/>
  <c r="S30" i="7"/>
  <c r="G233" i="20" s="1"/>
  <c r="R30" i="7"/>
  <c r="F233" i="20" s="1"/>
  <c r="Q30" i="7"/>
  <c r="E233" i="20" s="1"/>
  <c r="P30" i="7"/>
  <c r="D233" i="20" s="1"/>
  <c r="O30" i="7"/>
  <c r="C233" i="20" s="1"/>
  <c r="N30" i="7"/>
  <c r="B233" i="20" s="1"/>
  <c r="M30" i="7"/>
  <c r="A233" i="20" s="1"/>
  <c r="D30" i="7"/>
  <c r="D880" i="15" s="1"/>
  <c r="B30" i="7"/>
  <c r="B28" i="7"/>
  <c r="B878" i="15" s="1"/>
  <c r="AC27" i="7"/>
  <c r="AB27" i="7"/>
  <c r="AA27" i="7"/>
  <c r="Z27" i="7"/>
  <c r="N232" i="20" s="1"/>
  <c r="Y27" i="7"/>
  <c r="M232" i="20" s="1"/>
  <c r="X27" i="7"/>
  <c r="L232" i="20" s="1"/>
  <c r="W27" i="7"/>
  <c r="K232" i="20" s="1"/>
  <c r="V27" i="7"/>
  <c r="J232" i="20" s="1"/>
  <c r="U27" i="7"/>
  <c r="I232" i="20" s="1"/>
  <c r="S27" i="7"/>
  <c r="G232" i="20" s="1"/>
  <c r="R27" i="7"/>
  <c r="F232" i="20" s="1"/>
  <c r="Q27" i="7"/>
  <c r="E232" i="20" s="1"/>
  <c r="P27" i="7"/>
  <c r="D232" i="20" s="1"/>
  <c r="O27" i="7"/>
  <c r="C232" i="20" s="1"/>
  <c r="N27" i="7"/>
  <c r="B232" i="20" s="1"/>
  <c r="M27" i="7"/>
  <c r="A232" i="20" s="1"/>
  <c r="D27" i="7"/>
  <c r="D877" i="15" s="1"/>
  <c r="B27" i="7"/>
  <c r="B25" i="7"/>
  <c r="B875" i="15" s="1"/>
  <c r="B23" i="7"/>
  <c r="B873" i="15" s="1"/>
  <c r="AC22" i="7"/>
  <c r="AB22" i="7"/>
  <c r="AA22" i="7"/>
  <c r="Z22" i="7"/>
  <c r="N231" i="20" s="1"/>
  <c r="Y22" i="7"/>
  <c r="M231" i="20" s="1"/>
  <c r="X22" i="7"/>
  <c r="L231" i="20" s="1"/>
  <c r="W22" i="7"/>
  <c r="K231" i="20" s="1"/>
  <c r="V22" i="7"/>
  <c r="J231" i="20" s="1"/>
  <c r="U22" i="7"/>
  <c r="I231" i="20" s="1"/>
  <c r="S22" i="7"/>
  <c r="G231" i="20" s="1"/>
  <c r="R22" i="7"/>
  <c r="F231" i="20" s="1"/>
  <c r="Q22" i="7"/>
  <c r="E231" i="20" s="1"/>
  <c r="P22" i="7"/>
  <c r="D231" i="20" s="1"/>
  <c r="O22" i="7"/>
  <c r="C231" i="20" s="1"/>
  <c r="N22" i="7"/>
  <c r="B231" i="20" s="1"/>
  <c r="D22" i="7"/>
  <c r="D872" i="15" s="1"/>
  <c r="B22" i="7"/>
  <c r="B20" i="7"/>
  <c r="B870" i="15" s="1"/>
  <c r="AC19" i="7"/>
  <c r="AB19" i="7"/>
  <c r="AA19" i="7"/>
  <c r="Z19" i="7"/>
  <c r="N230" i="20" s="1"/>
  <c r="Y19" i="7"/>
  <c r="M230" i="20" s="1"/>
  <c r="X19" i="7"/>
  <c r="L230" i="20" s="1"/>
  <c r="W19" i="7"/>
  <c r="K230" i="20" s="1"/>
  <c r="V19" i="7"/>
  <c r="J230" i="20" s="1"/>
  <c r="U19" i="7"/>
  <c r="I230" i="20" s="1"/>
  <c r="S19" i="7"/>
  <c r="G230" i="20" s="1"/>
  <c r="R19" i="7"/>
  <c r="F230" i="20" s="1"/>
  <c r="Q19" i="7"/>
  <c r="E230" i="20" s="1"/>
  <c r="P19" i="7"/>
  <c r="D230" i="20" s="1"/>
  <c r="O19" i="7"/>
  <c r="C230" i="20" s="1"/>
  <c r="N19" i="7"/>
  <c r="B230" i="20" s="1"/>
  <c r="M19" i="7"/>
  <c r="A230" i="20" s="1"/>
  <c r="D19" i="7"/>
  <c r="D869" i="15" s="1"/>
  <c r="B19" i="7"/>
  <c r="B17" i="7"/>
  <c r="B867" i="15" s="1"/>
  <c r="AC16" i="7"/>
  <c r="AB16" i="7"/>
  <c r="AA16" i="7"/>
  <c r="Z16" i="7"/>
  <c r="N229" i="20" s="1"/>
  <c r="Y16" i="7"/>
  <c r="M229" i="20" s="1"/>
  <c r="X16" i="7"/>
  <c r="L229" i="20" s="1"/>
  <c r="W16" i="7"/>
  <c r="K229" i="20" s="1"/>
  <c r="V16" i="7"/>
  <c r="J229" i="20" s="1"/>
  <c r="U16" i="7"/>
  <c r="I229" i="20" s="1"/>
  <c r="S16" i="7"/>
  <c r="G229" i="20" s="1"/>
  <c r="R16" i="7"/>
  <c r="F229" i="20" s="1"/>
  <c r="Q16" i="7"/>
  <c r="E229" i="20" s="1"/>
  <c r="P16" i="7"/>
  <c r="D229" i="20" s="1"/>
  <c r="O16" i="7"/>
  <c r="C229" i="20" s="1"/>
  <c r="N16" i="7"/>
  <c r="B229" i="20" s="1"/>
  <c r="D16" i="7"/>
  <c r="D866" i="15" s="1"/>
  <c r="B16" i="7"/>
  <c r="B14" i="7"/>
  <c r="B864" i="15" s="1"/>
  <c r="AC13" i="7"/>
  <c r="AB13" i="7"/>
  <c r="AA13" i="7"/>
  <c r="Z13" i="7"/>
  <c r="N228" i="20" s="1"/>
  <c r="Y13" i="7"/>
  <c r="M228" i="20" s="1"/>
  <c r="X13" i="7"/>
  <c r="L228" i="20" s="1"/>
  <c r="W13" i="7"/>
  <c r="K228" i="20" s="1"/>
  <c r="V13" i="7"/>
  <c r="J228" i="20" s="1"/>
  <c r="U13" i="7"/>
  <c r="I228" i="20" s="1"/>
  <c r="S13" i="7"/>
  <c r="G228" i="20" s="1"/>
  <c r="R13" i="7"/>
  <c r="F228" i="20" s="1"/>
  <c r="Q13" i="7"/>
  <c r="E228" i="20" s="1"/>
  <c r="P13" i="7"/>
  <c r="D228" i="20" s="1"/>
  <c r="O13" i="7"/>
  <c r="C228" i="20" s="1"/>
  <c r="N13" i="7"/>
  <c r="B228" i="20" s="1"/>
  <c r="D13" i="7"/>
  <c r="D863" i="15" s="1"/>
  <c r="B13" i="7"/>
  <c r="A13" i="7"/>
  <c r="B11" i="7"/>
  <c r="B861" i="15" s="1"/>
  <c r="AC10" i="7"/>
  <c r="AB10" i="7"/>
  <c r="AA10" i="7"/>
  <c r="Z10" i="7"/>
  <c r="N227" i="20" s="1"/>
  <c r="Y10" i="7"/>
  <c r="M227" i="20" s="1"/>
  <c r="X10" i="7"/>
  <c r="L227" i="20" s="1"/>
  <c r="W10" i="7"/>
  <c r="K227" i="20" s="1"/>
  <c r="V10" i="7"/>
  <c r="J227" i="20" s="1"/>
  <c r="U10" i="7"/>
  <c r="I227" i="20" s="1"/>
  <c r="S10" i="7"/>
  <c r="G227" i="20" s="1"/>
  <c r="R10" i="7"/>
  <c r="F227" i="20" s="1"/>
  <c r="Q10" i="7"/>
  <c r="E227" i="20" s="1"/>
  <c r="P10" i="7"/>
  <c r="D227" i="20" s="1"/>
  <c r="O10" i="7"/>
  <c r="C227" i="20" s="1"/>
  <c r="N10" i="7"/>
  <c r="B227" i="20" s="1"/>
  <c r="M10" i="7"/>
  <c r="A227" i="20" s="1"/>
  <c r="D10" i="7"/>
  <c r="T10" i="7" s="1"/>
  <c r="H227" i="20" s="1"/>
  <c r="B10" i="7"/>
  <c r="B8" i="7"/>
  <c r="B858" i="15" s="1"/>
  <c r="A3" i="7"/>
  <c r="A1" i="7"/>
  <c r="B159" i="6"/>
  <c r="AC158" i="6"/>
  <c r="AB158" i="6"/>
  <c r="AA158" i="6"/>
  <c r="Z158" i="6"/>
  <c r="N226" i="20" s="1"/>
  <c r="Y158" i="6"/>
  <c r="M226" i="20" s="1"/>
  <c r="X158" i="6"/>
  <c r="L226" i="20" s="1"/>
  <c r="W158" i="6"/>
  <c r="K226" i="20" s="1"/>
  <c r="V158" i="6"/>
  <c r="J226" i="20" s="1"/>
  <c r="U158" i="6"/>
  <c r="I226" i="20" s="1"/>
  <c r="S158" i="6"/>
  <c r="G226" i="20" s="1"/>
  <c r="R158" i="6"/>
  <c r="F226" i="20" s="1"/>
  <c r="Q158" i="6"/>
  <c r="E226" i="20" s="1"/>
  <c r="P158" i="6"/>
  <c r="D226" i="20" s="1"/>
  <c r="O158" i="6"/>
  <c r="C226" i="20" s="1"/>
  <c r="N158" i="6"/>
  <c r="B226" i="20" s="1"/>
  <c r="D158" i="6"/>
  <c r="B158" i="6"/>
  <c r="B226" i="19" s="1"/>
  <c r="B156" i="6"/>
  <c r="B836" i="15" s="1"/>
  <c r="AC155" i="6"/>
  <c r="AB155" i="6"/>
  <c r="AA155" i="6"/>
  <c r="Z155" i="6"/>
  <c r="N225" i="20" s="1"/>
  <c r="Y155" i="6"/>
  <c r="M225" i="20" s="1"/>
  <c r="X155" i="6"/>
  <c r="L225" i="20" s="1"/>
  <c r="W155" i="6"/>
  <c r="K225" i="20" s="1"/>
  <c r="V155" i="6"/>
  <c r="J225" i="20" s="1"/>
  <c r="U155" i="6"/>
  <c r="I225" i="20" s="1"/>
  <c r="T155" i="6"/>
  <c r="H225" i="20" s="1"/>
  <c r="S155" i="6"/>
  <c r="G225" i="20" s="1"/>
  <c r="R155" i="6"/>
  <c r="F225" i="20" s="1"/>
  <c r="Q155" i="6"/>
  <c r="E225" i="20" s="1"/>
  <c r="P155" i="6"/>
  <c r="D225" i="20" s="1"/>
  <c r="O155" i="6"/>
  <c r="C225" i="20" s="1"/>
  <c r="N155" i="6"/>
  <c r="B225" i="20" s="1"/>
  <c r="D155" i="6"/>
  <c r="D835" i="15" s="1"/>
  <c r="B155" i="6"/>
  <c r="B153" i="6"/>
  <c r="B833" i="15" s="1"/>
  <c r="AC152" i="6"/>
  <c r="AB152" i="6"/>
  <c r="AA152" i="6"/>
  <c r="Z152" i="6"/>
  <c r="N224" i="20" s="1"/>
  <c r="Y152" i="6"/>
  <c r="M224" i="20" s="1"/>
  <c r="X152" i="6"/>
  <c r="L224" i="20" s="1"/>
  <c r="W152" i="6"/>
  <c r="K224" i="20" s="1"/>
  <c r="V152" i="6"/>
  <c r="J224" i="20" s="1"/>
  <c r="U152" i="6"/>
  <c r="I224" i="20" s="1"/>
  <c r="S152" i="6"/>
  <c r="G224" i="20" s="1"/>
  <c r="R152" i="6"/>
  <c r="F224" i="20" s="1"/>
  <c r="Q152" i="6"/>
  <c r="E224" i="20" s="1"/>
  <c r="P152" i="6"/>
  <c r="D224" i="20" s="1"/>
  <c r="O152" i="6"/>
  <c r="C224" i="20" s="1"/>
  <c r="N152" i="6"/>
  <c r="B224" i="20" s="1"/>
  <c r="M152" i="6"/>
  <c r="A224" i="20" s="1"/>
  <c r="D152" i="6"/>
  <c r="D832" i="15" s="1"/>
  <c r="B152" i="6"/>
  <c r="B150" i="6"/>
  <c r="B830" i="15" s="1"/>
  <c r="AC149" i="6"/>
  <c r="AB149" i="6"/>
  <c r="AA149" i="6"/>
  <c r="Z149" i="6"/>
  <c r="N223" i="20" s="1"/>
  <c r="Y149" i="6"/>
  <c r="M223" i="20" s="1"/>
  <c r="X149" i="6"/>
  <c r="L223" i="20" s="1"/>
  <c r="W149" i="6"/>
  <c r="K223" i="20" s="1"/>
  <c r="V149" i="6"/>
  <c r="J223" i="20" s="1"/>
  <c r="U149" i="6"/>
  <c r="I223" i="20" s="1"/>
  <c r="S149" i="6"/>
  <c r="G223" i="20" s="1"/>
  <c r="R149" i="6"/>
  <c r="F223" i="20" s="1"/>
  <c r="Q149" i="6"/>
  <c r="E223" i="20" s="1"/>
  <c r="P149" i="6"/>
  <c r="D223" i="20" s="1"/>
  <c r="O149" i="6"/>
  <c r="C223" i="20" s="1"/>
  <c r="N149" i="6"/>
  <c r="B223" i="20" s="1"/>
  <c r="M149" i="6"/>
  <c r="A223" i="20" s="1"/>
  <c r="D149" i="6"/>
  <c r="D829" i="15" s="1"/>
  <c r="B149" i="6"/>
  <c r="B147" i="6"/>
  <c r="B827" i="15" s="1"/>
  <c r="AC146" i="6"/>
  <c r="AB146" i="6"/>
  <c r="AA146" i="6"/>
  <c r="Z146" i="6"/>
  <c r="N222" i="20" s="1"/>
  <c r="Y146" i="6"/>
  <c r="M222" i="20" s="1"/>
  <c r="X146" i="6"/>
  <c r="L222" i="20" s="1"/>
  <c r="W146" i="6"/>
  <c r="K222" i="20" s="1"/>
  <c r="V146" i="6"/>
  <c r="J222" i="20" s="1"/>
  <c r="U146" i="6"/>
  <c r="I222" i="20" s="1"/>
  <c r="S146" i="6"/>
  <c r="G222" i="20" s="1"/>
  <c r="R146" i="6"/>
  <c r="F222" i="20" s="1"/>
  <c r="Q146" i="6"/>
  <c r="E222" i="20" s="1"/>
  <c r="P146" i="6"/>
  <c r="D222" i="20" s="1"/>
  <c r="O146" i="6"/>
  <c r="C222" i="20" s="1"/>
  <c r="N146" i="6"/>
  <c r="B222" i="20" s="1"/>
  <c r="D146" i="6"/>
  <c r="D826" i="15" s="1"/>
  <c r="B146" i="6"/>
  <c r="B144" i="6"/>
  <c r="B142" i="6"/>
  <c r="B822" i="15" s="1"/>
  <c r="AC141" i="6"/>
  <c r="AB141" i="6"/>
  <c r="AA141" i="6"/>
  <c r="Z141" i="6"/>
  <c r="N221" i="20" s="1"/>
  <c r="Y141" i="6"/>
  <c r="M221" i="20" s="1"/>
  <c r="X141" i="6"/>
  <c r="L221" i="20" s="1"/>
  <c r="W141" i="6"/>
  <c r="K221" i="20" s="1"/>
  <c r="V141" i="6"/>
  <c r="J221" i="20" s="1"/>
  <c r="U141" i="6"/>
  <c r="I221" i="20" s="1"/>
  <c r="S141" i="6"/>
  <c r="G221" i="20" s="1"/>
  <c r="R141" i="6"/>
  <c r="F221" i="20" s="1"/>
  <c r="Q141" i="6"/>
  <c r="E221" i="20" s="1"/>
  <c r="P141" i="6"/>
  <c r="D221" i="20" s="1"/>
  <c r="O141" i="6"/>
  <c r="C221" i="20" s="1"/>
  <c r="N141" i="6"/>
  <c r="B221" i="20" s="1"/>
  <c r="M141" i="6"/>
  <c r="A221" i="20" s="1"/>
  <c r="D141" i="6"/>
  <c r="D821" i="15" s="1"/>
  <c r="B141" i="6"/>
  <c r="B139" i="6"/>
  <c r="B819" i="15" s="1"/>
  <c r="AC138" i="6"/>
  <c r="AB138" i="6"/>
  <c r="AA138" i="6"/>
  <c r="Z138" i="6"/>
  <c r="N220" i="20" s="1"/>
  <c r="Y138" i="6"/>
  <c r="M220" i="20" s="1"/>
  <c r="X138" i="6"/>
  <c r="L220" i="20" s="1"/>
  <c r="W138" i="6"/>
  <c r="K220" i="20" s="1"/>
  <c r="V138" i="6"/>
  <c r="J220" i="20" s="1"/>
  <c r="U138" i="6"/>
  <c r="I220" i="20" s="1"/>
  <c r="S138" i="6"/>
  <c r="G220" i="20" s="1"/>
  <c r="R138" i="6"/>
  <c r="F220" i="20" s="1"/>
  <c r="Q138" i="6"/>
  <c r="E220" i="20" s="1"/>
  <c r="P138" i="6"/>
  <c r="D220" i="20" s="1"/>
  <c r="O138" i="6"/>
  <c r="C220" i="20" s="1"/>
  <c r="N138" i="6"/>
  <c r="B220" i="20" s="1"/>
  <c r="M138" i="6"/>
  <c r="A220" i="20" s="1"/>
  <c r="D138" i="6"/>
  <c r="D818" i="15" s="1"/>
  <c r="B138" i="6"/>
  <c r="B136" i="6"/>
  <c r="B816" i="15" s="1"/>
  <c r="AC135" i="6"/>
  <c r="AB135" i="6"/>
  <c r="AA135" i="6"/>
  <c r="Z135" i="6"/>
  <c r="N219" i="20" s="1"/>
  <c r="Y135" i="6"/>
  <c r="M219" i="20" s="1"/>
  <c r="X135" i="6"/>
  <c r="L219" i="20" s="1"/>
  <c r="W135" i="6"/>
  <c r="K219" i="20" s="1"/>
  <c r="V135" i="6"/>
  <c r="J219" i="20" s="1"/>
  <c r="U135" i="6"/>
  <c r="I219" i="20" s="1"/>
  <c r="S135" i="6"/>
  <c r="G219" i="20" s="1"/>
  <c r="R135" i="6"/>
  <c r="F219" i="20" s="1"/>
  <c r="Q135" i="6"/>
  <c r="E219" i="20" s="1"/>
  <c r="P135" i="6"/>
  <c r="D219" i="20" s="1"/>
  <c r="O135" i="6"/>
  <c r="C219" i="20" s="1"/>
  <c r="N135" i="6"/>
  <c r="B219" i="20" s="1"/>
  <c r="D135" i="6"/>
  <c r="D815" i="15" s="1"/>
  <c r="B135" i="6"/>
  <c r="B133" i="6"/>
  <c r="B813" i="15" s="1"/>
  <c r="AC132" i="6"/>
  <c r="AB132" i="6"/>
  <c r="AA132" i="6"/>
  <c r="Z132" i="6"/>
  <c r="N218" i="20" s="1"/>
  <c r="Y132" i="6"/>
  <c r="M218" i="20" s="1"/>
  <c r="X132" i="6"/>
  <c r="L218" i="20" s="1"/>
  <c r="W132" i="6"/>
  <c r="K218" i="20" s="1"/>
  <c r="V132" i="6"/>
  <c r="J218" i="20" s="1"/>
  <c r="U132" i="6"/>
  <c r="I218" i="20" s="1"/>
  <c r="S132" i="6"/>
  <c r="G218" i="20" s="1"/>
  <c r="R132" i="6"/>
  <c r="F218" i="20" s="1"/>
  <c r="Q132" i="6"/>
  <c r="E218" i="20" s="1"/>
  <c r="P132" i="6"/>
  <c r="D218" i="20" s="1"/>
  <c r="O132" i="6"/>
  <c r="C218" i="20" s="1"/>
  <c r="N132" i="6"/>
  <c r="B218" i="20" s="1"/>
  <c r="D132" i="6"/>
  <c r="T132" i="6" s="1"/>
  <c r="H218" i="20" s="1"/>
  <c r="B132" i="6"/>
  <c r="B130" i="6"/>
  <c r="B810" i="15" s="1"/>
  <c r="AC129" i="6"/>
  <c r="AB129" i="6"/>
  <c r="AA129" i="6"/>
  <c r="Z129" i="6"/>
  <c r="N217" i="20" s="1"/>
  <c r="Y129" i="6"/>
  <c r="M217" i="20" s="1"/>
  <c r="X129" i="6"/>
  <c r="L217" i="20" s="1"/>
  <c r="W129" i="6"/>
  <c r="K217" i="20" s="1"/>
  <c r="V129" i="6"/>
  <c r="J217" i="20" s="1"/>
  <c r="U129" i="6"/>
  <c r="I217" i="20" s="1"/>
  <c r="S129" i="6"/>
  <c r="G217" i="20" s="1"/>
  <c r="R129" i="6"/>
  <c r="F217" i="20" s="1"/>
  <c r="Q129" i="6"/>
  <c r="E217" i="20" s="1"/>
  <c r="P129" i="6"/>
  <c r="D217" i="20" s="1"/>
  <c r="O129" i="6"/>
  <c r="C217" i="20" s="1"/>
  <c r="N129" i="6"/>
  <c r="B217" i="20" s="1"/>
  <c r="M129" i="6"/>
  <c r="A217" i="20" s="1"/>
  <c r="D129" i="6"/>
  <c r="D809" i="15" s="1"/>
  <c r="B129" i="6"/>
  <c r="B127" i="6"/>
  <c r="B807" i="15" s="1"/>
  <c r="B125" i="6"/>
  <c r="B805" i="15" s="1"/>
  <c r="AC124" i="6"/>
  <c r="AB124" i="6"/>
  <c r="AA124" i="6"/>
  <c r="Z124" i="6"/>
  <c r="N216" i="20" s="1"/>
  <c r="Y124" i="6"/>
  <c r="M216" i="20" s="1"/>
  <c r="X124" i="6"/>
  <c r="L216" i="20" s="1"/>
  <c r="W124" i="6"/>
  <c r="K216" i="20" s="1"/>
  <c r="V124" i="6"/>
  <c r="J216" i="20" s="1"/>
  <c r="U124" i="6"/>
  <c r="I216" i="20" s="1"/>
  <c r="S124" i="6"/>
  <c r="G216" i="20" s="1"/>
  <c r="R124" i="6"/>
  <c r="F216" i="20" s="1"/>
  <c r="Q124" i="6"/>
  <c r="E216" i="20" s="1"/>
  <c r="P124" i="6"/>
  <c r="D216" i="20" s="1"/>
  <c r="O124" i="6"/>
  <c r="C216" i="20" s="1"/>
  <c r="N124" i="6"/>
  <c r="B216" i="20" s="1"/>
  <c r="D124" i="6"/>
  <c r="D804" i="15" s="1"/>
  <c r="B124" i="6"/>
  <c r="B122" i="6"/>
  <c r="B802" i="15" s="1"/>
  <c r="AC121" i="6"/>
  <c r="AB121" i="6"/>
  <c r="AA121" i="6"/>
  <c r="Z121" i="6"/>
  <c r="N215" i="20" s="1"/>
  <c r="Y121" i="6"/>
  <c r="M215" i="20" s="1"/>
  <c r="X121" i="6"/>
  <c r="L215" i="20" s="1"/>
  <c r="W121" i="6"/>
  <c r="K215" i="20" s="1"/>
  <c r="V121" i="6"/>
  <c r="J215" i="20" s="1"/>
  <c r="U121" i="6"/>
  <c r="I215" i="20" s="1"/>
  <c r="S121" i="6"/>
  <c r="G215" i="20" s="1"/>
  <c r="R121" i="6"/>
  <c r="F215" i="20" s="1"/>
  <c r="Q121" i="6"/>
  <c r="E215" i="20" s="1"/>
  <c r="P121" i="6"/>
  <c r="D215" i="20" s="1"/>
  <c r="O121" i="6"/>
  <c r="C215" i="20" s="1"/>
  <c r="N121" i="6"/>
  <c r="B215" i="20" s="1"/>
  <c r="D121" i="6"/>
  <c r="D801" i="15" s="1"/>
  <c r="B121" i="6"/>
  <c r="B119" i="6"/>
  <c r="B799" i="15" s="1"/>
  <c r="AC118" i="6"/>
  <c r="AB118" i="6"/>
  <c r="AA118" i="6"/>
  <c r="Z118" i="6"/>
  <c r="N214" i="20" s="1"/>
  <c r="Y118" i="6"/>
  <c r="M214" i="20" s="1"/>
  <c r="X118" i="6"/>
  <c r="L214" i="20" s="1"/>
  <c r="W118" i="6"/>
  <c r="K214" i="20" s="1"/>
  <c r="V118" i="6"/>
  <c r="J214" i="20" s="1"/>
  <c r="U118" i="6"/>
  <c r="I214" i="20" s="1"/>
  <c r="S118" i="6"/>
  <c r="G214" i="20" s="1"/>
  <c r="R118" i="6"/>
  <c r="F214" i="20" s="1"/>
  <c r="Q118" i="6"/>
  <c r="E214" i="20" s="1"/>
  <c r="P118" i="6"/>
  <c r="D214" i="20" s="1"/>
  <c r="O118" i="6"/>
  <c r="C214" i="20" s="1"/>
  <c r="N118" i="6"/>
  <c r="B214" i="20" s="1"/>
  <c r="M118" i="6"/>
  <c r="A214" i="20" s="1"/>
  <c r="D118" i="6"/>
  <c r="D798" i="15" s="1"/>
  <c r="B118" i="6"/>
  <c r="B116" i="6"/>
  <c r="B796" i="15" s="1"/>
  <c r="AC115" i="6"/>
  <c r="AB115" i="6"/>
  <c r="AA115" i="6"/>
  <c r="Z115" i="6"/>
  <c r="N213" i="20" s="1"/>
  <c r="Y115" i="6"/>
  <c r="M213" i="20" s="1"/>
  <c r="X115" i="6"/>
  <c r="L213" i="20" s="1"/>
  <c r="W115" i="6"/>
  <c r="K213" i="20" s="1"/>
  <c r="V115" i="6"/>
  <c r="J213" i="20" s="1"/>
  <c r="U115" i="6"/>
  <c r="I213" i="20" s="1"/>
  <c r="S115" i="6"/>
  <c r="G213" i="20" s="1"/>
  <c r="R115" i="6"/>
  <c r="F213" i="20" s="1"/>
  <c r="Q115" i="6"/>
  <c r="E213" i="20" s="1"/>
  <c r="P115" i="6"/>
  <c r="D213" i="20" s="1"/>
  <c r="O115" i="6"/>
  <c r="C213" i="20" s="1"/>
  <c r="N115" i="6"/>
  <c r="B213" i="20" s="1"/>
  <c r="M115" i="6"/>
  <c r="A213" i="20" s="1"/>
  <c r="D115" i="6"/>
  <c r="D795" i="15" s="1"/>
  <c r="B115" i="6"/>
  <c r="B113" i="6"/>
  <c r="B793" i="15" s="1"/>
  <c r="AC112" i="6"/>
  <c r="AB112" i="6"/>
  <c r="AA112" i="6"/>
  <c r="Z112" i="6"/>
  <c r="N212" i="20" s="1"/>
  <c r="Y112" i="6"/>
  <c r="M212" i="20" s="1"/>
  <c r="X112" i="6"/>
  <c r="L212" i="20" s="1"/>
  <c r="W112" i="6"/>
  <c r="K212" i="20" s="1"/>
  <c r="V112" i="6"/>
  <c r="J212" i="20" s="1"/>
  <c r="U112" i="6"/>
  <c r="I212" i="20" s="1"/>
  <c r="T112" i="6"/>
  <c r="H212" i="20" s="1"/>
  <c r="S112" i="6"/>
  <c r="G212" i="20" s="1"/>
  <c r="R112" i="6"/>
  <c r="F212" i="20" s="1"/>
  <c r="Q112" i="6"/>
  <c r="E212" i="20" s="1"/>
  <c r="P112" i="6"/>
  <c r="D212" i="20" s="1"/>
  <c r="O112" i="6"/>
  <c r="C212" i="20" s="1"/>
  <c r="N112" i="6"/>
  <c r="B212" i="20" s="1"/>
  <c r="D112" i="6"/>
  <c r="D792" i="15" s="1"/>
  <c r="B112" i="6"/>
  <c r="B212" i="19" s="1"/>
  <c r="B110" i="6"/>
  <c r="B790" i="15" s="1"/>
  <c r="B108" i="6"/>
  <c r="B788" i="15" s="1"/>
  <c r="AC107" i="6"/>
  <c r="AB107" i="6"/>
  <c r="AA107" i="6"/>
  <c r="Z107" i="6"/>
  <c r="N211" i="20" s="1"/>
  <c r="Y107" i="6"/>
  <c r="M211" i="20" s="1"/>
  <c r="X107" i="6"/>
  <c r="L211" i="20" s="1"/>
  <c r="W107" i="6"/>
  <c r="K211" i="20" s="1"/>
  <c r="V107" i="6"/>
  <c r="J211" i="20" s="1"/>
  <c r="U107" i="6"/>
  <c r="I211" i="20" s="1"/>
  <c r="S107" i="6"/>
  <c r="G211" i="20" s="1"/>
  <c r="R107" i="6"/>
  <c r="F211" i="20" s="1"/>
  <c r="Q107" i="6"/>
  <c r="E211" i="20" s="1"/>
  <c r="P107" i="6"/>
  <c r="D211" i="20" s="1"/>
  <c r="O107" i="6"/>
  <c r="C211" i="20" s="1"/>
  <c r="N107" i="6"/>
  <c r="B211" i="20" s="1"/>
  <c r="M107" i="6"/>
  <c r="A211" i="20" s="1"/>
  <c r="D107" i="6"/>
  <c r="D787" i="15" s="1"/>
  <c r="B107" i="6"/>
  <c r="B105" i="6"/>
  <c r="B785" i="15" s="1"/>
  <c r="AC104" i="6"/>
  <c r="AB104" i="6"/>
  <c r="AA104" i="6"/>
  <c r="Z104" i="6"/>
  <c r="N210" i="20" s="1"/>
  <c r="Y104" i="6"/>
  <c r="M210" i="20" s="1"/>
  <c r="X104" i="6"/>
  <c r="L210" i="20" s="1"/>
  <c r="W104" i="6"/>
  <c r="K210" i="20" s="1"/>
  <c r="V104" i="6"/>
  <c r="J210" i="20" s="1"/>
  <c r="U104" i="6"/>
  <c r="I210" i="20" s="1"/>
  <c r="S104" i="6"/>
  <c r="G210" i="20" s="1"/>
  <c r="R104" i="6"/>
  <c r="F210" i="20" s="1"/>
  <c r="Q104" i="6"/>
  <c r="E210" i="20" s="1"/>
  <c r="P104" i="6"/>
  <c r="D210" i="20" s="1"/>
  <c r="O104" i="6"/>
  <c r="C210" i="20" s="1"/>
  <c r="N104" i="6"/>
  <c r="B210" i="20" s="1"/>
  <c r="M104" i="6"/>
  <c r="A210" i="20" s="1"/>
  <c r="D104" i="6"/>
  <c r="D784" i="15" s="1"/>
  <c r="B104" i="6"/>
  <c r="B102" i="6"/>
  <c r="B782" i="15" s="1"/>
  <c r="AC101" i="6"/>
  <c r="AB101" i="6"/>
  <c r="AA101" i="6"/>
  <c r="Z101" i="6"/>
  <c r="N209" i="20" s="1"/>
  <c r="Y101" i="6"/>
  <c r="M209" i="20" s="1"/>
  <c r="X101" i="6"/>
  <c r="L209" i="20" s="1"/>
  <c r="W101" i="6"/>
  <c r="K209" i="20" s="1"/>
  <c r="V101" i="6"/>
  <c r="J209" i="20" s="1"/>
  <c r="U101" i="6"/>
  <c r="I209" i="20" s="1"/>
  <c r="S101" i="6"/>
  <c r="G209" i="20" s="1"/>
  <c r="R101" i="6"/>
  <c r="F209" i="20" s="1"/>
  <c r="Q101" i="6"/>
  <c r="E209" i="20" s="1"/>
  <c r="P101" i="6"/>
  <c r="D209" i="20" s="1"/>
  <c r="O101" i="6"/>
  <c r="C209" i="20" s="1"/>
  <c r="N101" i="6"/>
  <c r="B209" i="20" s="1"/>
  <c r="D101" i="6"/>
  <c r="B101" i="6"/>
  <c r="B209" i="19" s="1"/>
  <c r="B99" i="6"/>
  <c r="B779" i="15" s="1"/>
  <c r="AC98" i="6"/>
  <c r="AB98" i="6"/>
  <c r="AA98" i="6"/>
  <c r="Z98" i="6"/>
  <c r="N208" i="20" s="1"/>
  <c r="Y98" i="6"/>
  <c r="M208" i="20" s="1"/>
  <c r="X98" i="6"/>
  <c r="L208" i="20" s="1"/>
  <c r="W98" i="6"/>
  <c r="K208" i="20" s="1"/>
  <c r="V98" i="6"/>
  <c r="J208" i="20" s="1"/>
  <c r="U98" i="6"/>
  <c r="I208" i="20" s="1"/>
  <c r="S98" i="6"/>
  <c r="G208" i="20" s="1"/>
  <c r="R98" i="6"/>
  <c r="F208" i="20" s="1"/>
  <c r="Q98" i="6"/>
  <c r="E208" i="20" s="1"/>
  <c r="P98" i="6"/>
  <c r="D208" i="20" s="1"/>
  <c r="O98" i="6"/>
  <c r="C208" i="20" s="1"/>
  <c r="N98" i="6"/>
  <c r="B208" i="20" s="1"/>
  <c r="D98" i="6"/>
  <c r="B98" i="6"/>
  <c r="B96" i="6"/>
  <c r="B776" i="15" s="1"/>
  <c r="AC95" i="6"/>
  <c r="AB95" i="6"/>
  <c r="AA95" i="6"/>
  <c r="Z95" i="6"/>
  <c r="N207" i="20" s="1"/>
  <c r="Y95" i="6"/>
  <c r="M207" i="20" s="1"/>
  <c r="X95" i="6"/>
  <c r="L207" i="20" s="1"/>
  <c r="W95" i="6"/>
  <c r="K207" i="20" s="1"/>
  <c r="V95" i="6"/>
  <c r="J207" i="20" s="1"/>
  <c r="U95" i="6"/>
  <c r="I207" i="20" s="1"/>
  <c r="S95" i="6"/>
  <c r="G207" i="20" s="1"/>
  <c r="R95" i="6"/>
  <c r="F207" i="20" s="1"/>
  <c r="Q95" i="6"/>
  <c r="E207" i="20" s="1"/>
  <c r="P95" i="6"/>
  <c r="D207" i="20" s="1"/>
  <c r="O95" i="6"/>
  <c r="C207" i="20" s="1"/>
  <c r="N95" i="6"/>
  <c r="B207" i="20" s="1"/>
  <c r="M95" i="6"/>
  <c r="A207" i="20" s="1"/>
  <c r="D95" i="6"/>
  <c r="D775" i="15" s="1"/>
  <c r="B95" i="6"/>
  <c r="B93" i="6"/>
  <c r="B773" i="15" s="1"/>
  <c r="B91" i="6"/>
  <c r="B771" i="15" s="1"/>
  <c r="AC90" i="6"/>
  <c r="AB90" i="6"/>
  <c r="AA90" i="6"/>
  <c r="Z90" i="6"/>
  <c r="N206" i="20" s="1"/>
  <c r="Y90" i="6"/>
  <c r="M206" i="20" s="1"/>
  <c r="X90" i="6"/>
  <c r="L206" i="20" s="1"/>
  <c r="W90" i="6"/>
  <c r="K206" i="20" s="1"/>
  <c r="V90" i="6"/>
  <c r="J206" i="20" s="1"/>
  <c r="U90" i="6"/>
  <c r="I206" i="20" s="1"/>
  <c r="S90" i="6"/>
  <c r="G206" i="20" s="1"/>
  <c r="R90" i="6"/>
  <c r="F206" i="20" s="1"/>
  <c r="Q90" i="6"/>
  <c r="E206" i="20" s="1"/>
  <c r="P90" i="6"/>
  <c r="D206" i="20" s="1"/>
  <c r="O90" i="6"/>
  <c r="C206" i="20" s="1"/>
  <c r="N90" i="6"/>
  <c r="B206" i="20" s="1"/>
  <c r="D90" i="6"/>
  <c r="B90" i="6"/>
  <c r="B88" i="6"/>
  <c r="B768" i="15" s="1"/>
  <c r="AC87" i="6"/>
  <c r="AB87" i="6"/>
  <c r="AA87" i="6"/>
  <c r="Z87" i="6"/>
  <c r="N205" i="20" s="1"/>
  <c r="Y87" i="6"/>
  <c r="M205" i="20" s="1"/>
  <c r="X87" i="6"/>
  <c r="L205" i="20" s="1"/>
  <c r="W87" i="6"/>
  <c r="K205" i="20" s="1"/>
  <c r="V87" i="6"/>
  <c r="J205" i="20" s="1"/>
  <c r="U87" i="6"/>
  <c r="I205" i="20" s="1"/>
  <c r="S87" i="6"/>
  <c r="G205" i="20" s="1"/>
  <c r="R87" i="6"/>
  <c r="F205" i="20" s="1"/>
  <c r="Q87" i="6"/>
  <c r="E205" i="20" s="1"/>
  <c r="P87" i="6"/>
  <c r="D205" i="20" s="1"/>
  <c r="O87" i="6"/>
  <c r="C205" i="20" s="1"/>
  <c r="N87" i="6"/>
  <c r="B205" i="20" s="1"/>
  <c r="D87" i="6"/>
  <c r="T87" i="6" s="1"/>
  <c r="H205" i="20" s="1"/>
  <c r="B87" i="6"/>
  <c r="B85" i="6"/>
  <c r="B765" i="15" s="1"/>
  <c r="AC84" i="6"/>
  <c r="AB84" i="6"/>
  <c r="AA84" i="6"/>
  <c r="Z84" i="6"/>
  <c r="N204" i="20" s="1"/>
  <c r="Y84" i="6"/>
  <c r="M204" i="20" s="1"/>
  <c r="X84" i="6"/>
  <c r="L204" i="20" s="1"/>
  <c r="W84" i="6"/>
  <c r="K204" i="20" s="1"/>
  <c r="V84" i="6"/>
  <c r="J204" i="20" s="1"/>
  <c r="U84" i="6"/>
  <c r="I204" i="20" s="1"/>
  <c r="S84" i="6"/>
  <c r="G204" i="20" s="1"/>
  <c r="R84" i="6"/>
  <c r="F204" i="20" s="1"/>
  <c r="Q84" i="6"/>
  <c r="E204" i="20" s="1"/>
  <c r="P84" i="6"/>
  <c r="D204" i="20" s="1"/>
  <c r="O84" i="6"/>
  <c r="C204" i="20" s="1"/>
  <c r="N84" i="6"/>
  <c r="B204" i="20" s="1"/>
  <c r="M84" i="6"/>
  <c r="A204" i="20" s="1"/>
  <c r="D84" i="6"/>
  <c r="D764" i="15" s="1"/>
  <c r="B84" i="6"/>
  <c r="B82" i="6"/>
  <c r="B762" i="15" s="1"/>
  <c r="AC81" i="6"/>
  <c r="AB81" i="6"/>
  <c r="AA81" i="6"/>
  <c r="Z81" i="6"/>
  <c r="N203" i="20" s="1"/>
  <c r="Y81" i="6"/>
  <c r="M203" i="20" s="1"/>
  <c r="X81" i="6"/>
  <c r="L203" i="20" s="1"/>
  <c r="W81" i="6"/>
  <c r="K203" i="20" s="1"/>
  <c r="V81" i="6"/>
  <c r="J203" i="20" s="1"/>
  <c r="U81" i="6"/>
  <c r="I203" i="20" s="1"/>
  <c r="S81" i="6"/>
  <c r="G203" i="20" s="1"/>
  <c r="R81" i="6"/>
  <c r="F203" i="20" s="1"/>
  <c r="Q81" i="6"/>
  <c r="E203" i="20" s="1"/>
  <c r="P81" i="6"/>
  <c r="D203" i="20" s="1"/>
  <c r="O81" i="6"/>
  <c r="C203" i="20" s="1"/>
  <c r="N81" i="6"/>
  <c r="B203" i="20" s="1"/>
  <c r="M81" i="6"/>
  <c r="A203" i="20" s="1"/>
  <c r="D81" i="6"/>
  <c r="D761" i="15" s="1"/>
  <c r="B81" i="6"/>
  <c r="B79" i="6"/>
  <c r="B759" i="15" s="1"/>
  <c r="AC78" i="6"/>
  <c r="AB78" i="6"/>
  <c r="AA78" i="6"/>
  <c r="Z78" i="6"/>
  <c r="N202" i="20" s="1"/>
  <c r="Y78" i="6"/>
  <c r="M202" i="20" s="1"/>
  <c r="X78" i="6"/>
  <c r="L202" i="20" s="1"/>
  <c r="W78" i="6"/>
  <c r="K202" i="20" s="1"/>
  <c r="V78" i="6"/>
  <c r="J202" i="20" s="1"/>
  <c r="U78" i="6"/>
  <c r="I202" i="20" s="1"/>
  <c r="S78" i="6"/>
  <c r="G202" i="20" s="1"/>
  <c r="R78" i="6"/>
  <c r="F202" i="20" s="1"/>
  <c r="Q78" i="6"/>
  <c r="E202" i="20" s="1"/>
  <c r="P78" i="6"/>
  <c r="D202" i="20" s="1"/>
  <c r="O78" i="6"/>
  <c r="C202" i="20" s="1"/>
  <c r="N78" i="6"/>
  <c r="B202" i="20" s="1"/>
  <c r="D78" i="6"/>
  <c r="D758" i="15" s="1"/>
  <c r="B78" i="6"/>
  <c r="B76" i="6"/>
  <c r="B756" i="15" s="1"/>
  <c r="B74" i="6"/>
  <c r="B754" i="15" s="1"/>
  <c r="AC73" i="6"/>
  <c r="AB73" i="6"/>
  <c r="AA73" i="6"/>
  <c r="Z73" i="6"/>
  <c r="N201" i="20" s="1"/>
  <c r="Y73" i="6"/>
  <c r="M201" i="20" s="1"/>
  <c r="X73" i="6"/>
  <c r="L201" i="20" s="1"/>
  <c r="W73" i="6"/>
  <c r="K201" i="20" s="1"/>
  <c r="V73" i="6"/>
  <c r="J201" i="20" s="1"/>
  <c r="U73" i="6"/>
  <c r="I201" i="20" s="1"/>
  <c r="S73" i="6"/>
  <c r="G201" i="20" s="1"/>
  <c r="R73" i="6"/>
  <c r="F201" i="20" s="1"/>
  <c r="Q73" i="6"/>
  <c r="E201" i="20" s="1"/>
  <c r="P73" i="6"/>
  <c r="D201" i="20" s="1"/>
  <c r="O73" i="6"/>
  <c r="C201" i="20" s="1"/>
  <c r="N73" i="6"/>
  <c r="B201" i="20" s="1"/>
  <c r="M73" i="6"/>
  <c r="A201" i="20" s="1"/>
  <c r="D73" i="6"/>
  <c r="D753" i="15" s="1"/>
  <c r="B73" i="6"/>
  <c r="B71" i="6"/>
  <c r="B751" i="15" s="1"/>
  <c r="AC70" i="6"/>
  <c r="AB70" i="6"/>
  <c r="AA70" i="6"/>
  <c r="Z70" i="6"/>
  <c r="N200" i="20" s="1"/>
  <c r="Y70" i="6"/>
  <c r="M200" i="20" s="1"/>
  <c r="X70" i="6"/>
  <c r="L200" i="20" s="1"/>
  <c r="W70" i="6"/>
  <c r="K200" i="20" s="1"/>
  <c r="V70" i="6"/>
  <c r="J200" i="20" s="1"/>
  <c r="U70" i="6"/>
  <c r="I200" i="20" s="1"/>
  <c r="S70" i="6"/>
  <c r="G200" i="20" s="1"/>
  <c r="R70" i="6"/>
  <c r="F200" i="20" s="1"/>
  <c r="Q70" i="6"/>
  <c r="E200" i="20" s="1"/>
  <c r="P70" i="6"/>
  <c r="D200" i="20" s="1"/>
  <c r="O70" i="6"/>
  <c r="C200" i="20" s="1"/>
  <c r="N70" i="6"/>
  <c r="B200" i="20" s="1"/>
  <c r="D70" i="6"/>
  <c r="D750" i="15" s="1"/>
  <c r="B70" i="6"/>
  <c r="B68" i="6"/>
  <c r="B748" i="15" s="1"/>
  <c r="AC67" i="6"/>
  <c r="AB67" i="6"/>
  <c r="AA67" i="6"/>
  <c r="Z67" i="6"/>
  <c r="N199" i="20" s="1"/>
  <c r="Y67" i="6"/>
  <c r="M199" i="20" s="1"/>
  <c r="X67" i="6"/>
  <c r="L199" i="20" s="1"/>
  <c r="W67" i="6"/>
  <c r="K199" i="20" s="1"/>
  <c r="V67" i="6"/>
  <c r="J199" i="20" s="1"/>
  <c r="U67" i="6"/>
  <c r="I199" i="20" s="1"/>
  <c r="S67" i="6"/>
  <c r="G199" i="20" s="1"/>
  <c r="R67" i="6"/>
  <c r="F199" i="20" s="1"/>
  <c r="Q67" i="6"/>
  <c r="E199" i="20" s="1"/>
  <c r="P67" i="6"/>
  <c r="D199" i="20" s="1"/>
  <c r="O67" i="6"/>
  <c r="C199" i="20" s="1"/>
  <c r="N67" i="6"/>
  <c r="B199" i="20" s="1"/>
  <c r="D67" i="6"/>
  <c r="D747" i="15" s="1"/>
  <c r="B67" i="6"/>
  <c r="B199" i="19" s="1"/>
  <c r="B65" i="6"/>
  <c r="B745" i="15" s="1"/>
  <c r="AC64" i="6"/>
  <c r="AB64" i="6"/>
  <c r="AA64" i="6"/>
  <c r="Z64" i="6"/>
  <c r="N198" i="20" s="1"/>
  <c r="Y64" i="6"/>
  <c r="M198" i="20" s="1"/>
  <c r="X64" i="6"/>
  <c r="L198" i="20" s="1"/>
  <c r="W64" i="6"/>
  <c r="K198" i="20" s="1"/>
  <c r="V64" i="6"/>
  <c r="J198" i="20" s="1"/>
  <c r="U64" i="6"/>
  <c r="I198" i="20" s="1"/>
  <c r="S64" i="6"/>
  <c r="G198" i="20" s="1"/>
  <c r="R64" i="6"/>
  <c r="F198" i="20" s="1"/>
  <c r="Q64" i="6"/>
  <c r="E198" i="20" s="1"/>
  <c r="P64" i="6"/>
  <c r="D198" i="20" s="1"/>
  <c r="O64" i="6"/>
  <c r="C198" i="20" s="1"/>
  <c r="N64" i="6"/>
  <c r="B198" i="20" s="1"/>
  <c r="M64" i="6"/>
  <c r="A198" i="20" s="1"/>
  <c r="D64" i="6"/>
  <c r="D744" i="15" s="1"/>
  <c r="B64" i="6"/>
  <c r="B198" i="19" s="1"/>
  <c r="B62" i="6"/>
  <c r="B742" i="15" s="1"/>
  <c r="AC61" i="6"/>
  <c r="AB61" i="6"/>
  <c r="AA61" i="6"/>
  <c r="Z61" i="6"/>
  <c r="N197" i="20" s="1"/>
  <c r="Y61" i="6"/>
  <c r="M197" i="20" s="1"/>
  <c r="X61" i="6"/>
  <c r="L197" i="20" s="1"/>
  <c r="W61" i="6"/>
  <c r="K197" i="20" s="1"/>
  <c r="V61" i="6"/>
  <c r="J197" i="20" s="1"/>
  <c r="U61" i="6"/>
  <c r="I197" i="20" s="1"/>
  <c r="S61" i="6"/>
  <c r="G197" i="20" s="1"/>
  <c r="R61" i="6"/>
  <c r="F197" i="20" s="1"/>
  <c r="Q61" i="6"/>
  <c r="E197" i="20" s="1"/>
  <c r="P61" i="6"/>
  <c r="D197" i="20" s="1"/>
  <c r="O61" i="6"/>
  <c r="C197" i="20" s="1"/>
  <c r="N61" i="6"/>
  <c r="B197" i="20" s="1"/>
  <c r="M61" i="6"/>
  <c r="A197" i="20" s="1"/>
  <c r="D61" i="6"/>
  <c r="D741" i="15" s="1"/>
  <c r="B61" i="6"/>
  <c r="B59" i="6"/>
  <c r="B739" i="15" s="1"/>
  <c r="B57" i="6"/>
  <c r="B737" i="15" s="1"/>
  <c r="AC56" i="6"/>
  <c r="AB56" i="6"/>
  <c r="AA56" i="6"/>
  <c r="Z56" i="6"/>
  <c r="N196" i="20" s="1"/>
  <c r="Y56" i="6"/>
  <c r="M196" i="20" s="1"/>
  <c r="X56" i="6"/>
  <c r="L196" i="20" s="1"/>
  <c r="W56" i="6"/>
  <c r="K196" i="20" s="1"/>
  <c r="V56" i="6"/>
  <c r="J196" i="20" s="1"/>
  <c r="U56" i="6"/>
  <c r="I196" i="20" s="1"/>
  <c r="S56" i="6"/>
  <c r="G196" i="20" s="1"/>
  <c r="R56" i="6"/>
  <c r="F196" i="20" s="1"/>
  <c r="Q56" i="6"/>
  <c r="E196" i="20" s="1"/>
  <c r="P56" i="6"/>
  <c r="D196" i="20" s="1"/>
  <c r="O56" i="6"/>
  <c r="C196" i="20" s="1"/>
  <c r="N56" i="6"/>
  <c r="B196" i="20" s="1"/>
  <c r="D56" i="6"/>
  <c r="D736" i="15" s="1"/>
  <c r="B56" i="6"/>
  <c r="B54" i="6"/>
  <c r="B734" i="15" s="1"/>
  <c r="AC53" i="6"/>
  <c r="AB53" i="6"/>
  <c r="AA53" i="6"/>
  <c r="Z53" i="6"/>
  <c r="N195" i="20" s="1"/>
  <c r="Y53" i="6"/>
  <c r="M195" i="20" s="1"/>
  <c r="X53" i="6"/>
  <c r="L195" i="20" s="1"/>
  <c r="W53" i="6"/>
  <c r="K195" i="20" s="1"/>
  <c r="V53" i="6"/>
  <c r="J195" i="20" s="1"/>
  <c r="U53" i="6"/>
  <c r="I195" i="20" s="1"/>
  <c r="S53" i="6"/>
  <c r="G195" i="20" s="1"/>
  <c r="R53" i="6"/>
  <c r="F195" i="20" s="1"/>
  <c r="Q53" i="6"/>
  <c r="E195" i="20" s="1"/>
  <c r="P53" i="6"/>
  <c r="D195" i="20" s="1"/>
  <c r="O53" i="6"/>
  <c r="C195" i="20" s="1"/>
  <c r="N53" i="6"/>
  <c r="B195" i="20" s="1"/>
  <c r="M53" i="6"/>
  <c r="A195" i="20" s="1"/>
  <c r="D53" i="6"/>
  <c r="D733" i="15" s="1"/>
  <c r="B53" i="6"/>
  <c r="B51" i="6"/>
  <c r="B731" i="15" s="1"/>
  <c r="AC50" i="6"/>
  <c r="AB50" i="6"/>
  <c r="AA50" i="6"/>
  <c r="Z50" i="6"/>
  <c r="N194" i="20" s="1"/>
  <c r="Y50" i="6"/>
  <c r="M194" i="20" s="1"/>
  <c r="X50" i="6"/>
  <c r="L194" i="20" s="1"/>
  <c r="W50" i="6"/>
  <c r="K194" i="20" s="1"/>
  <c r="V50" i="6"/>
  <c r="J194" i="20" s="1"/>
  <c r="U50" i="6"/>
  <c r="I194" i="20" s="1"/>
  <c r="S50" i="6"/>
  <c r="G194" i="20" s="1"/>
  <c r="R50" i="6"/>
  <c r="F194" i="20" s="1"/>
  <c r="Q50" i="6"/>
  <c r="E194" i="20" s="1"/>
  <c r="P50" i="6"/>
  <c r="D194" i="20" s="1"/>
  <c r="O50" i="6"/>
  <c r="C194" i="20" s="1"/>
  <c r="N50" i="6"/>
  <c r="B194" i="20" s="1"/>
  <c r="M50" i="6"/>
  <c r="A194" i="20" s="1"/>
  <c r="D50" i="6"/>
  <c r="D730" i="15" s="1"/>
  <c r="B50" i="6"/>
  <c r="B48" i="6"/>
  <c r="B728" i="15" s="1"/>
  <c r="AC47" i="6"/>
  <c r="AB47" i="6"/>
  <c r="AA47" i="6"/>
  <c r="Z47" i="6"/>
  <c r="N193" i="20" s="1"/>
  <c r="Y47" i="6"/>
  <c r="M193" i="20" s="1"/>
  <c r="X47" i="6"/>
  <c r="L193" i="20" s="1"/>
  <c r="W47" i="6"/>
  <c r="K193" i="20" s="1"/>
  <c r="V47" i="6"/>
  <c r="J193" i="20" s="1"/>
  <c r="U47" i="6"/>
  <c r="I193" i="20" s="1"/>
  <c r="S47" i="6"/>
  <c r="G193" i="20" s="1"/>
  <c r="R47" i="6"/>
  <c r="F193" i="20" s="1"/>
  <c r="Q47" i="6"/>
  <c r="E193" i="20" s="1"/>
  <c r="P47" i="6"/>
  <c r="D193" i="20" s="1"/>
  <c r="O47" i="6"/>
  <c r="C193" i="20" s="1"/>
  <c r="N47" i="6"/>
  <c r="B193" i="20" s="1"/>
  <c r="M47" i="6"/>
  <c r="A193" i="20" s="1"/>
  <c r="D47" i="6"/>
  <c r="D727" i="15" s="1"/>
  <c r="B47" i="6"/>
  <c r="B45" i="6"/>
  <c r="AC44" i="6"/>
  <c r="AB44" i="6"/>
  <c r="AA44" i="6"/>
  <c r="Z44" i="6"/>
  <c r="N192" i="20" s="1"/>
  <c r="Y44" i="6"/>
  <c r="M192" i="20" s="1"/>
  <c r="X44" i="6"/>
  <c r="L192" i="20" s="1"/>
  <c r="W44" i="6"/>
  <c r="K192" i="20" s="1"/>
  <c r="V44" i="6"/>
  <c r="J192" i="20" s="1"/>
  <c r="U44" i="6"/>
  <c r="I192" i="20" s="1"/>
  <c r="S44" i="6"/>
  <c r="G192" i="20" s="1"/>
  <c r="R44" i="6"/>
  <c r="F192" i="20" s="1"/>
  <c r="Q44" i="6"/>
  <c r="E192" i="20" s="1"/>
  <c r="P44" i="6"/>
  <c r="D192" i="20" s="1"/>
  <c r="O44" i="6"/>
  <c r="C192" i="20" s="1"/>
  <c r="N44" i="6"/>
  <c r="B192" i="20" s="1"/>
  <c r="D44" i="6"/>
  <c r="B44" i="6"/>
  <c r="B42" i="6"/>
  <c r="B40" i="6"/>
  <c r="B720" i="15" s="1"/>
  <c r="AC39" i="6"/>
  <c r="AB39" i="6"/>
  <c r="AA39" i="6"/>
  <c r="Z39" i="6"/>
  <c r="N191" i="20" s="1"/>
  <c r="Y39" i="6"/>
  <c r="M191" i="20" s="1"/>
  <c r="X39" i="6"/>
  <c r="L191" i="20" s="1"/>
  <c r="W39" i="6"/>
  <c r="K191" i="20" s="1"/>
  <c r="V39" i="6"/>
  <c r="J191" i="20" s="1"/>
  <c r="U39" i="6"/>
  <c r="I191" i="20" s="1"/>
  <c r="S39" i="6"/>
  <c r="G191" i="20" s="1"/>
  <c r="R39" i="6"/>
  <c r="F191" i="20" s="1"/>
  <c r="Q39" i="6"/>
  <c r="E191" i="20" s="1"/>
  <c r="P39" i="6"/>
  <c r="D191" i="20" s="1"/>
  <c r="O39" i="6"/>
  <c r="C191" i="20" s="1"/>
  <c r="N39" i="6"/>
  <c r="B191" i="20" s="1"/>
  <c r="M39" i="6"/>
  <c r="A191" i="20" s="1"/>
  <c r="D39" i="6"/>
  <c r="D719" i="15" s="1"/>
  <c r="B39" i="6"/>
  <c r="B37" i="6"/>
  <c r="B717" i="15" s="1"/>
  <c r="AC36" i="6"/>
  <c r="AB36" i="6"/>
  <c r="AA36" i="6"/>
  <c r="Z36" i="6"/>
  <c r="N190" i="20" s="1"/>
  <c r="Y36" i="6"/>
  <c r="M190" i="20" s="1"/>
  <c r="X36" i="6"/>
  <c r="L190" i="20" s="1"/>
  <c r="W36" i="6"/>
  <c r="K190" i="20" s="1"/>
  <c r="V36" i="6"/>
  <c r="J190" i="20" s="1"/>
  <c r="U36" i="6"/>
  <c r="I190" i="20" s="1"/>
  <c r="S36" i="6"/>
  <c r="G190" i="20" s="1"/>
  <c r="R36" i="6"/>
  <c r="F190" i="20" s="1"/>
  <c r="Q36" i="6"/>
  <c r="E190" i="20" s="1"/>
  <c r="P36" i="6"/>
  <c r="D190" i="20" s="1"/>
  <c r="O36" i="6"/>
  <c r="C190" i="20" s="1"/>
  <c r="N36" i="6"/>
  <c r="B190" i="20" s="1"/>
  <c r="M36" i="6"/>
  <c r="A190" i="20" s="1"/>
  <c r="D36" i="6"/>
  <c r="D716" i="15" s="1"/>
  <c r="B36" i="6"/>
  <c r="B34" i="6"/>
  <c r="AC33" i="6"/>
  <c r="AB33" i="6"/>
  <c r="AA33" i="6"/>
  <c r="Z33" i="6"/>
  <c r="N189" i="20" s="1"/>
  <c r="Y33" i="6"/>
  <c r="M189" i="20" s="1"/>
  <c r="X33" i="6"/>
  <c r="L189" i="20" s="1"/>
  <c r="W33" i="6"/>
  <c r="K189" i="20" s="1"/>
  <c r="V33" i="6"/>
  <c r="J189" i="20" s="1"/>
  <c r="U33" i="6"/>
  <c r="I189" i="20" s="1"/>
  <c r="S33" i="6"/>
  <c r="G189" i="20" s="1"/>
  <c r="R33" i="6"/>
  <c r="F189" i="20" s="1"/>
  <c r="Q33" i="6"/>
  <c r="E189" i="20" s="1"/>
  <c r="P33" i="6"/>
  <c r="D189" i="20" s="1"/>
  <c r="O33" i="6"/>
  <c r="C189" i="20" s="1"/>
  <c r="N33" i="6"/>
  <c r="B189" i="20" s="1"/>
  <c r="D33" i="6"/>
  <c r="B33" i="6"/>
  <c r="B31" i="6"/>
  <c r="B711" i="15" s="1"/>
  <c r="AC30" i="6"/>
  <c r="AB30" i="6"/>
  <c r="AA30" i="6"/>
  <c r="Z30" i="6"/>
  <c r="N188" i="20" s="1"/>
  <c r="Y30" i="6"/>
  <c r="M188" i="20" s="1"/>
  <c r="X30" i="6"/>
  <c r="L188" i="20" s="1"/>
  <c r="W30" i="6"/>
  <c r="K188" i="20" s="1"/>
  <c r="V30" i="6"/>
  <c r="J188" i="20" s="1"/>
  <c r="U30" i="6"/>
  <c r="I188" i="20" s="1"/>
  <c r="T30" i="6"/>
  <c r="H188" i="20" s="1"/>
  <c r="S30" i="6"/>
  <c r="G188" i="20" s="1"/>
  <c r="R30" i="6"/>
  <c r="F188" i="20" s="1"/>
  <c r="Q30" i="6"/>
  <c r="E188" i="20" s="1"/>
  <c r="P30" i="6"/>
  <c r="D188" i="20" s="1"/>
  <c r="O30" i="6"/>
  <c r="C188" i="20" s="1"/>
  <c r="N30" i="6"/>
  <c r="B188" i="20" s="1"/>
  <c r="D30" i="6"/>
  <c r="B30" i="6"/>
  <c r="B28" i="6"/>
  <c r="B708" i="15" s="1"/>
  <c r="AC27" i="6"/>
  <c r="AB27" i="6"/>
  <c r="AA27" i="6"/>
  <c r="Z27" i="6"/>
  <c r="N187" i="20" s="1"/>
  <c r="Y27" i="6"/>
  <c r="M187" i="20" s="1"/>
  <c r="X27" i="6"/>
  <c r="L187" i="20" s="1"/>
  <c r="W27" i="6"/>
  <c r="K187" i="20" s="1"/>
  <c r="V27" i="6"/>
  <c r="J187" i="20" s="1"/>
  <c r="U27" i="6"/>
  <c r="I187" i="20" s="1"/>
  <c r="S27" i="6"/>
  <c r="G187" i="20" s="1"/>
  <c r="R27" i="6"/>
  <c r="F187" i="20" s="1"/>
  <c r="Q27" i="6"/>
  <c r="E187" i="20" s="1"/>
  <c r="P27" i="6"/>
  <c r="D187" i="20" s="1"/>
  <c r="O27" i="6"/>
  <c r="C187" i="20" s="1"/>
  <c r="N27" i="6"/>
  <c r="B187" i="20" s="1"/>
  <c r="M27" i="6"/>
  <c r="A187" i="20" s="1"/>
  <c r="D27" i="6"/>
  <c r="D707" i="15" s="1"/>
  <c r="B27" i="6"/>
  <c r="B25" i="6"/>
  <c r="B705" i="15" s="1"/>
  <c r="B23" i="6"/>
  <c r="B703" i="15" s="1"/>
  <c r="AC22" i="6"/>
  <c r="AB22" i="6"/>
  <c r="AA22" i="6"/>
  <c r="Z22" i="6"/>
  <c r="N186" i="20" s="1"/>
  <c r="Y22" i="6"/>
  <c r="M186" i="20" s="1"/>
  <c r="X22" i="6"/>
  <c r="L186" i="20" s="1"/>
  <c r="W22" i="6"/>
  <c r="K186" i="20" s="1"/>
  <c r="V22" i="6"/>
  <c r="J186" i="20" s="1"/>
  <c r="U22" i="6"/>
  <c r="I186" i="20" s="1"/>
  <c r="T22" i="6"/>
  <c r="H186" i="20" s="1"/>
  <c r="S22" i="6"/>
  <c r="G186" i="20" s="1"/>
  <c r="R22" i="6"/>
  <c r="F186" i="20" s="1"/>
  <c r="Q22" i="6"/>
  <c r="E186" i="20" s="1"/>
  <c r="P22" i="6"/>
  <c r="D186" i="20" s="1"/>
  <c r="O22" i="6"/>
  <c r="C186" i="20" s="1"/>
  <c r="N22" i="6"/>
  <c r="B186" i="20" s="1"/>
  <c r="D22" i="6"/>
  <c r="D702" i="15" s="1"/>
  <c r="B22" i="6"/>
  <c r="B20" i="6"/>
  <c r="B700" i="15" s="1"/>
  <c r="AC19" i="6"/>
  <c r="AB19" i="6"/>
  <c r="AA19" i="6"/>
  <c r="Z19" i="6"/>
  <c r="N185" i="20" s="1"/>
  <c r="Y19" i="6"/>
  <c r="M185" i="20" s="1"/>
  <c r="X19" i="6"/>
  <c r="L185" i="20" s="1"/>
  <c r="W19" i="6"/>
  <c r="K185" i="20" s="1"/>
  <c r="V19" i="6"/>
  <c r="J185" i="20" s="1"/>
  <c r="U19" i="6"/>
  <c r="I185" i="20" s="1"/>
  <c r="S19" i="6"/>
  <c r="G185" i="20" s="1"/>
  <c r="R19" i="6"/>
  <c r="F185" i="20" s="1"/>
  <c r="Q19" i="6"/>
  <c r="E185" i="20" s="1"/>
  <c r="P19" i="6"/>
  <c r="D185" i="20" s="1"/>
  <c r="O19" i="6"/>
  <c r="C185" i="20" s="1"/>
  <c r="N19" i="6"/>
  <c r="B185" i="20" s="1"/>
  <c r="D19" i="6"/>
  <c r="B19" i="6"/>
  <c r="B17" i="6"/>
  <c r="B697" i="15" s="1"/>
  <c r="AC16" i="6"/>
  <c r="AB16" i="6"/>
  <c r="AA16" i="6"/>
  <c r="Z16" i="6"/>
  <c r="N184" i="20" s="1"/>
  <c r="Y16" i="6"/>
  <c r="M184" i="20" s="1"/>
  <c r="X16" i="6"/>
  <c r="L184" i="20" s="1"/>
  <c r="W16" i="6"/>
  <c r="K184" i="20" s="1"/>
  <c r="V16" i="6"/>
  <c r="J184" i="20" s="1"/>
  <c r="U16" i="6"/>
  <c r="I184" i="20" s="1"/>
  <c r="S16" i="6"/>
  <c r="G184" i="20" s="1"/>
  <c r="R16" i="6"/>
  <c r="F184" i="20" s="1"/>
  <c r="Q16" i="6"/>
  <c r="E184" i="20" s="1"/>
  <c r="P16" i="6"/>
  <c r="D184" i="20" s="1"/>
  <c r="O16" i="6"/>
  <c r="C184" i="20" s="1"/>
  <c r="N16" i="6"/>
  <c r="B184" i="20" s="1"/>
  <c r="M16" i="6"/>
  <c r="A184" i="20" s="1"/>
  <c r="D16" i="6"/>
  <c r="D696" i="15" s="1"/>
  <c r="B16" i="6"/>
  <c r="B14" i="6"/>
  <c r="B694" i="15" s="1"/>
  <c r="AC13" i="6"/>
  <c r="AB13" i="6"/>
  <c r="AA13" i="6"/>
  <c r="Z13" i="6"/>
  <c r="N183" i="20" s="1"/>
  <c r="Y13" i="6"/>
  <c r="M183" i="20" s="1"/>
  <c r="X13" i="6"/>
  <c r="L183" i="20" s="1"/>
  <c r="W13" i="6"/>
  <c r="K183" i="20" s="1"/>
  <c r="V13" i="6"/>
  <c r="J183" i="20" s="1"/>
  <c r="U13" i="6"/>
  <c r="I183" i="20" s="1"/>
  <c r="S13" i="6"/>
  <c r="G183" i="20" s="1"/>
  <c r="R13" i="6"/>
  <c r="F183" i="20" s="1"/>
  <c r="Q13" i="6"/>
  <c r="E183" i="20" s="1"/>
  <c r="P13" i="6"/>
  <c r="D183" i="20" s="1"/>
  <c r="O13" i="6"/>
  <c r="C183" i="20" s="1"/>
  <c r="N13" i="6"/>
  <c r="B183" i="20" s="1"/>
  <c r="D13" i="6"/>
  <c r="D693" i="15" s="1"/>
  <c r="B13" i="6"/>
  <c r="A13" i="6"/>
  <c r="A693" i="15" s="1"/>
  <c r="B11" i="6"/>
  <c r="B691" i="15" s="1"/>
  <c r="AC10" i="6"/>
  <c r="AB10" i="6"/>
  <c r="AA10" i="6"/>
  <c r="Z10" i="6"/>
  <c r="N182" i="20" s="1"/>
  <c r="Y10" i="6"/>
  <c r="M182" i="20" s="1"/>
  <c r="X10" i="6"/>
  <c r="L182" i="20" s="1"/>
  <c r="W10" i="6"/>
  <c r="K182" i="20" s="1"/>
  <c r="V10" i="6"/>
  <c r="J182" i="20" s="1"/>
  <c r="U10" i="6"/>
  <c r="I182" i="20" s="1"/>
  <c r="S10" i="6"/>
  <c r="G182" i="20" s="1"/>
  <c r="R10" i="6"/>
  <c r="F182" i="20" s="1"/>
  <c r="Q10" i="6"/>
  <c r="E182" i="20" s="1"/>
  <c r="P10" i="6"/>
  <c r="D182" i="20" s="1"/>
  <c r="O10" i="6"/>
  <c r="C182" i="20" s="1"/>
  <c r="N10" i="6"/>
  <c r="B182" i="20" s="1"/>
  <c r="D10" i="6"/>
  <c r="D690" i="15" s="1"/>
  <c r="B10" i="6"/>
  <c r="B8" i="6"/>
  <c r="B688" i="15" s="1"/>
  <c r="A3" i="6"/>
  <c r="A1" i="6"/>
  <c r="B159" i="5"/>
  <c r="B669" i="15" s="1"/>
  <c r="AC158" i="5"/>
  <c r="AB158" i="5"/>
  <c r="AA158" i="5"/>
  <c r="Z158" i="5"/>
  <c r="N181" i="20" s="1"/>
  <c r="Y158" i="5"/>
  <c r="M181" i="20" s="1"/>
  <c r="X158" i="5"/>
  <c r="L181" i="20" s="1"/>
  <c r="W158" i="5"/>
  <c r="K181" i="20" s="1"/>
  <c r="V158" i="5"/>
  <c r="J181" i="20" s="1"/>
  <c r="U158" i="5"/>
  <c r="I181" i="20" s="1"/>
  <c r="S158" i="5"/>
  <c r="G181" i="20" s="1"/>
  <c r="R158" i="5"/>
  <c r="F181" i="20" s="1"/>
  <c r="Q158" i="5"/>
  <c r="E181" i="20" s="1"/>
  <c r="P158" i="5"/>
  <c r="D181" i="20" s="1"/>
  <c r="O158" i="5"/>
  <c r="C181" i="20" s="1"/>
  <c r="N158" i="5"/>
  <c r="B181" i="20" s="1"/>
  <c r="M158" i="5"/>
  <c r="A181" i="20" s="1"/>
  <c r="D158" i="5"/>
  <c r="D668" i="15" s="1"/>
  <c r="B158" i="5"/>
  <c r="B156" i="5"/>
  <c r="B666" i="15" s="1"/>
  <c r="AC155" i="5"/>
  <c r="AB155" i="5"/>
  <c r="AA155" i="5"/>
  <c r="Z155" i="5"/>
  <c r="N180" i="20" s="1"/>
  <c r="Y155" i="5"/>
  <c r="M180" i="20" s="1"/>
  <c r="X155" i="5"/>
  <c r="L180" i="20" s="1"/>
  <c r="W155" i="5"/>
  <c r="K180" i="20" s="1"/>
  <c r="V155" i="5"/>
  <c r="J180" i="20" s="1"/>
  <c r="U155" i="5"/>
  <c r="I180" i="20" s="1"/>
  <c r="T155" i="5"/>
  <c r="H180" i="20" s="1"/>
  <c r="S155" i="5"/>
  <c r="G180" i="20" s="1"/>
  <c r="R155" i="5"/>
  <c r="F180" i="20" s="1"/>
  <c r="Q155" i="5"/>
  <c r="E180" i="20" s="1"/>
  <c r="P155" i="5"/>
  <c r="D180" i="20" s="1"/>
  <c r="O155" i="5"/>
  <c r="C180" i="20" s="1"/>
  <c r="N155" i="5"/>
  <c r="B180" i="20" s="1"/>
  <c r="D155" i="5"/>
  <c r="D665" i="15" s="1"/>
  <c r="B155" i="5"/>
  <c r="B153" i="5"/>
  <c r="B663" i="15" s="1"/>
  <c r="AC152" i="5"/>
  <c r="AB152" i="5"/>
  <c r="AA152" i="5"/>
  <c r="Z152" i="5"/>
  <c r="N179" i="20" s="1"/>
  <c r="Y152" i="5"/>
  <c r="M179" i="20" s="1"/>
  <c r="X152" i="5"/>
  <c r="L179" i="20" s="1"/>
  <c r="W152" i="5"/>
  <c r="K179" i="20" s="1"/>
  <c r="V152" i="5"/>
  <c r="J179" i="20" s="1"/>
  <c r="U152" i="5"/>
  <c r="I179" i="20" s="1"/>
  <c r="S152" i="5"/>
  <c r="G179" i="20" s="1"/>
  <c r="R152" i="5"/>
  <c r="F179" i="20" s="1"/>
  <c r="Q152" i="5"/>
  <c r="E179" i="20" s="1"/>
  <c r="P152" i="5"/>
  <c r="D179" i="20" s="1"/>
  <c r="O152" i="5"/>
  <c r="C179" i="20" s="1"/>
  <c r="N152" i="5"/>
  <c r="B179" i="20" s="1"/>
  <c r="D152" i="5"/>
  <c r="B152" i="5"/>
  <c r="B150" i="5"/>
  <c r="B660" i="15" s="1"/>
  <c r="AC149" i="5"/>
  <c r="AB149" i="5"/>
  <c r="AA149" i="5"/>
  <c r="Z149" i="5"/>
  <c r="N178" i="20" s="1"/>
  <c r="Y149" i="5"/>
  <c r="M178" i="20" s="1"/>
  <c r="X149" i="5"/>
  <c r="L178" i="20" s="1"/>
  <c r="W149" i="5"/>
  <c r="K178" i="20" s="1"/>
  <c r="V149" i="5"/>
  <c r="J178" i="20" s="1"/>
  <c r="U149" i="5"/>
  <c r="I178" i="20" s="1"/>
  <c r="S149" i="5"/>
  <c r="G178" i="20" s="1"/>
  <c r="R149" i="5"/>
  <c r="F178" i="20" s="1"/>
  <c r="Q149" i="5"/>
  <c r="E178" i="20" s="1"/>
  <c r="P149" i="5"/>
  <c r="D178" i="20" s="1"/>
  <c r="O149" i="5"/>
  <c r="C178" i="20" s="1"/>
  <c r="N149" i="5"/>
  <c r="B178" i="20" s="1"/>
  <c r="M149" i="5"/>
  <c r="A178" i="20" s="1"/>
  <c r="D149" i="5"/>
  <c r="D659" i="15" s="1"/>
  <c r="B149" i="5"/>
  <c r="B147" i="5"/>
  <c r="B657" i="15" s="1"/>
  <c r="AC146" i="5"/>
  <c r="AB146" i="5"/>
  <c r="AA146" i="5"/>
  <c r="Z146" i="5"/>
  <c r="N177" i="20" s="1"/>
  <c r="Y146" i="5"/>
  <c r="M177" i="20" s="1"/>
  <c r="X146" i="5"/>
  <c r="L177" i="20" s="1"/>
  <c r="W146" i="5"/>
  <c r="K177" i="20" s="1"/>
  <c r="V146" i="5"/>
  <c r="J177" i="20" s="1"/>
  <c r="U146" i="5"/>
  <c r="I177" i="20" s="1"/>
  <c r="S146" i="5"/>
  <c r="G177" i="20" s="1"/>
  <c r="R146" i="5"/>
  <c r="F177" i="20" s="1"/>
  <c r="Q146" i="5"/>
  <c r="E177" i="20" s="1"/>
  <c r="P146" i="5"/>
  <c r="D177" i="20" s="1"/>
  <c r="O146" i="5"/>
  <c r="C177" i="20" s="1"/>
  <c r="N146" i="5"/>
  <c r="B177" i="20" s="1"/>
  <c r="M146" i="5"/>
  <c r="A177" i="20" s="1"/>
  <c r="D146" i="5"/>
  <c r="T146" i="5" s="1"/>
  <c r="H177" i="20" s="1"/>
  <c r="B146" i="5"/>
  <c r="B144" i="5"/>
  <c r="B654" i="15" s="1"/>
  <c r="B142" i="5"/>
  <c r="AC141" i="5"/>
  <c r="AB141" i="5"/>
  <c r="AA141" i="5"/>
  <c r="Z141" i="5"/>
  <c r="N176" i="20" s="1"/>
  <c r="Y141" i="5"/>
  <c r="M176" i="20" s="1"/>
  <c r="X141" i="5"/>
  <c r="L176" i="20" s="1"/>
  <c r="W141" i="5"/>
  <c r="K176" i="20" s="1"/>
  <c r="V141" i="5"/>
  <c r="J176" i="20" s="1"/>
  <c r="U141" i="5"/>
  <c r="I176" i="20" s="1"/>
  <c r="T141" i="5"/>
  <c r="H176" i="20" s="1"/>
  <c r="S141" i="5"/>
  <c r="G176" i="20" s="1"/>
  <c r="R141" i="5"/>
  <c r="F176" i="20" s="1"/>
  <c r="Q141" i="5"/>
  <c r="E176" i="20" s="1"/>
  <c r="P141" i="5"/>
  <c r="D176" i="20" s="1"/>
  <c r="O141" i="5"/>
  <c r="C176" i="20" s="1"/>
  <c r="N141" i="5"/>
  <c r="B176" i="20" s="1"/>
  <c r="D141" i="5"/>
  <c r="D651" i="15" s="1"/>
  <c r="B141" i="5"/>
  <c r="B139" i="5"/>
  <c r="B649" i="15" s="1"/>
  <c r="AC138" i="5"/>
  <c r="AB138" i="5"/>
  <c r="AA138" i="5"/>
  <c r="Z138" i="5"/>
  <c r="N175" i="20" s="1"/>
  <c r="Y138" i="5"/>
  <c r="M175" i="20" s="1"/>
  <c r="X138" i="5"/>
  <c r="L175" i="20" s="1"/>
  <c r="W138" i="5"/>
  <c r="K175" i="20" s="1"/>
  <c r="V138" i="5"/>
  <c r="J175" i="20" s="1"/>
  <c r="U138" i="5"/>
  <c r="I175" i="20" s="1"/>
  <c r="S138" i="5"/>
  <c r="G175" i="20" s="1"/>
  <c r="R138" i="5"/>
  <c r="F175" i="20" s="1"/>
  <c r="Q138" i="5"/>
  <c r="E175" i="20" s="1"/>
  <c r="P138" i="5"/>
  <c r="D175" i="20" s="1"/>
  <c r="O138" i="5"/>
  <c r="C175" i="20" s="1"/>
  <c r="N138" i="5"/>
  <c r="B175" i="20" s="1"/>
  <c r="M138" i="5"/>
  <c r="A175" i="20" s="1"/>
  <c r="D138" i="5"/>
  <c r="D648" i="15" s="1"/>
  <c r="B138" i="5"/>
  <c r="B136" i="5"/>
  <c r="B646" i="15" s="1"/>
  <c r="AC135" i="5"/>
  <c r="AB135" i="5"/>
  <c r="AA135" i="5"/>
  <c r="Z135" i="5"/>
  <c r="N174" i="20" s="1"/>
  <c r="Y135" i="5"/>
  <c r="M174" i="20" s="1"/>
  <c r="X135" i="5"/>
  <c r="L174" i="20" s="1"/>
  <c r="W135" i="5"/>
  <c r="K174" i="20" s="1"/>
  <c r="V135" i="5"/>
  <c r="J174" i="20" s="1"/>
  <c r="U135" i="5"/>
  <c r="I174" i="20" s="1"/>
  <c r="S135" i="5"/>
  <c r="G174" i="20" s="1"/>
  <c r="R135" i="5"/>
  <c r="F174" i="20" s="1"/>
  <c r="Q135" i="5"/>
  <c r="E174" i="20" s="1"/>
  <c r="P135" i="5"/>
  <c r="D174" i="20" s="1"/>
  <c r="O135" i="5"/>
  <c r="C174" i="20" s="1"/>
  <c r="N135" i="5"/>
  <c r="B174" i="20" s="1"/>
  <c r="M135" i="5"/>
  <c r="A174" i="20" s="1"/>
  <c r="D135" i="5"/>
  <c r="T135" i="5" s="1"/>
  <c r="H174" i="20" s="1"/>
  <c r="B135" i="5"/>
  <c r="B133" i="5"/>
  <c r="B643" i="15" s="1"/>
  <c r="AC132" i="5"/>
  <c r="AB132" i="5"/>
  <c r="AA132" i="5"/>
  <c r="Z132" i="5"/>
  <c r="N173" i="20" s="1"/>
  <c r="Y132" i="5"/>
  <c r="M173" i="20" s="1"/>
  <c r="X132" i="5"/>
  <c r="L173" i="20" s="1"/>
  <c r="W132" i="5"/>
  <c r="K173" i="20" s="1"/>
  <c r="V132" i="5"/>
  <c r="J173" i="20" s="1"/>
  <c r="U132" i="5"/>
  <c r="I173" i="20" s="1"/>
  <c r="S132" i="5"/>
  <c r="G173" i="20" s="1"/>
  <c r="R132" i="5"/>
  <c r="F173" i="20" s="1"/>
  <c r="Q132" i="5"/>
  <c r="E173" i="20" s="1"/>
  <c r="P132" i="5"/>
  <c r="D173" i="20" s="1"/>
  <c r="O132" i="5"/>
  <c r="C173" i="20" s="1"/>
  <c r="N132" i="5"/>
  <c r="B173" i="20" s="1"/>
  <c r="D132" i="5"/>
  <c r="D642" i="15" s="1"/>
  <c r="B132" i="5"/>
  <c r="B130" i="5"/>
  <c r="B640" i="15" s="1"/>
  <c r="AC129" i="5"/>
  <c r="AB129" i="5"/>
  <c r="AA129" i="5"/>
  <c r="Z129" i="5"/>
  <c r="N172" i="20" s="1"/>
  <c r="Y129" i="5"/>
  <c r="M172" i="20" s="1"/>
  <c r="X129" i="5"/>
  <c r="L172" i="20" s="1"/>
  <c r="W129" i="5"/>
  <c r="K172" i="20" s="1"/>
  <c r="V129" i="5"/>
  <c r="J172" i="20" s="1"/>
  <c r="U129" i="5"/>
  <c r="I172" i="20" s="1"/>
  <c r="S129" i="5"/>
  <c r="G172" i="20" s="1"/>
  <c r="R129" i="5"/>
  <c r="F172" i="20" s="1"/>
  <c r="Q129" i="5"/>
  <c r="E172" i="20" s="1"/>
  <c r="P129" i="5"/>
  <c r="D172" i="20" s="1"/>
  <c r="O129" i="5"/>
  <c r="C172" i="20" s="1"/>
  <c r="N129" i="5"/>
  <c r="B172" i="20" s="1"/>
  <c r="D129" i="5"/>
  <c r="D639" i="15" s="1"/>
  <c r="B129" i="5"/>
  <c r="B172" i="19" s="1"/>
  <c r="B127" i="5"/>
  <c r="B637" i="15" s="1"/>
  <c r="B125" i="5"/>
  <c r="B635" i="15" s="1"/>
  <c r="AC124" i="5"/>
  <c r="AB124" i="5"/>
  <c r="AA124" i="5"/>
  <c r="Z124" i="5"/>
  <c r="N171" i="20" s="1"/>
  <c r="Y124" i="5"/>
  <c r="M171" i="20" s="1"/>
  <c r="X124" i="5"/>
  <c r="L171" i="20" s="1"/>
  <c r="W124" i="5"/>
  <c r="K171" i="20" s="1"/>
  <c r="V124" i="5"/>
  <c r="J171" i="20" s="1"/>
  <c r="U124" i="5"/>
  <c r="I171" i="20" s="1"/>
  <c r="S124" i="5"/>
  <c r="G171" i="20" s="1"/>
  <c r="R124" i="5"/>
  <c r="F171" i="20" s="1"/>
  <c r="Q124" i="5"/>
  <c r="E171" i="20" s="1"/>
  <c r="P124" i="5"/>
  <c r="D171" i="20" s="1"/>
  <c r="O124" i="5"/>
  <c r="C171" i="20" s="1"/>
  <c r="N124" i="5"/>
  <c r="B171" i="20" s="1"/>
  <c r="D124" i="5"/>
  <c r="T124" i="5" s="1"/>
  <c r="H171" i="20" s="1"/>
  <c r="B124" i="5"/>
  <c r="B122" i="5"/>
  <c r="B632" i="15" s="1"/>
  <c r="AC121" i="5"/>
  <c r="AB121" i="5"/>
  <c r="AA121" i="5"/>
  <c r="Z121" i="5"/>
  <c r="N170" i="20" s="1"/>
  <c r="Y121" i="5"/>
  <c r="M170" i="20" s="1"/>
  <c r="X121" i="5"/>
  <c r="L170" i="20" s="1"/>
  <c r="W121" i="5"/>
  <c r="K170" i="20" s="1"/>
  <c r="V121" i="5"/>
  <c r="J170" i="20" s="1"/>
  <c r="U121" i="5"/>
  <c r="I170" i="20" s="1"/>
  <c r="S121" i="5"/>
  <c r="G170" i="20" s="1"/>
  <c r="R121" i="5"/>
  <c r="F170" i="20" s="1"/>
  <c r="Q121" i="5"/>
  <c r="E170" i="20" s="1"/>
  <c r="P121" i="5"/>
  <c r="D170" i="20" s="1"/>
  <c r="O121" i="5"/>
  <c r="C170" i="20" s="1"/>
  <c r="N121" i="5"/>
  <c r="B170" i="20" s="1"/>
  <c r="D121" i="5"/>
  <c r="D631" i="15" s="1"/>
  <c r="B121" i="5"/>
  <c r="B119" i="5"/>
  <c r="B629" i="15" s="1"/>
  <c r="AC118" i="5"/>
  <c r="AB118" i="5"/>
  <c r="AA118" i="5"/>
  <c r="Z118" i="5"/>
  <c r="N169" i="20" s="1"/>
  <c r="Y118" i="5"/>
  <c r="M169" i="20" s="1"/>
  <c r="X118" i="5"/>
  <c r="L169" i="20" s="1"/>
  <c r="W118" i="5"/>
  <c r="K169" i="20" s="1"/>
  <c r="V118" i="5"/>
  <c r="J169" i="20" s="1"/>
  <c r="U118" i="5"/>
  <c r="I169" i="20" s="1"/>
  <c r="S118" i="5"/>
  <c r="G169" i="20" s="1"/>
  <c r="R118" i="5"/>
  <c r="F169" i="20" s="1"/>
  <c r="Q118" i="5"/>
  <c r="E169" i="20" s="1"/>
  <c r="P118" i="5"/>
  <c r="D169" i="20" s="1"/>
  <c r="O118" i="5"/>
  <c r="C169" i="20" s="1"/>
  <c r="N118" i="5"/>
  <c r="B169" i="20" s="1"/>
  <c r="M118" i="5"/>
  <c r="A169" i="20" s="1"/>
  <c r="D118" i="5"/>
  <c r="D628" i="15" s="1"/>
  <c r="B118" i="5"/>
  <c r="B169" i="19" s="1"/>
  <c r="B116" i="5"/>
  <c r="B626" i="15" s="1"/>
  <c r="AC115" i="5"/>
  <c r="AB115" i="5"/>
  <c r="AA115" i="5"/>
  <c r="Z115" i="5"/>
  <c r="N168" i="20" s="1"/>
  <c r="Y115" i="5"/>
  <c r="M168" i="20" s="1"/>
  <c r="X115" i="5"/>
  <c r="L168" i="20" s="1"/>
  <c r="W115" i="5"/>
  <c r="K168" i="20" s="1"/>
  <c r="V115" i="5"/>
  <c r="J168" i="20" s="1"/>
  <c r="U115" i="5"/>
  <c r="I168" i="20" s="1"/>
  <c r="S115" i="5"/>
  <c r="G168" i="20" s="1"/>
  <c r="R115" i="5"/>
  <c r="F168" i="20" s="1"/>
  <c r="Q115" i="5"/>
  <c r="E168" i="20" s="1"/>
  <c r="P115" i="5"/>
  <c r="D168" i="20" s="1"/>
  <c r="O115" i="5"/>
  <c r="C168" i="20" s="1"/>
  <c r="N115" i="5"/>
  <c r="B168" i="20" s="1"/>
  <c r="M115" i="5"/>
  <c r="A168" i="20" s="1"/>
  <c r="D115" i="5"/>
  <c r="D625" i="15" s="1"/>
  <c r="B115" i="5"/>
  <c r="B168" i="19" s="1"/>
  <c r="B113" i="5"/>
  <c r="B623" i="15" s="1"/>
  <c r="AC112" i="5"/>
  <c r="AB112" i="5"/>
  <c r="AA112" i="5"/>
  <c r="Z112" i="5"/>
  <c r="N167" i="20" s="1"/>
  <c r="Y112" i="5"/>
  <c r="M167" i="20" s="1"/>
  <c r="X112" i="5"/>
  <c r="L167" i="20" s="1"/>
  <c r="W112" i="5"/>
  <c r="K167" i="20" s="1"/>
  <c r="V112" i="5"/>
  <c r="J167" i="20" s="1"/>
  <c r="U112" i="5"/>
  <c r="I167" i="20" s="1"/>
  <c r="S112" i="5"/>
  <c r="G167" i="20" s="1"/>
  <c r="R112" i="5"/>
  <c r="F167" i="20" s="1"/>
  <c r="Q112" i="5"/>
  <c r="E167" i="20" s="1"/>
  <c r="P112" i="5"/>
  <c r="D167" i="20" s="1"/>
  <c r="O112" i="5"/>
  <c r="C167" i="20" s="1"/>
  <c r="N112" i="5"/>
  <c r="B167" i="20" s="1"/>
  <c r="M112" i="5"/>
  <c r="A167" i="20" s="1"/>
  <c r="D112" i="5"/>
  <c r="T112" i="5" s="1"/>
  <c r="H167" i="20" s="1"/>
  <c r="B112" i="5"/>
  <c r="B110" i="5"/>
  <c r="B620" i="15" s="1"/>
  <c r="B108" i="5"/>
  <c r="B618" i="15" s="1"/>
  <c r="AC107" i="5"/>
  <c r="AB107" i="5"/>
  <c r="AA107" i="5"/>
  <c r="Z107" i="5"/>
  <c r="N166" i="20" s="1"/>
  <c r="Y107" i="5"/>
  <c r="M166" i="20" s="1"/>
  <c r="X107" i="5"/>
  <c r="L166" i="20" s="1"/>
  <c r="W107" i="5"/>
  <c r="K166" i="20" s="1"/>
  <c r="V107" i="5"/>
  <c r="J166" i="20" s="1"/>
  <c r="U107" i="5"/>
  <c r="I166" i="20" s="1"/>
  <c r="S107" i="5"/>
  <c r="G166" i="20" s="1"/>
  <c r="R107" i="5"/>
  <c r="F166" i="20" s="1"/>
  <c r="Q107" i="5"/>
  <c r="E166" i="20" s="1"/>
  <c r="P107" i="5"/>
  <c r="D166" i="20" s="1"/>
  <c r="O107" i="5"/>
  <c r="C166" i="20" s="1"/>
  <c r="N107" i="5"/>
  <c r="B166" i="20" s="1"/>
  <c r="M107" i="5"/>
  <c r="A166" i="20" s="1"/>
  <c r="D107" i="5"/>
  <c r="D617" i="15" s="1"/>
  <c r="B107" i="5"/>
  <c r="B105" i="5"/>
  <c r="B615" i="15" s="1"/>
  <c r="AC104" i="5"/>
  <c r="AB104" i="5"/>
  <c r="AA104" i="5"/>
  <c r="Z104" i="5"/>
  <c r="N165" i="20" s="1"/>
  <c r="Y104" i="5"/>
  <c r="M165" i="20" s="1"/>
  <c r="X104" i="5"/>
  <c r="L165" i="20" s="1"/>
  <c r="W104" i="5"/>
  <c r="K165" i="20" s="1"/>
  <c r="V104" i="5"/>
  <c r="J165" i="20" s="1"/>
  <c r="U104" i="5"/>
  <c r="I165" i="20" s="1"/>
  <c r="S104" i="5"/>
  <c r="G165" i="20" s="1"/>
  <c r="R104" i="5"/>
  <c r="F165" i="20" s="1"/>
  <c r="Q104" i="5"/>
  <c r="E165" i="20" s="1"/>
  <c r="P104" i="5"/>
  <c r="D165" i="20" s="1"/>
  <c r="O104" i="5"/>
  <c r="C165" i="20" s="1"/>
  <c r="N104" i="5"/>
  <c r="B165" i="20" s="1"/>
  <c r="M104" i="5"/>
  <c r="A165" i="20" s="1"/>
  <c r="D104" i="5"/>
  <c r="D614" i="15" s="1"/>
  <c r="B104" i="5"/>
  <c r="B102" i="5"/>
  <c r="B612" i="15" s="1"/>
  <c r="AC101" i="5"/>
  <c r="AB101" i="5"/>
  <c r="AA101" i="5"/>
  <c r="Z101" i="5"/>
  <c r="N164" i="20" s="1"/>
  <c r="Y101" i="5"/>
  <c r="M164" i="20" s="1"/>
  <c r="X101" i="5"/>
  <c r="L164" i="20" s="1"/>
  <c r="W101" i="5"/>
  <c r="K164" i="20" s="1"/>
  <c r="V101" i="5"/>
  <c r="J164" i="20" s="1"/>
  <c r="U101" i="5"/>
  <c r="I164" i="20" s="1"/>
  <c r="S101" i="5"/>
  <c r="G164" i="20" s="1"/>
  <c r="R101" i="5"/>
  <c r="F164" i="20" s="1"/>
  <c r="Q101" i="5"/>
  <c r="E164" i="20" s="1"/>
  <c r="P101" i="5"/>
  <c r="D164" i="20" s="1"/>
  <c r="O101" i="5"/>
  <c r="C164" i="20" s="1"/>
  <c r="N101" i="5"/>
  <c r="B164" i="20" s="1"/>
  <c r="M101" i="5"/>
  <c r="A164" i="20" s="1"/>
  <c r="D101" i="5"/>
  <c r="D611" i="15" s="1"/>
  <c r="B101" i="5"/>
  <c r="B99" i="5"/>
  <c r="B609" i="15" s="1"/>
  <c r="AC98" i="5"/>
  <c r="AB98" i="5"/>
  <c r="AA98" i="5"/>
  <c r="Z98" i="5"/>
  <c r="N163" i="20" s="1"/>
  <c r="Y98" i="5"/>
  <c r="M163" i="20" s="1"/>
  <c r="X98" i="5"/>
  <c r="L163" i="20" s="1"/>
  <c r="W98" i="5"/>
  <c r="K163" i="20" s="1"/>
  <c r="V98" i="5"/>
  <c r="J163" i="20" s="1"/>
  <c r="U98" i="5"/>
  <c r="I163" i="20" s="1"/>
  <c r="T98" i="5"/>
  <c r="H163" i="20" s="1"/>
  <c r="S98" i="5"/>
  <c r="G163" i="20" s="1"/>
  <c r="R98" i="5"/>
  <c r="F163" i="20" s="1"/>
  <c r="Q98" i="5"/>
  <c r="E163" i="20" s="1"/>
  <c r="P98" i="5"/>
  <c r="D163" i="20" s="1"/>
  <c r="O98" i="5"/>
  <c r="C163" i="20" s="1"/>
  <c r="N98" i="5"/>
  <c r="B163" i="20" s="1"/>
  <c r="D98" i="5"/>
  <c r="D608" i="15" s="1"/>
  <c r="B98" i="5"/>
  <c r="B96" i="5"/>
  <c r="B606" i="15" s="1"/>
  <c r="AC95" i="5"/>
  <c r="AB95" i="5"/>
  <c r="AA95" i="5"/>
  <c r="Z95" i="5"/>
  <c r="N162" i="20" s="1"/>
  <c r="Y95" i="5"/>
  <c r="M162" i="20" s="1"/>
  <c r="X95" i="5"/>
  <c r="L162" i="20" s="1"/>
  <c r="W95" i="5"/>
  <c r="K162" i="20" s="1"/>
  <c r="V95" i="5"/>
  <c r="J162" i="20" s="1"/>
  <c r="U95" i="5"/>
  <c r="I162" i="20" s="1"/>
  <c r="T95" i="5"/>
  <c r="H162" i="20" s="1"/>
  <c r="S95" i="5"/>
  <c r="G162" i="20" s="1"/>
  <c r="R95" i="5"/>
  <c r="F162" i="20" s="1"/>
  <c r="Q95" i="5"/>
  <c r="E162" i="20" s="1"/>
  <c r="P95" i="5"/>
  <c r="D162" i="20" s="1"/>
  <c r="O95" i="5"/>
  <c r="C162" i="20" s="1"/>
  <c r="N95" i="5"/>
  <c r="B162" i="20" s="1"/>
  <c r="D95" i="5"/>
  <c r="D605" i="15" s="1"/>
  <c r="B95" i="5"/>
  <c r="B162" i="19" s="1"/>
  <c r="B93" i="5"/>
  <c r="B603" i="15" s="1"/>
  <c r="B91" i="5"/>
  <c r="B601" i="15" s="1"/>
  <c r="AC90" i="5"/>
  <c r="AB90" i="5"/>
  <c r="AA90" i="5"/>
  <c r="Z90" i="5"/>
  <c r="N161" i="20" s="1"/>
  <c r="Y90" i="5"/>
  <c r="M161" i="20" s="1"/>
  <c r="X90" i="5"/>
  <c r="L161" i="20" s="1"/>
  <c r="W90" i="5"/>
  <c r="K161" i="20" s="1"/>
  <c r="V90" i="5"/>
  <c r="J161" i="20" s="1"/>
  <c r="U90" i="5"/>
  <c r="I161" i="20" s="1"/>
  <c r="S90" i="5"/>
  <c r="G161" i="20" s="1"/>
  <c r="R90" i="5"/>
  <c r="F161" i="20" s="1"/>
  <c r="Q90" i="5"/>
  <c r="E161" i="20" s="1"/>
  <c r="P90" i="5"/>
  <c r="D161" i="20" s="1"/>
  <c r="O90" i="5"/>
  <c r="C161" i="20" s="1"/>
  <c r="N90" i="5"/>
  <c r="B161" i="20" s="1"/>
  <c r="D90" i="5"/>
  <c r="D600" i="15" s="1"/>
  <c r="B90" i="5"/>
  <c r="B88" i="5"/>
  <c r="B598" i="15" s="1"/>
  <c r="AC87" i="5"/>
  <c r="AB87" i="5"/>
  <c r="AA87" i="5"/>
  <c r="Z87" i="5"/>
  <c r="N160" i="20" s="1"/>
  <c r="Y87" i="5"/>
  <c r="M160" i="20" s="1"/>
  <c r="X87" i="5"/>
  <c r="L160" i="20" s="1"/>
  <c r="W87" i="5"/>
  <c r="K160" i="20" s="1"/>
  <c r="V87" i="5"/>
  <c r="J160" i="20" s="1"/>
  <c r="U87" i="5"/>
  <c r="I160" i="20" s="1"/>
  <c r="S87" i="5"/>
  <c r="G160" i="20" s="1"/>
  <c r="R87" i="5"/>
  <c r="F160" i="20" s="1"/>
  <c r="Q87" i="5"/>
  <c r="E160" i="20" s="1"/>
  <c r="P87" i="5"/>
  <c r="D160" i="20" s="1"/>
  <c r="O87" i="5"/>
  <c r="C160" i="20" s="1"/>
  <c r="N87" i="5"/>
  <c r="B160" i="20" s="1"/>
  <c r="D87" i="5"/>
  <c r="B87" i="5"/>
  <c r="B85" i="5"/>
  <c r="B595" i="15" s="1"/>
  <c r="AC84" i="5"/>
  <c r="AB84" i="5"/>
  <c r="AA84" i="5"/>
  <c r="Z84" i="5"/>
  <c r="N159" i="20" s="1"/>
  <c r="Y84" i="5"/>
  <c r="M159" i="20" s="1"/>
  <c r="X84" i="5"/>
  <c r="L159" i="20" s="1"/>
  <c r="W84" i="5"/>
  <c r="K159" i="20" s="1"/>
  <c r="V84" i="5"/>
  <c r="J159" i="20" s="1"/>
  <c r="U84" i="5"/>
  <c r="I159" i="20" s="1"/>
  <c r="S84" i="5"/>
  <c r="G159" i="20" s="1"/>
  <c r="R84" i="5"/>
  <c r="F159" i="20" s="1"/>
  <c r="Q84" i="5"/>
  <c r="E159" i="20" s="1"/>
  <c r="P84" i="5"/>
  <c r="D159" i="20" s="1"/>
  <c r="O84" i="5"/>
  <c r="C159" i="20" s="1"/>
  <c r="N84" i="5"/>
  <c r="B159" i="20" s="1"/>
  <c r="D84" i="5"/>
  <c r="D594" i="15" s="1"/>
  <c r="B84" i="5"/>
  <c r="B82" i="5"/>
  <c r="B592" i="15" s="1"/>
  <c r="AC81" i="5"/>
  <c r="AB81" i="5"/>
  <c r="AA81" i="5"/>
  <c r="Z81" i="5"/>
  <c r="N158" i="20" s="1"/>
  <c r="Y81" i="5"/>
  <c r="M158" i="20" s="1"/>
  <c r="X81" i="5"/>
  <c r="L158" i="20" s="1"/>
  <c r="W81" i="5"/>
  <c r="K158" i="20" s="1"/>
  <c r="V81" i="5"/>
  <c r="J158" i="20" s="1"/>
  <c r="U81" i="5"/>
  <c r="I158" i="20" s="1"/>
  <c r="S81" i="5"/>
  <c r="G158" i="20" s="1"/>
  <c r="R81" i="5"/>
  <c r="F158" i="20" s="1"/>
  <c r="Q81" i="5"/>
  <c r="E158" i="20" s="1"/>
  <c r="P81" i="5"/>
  <c r="D158" i="20" s="1"/>
  <c r="O81" i="5"/>
  <c r="C158" i="20" s="1"/>
  <c r="N81" i="5"/>
  <c r="B158" i="20" s="1"/>
  <c r="M81" i="5"/>
  <c r="A158" i="20" s="1"/>
  <c r="D81" i="5"/>
  <c r="D591" i="15" s="1"/>
  <c r="B81" i="5"/>
  <c r="B158" i="19" s="1"/>
  <c r="B79" i="5"/>
  <c r="B589" i="15" s="1"/>
  <c r="AC78" i="5"/>
  <c r="AB78" i="5"/>
  <c r="AA78" i="5"/>
  <c r="Z78" i="5"/>
  <c r="N157" i="20" s="1"/>
  <c r="Y78" i="5"/>
  <c r="M157" i="20" s="1"/>
  <c r="X78" i="5"/>
  <c r="L157" i="20" s="1"/>
  <c r="W78" i="5"/>
  <c r="K157" i="20" s="1"/>
  <c r="V78" i="5"/>
  <c r="J157" i="20" s="1"/>
  <c r="U78" i="5"/>
  <c r="I157" i="20" s="1"/>
  <c r="S78" i="5"/>
  <c r="G157" i="20" s="1"/>
  <c r="R78" i="5"/>
  <c r="F157" i="20" s="1"/>
  <c r="Q78" i="5"/>
  <c r="E157" i="20" s="1"/>
  <c r="P78" i="5"/>
  <c r="D157" i="20" s="1"/>
  <c r="O78" i="5"/>
  <c r="C157" i="20" s="1"/>
  <c r="N78" i="5"/>
  <c r="B157" i="20" s="1"/>
  <c r="D78" i="5"/>
  <c r="D588" i="15" s="1"/>
  <c r="B78" i="5"/>
  <c r="B76" i="5"/>
  <c r="B586" i="15" s="1"/>
  <c r="B74" i="5"/>
  <c r="B584" i="15" s="1"/>
  <c r="AC73" i="5"/>
  <c r="AB73" i="5"/>
  <c r="AA73" i="5"/>
  <c r="Z73" i="5"/>
  <c r="N156" i="20" s="1"/>
  <c r="Y73" i="5"/>
  <c r="M156" i="20" s="1"/>
  <c r="X73" i="5"/>
  <c r="L156" i="20" s="1"/>
  <c r="W73" i="5"/>
  <c r="K156" i="20" s="1"/>
  <c r="V73" i="5"/>
  <c r="J156" i="20" s="1"/>
  <c r="U73" i="5"/>
  <c r="I156" i="20" s="1"/>
  <c r="S73" i="5"/>
  <c r="G156" i="20" s="1"/>
  <c r="R73" i="5"/>
  <c r="F156" i="20" s="1"/>
  <c r="Q73" i="5"/>
  <c r="E156" i="20" s="1"/>
  <c r="P73" i="5"/>
  <c r="D156" i="20" s="1"/>
  <c r="O73" i="5"/>
  <c r="C156" i="20" s="1"/>
  <c r="N73" i="5"/>
  <c r="B156" i="20" s="1"/>
  <c r="M73" i="5"/>
  <c r="A156" i="20" s="1"/>
  <c r="D73" i="5"/>
  <c r="D583" i="15" s="1"/>
  <c r="B73" i="5"/>
  <c r="B156" i="19" s="1"/>
  <c r="B71" i="5"/>
  <c r="B581" i="15" s="1"/>
  <c r="AC70" i="5"/>
  <c r="AB70" i="5"/>
  <c r="AA70" i="5"/>
  <c r="Z70" i="5"/>
  <c r="N155" i="20" s="1"/>
  <c r="Y70" i="5"/>
  <c r="M155" i="20" s="1"/>
  <c r="X70" i="5"/>
  <c r="L155" i="20" s="1"/>
  <c r="W70" i="5"/>
  <c r="K155" i="20" s="1"/>
  <c r="V70" i="5"/>
  <c r="J155" i="20" s="1"/>
  <c r="U70" i="5"/>
  <c r="I155" i="20" s="1"/>
  <c r="S70" i="5"/>
  <c r="G155" i="20" s="1"/>
  <c r="R70" i="5"/>
  <c r="F155" i="20" s="1"/>
  <c r="Q70" i="5"/>
  <c r="E155" i="20" s="1"/>
  <c r="P70" i="5"/>
  <c r="D155" i="20" s="1"/>
  <c r="O70" i="5"/>
  <c r="C155" i="20" s="1"/>
  <c r="N70" i="5"/>
  <c r="B155" i="20" s="1"/>
  <c r="M70" i="5"/>
  <c r="A155" i="20" s="1"/>
  <c r="D70" i="5"/>
  <c r="D580" i="15" s="1"/>
  <c r="B70" i="5"/>
  <c r="B155" i="19" s="1"/>
  <c r="B68" i="5"/>
  <c r="B578" i="15" s="1"/>
  <c r="AC67" i="5"/>
  <c r="AB67" i="5"/>
  <c r="AA67" i="5"/>
  <c r="Z67" i="5"/>
  <c r="N154" i="20" s="1"/>
  <c r="Y67" i="5"/>
  <c r="M154" i="20" s="1"/>
  <c r="X67" i="5"/>
  <c r="L154" i="20" s="1"/>
  <c r="W67" i="5"/>
  <c r="K154" i="20" s="1"/>
  <c r="V67" i="5"/>
  <c r="J154" i="20" s="1"/>
  <c r="U67" i="5"/>
  <c r="I154" i="20" s="1"/>
  <c r="S67" i="5"/>
  <c r="G154" i="20" s="1"/>
  <c r="R67" i="5"/>
  <c r="F154" i="20" s="1"/>
  <c r="Q67" i="5"/>
  <c r="E154" i="20" s="1"/>
  <c r="P67" i="5"/>
  <c r="D154" i="20" s="1"/>
  <c r="O67" i="5"/>
  <c r="C154" i="20" s="1"/>
  <c r="N67" i="5"/>
  <c r="B154" i="20" s="1"/>
  <c r="M67" i="5"/>
  <c r="A154" i="20" s="1"/>
  <c r="D67" i="5"/>
  <c r="D577" i="15" s="1"/>
  <c r="B67" i="5"/>
  <c r="B65" i="5"/>
  <c r="B575" i="15" s="1"/>
  <c r="AC64" i="5"/>
  <c r="AB64" i="5"/>
  <c r="AA64" i="5"/>
  <c r="Z64" i="5"/>
  <c r="N153" i="20" s="1"/>
  <c r="Y64" i="5"/>
  <c r="M153" i="20" s="1"/>
  <c r="X64" i="5"/>
  <c r="L153" i="20" s="1"/>
  <c r="W64" i="5"/>
  <c r="K153" i="20" s="1"/>
  <c r="V64" i="5"/>
  <c r="J153" i="20" s="1"/>
  <c r="U64" i="5"/>
  <c r="I153" i="20" s="1"/>
  <c r="T64" i="5"/>
  <c r="H153" i="20" s="1"/>
  <c r="S64" i="5"/>
  <c r="G153" i="20" s="1"/>
  <c r="R64" i="5"/>
  <c r="F153" i="20" s="1"/>
  <c r="Q64" i="5"/>
  <c r="E153" i="20" s="1"/>
  <c r="P64" i="5"/>
  <c r="D153" i="20" s="1"/>
  <c r="O64" i="5"/>
  <c r="C153" i="20" s="1"/>
  <c r="N64" i="5"/>
  <c r="B153" i="20" s="1"/>
  <c r="D64" i="5"/>
  <c r="D574" i="15" s="1"/>
  <c r="B64" i="5"/>
  <c r="B62" i="5"/>
  <c r="AC61" i="5"/>
  <c r="AB61" i="5"/>
  <c r="AA61" i="5"/>
  <c r="Z61" i="5"/>
  <c r="N152" i="20" s="1"/>
  <c r="Y61" i="5"/>
  <c r="M152" i="20" s="1"/>
  <c r="X61" i="5"/>
  <c r="L152" i="20" s="1"/>
  <c r="W61" i="5"/>
  <c r="K152" i="20" s="1"/>
  <c r="V61" i="5"/>
  <c r="J152" i="20" s="1"/>
  <c r="U61" i="5"/>
  <c r="I152" i="20" s="1"/>
  <c r="S61" i="5"/>
  <c r="G152" i="20" s="1"/>
  <c r="R61" i="5"/>
  <c r="F152" i="20" s="1"/>
  <c r="Q61" i="5"/>
  <c r="E152" i="20" s="1"/>
  <c r="P61" i="5"/>
  <c r="D152" i="20" s="1"/>
  <c r="O61" i="5"/>
  <c r="C152" i="20" s="1"/>
  <c r="N61" i="5"/>
  <c r="B152" i="20" s="1"/>
  <c r="M61" i="5"/>
  <c r="A152" i="20" s="1"/>
  <c r="D61" i="5"/>
  <c r="D571" i="15" s="1"/>
  <c r="B61" i="5"/>
  <c r="B59" i="5"/>
  <c r="B569" i="15" s="1"/>
  <c r="B57" i="5"/>
  <c r="B567" i="15" s="1"/>
  <c r="AC56" i="5"/>
  <c r="AB56" i="5"/>
  <c r="AA56" i="5"/>
  <c r="Z56" i="5"/>
  <c r="N151" i="20" s="1"/>
  <c r="Y56" i="5"/>
  <c r="M151" i="20" s="1"/>
  <c r="X56" i="5"/>
  <c r="L151" i="20" s="1"/>
  <c r="W56" i="5"/>
  <c r="K151" i="20" s="1"/>
  <c r="V56" i="5"/>
  <c r="J151" i="20" s="1"/>
  <c r="U56" i="5"/>
  <c r="I151" i="20" s="1"/>
  <c r="S56" i="5"/>
  <c r="G151" i="20" s="1"/>
  <c r="R56" i="5"/>
  <c r="F151" i="20" s="1"/>
  <c r="Q56" i="5"/>
  <c r="E151" i="20" s="1"/>
  <c r="P56" i="5"/>
  <c r="D151" i="20" s="1"/>
  <c r="O56" i="5"/>
  <c r="C151" i="20" s="1"/>
  <c r="N56" i="5"/>
  <c r="B151" i="20" s="1"/>
  <c r="D56" i="5"/>
  <c r="T56" i="5" s="1"/>
  <c r="H151" i="20" s="1"/>
  <c r="B56" i="5"/>
  <c r="B54" i="5"/>
  <c r="B564" i="15" s="1"/>
  <c r="AC53" i="5"/>
  <c r="AB53" i="5"/>
  <c r="AA53" i="5"/>
  <c r="Z53" i="5"/>
  <c r="N150" i="20" s="1"/>
  <c r="Y53" i="5"/>
  <c r="M150" i="20" s="1"/>
  <c r="X53" i="5"/>
  <c r="L150" i="20" s="1"/>
  <c r="W53" i="5"/>
  <c r="K150" i="20" s="1"/>
  <c r="V53" i="5"/>
  <c r="J150" i="20" s="1"/>
  <c r="U53" i="5"/>
  <c r="I150" i="20" s="1"/>
  <c r="S53" i="5"/>
  <c r="G150" i="20" s="1"/>
  <c r="R53" i="5"/>
  <c r="F150" i="20" s="1"/>
  <c r="Q53" i="5"/>
  <c r="E150" i="20" s="1"/>
  <c r="P53" i="5"/>
  <c r="D150" i="20" s="1"/>
  <c r="O53" i="5"/>
  <c r="C150" i="20" s="1"/>
  <c r="N53" i="5"/>
  <c r="B150" i="20" s="1"/>
  <c r="D53" i="5"/>
  <c r="B53" i="5"/>
  <c r="B51" i="5"/>
  <c r="B561" i="15" s="1"/>
  <c r="AC50" i="5"/>
  <c r="AB50" i="5"/>
  <c r="AA50" i="5"/>
  <c r="Z50" i="5"/>
  <c r="N149" i="20" s="1"/>
  <c r="Y50" i="5"/>
  <c r="M149" i="20" s="1"/>
  <c r="X50" i="5"/>
  <c r="L149" i="20" s="1"/>
  <c r="W50" i="5"/>
  <c r="K149" i="20" s="1"/>
  <c r="V50" i="5"/>
  <c r="J149" i="20" s="1"/>
  <c r="U50" i="5"/>
  <c r="I149" i="20" s="1"/>
  <c r="S50" i="5"/>
  <c r="G149" i="20" s="1"/>
  <c r="R50" i="5"/>
  <c r="F149" i="20" s="1"/>
  <c r="Q50" i="5"/>
  <c r="E149" i="20" s="1"/>
  <c r="P50" i="5"/>
  <c r="D149" i="20" s="1"/>
  <c r="O50" i="5"/>
  <c r="C149" i="20" s="1"/>
  <c r="N50" i="5"/>
  <c r="B149" i="20" s="1"/>
  <c r="D50" i="5"/>
  <c r="D560" i="15" s="1"/>
  <c r="B50" i="5"/>
  <c r="B48" i="5"/>
  <c r="B558" i="15" s="1"/>
  <c r="AC47" i="5"/>
  <c r="AB47" i="5"/>
  <c r="AA47" i="5"/>
  <c r="Z47" i="5"/>
  <c r="N148" i="20" s="1"/>
  <c r="Y47" i="5"/>
  <c r="M148" i="20" s="1"/>
  <c r="X47" i="5"/>
  <c r="L148" i="20" s="1"/>
  <c r="W47" i="5"/>
  <c r="K148" i="20" s="1"/>
  <c r="V47" i="5"/>
  <c r="J148" i="20" s="1"/>
  <c r="U47" i="5"/>
  <c r="I148" i="20" s="1"/>
  <c r="S47" i="5"/>
  <c r="G148" i="20" s="1"/>
  <c r="R47" i="5"/>
  <c r="F148" i="20" s="1"/>
  <c r="Q47" i="5"/>
  <c r="E148" i="20" s="1"/>
  <c r="P47" i="5"/>
  <c r="D148" i="20" s="1"/>
  <c r="O47" i="5"/>
  <c r="C148" i="20" s="1"/>
  <c r="N47" i="5"/>
  <c r="B148" i="20" s="1"/>
  <c r="M47" i="5"/>
  <c r="A148" i="20" s="1"/>
  <c r="D47" i="5"/>
  <c r="D557" i="15" s="1"/>
  <c r="B47" i="5"/>
  <c r="B148" i="19" s="1"/>
  <c r="B45" i="5"/>
  <c r="B555" i="15" s="1"/>
  <c r="AC44" i="5"/>
  <c r="AB44" i="5"/>
  <c r="AA44" i="5"/>
  <c r="Z44" i="5"/>
  <c r="N147" i="20" s="1"/>
  <c r="Y44" i="5"/>
  <c r="M147" i="20" s="1"/>
  <c r="X44" i="5"/>
  <c r="L147" i="20" s="1"/>
  <c r="W44" i="5"/>
  <c r="K147" i="20" s="1"/>
  <c r="V44" i="5"/>
  <c r="J147" i="20" s="1"/>
  <c r="U44" i="5"/>
  <c r="I147" i="20" s="1"/>
  <c r="S44" i="5"/>
  <c r="G147" i="20" s="1"/>
  <c r="R44" i="5"/>
  <c r="F147" i="20" s="1"/>
  <c r="Q44" i="5"/>
  <c r="E147" i="20" s="1"/>
  <c r="P44" i="5"/>
  <c r="D147" i="20" s="1"/>
  <c r="O44" i="5"/>
  <c r="C147" i="20" s="1"/>
  <c r="N44" i="5"/>
  <c r="B147" i="20" s="1"/>
  <c r="D44" i="5"/>
  <c r="D554" i="15" s="1"/>
  <c r="B44" i="5"/>
  <c r="B42" i="5"/>
  <c r="B552" i="15" s="1"/>
  <c r="B40" i="5"/>
  <c r="AC39" i="5"/>
  <c r="AB39" i="5"/>
  <c r="AA39" i="5"/>
  <c r="Z39" i="5"/>
  <c r="N146" i="20" s="1"/>
  <c r="Y39" i="5"/>
  <c r="M146" i="20" s="1"/>
  <c r="X39" i="5"/>
  <c r="L146" i="20" s="1"/>
  <c r="W39" i="5"/>
  <c r="K146" i="20" s="1"/>
  <c r="V39" i="5"/>
  <c r="J146" i="20" s="1"/>
  <c r="U39" i="5"/>
  <c r="I146" i="20" s="1"/>
  <c r="S39" i="5"/>
  <c r="G146" i="20" s="1"/>
  <c r="R39" i="5"/>
  <c r="F146" i="20" s="1"/>
  <c r="Q39" i="5"/>
  <c r="E146" i="20" s="1"/>
  <c r="P39" i="5"/>
  <c r="D146" i="20" s="1"/>
  <c r="O39" i="5"/>
  <c r="C146" i="20" s="1"/>
  <c r="N39" i="5"/>
  <c r="B146" i="20" s="1"/>
  <c r="M39" i="5"/>
  <c r="A146" i="20" s="1"/>
  <c r="D39" i="5"/>
  <c r="D549" i="15" s="1"/>
  <c r="B39" i="5"/>
  <c r="B37" i="5"/>
  <c r="B547" i="15" s="1"/>
  <c r="AC36" i="5"/>
  <c r="AB36" i="5"/>
  <c r="AA36" i="5"/>
  <c r="Z36" i="5"/>
  <c r="N145" i="20" s="1"/>
  <c r="Y36" i="5"/>
  <c r="M145" i="20" s="1"/>
  <c r="X36" i="5"/>
  <c r="L145" i="20" s="1"/>
  <c r="W36" i="5"/>
  <c r="K145" i="20" s="1"/>
  <c r="V36" i="5"/>
  <c r="J145" i="20" s="1"/>
  <c r="U36" i="5"/>
  <c r="I145" i="20" s="1"/>
  <c r="S36" i="5"/>
  <c r="G145" i="20" s="1"/>
  <c r="R36" i="5"/>
  <c r="F145" i="20" s="1"/>
  <c r="Q36" i="5"/>
  <c r="E145" i="20" s="1"/>
  <c r="P36" i="5"/>
  <c r="D145" i="20" s="1"/>
  <c r="O36" i="5"/>
  <c r="C145" i="20" s="1"/>
  <c r="N36" i="5"/>
  <c r="B145" i="20" s="1"/>
  <c r="M36" i="5"/>
  <c r="A145" i="20" s="1"/>
  <c r="D36" i="5"/>
  <c r="D546" i="15" s="1"/>
  <c r="B36" i="5"/>
  <c r="B145" i="19" s="1"/>
  <c r="B34" i="5"/>
  <c r="B544" i="15" s="1"/>
  <c r="AC33" i="5"/>
  <c r="AB33" i="5"/>
  <c r="AA33" i="5"/>
  <c r="Z33" i="5"/>
  <c r="N144" i="20" s="1"/>
  <c r="Y33" i="5"/>
  <c r="M144" i="20" s="1"/>
  <c r="X33" i="5"/>
  <c r="L144" i="20" s="1"/>
  <c r="W33" i="5"/>
  <c r="K144" i="20" s="1"/>
  <c r="V33" i="5"/>
  <c r="J144" i="20" s="1"/>
  <c r="U33" i="5"/>
  <c r="I144" i="20" s="1"/>
  <c r="S33" i="5"/>
  <c r="G144" i="20" s="1"/>
  <c r="R33" i="5"/>
  <c r="F144" i="20" s="1"/>
  <c r="Q33" i="5"/>
  <c r="E144" i="20" s="1"/>
  <c r="P33" i="5"/>
  <c r="D144" i="20" s="1"/>
  <c r="O33" i="5"/>
  <c r="C144" i="20" s="1"/>
  <c r="N33" i="5"/>
  <c r="B144" i="20" s="1"/>
  <c r="M33" i="5"/>
  <c r="A144" i="20" s="1"/>
  <c r="D33" i="5"/>
  <c r="D543" i="15" s="1"/>
  <c r="B33" i="5"/>
  <c r="B31" i="5"/>
  <c r="B541" i="15" s="1"/>
  <c r="AC30" i="5"/>
  <c r="AB30" i="5"/>
  <c r="AA30" i="5"/>
  <c r="Z30" i="5"/>
  <c r="N143" i="20" s="1"/>
  <c r="Y30" i="5"/>
  <c r="M143" i="20" s="1"/>
  <c r="X30" i="5"/>
  <c r="L143" i="20" s="1"/>
  <c r="W30" i="5"/>
  <c r="K143" i="20" s="1"/>
  <c r="V30" i="5"/>
  <c r="J143" i="20" s="1"/>
  <c r="U30" i="5"/>
  <c r="I143" i="20" s="1"/>
  <c r="S30" i="5"/>
  <c r="G143" i="20" s="1"/>
  <c r="R30" i="5"/>
  <c r="F143" i="20" s="1"/>
  <c r="Q30" i="5"/>
  <c r="E143" i="20" s="1"/>
  <c r="P30" i="5"/>
  <c r="D143" i="20" s="1"/>
  <c r="O30" i="5"/>
  <c r="C143" i="20" s="1"/>
  <c r="N30" i="5"/>
  <c r="B143" i="20" s="1"/>
  <c r="D30" i="5"/>
  <c r="D540" i="15" s="1"/>
  <c r="B30" i="5"/>
  <c r="B28" i="5"/>
  <c r="B538" i="15" s="1"/>
  <c r="AC27" i="5"/>
  <c r="AB27" i="5"/>
  <c r="AA27" i="5"/>
  <c r="Z27" i="5"/>
  <c r="N142" i="20" s="1"/>
  <c r="Y27" i="5"/>
  <c r="M142" i="20" s="1"/>
  <c r="X27" i="5"/>
  <c r="L142" i="20" s="1"/>
  <c r="W27" i="5"/>
  <c r="K142" i="20" s="1"/>
  <c r="V27" i="5"/>
  <c r="J142" i="20" s="1"/>
  <c r="U27" i="5"/>
  <c r="I142" i="20" s="1"/>
  <c r="S27" i="5"/>
  <c r="G142" i="20" s="1"/>
  <c r="R27" i="5"/>
  <c r="F142" i="20" s="1"/>
  <c r="Q27" i="5"/>
  <c r="E142" i="20" s="1"/>
  <c r="P27" i="5"/>
  <c r="D142" i="20" s="1"/>
  <c r="O27" i="5"/>
  <c r="C142" i="20" s="1"/>
  <c r="N27" i="5"/>
  <c r="B142" i="20" s="1"/>
  <c r="M27" i="5"/>
  <c r="A142" i="20" s="1"/>
  <c r="D27" i="5"/>
  <c r="D537" i="15" s="1"/>
  <c r="B27" i="5"/>
  <c r="B25" i="5"/>
  <c r="B535" i="15" s="1"/>
  <c r="B23" i="5"/>
  <c r="B533" i="15" s="1"/>
  <c r="AC22" i="5"/>
  <c r="AB22" i="5"/>
  <c r="AA22" i="5"/>
  <c r="Z22" i="5"/>
  <c r="N141" i="20" s="1"/>
  <c r="Y22" i="5"/>
  <c r="M141" i="20" s="1"/>
  <c r="X22" i="5"/>
  <c r="L141" i="20" s="1"/>
  <c r="W22" i="5"/>
  <c r="K141" i="20" s="1"/>
  <c r="V22" i="5"/>
  <c r="J141" i="20" s="1"/>
  <c r="U22" i="5"/>
  <c r="I141" i="20" s="1"/>
  <c r="S22" i="5"/>
  <c r="G141" i="20" s="1"/>
  <c r="R22" i="5"/>
  <c r="F141" i="20" s="1"/>
  <c r="Q22" i="5"/>
  <c r="E141" i="20" s="1"/>
  <c r="P22" i="5"/>
  <c r="D141" i="20" s="1"/>
  <c r="O22" i="5"/>
  <c r="C141" i="20" s="1"/>
  <c r="N22" i="5"/>
  <c r="B141" i="20" s="1"/>
  <c r="M22" i="5"/>
  <c r="A141" i="20" s="1"/>
  <c r="D22" i="5"/>
  <c r="D532" i="15" s="1"/>
  <c r="B22" i="5"/>
  <c r="B20" i="5"/>
  <c r="B530" i="15" s="1"/>
  <c r="AC19" i="5"/>
  <c r="AB19" i="5"/>
  <c r="AA19" i="5"/>
  <c r="Z19" i="5"/>
  <c r="N140" i="20" s="1"/>
  <c r="Y19" i="5"/>
  <c r="M140" i="20" s="1"/>
  <c r="X19" i="5"/>
  <c r="L140" i="20" s="1"/>
  <c r="W19" i="5"/>
  <c r="K140" i="20" s="1"/>
  <c r="V19" i="5"/>
  <c r="J140" i="20" s="1"/>
  <c r="U19" i="5"/>
  <c r="I140" i="20" s="1"/>
  <c r="S19" i="5"/>
  <c r="G140" i="20" s="1"/>
  <c r="R19" i="5"/>
  <c r="F140" i="20" s="1"/>
  <c r="Q19" i="5"/>
  <c r="E140" i="20" s="1"/>
  <c r="P19" i="5"/>
  <c r="D140" i="20" s="1"/>
  <c r="O19" i="5"/>
  <c r="C140" i="20" s="1"/>
  <c r="N19" i="5"/>
  <c r="B140" i="20" s="1"/>
  <c r="D19" i="5"/>
  <c r="B19" i="5"/>
  <c r="B17" i="5"/>
  <c r="AC16" i="5"/>
  <c r="AB16" i="5"/>
  <c r="AA16" i="5"/>
  <c r="Z16" i="5"/>
  <c r="N139" i="20" s="1"/>
  <c r="Y16" i="5"/>
  <c r="M139" i="20" s="1"/>
  <c r="X16" i="5"/>
  <c r="L139" i="20" s="1"/>
  <c r="W16" i="5"/>
  <c r="K139" i="20" s="1"/>
  <c r="V16" i="5"/>
  <c r="J139" i="20" s="1"/>
  <c r="U16" i="5"/>
  <c r="I139" i="20" s="1"/>
  <c r="S16" i="5"/>
  <c r="G139" i="20" s="1"/>
  <c r="R16" i="5"/>
  <c r="F139" i="20" s="1"/>
  <c r="Q16" i="5"/>
  <c r="E139" i="20" s="1"/>
  <c r="P16" i="5"/>
  <c r="D139" i="20" s="1"/>
  <c r="O16" i="5"/>
  <c r="C139" i="20" s="1"/>
  <c r="N16" i="5"/>
  <c r="B139" i="20" s="1"/>
  <c r="M16" i="5"/>
  <c r="A139" i="20" s="1"/>
  <c r="D16" i="5"/>
  <c r="D526" i="15" s="1"/>
  <c r="B16" i="5"/>
  <c r="B14" i="5"/>
  <c r="B524" i="15" s="1"/>
  <c r="AC13" i="5"/>
  <c r="AB13" i="5"/>
  <c r="AA13" i="5"/>
  <c r="Z13" i="5"/>
  <c r="N138" i="20" s="1"/>
  <c r="Y13" i="5"/>
  <c r="M138" i="20" s="1"/>
  <c r="X13" i="5"/>
  <c r="L138" i="20" s="1"/>
  <c r="W13" i="5"/>
  <c r="K138" i="20" s="1"/>
  <c r="V13" i="5"/>
  <c r="J138" i="20" s="1"/>
  <c r="U13" i="5"/>
  <c r="I138" i="20" s="1"/>
  <c r="S13" i="5"/>
  <c r="G138" i="20" s="1"/>
  <c r="R13" i="5"/>
  <c r="F138" i="20" s="1"/>
  <c r="Q13" i="5"/>
  <c r="E138" i="20" s="1"/>
  <c r="P13" i="5"/>
  <c r="D138" i="20" s="1"/>
  <c r="O13" i="5"/>
  <c r="C138" i="20" s="1"/>
  <c r="N13" i="5"/>
  <c r="B138" i="20" s="1"/>
  <c r="M13" i="5"/>
  <c r="A138" i="20" s="1"/>
  <c r="D13" i="5"/>
  <c r="D523" i="15" s="1"/>
  <c r="B13" i="5"/>
  <c r="A13" i="5"/>
  <c r="B11" i="5"/>
  <c r="B521" i="15" s="1"/>
  <c r="AC10" i="5"/>
  <c r="AB10" i="5"/>
  <c r="AA10" i="5"/>
  <c r="Z10" i="5"/>
  <c r="N137" i="20" s="1"/>
  <c r="Y10" i="5"/>
  <c r="M137" i="20" s="1"/>
  <c r="X10" i="5"/>
  <c r="L137" i="20" s="1"/>
  <c r="W10" i="5"/>
  <c r="K137" i="20" s="1"/>
  <c r="V10" i="5"/>
  <c r="J137" i="20" s="1"/>
  <c r="U10" i="5"/>
  <c r="I137" i="20" s="1"/>
  <c r="S10" i="5"/>
  <c r="G137" i="20" s="1"/>
  <c r="R10" i="5"/>
  <c r="F137" i="20" s="1"/>
  <c r="Q10" i="5"/>
  <c r="E137" i="20" s="1"/>
  <c r="P10" i="5"/>
  <c r="D137" i="20" s="1"/>
  <c r="O10" i="5"/>
  <c r="C137" i="20" s="1"/>
  <c r="N10" i="5"/>
  <c r="B137" i="20" s="1"/>
  <c r="M10" i="5"/>
  <c r="A137" i="20" s="1"/>
  <c r="D10" i="5"/>
  <c r="T10" i="5" s="1"/>
  <c r="H137" i="20" s="1"/>
  <c r="B10" i="5"/>
  <c r="B8" i="5"/>
  <c r="B518" i="15" s="1"/>
  <c r="A3" i="5"/>
  <c r="A1" i="5"/>
  <c r="B159" i="4"/>
  <c r="AC158" i="4"/>
  <c r="AB158" i="4"/>
  <c r="AA158" i="4"/>
  <c r="Z158" i="4"/>
  <c r="N136" i="20" s="1"/>
  <c r="Y158" i="4"/>
  <c r="M136" i="20" s="1"/>
  <c r="X158" i="4"/>
  <c r="L136" i="20" s="1"/>
  <c r="W158" i="4"/>
  <c r="K136" i="20" s="1"/>
  <c r="V158" i="4"/>
  <c r="J136" i="20" s="1"/>
  <c r="U158" i="4"/>
  <c r="I136" i="20" s="1"/>
  <c r="S158" i="4"/>
  <c r="G136" i="20" s="1"/>
  <c r="R158" i="4"/>
  <c r="F136" i="20" s="1"/>
  <c r="Q158" i="4"/>
  <c r="E136" i="20" s="1"/>
  <c r="P158" i="4"/>
  <c r="D136" i="20" s="1"/>
  <c r="O158" i="4"/>
  <c r="C136" i="20" s="1"/>
  <c r="N158" i="4"/>
  <c r="B136" i="20" s="1"/>
  <c r="M158" i="4"/>
  <c r="A136" i="20" s="1"/>
  <c r="D158" i="4"/>
  <c r="D498" i="15" s="1"/>
  <c r="B158" i="4"/>
  <c r="B136" i="19" s="1"/>
  <c r="D136" i="19" s="1"/>
  <c r="B156" i="4"/>
  <c r="B496" i="15" s="1"/>
  <c r="AC155" i="4"/>
  <c r="AB155" i="4"/>
  <c r="AA155" i="4"/>
  <c r="Z155" i="4"/>
  <c r="N135" i="20" s="1"/>
  <c r="Y155" i="4"/>
  <c r="M135" i="20" s="1"/>
  <c r="X155" i="4"/>
  <c r="L135" i="20" s="1"/>
  <c r="W155" i="4"/>
  <c r="K135" i="20" s="1"/>
  <c r="V155" i="4"/>
  <c r="J135" i="20" s="1"/>
  <c r="U155" i="4"/>
  <c r="I135" i="20" s="1"/>
  <c r="S155" i="4"/>
  <c r="G135" i="20" s="1"/>
  <c r="R155" i="4"/>
  <c r="F135" i="20" s="1"/>
  <c r="Q155" i="4"/>
  <c r="E135" i="20" s="1"/>
  <c r="P155" i="4"/>
  <c r="D135" i="20" s="1"/>
  <c r="O155" i="4"/>
  <c r="C135" i="20" s="1"/>
  <c r="N155" i="4"/>
  <c r="B135" i="20" s="1"/>
  <c r="M155" i="4"/>
  <c r="A135" i="20" s="1"/>
  <c r="D155" i="4"/>
  <c r="D495" i="15" s="1"/>
  <c r="B155" i="4"/>
  <c r="B153" i="4"/>
  <c r="B493" i="15" s="1"/>
  <c r="AC152" i="4"/>
  <c r="AB152" i="4"/>
  <c r="AA152" i="4"/>
  <c r="Z152" i="4"/>
  <c r="N134" i="20" s="1"/>
  <c r="Y152" i="4"/>
  <c r="M134" i="20" s="1"/>
  <c r="X152" i="4"/>
  <c r="L134" i="20" s="1"/>
  <c r="W152" i="4"/>
  <c r="K134" i="20" s="1"/>
  <c r="V152" i="4"/>
  <c r="J134" i="20" s="1"/>
  <c r="U152" i="4"/>
  <c r="I134" i="20" s="1"/>
  <c r="S152" i="4"/>
  <c r="G134" i="20" s="1"/>
  <c r="R152" i="4"/>
  <c r="F134" i="20" s="1"/>
  <c r="Q152" i="4"/>
  <c r="E134" i="20" s="1"/>
  <c r="P152" i="4"/>
  <c r="D134" i="20" s="1"/>
  <c r="O152" i="4"/>
  <c r="C134" i="20" s="1"/>
  <c r="N152" i="4"/>
  <c r="B134" i="20" s="1"/>
  <c r="D152" i="4"/>
  <c r="B152" i="4"/>
  <c r="B150" i="4"/>
  <c r="B490" i="15" s="1"/>
  <c r="AC149" i="4"/>
  <c r="AB149" i="4"/>
  <c r="AA149" i="4"/>
  <c r="Z149" i="4"/>
  <c r="N133" i="20" s="1"/>
  <c r="Y149" i="4"/>
  <c r="M133" i="20" s="1"/>
  <c r="X149" i="4"/>
  <c r="L133" i="20" s="1"/>
  <c r="W149" i="4"/>
  <c r="K133" i="20" s="1"/>
  <c r="V149" i="4"/>
  <c r="J133" i="20" s="1"/>
  <c r="U149" i="4"/>
  <c r="I133" i="20" s="1"/>
  <c r="S149" i="4"/>
  <c r="G133" i="20" s="1"/>
  <c r="R149" i="4"/>
  <c r="F133" i="20" s="1"/>
  <c r="Q149" i="4"/>
  <c r="E133" i="20" s="1"/>
  <c r="P149" i="4"/>
  <c r="D133" i="20" s="1"/>
  <c r="O149" i="4"/>
  <c r="C133" i="20" s="1"/>
  <c r="N149" i="4"/>
  <c r="B133" i="20" s="1"/>
  <c r="M149" i="4"/>
  <c r="A133" i="20" s="1"/>
  <c r="D149" i="4"/>
  <c r="D489" i="15" s="1"/>
  <c r="B149" i="4"/>
  <c r="B147" i="4"/>
  <c r="B487" i="15" s="1"/>
  <c r="AC146" i="4"/>
  <c r="AB146" i="4"/>
  <c r="AA146" i="4"/>
  <c r="Z146" i="4"/>
  <c r="N132" i="20" s="1"/>
  <c r="Y146" i="4"/>
  <c r="M132" i="20" s="1"/>
  <c r="X146" i="4"/>
  <c r="L132" i="20" s="1"/>
  <c r="W146" i="4"/>
  <c r="K132" i="20" s="1"/>
  <c r="V146" i="4"/>
  <c r="J132" i="20" s="1"/>
  <c r="U146" i="4"/>
  <c r="I132" i="20" s="1"/>
  <c r="S146" i="4"/>
  <c r="G132" i="20" s="1"/>
  <c r="R146" i="4"/>
  <c r="F132" i="20" s="1"/>
  <c r="Q146" i="4"/>
  <c r="E132" i="20" s="1"/>
  <c r="P146" i="4"/>
  <c r="D132" i="20" s="1"/>
  <c r="O146" i="4"/>
  <c r="C132" i="20" s="1"/>
  <c r="N146" i="4"/>
  <c r="B132" i="20" s="1"/>
  <c r="M146" i="4"/>
  <c r="A132" i="20" s="1"/>
  <c r="D146" i="4"/>
  <c r="D486" i="15" s="1"/>
  <c r="B146" i="4"/>
  <c r="B144" i="4"/>
  <c r="B484" i="15" s="1"/>
  <c r="B142" i="4"/>
  <c r="B482" i="15" s="1"/>
  <c r="AC141" i="4"/>
  <c r="AB141" i="4"/>
  <c r="AA141" i="4"/>
  <c r="Z141" i="4"/>
  <c r="N131" i="20" s="1"/>
  <c r="Y141" i="4"/>
  <c r="M131" i="20" s="1"/>
  <c r="X141" i="4"/>
  <c r="L131" i="20" s="1"/>
  <c r="W141" i="4"/>
  <c r="K131" i="20" s="1"/>
  <c r="V141" i="4"/>
  <c r="J131" i="20" s="1"/>
  <c r="U141" i="4"/>
  <c r="I131" i="20" s="1"/>
  <c r="T141" i="4"/>
  <c r="H131" i="20" s="1"/>
  <c r="S141" i="4"/>
  <c r="G131" i="20" s="1"/>
  <c r="R141" i="4"/>
  <c r="F131" i="20" s="1"/>
  <c r="Q141" i="4"/>
  <c r="E131" i="20" s="1"/>
  <c r="P141" i="4"/>
  <c r="D131" i="20" s="1"/>
  <c r="O141" i="4"/>
  <c r="C131" i="20" s="1"/>
  <c r="N141" i="4"/>
  <c r="B131" i="20" s="1"/>
  <c r="D141" i="4"/>
  <c r="D481" i="15" s="1"/>
  <c r="B141" i="4"/>
  <c r="B139" i="4"/>
  <c r="B479" i="15" s="1"/>
  <c r="AC138" i="4"/>
  <c r="AB138" i="4"/>
  <c r="AA138" i="4"/>
  <c r="Z138" i="4"/>
  <c r="N130" i="20" s="1"/>
  <c r="Y138" i="4"/>
  <c r="M130" i="20" s="1"/>
  <c r="X138" i="4"/>
  <c r="L130" i="20" s="1"/>
  <c r="W138" i="4"/>
  <c r="K130" i="20" s="1"/>
  <c r="V138" i="4"/>
  <c r="J130" i="20" s="1"/>
  <c r="U138" i="4"/>
  <c r="I130" i="20" s="1"/>
  <c r="S138" i="4"/>
  <c r="G130" i="20" s="1"/>
  <c r="R138" i="4"/>
  <c r="F130" i="20" s="1"/>
  <c r="Q138" i="4"/>
  <c r="E130" i="20" s="1"/>
  <c r="P138" i="4"/>
  <c r="D130" i="20" s="1"/>
  <c r="O138" i="4"/>
  <c r="C130" i="20" s="1"/>
  <c r="N138" i="4"/>
  <c r="B130" i="20" s="1"/>
  <c r="M138" i="4"/>
  <c r="A130" i="20" s="1"/>
  <c r="D138" i="4"/>
  <c r="D478" i="15" s="1"/>
  <c r="B138" i="4"/>
  <c r="B136" i="4"/>
  <c r="B476" i="15" s="1"/>
  <c r="AC135" i="4"/>
  <c r="AB135" i="4"/>
  <c r="AA135" i="4"/>
  <c r="Z135" i="4"/>
  <c r="N129" i="20" s="1"/>
  <c r="Y135" i="4"/>
  <c r="M129" i="20" s="1"/>
  <c r="X135" i="4"/>
  <c r="L129" i="20" s="1"/>
  <c r="W135" i="4"/>
  <c r="K129" i="20" s="1"/>
  <c r="V135" i="4"/>
  <c r="J129" i="20" s="1"/>
  <c r="U135" i="4"/>
  <c r="I129" i="20" s="1"/>
  <c r="S135" i="4"/>
  <c r="G129" i="20" s="1"/>
  <c r="R135" i="4"/>
  <c r="F129" i="20" s="1"/>
  <c r="Q135" i="4"/>
  <c r="E129" i="20" s="1"/>
  <c r="P135" i="4"/>
  <c r="D129" i="20" s="1"/>
  <c r="O135" i="4"/>
  <c r="C129" i="20" s="1"/>
  <c r="N135" i="4"/>
  <c r="B129" i="20" s="1"/>
  <c r="M135" i="4"/>
  <c r="A129" i="20" s="1"/>
  <c r="D135" i="4"/>
  <c r="D475" i="15" s="1"/>
  <c r="B135" i="4"/>
  <c r="B133" i="4"/>
  <c r="B473" i="15" s="1"/>
  <c r="AC132" i="4"/>
  <c r="AB132" i="4"/>
  <c r="AA132" i="4"/>
  <c r="Z132" i="4"/>
  <c r="N128" i="20" s="1"/>
  <c r="Y132" i="4"/>
  <c r="M128" i="20" s="1"/>
  <c r="X132" i="4"/>
  <c r="L128" i="20" s="1"/>
  <c r="W132" i="4"/>
  <c r="K128" i="20" s="1"/>
  <c r="V132" i="4"/>
  <c r="J128" i="20" s="1"/>
  <c r="U132" i="4"/>
  <c r="I128" i="20" s="1"/>
  <c r="S132" i="4"/>
  <c r="G128" i="20" s="1"/>
  <c r="R132" i="4"/>
  <c r="F128" i="20" s="1"/>
  <c r="Q132" i="4"/>
  <c r="E128" i="20" s="1"/>
  <c r="P132" i="4"/>
  <c r="D128" i="20" s="1"/>
  <c r="O132" i="4"/>
  <c r="C128" i="20" s="1"/>
  <c r="N132" i="4"/>
  <c r="B128" i="20" s="1"/>
  <c r="D132" i="4"/>
  <c r="T132" i="4" s="1"/>
  <c r="H128" i="20" s="1"/>
  <c r="B132" i="4"/>
  <c r="B130" i="4"/>
  <c r="B470" i="15" s="1"/>
  <c r="AC129" i="4"/>
  <c r="AB129" i="4"/>
  <c r="AA129" i="4"/>
  <c r="Z129" i="4"/>
  <c r="N127" i="20" s="1"/>
  <c r="Y129" i="4"/>
  <c r="M127" i="20" s="1"/>
  <c r="X129" i="4"/>
  <c r="L127" i="20" s="1"/>
  <c r="W129" i="4"/>
  <c r="K127" i="20" s="1"/>
  <c r="V129" i="4"/>
  <c r="J127" i="20" s="1"/>
  <c r="U129" i="4"/>
  <c r="I127" i="20" s="1"/>
  <c r="T129" i="4"/>
  <c r="H127" i="20" s="1"/>
  <c r="S129" i="4"/>
  <c r="G127" i="20" s="1"/>
  <c r="R129" i="4"/>
  <c r="F127" i="20" s="1"/>
  <c r="Q129" i="4"/>
  <c r="E127" i="20" s="1"/>
  <c r="P129" i="4"/>
  <c r="D127" i="20" s="1"/>
  <c r="O129" i="4"/>
  <c r="C127" i="20" s="1"/>
  <c r="N129" i="4"/>
  <c r="B127" i="20" s="1"/>
  <c r="D129" i="4"/>
  <c r="B129" i="4"/>
  <c r="B127" i="4"/>
  <c r="B467" i="15" s="1"/>
  <c r="B125" i="4"/>
  <c r="B465" i="15" s="1"/>
  <c r="AC124" i="4"/>
  <c r="AB124" i="4"/>
  <c r="AA124" i="4"/>
  <c r="Z124" i="4"/>
  <c r="N126" i="20" s="1"/>
  <c r="Y124" i="4"/>
  <c r="M126" i="20" s="1"/>
  <c r="X124" i="4"/>
  <c r="L126" i="20" s="1"/>
  <c r="W124" i="4"/>
  <c r="K126" i="20" s="1"/>
  <c r="V124" i="4"/>
  <c r="J126" i="20" s="1"/>
  <c r="U124" i="4"/>
  <c r="I126" i="20" s="1"/>
  <c r="S124" i="4"/>
  <c r="G126" i="20" s="1"/>
  <c r="R124" i="4"/>
  <c r="F126" i="20" s="1"/>
  <c r="Q124" i="4"/>
  <c r="E126" i="20" s="1"/>
  <c r="P124" i="4"/>
  <c r="D126" i="20" s="1"/>
  <c r="O124" i="4"/>
  <c r="C126" i="20" s="1"/>
  <c r="N124" i="4"/>
  <c r="B126" i="20" s="1"/>
  <c r="M124" i="4"/>
  <c r="A126" i="20" s="1"/>
  <c r="D124" i="4"/>
  <c r="D464" i="15" s="1"/>
  <c r="B124" i="4"/>
  <c r="B122" i="4"/>
  <c r="B462" i="15" s="1"/>
  <c r="AC121" i="4"/>
  <c r="AB121" i="4"/>
  <c r="AA121" i="4"/>
  <c r="Z121" i="4"/>
  <c r="N125" i="20" s="1"/>
  <c r="Y121" i="4"/>
  <c r="M125" i="20" s="1"/>
  <c r="X121" i="4"/>
  <c r="L125" i="20" s="1"/>
  <c r="W121" i="4"/>
  <c r="K125" i="20" s="1"/>
  <c r="V121" i="4"/>
  <c r="J125" i="20" s="1"/>
  <c r="U121" i="4"/>
  <c r="I125" i="20" s="1"/>
  <c r="S121" i="4"/>
  <c r="G125" i="20" s="1"/>
  <c r="R121" i="4"/>
  <c r="F125" i="20" s="1"/>
  <c r="Q121" i="4"/>
  <c r="E125" i="20" s="1"/>
  <c r="P121" i="4"/>
  <c r="D125" i="20" s="1"/>
  <c r="O121" i="4"/>
  <c r="C125" i="20" s="1"/>
  <c r="N121" i="4"/>
  <c r="B125" i="20" s="1"/>
  <c r="M121" i="4"/>
  <c r="A125" i="20" s="1"/>
  <c r="D121" i="4"/>
  <c r="D461" i="15" s="1"/>
  <c r="B121" i="4"/>
  <c r="B119" i="4"/>
  <c r="B459" i="15" s="1"/>
  <c r="AC118" i="4"/>
  <c r="AB118" i="4"/>
  <c r="AA118" i="4"/>
  <c r="Z118" i="4"/>
  <c r="N124" i="20" s="1"/>
  <c r="Y118" i="4"/>
  <c r="M124" i="20" s="1"/>
  <c r="X118" i="4"/>
  <c r="L124" i="20" s="1"/>
  <c r="W118" i="4"/>
  <c r="K124" i="20" s="1"/>
  <c r="V118" i="4"/>
  <c r="J124" i="20" s="1"/>
  <c r="U118" i="4"/>
  <c r="I124" i="20" s="1"/>
  <c r="T118" i="4"/>
  <c r="H124" i="20" s="1"/>
  <c r="S118" i="4"/>
  <c r="G124" i="20" s="1"/>
  <c r="R118" i="4"/>
  <c r="F124" i="20" s="1"/>
  <c r="Q118" i="4"/>
  <c r="E124" i="20" s="1"/>
  <c r="P118" i="4"/>
  <c r="D124" i="20" s="1"/>
  <c r="O118" i="4"/>
  <c r="C124" i="20" s="1"/>
  <c r="N118" i="4"/>
  <c r="B124" i="20" s="1"/>
  <c r="D118" i="4"/>
  <c r="D458" i="15" s="1"/>
  <c r="B118" i="4"/>
  <c r="B116" i="4"/>
  <c r="B456" i="15" s="1"/>
  <c r="AC115" i="4"/>
  <c r="AB115" i="4"/>
  <c r="AA115" i="4"/>
  <c r="Z115" i="4"/>
  <c r="N123" i="20" s="1"/>
  <c r="Y115" i="4"/>
  <c r="M123" i="20" s="1"/>
  <c r="X115" i="4"/>
  <c r="L123" i="20" s="1"/>
  <c r="W115" i="4"/>
  <c r="K123" i="20" s="1"/>
  <c r="V115" i="4"/>
  <c r="J123" i="20" s="1"/>
  <c r="U115" i="4"/>
  <c r="I123" i="20" s="1"/>
  <c r="S115" i="4"/>
  <c r="G123" i="20" s="1"/>
  <c r="R115" i="4"/>
  <c r="F123" i="20" s="1"/>
  <c r="Q115" i="4"/>
  <c r="E123" i="20" s="1"/>
  <c r="P115" i="4"/>
  <c r="D123" i="20" s="1"/>
  <c r="O115" i="4"/>
  <c r="C123" i="20" s="1"/>
  <c r="N115" i="4"/>
  <c r="B123" i="20" s="1"/>
  <c r="D115" i="4"/>
  <c r="D455" i="15" s="1"/>
  <c r="B115" i="4"/>
  <c r="B113" i="4"/>
  <c r="B453" i="15" s="1"/>
  <c r="AC112" i="4"/>
  <c r="AB112" i="4"/>
  <c r="AA112" i="4"/>
  <c r="Z112" i="4"/>
  <c r="N122" i="20" s="1"/>
  <c r="Y112" i="4"/>
  <c r="M122" i="20" s="1"/>
  <c r="X112" i="4"/>
  <c r="L122" i="20" s="1"/>
  <c r="W112" i="4"/>
  <c r="K122" i="20" s="1"/>
  <c r="V112" i="4"/>
  <c r="J122" i="20" s="1"/>
  <c r="U112" i="4"/>
  <c r="I122" i="20" s="1"/>
  <c r="S112" i="4"/>
  <c r="G122" i="20" s="1"/>
  <c r="R112" i="4"/>
  <c r="F122" i="20" s="1"/>
  <c r="Q112" i="4"/>
  <c r="E122" i="20" s="1"/>
  <c r="P112" i="4"/>
  <c r="D122" i="20" s="1"/>
  <c r="O112" i="4"/>
  <c r="C122" i="20" s="1"/>
  <c r="N112" i="4"/>
  <c r="B122" i="20" s="1"/>
  <c r="M112" i="4"/>
  <c r="A122" i="20" s="1"/>
  <c r="D112" i="4"/>
  <c r="D452" i="15" s="1"/>
  <c r="B112" i="4"/>
  <c r="B122" i="19" s="1"/>
  <c r="B110" i="4"/>
  <c r="B450" i="15" s="1"/>
  <c r="B108" i="4"/>
  <c r="B448" i="15" s="1"/>
  <c r="AC107" i="4"/>
  <c r="AB107" i="4"/>
  <c r="AA107" i="4"/>
  <c r="Z107" i="4"/>
  <c r="N121" i="20" s="1"/>
  <c r="Y107" i="4"/>
  <c r="M121" i="20" s="1"/>
  <c r="X107" i="4"/>
  <c r="L121" i="20" s="1"/>
  <c r="W107" i="4"/>
  <c r="K121" i="20" s="1"/>
  <c r="V107" i="4"/>
  <c r="J121" i="20" s="1"/>
  <c r="U107" i="4"/>
  <c r="I121" i="20" s="1"/>
  <c r="S107" i="4"/>
  <c r="G121" i="20" s="1"/>
  <c r="R107" i="4"/>
  <c r="F121" i="20" s="1"/>
  <c r="Q107" i="4"/>
  <c r="E121" i="20" s="1"/>
  <c r="P107" i="4"/>
  <c r="D121" i="20" s="1"/>
  <c r="O107" i="4"/>
  <c r="C121" i="20" s="1"/>
  <c r="N107" i="4"/>
  <c r="B121" i="20" s="1"/>
  <c r="D107" i="4"/>
  <c r="B107" i="4"/>
  <c r="B105" i="4"/>
  <c r="B445" i="15" s="1"/>
  <c r="AC104" i="4"/>
  <c r="AB104" i="4"/>
  <c r="AA104" i="4"/>
  <c r="Z104" i="4"/>
  <c r="N120" i="20" s="1"/>
  <c r="Y104" i="4"/>
  <c r="M120" i="20" s="1"/>
  <c r="X104" i="4"/>
  <c r="L120" i="20" s="1"/>
  <c r="W104" i="4"/>
  <c r="K120" i="20" s="1"/>
  <c r="V104" i="4"/>
  <c r="J120" i="20" s="1"/>
  <c r="U104" i="4"/>
  <c r="I120" i="20" s="1"/>
  <c r="S104" i="4"/>
  <c r="G120" i="20" s="1"/>
  <c r="R104" i="4"/>
  <c r="F120" i="20" s="1"/>
  <c r="Q104" i="4"/>
  <c r="E120" i="20" s="1"/>
  <c r="P104" i="4"/>
  <c r="D120" i="20" s="1"/>
  <c r="O104" i="4"/>
  <c r="C120" i="20" s="1"/>
  <c r="N104" i="4"/>
  <c r="B120" i="20" s="1"/>
  <c r="M104" i="4"/>
  <c r="A120" i="20" s="1"/>
  <c r="D104" i="4"/>
  <c r="D444" i="15" s="1"/>
  <c r="B104" i="4"/>
  <c r="B102" i="4"/>
  <c r="B442" i="15" s="1"/>
  <c r="AC101" i="4"/>
  <c r="AB101" i="4"/>
  <c r="AA101" i="4"/>
  <c r="Z101" i="4"/>
  <c r="N119" i="20" s="1"/>
  <c r="Y101" i="4"/>
  <c r="M119" i="20" s="1"/>
  <c r="X101" i="4"/>
  <c r="L119" i="20" s="1"/>
  <c r="W101" i="4"/>
  <c r="K119" i="20" s="1"/>
  <c r="V101" i="4"/>
  <c r="J119" i="20" s="1"/>
  <c r="U101" i="4"/>
  <c r="I119" i="20" s="1"/>
  <c r="S101" i="4"/>
  <c r="G119" i="20" s="1"/>
  <c r="R101" i="4"/>
  <c r="F119" i="20" s="1"/>
  <c r="Q101" i="4"/>
  <c r="E119" i="20" s="1"/>
  <c r="P101" i="4"/>
  <c r="D119" i="20" s="1"/>
  <c r="O101" i="4"/>
  <c r="C119" i="20" s="1"/>
  <c r="N101" i="4"/>
  <c r="B119" i="20" s="1"/>
  <c r="M101" i="4"/>
  <c r="A119" i="20" s="1"/>
  <c r="D101" i="4"/>
  <c r="D441" i="15" s="1"/>
  <c r="B101" i="4"/>
  <c r="B119" i="19" s="1"/>
  <c r="B99" i="4"/>
  <c r="B439" i="15" s="1"/>
  <c r="AC98" i="4"/>
  <c r="AB98" i="4"/>
  <c r="AA98" i="4"/>
  <c r="Z98" i="4"/>
  <c r="N118" i="20" s="1"/>
  <c r="Y98" i="4"/>
  <c r="M118" i="20" s="1"/>
  <c r="X98" i="4"/>
  <c r="L118" i="20" s="1"/>
  <c r="W98" i="4"/>
  <c r="K118" i="20" s="1"/>
  <c r="V98" i="4"/>
  <c r="J118" i="20" s="1"/>
  <c r="U98" i="4"/>
  <c r="I118" i="20" s="1"/>
  <c r="S98" i="4"/>
  <c r="G118" i="20" s="1"/>
  <c r="R98" i="4"/>
  <c r="F118" i="20" s="1"/>
  <c r="Q98" i="4"/>
  <c r="E118" i="20" s="1"/>
  <c r="P98" i="4"/>
  <c r="D118" i="20" s="1"/>
  <c r="O98" i="4"/>
  <c r="C118" i="20" s="1"/>
  <c r="N98" i="4"/>
  <c r="B118" i="20" s="1"/>
  <c r="M98" i="4"/>
  <c r="A118" i="20" s="1"/>
  <c r="D98" i="4"/>
  <c r="D438" i="15" s="1"/>
  <c r="B98" i="4"/>
  <c r="B96" i="4"/>
  <c r="B436" i="15" s="1"/>
  <c r="AC95" i="4"/>
  <c r="AB95" i="4"/>
  <c r="AA95" i="4"/>
  <c r="Z95" i="4"/>
  <c r="N117" i="20" s="1"/>
  <c r="Y95" i="4"/>
  <c r="M117" i="20" s="1"/>
  <c r="X95" i="4"/>
  <c r="L117" i="20" s="1"/>
  <c r="W95" i="4"/>
  <c r="K117" i="20" s="1"/>
  <c r="V95" i="4"/>
  <c r="J117" i="20" s="1"/>
  <c r="U95" i="4"/>
  <c r="I117" i="20" s="1"/>
  <c r="S95" i="4"/>
  <c r="G117" i="20" s="1"/>
  <c r="R95" i="4"/>
  <c r="F117" i="20" s="1"/>
  <c r="Q95" i="4"/>
  <c r="E117" i="20" s="1"/>
  <c r="P95" i="4"/>
  <c r="D117" i="20" s="1"/>
  <c r="O95" i="4"/>
  <c r="C117" i="20" s="1"/>
  <c r="N95" i="4"/>
  <c r="B117" i="20" s="1"/>
  <c r="D95" i="4"/>
  <c r="B95" i="4"/>
  <c r="B93" i="4"/>
  <c r="B433" i="15" s="1"/>
  <c r="B91" i="4"/>
  <c r="B431" i="15" s="1"/>
  <c r="AC90" i="4"/>
  <c r="AB90" i="4"/>
  <c r="AA90" i="4"/>
  <c r="Z90" i="4"/>
  <c r="N116" i="20" s="1"/>
  <c r="Y90" i="4"/>
  <c r="M116" i="20" s="1"/>
  <c r="X90" i="4"/>
  <c r="L116" i="20" s="1"/>
  <c r="W90" i="4"/>
  <c r="K116" i="20" s="1"/>
  <c r="V90" i="4"/>
  <c r="J116" i="20" s="1"/>
  <c r="U90" i="4"/>
  <c r="I116" i="20" s="1"/>
  <c r="S90" i="4"/>
  <c r="G116" i="20" s="1"/>
  <c r="R90" i="4"/>
  <c r="F116" i="20" s="1"/>
  <c r="Q90" i="4"/>
  <c r="E116" i="20" s="1"/>
  <c r="P90" i="4"/>
  <c r="D116" i="20" s="1"/>
  <c r="O90" i="4"/>
  <c r="C116" i="20" s="1"/>
  <c r="N90" i="4"/>
  <c r="B116" i="20" s="1"/>
  <c r="M90" i="4"/>
  <c r="A116" i="20" s="1"/>
  <c r="D90" i="4"/>
  <c r="D430" i="15" s="1"/>
  <c r="B90" i="4"/>
  <c r="B88" i="4"/>
  <c r="B428" i="15" s="1"/>
  <c r="AC87" i="4"/>
  <c r="AB87" i="4"/>
  <c r="AA87" i="4"/>
  <c r="Z87" i="4"/>
  <c r="N115" i="20" s="1"/>
  <c r="Y87" i="4"/>
  <c r="M115" i="20" s="1"/>
  <c r="X87" i="4"/>
  <c r="L115" i="20" s="1"/>
  <c r="W87" i="4"/>
  <c r="K115" i="20" s="1"/>
  <c r="V87" i="4"/>
  <c r="J115" i="20" s="1"/>
  <c r="U87" i="4"/>
  <c r="I115" i="20" s="1"/>
  <c r="S87" i="4"/>
  <c r="G115" i="20" s="1"/>
  <c r="R87" i="4"/>
  <c r="F115" i="20" s="1"/>
  <c r="Q87" i="4"/>
  <c r="E115" i="20" s="1"/>
  <c r="P87" i="4"/>
  <c r="D115" i="20" s="1"/>
  <c r="O87" i="4"/>
  <c r="C115" i="20" s="1"/>
  <c r="N87" i="4"/>
  <c r="B115" i="20" s="1"/>
  <c r="D87" i="4"/>
  <c r="T87" i="4" s="1"/>
  <c r="H115" i="20" s="1"/>
  <c r="B87" i="4"/>
  <c r="B85" i="4"/>
  <c r="B425" i="15" s="1"/>
  <c r="AC84" i="4"/>
  <c r="AB84" i="4"/>
  <c r="AA84" i="4"/>
  <c r="Z84" i="4"/>
  <c r="N114" i="20" s="1"/>
  <c r="Y84" i="4"/>
  <c r="M114" i="20" s="1"/>
  <c r="X84" i="4"/>
  <c r="L114" i="20" s="1"/>
  <c r="W84" i="4"/>
  <c r="K114" i="20" s="1"/>
  <c r="V84" i="4"/>
  <c r="J114" i="20" s="1"/>
  <c r="U84" i="4"/>
  <c r="I114" i="20" s="1"/>
  <c r="T84" i="4"/>
  <c r="H114" i="20" s="1"/>
  <c r="S84" i="4"/>
  <c r="G114" i="20" s="1"/>
  <c r="R84" i="4"/>
  <c r="F114" i="20" s="1"/>
  <c r="Q84" i="4"/>
  <c r="E114" i="20" s="1"/>
  <c r="P84" i="4"/>
  <c r="D114" i="20" s="1"/>
  <c r="O84" i="4"/>
  <c r="C114" i="20" s="1"/>
  <c r="N84" i="4"/>
  <c r="B114" i="20" s="1"/>
  <c r="D84" i="4"/>
  <c r="D424" i="15" s="1"/>
  <c r="B84" i="4"/>
  <c r="B82" i="4"/>
  <c r="B422" i="15" s="1"/>
  <c r="AC81" i="4"/>
  <c r="AB81" i="4"/>
  <c r="AA81" i="4"/>
  <c r="Z81" i="4"/>
  <c r="N113" i="20" s="1"/>
  <c r="Y81" i="4"/>
  <c r="M113" i="20" s="1"/>
  <c r="X81" i="4"/>
  <c r="L113" i="20" s="1"/>
  <c r="W81" i="4"/>
  <c r="K113" i="20" s="1"/>
  <c r="V81" i="4"/>
  <c r="J113" i="20" s="1"/>
  <c r="U81" i="4"/>
  <c r="I113" i="20" s="1"/>
  <c r="S81" i="4"/>
  <c r="G113" i="20" s="1"/>
  <c r="R81" i="4"/>
  <c r="F113" i="20" s="1"/>
  <c r="Q81" i="4"/>
  <c r="E113" i="20" s="1"/>
  <c r="P81" i="4"/>
  <c r="D113" i="20" s="1"/>
  <c r="O81" i="4"/>
  <c r="C113" i="20" s="1"/>
  <c r="N81" i="4"/>
  <c r="B113" i="20" s="1"/>
  <c r="M81" i="4"/>
  <c r="A113" i="20" s="1"/>
  <c r="D81" i="4"/>
  <c r="D421" i="15" s="1"/>
  <c r="B81" i="4"/>
  <c r="B79" i="4"/>
  <c r="B419" i="15" s="1"/>
  <c r="AC78" i="4"/>
  <c r="AB78" i="4"/>
  <c r="AA78" i="4"/>
  <c r="Z78" i="4"/>
  <c r="N112" i="20" s="1"/>
  <c r="Y78" i="4"/>
  <c r="M112" i="20" s="1"/>
  <c r="X78" i="4"/>
  <c r="L112" i="20" s="1"/>
  <c r="W78" i="4"/>
  <c r="K112" i="20" s="1"/>
  <c r="V78" i="4"/>
  <c r="J112" i="20" s="1"/>
  <c r="U78" i="4"/>
  <c r="I112" i="20" s="1"/>
  <c r="S78" i="4"/>
  <c r="G112" i="20" s="1"/>
  <c r="R78" i="4"/>
  <c r="F112" i="20" s="1"/>
  <c r="Q78" i="4"/>
  <c r="E112" i="20" s="1"/>
  <c r="P78" i="4"/>
  <c r="D112" i="20" s="1"/>
  <c r="O78" i="4"/>
  <c r="C112" i="20" s="1"/>
  <c r="N78" i="4"/>
  <c r="B112" i="20" s="1"/>
  <c r="M78" i="4"/>
  <c r="A112" i="20" s="1"/>
  <c r="D78" i="4"/>
  <c r="D418" i="15" s="1"/>
  <c r="B78" i="4"/>
  <c r="B76" i="4"/>
  <c r="B416" i="15" s="1"/>
  <c r="B74" i="4"/>
  <c r="B414" i="15" s="1"/>
  <c r="AC73" i="4"/>
  <c r="AB73" i="4"/>
  <c r="AA73" i="4"/>
  <c r="Z73" i="4"/>
  <c r="N111" i="20" s="1"/>
  <c r="Y73" i="4"/>
  <c r="M111" i="20" s="1"/>
  <c r="X73" i="4"/>
  <c r="L111" i="20" s="1"/>
  <c r="W73" i="4"/>
  <c r="K111" i="20" s="1"/>
  <c r="V73" i="4"/>
  <c r="J111" i="20" s="1"/>
  <c r="U73" i="4"/>
  <c r="I111" i="20" s="1"/>
  <c r="S73" i="4"/>
  <c r="G111" i="20" s="1"/>
  <c r="R73" i="4"/>
  <c r="F111" i="20" s="1"/>
  <c r="Q73" i="4"/>
  <c r="E111" i="20" s="1"/>
  <c r="P73" i="4"/>
  <c r="D111" i="20" s="1"/>
  <c r="O73" i="4"/>
  <c r="C111" i="20" s="1"/>
  <c r="N73" i="4"/>
  <c r="B111" i="20" s="1"/>
  <c r="D73" i="4"/>
  <c r="T73" i="4" s="1"/>
  <c r="H111" i="20" s="1"/>
  <c r="B73" i="4"/>
  <c r="B71" i="4"/>
  <c r="B411" i="15" s="1"/>
  <c r="AC70" i="4"/>
  <c r="AB70" i="4"/>
  <c r="AA70" i="4"/>
  <c r="Z70" i="4"/>
  <c r="N110" i="20" s="1"/>
  <c r="Y70" i="4"/>
  <c r="M110" i="20" s="1"/>
  <c r="X70" i="4"/>
  <c r="L110" i="20" s="1"/>
  <c r="W70" i="4"/>
  <c r="K110" i="20" s="1"/>
  <c r="V70" i="4"/>
  <c r="J110" i="20" s="1"/>
  <c r="U70" i="4"/>
  <c r="I110" i="20" s="1"/>
  <c r="S70" i="4"/>
  <c r="G110" i="20" s="1"/>
  <c r="R70" i="4"/>
  <c r="F110" i="20" s="1"/>
  <c r="Q70" i="4"/>
  <c r="E110" i="20" s="1"/>
  <c r="P70" i="4"/>
  <c r="D110" i="20" s="1"/>
  <c r="O70" i="4"/>
  <c r="C110" i="20" s="1"/>
  <c r="N70" i="4"/>
  <c r="B110" i="20" s="1"/>
  <c r="D70" i="4"/>
  <c r="D410" i="15" s="1"/>
  <c r="B70" i="4"/>
  <c r="B68" i="4"/>
  <c r="B408" i="15" s="1"/>
  <c r="AC67" i="4"/>
  <c r="AB67" i="4"/>
  <c r="AA67" i="4"/>
  <c r="Z67" i="4"/>
  <c r="N109" i="20" s="1"/>
  <c r="Y67" i="4"/>
  <c r="M109" i="20" s="1"/>
  <c r="X67" i="4"/>
  <c r="L109" i="20" s="1"/>
  <c r="W67" i="4"/>
  <c r="K109" i="20" s="1"/>
  <c r="V67" i="4"/>
  <c r="J109" i="20" s="1"/>
  <c r="U67" i="4"/>
  <c r="I109" i="20" s="1"/>
  <c r="S67" i="4"/>
  <c r="G109" i="20" s="1"/>
  <c r="R67" i="4"/>
  <c r="F109" i="20" s="1"/>
  <c r="Q67" i="4"/>
  <c r="E109" i="20" s="1"/>
  <c r="P67" i="4"/>
  <c r="D109" i="20" s="1"/>
  <c r="O67" i="4"/>
  <c r="C109" i="20" s="1"/>
  <c r="N67" i="4"/>
  <c r="B109" i="20" s="1"/>
  <c r="M67" i="4"/>
  <c r="A109" i="20" s="1"/>
  <c r="D67" i="4"/>
  <c r="D407" i="15" s="1"/>
  <c r="B67" i="4"/>
  <c r="B65" i="4"/>
  <c r="B405" i="15" s="1"/>
  <c r="AC64" i="4"/>
  <c r="AB64" i="4"/>
  <c r="AA64" i="4"/>
  <c r="Z64" i="4"/>
  <c r="N108" i="20" s="1"/>
  <c r="Y64" i="4"/>
  <c r="M108" i="20" s="1"/>
  <c r="X64" i="4"/>
  <c r="L108" i="20" s="1"/>
  <c r="W64" i="4"/>
  <c r="K108" i="20" s="1"/>
  <c r="V64" i="4"/>
  <c r="J108" i="20" s="1"/>
  <c r="U64" i="4"/>
  <c r="I108" i="20" s="1"/>
  <c r="S64" i="4"/>
  <c r="G108" i="20" s="1"/>
  <c r="R64" i="4"/>
  <c r="F108" i="20" s="1"/>
  <c r="Q64" i="4"/>
  <c r="E108" i="20" s="1"/>
  <c r="P64" i="4"/>
  <c r="D108" i="20" s="1"/>
  <c r="O64" i="4"/>
  <c r="C108" i="20" s="1"/>
  <c r="N64" i="4"/>
  <c r="B108" i="20" s="1"/>
  <c r="M64" i="4"/>
  <c r="A108" i="20" s="1"/>
  <c r="D64" i="4"/>
  <c r="D404" i="15" s="1"/>
  <c r="B64" i="4"/>
  <c r="B62" i="4"/>
  <c r="B402" i="15" s="1"/>
  <c r="AC61" i="4"/>
  <c r="AB61" i="4"/>
  <c r="AA61" i="4"/>
  <c r="Z61" i="4"/>
  <c r="N107" i="20" s="1"/>
  <c r="Y61" i="4"/>
  <c r="M107" i="20" s="1"/>
  <c r="X61" i="4"/>
  <c r="L107" i="20" s="1"/>
  <c r="W61" i="4"/>
  <c r="K107" i="20" s="1"/>
  <c r="V61" i="4"/>
  <c r="J107" i="20" s="1"/>
  <c r="U61" i="4"/>
  <c r="I107" i="20" s="1"/>
  <c r="T61" i="4"/>
  <c r="H107" i="20" s="1"/>
  <c r="S61" i="4"/>
  <c r="G107" i="20" s="1"/>
  <c r="R61" i="4"/>
  <c r="F107" i="20" s="1"/>
  <c r="Q61" i="4"/>
  <c r="E107" i="20" s="1"/>
  <c r="P61" i="4"/>
  <c r="D107" i="20" s="1"/>
  <c r="O61" i="4"/>
  <c r="C107" i="20" s="1"/>
  <c r="N61" i="4"/>
  <c r="B107" i="20" s="1"/>
  <c r="D61" i="4"/>
  <c r="D401" i="15" s="1"/>
  <c r="B61" i="4"/>
  <c r="B59" i="4"/>
  <c r="B399" i="15" s="1"/>
  <c r="B57" i="4"/>
  <c r="B397" i="15" s="1"/>
  <c r="AC56" i="4"/>
  <c r="AB56" i="4"/>
  <c r="AA56" i="4"/>
  <c r="Z56" i="4"/>
  <c r="N106" i="20" s="1"/>
  <c r="Y56" i="4"/>
  <c r="M106" i="20" s="1"/>
  <c r="X56" i="4"/>
  <c r="L106" i="20" s="1"/>
  <c r="W56" i="4"/>
  <c r="K106" i="20" s="1"/>
  <c r="V56" i="4"/>
  <c r="J106" i="20" s="1"/>
  <c r="U56" i="4"/>
  <c r="I106" i="20" s="1"/>
  <c r="S56" i="4"/>
  <c r="G106" i="20" s="1"/>
  <c r="R56" i="4"/>
  <c r="F106" i="20" s="1"/>
  <c r="Q56" i="4"/>
  <c r="E106" i="20" s="1"/>
  <c r="P56" i="4"/>
  <c r="D106" i="20" s="1"/>
  <c r="O56" i="4"/>
  <c r="C106" i="20" s="1"/>
  <c r="N56" i="4"/>
  <c r="B106" i="20" s="1"/>
  <c r="M56" i="4"/>
  <c r="A106" i="20" s="1"/>
  <c r="D56" i="4"/>
  <c r="D396" i="15" s="1"/>
  <c r="B56" i="4"/>
  <c r="B106" i="19" s="1"/>
  <c r="B54" i="4"/>
  <c r="B394" i="15" s="1"/>
  <c r="AC53" i="4"/>
  <c r="AB53" i="4"/>
  <c r="AA53" i="4"/>
  <c r="Z53" i="4"/>
  <c r="N105" i="20" s="1"/>
  <c r="Y53" i="4"/>
  <c r="M105" i="20" s="1"/>
  <c r="X53" i="4"/>
  <c r="L105" i="20" s="1"/>
  <c r="W53" i="4"/>
  <c r="K105" i="20" s="1"/>
  <c r="V53" i="4"/>
  <c r="J105" i="20" s="1"/>
  <c r="U53" i="4"/>
  <c r="I105" i="20" s="1"/>
  <c r="S53" i="4"/>
  <c r="G105" i="20" s="1"/>
  <c r="R53" i="4"/>
  <c r="F105" i="20" s="1"/>
  <c r="Q53" i="4"/>
  <c r="E105" i="20" s="1"/>
  <c r="P53" i="4"/>
  <c r="D105" i="20" s="1"/>
  <c r="O53" i="4"/>
  <c r="C105" i="20" s="1"/>
  <c r="N53" i="4"/>
  <c r="B105" i="20" s="1"/>
  <c r="D53" i="4"/>
  <c r="D393" i="15" s="1"/>
  <c r="B53" i="4"/>
  <c r="B51" i="4"/>
  <c r="B391" i="15" s="1"/>
  <c r="AC50" i="4"/>
  <c r="AB50" i="4"/>
  <c r="AA50" i="4"/>
  <c r="Z50" i="4"/>
  <c r="N104" i="20" s="1"/>
  <c r="Y50" i="4"/>
  <c r="M104" i="20" s="1"/>
  <c r="X50" i="4"/>
  <c r="L104" i="20" s="1"/>
  <c r="W50" i="4"/>
  <c r="K104" i="20" s="1"/>
  <c r="V50" i="4"/>
  <c r="J104" i="20" s="1"/>
  <c r="U50" i="4"/>
  <c r="I104" i="20" s="1"/>
  <c r="T50" i="4"/>
  <c r="H104" i="20" s="1"/>
  <c r="S50" i="4"/>
  <c r="G104" i="20" s="1"/>
  <c r="R50" i="4"/>
  <c r="F104" i="20" s="1"/>
  <c r="Q50" i="4"/>
  <c r="E104" i="20" s="1"/>
  <c r="P50" i="4"/>
  <c r="D104" i="20" s="1"/>
  <c r="O50" i="4"/>
  <c r="C104" i="20" s="1"/>
  <c r="N50" i="4"/>
  <c r="B104" i="20" s="1"/>
  <c r="D50" i="4"/>
  <c r="D390" i="15" s="1"/>
  <c r="B50" i="4"/>
  <c r="B48" i="4"/>
  <c r="B388" i="15" s="1"/>
  <c r="AC47" i="4"/>
  <c r="AB47" i="4"/>
  <c r="AA47" i="4"/>
  <c r="Z47" i="4"/>
  <c r="N103" i="20" s="1"/>
  <c r="Y47" i="4"/>
  <c r="M103" i="20" s="1"/>
  <c r="X47" i="4"/>
  <c r="L103" i="20" s="1"/>
  <c r="W47" i="4"/>
  <c r="K103" i="20" s="1"/>
  <c r="V47" i="4"/>
  <c r="J103" i="20" s="1"/>
  <c r="U47" i="4"/>
  <c r="I103" i="20" s="1"/>
  <c r="S47" i="4"/>
  <c r="G103" i="20" s="1"/>
  <c r="R47" i="4"/>
  <c r="F103" i="20" s="1"/>
  <c r="Q47" i="4"/>
  <c r="E103" i="20" s="1"/>
  <c r="P47" i="4"/>
  <c r="D103" i="20" s="1"/>
  <c r="O47" i="4"/>
  <c r="C103" i="20" s="1"/>
  <c r="N47" i="4"/>
  <c r="B103" i="20" s="1"/>
  <c r="M47" i="4"/>
  <c r="A103" i="20" s="1"/>
  <c r="D47" i="4"/>
  <c r="D387" i="15" s="1"/>
  <c r="B47" i="4"/>
  <c r="B45" i="4"/>
  <c r="B385" i="15" s="1"/>
  <c r="AC44" i="4"/>
  <c r="AB44" i="4"/>
  <c r="AA44" i="4"/>
  <c r="Z44" i="4"/>
  <c r="N102" i="20" s="1"/>
  <c r="Y44" i="4"/>
  <c r="M102" i="20" s="1"/>
  <c r="X44" i="4"/>
  <c r="L102" i="20" s="1"/>
  <c r="W44" i="4"/>
  <c r="K102" i="20" s="1"/>
  <c r="V44" i="4"/>
  <c r="J102" i="20" s="1"/>
  <c r="U44" i="4"/>
  <c r="I102" i="20" s="1"/>
  <c r="S44" i="4"/>
  <c r="G102" i="20" s="1"/>
  <c r="R44" i="4"/>
  <c r="F102" i="20" s="1"/>
  <c r="Q44" i="4"/>
  <c r="E102" i="20" s="1"/>
  <c r="P44" i="4"/>
  <c r="D102" i="20" s="1"/>
  <c r="O44" i="4"/>
  <c r="C102" i="20" s="1"/>
  <c r="N44" i="4"/>
  <c r="B102" i="20" s="1"/>
  <c r="M44" i="4"/>
  <c r="A102" i="20" s="1"/>
  <c r="D44" i="4"/>
  <c r="D384" i="15" s="1"/>
  <c r="B44" i="4"/>
  <c r="B42" i="4"/>
  <c r="B382" i="15" s="1"/>
  <c r="B40" i="4"/>
  <c r="B380" i="15" s="1"/>
  <c r="AC39" i="4"/>
  <c r="AB39" i="4"/>
  <c r="AA39" i="4"/>
  <c r="Z39" i="4"/>
  <c r="N101" i="20" s="1"/>
  <c r="Y39" i="4"/>
  <c r="M101" i="20" s="1"/>
  <c r="X39" i="4"/>
  <c r="L101" i="20" s="1"/>
  <c r="W39" i="4"/>
  <c r="K101" i="20" s="1"/>
  <c r="V39" i="4"/>
  <c r="J101" i="20" s="1"/>
  <c r="U39" i="4"/>
  <c r="I101" i="20" s="1"/>
  <c r="T39" i="4"/>
  <c r="H101" i="20" s="1"/>
  <c r="S39" i="4"/>
  <c r="G101" i="20" s="1"/>
  <c r="R39" i="4"/>
  <c r="F101" i="20" s="1"/>
  <c r="Q39" i="4"/>
  <c r="E101" i="20" s="1"/>
  <c r="P39" i="4"/>
  <c r="D101" i="20" s="1"/>
  <c r="O39" i="4"/>
  <c r="C101" i="20" s="1"/>
  <c r="N39" i="4"/>
  <c r="B101" i="20" s="1"/>
  <c r="D39" i="4"/>
  <c r="D379" i="15" s="1"/>
  <c r="B39" i="4"/>
  <c r="B37" i="4"/>
  <c r="B377" i="15" s="1"/>
  <c r="AC36" i="4"/>
  <c r="AB36" i="4"/>
  <c r="AA36" i="4"/>
  <c r="Z36" i="4"/>
  <c r="N100" i="20" s="1"/>
  <c r="Y36" i="4"/>
  <c r="M100" i="20" s="1"/>
  <c r="X36" i="4"/>
  <c r="L100" i="20" s="1"/>
  <c r="W36" i="4"/>
  <c r="K100" i="20" s="1"/>
  <c r="V36" i="4"/>
  <c r="J100" i="20" s="1"/>
  <c r="U36" i="4"/>
  <c r="I100" i="20" s="1"/>
  <c r="S36" i="4"/>
  <c r="G100" i="20" s="1"/>
  <c r="R36" i="4"/>
  <c r="F100" i="20" s="1"/>
  <c r="Q36" i="4"/>
  <c r="E100" i="20" s="1"/>
  <c r="P36" i="4"/>
  <c r="D100" i="20" s="1"/>
  <c r="O36" i="4"/>
  <c r="C100" i="20" s="1"/>
  <c r="N36" i="4"/>
  <c r="B100" i="20" s="1"/>
  <c r="D36" i="4"/>
  <c r="D376" i="15" s="1"/>
  <c r="B36" i="4"/>
  <c r="B34" i="4"/>
  <c r="AC33" i="4"/>
  <c r="AB33" i="4"/>
  <c r="AA33" i="4"/>
  <c r="Z33" i="4"/>
  <c r="N99" i="20" s="1"/>
  <c r="Y33" i="4"/>
  <c r="M99" i="20" s="1"/>
  <c r="X33" i="4"/>
  <c r="L99" i="20" s="1"/>
  <c r="W33" i="4"/>
  <c r="K99" i="20" s="1"/>
  <c r="V33" i="4"/>
  <c r="J99" i="20" s="1"/>
  <c r="U33" i="4"/>
  <c r="I99" i="20" s="1"/>
  <c r="S33" i="4"/>
  <c r="G99" i="20" s="1"/>
  <c r="R33" i="4"/>
  <c r="F99" i="20" s="1"/>
  <c r="Q33" i="4"/>
  <c r="E99" i="20" s="1"/>
  <c r="P33" i="4"/>
  <c r="D99" i="20" s="1"/>
  <c r="O33" i="4"/>
  <c r="C99" i="20" s="1"/>
  <c r="N33" i="4"/>
  <c r="B99" i="20" s="1"/>
  <c r="M33" i="4"/>
  <c r="A99" i="20" s="1"/>
  <c r="D33" i="4"/>
  <c r="D373" i="15" s="1"/>
  <c r="B33" i="4"/>
  <c r="B31" i="4"/>
  <c r="B371" i="15" s="1"/>
  <c r="AC30" i="4"/>
  <c r="AB30" i="4"/>
  <c r="AA30" i="4"/>
  <c r="Z30" i="4"/>
  <c r="N98" i="20" s="1"/>
  <c r="Y30" i="4"/>
  <c r="M98" i="20" s="1"/>
  <c r="X30" i="4"/>
  <c r="L98" i="20" s="1"/>
  <c r="W30" i="4"/>
  <c r="K98" i="20" s="1"/>
  <c r="V30" i="4"/>
  <c r="J98" i="20" s="1"/>
  <c r="U30" i="4"/>
  <c r="I98" i="20" s="1"/>
  <c r="S30" i="4"/>
  <c r="G98" i="20" s="1"/>
  <c r="R30" i="4"/>
  <c r="F98" i="20" s="1"/>
  <c r="Q30" i="4"/>
  <c r="E98" i="20" s="1"/>
  <c r="P30" i="4"/>
  <c r="D98" i="20" s="1"/>
  <c r="O30" i="4"/>
  <c r="C98" i="20" s="1"/>
  <c r="N30" i="4"/>
  <c r="B98" i="20" s="1"/>
  <c r="D30" i="4"/>
  <c r="T30" i="4" s="1"/>
  <c r="H98" i="20" s="1"/>
  <c r="B30" i="4"/>
  <c r="B28" i="4"/>
  <c r="B368" i="15" s="1"/>
  <c r="AC27" i="4"/>
  <c r="AB27" i="4"/>
  <c r="AA27" i="4"/>
  <c r="Z27" i="4"/>
  <c r="N97" i="20" s="1"/>
  <c r="Y27" i="4"/>
  <c r="M97" i="20" s="1"/>
  <c r="X27" i="4"/>
  <c r="L97" i="20" s="1"/>
  <c r="W27" i="4"/>
  <c r="K97" i="20" s="1"/>
  <c r="V27" i="4"/>
  <c r="J97" i="20" s="1"/>
  <c r="U27" i="4"/>
  <c r="I97" i="20" s="1"/>
  <c r="S27" i="4"/>
  <c r="G97" i="20" s="1"/>
  <c r="R27" i="4"/>
  <c r="F97" i="20" s="1"/>
  <c r="Q27" i="4"/>
  <c r="E97" i="20" s="1"/>
  <c r="P27" i="4"/>
  <c r="D97" i="20" s="1"/>
  <c r="O27" i="4"/>
  <c r="C97" i="20" s="1"/>
  <c r="N27" i="4"/>
  <c r="B97" i="20" s="1"/>
  <c r="D27" i="4"/>
  <c r="B27" i="4"/>
  <c r="B25" i="4"/>
  <c r="B365" i="15" s="1"/>
  <c r="B23" i="4"/>
  <c r="B363" i="15" s="1"/>
  <c r="AC22" i="4"/>
  <c r="AB22" i="4"/>
  <c r="AA22" i="4"/>
  <c r="Z22" i="4"/>
  <c r="N96" i="20" s="1"/>
  <c r="Y22" i="4"/>
  <c r="M96" i="20" s="1"/>
  <c r="X22" i="4"/>
  <c r="L96" i="20" s="1"/>
  <c r="W22" i="4"/>
  <c r="K96" i="20" s="1"/>
  <c r="V22" i="4"/>
  <c r="J96" i="20" s="1"/>
  <c r="U22" i="4"/>
  <c r="I96" i="20" s="1"/>
  <c r="S22" i="4"/>
  <c r="G96" i="20" s="1"/>
  <c r="R22" i="4"/>
  <c r="F96" i="20" s="1"/>
  <c r="Q22" i="4"/>
  <c r="E96" i="20" s="1"/>
  <c r="P22" i="4"/>
  <c r="D96" i="20" s="1"/>
  <c r="O22" i="4"/>
  <c r="C96" i="20" s="1"/>
  <c r="N22" i="4"/>
  <c r="B96" i="20" s="1"/>
  <c r="M22" i="4"/>
  <c r="A96" i="20" s="1"/>
  <c r="D22" i="4"/>
  <c r="D362" i="15" s="1"/>
  <c r="B22" i="4"/>
  <c r="B20" i="4"/>
  <c r="B360" i="15" s="1"/>
  <c r="AC19" i="4"/>
  <c r="AB19" i="4"/>
  <c r="AA19" i="4"/>
  <c r="Z19" i="4"/>
  <c r="N95" i="20" s="1"/>
  <c r="Y19" i="4"/>
  <c r="M95" i="20" s="1"/>
  <c r="X19" i="4"/>
  <c r="L95" i="20" s="1"/>
  <c r="W19" i="4"/>
  <c r="K95" i="20" s="1"/>
  <c r="V19" i="4"/>
  <c r="J95" i="20" s="1"/>
  <c r="U19" i="4"/>
  <c r="I95" i="20" s="1"/>
  <c r="S19" i="4"/>
  <c r="G95" i="20" s="1"/>
  <c r="R19" i="4"/>
  <c r="F95" i="20" s="1"/>
  <c r="Q19" i="4"/>
  <c r="E95" i="20" s="1"/>
  <c r="P19" i="4"/>
  <c r="D95" i="20" s="1"/>
  <c r="O19" i="4"/>
  <c r="C95" i="20" s="1"/>
  <c r="N19" i="4"/>
  <c r="B95" i="20" s="1"/>
  <c r="M19" i="4"/>
  <c r="A95" i="20" s="1"/>
  <c r="D19" i="4"/>
  <c r="D359" i="15" s="1"/>
  <c r="B19" i="4"/>
  <c r="B17" i="4"/>
  <c r="B357" i="15" s="1"/>
  <c r="AC16" i="4"/>
  <c r="AB16" i="4"/>
  <c r="AA16" i="4"/>
  <c r="Z16" i="4"/>
  <c r="N94" i="20" s="1"/>
  <c r="Y16" i="4"/>
  <c r="M94" i="20" s="1"/>
  <c r="X16" i="4"/>
  <c r="L94" i="20" s="1"/>
  <c r="W16" i="4"/>
  <c r="K94" i="20" s="1"/>
  <c r="V16" i="4"/>
  <c r="J94" i="20" s="1"/>
  <c r="U16" i="4"/>
  <c r="I94" i="20" s="1"/>
  <c r="S16" i="4"/>
  <c r="G94" i="20" s="1"/>
  <c r="R16" i="4"/>
  <c r="F94" i="20" s="1"/>
  <c r="Q16" i="4"/>
  <c r="E94" i="20" s="1"/>
  <c r="P16" i="4"/>
  <c r="D94" i="20" s="1"/>
  <c r="O16" i="4"/>
  <c r="C94" i="20" s="1"/>
  <c r="N16" i="4"/>
  <c r="B94" i="20" s="1"/>
  <c r="D16" i="4"/>
  <c r="B16" i="4"/>
  <c r="A16" i="4"/>
  <c r="B14" i="4"/>
  <c r="B354" i="15" s="1"/>
  <c r="AC13" i="4"/>
  <c r="AB13" i="4"/>
  <c r="AA13" i="4"/>
  <c r="Z13" i="4"/>
  <c r="N93" i="20" s="1"/>
  <c r="Y13" i="4"/>
  <c r="M93" i="20" s="1"/>
  <c r="X13" i="4"/>
  <c r="L93" i="20" s="1"/>
  <c r="W13" i="4"/>
  <c r="K93" i="20" s="1"/>
  <c r="V13" i="4"/>
  <c r="J93" i="20" s="1"/>
  <c r="U13" i="4"/>
  <c r="I93" i="20" s="1"/>
  <c r="S13" i="4"/>
  <c r="G93" i="20" s="1"/>
  <c r="R13" i="4"/>
  <c r="F93" i="20" s="1"/>
  <c r="Q13" i="4"/>
  <c r="E93" i="20" s="1"/>
  <c r="P13" i="4"/>
  <c r="D93" i="20" s="1"/>
  <c r="O13" i="4"/>
  <c r="C93" i="20" s="1"/>
  <c r="N13" i="4"/>
  <c r="B93" i="20" s="1"/>
  <c r="M13" i="4"/>
  <c r="A93" i="20" s="1"/>
  <c r="D13" i="4"/>
  <c r="D353" i="15" s="1"/>
  <c r="B13" i="4"/>
  <c r="A13" i="4"/>
  <c r="A353" i="15" s="1"/>
  <c r="B11" i="4"/>
  <c r="B351" i="15" s="1"/>
  <c r="AC10" i="4"/>
  <c r="AB10" i="4"/>
  <c r="AA10" i="4"/>
  <c r="Z10" i="4"/>
  <c r="N92" i="20" s="1"/>
  <c r="Y10" i="4"/>
  <c r="M92" i="20" s="1"/>
  <c r="X10" i="4"/>
  <c r="L92" i="20" s="1"/>
  <c r="W10" i="4"/>
  <c r="K92" i="20" s="1"/>
  <c r="V10" i="4"/>
  <c r="J92" i="20" s="1"/>
  <c r="U10" i="4"/>
  <c r="I92" i="20" s="1"/>
  <c r="S10" i="4"/>
  <c r="G92" i="20" s="1"/>
  <c r="R10" i="4"/>
  <c r="F92" i="20" s="1"/>
  <c r="Q10" i="4"/>
  <c r="E92" i="20" s="1"/>
  <c r="P10" i="4"/>
  <c r="D92" i="20" s="1"/>
  <c r="O10" i="4"/>
  <c r="C92" i="20" s="1"/>
  <c r="N10" i="4"/>
  <c r="B92" i="20" s="1"/>
  <c r="M10" i="4"/>
  <c r="A92" i="20" s="1"/>
  <c r="D10" i="4"/>
  <c r="D350" i="15" s="1"/>
  <c r="B10" i="4"/>
  <c r="B92" i="19" s="1"/>
  <c r="B8" i="4"/>
  <c r="B348" i="15" s="1"/>
  <c r="A3" i="4"/>
  <c r="A1" i="4"/>
  <c r="B159" i="3"/>
  <c r="B329" i="15" s="1"/>
  <c r="AC158" i="3"/>
  <c r="AB158" i="3"/>
  <c r="AA158" i="3"/>
  <c r="Z158" i="3"/>
  <c r="N91" i="20" s="1"/>
  <c r="Y158" i="3"/>
  <c r="M91" i="20" s="1"/>
  <c r="X158" i="3"/>
  <c r="L91" i="20" s="1"/>
  <c r="W158" i="3"/>
  <c r="K91" i="20" s="1"/>
  <c r="V158" i="3"/>
  <c r="J91" i="20" s="1"/>
  <c r="U158" i="3"/>
  <c r="I91" i="20" s="1"/>
  <c r="S158" i="3"/>
  <c r="G91" i="20" s="1"/>
  <c r="R158" i="3"/>
  <c r="F91" i="20" s="1"/>
  <c r="Q158" i="3"/>
  <c r="E91" i="20" s="1"/>
  <c r="P158" i="3"/>
  <c r="D91" i="20" s="1"/>
  <c r="O158" i="3"/>
  <c r="C91" i="20" s="1"/>
  <c r="N158" i="3"/>
  <c r="B91" i="20" s="1"/>
  <c r="M158" i="3"/>
  <c r="A91" i="20" s="1"/>
  <c r="D158" i="3"/>
  <c r="D328" i="15" s="1"/>
  <c r="B158" i="3"/>
  <c r="B156" i="3"/>
  <c r="B326" i="15" s="1"/>
  <c r="AC155" i="3"/>
  <c r="AB155" i="3"/>
  <c r="AA155" i="3"/>
  <c r="Z155" i="3"/>
  <c r="N90" i="20" s="1"/>
  <c r="Y155" i="3"/>
  <c r="M90" i="20" s="1"/>
  <c r="X155" i="3"/>
  <c r="L90" i="20" s="1"/>
  <c r="W155" i="3"/>
  <c r="K90" i="20" s="1"/>
  <c r="V155" i="3"/>
  <c r="J90" i="20" s="1"/>
  <c r="U155" i="3"/>
  <c r="I90" i="20" s="1"/>
  <c r="S155" i="3"/>
  <c r="G90" i="20" s="1"/>
  <c r="R155" i="3"/>
  <c r="F90" i="20" s="1"/>
  <c r="Q155" i="3"/>
  <c r="E90" i="20" s="1"/>
  <c r="P155" i="3"/>
  <c r="D90" i="20" s="1"/>
  <c r="O155" i="3"/>
  <c r="C90" i="20" s="1"/>
  <c r="N155" i="3"/>
  <c r="B90" i="20" s="1"/>
  <c r="M155" i="3"/>
  <c r="A90" i="20" s="1"/>
  <c r="D155" i="3"/>
  <c r="D325" i="15" s="1"/>
  <c r="B155" i="3"/>
  <c r="B153" i="3"/>
  <c r="B323" i="15" s="1"/>
  <c r="AC152" i="3"/>
  <c r="AB152" i="3"/>
  <c r="AA152" i="3"/>
  <c r="Z152" i="3"/>
  <c r="N89" i="20" s="1"/>
  <c r="Y152" i="3"/>
  <c r="M89" i="20" s="1"/>
  <c r="X152" i="3"/>
  <c r="L89" i="20" s="1"/>
  <c r="W152" i="3"/>
  <c r="K89" i="20" s="1"/>
  <c r="V152" i="3"/>
  <c r="J89" i="20" s="1"/>
  <c r="U152" i="3"/>
  <c r="I89" i="20" s="1"/>
  <c r="S152" i="3"/>
  <c r="G89" i="20" s="1"/>
  <c r="R152" i="3"/>
  <c r="F89" i="20" s="1"/>
  <c r="Q152" i="3"/>
  <c r="E89" i="20" s="1"/>
  <c r="P152" i="3"/>
  <c r="D89" i="20" s="1"/>
  <c r="O152" i="3"/>
  <c r="C89" i="20" s="1"/>
  <c r="N152" i="3"/>
  <c r="B89" i="20" s="1"/>
  <c r="M152" i="3"/>
  <c r="A89" i="20" s="1"/>
  <c r="D152" i="3"/>
  <c r="D322" i="15" s="1"/>
  <c r="B152" i="3"/>
  <c r="B150" i="3"/>
  <c r="B320" i="15" s="1"/>
  <c r="AC149" i="3"/>
  <c r="AB149" i="3"/>
  <c r="AA149" i="3"/>
  <c r="Z149" i="3"/>
  <c r="N88" i="20" s="1"/>
  <c r="Y149" i="3"/>
  <c r="M88" i="20" s="1"/>
  <c r="X149" i="3"/>
  <c r="L88" i="20" s="1"/>
  <c r="W149" i="3"/>
  <c r="K88" i="20" s="1"/>
  <c r="V149" i="3"/>
  <c r="J88" i="20" s="1"/>
  <c r="U149" i="3"/>
  <c r="I88" i="20" s="1"/>
  <c r="S149" i="3"/>
  <c r="G88" i="20" s="1"/>
  <c r="R149" i="3"/>
  <c r="F88" i="20" s="1"/>
  <c r="Q149" i="3"/>
  <c r="E88" i="20" s="1"/>
  <c r="P149" i="3"/>
  <c r="D88" i="20" s="1"/>
  <c r="O149" i="3"/>
  <c r="C88" i="20" s="1"/>
  <c r="N149" i="3"/>
  <c r="B88" i="20" s="1"/>
  <c r="D149" i="3"/>
  <c r="T149" i="3" s="1"/>
  <c r="H88" i="20" s="1"/>
  <c r="B149" i="3"/>
  <c r="B147" i="3"/>
  <c r="B317" i="15" s="1"/>
  <c r="AC146" i="3"/>
  <c r="AB146" i="3"/>
  <c r="AA146" i="3"/>
  <c r="Z146" i="3"/>
  <c r="N87" i="20" s="1"/>
  <c r="Y146" i="3"/>
  <c r="M87" i="20" s="1"/>
  <c r="X146" i="3"/>
  <c r="L87" i="20" s="1"/>
  <c r="W146" i="3"/>
  <c r="K87" i="20" s="1"/>
  <c r="V146" i="3"/>
  <c r="J87" i="20" s="1"/>
  <c r="U146" i="3"/>
  <c r="I87" i="20" s="1"/>
  <c r="S146" i="3"/>
  <c r="G87" i="20" s="1"/>
  <c r="R146" i="3"/>
  <c r="F87" i="20" s="1"/>
  <c r="Q146" i="3"/>
  <c r="E87" i="20" s="1"/>
  <c r="P146" i="3"/>
  <c r="D87" i="20" s="1"/>
  <c r="O146" i="3"/>
  <c r="C87" i="20" s="1"/>
  <c r="N146" i="3"/>
  <c r="B87" i="20" s="1"/>
  <c r="D146" i="3"/>
  <c r="D316" i="15" s="1"/>
  <c r="B146" i="3"/>
  <c r="B144" i="3"/>
  <c r="B314" i="15" s="1"/>
  <c r="B142" i="3"/>
  <c r="B312" i="15" s="1"/>
  <c r="AC141" i="3"/>
  <c r="AB141" i="3"/>
  <c r="AA141" i="3"/>
  <c r="Z141" i="3"/>
  <c r="N86" i="20" s="1"/>
  <c r="Y141" i="3"/>
  <c r="M86" i="20" s="1"/>
  <c r="X141" i="3"/>
  <c r="L86" i="20" s="1"/>
  <c r="W141" i="3"/>
  <c r="K86" i="20" s="1"/>
  <c r="V141" i="3"/>
  <c r="J86" i="20" s="1"/>
  <c r="U141" i="3"/>
  <c r="I86" i="20" s="1"/>
  <c r="S141" i="3"/>
  <c r="G86" i="20" s="1"/>
  <c r="R141" i="3"/>
  <c r="F86" i="20" s="1"/>
  <c r="Q141" i="3"/>
  <c r="E86" i="20" s="1"/>
  <c r="P141" i="3"/>
  <c r="D86" i="20" s="1"/>
  <c r="O141" i="3"/>
  <c r="C86" i="20" s="1"/>
  <c r="N141" i="3"/>
  <c r="B86" i="20" s="1"/>
  <c r="M141" i="3"/>
  <c r="A86" i="20" s="1"/>
  <c r="D141" i="3"/>
  <c r="D311" i="15" s="1"/>
  <c r="B141" i="3"/>
  <c r="B139" i="3"/>
  <c r="B309" i="15" s="1"/>
  <c r="AC138" i="3"/>
  <c r="AB138" i="3"/>
  <c r="AA138" i="3"/>
  <c r="Z138" i="3"/>
  <c r="N85" i="20" s="1"/>
  <c r="Y138" i="3"/>
  <c r="M85" i="20" s="1"/>
  <c r="X138" i="3"/>
  <c r="L85" i="20" s="1"/>
  <c r="W138" i="3"/>
  <c r="K85" i="20" s="1"/>
  <c r="V138" i="3"/>
  <c r="J85" i="20" s="1"/>
  <c r="U138" i="3"/>
  <c r="I85" i="20" s="1"/>
  <c r="S138" i="3"/>
  <c r="G85" i="20" s="1"/>
  <c r="R138" i="3"/>
  <c r="F85" i="20" s="1"/>
  <c r="Q138" i="3"/>
  <c r="E85" i="20" s="1"/>
  <c r="P138" i="3"/>
  <c r="D85" i="20" s="1"/>
  <c r="O138" i="3"/>
  <c r="C85" i="20" s="1"/>
  <c r="N138" i="3"/>
  <c r="B85" i="20" s="1"/>
  <c r="M138" i="3"/>
  <c r="A85" i="20" s="1"/>
  <c r="D138" i="3"/>
  <c r="D308" i="15" s="1"/>
  <c r="B138" i="3"/>
  <c r="B136" i="3"/>
  <c r="B306" i="15" s="1"/>
  <c r="AC135" i="3"/>
  <c r="AB135" i="3"/>
  <c r="AA135" i="3"/>
  <c r="Z135" i="3"/>
  <c r="N84" i="20" s="1"/>
  <c r="Y135" i="3"/>
  <c r="M84" i="20" s="1"/>
  <c r="X135" i="3"/>
  <c r="L84" i="20" s="1"/>
  <c r="W135" i="3"/>
  <c r="K84" i="20" s="1"/>
  <c r="V135" i="3"/>
  <c r="J84" i="20" s="1"/>
  <c r="U135" i="3"/>
  <c r="I84" i="20" s="1"/>
  <c r="T135" i="3"/>
  <c r="H84" i="20" s="1"/>
  <c r="S135" i="3"/>
  <c r="G84" i="20" s="1"/>
  <c r="R135" i="3"/>
  <c r="F84" i="20" s="1"/>
  <c r="Q135" i="3"/>
  <c r="E84" i="20" s="1"/>
  <c r="P135" i="3"/>
  <c r="D84" i="20" s="1"/>
  <c r="O135" i="3"/>
  <c r="C84" i="20" s="1"/>
  <c r="N135" i="3"/>
  <c r="B84" i="20" s="1"/>
  <c r="D135" i="3"/>
  <c r="D305" i="15" s="1"/>
  <c r="B135" i="3"/>
  <c r="B133" i="3"/>
  <c r="B303" i="15" s="1"/>
  <c r="AC132" i="3"/>
  <c r="AB132" i="3"/>
  <c r="AA132" i="3"/>
  <c r="Z132" i="3"/>
  <c r="N83" i="20" s="1"/>
  <c r="Y132" i="3"/>
  <c r="M83" i="20" s="1"/>
  <c r="X132" i="3"/>
  <c r="L83" i="20" s="1"/>
  <c r="W132" i="3"/>
  <c r="K83" i="20" s="1"/>
  <c r="V132" i="3"/>
  <c r="J83" i="20" s="1"/>
  <c r="U132" i="3"/>
  <c r="I83" i="20" s="1"/>
  <c r="S132" i="3"/>
  <c r="G83" i="20" s="1"/>
  <c r="R132" i="3"/>
  <c r="F83" i="20" s="1"/>
  <c r="Q132" i="3"/>
  <c r="E83" i="20" s="1"/>
  <c r="P132" i="3"/>
  <c r="D83" i="20" s="1"/>
  <c r="O132" i="3"/>
  <c r="C83" i="20" s="1"/>
  <c r="N132" i="3"/>
  <c r="B83" i="20" s="1"/>
  <c r="M132" i="3"/>
  <c r="A83" i="20" s="1"/>
  <c r="D132" i="3"/>
  <c r="D302" i="15" s="1"/>
  <c r="B132" i="3"/>
  <c r="B130" i="3"/>
  <c r="B300" i="15" s="1"/>
  <c r="AC129" i="3"/>
  <c r="AB129" i="3"/>
  <c r="AA129" i="3"/>
  <c r="Z129" i="3"/>
  <c r="N82" i="20" s="1"/>
  <c r="Y129" i="3"/>
  <c r="M82" i="20" s="1"/>
  <c r="X129" i="3"/>
  <c r="L82" i="20" s="1"/>
  <c r="W129" i="3"/>
  <c r="K82" i="20" s="1"/>
  <c r="V129" i="3"/>
  <c r="J82" i="20" s="1"/>
  <c r="U129" i="3"/>
  <c r="I82" i="20" s="1"/>
  <c r="S129" i="3"/>
  <c r="G82" i="20" s="1"/>
  <c r="R129" i="3"/>
  <c r="F82" i="20" s="1"/>
  <c r="Q129" i="3"/>
  <c r="E82" i="20" s="1"/>
  <c r="P129" i="3"/>
  <c r="D82" i="20" s="1"/>
  <c r="O129" i="3"/>
  <c r="C82" i="20" s="1"/>
  <c r="N129" i="3"/>
  <c r="B82" i="20" s="1"/>
  <c r="M129" i="3"/>
  <c r="A82" i="20" s="1"/>
  <c r="D129" i="3"/>
  <c r="D299" i="15" s="1"/>
  <c r="B129" i="3"/>
  <c r="B127" i="3"/>
  <c r="B297" i="15" s="1"/>
  <c r="B125" i="3"/>
  <c r="B295" i="15" s="1"/>
  <c r="AC124" i="3"/>
  <c r="AB124" i="3"/>
  <c r="AA124" i="3"/>
  <c r="Z124" i="3"/>
  <c r="N81" i="20" s="1"/>
  <c r="Y124" i="3"/>
  <c r="M81" i="20" s="1"/>
  <c r="X124" i="3"/>
  <c r="L81" i="20" s="1"/>
  <c r="W124" i="3"/>
  <c r="K81" i="20" s="1"/>
  <c r="V124" i="3"/>
  <c r="J81" i="20" s="1"/>
  <c r="U124" i="3"/>
  <c r="I81" i="20" s="1"/>
  <c r="T124" i="3"/>
  <c r="H81" i="20" s="1"/>
  <c r="S124" i="3"/>
  <c r="G81" i="20" s="1"/>
  <c r="R124" i="3"/>
  <c r="F81" i="20" s="1"/>
  <c r="Q124" i="3"/>
  <c r="E81" i="20" s="1"/>
  <c r="P124" i="3"/>
  <c r="D81" i="20" s="1"/>
  <c r="O124" i="3"/>
  <c r="C81" i="20" s="1"/>
  <c r="N124" i="3"/>
  <c r="B81" i="20" s="1"/>
  <c r="D124" i="3"/>
  <c r="D294" i="15" s="1"/>
  <c r="B124" i="3"/>
  <c r="B122" i="3"/>
  <c r="B292" i="15" s="1"/>
  <c r="AC121" i="3"/>
  <c r="AB121" i="3"/>
  <c r="AA121" i="3"/>
  <c r="Z121" i="3"/>
  <c r="N80" i="20" s="1"/>
  <c r="Y121" i="3"/>
  <c r="M80" i="20" s="1"/>
  <c r="X121" i="3"/>
  <c r="L80" i="20" s="1"/>
  <c r="W121" i="3"/>
  <c r="K80" i="20" s="1"/>
  <c r="V121" i="3"/>
  <c r="J80" i="20" s="1"/>
  <c r="U121" i="3"/>
  <c r="I80" i="20" s="1"/>
  <c r="T121" i="3"/>
  <c r="H80" i="20" s="1"/>
  <c r="S121" i="3"/>
  <c r="G80" i="20" s="1"/>
  <c r="R121" i="3"/>
  <c r="F80" i="20" s="1"/>
  <c r="Q121" i="3"/>
  <c r="E80" i="20" s="1"/>
  <c r="P121" i="3"/>
  <c r="D80" i="20" s="1"/>
  <c r="O121" i="3"/>
  <c r="C80" i="20" s="1"/>
  <c r="N121" i="3"/>
  <c r="B80" i="20" s="1"/>
  <c r="M121" i="3"/>
  <c r="A80" i="20" s="1"/>
  <c r="D121" i="3"/>
  <c r="D291" i="15" s="1"/>
  <c r="B121" i="3"/>
  <c r="B119" i="3"/>
  <c r="B289" i="15" s="1"/>
  <c r="AC118" i="3"/>
  <c r="AB118" i="3"/>
  <c r="AA118" i="3"/>
  <c r="Z118" i="3"/>
  <c r="N79" i="20" s="1"/>
  <c r="Y118" i="3"/>
  <c r="M79" i="20" s="1"/>
  <c r="X118" i="3"/>
  <c r="L79" i="20" s="1"/>
  <c r="W118" i="3"/>
  <c r="K79" i="20" s="1"/>
  <c r="V118" i="3"/>
  <c r="J79" i="20" s="1"/>
  <c r="U118" i="3"/>
  <c r="I79" i="20" s="1"/>
  <c r="S118" i="3"/>
  <c r="G79" i="20" s="1"/>
  <c r="R118" i="3"/>
  <c r="F79" i="20" s="1"/>
  <c r="Q118" i="3"/>
  <c r="E79" i="20" s="1"/>
  <c r="P118" i="3"/>
  <c r="D79" i="20" s="1"/>
  <c r="O118" i="3"/>
  <c r="C79" i="20" s="1"/>
  <c r="N118" i="3"/>
  <c r="B79" i="20" s="1"/>
  <c r="M118" i="3"/>
  <c r="A79" i="20" s="1"/>
  <c r="D118" i="3"/>
  <c r="D288" i="15" s="1"/>
  <c r="B118" i="3"/>
  <c r="B116" i="3"/>
  <c r="B286" i="15" s="1"/>
  <c r="AC115" i="3"/>
  <c r="AB115" i="3"/>
  <c r="AA115" i="3"/>
  <c r="Z115" i="3"/>
  <c r="N78" i="20" s="1"/>
  <c r="Y115" i="3"/>
  <c r="M78" i="20" s="1"/>
  <c r="X115" i="3"/>
  <c r="L78" i="20" s="1"/>
  <c r="W115" i="3"/>
  <c r="K78" i="20" s="1"/>
  <c r="V115" i="3"/>
  <c r="J78" i="20" s="1"/>
  <c r="U115" i="3"/>
  <c r="I78" i="20" s="1"/>
  <c r="S115" i="3"/>
  <c r="G78" i="20" s="1"/>
  <c r="R115" i="3"/>
  <c r="F78" i="20" s="1"/>
  <c r="Q115" i="3"/>
  <c r="E78" i="20" s="1"/>
  <c r="P115" i="3"/>
  <c r="D78" i="20" s="1"/>
  <c r="O115" i="3"/>
  <c r="C78" i="20" s="1"/>
  <c r="N115" i="3"/>
  <c r="B78" i="20" s="1"/>
  <c r="D115" i="3"/>
  <c r="B115" i="3"/>
  <c r="B113" i="3"/>
  <c r="B283" i="15" s="1"/>
  <c r="AC112" i="3"/>
  <c r="AB112" i="3"/>
  <c r="AA112" i="3"/>
  <c r="Z112" i="3"/>
  <c r="N77" i="20" s="1"/>
  <c r="Y112" i="3"/>
  <c r="M77" i="20" s="1"/>
  <c r="X112" i="3"/>
  <c r="L77" i="20" s="1"/>
  <c r="W112" i="3"/>
  <c r="K77" i="20" s="1"/>
  <c r="V112" i="3"/>
  <c r="J77" i="20" s="1"/>
  <c r="U112" i="3"/>
  <c r="I77" i="20" s="1"/>
  <c r="S112" i="3"/>
  <c r="G77" i="20" s="1"/>
  <c r="R112" i="3"/>
  <c r="F77" i="20" s="1"/>
  <c r="Q112" i="3"/>
  <c r="E77" i="20" s="1"/>
  <c r="P112" i="3"/>
  <c r="D77" i="20" s="1"/>
  <c r="O112" i="3"/>
  <c r="C77" i="20" s="1"/>
  <c r="N112" i="3"/>
  <c r="B77" i="20" s="1"/>
  <c r="M112" i="3"/>
  <c r="A77" i="20" s="1"/>
  <c r="D112" i="3"/>
  <c r="D282" i="15" s="1"/>
  <c r="B112" i="3"/>
  <c r="B110" i="3"/>
  <c r="B280" i="15" s="1"/>
  <c r="B108" i="3"/>
  <c r="B278" i="15" s="1"/>
  <c r="AC107" i="3"/>
  <c r="AB107" i="3"/>
  <c r="AA107" i="3"/>
  <c r="Z107" i="3"/>
  <c r="N76" i="20" s="1"/>
  <c r="Y107" i="3"/>
  <c r="M76" i="20" s="1"/>
  <c r="X107" i="3"/>
  <c r="L76" i="20" s="1"/>
  <c r="W107" i="3"/>
  <c r="K76" i="20" s="1"/>
  <c r="V107" i="3"/>
  <c r="J76" i="20" s="1"/>
  <c r="U107" i="3"/>
  <c r="I76" i="20" s="1"/>
  <c r="T107" i="3"/>
  <c r="H76" i="20" s="1"/>
  <c r="S107" i="3"/>
  <c r="G76" i="20" s="1"/>
  <c r="R107" i="3"/>
  <c r="F76" i="20" s="1"/>
  <c r="Q107" i="3"/>
  <c r="E76" i="20" s="1"/>
  <c r="P107" i="3"/>
  <c r="D76" i="20" s="1"/>
  <c r="O107" i="3"/>
  <c r="C76" i="20" s="1"/>
  <c r="N107" i="3"/>
  <c r="B76" i="20" s="1"/>
  <c r="D107" i="3"/>
  <c r="D277" i="15" s="1"/>
  <c r="B107" i="3"/>
  <c r="B105" i="3"/>
  <c r="B275" i="15" s="1"/>
  <c r="AC104" i="3"/>
  <c r="AB104" i="3"/>
  <c r="AA104" i="3"/>
  <c r="Z104" i="3"/>
  <c r="N75" i="20" s="1"/>
  <c r="Y104" i="3"/>
  <c r="M75" i="20" s="1"/>
  <c r="X104" i="3"/>
  <c r="L75" i="20" s="1"/>
  <c r="W104" i="3"/>
  <c r="K75" i="20" s="1"/>
  <c r="V104" i="3"/>
  <c r="J75" i="20" s="1"/>
  <c r="U104" i="3"/>
  <c r="I75" i="20" s="1"/>
  <c r="T104" i="3"/>
  <c r="H75" i="20" s="1"/>
  <c r="S104" i="3"/>
  <c r="G75" i="20" s="1"/>
  <c r="R104" i="3"/>
  <c r="F75" i="20" s="1"/>
  <c r="Q104" i="3"/>
  <c r="E75" i="20" s="1"/>
  <c r="P104" i="3"/>
  <c r="D75" i="20" s="1"/>
  <c r="O104" i="3"/>
  <c r="C75" i="20" s="1"/>
  <c r="N104" i="3"/>
  <c r="B75" i="20" s="1"/>
  <c r="D104" i="3"/>
  <c r="D274" i="15" s="1"/>
  <c r="B104" i="3"/>
  <c r="B102" i="3"/>
  <c r="B272" i="15" s="1"/>
  <c r="AC101" i="3"/>
  <c r="AB101" i="3"/>
  <c r="AA101" i="3"/>
  <c r="Z101" i="3"/>
  <c r="N74" i="20" s="1"/>
  <c r="Y101" i="3"/>
  <c r="M74" i="20" s="1"/>
  <c r="X101" i="3"/>
  <c r="L74" i="20" s="1"/>
  <c r="W101" i="3"/>
  <c r="K74" i="20" s="1"/>
  <c r="V101" i="3"/>
  <c r="J74" i="20" s="1"/>
  <c r="U101" i="3"/>
  <c r="I74" i="20" s="1"/>
  <c r="S101" i="3"/>
  <c r="G74" i="20" s="1"/>
  <c r="R101" i="3"/>
  <c r="F74" i="20" s="1"/>
  <c r="Q101" i="3"/>
  <c r="E74" i="20" s="1"/>
  <c r="P101" i="3"/>
  <c r="D74" i="20" s="1"/>
  <c r="O101" i="3"/>
  <c r="C74" i="20" s="1"/>
  <c r="N101" i="3"/>
  <c r="B74" i="20" s="1"/>
  <c r="D101" i="3"/>
  <c r="T101" i="3" s="1"/>
  <c r="H74" i="20" s="1"/>
  <c r="B101" i="3"/>
  <c r="B99" i="3"/>
  <c r="AC98" i="3"/>
  <c r="AB98" i="3"/>
  <c r="AA98" i="3"/>
  <c r="Z98" i="3"/>
  <c r="N73" i="20" s="1"/>
  <c r="Y98" i="3"/>
  <c r="M73" i="20" s="1"/>
  <c r="X98" i="3"/>
  <c r="L73" i="20" s="1"/>
  <c r="W98" i="3"/>
  <c r="K73" i="20" s="1"/>
  <c r="V98" i="3"/>
  <c r="J73" i="20" s="1"/>
  <c r="U98" i="3"/>
  <c r="I73" i="20" s="1"/>
  <c r="S98" i="3"/>
  <c r="G73" i="20" s="1"/>
  <c r="R98" i="3"/>
  <c r="F73" i="20" s="1"/>
  <c r="Q98" i="3"/>
  <c r="E73" i="20" s="1"/>
  <c r="P98" i="3"/>
  <c r="D73" i="20" s="1"/>
  <c r="O98" i="3"/>
  <c r="C73" i="20" s="1"/>
  <c r="N98" i="3"/>
  <c r="B73" i="20" s="1"/>
  <c r="D98" i="3"/>
  <c r="D268" i="15" s="1"/>
  <c r="B98" i="3"/>
  <c r="B96" i="3"/>
  <c r="B266" i="15" s="1"/>
  <c r="AC95" i="3"/>
  <c r="AB95" i="3"/>
  <c r="AA95" i="3"/>
  <c r="Z95" i="3"/>
  <c r="N72" i="20" s="1"/>
  <c r="Y95" i="3"/>
  <c r="M72" i="20" s="1"/>
  <c r="X95" i="3"/>
  <c r="L72" i="20" s="1"/>
  <c r="W95" i="3"/>
  <c r="K72" i="20" s="1"/>
  <c r="V95" i="3"/>
  <c r="J72" i="20" s="1"/>
  <c r="U95" i="3"/>
  <c r="I72" i="20" s="1"/>
  <c r="S95" i="3"/>
  <c r="G72" i="20" s="1"/>
  <c r="R95" i="3"/>
  <c r="F72" i="20" s="1"/>
  <c r="Q95" i="3"/>
  <c r="E72" i="20" s="1"/>
  <c r="P95" i="3"/>
  <c r="D72" i="20" s="1"/>
  <c r="O95" i="3"/>
  <c r="C72" i="20" s="1"/>
  <c r="N95" i="3"/>
  <c r="B72" i="20" s="1"/>
  <c r="D95" i="3"/>
  <c r="D265" i="15" s="1"/>
  <c r="B95" i="3"/>
  <c r="B93" i="3"/>
  <c r="B91" i="3"/>
  <c r="B261" i="15" s="1"/>
  <c r="AC90" i="3"/>
  <c r="AB90" i="3"/>
  <c r="AA90" i="3"/>
  <c r="Z90" i="3"/>
  <c r="N71" i="20" s="1"/>
  <c r="Y90" i="3"/>
  <c r="M71" i="20" s="1"/>
  <c r="X90" i="3"/>
  <c r="L71" i="20" s="1"/>
  <c r="W90" i="3"/>
  <c r="K71" i="20" s="1"/>
  <c r="V90" i="3"/>
  <c r="J71" i="20" s="1"/>
  <c r="U90" i="3"/>
  <c r="I71" i="20" s="1"/>
  <c r="S90" i="3"/>
  <c r="G71" i="20" s="1"/>
  <c r="R90" i="3"/>
  <c r="F71" i="20" s="1"/>
  <c r="Q90" i="3"/>
  <c r="E71" i="20" s="1"/>
  <c r="P90" i="3"/>
  <c r="D71" i="20" s="1"/>
  <c r="O90" i="3"/>
  <c r="C71" i="20" s="1"/>
  <c r="N90" i="3"/>
  <c r="B71" i="20" s="1"/>
  <c r="M90" i="3"/>
  <c r="A71" i="20" s="1"/>
  <c r="D90" i="3"/>
  <c r="D260" i="15" s="1"/>
  <c r="B90" i="3"/>
  <c r="B88" i="3"/>
  <c r="B258" i="15" s="1"/>
  <c r="AC87" i="3"/>
  <c r="AB87" i="3"/>
  <c r="AA87" i="3"/>
  <c r="Z87" i="3"/>
  <c r="N70" i="20" s="1"/>
  <c r="Y87" i="3"/>
  <c r="M70" i="20" s="1"/>
  <c r="X87" i="3"/>
  <c r="L70" i="20" s="1"/>
  <c r="W87" i="3"/>
  <c r="K70" i="20" s="1"/>
  <c r="V87" i="3"/>
  <c r="J70" i="20" s="1"/>
  <c r="U87" i="3"/>
  <c r="I70" i="20" s="1"/>
  <c r="S87" i="3"/>
  <c r="G70" i="20" s="1"/>
  <c r="R87" i="3"/>
  <c r="F70" i="20" s="1"/>
  <c r="Q87" i="3"/>
  <c r="E70" i="20" s="1"/>
  <c r="P87" i="3"/>
  <c r="D70" i="20" s="1"/>
  <c r="O87" i="3"/>
  <c r="C70" i="20" s="1"/>
  <c r="N87" i="3"/>
  <c r="B70" i="20" s="1"/>
  <c r="M87" i="3"/>
  <c r="A70" i="20" s="1"/>
  <c r="D87" i="3"/>
  <c r="D257" i="15" s="1"/>
  <c r="B87" i="3"/>
  <c r="B85" i="3"/>
  <c r="AC84" i="3"/>
  <c r="AB84" i="3"/>
  <c r="AA84" i="3"/>
  <c r="Z84" i="3"/>
  <c r="N69" i="20" s="1"/>
  <c r="Y84" i="3"/>
  <c r="M69" i="20" s="1"/>
  <c r="X84" i="3"/>
  <c r="L69" i="20" s="1"/>
  <c r="W84" i="3"/>
  <c r="K69" i="20" s="1"/>
  <c r="V84" i="3"/>
  <c r="J69" i="20" s="1"/>
  <c r="U84" i="3"/>
  <c r="I69" i="20" s="1"/>
  <c r="S84" i="3"/>
  <c r="G69" i="20" s="1"/>
  <c r="R84" i="3"/>
  <c r="F69" i="20" s="1"/>
  <c r="Q84" i="3"/>
  <c r="E69" i="20" s="1"/>
  <c r="P84" i="3"/>
  <c r="D69" i="20" s="1"/>
  <c r="O84" i="3"/>
  <c r="C69" i="20" s="1"/>
  <c r="N84" i="3"/>
  <c r="B69" i="20" s="1"/>
  <c r="D84" i="3"/>
  <c r="D254" i="15" s="1"/>
  <c r="B84" i="3"/>
  <c r="B82" i="3"/>
  <c r="B252" i="15" s="1"/>
  <c r="AC81" i="3"/>
  <c r="AB81" i="3"/>
  <c r="AA81" i="3"/>
  <c r="Z81" i="3"/>
  <c r="N68" i="20" s="1"/>
  <c r="Y81" i="3"/>
  <c r="M68" i="20" s="1"/>
  <c r="X81" i="3"/>
  <c r="L68" i="20" s="1"/>
  <c r="W81" i="3"/>
  <c r="K68" i="20" s="1"/>
  <c r="V81" i="3"/>
  <c r="J68" i="20" s="1"/>
  <c r="U81" i="3"/>
  <c r="I68" i="20" s="1"/>
  <c r="S81" i="3"/>
  <c r="G68" i="20" s="1"/>
  <c r="R81" i="3"/>
  <c r="F68" i="20" s="1"/>
  <c r="Q81" i="3"/>
  <c r="E68" i="20" s="1"/>
  <c r="P81" i="3"/>
  <c r="D68" i="20" s="1"/>
  <c r="O81" i="3"/>
  <c r="C68" i="20" s="1"/>
  <c r="N81" i="3"/>
  <c r="B68" i="20" s="1"/>
  <c r="D81" i="3"/>
  <c r="D251" i="15" s="1"/>
  <c r="B81" i="3"/>
  <c r="B79" i="3"/>
  <c r="B249" i="15" s="1"/>
  <c r="AC78" i="3"/>
  <c r="AB78" i="3"/>
  <c r="AA78" i="3"/>
  <c r="Z78" i="3"/>
  <c r="N67" i="20" s="1"/>
  <c r="Y78" i="3"/>
  <c r="M67" i="20" s="1"/>
  <c r="X78" i="3"/>
  <c r="L67" i="20" s="1"/>
  <c r="W78" i="3"/>
  <c r="K67" i="20" s="1"/>
  <c r="V78" i="3"/>
  <c r="J67" i="20" s="1"/>
  <c r="U78" i="3"/>
  <c r="I67" i="20" s="1"/>
  <c r="S78" i="3"/>
  <c r="G67" i="20" s="1"/>
  <c r="R78" i="3"/>
  <c r="F67" i="20" s="1"/>
  <c r="Q78" i="3"/>
  <c r="E67" i="20" s="1"/>
  <c r="P78" i="3"/>
  <c r="D67" i="20" s="1"/>
  <c r="O78" i="3"/>
  <c r="C67" i="20" s="1"/>
  <c r="N78" i="3"/>
  <c r="B67" i="20" s="1"/>
  <c r="M78" i="3"/>
  <c r="A67" i="20" s="1"/>
  <c r="D78" i="3"/>
  <c r="D248" i="15" s="1"/>
  <c r="B78" i="3"/>
  <c r="B76" i="3"/>
  <c r="B246" i="15" s="1"/>
  <c r="B74" i="3"/>
  <c r="B244" i="15" s="1"/>
  <c r="AC73" i="3"/>
  <c r="AB73" i="3"/>
  <c r="AA73" i="3"/>
  <c r="Z73" i="3"/>
  <c r="N66" i="20" s="1"/>
  <c r="Y73" i="3"/>
  <c r="M66" i="20" s="1"/>
  <c r="X73" i="3"/>
  <c r="L66" i="20" s="1"/>
  <c r="W73" i="3"/>
  <c r="K66" i="20" s="1"/>
  <c r="V73" i="3"/>
  <c r="J66" i="20" s="1"/>
  <c r="U73" i="3"/>
  <c r="I66" i="20" s="1"/>
  <c r="S73" i="3"/>
  <c r="G66" i="20" s="1"/>
  <c r="R73" i="3"/>
  <c r="F66" i="20" s="1"/>
  <c r="Q73" i="3"/>
  <c r="E66" i="20" s="1"/>
  <c r="P73" i="3"/>
  <c r="D66" i="20" s="1"/>
  <c r="O73" i="3"/>
  <c r="C66" i="20" s="1"/>
  <c r="N73" i="3"/>
  <c r="B66" i="20" s="1"/>
  <c r="M73" i="3"/>
  <c r="A66" i="20" s="1"/>
  <c r="D73" i="3"/>
  <c r="D243" i="15" s="1"/>
  <c r="B73" i="3"/>
  <c r="B66" i="19" s="1"/>
  <c r="B71" i="3"/>
  <c r="B241" i="15" s="1"/>
  <c r="AC70" i="3"/>
  <c r="AB70" i="3"/>
  <c r="AA70" i="3"/>
  <c r="Z70" i="3"/>
  <c r="N65" i="20" s="1"/>
  <c r="Y70" i="3"/>
  <c r="M65" i="20" s="1"/>
  <c r="X70" i="3"/>
  <c r="L65" i="20" s="1"/>
  <c r="W70" i="3"/>
  <c r="K65" i="20" s="1"/>
  <c r="V70" i="3"/>
  <c r="J65" i="20" s="1"/>
  <c r="U70" i="3"/>
  <c r="I65" i="20" s="1"/>
  <c r="S70" i="3"/>
  <c r="G65" i="20" s="1"/>
  <c r="R70" i="3"/>
  <c r="F65" i="20" s="1"/>
  <c r="Q70" i="3"/>
  <c r="E65" i="20" s="1"/>
  <c r="P70" i="3"/>
  <c r="D65" i="20" s="1"/>
  <c r="O70" i="3"/>
  <c r="C65" i="20" s="1"/>
  <c r="N70" i="3"/>
  <c r="B65" i="20" s="1"/>
  <c r="M70" i="3"/>
  <c r="A65" i="20" s="1"/>
  <c r="D70" i="3"/>
  <c r="D240" i="15" s="1"/>
  <c r="B70" i="3"/>
  <c r="B68" i="3"/>
  <c r="B238" i="15" s="1"/>
  <c r="AC67" i="3"/>
  <c r="AB67" i="3"/>
  <c r="AA67" i="3"/>
  <c r="Z67" i="3"/>
  <c r="N64" i="20" s="1"/>
  <c r="Y67" i="3"/>
  <c r="M64" i="20" s="1"/>
  <c r="X67" i="3"/>
  <c r="L64" i="20" s="1"/>
  <c r="W67" i="3"/>
  <c r="K64" i="20" s="1"/>
  <c r="V67" i="3"/>
  <c r="J64" i="20" s="1"/>
  <c r="U67" i="3"/>
  <c r="I64" i="20" s="1"/>
  <c r="S67" i="3"/>
  <c r="G64" i="20" s="1"/>
  <c r="R67" i="3"/>
  <c r="F64" i="20" s="1"/>
  <c r="Q67" i="3"/>
  <c r="E64" i="20" s="1"/>
  <c r="P67" i="3"/>
  <c r="D64" i="20" s="1"/>
  <c r="O67" i="3"/>
  <c r="C64" i="20" s="1"/>
  <c r="N67" i="3"/>
  <c r="B64" i="20" s="1"/>
  <c r="D67" i="3"/>
  <c r="D237" i="15" s="1"/>
  <c r="B67" i="3"/>
  <c r="B65" i="3"/>
  <c r="B235" i="15" s="1"/>
  <c r="AC64" i="3"/>
  <c r="AB64" i="3"/>
  <c r="AA64" i="3"/>
  <c r="Z64" i="3"/>
  <c r="N63" i="20" s="1"/>
  <c r="Y64" i="3"/>
  <c r="M63" i="20" s="1"/>
  <c r="X64" i="3"/>
  <c r="L63" i="20" s="1"/>
  <c r="W64" i="3"/>
  <c r="K63" i="20" s="1"/>
  <c r="V64" i="3"/>
  <c r="J63" i="20" s="1"/>
  <c r="U64" i="3"/>
  <c r="I63" i="20" s="1"/>
  <c r="S64" i="3"/>
  <c r="G63" i="20" s="1"/>
  <c r="R64" i="3"/>
  <c r="F63" i="20" s="1"/>
  <c r="Q64" i="3"/>
  <c r="E63" i="20" s="1"/>
  <c r="P64" i="3"/>
  <c r="D63" i="20" s="1"/>
  <c r="O64" i="3"/>
  <c r="C63" i="20" s="1"/>
  <c r="N64" i="3"/>
  <c r="B63" i="20" s="1"/>
  <c r="M64" i="3"/>
  <c r="A63" i="20" s="1"/>
  <c r="D64" i="3"/>
  <c r="D234" i="15" s="1"/>
  <c r="B64" i="3"/>
  <c r="B62" i="3"/>
  <c r="B232" i="15" s="1"/>
  <c r="AC61" i="3"/>
  <c r="AB61" i="3"/>
  <c r="AA61" i="3"/>
  <c r="Z61" i="3"/>
  <c r="N62" i="20" s="1"/>
  <c r="Y61" i="3"/>
  <c r="M62" i="20" s="1"/>
  <c r="X61" i="3"/>
  <c r="L62" i="20" s="1"/>
  <c r="W61" i="3"/>
  <c r="K62" i="20" s="1"/>
  <c r="V61" i="3"/>
  <c r="J62" i="20" s="1"/>
  <c r="U61" i="3"/>
  <c r="I62" i="20" s="1"/>
  <c r="S61" i="3"/>
  <c r="G62" i="20" s="1"/>
  <c r="R61" i="3"/>
  <c r="F62" i="20" s="1"/>
  <c r="Q61" i="3"/>
  <c r="E62" i="20" s="1"/>
  <c r="P61" i="3"/>
  <c r="D62" i="20" s="1"/>
  <c r="O61" i="3"/>
  <c r="C62" i="20" s="1"/>
  <c r="N61" i="3"/>
  <c r="B62" i="20" s="1"/>
  <c r="M61" i="3"/>
  <c r="A62" i="20" s="1"/>
  <c r="D61" i="3"/>
  <c r="D231" i="15" s="1"/>
  <c r="B61" i="3"/>
  <c r="B62" i="19" s="1"/>
  <c r="B59" i="3"/>
  <c r="B229" i="15" s="1"/>
  <c r="B57" i="3"/>
  <c r="B227" i="15" s="1"/>
  <c r="AC56" i="3"/>
  <c r="AB56" i="3"/>
  <c r="AA56" i="3"/>
  <c r="Z56" i="3"/>
  <c r="N61" i="20" s="1"/>
  <c r="Y56" i="3"/>
  <c r="M61" i="20" s="1"/>
  <c r="X56" i="3"/>
  <c r="L61" i="20" s="1"/>
  <c r="W56" i="3"/>
  <c r="K61" i="20" s="1"/>
  <c r="V56" i="3"/>
  <c r="J61" i="20" s="1"/>
  <c r="U56" i="3"/>
  <c r="I61" i="20" s="1"/>
  <c r="T56" i="3"/>
  <c r="H61" i="20" s="1"/>
  <c r="S56" i="3"/>
  <c r="G61" i="20" s="1"/>
  <c r="R56" i="3"/>
  <c r="F61" i="20" s="1"/>
  <c r="Q56" i="3"/>
  <c r="E61" i="20" s="1"/>
  <c r="P56" i="3"/>
  <c r="D61" i="20" s="1"/>
  <c r="O56" i="3"/>
  <c r="C61" i="20" s="1"/>
  <c r="N56" i="3"/>
  <c r="B61" i="20" s="1"/>
  <c r="D56" i="3"/>
  <c r="D226" i="15" s="1"/>
  <c r="B56" i="3"/>
  <c r="B54" i="3"/>
  <c r="B224" i="15" s="1"/>
  <c r="AC53" i="3"/>
  <c r="AB53" i="3"/>
  <c r="AA53" i="3"/>
  <c r="Z53" i="3"/>
  <c r="N60" i="20" s="1"/>
  <c r="Y53" i="3"/>
  <c r="M60" i="20" s="1"/>
  <c r="X53" i="3"/>
  <c r="L60" i="20" s="1"/>
  <c r="W53" i="3"/>
  <c r="K60" i="20" s="1"/>
  <c r="V53" i="3"/>
  <c r="J60" i="20" s="1"/>
  <c r="U53" i="3"/>
  <c r="I60" i="20" s="1"/>
  <c r="S53" i="3"/>
  <c r="G60" i="20" s="1"/>
  <c r="R53" i="3"/>
  <c r="F60" i="20" s="1"/>
  <c r="Q53" i="3"/>
  <c r="E60" i="20" s="1"/>
  <c r="P53" i="3"/>
  <c r="D60" i="20" s="1"/>
  <c r="O53" i="3"/>
  <c r="C60" i="20" s="1"/>
  <c r="N53" i="3"/>
  <c r="B60" i="20" s="1"/>
  <c r="M53" i="3"/>
  <c r="A60" i="20" s="1"/>
  <c r="D53" i="3"/>
  <c r="D223" i="15" s="1"/>
  <c r="B53" i="3"/>
  <c r="B51" i="3"/>
  <c r="AC50" i="3"/>
  <c r="AB50" i="3"/>
  <c r="AA50" i="3"/>
  <c r="Z50" i="3"/>
  <c r="N59" i="20" s="1"/>
  <c r="Y50" i="3"/>
  <c r="M59" i="20" s="1"/>
  <c r="X50" i="3"/>
  <c r="L59" i="20" s="1"/>
  <c r="W50" i="3"/>
  <c r="K59" i="20" s="1"/>
  <c r="V50" i="3"/>
  <c r="J59" i="20" s="1"/>
  <c r="U50" i="3"/>
  <c r="I59" i="20" s="1"/>
  <c r="S50" i="3"/>
  <c r="G59" i="20" s="1"/>
  <c r="R50" i="3"/>
  <c r="F59" i="20" s="1"/>
  <c r="Q50" i="3"/>
  <c r="E59" i="20" s="1"/>
  <c r="P50" i="3"/>
  <c r="D59" i="20" s="1"/>
  <c r="O50" i="3"/>
  <c r="C59" i="20" s="1"/>
  <c r="N50" i="3"/>
  <c r="B59" i="20" s="1"/>
  <c r="M50" i="3"/>
  <c r="A59" i="20" s="1"/>
  <c r="D50" i="3"/>
  <c r="D220" i="15" s="1"/>
  <c r="B50" i="3"/>
  <c r="B48" i="3"/>
  <c r="B218" i="15" s="1"/>
  <c r="AC47" i="3"/>
  <c r="AB47" i="3"/>
  <c r="AA47" i="3"/>
  <c r="Z47" i="3"/>
  <c r="N58" i="20" s="1"/>
  <c r="Y47" i="3"/>
  <c r="M58" i="20" s="1"/>
  <c r="X47" i="3"/>
  <c r="L58" i="20" s="1"/>
  <c r="W47" i="3"/>
  <c r="K58" i="20" s="1"/>
  <c r="V47" i="3"/>
  <c r="J58" i="20" s="1"/>
  <c r="U47" i="3"/>
  <c r="I58" i="20" s="1"/>
  <c r="S47" i="3"/>
  <c r="G58" i="20" s="1"/>
  <c r="R47" i="3"/>
  <c r="F58" i="20" s="1"/>
  <c r="Q47" i="3"/>
  <c r="E58" i="20" s="1"/>
  <c r="P47" i="3"/>
  <c r="D58" i="20" s="1"/>
  <c r="O47" i="3"/>
  <c r="C58" i="20" s="1"/>
  <c r="N47" i="3"/>
  <c r="B58" i="20" s="1"/>
  <c r="D47" i="3"/>
  <c r="B47" i="3"/>
  <c r="B45" i="3"/>
  <c r="B215" i="15" s="1"/>
  <c r="AC44" i="3"/>
  <c r="AB44" i="3"/>
  <c r="AA44" i="3"/>
  <c r="Z44" i="3"/>
  <c r="N57" i="20" s="1"/>
  <c r="Y44" i="3"/>
  <c r="M57" i="20" s="1"/>
  <c r="X44" i="3"/>
  <c r="L57" i="20" s="1"/>
  <c r="W44" i="3"/>
  <c r="K57" i="20" s="1"/>
  <c r="V44" i="3"/>
  <c r="J57" i="20" s="1"/>
  <c r="U44" i="3"/>
  <c r="I57" i="20" s="1"/>
  <c r="S44" i="3"/>
  <c r="G57" i="20" s="1"/>
  <c r="R44" i="3"/>
  <c r="F57" i="20" s="1"/>
  <c r="Q44" i="3"/>
  <c r="E57" i="20" s="1"/>
  <c r="P44" i="3"/>
  <c r="D57" i="20" s="1"/>
  <c r="O44" i="3"/>
  <c r="C57" i="20" s="1"/>
  <c r="N44" i="3"/>
  <c r="B57" i="20" s="1"/>
  <c r="M44" i="3"/>
  <c r="A57" i="20" s="1"/>
  <c r="D44" i="3"/>
  <c r="D214" i="15" s="1"/>
  <c r="B44" i="3"/>
  <c r="B42" i="3"/>
  <c r="B212" i="15" s="1"/>
  <c r="B40" i="3"/>
  <c r="B210" i="15" s="1"/>
  <c r="AC39" i="3"/>
  <c r="AB39" i="3"/>
  <c r="AA39" i="3"/>
  <c r="Z39" i="3"/>
  <c r="N56" i="20" s="1"/>
  <c r="Y39" i="3"/>
  <c r="M56" i="20" s="1"/>
  <c r="X39" i="3"/>
  <c r="L56" i="20" s="1"/>
  <c r="W39" i="3"/>
  <c r="K56" i="20" s="1"/>
  <c r="V39" i="3"/>
  <c r="J56" i="20" s="1"/>
  <c r="U39" i="3"/>
  <c r="I56" i="20" s="1"/>
  <c r="S39" i="3"/>
  <c r="G56" i="20" s="1"/>
  <c r="R39" i="3"/>
  <c r="F56" i="20" s="1"/>
  <c r="Q39" i="3"/>
  <c r="E56" i="20" s="1"/>
  <c r="P39" i="3"/>
  <c r="D56" i="20" s="1"/>
  <c r="O39" i="3"/>
  <c r="C56" i="20" s="1"/>
  <c r="N39" i="3"/>
  <c r="B56" i="20" s="1"/>
  <c r="D39" i="3"/>
  <c r="D209" i="15" s="1"/>
  <c r="B39" i="3"/>
  <c r="B37" i="3"/>
  <c r="B207" i="15" s="1"/>
  <c r="AC36" i="3"/>
  <c r="AB36" i="3"/>
  <c r="AA36" i="3"/>
  <c r="Z36" i="3"/>
  <c r="N55" i="20" s="1"/>
  <c r="Y36" i="3"/>
  <c r="M55" i="20" s="1"/>
  <c r="X36" i="3"/>
  <c r="L55" i="20" s="1"/>
  <c r="W36" i="3"/>
  <c r="K55" i="20" s="1"/>
  <c r="V36" i="3"/>
  <c r="J55" i="20" s="1"/>
  <c r="U36" i="3"/>
  <c r="I55" i="20" s="1"/>
  <c r="T36" i="3"/>
  <c r="H55" i="20" s="1"/>
  <c r="S36" i="3"/>
  <c r="G55" i="20" s="1"/>
  <c r="R36" i="3"/>
  <c r="F55" i="20" s="1"/>
  <c r="Q36" i="3"/>
  <c r="E55" i="20" s="1"/>
  <c r="P36" i="3"/>
  <c r="D55" i="20" s="1"/>
  <c r="O36" i="3"/>
  <c r="C55" i="20" s="1"/>
  <c r="N36" i="3"/>
  <c r="B55" i="20" s="1"/>
  <c r="D36" i="3"/>
  <c r="D206" i="15" s="1"/>
  <c r="B36" i="3"/>
  <c r="B34" i="3"/>
  <c r="B204" i="15" s="1"/>
  <c r="AC33" i="3"/>
  <c r="AB33" i="3"/>
  <c r="AA33" i="3"/>
  <c r="Z33" i="3"/>
  <c r="N54" i="20" s="1"/>
  <c r="Y33" i="3"/>
  <c r="M54" i="20" s="1"/>
  <c r="X33" i="3"/>
  <c r="L54" i="20" s="1"/>
  <c r="W33" i="3"/>
  <c r="K54" i="20" s="1"/>
  <c r="V33" i="3"/>
  <c r="J54" i="20" s="1"/>
  <c r="U33" i="3"/>
  <c r="I54" i="20" s="1"/>
  <c r="S33" i="3"/>
  <c r="G54" i="20" s="1"/>
  <c r="R33" i="3"/>
  <c r="F54" i="20" s="1"/>
  <c r="Q33" i="3"/>
  <c r="E54" i="20" s="1"/>
  <c r="P33" i="3"/>
  <c r="D54" i="20" s="1"/>
  <c r="O33" i="3"/>
  <c r="C54" i="20" s="1"/>
  <c r="N33" i="3"/>
  <c r="B54" i="20" s="1"/>
  <c r="M33" i="3"/>
  <c r="A54" i="20" s="1"/>
  <c r="D33" i="3"/>
  <c r="D203" i="15" s="1"/>
  <c r="B33" i="3"/>
  <c r="B31" i="3"/>
  <c r="B201" i="15" s="1"/>
  <c r="AC30" i="3"/>
  <c r="AB30" i="3"/>
  <c r="AA30" i="3"/>
  <c r="Z30" i="3"/>
  <c r="N53" i="20" s="1"/>
  <c r="Y30" i="3"/>
  <c r="M53" i="20" s="1"/>
  <c r="X30" i="3"/>
  <c r="L53" i="20" s="1"/>
  <c r="W30" i="3"/>
  <c r="K53" i="20" s="1"/>
  <c r="V30" i="3"/>
  <c r="J53" i="20" s="1"/>
  <c r="U30" i="3"/>
  <c r="I53" i="20" s="1"/>
  <c r="S30" i="3"/>
  <c r="G53" i="20" s="1"/>
  <c r="R30" i="3"/>
  <c r="F53" i="20" s="1"/>
  <c r="Q30" i="3"/>
  <c r="E53" i="20" s="1"/>
  <c r="P30" i="3"/>
  <c r="D53" i="20" s="1"/>
  <c r="O30" i="3"/>
  <c r="C53" i="20" s="1"/>
  <c r="N30" i="3"/>
  <c r="B53" i="20" s="1"/>
  <c r="D30" i="3"/>
  <c r="D200" i="15" s="1"/>
  <c r="B30" i="3"/>
  <c r="B28" i="3"/>
  <c r="B198" i="15" s="1"/>
  <c r="AC27" i="3"/>
  <c r="AB27" i="3"/>
  <c r="AA27" i="3"/>
  <c r="Z27" i="3"/>
  <c r="N52" i="20" s="1"/>
  <c r="Y27" i="3"/>
  <c r="M52" i="20" s="1"/>
  <c r="X27" i="3"/>
  <c r="L52" i="20" s="1"/>
  <c r="W27" i="3"/>
  <c r="K52" i="20" s="1"/>
  <c r="V27" i="3"/>
  <c r="J52" i="20" s="1"/>
  <c r="U27" i="3"/>
  <c r="I52" i="20" s="1"/>
  <c r="S27" i="3"/>
  <c r="G52" i="20" s="1"/>
  <c r="R27" i="3"/>
  <c r="F52" i="20" s="1"/>
  <c r="Q27" i="3"/>
  <c r="E52" i="20" s="1"/>
  <c r="P27" i="3"/>
  <c r="D52" i="20" s="1"/>
  <c r="O27" i="3"/>
  <c r="C52" i="20" s="1"/>
  <c r="N27" i="3"/>
  <c r="B52" i="20" s="1"/>
  <c r="D27" i="3"/>
  <c r="D197" i="15" s="1"/>
  <c r="B27" i="3"/>
  <c r="B25" i="3"/>
  <c r="B195" i="15" s="1"/>
  <c r="B23" i="3"/>
  <c r="B193" i="15" s="1"/>
  <c r="AC22" i="3"/>
  <c r="AB22" i="3"/>
  <c r="AA22" i="3"/>
  <c r="Z22" i="3"/>
  <c r="N51" i="20" s="1"/>
  <c r="Y22" i="3"/>
  <c r="M51" i="20" s="1"/>
  <c r="X22" i="3"/>
  <c r="L51" i="20" s="1"/>
  <c r="W22" i="3"/>
  <c r="K51" i="20" s="1"/>
  <c r="V22" i="3"/>
  <c r="J51" i="20" s="1"/>
  <c r="U22" i="3"/>
  <c r="I51" i="20" s="1"/>
  <c r="S22" i="3"/>
  <c r="G51" i="20" s="1"/>
  <c r="R22" i="3"/>
  <c r="F51" i="20" s="1"/>
  <c r="Q22" i="3"/>
  <c r="E51" i="20" s="1"/>
  <c r="P22" i="3"/>
  <c r="D51" i="20" s="1"/>
  <c r="O22" i="3"/>
  <c r="C51" i="20" s="1"/>
  <c r="N22" i="3"/>
  <c r="B51" i="20" s="1"/>
  <c r="D22" i="3"/>
  <c r="T22" i="3" s="1"/>
  <c r="H51" i="20" s="1"/>
  <c r="B22" i="3"/>
  <c r="B20" i="3"/>
  <c r="B190" i="15" s="1"/>
  <c r="AC19" i="3"/>
  <c r="AB19" i="3"/>
  <c r="AA19" i="3"/>
  <c r="Z19" i="3"/>
  <c r="N50" i="20" s="1"/>
  <c r="Y19" i="3"/>
  <c r="M50" i="20" s="1"/>
  <c r="X19" i="3"/>
  <c r="L50" i="20" s="1"/>
  <c r="W19" i="3"/>
  <c r="K50" i="20" s="1"/>
  <c r="V19" i="3"/>
  <c r="J50" i="20" s="1"/>
  <c r="U19" i="3"/>
  <c r="I50" i="20" s="1"/>
  <c r="S19" i="3"/>
  <c r="G50" i="20" s="1"/>
  <c r="R19" i="3"/>
  <c r="F50" i="20" s="1"/>
  <c r="Q19" i="3"/>
  <c r="E50" i="20" s="1"/>
  <c r="P19" i="3"/>
  <c r="D50" i="20" s="1"/>
  <c r="O19" i="3"/>
  <c r="C50" i="20" s="1"/>
  <c r="N19" i="3"/>
  <c r="B50" i="20" s="1"/>
  <c r="M19" i="3"/>
  <c r="A50" i="20" s="1"/>
  <c r="D19" i="3"/>
  <c r="D189" i="15" s="1"/>
  <c r="B19" i="3"/>
  <c r="B17" i="3"/>
  <c r="B187" i="15" s="1"/>
  <c r="AC16" i="3"/>
  <c r="AB16" i="3"/>
  <c r="AA16" i="3"/>
  <c r="Z16" i="3"/>
  <c r="N49" i="20" s="1"/>
  <c r="Y16" i="3"/>
  <c r="M49" i="20" s="1"/>
  <c r="X16" i="3"/>
  <c r="L49" i="20" s="1"/>
  <c r="W16" i="3"/>
  <c r="K49" i="20" s="1"/>
  <c r="V16" i="3"/>
  <c r="J49" i="20" s="1"/>
  <c r="U16" i="3"/>
  <c r="I49" i="20" s="1"/>
  <c r="S16" i="3"/>
  <c r="G49" i="20" s="1"/>
  <c r="R16" i="3"/>
  <c r="F49" i="20" s="1"/>
  <c r="Q16" i="3"/>
  <c r="E49" i="20" s="1"/>
  <c r="P16" i="3"/>
  <c r="D49" i="20" s="1"/>
  <c r="O16" i="3"/>
  <c r="C49" i="20" s="1"/>
  <c r="N16" i="3"/>
  <c r="B49" i="20" s="1"/>
  <c r="D16" i="3"/>
  <c r="D186" i="15" s="1"/>
  <c r="B16" i="3"/>
  <c r="B14" i="3"/>
  <c r="B184" i="15" s="1"/>
  <c r="AC13" i="3"/>
  <c r="AB13" i="3"/>
  <c r="AA13" i="3"/>
  <c r="Z13" i="3"/>
  <c r="N48" i="20" s="1"/>
  <c r="Y13" i="3"/>
  <c r="M48" i="20" s="1"/>
  <c r="X13" i="3"/>
  <c r="L48" i="20" s="1"/>
  <c r="W13" i="3"/>
  <c r="K48" i="20" s="1"/>
  <c r="V13" i="3"/>
  <c r="J48" i="20" s="1"/>
  <c r="U13" i="3"/>
  <c r="I48" i="20" s="1"/>
  <c r="S13" i="3"/>
  <c r="G48" i="20" s="1"/>
  <c r="R13" i="3"/>
  <c r="F48" i="20" s="1"/>
  <c r="Q13" i="3"/>
  <c r="E48" i="20" s="1"/>
  <c r="P13" i="3"/>
  <c r="D48" i="20" s="1"/>
  <c r="O13" i="3"/>
  <c r="C48" i="20" s="1"/>
  <c r="N13" i="3"/>
  <c r="B48" i="20" s="1"/>
  <c r="D13" i="3"/>
  <c r="D183" i="15" s="1"/>
  <c r="B13" i="3"/>
  <c r="A13" i="3"/>
  <c r="B11" i="3"/>
  <c r="B181" i="15" s="1"/>
  <c r="AC10" i="3"/>
  <c r="AB10" i="3"/>
  <c r="AA10" i="3"/>
  <c r="Z10" i="3"/>
  <c r="N47" i="20" s="1"/>
  <c r="Y10" i="3"/>
  <c r="M47" i="20" s="1"/>
  <c r="X10" i="3"/>
  <c r="L47" i="20" s="1"/>
  <c r="W10" i="3"/>
  <c r="K47" i="20" s="1"/>
  <c r="V10" i="3"/>
  <c r="J47" i="20" s="1"/>
  <c r="U10" i="3"/>
  <c r="I47" i="20" s="1"/>
  <c r="S10" i="3"/>
  <c r="G47" i="20" s="1"/>
  <c r="R10" i="3"/>
  <c r="F47" i="20" s="1"/>
  <c r="Q10" i="3"/>
  <c r="E47" i="20" s="1"/>
  <c r="P10" i="3"/>
  <c r="D47" i="20" s="1"/>
  <c r="O10" i="3"/>
  <c r="C47" i="20" s="1"/>
  <c r="N10" i="3"/>
  <c r="B47" i="20" s="1"/>
  <c r="M10" i="3"/>
  <c r="A47" i="20" s="1"/>
  <c r="D10" i="3"/>
  <c r="D180" i="15" s="1"/>
  <c r="B10" i="3"/>
  <c r="B8" i="3"/>
  <c r="B178" i="15" s="1"/>
  <c r="A3" i="3"/>
  <c r="A1" i="3"/>
  <c r="B159" i="2"/>
  <c r="B159" i="15" s="1"/>
  <c r="AC158" i="2"/>
  <c r="AB158" i="2"/>
  <c r="AA158" i="2"/>
  <c r="Z158" i="2"/>
  <c r="N46" i="20" s="1"/>
  <c r="Y158" i="2"/>
  <c r="M46" i="20" s="1"/>
  <c r="X158" i="2"/>
  <c r="L46" i="20" s="1"/>
  <c r="W158" i="2"/>
  <c r="K46" i="20" s="1"/>
  <c r="V158" i="2"/>
  <c r="J46" i="20" s="1"/>
  <c r="U158" i="2"/>
  <c r="I46" i="20" s="1"/>
  <c r="T158" i="2"/>
  <c r="H46" i="20" s="1"/>
  <c r="S158" i="2"/>
  <c r="G46" i="20" s="1"/>
  <c r="R158" i="2"/>
  <c r="F46" i="20" s="1"/>
  <c r="Q158" i="2"/>
  <c r="E46" i="20" s="1"/>
  <c r="P158" i="2"/>
  <c r="D46" i="20" s="1"/>
  <c r="O158" i="2"/>
  <c r="C46" i="20" s="1"/>
  <c r="N158" i="2"/>
  <c r="B46" i="20" s="1"/>
  <c r="D158" i="2"/>
  <c r="D158" i="15" s="1"/>
  <c r="B158" i="2"/>
  <c r="B156" i="2"/>
  <c r="B156" i="15" s="1"/>
  <c r="AC155" i="2"/>
  <c r="AB155" i="2"/>
  <c r="AA155" i="2"/>
  <c r="Z155" i="2"/>
  <c r="N45" i="20" s="1"/>
  <c r="Y155" i="2"/>
  <c r="M45" i="20" s="1"/>
  <c r="X155" i="2"/>
  <c r="L45" i="20" s="1"/>
  <c r="W155" i="2"/>
  <c r="K45" i="20" s="1"/>
  <c r="V155" i="2"/>
  <c r="J45" i="20" s="1"/>
  <c r="U155" i="2"/>
  <c r="I45" i="20" s="1"/>
  <c r="S155" i="2"/>
  <c r="G45" i="20" s="1"/>
  <c r="R155" i="2"/>
  <c r="F45" i="20" s="1"/>
  <c r="Q155" i="2"/>
  <c r="E45" i="20" s="1"/>
  <c r="P155" i="2"/>
  <c r="D45" i="20" s="1"/>
  <c r="O155" i="2"/>
  <c r="C45" i="20" s="1"/>
  <c r="N155" i="2"/>
  <c r="B45" i="20" s="1"/>
  <c r="D155" i="2"/>
  <c r="D155" i="15" s="1"/>
  <c r="B155" i="2"/>
  <c r="B153" i="2"/>
  <c r="B153" i="15" s="1"/>
  <c r="AC152" i="2"/>
  <c r="AB152" i="2"/>
  <c r="AA152" i="2"/>
  <c r="Z152" i="2"/>
  <c r="N44" i="20" s="1"/>
  <c r="Y152" i="2"/>
  <c r="M44" i="20" s="1"/>
  <c r="X152" i="2"/>
  <c r="L44" i="20" s="1"/>
  <c r="W152" i="2"/>
  <c r="K44" i="20" s="1"/>
  <c r="V152" i="2"/>
  <c r="J44" i="20" s="1"/>
  <c r="U152" i="2"/>
  <c r="I44" i="20" s="1"/>
  <c r="T152" i="2"/>
  <c r="H44" i="20" s="1"/>
  <c r="S152" i="2"/>
  <c r="G44" i="20" s="1"/>
  <c r="R152" i="2"/>
  <c r="F44" i="20" s="1"/>
  <c r="Q152" i="2"/>
  <c r="E44" i="20" s="1"/>
  <c r="P152" i="2"/>
  <c r="D44" i="20" s="1"/>
  <c r="O152" i="2"/>
  <c r="C44" i="20" s="1"/>
  <c r="N152" i="2"/>
  <c r="B44" i="20" s="1"/>
  <c r="D152" i="2"/>
  <c r="D152" i="15" s="1"/>
  <c r="B152" i="2"/>
  <c r="B150" i="2"/>
  <c r="AC149" i="2"/>
  <c r="AB149" i="2"/>
  <c r="AA149" i="2"/>
  <c r="Z149" i="2"/>
  <c r="N43" i="20" s="1"/>
  <c r="Y149" i="2"/>
  <c r="M43" i="20" s="1"/>
  <c r="X149" i="2"/>
  <c r="L43" i="20" s="1"/>
  <c r="W149" i="2"/>
  <c r="K43" i="20" s="1"/>
  <c r="V149" i="2"/>
  <c r="J43" i="20" s="1"/>
  <c r="U149" i="2"/>
  <c r="I43" i="20" s="1"/>
  <c r="S149" i="2"/>
  <c r="G43" i="20" s="1"/>
  <c r="R149" i="2"/>
  <c r="F43" i="20" s="1"/>
  <c r="Q149" i="2"/>
  <c r="E43" i="20" s="1"/>
  <c r="P149" i="2"/>
  <c r="D43" i="20" s="1"/>
  <c r="O149" i="2"/>
  <c r="C43" i="20" s="1"/>
  <c r="N149" i="2"/>
  <c r="B43" i="20" s="1"/>
  <c r="D149" i="2"/>
  <c r="D149" i="15" s="1"/>
  <c r="B149" i="2"/>
  <c r="B147" i="2"/>
  <c r="B147" i="15" s="1"/>
  <c r="AC146" i="2"/>
  <c r="AB146" i="2"/>
  <c r="AA146" i="2"/>
  <c r="Z146" i="2"/>
  <c r="N42" i="20" s="1"/>
  <c r="Y146" i="2"/>
  <c r="M42" i="20" s="1"/>
  <c r="X146" i="2"/>
  <c r="L42" i="20" s="1"/>
  <c r="W146" i="2"/>
  <c r="K42" i="20" s="1"/>
  <c r="V146" i="2"/>
  <c r="J42" i="20" s="1"/>
  <c r="U146" i="2"/>
  <c r="I42" i="20" s="1"/>
  <c r="S146" i="2"/>
  <c r="G42" i="20" s="1"/>
  <c r="R146" i="2"/>
  <c r="F42" i="20" s="1"/>
  <c r="Q146" i="2"/>
  <c r="E42" i="20" s="1"/>
  <c r="P146" i="2"/>
  <c r="D42" i="20" s="1"/>
  <c r="O146" i="2"/>
  <c r="C42" i="20" s="1"/>
  <c r="N146" i="2"/>
  <c r="B42" i="20" s="1"/>
  <c r="D146" i="2"/>
  <c r="T146" i="2" s="1"/>
  <c r="H42" i="20" s="1"/>
  <c r="B146" i="2"/>
  <c r="B144" i="2"/>
  <c r="B144" i="15" s="1"/>
  <c r="B142" i="2"/>
  <c r="B142" i="15" s="1"/>
  <c r="AC141" i="2"/>
  <c r="AB141" i="2"/>
  <c r="AA141" i="2"/>
  <c r="Z141" i="2"/>
  <c r="N41" i="20" s="1"/>
  <c r="Y141" i="2"/>
  <c r="M41" i="20" s="1"/>
  <c r="X141" i="2"/>
  <c r="L41" i="20" s="1"/>
  <c r="W141" i="2"/>
  <c r="K41" i="20" s="1"/>
  <c r="V141" i="2"/>
  <c r="J41" i="20" s="1"/>
  <c r="U141" i="2"/>
  <c r="I41" i="20" s="1"/>
  <c r="S141" i="2"/>
  <c r="G41" i="20" s="1"/>
  <c r="R141" i="2"/>
  <c r="F41" i="20" s="1"/>
  <c r="Q141" i="2"/>
  <c r="E41" i="20" s="1"/>
  <c r="P141" i="2"/>
  <c r="D41" i="20" s="1"/>
  <c r="O141" i="2"/>
  <c r="C41" i="20" s="1"/>
  <c r="N141" i="2"/>
  <c r="B41" i="20" s="1"/>
  <c r="D141" i="2"/>
  <c r="D141" i="15" s="1"/>
  <c r="B141" i="2"/>
  <c r="B139" i="2"/>
  <c r="B139" i="15" s="1"/>
  <c r="AC138" i="2"/>
  <c r="AB138" i="2"/>
  <c r="AA138" i="2"/>
  <c r="Z138" i="2"/>
  <c r="N40" i="20" s="1"/>
  <c r="Y138" i="2"/>
  <c r="M40" i="20" s="1"/>
  <c r="X138" i="2"/>
  <c r="L40" i="20" s="1"/>
  <c r="W138" i="2"/>
  <c r="K40" i="20" s="1"/>
  <c r="V138" i="2"/>
  <c r="J40" i="20" s="1"/>
  <c r="U138" i="2"/>
  <c r="I40" i="20" s="1"/>
  <c r="S138" i="2"/>
  <c r="G40" i="20" s="1"/>
  <c r="R138" i="2"/>
  <c r="F40" i="20" s="1"/>
  <c r="Q138" i="2"/>
  <c r="E40" i="20" s="1"/>
  <c r="P138" i="2"/>
  <c r="D40" i="20" s="1"/>
  <c r="O138" i="2"/>
  <c r="C40" i="20" s="1"/>
  <c r="N138" i="2"/>
  <c r="B40" i="20" s="1"/>
  <c r="M138" i="2"/>
  <c r="A40" i="20" s="1"/>
  <c r="D138" i="2"/>
  <c r="D138" i="15" s="1"/>
  <c r="B138" i="2"/>
  <c r="B136" i="2"/>
  <c r="B136" i="15" s="1"/>
  <c r="AC135" i="2"/>
  <c r="AB135" i="2"/>
  <c r="AA135" i="2"/>
  <c r="Z135" i="2"/>
  <c r="N39" i="20" s="1"/>
  <c r="Y135" i="2"/>
  <c r="M39" i="20" s="1"/>
  <c r="X135" i="2"/>
  <c r="L39" i="20" s="1"/>
  <c r="W135" i="2"/>
  <c r="K39" i="20" s="1"/>
  <c r="V135" i="2"/>
  <c r="J39" i="20" s="1"/>
  <c r="U135" i="2"/>
  <c r="I39" i="20" s="1"/>
  <c r="S135" i="2"/>
  <c r="G39" i="20" s="1"/>
  <c r="R135" i="2"/>
  <c r="F39" i="20" s="1"/>
  <c r="Q135" i="2"/>
  <c r="E39" i="20" s="1"/>
  <c r="P135" i="2"/>
  <c r="D39" i="20" s="1"/>
  <c r="O135" i="2"/>
  <c r="C39" i="20" s="1"/>
  <c r="N135" i="2"/>
  <c r="B39" i="20" s="1"/>
  <c r="D135" i="2"/>
  <c r="D135" i="15" s="1"/>
  <c r="B135" i="2"/>
  <c r="B133" i="2"/>
  <c r="B133" i="15" s="1"/>
  <c r="AC132" i="2"/>
  <c r="AB132" i="2"/>
  <c r="AA132" i="2"/>
  <c r="Z132" i="2"/>
  <c r="N38" i="20" s="1"/>
  <c r="Y132" i="2"/>
  <c r="M38" i="20" s="1"/>
  <c r="X132" i="2"/>
  <c r="L38" i="20" s="1"/>
  <c r="W132" i="2"/>
  <c r="K38" i="20" s="1"/>
  <c r="V132" i="2"/>
  <c r="J38" i="20" s="1"/>
  <c r="U132" i="2"/>
  <c r="I38" i="20" s="1"/>
  <c r="S132" i="2"/>
  <c r="G38" i="20" s="1"/>
  <c r="R132" i="2"/>
  <c r="F38" i="20" s="1"/>
  <c r="Q132" i="2"/>
  <c r="E38" i="20" s="1"/>
  <c r="P132" i="2"/>
  <c r="D38" i="20" s="1"/>
  <c r="O132" i="2"/>
  <c r="C38" i="20" s="1"/>
  <c r="N132" i="2"/>
  <c r="B38" i="20" s="1"/>
  <c r="D132" i="2"/>
  <c r="D132" i="15" s="1"/>
  <c r="B132" i="2"/>
  <c r="B130" i="2"/>
  <c r="B130" i="15" s="1"/>
  <c r="AC129" i="2"/>
  <c r="AB129" i="2"/>
  <c r="AA129" i="2"/>
  <c r="Z129" i="2"/>
  <c r="N37" i="20" s="1"/>
  <c r="Y129" i="2"/>
  <c r="M37" i="20" s="1"/>
  <c r="X129" i="2"/>
  <c r="L37" i="20" s="1"/>
  <c r="W129" i="2"/>
  <c r="K37" i="20" s="1"/>
  <c r="V129" i="2"/>
  <c r="J37" i="20" s="1"/>
  <c r="U129" i="2"/>
  <c r="I37" i="20" s="1"/>
  <c r="S129" i="2"/>
  <c r="G37" i="20" s="1"/>
  <c r="R129" i="2"/>
  <c r="F37" i="20" s="1"/>
  <c r="Q129" i="2"/>
  <c r="E37" i="20" s="1"/>
  <c r="P129" i="2"/>
  <c r="D37" i="20" s="1"/>
  <c r="O129" i="2"/>
  <c r="C37" i="20" s="1"/>
  <c r="N129" i="2"/>
  <c r="B37" i="20" s="1"/>
  <c r="M129" i="2"/>
  <c r="A37" i="20" s="1"/>
  <c r="D129" i="2"/>
  <c r="D129" i="15" s="1"/>
  <c r="B129" i="2"/>
  <c r="B127" i="2"/>
  <c r="B127" i="15" s="1"/>
  <c r="B125" i="2"/>
  <c r="B125" i="15" s="1"/>
  <c r="AC124" i="2"/>
  <c r="AB124" i="2"/>
  <c r="AA124" i="2"/>
  <c r="Z124" i="2"/>
  <c r="N36" i="20" s="1"/>
  <c r="Y124" i="2"/>
  <c r="M36" i="20" s="1"/>
  <c r="X124" i="2"/>
  <c r="L36" i="20" s="1"/>
  <c r="W124" i="2"/>
  <c r="K36" i="20" s="1"/>
  <c r="V124" i="2"/>
  <c r="J36" i="20" s="1"/>
  <c r="U124" i="2"/>
  <c r="I36" i="20" s="1"/>
  <c r="S124" i="2"/>
  <c r="G36" i="20" s="1"/>
  <c r="R124" i="2"/>
  <c r="F36" i="20" s="1"/>
  <c r="Q124" i="2"/>
  <c r="E36" i="20" s="1"/>
  <c r="P124" i="2"/>
  <c r="D36" i="20" s="1"/>
  <c r="O124" i="2"/>
  <c r="C36" i="20" s="1"/>
  <c r="N124" i="2"/>
  <c r="B36" i="20" s="1"/>
  <c r="D124" i="2"/>
  <c r="D124" i="15" s="1"/>
  <c r="B124" i="2"/>
  <c r="B122" i="2"/>
  <c r="B122" i="15" s="1"/>
  <c r="AC121" i="2"/>
  <c r="AB121" i="2"/>
  <c r="AA121" i="2"/>
  <c r="Z121" i="2"/>
  <c r="N35" i="20" s="1"/>
  <c r="Y121" i="2"/>
  <c r="M35" i="20" s="1"/>
  <c r="X121" i="2"/>
  <c r="L35" i="20" s="1"/>
  <c r="W121" i="2"/>
  <c r="K35" i="20" s="1"/>
  <c r="V121" i="2"/>
  <c r="J35" i="20" s="1"/>
  <c r="U121" i="2"/>
  <c r="I35" i="20" s="1"/>
  <c r="S121" i="2"/>
  <c r="G35" i="20" s="1"/>
  <c r="R121" i="2"/>
  <c r="F35" i="20" s="1"/>
  <c r="Q121" i="2"/>
  <c r="E35" i="20" s="1"/>
  <c r="P121" i="2"/>
  <c r="D35" i="20" s="1"/>
  <c r="O121" i="2"/>
  <c r="C35" i="20" s="1"/>
  <c r="N121" i="2"/>
  <c r="B35" i="20" s="1"/>
  <c r="D121" i="2"/>
  <c r="T121" i="2" s="1"/>
  <c r="H35" i="20" s="1"/>
  <c r="B121" i="2"/>
  <c r="B119" i="2"/>
  <c r="B119" i="15" s="1"/>
  <c r="AC118" i="2"/>
  <c r="AB118" i="2"/>
  <c r="AA118" i="2"/>
  <c r="Z118" i="2"/>
  <c r="N34" i="20" s="1"/>
  <c r="Y118" i="2"/>
  <c r="M34" i="20" s="1"/>
  <c r="X118" i="2"/>
  <c r="L34" i="20" s="1"/>
  <c r="W118" i="2"/>
  <c r="K34" i="20" s="1"/>
  <c r="V118" i="2"/>
  <c r="J34" i="20" s="1"/>
  <c r="U118" i="2"/>
  <c r="I34" i="20" s="1"/>
  <c r="S118" i="2"/>
  <c r="G34" i="20" s="1"/>
  <c r="R118" i="2"/>
  <c r="F34" i="20" s="1"/>
  <c r="Q118" i="2"/>
  <c r="E34" i="20" s="1"/>
  <c r="P118" i="2"/>
  <c r="D34" i="20" s="1"/>
  <c r="O118" i="2"/>
  <c r="C34" i="20" s="1"/>
  <c r="N118" i="2"/>
  <c r="B34" i="20" s="1"/>
  <c r="M118" i="2"/>
  <c r="A34" i="20" s="1"/>
  <c r="D118" i="2"/>
  <c r="T118" i="2" s="1"/>
  <c r="H34" i="20" s="1"/>
  <c r="B118" i="2"/>
  <c r="B116" i="2"/>
  <c r="B116" i="15" s="1"/>
  <c r="AC115" i="2"/>
  <c r="AB115" i="2"/>
  <c r="AA115" i="2"/>
  <c r="Z115" i="2"/>
  <c r="N33" i="20" s="1"/>
  <c r="Y115" i="2"/>
  <c r="M33" i="20" s="1"/>
  <c r="X115" i="2"/>
  <c r="L33" i="20" s="1"/>
  <c r="W115" i="2"/>
  <c r="K33" i="20" s="1"/>
  <c r="V115" i="2"/>
  <c r="J33" i="20" s="1"/>
  <c r="U115" i="2"/>
  <c r="I33" i="20" s="1"/>
  <c r="S115" i="2"/>
  <c r="G33" i="20" s="1"/>
  <c r="R115" i="2"/>
  <c r="F33" i="20" s="1"/>
  <c r="Q115" i="2"/>
  <c r="E33" i="20" s="1"/>
  <c r="P115" i="2"/>
  <c r="D33" i="20" s="1"/>
  <c r="O115" i="2"/>
  <c r="C33" i="20" s="1"/>
  <c r="N115" i="2"/>
  <c r="B33" i="20" s="1"/>
  <c r="D115" i="2"/>
  <c r="D115" i="15" s="1"/>
  <c r="B115" i="2"/>
  <c r="B33" i="19" s="1"/>
  <c r="B113" i="2"/>
  <c r="B113" i="15" s="1"/>
  <c r="AC112" i="2"/>
  <c r="AB112" i="2"/>
  <c r="AA112" i="2"/>
  <c r="Z112" i="2"/>
  <c r="N32" i="20" s="1"/>
  <c r="Y112" i="2"/>
  <c r="M32" i="20" s="1"/>
  <c r="X112" i="2"/>
  <c r="L32" i="20" s="1"/>
  <c r="W112" i="2"/>
  <c r="K32" i="20" s="1"/>
  <c r="V112" i="2"/>
  <c r="J32" i="20" s="1"/>
  <c r="U112" i="2"/>
  <c r="I32" i="20" s="1"/>
  <c r="T112" i="2"/>
  <c r="H32" i="20" s="1"/>
  <c r="S112" i="2"/>
  <c r="G32" i="20" s="1"/>
  <c r="R112" i="2"/>
  <c r="F32" i="20" s="1"/>
  <c r="Q112" i="2"/>
  <c r="E32" i="20" s="1"/>
  <c r="P112" i="2"/>
  <c r="D32" i="20" s="1"/>
  <c r="O112" i="2"/>
  <c r="C32" i="20" s="1"/>
  <c r="N112" i="2"/>
  <c r="B32" i="20" s="1"/>
  <c r="D112" i="2"/>
  <c r="D112" i="15" s="1"/>
  <c r="B112" i="2"/>
  <c r="B110" i="2"/>
  <c r="B110" i="15" s="1"/>
  <c r="B108" i="2"/>
  <c r="B108" i="15" s="1"/>
  <c r="AC107" i="2"/>
  <c r="AB107" i="2"/>
  <c r="AA107" i="2"/>
  <c r="Z107" i="2"/>
  <c r="N31" i="20" s="1"/>
  <c r="Y107" i="2"/>
  <c r="M31" i="20" s="1"/>
  <c r="X107" i="2"/>
  <c r="L31" i="20" s="1"/>
  <c r="W107" i="2"/>
  <c r="K31" i="20" s="1"/>
  <c r="V107" i="2"/>
  <c r="J31" i="20" s="1"/>
  <c r="U107" i="2"/>
  <c r="I31" i="20" s="1"/>
  <c r="S107" i="2"/>
  <c r="G31" i="20" s="1"/>
  <c r="R107" i="2"/>
  <c r="F31" i="20" s="1"/>
  <c r="Q107" i="2"/>
  <c r="E31" i="20" s="1"/>
  <c r="P107" i="2"/>
  <c r="D31" i="20" s="1"/>
  <c r="O107" i="2"/>
  <c r="C31" i="20" s="1"/>
  <c r="N107" i="2"/>
  <c r="B31" i="20" s="1"/>
  <c r="M107" i="2"/>
  <c r="A31" i="20" s="1"/>
  <c r="D107" i="2"/>
  <c r="D107" i="15" s="1"/>
  <c r="B107" i="2"/>
  <c r="B105" i="2"/>
  <c r="B105" i="15" s="1"/>
  <c r="AC104" i="2"/>
  <c r="AB104" i="2"/>
  <c r="AA104" i="2"/>
  <c r="Z104" i="2"/>
  <c r="N30" i="20" s="1"/>
  <c r="Y104" i="2"/>
  <c r="M30" i="20" s="1"/>
  <c r="X104" i="2"/>
  <c r="L30" i="20" s="1"/>
  <c r="W104" i="2"/>
  <c r="K30" i="20" s="1"/>
  <c r="V104" i="2"/>
  <c r="J30" i="20" s="1"/>
  <c r="U104" i="2"/>
  <c r="I30" i="20" s="1"/>
  <c r="S104" i="2"/>
  <c r="G30" i="20" s="1"/>
  <c r="R104" i="2"/>
  <c r="F30" i="20" s="1"/>
  <c r="Q104" i="2"/>
  <c r="E30" i="20" s="1"/>
  <c r="P104" i="2"/>
  <c r="D30" i="20" s="1"/>
  <c r="O104" i="2"/>
  <c r="C30" i="20" s="1"/>
  <c r="N104" i="2"/>
  <c r="B30" i="20" s="1"/>
  <c r="M104" i="2"/>
  <c r="A30" i="20" s="1"/>
  <c r="D104" i="2"/>
  <c r="D104" i="15" s="1"/>
  <c r="B104" i="2"/>
  <c r="B30" i="19" s="1"/>
  <c r="B102" i="2"/>
  <c r="B102" i="15" s="1"/>
  <c r="AC101" i="2"/>
  <c r="AB101" i="2"/>
  <c r="AA101" i="2"/>
  <c r="Z101" i="2"/>
  <c r="N29" i="20" s="1"/>
  <c r="Y101" i="2"/>
  <c r="M29" i="20" s="1"/>
  <c r="X101" i="2"/>
  <c r="L29" i="20" s="1"/>
  <c r="W101" i="2"/>
  <c r="K29" i="20" s="1"/>
  <c r="V101" i="2"/>
  <c r="J29" i="20" s="1"/>
  <c r="U101" i="2"/>
  <c r="S101" i="2"/>
  <c r="G29" i="20" s="1"/>
  <c r="R101" i="2"/>
  <c r="F29" i="20" s="1"/>
  <c r="Q101" i="2"/>
  <c r="E29" i="20" s="1"/>
  <c r="P101" i="2"/>
  <c r="D29" i="20" s="1"/>
  <c r="O101" i="2"/>
  <c r="C29" i="20" s="1"/>
  <c r="N101" i="2"/>
  <c r="B29" i="20" s="1"/>
  <c r="D101" i="2"/>
  <c r="B101" i="2"/>
  <c r="B99" i="2"/>
  <c r="B99" i="15" s="1"/>
  <c r="AC98" i="2"/>
  <c r="AB98" i="2"/>
  <c r="AA98" i="2"/>
  <c r="Z98" i="2"/>
  <c r="N28" i="20" s="1"/>
  <c r="Y98" i="2"/>
  <c r="M28" i="20" s="1"/>
  <c r="X98" i="2"/>
  <c r="L28" i="20" s="1"/>
  <c r="W98" i="2"/>
  <c r="K28" i="20" s="1"/>
  <c r="V98" i="2"/>
  <c r="J28" i="20" s="1"/>
  <c r="U98" i="2"/>
  <c r="I28" i="20" s="1"/>
  <c r="S98" i="2"/>
  <c r="G28" i="20" s="1"/>
  <c r="R98" i="2"/>
  <c r="F28" i="20" s="1"/>
  <c r="Q98" i="2"/>
  <c r="E28" i="20" s="1"/>
  <c r="P98" i="2"/>
  <c r="D28" i="20" s="1"/>
  <c r="O98" i="2"/>
  <c r="C28" i="20" s="1"/>
  <c r="N98" i="2"/>
  <c r="B28" i="20" s="1"/>
  <c r="D98" i="2"/>
  <c r="D98" i="15" s="1"/>
  <c r="B98" i="2"/>
  <c r="B96" i="2"/>
  <c r="B96" i="15" s="1"/>
  <c r="AC95" i="2"/>
  <c r="AB95" i="2"/>
  <c r="AA95" i="2"/>
  <c r="Z95" i="2"/>
  <c r="N27" i="20" s="1"/>
  <c r="Y95" i="2"/>
  <c r="M27" i="20" s="1"/>
  <c r="X95" i="2"/>
  <c r="L27" i="20" s="1"/>
  <c r="W95" i="2"/>
  <c r="K27" i="20" s="1"/>
  <c r="V95" i="2"/>
  <c r="J27" i="20" s="1"/>
  <c r="U95" i="2"/>
  <c r="I27" i="20" s="1"/>
  <c r="S95" i="2"/>
  <c r="G27" i="20" s="1"/>
  <c r="R95" i="2"/>
  <c r="F27" i="20" s="1"/>
  <c r="Q95" i="2"/>
  <c r="E27" i="20" s="1"/>
  <c r="P95" i="2"/>
  <c r="D27" i="20" s="1"/>
  <c r="O95" i="2"/>
  <c r="C27" i="20" s="1"/>
  <c r="N95" i="2"/>
  <c r="B27" i="20" s="1"/>
  <c r="M95" i="2"/>
  <c r="A27" i="20" s="1"/>
  <c r="D95" i="2"/>
  <c r="D95" i="15" s="1"/>
  <c r="B95" i="2"/>
  <c r="B93" i="2"/>
  <c r="B93" i="15" s="1"/>
  <c r="B91" i="2"/>
  <c r="B91" i="15" s="1"/>
  <c r="AC90" i="2"/>
  <c r="AB90" i="2"/>
  <c r="AA90" i="2"/>
  <c r="Z90" i="2"/>
  <c r="N26" i="20" s="1"/>
  <c r="Y90" i="2"/>
  <c r="M26" i="20" s="1"/>
  <c r="X90" i="2"/>
  <c r="L26" i="20" s="1"/>
  <c r="W90" i="2"/>
  <c r="K26" i="20" s="1"/>
  <c r="V90" i="2"/>
  <c r="J26" i="20" s="1"/>
  <c r="U90" i="2"/>
  <c r="I26" i="20" s="1"/>
  <c r="S90" i="2"/>
  <c r="G26" i="20" s="1"/>
  <c r="R90" i="2"/>
  <c r="F26" i="20" s="1"/>
  <c r="Q90" i="2"/>
  <c r="E26" i="20" s="1"/>
  <c r="P90" i="2"/>
  <c r="D26" i="20" s="1"/>
  <c r="O90" i="2"/>
  <c r="C26" i="20" s="1"/>
  <c r="N90" i="2"/>
  <c r="B26" i="20" s="1"/>
  <c r="D90" i="2"/>
  <c r="B90" i="2"/>
  <c r="B88" i="2"/>
  <c r="B88" i="15" s="1"/>
  <c r="AC87" i="2"/>
  <c r="AB87" i="2"/>
  <c r="AA87" i="2"/>
  <c r="Z87" i="2"/>
  <c r="N25" i="20" s="1"/>
  <c r="Y87" i="2"/>
  <c r="M25" i="20" s="1"/>
  <c r="X87" i="2"/>
  <c r="L25" i="20" s="1"/>
  <c r="W87" i="2"/>
  <c r="K25" i="20" s="1"/>
  <c r="V87" i="2"/>
  <c r="J25" i="20" s="1"/>
  <c r="U87" i="2"/>
  <c r="I25" i="20" s="1"/>
  <c r="S87" i="2"/>
  <c r="G25" i="20" s="1"/>
  <c r="R87" i="2"/>
  <c r="F25" i="20" s="1"/>
  <c r="Q87" i="2"/>
  <c r="E25" i="20" s="1"/>
  <c r="P87" i="2"/>
  <c r="D25" i="20" s="1"/>
  <c r="O87" i="2"/>
  <c r="C25" i="20" s="1"/>
  <c r="N87" i="2"/>
  <c r="B25" i="20" s="1"/>
  <c r="D87" i="2"/>
  <c r="D87" i="15" s="1"/>
  <c r="B87" i="2"/>
  <c r="B85" i="2"/>
  <c r="B85" i="15" s="1"/>
  <c r="AC84" i="2"/>
  <c r="AB84" i="2"/>
  <c r="AA84" i="2"/>
  <c r="Z84" i="2"/>
  <c r="N24" i="20" s="1"/>
  <c r="Y84" i="2"/>
  <c r="M24" i="20" s="1"/>
  <c r="X84" i="2"/>
  <c r="L24" i="20" s="1"/>
  <c r="W84" i="2"/>
  <c r="K24" i="20" s="1"/>
  <c r="V84" i="2"/>
  <c r="J24" i="20" s="1"/>
  <c r="U84" i="2"/>
  <c r="I24" i="20" s="1"/>
  <c r="S84" i="2"/>
  <c r="G24" i="20" s="1"/>
  <c r="R84" i="2"/>
  <c r="F24" i="20" s="1"/>
  <c r="Q84" i="2"/>
  <c r="E24" i="20" s="1"/>
  <c r="P84" i="2"/>
  <c r="D24" i="20" s="1"/>
  <c r="O84" i="2"/>
  <c r="C24" i="20" s="1"/>
  <c r="N84" i="2"/>
  <c r="B24" i="20" s="1"/>
  <c r="D84" i="2"/>
  <c r="T84" i="2" s="1"/>
  <c r="H24" i="20" s="1"/>
  <c r="B84" i="2"/>
  <c r="B82" i="2"/>
  <c r="B82" i="15" s="1"/>
  <c r="AC81" i="2"/>
  <c r="AB81" i="2"/>
  <c r="AA81" i="2"/>
  <c r="Z81" i="2"/>
  <c r="N23" i="20" s="1"/>
  <c r="Y81" i="2"/>
  <c r="M23" i="20" s="1"/>
  <c r="X81" i="2"/>
  <c r="L23" i="20" s="1"/>
  <c r="W81" i="2"/>
  <c r="K23" i="20" s="1"/>
  <c r="V81" i="2"/>
  <c r="J23" i="20" s="1"/>
  <c r="U81" i="2"/>
  <c r="I23" i="20" s="1"/>
  <c r="S81" i="2"/>
  <c r="G23" i="20" s="1"/>
  <c r="R81" i="2"/>
  <c r="F23" i="20" s="1"/>
  <c r="Q81" i="2"/>
  <c r="E23" i="20" s="1"/>
  <c r="P81" i="2"/>
  <c r="D23" i="20" s="1"/>
  <c r="O81" i="2"/>
  <c r="C23" i="20" s="1"/>
  <c r="N81" i="2"/>
  <c r="B23" i="20" s="1"/>
  <c r="D81" i="2"/>
  <c r="D81" i="15" s="1"/>
  <c r="B81" i="2"/>
  <c r="B79" i="2"/>
  <c r="B79" i="15" s="1"/>
  <c r="AC78" i="2"/>
  <c r="AB78" i="2"/>
  <c r="AA78" i="2"/>
  <c r="Z78" i="2"/>
  <c r="N22" i="20" s="1"/>
  <c r="Y78" i="2"/>
  <c r="M22" i="20" s="1"/>
  <c r="X78" i="2"/>
  <c r="L22" i="20" s="1"/>
  <c r="W78" i="2"/>
  <c r="K22" i="20" s="1"/>
  <c r="V78" i="2"/>
  <c r="J22" i="20" s="1"/>
  <c r="U78" i="2"/>
  <c r="I22" i="20" s="1"/>
  <c r="S78" i="2"/>
  <c r="G22" i="20" s="1"/>
  <c r="R78" i="2"/>
  <c r="F22" i="20" s="1"/>
  <c r="Q78" i="2"/>
  <c r="E22" i="20" s="1"/>
  <c r="P78" i="2"/>
  <c r="D22" i="20" s="1"/>
  <c r="O78" i="2"/>
  <c r="C22" i="20" s="1"/>
  <c r="N78" i="2"/>
  <c r="B22" i="20" s="1"/>
  <c r="M78" i="2"/>
  <c r="A22" i="20" s="1"/>
  <c r="D78" i="2"/>
  <c r="D78" i="15" s="1"/>
  <c r="B78" i="2"/>
  <c r="B76" i="2"/>
  <c r="B76" i="15" s="1"/>
  <c r="B74" i="2"/>
  <c r="B74" i="15" s="1"/>
  <c r="AC73" i="2"/>
  <c r="AB73" i="2"/>
  <c r="AA73" i="2"/>
  <c r="Z73" i="2"/>
  <c r="N21" i="20" s="1"/>
  <c r="Y73" i="2"/>
  <c r="M21" i="20" s="1"/>
  <c r="X73" i="2"/>
  <c r="L21" i="20" s="1"/>
  <c r="W73" i="2"/>
  <c r="K21" i="20" s="1"/>
  <c r="V73" i="2"/>
  <c r="J21" i="20" s="1"/>
  <c r="U73" i="2"/>
  <c r="I21" i="20" s="1"/>
  <c r="T73" i="2"/>
  <c r="H21" i="20" s="1"/>
  <c r="S73" i="2"/>
  <c r="G21" i="20" s="1"/>
  <c r="R73" i="2"/>
  <c r="F21" i="20" s="1"/>
  <c r="Q73" i="2"/>
  <c r="E21" i="20" s="1"/>
  <c r="P73" i="2"/>
  <c r="D21" i="20" s="1"/>
  <c r="O73" i="2"/>
  <c r="C21" i="20" s="1"/>
  <c r="N73" i="2"/>
  <c r="B21" i="20" s="1"/>
  <c r="D73" i="2"/>
  <c r="D73" i="15" s="1"/>
  <c r="B73" i="2"/>
  <c r="B71" i="2"/>
  <c r="B71" i="15" s="1"/>
  <c r="AC70" i="2"/>
  <c r="AB70" i="2"/>
  <c r="AA70" i="2"/>
  <c r="Z70" i="2"/>
  <c r="N20" i="20" s="1"/>
  <c r="Y70" i="2"/>
  <c r="M20" i="20" s="1"/>
  <c r="X70" i="2"/>
  <c r="L20" i="20" s="1"/>
  <c r="W70" i="2"/>
  <c r="K20" i="20" s="1"/>
  <c r="V70" i="2"/>
  <c r="J20" i="20" s="1"/>
  <c r="U70" i="2"/>
  <c r="I20" i="20" s="1"/>
  <c r="S70" i="2"/>
  <c r="G20" i="20" s="1"/>
  <c r="R70" i="2"/>
  <c r="F20" i="20" s="1"/>
  <c r="Q70" i="2"/>
  <c r="E20" i="20" s="1"/>
  <c r="P70" i="2"/>
  <c r="D20" i="20" s="1"/>
  <c r="O70" i="2"/>
  <c r="C20" i="20" s="1"/>
  <c r="N70" i="2"/>
  <c r="B20" i="20" s="1"/>
  <c r="D70" i="2"/>
  <c r="D70" i="15" s="1"/>
  <c r="B70" i="2"/>
  <c r="B68" i="2"/>
  <c r="B68" i="15" s="1"/>
  <c r="AC67" i="2"/>
  <c r="AB67" i="2"/>
  <c r="AA67" i="2"/>
  <c r="Z67" i="2"/>
  <c r="N19" i="20" s="1"/>
  <c r="Y67" i="2"/>
  <c r="M19" i="20" s="1"/>
  <c r="X67" i="2"/>
  <c r="L19" i="20" s="1"/>
  <c r="W67" i="2"/>
  <c r="K19" i="20" s="1"/>
  <c r="V67" i="2"/>
  <c r="J19" i="20" s="1"/>
  <c r="U67" i="2"/>
  <c r="I19" i="20" s="1"/>
  <c r="S67" i="2"/>
  <c r="G19" i="20" s="1"/>
  <c r="R67" i="2"/>
  <c r="F19" i="20" s="1"/>
  <c r="Q67" i="2"/>
  <c r="E19" i="20" s="1"/>
  <c r="P67" i="2"/>
  <c r="D19" i="20" s="1"/>
  <c r="O67" i="2"/>
  <c r="C19" i="20" s="1"/>
  <c r="N67" i="2"/>
  <c r="B19" i="20" s="1"/>
  <c r="M67" i="2"/>
  <c r="A19" i="20" s="1"/>
  <c r="D67" i="2"/>
  <c r="D67" i="15" s="1"/>
  <c r="B67" i="2"/>
  <c r="B65" i="2"/>
  <c r="B65" i="15" s="1"/>
  <c r="AC64" i="2"/>
  <c r="AB64" i="2"/>
  <c r="AA64" i="2"/>
  <c r="Z64" i="2"/>
  <c r="N18" i="20" s="1"/>
  <c r="Y64" i="2"/>
  <c r="M18" i="20" s="1"/>
  <c r="X64" i="2"/>
  <c r="L18" i="20" s="1"/>
  <c r="W64" i="2"/>
  <c r="K18" i="20" s="1"/>
  <c r="V64" i="2"/>
  <c r="J18" i="20" s="1"/>
  <c r="U64" i="2"/>
  <c r="I18" i="20" s="1"/>
  <c r="S64" i="2"/>
  <c r="G18" i="20" s="1"/>
  <c r="R64" i="2"/>
  <c r="F18" i="20" s="1"/>
  <c r="Q64" i="2"/>
  <c r="E18" i="20" s="1"/>
  <c r="P64" i="2"/>
  <c r="D18" i="20" s="1"/>
  <c r="O64" i="2"/>
  <c r="C18" i="20" s="1"/>
  <c r="N64" i="2"/>
  <c r="B18" i="20" s="1"/>
  <c r="M64" i="2"/>
  <c r="A18" i="20" s="1"/>
  <c r="D64" i="2"/>
  <c r="D64" i="15" s="1"/>
  <c r="B64" i="2"/>
  <c r="B18" i="19" s="1"/>
  <c r="B62" i="2"/>
  <c r="B62" i="15" s="1"/>
  <c r="AC61" i="2"/>
  <c r="AB61" i="2"/>
  <c r="AA61" i="2"/>
  <c r="Z61" i="2"/>
  <c r="N17" i="20" s="1"/>
  <c r="Y61" i="2"/>
  <c r="M17" i="20" s="1"/>
  <c r="X61" i="2"/>
  <c r="L17" i="20" s="1"/>
  <c r="W61" i="2"/>
  <c r="K17" i="20" s="1"/>
  <c r="V61" i="2"/>
  <c r="J17" i="20" s="1"/>
  <c r="U61" i="2"/>
  <c r="I17" i="20" s="1"/>
  <c r="S61" i="2"/>
  <c r="G17" i="20" s="1"/>
  <c r="R61" i="2"/>
  <c r="F17" i="20" s="1"/>
  <c r="Q61" i="2"/>
  <c r="E17" i="20" s="1"/>
  <c r="P61" i="2"/>
  <c r="D17" i="20" s="1"/>
  <c r="O61" i="2"/>
  <c r="C17" i="20" s="1"/>
  <c r="N61" i="2"/>
  <c r="B17" i="20" s="1"/>
  <c r="M61" i="2"/>
  <c r="A17" i="20" s="1"/>
  <c r="D61" i="2"/>
  <c r="D61" i="15" s="1"/>
  <c r="B61" i="2"/>
  <c r="B59" i="2"/>
  <c r="B59" i="15" s="1"/>
  <c r="B57" i="2"/>
  <c r="B57" i="15" s="1"/>
  <c r="AC56" i="2"/>
  <c r="AB56" i="2"/>
  <c r="AA56" i="2"/>
  <c r="Z56" i="2"/>
  <c r="N16" i="20" s="1"/>
  <c r="Y56" i="2"/>
  <c r="M16" i="20" s="1"/>
  <c r="X56" i="2"/>
  <c r="L16" i="20" s="1"/>
  <c r="W56" i="2"/>
  <c r="K16" i="20" s="1"/>
  <c r="V56" i="2"/>
  <c r="J16" i="20" s="1"/>
  <c r="U56" i="2"/>
  <c r="I16" i="20" s="1"/>
  <c r="S56" i="2"/>
  <c r="G16" i="20" s="1"/>
  <c r="R56" i="2"/>
  <c r="F16" i="20" s="1"/>
  <c r="Q56" i="2"/>
  <c r="P56" i="2"/>
  <c r="D16" i="20" s="1"/>
  <c r="O56" i="2"/>
  <c r="C16" i="20" s="1"/>
  <c r="N56" i="2"/>
  <c r="B16" i="20" s="1"/>
  <c r="D56" i="2"/>
  <c r="T56" i="2" s="1"/>
  <c r="H16" i="20" s="1"/>
  <c r="B56" i="2"/>
  <c r="B54" i="2"/>
  <c r="B54" i="15" s="1"/>
  <c r="AC53" i="2"/>
  <c r="AB53" i="2"/>
  <c r="AA53" i="2"/>
  <c r="Z53" i="2"/>
  <c r="N15" i="20" s="1"/>
  <c r="Y53" i="2"/>
  <c r="M15" i="20" s="1"/>
  <c r="X53" i="2"/>
  <c r="L15" i="20" s="1"/>
  <c r="W53" i="2"/>
  <c r="K15" i="20" s="1"/>
  <c r="V53" i="2"/>
  <c r="J15" i="20" s="1"/>
  <c r="U53" i="2"/>
  <c r="I15" i="20" s="1"/>
  <c r="S53" i="2"/>
  <c r="G15" i="20" s="1"/>
  <c r="R53" i="2"/>
  <c r="F15" i="20" s="1"/>
  <c r="Q53" i="2"/>
  <c r="E15" i="20" s="1"/>
  <c r="P53" i="2"/>
  <c r="D15" i="20" s="1"/>
  <c r="O53" i="2"/>
  <c r="C15" i="20" s="1"/>
  <c r="N53" i="2"/>
  <c r="B15" i="20" s="1"/>
  <c r="M53" i="2"/>
  <c r="A15" i="20" s="1"/>
  <c r="D53" i="2"/>
  <c r="D53" i="15" s="1"/>
  <c r="B53" i="2"/>
  <c r="B51" i="2"/>
  <c r="B51" i="15" s="1"/>
  <c r="AC50" i="2"/>
  <c r="AB50" i="2"/>
  <c r="AA50" i="2"/>
  <c r="Z50" i="2"/>
  <c r="N14" i="20" s="1"/>
  <c r="Y50" i="2"/>
  <c r="M14" i="20" s="1"/>
  <c r="X50" i="2"/>
  <c r="L14" i="20" s="1"/>
  <c r="W50" i="2"/>
  <c r="K14" i="20" s="1"/>
  <c r="V50" i="2"/>
  <c r="J14" i="20" s="1"/>
  <c r="U50" i="2"/>
  <c r="I14" i="20" s="1"/>
  <c r="S50" i="2"/>
  <c r="G14" i="20" s="1"/>
  <c r="R50" i="2"/>
  <c r="F14" i="20" s="1"/>
  <c r="Q50" i="2"/>
  <c r="E14" i="20" s="1"/>
  <c r="P50" i="2"/>
  <c r="D14" i="20" s="1"/>
  <c r="O50" i="2"/>
  <c r="C14" i="20" s="1"/>
  <c r="N50" i="2"/>
  <c r="B14" i="20" s="1"/>
  <c r="M50" i="2"/>
  <c r="A14" i="20" s="1"/>
  <c r="D50" i="2"/>
  <c r="T50" i="2" s="1"/>
  <c r="H14" i="20" s="1"/>
  <c r="B50" i="2"/>
  <c r="B48" i="2"/>
  <c r="B48" i="15" s="1"/>
  <c r="AC47" i="2"/>
  <c r="AB47" i="2"/>
  <c r="AA47" i="2"/>
  <c r="Z47" i="2"/>
  <c r="N13" i="20" s="1"/>
  <c r="Y47" i="2"/>
  <c r="M13" i="20" s="1"/>
  <c r="X47" i="2"/>
  <c r="L13" i="20" s="1"/>
  <c r="W47" i="2"/>
  <c r="K13" i="20" s="1"/>
  <c r="V47" i="2"/>
  <c r="J13" i="20" s="1"/>
  <c r="U47" i="2"/>
  <c r="I13" i="20" s="1"/>
  <c r="T47" i="2"/>
  <c r="H13" i="20" s="1"/>
  <c r="S47" i="2"/>
  <c r="G13" i="20" s="1"/>
  <c r="R47" i="2"/>
  <c r="F13" i="20" s="1"/>
  <c r="Q47" i="2"/>
  <c r="E13" i="20" s="1"/>
  <c r="P47" i="2"/>
  <c r="D13" i="20" s="1"/>
  <c r="O47" i="2"/>
  <c r="C13" i="20" s="1"/>
  <c r="N47" i="2"/>
  <c r="B13" i="20" s="1"/>
  <c r="D47" i="2"/>
  <c r="D47" i="15" s="1"/>
  <c r="B47" i="2"/>
  <c r="B45" i="2"/>
  <c r="B45" i="15" s="1"/>
  <c r="AC44" i="2"/>
  <c r="AB44" i="2"/>
  <c r="AA44" i="2"/>
  <c r="Z44" i="2"/>
  <c r="N12" i="20" s="1"/>
  <c r="Y44" i="2"/>
  <c r="M12" i="20" s="1"/>
  <c r="X44" i="2"/>
  <c r="L12" i="20" s="1"/>
  <c r="W44" i="2"/>
  <c r="K12" i="20" s="1"/>
  <c r="V44" i="2"/>
  <c r="J12" i="20" s="1"/>
  <c r="U44" i="2"/>
  <c r="I12" i="20" s="1"/>
  <c r="T44" i="2"/>
  <c r="H12" i="20" s="1"/>
  <c r="S44" i="2"/>
  <c r="G12" i="20" s="1"/>
  <c r="R44" i="2"/>
  <c r="F12" i="20" s="1"/>
  <c r="Q44" i="2"/>
  <c r="E12" i="20" s="1"/>
  <c r="P44" i="2"/>
  <c r="D12" i="20" s="1"/>
  <c r="O44" i="2"/>
  <c r="C12" i="20" s="1"/>
  <c r="N44" i="2"/>
  <c r="B12" i="20" s="1"/>
  <c r="D44" i="2"/>
  <c r="D44" i="15" s="1"/>
  <c r="B44" i="2"/>
  <c r="B44" i="15" s="1"/>
  <c r="B42" i="2"/>
  <c r="B42" i="15" s="1"/>
  <c r="B40" i="2"/>
  <c r="B40" i="15" s="1"/>
  <c r="AC39" i="2"/>
  <c r="AB39" i="2"/>
  <c r="AA39" i="2"/>
  <c r="Z39" i="2"/>
  <c r="N11" i="20" s="1"/>
  <c r="Y39" i="2"/>
  <c r="M11" i="20" s="1"/>
  <c r="X39" i="2"/>
  <c r="L11" i="20" s="1"/>
  <c r="W39" i="2"/>
  <c r="K11" i="20" s="1"/>
  <c r="V39" i="2"/>
  <c r="J11" i="20" s="1"/>
  <c r="U39" i="2"/>
  <c r="I11" i="20" s="1"/>
  <c r="S39" i="2"/>
  <c r="G11" i="20" s="1"/>
  <c r="R39" i="2"/>
  <c r="F11" i="20" s="1"/>
  <c r="Q39" i="2"/>
  <c r="E11" i="20" s="1"/>
  <c r="P39" i="2"/>
  <c r="D11" i="20" s="1"/>
  <c r="O39" i="2"/>
  <c r="C11" i="20" s="1"/>
  <c r="N39" i="2"/>
  <c r="B11" i="20" s="1"/>
  <c r="M39" i="2"/>
  <c r="A11" i="20" s="1"/>
  <c r="D39" i="2"/>
  <c r="D39" i="15" s="1"/>
  <c r="B39" i="2"/>
  <c r="B37" i="2"/>
  <c r="B37" i="15" s="1"/>
  <c r="AC36" i="2"/>
  <c r="AB36" i="2"/>
  <c r="AA36" i="2"/>
  <c r="Z36" i="2"/>
  <c r="N10" i="20" s="1"/>
  <c r="Y36" i="2"/>
  <c r="M10" i="20" s="1"/>
  <c r="X36" i="2"/>
  <c r="L10" i="20" s="1"/>
  <c r="W36" i="2"/>
  <c r="K10" i="20" s="1"/>
  <c r="V36" i="2"/>
  <c r="J10" i="20" s="1"/>
  <c r="U36" i="2"/>
  <c r="I10" i="20" s="1"/>
  <c r="S36" i="2"/>
  <c r="G10" i="20" s="1"/>
  <c r="R36" i="2"/>
  <c r="F10" i="20" s="1"/>
  <c r="Q36" i="2"/>
  <c r="E10" i="20" s="1"/>
  <c r="P36" i="2"/>
  <c r="D10" i="20" s="1"/>
  <c r="O36" i="2"/>
  <c r="C10" i="20" s="1"/>
  <c r="N36" i="2"/>
  <c r="B10" i="20" s="1"/>
  <c r="D36" i="2"/>
  <c r="D36" i="15" s="1"/>
  <c r="B36" i="2"/>
  <c r="B34" i="2"/>
  <c r="AC33" i="2"/>
  <c r="AB33" i="2"/>
  <c r="AA33" i="2"/>
  <c r="Z33" i="2"/>
  <c r="N9" i="20" s="1"/>
  <c r="Y33" i="2"/>
  <c r="M9" i="20" s="1"/>
  <c r="X33" i="2"/>
  <c r="L9" i="20" s="1"/>
  <c r="W33" i="2"/>
  <c r="K9" i="20" s="1"/>
  <c r="V33" i="2"/>
  <c r="J9" i="20" s="1"/>
  <c r="U33" i="2"/>
  <c r="I9" i="20" s="1"/>
  <c r="T33" i="2"/>
  <c r="H9" i="20" s="1"/>
  <c r="S33" i="2"/>
  <c r="G9" i="20" s="1"/>
  <c r="R33" i="2"/>
  <c r="F9" i="20" s="1"/>
  <c r="Q33" i="2"/>
  <c r="E9" i="20" s="1"/>
  <c r="P33" i="2"/>
  <c r="D9" i="20" s="1"/>
  <c r="O33" i="2"/>
  <c r="C9" i="20" s="1"/>
  <c r="N33" i="2"/>
  <c r="B9" i="20" s="1"/>
  <c r="D33" i="2"/>
  <c r="D33" i="15" s="1"/>
  <c r="B33" i="2"/>
  <c r="B31" i="2"/>
  <c r="B31" i="15" s="1"/>
  <c r="AC30" i="2"/>
  <c r="AB30" i="2"/>
  <c r="AA30" i="2"/>
  <c r="Z30" i="2"/>
  <c r="N8" i="20" s="1"/>
  <c r="Y30" i="2"/>
  <c r="M8" i="20" s="1"/>
  <c r="X30" i="2"/>
  <c r="L8" i="20" s="1"/>
  <c r="W30" i="2"/>
  <c r="K8" i="20" s="1"/>
  <c r="V30" i="2"/>
  <c r="J8" i="20" s="1"/>
  <c r="U30" i="2"/>
  <c r="I8" i="20" s="1"/>
  <c r="T30" i="2"/>
  <c r="H8" i="20" s="1"/>
  <c r="S30" i="2"/>
  <c r="G8" i="20" s="1"/>
  <c r="R30" i="2"/>
  <c r="F8" i="20" s="1"/>
  <c r="Q30" i="2"/>
  <c r="E8" i="20" s="1"/>
  <c r="P30" i="2"/>
  <c r="D8" i="20" s="1"/>
  <c r="O30" i="2"/>
  <c r="C8" i="20" s="1"/>
  <c r="N30" i="2"/>
  <c r="B8" i="20" s="1"/>
  <c r="D30" i="2"/>
  <c r="D30" i="15" s="1"/>
  <c r="B30" i="2"/>
  <c r="B8" i="19" s="1"/>
  <c r="B28" i="2"/>
  <c r="B28" i="15" s="1"/>
  <c r="AC27" i="2"/>
  <c r="AB27" i="2"/>
  <c r="AA27" i="2"/>
  <c r="Z27" i="2"/>
  <c r="N7" i="20" s="1"/>
  <c r="Y27" i="2"/>
  <c r="M7" i="20" s="1"/>
  <c r="X27" i="2"/>
  <c r="L7" i="20" s="1"/>
  <c r="W27" i="2"/>
  <c r="K7" i="20" s="1"/>
  <c r="V27" i="2"/>
  <c r="J7" i="20" s="1"/>
  <c r="U27" i="2"/>
  <c r="I7" i="20" s="1"/>
  <c r="S27" i="2"/>
  <c r="G7" i="20" s="1"/>
  <c r="R27" i="2"/>
  <c r="F7" i="20" s="1"/>
  <c r="Q27" i="2"/>
  <c r="E7" i="20" s="1"/>
  <c r="P27" i="2"/>
  <c r="D7" i="20" s="1"/>
  <c r="O27" i="2"/>
  <c r="C7" i="20" s="1"/>
  <c r="N27" i="2"/>
  <c r="B7" i="20" s="1"/>
  <c r="D27" i="2"/>
  <c r="D27" i="15" s="1"/>
  <c r="B27" i="2"/>
  <c r="B25" i="2"/>
  <c r="B23" i="2"/>
  <c r="B23" i="15" s="1"/>
  <c r="AC22" i="2"/>
  <c r="AB22" i="2"/>
  <c r="AA22" i="2"/>
  <c r="Z22" i="2"/>
  <c r="N6" i="20" s="1"/>
  <c r="Y22" i="2"/>
  <c r="M6" i="20" s="1"/>
  <c r="X22" i="2"/>
  <c r="L6" i="20" s="1"/>
  <c r="W22" i="2"/>
  <c r="K6" i="20" s="1"/>
  <c r="V22" i="2"/>
  <c r="J6" i="20" s="1"/>
  <c r="U22" i="2"/>
  <c r="I6" i="20" s="1"/>
  <c r="T22" i="2"/>
  <c r="H6" i="20" s="1"/>
  <c r="S22" i="2"/>
  <c r="G6" i="20" s="1"/>
  <c r="R22" i="2"/>
  <c r="F6" i="20" s="1"/>
  <c r="Q22" i="2"/>
  <c r="E6" i="20" s="1"/>
  <c r="P22" i="2"/>
  <c r="D6" i="20" s="1"/>
  <c r="O22" i="2"/>
  <c r="C6" i="20" s="1"/>
  <c r="N22" i="2"/>
  <c r="B6" i="20" s="1"/>
  <c r="D22" i="2"/>
  <c r="B22" i="2"/>
  <c r="B20" i="2"/>
  <c r="B20" i="15" s="1"/>
  <c r="AC19" i="2"/>
  <c r="AB19" i="2"/>
  <c r="AA19" i="2"/>
  <c r="Z19" i="2"/>
  <c r="N5" i="20" s="1"/>
  <c r="Y19" i="2"/>
  <c r="M5" i="20" s="1"/>
  <c r="X19" i="2"/>
  <c r="L5" i="20" s="1"/>
  <c r="W19" i="2"/>
  <c r="K5" i="20" s="1"/>
  <c r="V19" i="2"/>
  <c r="J5" i="20" s="1"/>
  <c r="U19" i="2"/>
  <c r="I5" i="20" s="1"/>
  <c r="S19" i="2"/>
  <c r="G5" i="20" s="1"/>
  <c r="R19" i="2"/>
  <c r="F5" i="20" s="1"/>
  <c r="Q19" i="2"/>
  <c r="E5" i="20" s="1"/>
  <c r="P19" i="2"/>
  <c r="D5" i="20" s="1"/>
  <c r="O19" i="2"/>
  <c r="C5" i="20" s="1"/>
  <c r="N19" i="2"/>
  <c r="B5" i="20" s="1"/>
  <c r="M19" i="2"/>
  <c r="A5" i="20" s="1"/>
  <c r="D19" i="2"/>
  <c r="D19" i="15" s="1"/>
  <c r="B19" i="2"/>
  <c r="B5" i="19" s="1"/>
  <c r="B17" i="2"/>
  <c r="B17" i="15" s="1"/>
  <c r="AC16" i="2"/>
  <c r="AB16" i="2"/>
  <c r="AA16" i="2"/>
  <c r="Z16" i="2"/>
  <c r="N4" i="20" s="1"/>
  <c r="Y16" i="2"/>
  <c r="M4" i="20" s="1"/>
  <c r="X16" i="2"/>
  <c r="L4" i="20" s="1"/>
  <c r="W16" i="2"/>
  <c r="K4" i="20" s="1"/>
  <c r="V16" i="2"/>
  <c r="J4" i="20" s="1"/>
  <c r="U16" i="2"/>
  <c r="I4" i="20" s="1"/>
  <c r="S16" i="2"/>
  <c r="G4" i="20" s="1"/>
  <c r="R16" i="2"/>
  <c r="F4" i="20" s="1"/>
  <c r="Q16" i="2"/>
  <c r="E4" i="20" s="1"/>
  <c r="P16" i="2"/>
  <c r="D4" i="20" s="1"/>
  <c r="O16" i="2"/>
  <c r="C4" i="20" s="1"/>
  <c r="N16" i="2"/>
  <c r="B4" i="20" s="1"/>
  <c r="M16" i="2"/>
  <c r="A4" i="20" s="1"/>
  <c r="D16" i="2"/>
  <c r="D16" i="15" s="1"/>
  <c r="B16" i="2"/>
  <c r="B14" i="2"/>
  <c r="B14" i="15" s="1"/>
  <c r="AC13" i="2"/>
  <c r="AB13" i="2"/>
  <c r="AA13" i="2"/>
  <c r="Z13" i="2"/>
  <c r="N3" i="20" s="1"/>
  <c r="Y13" i="2"/>
  <c r="M3" i="20" s="1"/>
  <c r="X13" i="2"/>
  <c r="L3" i="20" s="1"/>
  <c r="W13" i="2"/>
  <c r="K3" i="20" s="1"/>
  <c r="V13" i="2"/>
  <c r="J3" i="20" s="1"/>
  <c r="U13" i="2"/>
  <c r="I3" i="20" s="1"/>
  <c r="S13" i="2"/>
  <c r="G3" i="20" s="1"/>
  <c r="R13" i="2"/>
  <c r="F3" i="20" s="1"/>
  <c r="Q13" i="2"/>
  <c r="E3" i="20" s="1"/>
  <c r="P13" i="2"/>
  <c r="D3" i="20" s="1"/>
  <c r="O13" i="2"/>
  <c r="C3" i="20" s="1"/>
  <c r="N13" i="2"/>
  <c r="B3" i="20" s="1"/>
  <c r="M13" i="2"/>
  <c r="A3" i="20" s="1"/>
  <c r="D13" i="2"/>
  <c r="D13" i="15" s="1"/>
  <c r="B13" i="2"/>
  <c r="A13" i="2"/>
  <c r="B11" i="2"/>
  <c r="B11" i="15" s="1"/>
  <c r="AC10" i="2"/>
  <c r="AB10" i="2"/>
  <c r="AA10" i="2"/>
  <c r="Z10" i="2"/>
  <c r="N2" i="20" s="1"/>
  <c r="Y10" i="2"/>
  <c r="M2" i="20" s="1"/>
  <c r="X10" i="2"/>
  <c r="L2" i="20" s="1"/>
  <c r="W10" i="2"/>
  <c r="K2" i="20" s="1"/>
  <c r="V10" i="2"/>
  <c r="J2" i="20" s="1"/>
  <c r="U10" i="2"/>
  <c r="I2" i="20" s="1"/>
  <c r="S10" i="2"/>
  <c r="G2" i="20" s="1"/>
  <c r="R10" i="2"/>
  <c r="F2" i="20" s="1"/>
  <c r="Q10" i="2"/>
  <c r="E2" i="20" s="1"/>
  <c r="P10" i="2"/>
  <c r="D2" i="20" s="1"/>
  <c r="O10" i="2"/>
  <c r="C2" i="20" s="1"/>
  <c r="N10" i="2"/>
  <c r="B2" i="20" s="1"/>
  <c r="M10" i="2"/>
  <c r="A2" i="20" s="1"/>
  <c r="D10" i="2"/>
  <c r="D10" i="15" s="1"/>
  <c r="B10" i="2"/>
  <c r="B10" i="15" s="1"/>
  <c r="B8" i="2"/>
  <c r="B8" i="15" s="1"/>
  <c r="A3" i="2"/>
  <c r="A1" i="2"/>
  <c r="CF113" i="1"/>
  <c r="BT113" i="1"/>
  <c r="BH113" i="1"/>
  <c r="AV113" i="1"/>
  <c r="AJ113" i="1"/>
  <c r="X113" i="1"/>
  <c r="P113" i="1"/>
  <c r="O113" i="1"/>
  <c r="N113" i="1"/>
  <c r="L113" i="1"/>
  <c r="H113" i="1"/>
  <c r="G113" i="1"/>
  <c r="CF112" i="1"/>
  <c r="BT112" i="1"/>
  <c r="BH112" i="1"/>
  <c r="AV112" i="1"/>
  <c r="AJ112" i="1"/>
  <c r="X112" i="1"/>
  <c r="P112" i="1"/>
  <c r="O112" i="1"/>
  <c r="N112" i="1"/>
  <c r="L112" i="1"/>
  <c r="H112" i="1"/>
  <c r="G112" i="1"/>
  <c r="CF111" i="1"/>
  <c r="BT111" i="1"/>
  <c r="BH111" i="1"/>
  <c r="AV111" i="1"/>
  <c r="AJ111" i="1"/>
  <c r="X111" i="1"/>
  <c r="Q111" i="1"/>
  <c r="H111" i="1"/>
  <c r="G111" i="1"/>
  <c r="CF110" i="1"/>
  <c r="BT110" i="1"/>
  <c r="BH110" i="1"/>
  <c r="AV110" i="1"/>
  <c r="AJ110" i="1"/>
  <c r="X110" i="1"/>
  <c r="P110" i="1"/>
  <c r="N110" i="1"/>
  <c r="M110" i="1"/>
  <c r="H110" i="1"/>
  <c r="G110" i="1"/>
  <c r="CF109" i="1"/>
  <c r="BT109" i="1"/>
  <c r="BH109" i="1"/>
  <c r="AV109" i="1"/>
  <c r="AJ109" i="1"/>
  <c r="X109" i="1"/>
  <c r="P109" i="1"/>
  <c r="N109" i="1"/>
  <c r="L109" i="1"/>
  <c r="H109" i="1"/>
  <c r="G109" i="1"/>
  <c r="CF108" i="1"/>
  <c r="BT108" i="1"/>
  <c r="BH108" i="1"/>
  <c r="AV108" i="1"/>
  <c r="AJ108" i="1"/>
  <c r="X108" i="1"/>
  <c r="Q108" i="1"/>
  <c r="H108" i="1"/>
  <c r="G108" i="1"/>
  <c r="CF107" i="1"/>
  <c r="BT107" i="1"/>
  <c r="BH107" i="1"/>
  <c r="AV107" i="1"/>
  <c r="AJ107" i="1"/>
  <c r="X107" i="1"/>
  <c r="P107" i="1"/>
  <c r="N107" i="1"/>
  <c r="M107" i="1"/>
  <c r="L107" i="1"/>
  <c r="H107" i="1"/>
  <c r="G107" i="1"/>
  <c r="CF106" i="1"/>
  <c r="BT106" i="1"/>
  <c r="BH106" i="1"/>
  <c r="AV106" i="1"/>
  <c r="AJ106" i="1"/>
  <c r="X106" i="1"/>
  <c r="Q106" i="1"/>
  <c r="O106" i="1"/>
  <c r="N106" i="1"/>
  <c r="M106" i="1"/>
  <c r="K106" i="1" s="1"/>
  <c r="L106" i="1"/>
  <c r="H106" i="1"/>
  <c r="G106" i="1"/>
  <c r="CF105" i="1"/>
  <c r="BT105" i="1"/>
  <c r="BH105" i="1"/>
  <c r="AV105" i="1"/>
  <c r="AJ105" i="1"/>
  <c r="X105" i="1"/>
  <c r="H105" i="1"/>
  <c r="G105" i="1"/>
  <c r="CF104" i="1"/>
  <c r="BT104" i="1"/>
  <c r="BH104" i="1"/>
  <c r="AV104" i="1"/>
  <c r="AJ104" i="1"/>
  <c r="X104" i="1"/>
  <c r="Q104" i="1"/>
  <c r="O104" i="1"/>
  <c r="M104" i="1"/>
  <c r="H104" i="1"/>
  <c r="G104" i="1"/>
  <c r="CF103" i="1"/>
  <c r="BT103" i="1"/>
  <c r="BH103" i="1"/>
  <c r="AV103" i="1"/>
  <c r="AJ103" i="1"/>
  <c r="X103" i="1"/>
  <c r="P103" i="1"/>
  <c r="O103" i="1"/>
  <c r="N103" i="1"/>
  <c r="L103" i="1"/>
  <c r="H103" i="1"/>
  <c r="G103" i="1"/>
  <c r="CF102" i="1"/>
  <c r="BT102" i="1"/>
  <c r="BH102" i="1"/>
  <c r="AV102" i="1"/>
  <c r="AJ102" i="1"/>
  <c r="X102" i="1"/>
  <c r="H102" i="1"/>
  <c r="G102" i="1"/>
  <c r="CF101" i="1"/>
  <c r="BT101" i="1"/>
  <c r="BH101" i="1"/>
  <c r="AV101" i="1"/>
  <c r="AJ101" i="1"/>
  <c r="X101" i="1"/>
  <c r="H101" i="1"/>
  <c r="G101" i="1"/>
  <c r="CF100" i="1"/>
  <c r="BT100" i="1"/>
  <c r="BH100" i="1"/>
  <c r="AV100" i="1"/>
  <c r="AJ100" i="1"/>
  <c r="X100" i="1"/>
  <c r="P100" i="1"/>
  <c r="M100" i="1"/>
  <c r="L100" i="1"/>
  <c r="H100" i="1"/>
  <c r="G100" i="1"/>
  <c r="CF99" i="1"/>
  <c r="BT99" i="1"/>
  <c r="BH99" i="1"/>
  <c r="AV99" i="1"/>
  <c r="AJ99" i="1"/>
  <c r="X99" i="1"/>
  <c r="Q99" i="1"/>
  <c r="M99" i="1"/>
  <c r="H99" i="1"/>
  <c r="G99" i="1"/>
  <c r="CF98" i="1"/>
  <c r="BT98" i="1"/>
  <c r="BH98" i="1"/>
  <c r="AV98" i="1"/>
  <c r="AJ98" i="1"/>
  <c r="X98" i="1"/>
  <c r="Q98" i="1"/>
  <c r="O98" i="1"/>
  <c r="N98" i="1"/>
  <c r="M98" i="1"/>
  <c r="L98" i="1"/>
  <c r="H98" i="1"/>
  <c r="G98" i="1"/>
  <c r="CF97" i="1"/>
  <c r="BT97" i="1"/>
  <c r="BH97" i="1"/>
  <c r="AV97" i="1"/>
  <c r="AJ97" i="1"/>
  <c r="X97" i="1"/>
  <c r="L97" i="1"/>
  <c r="H97" i="1"/>
  <c r="G97" i="1"/>
  <c r="CF96" i="1"/>
  <c r="BT96" i="1"/>
  <c r="BH96" i="1"/>
  <c r="AV96" i="1"/>
  <c r="AJ96" i="1"/>
  <c r="X96" i="1"/>
  <c r="Q96" i="1"/>
  <c r="P96" i="1"/>
  <c r="N96" i="1"/>
  <c r="L96" i="1"/>
  <c r="H96" i="1"/>
  <c r="G96" i="1"/>
  <c r="CF95" i="1"/>
  <c r="BT95" i="1"/>
  <c r="BH95" i="1"/>
  <c r="AV95" i="1"/>
  <c r="AJ95" i="1"/>
  <c r="X95" i="1"/>
  <c r="H95" i="1"/>
  <c r="G95" i="1"/>
  <c r="CF94" i="1"/>
  <c r="BT94" i="1"/>
  <c r="BH94" i="1"/>
  <c r="AV94" i="1"/>
  <c r="AJ94" i="1"/>
  <c r="X94" i="1"/>
  <c r="P94" i="1"/>
  <c r="O94" i="1"/>
  <c r="N94" i="1"/>
  <c r="H94" i="1"/>
  <c r="G94" i="1"/>
  <c r="CF93" i="1"/>
  <c r="BT93" i="1"/>
  <c r="BH93" i="1"/>
  <c r="AV93" i="1"/>
  <c r="AJ93" i="1"/>
  <c r="X93" i="1"/>
  <c r="P93" i="1"/>
  <c r="O93" i="1"/>
  <c r="N93" i="1"/>
  <c r="H93" i="1"/>
  <c r="G93" i="1"/>
  <c r="CF92" i="1"/>
  <c r="BT92" i="1"/>
  <c r="BH92" i="1"/>
  <c r="AV92" i="1"/>
  <c r="AJ92" i="1"/>
  <c r="X92" i="1"/>
  <c r="Q92" i="1"/>
  <c r="H92" i="1"/>
  <c r="G92" i="1"/>
  <c r="CF91" i="1"/>
  <c r="BT91" i="1"/>
  <c r="BH91" i="1"/>
  <c r="AV91" i="1"/>
  <c r="AJ91" i="1"/>
  <c r="X91" i="1"/>
  <c r="P91" i="1"/>
  <c r="M91" i="1"/>
  <c r="L91" i="1"/>
  <c r="H91" i="1"/>
  <c r="G91" i="1"/>
  <c r="CF90" i="1"/>
  <c r="BT90" i="1"/>
  <c r="BH90" i="1"/>
  <c r="AV90" i="1"/>
  <c r="AJ90" i="1"/>
  <c r="X90" i="1"/>
  <c r="Q90" i="1"/>
  <c r="O90" i="1"/>
  <c r="N90" i="1"/>
  <c r="M90" i="1"/>
  <c r="L90" i="1"/>
  <c r="H90" i="1"/>
  <c r="G90" i="1"/>
  <c r="CF89" i="1"/>
  <c r="BT89" i="1"/>
  <c r="BH89" i="1"/>
  <c r="AV89" i="1"/>
  <c r="AJ89" i="1"/>
  <c r="X89" i="1"/>
  <c r="H89" i="1"/>
  <c r="G89" i="1"/>
  <c r="CF88" i="1"/>
  <c r="BT88" i="1"/>
  <c r="BH88" i="1"/>
  <c r="AV88" i="1"/>
  <c r="AJ88" i="1"/>
  <c r="X88" i="1"/>
  <c r="Q88" i="1"/>
  <c r="P88" i="1"/>
  <c r="O88" i="1"/>
  <c r="M88" i="1"/>
  <c r="H88" i="1"/>
  <c r="G88" i="1"/>
  <c r="CF87" i="1"/>
  <c r="BT87" i="1"/>
  <c r="BH87" i="1"/>
  <c r="AV87" i="1"/>
  <c r="AJ87" i="1"/>
  <c r="X87" i="1"/>
  <c r="Q87" i="1"/>
  <c r="H87" i="1"/>
  <c r="G87" i="1"/>
  <c r="CF86" i="1"/>
  <c r="BT86" i="1"/>
  <c r="BH86" i="1"/>
  <c r="AV86" i="1"/>
  <c r="AJ86" i="1"/>
  <c r="X86" i="1"/>
  <c r="Q86" i="1"/>
  <c r="O86" i="1"/>
  <c r="M86" i="1"/>
  <c r="H86" i="1"/>
  <c r="G86" i="1"/>
  <c r="CF85" i="1"/>
  <c r="BT85" i="1"/>
  <c r="BH85" i="1"/>
  <c r="AV85" i="1"/>
  <c r="AJ85" i="1"/>
  <c r="X85" i="1"/>
  <c r="Q85" i="1"/>
  <c r="O85" i="1"/>
  <c r="H85" i="1"/>
  <c r="G85" i="1"/>
  <c r="CF84" i="1"/>
  <c r="BT84" i="1"/>
  <c r="BH84" i="1"/>
  <c r="AV84" i="1"/>
  <c r="AJ84" i="1"/>
  <c r="X84" i="1"/>
  <c r="P84" i="1"/>
  <c r="O84" i="1"/>
  <c r="M84" i="1"/>
  <c r="H84" i="1"/>
  <c r="G84" i="1"/>
  <c r="CF83" i="1"/>
  <c r="BT83" i="1"/>
  <c r="BH83" i="1"/>
  <c r="AV83" i="1"/>
  <c r="AJ83" i="1"/>
  <c r="X83" i="1"/>
  <c r="H83" i="1"/>
  <c r="G83" i="1"/>
  <c r="CF82" i="1"/>
  <c r="BT82" i="1"/>
  <c r="BH82" i="1"/>
  <c r="AV82" i="1"/>
  <c r="AJ82" i="1"/>
  <c r="X82" i="1"/>
  <c r="Q82" i="1"/>
  <c r="O82" i="1"/>
  <c r="N82" i="1"/>
  <c r="J82" i="1" s="1"/>
  <c r="M82" i="1"/>
  <c r="L82" i="1"/>
  <c r="H82" i="1"/>
  <c r="G82" i="1"/>
  <c r="CF81" i="1"/>
  <c r="BT81" i="1"/>
  <c r="BH81" i="1"/>
  <c r="AV81" i="1"/>
  <c r="AJ81" i="1"/>
  <c r="X81" i="1"/>
  <c r="S81" i="1"/>
  <c r="P81" i="1"/>
  <c r="O81" i="1"/>
  <c r="N81" i="1"/>
  <c r="M81" i="1"/>
  <c r="L81" i="1"/>
  <c r="K81" i="1" s="1"/>
  <c r="J81" i="1"/>
  <c r="H81" i="1"/>
  <c r="G81" i="1"/>
  <c r="CF80" i="1"/>
  <c r="BT80" i="1"/>
  <c r="BH80" i="1"/>
  <c r="AV80" i="1"/>
  <c r="AJ80" i="1"/>
  <c r="X80" i="1"/>
  <c r="P80" i="1"/>
  <c r="O80" i="1"/>
  <c r="N80" i="1"/>
  <c r="M80" i="1"/>
  <c r="L80" i="1"/>
  <c r="H80" i="1"/>
  <c r="G80" i="1"/>
  <c r="CF79" i="1"/>
  <c r="BT79" i="1"/>
  <c r="BH79" i="1"/>
  <c r="AV79" i="1"/>
  <c r="AJ79" i="1"/>
  <c r="X79" i="1"/>
  <c r="Q79" i="1"/>
  <c r="H79" i="1"/>
  <c r="G79" i="1"/>
  <c r="CF78" i="1"/>
  <c r="BT78" i="1"/>
  <c r="BH78" i="1"/>
  <c r="AV78" i="1"/>
  <c r="AJ78" i="1"/>
  <c r="X78" i="1"/>
  <c r="Q78" i="1"/>
  <c r="O78" i="1"/>
  <c r="N78" i="1"/>
  <c r="M78" i="1"/>
  <c r="H78" i="1"/>
  <c r="G78" i="1"/>
  <c r="CF77" i="1"/>
  <c r="BT77" i="1"/>
  <c r="BH77" i="1"/>
  <c r="AV77" i="1"/>
  <c r="AJ77" i="1"/>
  <c r="X77" i="1"/>
  <c r="P77" i="1"/>
  <c r="N77" i="1"/>
  <c r="L77" i="1"/>
  <c r="H77" i="1"/>
  <c r="G77" i="1"/>
  <c r="CF76" i="1"/>
  <c r="BT76" i="1"/>
  <c r="BH76" i="1"/>
  <c r="AV76" i="1"/>
  <c r="AJ76" i="1"/>
  <c r="X76" i="1"/>
  <c r="Q76" i="1"/>
  <c r="O76" i="1"/>
  <c r="M76" i="1"/>
  <c r="L76" i="1"/>
  <c r="H76" i="1"/>
  <c r="G76" i="1"/>
  <c r="CF75" i="1"/>
  <c r="BT75" i="1"/>
  <c r="BH75" i="1"/>
  <c r="AV75" i="1"/>
  <c r="AJ75" i="1"/>
  <c r="X75" i="1"/>
  <c r="P75" i="1"/>
  <c r="N75" i="1"/>
  <c r="M75" i="1"/>
  <c r="H75" i="1"/>
  <c r="G75" i="1"/>
  <c r="CF74" i="1"/>
  <c r="BT74" i="1"/>
  <c r="BH74" i="1"/>
  <c r="AV74" i="1"/>
  <c r="AJ74" i="1"/>
  <c r="X74" i="1"/>
  <c r="Q74" i="1"/>
  <c r="O74" i="1"/>
  <c r="N74" i="1"/>
  <c r="K74" i="1" s="1"/>
  <c r="M74" i="1"/>
  <c r="L74" i="1"/>
  <c r="H74" i="1"/>
  <c r="G74" i="1"/>
  <c r="CF73" i="1"/>
  <c r="BT73" i="1"/>
  <c r="BH73" i="1"/>
  <c r="AV73" i="1"/>
  <c r="AJ73" i="1"/>
  <c r="X73" i="1"/>
  <c r="P73" i="1"/>
  <c r="H73" i="1"/>
  <c r="G73" i="1"/>
  <c r="CF72" i="1"/>
  <c r="BT72" i="1"/>
  <c r="BH72" i="1"/>
  <c r="AV72" i="1"/>
  <c r="AJ72" i="1"/>
  <c r="X72" i="1"/>
  <c r="Q72" i="1"/>
  <c r="P72" i="1"/>
  <c r="H72" i="1"/>
  <c r="G72" i="1"/>
  <c r="CF71" i="1"/>
  <c r="BT71" i="1"/>
  <c r="BH71" i="1"/>
  <c r="AV71" i="1"/>
  <c r="AJ71" i="1"/>
  <c r="X71" i="1"/>
  <c r="Q71" i="1"/>
  <c r="P71" i="1"/>
  <c r="H71" i="1"/>
  <c r="G71" i="1"/>
  <c r="CF70" i="1"/>
  <c r="BT70" i="1"/>
  <c r="BH70" i="1"/>
  <c r="AV70" i="1"/>
  <c r="AJ70" i="1"/>
  <c r="X70" i="1"/>
  <c r="Q70" i="1"/>
  <c r="O70" i="1"/>
  <c r="N70" i="1"/>
  <c r="M70" i="1"/>
  <c r="H70" i="1"/>
  <c r="G70" i="1"/>
  <c r="CF69" i="1"/>
  <c r="BT69" i="1"/>
  <c r="BH69" i="1"/>
  <c r="AV69" i="1"/>
  <c r="AJ69" i="1"/>
  <c r="X69" i="1"/>
  <c r="H69" i="1"/>
  <c r="G69" i="1"/>
  <c r="CF68" i="1"/>
  <c r="BT68" i="1"/>
  <c r="BH68" i="1"/>
  <c r="AV68" i="1"/>
  <c r="AJ68" i="1"/>
  <c r="X68" i="1"/>
  <c r="Q68" i="1"/>
  <c r="O68" i="1"/>
  <c r="M68" i="1"/>
  <c r="L68" i="1"/>
  <c r="H68" i="1"/>
  <c r="G68" i="1"/>
  <c r="CF67" i="1"/>
  <c r="BT67" i="1"/>
  <c r="BH67" i="1"/>
  <c r="AV67" i="1"/>
  <c r="AJ67" i="1"/>
  <c r="X67" i="1"/>
  <c r="P67" i="1"/>
  <c r="N67" i="1"/>
  <c r="M67" i="1"/>
  <c r="L67" i="1"/>
  <c r="H67" i="1"/>
  <c r="G67" i="1"/>
  <c r="CF66" i="1"/>
  <c r="BT66" i="1"/>
  <c r="BH66" i="1"/>
  <c r="AV66" i="1"/>
  <c r="AJ66" i="1"/>
  <c r="X66" i="1"/>
  <c r="Q66" i="1"/>
  <c r="O66" i="1"/>
  <c r="N66" i="1"/>
  <c r="M66" i="1"/>
  <c r="L66" i="1"/>
  <c r="H66" i="1"/>
  <c r="G66" i="1"/>
  <c r="CF65" i="1"/>
  <c r="BT65" i="1"/>
  <c r="BH65" i="1"/>
  <c r="AV65" i="1"/>
  <c r="AJ65" i="1"/>
  <c r="X65" i="1"/>
  <c r="P65" i="1"/>
  <c r="O65" i="1"/>
  <c r="H65" i="1"/>
  <c r="G65" i="1"/>
  <c r="CF64" i="1"/>
  <c r="BT64" i="1"/>
  <c r="BH64" i="1"/>
  <c r="AV64" i="1"/>
  <c r="AJ64" i="1"/>
  <c r="X64" i="1"/>
  <c r="Q64" i="1"/>
  <c r="P64" i="1"/>
  <c r="O64" i="1"/>
  <c r="H64" i="1"/>
  <c r="G64" i="1"/>
  <c r="CF63" i="1"/>
  <c r="BT63" i="1"/>
  <c r="BH63" i="1"/>
  <c r="AV63" i="1"/>
  <c r="AJ63" i="1"/>
  <c r="X63" i="1"/>
  <c r="Q63" i="1"/>
  <c r="P63" i="1"/>
  <c r="N63" i="1"/>
  <c r="H63" i="1"/>
  <c r="G63" i="1"/>
  <c r="CF62" i="1"/>
  <c r="BT62" i="1"/>
  <c r="BH62" i="1"/>
  <c r="AV62" i="1"/>
  <c r="AJ62" i="1"/>
  <c r="X62" i="1"/>
  <c r="Q62" i="1"/>
  <c r="O62" i="1"/>
  <c r="N62" i="1"/>
  <c r="M62" i="1"/>
  <c r="H62" i="1"/>
  <c r="G62" i="1"/>
  <c r="CF61" i="1"/>
  <c r="BT61" i="1"/>
  <c r="BH61" i="1"/>
  <c r="AV61" i="1"/>
  <c r="AJ61" i="1"/>
  <c r="X61" i="1"/>
  <c r="H61" i="1"/>
  <c r="G61" i="1"/>
  <c r="CF60" i="1"/>
  <c r="BT60" i="1"/>
  <c r="BH60" i="1"/>
  <c r="AV60" i="1"/>
  <c r="AJ60" i="1"/>
  <c r="X60" i="1"/>
  <c r="L60" i="1"/>
  <c r="H60" i="1"/>
  <c r="G60" i="1"/>
  <c r="CF59" i="1"/>
  <c r="BT59" i="1"/>
  <c r="BH59" i="1"/>
  <c r="AV59" i="1"/>
  <c r="AJ59" i="1"/>
  <c r="X59" i="1"/>
  <c r="M59" i="1"/>
  <c r="H59" i="1"/>
  <c r="G59" i="1"/>
  <c r="CF58" i="1"/>
  <c r="BT58" i="1"/>
  <c r="BH58" i="1"/>
  <c r="AV58" i="1"/>
  <c r="AJ58" i="1"/>
  <c r="X58" i="1"/>
  <c r="Q58" i="1"/>
  <c r="O58" i="1"/>
  <c r="N58" i="1"/>
  <c r="M58" i="1"/>
  <c r="J58" i="1" s="1"/>
  <c r="L58" i="1"/>
  <c r="K58" i="1"/>
  <c r="H58" i="1"/>
  <c r="G58" i="1"/>
  <c r="CF57" i="1"/>
  <c r="BT57" i="1"/>
  <c r="BH57" i="1"/>
  <c r="AV57" i="1"/>
  <c r="AJ57" i="1"/>
  <c r="X57" i="1"/>
  <c r="P57" i="1"/>
  <c r="O57" i="1"/>
  <c r="N57" i="1"/>
  <c r="L57" i="1"/>
  <c r="H57" i="1"/>
  <c r="G57" i="1"/>
  <c r="CF56" i="1"/>
  <c r="BT56" i="1"/>
  <c r="BH56" i="1"/>
  <c r="AV56" i="1"/>
  <c r="AJ56" i="1"/>
  <c r="X56" i="1"/>
  <c r="Q56" i="1"/>
  <c r="P56" i="1"/>
  <c r="O56" i="1"/>
  <c r="M56" i="1"/>
  <c r="L56" i="1"/>
  <c r="H56" i="1"/>
  <c r="G56" i="1"/>
  <c r="CF55" i="1"/>
  <c r="BT55" i="1"/>
  <c r="BH55" i="1"/>
  <c r="AV55" i="1"/>
  <c r="AJ55" i="1"/>
  <c r="X55" i="1"/>
  <c r="H55" i="1"/>
  <c r="G55" i="1"/>
  <c r="CF54" i="1"/>
  <c r="BT54" i="1"/>
  <c r="BH54" i="1"/>
  <c r="AV54" i="1"/>
  <c r="AJ54" i="1"/>
  <c r="X54" i="1"/>
  <c r="Q54" i="1"/>
  <c r="O54" i="1"/>
  <c r="N54" i="1"/>
  <c r="M54" i="1"/>
  <c r="H54" i="1"/>
  <c r="G54" i="1"/>
  <c r="CF53" i="1"/>
  <c r="BT53" i="1"/>
  <c r="BH53" i="1"/>
  <c r="AV53" i="1"/>
  <c r="AJ53" i="1"/>
  <c r="X53" i="1"/>
  <c r="P53" i="1"/>
  <c r="H53" i="1"/>
  <c r="G53" i="1"/>
  <c r="CF52" i="1"/>
  <c r="BT52" i="1"/>
  <c r="BH52" i="1"/>
  <c r="AV52" i="1"/>
  <c r="AJ52" i="1"/>
  <c r="X52" i="1"/>
  <c r="H52" i="1"/>
  <c r="G52" i="1"/>
  <c r="CF51" i="1"/>
  <c r="BT51" i="1"/>
  <c r="BH51" i="1"/>
  <c r="AV51" i="1"/>
  <c r="AJ51" i="1"/>
  <c r="X51" i="1"/>
  <c r="H51" i="1"/>
  <c r="G51" i="1"/>
  <c r="CF50" i="1"/>
  <c r="BT50" i="1"/>
  <c r="BH50" i="1"/>
  <c r="AV50" i="1"/>
  <c r="AJ50" i="1"/>
  <c r="X50" i="1"/>
  <c r="Q50" i="1"/>
  <c r="O50" i="1"/>
  <c r="N50" i="1"/>
  <c r="K50" i="1" s="1"/>
  <c r="M50" i="1"/>
  <c r="L50" i="1"/>
  <c r="J50" i="1"/>
  <c r="H50" i="1"/>
  <c r="G50" i="1"/>
  <c r="CF49" i="1"/>
  <c r="BT49" i="1"/>
  <c r="BH49" i="1"/>
  <c r="AV49" i="1"/>
  <c r="AJ49" i="1"/>
  <c r="X49" i="1"/>
  <c r="P49" i="1"/>
  <c r="O49" i="1"/>
  <c r="N49" i="1"/>
  <c r="L49" i="1"/>
  <c r="H49" i="1"/>
  <c r="G49" i="1"/>
  <c r="CF48" i="1"/>
  <c r="BT48" i="1"/>
  <c r="BH48" i="1"/>
  <c r="AV48" i="1"/>
  <c r="AJ48" i="1"/>
  <c r="X48" i="1"/>
  <c r="Q48" i="1"/>
  <c r="H48" i="1"/>
  <c r="G48" i="1"/>
  <c r="CF47" i="1"/>
  <c r="BT47" i="1"/>
  <c r="BH47" i="1"/>
  <c r="AV47" i="1"/>
  <c r="AJ47" i="1"/>
  <c r="X47" i="1"/>
  <c r="P47" i="1"/>
  <c r="O47" i="1"/>
  <c r="N47" i="1"/>
  <c r="M47" i="1"/>
  <c r="L47" i="1"/>
  <c r="K47" i="1" s="1"/>
  <c r="S47" i="1" s="1"/>
  <c r="H47" i="1"/>
  <c r="G47" i="1"/>
  <c r="CF46" i="1"/>
  <c r="BT46" i="1"/>
  <c r="BH46" i="1"/>
  <c r="AV46" i="1"/>
  <c r="AJ46" i="1"/>
  <c r="AC46" i="1"/>
  <c r="X46" i="1"/>
  <c r="P46" i="1"/>
  <c r="O46" i="1"/>
  <c r="N46" i="1"/>
  <c r="M46" i="1"/>
  <c r="H46" i="1"/>
  <c r="G46" i="1"/>
  <c r="CF45" i="1"/>
  <c r="BT45" i="1"/>
  <c r="BH45" i="1"/>
  <c r="AV45" i="1"/>
  <c r="AJ45" i="1"/>
  <c r="X45" i="1"/>
  <c r="AE79" i="1" s="1"/>
  <c r="P45" i="1"/>
  <c r="O45" i="1"/>
  <c r="N45" i="1"/>
  <c r="L45" i="1"/>
  <c r="H45" i="1"/>
  <c r="G45" i="1"/>
  <c r="CF44" i="1"/>
  <c r="BT44" i="1"/>
  <c r="BH44" i="1"/>
  <c r="AV44" i="1"/>
  <c r="AJ44" i="1"/>
  <c r="X44" i="1"/>
  <c r="P44" i="1"/>
  <c r="O44" i="1"/>
  <c r="M44" i="1"/>
  <c r="L44" i="1"/>
  <c r="H44" i="1"/>
  <c r="G44" i="1"/>
  <c r="CF43" i="1"/>
  <c r="BT43" i="1"/>
  <c r="BH43" i="1"/>
  <c r="AV43" i="1"/>
  <c r="AJ43" i="1"/>
  <c r="X43" i="1"/>
  <c r="H43" i="1"/>
  <c r="G43" i="1"/>
  <c r="CF42" i="1"/>
  <c r="BT42" i="1"/>
  <c r="BH42" i="1"/>
  <c r="AV42" i="1"/>
  <c r="AJ42" i="1"/>
  <c r="AE42" i="1"/>
  <c r="X42" i="1"/>
  <c r="Q42" i="1"/>
  <c r="O42" i="1"/>
  <c r="N42" i="1"/>
  <c r="K42" i="1" s="1"/>
  <c r="M42" i="1"/>
  <c r="L42" i="1"/>
  <c r="H42" i="1"/>
  <c r="G42" i="1"/>
  <c r="CF41" i="1"/>
  <c r="BT41" i="1"/>
  <c r="BH41" i="1"/>
  <c r="AV41" i="1"/>
  <c r="AJ41" i="1"/>
  <c r="X41" i="1"/>
  <c r="L41" i="1"/>
  <c r="H41" i="1"/>
  <c r="G41" i="1"/>
  <c r="CF40" i="1"/>
  <c r="BT40" i="1"/>
  <c r="BH40" i="1"/>
  <c r="AV40" i="1"/>
  <c r="AJ40" i="1"/>
  <c r="AB40" i="1"/>
  <c r="X40" i="1"/>
  <c r="Q40" i="1"/>
  <c r="L40" i="1"/>
  <c r="H40" i="1"/>
  <c r="G40" i="1"/>
  <c r="CF39" i="1"/>
  <c r="BT39" i="1"/>
  <c r="BH39" i="1"/>
  <c r="AV39" i="1"/>
  <c r="AJ39" i="1"/>
  <c r="X39" i="1"/>
  <c r="H39" i="1"/>
  <c r="G39" i="1"/>
  <c r="CF38" i="1"/>
  <c r="BT38" i="1"/>
  <c r="BH38" i="1"/>
  <c r="AV38" i="1"/>
  <c r="AJ38" i="1"/>
  <c r="AC38" i="1"/>
  <c r="X38" i="1"/>
  <c r="P38" i="1"/>
  <c r="O38" i="1"/>
  <c r="N38" i="1"/>
  <c r="M38" i="1"/>
  <c r="H38" i="1"/>
  <c r="G38" i="1"/>
  <c r="CF37" i="1"/>
  <c r="BT37" i="1"/>
  <c r="BH37" i="1"/>
  <c r="AV37" i="1"/>
  <c r="AJ37" i="1"/>
  <c r="AB37" i="1"/>
  <c r="X37" i="1"/>
  <c r="P37" i="1"/>
  <c r="O37" i="1"/>
  <c r="N37" i="1"/>
  <c r="L37" i="1"/>
  <c r="H37" i="1"/>
  <c r="G37" i="1"/>
  <c r="CF36" i="1"/>
  <c r="BT36" i="1"/>
  <c r="BH36" i="1"/>
  <c r="AV36" i="1"/>
  <c r="AJ36" i="1"/>
  <c r="AC36" i="1"/>
  <c r="X36" i="1"/>
  <c r="P36" i="1"/>
  <c r="O36" i="1"/>
  <c r="M36" i="1"/>
  <c r="L36" i="1"/>
  <c r="H36" i="1"/>
  <c r="G36" i="1"/>
  <c r="CF35" i="1"/>
  <c r="BT35" i="1"/>
  <c r="BH35" i="1"/>
  <c r="AV35" i="1"/>
  <c r="AJ35" i="1"/>
  <c r="Y35" i="1"/>
  <c r="X35" i="1"/>
  <c r="P35" i="1"/>
  <c r="N35" i="1"/>
  <c r="M35" i="1"/>
  <c r="L35" i="1"/>
  <c r="J35" i="1" s="1"/>
  <c r="H35" i="1"/>
  <c r="G35" i="1"/>
  <c r="CF34" i="1"/>
  <c r="BT34" i="1"/>
  <c r="BH34" i="1"/>
  <c r="AV34" i="1"/>
  <c r="AJ34" i="1"/>
  <c r="X34" i="1"/>
  <c r="Q34" i="1"/>
  <c r="O34" i="1"/>
  <c r="N34" i="1"/>
  <c r="M34" i="1"/>
  <c r="L34" i="1"/>
  <c r="H34" i="1"/>
  <c r="G34" i="1"/>
  <c r="CF33" i="1"/>
  <c r="BT33" i="1"/>
  <c r="BH33" i="1"/>
  <c r="AV33" i="1"/>
  <c r="AJ33" i="1"/>
  <c r="X33" i="1"/>
  <c r="H33" i="1"/>
  <c r="G33" i="1"/>
  <c r="CF32" i="1"/>
  <c r="BT32" i="1"/>
  <c r="BH32" i="1"/>
  <c r="AV32" i="1"/>
  <c r="AJ32" i="1"/>
  <c r="AA32" i="1"/>
  <c r="X32" i="1"/>
  <c r="H32" i="1"/>
  <c r="G32" i="1"/>
  <c r="CF31" i="1"/>
  <c r="BT31" i="1"/>
  <c r="BH31" i="1"/>
  <c r="AV31" i="1"/>
  <c r="AJ31" i="1"/>
  <c r="X31" i="1"/>
  <c r="H31" i="1"/>
  <c r="G31" i="1"/>
  <c r="CF30" i="1"/>
  <c r="BT30" i="1"/>
  <c r="BH30" i="1"/>
  <c r="AV30" i="1"/>
  <c r="AJ30" i="1"/>
  <c r="AA30" i="1"/>
  <c r="X30" i="1"/>
  <c r="Q30" i="1"/>
  <c r="H30" i="1"/>
  <c r="G30" i="1"/>
  <c r="CF29" i="1"/>
  <c r="BT29" i="1"/>
  <c r="BH29" i="1"/>
  <c r="AV29" i="1"/>
  <c r="AJ29" i="1"/>
  <c r="X29" i="1"/>
  <c r="Q29" i="1"/>
  <c r="L29" i="1"/>
  <c r="H29" i="1"/>
  <c r="G29" i="1"/>
  <c r="CF28" i="1"/>
  <c r="BT28" i="1"/>
  <c r="BH28" i="1"/>
  <c r="AV28" i="1"/>
  <c r="AJ28" i="1"/>
  <c r="X28" i="1"/>
  <c r="P28" i="1"/>
  <c r="O28" i="1"/>
  <c r="M28" i="1"/>
  <c r="L28" i="1"/>
  <c r="H28" i="1"/>
  <c r="G28" i="1"/>
  <c r="CF27" i="1"/>
  <c r="BT27" i="1"/>
  <c r="BH27" i="1"/>
  <c r="AV27" i="1"/>
  <c r="AJ27" i="1"/>
  <c r="X27" i="1"/>
  <c r="T27" i="1"/>
  <c r="P27" i="1"/>
  <c r="N27" i="1"/>
  <c r="M27" i="1"/>
  <c r="L27" i="1"/>
  <c r="J27" i="1" s="1"/>
  <c r="K27" i="1"/>
  <c r="R27" i="1" s="1"/>
  <c r="H27" i="1"/>
  <c r="G27" i="1"/>
  <c r="CF26" i="1"/>
  <c r="BT26" i="1"/>
  <c r="BH26" i="1"/>
  <c r="AV26" i="1"/>
  <c r="AJ26" i="1"/>
  <c r="AH26" i="1"/>
  <c r="X26" i="1"/>
  <c r="Q26" i="1"/>
  <c r="O26" i="1"/>
  <c r="N26" i="1"/>
  <c r="M26" i="1"/>
  <c r="L26" i="1"/>
  <c r="H26" i="1"/>
  <c r="G26" i="1"/>
  <c r="CF25" i="1"/>
  <c r="BT25" i="1"/>
  <c r="BH25" i="1"/>
  <c r="AV25" i="1"/>
  <c r="AJ25" i="1"/>
  <c r="AB25" i="1"/>
  <c r="X25" i="1"/>
  <c r="P25" i="1"/>
  <c r="O25" i="1"/>
  <c r="N25" i="1"/>
  <c r="H25" i="1"/>
  <c r="G25" i="1"/>
  <c r="CF24" i="1"/>
  <c r="BT24" i="1"/>
  <c r="BH24" i="1"/>
  <c r="AV24" i="1"/>
  <c r="AJ24" i="1"/>
  <c r="X24" i="1"/>
  <c r="P24" i="1"/>
  <c r="O24" i="1"/>
  <c r="N24" i="1"/>
  <c r="H24" i="1"/>
  <c r="G24" i="1"/>
  <c r="CF23" i="1"/>
  <c r="BT23" i="1"/>
  <c r="BH23" i="1"/>
  <c r="AV23" i="1"/>
  <c r="AJ23" i="1"/>
  <c r="Y23" i="1"/>
  <c r="X23" i="1"/>
  <c r="Q23" i="1"/>
  <c r="O23" i="1"/>
  <c r="H23" i="1"/>
  <c r="G23" i="1"/>
  <c r="CF22" i="1"/>
  <c r="BT22" i="1"/>
  <c r="BH22" i="1"/>
  <c r="AV22" i="1"/>
  <c r="AJ22" i="1"/>
  <c r="AA22" i="1"/>
  <c r="X22" i="1"/>
  <c r="Q22" i="1"/>
  <c r="H22" i="1"/>
  <c r="G22" i="1"/>
  <c r="CF21" i="1"/>
  <c r="BT21" i="1"/>
  <c r="BH21" i="1"/>
  <c r="AV21" i="1"/>
  <c r="AJ21" i="1"/>
  <c r="X21" i="1"/>
  <c r="H21" i="1"/>
  <c r="G21" i="1"/>
  <c r="CF20" i="1"/>
  <c r="BT20" i="1"/>
  <c r="BH20" i="1"/>
  <c r="AV20" i="1"/>
  <c r="AJ20" i="1"/>
  <c r="Z20" i="1"/>
  <c r="X20" i="1"/>
  <c r="Q20" i="1"/>
  <c r="L20" i="1"/>
  <c r="H20" i="1"/>
  <c r="G20" i="1"/>
  <c r="CF19" i="1"/>
  <c r="BT19" i="1"/>
  <c r="BH19" i="1"/>
  <c r="AV19" i="1"/>
  <c r="AJ19" i="1"/>
  <c r="X19" i="1"/>
  <c r="S19" i="1"/>
  <c r="P19" i="1"/>
  <c r="N19" i="1"/>
  <c r="M19" i="1"/>
  <c r="J19" i="1" s="1"/>
  <c r="L19" i="1"/>
  <c r="K19" i="1"/>
  <c r="R19" i="1" s="1"/>
  <c r="H19" i="1"/>
  <c r="G19" i="1"/>
  <c r="CF18" i="1"/>
  <c r="BT18" i="1"/>
  <c r="BH18" i="1"/>
  <c r="AV18" i="1"/>
  <c r="AJ18" i="1"/>
  <c r="X18" i="1"/>
  <c r="Q18" i="1"/>
  <c r="O18" i="1"/>
  <c r="N18" i="1"/>
  <c r="M18" i="1"/>
  <c r="L18" i="1"/>
  <c r="J18" i="1" s="1"/>
  <c r="H18" i="1"/>
  <c r="G18" i="1"/>
  <c r="CF17" i="1"/>
  <c r="BT17" i="1"/>
  <c r="BH17" i="1"/>
  <c r="AV17" i="1"/>
  <c r="AJ17" i="1"/>
  <c r="X17" i="1"/>
  <c r="AH15" i="1" s="1"/>
  <c r="H17" i="1"/>
  <c r="G17" i="1"/>
  <c r="CF16" i="1"/>
  <c r="BT16" i="1"/>
  <c r="BH16" i="1"/>
  <c r="AV16" i="1"/>
  <c r="AJ16" i="1"/>
  <c r="AE16" i="1"/>
  <c r="X16" i="1"/>
  <c r="AD50" i="1" s="1"/>
  <c r="Q16" i="1"/>
  <c r="O16" i="1"/>
  <c r="M16" i="1"/>
  <c r="H16" i="1"/>
  <c r="G16" i="1"/>
  <c r="CF15" i="1"/>
  <c r="BT15" i="1"/>
  <c r="BH15" i="1"/>
  <c r="AV15" i="1"/>
  <c r="AJ15" i="1"/>
  <c r="X15" i="1"/>
  <c r="P15" i="1"/>
  <c r="O15" i="1"/>
  <c r="N15" i="1"/>
  <c r="H15" i="1"/>
  <c r="G15" i="1"/>
  <c r="CF14" i="1"/>
  <c r="BT14" i="1"/>
  <c r="BH14" i="1"/>
  <c r="AV14" i="1"/>
  <c r="AJ14" i="1"/>
  <c r="AG14" i="1"/>
  <c r="X14" i="1"/>
  <c r="AA107" i="1" s="1"/>
  <c r="Q14" i="1"/>
  <c r="O14" i="1"/>
  <c r="H14" i="1"/>
  <c r="G14" i="1"/>
  <c r="K112" i="13" s="1"/>
  <c r="T50" i="1" l="1"/>
  <c r="R50" i="1"/>
  <c r="S50" i="1"/>
  <c r="AG83" i="1"/>
  <c r="AA88" i="1"/>
  <c r="Y93" i="1"/>
  <c r="AF99" i="1"/>
  <c r="AB101" i="1"/>
  <c r="Q105" i="1"/>
  <c r="P105" i="1"/>
  <c r="N105" i="1"/>
  <c r="L105" i="1"/>
  <c r="O105" i="1"/>
  <c r="M105" i="1"/>
  <c r="S106" i="1"/>
  <c r="R106" i="1"/>
  <c r="T106" i="1"/>
  <c r="B46" i="19"/>
  <c r="M158" i="2"/>
  <c r="A46" i="20" s="1"/>
  <c r="B158" i="15"/>
  <c r="D1438" i="15"/>
  <c r="T78" i="10"/>
  <c r="H382" i="20" s="1"/>
  <c r="T98" i="11"/>
  <c r="H433" i="20" s="1"/>
  <c r="B1637" i="15"/>
  <c r="B436" i="19"/>
  <c r="M107" i="11"/>
  <c r="A436" i="20" s="1"/>
  <c r="D25" i="12"/>
  <c r="B28" i="12"/>
  <c r="D31" i="12"/>
  <c r="E23" i="13"/>
  <c r="D38" i="13"/>
  <c r="C56" i="13"/>
  <c r="G70" i="13"/>
  <c r="J87" i="13"/>
  <c r="H102" i="13"/>
  <c r="M124" i="13"/>
  <c r="P14" i="1"/>
  <c r="AH14" i="1"/>
  <c r="N16" i="1"/>
  <c r="AF16" i="1"/>
  <c r="K18" i="1"/>
  <c r="T19" i="1"/>
  <c r="AA20" i="1"/>
  <c r="P22" i="1"/>
  <c r="AD22" i="1"/>
  <c r="N23" i="1"/>
  <c r="M23" i="1"/>
  <c r="L23" i="1"/>
  <c r="Z23" i="1"/>
  <c r="AF25" i="1"/>
  <c r="M29" i="1"/>
  <c r="J29" i="1" s="1"/>
  <c r="P29" i="1"/>
  <c r="O29" i="1"/>
  <c r="N29" i="1"/>
  <c r="M30" i="1"/>
  <c r="AC30" i="1"/>
  <c r="AC32" i="1"/>
  <c r="AC35" i="1"/>
  <c r="AE36" i="1"/>
  <c r="AD37" i="1"/>
  <c r="AD38" i="1"/>
  <c r="P40" i="1"/>
  <c r="AD40" i="1"/>
  <c r="Q41" i="1"/>
  <c r="O41" i="1"/>
  <c r="N41" i="1"/>
  <c r="M41" i="1"/>
  <c r="Z41" i="1"/>
  <c r="AG42" i="1"/>
  <c r="J44" i="1"/>
  <c r="Y44" i="1"/>
  <c r="AB45" i="1"/>
  <c r="AD46" i="1"/>
  <c r="M48" i="1"/>
  <c r="AC48" i="1"/>
  <c r="AH50" i="1"/>
  <c r="AC51" i="1"/>
  <c r="AA52" i="1"/>
  <c r="Q53" i="1"/>
  <c r="M53" i="1"/>
  <c r="O53" i="1"/>
  <c r="N53" i="1"/>
  <c r="L53" i="1"/>
  <c r="AB53" i="1"/>
  <c r="Z55" i="1"/>
  <c r="J56" i="1"/>
  <c r="K56" i="1"/>
  <c r="AB56" i="1"/>
  <c r="Z57" i="1"/>
  <c r="Q60" i="1"/>
  <c r="AG60" i="1"/>
  <c r="AD61" i="1"/>
  <c r="AG63" i="1"/>
  <c r="M65" i="1"/>
  <c r="Q65" i="1"/>
  <c r="N65" i="1"/>
  <c r="L65" i="1"/>
  <c r="AE65" i="1"/>
  <c r="N69" i="1"/>
  <c r="AA74" i="1"/>
  <c r="AG78" i="1"/>
  <c r="AG79" i="1"/>
  <c r="Z86" i="1"/>
  <c r="AA94" i="1"/>
  <c r="K98" i="1"/>
  <c r="J98" i="1"/>
  <c r="T39" i="2"/>
  <c r="H11" i="20" s="1"/>
  <c r="B43" i="19"/>
  <c r="B149" i="15"/>
  <c r="M149" i="2"/>
  <c r="A43" i="20" s="1"/>
  <c r="T50" i="3"/>
  <c r="H59" i="20" s="1"/>
  <c r="B69" i="19"/>
  <c r="B254" i="15"/>
  <c r="M84" i="3"/>
  <c r="A69" i="20" s="1"/>
  <c r="B101" i="19"/>
  <c r="B379" i="15"/>
  <c r="M39" i="4"/>
  <c r="A101" i="20" s="1"/>
  <c r="B157" i="19"/>
  <c r="B588" i="15"/>
  <c r="M78" i="5"/>
  <c r="A157" i="20" s="1"/>
  <c r="B171" i="19"/>
  <c r="B634" i="15"/>
  <c r="M124" i="5"/>
  <c r="A171" i="20" s="1"/>
  <c r="D662" i="15"/>
  <c r="T152" i="5"/>
  <c r="H179" i="20" s="1"/>
  <c r="A1036" i="15"/>
  <c r="A19" i="8"/>
  <c r="D1240" i="15"/>
  <c r="T50" i="9"/>
  <c r="H329" i="20" s="1"/>
  <c r="D1251" i="15"/>
  <c r="T61" i="9"/>
  <c r="H332" i="20" s="1"/>
  <c r="B344" i="19"/>
  <c r="B1291" i="15"/>
  <c r="M101" i="9"/>
  <c r="A344" i="20" s="1"/>
  <c r="D9" i="13"/>
  <c r="K23" i="13"/>
  <c r="H41" i="13"/>
  <c r="E56" i="13"/>
  <c r="F73" i="13"/>
  <c r="M87" i="13"/>
  <c r="B125" i="13"/>
  <c r="T42" i="1"/>
  <c r="R42" i="1"/>
  <c r="AB51" i="1"/>
  <c r="AA53" i="1"/>
  <c r="AB61" i="1"/>
  <c r="AD63" i="1"/>
  <c r="AG16" i="1"/>
  <c r="AB20" i="1"/>
  <c r="AC23" i="1"/>
  <c r="AG32" i="1"/>
  <c r="AF37" i="1"/>
  <c r="N52" i="1"/>
  <c r="O52" i="1"/>
  <c r="M52" i="1"/>
  <c r="L52" i="1"/>
  <c r="Y54" i="1"/>
  <c r="AH81" i="1"/>
  <c r="AA105" i="1"/>
  <c r="T70" i="5"/>
  <c r="H155" i="20" s="1"/>
  <c r="T112" i="8"/>
  <c r="H302" i="20" s="1"/>
  <c r="D1586" i="15"/>
  <c r="T56" i="11"/>
  <c r="H421" i="20" s="1"/>
  <c r="L9" i="13"/>
  <c r="C27" i="13"/>
  <c r="J41" i="13"/>
  <c r="G59" i="13"/>
  <c r="K73" i="13"/>
  <c r="L108" i="13"/>
  <c r="G129" i="13"/>
  <c r="B47" i="14"/>
  <c r="Q61" i="1"/>
  <c r="M61" i="1"/>
  <c r="P61" i="1"/>
  <c r="O61" i="1"/>
  <c r="N61" i="1"/>
  <c r="AE78" i="1"/>
  <c r="Z33" i="1"/>
  <c r="AA41" i="1"/>
  <c r="AE46" i="1"/>
  <c r="AD51" i="1"/>
  <c r="AD53" i="1"/>
  <c r="O55" i="1"/>
  <c r="L55" i="1"/>
  <c r="Q55" i="1"/>
  <c r="AB57" i="1"/>
  <c r="AD73" i="1"/>
  <c r="AC107" i="1"/>
  <c r="T129" i="3"/>
  <c r="H82" i="20" s="1"/>
  <c r="B98" i="19"/>
  <c r="B370" i="15"/>
  <c r="M30" i="4"/>
  <c r="A98" i="20" s="1"/>
  <c r="Q17" i="1"/>
  <c r="L17" i="1"/>
  <c r="P17" i="1"/>
  <c r="Y21" i="1"/>
  <c r="AB27" i="1"/>
  <c r="AA29" i="1"/>
  <c r="O31" i="1"/>
  <c r="N31" i="1"/>
  <c r="M31" i="1"/>
  <c r="AA33" i="1"/>
  <c r="AB41" i="1"/>
  <c r="O43" i="1"/>
  <c r="P43" i="1"/>
  <c r="AG51" i="1"/>
  <c r="AC52" i="1"/>
  <c r="Z54" i="1"/>
  <c r="M55" i="1"/>
  <c r="AA64" i="1"/>
  <c r="AB71" i="1"/>
  <c r="AD87" i="1"/>
  <c r="AA96" i="1"/>
  <c r="AF108" i="1"/>
  <c r="B41" i="19"/>
  <c r="B141" i="15"/>
  <c r="M141" i="2"/>
  <c r="A41" i="20" s="1"/>
  <c r="T78" i="4"/>
  <c r="H112" i="20" s="1"/>
  <c r="B153" i="19"/>
  <c r="B574" i="15"/>
  <c r="M64" i="5"/>
  <c r="A153" i="20" s="1"/>
  <c r="B267" i="19"/>
  <c r="B996" i="15"/>
  <c r="M146" i="7"/>
  <c r="A267" i="20" s="1"/>
  <c r="B1234" i="15"/>
  <c r="B327" i="19"/>
  <c r="M44" i="9"/>
  <c r="A327" i="20" s="1"/>
  <c r="B419" i="19"/>
  <c r="B1580" i="15"/>
  <c r="M50" i="11"/>
  <c r="A419" i="20" s="1"/>
  <c r="J12" i="13"/>
  <c r="E27" i="13"/>
  <c r="L44" i="13"/>
  <c r="C60" i="13"/>
  <c r="M94" i="13"/>
  <c r="G109" i="13"/>
  <c r="E130" i="13"/>
  <c r="B72" i="14"/>
  <c r="N32" i="1"/>
  <c r="M32" i="1"/>
  <c r="L32" i="1"/>
  <c r="Y55" i="1"/>
  <c r="AE62" i="1"/>
  <c r="Y74" i="1"/>
  <c r="AF38" i="1"/>
  <c r="AH42" i="1"/>
  <c r="AB52" i="1"/>
  <c r="AC55" i="1"/>
  <c r="B23" i="19"/>
  <c r="B81" i="15"/>
  <c r="M81" i="2"/>
  <c r="A23" i="20" s="1"/>
  <c r="AE20" i="1"/>
  <c r="Y31" i="1"/>
  <c r="P32" i="1"/>
  <c r="Q33" i="1"/>
  <c r="N33" i="1"/>
  <c r="M33" i="1"/>
  <c r="L33" i="1"/>
  <c r="AF35" i="1"/>
  <c r="K41" i="1"/>
  <c r="Z43" i="1"/>
  <c r="AE44" i="1"/>
  <c r="AC47" i="1"/>
  <c r="AA49" i="1"/>
  <c r="Q51" i="1"/>
  <c r="AF53" i="1"/>
  <c r="AH55" i="1"/>
  <c r="AH57" i="1"/>
  <c r="AH61" i="1"/>
  <c r="Z67" i="1"/>
  <c r="AE73" i="1"/>
  <c r="Y84" i="1"/>
  <c r="AG113" i="1"/>
  <c r="Y113" i="1"/>
  <c r="AH112" i="1"/>
  <c r="Z112" i="1"/>
  <c r="AA111" i="1"/>
  <c r="AB110" i="1"/>
  <c r="AC109" i="1"/>
  <c r="AD108" i="1"/>
  <c r="AE107" i="1"/>
  <c r="AF106" i="1"/>
  <c r="AG105" i="1"/>
  <c r="Y105" i="1"/>
  <c r="AH104" i="1"/>
  <c r="Z104" i="1"/>
  <c r="AA103" i="1"/>
  <c r="AB102" i="1"/>
  <c r="AC101" i="1"/>
  <c r="AD100" i="1"/>
  <c r="AE99" i="1"/>
  <c r="AF98" i="1"/>
  <c r="AG97" i="1"/>
  <c r="Y97" i="1"/>
  <c r="AH96" i="1"/>
  <c r="Z96" i="1"/>
  <c r="AA95" i="1"/>
  <c r="AB94" i="1"/>
  <c r="AC93" i="1"/>
  <c r="AD92" i="1"/>
  <c r="AE91" i="1"/>
  <c r="AF90" i="1"/>
  <c r="AG89" i="1"/>
  <c r="Y89" i="1"/>
  <c r="AH88" i="1"/>
  <c r="Z88" i="1"/>
  <c r="AA87" i="1"/>
  <c r="AB86" i="1"/>
  <c r="AC85" i="1"/>
  <c r="AD84" i="1"/>
  <c r="AE83" i="1"/>
  <c r="AF82" i="1"/>
  <c r="AG81" i="1"/>
  <c r="Y81" i="1"/>
  <c r="AH80" i="1"/>
  <c r="Z80" i="1"/>
  <c r="AA79" i="1"/>
  <c r="AA113" i="1"/>
  <c r="AA112" i="1"/>
  <c r="AB111" i="1"/>
  <c r="AC110" i="1"/>
  <c r="AB109" i="1"/>
  <c r="AC108" i="1"/>
  <c r="AD107" i="1"/>
  <c r="AE106" i="1"/>
  <c r="Z105" i="1"/>
  <c r="Y104" i="1"/>
  <c r="Z103" i="1"/>
  <c r="AA102" i="1"/>
  <c r="AA101" i="1"/>
  <c r="AB100" i="1"/>
  <c r="AC99" i="1"/>
  <c r="AD98" i="1"/>
  <c r="AH97" i="1"/>
  <c r="AG96" i="1"/>
  <c r="AH95" i="1"/>
  <c r="Y95" i="1"/>
  <c r="Z94" i="1"/>
  <c r="Z93" i="1"/>
  <c r="AA92" i="1"/>
  <c r="AB91" i="1"/>
  <c r="AC90" i="1"/>
  <c r="AF89" i="1"/>
  <c r="AF88" i="1"/>
  <c r="AG87" i="1"/>
  <c r="AH86" i="1"/>
  <c r="Y86" i="1"/>
  <c r="AH85" i="1"/>
  <c r="Y85" i="1"/>
  <c r="Z84" i="1"/>
  <c r="AA83" i="1"/>
  <c r="AB82" i="1"/>
  <c r="AE81" i="1"/>
  <c r="AE80" i="1"/>
  <c r="AF79" i="1"/>
  <c r="AF78" i="1"/>
  <c r="AG77" i="1"/>
  <c r="Y77" i="1"/>
  <c r="AH76" i="1"/>
  <c r="Z76" i="1"/>
  <c r="AA75" i="1"/>
  <c r="AB74" i="1"/>
  <c r="AC73" i="1"/>
  <c r="AD72" i="1"/>
  <c r="AE71" i="1"/>
  <c r="AF70" i="1"/>
  <c r="AG69" i="1"/>
  <c r="Y69" i="1"/>
  <c r="AH68" i="1"/>
  <c r="Z68" i="1"/>
  <c r="AA67" i="1"/>
  <c r="AB66" i="1"/>
  <c r="AC65" i="1"/>
  <c r="AD64" i="1"/>
  <c r="AE63" i="1"/>
  <c r="AF62" i="1"/>
  <c r="AG61" i="1"/>
  <c r="Y61" i="1"/>
  <c r="AH60" i="1"/>
  <c r="Z60" i="1"/>
  <c r="AA59" i="1"/>
  <c r="AB58" i="1"/>
  <c r="AC57" i="1"/>
  <c r="AD56" i="1"/>
  <c r="AE55" i="1"/>
  <c r="AF54" i="1"/>
  <c r="AG53" i="1"/>
  <c r="Y53" i="1"/>
  <c r="AH52" i="1"/>
  <c r="Z52" i="1"/>
  <c r="AA51" i="1"/>
  <c r="AB50" i="1"/>
  <c r="AC49" i="1"/>
  <c r="AH113" i="1"/>
  <c r="AG112" i="1"/>
  <c r="AH111" i="1"/>
  <c r="Y111" i="1"/>
  <c r="Z110" i="1"/>
  <c r="Z109" i="1"/>
  <c r="AA108" i="1"/>
  <c r="AB107" i="1"/>
  <c r="AC106" i="1"/>
  <c r="AF105" i="1"/>
  <c r="AF104" i="1"/>
  <c r="AG103" i="1"/>
  <c r="AH102" i="1"/>
  <c r="Y102" i="1"/>
  <c r="AH101" i="1"/>
  <c r="Y101" i="1"/>
  <c r="Z100" i="1"/>
  <c r="AA99" i="1"/>
  <c r="AB98" i="1"/>
  <c r="AE97" i="1"/>
  <c r="AE96" i="1"/>
  <c r="AF95" i="1"/>
  <c r="AG94" i="1"/>
  <c r="AG93" i="1"/>
  <c r="AH92" i="1"/>
  <c r="Y92" i="1"/>
  <c r="Z91" i="1"/>
  <c r="AA90" i="1"/>
  <c r="AD89" i="1"/>
  <c r="AD88" i="1"/>
  <c r="AE87" i="1"/>
  <c r="AF86" i="1"/>
  <c r="AF85" i="1"/>
  <c r="AG84" i="1"/>
  <c r="AH83" i="1"/>
  <c r="Y83" i="1"/>
  <c r="Z82" i="1"/>
  <c r="AC81" i="1"/>
  <c r="AC80" i="1"/>
  <c r="AD79" i="1"/>
  <c r="AD78" i="1"/>
  <c r="AE77" i="1"/>
  <c r="AF76" i="1"/>
  <c r="AG75" i="1"/>
  <c r="Y75" i="1"/>
  <c r="AH74" i="1"/>
  <c r="Z74" i="1"/>
  <c r="AA73" i="1"/>
  <c r="AB72" i="1"/>
  <c r="AC71" i="1"/>
  <c r="AD70" i="1"/>
  <c r="AE69" i="1"/>
  <c r="AF68" i="1"/>
  <c r="AG67" i="1"/>
  <c r="Y67" i="1"/>
  <c r="AH66" i="1"/>
  <c r="Z66" i="1"/>
  <c r="AA65" i="1"/>
  <c r="AB64" i="1"/>
  <c r="AC63" i="1"/>
  <c r="AE113" i="1"/>
  <c r="AE112" i="1"/>
  <c r="AF111" i="1"/>
  <c r="AG110" i="1"/>
  <c r="AG109" i="1"/>
  <c r="AH108" i="1"/>
  <c r="Y108" i="1"/>
  <c r="Z107" i="1"/>
  <c r="AA106" i="1"/>
  <c r="AD105" i="1"/>
  <c r="AD104" i="1"/>
  <c r="AE103" i="1"/>
  <c r="AF102" i="1"/>
  <c r="AF101" i="1"/>
  <c r="AG100" i="1"/>
  <c r="AH99" i="1"/>
  <c r="Y99" i="1"/>
  <c r="Z98" i="1"/>
  <c r="AC97" i="1"/>
  <c r="AC96" i="1"/>
  <c r="AD95" i="1"/>
  <c r="AE94" i="1"/>
  <c r="AE93" i="1"/>
  <c r="AF92" i="1"/>
  <c r="AG91" i="1"/>
  <c r="AH90" i="1"/>
  <c r="Y90" i="1"/>
  <c r="AB89" i="1"/>
  <c r="AB88" i="1"/>
  <c r="AC87" i="1"/>
  <c r="AD86" i="1"/>
  <c r="AD85" i="1"/>
  <c r="AE84" i="1"/>
  <c r="AF83" i="1"/>
  <c r="AG82" i="1"/>
  <c r="AA81" i="1"/>
  <c r="AA80" i="1"/>
  <c r="AB79" i="1"/>
  <c r="AB78" i="1"/>
  <c r="AC77" i="1"/>
  <c r="AD76" i="1"/>
  <c r="AE75" i="1"/>
  <c r="AF74" i="1"/>
  <c r="AG73" i="1"/>
  <c r="Y73" i="1"/>
  <c r="AH72" i="1"/>
  <c r="Z72" i="1"/>
  <c r="AA71" i="1"/>
  <c r="AB70" i="1"/>
  <c r="AC69" i="1"/>
  <c r="AD68" i="1"/>
  <c r="AE67" i="1"/>
  <c r="AF66" i="1"/>
  <c r="AG65" i="1"/>
  <c r="Y65" i="1"/>
  <c r="AH64" i="1"/>
  <c r="Z64" i="1"/>
  <c r="AA63" i="1"/>
  <c r="AB62" i="1"/>
  <c r="AC61" i="1"/>
  <c r="AD60" i="1"/>
  <c r="AE59" i="1"/>
  <c r="AF58" i="1"/>
  <c r="AG57" i="1"/>
  <c r="Y57" i="1"/>
  <c r="AH56" i="1"/>
  <c r="Z56" i="1"/>
  <c r="AA55" i="1"/>
  <c r="AB54" i="1"/>
  <c r="AC53" i="1"/>
  <c r="AD52" i="1"/>
  <c r="AE51" i="1"/>
  <c r="AF50" i="1"/>
  <c r="AG49" i="1"/>
  <c r="Y49" i="1"/>
  <c r="AH48" i="1"/>
  <c r="Z48" i="1"/>
  <c r="AA47" i="1"/>
  <c r="AB46" i="1"/>
  <c r="AC45" i="1"/>
  <c r="AD44" i="1"/>
  <c r="AE43" i="1"/>
  <c r="AF42" i="1"/>
  <c r="AG41" i="1"/>
  <c r="Y41" i="1"/>
  <c r="AH40" i="1"/>
  <c r="Z40" i="1"/>
  <c r="AA39" i="1"/>
  <c r="AB38" i="1"/>
  <c r="AC37" i="1"/>
  <c r="AD36" i="1"/>
  <c r="AE35" i="1"/>
  <c r="AF34" i="1"/>
  <c r="AG33" i="1"/>
  <c r="Y33" i="1"/>
  <c r="AH32" i="1"/>
  <c r="Z32" i="1"/>
  <c r="AA31" i="1"/>
  <c r="AB30" i="1"/>
  <c r="AC29" i="1"/>
  <c r="AD28" i="1"/>
  <c r="AE27" i="1"/>
  <c r="AF26" i="1"/>
  <c r="AG25" i="1"/>
  <c r="Y25" i="1"/>
  <c r="AH24" i="1"/>
  <c r="Z24" i="1"/>
  <c r="AA23" i="1"/>
  <c r="AB22" i="1"/>
  <c r="AC21" i="1"/>
  <c r="AD20" i="1"/>
  <c r="AE19" i="1"/>
  <c r="AF18" i="1"/>
  <c r="AG17" i="1"/>
  <c r="Y17" i="1"/>
  <c r="AH16" i="1"/>
  <c r="Z16" i="1"/>
  <c r="AA15" i="1"/>
  <c r="AB14" i="1"/>
  <c r="AD113" i="1"/>
  <c r="AD112" i="1"/>
  <c r="AF110" i="1"/>
  <c r="AF109" i="1"/>
  <c r="Y107" i="1"/>
  <c r="AC105" i="1"/>
  <c r="AC104" i="1"/>
  <c r="AH98" i="1"/>
  <c r="AB97" i="1"/>
  <c r="AB96" i="1"/>
  <c r="AC95" i="1"/>
  <c r="AE92" i="1"/>
  <c r="AG90" i="1"/>
  <c r="AE111" i="1"/>
  <c r="AG108" i="1"/>
  <c r="AH107" i="1"/>
  <c r="Z106" i="1"/>
  <c r="AD103" i="1"/>
  <c r="AE102" i="1"/>
  <c r="AE101" i="1"/>
  <c r="AF100" i="1"/>
  <c r="AG99" i="1"/>
  <c r="Y98" i="1"/>
  <c r="AD94" i="1"/>
  <c r="AD93" i="1"/>
  <c r="AF91" i="1"/>
  <c r="AG111" i="1"/>
  <c r="AE108" i="1"/>
  <c r="AB104" i="1"/>
  <c r="AH100" i="1"/>
  <c r="AB99" i="1"/>
  <c r="Y96" i="1"/>
  <c r="Y94" i="1"/>
  <c r="AG92" i="1"/>
  <c r="Y91" i="1"/>
  <c r="AB87" i="1"/>
  <c r="AA85" i="1"/>
  <c r="AD83" i="1"/>
  <c r="AF81" i="1"/>
  <c r="AC79" i="1"/>
  <c r="AC78" i="1"/>
  <c r="AH77" i="1"/>
  <c r="AG76" i="1"/>
  <c r="AB73" i="1"/>
  <c r="AA72" i="1"/>
  <c r="Z71" i="1"/>
  <c r="AA70" i="1"/>
  <c r="AF69" i="1"/>
  <c r="AE68" i="1"/>
  <c r="Z65" i="1"/>
  <c r="Y64" i="1"/>
  <c r="Y63" i="1"/>
  <c r="Y62" i="1"/>
  <c r="AA61" i="1"/>
  <c r="AA60" i="1"/>
  <c r="AB59" i="1"/>
  <c r="AC58" i="1"/>
  <c r="AF57" i="1"/>
  <c r="AF56" i="1"/>
  <c r="AG55" i="1"/>
  <c r="AH54" i="1"/>
  <c r="Z53" i="1"/>
  <c r="Y52" i="1"/>
  <c r="Z51" i="1"/>
  <c r="AA50" i="1"/>
  <c r="AE49" i="1"/>
  <c r="Y48" i="1"/>
  <c r="Z47" i="1"/>
  <c r="AA46" i="1"/>
  <c r="AA45" i="1"/>
  <c r="AB44" i="1"/>
  <c r="AC43" i="1"/>
  <c r="AD42" i="1"/>
  <c r="AH41" i="1"/>
  <c r="AG40" i="1"/>
  <c r="AH39" i="1"/>
  <c r="Y39" i="1"/>
  <c r="Z38" i="1"/>
  <c r="Z37" i="1"/>
  <c r="AA36" i="1"/>
  <c r="AB35" i="1"/>
  <c r="AC34" i="1"/>
  <c r="AF33" i="1"/>
  <c r="AF32" i="1"/>
  <c r="AG31" i="1"/>
  <c r="AH30" i="1"/>
  <c r="Y30" i="1"/>
  <c r="AH29" i="1"/>
  <c r="Y29" i="1"/>
  <c r="Z28" i="1"/>
  <c r="AA27" i="1"/>
  <c r="AB26" i="1"/>
  <c r="AE25" i="1"/>
  <c r="AE24" i="1"/>
  <c r="AF23" i="1"/>
  <c r="AG22" i="1"/>
  <c r="AG21" i="1"/>
  <c r="AH20" i="1"/>
  <c r="Y20" i="1"/>
  <c r="Z19" i="1"/>
  <c r="AA18" i="1"/>
  <c r="AD17" i="1"/>
  <c r="AD16" i="1"/>
  <c r="AE15" i="1"/>
  <c r="AF14" i="1"/>
  <c r="AE23" i="1"/>
  <c r="AF21" i="1"/>
  <c r="AG20" i="1"/>
  <c r="AH19" i="1"/>
  <c r="AC17" i="1"/>
  <c r="AD15" i="1"/>
  <c r="AF20" i="1"/>
  <c r="AG19" i="1"/>
  <c r="Y18" i="1"/>
  <c r="AF112" i="1"/>
  <c r="AD111" i="1"/>
  <c r="AH109" i="1"/>
  <c r="AB108" i="1"/>
  <c r="AA104" i="1"/>
  <c r="AH103" i="1"/>
  <c r="AG102" i="1"/>
  <c r="AE100" i="1"/>
  <c r="Z99" i="1"/>
  <c r="AF97" i="1"/>
  <c r="AG95" i="1"/>
  <c r="AC92" i="1"/>
  <c r="AH89" i="1"/>
  <c r="Z87" i="1"/>
  <c r="Z85" i="1"/>
  <c r="AH84" i="1"/>
  <c r="AC83" i="1"/>
  <c r="AD81" i="1"/>
  <c r="Z79" i="1"/>
  <c r="AA78" i="1"/>
  <c r="AF77" i="1"/>
  <c r="AE76" i="1"/>
  <c r="Z73" i="1"/>
  <c r="Y72" i="1"/>
  <c r="Y71" i="1"/>
  <c r="Z70" i="1"/>
  <c r="AD69" i="1"/>
  <c r="AC68" i="1"/>
  <c r="AH67" i="1"/>
  <c r="AG66" i="1"/>
  <c r="AH62" i="1"/>
  <c r="Z61" i="1"/>
  <c r="Y60" i="1"/>
  <c r="Z59" i="1"/>
  <c r="AA58" i="1"/>
  <c r="AE57" i="1"/>
  <c r="AE56" i="1"/>
  <c r="AF55" i="1"/>
  <c r="AG54" i="1"/>
  <c r="Y51" i="1"/>
  <c r="Z50" i="1"/>
  <c r="AD49" i="1"/>
  <c r="AG48" i="1"/>
  <c r="AH47" i="1"/>
  <c r="Y47" i="1"/>
  <c r="Z46" i="1"/>
  <c r="Z45" i="1"/>
  <c r="AA44" i="1"/>
  <c r="AB43" i="1"/>
  <c r="AC42" i="1"/>
  <c r="AF41" i="1"/>
  <c r="AF40" i="1"/>
  <c r="AG39" i="1"/>
  <c r="AH38" i="1"/>
  <c r="Y38" i="1"/>
  <c r="AH37" i="1"/>
  <c r="Y37" i="1"/>
  <c r="Z36" i="1"/>
  <c r="AA35" i="1"/>
  <c r="AB34" i="1"/>
  <c r="AE33" i="1"/>
  <c r="AE32" i="1"/>
  <c r="AF31" i="1"/>
  <c r="AG30" i="1"/>
  <c r="AG29" i="1"/>
  <c r="AH28" i="1"/>
  <c r="Y28" i="1"/>
  <c r="Z27" i="1"/>
  <c r="AA26" i="1"/>
  <c r="AD25" i="1"/>
  <c r="AD24" i="1"/>
  <c r="AF22" i="1"/>
  <c r="Y19" i="1"/>
  <c r="Z18" i="1"/>
  <c r="AC16" i="1"/>
  <c r="AE14" i="1"/>
  <c r="AE21" i="1"/>
  <c r="AH18" i="1"/>
  <c r="AB16" i="1"/>
  <c r="AC15" i="1"/>
  <c r="AC113" i="1"/>
  <c r="Z111" i="1"/>
  <c r="AH110" i="1"/>
  <c r="AH105" i="1"/>
  <c r="AC103" i="1"/>
  <c r="AC102" i="1"/>
  <c r="AA100" i="1"/>
  <c r="AA97" i="1"/>
  <c r="AB95" i="1"/>
  <c r="AF93" i="1"/>
  <c r="Z92" i="1"/>
  <c r="AD90" i="1"/>
  <c r="AC89" i="1"/>
  <c r="AC84" i="1"/>
  <c r="AE82" i="1"/>
  <c r="AF80" i="1"/>
  <c r="AB77" i="1"/>
  <c r="AE74" i="1"/>
  <c r="AH71" i="1"/>
  <c r="AF113" i="1"/>
  <c r="AC112" i="1"/>
  <c r="AC111" i="1"/>
  <c r="AE109" i="1"/>
  <c r="Z108" i="1"/>
  <c r="AF103" i="1"/>
  <c r="AD102" i="1"/>
  <c r="AC100" i="1"/>
  <c r="AD97" i="1"/>
  <c r="AE95" i="1"/>
  <c r="AH93" i="1"/>
  <c r="AB92" i="1"/>
  <c r="AE90" i="1"/>
  <c r="AE89" i="1"/>
  <c r="Y87" i="1"/>
  <c r="AG86" i="1"/>
  <c r="AF84" i="1"/>
  <c r="AB83" i="1"/>
  <c r="AH82" i="1"/>
  <c r="AB81" i="1"/>
  <c r="AG80" i="1"/>
  <c r="Y79" i="1"/>
  <c r="Z78" i="1"/>
  <c r="AD77" i="1"/>
  <c r="AC76" i="1"/>
  <c r="AH75" i="1"/>
  <c r="AG74" i="1"/>
  <c r="Y70" i="1"/>
  <c r="AB69" i="1"/>
  <c r="AB68" i="1"/>
  <c r="AF67" i="1"/>
  <c r="AE66" i="1"/>
  <c r="AH63" i="1"/>
  <c r="AG62" i="1"/>
  <c r="Y59" i="1"/>
  <c r="Z58" i="1"/>
  <c r="AD57" i="1"/>
  <c r="AC56" i="1"/>
  <c r="AD55" i="1"/>
  <c r="AE54" i="1"/>
  <c r="AH53" i="1"/>
  <c r="AG52" i="1"/>
  <c r="AH51" i="1"/>
  <c r="Y50" i="1"/>
  <c r="AB49" i="1"/>
  <c r="AF48" i="1"/>
  <c r="AG47" i="1"/>
  <c r="AH46" i="1"/>
  <c r="Y46" i="1"/>
  <c r="AH45" i="1"/>
  <c r="Y45" i="1"/>
  <c r="Z44" i="1"/>
  <c r="AA43" i="1"/>
  <c r="AB42" i="1"/>
  <c r="AE41" i="1"/>
  <c r="AE40" i="1"/>
  <c r="AF39" i="1"/>
  <c r="AG38" i="1"/>
  <c r="AG37" i="1"/>
  <c r="AH36" i="1"/>
  <c r="Y36" i="1"/>
  <c r="Z35" i="1"/>
  <c r="AA34" i="1"/>
  <c r="AD33" i="1"/>
  <c r="AD32" i="1"/>
  <c r="AE31" i="1"/>
  <c r="AF30" i="1"/>
  <c r="AF29" i="1"/>
  <c r="AG28" i="1"/>
  <c r="AH27" i="1"/>
  <c r="Y27" i="1"/>
  <c r="Z26" i="1"/>
  <c r="AC25" i="1"/>
  <c r="AC24" i="1"/>
  <c r="AD23" i="1"/>
  <c r="AE22" i="1"/>
  <c r="AB17" i="1"/>
  <c r="AD14" i="1"/>
  <c r="AB112" i="1"/>
  <c r="AD109" i="1"/>
  <c r="AH106" i="1"/>
  <c r="AG98" i="1"/>
  <c r="AG88" i="1"/>
  <c r="AE86" i="1"/>
  <c r="Z83" i="1"/>
  <c r="Z81" i="1"/>
  <c r="Y78" i="1"/>
  <c r="AB76" i="1"/>
  <c r="AF75" i="1"/>
  <c r="AB113" i="1"/>
  <c r="Y112" i="1"/>
  <c r="AE110" i="1"/>
  <c r="AA109" i="1"/>
  <c r="AG107" i="1"/>
  <c r="AG106" i="1"/>
  <c r="AE105" i="1"/>
  <c r="AB103" i="1"/>
  <c r="Z102" i="1"/>
  <c r="AG101" i="1"/>
  <c r="Y100" i="1"/>
  <c r="AE98" i="1"/>
  <c r="Z97" i="1"/>
  <c r="Z95" i="1"/>
  <c r="AH94" i="1"/>
  <c r="AB93" i="1"/>
  <c r="AH91" i="1"/>
  <c r="AB90" i="1"/>
  <c r="AA89" i="1"/>
  <c r="AE88" i="1"/>
  <c r="AC86" i="1"/>
  <c r="AB84" i="1"/>
  <c r="AD82" i="1"/>
  <c r="AD80" i="1"/>
  <c r="AA77" i="1"/>
  <c r="AA76" i="1"/>
  <c r="AD75" i="1"/>
  <c r="AD74" i="1"/>
  <c r="AH73" i="1"/>
  <c r="AG72" i="1"/>
  <c r="AG71" i="1"/>
  <c r="AH70" i="1"/>
  <c r="Z69" i="1"/>
  <c r="Y68" i="1"/>
  <c r="AC67" i="1"/>
  <c r="AC66" i="1"/>
  <c r="AF65" i="1"/>
  <c r="AF64" i="1"/>
  <c r="AF63" i="1"/>
  <c r="AD62" i="1"/>
  <c r="AF61" i="1"/>
  <c r="AF60" i="1"/>
  <c r="AG59" i="1"/>
  <c r="AH58" i="1"/>
  <c r="AA57" i="1"/>
  <c r="AA56" i="1"/>
  <c r="AB55" i="1"/>
  <c r="AC54" i="1"/>
  <c r="AE53" i="1"/>
  <c r="AE52" i="1"/>
  <c r="AF51" i="1"/>
  <c r="AG50" i="1"/>
  <c r="Z49" i="1"/>
  <c r="AD48" i="1"/>
  <c r="AE47" i="1"/>
  <c r="AF46" i="1"/>
  <c r="AF45" i="1"/>
  <c r="AG44" i="1"/>
  <c r="AH43" i="1"/>
  <c r="Y43" i="1"/>
  <c r="Z42" i="1"/>
  <c r="AC41" i="1"/>
  <c r="AC40" i="1"/>
  <c r="AD39" i="1"/>
  <c r="AE38" i="1"/>
  <c r="AE37" i="1"/>
  <c r="AF36" i="1"/>
  <c r="AG35" i="1"/>
  <c r="AH34" i="1"/>
  <c r="Y34" i="1"/>
  <c r="AB33" i="1"/>
  <c r="AB32" i="1"/>
  <c r="AC31" i="1"/>
  <c r="AD30" i="1"/>
  <c r="AD29" i="1"/>
  <c r="AE28" i="1"/>
  <c r="AF27" i="1"/>
  <c r="AG26" i="1"/>
  <c r="AA25" i="1"/>
  <c r="AA24" i="1"/>
  <c r="AB23" i="1"/>
  <c r="AC22" i="1"/>
  <c r="AB21" i="1"/>
  <c r="AC20" i="1"/>
  <c r="AD19" i="1"/>
  <c r="AE18" i="1"/>
  <c r="Z17" i="1"/>
  <c r="Y16" i="1"/>
  <c r="Z15" i="1"/>
  <c r="AA14" i="1"/>
  <c r="Z113" i="1"/>
  <c r="AD110" i="1"/>
  <c r="Y109" i="1"/>
  <c r="AF107" i="1"/>
  <c r="AD106" i="1"/>
  <c r="AB105" i="1"/>
  <c r="Y103" i="1"/>
  <c r="AD101" i="1"/>
  <c r="AC98" i="1"/>
  <c r="AF96" i="1"/>
  <c r="AF94" i="1"/>
  <c r="AA93" i="1"/>
  <c r="AD91" i="1"/>
  <c r="Z90" i="1"/>
  <c r="Z89" i="1"/>
  <c r="AC88" i="1"/>
  <c r="AH87" i="1"/>
  <c r="AA86" i="1"/>
  <c r="AG85" i="1"/>
  <c r="AA84" i="1"/>
  <c r="AC82" i="1"/>
  <c r="AB80" i="1"/>
  <c r="AH79" i="1"/>
  <c r="AH78" i="1"/>
  <c r="Z77" i="1"/>
  <c r="Y76" i="1"/>
  <c r="AC75" i="1"/>
  <c r="AC74" i="1"/>
  <c r="AF73" i="1"/>
  <c r="AF72" i="1"/>
  <c r="AF71" i="1"/>
  <c r="AG70" i="1"/>
  <c r="AF15" i="1"/>
  <c r="M17" i="1"/>
  <c r="AE17" i="1"/>
  <c r="AC18" i="1"/>
  <c r="AA19" i="1"/>
  <c r="Z21" i="1"/>
  <c r="P23" i="1"/>
  <c r="AH23" i="1"/>
  <c r="Y24" i="1"/>
  <c r="Y26" i="1"/>
  <c r="AC27" i="1"/>
  <c r="AA28" i="1"/>
  <c r="K29" i="1"/>
  <c r="AB29" i="1"/>
  <c r="Z31" i="1"/>
  <c r="Q32" i="1"/>
  <c r="AC33" i="1"/>
  <c r="AE34" i="1"/>
  <c r="AH35" i="1"/>
  <c r="AB39" i="1"/>
  <c r="P41" i="1"/>
  <c r="AD41" i="1"/>
  <c r="L43" i="1"/>
  <c r="AD43" i="1"/>
  <c r="AF44" i="1"/>
  <c r="AG45" i="1"/>
  <c r="AD47" i="1"/>
  <c r="AF49" i="1"/>
  <c r="P52" i="1"/>
  <c r="AF52" i="1"/>
  <c r="AA54" i="1"/>
  <c r="N55" i="1"/>
  <c r="Y58" i="1"/>
  <c r="O59" i="1"/>
  <c r="Q59" i="1"/>
  <c r="P59" i="1"/>
  <c r="N59" i="1"/>
  <c r="L59" i="1"/>
  <c r="AC59" i="1"/>
  <c r="AC64" i="1"/>
  <c r="AB67" i="1"/>
  <c r="AD71" i="1"/>
  <c r="T74" i="1"/>
  <c r="R74" i="1"/>
  <c r="S74" i="1"/>
  <c r="Y80" i="1"/>
  <c r="AF87" i="1"/>
  <c r="Q89" i="1"/>
  <c r="N89" i="1"/>
  <c r="L89" i="1"/>
  <c r="P89" i="1"/>
  <c r="O89" i="1"/>
  <c r="M89" i="1"/>
  <c r="AD96" i="1"/>
  <c r="M101" i="1"/>
  <c r="P101" i="1"/>
  <c r="N101" i="1"/>
  <c r="L101" i="1"/>
  <c r="Q101" i="1"/>
  <c r="O101" i="1"/>
  <c r="T104" i="2"/>
  <c r="H30" i="20" s="1"/>
  <c r="T22" i="4"/>
  <c r="H96" i="20" s="1"/>
  <c r="D770" i="15"/>
  <c r="T90" i="6"/>
  <c r="H206" i="20" s="1"/>
  <c r="D781" i="15"/>
  <c r="T101" i="6"/>
  <c r="H209" i="20" s="1"/>
  <c r="T39" i="10"/>
  <c r="H371" i="20" s="1"/>
  <c r="T141" i="10"/>
  <c r="H401" i="20" s="1"/>
  <c r="D1758" i="15"/>
  <c r="T58" i="12"/>
  <c r="D13" i="13"/>
  <c r="G30" i="13"/>
  <c r="H45" i="13"/>
  <c r="F80" i="13"/>
  <c r="I95" i="13"/>
  <c r="G2" i="19"/>
  <c r="F2" i="19"/>
  <c r="E2" i="19"/>
  <c r="D2" i="19"/>
  <c r="C2" i="19"/>
  <c r="H2" i="19"/>
  <c r="A2" i="19"/>
  <c r="AE50" i="1"/>
  <c r="Y15" i="1"/>
  <c r="Z29" i="1"/>
  <c r="Z34" i="1"/>
  <c r="P39" i="1"/>
  <c r="O39" i="1"/>
  <c r="N39" i="1"/>
  <c r="L39" i="1"/>
  <c r="AD45" i="1"/>
  <c r="L51" i="1"/>
  <c r="AG56" i="1"/>
  <c r="AE61" i="1"/>
  <c r="AC94" i="1"/>
  <c r="AB18" i="1"/>
  <c r="M21" i="1"/>
  <c r="O21" i="1"/>
  <c r="L21" i="1"/>
  <c r="N21" i="1"/>
  <c r="AG23" i="1"/>
  <c r="K26" i="1"/>
  <c r="J26" i="1"/>
  <c r="AD34" i="1"/>
  <c r="Z39" i="1"/>
  <c r="S42" i="1"/>
  <c r="AE45" i="1"/>
  <c r="AG46" i="1"/>
  <c r="B101" i="14"/>
  <c r="B93" i="14"/>
  <c r="B85" i="14"/>
  <c r="B77" i="14"/>
  <c r="B69" i="14"/>
  <c r="B61" i="14"/>
  <c r="B53" i="14"/>
  <c r="B45" i="14"/>
  <c r="B37" i="14"/>
  <c r="B29" i="14"/>
  <c r="F144" i="13"/>
  <c r="J143" i="13"/>
  <c r="B143" i="13"/>
  <c r="F142" i="13"/>
  <c r="J141" i="13"/>
  <c r="B141" i="13"/>
  <c r="F140" i="13"/>
  <c r="J139" i="13"/>
  <c r="B100" i="14"/>
  <c r="B92" i="14"/>
  <c r="B84" i="14"/>
  <c r="B76" i="14"/>
  <c r="B68" i="14"/>
  <c r="B60" i="14"/>
  <c r="B52" i="14"/>
  <c r="B44" i="14"/>
  <c r="B36" i="14"/>
  <c r="B28" i="14"/>
  <c r="M144" i="13"/>
  <c r="E144" i="13"/>
  <c r="I143" i="13"/>
  <c r="M142" i="13"/>
  <c r="E142" i="13"/>
  <c r="I141" i="13"/>
  <c r="M140" i="13"/>
  <c r="E140" i="13"/>
  <c r="I139" i="13"/>
  <c r="M138" i="13"/>
  <c r="E138" i="13"/>
  <c r="B99" i="14"/>
  <c r="B91" i="14"/>
  <c r="B83" i="14"/>
  <c r="B75" i="14"/>
  <c r="B67" i="14"/>
  <c r="B59" i="14"/>
  <c r="B51" i="14"/>
  <c r="B43" i="14"/>
  <c r="B35" i="14"/>
  <c r="B27" i="14"/>
  <c r="L144" i="13"/>
  <c r="D144" i="13"/>
  <c r="H143" i="13"/>
  <c r="L142" i="13"/>
  <c r="D142" i="13"/>
  <c r="H141" i="13"/>
  <c r="L140" i="13"/>
  <c r="D140" i="13"/>
  <c r="H139" i="13"/>
  <c r="L138" i="13"/>
  <c r="D138" i="13"/>
  <c r="H137" i="13"/>
  <c r="B96" i="14"/>
  <c r="B82" i="14"/>
  <c r="B71" i="14"/>
  <c r="B57" i="14"/>
  <c r="B46" i="14"/>
  <c r="B32" i="14"/>
  <c r="C144" i="13"/>
  <c r="D143" i="13"/>
  <c r="B142" i="13"/>
  <c r="C141" i="13"/>
  <c r="M139" i="13"/>
  <c r="B139" i="13"/>
  <c r="B138" i="13"/>
  <c r="E137" i="13"/>
  <c r="I136" i="13"/>
  <c r="M135" i="13"/>
  <c r="E135" i="13"/>
  <c r="J130" i="13"/>
  <c r="B130" i="13"/>
  <c r="F129" i="13"/>
  <c r="J128" i="13"/>
  <c r="B128" i="13"/>
  <c r="F127" i="13"/>
  <c r="J126" i="13"/>
  <c r="B126" i="13"/>
  <c r="F125" i="13"/>
  <c r="J124" i="13"/>
  <c r="B124" i="13"/>
  <c r="F123" i="13"/>
  <c r="J122" i="13"/>
  <c r="B122" i="13"/>
  <c r="F121" i="13"/>
  <c r="K116" i="13"/>
  <c r="C116" i="13"/>
  <c r="G115" i="13"/>
  <c r="K114" i="13"/>
  <c r="B106" i="14"/>
  <c r="B95" i="14"/>
  <c r="B81" i="14"/>
  <c r="B70" i="14"/>
  <c r="B56" i="14"/>
  <c r="B42" i="14"/>
  <c r="B31" i="14"/>
  <c r="B144" i="13"/>
  <c r="C143" i="13"/>
  <c r="M141" i="13"/>
  <c r="K140" i="13"/>
  <c r="L139" i="13"/>
  <c r="K138" i="13"/>
  <c r="M137" i="13"/>
  <c r="D137" i="13"/>
  <c r="H136" i="13"/>
  <c r="L135" i="13"/>
  <c r="D135" i="13"/>
  <c r="I130" i="13"/>
  <c r="M129" i="13"/>
  <c r="E129" i="13"/>
  <c r="I128" i="13"/>
  <c r="M127" i="13"/>
  <c r="E127" i="13"/>
  <c r="I126" i="13"/>
  <c r="M125" i="13"/>
  <c r="E125" i="13"/>
  <c r="I124" i="13"/>
  <c r="M123" i="13"/>
  <c r="E123" i="13"/>
  <c r="I122" i="13"/>
  <c r="M121" i="13"/>
  <c r="E121" i="13"/>
  <c r="J116" i="13"/>
  <c r="B116" i="13"/>
  <c r="F115" i="13"/>
  <c r="B104" i="14"/>
  <c r="B90" i="14"/>
  <c r="B79" i="14"/>
  <c r="B65" i="14"/>
  <c r="B54" i="14"/>
  <c r="B40" i="14"/>
  <c r="B26" i="14"/>
  <c r="K144" i="13"/>
  <c r="L143" i="13"/>
  <c r="J142" i="13"/>
  <c r="K141" i="13"/>
  <c r="I140" i="13"/>
  <c r="G139" i="13"/>
  <c r="I138" i="13"/>
  <c r="K137" i="13"/>
  <c r="B137" i="13"/>
  <c r="F136" i="13"/>
  <c r="J135" i="13"/>
  <c r="B103" i="14"/>
  <c r="B89" i="14"/>
  <c r="B78" i="14"/>
  <c r="B64" i="14"/>
  <c r="B50" i="14"/>
  <c r="B39" i="14"/>
  <c r="B25" i="14"/>
  <c r="J144" i="13"/>
  <c r="K143" i="13"/>
  <c r="I142" i="13"/>
  <c r="G141" i="13"/>
  <c r="H140" i="13"/>
  <c r="F139" i="13"/>
  <c r="H138" i="13"/>
  <c r="J137" i="13"/>
  <c r="M136" i="13"/>
  <c r="E136" i="13"/>
  <c r="B105" i="14"/>
  <c r="B80" i="14"/>
  <c r="B55" i="14"/>
  <c r="B30" i="14"/>
  <c r="E143" i="13"/>
  <c r="D141" i="13"/>
  <c r="C139" i="13"/>
  <c r="F137" i="13"/>
  <c r="B136" i="13"/>
  <c r="D130" i="13"/>
  <c r="D129" i="13"/>
  <c r="F128" i="13"/>
  <c r="H127" i="13"/>
  <c r="H126" i="13"/>
  <c r="J125" i="13"/>
  <c r="L124" i="13"/>
  <c r="L123" i="13"/>
  <c r="B123" i="13"/>
  <c r="D122" i="13"/>
  <c r="D121" i="13"/>
  <c r="G116" i="13"/>
  <c r="I115" i="13"/>
  <c r="J114" i="13"/>
  <c r="B114" i="13"/>
  <c r="F113" i="13"/>
  <c r="J112" i="13"/>
  <c r="B112" i="13"/>
  <c r="F111" i="13"/>
  <c r="J110" i="13"/>
  <c r="B110" i="13"/>
  <c r="F109" i="13"/>
  <c r="J108" i="13"/>
  <c r="B108" i="13"/>
  <c r="F107" i="13"/>
  <c r="K102" i="13"/>
  <c r="C102" i="13"/>
  <c r="G101" i="13"/>
  <c r="K100" i="13"/>
  <c r="C100" i="13"/>
  <c r="G99" i="13"/>
  <c r="K98" i="13"/>
  <c r="C98" i="13"/>
  <c r="G97" i="13"/>
  <c r="K96" i="13"/>
  <c r="C96" i="13"/>
  <c r="G95" i="13"/>
  <c r="K94" i="13"/>
  <c r="C94" i="13"/>
  <c r="G93" i="13"/>
  <c r="L88" i="13"/>
  <c r="D88" i="13"/>
  <c r="H87" i="13"/>
  <c r="L86" i="13"/>
  <c r="D86" i="13"/>
  <c r="H85" i="13"/>
  <c r="L84" i="13"/>
  <c r="D84" i="13"/>
  <c r="H83" i="13"/>
  <c r="L82" i="13"/>
  <c r="D82" i="13"/>
  <c r="H81" i="13"/>
  <c r="L80" i="13"/>
  <c r="D80" i="13"/>
  <c r="H79" i="13"/>
  <c r="M74" i="13"/>
  <c r="E74" i="13"/>
  <c r="I73" i="13"/>
  <c r="M72" i="13"/>
  <c r="E72" i="13"/>
  <c r="I71" i="13"/>
  <c r="M70" i="13"/>
  <c r="E70" i="13"/>
  <c r="I69" i="13"/>
  <c r="M68" i="13"/>
  <c r="E68" i="13"/>
  <c r="I67" i="13"/>
  <c r="M66" i="13"/>
  <c r="E66" i="13"/>
  <c r="I65" i="13"/>
  <c r="F60" i="13"/>
  <c r="J59" i="13"/>
  <c r="B59" i="13"/>
  <c r="F58" i="13"/>
  <c r="J57" i="13"/>
  <c r="B57" i="13"/>
  <c r="F56" i="13"/>
  <c r="J55" i="13"/>
  <c r="B55" i="13"/>
  <c r="F54" i="13"/>
  <c r="J53" i="13"/>
  <c r="B53" i="13"/>
  <c r="F52" i="13"/>
  <c r="J51" i="13"/>
  <c r="B51" i="13"/>
  <c r="G46" i="13"/>
  <c r="K45" i="13"/>
  <c r="C45" i="13"/>
  <c r="G44" i="13"/>
  <c r="K43" i="13"/>
  <c r="C43" i="13"/>
  <c r="G42" i="13"/>
  <c r="K41" i="13"/>
  <c r="C41" i="13"/>
  <c r="G40" i="13"/>
  <c r="K39" i="13"/>
  <c r="C39" i="13"/>
  <c r="G38" i="13"/>
  <c r="K37" i="13"/>
  <c r="C37" i="13"/>
  <c r="H32" i="13"/>
  <c r="L31" i="13"/>
  <c r="D31" i="13"/>
  <c r="H30" i="13"/>
  <c r="L29" i="13"/>
  <c r="D29" i="13"/>
  <c r="H28" i="13"/>
  <c r="L27" i="13"/>
  <c r="D27" i="13"/>
  <c r="H26" i="13"/>
  <c r="L25" i="13"/>
  <c r="D25" i="13"/>
  <c r="H24" i="13"/>
  <c r="L23" i="13"/>
  <c r="D23" i="13"/>
  <c r="I18" i="13"/>
  <c r="M17" i="13"/>
  <c r="E17" i="13"/>
  <c r="I16" i="13"/>
  <c r="M15" i="13"/>
  <c r="E15" i="13"/>
  <c r="I14" i="13"/>
  <c r="M13" i="13"/>
  <c r="E13" i="13"/>
  <c r="I12" i="13"/>
  <c r="M11" i="13"/>
  <c r="E11" i="13"/>
  <c r="I10" i="13"/>
  <c r="M9" i="13"/>
  <c r="E9" i="13"/>
  <c r="D22" i="12"/>
  <c r="B13" i="12"/>
  <c r="B98" i="14"/>
  <c r="B73" i="14"/>
  <c r="B48" i="14"/>
  <c r="B23" i="14"/>
  <c r="I144" i="13"/>
  <c r="H142" i="13"/>
  <c r="G140" i="13"/>
  <c r="G138" i="13"/>
  <c r="L136" i="13"/>
  <c r="I135" i="13"/>
  <c r="L130" i="13"/>
  <c r="L129" i="13"/>
  <c r="B129" i="13"/>
  <c r="D128" i="13"/>
  <c r="D127" i="13"/>
  <c r="F126" i="13"/>
  <c r="H125" i="13"/>
  <c r="H124" i="13"/>
  <c r="J123" i="13"/>
  <c r="L122" i="13"/>
  <c r="L121" i="13"/>
  <c r="B121" i="13"/>
  <c r="E116" i="13"/>
  <c r="E115" i="13"/>
  <c r="H114" i="13"/>
  <c r="L113" i="13"/>
  <c r="D113" i="13"/>
  <c r="H112" i="13"/>
  <c r="L111" i="13"/>
  <c r="D111" i="13"/>
  <c r="H110" i="13"/>
  <c r="L109" i="13"/>
  <c r="D109" i="13"/>
  <c r="H108" i="13"/>
  <c r="L107" i="13"/>
  <c r="D107" i="13"/>
  <c r="I102" i="13"/>
  <c r="M101" i="13"/>
  <c r="E101" i="13"/>
  <c r="I100" i="13"/>
  <c r="M99" i="13"/>
  <c r="E99" i="13"/>
  <c r="I98" i="13"/>
  <c r="M97" i="13"/>
  <c r="E97" i="13"/>
  <c r="I96" i="13"/>
  <c r="M95" i="13"/>
  <c r="E95" i="13"/>
  <c r="I94" i="13"/>
  <c r="M93" i="13"/>
  <c r="E93" i="13"/>
  <c r="J88" i="13"/>
  <c r="B88" i="13"/>
  <c r="F87" i="13"/>
  <c r="J86" i="13"/>
  <c r="B86" i="13"/>
  <c r="F85" i="13"/>
  <c r="J84" i="13"/>
  <c r="B84" i="13"/>
  <c r="F83" i="13"/>
  <c r="J82" i="13"/>
  <c r="B82" i="13"/>
  <c r="F81" i="13"/>
  <c r="J80" i="13"/>
  <c r="B80" i="13"/>
  <c r="F79" i="13"/>
  <c r="K74" i="13"/>
  <c r="C74" i="13"/>
  <c r="G73" i="13"/>
  <c r="K72" i="13"/>
  <c r="C72" i="13"/>
  <c r="G71" i="13"/>
  <c r="K70" i="13"/>
  <c r="C70" i="13"/>
  <c r="G69" i="13"/>
  <c r="K68" i="13"/>
  <c r="C68" i="13"/>
  <c r="G67" i="13"/>
  <c r="K66" i="13"/>
  <c r="C66" i="13"/>
  <c r="G65" i="13"/>
  <c r="L60" i="13"/>
  <c r="D60" i="13"/>
  <c r="H59" i="13"/>
  <c r="L58" i="13"/>
  <c r="D58" i="13"/>
  <c r="H57" i="13"/>
  <c r="L56" i="13"/>
  <c r="D56" i="13"/>
  <c r="H55" i="13"/>
  <c r="L54" i="13"/>
  <c r="D54" i="13"/>
  <c r="H53" i="13"/>
  <c r="L52" i="13"/>
  <c r="D52" i="13"/>
  <c r="H51" i="13"/>
  <c r="M46" i="13"/>
  <c r="E46" i="13"/>
  <c r="I45" i="13"/>
  <c r="M44" i="13"/>
  <c r="E44" i="13"/>
  <c r="I43" i="13"/>
  <c r="M42" i="13"/>
  <c r="E42" i="13"/>
  <c r="I41" i="13"/>
  <c r="M40" i="13"/>
  <c r="E40" i="13"/>
  <c r="I39" i="13"/>
  <c r="M38" i="13"/>
  <c r="E38" i="13"/>
  <c r="I37" i="13"/>
  <c r="F32" i="13"/>
  <c r="J31" i="13"/>
  <c r="B31" i="13"/>
  <c r="F30" i="13"/>
  <c r="J29" i="13"/>
  <c r="B29" i="13"/>
  <c r="F28" i="13"/>
  <c r="J27" i="13"/>
  <c r="B27" i="13"/>
  <c r="F26" i="13"/>
  <c r="J25" i="13"/>
  <c r="B25" i="13"/>
  <c r="F24" i="13"/>
  <c r="J23" i="13"/>
  <c r="B23" i="13"/>
  <c r="G18" i="13"/>
  <c r="K17" i="13"/>
  <c r="C17" i="13"/>
  <c r="G16" i="13"/>
  <c r="K15" i="13"/>
  <c r="C15" i="13"/>
  <c r="G14" i="13"/>
  <c r="K13" i="13"/>
  <c r="C13" i="13"/>
  <c r="G12" i="13"/>
  <c r="K11" i="13"/>
  <c r="C11" i="13"/>
  <c r="G10" i="13"/>
  <c r="K9" i="13"/>
  <c r="C9" i="13"/>
  <c r="B31" i="12"/>
  <c r="D16" i="12"/>
  <c r="B94" i="14"/>
  <c r="B66" i="14"/>
  <c r="B41" i="14"/>
  <c r="G144" i="13"/>
  <c r="C142" i="13"/>
  <c r="B140" i="13"/>
  <c r="C138" i="13"/>
  <c r="J136" i="13"/>
  <c r="G135" i="13"/>
  <c r="H130" i="13"/>
  <c r="J129" i="13"/>
  <c r="L128" i="13"/>
  <c r="L127" i="13"/>
  <c r="B127" i="13"/>
  <c r="D126" i="13"/>
  <c r="D125" i="13"/>
  <c r="F124" i="13"/>
  <c r="H123" i="13"/>
  <c r="H122" i="13"/>
  <c r="J121" i="13"/>
  <c r="M116" i="13"/>
  <c r="M115" i="13"/>
  <c r="C115" i="13"/>
  <c r="F114" i="13"/>
  <c r="J113" i="13"/>
  <c r="B113" i="13"/>
  <c r="F112" i="13"/>
  <c r="J111" i="13"/>
  <c r="B111" i="13"/>
  <c r="F110" i="13"/>
  <c r="J109" i="13"/>
  <c r="B109" i="13"/>
  <c r="F108" i="13"/>
  <c r="J107" i="13"/>
  <c r="B107" i="13"/>
  <c r="G102" i="13"/>
  <c r="K101" i="13"/>
  <c r="C101" i="13"/>
  <c r="G100" i="13"/>
  <c r="K99" i="13"/>
  <c r="C99" i="13"/>
  <c r="G98" i="13"/>
  <c r="K97" i="13"/>
  <c r="C97" i="13"/>
  <c r="G96" i="13"/>
  <c r="K95" i="13"/>
  <c r="C95" i="13"/>
  <c r="G94" i="13"/>
  <c r="K93" i="13"/>
  <c r="C93" i="13"/>
  <c r="H88" i="13"/>
  <c r="L87" i="13"/>
  <c r="D87" i="13"/>
  <c r="H86" i="13"/>
  <c r="L85" i="13"/>
  <c r="D85" i="13"/>
  <c r="H84" i="13"/>
  <c r="L83" i="13"/>
  <c r="D83" i="13"/>
  <c r="H82" i="13"/>
  <c r="L81" i="13"/>
  <c r="D81" i="13"/>
  <c r="H80" i="13"/>
  <c r="L79" i="13"/>
  <c r="D79" i="13"/>
  <c r="I74" i="13"/>
  <c r="M73" i="13"/>
  <c r="E73" i="13"/>
  <c r="I72" i="13"/>
  <c r="M71" i="13"/>
  <c r="E71" i="13"/>
  <c r="I70" i="13"/>
  <c r="M69" i="13"/>
  <c r="E69" i="13"/>
  <c r="I68" i="13"/>
  <c r="M67" i="13"/>
  <c r="E67" i="13"/>
  <c r="I66" i="13"/>
  <c r="M65" i="13"/>
  <c r="E65" i="13"/>
  <c r="J60" i="13"/>
  <c r="B60" i="13"/>
  <c r="F59" i="13"/>
  <c r="J58" i="13"/>
  <c r="B58" i="13"/>
  <c r="F57" i="13"/>
  <c r="J56" i="13"/>
  <c r="B56" i="13"/>
  <c r="F55" i="13"/>
  <c r="J54" i="13"/>
  <c r="B54" i="13"/>
  <c r="F53" i="13"/>
  <c r="J52" i="13"/>
  <c r="B52" i="13"/>
  <c r="F51" i="13"/>
  <c r="K46" i="13"/>
  <c r="C46" i="13"/>
  <c r="G45" i="13"/>
  <c r="K44" i="13"/>
  <c r="C44" i="13"/>
  <c r="G43" i="13"/>
  <c r="K42" i="13"/>
  <c r="C42" i="13"/>
  <c r="G41" i="13"/>
  <c r="K40" i="13"/>
  <c r="C40" i="13"/>
  <c r="G39" i="13"/>
  <c r="K38" i="13"/>
  <c r="C38" i="13"/>
  <c r="G37" i="13"/>
  <c r="L32" i="13"/>
  <c r="D32" i="13"/>
  <c r="H31" i="13"/>
  <c r="L30" i="13"/>
  <c r="D30" i="13"/>
  <c r="H29" i="13"/>
  <c r="L28" i="13"/>
  <c r="D28" i="13"/>
  <c r="H27" i="13"/>
  <c r="L26" i="13"/>
  <c r="D26" i="13"/>
  <c r="H25" i="13"/>
  <c r="L24" i="13"/>
  <c r="D24" i="13"/>
  <c r="H23" i="13"/>
  <c r="M18" i="13"/>
  <c r="E18" i="13"/>
  <c r="I17" i="13"/>
  <c r="M16" i="13"/>
  <c r="E16" i="13"/>
  <c r="I15" i="13"/>
  <c r="M14" i="13"/>
  <c r="E14" i="13"/>
  <c r="I13" i="13"/>
  <c r="M12" i="13"/>
  <c r="E12" i="13"/>
  <c r="I11" i="13"/>
  <c r="M10" i="13"/>
  <c r="E10" i="13"/>
  <c r="I9" i="13"/>
  <c r="B25" i="12"/>
  <c r="D10" i="12"/>
  <c r="B88" i="14"/>
  <c r="B63" i="14"/>
  <c r="B38" i="14"/>
  <c r="M143" i="13"/>
  <c r="L141" i="13"/>
  <c r="K139" i="13"/>
  <c r="L137" i="13"/>
  <c r="G136" i="13"/>
  <c r="F135" i="13"/>
  <c r="G130" i="13"/>
  <c r="I129" i="13"/>
  <c r="K128" i="13"/>
  <c r="K127" i="13"/>
  <c r="M126" i="13"/>
  <c r="C126" i="13"/>
  <c r="C125" i="13"/>
  <c r="E124" i="13"/>
  <c r="G123" i="13"/>
  <c r="G122" i="13"/>
  <c r="I121" i="13"/>
  <c r="L116" i="13"/>
  <c r="L115" i="13"/>
  <c r="B115" i="13"/>
  <c r="E114" i="13"/>
  <c r="I113" i="13"/>
  <c r="M112" i="13"/>
  <c r="E112" i="13"/>
  <c r="I111" i="13"/>
  <c r="M110" i="13"/>
  <c r="E110" i="13"/>
  <c r="I109" i="13"/>
  <c r="M108" i="13"/>
  <c r="E108" i="13"/>
  <c r="I107" i="13"/>
  <c r="F102" i="13"/>
  <c r="J101" i="13"/>
  <c r="B101" i="13"/>
  <c r="F100" i="13"/>
  <c r="J99" i="13"/>
  <c r="B99" i="13"/>
  <c r="F98" i="13"/>
  <c r="J97" i="13"/>
  <c r="B97" i="13"/>
  <c r="F96" i="13"/>
  <c r="J95" i="13"/>
  <c r="B95" i="13"/>
  <c r="F94" i="13"/>
  <c r="J93" i="13"/>
  <c r="B93" i="13"/>
  <c r="G88" i="13"/>
  <c r="K87" i="13"/>
  <c r="C87" i="13"/>
  <c r="G86" i="13"/>
  <c r="K85" i="13"/>
  <c r="C85" i="13"/>
  <c r="G84" i="13"/>
  <c r="K83" i="13"/>
  <c r="C83" i="13"/>
  <c r="G82" i="13"/>
  <c r="K81" i="13"/>
  <c r="C81" i="13"/>
  <c r="G80" i="13"/>
  <c r="K79" i="13"/>
  <c r="C79" i="13"/>
  <c r="H74" i="13"/>
  <c r="L73" i="13"/>
  <c r="D73" i="13"/>
  <c r="H72" i="13"/>
  <c r="L71" i="13"/>
  <c r="D71" i="13"/>
  <c r="H70" i="13"/>
  <c r="L69" i="13"/>
  <c r="D69" i="13"/>
  <c r="H68" i="13"/>
  <c r="L67" i="13"/>
  <c r="D67" i="13"/>
  <c r="H66" i="13"/>
  <c r="L65" i="13"/>
  <c r="D65" i="13"/>
  <c r="I60" i="13"/>
  <c r="M59" i="13"/>
  <c r="E59" i="13"/>
  <c r="I58" i="13"/>
  <c r="M57" i="13"/>
  <c r="E57" i="13"/>
  <c r="I56" i="13"/>
  <c r="M55" i="13"/>
  <c r="E55" i="13"/>
  <c r="I54" i="13"/>
  <c r="M53" i="13"/>
  <c r="E53" i="13"/>
  <c r="I52" i="13"/>
  <c r="M51" i="13"/>
  <c r="E51" i="13"/>
  <c r="J46" i="13"/>
  <c r="B46" i="13"/>
  <c r="F45" i="13"/>
  <c r="J44" i="13"/>
  <c r="B44" i="13"/>
  <c r="F43" i="13"/>
  <c r="J42" i="13"/>
  <c r="B42" i="13"/>
  <c r="F41" i="13"/>
  <c r="J40" i="13"/>
  <c r="B40" i="13"/>
  <c r="F39" i="13"/>
  <c r="J38" i="13"/>
  <c r="B38" i="13"/>
  <c r="F37" i="13"/>
  <c r="K32" i="13"/>
  <c r="C32" i="13"/>
  <c r="G31" i="13"/>
  <c r="K30" i="13"/>
  <c r="C30" i="13"/>
  <c r="G29" i="13"/>
  <c r="K28" i="13"/>
  <c r="C28" i="13"/>
  <c r="G27" i="13"/>
  <c r="K26" i="13"/>
  <c r="C26" i="13"/>
  <c r="G25" i="13"/>
  <c r="K24" i="13"/>
  <c r="C24" i="13"/>
  <c r="G23" i="13"/>
  <c r="L18" i="13"/>
  <c r="D18" i="13"/>
  <c r="H17" i="13"/>
  <c r="L16" i="13"/>
  <c r="D16" i="13"/>
  <c r="H15" i="13"/>
  <c r="L14" i="13"/>
  <c r="D14" i="13"/>
  <c r="H13" i="13"/>
  <c r="L12" i="13"/>
  <c r="D12" i="13"/>
  <c r="H11" i="13"/>
  <c r="L10" i="13"/>
  <c r="D10" i="13"/>
  <c r="H9" i="13"/>
  <c r="D19" i="12"/>
  <c r="B10" i="12"/>
  <c r="B62" i="14"/>
  <c r="G142" i="13"/>
  <c r="F138" i="13"/>
  <c r="H135" i="13"/>
  <c r="C130" i="13"/>
  <c r="E128" i="13"/>
  <c r="G126" i="13"/>
  <c r="K124" i="13"/>
  <c r="M122" i="13"/>
  <c r="C121" i="13"/>
  <c r="H115" i="13"/>
  <c r="M113" i="13"/>
  <c r="I112" i="13"/>
  <c r="E111" i="13"/>
  <c r="M109" i="13"/>
  <c r="I108" i="13"/>
  <c r="E107" i="13"/>
  <c r="D102" i="13"/>
  <c r="L100" i="13"/>
  <c r="H99" i="13"/>
  <c r="D98" i="13"/>
  <c r="L96" i="13"/>
  <c r="H95" i="13"/>
  <c r="D94" i="13"/>
  <c r="M88" i="13"/>
  <c r="I87" i="13"/>
  <c r="E86" i="13"/>
  <c r="M84" i="13"/>
  <c r="I83" i="13"/>
  <c r="E82" i="13"/>
  <c r="M80" i="13"/>
  <c r="I79" i="13"/>
  <c r="F74" i="13"/>
  <c r="B73" i="13"/>
  <c r="J71" i="13"/>
  <c r="F70" i="13"/>
  <c r="B69" i="13"/>
  <c r="J67" i="13"/>
  <c r="F66" i="13"/>
  <c r="B65" i="13"/>
  <c r="L59" i="13"/>
  <c r="H58" i="13"/>
  <c r="D57" i="13"/>
  <c r="L55" i="13"/>
  <c r="H54" i="13"/>
  <c r="D53" i="13"/>
  <c r="L51" i="13"/>
  <c r="I46" i="13"/>
  <c r="E45" i="13"/>
  <c r="M43" i="13"/>
  <c r="I42" i="13"/>
  <c r="E41" i="13"/>
  <c r="M39" i="13"/>
  <c r="I38" i="13"/>
  <c r="E37" i="13"/>
  <c r="E32" i="13"/>
  <c r="M30" i="13"/>
  <c r="I29" i="13"/>
  <c r="E28" i="13"/>
  <c r="M26" i="13"/>
  <c r="I25" i="13"/>
  <c r="E24" i="13"/>
  <c r="J17" i="13"/>
  <c r="F16" i="13"/>
  <c r="B15" i="13"/>
  <c r="J13" i="13"/>
  <c r="F12" i="13"/>
  <c r="B11" i="13"/>
  <c r="J9" i="13"/>
  <c r="B58" i="14"/>
  <c r="F141" i="13"/>
  <c r="I137" i="13"/>
  <c r="C135" i="13"/>
  <c r="K129" i="13"/>
  <c r="C128" i="13"/>
  <c r="E126" i="13"/>
  <c r="G124" i="13"/>
  <c r="K122" i="13"/>
  <c r="D115" i="13"/>
  <c r="K113" i="13"/>
  <c r="G112" i="13"/>
  <c r="C111" i="13"/>
  <c r="K109" i="13"/>
  <c r="G108" i="13"/>
  <c r="C107" i="13"/>
  <c r="B102" i="13"/>
  <c r="J100" i="13"/>
  <c r="F99" i="13"/>
  <c r="B98" i="13"/>
  <c r="J96" i="13"/>
  <c r="F95" i="13"/>
  <c r="B94" i="13"/>
  <c r="K88" i="13"/>
  <c r="G87" i="13"/>
  <c r="C86" i="13"/>
  <c r="K84" i="13"/>
  <c r="G83" i="13"/>
  <c r="C82" i="13"/>
  <c r="K80" i="13"/>
  <c r="G79" i="13"/>
  <c r="D74" i="13"/>
  <c r="L72" i="13"/>
  <c r="H71" i="13"/>
  <c r="D70" i="13"/>
  <c r="L68" i="13"/>
  <c r="H67" i="13"/>
  <c r="D66" i="13"/>
  <c r="K59" i="13"/>
  <c r="G58" i="13"/>
  <c r="C57" i="13"/>
  <c r="K55" i="13"/>
  <c r="G54" i="13"/>
  <c r="C53" i="13"/>
  <c r="K51" i="13"/>
  <c r="H46" i="13"/>
  <c r="D45" i="13"/>
  <c r="L43" i="13"/>
  <c r="H42" i="13"/>
  <c r="D41" i="13"/>
  <c r="L39" i="13"/>
  <c r="H38" i="13"/>
  <c r="D37" i="13"/>
  <c r="B32" i="13"/>
  <c r="J30" i="13"/>
  <c r="F29" i="13"/>
  <c r="B28" i="13"/>
  <c r="J26" i="13"/>
  <c r="F25" i="13"/>
  <c r="B24" i="13"/>
  <c r="K18" i="13"/>
  <c r="G17" i="13"/>
  <c r="C16" i="13"/>
  <c r="K14" i="13"/>
  <c r="G13" i="13"/>
  <c r="C12" i="13"/>
  <c r="K10" i="13"/>
  <c r="G9" i="13"/>
  <c r="B22" i="12"/>
  <c r="B19" i="12"/>
  <c r="B102" i="14"/>
  <c r="B49" i="14"/>
  <c r="E141" i="13"/>
  <c r="G137" i="13"/>
  <c r="B135" i="13"/>
  <c r="H129" i="13"/>
  <c r="J127" i="13"/>
  <c r="L125" i="13"/>
  <c r="D124" i="13"/>
  <c r="F122" i="13"/>
  <c r="I116" i="13"/>
  <c r="M114" i="13"/>
  <c r="H113" i="13"/>
  <c r="D112" i="13"/>
  <c r="L110" i="13"/>
  <c r="H109" i="13"/>
  <c r="D108" i="13"/>
  <c r="L101" i="13"/>
  <c r="H100" i="13"/>
  <c r="D99" i="13"/>
  <c r="L97" i="13"/>
  <c r="H96" i="13"/>
  <c r="D95" i="13"/>
  <c r="L93" i="13"/>
  <c r="I88" i="13"/>
  <c r="E87" i="13"/>
  <c r="M85" i="13"/>
  <c r="I84" i="13"/>
  <c r="E83" i="13"/>
  <c r="M81" i="13"/>
  <c r="I80" i="13"/>
  <c r="E79" i="13"/>
  <c r="B74" i="13"/>
  <c r="J72" i="13"/>
  <c r="F71" i="13"/>
  <c r="B70" i="13"/>
  <c r="J68" i="13"/>
  <c r="F67" i="13"/>
  <c r="B66" i="13"/>
  <c r="M60" i="13"/>
  <c r="I59" i="13"/>
  <c r="E58" i="13"/>
  <c r="M56" i="13"/>
  <c r="I55" i="13"/>
  <c r="E54" i="13"/>
  <c r="M52" i="13"/>
  <c r="I51" i="13"/>
  <c r="F46" i="13"/>
  <c r="B45" i="13"/>
  <c r="J43" i="13"/>
  <c r="F42" i="13"/>
  <c r="B41" i="13"/>
  <c r="J39" i="13"/>
  <c r="F38" i="13"/>
  <c r="B37" i="13"/>
  <c r="M31" i="13"/>
  <c r="I30" i="13"/>
  <c r="E29" i="13"/>
  <c r="M27" i="13"/>
  <c r="I26" i="13"/>
  <c r="E25" i="13"/>
  <c r="M23" i="13"/>
  <c r="J18" i="13"/>
  <c r="F17" i="13"/>
  <c r="B16" i="13"/>
  <c r="J14" i="13"/>
  <c r="F13" i="13"/>
  <c r="B12" i="13"/>
  <c r="J10" i="13"/>
  <c r="F9" i="13"/>
  <c r="B87" i="14"/>
  <c r="B34" i="14"/>
  <c r="H144" i="13"/>
  <c r="C140" i="13"/>
  <c r="K136" i="13"/>
  <c r="M130" i="13"/>
  <c r="C129" i="13"/>
  <c r="G127" i="13"/>
  <c r="I125" i="13"/>
  <c r="K123" i="13"/>
  <c r="C122" i="13"/>
  <c r="F116" i="13"/>
  <c r="I114" i="13"/>
  <c r="E113" i="13"/>
  <c r="M111" i="13"/>
  <c r="I110" i="13"/>
  <c r="E109" i="13"/>
  <c r="M107" i="13"/>
  <c r="L102" i="13"/>
  <c r="H101" i="13"/>
  <c r="D100" i="13"/>
  <c r="L98" i="13"/>
  <c r="H97" i="13"/>
  <c r="D96" i="13"/>
  <c r="L94" i="13"/>
  <c r="H93" i="13"/>
  <c r="E88" i="13"/>
  <c r="M86" i="13"/>
  <c r="I85" i="13"/>
  <c r="E84" i="13"/>
  <c r="M82" i="13"/>
  <c r="I81" i="13"/>
  <c r="E80" i="13"/>
  <c r="J73" i="13"/>
  <c r="F72" i="13"/>
  <c r="B71" i="13"/>
  <c r="J69" i="13"/>
  <c r="F68" i="13"/>
  <c r="B67" i="13"/>
  <c r="J65" i="13"/>
  <c r="H60" i="13"/>
  <c r="D59" i="13"/>
  <c r="L57" i="13"/>
  <c r="H56" i="13"/>
  <c r="D55" i="13"/>
  <c r="L53" i="13"/>
  <c r="H52" i="13"/>
  <c r="D51" i="13"/>
  <c r="M45" i="13"/>
  <c r="I44" i="13"/>
  <c r="E43" i="13"/>
  <c r="M41" i="13"/>
  <c r="I40" i="13"/>
  <c r="E39" i="13"/>
  <c r="M37" i="13"/>
  <c r="M32" i="13"/>
  <c r="I31" i="13"/>
  <c r="E30" i="13"/>
  <c r="M28" i="13"/>
  <c r="I27" i="13"/>
  <c r="E26" i="13"/>
  <c r="M24" i="13"/>
  <c r="I23" i="13"/>
  <c r="F18" i="13"/>
  <c r="B17" i="13"/>
  <c r="J15" i="13"/>
  <c r="F14" i="13"/>
  <c r="B13" i="13"/>
  <c r="J11" i="13"/>
  <c r="F10" i="13"/>
  <c r="B9" i="13"/>
  <c r="B16" i="12"/>
  <c r="B86" i="14"/>
  <c r="B33" i="14"/>
  <c r="G143" i="13"/>
  <c r="E139" i="13"/>
  <c r="D136" i="13"/>
  <c r="K130" i="13"/>
  <c r="M128" i="13"/>
  <c r="C127" i="13"/>
  <c r="G125" i="13"/>
  <c r="I123" i="13"/>
  <c r="K121" i="13"/>
  <c r="D116" i="13"/>
  <c r="G114" i="13"/>
  <c r="C113" i="13"/>
  <c r="K111" i="13"/>
  <c r="G110" i="13"/>
  <c r="C109" i="13"/>
  <c r="K107" i="13"/>
  <c r="J102" i="13"/>
  <c r="F101" i="13"/>
  <c r="B100" i="13"/>
  <c r="J98" i="13"/>
  <c r="F97" i="13"/>
  <c r="B96" i="13"/>
  <c r="J94" i="13"/>
  <c r="F93" i="13"/>
  <c r="C88" i="13"/>
  <c r="K86" i="13"/>
  <c r="G85" i="13"/>
  <c r="C84" i="13"/>
  <c r="K82" i="13"/>
  <c r="G81" i="13"/>
  <c r="C80" i="13"/>
  <c r="L74" i="13"/>
  <c r="H73" i="13"/>
  <c r="D72" i="13"/>
  <c r="L70" i="13"/>
  <c r="H69" i="13"/>
  <c r="D68" i="13"/>
  <c r="L66" i="13"/>
  <c r="H65" i="13"/>
  <c r="G60" i="13"/>
  <c r="C59" i="13"/>
  <c r="K57" i="13"/>
  <c r="G56" i="13"/>
  <c r="C55" i="13"/>
  <c r="K53" i="13"/>
  <c r="G52" i="13"/>
  <c r="C51" i="13"/>
  <c r="L45" i="13"/>
  <c r="H44" i="13"/>
  <c r="D43" i="13"/>
  <c r="L41" i="13"/>
  <c r="H40" i="13"/>
  <c r="D39" i="13"/>
  <c r="L37" i="13"/>
  <c r="J32" i="13"/>
  <c r="F31" i="13"/>
  <c r="B30" i="13"/>
  <c r="J28" i="13"/>
  <c r="F27" i="13"/>
  <c r="B26" i="13"/>
  <c r="J24" i="13"/>
  <c r="F23" i="13"/>
  <c r="C18" i="13"/>
  <c r="K16" i="13"/>
  <c r="G15" i="13"/>
  <c r="C14" i="13"/>
  <c r="K12" i="13"/>
  <c r="G11" i="13"/>
  <c r="C10" i="13"/>
  <c r="D28" i="12"/>
  <c r="B24" i="14"/>
  <c r="J138" i="13"/>
  <c r="H128" i="13"/>
  <c r="C124" i="13"/>
  <c r="K115" i="13"/>
  <c r="C112" i="13"/>
  <c r="K108" i="13"/>
  <c r="I101" i="13"/>
  <c r="E98" i="13"/>
  <c r="H94" i="13"/>
  <c r="B87" i="13"/>
  <c r="J83" i="13"/>
  <c r="M79" i="13"/>
  <c r="C73" i="13"/>
  <c r="F69" i="13"/>
  <c r="K65" i="13"/>
  <c r="M58" i="13"/>
  <c r="G55" i="13"/>
  <c r="C52" i="13"/>
  <c r="F44" i="13"/>
  <c r="L40" i="13"/>
  <c r="H37" i="13"/>
  <c r="M29" i="13"/>
  <c r="G26" i="13"/>
  <c r="C23" i="13"/>
  <c r="L15" i="13"/>
  <c r="H12" i="13"/>
  <c r="D13" i="12"/>
  <c r="L126" i="13"/>
  <c r="D114" i="13"/>
  <c r="G107" i="13"/>
  <c r="E100" i="13"/>
  <c r="D93" i="13"/>
  <c r="K71" i="13"/>
  <c r="I57" i="13"/>
  <c r="B43" i="13"/>
  <c r="G32" i="13"/>
  <c r="C25" i="13"/>
  <c r="D11" i="13"/>
  <c r="C137" i="13"/>
  <c r="G128" i="13"/>
  <c r="D123" i="13"/>
  <c r="J115" i="13"/>
  <c r="H111" i="13"/>
  <c r="C108" i="13"/>
  <c r="D101" i="13"/>
  <c r="I97" i="13"/>
  <c r="E94" i="13"/>
  <c r="I86" i="13"/>
  <c r="B83" i="13"/>
  <c r="J79" i="13"/>
  <c r="G72" i="13"/>
  <c r="C69" i="13"/>
  <c r="F65" i="13"/>
  <c r="K58" i="13"/>
  <c r="M54" i="13"/>
  <c r="G51" i="13"/>
  <c r="D44" i="13"/>
  <c r="F40" i="13"/>
  <c r="K29" i="13"/>
  <c r="M25" i="13"/>
  <c r="F15" i="13"/>
  <c r="L11" i="13"/>
  <c r="K135" i="13"/>
  <c r="K110" i="13"/>
  <c r="M96" i="13"/>
  <c r="F82" i="13"/>
  <c r="B68" i="13"/>
  <c r="C54" i="13"/>
  <c r="H39" i="13"/>
  <c r="B18" i="13"/>
  <c r="C136" i="13"/>
  <c r="I127" i="13"/>
  <c r="C123" i="13"/>
  <c r="L114" i="13"/>
  <c r="G111" i="13"/>
  <c r="H107" i="13"/>
  <c r="M100" i="13"/>
  <c r="D97" i="13"/>
  <c r="I93" i="13"/>
  <c r="F86" i="13"/>
  <c r="I82" i="13"/>
  <c r="B79" i="13"/>
  <c r="B72" i="13"/>
  <c r="G68" i="13"/>
  <c r="C65" i="13"/>
  <c r="C58" i="13"/>
  <c r="K54" i="13"/>
  <c r="H43" i="13"/>
  <c r="D40" i="13"/>
  <c r="I32" i="13"/>
  <c r="C29" i="13"/>
  <c r="K25" i="13"/>
  <c r="H18" i="13"/>
  <c r="D15" i="13"/>
  <c r="F11" i="13"/>
  <c r="E122" i="13"/>
  <c r="J85" i="13"/>
  <c r="L46" i="13"/>
  <c r="I28" i="13"/>
  <c r="H14" i="13"/>
  <c r="B97" i="14"/>
  <c r="F143" i="13"/>
  <c r="K126" i="13"/>
  <c r="H121" i="13"/>
  <c r="C114" i="13"/>
  <c r="D110" i="13"/>
  <c r="L99" i="13"/>
  <c r="E96" i="13"/>
  <c r="E85" i="13"/>
  <c r="J81" i="13"/>
  <c r="J74" i="13"/>
  <c r="C71" i="13"/>
  <c r="K67" i="13"/>
  <c r="K60" i="13"/>
  <c r="G57" i="13"/>
  <c r="I53" i="13"/>
  <c r="D46" i="13"/>
  <c r="L42" i="13"/>
  <c r="B39" i="13"/>
  <c r="K31" i="13"/>
  <c r="G28" i="13"/>
  <c r="I24" i="13"/>
  <c r="L17" i="13"/>
  <c r="B14" i="13"/>
  <c r="H10" i="13"/>
  <c r="B74" i="14"/>
  <c r="K142" i="13"/>
  <c r="F130" i="13"/>
  <c r="K125" i="13"/>
  <c r="G121" i="13"/>
  <c r="G113" i="13"/>
  <c r="C110" i="13"/>
  <c r="M102" i="13"/>
  <c r="I99" i="13"/>
  <c r="L95" i="13"/>
  <c r="F88" i="13"/>
  <c r="B85" i="13"/>
  <c r="E81" i="13"/>
  <c r="G74" i="13"/>
  <c r="J70" i="13"/>
  <c r="C67" i="13"/>
  <c r="E60" i="13"/>
  <c r="K56" i="13"/>
  <c r="G53" i="13"/>
  <c r="J45" i="13"/>
  <c r="D42" i="13"/>
  <c r="L38" i="13"/>
  <c r="E31" i="13"/>
  <c r="K27" i="13"/>
  <c r="G24" i="13"/>
  <c r="D17" i="13"/>
  <c r="L13" i="13"/>
  <c r="B10" i="13"/>
  <c r="Y14" i="1"/>
  <c r="AG15" i="1"/>
  <c r="N17" i="1"/>
  <c r="AF17" i="1"/>
  <c r="AD18" i="1"/>
  <c r="AB19" i="1"/>
  <c r="AA21" i="1"/>
  <c r="AB24" i="1"/>
  <c r="AC26" i="1"/>
  <c r="AD27" i="1"/>
  <c r="AB28" i="1"/>
  <c r="AE29" i="1"/>
  <c r="L31" i="1"/>
  <c r="AB31" i="1"/>
  <c r="O33" i="1"/>
  <c r="AH33" i="1"/>
  <c r="AG34" i="1"/>
  <c r="M39" i="1"/>
  <c r="AC39" i="1"/>
  <c r="J42" i="1"/>
  <c r="M43" i="1"/>
  <c r="AF43" i="1"/>
  <c r="AH44" i="1"/>
  <c r="R47" i="1"/>
  <c r="AF47" i="1"/>
  <c r="AH49" i="1"/>
  <c r="Q52" i="1"/>
  <c r="AD54" i="1"/>
  <c r="P55" i="1"/>
  <c r="AD58" i="1"/>
  <c r="AD59" i="1"/>
  <c r="Z62" i="1"/>
  <c r="N64" i="1"/>
  <c r="L64" i="1"/>
  <c r="M64" i="1"/>
  <c r="AE64" i="1"/>
  <c r="Y66" i="1"/>
  <c r="K67" i="1"/>
  <c r="J67" i="1"/>
  <c r="AD67" i="1"/>
  <c r="AA69" i="1"/>
  <c r="Z75" i="1"/>
  <c r="AA91" i="1"/>
  <c r="AE104" i="1"/>
  <c r="Y106" i="1"/>
  <c r="J107" i="1"/>
  <c r="K107" i="1"/>
  <c r="Y110" i="1"/>
  <c r="B52" i="19"/>
  <c r="B197" i="15"/>
  <c r="M27" i="3"/>
  <c r="A52" i="20" s="1"/>
  <c r="A356" i="15"/>
  <c r="A19" i="4"/>
  <c r="A22" i="4"/>
  <c r="A362" i="15" s="1"/>
  <c r="B110" i="19"/>
  <c r="B410" i="15"/>
  <c r="M70" i="4"/>
  <c r="A110" i="20" s="1"/>
  <c r="B128" i="19"/>
  <c r="B472" i="15"/>
  <c r="M132" i="4"/>
  <c r="A128" i="20" s="1"/>
  <c r="T30" i="5"/>
  <c r="H143" i="20" s="1"/>
  <c r="B188" i="19"/>
  <c r="B710" i="15"/>
  <c r="M30" i="6"/>
  <c r="A188" i="20" s="1"/>
  <c r="T87" i="7"/>
  <c r="H250" i="20" s="1"/>
  <c r="H16" i="13"/>
  <c r="C31" i="13"/>
  <c r="G66" i="13"/>
  <c r="B81" i="13"/>
  <c r="H98" i="13"/>
  <c r="L112" i="13"/>
  <c r="D139" i="13"/>
  <c r="G20" i="19"/>
  <c r="F20" i="19"/>
  <c r="E20" i="19"/>
  <c r="D20" i="19"/>
  <c r="C20" i="19"/>
  <c r="A20" i="19"/>
  <c r="H20" i="19"/>
  <c r="AB48" i="1"/>
  <c r="Y56" i="1"/>
  <c r="AH25" i="1"/>
  <c r="K34" i="1"/>
  <c r="J34" i="1"/>
  <c r="AD35" i="1"/>
  <c r="AB47" i="1"/>
  <c r="AE48" i="1"/>
  <c r="T58" i="1"/>
  <c r="S58" i="1"/>
  <c r="R58" i="1"/>
  <c r="AB15" i="1"/>
  <c r="Z14" i="1"/>
  <c r="O17" i="1"/>
  <c r="AC19" i="1"/>
  <c r="P21" i="1"/>
  <c r="L22" i="1"/>
  <c r="O22" i="1"/>
  <c r="N22" i="1"/>
  <c r="M22" i="1"/>
  <c r="AG27" i="1"/>
  <c r="AC28" i="1"/>
  <c r="AD31" i="1"/>
  <c r="P33" i="1"/>
  <c r="Y40" i="1"/>
  <c r="AG43" i="1"/>
  <c r="T47" i="1"/>
  <c r="AC50" i="1"/>
  <c r="AE58" i="1"/>
  <c r="AF59" i="1"/>
  <c r="AB60" i="1"/>
  <c r="AA62" i="1"/>
  <c r="AA66" i="1"/>
  <c r="AA68" i="1"/>
  <c r="AC72" i="1"/>
  <c r="J80" i="1"/>
  <c r="K80" i="1"/>
  <c r="AB85" i="1"/>
  <c r="AC91" i="1"/>
  <c r="AB106" i="1"/>
  <c r="AA110" i="1"/>
  <c r="B74" i="19"/>
  <c r="B271" i="15"/>
  <c r="M101" i="3"/>
  <c r="A74" i="20" s="1"/>
  <c r="T10" i="4"/>
  <c r="H92" i="20" s="1"/>
  <c r="B105" i="19"/>
  <c r="B393" i="15"/>
  <c r="M53" i="4"/>
  <c r="A105" i="20" s="1"/>
  <c r="T124" i="4"/>
  <c r="H126" i="20" s="1"/>
  <c r="B183" i="19"/>
  <c r="B693" i="15"/>
  <c r="M13" i="6"/>
  <c r="A183" i="20" s="1"/>
  <c r="T84" i="6"/>
  <c r="H204" i="20" s="1"/>
  <c r="T53" i="7"/>
  <c r="H240" i="20" s="1"/>
  <c r="B245" i="19"/>
  <c r="B920" i="15"/>
  <c r="M70" i="7"/>
  <c r="A245" i="20" s="1"/>
  <c r="T67" i="8"/>
  <c r="H289" i="20" s="1"/>
  <c r="B1645" i="15"/>
  <c r="B438" i="19"/>
  <c r="M115" i="11"/>
  <c r="A438" i="20" s="1"/>
  <c r="J16" i="13"/>
  <c r="E52" i="13"/>
  <c r="J66" i="13"/>
  <c r="M83" i="13"/>
  <c r="M98" i="13"/>
  <c r="H116" i="13"/>
  <c r="J140" i="13"/>
  <c r="O51" i="1"/>
  <c r="P51" i="1"/>
  <c r="N51" i="1"/>
  <c r="M51" i="1"/>
  <c r="AE60" i="1"/>
  <c r="AD65" i="1"/>
  <c r="AE70" i="1"/>
  <c r="AH22" i="1"/>
  <c r="AE30" i="1"/>
  <c r="O32" i="1"/>
  <c r="AG36" i="1"/>
  <c r="AC44" i="1"/>
  <c r="L61" i="1"/>
  <c r="AH65" i="1"/>
  <c r="AA17" i="1"/>
  <c r="L14" i="1"/>
  <c r="N14" i="1"/>
  <c r="M14" i="1"/>
  <c r="AH17" i="1"/>
  <c r="AG18" i="1"/>
  <c r="AD21" i="1"/>
  <c r="Y22" i="1"/>
  <c r="AF24" i="1"/>
  <c r="AD26" i="1"/>
  <c r="L30" i="1"/>
  <c r="P30" i="1"/>
  <c r="O30" i="1"/>
  <c r="N30" i="1"/>
  <c r="P31" i="1"/>
  <c r="Q39" i="1"/>
  <c r="AE39" i="1"/>
  <c r="O40" i="1"/>
  <c r="N40" i="1"/>
  <c r="M40" i="1"/>
  <c r="J40" i="1" s="1"/>
  <c r="Y42" i="1"/>
  <c r="N43" i="1"/>
  <c r="P48" i="1"/>
  <c r="O48" i="1"/>
  <c r="N48" i="1"/>
  <c r="L48" i="1"/>
  <c r="N60" i="1"/>
  <c r="P60" i="1"/>
  <c r="O60" i="1"/>
  <c r="M60" i="1"/>
  <c r="K60" i="1" s="1"/>
  <c r="Z63" i="1"/>
  <c r="AG64" i="1"/>
  <c r="AH69" i="1"/>
  <c r="AB75" i="1"/>
  <c r="Y82" i="1"/>
  <c r="J96" i="1"/>
  <c r="K96" i="1"/>
  <c r="AG104" i="1"/>
  <c r="AC14" i="1"/>
  <c r="L16" i="1"/>
  <c r="P16" i="1"/>
  <c r="AA16" i="1"/>
  <c r="AF19" i="1"/>
  <c r="N20" i="1"/>
  <c r="K20" i="1" s="1"/>
  <c r="P20" i="1"/>
  <c r="O20" i="1"/>
  <c r="M20" i="1"/>
  <c r="J20" i="1" s="1"/>
  <c r="Q21" i="1"/>
  <c r="AH21" i="1"/>
  <c r="Z22" i="1"/>
  <c r="AG24" i="1"/>
  <c r="Z25" i="1"/>
  <c r="AE26" i="1"/>
  <c r="S27" i="1"/>
  <c r="AF28" i="1"/>
  <c r="Z30" i="1"/>
  <c r="Q31" i="1"/>
  <c r="AH31" i="1"/>
  <c r="Y32" i="1"/>
  <c r="K35" i="1"/>
  <c r="AB36" i="1"/>
  <c r="AA37" i="1"/>
  <c r="AA38" i="1"/>
  <c r="AA40" i="1"/>
  <c r="AA42" i="1"/>
  <c r="Q43" i="1"/>
  <c r="J47" i="1"/>
  <c r="AA48" i="1"/>
  <c r="AG58" i="1"/>
  <c r="AH59" i="1"/>
  <c r="AC60" i="1"/>
  <c r="AC62" i="1"/>
  <c r="AB63" i="1"/>
  <c r="AB65" i="1"/>
  <c r="J66" i="1"/>
  <c r="K66" i="1"/>
  <c r="AD66" i="1"/>
  <c r="AG68" i="1"/>
  <c r="Q69" i="1"/>
  <c r="O69" i="1"/>
  <c r="M69" i="1"/>
  <c r="P69" i="1"/>
  <c r="L69" i="1"/>
  <c r="AC70" i="1"/>
  <c r="AE72" i="1"/>
  <c r="AA82" i="1"/>
  <c r="AE85" i="1"/>
  <c r="Y88" i="1"/>
  <c r="J90" i="1"/>
  <c r="K90" i="1"/>
  <c r="AA98" i="1"/>
  <c r="AD99" i="1"/>
  <c r="Z101" i="1"/>
  <c r="J106" i="1"/>
  <c r="B28" i="19"/>
  <c r="B98" i="15"/>
  <c r="M98" i="2"/>
  <c r="A28" i="20" s="1"/>
  <c r="B319" i="15"/>
  <c r="M149" i="3"/>
  <c r="A88" i="20" s="1"/>
  <c r="B88" i="19"/>
  <c r="B124" i="19"/>
  <c r="B458" i="15"/>
  <c r="M118" i="4"/>
  <c r="A124" i="20" s="1"/>
  <c r="T50" i="6"/>
  <c r="H194" i="20" s="1"/>
  <c r="D894" i="15"/>
  <c r="T44" i="7"/>
  <c r="H237" i="20" s="1"/>
  <c r="D1297" i="15"/>
  <c r="T107" i="9"/>
  <c r="H346" i="20" s="1"/>
  <c r="B385" i="19"/>
  <c r="B1447" i="15"/>
  <c r="M87" i="10"/>
  <c r="A385" i="20" s="1"/>
  <c r="B388" i="19"/>
  <c r="B1458" i="15"/>
  <c r="M98" i="10"/>
  <c r="A388" i="20" s="1"/>
  <c r="B1742" i="15"/>
  <c r="M42" i="12"/>
  <c r="AC42" i="12"/>
  <c r="B462" i="19" s="1"/>
  <c r="J37" i="13"/>
  <c r="K52" i="13"/>
  <c r="K69" i="13"/>
  <c r="F84" i="13"/>
  <c r="E102" i="13"/>
  <c r="T53" i="2"/>
  <c r="H15" i="20" s="1"/>
  <c r="B19" i="19"/>
  <c r="B67" i="15"/>
  <c r="B35" i="19"/>
  <c r="B121" i="15"/>
  <c r="M121" i="2"/>
  <c r="A35" i="20" s="1"/>
  <c r="T135" i="2"/>
  <c r="H39" i="20" s="1"/>
  <c r="A183" i="15"/>
  <c r="A16" i="3"/>
  <c r="B55" i="19"/>
  <c r="M36" i="3"/>
  <c r="A55" i="20" s="1"/>
  <c r="B206" i="15"/>
  <c r="T64" i="3"/>
  <c r="H63" i="20" s="1"/>
  <c r="B67" i="19"/>
  <c r="B248" i="15"/>
  <c r="D285" i="15"/>
  <c r="T115" i="3"/>
  <c r="H78" i="20" s="1"/>
  <c r="B91" i="19"/>
  <c r="B328" i="15"/>
  <c r="D356" i="15"/>
  <c r="T16" i="4"/>
  <c r="H94" i="20" s="1"/>
  <c r="T47" i="4"/>
  <c r="H103" i="20" s="1"/>
  <c r="B108" i="19"/>
  <c r="B404" i="15"/>
  <c r="T101" i="4"/>
  <c r="H119" i="20" s="1"/>
  <c r="D447" i="15"/>
  <c r="T107" i="4"/>
  <c r="H121" i="20" s="1"/>
  <c r="B139" i="19"/>
  <c r="B526" i="15"/>
  <c r="B146" i="19"/>
  <c r="B549" i="15"/>
  <c r="D563" i="15"/>
  <c r="T53" i="5"/>
  <c r="H150" i="20" s="1"/>
  <c r="B177" i="19"/>
  <c r="B656" i="15"/>
  <c r="D724" i="15"/>
  <c r="T44" i="6"/>
  <c r="H192" i="20" s="1"/>
  <c r="G199" i="19"/>
  <c r="E199" i="19"/>
  <c r="F199" i="19"/>
  <c r="H199" i="19"/>
  <c r="D199" i="19"/>
  <c r="C199" i="19"/>
  <c r="B216" i="19"/>
  <c r="B804" i="15"/>
  <c r="M124" i="6"/>
  <c r="A216" i="20" s="1"/>
  <c r="B218" i="19"/>
  <c r="B812" i="15"/>
  <c r="M132" i="6"/>
  <c r="A218" i="20" s="1"/>
  <c r="D886" i="15"/>
  <c r="T36" i="7"/>
  <c r="H235" i="20" s="1"/>
  <c r="D897" i="15"/>
  <c r="T47" i="7"/>
  <c r="H238" i="20" s="1"/>
  <c r="B277" i="19"/>
  <c r="B1047" i="15"/>
  <c r="M27" i="8"/>
  <c r="A277" i="20" s="1"/>
  <c r="B280" i="19"/>
  <c r="B1056" i="15"/>
  <c r="M36" i="8"/>
  <c r="A280" i="20" s="1"/>
  <c r="B310" i="19"/>
  <c r="B1158" i="15"/>
  <c r="M138" i="8"/>
  <c r="A310" i="20" s="1"/>
  <c r="T36" i="9"/>
  <c r="H325" i="20" s="1"/>
  <c r="D1243" i="15"/>
  <c r="T53" i="9"/>
  <c r="H330" i="20" s="1"/>
  <c r="D1254" i="15"/>
  <c r="T64" i="9"/>
  <c r="H333" i="20" s="1"/>
  <c r="D1543" i="15"/>
  <c r="T13" i="11"/>
  <c r="H408" i="20" s="1"/>
  <c r="D767" i="15"/>
  <c r="O79" i="1"/>
  <c r="M79" i="1"/>
  <c r="O83" i="1"/>
  <c r="P83" i="1"/>
  <c r="M83" i="1"/>
  <c r="A13" i="15"/>
  <c r="A16" i="2"/>
  <c r="Q15" i="1"/>
  <c r="Q24" i="1"/>
  <c r="Q25" i="1"/>
  <c r="O63" i="1"/>
  <c r="O71" i="1"/>
  <c r="M71" i="1"/>
  <c r="N72" i="1"/>
  <c r="L72" i="1"/>
  <c r="M73" i="1"/>
  <c r="Q73" i="1"/>
  <c r="T81" i="1"/>
  <c r="R81" i="1"/>
  <c r="O87" i="1"/>
  <c r="M87" i="1"/>
  <c r="P95" i="1"/>
  <c r="N95" i="1"/>
  <c r="L95" i="1"/>
  <c r="Q97" i="1"/>
  <c r="O97" i="1"/>
  <c r="M97" i="1"/>
  <c r="L102" i="1"/>
  <c r="P102" i="1"/>
  <c r="N102" i="1"/>
  <c r="M102" i="1"/>
  <c r="J109" i="1"/>
  <c r="T19" i="2"/>
  <c r="H5" i="20" s="1"/>
  <c r="B27" i="15"/>
  <c r="B7" i="19"/>
  <c r="M27" i="2"/>
  <c r="A7" i="20" s="1"/>
  <c r="B84" i="15"/>
  <c r="B24" i="19"/>
  <c r="D90" i="15"/>
  <c r="T90" i="2"/>
  <c r="H26" i="20" s="1"/>
  <c r="G33" i="19"/>
  <c r="A33" i="19"/>
  <c r="H33" i="19"/>
  <c r="F33" i="19"/>
  <c r="E33" i="19"/>
  <c r="D33" i="19"/>
  <c r="C33" i="19"/>
  <c r="T129" i="2"/>
  <c r="H37" i="20" s="1"/>
  <c r="B183" i="15"/>
  <c r="B48" i="19"/>
  <c r="M13" i="3"/>
  <c r="A48" i="20" s="1"/>
  <c r="B53" i="19"/>
  <c r="B200" i="15"/>
  <c r="M30" i="3"/>
  <c r="A53" i="20" s="1"/>
  <c r="T30" i="3"/>
  <c r="H53" i="20" s="1"/>
  <c r="B72" i="19"/>
  <c r="B265" i="15"/>
  <c r="B89" i="19"/>
  <c r="B322" i="15"/>
  <c r="B113" i="19"/>
  <c r="B421" i="15"/>
  <c r="B137" i="19"/>
  <c r="B520" i="15"/>
  <c r="B543" i="15"/>
  <c r="B144" i="19"/>
  <c r="T47" i="5"/>
  <c r="H148" i="20" s="1"/>
  <c r="B566" i="15"/>
  <c r="B151" i="19"/>
  <c r="M56" i="5"/>
  <c r="A151" i="20" s="1"/>
  <c r="D597" i="15"/>
  <c r="T87" i="5"/>
  <c r="H160" i="20" s="1"/>
  <c r="T61" i="6"/>
  <c r="H197" i="20" s="1"/>
  <c r="T95" i="6"/>
  <c r="H207" i="20" s="1"/>
  <c r="A863" i="15"/>
  <c r="A16" i="7"/>
  <c r="B872" i="15"/>
  <c r="B231" i="19"/>
  <c r="M22" i="7"/>
  <c r="A231" i="20" s="1"/>
  <c r="T22" i="7"/>
  <c r="H231" i="20" s="1"/>
  <c r="T30" i="7"/>
  <c r="H233" i="20" s="1"/>
  <c r="T64" i="7"/>
  <c r="H243" i="20" s="1"/>
  <c r="T78" i="8"/>
  <c r="H292" i="20" s="1"/>
  <c r="D1124" i="15"/>
  <c r="T104" i="8"/>
  <c r="H300" i="20" s="1"/>
  <c r="T124" i="8"/>
  <c r="H306" i="20" s="1"/>
  <c r="D1319" i="15"/>
  <c r="T129" i="9"/>
  <c r="H352" i="20" s="1"/>
  <c r="B386" i="19"/>
  <c r="B1450" i="15"/>
  <c r="M90" i="10"/>
  <c r="A386" i="20" s="1"/>
  <c r="B389" i="19"/>
  <c r="B1461" i="15"/>
  <c r="M101" i="10"/>
  <c r="A389" i="20" s="1"/>
  <c r="B395" i="19"/>
  <c r="B1481" i="15"/>
  <c r="M121" i="10"/>
  <c r="A395" i="20" s="1"/>
  <c r="T121" i="10"/>
  <c r="H395" i="20" s="1"/>
  <c r="T129" i="10"/>
  <c r="H397" i="20" s="1"/>
  <c r="B451" i="19"/>
  <c r="B1688" i="15"/>
  <c r="M158" i="11"/>
  <c r="A451" i="20" s="1"/>
  <c r="G379" i="19"/>
  <c r="F379" i="19"/>
  <c r="E379" i="19"/>
  <c r="C379" i="19"/>
  <c r="D379" i="19"/>
  <c r="H379" i="19"/>
  <c r="A379" i="19"/>
  <c r="N92" i="1"/>
  <c r="P92" i="1"/>
  <c r="M92" i="1"/>
  <c r="L92" i="1"/>
  <c r="K97" i="1"/>
  <c r="J97" i="1"/>
  <c r="J100" i="1"/>
  <c r="P111" i="1"/>
  <c r="N111" i="1"/>
  <c r="M111" i="1"/>
  <c r="B51" i="19"/>
  <c r="B192" i="15"/>
  <c r="D435" i="15"/>
  <c r="T95" i="4"/>
  <c r="H117" i="20" s="1"/>
  <c r="T135" i="4"/>
  <c r="H129" i="20" s="1"/>
  <c r="B360" i="19"/>
  <c r="B1345" i="15"/>
  <c r="M155" i="9"/>
  <c r="A360" i="20" s="1"/>
  <c r="D1750" i="15"/>
  <c r="T50" i="12"/>
  <c r="O35" i="1"/>
  <c r="Q35" i="1"/>
  <c r="N44" i="1"/>
  <c r="K44" i="1" s="1"/>
  <c r="Q44" i="1"/>
  <c r="N56" i="1"/>
  <c r="M57" i="1"/>
  <c r="K57" i="1" s="1"/>
  <c r="Q57" i="1"/>
  <c r="L73" i="1"/>
  <c r="Q75" i="1"/>
  <c r="O75" i="1"/>
  <c r="L79" i="1"/>
  <c r="L83" i="1"/>
  <c r="L87" i="1"/>
  <c r="M95" i="1"/>
  <c r="N97" i="1"/>
  <c r="O99" i="1"/>
  <c r="P99" i="1"/>
  <c r="N99" i="1"/>
  <c r="B12" i="19"/>
  <c r="M44" i="2"/>
  <c r="A12" i="20" s="1"/>
  <c r="B16" i="19"/>
  <c r="B56" i="15"/>
  <c r="M84" i="2"/>
  <c r="A24" i="20" s="1"/>
  <c r="D101" i="15"/>
  <c r="T101" i="2"/>
  <c r="H29" i="20" s="1"/>
  <c r="M115" i="2"/>
  <c r="A33" i="20" s="1"/>
  <c r="B42" i="19"/>
  <c r="B146" i="15"/>
  <c r="B49" i="19"/>
  <c r="B186" i="15"/>
  <c r="T53" i="3"/>
  <c r="H60" i="20" s="1"/>
  <c r="M95" i="3"/>
  <c r="A72" i="20" s="1"/>
  <c r="B75" i="19"/>
  <c r="B274" i="15"/>
  <c r="M104" i="3"/>
  <c r="A75" i="20" s="1"/>
  <c r="T132" i="3"/>
  <c r="H83" i="20" s="1"/>
  <c r="B316" i="15"/>
  <c r="B87" i="19"/>
  <c r="B390" i="15"/>
  <c r="B104" i="19"/>
  <c r="M50" i="4"/>
  <c r="A104" i="20" s="1"/>
  <c r="B469" i="15"/>
  <c r="B127" i="19"/>
  <c r="M129" i="4"/>
  <c r="A127" i="20" s="1"/>
  <c r="T158" i="4"/>
  <c r="H136" i="20" s="1"/>
  <c r="T27" i="5"/>
  <c r="H142" i="20" s="1"/>
  <c r="T73" i="5"/>
  <c r="H156" i="20" s="1"/>
  <c r="B161" i="19"/>
  <c r="B600" i="15"/>
  <c r="M90" i="5"/>
  <c r="A161" i="20" s="1"/>
  <c r="T39" i="6"/>
  <c r="H191" i="20" s="1"/>
  <c r="B203" i="19"/>
  <c r="B761" i="15"/>
  <c r="G249" i="19"/>
  <c r="F249" i="19"/>
  <c r="E249" i="19"/>
  <c r="C249" i="19"/>
  <c r="D249" i="19"/>
  <c r="A249" i="19"/>
  <c r="H249" i="19"/>
  <c r="D940" i="15"/>
  <c r="T90" i="7"/>
  <c r="H251" i="20" s="1"/>
  <c r="B254" i="19"/>
  <c r="B951" i="15"/>
  <c r="M101" i="7"/>
  <c r="A254" i="20" s="1"/>
  <c r="D1127" i="15"/>
  <c r="T107" i="8"/>
  <c r="H301" i="20" s="1"/>
  <c r="A1203" i="15"/>
  <c r="A16" i="9"/>
  <c r="B326" i="19"/>
  <c r="B1229" i="15"/>
  <c r="M39" i="9"/>
  <c r="A326" i="20" s="1"/>
  <c r="T132" i="9"/>
  <c r="H353" i="20" s="1"/>
  <c r="B447" i="19"/>
  <c r="B1676" i="15"/>
  <c r="M146" i="11"/>
  <c r="A447" i="20" s="1"/>
  <c r="D1745" i="15"/>
  <c r="T45" i="12"/>
  <c r="M85" i="1"/>
  <c r="P85" i="1"/>
  <c r="N85" i="1"/>
  <c r="N108" i="1"/>
  <c r="P108" i="1"/>
  <c r="O108" i="1"/>
  <c r="B10" i="19"/>
  <c r="B36" i="15"/>
  <c r="T118" i="3"/>
  <c r="H79" i="20" s="1"/>
  <c r="T33" i="4"/>
  <c r="H99" i="20" s="1"/>
  <c r="B200" i="19"/>
  <c r="B750" i="15"/>
  <c r="M70" i="6"/>
  <c r="A200" i="20" s="1"/>
  <c r="T152" i="6"/>
  <c r="H224" i="20" s="1"/>
  <c r="D1081" i="15"/>
  <c r="T61" i="8"/>
  <c r="H287" i="20" s="1"/>
  <c r="B298" i="19"/>
  <c r="B1118" i="15"/>
  <c r="M98" i="8"/>
  <c r="A298" i="20" s="1"/>
  <c r="B320" i="19"/>
  <c r="B1209" i="15"/>
  <c r="M19" i="9"/>
  <c r="A320" i="20" s="1"/>
  <c r="B339" i="19"/>
  <c r="B1274" i="15"/>
  <c r="M84" i="9"/>
  <c r="A339" i="20" s="1"/>
  <c r="T104" i="9"/>
  <c r="H345" i="20" s="1"/>
  <c r="L25" i="1"/>
  <c r="O27" i="1"/>
  <c r="Q27" i="1"/>
  <c r="N36" i="1"/>
  <c r="Q36" i="1"/>
  <c r="M45" i="1"/>
  <c r="Q45" i="1"/>
  <c r="L46" i="1"/>
  <c r="Q46" i="1"/>
  <c r="M49" i="1"/>
  <c r="K49" i="1" s="1"/>
  <c r="Q49" i="1"/>
  <c r="L63" i="1"/>
  <c r="Q67" i="1"/>
  <c r="O67" i="1"/>
  <c r="L71" i="1"/>
  <c r="M72" i="1"/>
  <c r="N73" i="1"/>
  <c r="N79" i="1"/>
  <c r="K82" i="1"/>
  <c r="N83" i="1"/>
  <c r="N87" i="1"/>
  <c r="O95" i="1"/>
  <c r="P97" i="1"/>
  <c r="O102" i="1"/>
  <c r="P104" i="1"/>
  <c r="N104" i="1"/>
  <c r="L104" i="1"/>
  <c r="L108" i="1"/>
  <c r="L111" i="1"/>
  <c r="B6" i="19"/>
  <c r="B22" i="15"/>
  <c r="M22" i="2"/>
  <c r="A6" i="20" s="1"/>
  <c r="M36" i="2"/>
  <c r="A10" i="20" s="1"/>
  <c r="B70" i="15"/>
  <c r="M70" i="2"/>
  <c r="A20" i="20" s="1"/>
  <c r="T78" i="2"/>
  <c r="H22" i="20" s="1"/>
  <c r="B25" i="19"/>
  <c r="B87" i="15"/>
  <c r="M87" i="2"/>
  <c r="A25" i="20" s="1"/>
  <c r="T87" i="2"/>
  <c r="H25" i="20" s="1"/>
  <c r="T124" i="2"/>
  <c r="H36" i="20" s="1"/>
  <c r="B38" i="19"/>
  <c r="B132" i="15"/>
  <c r="M132" i="2"/>
  <c r="A38" i="20" s="1"/>
  <c r="T132" i="2"/>
  <c r="H38" i="20" s="1"/>
  <c r="M22" i="3"/>
  <c r="A51" i="20" s="1"/>
  <c r="B203" i="15"/>
  <c r="B54" i="19"/>
  <c r="T39" i="3"/>
  <c r="H56" i="20" s="1"/>
  <c r="T61" i="3"/>
  <c r="H62" i="20" s="1"/>
  <c r="T67" i="3"/>
  <c r="H64" i="20" s="1"/>
  <c r="B68" i="19"/>
  <c r="B251" i="15"/>
  <c r="M81" i="3"/>
  <c r="A68" i="20" s="1"/>
  <c r="B73" i="19"/>
  <c r="B268" i="15"/>
  <c r="M98" i="3"/>
  <c r="A73" i="20" s="1"/>
  <c r="T98" i="3"/>
  <c r="H73" i="20" s="1"/>
  <c r="D367" i="15"/>
  <c r="T27" i="4"/>
  <c r="H97" i="20" s="1"/>
  <c r="T44" i="4"/>
  <c r="H102" i="20" s="1"/>
  <c r="A523" i="15"/>
  <c r="A16" i="5"/>
  <c r="D529" i="15"/>
  <c r="T19" i="5"/>
  <c r="H140" i="20" s="1"/>
  <c r="B149" i="19"/>
  <c r="B560" i="15"/>
  <c r="M50" i="5"/>
  <c r="A149" i="20" s="1"/>
  <c r="B152" i="19"/>
  <c r="B571" i="15"/>
  <c r="B159" i="19"/>
  <c r="B594" i="15"/>
  <c r="M84" i="5"/>
  <c r="A159" i="20" s="1"/>
  <c r="T84" i="5"/>
  <c r="H159" i="20" s="1"/>
  <c r="B166" i="19"/>
  <c r="B617" i="15"/>
  <c r="B173" i="19"/>
  <c r="B642" i="15"/>
  <c r="M132" i="5"/>
  <c r="A173" i="20" s="1"/>
  <c r="T27" i="6"/>
  <c r="H187" i="20" s="1"/>
  <c r="D713" i="15"/>
  <c r="T33" i="6"/>
  <c r="H189" i="20" s="1"/>
  <c r="B222" i="19"/>
  <c r="B826" i="15"/>
  <c r="M146" i="6"/>
  <c r="A222" i="20" s="1"/>
  <c r="B229" i="19"/>
  <c r="B866" i="15"/>
  <c r="M16" i="7"/>
  <c r="A229" i="20" s="1"/>
  <c r="B244" i="19"/>
  <c r="B917" i="15"/>
  <c r="T132" i="7"/>
  <c r="H263" i="20" s="1"/>
  <c r="B273" i="19"/>
  <c r="B1033" i="15"/>
  <c r="M13" i="8"/>
  <c r="A273" i="20" s="1"/>
  <c r="T90" i="8"/>
  <c r="H296" i="20" s="1"/>
  <c r="D1138" i="15"/>
  <c r="T118" i="8"/>
  <c r="H304" i="20" s="1"/>
  <c r="B340" i="19"/>
  <c r="B1277" i="15"/>
  <c r="M87" i="9"/>
  <c r="A340" i="20" s="1"/>
  <c r="B356" i="19"/>
  <c r="B1331" i="15"/>
  <c r="M141" i="9"/>
  <c r="A356" i="20" s="1"/>
  <c r="B370" i="19"/>
  <c r="B1396" i="15"/>
  <c r="M36" i="10"/>
  <c r="A370" i="20" s="1"/>
  <c r="B372" i="19"/>
  <c r="B1404" i="15"/>
  <c r="M44" i="10"/>
  <c r="A372" i="20" s="1"/>
  <c r="T84" i="10"/>
  <c r="H384" i="20" s="1"/>
  <c r="B393" i="19"/>
  <c r="B1475" i="15"/>
  <c r="M115" i="10"/>
  <c r="A393" i="20" s="1"/>
  <c r="B398" i="19"/>
  <c r="B1492" i="15"/>
  <c r="M132" i="10"/>
  <c r="A398" i="20" s="1"/>
  <c r="B415" i="19"/>
  <c r="B1566" i="15"/>
  <c r="M36" i="11"/>
  <c r="A415" i="20" s="1"/>
  <c r="D1739" i="15"/>
  <c r="T39" i="12"/>
  <c r="B466" i="19"/>
  <c r="B1758" i="15"/>
  <c r="M58" i="12"/>
  <c r="A199" i="19"/>
  <c r="D838" i="15"/>
  <c r="T158" i="6"/>
  <c r="H226" i="20" s="1"/>
  <c r="B271" i="19"/>
  <c r="B1008" i="15"/>
  <c r="M158" i="7"/>
  <c r="A271" i="20" s="1"/>
  <c r="D1135" i="15"/>
  <c r="T115" i="8"/>
  <c r="H303" i="20" s="1"/>
  <c r="T47" i="9"/>
  <c r="H328" i="20" s="1"/>
  <c r="B414" i="19"/>
  <c r="B1563" i="15"/>
  <c r="M33" i="11"/>
  <c r="A414" i="20" s="1"/>
  <c r="L15" i="1"/>
  <c r="L24" i="1"/>
  <c r="M15" i="1"/>
  <c r="O19" i="1"/>
  <c r="Q19" i="1"/>
  <c r="M24" i="1"/>
  <c r="M25" i="1"/>
  <c r="N28" i="1"/>
  <c r="K28" i="1" s="1"/>
  <c r="Q28" i="1"/>
  <c r="M37" i="1"/>
  <c r="Q37" i="1"/>
  <c r="L38" i="1"/>
  <c r="Q38" i="1"/>
  <c r="Q47" i="1"/>
  <c r="M63" i="1"/>
  <c r="N71" i="1"/>
  <c r="O72" i="1"/>
  <c r="O73" i="1"/>
  <c r="J74" i="1"/>
  <c r="L75" i="1"/>
  <c r="Q77" i="1"/>
  <c r="O77" i="1"/>
  <c r="M77" i="1"/>
  <c r="P79" i="1"/>
  <c r="Q83" i="1"/>
  <c r="L85" i="1"/>
  <c r="L86" i="1"/>
  <c r="P86" i="1"/>
  <c r="N86" i="1"/>
  <c r="P87" i="1"/>
  <c r="N88" i="1"/>
  <c r="L88" i="1"/>
  <c r="O92" i="1"/>
  <c r="Q95" i="1"/>
  <c r="O96" i="1"/>
  <c r="M96" i="1"/>
  <c r="L99" i="1"/>
  <c r="Q102" i="1"/>
  <c r="M108" i="1"/>
  <c r="O111" i="1"/>
  <c r="T16" i="2"/>
  <c r="H4" i="20" s="1"/>
  <c r="M56" i="2"/>
  <c r="A16" i="20" s="1"/>
  <c r="T64" i="2"/>
  <c r="H18" i="20" s="1"/>
  <c r="M146" i="2"/>
  <c r="A42" i="20" s="1"/>
  <c r="B45" i="19"/>
  <c r="M155" i="2"/>
  <c r="A45" i="20" s="1"/>
  <c r="B47" i="19"/>
  <c r="B180" i="15"/>
  <c r="M16" i="3"/>
  <c r="A49" i="20" s="1"/>
  <c r="T47" i="3"/>
  <c r="H58" i="20" s="1"/>
  <c r="D217" i="15"/>
  <c r="B71" i="19"/>
  <c r="B260" i="15"/>
  <c r="M146" i="3"/>
  <c r="A87" i="20" s="1"/>
  <c r="B100" i="19"/>
  <c r="B376" i="15"/>
  <c r="M36" i="4"/>
  <c r="A100" i="20" s="1"/>
  <c r="B123" i="19"/>
  <c r="B455" i="15"/>
  <c r="M115" i="4"/>
  <c r="A123" i="20" s="1"/>
  <c r="B130" i="19"/>
  <c r="B478" i="15"/>
  <c r="D492" i="15"/>
  <c r="T152" i="4"/>
  <c r="H134" i="20" s="1"/>
  <c r="T36" i="5"/>
  <c r="H145" i="20" s="1"/>
  <c r="B147" i="19"/>
  <c r="B554" i="15"/>
  <c r="M44" i="5"/>
  <c r="A147" i="20" s="1"/>
  <c r="B164" i="19"/>
  <c r="B611" i="15"/>
  <c r="T115" i="5"/>
  <c r="H168" i="20" s="1"/>
  <c r="D699" i="15"/>
  <c r="T19" i="6"/>
  <c r="H185" i="20" s="1"/>
  <c r="D778" i="15"/>
  <c r="T98" i="6"/>
  <c r="H208" i="20" s="1"/>
  <c r="T107" i="6"/>
  <c r="H211" i="20" s="1"/>
  <c r="T129" i="6"/>
  <c r="H217" i="20" s="1"/>
  <c r="B225" i="19"/>
  <c r="M155" i="6"/>
  <c r="A225" i="20" s="1"/>
  <c r="B835" i="15"/>
  <c r="B232" i="19"/>
  <c r="B877" i="15"/>
  <c r="D883" i="15"/>
  <c r="T33" i="7"/>
  <c r="H234" i="20" s="1"/>
  <c r="B928" i="15"/>
  <c r="B247" i="19"/>
  <c r="T101" i="8"/>
  <c r="H299" i="20" s="1"/>
  <c r="B314" i="19"/>
  <c r="B1172" i="15"/>
  <c r="M152" i="8"/>
  <c r="A314" i="20" s="1"/>
  <c r="T70" i="9"/>
  <c r="H335" i="20" s="1"/>
  <c r="D1540" i="15"/>
  <c r="T10" i="11"/>
  <c r="H407" i="20" s="1"/>
  <c r="T19" i="11"/>
  <c r="H410" i="20" s="1"/>
  <c r="T27" i="2"/>
  <c r="H7" i="20" s="1"/>
  <c r="B9" i="19"/>
  <c r="M33" i="2"/>
  <c r="A9" i="20" s="1"/>
  <c r="B33" i="15"/>
  <c r="B27" i="19"/>
  <c r="B95" i="15"/>
  <c r="B32" i="19"/>
  <c r="B112" i="15"/>
  <c r="M112" i="2"/>
  <c r="A32" i="20" s="1"/>
  <c r="B40" i="19"/>
  <c r="B138" i="15"/>
  <c r="T155" i="2"/>
  <c r="H45" i="20" s="1"/>
  <c r="T13" i="3"/>
  <c r="H48" i="20" s="1"/>
  <c r="B50" i="19"/>
  <c r="B189" i="15"/>
  <c r="B57" i="19"/>
  <c r="B214" i="15"/>
  <c r="B65" i="19"/>
  <c r="B240" i="15"/>
  <c r="T81" i="3"/>
  <c r="H68" i="20" s="1"/>
  <c r="B70" i="19"/>
  <c r="B257" i="15"/>
  <c r="B77" i="19"/>
  <c r="B282" i="15"/>
  <c r="B85" i="19"/>
  <c r="B308" i="15"/>
  <c r="B90" i="19"/>
  <c r="B325" i="15"/>
  <c r="B93" i="19"/>
  <c r="B353" i="15"/>
  <c r="T36" i="4"/>
  <c r="H100" i="20" s="1"/>
  <c r="B107" i="19"/>
  <c r="B401" i="15"/>
  <c r="M61" i="4"/>
  <c r="A107" i="20" s="1"/>
  <c r="T90" i="4"/>
  <c r="H116" i="20" s="1"/>
  <c r="B133" i="19"/>
  <c r="B489" i="15"/>
  <c r="B176" i="19"/>
  <c r="B651" i="15"/>
  <c r="M141" i="5"/>
  <c r="A176" i="20" s="1"/>
  <c r="T149" i="5"/>
  <c r="H178" i="20" s="1"/>
  <c r="T16" i="6"/>
  <c r="H184" i="20" s="1"/>
  <c r="B202" i="19"/>
  <c r="B758" i="15"/>
  <c r="M78" i="6"/>
  <c r="A202" i="20" s="1"/>
  <c r="T118" i="6"/>
  <c r="H214" i="20" s="1"/>
  <c r="B829" i="15"/>
  <c r="B223" i="19"/>
  <c r="G246" i="19"/>
  <c r="F246" i="19"/>
  <c r="E246" i="19"/>
  <c r="C246" i="19"/>
  <c r="A246" i="19"/>
  <c r="H246" i="19"/>
  <c r="D246" i="19"/>
  <c r="B248" i="19"/>
  <c r="M81" i="7"/>
  <c r="A248" i="20" s="1"/>
  <c r="B257" i="19"/>
  <c r="B962" i="15"/>
  <c r="M112" i="7"/>
  <c r="A257" i="20" s="1"/>
  <c r="B261" i="19"/>
  <c r="B974" i="15"/>
  <c r="B278" i="19"/>
  <c r="B1050" i="15"/>
  <c r="T44" i="8"/>
  <c r="H282" i="20" s="1"/>
  <c r="T56" i="8"/>
  <c r="H286" i="20" s="1"/>
  <c r="T146" i="8"/>
  <c r="H312" i="20" s="1"/>
  <c r="T13" i="9"/>
  <c r="H318" i="20" s="1"/>
  <c r="B342" i="19"/>
  <c r="B1285" i="15"/>
  <c r="B349" i="19"/>
  <c r="B1308" i="15"/>
  <c r="M118" i="9"/>
  <c r="A349" i="20" s="1"/>
  <c r="T149" i="9"/>
  <c r="H358" i="20" s="1"/>
  <c r="T10" i="10"/>
  <c r="H362" i="20" s="1"/>
  <c r="B366" i="19"/>
  <c r="B1382" i="15"/>
  <c r="M22" i="10"/>
  <c r="A366" i="20" s="1"/>
  <c r="B368" i="19"/>
  <c r="B1390" i="15"/>
  <c r="B1413" i="15"/>
  <c r="B375" i="19"/>
  <c r="M53" i="10"/>
  <c r="A375" i="20" s="1"/>
  <c r="T107" i="10"/>
  <c r="H391" i="20" s="1"/>
  <c r="B405" i="19"/>
  <c r="B1515" i="15"/>
  <c r="A16" i="11"/>
  <c r="B417" i="19"/>
  <c r="B1574" i="15"/>
  <c r="B424" i="19"/>
  <c r="B1597" i="15"/>
  <c r="M67" i="11"/>
  <c r="A424" i="20" s="1"/>
  <c r="B441" i="19"/>
  <c r="B1654" i="15"/>
  <c r="M124" i="11"/>
  <c r="A441" i="20" s="1"/>
  <c r="T132" i="11"/>
  <c r="H443" i="20" s="1"/>
  <c r="B461" i="19"/>
  <c r="B1739" i="15"/>
  <c r="AC39" i="12"/>
  <c r="M39" i="12"/>
  <c r="B1750" i="15"/>
  <c r="AC50" i="12"/>
  <c r="B464" i="19" s="1"/>
  <c r="M50" i="12"/>
  <c r="B1761" i="15"/>
  <c r="M61" i="12"/>
  <c r="B243" i="15"/>
  <c r="B605" i="15"/>
  <c r="B744" i="15"/>
  <c r="A1373" i="15"/>
  <c r="K103" i="1"/>
  <c r="J112" i="1"/>
  <c r="P18" i="1"/>
  <c r="P26" i="1"/>
  <c r="P34" i="1"/>
  <c r="P42" i="1"/>
  <c r="P50" i="1"/>
  <c r="L54" i="1"/>
  <c r="P58" i="1"/>
  <c r="L62" i="1"/>
  <c r="P66" i="1"/>
  <c r="N68" i="1"/>
  <c r="K68" i="1" s="1"/>
  <c r="L70" i="1"/>
  <c r="P74" i="1"/>
  <c r="N76" i="1"/>
  <c r="K76" i="1" s="1"/>
  <c r="L78" i="1"/>
  <c r="Q80" i="1"/>
  <c r="Q81" i="1"/>
  <c r="L84" i="1"/>
  <c r="N91" i="1"/>
  <c r="J91" i="1" s="1"/>
  <c r="L93" i="1"/>
  <c r="M94" i="1"/>
  <c r="O100" i="1"/>
  <c r="M103" i="1"/>
  <c r="J103" i="1" s="1"/>
  <c r="O107" i="1"/>
  <c r="Q107" i="1"/>
  <c r="O109" i="1"/>
  <c r="O110" i="1"/>
  <c r="M112" i="1"/>
  <c r="K112" i="1" s="1"/>
  <c r="M113" i="1"/>
  <c r="T10" i="2"/>
  <c r="H2" i="20" s="1"/>
  <c r="B16" i="15"/>
  <c r="B4" i="19"/>
  <c r="T61" i="2"/>
  <c r="H17" i="20" s="1"/>
  <c r="B22" i="19"/>
  <c r="B78" i="15"/>
  <c r="T95" i="2"/>
  <c r="H27" i="20" s="1"/>
  <c r="B29" i="19"/>
  <c r="B101" i="15"/>
  <c r="M101" i="2"/>
  <c r="A29" i="20" s="1"/>
  <c r="T19" i="3"/>
  <c r="H50" i="20" s="1"/>
  <c r="T44" i="3"/>
  <c r="H57" i="20" s="1"/>
  <c r="B59" i="19"/>
  <c r="B220" i="15"/>
  <c r="G62" i="19"/>
  <c r="H62" i="19"/>
  <c r="F62" i="19"/>
  <c r="E62" i="19"/>
  <c r="D62" i="19"/>
  <c r="C62" i="19"/>
  <c r="A62" i="19"/>
  <c r="T70" i="3"/>
  <c r="H65" i="20" s="1"/>
  <c r="T87" i="3"/>
  <c r="H70" i="20" s="1"/>
  <c r="T112" i="3"/>
  <c r="H77" i="20" s="1"/>
  <c r="B79" i="19"/>
  <c r="B288" i="15"/>
  <c r="B82" i="19"/>
  <c r="B299" i="15"/>
  <c r="T138" i="3"/>
  <c r="H85" i="20" s="1"/>
  <c r="T155" i="3"/>
  <c r="H90" i="20" s="1"/>
  <c r="T13" i="4"/>
  <c r="H93" i="20" s="1"/>
  <c r="B95" i="19"/>
  <c r="B359" i="15"/>
  <c r="T67" i="4"/>
  <c r="H109" i="20" s="1"/>
  <c r="B118" i="19"/>
  <c r="B438" i="15"/>
  <c r="B120" i="19"/>
  <c r="B444" i="15"/>
  <c r="T149" i="4"/>
  <c r="H133" i="20" s="1"/>
  <c r="B135" i="19"/>
  <c r="B495" i="15"/>
  <c r="T13" i="5"/>
  <c r="H138" i="20" s="1"/>
  <c r="B142" i="19"/>
  <c r="B537" i="15"/>
  <c r="B154" i="19"/>
  <c r="B577" i="15"/>
  <c r="G156" i="19"/>
  <c r="E156" i="19"/>
  <c r="D156" i="19"/>
  <c r="C156" i="19"/>
  <c r="A156" i="19"/>
  <c r="H156" i="19"/>
  <c r="F156" i="19"/>
  <c r="T104" i="5"/>
  <c r="H165" i="20" s="1"/>
  <c r="B622" i="15"/>
  <c r="B167" i="19"/>
  <c r="G169" i="19"/>
  <c r="A169" i="19"/>
  <c r="H169" i="19"/>
  <c r="F169" i="19"/>
  <c r="C169" i="19"/>
  <c r="D169" i="19"/>
  <c r="E169" i="19"/>
  <c r="B645" i="15"/>
  <c r="B174" i="19"/>
  <c r="B182" i="19"/>
  <c r="M10" i="6"/>
  <c r="A182" i="20" s="1"/>
  <c r="B196" i="19"/>
  <c r="M56" i="6"/>
  <c r="A196" i="20" s="1"/>
  <c r="B736" i="15"/>
  <c r="G198" i="19"/>
  <c r="E198" i="19"/>
  <c r="F198" i="19"/>
  <c r="C198" i="19"/>
  <c r="H198" i="19"/>
  <c r="D198" i="19"/>
  <c r="A198" i="19"/>
  <c r="B205" i="19"/>
  <c r="B767" i="15"/>
  <c r="M87" i="6"/>
  <c r="A205" i="20" s="1"/>
  <c r="T141" i="6"/>
  <c r="H221" i="20" s="1"/>
  <c r="B227" i="19"/>
  <c r="B860" i="15"/>
  <c r="B883" i="15"/>
  <c r="B234" i="19"/>
  <c r="M33" i="7"/>
  <c r="A234" i="20" s="1"/>
  <c r="B251" i="19"/>
  <c r="B940" i="15"/>
  <c r="M90" i="7"/>
  <c r="A251" i="20" s="1"/>
  <c r="T98" i="7"/>
  <c r="H253" i="20" s="1"/>
  <c r="B265" i="19"/>
  <c r="B988" i="15"/>
  <c r="M138" i="7"/>
  <c r="A265" i="20" s="1"/>
  <c r="T155" i="7"/>
  <c r="H270" i="20" s="1"/>
  <c r="T22" i="8"/>
  <c r="H276" i="20" s="1"/>
  <c r="B290" i="19"/>
  <c r="B1090" i="15"/>
  <c r="B294" i="19"/>
  <c r="B1104" i="15"/>
  <c r="M84" i="8"/>
  <c r="A294" i="20" s="1"/>
  <c r="B1135" i="15"/>
  <c r="B303" i="19"/>
  <c r="M115" i="8"/>
  <c r="A303" i="20" s="1"/>
  <c r="G315" i="19"/>
  <c r="F315" i="19"/>
  <c r="E315" i="19"/>
  <c r="C315" i="19"/>
  <c r="D315" i="19"/>
  <c r="H315" i="19"/>
  <c r="A315" i="19"/>
  <c r="B321" i="19"/>
  <c r="B1212" i="15"/>
  <c r="B1220" i="15"/>
  <c r="B323" i="19"/>
  <c r="M30" i="9"/>
  <c r="A323" i="20" s="1"/>
  <c r="B332" i="19"/>
  <c r="B1251" i="15"/>
  <c r="M61" i="9"/>
  <c r="A332" i="20" s="1"/>
  <c r="B336" i="19"/>
  <c r="B1263" i="15"/>
  <c r="B1302" i="15"/>
  <c r="B347" i="19"/>
  <c r="B361" i="19"/>
  <c r="B1348" i="15"/>
  <c r="T16" i="10"/>
  <c r="H364" i="20" s="1"/>
  <c r="B373" i="19"/>
  <c r="B1407" i="15"/>
  <c r="T61" i="10"/>
  <c r="H377" i="20" s="1"/>
  <c r="T73" i="10"/>
  <c r="H381" i="20" s="1"/>
  <c r="B407" i="19"/>
  <c r="B1540" i="15"/>
  <c r="M10" i="11"/>
  <c r="A407" i="20" s="1"/>
  <c r="B411" i="19"/>
  <c r="B1552" i="15"/>
  <c r="B422" i="19"/>
  <c r="B1591" i="15"/>
  <c r="T87" i="11"/>
  <c r="H430" i="20" s="1"/>
  <c r="B434" i="19"/>
  <c r="B1631" i="15"/>
  <c r="B439" i="19"/>
  <c r="B1648" i="15"/>
  <c r="B460" i="19"/>
  <c r="B1736" i="15"/>
  <c r="B463" i="19"/>
  <c r="B1745" i="15"/>
  <c r="AC45" i="12"/>
  <c r="M45" i="12"/>
  <c r="B30" i="15"/>
  <c r="D56" i="15"/>
  <c r="D84" i="15"/>
  <c r="B104" i="15"/>
  <c r="D271" i="15"/>
  <c r="B923" i="15"/>
  <c r="G285" i="19"/>
  <c r="F285" i="19"/>
  <c r="E285" i="19"/>
  <c r="C285" i="19"/>
  <c r="D285" i="19"/>
  <c r="A285" i="19"/>
  <c r="H285" i="19"/>
  <c r="P68" i="1"/>
  <c r="P76" i="1"/>
  <c r="O91" i="1"/>
  <c r="Q91" i="1"/>
  <c r="N100" i="1"/>
  <c r="K100" i="1" s="1"/>
  <c r="Q100" i="1"/>
  <c r="M109" i="1"/>
  <c r="K109" i="1" s="1"/>
  <c r="Q109" i="1"/>
  <c r="L110" i="1"/>
  <c r="Q110" i="1"/>
  <c r="G8" i="19"/>
  <c r="F8" i="19"/>
  <c r="E8" i="19"/>
  <c r="D8" i="19"/>
  <c r="C8" i="19"/>
  <c r="H8" i="19"/>
  <c r="A8" i="19"/>
  <c r="B13" i="19"/>
  <c r="B47" i="15"/>
  <c r="T67" i="2"/>
  <c r="H19" i="20" s="1"/>
  <c r="B73" i="15"/>
  <c r="B21" i="19"/>
  <c r="B26" i="19"/>
  <c r="M90" i="2"/>
  <c r="A26" i="20" s="1"/>
  <c r="T107" i="2"/>
  <c r="H31" i="20" s="1"/>
  <c r="B36" i="19"/>
  <c r="B124" i="15"/>
  <c r="B135" i="15"/>
  <c r="B39" i="19"/>
  <c r="B44" i="19"/>
  <c r="B152" i="15"/>
  <c r="T10" i="3"/>
  <c r="H47" i="20" s="1"/>
  <c r="T33" i="3"/>
  <c r="H54" i="20" s="1"/>
  <c r="B56" i="19"/>
  <c r="B209" i="15"/>
  <c r="B61" i="19"/>
  <c r="B226" i="15"/>
  <c r="B237" i="15"/>
  <c r="B64" i="19"/>
  <c r="T78" i="3"/>
  <c r="H67" i="20" s="1"/>
  <c r="B76" i="19"/>
  <c r="B277" i="15"/>
  <c r="B81" i="19"/>
  <c r="B294" i="15"/>
  <c r="B84" i="19"/>
  <c r="B305" i="15"/>
  <c r="T146" i="3"/>
  <c r="H87" i="20" s="1"/>
  <c r="B97" i="19"/>
  <c r="B367" i="15"/>
  <c r="M27" i="4"/>
  <c r="A97" i="20" s="1"/>
  <c r="T56" i="4"/>
  <c r="H106" i="20" s="1"/>
  <c r="T81" i="4"/>
  <c r="H113" i="20" s="1"/>
  <c r="B115" i="19"/>
  <c r="B427" i="15"/>
  <c r="T112" i="4"/>
  <c r="H122" i="20" s="1"/>
  <c r="T138" i="4"/>
  <c r="H130" i="20" s="1"/>
  <c r="B150" i="19"/>
  <c r="B563" i="15"/>
  <c r="M53" i="5"/>
  <c r="A150" i="20" s="1"/>
  <c r="T81" i="5"/>
  <c r="H158" i="20" s="1"/>
  <c r="G162" i="19"/>
  <c r="C162" i="19"/>
  <c r="A162" i="19"/>
  <c r="H162" i="19"/>
  <c r="F162" i="19"/>
  <c r="E162" i="19"/>
  <c r="D162" i="19"/>
  <c r="G172" i="19"/>
  <c r="E172" i="19"/>
  <c r="D172" i="19"/>
  <c r="C172" i="19"/>
  <c r="A172" i="19"/>
  <c r="H172" i="19"/>
  <c r="F172" i="19"/>
  <c r="B179" i="19"/>
  <c r="B662" i="15"/>
  <c r="M152" i="5"/>
  <c r="A179" i="20" s="1"/>
  <c r="B185" i="19"/>
  <c r="B699" i="15"/>
  <c r="M19" i="6"/>
  <c r="A185" i="20" s="1"/>
  <c r="T73" i="6"/>
  <c r="H201" i="20" s="1"/>
  <c r="B215" i="19"/>
  <c r="B801" i="15"/>
  <c r="B219" i="19"/>
  <c r="B815" i="15"/>
  <c r="M135" i="6"/>
  <c r="A219" i="20" s="1"/>
  <c r="T19" i="7"/>
  <c r="H230" i="20" s="1"/>
  <c r="B266" i="19"/>
  <c r="B991" i="15"/>
  <c r="B268" i="19"/>
  <c r="B999" i="15"/>
  <c r="M149" i="7"/>
  <c r="A268" i="20" s="1"/>
  <c r="T10" i="8"/>
  <c r="H272" i="20" s="1"/>
  <c r="B274" i="19"/>
  <c r="B1036" i="15"/>
  <c r="M16" i="8"/>
  <c r="A274" i="20" s="1"/>
  <c r="T39" i="8"/>
  <c r="H281" i="20" s="1"/>
  <c r="B283" i="19"/>
  <c r="B1067" i="15"/>
  <c r="M47" i="8"/>
  <c r="A283" i="20" s="1"/>
  <c r="T47" i="8"/>
  <c r="H283" i="20" s="1"/>
  <c r="B295" i="19"/>
  <c r="B1107" i="15"/>
  <c r="T129" i="8"/>
  <c r="H307" i="20" s="1"/>
  <c r="B311" i="19"/>
  <c r="B1161" i="15"/>
  <c r="M141" i="8"/>
  <c r="A311" i="20" s="1"/>
  <c r="B313" i="19"/>
  <c r="B1169" i="15"/>
  <c r="B319" i="19"/>
  <c r="B1206" i="15"/>
  <c r="B324" i="19"/>
  <c r="B1223" i="15"/>
  <c r="T81" i="9"/>
  <c r="H338" i="20" s="1"/>
  <c r="T138" i="9"/>
  <c r="H355" i="20" s="1"/>
  <c r="B359" i="19"/>
  <c r="B1342" i="15"/>
  <c r="A19" i="10"/>
  <c r="T95" i="10"/>
  <c r="H387" i="20" s="1"/>
  <c r="T118" i="10"/>
  <c r="H394" i="20" s="1"/>
  <c r="T30" i="11"/>
  <c r="H413" i="20" s="1"/>
  <c r="B437" i="19"/>
  <c r="B1642" i="15"/>
  <c r="B1665" i="15"/>
  <c r="B444" i="19"/>
  <c r="M135" i="11"/>
  <c r="A444" i="20" s="1"/>
  <c r="T135" i="11"/>
  <c r="H444" i="20" s="1"/>
  <c r="T149" i="11"/>
  <c r="H448" i="20" s="1"/>
  <c r="A19" i="12"/>
  <c r="B945" i="15"/>
  <c r="T33" i="8"/>
  <c r="H279" i="20" s="1"/>
  <c r="B297" i="19"/>
  <c r="B1115" i="15"/>
  <c r="M95" i="8"/>
  <c r="A297" i="20" s="1"/>
  <c r="T135" i="8"/>
  <c r="H309" i="20" s="1"/>
  <c r="B341" i="19"/>
  <c r="B1280" i="15"/>
  <c r="B343" i="19"/>
  <c r="B1288" i="15"/>
  <c r="M98" i="9"/>
  <c r="A343" i="20" s="1"/>
  <c r="B365" i="19"/>
  <c r="B1379" i="15"/>
  <c r="B369" i="19"/>
  <c r="B1393" i="15"/>
  <c r="M33" i="10"/>
  <c r="A369" i="20" s="1"/>
  <c r="B378" i="19"/>
  <c r="B1424" i="15"/>
  <c r="M64" i="10"/>
  <c r="A378" i="20" s="1"/>
  <c r="B390" i="19"/>
  <c r="B1464" i="15"/>
  <c r="B406" i="19"/>
  <c r="B1518" i="15"/>
  <c r="M158" i="10"/>
  <c r="A406" i="20" s="1"/>
  <c r="A1543" i="15"/>
  <c r="A19" i="11"/>
  <c r="A1549" i="15" s="1"/>
  <c r="B416" i="19"/>
  <c r="B1569" i="15"/>
  <c r="B418" i="19"/>
  <c r="B1577" i="15"/>
  <c r="M47" i="11"/>
  <c r="A418" i="20" s="1"/>
  <c r="B427" i="19"/>
  <c r="B1608" i="15"/>
  <c r="M78" i="11"/>
  <c r="A427" i="20" s="1"/>
  <c r="B431" i="19"/>
  <c r="B1620" i="15"/>
  <c r="B442" i="19"/>
  <c r="B1659" i="15"/>
  <c r="T155" i="11"/>
  <c r="H450" i="20" s="1"/>
  <c r="P54" i="1"/>
  <c r="P62" i="1"/>
  <c r="P70" i="1"/>
  <c r="P78" i="1"/>
  <c r="N84" i="1"/>
  <c r="Q84" i="1"/>
  <c r="M93" i="1"/>
  <c r="Q93" i="1"/>
  <c r="L94" i="1"/>
  <c r="Q94" i="1"/>
  <c r="Q103" i="1"/>
  <c r="Q112" i="1"/>
  <c r="Q113" i="1"/>
  <c r="B3" i="19"/>
  <c r="B13" i="15"/>
  <c r="G5" i="19"/>
  <c r="F5" i="19"/>
  <c r="E5" i="19"/>
  <c r="D5" i="19"/>
  <c r="C5" i="19"/>
  <c r="H5" i="19"/>
  <c r="A5" i="19"/>
  <c r="M30" i="2"/>
  <c r="A8" i="20" s="1"/>
  <c r="T36" i="2"/>
  <c r="H10" i="20" s="1"/>
  <c r="M47" i="2"/>
  <c r="A13" i="20" s="1"/>
  <c r="B15" i="19"/>
  <c r="B53" i="15"/>
  <c r="G18" i="19"/>
  <c r="F18" i="19"/>
  <c r="E18" i="19"/>
  <c r="D18" i="19"/>
  <c r="C18" i="19"/>
  <c r="H18" i="19"/>
  <c r="A18" i="19"/>
  <c r="M73" i="2"/>
  <c r="A21" i="20" s="1"/>
  <c r="T98" i="2"/>
  <c r="H28" i="20" s="1"/>
  <c r="G30" i="19"/>
  <c r="H30" i="19"/>
  <c r="F30" i="19"/>
  <c r="E30" i="19"/>
  <c r="D30" i="19"/>
  <c r="C30" i="19"/>
  <c r="A30" i="19"/>
  <c r="T115" i="2"/>
  <c r="H33" i="20" s="1"/>
  <c r="M124" i="2"/>
  <c r="A36" i="20" s="1"/>
  <c r="M135" i="2"/>
  <c r="A39" i="20" s="1"/>
  <c r="T141" i="2"/>
  <c r="H41" i="20" s="1"/>
  <c r="M152" i="2"/>
  <c r="A44" i="20" s="1"/>
  <c r="M39" i="3"/>
  <c r="A56" i="20" s="1"/>
  <c r="B58" i="19"/>
  <c r="B217" i="15"/>
  <c r="M47" i="3"/>
  <c r="A58" i="20" s="1"/>
  <c r="M56" i="3"/>
  <c r="A61" i="20" s="1"/>
  <c r="M67" i="3"/>
  <c r="A64" i="20" s="1"/>
  <c r="G66" i="19"/>
  <c r="C66" i="19"/>
  <c r="A66" i="19"/>
  <c r="H66" i="19"/>
  <c r="F66" i="19"/>
  <c r="E66" i="19"/>
  <c r="D66" i="19"/>
  <c r="T90" i="3"/>
  <c r="H71" i="20" s="1"/>
  <c r="M107" i="3"/>
  <c r="A76" i="20" s="1"/>
  <c r="B78" i="19"/>
  <c r="B285" i="15"/>
  <c r="M115" i="3"/>
  <c r="A78" i="20" s="1"/>
  <c r="M124" i="3"/>
  <c r="A81" i="20" s="1"/>
  <c r="M135" i="3"/>
  <c r="A84" i="20" s="1"/>
  <c r="B86" i="19"/>
  <c r="B311" i="15"/>
  <c r="T158" i="3"/>
  <c r="H91" i="20" s="1"/>
  <c r="B356" i="15"/>
  <c r="B94" i="19"/>
  <c r="M16" i="4"/>
  <c r="A94" i="20" s="1"/>
  <c r="B387" i="15"/>
  <c r="B103" i="19"/>
  <c r="T70" i="4"/>
  <c r="H110" i="20" s="1"/>
  <c r="M87" i="4"/>
  <c r="A115" i="20" s="1"/>
  <c r="B121" i="19"/>
  <c r="B447" i="15"/>
  <c r="M107" i="4"/>
  <c r="A121" i="20" s="1"/>
  <c r="B125" i="19"/>
  <c r="B461" i="15"/>
  <c r="T146" i="4"/>
  <c r="H132" i="20" s="1"/>
  <c r="T16" i="5"/>
  <c r="H139" i="20" s="1"/>
  <c r="B141" i="19"/>
  <c r="B532" i="15"/>
  <c r="M95" i="5"/>
  <c r="A162" i="20" s="1"/>
  <c r="B170" i="19"/>
  <c r="B631" i="15"/>
  <c r="M121" i="5"/>
  <c r="A170" i="20" s="1"/>
  <c r="M129" i="5"/>
  <c r="A172" i="20" s="1"/>
  <c r="T138" i="5"/>
  <c r="H175" i="20" s="1"/>
  <c r="B195" i="19"/>
  <c r="B733" i="15"/>
  <c r="B747" i="15"/>
  <c r="M67" i="6"/>
  <c r="A199" i="20" s="1"/>
  <c r="B208" i="19"/>
  <c r="B778" i="15"/>
  <c r="M98" i="6"/>
  <c r="A208" i="20" s="1"/>
  <c r="M121" i="6"/>
  <c r="A215" i="20" s="1"/>
  <c r="B220" i="19"/>
  <c r="B818" i="15"/>
  <c r="B228" i="19"/>
  <c r="B863" i="15"/>
  <c r="M13" i="7"/>
  <c r="A228" i="20" s="1"/>
  <c r="B237" i="19"/>
  <c r="B894" i="15"/>
  <c r="M44" i="7"/>
  <c r="A237" i="20" s="1"/>
  <c r="B241" i="19"/>
  <c r="B906" i="15"/>
  <c r="G252" i="19"/>
  <c r="F252" i="19"/>
  <c r="E252" i="19"/>
  <c r="C252" i="19"/>
  <c r="A252" i="19"/>
  <c r="D252" i="19"/>
  <c r="T121" i="7"/>
  <c r="H260" i="20" s="1"/>
  <c r="B264" i="19"/>
  <c r="B985" i="15"/>
  <c r="M141" i="7"/>
  <c r="A266" i="20" s="1"/>
  <c r="B269" i="19"/>
  <c r="B1002" i="15"/>
  <c r="B275" i="19"/>
  <c r="B1039" i="15"/>
  <c r="B291" i="19"/>
  <c r="B1093" i="15"/>
  <c r="M73" i="8"/>
  <c r="A291" i="20" s="1"/>
  <c r="B293" i="19"/>
  <c r="B1101" i="15"/>
  <c r="M87" i="8"/>
  <c r="A295" i="20" s="1"/>
  <c r="B300" i="19"/>
  <c r="B1124" i="15"/>
  <c r="M104" i="8"/>
  <c r="A300" i="20" s="1"/>
  <c r="M149" i="8"/>
  <c r="A313" i="20" s="1"/>
  <c r="T158" i="8"/>
  <c r="H316" i="20" s="1"/>
  <c r="M16" i="9"/>
  <c r="A319" i="20" s="1"/>
  <c r="B322" i="19"/>
  <c r="B1217" i="15"/>
  <c r="M33" i="9"/>
  <c r="A324" i="20" s="1"/>
  <c r="B329" i="19"/>
  <c r="B1240" i="15"/>
  <c r="M50" i="9"/>
  <c r="A329" i="20" s="1"/>
  <c r="B346" i="19"/>
  <c r="B1297" i="15"/>
  <c r="M107" i="9"/>
  <c r="A346" i="20" s="1"/>
  <c r="T115" i="9"/>
  <c r="H348" i="20" s="1"/>
  <c r="T121" i="9"/>
  <c r="H350" i="20" s="1"/>
  <c r="B352" i="19"/>
  <c r="B1319" i="15"/>
  <c r="M129" i="9"/>
  <c r="A352" i="20" s="1"/>
  <c r="M152" i="9"/>
  <c r="A359" i="20" s="1"/>
  <c r="T27" i="10"/>
  <c r="H367" i="20" s="1"/>
  <c r="T50" i="10"/>
  <c r="H374" i="20" s="1"/>
  <c r="B392" i="19"/>
  <c r="B1472" i="15"/>
  <c r="M112" i="10"/>
  <c r="A392" i="20" s="1"/>
  <c r="T152" i="10"/>
  <c r="H404" i="20" s="1"/>
  <c r="B421" i="19"/>
  <c r="B1586" i="15"/>
  <c r="M56" i="11"/>
  <c r="A421" i="20" s="1"/>
  <c r="T64" i="11"/>
  <c r="H423" i="20" s="1"/>
  <c r="B435" i="19"/>
  <c r="B1634" i="15"/>
  <c r="M104" i="11"/>
  <c r="A435" i="20" s="1"/>
  <c r="T121" i="11"/>
  <c r="H440" i="20" s="1"/>
  <c r="A1713" i="15"/>
  <c r="A16" i="12"/>
  <c r="C39" i="12"/>
  <c r="C1739" i="15" s="1"/>
  <c r="D1736" i="15"/>
  <c r="T36" i="12"/>
  <c r="B90" i="15"/>
  <c r="T121" i="5"/>
  <c r="H170" i="20" s="1"/>
  <c r="T132" i="5"/>
  <c r="H173" i="20" s="1"/>
  <c r="B181" i="19"/>
  <c r="B668" i="15"/>
  <c r="T10" i="6"/>
  <c r="H182" i="20" s="1"/>
  <c r="A16" i="6"/>
  <c r="B190" i="19"/>
  <c r="B716" i="15"/>
  <c r="B193" i="19"/>
  <c r="B727" i="15"/>
  <c r="T56" i="6"/>
  <c r="H196" i="20" s="1"/>
  <c r="T67" i="6"/>
  <c r="H199" i="20" s="1"/>
  <c r="T78" i="6"/>
  <c r="H202" i="20" s="1"/>
  <c r="B784" i="15"/>
  <c r="B210" i="19"/>
  <c r="B213" i="19"/>
  <c r="B795" i="15"/>
  <c r="T124" i="6"/>
  <c r="H216" i="20" s="1"/>
  <c r="T135" i="6"/>
  <c r="H219" i="20" s="1"/>
  <c r="T146" i="6"/>
  <c r="H222" i="20" s="1"/>
  <c r="T13" i="7"/>
  <c r="H228" i="20" s="1"/>
  <c r="G236" i="19"/>
  <c r="F236" i="19"/>
  <c r="E236" i="19"/>
  <c r="C236" i="19"/>
  <c r="A236" i="19"/>
  <c r="H236" i="19"/>
  <c r="D236" i="19"/>
  <c r="B239" i="19"/>
  <c r="B900" i="15"/>
  <c r="B242" i="19"/>
  <c r="B911" i="15"/>
  <c r="T70" i="7"/>
  <c r="H245" i="20" s="1"/>
  <c r="T81" i="7"/>
  <c r="H248" i="20" s="1"/>
  <c r="B256" i="19"/>
  <c r="B957" i="15"/>
  <c r="G259" i="19"/>
  <c r="F259" i="19"/>
  <c r="E259" i="19"/>
  <c r="C259" i="19"/>
  <c r="D259" i="19"/>
  <c r="H259" i="19"/>
  <c r="A259" i="19"/>
  <c r="G262" i="19"/>
  <c r="F262" i="19"/>
  <c r="E262" i="19"/>
  <c r="C262" i="19"/>
  <c r="A262" i="19"/>
  <c r="H262" i="19"/>
  <c r="D262" i="19"/>
  <c r="T138" i="7"/>
  <c r="H265" i="20" s="1"/>
  <c r="T16" i="8"/>
  <c r="H274" i="20" s="1"/>
  <c r="T27" i="8"/>
  <c r="H277" i="20" s="1"/>
  <c r="G288" i="19"/>
  <c r="F288" i="19"/>
  <c r="E288" i="19"/>
  <c r="C288" i="19"/>
  <c r="D288" i="19"/>
  <c r="A288" i="19"/>
  <c r="H288" i="19"/>
  <c r="T95" i="8"/>
  <c r="H297" i="20" s="1"/>
  <c r="G305" i="19"/>
  <c r="F305" i="19"/>
  <c r="E305" i="19"/>
  <c r="C305" i="19"/>
  <c r="D305" i="19"/>
  <c r="H305" i="19"/>
  <c r="A305" i="19"/>
  <c r="B308" i="19"/>
  <c r="B1152" i="15"/>
  <c r="T141" i="8"/>
  <c r="H311" i="20" s="1"/>
  <c r="T152" i="8"/>
  <c r="H314" i="20" s="1"/>
  <c r="B317" i="19"/>
  <c r="B1200" i="15"/>
  <c r="T19" i="9"/>
  <c r="H320" i="20" s="1"/>
  <c r="T30" i="9"/>
  <c r="H323" i="20" s="1"/>
  <c r="B331" i="19"/>
  <c r="B1246" i="15"/>
  <c r="B334" i="19"/>
  <c r="B1257" i="15"/>
  <c r="B337" i="19"/>
  <c r="B1268" i="15"/>
  <c r="T87" i="9"/>
  <c r="H340" i="20" s="1"/>
  <c r="T98" i="9"/>
  <c r="H343" i="20" s="1"/>
  <c r="B1314" i="15"/>
  <c r="B351" i="19"/>
  <c r="B354" i="19"/>
  <c r="B1325" i="15"/>
  <c r="B357" i="19"/>
  <c r="B1336" i="15"/>
  <c r="T155" i="9"/>
  <c r="H360" i="20" s="1"/>
  <c r="G363" i="19"/>
  <c r="F363" i="19"/>
  <c r="E363" i="19"/>
  <c r="C363" i="19"/>
  <c r="D363" i="19"/>
  <c r="H363" i="19"/>
  <c r="A363" i="19"/>
  <c r="T22" i="10"/>
  <c r="H366" i="20" s="1"/>
  <c r="T33" i="10"/>
  <c r="H369" i="20" s="1"/>
  <c r="T44" i="10"/>
  <c r="H372" i="20" s="1"/>
  <c r="B380" i="19"/>
  <c r="B1430" i="15"/>
  <c r="B383" i="19"/>
  <c r="B1441" i="15"/>
  <c r="T90" i="10"/>
  <c r="H386" i="20" s="1"/>
  <c r="T101" i="10"/>
  <c r="H389" i="20" s="1"/>
  <c r="T112" i="10"/>
  <c r="H392" i="20" s="1"/>
  <c r="B400" i="19"/>
  <c r="B1498" i="15"/>
  <c r="B403" i="19"/>
  <c r="B1509" i="15"/>
  <c r="T158" i="10"/>
  <c r="H406" i="20" s="1"/>
  <c r="B1546" i="15"/>
  <c r="B409" i="19"/>
  <c r="B1557" i="15"/>
  <c r="B412" i="19"/>
  <c r="T36" i="11"/>
  <c r="H415" i="20" s="1"/>
  <c r="T47" i="11"/>
  <c r="H418" i="20" s="1"/>
  <c r="B426" i="19"/>
  <c r="B1603" i="15"/>
  <c r="B429" i="19"/>
  <c r="B1614" i="15"/>
  <c r="B432" i="19"/>
  <c r="B1625" i="15"/>
  <c r="T104" i="11"/>
  <c r="H435" i="20" s="1"/>
  <c r="T115" i="11"/>
  <c r="H438" i="20" s="1"/>
  <c r="B1671" i="15"/>
  <c r="B446" i="19"/>
  <c r="B449" i="19"/>
  <c r="B1682" i="15"/>
  <c r="B452" i="15"/>
  <c r="B557" i="15"/>
  <c r="D656" i="15"/>
  <c r="D812" i="15"/>
  <c r="D996" i="15"/>
  <c r="B1373" i="15"/>
  <c r="B1594" i="15"/>
  <c r="P82" i="1"/>
  <c r="P90" i="1"/>
  <c r="P98" i="1"/>
  <c r="P106" i="1"/>
  <c r="T13" i="2"/>
  <c r="H3" i="20" s="1"/>
  <c r="B39" i="15"/>
  <c r="B11" i="19"/>
  <c r="B14" i="19"/>
  <c r="B50" i="15"/>
  <c r="B17" i="19"/>
  <c r="B61" i="15"/>
  <c r="T70" i="2"/>
  <c r="H20" i="20" s="1"/>
  <c r="T81" i="2"/>
  <c r="H23" i="20" s="1"/>
  <c r="B107" i="15"/>
  <c r="B31" i="19"/>
  <c r="B34" i="19"/>
  <c r="B118" i="15"/>
  <c r="B37" i="19"/>
  <c r="B129" i="15"/>
  <c r="T138" i="2"/>
  <c r="H40" i="20" s="1"/>
  <c r="T149" i="2"/>
  <c r="H43" i="20" s="1"/>
  <c r="T16" i="3"/>
  <c r="H49" i="20" s="1"/>
  <c r="T27" i="3"/>
  <c r="H52" i="20" s="1"/>
  <c r="B60" i="19"/>
  <c r="B223" i="15"/>
  <c r="B234" i="15"/>
  <c r="B63" i="19"/>
  <c r="T73" i="3"/>
  <c r="H66" i="20" s="1"/>
  <c r="T84" i="3"/>
  <c r="H69" i="20" s="1"/>
  <c r="T95" i="3"/>
  <c r="H72" i="20" s="1"/>
  <c r="B80" i="19"/>
  <c r="B291" i="15"/>
  <c r="B83" i="19"/>
  <c r="B302" i="15"/>
  <c r="T141" i="3"/>
  <c r="H86" i="20" s="1"/>
  <c r="T152" i="3"/>
  <c r="H89" i="20" s="1"/>
  <c r="G92" i="19"/>
  <c r="E92" i="19"/>
  <c r="D92" i="19"/>
  <c r="C92" i="19"/>
  <c r="A92" i="19"/>
  <c r="H92" i="19"/>
  <c r="F92" i="19"/>
  <c r="T19" i="4"/>
  <c r="H95" i="20" s="1"/>
  <c r="G106" i="19"/>
  <c r="C106" i="19"/>
  <c r="A106" i="19"/>
  <c r="H106" i="19"/>
  <c r="F106" i="19"/>
  <c r="E106" i="19"/>
  <c r="D106" i="19"/>
  <c r="B109" i="19"/>
  <c r="B407" i="15"/>
  <c r="B112" i="19"/>
  <c r="B418" i="15"/>
  <c r="T98" i="4"/>
  <c r="H118" i="20" s="1"/>
  <c r="B126" i="19"/>
  <c r="B464" i="15"/>
  <c r="B129" i="19"/>
  <c r="B475" i="15"/>
  <c r="B132" i="19"/>
  <c r="B486" i="15"/>
  <c r="T155" i="4"/>
  <c r="H135" i="20" s="1"/>
  <c r="B138" i="19"/>
  <c r="B523" i="15"/>
  <c r="T22" i="5"/>
  <c r="H141" i="20" s="1"/>
  <c r="T33" i="5"/>
  <c r="H144" i="20" s="1"/>
  <c r="T44" i="5"/>
  <c r="H147" i="20" s="1"/>
  <c r="G155" i="19"/>
  <c r="D155" i="19"/>
  <c r="C155" i="19"/>
  <c r="A155" i="19"/>
  <c r="H155" i="19"/>
  <c r="F155" i="19"/>
  <c r="E155" i="19"/>
  <c r="G158" i="19"/>
  <c r="H158" i="19"/>
  <c r="F158" i="19"/>
  <c r="E158" i="19"/>
  <c r="D158" i="19"/>
  <c r="C158" i="19"/>
  <c r="A158" i="19"/>
  <c r="T90" i="5"/>
  <c r="H161" i="20" s="1"/>
  <c r="T101" i="5"/>
  <c r="H164" i="20" s="1"/>
  <c r="B175" i="19"/>
  <c r="B648" i="15"/>
  <c r="B178" i="19"/>
  <c r="B659" i="15"/>
  <c r="T158" i="5"/>
  <c r="H181" i="20" s="1"/>
  <c r="B696" i="15"/>
  <c r="B184" i="19"/>
  <c r="B187" i="19"/>
  <c r="B707" i="15"/>
  <c r="T36" i="6"/>
  <c r="H190" i="20" s="1"/>
  <c r="T47" i="6"/>
  <c r="H193" i="20" s="1"/>
  <c r="B201" i="19"/>
  <c r="B753" i="15"/>
  <c r="B204" i="19"/>
  <c r="B764" i="15"/>
  <c r="B207" i="19"/>
  <c r="B775" i="15"/>
  <c r="T104" i="6"/>
  <c r="H210" i="20" s="1"/>
  <c r="T115" i="6"/>
  <c r="H213" i="20" s="1"/>
  <c r="B221" i="19"/>
  <c r="B821" i="15"/>
  <c r="B224" i="19"/>
  <c r="B832" i="15"/>
  <c r="B230" i="19"/>
  <c r="B869" i="15"/>
  <c r="B233" i="19"/>
  <c r="B880" i="15"/>
  <c r="T39" i="7"/>
  <c r="H236" i="20" s="1"/>
  <c r="T50" i="7"/>
  <c r="H239" i="20" s="1"/>
  <c r="T61" i="7"/>
  <c r="H242" i="20" s="1"/>
  <c r="B250" i="19"/>
  <c r="B937" i="15"/>
  <c r="B253" i="19"/>
  <c r="B948" i="15"/>
  <c r="T107" i="7"/>
  <c r="H256" i="20" s="1"/>
  <c r="T118" i="7"/>
  <c r="H259" i="20" s="1"/>
  <c r="T129" i="7"/>
  <c r="H262" i="20" s="1"/>
  <c r="B270" i="19"/>
  <c r="B1005" i="15"/>
  <c r="B279" i="19"/>
  <c r="B1053" i="15"/>
  <c r="B282" i="19"/>
  <c r="B1064" i="15"/>
  <c r="T53" i="8"/>
  <c r="H285" i="20" s="1"/>
  <c r="T64" i="8"/>
  <c r="H288" i="20" s="1"/>
  <c r="B296" i="19"/>
  <c r="B1110" i="15"/>
  <c r="G299" i="19"/>
  <c r="F299" i="19"/>
  <c r="E299" i="19"/>
  <c r="C299" i="19"/>
  <c r="D299" i="19"/>
  <c r="H299" i="19"/>
  <c r="A299" i="19"/>
  <c r="G302" i="19"/>
  <c r="F302" i="19"/>
  <c r="E302" i="19"/>
  <c r="C302" i="19"/>
  <c r="D302" i="19"/>
  <c r="A302" i="19"/>
  <c r="H302" i="19"/>
  <c r="T121" i="8"/>
  <c r="H305" i="20" s="1"/>
  <c r="G316" i="19"/>
  <c r="F316" i="19"/>
  <c r="E316" i="19"/>
  <c r="C316" i="19"/>
  <c r="D316" i="19"/>
  <c r="A316" i="19"/>
  <c r="H316" i="19"/>
  <c r="G325" i="19"/>
  <c r="F325" i="19"/>
  <c r="E325" i="19"/>
  <c r="C325" i="19"/>
  <c r="D325" i="19"/>
  <c r="H325" i="19"/>
  <c r="A325" i="19"/>
  <c r="G328" i="19"/>
  <c r="F328" i="19"/>
  <c r="E328" i="19"/>
  <c r="C328" i="19"/>
  <c r="D328" i="19"/>
  <c r="A328" i="19"/>
  <c r="H328" i="19"/>
  <c r="T56" i="9"/>
  <c r="H331" i="20" s="1"/>
  <c r="T78" i="9"/>
  <c r="H337" i="20" s="1"/>
  <c r="B345" i="19"/>
  <c r="B1294" i="15"/>
  <c r="B348" i="19"/>
  <c r="B1305" i="15"/>
  <c r="T124" i="9"/>
  <c r="H351" i="20" s="1"/>
  <c r="T135" i="9"/>
  <c r="H354" i="20" s="1"/>
  <c r="T146" i="9"/>
  <c r="H357" i="20" s="1"/>
  <c r="T13" i="10"/>
  <c r="H363" i="20" s="1"/>
  <c r="B1399" i="15"/>
  <c r="B371" i="19"/>
  <c r="B374" i="19"/>
  <c r="B1410" i="15"/>
  <c r="B377" i="19"/>
  <c r="B1421" i="15"/>
  <c r="T70" i="10"/>
  <c r="H380" i="20" s="1"/>
  <c r="T81" i="10"/>
  <c r="H383" i="20" s="1"/>
  <c r="B1467" i="15"/>
  <c r="B391" i="19"/>
  <c r="B394" i="19"/>
  <c r="B1478" i="15"/>
  <c r="B397" i="19"/>
  <c r="B1489" i="15"/>
  <c r="T138" i="10"/>
  <c r="H400" i="20" s="1"/>
  <c r="T149" i="10"/>
  <c r="H403" i="20" s="1"/>
  <c r="T16" i="11"/>
  <c r="H409" i="20" s="1"/>
  <c r="T27" i="11"/>
  <c r="H412" i="20" s="1"/>
  <c r="B420" i="19"/>
  <c r="B1583" i="15"/>
  <c r="H423" i="19"/>
  <c r="G423" i="19"/>
  <c r="F423" i="19"/>
  <c r="A423" i="19"/>
  <c r="E423" i="19"/>
  <c r="D423" i="19"/>
  <c r="C423" i="19"/>
  <c r="T73" i="11"/>
  <c r="H426" i="20" s="1"/>
  <c r="T84" i="11"/>
  <c r="H429" i="20" s="1"/>
  <c r="T95" i="11"/>
  <c r="H432" i="20" s="1"/>
  <c r="B440" i="19"/>
  <c r="B1651" i="15"/>
  <c r="A443" i="19"/>
  <c r="H443" i="19"/>
  <c r="G443" i="19"/>
  <c r="F443" i="19"/>
  <c r="E443" i="19"/>
  <c r="D443" i="19"/>
  <c r="C443" i="19"/>
  <c r="T141" i="11"/>
  <c r="H446" i="20" s="1"/>
  <c r="T152" i="11"/>
  <c r="H449" i="20" s="1"/>
  <c r="T42" i="12"/>
  <c r="B498" i="15"/>
  <c r="B546" i="15"/>
  <c r="B781" i="15"/>
  <c r="D860" i="15"/>
  <c r="D917" i="15"/>
  <c r="B1132" i="15"/>
  <c r="B1226" i="15"/>
  <c r="B1628" i="15"/>
  <c r="B428" i="19"/>
  <c r="B111" i="19"/>
  <c r="B413" i="15"/>
  <c r="B114" i="19"/>
  <c r="B424" i="15"/>
  <c r="B117" i="19"/>
  <c r="B435" i="15"/>
  <c r="T104" i="4"/>
  <c r="H120" i="20" s="1"/>
  <c r="T115" i="4"/>
  <c r="H123" i="20" s="1"/>
  <c r="B131" i="19"/>
  <c r="B481" i="15"/>
  <c r="B492" i="15"/>
  <c r="B134" i="19"/>
  <c r="B140" i="19"/>
  <c r="B529" i="15"/>
  <c r="B540" i="15"/>
  <c r="B143" i="19"/>
  <c r="T39" i="5"/>
  <c r="H146" i="20" s="1"/>
  <c r="T50" i="5"/>
  <c r="H149" i="20" s="1"/>
  <c r="T61" i="5"/>
  <c r="H152" i="20" s="1"/>
  <c r="B160" i="19"/>
  <c r="B597" i="15"/>
  <c r="B163" i="19"/>
  <c r="B608" i="15"/>
  <c r="T107" i="5"/>
  <c r="H166" i="20" s="1"/>
  <c r="T118" i="5"/>
  <c r="H169" i="20" s="1"/>
  <c r="T129" i="5"/>
  <c r="H172" i="20" s="1"/>
  <c r="B665" i="15"/>
  <c r="B180" i="19"/>
  <c r="B186" i="19"/>
  <c r="B702" i="15"/>
  <c r="B189" i="19"/>
  <c r="B713" i="15"/>
  <c r="B192" i="19"/>
  <c r="B724" i="15"/>
  <c r="T53" i="6"/>
  <c r="H195" i="20" s="1"/>
  <c r="T64" i="6"/>
  <c r="H198" i="20" s="1"/>
  <c r="B206" i="19"/>
  <c r="B770" i="15"/>
  <c r="G209" i="19"/>
  <c r="F209" i="19"/>
  <c r="E209" i="19"/>
  <c r="C209" i="19"/>
  <c r="D209" i="19"/>
  <c r="A209" i="19"/>
  <c r="H209" i="19"/>
  <c r="G212" i="19"/>
  <c r="F212" i="19"/>
  <c r="E212" i="19"/>
  <c r="C212" i="19"/>
  <c r="A212" i="19"/>
  <c r="H212" i="19"/>
  <c r="D212" i="19"/>
  <c r="T121" i="6"/>
  <c r="H215" i="20" s="1"/>
  <c r="G226" i="19"/>
  <c r="F226" i="19"/>
  <c r="E226" i="19"/>
  <c r="C226" i="19"/>
  <c r="A226" i="19"/>
  <c r="H226" i="19"/>
  <c r="D226" i="19"/>
  <c r="G235" i="19"/>
  <c r="F235" i="19"/>
  <c r="E235" i="19"/>
  <c r="C235" i="19"/>
  <c r="D235" i="19"/>
  <c r="H235" i="19"/>
  <c r="A235" i="19"/>
  <c r="G238" i="19"/>
  <c r="F238" i="19"/>
  <c r="E238" i="19"/>
  <c r="C238" i="19"/>
  <c r="A238" i="19"/>
  <c r="H238" i="19"/>
  <c r="D238" i="19"/>
  <c r="T78" i="7"/>
  <c r="H247" i="20" s="1"/>
  <c r="B255" i="19"/>
  <c r="B954" i="15"/>
  <c r="B258" i="19"/>
  <c r="B965" i="15"/>
  <c r="T124" i="7"/>
  <c r="H261" i="20" s="1"/>
  <c r="T135" i="7"/>
  <c r="H264" i="20" s="1"/>
  <c r="T13" i="8"/>
  <c r="H273" i="20" s="1"/>
  <c r="B281" i="19"/>
  <c r="B1059" i="15"/>
  <c r="B284" i="19"/>
  <c r="B1070" i="15"/>
  <c r="B287" i="19"/>
  <c r="B1081" i="15"/>
  <c r="T70" i="8"/>
  <c r="H290" i="20" s="1"/>
  <c r="T81" i="8"/>
  <c r="H293" i="20" s="1"/>
  <c r="B301" i="19"/>
  <c r="B1127" i="15"/>
  <c r="B304" i="19"/>
  <c r="B1138" i="15"/>
  <c r="B1149" i="15"/>
  <c r="B307" i="19"/>
  <c r="T138" i="8"/>
  <c r="H310" i="20" s="1"/>
  <c r="T149" i="8"/>
  <c r="H313" i="20" s="1"/>
  <c r="T16" i="9"/>
  <c r="H319" i="20" s="1"/>
  <c r="T27" i="9"/>
  <c r="H322" i="20" s="1"/>
  <c r="B330" i="19"/>
  <c r="B1243" i="15"/>
  <c r="B333" i="19"/>
  <c r="B1254" i="15"/>
  <c r="T73" i="9"/>
  <c r="H336" i="20" s="1"/>
  <c r="T84" i="9"/>
  <c r="H339" i="20" s="1"/>
  <c r="T95" i="9"/>
  <c r="H342" i="20" s="1"/>
  <c r="B350" i="19"/>
  <c r="B1311" i="15"/>
  <c r="B353" i="19"/>
  <c r="B1322" i="15"/>
  <c r="T152" i="9"/>
  <c r="H359" i="20" s="1"/>
  <c r="B362" i="19"/>
  <c r="B1370" i="15"/>
  <c r="T19" i="10"/>
  <c r="H365" i="20" s="1"/>
  <c r="T30" i="10"/>
  <c r="H368" i="20" s="1"/>
  <c r="G376" i="19"/>
  <c r="F376" i="19"/>
  <c r="E376" i="19"/>
  <c r="C376" i="19"/>
  <c r="D376" i="19"/>
  <c r="A376" i="19"/>
  <c r="H376" i="19"/>
  <c r="B1438" i="15"/>
  <c r="B382" i="19"/>
  <c r="T87" i="10"/>
  <c r="H385" i="20" s="1"/>
  <c r="T98" i="10"/>
  <c r="H388" i="20" s="1"/>
  <c r="B1484" i="15"/>
  <c r="B396" i="19"/>
  <c r="B1495" i="15"/>
  <c r="B399" i="19"/>
  <c r="B402" i="19"/>
  <c r="B1506" i="15"/>
  <c r="T155" i="10"/>
  <c r="H405" i="20" s="1"/>
  <c r="B408" i="19"/>
  <c r="B1543" i="15"/>
  <c r="T22" i="11"/>
  <c r="H411" i="20" s="1"/>
  <c r="T33" i="11"/>
  <c r="H414" i="20" s="1"/>
  <c r="T44" i="11"/>
  <c r="H417" i="20" s="1"/>
  <c r="B425" i="19"/>
  <c r="B1600" i="15"/>
  <c r="T90" i="11"/>
  <c r="H431" i="20" s="1"/>
  <c r="T101" i="11"/>
  <c r="H434" i="20" s="1"/>
  <c r="T112" i="11"/>
  <c r="H437" i="20" s="1"/>
  <c r="B445" i="19"/>
  <c r="B1668" i="15"/>
  <c r="B448" i="19"/>
  <c r="B1679" i="15"/>
  <c r="T158" i="11"/>
  <c r="H451" i="20" s="1"/>
  <c r="B465" i="19"/>
  <c r="B1753" i="15"/>
  <c r="B396" i="15"/>
  <c r="D472" i="15"/>
  <c r="B580" i="15"/>
  <c r="D1107" i="15"/>
  <c r="B276" i="19"/>
  <c r="B355" i="19"/>
  <c r="B96" i="19"/>
  <c r="B362" i="15"/>
  <c r="B99" i="19"/>
  <c r="B373" i="15"/>
  <c r="B384" i="15"/>
  <c r="B102" i="19"/>
  <c r="T53" i="4"/>
  <c r="H105" i="20" s="1"/>
  <c r="T64" i="4"/>
  <c r="H108" i="20" s="1"/>
  <c r="M73" i="4"/>
  <c r="A111" i="20" s="1"/>
  <c r="M84" i="4"/>
  <c r="A114" i="20" s="1"/>
  <c r="B116" i="19"/>
  <c r="B430" i="15"/>
  <c r="M95" i="4"/>
  <c r="A117" i="20" s="1"/>
  <c r="G119" i="19"/>
  <c r="H119" i="19"/>
  <c r="F119" i="19"/>
  <c r="E119" i="19"/>
  <c r="D119" i="19"/>
  <c r="C119" i="19"/>
  <c r="A119" i="19"/>
  <c r="G122" i="19"/>
  <c r="C122" i="19"/>
  <c r="A122" i="19"/>
  <c r="H122" i="19"/>
  <c r="F122" i="19"/>
  <c r="E122" i="19"/>
  <c r="D122" i="19"/>
  <c r="T121" i="4"/>
  <c r="H125" i="20" s="1"/>
  <c r="M141" i="4"/>
  <c r="A131" i="20" s="1"/>
  <c r="M152" i="4"/>
  <c r="A134" i="20" s="1"/>
  <c r="G136" i="19"/>
  <c r="A136" i="19"/>
  <c r="H136" i="19"/>
  <c r="F136" i="19"/>
  <c r="E136" i="19"/>
  <c r="C136" i="19"/>
  <c r="M19" i="5"/>
  <c r="A140" i="20" s="1"/>
  <c r="M30" i="5"/>
  <c r="A143" i="20" s="1"/>
  <c r="G145" i="19"/>
  <c r="A145" i="19"/>
  <c r="H145" i="19"/>
  <c r="F145" i="19"/>
  <c r="C145" i="19"/>
  <c r="G148" i="19"/>
  <c r="E148" i="19"/>
  <c r="D148" i="19"/>
  <c r="C148" i="19"/>
  <c r="A148" i="19"/>
  <c r="F148" i="19"/>
  <c r="T67" i="5"/>
  <c r="H154" i="20" s="1"/>
  <c r="T78" i="5"/>
  <c r="H157" i="20" s="1"/>
  <c r="M87" i="5"/>
  <c r="A160" i="20" s="1"/>
  <c r="M98" i="5"/>
  <c r="A163" i="20" s="1"/>
  <c r="B165" i="19"/>
  <c r="B614" i="15"/>
  <c r="G168" i="19"/>
  <c r="A168" i="19"/>
  <c r="H168" i="19"/>
  <c r="F168" i="19"/>
  <c r="E168" i="19"/>
  <c r="D168" i="19"/>
  <c r="C168" i="19"/>
  <c r="M155" i="5"/>
  <c r="A180" i="20" s="1"/>
  <c r="T13" i="6"/>
  <c r="H183" i="20" s="1"/>
  <c r="M22" i="6"/>
  <c r="A186" i="20" s="1"/>
  <c r="M33" i="6"/>
  <c r="A189" i="20" s="1"/>
  <c r="B191" i="19"/>
  <c r="B719" i="15"/>
  <c r="M44" i="6"/>
  <c r="A192" i="20" s="1"/>
  <c r="B730" i="15"/>
  <c r="B194" i="19"/>
  <c r="B197" i="19"/>
  <c r="B741" i="15"/>
  <c r="T70" i="6"/>
  <c r="H200" i="20" s="1"/>
  <c r="T81" i="6"/>
  <c r="H203" i="20" s="1"/>
  <c r="M90" i="6"/>
  <c r="A206" i="20" s="1"/>
  <c r="M101" i="6"/>
  <c r="A209" i="20" s="1"/>
  <c r="B211" i="19"/>
  <c r="B787" i="15"/>
  <c r="M112" i="6"/>
  <c r="A212" i="20" s="1"/>
  <c r="B214" i="19"/>
  <c r="B798" i="15"/>
  <c r="B217" i="19"/>
  <c r="B809" i="15"/>
  <c r="T138" i="6"/>
  <c r="H220" i="20" s="1"/>
  <c r="T149" i="6"/>
  <c r="H223" i="20" s="1"/>
  <c r="M158" i="6"/>
  <c r="A226" i="20" s="1"/>
  <c r="T16" i="7"/>
  <c r="H229" i="20" s="1"/>
  <c r="T27" i="7"/>
  <c r="H232" i="20" s="1"/>
  <c r="M36" i="7"/>
  <c r="A235" i="20" s="1"/>
  <c r="M47" i="7"/>
  <c r="A238" i="20" s="1"/>
  <c r="B240" i="19"/>
  <c r="B903" i="15"/>
  <c r="B243" i="19"/>
  <c r="B914" i="15"/>
  <c r="T73" i="7"/>
  <c r="H246" i="20" s="1"/>
  <c r="T84" i="7"/>
  <c r="H249" i="20" s="1"/>
  <c r="T95" i="7"/>
  <c r="H252" i="20" s="1"/>
  <c r="M104" i="7"/>
  <c r="A255" i="20" s="1"/>
  <c r="M115" i="7"/>
  <c r="A258" i="20" s="1"/>
  <c r="B260" i="19"/>
  <c r="B971" i="15"/>
  <c r="B263" i="19"/>
  <c r="B982" i="15"/>
  <c r="T141" i="7"/>
  <c r="H266" i="20" s="1"/>
  <c r="T152" i="7"/>
  <c r="H269" i="20" s="1"/>
  <c r="B272" i="19"/>
  <c r="B1030" i="15"/>
  <c r="T19" i="8"/>
  <c r="H275" i="20" s="1"/>
  <c r="T30" i="8"/>
  <c r="H278" i="20" s="1"/>
  <c r="M39" i="8"/>
  <c r="A281" i="20" s="1"/>
  <c r="M50" i="8"/>
  <c r="A284" i="20" s="1"/>
  <c r="G286" i="19"/>
  <c r="F286" i="19"/>
  <c r="E286" i="19"/>
  <c r="C286" i="19"/>
  <c r="D286" i="19"/>
  <c r="A286" i="19"/>
  <c r="H286" i="19"/>
  <c r="M61" i="8"/>
  <c r="A287" i="20" s="1"/>
  <c r="B289" i="19"/>
  <c r="B1087" i="15"/>
  <c r="B292" i="19"/>
  <c r="B1098" i="15"/>
  <c r="T98" i="8"/>
  <c r="H298" i="20" s="1"/>
  <c r="M107" i="8"/>
  <c r="A301" i="20" s="1"/>
  <c r="M118" i="8"/>
  <c r="A304" i="20" s="1"/>
  <c r="B306" i="19"/>
  <c r="B1144" i="15"/>
  <c r="M129" i="8"/>
  <c r="A307" i="20" s="1"/>
  <c r="B309" i="19"/>
  <c r="B1155" i="15"/>
  <c r="B312" i="19"/>
  <c r="B1166" i="15"/>
  <c r="T155" i="8"/>
  <c r="H315" i="20" s="1"/>
  <c r="B318" i="19"/>
  <c r="B1203" i="15"/>
  <c r="T22" i="9"/>
  <c r="H321" i="20" s="1"/>
  <c r="T33" i="9"/>
  <c r="H324" i="20" s="1"/>
  <c r="T44" i="9"/>
  <c r="H327" i="20" s="1"/>
  <c r="M53" i="9"/>
  <c r="A330" i="20" s="1"/>
  <c r="M64" i="9"/>
  <c r="A333" i="20" s="1"/>
  <c r="B1260" i="15"/>
  <c r="B335" i="19"/>
  <c r="B338" i="19"/>
  <c r="B1271" i="15"/>
  <c r="T90" i="9"/>
  <c r="H341" i="20" s="1"/>
  <c r="T101" i="9"/>
  <c r="H344" i="20" s="1"/>
  <c r="T112" i="9"/>
  <c r="H347" i="20" s="1"/>
  <c r="B358" i="19"/>
  <c r="B1339" i="15"/>
  <c r="T158" i="9"/>
  <c r="H361" i="20" s="1"/>
  <c r="B364" i="19"/>
  <c r="B1376" i="15"/>
  <c r="T36" i="10"/>
  <c r="H370" i="20" s="1"/>
  <c r="T47" i="10"/>
  <c r="H373" i="20" s="1"/>
  <c r="M56" i="10"/>
  <c r="A376" i="20" s="1"/>
  <c r="M67" i="10"/>
  <c r="A379" i="20" s="1"/>
  <c r="B381" i="19"/>
  <c r="B1433" i="15"/>
  <c r="M78" i="10"/>
  <c r="A382" i="20" s="1"/>
  <c r="B384" i="19"/>
  <c r="B1444" i="15"/>
  <c r="B387" i="19"/>
  <c r="B1455" i="15"/>
  <c r="T104" i="10"/>
  <c r="H390" i="20" s="1"/>
  <c r="T115" i="10"/>
  <c r="H393" i="20" s="1"/>
  <c r="M124" i="10"/>
  <c r="A396" i="20" s="1"/>
  <c r="M135" i="10"/>
  <c r="A399" i="20" s="1"/>
  <c r="B401" i="19"/>
  <c r="B1501" i="15"/>
  <c r="M146" i="10"/>
  <c r="A402" i="20" s="1"/>
  <c r="B404" i="19"/>
  <c r="B1512" i="15"/>
  <c r="M13" i="11"/>
  <c r="A408" i="20" s="1"/>
  <c r="B410" i="19"/>
  <c r="B1549" i="15"/>
  <c r="H413" i="19"/>
  <c r="G413" i="19"/>
  <c r="F413" i="19"/>
  <c r="C413" i="19"/>
  <c r="A413" i="19"/>
  <c r="E413" i="19"/>
  <c r="D413" i="19"/>
  <c r="T39" i="11"/>
  <c r="H416" i="20" s="1"/>
  <c r="T50" i="11"/>
  <c r="H419" i="20" s="1"/>
  <c r="T61" i="11"/>
  <c r="H422" i="20" s="1"/>
  <c r="M70" i="11"/>
  <c r="A425" i="20" s="1"/>
  <c r="M81" i="11"/>
  <c r="A428" i="20" s="1"/>
  <c r="B430" i="19"/>
  <c r="B1617" i="15"/>
  <c r="H433" i="19"/>
  <c r="G433" i="19"/>
  <c r="F433" i="19"/>
  <c r="E433" i="19"/>
  <c r="C433" i="19"/>
  <c r="D433" i="19"/>
  <c r="A433" i="19"/>
  <c r="T107" i="11"/>
  <c r="H436" i="20" s="1"/>
  <c r="T118" i="11"/>
  <c r="H439" i="20" s="1"/>
  <c r="T129" i="11"/>
  <c r="H442" i="20" s="1"/>
  <c r="M138" i="11"/>
  <c r="A445" i="20" s="1"/>
  <c r="M149" i="11"/>
  <c r="A448" i="20" s="1"/>
  <c r="B450" i="19"/>
  <c r="B1685" i="15"/>
  <c r="B350" i="15"/>
  <c r="B625" i="15"/>
  <c r="B792" i="15"/>
  <c r="B1121" i="15"/>
  <c r="E145" i="19"/>
  <c r="B367" i="19"/>
  <c r="H464" i="19" l="1"/>
  <c r="G464" i="19"/>
  <c r="F464" i="19"/>
  <c r="A464" i="19" s="1"/>
  <c r="E464" i="19"/>
  <c r="D464" i="19"/>
  <c r="C464" i="19"/>
  <c r="T20" i="1"/>
  <c r="S20" i="1"/>
  <c r="R20" i="1"/>
  <c r="V40" i="1"/>
  <c r="W40" i="1" s="1"/>
  <c r="BU64" i="1"/>
  <c r="BI32" i="1"/>
  <c r="BL17" i="1"/>
  <c r="BK29" i="1"/>
  <c r="BJ39" i="1"/>
  <c r="BY67" i="1"/>
  <c r="BW100" i="1"/>
  <c r="BO68" i="1"/>
  <c r="BB85" i="1"/>
  <c r="AM79" i="1"/>
  <c r="AS78" i="1"/>
  <c r="BP24" i="1"/>
  <c r="AS44" i="1"/>
  <c r="BC32" i="1"/>
  <c r="AN14" i="1"/>
  <c r="BF85" i="1"/>
  <c r="BJ30" i="1"/>
  <c r="AX89" i="1"/>
  <c r="BO21" i="1"/>
  <c r="BF40" i="1"/>
  <c r="BP79" i="1"/>
  <c r="H462" i="19"/>
  <c r="G462" i="19"/>
  <c r="F462" i="19"/>
  <c r="E462" i="19"/>
  <c r="A462" i="19" s="1"/>
  <c r="D462" i="19"/>
  <c r="C462" i="19"/>
  <c r="AZ48" i="1"/>
  <c r="BX105" i="1"/>
  <c r="AY61" i="1"/>
  <c r="BC65" i="1"/>
  <c r="S100" i="1"/>
  <c r="R100" i="1"/>
  <c r="T100" i="1"/>
  <c r="T57" i="1"/>
  <c r="S57" i="1"/>
  <c r="R57" i="1"/>
  <c r="R60" i="1"/>
  <c r="S60" i="1"/>
  <c r="T60" i="1"/>
  <c r="BK21" i="1"/>
  <c r="BE31" i="1"/>
  <c r="G272" i="19"/>
  <c r="F272" i="19"/>
  <c r="E272" i="19"/>
  <c r="C272" i="19"/>
  <c r="D272" i="19"/>
  <c r="A272" i="19"/>
  <c r="H272" i="19"/>
  <c r="A184" i="19"/>
  <c r="G184" i="19"/>
  <c r="H184" i="19"/>
  <c r="F184" i="19"/>
  <c r="E184" i="19"/>
  <c r="D184" i="19"/>
  <c r="C184" i="19"/>
  <c r="G26" i="19"/>
  <c r="C26" i="19"/>
  <c r="A26" i="19"/>
  <c r="H26" i="19"/>
  <c r="E26" i="19"/>
  <c r="D26" i="19"/>
  <c r="F26" i="19"/>
  <c r="H422" i="19"/>
  <c r="G422" i="19"/>
  <c r="F422" i="19"/>
  <c r="E422" i="19"/>
  <c r="D422" i="19"/>
  <c r="C422" i="19"/>
  <c r="A422" i="19"/>
  <c r="J48" i="1"/>
  <c r="K48" i="1"/>
  <c r="BZ34" i="1"/>
  <c r="BJ44" i="1"/>
  <c r="CC19" i="1"/>
  <c r="CC25" i="1"/>
  <c r="BC97" i="1"/>
  <c r="BF81" i="1"/>
  <c r="G171" i="19"/>
  <c r="D171" i="19"/>
  <c r="C171" i="19"/>
  <c r="A171" i="19"/>
  <c r="H171" i="19"/>
  <c r="F171" i="19"/>
  <c r="E171" i="19"/>
  <c r="G109" i="19"/>
  <c r="F109" i="19"/>
  <c r="E109" i="19"/>
  <c r="D109" i="19"/>
  <c r="C109" i="19"/>
  <c r="H109" i="19"/>
  <c r="A109" i="19"/>
  <c r="H426" i="19"/>
  <c r="G426" i="19"/>
  <c r="F426" i="19"/>
  <c r="A426" i="19"/>
  <c r="E426" i="19"/>
  <c r="D426" i="19"/>
  <c r="C426" i="19"/>
  <c r="A696" i="15"/>
  <c r="G44" i="19"/>
  <c r="E44" i="19"/>
  <c r="D44" i="19"/>
  <c r="C44" i="19"/>
  <c r="A44" i="19"/>
  <c r="H44" i="19"/>
  <c r="F44" i="19"/>
  <c r="H460" i="19"/>
  <c r="G460" i="19"/>
  <c r="A460" i="19" s="1"/>
  <c r="F460" i="19"/>
  <c r="E460" i="19"/>
  <c r="D460" i="19"/>
  <c r="C460" i="19"/>
  <c r="AL44" i="1"/>
  <c r="G73" i="19"/>
  <c r="A73" i="19"/>
  <c r="H73" i="19"/>
  <c r="F73" i="19"/>
  <c r="E73" i="19"/>
  <c r="D73" i="19"/>
  <c r="C73" i="19"/>
  <c r="K108" i="1"/>
  <c r="J108" i="1"/>
  <c r="G87" i="19"/>
  <c r="H87" i="19"/>
  <c r="F87" i="19"/>
  <c r="E87" i="19"/>
  <c r="D87" i="19"/>
  <c r="A87" i="19"/>
  <c r="C87" i="19"/>
  <c r="G137" i="19"/>
  <c r="A137" i="19"/>
  <c r="H137" i="19"/>
  <c r="F137" i="19"/>
  <c r="E137" i="19"/>
  <c r="D137" i="19"/>
  <c r="C137" i="19"/>
  <c r="CC97" i="1"/>
  <c r="G124" i="19"/>
  <c r="E124" i="19"/>
  <c r="D124" i="19"/>
  <c r="C124" i="19"/>
  <c r="A124" i="19"/>
  <c r="H124" i="19"/>
  <c r="F124" i="19"/>
  <c r="K30" i="1"/>
  <c r="J30" i="1"/>
  <c r="AY68" i="1"/>
  <c r="BA26" i="1"/>
  <c r="AR49" i="1"/>
  <c r="AQ37" i="1"/>
  <c r="BO37" i="1"/>
  <c r="BY84" i="1"/>
  <c r="BY102" i="1"/>
  <c r="CD38" i="1"/>
  <c r="BF38" i="1"/>
  <c r="CA76" i="1"/>
  <c r="CD103" i="1"/>
  <c r="BU96" i="1"/>
  <c r="BZ94" i="1"/>
  <c r="BR98" i="1"/>
  <c r="AT98" i="1"/>
  <c r="AZ46" i="1"/>
  <c r="BL46" i="1"/>
  <c r="AZ78" i="1"/>
  <c r="BL78" i="1"/>
  <c r="AP70" i="1"/>
  <c r="BN70" i="1"/>
  <c r="BV91" i="1"/>
  <c r="AN98" i="1"/>
  <c r="AZ66" i="1"/>
  <c r="AN66" i="1"/>
  <c r="AO99" i="1"/>
  <c r="BB107" i="1"/>
  <c r="BX86" i="1"/>
  <c r="BB92" i="1"/>
  <c r="AX112" i="1"/>
  <c r="AW84" i="1"/>
  <c r="J33" i="1"/>
  <c r="K33" i="1"/>
  <c r="BI33" i="1"/>
  <c r="BO20" i="1"/>
  <c r="G267" i="19"/>
  <c r="F267" i="19"/>
  <c r="E267" i="19"/>
  <c r="C267" i="19"/>
  <c r="D267" i="19"/>
  <c r="H267" i="19"/>
  <c r="A267" i="19"/>
  <c r="BJ54" i="1"/>
  <c r="BX41" i="1"/>
  <c r="G69" i="19"/>
  <c r="F69" i="19"/>
  <c r="E69" i="19"/>
  <c r="D69" i="19"/>
  <c r="C69" i="19"/>
  <c r="H69" i="19"/>
  <c r="A69" i="19"/>
  <c r="T98" i="1"/>
  <c r="R98" i="1"/>
  <c r="S98" i="1"/>
  <c r="BK74" i="1"/>
  <c r="AS63" i="1"/>
  <c r="R56" i="1"/>
  <c r="T56" i="1"/>
  <c r="S56" i="1"/>
  <c r="BZ38" i="1"/>
  <c r="BN20" i="1"/>
  <c r="G46" i="19"/>
  <c r="H46" i="19"/>
  <c r="F46" i="19"/>
  <c r="E46" i="19"/>
  <c r="D46" i="19"/>
  <c r="C46" i="19"/>
  <c r="A46" i="19"/>
  <c r="A445" i="19"/>
  <c r="H445" i="19"/>
  <c r="G445" i="19"/>
  <c r="F445" i="19"/>
  <c r="E445" i="19"/>
  <c r="D445" i="19"/>
  <c r="C445" i="19"/>
  <c r="A186" i="19"/>
  <c r="G186" i="19"/>
  <c r="D186" i="19"/>
  <c r="C186" i="19"/>
  <c r="H186" i="19"/>
  <c r="E186" i="19"/>
  <c r="F186" i="19"/>
  <c r="G80" i="19"/>
  <c r="A80" i="19"/>
  <c r="H80" i="19"/>
  <c r="F80" i="19"/>
  <c r="E80" i="19"/>
  <c r="D80" i="19"/>
  <c r="C80" i="19"/>
  <c r="G78" i="19"/>
  <c r="H78" i="19"/>
  <c r="F78" i="19"/>
  <c r="E78" i="19"/>
  <c r="D78" i="19"/>
  <c r="C78" i="19"/>
  <c r="A78" i="19"/>
  <c r="H431" i="19"/>
  <c r="G431" i="19"/>
  <c r="F431" i="19"/>
  <c r="A431" i="19"/>
  <c r="E431" i="19"/>
  <c r="D431" i="19"/>
  <c r="C431" i="19"/>
  <c r="G154" i="19"/>
  <c r="C154" i="19"/>
  <c r="A154" i="19"/>
  <c r="H154" i="19"/>
  <c r="F154" i="19"/>
  <c r="E154" i="19"/>
  <c r="D154" i="19"/>
  <c r="S103" i="1"/>
  <c r="T103" i="1"/>
  <c r="R103" i="1"/>
  <c r="H424" i="19"/>
  <c r="G424" i="19"/>
  <c r="F424" i="19"/>
  <c r="D424" i="19"/>
  <c r="C424" i="19"/>
  <c r="A424" i="19"/>
  <c r="E424" i="19"/>
  <c r="G375" i="19"/>
  <c r="F375" i="19"/>
  <c r="E375" i="19"/>
  <c r="C375" i="19"/>
  <c r="D375" i="19"/>
  <c r="A375" i="19"/>
  <c r="H375" i="19"/>
  <c r="G9" i="19"/>
  <c r="F9" i="19"/>
  <c r="E9" i="19"/>
  <c r="D9" i="19"/>
  <c r="C9" i="19"/>
  <c r="A9" i="19"/>
  <c r="H9" i="19"/>
  <c r="K99" i="1"/>
  <c r="J99" i="1"/>
  <c r="K36" i="1"/>
  <c r="J36" i="1"/>
  <c r="G298" i="19"/>
  <c r="F298" i="19"/>
  <c r="E298" i="19"/>
  <c r="C298" i="19"/>
  <c r="D298" i="19"/>
  <c r="A298" i="19"/>
  <c r="H298" i="19"/>
  <c r="S35" i="1"/>
  <c r="R35" i="1"/>
  <c r="T35" i="1"/>
  <c r="A183" i="19"/>
  <c r="G183" i="19"/>
  <c r="F183" i="19"/>
  <c r="E183" i="19"/>
  <c r="D183" i="19"/>
  <c r="C183" i="19"/>
  <c r="H183" i="19"/>
  <c r="BN58" i="1"/>
  <c r="AP58" i="1"/>
  <c r="CA110" i="1"/>
  <c r="BI70" i="1"/>
  <c r="BM78" i="1"/>
  <c r="BY78" i="1"/>
  <c r="BR99" i="1"/>
  <c r="BK90" i="1"/>
  <c r="CD42" i="1"/>
  <c r="G41" i="19"/>
  <c r="A41" i="19"/>
  <c r="H41" i="19"/>
  <c r="F41" i="19"/>
  <c r="C41" i="19"/>
  <c r="E41" i="19"/>
  <c r="D41" i="19"/>
  <c r="J17" i="1"/>
  <c r="V20" i="1" s="1"/>
  <c r="W20" i="1" s="1"/>
  <c r="K17" i="1"/>
  <c r="J60" i="1"/>
  <c r="H384" i="19"/>
  <c r="F384" i="19"/>
  <c r="E384" i="19"/>
  <c r="D384" i="19"/>
  <c r="C384" i="19"/>
  <c r="A384" i="19"/>
  <c r="G384" i="19"/>
  <c r="G134" i="19"/>
  <c r="H134" i="19"/>
  <c r="F134" i="19"/>
  <c r="E134" i="19"/>
  <c r="D134" i="19"/>
  <c r="C134" i="19"/>
  <c r="A134" i="19"/>
  <c r="G201" i="19"/>
  <c r="E201" i="19"/>
  <c r="C201" i="19"/>
  <c r="A201" i="19"/>
  <c r="H201" i="19"/>
  <c r="F201" i="19"/>
  <c r="D201" i="19"/>
  <c r="G121" i="19"/>
  <c r="A121" i="19"/>
  <c r="H121" i="19"/>
  <c r="F121" i="19"/>
  <c r="E121" i="19"/>
  <c r="C121" i="19"/>
  <c r="D121" i="19"/>
  <c r="G378" i="19"/>
  <c r="F378" i="19"/>
  <c r="E378" i="19"/>
  <c r="C378" i="19"/>
  <c r="D378" i="19"/>
  <c r="A378" i="19"/>
  <c r="H378" i="19"/>
  <c r="A185" i="19"/>
  <c r="G185" i="19"/>
  <c r="H185" i="19"/>
  <c r="F185" i="19"/>
  <c r="D185" i="19"/>
  <c r="C185" i="19"/>
  <c r="E185" i="19"/>
  <c r="G12" i="19"/>
  <c r="F12" i="19"/>
  <c r="E12" i="19"/>
  <c r="D12" i="19"/>
  <c r="C12" i="19"/>
  <c r="A12" i="19"/>
  <c r="H12" i="19"/>
  <c r="G177" i="19"/>
  <c r="A177" i="19"/>
  <c r="H177" i="19"/>
  <c r="F177" i="19"/>
  <c r="E177" i="19"/>
  <c r="D177" i="19"/>
  <c r="C177" i="19"/>
  <c r="G19" i="19"/>
  <c r="F19" i="19"/>
  <c r="E19" i="19"/>
  <c r="D19" i="19"/>
  <c r="C19" i="19"/>
  <c r="H19" i="19"/>
  <c r="A19" i="19"/>
  <c r="BQ58" i="1"/>
  <c r="CC58" i="1"/>
  <c r="B1722" i="15"/>
  <c r="M22" i="12"/>
  <c r="AC22" i="12"/>
  <c r="B456" i="19" s="1"/>
  <c r="AS56" i="1"/>
  <c r="AY76" i="1"/>
  <c r="BK76" i="1"/>
  <c r="A437" i="19"/>
  <c r="H437" i="19"/>
  <c r="G437" i="19"/>
  <c r="F437" i="19"/>
  <c r="E437" i="19"/>
  <c r="D437" i="19"/>
  <c r="C437" i="19"/>
  <c r="G39" i="19"/>
  <c r="H39" i="19"/>
  <c r="F39" i="19"/>
  <c r="E39" i="19"/>
  <c r="D39" i="19"/>
  <c r="C39" i="19"/>
  <c r="A39" i="19"/>
  <c r="J110" i="1"/>
  <c r="K110" i="1"/>
  <c r="AM100" i="1"/>
  <c r="G4" i="19"/>
  <c r="F4" i="19"/>
  <c r="E4" i="19"/>
  <c r="D4" i="19"/>
  <c r="C4" i="19"/>
  <c r="A4" i="19"/>
  <c r="H4" i="19"/>
  <c r="G339" i="19"/>
  <c r="F339" i="19"/>
  <c r="E339" i="19"/>
  <c r="C339" i="19"/>
  <c r="D339" i="19"/>
  <c r="H339" i="19"/>
  <c r="A339" i="19"/>
  <c r="G203" i="19"/>
  <c r="F203" i="19"/>
  <c r="E203" i="19"/>
  <c r="H203" i="19"/>
  <c r="D203" i="19"/>
  <c r="C203" i="19"/>
  <c r="A203" i="19"/>
  <c r="S107" i="1"/>
  <c r="T107" i="1"/>
  <c r="R107" i="1"/>
  <c r="AW21" i="1"/>
  <c r="K51" i="1"/>
  <c r="J51" i="1"/>
  <c r="AW58" i="1"/>
  <c r="BU26" i="1"/>
  <c r="BU103" i="1"/>
  <c r="BI103" i="1"/>
  <c r="AX69" i="1"/>
  <c r="BK77" i="1"/>
  <c r="BE98" i="1"/>
  <c r="BQ98" i="1"/>
  <c r="BE38" i="1"/>
  <c r="CD45" i="1"/>
  <c r="BF75" i="1"/>
  <c r="BC95" i="1"/>
  <c r="AO103" i="1"/>
  <c r="BK26" i="1"/>
  <c r="BI47" i="1"/>
  <c r="CA56" i="1"/>
  <c r="CB77" i="1"/>
  <c r="BN15" i="1"/>
  <c r="BJ37" i="1"/>
  <c r="AZ44" i="1"/>
  <c r="CB81" i="1"/>
  <c r="BX99" i="1"/>
  <c r="BY104" i="1"/>
  <c r="AY15" i="1"/>
  <c r="BK47" i="1"/>
  <c r="AM47" i="1"/>
  <c r="BR72" i="1"/>
  <c r="BM87" i="1"/>
  <c r="AQ77" i="1"/>
  <c r="CA77" i="1"/>
  <c r="BK67" i="1"/>
  <c r="AO73" i="1"/>
  <c r="BJ93" i="1"/>
  <c r="AN100" i="1"/>
  <c r="BA93" i="1"/>
  <c r="BY93" i="1"/>
  <c r="BO73" i="1"/>
  <c r="AK74" i="1"/>
  <c r="H419" i="19"/>
  <c r="G419" i="19"/>
  <c r="F419" i="19"/>
  <c r="E419" i="19"/>
  <c r="D419" i="19"/>
  <c r="C419" i="19"/>
  <c r="A419" i="19"/>
  <c r="AW52" i="1"/>
  <c r="AN31" i="1"/>
  <c r="BO52" i="1"/>
  <c r="A1039" i="15"/>
  <c r="AM65" i="1"/>
  <c r="U56" i="1"/>
  <c r="AS42" i="1"/>
  <c r="BR40" i="1"/>
  <c r="BZ23" i="1"/>
  <c r="A436" i="19"/>
  <c r="H436" i="19"/>
  <c r="G436" i="19"/>
  <c r="F436" i="19"/>
  <c r="E436" i="19"/>
  <c r="D436" i="19"/>
  <c r="C436" i="19"/>
  <c r="AY88" i="1"/>
  <c r="G31" i="19"/>
  <c r="H31" i="19"/>
  <c r="F31" i="19"/>
  <c r="E31" i="19"/>
  <c r="D31" i="19"/>
  <c r="C31" i="19"/>
  <c r="A31" i="19"/>
  <c r="A446" i="19"/>
  <c r="H446" i="19"/>
  <c r="G446" i="19"/>
  <c r="F446" i="19"/>
  <c r="E446" i="19"/>
  <c r="D446" i="19"/>
  <c r="C446" i="19"/>
  <c r="G357" i="19"/>
  <c r="F357" i="19"/>
  <c r="E357" i="19"/>
  <c r="C357" i="19"/>
  <c r="D357" i="19"/>
  <c r="H357" i="19"/>
  <c r="A357" i="19"/>
  <c r="G120" i="19"/>
  <c r="A120" i="19"/>
  <c r="H120" i="19"/>
  <c r="F120" i="19"/>
  <c r="E120" i="19"/>
  <c r="C120" i="19"/>
  <c r="D120" i="19"/>
  <c r="G22" i="19"/>
  <c r="H22" i="19"/>
  <c r="F22" i="19"/>
  <c r="E22" i="19"/>
  <c r="D22" i="19"/>
  <c r="C22" i="19"/>
  <c r="A22" i="19"/>
  <c r="K78" i="1"/>
  <c r="J78" i="1"/>
  <c r="A461" i="19"/>
  <c r="H461" i="19"/>
  <c r="G461" i="19"/>
  <c r="F461" i="19"/>
  <c r="E461" i="19"/>
  <c r="D461" i="19"/>
  <c r="C461" i="19"/>
  <c r="G123" i="19"/>
  <c r="D123" i="19"/>
  <c r="C123" i="19"/>
  <c r="A123" i="19"/>
  <c r="E123" i="19"/>
  <c r="H123" i="19"/>
  <c r="F123" i="19"/>
  <c r="U74" i="1"/>
  <c r="J24" i="1"/>
  <c r="K24" i="1"/>
  <c r="G149" i="19"/>
  <c r="F149" i="19"/>
  <c r="E149" i="19"/>
  <c r="D149" i="19"/>
  <c r="C149" i="19"/>
  <c r="H149" i="19"/>
  <c r="A149" i="19"/>
  <c r="G139" i="19"/>
  <c r="D139" i="19"/>
  <c r="C139" i="19"/>
  <c r="A139" i="19"/>
  <c r="H139" i="19"/>
  <c r="F139" i="19"/>
  <c r="E139" i="19"/>
  <c r="BM50" i="1"/>
  <c r="BA50" i="1"/>
  <c r="BA98" i="1"/>
  <c r="AK50" i="1"/>
  <c r="CA82" i="1"/>
  <c r="BE54" i="1"/>
  <c r="BB113" i="1"/>
  <c r="BZ113" i="1"/>
  <c r="BB98" i="1"/>
  <c r="AP98" i="1"/>
  <c r="T41" i="1"/>
  <c r="S41" i="1"/>
  <c r="R41" i="1"/>
  <c r="AN56" i="1"/>
  <c r="G217" i="19"/>
  <c r="F217" i="19"/>
  <c r="E217" i="19"/>
  <c r="C217" i="19"/>
  <c r="D217" i="19"/>
  <c r="A217" i="19"/>
  <c r="H217" i="19"/>
  <c r="G99" i="19"/>
  <c r="D99" i="19"/>
  <c r="C99" i="19"/>
  <c r="A99" i="19"/>
  <c r="F99" i="19"/>
  <c r="E99" i="19"/>
  <c r="H99" i="19"/>
  <c r="A180" i="19"/>
  <c r="G180" i="19"/>
  <c r="H180" i="19"/>
  <c r="F180" i="19"/>
  <c r="E180" i="19"/>
  <c r="D180" i="19"/>
  <c r="C180" i="19"/>
  <c r="G233" i="19"/>
  <c r="F233" i="19"/>
  <c r="E233" i="19"/>
  <c r="C233" i="19"/>
  <c r="D233" i="19"/>
  <c r="A233" i="19"/>
  <c r="H233" i="19"/>
  <c r="G196" i="19"/>
  <c r="E196" i="19"/>
  <c r="A196" i="19"/>
  <c r="H196" i="19"/>
  <c r="F196" i="19"/>
  <c r="D196" i="19"/>
  <c r="C196" i="19"/>
  <c r="K70" i="1"/>
  <c r="J70" i="1"/>
  <c r="G232" i="19"/>
  <c r="F232" i="19"/>
  <c r="E232" i="19"/>
  <c r="C232" i="19"/>
  <c r="A232" i="19"/>
  <c r="H232" i="19"/>
  <c r="D232" i="19"/>
  <c r="H414" i="19"/>
  <c r="G414" i="19"/>
  <c r="F414" i="19"/>
  <c r="E414" i="19"/>
  <c r="D414" i="19"/>
  <c r="C414" i="19"/>
  <c r="A414" i="19"/>
  <c r="H385" i="19"/>
  <c r="G385" i="19"/>
  <c r="F385" i="19"/>
  <c r="E385" i="19"/>
  <c r="C385" i="19"/>
  <c r="D385" i="19"/>
  <c r="A385" i="19"/>
  <c r="AK56" i="1"/>
  <c r="CD59" i="1"/>
  <c r="BU112" i="1"/>
  <c r="BF29" i="1"/>
  <c r="G338" i="19"/>
  <c r="F338" i="19"/>
  <c r="E338" i="19"/>
  <c r="C338" i="19"/>
  <c r="D338" i="19"/>
  <c r="A338" i="19"/>
  <c r="H338" i="19"/>
  <c r="G117" i="19"/>
  <c r="F117" i="19"/>
  <c r="E117" i="19"/>
  <c r="D117" i="19"/>
  <c r="C117" i="19"/>
  <c r="A117" i="19"/>
  <c r="H117" i="19"/>
  <c r="BO82" i="1"/>
  <c r="G334" i="19"/>
  <c r="F334" i="19"/>
  <c r="E334" i="19"/>
  <c r="C334" i="19"/>
  <c r="D334" i="19"/>
  <c r="A334" i="19"/>
  <c r="H334" i="19"/>
  <c r="G242" i="19"/>
  <c r="F242" i="19"/>
  <c r="E242" i="19"/>
  <c r="C242" i="19"/>
  <c r="A242" i="19"/>
  <c r="H242" i="19"/>
  <c r="D242" i="19"/>
  <c r="G220" i="19"/>
  <c r="F220" i="19"/>
  <c r="E220" i="19"/>
  <c r="C220" i="19"/>
  <c r="A220" i="19"/>
  <c r="H220" i="19"/>
  <c r="D220" i="19"/>
  <c r="G141" i="19"/>
  <c r="F141" i="19"/>
  <c r="E141" i="19"/>
  <c r="D141" i="19"/>
  <c r="C141" i="19"/>
  <c r="H141" i="19"/>
  <c r="A141" i="19"/>
  <c r="G3" i="19"/>
  <c r="F3" i="19"/>
  <c r="E3" i="19"/>
  <c r="D3" i="19"/>
  <c r="C3" i="19"/>
  <c r="H3" i="19"/>
  <c r="A3" i="19"/>
  <c r="G115" i="19"/>
  <c r="D115" i="19"/>
  <c r="C115" i="19"/>
  <c r="A115" i="19"/>
  <c r="H115" i="19"/>
  <c r="F115" i="19"/>
  <c r="E115" i="19"/>
  <c r="G142" i="19"/>
  <c r="H142" i="19"/>
  <c r="F142" i="19"/>
  <c r="E142" i="19"/>
  <c r="D142" i="19"/>
  <c r="C142" i="19"/>
  <c r="A142" i="19"/>
  <c r="J62" i="1"/>
  <c r="K62" i="1"/>
  <c r="G248" i="19"/>
  <c r="F248" i="19"/>
  <c r="E248" i="19"/>
  <c r="C248" i="19"/>
  <c r="A248" i="19"/>
  <c r="H248" i="19"/>
  <c r="D248" i="19"/>
  <c r="G57" i="19"/>
  <c r="A57" i="19"/>
  <c r="H57" i="19"/>
  <c r="F57" i="19"/>
  <c r="E57" i="19"/>
  <c r="D57" i="19"/>
  <c r="C57" i="19"/>
  <c r="G326" i="19"/>
  <c r="F326" i="19"/>
  <c r="E326" i="19"/>
  <c r="C326" i="19"/>
  <c r="D326" i="19"/>
  <c r="A326" i="19"/>
  <c r="H326" i="19"/>
  <c r="G49" i="19"/>
  <c r="A49" i="19"/>
  <c r="H49" i="19"/>
  <c r="F49" i="19"/>
  <c r="E49" i="19"/>
  <c r="D49" i="19"/>
  <c r="C49" i="19"/>
  <c r="G55" i="19"/>
  <c r="H55" i="19"/>
  <c r="F55" i="19"/>
  <c r="E55" i="19"/>
  <c r="D55" i="19"/>
  <c r="C55" i="19"/>
  <c r="A55" i="19"/>
  <c r="AM82" i="1"/>
  <c r="BA62" i="1"/>
  <c r="BR51" i="1"/>
  <c r="BZ67" i="1"/>
  <c r="K31" i="1"/>
  <c r="J31" i="1"/>
  <c r="G318" i="19"/>
  <c r="F318" i="19"/>
  <c r="E318" i="19"/>
  <c r="C318" i="19"/>
  <c r="D318" i="19"/>
  <c r="A318" i="19"/>
  <c r="H318" i="19"/>
  <c r="G96" i="19"/>
  <c r="A96" i="19"/>
  <c r="H96" i="19"/>
  <c r="F96" i="19"/>
  <c r="E96" i="19"/>
  <c r="C96" i="19"/>
  <c r="D96" i="19"/>
  <c r="G351" i="19"/>
  <c r="F351" i="19"/>
  <c r="E351" i="19"/>
  <c r="C351" i="19"/>
  <c r="D351" i="19"/>
  <c r="H351" i="19"/>
  <c r="A351" i="19"/>
  <c r="G352" i="19"/>
  <c r="F352" i="19"/>
  <c r="E352" i="19"/>
  <c r="C352" i="19"/>
  <c r="D352" i="19"/>
  <c r="A352" i="19"/>
  <c r="H352" i="19"/>
  <c r="A1546" i="15"/>
  <c r="G368" i="19"/>
  <c r="F368" i="19"/>
  <c r="E368" i="19"/>
  <c r="C368" i="19"/>
  <c r="D368" i="19"/>
  <c r="A368" i="19"/>
  <c r="H368" i="19"/>
  <c r="G349" i="19"/>
  <c r="F349" i="19"/>
  <c r="E349" i="19"/>
  <c r="C349" i="19"/>
  <c r="D349" i="19"/>
  <c r="H349" i="19"/>
  <c r="A349" i="19"/>
  <c r="G278" i="19"/>
  <c r="F278" i="19"/>
  <c r="E278" i="19"/>
  <c r="C278" i="19"/>
  <c r="D278" i="19"/>
  <c r="A278" i="19"/>
  <c r="H278" i="19"/>
  <c r="G77" i="19"/>
  <c r="F77" i="19"/>
  <c r="E77" i="19"/>
  <c r="D77" i="19"/>
  <c r="C77" i="19"/>
  <c r="H77" i="19"/>
  <c r="A77" i="19"/>
  <c r="G32" i="19"/>
  <c r="A32" i="19"/>
  <c r="H32" i="19"/>
  <c r="F32" i="19"/>
  <c r="E32" i="19"/>
  <c r="D32" i="19"/>
  <c r="C32" i="19"/>
  <c r="G100" i="19"/>
  <c r="E100" i="19"/>
  <c r="D100" i="19"/>
  <c r="C100" i="19"/>
  <c r="A100" i="19"/>
  <c r="H100" i="19"/>
  <c r="F100" i="19"/>
  <c r="G47" i="19"/>
  <c r="H47" i="19"/>
  <c r="F47" i="19"/>
  <c r="E47" i="19"/>
  <c r="D47" i="19"/>
  <c r="A47" i="19"/>
  <c r="C47" i="19"/>
  <c r="AT104" i="1"/>
  <c r="AO24" i="1"/>
  <c r="H415" i="19"/>
  <c r="G415" i="19"/>
  <c r="F415" i="19"/>
  <c r="A415" i="19"/>
  <c r="E415" i="19"/>
  <c r="D415" i="19"/>
  <c r="C415" i="19"/>
  <c r="G356" i="19"/>
  <c r="F356" i="19"/>
  <c r="E356" i="19"/>
  <c r="C356" i="19"/>
  <c r="D356" i="19"/>
  <c r="A356" i="19"/>
  <c r="H356" i="19"/>
  <c r="G229" i="19"/>
  <c r="F229" i="19"/>
  <c r="E229" i="19"/>
  <c r="C229" i="19"/>
  <c r="D229" i="19"/>
  <c r="H229" i="19"/>
  <c r="A229" i="19"/>
  <c r="G159" i="19"/>
  <c r="H159" i="19"/>
  <c r="F159" i="19"/>
  <c r="E159" i="19"/>
  <c r="D159" i="19"/>
  <c r="C159" i="19"/>
  <c r="A159" i="19"/>
  <c r="G6" i="19"/>
  <c r="F6" i="19"/>
  <c r="E6" i="19"/>
  <c r="D6" i="19"/>
  <c r="C6" i="19"/>
  <c r="H6" i="19"/>
  <c r="A6" i="19"/>
  <c r="J104" i="1"/>
  <c r="K104" i="1"/>
  <c r="BZ71" i="1"/>
  <c r="BU83" i="1"/>
  <c r="BA111" i="1"/>
  <c r="A451" i="19"/>
  <c r="H451" i="19"/>
  <c r="G451" i="19"/>
  <c r="F451" i="19"/>
  <c r="E451" i="19"/>
  <c r="D451" i="19"/>
  <c r="C451" i="19"/>
  <c r="H389" i="19"/>
  <c r="G389" i="19"/>
  <c r="F389" i="19"/>
  <c r="C389" i="19"/>
  <c r="A389" i="19"/>
  <c r="D389" i="19"/>
  <c r="E389" i="19"/>
  <c r="A19" i="9"/>
  <c r="A19" i="7"/>
  <c r="A22" i="7" s="1"/>
  <c r="G151" i="19"/>
  <c r="H151" i="19"/>
  <c r="F151" i="19"/>
  <c r="E151" i="19"/>
  <c r="D151" i="19"/>
  <c r="A151" i="19"/>
  <c r="C151" i="19"/>
  <c r="G113" i="19"/>
  <c r="A113" i="19"/>
  <c r="H113" i="19"/>
  <c r="F113" i="19"/>
  <c r="E113" i="19"/>
  <c r="D113" i="19"/>
  <c r="C113" i="19"/>
  <c r="G53" i="19"/>
  <c r="F53" i="19"/>
  <c r="E53" i="19"/>
  <c r="D53" i="19"/>
  <c r="C53" i="19"/>
  <c r="A53" i="19"/>
  <c r="H53" i="19"/>
  <c r="AO102" i="1"/>
  <c r="K102" i="1"/>
  <c r="J102" i="1"/>
  <c r="U103" i="1" s="1"/>
  <c r="BW111" i="1"/>
  <c r="G218" i="19"/>
  <c r="F218" i="19"/>
  <c r="E218" i="19"/>
  <c r="C218" i="19"/>
  <c r="A218" i="19"/>
  <c r="H218" i="19"/>
  <c r="D218" i="19"/>
  <c r="A186" i="15"/>
  <c r="A19" i="3"/>
  <c r="G88" i="19"/>
  <c r="A88" i="19"/>
  <c r="H88" i="19"/>
  <c r="F88" i="19"/>
  <c r="E88" i="19"/>
  <c r="D88" i="19"/>
  <c r="C88" i="19"/>
  <c r="J76" i="1"/>
  <c r="K69" i="1"/>
  <c r="J69" i="1"/>
  <c r="J16" i="1"/>
  <c r="K16" i="1"/>
  <c r="BU82" i="1"/>
  <c r="BX48" i="1"/>
  <c r="BQ21" i="1"/>
  <c r="BF51" i="1"/>
  <c r="G245" i="19"/>
  <c r="F245" i="19"/>
  <c r="E245" i="19"/>
  <c r="C245" i="19"/>
  <c r="D245" i="19"/>
  <c r="H245" i="19"/>
  <c r="A245" i="19"/>
  <c r="AO91" i="1"/>
  <c r="AO28" i="1"/>
  <c r="BY22" i="1"/>
  <c r="AN47" i="1"/>
  <c r="BR49" i="1"/>
  <c r="B1710" i="15"/>
  <c r="B452" i="19"/>
  <c r="M10" i="12"/>
  <c r="AC10" i="12"/>
  <c r="BF21" i="1"/>
  <c r="J21" i="1"/>
  <c r="K21" i="1"/>
  <c r="AX101" i="1"/>
  <c r="AP96" i="1"/>
  <c r="K43" i="1"/>
  <c r="J43" i="1"/>
  <c r="AL40" i="1"/>
  <c r="BL80" i="1"/>
  <c r="BV90" i="1"/>
  <c r="BP46" i="1"/>
  <c r="BA54" i="1"/>
  <c r="AT70" i="1"/>
  <c r="BB80" i="1"/>
  <c r="BX103" i="1"/>
  <c r="CB75" i="1"/>
  <c r="BU46" i="1"/>
  <c r="BI46" i="1"/>
  <c r="CB84" i="1"/>
  <c r="BN90" i="1"/>
  <c r="BJ27" i="1"/>
  <c r="AL27" i="1"/>
  <c r="AT47" i="1"/>
  <c r="BO57" i="1"/>
  <c r="BW78" i="1"/>
  <c r="BO24" i="1"/>
  <c r="AL38" i="1"/>
  <c r="AM45" i="1"/>
  <c r="AT100" i="1"/>
  <c r="BC111" i="1"/>
  <c r="BD34" i="1"/>
  <c r="CB34" i="1"/>
  <c r="CB66" i="1"/>
  <c r="BP66" i="1"/>
  <c r="BW80" i="1"/>
  <c r="BL88" i="1"/>
  <c r="BV66" i="1"/>
  <c r="AL66" i="1"/>
  <c r="BM106" i="1"/>
  <c r="CD113" i="1"/>
  <c r="BJ68" i="1"/>
  <c r="BL74" i="1"/>
  <c r="BF86" i="1"/>
  <c r="CD86" i="1"/>
  <c r="AZ109" i="1"/>
  <c r="BI81" i="1"/>
  <c r="AN94" i="1"/>
  <c r="AZ94" i="1"/>
  <c r="AR106" i="1"/>
  <c r="BU113" i="1"/>
  <c r="CB35" i="1"/>
  <c r="CB33" i="1"/>
  <c r="J32" i="1"/>
  <c r="K32" i="1"/>
  <c r="BJ32" i="1"/>
  <c r="AX31" i="1"/>
  <c r="AS17" i="1"/>
  <c r="K55" i="1"/>
  <c r="J55" i="1"/>
  <c r="BN53" i="1"/>
  <c r="AK61" i="1"/>
  <c r="BM23" i="1"/>
  <c r="A22" i="8"/>
  <c r="G157" i="19"/>
  <c r="F157" i="19"/>
  <c r="E157" i="19"/>
  <c r="D157" i="19"/>
  <c r="C157" i="19"/>
  <c r="A157" i="19"/>
  <c r="H157" i="19"/>
  <c r="K91" i="1"/>
  <c r="AR65" i="1"/>
  <c r="J53" i="1"/>
  <c r="K53" i="1"/>
  <c r="BU41" i="1"/>
  <c r="AQ36" i="1"/>
  <c r="BN23" i="1"/>
  <c r="BP14" i="1"/>
  <c r="K105" i="1"/>
  <c r="J105" i="1"/>
  <c r="U107" i="1" s="1"/>
  <c r="AP105" i="1"/>
  <c r="G367" i="19"/>
  <c r="F367" i="19"/>
  <c r="E367" i="19"/>
  <c r="C367" i="19"/>
  <c r="D367" i="19"/>
  <c r="H367" i="19"/>
  <c r="A367" i="19"/>
  <c r="H391" i="19"/>
  <c r="G391" i="19"/>
  <c r="F391" i="19"/>
  <c r="A391" i="19"/>
  <c r="E391" i="19"/>
  <c r="D391" i="19"/>
  <c r="C391" i="19"/>
  <c r="G228" i="19"/>
  <c r="F228" i="19"/>
  <c r="E228" i="19"/>
  <c r="C228" i="19"/>
  <c r="A228" i="19"/>
  <c r="H228" i="19"/>
  <c r="D228" i="19"/>
  <c r="G257" i="19"/>
  <c r="F257" i="19"/>
  <c r="E257" i="19"/>
  <c r="C257" i="19"/>
  <c r="D257" i="19"/>
  <c r="A257" i="19"/>
  <c r="H257" i="19"/>
  <c r="G65" i="19"/>
  <c r="A65" i="19"/>
  <c r="H65" i="19"/>
  <c r="F65" i="19"/>
  <c r="D65" i="19"/>
  <c r="C65" i="19"/>
  <c r="E65" i="19"/>
  <c r="G370" i="19"/>
  <c r="F370" i="19"/>
  <c r="E370" i="19"/>
  <c r="C370" i="19"/>
  <c r="D370" i="19"/>
  <c r="A370" i="19"/>
  <c r="H370" i="19"/>
  <c r="H395" i="19"/>
  <c r="G395" i="19"/>
  <c r="F395" i="19"/>
  <c r="E395" i="19"/>
  <c r="D395" i="19"/>
  <c r="C395" i="19"/>
  <c r="A395" i="19"/>
  <c r="B1719" i="15"/>
  <c r="AC19" i="12"/>
  <c r="B455" i="19" s="1"/>
  <c r="M19" i="12"/>
  <c r="T10" i="12"/>
  <c r="D1710" i="15"/>
  <c r="CA34" i="1"/>
  <c r="BD29" i="1"/>
  <c r="CB29" i="1"/>
  <c r="AP24" i="1"/>
  <c r="AZ35" i="1"/>
  <c r="AO77" i="1"/>
  <c r="BA77" i="1"/>
  <c r="G319" i="19"/>
  <c r="F319" i="19"/>
  <c r="E319" i="19"/>
  <c r="C319" i="19"/>
  <c r="D319" i="19"/>
  <c r="H319" i="19"/>
  <c r="A319" i="19"/>
  <c r="V109" i="1"/>
  <c r="W109" i="1" s="1"/>
  <c r="G280" i="19"/>
  <c r="F280" i="19"/>
  <c r="E280" i="19"/>
  <c r="C280" i="19"/>
  <c r="D280" i="19"/>
  <c r="A280" i="19"/>
  <c r="H280" i="19"/>
  <c r="AZ63" i="1"/>
  <c r="AO43" i="1"/>
  <c r="G364" i="19"/>
  <c r="F364" i="19"/>
  <c r="E364" i="19"/>
  <c r="C364" i="19"/>
  <c r="D364" i="19"/>
  <c r="A364" i="19"/>
  <c r="H364" i="19"/>
  <c r="G289" i="19"/>
  <c r="F289" i="19"/>
  <c r="E289" i="19"/>
  <c r="C289" i="19"/>
  <c r="D289" i="19"/>
  <c r="H289" i="19"/>
  <c r="A289" i="19"/>
  <c r="H408" i="19"/>
  <c r="G408" i="19"/>
  <c r="F408" i="19"/>
  <c r="D408" i="19"/>
  <c r="C408" i="19"/>
  <c r="A408" i="19"/>
  <c r="E408" i="19"/>
  <c r="G333" i="19"/>
  <c r="F333" i="19"/>
  <c r="E333" i="19"/>
  <c r="C333" i="19"/>
  <c r="D333" i="19"/>
  <c r="H333" i="19"/>
  <c r="A333" i="19"/>
  <c r="G253" i="19"/>
  <c r="F253" i="19"/>
  <c r="E253" i="19"/>
  <c r="C253" i="19"/>
  <c r="D253" i="19"/>
  <c r="H253" i="19"/>
  <c r="A253" i="19"/>
  <c r="G126" i="19"/>
  <c r="H126" i="19"/>
  <c r="F126" i="19"/>
  <c r="E126" i="19"/>
  <c r="D126" i="19"/>
  <c r="C126" i="19"/>
  <c r="A126" i="19"/>
  <c r="G241" i="19"/>
  <c r="F241" i="19"/>
  <c r="E241" i="19"/>
  <c r="C241" i="19"/>
  <c r="D241" i="19"/>
  <c r="A241" i="19"/>
  <c r="H241" i="19"/>
  <c r="G118" i="19"/>
  <c r="H118" i="19"/>
  <c r="F118" i="19"/>
  <c r="E118" i="19"/>
  <c r="D118" i="19"/>
  <c r="C118" i="19"/>
  <c r="A118" i="19"/>
  <c r="G223" i="19"/>
  <c r="F223" i="19"/>
  <c r="E223" i="19"/>
  <c r="C223" i="19"/>
  <c r="D223" i="19"/>
  <c r="A223" i="19"/>
  <c r="H223" i="19"/>
  <c r="G314" i="19"/>
  <c r="F314" i="19"/>
  <c r="E314" i="19"/>
  <c r="C314" i="19"/>
  <c r="D314" i="19"/>
  <c r="A314" i="19"/>
  <c r="H314" i="19"/>
  <c r="T97" i="1"/>
  <c r="S97" i="1"/>
  <c r="R97" i="1"/>
  <c r="G24" i="19"/>
  <c r="A24" i="19"/>
  <c r="H24" i="19"/>
  <c r="F24" i="19"/>
  <c r="E24" i="19"/>
  <c r="D24" i="19"/>
  <c r="C24" i="19"/>
  <c r="A16" i="15"/>
  <c r="BJ40" i="1"/>
  <c r="AZ106" i="1"/>
  <c r="G128" i="19"/>
  <c r="A128" i="19"/>
  <c r="H128" i="19"/>
  <c r="F128" i="19"/>
  <c r="E128" i="19"/>
  <c r="D128" i="19"/>
  <c r="C128" i="19"/>
  <c r="D1728" i="15"/>
  <c r="T28" i="12"/>
  <c r="H410" i="19"/>
  <c r="G410" i="19"/>
  <c r="F410" i="19"/>
  <c r="A410" i="19"/>
  <c r="E410" i="19"/>
  <c r="D410" i="19"/>
  <c r="C410" i="19"/>
  <c r="H465" i="19"/>
  <c r="G465" i="19"/>
  <c r="F465" i="19"/>
  <c r="E465" i="19"/>
  <c r="A465" i="19" s="1"/>
  <c r="D465" i="19"/>
  <c r="C465" i="19"/>
  <c r="G138" i="19"/>
  <c r="C138" i="19"/>
  <c r="A138" i="19"/>
  <c r="H138" i="19"/>
  <c r="E138" i="19"/>
  <c r="D138" i="19"/>
  <c r="F138" i="19"/>
  <c r="K93" i="1"/>
  <c r="J93" i="1"/>
  <c r="G304" i="19"/>
  <c r="F304" i="19"/>
  <c r="E304" i="19"/>
  <c r="C304" i="19"/>
  <c r="D304" i="19"/>
  <c r="A304" i="19"/>
  <c r="H304" i="19"/>
  <c r="G192" i="19"/>
  <c r="E192" i="19"/>
  <c r="C192" i="19"/>
  <c r="A192" i="19"/>
  <c r="H192" i="19"/>
  <c r="F192" i="19"/>
  <c r="D192" i="19"/>
  <c r="G131" i="19"/>
  <c r="D131" i="19"/>
  <c r="C131" i="19"/>
  <c r="A131" i="19"/>
  <c r="H131" i="19"/>
  <c r="F131" i="19"/>
  <c r="E131" i="19"/>
  <c r="G250" i="19"/>
  <c r="F250" i="19"/>
  <c r="E250" i="19"/>
  <c r="C250" i="19"/>
  <c r="A250" i="19"/>
  <c r="H250" i="19"/>
  <c r="D250" i="19"/>
  <c r="A178" i="19"/>
  <c r="G178" i="19"/>
  <c r="D178" i="19"/>
  <c r="C178" i="19"/>
  <c r="E178" i="19"/>
  <c r="H178" i="19"/>
  <c r="F178" i="19"/>
  <c r="G63" i="19"/>
  <c r="H63" i="19"/>
  <c r="F63" i="19"/>
  <c r="E63" i="19"/>
  <c r="D63" i="19"/>
  <c r="A63" i="19"/>
  <c r="C63" i="19"/>
  <c r="H412" i="19"/>
  <c r="G412" i="19"/>
  <c r="F412" i="19"/>
  <c r="D412" i="19"/>
  <c r="E412" i="19"/>
  <c r="C412" i="19"/>
  <c r="A412" i="19"/>
  <c r="H400" i="19"/>
  <c r="G400" i="19"/>
  <c r="F400" i="19"/>
  <c r="D400" i="19"/>
  <c r="C400" i="19"/>
  <c r="A400" i="19"/>
  <c r="E400" i="19"/>
  <c r="G331" i="19"/>
  <c r="F331" i="19"/>
  <c r="E331" i="19"/>
  <c r="C331" i="19"/>
  <c r="D331" i="19"/>
  <c r="H331" i="19"/>
  <c r="A331" i="19"/>
  <c r="G308" i="19"/>
  <c r="F308" i="19"/>
  <c r="E308" i="19"/>
  <c r="C308" i="19"/>
  <c r="D308" i="19"/>
  <c r="A308" i="19"/>
  <c r="H308" i="19"/>
  <c r="G239" i="19"/>
  <c r="F239" i="19"/>
  <c r="E239" i="19"/>
  <c r="C239" i="19"/>
  <c r="D239" i="19"/>
  <c r="H239" i="19"/>
  <c r="A239" i="19"/>
  <c r="G210" i="19"/>
  <c r="F210" i="19"/>
  <c r="E210" i="19"/>
  <c r="C210" i="19"/>
  <c r="A210" i="19"/>
  <c r="H210" i="19"/>
  <c r="D210" i="19"/>
  <c r="A181" i="19"/>
  <c r="G181" i="19"/>
  <c r="H181" i="19"/>
  <c r="F181" i="19"/>
  <c r="E181" i="19"/>
  <c r="D181" i="19"/>
  <c r="C181" i="19"/>
  <c r="G300" i="19"/>
  <c r="F300" i="19"/>
  <c r="E300" i="19"/>
  <c r="C300" i="19"/>
  <c r="D300" i="19"/>
  <c r="A300" i="19"/>
  <c r="H300" i="19"/>
  <c r="G275" i="19"/>
  <c r="F275" i="19"/>
  <c r="E275" i="19"/>
  <c r="C275" i="19"/>
  <c r="D275" i="19"/>
  <c r="A275" i="19"/>
  <c r="H275" i="19"/>
  <c r="G103" i="19"/>
  <c r="H103" i="19"/>
  <c r="F103" i="19"/>
  <c r="E103" i="19"/>
  <c r="D103" i="19"/>
  <c r="C103" i="19"/>
  <c r="A103" i="19"/>
  <c r="AM110" i="1"/>
  <c r="A442" i="19"/>
  <c r="H442" i="19"/>
  <c r="G442" i="19"/>
  <c r="F442" i="19"/>
  <c r="E442" i="19"/>
  <c r="C442" i="19"/>
  <c r="D442" i="19"/>
  <c r="H406" i="19"/>
  <c r="G406" i="19"/>
  <c r="F406" i="19"/>
  <c r="E406" i="19"/>
  <c r="D406" i="19"/>
  <c r="C406" i="19"/>
  <c r="A406" i="19"/>
  <c r="G369" i="19"/>
  <c r="F369" i="19"/>
  <c r="E369" i="19"/>
  <c r="C369" i="19"/>
  <c r="D369" i="19"/>
  <c r="H369" i="19"/>
  <c r="A369" i="19"/>
  <c r="A179" i="19"/>
  <c r="G179" i="19"/>
  <c r="F179" i="19"/>
  <c r="E179" i="19"/>
  <c r="D179" i="19"/>
  <c r="C179" i="19"/>
  <c r="H179" i="19"/>
  <c r="G81" i="19"/>
  <c r="A81" i="19"/>
  <c r="H81" i="19"/>
  <c r="F81" i="19"/>
  <c r="E81" i="19"/>
  <c r="D81" i="19"/>
  <c r="C81" i="19"/>
  <c r="H411" i="19"/>
  <c r="G411" i="19"/>
  <c r="F411" i="19"/>
  <c r="E411" i="19"/>
  <c r="D411" i="19"/>
  <c r="C411" i="19"/>
  <c r="A411" i="19"/>
  <c r="G174" i="19"/>
  <c r="H174" i="19"/>
  <c r="F174" i="19"/>
  <c r="E174" i="19"/>
  <c r="D174" i="19"/>
  <c r="C174" i="19"/>
  <c r="A174" i="19"/>
  <c r="G79" i="19"/>
  <c r="H79" i="19"/>
  <c r="F79" i="19"/>
  <c r="E79" i="19"/>
  <c r="D79" i="19"/>
  <c r="C79" i="19"/>
  <c r="A79" i="19"/>
  <c r="AY94" i="1"/>
  <c r="A441" i="19"/>
  <c r="H441" i="19"/>
  <c r="G441" i="19"/>
  <c r="F441" i="19"/>
  <c r="E441" i="19"/>
  <c r="D441" i="19"/>
  <c r="C441" i="19"/>
  <c r="G176" i="19"/>
  <c r="A176" i="19"/>
  <c r="H176" i="19"/>
  <c r="F176" i="19"/>
  <c r="E176" i="19"/>
  <c r="D176" i="19"/>
  <c r="C176" i="19"/>
  <c r="G50" i="19"/>
  <c r="C50" i="19"/>
  <c r="A50" i="19"/>
  <c r="H50" i="19"/>
  <c r="D50" i="19"/>
  <c r="F50" i="19"/>
  <c r="E50" i="19"/>
  <c r="G247" i="19"/>
  <c r="F247" i="19"/>
  <c r="E247" i="19"/>
  <c r="C247" i="19"/>
  <c r="D247" i="19"/>
  <c r="H247" i="19"/>
  <c r="A247" i="19"/>
  <c r="G225" i="19"/>
  <c r="F225" i="19"/>
  <c r="E225" i="19"/>
  <c r="C225" i="19"/>
  <c r="D225" i="19"/>
  <c r="A225" i="19"/>
  <c r="H225" i="19"/>
  <c r="BZ86" i="1"/>
  <c r="BD38" i="1"/>
  <c r="K15" i="1"/>
  <c r="J15" i="1"/>
  <c r="G273" i="19"/>
  <c r="F273" i="19"/>
  <c r="E273" i="19"/>
  <c r="C273" i="19"/>
  <c r="D273" i="19"/>
  <c r="H273" i="19"/>
  <c r="A273" i="19"/>
  <c r="A19" i="5"/>
  <c r="G68" i="19"/>
  <c r="E68" i="19"/>
  <c r="D68" i="19"/>
  <c r="C68" i="19"/>
  <c r="A68" i="19"/>
  <c r="F68" i="19"/>
  <c r="H68" i="19"/>
  <c r="G25" i="19"/>
  <c r="A25" i="19"/>
  <c r="H25" i="19"/>
  <c r="F25" i="19"/>
  <c r="E25" i="19"/>
  <c r="D25" i="19"/>
  <c r="C25" i="19"/>
  <c r="K46" i="1"/>
  <c r="J46" i="1"/>
  <c r="BU45" i="1"/>
  <c r="G127" i="19"/>
  <c r="H127" i="19"/>
  <c r="F127" i="19"/>
  <c r="E127" i="19"/>
  <c r="D127" i="19"/>
  <c r="C127" i="19"/>
  <c r="A127" i="19"/>
  <c r="G42" i="19"/>
  <c r="C42" i="19"/>
  <c r="A42" i="19"/>
  <c r="H42" i="19"/>
  <c r="F42" i="19"/>
  <c r="E42" i="19"/>
  <c r="D42" i="19"/>
  <c r="BA99" i="1"/>
  <c r="G51" i="19"/>
  <c r="D51" i="19"/>
  <c r="C51" i="19"/>
  <c r="A51" i="19"/>
  <c r="H51" i="19"/>
  <c r="F51" i="19"/>
  <c r="E51" i="19"/>
  <c r="K92" i="1"/>
  <c r="J92" i="1"/>
  <c r="AK92" i="1"/>
  <c r="CD87" i="1"/>
  <c r="BC73" i="1"/>
  <c r="BY85" i="1"/>
  <c r="G277" i="19"/>
  <c r="F277" i="19"/>
  <c r="E277" i="19"/>
  <c r="C277" i="19"/>
  <c r="D277" i="19"/>
  <c r="H277" i="19"/>
  <c r="A277" i="19"/>
  <c r="A22" i="3"/>
  <c r="A192" i="15" s="1"/>
  <c r="BC72" i="1"/>
  <c r="BC69" i="1"/>
  <c r="J68" i="1"/>
  <c r="BK16" i="1"/>
  <c r="AN16" i="1"/>
  <c r="BX51" i="1"/>
  <c r="BQ39" i="1"/>
  <c r="K14" i="1"/>
  <c r="J14" i="1"/>
  <c r="BQ29" i="1" s="1"/>
  <c r="K61" i="1"/>
  <c r="J61" i="1"/>
  <c r="BQ36" i="1"/>
  <c r="G105" i="19"/>
  <c r="A105" i="19"/>
  <c r="H105" i="19"/>
  <c r="F105" i="19"/>
  <c r="C105" i="19"/>
  <c r="D105" i="19"/>
  <c r="E105" i="19"/>
  <c r="CC27" i="1"/>
  <c r="AZ15" i="1"/>
  <c r="BX15" i="1"/>
  <c r="A359" i="15"/>
  <c r="AK106" i="1"/>
  <c r="S67" i="1"/>
  <c r="T67" i="1"/>
  <c r="R67" i="1"/>
  <c r="BZ54" i="1"/>
  <c r="AP54" i="1"/>
  <c r="D1719" i="15"/>
  <c r="T19" i="12"/>
  <c r="AO21" i="1"/>
  <c r="BY39" i="1"/>
  <c r="AK15" i="1"/>
  <c r="BV89" i="1"/>
  <c r="J89" i="1"/>
  <c r="K89" i="1"/>
  <c r="BY59" i="1"/>
  <c r="AO59" i="1"/>
  <c r="BW59" i="1"/>
  <c r="AM19" i="1"/>
  <c r="BM82" i="1"/>
  <c r="BY82" i="1"/>
  <c r="BN106" i="1"/>
  <c r="BZ106" i="1"/>
  <c r="AQ47" i="1"/>
  <c r="CB63" i="1"/>
  <c r="BZ82" i="1"/>
  <c r="AP82" i="1"/>
  <c r="AN76" i="1"/>
  <c r="AP109" i="1"/>
  <c r="AL26" i="1"/>
  <c r="BO40" i="1"/>
  <c r="BR46" i="1"/>
  <c r="CA54" i="1"/>
  <c r="CA66" i="1"/>
  <c r="BB77" i="1"/>
  <c r="BE86" i="1"/>
  <c r="CD71" i="1"/>
  <c r="BR110" i="1"/>
  <c r="AO16" i="1"/>
  <c r="AK28" i="1"/>
  <c r="AM35" i="1"/>
  <c r="BD41" i="1"/>
  <c r="BW58" i="1"/>
  <c r="AL79" i="1"/>
  <c r="BR109" i="1"/>
  <c r="BF19" i="1"/>
  <c r="AY18" i="1"/>
  <c r="AM18" i="1"/>
  <c r="AM46" i="1"/>
  <c r="AT54" i="1"/>
  <c r="BR54" i="1"/>
  <c r="BW72" i="1"/>
  <c r="CB100" i="1"/>
  <c r="AR100" i="1"/>
  <c r="AS90" i="1"/>
  <c r="BU107" i="1"/>
  <c r="AT16" i="1"/>
  <c r="AQ35" i="1"/>
  <c r="BE41" i="1"/>
  <c r="BO67" i="1"/>
  <c r="BQ73" i="1"/>
  <c r="AM81" i="1"/>
  <c r="BL89" i="1"/>
  <c r="BO103" i="1"/>
  <c r="CC110" i="1"/>
  <c r="BQ110" i="1"/>
  <c r="BW73" i="1"/>
  <c r="BD86" i="1"/>
  <c r="BQ93" i="1"/>
  <c r="AS61" i="1"/>
  <c r="AT68" i="1"/>
  <c r="BO81" i="1"/>
  <c r="CC87" i="1"/>
  <c r="AK95" i="1"/>
  <c r="BW102" i="1"/>
  <c r="AS81" i="1"/>
  <c r="BQ81" i="1"/>
  <c r="AT88" i="1"/>
  <c r="BO107" i="1"/>
  <c r="BQ113" i="1"/>
  <c r="CC113" i="1"/>
  <c r="G23" i="19"/>
  <c r="H23" i="19"/>
  <c r="F23" i="19"/>
  <c r="E23" i="19"/>
  <c r="D23" i="19"/>
  <c r="A23" i="19"/>
  <c r="C23" i="19"/>
  <c r="CC32" i="1"/>
  <c r="G153" i="19"/>
  <c r="A153" i="19"/>
  <c r="H153" i="19"/>
  <c r="F153" i="19"/>
  <c r="E153" i="19"/>
  <c r="D153" i="19"/>
  <c r="C153" i="19"/>
  <c r="BX71" i="1"/>
  <c r="BF43" i="1"/>
  <c r="BF31" i="1"/>
  <c r="AL17" i="1"/>
  <c r="G98" i="19"/>
  <c r="C98" i="19"/>
  <c r="A98" i="19"/>
  <c r="H98" i="19"/>
  <c r="F98" i="19"/>
  <c r="E98" i="19"/>
  <c r="D98" i="19"/>
  <c r="AQ55" i="1"/>
  <c r="BN61" i="1"/>
  <c r="BL20" i="1"/>
  <c r="K65" i="1"/>
  <c r="J65" i="1"/>
  <c r="BM65" i="1"/>
  <c r="BX54" i="1"/>
  <c r="BC53" i="1"/>
  <c r="J41" i="1"/>
  <c r="BA35" i="1"/>
  <c r="CA29" i="1"/>
  <c r="BX23" i="1"/>
  <c r="BA14" i="1"/>
  <c r="AN105" i="1"/>
  <c r="BZ33" i="1"/>
  <c r="G309" i="19"/>
  <c r="F309" i="19"/>
  <c r="E309" i="19"/>
  <c r="C309" i="19"/>
  <c r="D309" i="19"/>
  <c r="H309" i="19"/>
  <c r="A309" i="19"/>
  <c r="H396" i="19"/>
  <c r="G396" i="19"/>
  <c r="F396" i="19"/>
  <c r="D396" i="19"/>
  <c r="E396" i="19"/>
  <c r="A396" i="19"/>
  <c r="C396" i="19"/>
  <c r="G129" i="19"/>
  <c r="A129" i="19"/>
  <c r="H129" i="19"/>
  <c r="F129" i="19"/>
  <c r="D129" i="19"/>
  <c r="C129" i="19"/>
  <c r="E129" i="19"/>
  <c r="G337" i="19"/>
  <c r="F337" i="19"/>
  <c r="E337" i="19"/>
  <c r="C337" i="19"/>
  <c r="D337" i="19"/>
  <c r="H337" i="19"/>
  <c r="A337" i="19"/>
  <c r="G40" i="19"/>
  <c r="A40" i="19"/>
  <c r="H40" i="19"/>
  <c r="F40" i="19"/>
  <c r="E40" i="19"/>
  <c r="D40" i="19"/>
  <c r="C40" i="19"/>
  <c r="G147" i="19"/>
  <c r="D147" i="19"/>
  <c r="C147" i="19"/>
  <c r="A147" i="19"/>
  <c r="F147" i="19"/>
  <c r="E147" i="19"/>
  <c r="H147" i="19"/>
  <c r="G244" i="19"/>
  <c r="F244" i="19"/>
  <c r="E244" i="19"/>
  <c r="C244" i="19"/>
  <c r="A244" i="19"/>
  <c r="D244" i="19"/>
  <c r="H244" i="19"/>
  <c r="BE104" i="1"/>
  <c r="K101" i="1"/>
  <c r="J101" i="1"/>
  <c r="BJ77" i="1"/>
  <c r="AR36" i="1"/>
  <c r="BF36" i="1"/>
  <c r="BI38" i="1"/>
  <c r="BK50" i="1"/>
  <c r="BJ106" i="1"/>
  <c r="AL106" i="1"/>
  <c r="BV107" i="1"/>
  <c r="BI85" i="1"/>
  <c r="CA91" i="1"/>
  <c r="G344" i="19"/>
  <c r="F344" i="19"/>
  <c r="E344" i="19"/>
  <c r="C344" i="19"/>
  <c r="D344" i="19"/>
  <c r="A344" i="19"/>
  <c r="H344" i="19"/>
  <c r="BL16" i="1"/>
  <c r="G307" i="19"/>
  <c r="F307" i="19"/>
  <c r="E307" i="19"/>
  <c r="C307" i="19"/>
  <c r="D307" i="19"/>
  <c r="H307" i="19"/>
  <c r="A307" i="19"/>
  <c r="G160" i="19"/>
  <c r="A160" i="19"/>
  <c r="H160" i="19"/>
  <c r="F160" i="19"/>
  <c r="E160" i="19"/>
  <c r="D160" i="19"/>
  <c r="C160" i="19"/>
  <c r="G264" i="19"/>
  <c r="F264" i="19"/>
  <c r="E264" i="19"/>
  <c r="C264" i="19"/>
  <c r="D264" i="19"/>
  <c r="A264" i="19"/>
  <c r="H264" i="19"/>
  <c r="G295" i="19"/>
  <c r="F295" i="19"/>
  <c r="E295" i="19"/>
  <c r="C295" i="19"/>
  <c r="D295" i="19"/>
  <c r="H295" i="19"/>
  <c r="A295" i="19"/>
  <c r="J113" i="1"/>
  <c r="V107" i="1" s="1"/>
  <c r="W107" i="1" s="1"/>
  <c r="K113" i="1"/>
  <c r="BF25" i="1"/>
  <c r="BA27" i="1"/>
  <c r="BM88" i="1"/>
  <c r="CC44" i="1"/>
  <c r="AN90" i="1"/>
  <c r="BE37" i="1"/>
  <c r="AT82" i="1"/>
  <c r="H392" i="19"/>
  <c r="G392" i="19"/>
  <c r="F392" i="19"/>
  <c r="D392" i="19"/>
  <c r="C392" i="19"/>
  <c r="A392" i="19"/>
  <c r="E392" i="19"/>
  <c r="G82" i="19"/>
  <c r="C82" i="19"/>
  <c r="A82" i="19"/>
  <c r="H82" i="19"/>
  <c r="F82" i="19"/>
  <c r="E82" i="19"/>
  <c r="D82" i="19"/>
  <c r="H417" i="19"/>
  <c r="G417" i="19"/>
  <c r="F417" i="19"/>
  <c r="E417" i="19"/>
  <c r="C417" i="19"/>
  <c r="D417" i="19"/>
  <c r="A417" i="19"/>
  <c r="J88" i="1"/>
  <c r="K88" i="1"/>
  <c r="BW28" i="1"/>
  <c r="K25" i="1"/>
  <c r="J25" i="1"/>
  <c r="U29" i="1" s="1"/>
  <c r="AP30" i="1"/>
  <c r="BK66" i="1"/>
  <c r="AY66" i="1"/>
  <c r="B1716" i="15"/>
  <c r="AC16" i="12"/>
  <c r="B454" i="19" s="1"/>
  <c r="M16" i="12"/>
  <c r="G353" i="19"/>
  <c r="F353" i="19"/>
  <c r="E353" i="19"/>
  <c r="C353" i="19"/>
  <c r="D353" i="19"/>
  <c r="H353" i="19"/>
  <c r="A353" i="19"/>
  <c r="G258" i="19"/>
  <c r="F258" i="19"/>
  <c r="E258" i="19"/>
  <c r="C258" i="19"/>
  <c r="A258" i="19"/>
  <c r="H258" i="19"/>
  <c r="D258" i="19"/>
  <c r="G230" i="19"/>
  <c r="F230" i="19"/>
  <c r="E230" i="19"/>
  <c r="C230" i="19"/>
  <c r="A230" i="19"/>
  <c r="H230" i="19"/>
  <c r="D230" i="19"/>
  <c r="BO106" i="1"/>
  <c r="BC93" i="1"/>
  <c r="A1719" i="15"/>
  <c r="C45" i="12"/>
  <c r="C1745" i="15" s="1"/>
  <c r="G359" i="19"/>
  <c r="F359" i="19"/>
  <c r="E359" i="19"/>
  <c r="C359" i="19"/>
  <c r="D359" i="19"/>
  <c r="H359" i="19"/>
  <c r="A359" i="19"/>
  <c r="G313" i="19"/>
  <c r="F313" i="19"/>
  <c r="E313" i="19"/>
  <c r="C313" i="19"/>
  <c r="D313" i="19"/>
  <c r="H313" i="19"/>
  <c r="A313" i="19"/>
  <c r="A439" i="19"/>
  <c r="H439" i="19"/>
  <c r="G439" i="19"/>
  <c r="F439" i="19"/>
  <c r="E439" i="19"/>
  <c r="D439" i="19"/>
  <c r="C439" i="19"/>
  <c r="G347" i="19"/>
  <c r="F347" i="19"/>
  <c r="E347" i="19"/>
  <c r="C347" i="19"/>
  <c r="D347" i="19"/>
  <c r="H347" i="19"/>
  <c r="A347" i="19"/>
  <c r="G323" i="19"/>
  <c r="F323" i="19"/>
  <c r="E323" i="19"/>
  <c r="C323" i="19"/>
  <c r="D323" i="19"/>
  <c r="A323" i="19"/>
  <c r="H323" i="19"/>
  <c r="G227" i="19"/>
  <c r="F227" i="19"/>
  <c r="E227" i="19"/>
  <c r="C227" i="19"/>
  <c r="D227" i="19"/>
  <c r="H227" i="19"/>
  <c r="A227" i="19"/>
  <c r="BI94" i="1"/>
  <c r="G263" i="19"/>
  <c r="F263" i="19"/>
  <c r="E263" i="19"/>
  <c r="C263" i="19"/>
  <c r="D263" i="19"/>
  <c r="H263" i="19"/>
  <c r="A263" i="19"/>
  <c r="G330" i="19"/>
  <c r="F330" i="19"/>
  <c r="E330" i="19"/>
  <c r="C330" i="19"/>
  <c r="D330" i="19"/>
  <c r="A330" i="19"/>
  <c r="H330" i="19"/>
  <c r="G114" i="19"/>
  <c r="C114" i="19"/>
  <c r="A114" i="19"/>
  <c r="H114" i="19"/>
  <c r="D114" i="19"/>
  <c r="F114" i="19"/>
  <c r="E114" i="19"/>
  <c r="H430" i="19"/>
  <c r="G430" i="19"/>
  <c r="F430" i="19"/>
  <c r="E430" i="19"/>
  <c r="D430" i="19"/>
  <c r="C430" i="19"/>
  <c r="A430" i="19"/>
  <c r="G358" i="19"/>
  <c r="F358" i="19"/>
  <c r="E358" i="19"/>
  <c r="C358" i="19"/>
  <c r="D358" i="19"/>
  <c r="A358" i="19"/>
  <c r="H358" i="19"/>
  <c r="G243" i="19"/>
  <c r="F243" i="19"/>
  <c r="E243" i="19"/>
  <c r="C243" i="19"/>
  <c r="D243" i="19"/>
  <c r="H243" i="19"/>
  <c r="A243" i="19"/>
  <c r="G276" i="19"/>
  <c r="F276" i="19"/>
  <c r="E276" i="19"/>
  <c r="C276" i="19"/>
  <c r="D276" i="19"/>
  <c r="A276" i="19"/>
  <c r="H276" i="19"/>
  <c r="H425" i="19"/>
  <c r="G425" i="19"/>
  <c r="F425" i="19"/>
  <c r="E425" i="19"/>
  <c r="C425" i="19"/>
  <c r="D425" i="19"/>
  <c r="A425" i="19"/>
  <c r="H402" i="19"/>
  <c r="G402" i="19"/>
  <c r="F402" i="19"/>
  <c r="A402" i="19"/>
  <c r="C402" i="19"/>
  <c r="E402" i="19"/>
  <c r="D402" i="19"/>
  <c r="G350" i="19"/>
  <c r="F350" i="19"/>
  <c r="E350" i="19"/>
  <c r="C350" i="19"/>
  <c r="D350" i="19"/>
  <c r="A350" i="19"/>
  <c r="H350" i="19"/>
  <c r="G255" i="19"/>
  <c r="F255" i="19"/>
  <c r="E255" i="19"/>
  <c r="C255" i="19"/>
  <c r="D255" i="19"/>
  <c r="H255" i="19"/>
  <c r="A255" i="19"/>
  <c r="G143" i="19"/>
  <c r="H143" i="19"/>
  <c r="F143" i="19"/>
  <c r="E143" i="19"/>
  <c r="D143" i="19"/>
  <c r="C143" i="19"/>
  <c r="A143" i="19"/>
  <c r="H397" i="19"/>
  <c r="G397" i="19"/>
  <c r="F397" i="19"/>
  <c r="C397" i="19"/>
  <c r="A397" i="19"/>
  <c r="E397" i="19"/>
  <c r="D397" i="19"/>
  <c r="G377" i="19"/>
  <c r="F377" i="19"/>
  <c r="E377" i="19"/>
  <c r="C377" i="19"/>
  <c r="D377" i="19"/>
  <c r="H377" i="19"/>
  <c r="A377" i="19"/>
  <c r="G270" i="19"/>
  <c r="F270" i="19"/>
  <c r="E270" i="19"/>
  <c r="C270" i="19"/>
  <c r="D270" i="19"/>
  <c r="A270" i="19"/>
  <c r="H270" i="19"/>
  <c r="G224" i="19"/>
  <c r="F224" i="19"/>
  <c r="E224" i="19"/>
  <c r="C224" i="19"/>
  <c r="A224" i="19"/>
  <c r="H224" i="19"/>
  <c r="D224" i="19"/>
  <c r="G207" i="19"/>
  <c r="F207" i="19"/>
  <c r="E207" i="19"/>
  <c r="C207" i="19"/>
  <c r="D207" i="19"/>
  <c r="H207" i="19"/>
  <c r="A207" i="19"/>
  <c r="G37" i="19"/>
  <c r="F37" i="19"/>
  <c r="E37" i="19"/>
  <c r="D37" i="19"/>
  <c r="C37" i="19"/>
  <c r="H37" i="19"/>
  <c r="A37" i="19"/>
  <c r="G17" i="19"/>
  <c r="F17" i="19"/>
  <c r="E17" i="19"/>
  <c r="D17" i="19"/>
  <c r="C17" i="19"/>
  <c r="A17" i="19"/>
  <c r="H17" i="19"/>
  <c r="AX106" i="1"/>
  <c r="H432" i="19"/>
  <c r="G432" i="19"/>
  <c r="F432" i="19"/>
  <c r="D432" i="19"/>
  <c r="C432" i="19"/>
  <c r="A432" i="19"/>
  <c r="E432" i="19"/>
  <c r="G193" i="19"/>
  <c r="F193" i="19"/>
  <c r="D193" i="19"/>
  <c r="H193" i="19"/>
  <c r="E193" i="19"/>
  <c r="C193" i="19"/>
  <c r="A193" i="19"/>
  <c r="A1716" i="15"/>
  <c r="C42" i="12"/>
  <c r="C1742" i="15" s="1"/>
  <c r="G237" i="19"/>
  <c r="F237" i="19"/>
  <c r="E237" i="19"/>
  <c r="C237" i="19"/>
  <c r="D237" i="19"/>
  <c r="H237" i="19"/>
  <c r="A237" i="19"/>
  <c r="BI112" i="1"/>
  <c r="AS103" i="1"/>
  <c r="K94" i="1"/>
  <c r="J94" i="1"/>
  <c r="V98" i="1" s="1"/>
  <c r="W98" i="1" s="1"/>
  <c r="BI68" i="1"/>
  <c r="A1379" i="15"/>
  <c r="A22" i="10"/>
  <c r="G283" i="19"/>
  <c r="F283" i="19"/>
  <c r="E283" i="19"/>
  <c r="C283" i="19"/>
  <c r="D283" i="19"/>
  <c r="H283" i="19"/>
  <c r="A283" i="19"/>
  <c r="G268" i="19"/>
  <c r="F268" i="19"/>
  <c r="E268" i="19"/>
  <c r="C268" i="19"/>
  <c r="D268" i="19"/>
  <c r="A268" i="19"/>
  <c r="H268" i="19"/>
  <c r="G215" i="19"/>
  <c r="F215" i="19"/>
  <c r="E215" i="19"/>
  <c r="C215" i="19"/>
  <c r="D215" i="19"/>
  <c r="A215" i="19"/>
  <c r="H215" i="19"/>
  <c r="G56" i="19"/>
  <c r="A56" i="19"/>
  <c r="H56" i="19"/>
  <c r="F56" i="19"/>
  <c r="E56" i="19"/>
  <c r="C56" i="19"/>
  <c r="D56" i="19"/>
  <c r="G36" i="19"/>
  <c r="E36" i="19"/>
  <c r="D36" i="19"/>
  <c r="C36" i="19"/>
  <c r="A36" i="19"/>
  <c r="H36" i="19"/>
  <c r="F36" i="19"/>
  <c r="G13" i="19"/>
  <c r="F13" i="19"/>
  <c r="E13" i="19"/>
  <c r="D13" i="19"/>
  <c r="C13" i="19"/>
  <c r="H13" i="19"/>
  <c r="A13" i="19"/>
  <c r="S109" i="1"/>
  <c r="T109" i="1"/>
  <c r="R109" i="1"/>
  <c r="AN91" i="1"/>
  <c r="H434" i="19"/>
  <c r="G434" i="19"/>
  <c r="F434" i="19"/>
  <c r="A434" i="19"/>
  <c r="C434" i="19"/>
  <c r="E434" i="19"/>
  <c r="D434" i="19"/>
  <c r="G290" i="19"/>
  <c r="F290" i="19"/>
  <c r="E290" i="19"/>
  <c r="C290" i="19"/>
  <c r="D290" i="19"/>
  <c r="A290" i="19"/>
  <c r="H290" i="19"/>
  <c r="G167" i="19"/>
  <c r="H167" i="19"/>
  <c r="F167" i="19"/>
  <c r="E167" i="19"/>
  <c r="D167" i="19"/>
  <c r="C167" i="19"/>
  <c r="A167" i="19"/>
  <c r="G135" i="19"/>
  <c r="H135" i="19"/>
  <c r="F135" i="19"/>
  <c r="E135" i="19"/>
  <c r="D135" i="19"/>
  <c r="C135" i="19"/>
  <c r="A135" i="19"/>
  <c r="G95" i="19"/>
  <c r="H95" i="19"/>
  <c r="F95" i="19"/>
  <c r="E95" i="19"/>
  <c r="D95" i="19"/>
  <c r="C95" i="19"/>
  <c r="A95" i="19"/>
  <c r="G29" i="19"/>
  <c r="F29" i="19"/>
  <c r="E29" i="19"/>
  <c r="D29" i="19"/>
  <c r="C29" i="19"/>
  <c r="H29" i="19"/>
  <c r="A29" i="19"/>
  <c r="R112" i="1"/>
  <c r="S112" i="1"/>
  <c r="T112" i="1"/>
  <c r="AQ109" i="1"/>
  <c r="J84" i="1"/>
  <c r="K84" i="1"/>
  <c r="AM76" i="1"/>
  <c r="BK70" i="1"/>
  <c r="K54" i="1"/>
  <c r="J54" i="1"/>
  <c r="V56" i="1" s="1"/>
  <c r="W56" i="1" s="1"/>
  <c r="BO26" i="1"/>
  <c r="H405" i="19"/>
  <c r="G405" i="19"/>
  <c r="F405" i="19"/>
  <c r="C405" i="19"/>
  <c r="A405" i="19"/>
  <c r="E405" i="19"/>
  <c r="D405" i="19"/>
  <c r="G342" i="19"/>
  <c r="F342" i="19"/>
  <c r="E342" i="19"/>
  <c r="C342" i="19"/>
  <c r="D342" i="19"/>
  <c r="A342" i="19"/>
  <c r="H342" i="19"/>
  <c r="G261" i="19"/>
  <c r="F261" i="19"/>
  <c r="E261" i="19"/>
  <c r="C261" i="19"/>
  <c r="D261" i="19"/>
  <c r="H261" i="19"/>
  <c r="A261" i="19"/>
  <c r="G93" i="19"/>
  <c r="F93" i="19"/>
  <c r="E93" i="19"/>
  <c r="D93" i="19"/>
  <c r="C93" i="19"/>
  <c r="H93" i="19"/>
  <c r="A93" i="19"/>
  <c r="G70" i="19"/>
  <c r="H70" i="19"/>
  <c r="F70" i="19"/>
  <c r="E70" i="19"/>
  <c r="D70" i="19"/>
  <c r="C70" i="19"/>
  <c r="A70" i="19"/>
  <c r="G27" i="19"/>
  <c r="D27" i="19"/>
  <c r="C27" i="19"/>
  <c r="A27" i="19"/>
  <c r="H27" i="19"/>
  <c r="F27" i="19"/>
  <c r="E27" i="19"/>
  <c r="G164" i="19"/>
  <c r="E164" i="19"/>
  <c r="D164" i="19"/>
  <c r="C164" i="19"/>
  <c r="A164" i="19"/>
  <c r="H164" i="19"/>
  <c r="F164" i="19"/>
  <c r="G130" i="19"/>
  <c r="C130" i="19"/>
  <c r="A130" i="19"/>
  <c r="H130" i="19"/>
  <c r="F130" i="19"/>
  <c r="E130" i="19"/>
  <c r="D130" i="19"/>
  <c r="G45" i="19"/>
  <c r="F45" i="19"/>
  <c r="E45" i="19"/>
  <c r="D45" i="19"/>
  <c r="C45" i="19"/>
  <c r="H45" i="19"/>
  <c r="A45" i="19"/>
  <c r="BA102" i="1"/>
  <c r="AM88" i="1"/>
  <c r="CA86" i="1"/>
  <c r="BW77" i="1"/>
  <c r="AX75" i="1"/>
  <c r="AK45" i="1"/>
  <c r="AT38" i="1"/>
  <c r="BC37" i="1"/>
  <c r="BY27" i="1"/>
  <c r="BE19" i="1"/>
  <c r="A466" i="19"/>
  <c r="H466" i="19"/>
  <c r="G466" i="19"/>
  <c r="F466" i="19"/>
  <c r="E466" i="19"/>
  <c r="D466" i="19"/>
  <c r="C466" i="19"/>
  <c r="G372" i="19"/>
  <c r="F372" i="19"/>
  <c r="E372" i="19"/>
  <c r="C372" i="19"/>
  <c r="D372" i="19"/>
  <c r="A372" i="19"/>
  <c r="H372" i="19"/>
  <c r="G173" i="19"/>
  <c r="F173" i="19"/>
  <c r="E173" i="19"/>
  <c r="D173" i="19"/>
  <c r="C173" i="19"/>
  <c r="H173" i="19"/>
  <c r="A173" i="19"/>
  <c r="G152" i="19"/>
  <c r="A152" i="19"/>
  <c r="H152" i="19"/>
  <c r="F152" i="19"/>
  <c r="E152" i="19"/>
  <c r="D152" i="19"/>
  <c r="C152" i="19"/>
  <c r="AW111" i="1"/>
  <c r="AR104" i="1"/>
  <c r="CD104" i="1"/>
  <c r="BX83" i="1"/>
  <c r="AY71" i="1"/>
  <c r="K63" i="1"/>
  <c r="J63" i="1"/>
  <c r="CD36" i="1"/>
  <c r="BC27" i="1"/>
  <c r="AM15" i="1"/>
  <c r="G320" i="19"/>
  <c r="F320" i="19"/>
  <c r="E320" i="19"/>
  <c r="C320" i="19"/>
  <c r="D320" i="19"/>
  <c r="A320" i="19"/>
  <c r="H320" i="19"/>
  <c r="AR108" i="1"/>
  <c r="AX85" i="1"/>
  <c r="BC85" i="1"/>
  <c r="A447" i="19"/>
  <c r="H447" i="19"/>
  <c r="G447" i="19"/>
  <c r="F447" i="19"/>
  <c r="E447" i="19"/>
  <c r="D447" i="19"/>
  <c r="C447" i="19"/>
  <c r="A22" i="9"/>
  <c r="A1212" i="15" s="1"/>
  <c r="AS108" i="1"/>
  <c r="K83" i="1"/>
  <c r="J83" i="1"/>
  <c r="AX73" i="1"/>
  <c r="BK71" i="1"/>
  <c r="BK111" i="1"/>
  <c r="AY111" i="1"/>
  <c r="AK111" i="1"/>
  <c r="BR111" i="1"/>
  <c r="G89" i="19"/>
  <c r="A89" i="19"/>
  <c r="H89" i="19"/>
  <c r="F89" i="19"/>
  <c r="E89" i="19"/>
  <c r="D89" i="19"/>
  <c r="C89" i="19"/>
  <c r="G48" i="19"/>
  <c r="A48" i="19"/>
  <c r="H48" i="19"/>
  <c r="F48" i="19"/>
  <c r="E48" i="19"/>
  <c r="D48" i="19"/>
  <c r="C48" i="19"/>
  <c r="G7" i="19"/>
  <c r="F7" i="19"/>
  <c r="E7" i="19"/>
  <c r="D7" i="19"/>
  <c r="C7" i="19"/>
  <c r="H7" i="19"/>
  <c r="A7" i="19"/>
  <c r="BM102" i="1"/>
  <c r="AS102" i="1"/>
  <c r="K95" i="1"/>
  <c r="J95" i="1"/>
  <c r="BR83" i="1"/>
  <c r="BA73" i="1"/>
  <c r="BZ72" i="1"/>
  <c r="BA71" i="1"/>
  <c r="BW71" i="1"/>
  <c r="AT25" i="1"/>
  <c r="BN24" i="1"/>
  <c r="A19" i="2"/>
  <c r="AK83" i="1"/>
  <c r="G108" i="19"/>
  <c r="E108" i="19"/>
  <c r="D108" i="19"/>
  <c r="C108" i="19"/>
  <c r="A108" i="19"/>
  <c r="F108" i="19"/>
  <c r="H108" i="19"/>
  <c r="AY98" i="1"/>
  <c r="BW98" i="1"/>
  <c r="AM98" i="1"/>
  <c r="BK98" i="1"/>
  <c r="BM70" i="1"/>
  <c r="BA70" i="1"/>
  <c r="BY70" i="1"/>
  <c r="AR69" i="1"/>
  <c r="BB66" i="1"/>
  <c r="BZ66" i="1"/>
  <c r="AP66" i="1"/>
  <c r="BN66" i="1"/>
  <c r="AQ61" i="1"/>
  <c r="AY38" i="1"/>
  <c r="AM38" i="1"/>
  <c r="BV22" i="1"/>
  <c r="AQ20" i="1"/>
  <c r="BL48" i="1"/>
  <c r="AR30" i="1"/>
  <c r="AS18" i="1"/>
  <c r="CC18" i="1"/>
  <c r="BQ18" i="1"/>
  <c r="BE18" i="1"/>
  <c r="AX14" i="1"/>
  <c r="AY14" i="1"/>
  <c r="J57" i="1"/>
  <c r="BO60" i="1"/>
  <c r="BC60" i="1"/>
  <c r="R80" i="1"/>
  <c r="T80" i="1"/>
  <c r="S80" i="1"/>
  <c r="BP59" i="1"/>
  <c r="CB59" i="1"/>
  <c r="BO33" i="1"/>
  <c r="J22" i="1"/>
  <c r="K22" i="1"/>
  <c r="BA19" i="1"/>
  <c r="AO19" i="1"/>
  <c r="BY19" i="1"/>
  <c r="BO61" i="1"/>
  <c r="G188" i="19"/>
  <c r="A188" i="19"/>
  <c r="H188" i="19"/>
  <c r="F188" i="19"/>
  <c r="E188" i="19"/>
  <c r="D188" i="19"/>
  <c r="C188" i="19"/>
  <c r="G110" i="19"/>
  <c r="H110" i="19"/>
  <c r="F110" i="19"/>
  <c r="E110" i="19"/>
  <c r="D110" i="19"/>
  <c r="C110" i="19"/>
  <c r="A110" i="19"/>
  <c r="AR105" i="1"/>
  <c r="AK66" i="1"/>
  <c r="BI66" i="1"/>
  <c r="AW66" i="1"/>
  <c r="BU66" i="1"/>
  <c r="J64" i="1"/>
  <c r="K64" i="1"/>
  <c r="BJ60" i="1"/>
  <c r="U35" i="1"/>
  <c r="BW21" i="1"/>
  <c r="BW14" i="1"/>
  <c r="B1713" i="15"/>
  <c r="M13" i="12"/>
  <c r="AC13" i="12"/>
  <c r="B453" i="19" s="1"/>
  <c r="BZ21" i="1"/>
  <c r="K39" i="1"/>
  <c r="J39" i="1"/>
  <c r="AY39" i="1"/>
  <c r="BC50" i="1"/>
  <c r="CA50" i="1"/>
  <c r="AQ50" i="1"/>
  <c r="AO89" i="1"/>
  <c r="AO64" i="1"/>
  <c r="K59" i="1"/>
  <c r="J59" i="1"/>
  <c r="BQ59" i="1"/>
  <c r="BI59" i="1"/>
  <c r="AR59" i="1"/>
  <c r="BB47" i="1"/>
  <c r="AP47" i="1"/>
  <c r="BN47" i="1"/>
  <c r="BZ47" i="1"/>
  <c r="AK32" i="1"/>
  <c r="AW29" i="1"/>
  <c r="BY18" i="1"/>
  <c r="BM18" i="1"/>
  <c r="BA18" i="1"/>
  <c r="BD15" i="1"/>
  <c r="BY74" i="1"/>
  <c r="BM74" i="1"/>
  <c r="BA74" i="1"/>
  <c r="BK84" i="1"/>
  <c r="AY84" i="1"/>
  <c r="BK93" i="1"/>
  <c r="BW93" i="1"/>
  <c r="AM93" i="1"/>
  <c r="CB107" i="1"/>
  <c r="BP107" i="1"/>
  <c r="AR107" i="1"/>
  <c r="BD107" i="1"/>
  <c r="BC18" i="1"/>
  <c r="AQ18" i="1"/>
  <c r="CA18" i="1"/>
  <c r="BE26" i="1"/>
  <c r="AS26" i="1"/>
  <c r="BQ26" i="1"/>
  <c r="CC26" i="1"/>
  <c r="AW34" i="1"/>
  <c r="AK34" i="1"/>
  <c r="BU34" i="1"/>
  <c r="BI34" i="1"/>
  <c r="BM41" i="1"/>
  <c r="AR64" i="1"/>
  <c r="BE72" i="1"/>
  <c r="CC72" i="1"/>
  <c r="AZ84" i="1"/>
  <c r="BX84" i="1"/>
  <c r="AN84" i="1"/>
  <c r="CC106" i="1"/>
  <c r="BQ106" i="1"/>
  <c r="AS106" i="1"/>
  <c r="BE106" i="1"/>
  <c r="AW78" i="1"/>
  <c r="BU78" i="1"/>
  <c r="BI78" i="1"/>
  <c r="BL112" i="1"/>
  <c r="AN112" i="1"/>
  <c r="BI27" i="1"/>
  <c r="BU27" i="1"/>
  <c r="AM34" i="1"/>
  <c r="AY34" i="1"/>
  <c r="BK34" i="1"/>
  <c r="BW34" i="1"/>
  <c r="BC41" i="1"/>
  <c r="BQ47" i="1"/>
  <c r="CC47" i="1"/>
  <c r="BE47" i="1"/>
  <c r="BD67" i="1"/>
  <c r="CB67" i="1"/>
  <c r="BV78" i="1"/>
  <c r="AL78" i="1"/>
  <c r="BJ78" i="1"/>
  <c r="AK87" i="1"/>
  <c r="BI87" i="1"/>
  <c r="BN102" i="1"/>
  <c r="AQ74" i="1"/>
  <c r="BC74" i="1"/>
  <c r="CA74" i="1"/>
  <c r="BP93" i="1"/>
  <c r="AR93" i="1"/>
  <c r="AL111" i="1"/>
  <c r="BV18" i="1"/>
  <c r="BJ18" i="1"/>
  <c r="AL18" i="1"/>
  <c r="AT28" i="1"/>
  <c r="BF28" i="1"/>
  <c r="BR28" i="1"/>
  <c r="BJ36" i="1"/>
  <c r="AL36" i="1"/>
  <c r="AX36" i="1"/>
  <c r="BM42" i="1"/>
  <c r="BY42" i="1"/>
  <c r="BA42" i="1"/>
  <c r="BZ49" i="1"/>
  <c r="BN49" i="1"/>
  <c r="BV59" i="1"/>
  <c r="BV70" i="1"/>
  <c r="AL70" i="1"/>
  <c r="BJ70" i="1"/>
  <c r="BZ81" i="1"/>
  <c r="BB81" i="1"/>
  <c r="BN81" i="1"/>
  <c r="BD97" i="1"/>
  <c r="BE20" i="1"/>
  <c r="AS20" i="1"/>
  <c r="BQ20" i="1"/>
  <c r="BV19" i="1"/>
  <c r="AX19" i="1"/>
  <c r="AL19" i="1"/>
  <c r="BJ19" i="1"/>
  <c r="BL26" i="1"/>
  <c r="AN26" i="1"/>
  <c r="AZ26" i="1"/>
  <c r="BV47" i="1"/>
  <c r="AX47" i="1"/>
  <c r="AL47" i="1"/>
  <c r="BQ55" i="1"/>
  <c r="BX87" i="1"/>
  <c r="CA101" i="1"/>
  <c r="CB109" i="1"/>
  <c r="AR109" i="1"/>
  <c r="AK17" i="1"/>
  <c r="BV24" i="1"/>
  <c r="AL24" i="1"/>
  <c r="AP36" i="1"/>
  <c r="BZ36" i="1"/>
  <c r="CB42" i="1"/>
  <c r="BP42" i="1"/>
  <c r="AR42" i="1"/>
  <c r="BD42" i="1"/>
  <c r="AW49" i="1"/>
  <c r="AK49" i="1"/>
  <c r="BI49" i="1"/>
  <c r="AL56" i="1"/>
  <c r="BJ56" i="1"/>
  <c r="AX56" i="1"/>
  <c r="BL62" i="1"/>
  <c r="AN62" i="1"/>
  <c r="AZ62" i="1"/>
  <c r="BB68" i="1"/>
  <c r="AP68" i="1"/>
  <c r="BN68" i="1"/>
  <c r="CB74" i="1"/>
  <c r="AR74" i="1"/>
  <c r="BD74" i="1"/>
  <c r="BP74" i="1"/>
  <c r="BE82" i="1"/>
  <c r="AS82" i="1"/>
  <c r="CC82" i="1"/>
  <c r="BQ82" i="1"/>
  <c r="AW90" i="1"/>
  <c r="AK90" i="1"/>
  <c r="BU90" i="1"/>
  <c r="BI90" i="1"/>
  <c r="BB104" i="1"/>
  <c r="BN104" i="1"/>
  <c r="AK67" i="1"/>
  <c r="AL74" i="1"/>
  <c r="BV74" i="1"/>
  <c r="BJ74" i="1"/>
  <c r="AO80" i="1"/>
  <c r="BA80" i="1"/>
  <c r="BY80" i="1"/>
  <c r="BM80" i="1"/>
  <c r="BQ94" i="1"/>
  <c r="BE94" i="1"/>
  <c r="CC94" i="1"/>
  <c r="AY108" i="1"/>
  <c r="BL50" i="1"/>
  <c r="AZ50" i="1"/>
  <c r="AN50" i="1"/>
  <c r="BP62" i="1"/>
  <c r="BD62" i="1"/>
  <c r="AR62" i="1"/>
  <c r="AL76" i="1"/>
  <c r="BJ76" i="1"/>
  <c r="BL82" i="1"/>
  <c r="AN82" i="1"/>
  <c r="AZ82" i="1"/>
  <c r="BD88" i="1"/>
  <c r="AR88" i="1"/>
  <c r="BP88" i="1"/>
  <c r="CD95" i="1"/>
  <c r="AT95" i="1"/>
  <c r="AL103" i="1"/>
  <c r="BV103" i="1"/>
  <c r="BP82" i="1"/>
  <c r="CB82" i="1"/>
  <c r="AR82" i="1"/>
  <c r="BD82" i="1"/>
  <c r="AK89" i="1"/>
  <c r="AX96" i="1"/>
  <c r="AN102" i="1"/>
  <c r="BB108" i="1"/>
  <c r="CD57" i="1"/>
  <c r="BF57" i="1"/>
  <c r="BR57" i="1"/>
  <c r="AO47" i="1"/>
  <c r="BY47" i="1"/>
  <c r="AL33" i="1"/>
  <c r="CA33" i="1"/>
  <c r="BY33" i="1"/>
  <c r="K40" i="1"/>
  <c r="AX32" i="1"/>
  <c r="G327" i="19"/>
  <c r="F327" i="19"/>
  <c r="E327" i="19"/>
  <c r="C327" i="19"/>
  <c r="D327" i="19"/>
  <c r="H327" i="19"/>
  <c r="A327" i="19"/>
  <c r="BP43" i="1"/>
  <c r="AW43" i="1"/>
  <c r="CB31" i="1"/>
  <c r="AZ31" i="1"/>
  <c r="CA31" i="1"/>
  <c r="BN17" i="1"/>
  <c r="AN57" i="1"/>
  <c r="AZ57" i="1"/>
  <c r="BL55" i="1"/>
  <c r="BC55" i="1"/>
  <c r="BC46" i="1"/>
  <c r="AQ46" i="1"/>
  <c r="CA46" i="1"/>
  <c r="BZ61" i="1"/>
  <c r="BR61" i="1"/>
  <c r="BL52" i="1"/>
  <c r="CC52" i="1"/>
  <c r="AZ52" i="1"/>
  <c r="G43" i="19"/>
  <c r="D43" i="19"/>
  <c r="C43" i="19"/>
  <c r="A43" i="19"/>
  <c r="H43" i="19"/>
  <c r="F43" i="19"/>
  <c r="E43" i="19"/>
  <c r="AM89" i="1"/>
  <c r="AK65" i="1"/>
  <c r="BZ65" i="1"/>
  <c r="BJ65" i="1"/>
  <c r="BK53" i="1"/>
  <c r="BE53" i="1"/>
  <c r="AK53" i="1"/>
  <c r="AR52" i="1"/>
  <c r="AP46" i="1"/>
  <c r="BZ46" i="1"/>
  <c r="AS41" i="1"/>
  <c r="AO41" i="1"/>
  <c r="AL29" i="1"/>
  <c r="BL23" i="1"/>
  <c r="K23" i="1"/>
  <c r="J23" i="1"/>
  <c r="AN23" i="1"/>
  <c r="AR23" i="1"/>
  <c r="S18" i="1"/>
  <c r="R18" i="1"/>
  <c r="T18" i="1"/>
  <c r="BI105" i="1"/>
  <c r="AZ105" i="1"/>
  <c r="BC31" i="1"/>
  <c r="BM61" i="1"/>
  <c r="AM48" i="1"/>
  <c r="G362" i="19"/>
  <c r="F362" i="19"/>
  <c r="E362" i="19"/>
  <c r="C362" i="19"/>
  <c r="D362" i="19"/>
  <c r="A362" i="19"/>
  <c r="H362" i="19"/>
  <c r="G140" i="19"/>
  <c r="E140" i="19"/>
  <c r="D140" i="19"/>
  <c r="C140" i="19"/>
  <c r="A140" i="19"/>
  <c r="H140" i="19"/>
  <c r="F140" i="19"/>
  <c r="G371" i="19"/>
  <c r="F371" i="19"/>
  <c r="E371" i="19"/>
  <c r="C371" i="19"/>
  <c r="D371" i="19"/>
  <c r="H371" i="19"/>
  <c r="A371" i="19"/>
  <c r="G317" i="19"/>
  <c r="F317" i="19"/>
  <c r="E317" i="19"/>
  <c r="C317" i="19"/>
  <c r="D317" i="19"/>
  <c r="H317" i="19"/>
  <c r="A317" i="19"/>
  <c r="H416" i="19"/>
  <c r="G416" i="19"/>
  <c r="F416" i="19"/>
  <c r="D416" i="19"/>
  <c r="C416" i="19"/>
  <c r="A416" i="19"/>
  <c r="E416" i="19"/>
  <c r="G64" i="19"/>
  <c r="A64" i="19"/>
  <c r="H64" i="19"/>
  <c r="F64" i="19"/>
  <c r="E64" i="19"/>
  <c r="D64" i="19"/>
  <c r="C64" i="19"/>
  <c r="G234" i="19"/>
  <c r="F234" i="19"/>
  <c r="E234" i="19"/>
  <c r="C234" i="19"/>
  <c r="A234" i="19"/>
  <c r="H234" i="19"/>
  <c r="D234" i="19"/>
  <c r="G28" i="19"/>
  <c r="E28" i="19"/>
  <c r="D28" i="19"/>
  <c r="C28" i="19"/>
  <c r="A28" i="19"/>
  <c r="H28" i="19"/>
  <c r="F28" i="19"/>
  <c r="AY42" i="1"/>
  <c r="AM42" i="1"/>
  <c r="BW42" i="1"/>
  <c r="BK42" i="1"/>
  <c r="AR24" i="1"/>
  <c r="G74" i="19"/>
  <c r="C74" i="19"/>
  <c r="A74" i="19"/>
  <c r="H74" i="19"/>
  <c r="E74" i="19"/>
  <c r="D74" i="19"/>
  <c r="F74" i="19"/>
  <c r="AP71" i="1"/>
  <c r="BB71" i="1"/>
  <c r="AX113" i="1"/>
  <c r="BV113" i="1"/>
  <c r="AL113" i="1"/>
  <c r="BJ113" i="1"/>
  <c r="AO67" i="1"/>
  <c r="BM67" i="1"/>
  <c r="BC22" i="1"/>
  <c r="BO22" i="1"/>
  <c r="BV58" i="1"/>
  <c r="BJ58" i="1"/>
  <c r="AL58" i="1"/>
  <c r="AY100" i="1"/>
  <c r="BK100" i="1"/>
  <c r="BR62" i="1"/>
  <c r="AT62" i="1"/>
  <c r="CD62" i="1"/>
  <c r="BC68" i="1"/>
  <c r="CA68" i="1"/>
  <c r="BL97" i="1"/>
  <c r="AN97" i="1"/>
  <c r="AS75" i="1"/>
  <c r="BQ75" i="1"/>
  <c r="CC75" i="1"/>
  <c r="AQ71" i="1"/>
  <c r="BK79" i="1"/>
  <c r="BW79" i="1"/>
  <c r="AR53" i="1"/>
  <c r="BD53" i="1"/>
  <c r="BC78" i="1"/>
  <c r="AQ78" i="1"/>
  <c r="CA78" i="1"/>
  <c r="H401" i="19"/>
  <c r="G401" i="19"/>
  <c r="F401" i="19"/>
  <c r="E401" i="19"/>
  <c r="C401" i="19"/>
  <c r="D401" i="19"/>
  <c r="A401" i="19"/>
  <c r="G345" i="19"/>
  <c r="F345" i="19"/>
  <c r="E345" i="19"/>
  <c r="C345" i="19"/>
  <c r="D345" i="19"/>
  <c r="H345" i="19"/>
  <c r="A345" i="19"/>
  <c r="G282" i="19"/>
  <c r="F282" i="19"/>
  <c r="E282" i="19"/>
  <c r="C282" i="19"/>
  <c r="D282" i="19"/>
  <c r="A282" i="19"/>
  <c r="H282" i="19"/>
  <c r="G21" i="19"/>
  <c r="F21" i="19"/>
  <c r="E21" i="19"/>
  <c r="D21" i="19"/>
  <c r="C21" i="19"/>
  <c r="H21" i="19"/>
  <c r="A21" i="19"/>
  <c r="G332" i="19"/>
  <c r="F332" i="19"/>
  <c r="E332" i="19"/>
  <c r="C332" i="19"/>
  <c r="D332" i="19"/>
  <c r="A332" i="19"/>
  <c r="H332" i="19"/>
  <c r="G85" i="19"/>
  <c r="F85" i="19"/>
  <c r="E85" i="19"/>
  <c r="D85" i="19"/>
  <c r="C85" i="19"/>
  <c r="H85" i="19"/>
  <c r="A85" i="19"/>
  <c r="K77" i="1"/>
  <c r="J77" i="1"/>
  <c r="T82" i="1"/>
  <c r="R82" i="1"/>
  <c r="S82" i="1"/>
  <c r="BA63" i="1"/>
  <c r="AQ69" i="1"/>
  <c r="AY110" i="1"/>
  <c r="BR44" i="1"/>
  <c r="BF44" i="1"/>
  <c r="BN101" i="1"/>
  <c r="AP23" i="1"/>
  <c r="AS74" i="1"/>
  <c r="BQ74" i="1"/>
  <c r="BE74" i="1"/>
  <c r="CC74" i="1"/>
  <c r="BK36" i="1"/>
  <c r="AY36" i="1"/>
  <c r="G165" i="19"/>
  <c r="F165" i="19"/>
  <c r="E165" i="19"/>
  <c r="D165" i="19"/>
  <c r="C165" i="19"/>
  <c r="H165" i="19"/>
  <c r="A165" i="19"/>
  <c r="G287" i="19"/>
  <c r="F287" i="19"/>
  <c r="E287" i="19"/>
  <c r="C287" i="19"/>
  <c r="D287" i="19"/>
  <c r="H287" i="19"/>
  <c r="A287" i="19"/>
  <c r="H403" i="19"/>
  <c r="G403" i="19"/>
  <c r="F403" i="19"/>
  <c r="E403" i="19"/>
  <c r="D403" i="19"/>
  <c r="C403" i="19"/>
  <c r="A403" i="19"/>
  <c r="G354" i="19"/>
  <c r="F354" i="19"/>
  <c r="E354" i="19"/>
  <c r="C354" i="19"/>
  <c r="D354" i="19"/>
  <c r="A354" i="19"/>
  <c r="H354" i="19"/>
  <c r="G291" i="19"/>
  <c r="F291" i="19"/>
  <c r="E291" i="19"/>
  <c r="C291" i="19"/>
  <c r="D291" i="19"/>
  <c r="A291" i="19"/>
  <c r="H291" i="19"/>
  <c r="G195" i="19"/>
  <c r="F195" i="19"/>
  <c r="C195" i="19"/>
  <c r="A195" i="19"/>
  <c r="H195" i="19"/>
  <c r="E195" i="19"/>
  <c r="D195" i="19"/>
  <c r="G84" i="19"/>
  <c r="E84" i="19"/>
  <c r="D84" i="19"/>
  <c r="C84" i="19"/>
  <c r="A84" i="19"/>
  <c r="H84" i="19"/>
  <c r="F84" i="19"/>
  <c r="G361" i="19"/>
  <c r="F361" i="19"/>
  <c r="E361" i="19"/>
  <c r="C361" i="19"/>
  <c r="D361" i="19"/>
  <c r="H361" i="19"/>
  <c r="A361" i="19"/>
  <c r="G265" i="19"/>
  <c r="F265" i="19"/>
  <c r="E265" i="19"/>
  <c r="C265" i="19"/>
  <c r="D265" i="19"/>
  <c r="H265" i="19"/>
  <c r="A265" i="19"/>
  <c r="G107" i="19"/>
  <c r="D107" i="19"/>
  <c r="C107" i="19"/>
  <c r="A107" i="19"/>
  <c r="H107" i="19"/>
  <c r="F107" i="19"/>
  <c r="E107" i="19"/>
  <c r="AW96" i="1"/>
  <c r="BY45" i="1"/>
  <c r="K37" i="1"/>
  <c r="J37" i="1"/>
  <c r="A526" i="15"/>
  <c r="A22" i="5"/>
  <c r="A532" i="15" s="1"/>
  <c r="G10" i="19"/>
  <c r="F10" i="19"/>
  <c r="E10" i="19"/>
  <c r="D10" i="19"/>
  <c r="C10" i="19"/>
  <c r="H10" i="19"/>
  <c r="A10" i="19"/>
  <c r="BV44" i="1"/>
  <c r="BZ85" i="1"/>
  <c r="AL73" i="1"/>
  <c r="G91" i="19"/>
  <c r="D91" i="19"/>
  <c r="C91" i="19"/>
  <c r="A91" i="19"/>
  <c r="H91" i="19"/>
  <c r="F91" i="19"/>
  <c r="E91" i="19"/>
  <c r="V106" i="1"/>
  <c r="W106" i="1" s="1"/>
  <c r="BD69" i="1"/>
  <c r="AS24" i="1"/>
  <c r="BE24" i="1"/>
  <c r="BC38" i="1"/>
  <c r="AQ38" i="1"/>
  <c r="CA38" i="1"/>
  <c r="BO38" i="1"/>
  <c r="G335" i="19"/>
  <c r="F335" i="19"/>
  <c r="E335" i="19"/>
  <c r="C335" i="19"/>
  <c r="D335" i="19"/>
  <c r="A335" i="19"/>
  <c r="H335" i="19"/>
  <c r="G306" i="19"/>
  <c r="F306" i="19"/>
  <c r="E306" i="19"/>
  <c r="C306" i="19"/>
  <c r="D306" i="19"/>
  <c r="A306" i="19"/>
  <c r="H306" i="19"/>
  <c r="G214" i="19"/>
  <c r="F214" i="19"/>
  <c r="E214" i="19"/>
  <c r="C214" i="19"/>
  <c r="A214" i="19"/>
  <c r="H214" i="19"/>
  <c r="D214" i="19"/>
  <c r="G191" i="19"/>
  <c r="D191" i="19"/>
  <c r="H191" i="19"/>
  <c r="F191" i="19"/>
  <c r="E191" i="19"/>
  <c r="C191" i="19"/>
  <c r="A191" i="19"/>
  <c r="A440" i="19"/>
  <c r="H440" i="19"/>
  <c r="G440" i="19"/>
  <c r="F440" i="19"/>
  <c r="E440" i="19"/>
  <c r="D440" i="19"/>
  <c r="C440" i="19"/>
  <c r="G296" i="19"/>
  <c r="F296" i="19"/>
  <c r="E296" i="19"/>
  <c r="C296" i="19"/>
  <c r="D296" i="19"/>
  <c r="A296" i="19"/>
  <c r="H296" i="19"/>
  <c r="G279" i="19"/>
  <c r="F279" i="19"/>
  <c r="E279" i="19"/>
  <c r="C279" i="19"/>
  <c r="D279" i="19"/>
  <c r="H279" i="19"/>
  <c r="A279" i="19"/>
  <c r="G380" i="19"/>
  <c r="F380" i="19"/>
  <c r="E380" i="19"/>
  <c r="C380" i="19"/>
  <c r="D380" i="19"/>
  <c r="A380" i="19"/>
  <c r="H380" i="19"/>
  <c r="G213" i="19"/>
  <c r="F213" i="19"/>
  <c r="E213" i="19"/>
  <c r="C213" i="19"/>
  <c r="D213" i="19"/>
  <c r="H213" i="19"/>
  <c r="A213" i="19"/>
  <c r="H421" i="19"/>
  <c r="G421" i="19"/>
  <c r="F421" i="19"/>
  <c r="C421" i="19"/>
  <c r="A421" i="19"/>
  <c r="D421" i="19"/>
  <c r="E421" i="19"/>
  <c r="G329" i="19"/>
  <c r="F329" i="19"/>
  <c r="E329" i="19"/>
  <c r="C329" i="19"/>
  <c r="D329" i="19"/>
  <c r="H329" i="19"/>
  <c r="A329" i="19"/>
  <c r="G86" i="19"/>
  <c r="H86" i="19"/>
  <c r="F86" i="19"/>
  <c r="E86" i="19"/>
  <c r="D86" i="19"/>
  <c r="C86" i="19"/>
  <c r="A86" i="19"/>
  <c r="BM84" i="1"/>
  <c r="H427" i="19"/>
  <c r="G427" i="19"/>
  <c r="F427" i="19"/>
  <c r="E427" i="19"/>
  <c r="D427" i="19"/>
  <c r="C427" i="19"/>
  <c r="A427" i="19"/>
  <c r="G341" i="19"/>
  <c r="F341" i="19"/>
  <c r="E341" i="19"/>
  <c r="C341" i="19"/>
  <c r="D341" i="19"/>
  <c r="H341" i="19"/>
  <c r="A341" i="19"/>
  <c r="G219" i="19"/>
  <c r="F219" i="19"/>
  <c r="E219" i="19"/>
  <c r="C219" i="19"/>
  <c r="D219" i="19"/>
  <c r="H219" i="19"/>
  <c r="A219" i="19"/>
  <c r="A182" i="19"/>
  <c r="G182" i="19"/>
  <c r="D182" i="19"/>
  <c r="C182" i="19"/>
  <c r="H182" i="19"/>
  <c r="E182" i="19"/>
  <c r="F182" i="19"/>
  <c r="CB78" i="1"/>
  <c r="AS54" i="1"/>
  <c r="H381" i="19"/>
  <c r="F381" i="19"/>
  <c r="G381" i="19"/>
  <c r="E381" i="19"/>
  <c r="C381" i="19"/>
  <c r="D381" i="19"/>
  <c r="A381" i="19"/>
  <c r="G355" i="19"/>
  <c r="F355" i="19"/>
  <c r="E355" i="19"/>
  <c r="C355" i="19"/>
  <c r="D355" i="19"/>
  <c r="A355" i="19"/>
  <c r="H355" i="19"/>
  <c r="H382" i="19"/>
  <c r="F382" i="19"/>
  <c r="A382" i="19"/>
  <c r="E382" i="19"/>
  <c r="G382" i="19"/>
  <c r="D382" i="19"/>
  <c r="C382" i="19"/>
  <c r="H404" i="19"/>
  <c r="G404" i="19"/>
  <c r="F404" i="19"/>
  <c r="D404" i="19"/>
  <c r="E404" i="19"/>
  <c r="C404" i="19"/>
  <c r="A404" i="19"/>
  <c r="G312" i="19"/>
  <c r="F312" i="19"/>
  <c r="E312" i="19"/>
  <c r="C312" i="19"/>
  <c r="D312" i="19"/>
  <c r="A312" i="19"/>
  <c r="H312" i="19"/>
  <c r="G260" i="19"/>
  <c r="F260" i="19"/>
  <c r="E260" i="19"/>
  <c r="C260" i="19"/>
  <c r="A260" i="19"/>
  <c r="D260" i="19"/>
  <c r="H260" i="19"/>
  <c r="G211" i="19"/>
  <c r="F211" i="19"/>
  <c r="E211" i="19"/>
  <c r="C211" i="19"/>
  <c r="D211" i="19"/>
  <c r="H211" i="19"/>
  <c r="A211" i="19"/>
  <c r="G197" i="19"/>
  <c r="E197" i="19"/>
  <c r="C197" i="19"/>
  <c r="A197" i="19"/>
  <c r="H197" i="19"/>
  <c r="D197" i="19"/>
  <c r="F197" i="19"/>
  <c r="G102" i="19"/>
  <c r="H102" i="19"/>
  <c r="F102" i="19"/>
  <c r="E102" i="19"/>
  <c r="D102" i="19"/>
  <c r="C102" i="19"/>
  <c r="A102" i="19"/>
  <c r="A448" i="19"/>
  <c r="H448" i="19"/>
  <c r="G448" i="19"/>
  <c r="F448" i="19"/>
  <c r="E448" i="19"/>
  <c r="D448" i="19"/>
  <c r="C448" i="19"/>
  <c r="H399" i="19"/>
  <c r="G399" i="19"/>
  <c r="F399" i="19"/>
  <c r="A399" i="19"/>
  <c r="E399" i="19"/>
  <c r="D399" i="19"/>
  <c r="C399" i="19"/>
  <c r="G301" i="19"/>
  <c r="F301" i="19"/>
  <c r="E301" i="19"/>
  <c r="C301" i="19"/>
  <c r="D301" i="19"/>
  <c r="H301" i="19"/>
  <c r="A301" i="19"/>
  <c r="G281" i="19"/>
  <c r="F281" i="19"/>
  <c r="E281" i="19"/>
  <c r="C281" i="19"/>
  <c r="D281" i="19"/>
  <c r="H281" i="19"/>
  <c r="A281" i="19"/>
  <c r="G206" i="19"/>
  <c r="F206" i="19"/>
  <c r="E206" i="19"/>
  <c r="C206" i="19"/>
  <c r="A206" i="19"/>
  <c r="H206" i="19"/>
  <c r="D206" i="19"/>
  <c r="G189" i="19"/>
  <c r="C189" i="19"/>
  <c r="A189" i="19"/>
  <c r="H189" i="19"/>
  <c r="D189" i="19"/>
  <c r="F189" i="19"/>
  <c r="E189" i="19"/>
  <c r="G111" i="19"/>
  <c r="H111" i="19"/>
  <c r="F111" i="19"/>
  <c r="E111" i="19"/>
  <c r="D111" i="19"/>
  <c r="A111" i="19"/>
  <c r="C111" i="19"/>
  <c r="G175" i="19"/>
  <c r="H175" i="19"/>
  <c r="F175" i="19"/>
  <c r="E175" i="19"/>
  <c r="D175" i="19"/>
  <c r="A175" i="19"/>
  <c r="C175" i="19"/>
  <c r="G132" i="19"/>
  <c r="E132" i="19"/>
  <c r="D132" i="19"/>
  <c r="C132" i="19"/>
  <c r="A132" i="19"/>
  <c r="F132" i="19"/>
  <c r="H132" i="19"/>
  <c r="G83" i="19"/>
  <c r="D83" i="19"/>
  <c r="C83" i="19"/>
  <c r="A83" i="19"/>
  <c r="F83" i="19"/>
  <c r="E83" i="19"/>
  <c r="H83" i="19"/>
  <c r="H409" i="19"/>
  <c r="G409" i="19"/>
  <c r="F409" i="19"/>
  <c r="E409" i="19"/>
  <c r="C409" i="19"/>
  <c r="D409" i="19"/>
  <c r="A409" i="19"/>
  <c r="G256" i="19"/>
  <c r="F256" i="19"/>
  <c r="E256" i="19"/>
  <c r="C256" i="19"/>
  <c r="A256" i="19"/>
  <c r="H256" i="19"/>
  <c r="D256" i="19"/>
  <c r="G322" i="19"/>
  <c r="F322" i="19"/>
  <c r="E322" i="19"/>
  <c r="C322" i="19"/>
  <c r="D322" i="19"/>
  <c r="A322" i="19"/>
  <c r="H322" i="19"/>
  <c r="G269" i="19"/>
  <c r="F269" i="19"/>
  <c r="E269" i="19"/>
  <c r="C269" i="19"/>
  <c r="D269" i="19"/>
  <c r="A269" i="19"/>
  <c r="H269" i="19"/>
  <c r="G208" i="19"/>
  <c r="F208" i="19"/>
  <c r="E208" i="19"/>
  <c r="C208" i="19"/>
  <c r="A208" i="19"/>
  <c r="H208" i="19"/>
  <c r="D208" i="19"/>
  <c r="G125" i="19"/>
  <c r="F125" i="19"/>
  <c r="E125" i="19"/>
  <c r="D125" i="19"/>
  <c r="C125" i="19"/>
  <c r="H125" i="19"/>
  <c r="A125" i="19"/>
  <c r="G58" i="19"/>
  <c r="C58" i="19"/>
  <c r="A58" i="19"/>
  <c r="H58" i="19"/>
  <c r="F58" i="19"/>
  <c r="E58" i="19"/>
  <c r="D58" i="19"/>
  <c r="G15" i="19"/>
  <c r="F15" i="19"/>
  <c r="E15" i="19"/>
  <c r="D15" i="19"/>
  <c r="C15" i="19"/>
  <c r="A15" i="19"/>
  <c r="H15" i="19"/>
  <c r="BQ112" i="1"/>
  <c r="BE100" i="1"/>
  <c r="AK94" i="1"/>
  <c r="AS84" i="1"/>
  <c r="BO78" i="1"/>
  <c r="AQ76" i="1"/>
  <c r="H418" i="19"/>
  <c r="G418" i="19"/>
  <c r="F418" i="19"/>
  <c r="A418" i="19"/>
  <c r="E418" i="19"/>
  <c r="D418" i="19"/>
  <c r="C418" i="19"/>
  <c r="A22" i="11"/>
  <c r="H390" i="19"/>
  <c r="G390" i="19"/>
  <c r="F390" i="19"/>
  <c r="E390" i="19"/>
  <c r="D390" i="19"/>
  <c r="C390" i="19"/>
  <c r="A390" i="19"/>
  <c r="G365" i="19"/>
  <c r="F365" i="19"/>
  <c r="E365" i="19"/>
  <c r="C365" i="19"/>
  <c r="D365" i="19"/>
  <c r="H365" i="19"/>
  <c r="A365" i="19"/>
  <c r="G311" i="19"/>
  <c r="F311" i="19"/>
  <c r="E311" i="19"/>
  <c r="C311" i="19"/>
  <c r="D311" i="19"/>
  <c r="A311" i="19"/>
  <c r="H311" i="19"/>
  <c r="G150" i="19"/>
  <c r="H150" i="19"/>
  <c r="F150" i="19"/>
  <c r="E150" i="19"/>
  <c r="D150" i="19"/>
  <c r="C150" i="19"/>
  <c r="A150" i="19"/>
  <c r="G76" i="19"/>
  <c r="E76" i="19"/>
  <c r="D76" i="19"/>
  <c r="C76" i="19"/>
  <c r="A76" i="19"/>
  <c r="H76" i="19"/>
  <c r="F76" i="19"/>
  <c r="BK110" i="1"/>
  <c r="G336" i="19"/>
  <c r="F336" i="19"/>
  <c r="E336" i="19"/>
  <c r="C336" i="19"/>
  <c r="D336" i="19"/>
  <c r="A336" i="19"/>
  <c r="H336" i="19"/>
  <c r="G321" i="19"/>
  <c r="F321" i="19"/>
  <c r="E321" i="19"/>
  <c r="C321" i="19"/>
  <c r="D321" i="19"/>
  <c r="H321" i="19"/>
  <c r="A321" i="19"/>
  <c r="G251" i="19"/>
  <c r="F251" i="19"/>
  <c r="E251" i="19"/>
  <c r="C251" i="19"/>
  <c r="D251" i="19"/>
  <c r="H251" i="19"/>
  <c r="A251" i="19"/>
  <c r="BP81" i="1"/>
  <c r="R76" i="1"/>
  <c r="T76" i="1"/>
  <c r="S76" i="1"/>
  <c r="BB70" i="1"/>
  <c r="AM68" i="1"/>
  <c r="AO58" i="1"/>
  <c r="G366" i="19"/>
  <c r="F366" i="19"/>
  <c r="E366" i="19"/>
  <c r="C366" i="19"/>
  <c r="D366" i="19"/>
  <c r="A366" i="19"/>
  <c r="H366" i="19"/>
  <c r="G133" i="19"/>
  <c r="F133" i="19"/>
  <c r="E133" i="19"/>
  <c r="D133" i="19"/>
  <c r="C133" i="19"/>
  <c r="H133" i="19"/>
  <c r="A133" i="19"/>
  <c r="G71" i="19"/>
  <c r="H71" i="19"/>
  <c r="F71" i="19"/>
  <c r="E71" i="19"/>
  <c r="D71" i="19"/>
  <c r="C71" i="19"/>
  <c r="A71" i="19"/>
  <c r="BO86" i="1"/>
  <c r="AP86" i="1"/>
  <c r="AQ85" i="1"/>
  <c r="BX78" i="1"/>
  <c r="BX46" i="1"/>
  <c r="BY44" i="1"/>
  <c r="BN37" i="1"/>
  <c r="BO27" i="1"/>
  <c r="H398" i="19"/>
  <c r="G398" i="19"/>
  <c r="F398" i="19"/>
  <c r="E398" i="19"/>
  <c r="D398" i="19"/>
  <c r="C398" i="19"/>
  <c r="A398" i="19"/>
  <c r="G340" i="19"/>
  <c r="F340" i="19"/>
  <c r="E340" i="19"/>
  <c r="C340" i="19"/>
  <c r="D340" i="19"/>
  <c r="A340" i="19"/>
  <c r="H340" i="19"/>
  <c r="G222" i="19"/>
  <c r="F222" i="19"/>
  <c r="E222" i="19"/>
  <c r="C222" i="19"/>
  <c r="A222" i="19"/>
  <c r="H222" i="19"/>
  <c r="D222" i="19"/>
  <c r="G38" i="19"/>
  <c r="H38" i="19"/>
  <c r="F38" i="19"/>
  <c r="E38" i="19"/>
  <c r="D38" i="19"/>
  <c r="C38" i="19"/>
  <c r="A38" i="19"/>
  <c r="K111" i="1"/>
  <c r="J111" i="1"/>
  <c r="U109" i="1" s="1"/>
  <c r="BQ104" i="1"/>
  <c r="BQ97" i="1"/>
  <c r="BN67" i="1"/>
  <c r="BA67" i="1"/>
  <c r="BP49" i="1"/>
  <c r="AS46" i="1"/>
  <c r="BX44" i="1"/>
  <c r="BO15" i="1"/>
  <c r="G200" i="19"/>
  <c r="E200" i="19"/>
  <c r="A200" i="19"/>
  <c r="D200" i="19"/>
  <c r="C200" i="19"/>
  <c r="H200" i="19"/>
  <c r="F200" i="19"/>
  <c r="BA108" i="1"/>
  <c r="A1206" i="15"/>
  <c r="G75" i="19"/>
  <c r="D75" i="19"/>
  <c r="C75" i="19"/>
  <c r="A75" i="19"/>
  <c r="H75" i="19"/>
  <c r="E75" i="19"/>
  <c r="F75" i="19"/>
  <c r="CD99" i="1"/>
  <c r="CA99" i="1"/>
  <c r="AM87" i="1"/>
  <c r="BE75" i="1"/>
  <c r="AQ56" i="1"/>
  <c r="S44" i="1"/>
  <c r="R44" i="1"/>
  <c r="T44" i="1"/>
  <c r="BI111" i="1"/>
  <c r="H386" i="19"/>
  <c r="G386" i="19"/>
  <c r="F386" i="19"/>
  <c r="A386" i="19"/>
  <c r="E386" i="19"/>
  <c r="D386" i="19"/>
  <c r="C386" i="19"/>
  <c r="G231" i="19"/>
  <c r="F231" i="19"/>
  <c r="E231" i="19"/>
  <c r="C231" i="19"/>
  <c r="D231" i="19"/>
  <c r="A231" i="19"/>
  <c r="H231" i="19"/>
  <c r="A866" i="15"/>
  <c r="G144" i="19"/>
  <c r="A144" i="19"/>
  <c r="H144" i="19"/>
  <c r="F144" i="19"/>
  <c r="E144" i="19"/>
  <c r="D144" i="19"/>
  <c r="C144" i="19"/>
  <c r="BV102" i="1"/>
  <c r="AL87" i="1"/>
  <c r="BA87" i="1"/>
  <c r="BV73" i="1"/>
  <c r="J72" i="1"/>
  <c r="K72" i="1"/>
  <c r="BE63" i="1"/>
  <c r="BD24" i="1"/>
  <c r="BZ24" i="1"/>
  <c r="BJ15" i="1"/>
  <c r="AW85" i="1"/>
  <c r="AT83" i="1"/>
  <c r="BF79" i="1"/>
  <c r="AR79" i="1"/>
  <c r="G310" i="19"/>
  <c r="F310" i="19"/>
  <c r="E310" i="19"/>
  <c r="C310" i="19"/>
  <c r="D310" i="19"/>
  <c r="A310" i="19"/>
  <c r="H310" i="19"/>
  <c r="G216" i="19"/>
  <c r="F216" i="19"/>
  <c r="E216" i="19"/>
  <c r="C216" i="19"/>
  <c r="A216" i="19"/>
  <c r="H216" i="19"/>
  <c r="D216" i="19"/>
  <c r="G146" i="19"/>
  <c r="C146" i="19"/>
  <c r="A146" i="19"/>
  <c r="H146" i="19"/>
  <c r="F146" i="19"/>
  <c r="E146" i="19"/>
  <c r="D146" i="19"/>
  <c r="G67" i="19"/>
  <c r="D67" i="19"/>
  <c r="C67" i="19"/>
  <c r="A67" i="19"/>
  <c r="H67" i="19"/>
  <c r="F67" i="19"/>
  <c r="E67" i="19"/>
  <c r="H388" i="19"/>
  <c r="G388" i="19"/>
  <c r="F388" i="19"/>
  <c r="D388" i="19"/>
  <c r="E388" i="19"/>
  <c r="C388" i="19"/>
  <c r="A388" i="19"/>
  <c r="S90" i="1"/>
  <c r="T90" i="1"/>
  <c r="R90" i="1"/>
  <c r="BO69" i="1"/>
  <c r="T66" i="1"/>
  <c r="R66" i="1"/>
  <c r="S66" i="1"/>
  <c r="BA43" i="1"/>
  <c r="BW37" i="1"/>
  <c r="BK37" i="1"/>
  <c r="AY37" i="1"/>
  <c r="AM37" i="1"/>
  <c r="BN31" i="1"/>
  <c r="AR28" i="1"/>
  <c r="CB28" i="1"/>
  <c r="BP28" i="1"/>
  <c r="AR19" i="1"/>
  <c r="CB19" i="1"/>
  <c r="BP19" i="1"/>
  <c r="BD19" i="1"/>
  <c r="BM14" i="1"/>
  <c r="CC64" i="1"/>
  <c r="BE64" i="1"/>
  <c r="AM60" i="1"/>
  <c r="CA48" i="1"/>
  <c r="BW48" i="1"/>
  <c r="CB30" i="1"/>
  <c r="CA30" i="1"/>
  <c r="BD51" i="1"/>
  <c r="A438" i="19"/>
  <c r="H438" i="19"/>
  <c r="G438" i="19"/>
  <c r="F438" i="19"/>
  <c r="E438" i="19"/>
  <c r="D438" i="19"/>
  <c r="C438" i="19"/>
  <c r="V80" i="1"/>
  <c r="W80" i="1" s="1"/>
  <c r="CA58" i="1"/>
  <c r="BC58" i="1"/>
  <c r="AQ58" i="1"/>
  <c r="CC22" i="1"/>
  <c r="AK22" i="1"/>
  <c r="T34" i="1"/>
  <c r="S34" i="1"/>
  <c r="R34" i="1"/>
  <c r="BO104" i="1"/>
  <c r="BX66" i="1"/>
  <c r="V42" i="1"/>
  <c r="W42" i="1" s="1"/>
  <c r="BQ34" i="1"/>
  <c r="BE34" i="1"/>
  <c r="AS34" i="1"/>
  <c r="CC34" i="1"/>
  <c r="BZ31" i="1"/>
  <c r="BL19" i="1"/>
  <c r="AZ19" i="1"/>
  <c r="AR14" i="1"/>
  <c r="D1713" i="15"/>
  <c r="T13" i="12"/>
  <c r="D1716" i="15"/>
  <c r="T16" i="12"/>
  <c r="D1722" i="15"/>
  <c r="T22" i="12"/>
  <c r="T26" i="1"/>
  <c r="S26" i="1"/>
  <c r="R26" i="1"/>
  <c r="AY21" i="1"/>
  <c r="AZ21" i="1"/>
  <c r="BL18" i="1"/>
  <c r="AZ18" i="1"/>
  <c r="AN18" i="1"/>
  <c r="AM39" i="1"/>
  <c r="BZ101" i="1"/>
  <c r="AP101" i="1"/>
  <c r="BK89" i="1"/>
  <c r="AQ59" i="1"/>
  <c r="BQ45" i="1"/>
  <c r="BX29" i="1"/>
  <c r="AO75" i="1"/>
  <c r="BM75" i="1"/>
  <c r="AS85" i="1"/>
  <c r="BP94" i="1"/>
  <c r="AR94" i="1"/>
  <c r="BI109" i="1"/>
  <c r="AK109" i="1"/>
  <c r="BB19" i="1"/>
  <c r="AP19" i="1"/>
  <c r="BZ19" i="1"/>
  <c r="AR27" i="1"/>
  <c r="CB27" i="1"/>
  <c r="BP27" i="1"/>
  <c r="AT34" i="1"/>
  <c r="BR34" i="1"/>
  <c r="CD34" i="1"/>
  <c r="AL42" i="1"/>
  <c r="BJ42" i="1"/>
  <c r="BV42" i="1"/>
  <c r="BV49" i="1"/>
  <c r="BJ49" i="1"/>
  <c r="AX49" i="1"/>
  <c r="AM57" i="1"/>
  <c r="BF73" i="1"/>
  <c r="CD73" i="1"/>
  <c r="BY86" i="1"/>
  <c r="AO86" i="1"/>
  <c r="BV97" i="1"/>
  <c r="BQ107" i="1"/>
  <c r="CC107" i="1"/>
  <c r="BJ81" i="1"/>
  <c r="BV81" i="1"/>
  <c r="AL81" i="1"/>
  <c r="AX81" i="1"/>
  <c r="BN14" i="1"/>
  <c r="BR27" i="1"/>
  <c r="BF27" i="1"/>
  <c r="CD27" i="1"/>
  <c r="BV35" i="1"/>
  <c r="AX35" i="1"/>
  <c r="BJ35" i="1"/>
  <c r="AN42" i="1"/>
  <c r="AZ42" i="1"/>
  <c r="BL42" i="1"/>
  <c r="BP48" i="1"/>
  <c r="BL68" i="1"/>
  <c r="AN68" i="1"/>
  <c r="BP103" i="1"/>
  <c r="BD103" i="1"/>
  <c r="BX77" i="1"/>
  <c r="AZ77" i="1"/>
  <c r="BX95" i="1"/>
  <c r="AN95" i="1"/>
  <c r="BA113" i="1"/>
  <c r="BU19" i="1"/>
  <c r="BI19" i="1"/>
  <c r="AK19" i="1"/>
  <c r="BE29" i="1"/>
  <c r="AS29" i="1"/>
  <c r="BI37" i="1"/>
  <c r="AK37" i="1"/>
  <c r="AW37" i="1"/>
  <c r="BJ50" i="1"/>
  <c r="AL50" i="1"/>
  <c r="BV50" i="1"/>
  <c r="BU60" i="1"/>
  <c r="BI71" i="1"/>
  <c r="AO83" i="1"/>
  <c r="BM83" i="1"/>
  <c r="AL99" i="1"/>
  <c r="AR112" i="1"/>
  <c r="CB112" i="1"/>
  <c r="BP112" i="1"/>
  <c r="AR21" i="1"/>
  <c r="BD21" i="1"/>
  <c r="AK20" i="1"/>
  <c r="AY27" i="1"/>
  <c r="BK27" i="1"/>
  <c r="AM27" i="1"/>
  <c r="BD33" i="1"/>
  <c r="AW48" i="1"/>
  <c r="CB56" i="1"/>
  <c r="BP56" i="1"/>
  <c r="BE76" i="1"/>
  <c r="AS76" i="1"/>
  <c r="CC76" i="1"/>
  <c r="AK91" i="1"/>
  <c r="BI91" i="1"/>
  <c r="BE111" i="1"/>
  <c r="AQ102" i="1"/>
  <c r="BM95" i="1"/>
  <c r="AR110" i="1"/>
  <c r="CD24" i="1"/>
  <c r="AM31" i="1"/>
  <c r="BM37" i="1"/>
  <c r="BA37" i="1"/>
  <c r="AO37" i="1"/>
  <c r="BY37" i="1"/>
  <c r="BC43" i="1"/>
  <c r="AQ43" i="1"/>
  <c r="BE49" i="1"/>
  <c r="BQ49" i="1"/>
  <c r="AS49" i="1"/>
  <c r="AT56" i="1"/>
  <c r="BF56" i="1"/>
  <c r="BR56" i="1"/>
  <c r="AM63" i="1"/>
  <c r="AO69" i="1"/>
  <c r="AQ75" i="1"/>
  <c r="BO75" i="1"/>
  <c r="BC75" i="1"/>
  <c r="BP83" i="1"/>
  <c r="CB83" i="1"/>
  <c r="AT90" i="1"/>
  <c r="CD90" i="1"/>
  <c r="BR90" i="1"/>
  <c r="AL98" i="1"/>
  <c r="BV98" i="1"/>
  <c r="BJ98" i="1"/>
  <c r="BC112" i="1"/>
  <c r="BO112" i="1"/>
  <c r="CA112" i="1"/>
  <c r="AS67" i="1"/>
  <c r="CC67" i="1"/>
  <c r="BQ67" i="1"/>
  <c r="AT74" i="1"/>
  <c r="CD74" i="1"/>
  <c r="BR74" i="1"/>
  <c r="AO81" i="1"/>
  <c r="BA81" i="1"/>
  <c r="BD95" i="1"/>
  <c r="BU102" i="1"/>
  <c r="BJ109" i="1"/>
  <c r="AX109" i="1"/>
  <c r="BO63" i="1"/>
  <c r="AT76" i="1"/>
  <c r="BR76" i="1"/>
  <c r="AY83" i="1"/>
  <c r="CB89" i="1"/>
  <c r="AK104" i="1"/>
  <c r="BK112" i="1"/>
  <c r="AM112" i="1"/>
  <c r="BW112" i="1"/>
  <c r="CA83" i="1"/>
  <c r="BR96" i="1"/>
  <c r="AT96" i="1"/>
  <c r="CD96" i="1"/>
  <c r="BK103" i="1"/>
  <c r="AM103" i="1"/>
  <c r="AY103" i="1"/>
  <c r="BM109" i="1"/>
  <c r="AO109" i="1"/>
  <c r="BY109" i="1"/>
  <c r="CB55" i="1"/>
  <c r="AQ44" i="1"/>
  <c r="CA44" i="1"/>
  <c r="BE33" i="1"/>
  <c r="BA33" i="1"/>
  <c r="AP32" i="1"/>
  <c r="BA61" i="1"/>
  <c r="BZ43" i="1"/>
  <c r="BE43" i="1"/>
  <c r="BK31" i="1"/>
  <c r="AY29" i="1"/>
  <c r="AM29" i="1"/>
  <c r="AW17" i="1"/>
  <c r="AP17" i="1"/>
  <c r="AO107" i="1"/>
  <c r="BY107" i="1"/>
  <c r="BA107" i="1"/>
  <c r="BX55" i="1"/>
  <c r="BW41" i="1"/>
  <c r="BE52" i="1"/>
  <c r="AP63" i="1"/>
  <c r="BB63" i="1"/>
  <c r="G101" i="19"/>
  <c r="F101" i="19"/>
  <c r="E101" i="19"/>
  <c r="D101" i="19"/>
  <c r="C101" i="19"/>
  <c r="H101" i="19"/>
  <c r="A101" i="19"/>
  <c r="AQ65" i="1"/>
  <c r="BO65" i="1"/>
  <c r="BR65" i="1"/>
  <c r="CC65" i="1"/>
  <c r="BD59" i="1"/>
  <c r="AN53" i="1"/>
  <c r="AZ53" i="1"/>
  <c r="BO53" i="1"/>
  <c r="AW53" i="1"/>
  <c r="BU53" i="1"/>
  <c r="AZ45" i="1"/>
  <c r="AN45" i="1"/>
  <c r="AL41" i="1"/>
  <c r="BV41" i="1"/>
  <c r="AZ41" i="1"/>
  <c r="CC41" i="1"/>
  <c r="BF33" i="1"/>
  <c r="AT29" i="1"/>
  <c r="AS23" i="1"/>
  <c r="AM23" i="1"/>
  <c r="BX21" i="1"/>
  <c r="D1731" i="15"/>
  <c r="T31" i="12"/>
  <c r="AT105" i="1"/>
  <c r="BQ105" i="1"/>
  <c r="J28" i="1"/>
  <c r="G292" i="19"/>
  <c r="F292" i="19"/>
  <c r="E292" i="19"/>
  <c r="C292" i="19"/>
  <c r="D292" i="19"/>
  <c r="A292" i="19"/>
  <c r="H292" i="19"/>
  <c r="G11" i="19"/>
  <c r="F11" i="19"/>
  <c r="E11" i="19"/>
  <c r="D11" i="19"/>
  <c r="C11" i="19"/>
  <c r="H11" i="19"/>
  <c r="A11" i="19"/>
  <c r="G346" i="19"/>
  <c r="F346" i="19"/>
  <c r="E346" i="19"/>
  <c r="C346" i="19"/>
  <c r="D346" i="19"/>
  <c r="A346" i="19"/>
  <c r="H346" i="19"/>
  <c r="G59" i="19"/>
  <c r="D59" i="19"/>
  <c r="C59" i="19"/>
  <c r="A59" i="19"/>
  <c r="E59" i="19"/>
  <c r="F59" i="19"/>
  <c r="H59" i="19"/>
  <c r="G54" i="19"/>
  <c r="H54" i="19"/>
  <c r="F54" i="19"/>
  <c r="E54" i="19"/>
  <c r="D54" i="19"/>
  <c r="C54" i="19"/>
  <c r="A54" i="19"/>
  <c r="T49" i="1"/>
  <c r="S49" i="1"/>
  <c r="R49" i="1"/>
  <c r="K79" i="1"/>
  <c r="J79" i="1"/>
  <c r="BI110" i="1"/>
  <c r="BB27" i="1"/>
  <c r="AP27" i="1"/>
  <c r="BZ27" i="1"/>
  <c r="BN29" i="1"/>
  <c r="BZ29" i="1"/>
  <c r="BX16" i="1"/>
  <c r="CC78" i="1"/>
  <c r="BQ78" i="1"/>
  <c r="BE78" i="1"/>
  <c r="D1725" i="15"/>
  <c r="T25" i="12"/>
  <c r="H383" i="19"/>
  <c r="F383" i="19"/>
  <c r="C383" i="19"/>
  <c r="A383" i="19"/>
  <c r="D383" i="19"/>
  <c r="G383" i="19"/>
  <c r="E383" i="19"/>
  <c r="BF62" i="1"/>
  <c r="G343" i="19"/>
  <c r="F343" i="19"/>
  <c r="E343" i="19"/>
  <c r="C343" i="19"/>
  <c r="D343" i="19"/>
  <c r="A343" i="19"/>
  <c r="H343" i="19"/>
  <c r="G274" i="19"/>
  <c r="F274" i="19"/>
  <c r="E274" i="19"/>
  <c r="C274" i="19"/>
  <c r="D274" i="19"/>
  <c r="A274" i="19"/>
  <c r="H274" i="19"/>
  <c r="H393" i="19"/>
  <c r="G393" i="19"/>
  <c r="F393" i="19"/>
  <c r="E393" i="19"/>
  <c r="C393" i="19"/>
  <c r="D393" i="19"/>
  <c r="A393" i="19"/>
  <c r="R96" i="1"/>
  <c r="T96" i="1"/>
  <c r="S96" i="1"/>
  <c r="BC51" i="1"/>
  <c r="B457" i="19"/>
  <c r="B1725" i="15"/>
  <c r="AC25" i="12"/>
  <c r="M25" i="12"/>
  <c r="BV31" i="1"/>
  <c r="CD78" i="1"/>
  <c r="BR78" i="1"/>
  <c r="AT78" i="1"/>
  <c r="BV46" i="1"/>
  <c r="BJ46" i="1"/>
  <c r="AX46" i="1"/>
  <c r="J49" i="1"/>
  <c r="G61" i="19"/>
  <c r="F61" i="19"/>
  <c r="E61" i="19"/>
  <c r="D61" i="19"/>
  <c r="C61" i="19"/>
  <c r="H61" i="19"/>
  <c r="A61" i="19"/>
  <c r="G294" i="19"/>
  <c r="F294" i="19"/>
  <c r="E294" i="19"/>
  <c r="C294" i="19"/>
  <c r="D294" i="19"/>
  <c r="A294" i="19"/>
  <c r="H294" i="19"/>
  <c r="G284" i="19"/>
  <c r="F284" i="19"/>
  <c r="E284" i="19"/>
  <c r="C284" i="19"/>
  <c r="D284" i="19"/>
  <c r="A284" i="19"/>
  <c r="H284" i="19"/>
  <c r="A450" i="19"/>
  <c r="H450" i="19"/>
  <c r="G450" i="19"/>
  <c r="F450" i="19"/>
  <c r="E450" i="19"/>
  <c r="D450" i="19"/>
  <c r="C450" i="19"/>
  <c r="H387" i="19"/>
  <c r="G387" i="19"/>
  <c r="F387" i="19"/>
  <c r="E387" i="19"/>
  <c r="D387" i="19"/>
  <c r="C387" i="19"/>
  <c r="A387" i="19"/>
  <c r="G240" i="19"/>
  <c r="F240" i="19"/>
  <c r="E240" i="19"/>
  <c r="C240" i="19"/>
  <c r="A240" i="19"/>
  <c r="H240" i="19"/>
  <c r="D240" i="19"/>
  <c r="G194" i="19"/>
  <c r="H194" i="19"/>
  <c r="E194" i="19"/>
  <c r="F194" i="19"/>
  <c r="D194" i="19"/>
  <c r="C194" i="19"/>
  <c r="A194" i="19"/>
  <c r="A19" i="6"/>
  <c r="G116" i="19"/>
  <c r="E116" i="19"/>
  <c r="D116" i="19"/>
  <c r="C116" i="19"/>
  <c r="A116" i="19"/>
  <c r="H116" i="19"/>
  <c r="F116" i="19"/>
  <c r="G163" i="19"/>
  <c r="D163" i="19"/>
  <c r="C163" i="19"/>
  <c r="A163" i="19"/>
  <c r="H163" i="19"/>
  <c r="F163" i="19"/>
  <c r="E163" i="19"/>
  <c r="H428" i="19"/>
  <c r="G428" i="19"/>
  <c r="F428" i="19"/>
  <c r="D428" i="19"/>
  <c r="E428" i="19"/>
  <c r="A428" i="19"/>
  <c r="C428" i="19"/>
  <c r="H420" i="19"/>
  <c r="G420" i="19"/>
  <c r="F420" i="19"/>
  <c r="D420" i="19"/>
  <c r="E420" i="19"/>
  <c r="C420" i="19"/>
  <c r="A420" i="19"/>
  <c r="H394" i="19"/>
  <c r="G394" i="19"/>
  <c r="F394" i="19"/>
  <c r="A394" i="19"/>
  <c r="E394" i="19"/>
  <c r="D394" i="19"/>
  <c r="C394" i="19"/>
  <c r="G374" i="19"/>
  <c r="F374" i="19"/>
  <c r="E374" i="19"/>
  <c r="C374" i="19"/>
  <c r="D374" i="19"/>
  <c r="A374" i="19"/>
  <c r="H374" i="19"/>
  <c r="G348" i="19"/>
  <c r="F348" i="19"/>
  <c r="E348" i="19"/>
  <c r="C348" i="19"/>
  <c r="D348" i="19"/>
  <c r="A348" i="19"/>
  <c r="H348" i="19"/>
  <c r="G221" i="19"/>
  <c r="F221" i="19"/>
  <c r="E221" i="19"/>
  <c r="C221" i="19"/>
  <c r="D221" i="19"/>
  <c r="H221" i="19"/>
  <c r="A221" i="19"/>
  <c r="G204" i="19"/>
  <c r="F204" i="19"/>
  <c r="E204" i="19"/>
  <c r="C204" i="19"/>
  <c r="A204" i="19"/>
  <c r="H204" i="19"/>
  <c r="D204" i="19"/>
  <c r="A187" i="19"/>
  <c r="G187" i="19"/>
  <c r="F187" i="19"/>
  <c r="E187" i="19"/>
  <c r="D187" i="19"/>
  <c r="C187" i="19"/>
  <c r="H187" i="19"/>
  <c r="G112" i="19"/>
  <c r="A112" i="19"/>
  <c r="H112" i="19"/>
  <c r="F112" i="19"/>
  <c r="E112" i="19"/>
  <c r="D112" i="19"/>
  <c r="C112" i="19"/>
  <c r="G60" i="19"/>
  <c r="E60" i="19"/>
  <c r="D60" i="19"/>
  <c r="C60" i="19"/>
  <c r="A60" i="19"/>
  <c r="H60" i="19"/>
  <c r="F60" i="19"/>
  <c r="G34" i="19"/>
  <c r="C34" i="19"/>
  <c r="A34" i="19"/>
  <c r="H34" i="19"/>
  <c r="F34" i="19"/>
  <c r="E34" i="19"/>
  <c r="D34" i="19"/>
  <c r="G14" i="19"/>
  <c r="F14" i="19"/>
  <c r="E14" i="19"/>
  <c r="D14" i="19"/>
  <c r="C14" i="19"/>
  <c r="H14" i="19"/>
  <c r="A14" i="19"/>
  <c r="A449" i="19"/>
  <c r="H449" i="19"/>
  <c r="G449" i="19"/>
  <c r="F449" i="19"/>
  <c r="E449" i="19"/>
  <c r="D449" i="19"/>
  <c r="C449" i="19"/>
  <c r="H429" i="19"/>
  <c r="G429" i="19"/>
  <c r="F429" i="19"/>
  <c r="C429" i="19"/>
  <c r="A429" i="19"/>
  <c r="E429" i="19"/>
  <c r="D429" i="19"/>
  <c r="G190" i="19"/>
  <c r="C190" i="19"/>
  <c r="A190" i="19"/>
  <c r="F190" i="19"/>
  <c r="E190" i="19"/>
  <c r="D190" i="19"/>
  <c r="H190" i="19"/>
  <c r="A22" i="12"/>
  <c r="H435" i="19"/>
  <c r="G435" i="19"/>
  <c r="F435" i="19"/>
  <c r="E435" i="19"/>
  <c r="D435" i="19"/>
  <c r="C435" i="19"/>
  <c r="A435" i="19"/>
  <c r="G293" i="19"/>
  <c r="F293" i="19"/>
  <c r="E293" i="19"/>
  <c r="C293" i="19"/>
  <c r="D293" i="19"/>
  <c r="H293" i="19"/>
  <c r="A293" i="19"/>
  <c r="G170" i="19"/>
  <c r="C170" i="19"/>
  <c r="A170" i="19"/>
  <c r="H170" i="19"/>
  <c r="F170" i="19"/>
  <c r="E170" i="19"/>
  <c r="D170" i="19"/>
  <c r="G94" i="19"/>
  <c r="H94" i="19"/>
  <c r="F94" i="19"/>
  <c r="E94" i="19"/>
  <c r="D94" i="19"/>
  <c r="C94" i="19"/>
  <c r="A94" i="19"/>
  <c r="BF78" i="1"/>
  <c r="AQ68" i="1"/>
  <c r="AX54" i="1"/>
  <c r="G297" i="19"/>
  <c r="F297" i="19"/>
  <c r="E297" i="19"/>
  <c r="C297" i="19"/>
  <c r="D297" i="19"/>
  <c r="H297" i="19"/>
  <c r="A297" i="19"/>
  <c r="A444" i="19"/>
  <c r="H444" i="19"/>
  <c r="G444" i="19"/>
  <c r="F444" i="19"/>
  <c r="E444" i="19"/>
  <c r="D444" i="19"/>
  <c r="C444" i="19"/>
  <c r="G324" i="19"/>
  <c r="F324" i="19"/>
  <c r="E324" i="19"/>
  <c r="C324" i="19"/>
  <c r="D324" i="19"/>
  <c r="A324" i="19"/>
  <c r="H324" i="19"/>
  <c r="G266" i="19"/>
  <c r="F266" i="19"/>
  <c r="E266" i="19"/>
  <c r="C266" i="19"/>
  <c r="D266" i="19"/>
  <c r="A266" i="19"/>
  <c r="H266" i="19"/>
  <c r="G97" i="19"/>
  <c r="A97" i="19"/>
  <c r="H97" i="19"/>
  <c r="F97" i="19"/>
  <c r="E97" i="19"/>
  <c r="D97" i="19"/>
  <c r="C97" i="19"/>
  <c r="AS100" i="1"/>
  <c r="BX91" i="1"/>
  <c r="A463" i="19"/>
  <c r="H463" i="19"/>
  <c r="G463" i="19"/>
  <c r="F463" i="19"/>
  <c r="E463" i="19"/>
  <c r="D463" i="19"/>
  <c r="C463" i="19"/>
  <c r="H407" i="19"/>
  <c r="G407" i="19"/>
  <c r="F407" i="19"/>
  <c r="A407" i="19"/>
  <c r="E407" i="19"/>
  <c r="D407" i="19"/>
  <c r="C407" i="19"/>
  <c r="G373" i="19"/>
  <c r="F373" i="19"/>
  <c r="E373" i="19"/>
  <c r="C373" i="19"/>
  <c r="D373" i="19"/>
  <c r="H373" i="19"/>
  <c r="A373" i="19"/>
  <c r="G303" i="19"/>
  <c r="F303" i="19"/>
  <c r="E303" i="19"/>
  <c r="C303" i="19"/>
  <c r="D303" i="19"/>
  <c r="H303" i="19"/>
  <c r="A303" i="19"/>
  <c r="G205" i="19"/>
  <c r="F205" i="19"/>
  <c r="E205" i="19"/>
  <c r="C205" i="19"/>
  <c r="D205" i="19"/>
  <c r="H205" i="19"/>
  <c r="A205" i="19"/>
  <c r="AZ113" i="1"/>
  <c r="AZ100" i="1"/>
  <c r="BR93" i="1"/>
  <c r="AQ91" i="1"/>
  <c r="AS70" i="1"/>
  <c r="R68" i="1"/>
  <c r="T68" i="1"/>
  <c r="S68" i="1"/>
  <c r="BF50" i="1"/>
  <c r="G202" i="19"/>
  <c r="E202" i="19"/>
  <c r="F202" i="19"/>
  <c r="C202" i="19"/>
  <c r="A202" i="19"/>
  <c r="D202" i="19"/>
  <c r="H202" i="19"/>
  <c r="G90" i="19"/>
  <c r="C90" i="19"/>
  <c r="A90" i="19"/>
  <c r="H90" i="19"/>
  <c r="F90" i="19"/>
  <c r="E90" i="19"/>
  <c r="D90" i="19"/>
  <c r="BQ108" i="1"/>
  <c r="BM99" i="1"/>
  <c r="BE88" i="1"/>
  <c r="BI88" i="1"/>
  <c r="AZ86" i="1"/>
  <c r="K86" i="1"/>
  <c r="J86" i="1"/>
  <c r="K85" i="1"/>
  <c r="J85" i="1"/>
  <c r="BV77" i="1"/>
  <c r="CC77" i="1"/>
  <c r="K75" i="1"/>
  <c r="J75" i="1"/>
  <c r="V81" i="1" s="1"/>
  <c r="W81" i="1" s="1"/>
  <c r="K38" i="1"/>
  <c r="J38" i="1"/>
  <c r="U42" i="1" s="1"/>
  <c r="BD37" i="1"/>
  <c r="R28" i="1"/>
  <c r="T28" i="1"/>
  <c r="S28" i="1"/>
  <c r="BC19" i="1"/>
  <c r="AN24" i="1"/>
  <c r="G271" i="19"/>
  <c r="F271" i="19"/>
  <c r="E271" i="19"/>
  <c r="C271" i="19"/>
  <c r="D271" i="19"/>
  <c r="H271" i="19"/>
  <c r="A271" i="19"/>
  <c r="G166" i="19"/>
  <c r="H166" i="19"/>
  <c r="F166" i="19"/>
  <c r="E166" i="19"/>
  <c r="D166" i="19"/>
  <c r="C166" i="19"/>
  <c r="A166" i="19"/>
  <c r="AM104" i="1"/>
  <c r="CB104" i="1"/>
  <c r="AS104" i="1"/>
  <c r="BV75" i="1"/>
  <c r="BN72" i="1"/>
  <c r="K71" i="1"/>
  <c r="J71" i="1"/>
  <c r="U66" i="1" s="1"/>
  <c r="BW67" i="1"/>
  <c r="J45" i="1"/>
  <c r="V47" i="1" s="1"/>
  <c r="W47" i="1" s="1"/>
  <c r="K45" i="1"/>
  <c r="BQ25" i="1"/>
  <c r="AW108" i="1"/>
  <c r="BU85" i="1"/>
  <c r="A27" i="9"/>
  <c r="A1217" i="15" s="1"/>
  <c r="G254" i="19"/>
  <c r="F254" i="19"/>
  <c r="E254" i="19"/>
  <c r="C254" i="19"/>
  <c r="A254" i="19"/>
  <c r="H254" i="19"/>
  <c r="D254" i="19"/>
  <c r="G161" i="19"/>
  <c r="A161" i="19"/>
  <c r="H161" i="19"/>
  <c r="F161" i="19"/>
  <c r="E161" i="19"/>
  <c r="D161" i="19"/>
  <c r="C161" i="19"/>
  <c r="G104" i="19"/>
  <c r="A104" i="19"/>
  <c r="H104" i="19"/>
  <c r="F104" i="19"/>
  <c r="E104" i="19"/>
  <c r="D104" i="19"/>
  <c r="C104" i="19"/>
  <c r="G16" i="19"/>
  <c r="F16" i="19"/>
  <c r="E16" i="19"/>
  <c r="D16" i="19"/>
  <c r="C16" i="19"/>
  <c r="H16" i="19"/>
  <c r="A16" i="19"/>
  <c r="AQ99" i="1"/>
  <c r="AT99" i="1"/>
  <c r="K87" i="1"/>
  <c r="J87" i="1"/>
  <c r="AN79" i="1"/>
  <c r="BN75" i="1"/>
  <c r="K73" i="1"/>
  <c r="J73" i="1"/>
  <c r="BX63" i="1"/>
  <c r="AZ56" i="1"/>
  <c r="BZ25" i="1"/>
  <c r="G360" i="19"/>
  <c r="F360" i="19"/>
  <c r="E360" i="19"/>
  <c r="C360" i="19"/>
  <c r="D360" i="19"/>
  <c r="A360" i="19"/>
  <c r="H360" i="19"/>
  <c r="BN92" i="1"/>
  <c r="G72" i="19"/>
  <c r="A72" i="19"/>
  <c r="H72" i="19"/>
  <c r="F72" i="19"/>
  <c r="E72" i="19"/>
  <c r="C72" i="19"/>
  <c r="D72" i="19"/>
  <c r="BX97" i="1"/>
  <c r="AZ97" i="1"/>
  <c r="BJ87" i="1"/>
  <c r="BW15" i="1"/>
  <c r="CD83" i="1"/>
  <c r="BA79" i="1"/>
  <c r="G35" i="19"/>
  <c r="D35" i="19"/>
  <c r="C35" i="19"/>
  <c r="A35" i="19"/>
  <c r="H35" i="19"/>
  <c r="E35" i="19"/>
  <c r="F35" i="19"/>
  <c r="U90" i="1"/>
  <c r="V90" i="1"/>
  <c r="W90" i="1" s="1"/>
  <c r="BA60" i="1"/>
  <c r="AN36" i="1"/>
  <c r="AZ36" i="1"/>
  <c r="CB16" i="1"/>
  <c r="BV63" i="1"/>
  <c r="BY60" i="1"/>
  <c r="BI42" i="1"/>
  <c r="AW42" i="1"/>
  <c r="BU42" i="1"/>
  <c r="AK42" i="1"/>
  <c r="BK40" i="1"/>
  <c r="BZ26" i="1"/>
  <c r="BN26" i="1"/>
  <c r="AP26" i="1"/>
  <c r="BB26" i="1"/>
  <c r="BP51" i="1"/>
  <c r="A27" i="4"/>
  <c r="A367" i="15" s="1"/>
  <c r="G52" i="19"/>
  <c r="E52" i="19"/>
  <c r="D52" i="19"/>
  <c r="C52" i="19"/>
  <c r="A52" i="19"/>
  <c r="H52" i="19"/>
  <c r="F52" i="19"/>
  <c r="AM91" i="1"/>
  <c r="AY91" i="1"/>
  <c r="CA64" i="1"/>
  <c r="AS64" i="1"/>
  <c r="AP59" i="1"/>
  <c r="BB59" i="1"/>
  <c r="CB47" i="1"/>
  <c r="BD47" i="1"/>
  <c r="BP47" i="1"/>
  <c r="BL31" i="1"/>
  <c r="AZ28" i="1"/>
  <c r="BX28" i="1"/>
  <c r="AN28" i="1"/>
  <c r="BN18" i="1"/>
  <c r="BB18" i="1"/>
  <c r="AP18" i="1"/>
  <c r="BZ18" i="1"/>
  <c r="BU14" i="1"/>
  <c r="AW14" i="1"/>
  <c r="B459" i="19"/>
  <c r="B1731" i="15"/>
  <c r="AC31" i="12"/>
  <c r="M31" i="12"/>
  <c r="BE23" i="1"/>
  <c r="BA94" i="1"/>
  <c r="BY94" i="1"/>
  <c r="BM94" i="1"/>
  <c r="CC39" i="1"/>
  <c r="AQ39" i="1"/>
  <c r="BW54" i="1"/>
  <c r="AY54" i="1"/>
  <c r="AM54" i="1"/>
  <c r="AZ51" i="1"/>
  <c r="BP44" i="1"/>
  <c r="AR44" i="1"/>
  <c r="CB44" i="1"/>
  <c r="BN41" i="1"/>
  <c r="CD35" i="1"/>
  <c r="BR35" i="1"/>
  <c r="T29" i="1"/>
  <c r="S29" i="1"/>
  <c r="R29" i="1"/>
  <c r="BU76" i="1"/>
  <c r="AK76" i="1"/>
  <c r="AW76" i="1"/>
  <c r="AY86" i="1"/>
  <c r="BW86" i="1"/>
  <c r="AM86" i="1"/>
  <c r="BD96" i="1"/>
  <c r="AP110" i="1"/>
  <c r="BZ110" i="1"/>
  <c r="AQ28" i="1"/>
  <c r="CA28" i="1"/>
  <c r="BO28" i="1"/>
  <c r="BC28" i="1"/>
  <c r="BQ35" i="1"/>
  <c r="CC35" i="1"/>
  <c r="BU43" i="1"/>
  <c r="BI43" i="1"/>
  <c r="AS50" i="1"/>
  <c r="CC50" i="1"/>
  <c r="BQ50" i="1"/>
  <c r="BE50" i="1"/>
  <c r="CD58" i="1"/>
  <c r="AT58" i="1"/>
  <c r="BR58" i="1"/>
  <c r="BY66" i="1"/>
  <c r="BA66" i="1"/>
  <c r="BM66" i="1"/>
  <c r="BB74" i="1"/>
  <c r="BZ74" i="1"/>
  <c r="AP74" i="1"/>
  <c r="BN74" i="1"/>
  <c r="CA88" i="1"/>
  <c r="BC88" i="1"/>
  <c r="BC98" i="1"/>
  <c r="CA98" i="1"/>
  <c r="AQ98" i="1"/>
  <c r="AY109" i="1"/>
  <c r="BW109" i="1"/>
  <c r="AX83" i="1"/>
  <c r="CC28" i="1"/>
  <c r="BQ28" i="1"/>
  <c r="BE28" i="1"/>
  <c r="BU36" i="1"/>
  <c r="BI36" i="1"/>
  <c r="AW36" i="1"/>
  <c r="AZ49" i="1"/>
  <c r="AN49" i="1"/>
  <c r="BX69" i="1"/>
  <c r="CC80" i="1"/>
  <c r="AS80" i="1"/>
  <c r="BE80" i="1"/>
  <c r="CA90" i="1"/>
  <c r="AQ90" i="1"/>
  <c r="BC90" i="1"/>
  <c r="BP80" i="1"/>
  <c r="CB80" i="1"/>
  <c r="AR80" i="1"/>
  <c r="BW97" i="1"/>
  <c r="AO15" i="1"/>
  <c r="BD22" i="1"/>
  <c r="BR37" i="1"/>
  <c r="CD37" i="1"/>
  <c r="BF37" i="1"/>
  <c r="AY44" i="1"/>
  <c r="BK44" i="1"/>
  <c r="AW72" i="1"/>
  <c r="BF84" i="1"/>
  <c r="AT84" i="1"/>
  <c r="BR84" i="1"/>
  <c r="CA100" i="1"/>
  <c r="BC100" i="1"/>
  <c r="AK18" i="1"/>
  <c r="BI18" i="1"/>
  <c r="AW18" i="1"/>
  <c r="BU18" i="1"/>
  <c r="BC23" i="1"/>
  <c r="BO23" i="1"/>
  <c r="AQ23" i="1"/>
  <c r="BJ28" i="1"/>
  <c r="AX28" i="1"/>
  <c r="AL28" i="1"/>
  <c r="BY34" i="1"/>
  <c r="BA34" i="1"/>
  <c r="BM34" i="1"/>
  <c r="AT41" i="1"/>
  <c r="CA49" i="1"/>
  <c r="BO49" i="1"/>
  <c r="CB57" i="1"/>
  <c r="BV65" i="1"/>
  <c r="CD77" i="1"/>
  <c r="BR77" i="1"/>
  <c r="BF77" i="1"/>
  <c r="BE92" i="1"/>
  <c r="BD91" i="1"/>
  <c r="CB91" i="1"/>
  <c r="AR91" i="1"/>
  <c r="AP103" i="1"/>
  <c r="BZ103" i="1"/>
  <c r="BB103" i="1"/>
  <c r="BN103" i="1"/>
  <c r="BX96" i="1"/>
  <c r="AN96" i="1"/>
  <c r="BB112" i="1"/>
  <c r="AP112" i="1"/>
  <c r="BD18" i="1"/>
  <c r="AR18" i="1"/>
  <c r="CB18" i="1"/>
  <c r="BP18" i="1"/>
  <c r="BU25" i="1"/>
  <c r="BL38" i="1"/>
  <c r="AN38" i="1"/>
  <c r="BX38" i="1"/>
  <c r="AZ38" i="1"/>
  <c r="BZ44" i="1"/>
  <c r="AP44" i="1"/>
  <c r="CB50" i="1"/>
  <c r="BP50" i="1"/>
  <c r="BD50" i="1"/>
  <c r="AR50" i="1"/>
  <c r="BI57" i="1"/>
  <c r="AK57" i="1"/>
  <c r="AW57" i="1"/>
  <c r="AZ70" i="1"/>
  <c r="AN70" i="1"/>
  <c r="BL70" i="1"/>
  <c r="BB76" i="1"/>
  <c r="AP76" i="1"/>
  <c r="BN76" i="1"/>
  <c r="AQ84" i="1"/>
  <c r="BC84" i="1"/>
  <c r="BO84" i="1"/>
  <c r="CC91" i="1"/>
  <c r="BQ91" i="1"/>
  <c r="AM106" i="1"/>
  <c r="BW106" i="1"/>
  <c r="AY106" i="1"/>
  <c r="BK106" i="1"/>
  <c r="CA113" i="1"/>
  <c r="BC113" i="1"/>
  <c r="BO113" i="1"/>
  <c r="AQ113" i="1"/>
  <c r="AR68" i="1"/>
  <c r="BP68" i="1"/>
  <c r="CB68" i="1"/>
  <c r="AL82" i="1"/>
  <c r="BJ82" i="1"/>
  <c r="BV82" i="1"/>
  <c r="BC96" i="1"/>
  <c r="CD102" i="1"/>
  <c r="BF102" i="1"/>
  <c r="BJ110" i="1"/>
  <c r="BV110" i="1"/>
  <c r="AL110" i="1"/>
  <c r="AX110" i="1"/>
  <c r="BJ52" i="1"/>
  <c r="BL58" i="1"/>
  <c r="AZ58" i="1"/>
  <c r="AN58" i="1"/>
  <c r="BD70" i="1"/>
  <c r="BP70" i="1"/>
  <c r="AR70" i="1"/>
  <c r="AK77" i="1"/>
  <c r="BJ84" i="1"/>
  <c r="AL84" i="1"/>
  <c r="BY90" i="1"/>
  <c r="BA90" i="1"/>
  <c r="BM90" i="1"/>
  <c r="AT97" i="1"/>
  <c r="BK113" i="1"/>
  <c r="AM113" i="1"/>
  <c r="AP84" i="1"/>
  <c r="BZ84" i="1"/>
  <c r="BN84" i="1"/>
  <c r="BD90" i="1"/>
  <c r="AR90" i="1"/>
  <c r="BP90" i="1"/>
  <c r="CB90" i="1"/>
  <c r="AK97" i="1"/>
  <c r="AL104" i="1"/>
  <c r="BV104" i="1"/>
  <c r="AZ110" i="1"/>
  <c r="BX110" i="1"/>
  <c r="AN110" i="1"/>
  <c r="CC100" i="1"/>
  <c r="AT55" i="1"/>
  <c r="BL27" i="1"/>
  <c r="AZ27" i="1"/>
  <c r="BZ17" i="1"/>
  <c r="AY17" i="1"/>
  <c r="U82" i="1"/>
  <c r="AP55" i="1"/>
  <c r="BW105" i="1"/>
  <c r="J52" i="1"/>
  <c r="K52" i="1"/>
  <c r="CC112" i="1"/>
  <c r="BQ79" i="1"/>
  <c r="AS79" i="1"/>
  <c r="AS65" i="1"/>
  <c r="AP65" i="1"/>
  <c r="BP64" i="1"/>
  <c r="AX57" i="1"/>
  <c r="BJ57" i="1"/>
  <c r="BV57" i="1"/>
  <c r="AQ53" i="1"/>
  <c r="BU44" i="1"/>
  <c r="AW44" i="1"/>
  <c r="BI44" i="1"/>
  <c r="AM41" i="1"/>
  <c r="BI41" i="1"/>
  <c r="AY41" i="1"/>
  <c r="AR33" i="1"/>
  <c r="AZ29" i="1"/>
  <c r="BV23" i="1"/>
  <c r="AL23" i="1"/>
  <c r="BJ23" i="1"/>
  <c r="B1728" i="15"/>
  <c r="AC28" i="12"/>
  <c r="B458" i="19" s="1"/>
  <c r="M28" i="12"/>
  <c r="BK105" i="1"/>
  <c r="BO105" i="1"/>
  <c r="CA105" i="1"/>
  <c r="H458" i="19" l="1"/>
  <c r="G458" i="19"/>
  <c r="F458" i="19"/>
  <c r="E458" i="19"/>
  <c r="D458" i="19"/>
  <c r="A458" i="19" s="1"/>
  <c r="C458" i="19"/>
  <c r="A456" i="19"/>
  <c r="H456" i="19"/>
  <c r="G456" i="19"/>
  <c r="F456" i="19"/>
  <c r="E456" i="19"/>
  <c r="D456" i="19"/>
  <c r="C456" i="19"/>
  <c r="A453" i="19"/>
  <c r="H453" i="19"/>
  <c r="G453" i="19"/>
  <c r="F453" i="19"/>
  <c r="E453" i="19"/>
  <c r="D453" i="19"/>
  <c r="C453" i="19"/>
  <c r="A455" i="19"/>
  <c r="H455" i="19"/>
  <c r="G455" i="19"/>
  <c r="F455" i="19"/>
  <c r="E455" i="19"/>
  <c r="D455" i="19"/>
  <c r="C455" i="19"/>
  <c r="A872" i="15"/>
  <c r="A30" i="7"/>
  <c r="A880" i="15" s="1"/>
  <c r="A27" i="7"/>
  <c r="A877" i="15" s="1"/>
  <c r="H454" i="19"/>
  <c r="G454" i="19"/>
  <c r="F454" i="19"/>
  <c r="E454" i="19"/>
  <c r="D454" i="19"/>
  <c r="C454" i="19"/>
  <c r="A454" i="19" s="1"/>
  <c r="S15" i="1"/>
  <c r="T15" i="1"/>
  <c r="R15" i="1"/>
  <c r="S69" i="1"/>
  <c r="R69" i="1"/>
  <c r="T69" i="1"/>
  <c r="T99" i="1"/>
  <c r="R99" i="1"/>
  <c r="S99" i="1"/>
  <c r="V87" i="1"/>
  <c r="W87" i="1"/>
  <c r="U87" i="1"/>
  <c r="R45" i="1"/>
  <c r="T45" i="1"/>
  <c r="S45" i="1"/>
  <c r="U85" i="1"/>
  <c r="V85" i="1"/>
  <c r="W85" i="1" s="1"/>
  <c r="H457" i="19"/>
  <c r="G457" i="19"/>
  <c r="F457" i="19"/>
  <c r="E457" i="19"/>
  <c r="D457" i="19"/>
  <c r="C457" i="19"/>
  <c r="A457" i="19" s="1"/>
  <c r="U100" i="1"/>
  <c r="U80" i="1"/>
  <c r="V72" i="1"/>
  <c r="W72" i="1" s="1"/>
  <c r="U72" i="1"/>
  <c r="U37" i="1"/>
  <c r="V37" i="1"/>
  <c r="W37" i="1" s="1"/>
  <c r="S23" i="1"/>
  <c r="R23" i="1"/>
  <c r="T23" i="1"/>
  <c r="A19" i="15"/>
  <c r="A27" i="2"/>
  <c r="A27" i="15" s="1"/>
  <c r="A22" i="2"/>
  <c r="V84" i="1"/>
  <c r="U84" i="1"/>
  <c r="W84" i="1"/>
  <c r="AW110" i="1"/>
  <c r="BV15" i="1"/>
  <c r="BW66" i="1"/>
  <c r="T25" i="1"/>
  <c r="R25" i="1"/>
  <c r="S25" i="1"/>
  <c r="CD82" i="1"/>
  <c r="AO88" i="1"/>
  <c r="R113" i="1"/>
  <c r="T113" i="1"/>
  <c r="S113" i="1"/>
  <c r="AK21" i="1"/>
  <c r="V82" i="1"/>
  <c r="W82" i="1" s="1"/>
  <c r="AL107" i="1"/>
  <c r="AW38" i="1"/>
  <c r="AX77" i="1"/>
  <c r="CD25" i="1"/>
  <c r="BE105" i="1"/>
  <c r="BA29" i="1"/>
  <c r="AS53" i="1"/>
  <c r="CA55" i="1"/>
  <c r="AN43" i="1"/>
  <c r="BE113" i="1"/>
  <c r="CC81" i="1"/>
  <c r="BU95" i="1"/>
  <c r="AM75" i="1"/>
  <c r="BP86" i="1"/>
  <c r="BE110" i="1"/>
  <c r="BK81" i="1"/>
  <c r="AT48" i="1"/>
  <c r="AK107" i="1"/>
  <c r="BP100" i="1"/>
  <c r="CD54" i="1"/>
  <c r="BK18" i="1"/>
  <c r="CD109" i="1"/>
  <c r="AY35" i="1"/>
  <c r="BA16" i="1"/>
  <c r="BZ77" i="1"/>
  <c r="CD46" i="1"/>
  <c r="BB109" i="1"/>
  <c r="BN82" i="1"/>
  <c r="BK25" i="1"/>
  <c r="BA82" i="1"/>
  <c r="BF59" i="1"/>
  <c r="U89" i="1"/>
  <c r="V89" i="1"/>
  <c r="W89" i="1" s="1"/>
  <c r="CC21" i="1"/>
  <c r="BN54" i="1"/>
  <c r="AW106" i="1"/>
  <c r="BL15" i="1"/>
  <c r="CC36" i="1"/>
  <c r="AQ48" i="1"/>
  <c r="BP16" i="1"/>
  <c r="AM69" i="1"/>
  <c r="BF111" i="1"/>
  <c r="AZ79" i="1"/>
  <c r="BI92" i="1"/>
  <c r="BD45" i="1"/>
  <c r="CB38" i="1"/>
  <c r="AO112" i="1"/>
  <c r="BW17" i="1"/>
  <c r="BM77" i="1"/>
  <c r="BV85" i="1"/>
  <c r="BP29" i="1"/>
  <c r="BB20" i="1"/>
  <c r="BW20" i="1"/>
  <c r="AX40" i="1"/>
  <c r="AY60" i="1"/>
  <c r="BY23" i="1"/>
  <c r="BD61" i="1"/>
  <c r="BJ31" i="1"/>
  <c r="AQ32" i="1"/>
  <c r="AX33" i="1"/>
  <c r="CB106" i="1"/>
  <c r="BX94" i="1"/>
  <c r="AN109" i="1"/>
  <c r="BR86" i="1"/>
  <c r="AZ74" i="1"/>
  <c r="BA106" i="1"/>
  <c r="BJ66" i="1"/>
  <c r="BK80" i="1"/>
  <c r="BD66" i="1"/>
  <c r="AR34" i="1"/>
  <c r="BF100" i="1"/>
  <c r="BW45" i="1"/>
  <c r="BB17" i="1"/>
  <c r="BF47" i="1"/>
  <c r="AX27" i="1"/>
  <c r="AR113" i="1"/>
  <c r="AW46" i="1"/>
  <c r="BD75" i="1"/>
  <c r="BR70" i="1"/>
  <c r="BY54" i="1"/>
  <c r="AN80" i="1"/>
  <c r="U43" i="1"/>
  <c r="V43" i="1"/>
  <c r="W43" i="1" s="1"/>
  <c r="AR101" i="1"/>
  <c r="U21" i="1"/>
  <c r="V21" i="1"/>
  <c r="W21" i="1" s="1"/>
  <c r="BF49" i="1"/>
  <c r="BX47" i="1"/>
  <c r="BY28" i="1"/>
  <c r="BY91" i="1"/>
  <c r="CA51" i="1"/>
  <c r="BR43" i="1"/>
  <c r="R16" i="1"/>
  <c r="T16" i="1"/>
  <c r="S16" i="1"/>
  <c r="U47" i="1"/>
  <c r="V76" i="1"/>
  <c r="W76" i="1" s="1"/>
  <c r="U76" i="1"/>
  <c r="T102" i="1"/>
  <c r="R102" i="1"/>
  <c r="S102" i="1"/>
  <c r="AL72" i="1"/>
  <c r="BK104" i="1"/>
  <c r="BO48" i="1"/>
  <c r="BM62" i="1"/>
  <c r="BR29" i="1"/>
  <c r="BU56" i="1"/>
  <c r="V44" i="1"/>
  <c r="W44" i="1" s="1"/>
  <c r="BN98" i="1"/>
  <c r="BN113" i="1"/>
  <c r="BQ54" i="1"/>
  <c r="AQ86" i="1"/>
  <c r="BY50" i="1"/>
  <c r="V74" i="1"/>
  <c r="W74" i="1" s="1"/>
  <c r="V78" i="1"/>
  <c r="W78" i="1"/>
  <c r="U78" i="1"/>
  <c r="BD105" i="1"/>
  <c r="BQ22" i="1"/>
  <c r="CC42" i="1"/>
  <c r="AK52" i="1"/>
  <c r="BM39" i="1"/>
  <c r="BR33" i="1"/>
  <c r="BM93" i="1"/>
  <c r="BX100" i="1"/>
  <c r="AM67" i="1"/>
  <c r="BO77" i="1"/>
  <c r="BL79" i="1"/>
  <c r="AY47" i="1"/>
  <c r="AO104" i="1"/>
  <c r="AR81" i="1"/>
  <c r="AX37" i="1"/>
  <c r="AY104" i="1"/>
  <c r="BO56" i="1"/>
  <c r="BW26" i="1"/>
  <c r="CD75" i="1"/>
  <c r="BQ38" i="1"/>
  <c r="AS98" i="1"/>
  <c r="AM77" i="1"/>
  <c r="AW103" i="1"/>
  <c r="AK26" i="1"/>
  <c r="S51" i="1"/>
  <c r="T51" i="1"/>
  <c r="R51" i="1"/>
  <c r="BW76" i="1"/>
  <c r="CC56" i="1"/>
  <c r="BE58" i="1"/>
  <c r="BX65" i="1"/>
  <c r="CD31" i="1"/>
  <c r="AT42" i="1"/>
  <c r="AM90" i="1"/>
  <c r="BA78" i="1"/>
  <c r="BU70" i="1"/>
  <c r="BZ58" i="1"/>
  <c r="BB29" i="1"/>
  <c r="BQ43" i="1"/>
  <c r="BC20" i="1"/>
  <c r="AL112" i="1"/>
  <c r="BL86" i="1"/>
  <c r="BZ107" i="1"/>
  <c r="BL66" i="1"/>
  <c r="AX91" i="1"/>
  <c r="BZ70" i="1"/>
  <c r="AN78" i="1"/>
  <c r="AN46" i="1"/>
  <c r="CD98" i="1"/>
  <c r="AK96" i="1"/>
  <c r="BV87" i="1"/>
  <c r="BR38" i="1"/>
  <c r="BA84" i="1"/>
  <c r="CA37" i="1"/>
  <c r="CB49" i="1"/>
  <c r="W30" i="1"/>
  <c r="U30" i="1"/>
  <c r="V30" i="1"/>
  <c r="V108" i="1"/>
  <c r="W108" i="1"/>
  <c r="U108" i="1"/>
  <c r="BR81" i="1"/>
  <c r="AQ97" i="1"/>
  <c r="AS25" i="1"/>
  <c r="BQ19" i="1"/>
  <c r="AK100" i="1"/>
  <c r="BN33" i="1"/>
  <c r="CD44" i="1"/>
  <c r="AZ61" i="1"/>
  <c r="AO17" i="1"/>
  <c r="BV21" i="1"/>
  <c r="BW110" i="1"/>
  <c r="CA85" i="1"/>
  <c r="BL65" i="1"/>
  <c r="BF60" i="1"/>
  <c r="BE108" i="1"/>
  <c r="AZ83" i="1"/>
  <c r="AT79" i="1"/>
  <c r="AT111" i="1"/>
  <c r="AL51" i="1"/>
  <c r="BY111" i="1"/>
  <c r="AO22" i="1"/>
  <c r="CA39" i="1"/>
  <c r="BU31" i="1"/>
  <c r="BE77" i="1"/>
  <c r="BY77" i="1"/>
  <c r="BU29" i="1"/>
  <c r="AN92" i="1"/>
  <c r="CC59" i="1"/>
  <c r="BA39" i="1"/>
  <c r="BD108" i="1"/>
  <c r="AK43" i="1"/>
  <c r="I43" i="1" s="1"/>
  <c r="BP33" i="1"/>
  <c r="S89" i="1"/>
  <c r="T89" i="1"/>
  <c r="R89" i="1"/>
  <c r="U53" i="1"/>
  <c r="V53" i="1"/>
  <c r="W53" i="1" s="1"/>
  <c r="U61" i="1"/>
  <c r="V61" i="1"/>
  <c r="W61" i="1"/>
  <c r="V92" i="1"/>
  <c r="W92" i="1"/>
  <c r="U92" i="1"/>
  <c r="V46" i="1"/>
  <c r="W46" i="1" s="1"/>
  <c r="U46" i="1"/>
  <c r="T43" i="1"/>
  <c r="S43" i="1"/>
  <c r="R43" i="1"/>
  <c r="U16" i="1"/>
  <c r="V16" i="1"/>
  <c r="W16" i="1" s="1"/>
  <c r="A30" i="9"/>
  <c r="R104" i="1"/>
  <c r="T104" i="1"/>
  <c r="S104" i="1"/>
  <c r="T78" i="1"/>
  <c r="R78" i="1"/>
  <c r="S78" i="1"/>
  <c r="U97" i="1"/>
  <c r="U98" i="1"/>
  <c r="T30" i="1"/>
  <c r="R30" i="1"/>
  <c r="S30" i="1"/>
  <c r="T108" i="1"/>
  <c r="R108" i="1"/>
  <c r="S108" i="1"/>
  <c r="AQ106" i="1"/>
  <c r="CA97" i="1"/>
  <c r="AW94" i="1"/>
  <c r="AX45" i="1"/>
  <c r="BU100" i="1"/>
  <c r="R48" i="1"/>
  <c r="T48" i="1"/>
  <c r="S48" i="1"/>
  <c r="AX23" i="1"/>
  <c r="BC105" i="1"/>
  <c r="BN59" i="1"/>
  <c r="BV33" i="1"/>
  <c r="BR105" i="1"/>
  <c r="AP41" i="1"/>
  <c r="CA60" i="1"/>
  <c r="CC53" i="1"/>
  <c r="BI52" i="1"/>
  <c r="BQ52" i="1"/>
  <c r="AL31" i="1"/>
  <c r="BU17" i="1"/>
  <c r="AN64" i="1"/>
  <c r="BY43" i="1"/>
  <c r="BF82" i="1"/>
  <c r="BB101" i="1"/>
  <c r="BR21" i="1"/>
  <c r="BV43" i="1"/>
  <c r="BC71" i="1"/>
  <c r="AM71" i="1"/>
  <c r="BE21" i="1"/>
  <c r="AX58" i="1"/>
  <c r="AR51" i="1"/>
  <c r="AO50" i="1"/>
  <c r="AX105" i="1"/>
  <c r="BN71" i="1"/>
  <c r="BX43" i="1"/>
  <c r="U17" i="1"/>
  <c r="V17" i="1"/>
  <c r="W17" i="1" s="1"/>
  <c r="V113" i="1"/>
  <c r="U113" i="1"/>
  <c r="W113" i="1"/>
  <c r="V38" i="1"/>
  <c r="W38" i="1"/>
  <c r="U38" i="1"/>
  <c r="U86" i="1"/>
  <c r="V86" i="1"/>
  <c r="W86" i="1" s="1"/>
  <c r="U112" i="1"/>
  <c r="A699" i="15"/>
  <c r="V59" i="1"/>
  <c r="W59" i="1" s="1"/>
  <c r="U59" i="1"/>
  <c r="U39" i="1"/>
  <c r="V39" i="1"/>
  <c r="W39" i="1" s="1"/>
  <c r="V64" i="1"/>
  <c r="W64" i="1"/>
  <c r="U64" i="1"/>
  <c r="V22" i="1"/>
  <c r="W22" i="1" s="1"/>
  <c r="U22" i="1"/>
  <c r="W95" i="1"/>
  <c r="U95" i="1"/>
  <c r="V95" i="1"/>
  <c r="U63" i="1"/>
  <c r="V63" i="1"/>
  <c r="W63" i="1" s="1"/>
  <c r="BJ14" i="1"/>
  <c r="AL77" i="1"/>
  <c r="BQ37" i="1"/>
  <c r="AO27" i="1"/>
  <c r="BO91" i="1"/>
  <c r="BV106" i="1"/>
  <c r="BU38" i="1"/>
  <c r="U101" i="1"/>
  <c r="V101" i="1"/>
  <c r="W101" i="1" s="1"/>
  <c r="CC23" i="1"/>
  <c r="AO35" i="1"/>
  <c r="BA65" i="1"/>
  <c r="AZ55" i="1"/>
  <c r="CA17" i="1"/>
  <c r="BL43" i="1"/>
  <c r="AQ107" i="1"/>
  <c r="BE81" i="1"/>
  <c r="AS87" i="1"/>
  <c r="BR68" i="1"/>
  <c r="BB79" i="1"/>
  <c r="AQ103" i="1"/>
  <c r="BE73" i="1"/>
  <c r="CA35" i="1"/>
  <c r="BI107" i="1"/>
  <c r="BX104" i="1"/>
  <c r="AY46" i="1"/>
  <c r="BW18" i="1"/>
  <c r="BB69" i="1"/>
  <c r="BK35" i="1"/>
  <c r="AL92" i="1"/>
  <c r="I92" i="1" s="1"/>
  <c r="BC66" i="1"/>
  <c r="BF46" i="1"/>
  <c r="BL76" i="1"/>
  <c r="BQ71" i="1"/>
  <c r="BB106" i="1"/>
  <c r="BD73" i="1"/>
  <c r="BM59" i="1"/>
  <c r="BQ101" i="1"/>
  <c r="AQ31" i="1"/>
  <c r="BQ27" i="1"/>
  <c r="T61" i="1"/>
  <c r="S61" i="1"/>
  <c r="R61" i="1"/>
  <c r="CB60" i="1"/>
  <c r="AY16" i="1"/>
  <c r="BZ99" i="1"/>
  <c r="AX87" i="1"/>
  <c r="R92" i="1"/>
  <c r="T92" i="1"/>
  <c r="S92" i="1"/>
  <c r="T46" i="1"/>
  <c r="R46" i="1"/>
  <c r="S46" i="1"/>
  <c r="BW47" i="1"/>
  <c r="BD20" i="1"/>
  <c r="AM14" i="1"/>
  <c r="BA85" i="1"/>
  <c r="BW39" i="1"/>
  <c r="BB24" i="1"/>
  <c r="BZ75" i="1"/>
  <c r="BJ105" i="1"/>
  <c r="AR25" i="1"/>
  <c r="BZ41" i="1"/>
  <c r="AZ65" i="1"/>
  <c r="CD52" i="1"/>
  <c r="BZ53" i="1"/>
  <c r="AM33" i="1"/>
  <c r="R32" i="1"/>
  <c r="S32" i="1"/>
  <c r="T32" i="1"/>
  <c r="AR35" i="1"/>
  <c r="BP106" i="1"/>
  <c r="BL94" i="1"/>
  <c r="BK101" i="1"/>
  <c r="AT86" i="1"/>
  <c r="AL68" i="1"/>
  <c r="BY106" i="1"/>
  <c r="BE109" i="1"/>
  <c r="AM80" i="1"/>
  <c r="AN54" i="1"/>
  <c r="BP34" i="1"/>
  <c r="BR100" i="1"/>
  <c r="AX38" i="1"/>
  <c r="AY78" i="1"/>
  <c r="CD47" i="1"/>
  <c r="BV27" i="1"/>
  <c r="BP84" i="1"/>
  <c r="BD39" i="1"/>
  <c r="BL103" i="1"/>
  <c r="CD70" i="1"/>
  <c r="AR46" i="1"/>
  <c r="BP72" i="1"/>
  <c r="AT59" i="1"/>
  <c r="BZ45" i="1"/>
  <c r="AQ45" i="1"/>
  <c r="CD49" i="1"/>
  <c r="AZ47" i="1"/>
  <c r="BA28" i="1"/>
  <c r="BY51" i="1"/>
  <c r="AL60" i="1"/>
  <c r="AR16" i="1"/>
  <c r="CA61" i="1"/>
  <c r="BY73" i="1"/>
  <c r="AO108" i="1"/>
  <c r="CD91" i="1"/>
  <c r="BJ85" i="1"/>
  <c r="W104" i="1"/>
  <c r="U104" i="1"/>
  <c r="V104" i="1"/>
  <c r="A27" i="5"/>
  <c r="AL37" i="1"/>
  <c r="I37" i="1" s="1"/>
  <c r="AO98" i="1"/>
  <c r="AZ23" i="1"/>
  <c r="BM51" i="1"/>
  <c r="AY82" i="1"/>
  <c r="BB86" i="1"/>
  <c r="T62" i="1"/>
  <c r="S62" i="1"/>
  <c r="R62" i="1"/>
  <c r="AW112" i="1"/>
  <c r="AW56" i="1"/>
  <c r="AM53" i="1"/>
  <c r="BZ98" i="1"/>
  <c r="BM58" i="1"/>
  <c r="AQ82" i="1"/>
  <c r="BY98" i="1"/>
  <c r="CA26" i="1"/>
  <c r="BD23" i="1"/>
  <c r="BE42" i="1"/>
  <c r="BI65" i="1"/>
  <c r="AW54" i="1"/>
  <c r="BW96" i="1"/>
  <c r="CD32" i="1"/>
  <c r="AQ73" i="1"/>
  <c r="BW87" i="1"/>
  <c r="AX93" i="1"/>
  <c r="BE112" i="1"/>
  <c r="AO71" i="1"/>
  <c r="AT72" i="1"/>
  <c r="AS33" i="1"/>
  <c r="AW98" i="1"/>
  <c r="BW70" i="1"/>
  <c r="BV37" i="1"/>
  <c r="AR77" i="1"/>
  <c r="AW47" i="1"/>
  <c r="BY103" i="1"/>
  <c r="BE62" i="1"/>
  <c r="CC38" i="1"/>
  <c r="BX113" i="1"/>
  <c r="BJ69" i="1"/>
  <c r="BD71" i="1"/>
  <c r="BI58" i="1"/>
  <c r="BQ46" i="1"/>
  <c r="BB31" i="1"/>
  <c r="T110" i="1"/>
  <c r="S110" i="1"/>
  <c r="R110" i="1"/>
  <c r="AQ15" i="1"/>
  <c r="BN30" i="1"/>
  <c r="AS58" i="1"/>
  <c r="BR42" i="1"/>
  <c r="BF99" i="1"/>
  <c r="BI29" i="1"/>
  <c r="BO110" i="1"/>
  <c r="BB58" i="1"/>
  <c r="BX59" i="1"/>
  <c r="AP38" i="1"/>
  <c r="BQ63" i="1"/>
  <c r="BP37" i="1"/>
  <c r="AL54" i="1"/>
  <c r="S33" i="1"/>
  <c r="R33" i="1"/>
  <c r="T33" i="1"/>
  <c r="BV112" i="1"/>
  <c r="BV80" i="1"/>
  <c r="BW92" i="1"/>
  <c r="AX60" i="1"/>
  <c r="BJ91" i="1"/>
  <c r="BQ100" i="1"/>
  <c r="BJ72" i="1"/>
  <c r="BU33" i="1"/>
  <c r="CD107" i="1"/>
  <c r="BY79" i="1"/>
  <c r="BC76" i="1"/>
  <c r="BN25" i="1"/>
  <c r="BF93" i="1"/>
  <c r="BQ70" i="1"/>
  <c r="BM26" i="1"/>
  <c r="AT81" i="1"/>
  <c r="A22" i="6"/>
  <c r="BC106" i="1"/>
  <c r="AO63" i="1"/>
  <c r="BU94" i="1"/>
  <c r="BV45" i="1"/>
  <c r="AW100" i="1"/>
  <c r="W48" i="1"/>
  <c r="U48" i="1"/>
  <c r="V48" i="1"/>
  <c r="BA32" i="1"/>
  <c r="AN55" i="1"/>
  <c r="BP53" i="1"/>
  <c r="BR53" i="1"/>
  <c r="BP52" i="1"/>
  <c r="BN21" i="1"/>
  <c r="AO55" i="1"/>
  <c r="BP105" i="1"/>
  <c r="AW30" i="1"/>
  <c r="BO31" i="1"/>
  <c r="AK14" i="1"/>
  <c r="BJ41" i="1"/>
  <c r="BI108" i="1"/>
  <c r="BW36" i="1"/>
  <c r="BU59" i="1"/>
  <c r="CD23" i="1"/>
  <c r="CD22" i="1"/>
  <c r="AT61" i="1"/>
  <c r="BY65" i="1"/>
  <c r="AQ51" i="1"/>
  <c r="CC102" i="1"/>
  <c r="AT36" i="1"/>
  <c r="AT43" i="1"/>
  <c r="BR31" i="1"/>
  <c r="AL32" i="1"/>
  <c r="BD17" i="1"/>
  <c r="BQ32" i="1"/>
  <c r="U45" i="1"/>
  <c r="W45" i="1"/>
  <c r="V45" i="1"/>
  <c r="V50" i="1"/>
  <c r="W50" i="1" s="1"/>
  <c r="R37" i="1"/>
  <c r="T37" i="1"/>
  <c r="S37" i="1"/>
  <c r="V100" i="1"/>
  <c r="W100" i="1" s="1"/>
  <c r="U96" i="1"/>
  <c r="U106" i="1"/>
  <c r="S59" i="1"/>
  <c r="R59" i="1"/>
  <c r="T59" i="1"/>
  <c r="S39" i="1"/>
  <c r="R39" i="1"/>
  <c r="T39" i="1"/>
  <c r="V34" i="1"/>
  <c r="W34" i="1" s="1"/>
  <c r="U57" i="1"/>
  <c r="V57" i="1"/>
  <c r="W57" i="1"/>
  <c r="S95" i="1"/>
  <c r="T95" i="1"/>
  <c r="R95" i="1"/>
  <c r="S63" i="1"/>
  <c r="R63" i="1"/>
  <c r="T63" i="1"/>
  <c r="W54" i="1"/>
  <c r="V54" i="1"/>
  <c r="U54" i="1"/>
  <c r="U58" i="1"/>
  <c r="V58" i="1"/>
  <c r="W58" i="1" s="1"/>
  <c r="A1382" i="15"/>
  <c r="A30" i="10"/>
  <c r="A1390" i="15" s="1"/>
  <c r="A27" i="10"/>
  <c r="R88" i="1"/>
  <c r="S88" i="1"/>
  <c r="T88" i="1"/>
  <c r="R101" i="1"/>
  <c r="T101" i="1"/>
  <c r="S101" i="1"/>
  <c r="V14" i="1"/>
  <c r="W14" i="1" s="1"/>
  <c r="U14" i="1"/>
  <c r="U18" i="1"/>
  <c r="BB50" i="1"/>
  <c r="AW23" i="1"/>
  <c r="CA65" i="1"/>
  <c r="AM52" i="1"/>
  <c r="BL61" i="1"/>
  <c r="BF61" i="1"/>
  <c r="AW55" i="1"/>
  <c r="AL55" i="1"/>
  <c r="BJ33" i="1"/>
  <c r="BF14" i="1"/>
  <c r="BJ17" i="1"/>
  <c r="BW22" i="1"/>
  <c r="BJ59" i="1"/>
  <c r="AP89" i="1"/>
  <c r="BQ89" i="1"/>
  <c r="BO89" i="1"/>
  <c r="BL101" i="1"/>
  <c r="AK101" i="1"/>
  <c r="I101" i="1" s="1"/>
  <c r="AZ101" i="1"/>
  <c r="BR101" i="1"/>
  <c r="AM101" i="1"/>
  <c r="AO105" i="1"/>
  <c r="AT26" i="1"/>
  <c r="AW39" i="1"/>
  <c r="AL21" i="1"/>
  <c r="I21" i="1" s="1"/>
  <c r="BJ21" i="1"/>
  <c r="BM33" i="1"/>
  <c r="BY40" i="1"/>
  <c r="BV64" i="1"/>
  <c r="BY64" i="1"/>
  <c r="AL64" i="1"/>
  <c r="BN32" i="1"/>
  <c r="AM22" i="1"/>
  <c r="AK51" i="1"/>
  <c r="AY55" i="1"/>
  <c r="BB14" i="1"/>
  <c r="BM30" i="1"/>
  <c r="AQ30" i="1"/>
  <c r="BQ30" i="1"/>
  <c r="AO36" i="1"/>
  <c r="AQ40" i="1"/>
  <c r="BQ48" i="1"/>
  <c r="BA48" i="1"/>
  <c r="BF48" i="1"/>
  <c r="BZ60" i="1"/>
  <c r="BY16" i="1"/>
  <c r="BC16" i="1"/>
  <c r="BR17" i="1"/>
  <c r="BU20" i="1"/>
  <c r="AY20" i="1"/>
  <c r="AW31" i="1"/>
  <c r="AP69" i="1"/>
  <c r="CC69" i="1"/>
  <c r="BR69" i="1"/>
  <c r="AK69" i="1"/>
  <c r="BW83" i="1"/>
  <c r="BD83" i="1"/>
  <c r="CC83" i="1"/>
  <c r="BR15" i="1"/>
  <c r="AT24" i="1"/>
  <c r="BN63" i="1"/>
  <c r="BC63" i="1"/>
  <c r="AQ63" i="1"/>
  <c r="CC71" i="1"/>
  <c r="BR71" i="1"/>
  <c r="BM72" i="1"/>
  <c r="AK72" i="1"/>
  <c r="I72" i="1" s="1"/>
  <c r="CC73" i="1"/>
  <c r="BR73" i="1"/>
  <c r="AM83" i="1"/>
  <c r="BE87" i="1"/>
  <c r="BJ95" i="1"/>
  <c r="CC95" i="1"/>
  <c r="AW95" i="1"/>
  <c r="BK95" i="1"/>
  <c r="BU97" i="1"/>
  <c r="BK102" i="1"/>
  <c r="AZ102" i="1"/>
  <c r="AY102" i="1"/>
  <c r="CB85" i="1"/>
  <c r="AX92" i="1"/>
  <c r="BD111" i="1"/>
  <c r="CC111" i="1"/>
  <c r="BQ111" i="1"/>
  <c r="AW24" i="1"/>
  <c r="AS35" i="1"/>
  <c r="AM44" i="1"/>
  <c r="BV56" i="1"/>
  <c r="BL57" i="1"/>
  <c r="AP57" i="1"/>
  <c r="BA75" i="1"/>
  <c r="BN95" i="1"/>
  <c r="AW102" i="1"/>
  <c r="BV108" i="1"/>
  <c r="BK108" i="1"/>
  <c r="BO35" i="1"/>
  <c r="BN44" i="1"/>
  <c r="BB46" i="1"/>
  <c r="BW46" i="1"/>
  <c r="BY49" i="1"/>
  <c r="BW49" i="1"/>
  <c r="BM57" i="1"/>
  <c r="BJ67" i="1"/>
  <c r="AS83" i="1"/>
  <c r="BC87" i="1"/>
  <c r="AX97" i="1"/>
  <c r="BZ104" i="1"/>
  <c r="CD110" i="1"/>
  <c r="BW19" i="1"/>
  <c r="BD27" i="1"/>
  <c r="BP35" i="1"/>
  <c r="BU37" i="1"/>
  <c r="BO44" i="1"/>
  <c r="BO46" i="1"/>
  <c r="AS47" i="1"/>
  <c r="AR56" i="1"/>
  <c r="BO72" i="1"/>
  <c r="AP77" i="1"/>
  <c r="BA86" i="1"/>
  <c r="CB93" i="1"/>
  <c r="BV96" i="1"/>
  <c r="AO96" i="1"/>
  <c r="BE96" i="1"/>
  <c r="AX26" i="1"/>
  <c r="BB62" i="1"/>
  <c r="BO74" i="1"/>
  <c r="AK78" i="1"/>
  <c r="I78" i="1" s="1"/>
  <c r="AZ80" i="1"/>
  <c r="BY81" i="1"/>
  <c r="BM81" i="1"/>
  <c r="BE107" i="1"/>
  <c r="BX107" i="1"/>
  <c r="BL110" i="1"/>
  <c r="BE91" i="1"/>
  <c r="AT109" i="1"/>
  <c r="CB110" i="1"/>
  <c r="BD110" i="1"/>
  <c r="BO70" i="1"/>
  <c r="BZ91" i="1"/>
  <c r="AS94" i="1"/>
  <c r="AL100" i="1"/>
  <c r="AR103" i="1"/>
  <c r="BF109" i="1"/>
  <c r="BZ112" i="1"/>
  <c r="BD112" i="1"/>
  <c r="AK113" i="1"/>
  <c r="I113" i="1" s="1"/>
  <c r="AX90" i="1"/>
  <c r="BO42" i="1"/>
  <c r="AS109" i="1"/>
  <c r="BP101" i="1"/>
  <c r="BP39" i="1"/>
  <c r="BK64" i="1"/>
  <c r="BK22" i="1"/>
  <c r="BC48" i="1"/>
  <c r="BY20" i="1"/>
  <c r="BP69" i="1"/>
  <c r="BK69" i="1"/>
  <c r="BY83" i="1"/>
  <c r="BY92" i="1"/>
  <c r="AY25" i="1"/>
  <c r="AN71" i="1"/>
  <c r="CA95" i="1"/>
  <c r="AW97" i="1"/>
  <c r="BX58" i="1"/>
  <c r="BW85" i="1"/>
  <c r="AT45" i="1"/>
  <c r="AP67" i="1"/>
  <c r="BQ95" i="1"/>
  <c r="BQ15" i="1"/>
  <c r="BX36" i="1"/>
  <c r="BM49" i="1"/>
  <c r="BK83" i="1"/>
  <c r="AZ96" i="1"/>
  <c r="BF34" i="1"/>
  <c r="AX74" i="1"/>
  <c r="BW107" i="1"/>
  <c r="AM84" i="1"/>
  <c r="AM109" i="1"/>
  <c r="BN105" i="1"/>
  <c r="BP41" i="1"/>
  <c r="AP64" i="1"/>
  <c r="CB52" i="1"/>
  <c r="AS31" i="1"/>
  <c r="AN59" i="1"/>
  <c r="CA89" i="1"/>
  <c r="BE101" i="1"/>
  <c r="BX70" i="1"/>
  <c r="CB51" i="1"/>
  <c r="BI14" i="1"/>
  <c r="AY69" i="1"/>
  <c r="AP25" i="1"/>
  <c r="BO87" i="1"/>
  <c r="CB102" i="1"/>
  <c r="CD56" i="1"/>
  <c r="BK99" i="1"/>
  <c r="CC85" i="1"/>
  <c r="BC104" i="1"/>
  <c r="CB15" i="1"/>
  <c r="AK38" i="1"/>
  <c r="I38" i="1" s="1"/>
  <c r="AY77" i="1"/>
  <c r="AX50" i="1"/>
  <c r="BX80" i="1"/>
  <c r="BC109" i="1"/>
  <c r="BO62" i="1"/>
  <c r="BW94" i="1"/>
  <c r="BZ50" i="1"/>
  <c r="AN37" i="1"/>
  <c r="BA23" i="1"/>
  <c r="BM38" i="1"/>
  <c r="CD61" i="1"/>
  <c r="CC17" i="1"/>
  <c r="BY36" i="1"/>
  <c r="AX41" i="1"/>
  <c r="BU51" i="1"/>
  <c r="BA59" i="1"/>
  <c r="BV61" i="1"/>
  <c r="AS89" i="1"/>
  <c r="BC89" i="1"/>
  <c r="BC101" i="1"/>
  <c r="BW101" i="1"/>
  <c r="BA101" i="1"/>
  <c r="CD26" i="1"/>
  <c r="BR39" i="1"/>
  <c r="BI39" i="1"/>
  <c r="CB39" i="1"/>
  <c r="AL48" i="1"/>
  <c r="AY52" i="1"/>
  <c r="AP60" i="1"/>
  <c r="BM64" i="1"/>
  <c r="AK64" i="1"/>
  <c r="I64" i="1" s="1"/>
  <c r="BN64" i="1"/>
  <c r="BW64" i="1"/>
  <c r="BM17" i="1"/>
  <c r="AY22" i="1"/>
  <c r="AR22" i="1"/>
  <c r="BB33" i="1"/>
  <c r="BW51" i="1"/>
  <c r="BK51" i="1"/>
  <c r="AS14" i="1"/>
  <c r="BR14" i="1"/>
  <c r="BQ14" i="1"/>
  <c r="AZ17" i="1"/>
  <c r="BC30" i="1"/>
  <c r="AX30" i="1"/>
  <c r="BA40" i="1"/>
  <c r="CA40" i="1"/>
  <c r="AQ42" i="1"/>
  <c r="BI48" i="1"/>
  <c r="AP48" i="1"/>
  <c r="BQ60" i="1"/>
  <c r="AK60" i="1"/>
  <c r="BN60" i="1"/>
  <c r="BR16" i="1"/>
  <c r="BE16" i="1"/>
  <c r="AS16" i="1"/>
  <c r="BK20" i="1"/>
  <c r="BJ20" i="1"/>
  <c r="BB21" i="1"/>
  <c r="BI51" i="1"/>
  <c r="BL60" i="1"/>
  <c r="BU69" i="1"/>
  <c r="BF69" i="1"/>
  <c r="BM69" i="1"/>
  <c r="AK79" i="1"/>
  <c r="BN83" i="1"/>
  <c r="BJ83" i="1"/>
  <c r="BW108" i="1"/>
  <c r="AK25" i="1"/>
  <c r="AT63" i="1"/>
  <c r="BF63" i="1"/>
  <c r="BU71" i="1"/>
  <c r="BJ71" i="1"/>
  <c r="BD72" i="1"/>
  <c r="BU73" i="1"/>
  <c r="BC83" i="1"/>
  <c r="CB87" i="1"/>
  <c r="BA95" i="1"/>
  <c r="BI95" i="1"/>
  <c r="AM95" i="1"/>
  <c r="CB95" i="1"/>
  <c r="BK97" i="1"/>
  <c r="AO97" i="1"/>
  <c r="BB102" i="1"/>
  <c r="AP102" i="1"/>
  <c r="AT102" i="1"/>
  <c r="CD92" i="1"/>
  <c r="BC92" i="1"/>
  <c r="CA92" i="1"/>
  <c r="CA111" i="1"/>
  <c r="AX111" i="1"/>
  <c r="BF24" i="1"/>
  <c r="BW35" i="1"/>
  <c r="BC35" i="1"/>
  <c r="BM56" i="1"/>
  <c r="BC57" i="1"/>
  <c r="AX71" i="1"/>
  <c r="AK73" i="1"/>
  <c r="AR75" i="1"/>
  <c r="BC79" i="1"/>
  <c r="AK99" i="1"/>
  <c r="BP102" i="1"/>
  <c r="BL85" i="1"/>
  <c r="AR85" i="1"/>
  <c r="BQ85" i="1"/>
  <c r="AN108" i="1"/>
  <c r="AP108" i="1"/>
  <c r="CA25" i="1"/>
  <c r="AS27" i="1"/>
  <c r="BY35" i="1"/>
  <c r="AS36" i="1"/>
  <c r="CC49" i="1"/>
  <c r="BX50" i="1"/>
  <c r="BX57" i="1"/>
  <c r="AK71" i="1"/>
  <c r="BY72" i="1"/>
  <c r="BZ76" i="1"/>
  <c r="BP87" i="1"/>
  <c r="AW104" i="1"/>
  <c r="BY15" i="1"/>
  <c r="AX24" i="1"/>
  <c r="BN19" i="1"/>
  <c r="BM19" i="1"/>
  <c r="AO25" i="1"/>
  <c r="BZ35" i="1"/>
  <c r="BL37" i="1"/>
  <c r="BC47" i="1"/>
  <c r="BB56" i="1"/>
  <c r="AK63" i="1"/>
  <c r="I63" i="1" s="1"/>
  <c r="CA72" i="1"/>
  <c r="AK75" i="1"/>
  <c r="BU77" i="1"/>
  <c r="BV86" i="1"/>
  <c r="AZ88" i="1"/>
  <c r="CB88" i="1"/>
  <c r="AL88" i="1"/>
  <c r="BL96" i="1"/>
  <c r="BO96" i="1"/>
  <c r="BF26" i="1"/>
  <c r="AO42" i="1"/>
  <c r="BO50" i="1"/>
  <c r="BK62" i="1"/>
  <c r="AQ80" i="1"/>
  <c r="BW81" i="1"/>
  <c r="BA91" i="1"/>
  <c r="BJ100" i="1"/>
  <c r="AW107" i="1"/>
  <c r="BI113" i="1"/>
  <c r="AO76" i="1"/>
  <c r="I76" i="1" s="1"/>
  <c r="AW91" i="1"/>
  <c r="CD100" i="1"/>
  <c r="BB100" i="1"/>
  <c r="AL109" i="1"/>
  <c r="I109" i="1" s="1"/>
  <c r="BN110" i="1"/>
  <c r="BF54" i="1"/>
  <c r="AZ68" i="1"/>
  <c r="CC93" i="1"/>
  <c r="AS93" i="1"/>
  <c r="BP109" i="1"/>
  <c r="BN112" i="1"/>
  <c r="AT113" i="1"/>
  <c r="BF90" i="1"/>
  <c r="AO106" i="1"/>
  <c r="BO58" i="1"/>
  <c r="AO66" i="1"/>
  <c r="BV68" i="1"/>
  <c r="BM76" i="1"/>
  <c r="AX84" i="1"/>
  <c r="BK109" i="1"/>
  <c r="BD100" i="1"/>
  <c r="BW84" i="1"/>
  <c r="AT94" i="1"/>
  <c r="BM103" i="1"/>
  <c r="BP113" i="1"/>
  <c r="BI64" i="1"/>
  <c r="CB17" i="1"/>
  <c r="BP22" i="1"/>
  <c r="BJ16" i="1"/>
  <c r="AW69" i="1"/>
  <c r="BX79" i="1"/>
  <c r="BB83" i="1"/>
  <c r="BF92" i="1"/>
  <c r="AS15" i="1"/>
  <c r="BP25" i="1"/>
  <c r="BW25" i="1"/>
  <c r="BJ63" i="1"/>
  <c r="AL71" i="1"/>
  <c r="BK72" i="1"/>
  <c r="CD79" i="1"/>
  <c r="AQ92" i="1"/>
  <c r="BZ95" i="1"/>
  <c r="CB97" i="1"/>
  <c r="BJ97" i="1"/>
  <c r="BY108" i="1"/>
  <c r="BK92" i="1"/>
  <c r="AR111" i="1"/>
  <c r="BW56" i="1"/>
  <c r="CA75" i="1"/>
  <c r="BY99" i="1"/>
  <c r="BZ108" i="1"/>
  <c r="AW27" i="1"/>
  <c r="AT46" i="1"/>
  <c r="AY67" i="1"/>
  <c r="AX95" i="1"/>
  <c r="BF15" i="1"/>
  <c r="AY24" i="1"/>
  <c r="BB49" i="1"/>
  <c r="BN73" i="1"/>
  <c r="BD87" i="1"/>
  <c r="BX98" i="1"/>
  <c r="BQ84" i="1"/>
  <c r="BF68" i="1"/>
  <c r="BD109" i="1"/>
  <c r="CB94" i="1"/>
  <c r="BX40" i="1"/>
  <c r="BA53" i="1"/>
  <c r="AO60" i="1"/>
  <c r="BE89" i="1"/>
  <c r="BO101" i="1"/>
  <c r="BC21" i="1"/>
  <c r="BK17" i="1"/>
  <c r="BV55" i="1"/>
  <c r="BF22" i="1"/>
  <c r="BL30" i="1"/>
  <c r="BU48" i="1"/>
  <c r="AO61" i="1"/>
  <c r="CB20" i="1"/>
  <c r="AO48" i="1"/>
  <c r="BN79" i="1"/>
  <c r="BB72" i="1"/>
  <c r="CA87" i="1"/>
  <c r="BX82" i="1"/>
  <c r="AQ111" i="1"/>
  <c r="BW44" i="1"/>
  <c r="CA94" i="1"/>
  <c r="AT44" i="1"/>
  <c r="BA49" i="1"/>
  <c r="AP104" i="1"/>
  <c r="BD28" i="1"/>
  <c r="AL46" i="1"/>
  <c r="AN86" i="1"/>
  <c r="BA97" i="1"/>
  <c r="AK62" i="1"/>
  <c r="BX90" i="1"/>
  <c r="AX70" i="1"/>
  <c r="BN94" i="1"/>
  <c r="V19" i="1"/>
  <c r="W19" i="1" s="1"/>
  <c r="AK23" i="1"/>
  <c r="BR41" i="1"/>
  <c r="BF65" i="1"/>
  <c r="AX43" i="1"/>
  <c r="BE22" i="1"/>
  <c r="AK59" i="1"/>
  <c r="I59" i="1" s="1"/>
  <c r="CD21" i="1"/>
  <c r="AX64" i="1"/>
  <c r="AQ22" i="1"/>
  <c r="BX61" i="1"/>
  <c r="BR20" i="1"/>
  <c r="BZ79" i="1"/>
  <c r="BO83" i="1"/>
  <c r="BL63" i="1"/>
  <c r="BU72" i="1"/>
  <c r="AP87" i="1"/>
  <c r="BI97" i="1"/>
  <c r="BX92" i="1"/>
  <c r="BX72" i="1"/>
  <c r="BD99" i="1"/>
  <c r="CD108" i="1"/>
  <c r="AX25" i="1"/>
  <c r="BN46" i="1"/>
  <c r="BQ102" i="1"/>
  <c r="BF35" i="1"/>
  <c r="AS37" i="1"/>
  <c r="BX49" i="1"/>
  <c r="AL86" i="1"/>
  <c r="AQ96" i="1"/>
  <c r="AO26" i="1"/>
  <c r="BD81" i="1"/>
  <c r="AO113" i="1"/>
  <c r="BX109" i="1"/>
  <c r="AW109" i="1"/>
  <c r="BN50" i="1"/>
  <c r="AY107" i="1"/>
  <c r="BU35" i="1"/>
  <c r="BA38" i="1"/>
  <c r="BQ41" i="1"/>
  <c r="BF55" i="1"/>
  <c r="CC89" i="1"/>
  <c r="AN89" i="1"/>
  <c r="AW89" i="1"/>
  <c r="AT101" i="1"/>
  <c r="BM101" i="1"/>
  <c r="AQ101" i="1"/>
  <c r="CD39" i="1"/>
  <c r="AX20" i="1"/>
  <c r="AM30" i="1"/>
  <c r="AM32" i="1"/>
  <c r="I32" i="1" s="1"/>
  <c r="BE48" i="1"/>
  <c r="BW52" i="1"/>
  <c r="BD64" i="1"/>
  <c r="AY64" i="1"/>
  <c r="BJ64" i="1"/>
  <c r="AZ22" i="1"/>
  <c r="BZ22" i="1"/>
  <c r="CA42" i="1"/>
  <c r="BN51" i="1"/>
  <c r="CC51" i="1"/>
  <c r="AS51" i="1"/>
  <c r="BK30" i="1"/>
  <c r="CC30" i="1"/>
  <c r="AN30" i="1"/>
  <c r="BL40" i="1"/>
  <c r="AP40" i="1"/>
  <c r="BP40" i="1"/>
  <c r="AM51" i="1"/>
  <c r="BI60" i="1"/>
  <c r="BB60" i="1"/>
  <c r="CD14" i="1"/>
  <c r="AX16" i="1"/>
  <c r="AL16" i="1"/>
  <c r="CD20" i="1"/>
  <c r="BA20" i="1"/>
  <c r="BF20" i="1"/>
  <c r="AO46" i="1"/>
  <c r="BZ51" i="1"/>
  <c r="BL69" i="1"/>
  <c r="BA69" i="1"/>
  <c r="CC79" i="1"/>
  <c r="AW79" i="1"/>
  <c r="AX79" i="1"/>
  <c r="BE83" i="1"/>
  <c r="BK85" i="1"/>
  <c r="BA15" i="1"/>
  <c r="AW63" i="1"/>
  <c r="AL63" i="1"/>
  <c r="BL71" i="1"/>
  <c r="AM72" i="1"/>
  <c r="BL73" i="1"/>
  <c r="BX74" i="1"/>
  <c r="AR87" i="1"/>
  <c r="BQ87" i="1"/>
  <c r="AW87" i="1"/>
  <c r="AR95" i="1"/>
  <c r="AY95" i="1"/>
  <c r="BY97" i="1"/>
  <c r="BB97" i="1"/>
  <c r="BN97" i="1"/>
  <c r="BL102" i="1"/>
  <c r="BV92" i="1"/>
  <c r="AT92" i="1"/>
  <c r="BR92" i="1"/>
  <c r="AO92" i="1"/>
  <c r="BN35" i="1"/>
  <c r="BM35" i="1"/>
  <c r="BD56" i="1"/>
  <c r="AO56" i="1"/>
  <c r="AT57" i="1"/>
  <c r="AO57" i="1"/>
  <c r="BY75" i="1"/>
  <c r="AW75" i="1"/>
  <c r="BB87" i="1"/>
  <c r="BM97" i="1"/>
  <c r="BQ99" i="1"/>
  <c r="BV99" i="1"/>
  <c r="BU99" i="1"/>
  <c r="BX108" i="1"/>
  <c r="CA108" i="1"/>
  <c r="BW27" i="1"/>
  <c r="BB36" i="1"/>
  <c r="CC45" i="1"/>
  <c r="AS45" i="1"/>
  <c r="AK46" i="1"/>
  <c r="I46" i="1" s="1"/>
  <c r="BU49" i="1"/>
  <c r="AY49" i="1"/>
  <c r="AP56" i="1"/>
  <c r="AR67" i="1"/>
  <c r="BE67" i="1"/>
  <c r="AS99" i="1"/>
  <c r="BI104" i="1"/>
  <c r="AX104" i="1"/>
  <c r="BX18" i="1"/>
  <c r="BR24" i="1"/>
  <c r="BX19" i="1"/>
  <c r="AZ25" i="1"/>
  <c r="AS28" i="1"/>
  <c r="I28" i="1" s="1"/>
  <c r="AK36" i="1"/>
  <c r="BX37" i="1"/>
  <c r="CA47" i="1"/>
  <c r="BM47" i="1"/>
  <c r="BN56" i="1"/>
  <c r="AY63" i="1"/>
  <c r="AZ71" i="1"/>
  <c r="BL77" i="1"/>
  <c r="BM86" i="1"/>
  <c r="AQ88" i="1"/>
  <c r="BR88" i="1"/>
  <c r="AZ95" i="1"/>
  <c r="BB96" i="1"/>
  <c r="CA96" i="1"/>
  <c r="AL96" i="1"/>
  <c r="AZ111" i="1"/>
  <c r="AO18" i="1"/>
  <c r="AX42" i="1"/>
  <c r="CB62" i="1"/>
  <c r="BD68" i="1"/>
  <c r="BB78" i="1"/>
  <c r="AY81" i="1"/>
  <c r="BK91" i="1"/>
  <c r="AO94" i="1"/>
  <c r="AN107" i="1"/>
  <c r="BR113" i="1"/>
  <c r="AX76" i="1"/>
  <c r="BV100" i="1"/>
  <c r="BB110" i="1"/>
  <c r="BO54" i="1"/>
  <c r="AZ76" i="1"/>
  <c r="CD84" i="1"/>
  <c r="BB84" i="1"/>
  <c r="BD93" i="1"/>
  <c r="BO100" i="1"/>
  <c r="BZ109" i="1"/>
  <c r="BX112" i="1"/>
  <c r="BD113" i="1"/>
  <c r="AO82" i="1"/>
  <c r="BO90" i="1"/>
  <c r="AT80" i="1"/>
  <c r="AY112" i="1"/>
  <c r="AX68" i="1"/>
  <c r="BQ76" i="1"/>
  <c r="BX93" i="1"/>
  <c r="CA103" i="1"/>
  <c r="AQ112" i="1"/>
  <c r="CB22" i="1"/>
  <c r="AP22" i="1"/>
  <c r="AN51" i="1"/>
  <c r="BE14" i="1"/>
  <c r="AK30" i="1"/>
  <c r="I30" i="1" s="1"/>
  <c r="BM31" i="1"/>
  <c r="AM40" i="1"/>
  <c r="BM48" i="1"/>
  <c r="CD60" i="1"/>
  <c r="BI16" i="1"/>
  <c r="CC20" i="1"/>
  <c r="AT40" i="1"/>
  <c r="BY69" i="1"/>
  <c r="AL69" i="1"/>
  <c r="BZ69" i="1"/>
  <c r="AZ72" i="1"/>
  <c r="AP97" i="1"/>
  <c r="BX102" i="1"/>
  <c r="AM92" i="1"/>
  <c r="BB111" i="1"/>
  <c r="AL15" i="1"/>
  <c r="BZ56" i="1"/>
  <c r="AT75" i="1"/>
  <c r="CC108" i="1"/>
  <c r="BC45" i="1"/>
  <c r="AO49" i="1"/>
  <c r="BM73" i="1"/>
  <c r="BA104" i="1"/>
  <c r="BB38" i="1"/>
  <c r="BI67" i="1"/>
  <c r="CC96" i="1"/>
  <c r="AX66" i="1"/>
  <c r="BV76" i="1"/>
  <c r="AO93" i="1"/>
  <c r="AS91" i="1"/>
  <c r="BD84" i="1"/>
  <c r="BF110" i="1"/>
  <c r="AW59" i="1"/>
  <c r="BU89" i="1"/>
  <c r="BV101" i="1"/>
  <c r="AP39" i="1"/>
  <c r="BO39" i="1"/>
  <c r="CD55" i="1"/>
  <c r="BL64" i="1"/>
  <c r="BB51" i="1"/>
  <c r="AZ14" i="1"/>
  <c r="AS40" i="1"/>
  <c r="AN48" i="1"/>
  <c r="AM20" i="1"/>
  <c r="BN40" i="1"/>
  <c r="CB108" i="1"/>
  <c r="BR79" i="1"/>
  <c r="BA83" i="1"/>
  <c r="BU63" i="1"/>
  <c r="AY73" i="1"/>
  <c r="AQ95" i="1"/>
  <c r="BO102" i="1"/>
  <c r="BX111" i="1"/>
  <c r="BQ56" i="1"/>
  <c r="BL72" i="1"/>
  <c r="BO99" i="1"/>
  <c r="CC92" i="1"/>
  <c r="AN25" i="1"/>
  <c r="BD46" i="1"/>
  <c r="BZ73" i="1"/>
  <c r="BP104" i="1"/>
  <c r="BZ15" i="1"/>
  <c r="AS38" i="1"/>
  <c r="CB73" i="1"/>
  <c r="AS86" i="1"/>
  <c r="BY88" i="1"/>
  <c r="BQ80" i="1"/>
  <c r="BL109" i="1"/>
  <c r="BJ103" i="1"/>
  <c r="BL105" i="1"/>
  <c r="CB105" i="1"/>
  <c r="BF23" i="1"/>
  <c r="BJ29" i="1"/>
  <c r="AL39" i="1"/>
  <c r="BD52" i="1"/>
  <c r="BX33" i="1"/>
  <c r="CD17" i="1"/>
  <c r="AN40" i="1"/>
  <c r="BB64" i="1"/>
  <c r="BC64" i="1"/>
  <c r="BA51" i="1"/>
  <c r="BK14" i="1"/>
  <c r="BV30" i="1"/>
  <c r="AO40" i="1"/>
  <c r="BK48" i="1"/>
  <c r="CA15" i="1"/>
  <c r="CA73" i="1"/>
  <c r="BR95" i="1"/>
  <c r="BE102" i="1"/>
  <c r="BQ92" i="1"/>
  <c r="BI56" i="1"/>
  <c r="BW75" i="1"/>
  <c r="CB99" i="1"/>
  <c r="BK46" i="1"/>
  <c r="AY72" i="1"/>
  <c r="BO108" i="1"/>
  <c r="AM28" i="1"/>
  <c r="BZ68" i="1"/>
  <c r="BZ83" i="1"/>
  <c r="AP88" i="1"/>
  <c r="AY96" i="1"/>
  <c r="BO34" i="1"/>
  <c r="BF74" i="1"/>
  <c r="BN107" i="1"/>
  <c r="BN91" i="1"/>
  <c r="BF70" i="1"/>
  <c r="AO90" i="1"/>
  <c r="AP50" i="1"/>
  <c r="AM107" i="1"/>
  <c r="BI35" i="1"/>
  <c r="AO38" i="1"/>
  <c r="BK33" i="1"/>
  <c r="AT39" i="1"/>
  <c r="BX42" i="1"/>
  <c r="AK48" i="1"/>
  <c r="I48" i="1" s="1"/>
  <c r="CC55" i="1"/>
  <c r="AX59" i="1"/>
  <c r="BA64" i="1"/>
  <c r="BB89" i="1"/>
  <c r="BX101" i="1"/>
  <c r="BU39" i="1"/>
  <c r="BP21" i="1"/>
  <c r="BJ43" i="1"/>
  <c r="BF30" i="1"/>
  <c r="BD32" i="1"/>
  <c r="BY38" i="1"/>
  <c r="BY48" i="1"/>
  <c r="AN61" i="1"/>
  <c r="AM64" i="1"/>
  <c r="BZ64" i="1"/>
  <c r="AW64" i="1"/>
  <c r="AX39" i="1"/>
  <c r="BC42" i="1"/>
  <c r="BE51" i="1"/>
  <c r="BQ51" i="1"/>
  <c r="BX30" i="1"/>
  <c r="BB40" i="1"/>
  <c r="AZ43" i="1"/>
  <c r="BB48" i="1"/>
  <c r="CC48" i="1"/>
  <c r="AZ60" i="1"/>
  <c r="AW60" i="1"/>
  <c r="BV20" i="1"/>
  <c r="AW20" i="1"/>
  <c r="AT30" i="1"/>
  <c r="BC39" i="1"/>
  <c r="BY46" i="1"/>
  <c r="AN52" i="1"/>
  <c r="BJ61" i="1"/>
  <c r="BN69" i="1"/>
  <c r="CD69" i="1"/>
  <c r="BI79" i="1"/>
  <c r="BV83" i="1"/>
  <c r="AP83" i="1"/>
  <c r="AR15" i="1"/>
  <c r="BI24" i="1"/>
  <c r="BD25" i="1"/>
  <c r="CA63" i="1"/>
  <c r="BQ72" i="1"/>
  <c r="AR73" i="1"/>
  <c r="AY85" i="1"/>
  <c r="BL87" i="1"/>
  <c r="BV95" i="1"/>
  <c r="AO95" i="1"/>
  <c r="BY95" i="1"/>
  <c r="BP97" i="1"/>
  <c r="AR97" i="1"/>
  <c r="BZ97" i="1"/>
  <c r="AL97" i="1"/>
  <c r="I97" i="1" s="1"/>
  <c r="AK102" i="1"/>
  <c r="BC102" i="1"/>
  <c r="BI102" i="1"/>
  <c r="BZ102" i="1"/>
  <c r="BM92" i="1"/>
  <c r="BJ111" i="1"/>
  <c r="BV111" i="1"/>
  <c r="CA24" i="1"/>
  <c r="BE35" i="1"/>
  <c r="AM56" i="1"/>
  <c r="I56" i="1" s="1"/>
  <c r="AY56" i="1"/>
  <c r="AL57" i="1"/>
  <c r="I57" i="1" s="1"/>
  <c r="BA57" i="1"/>
  <c r="BK73" i="1"/>
  <c r="BP75" i="1"/>
  <c r="AN75" i="1"/>
  <c r="AQ83" i="1"/>
  <c r="BN87" i="1"/>
  <c r="AX99" i="1"/>
  <c r="BL108" i="1"/>
  <c r="AN85" i="1"/>
  <c r="AM108" i="1"/>
  <c r="BN108" i="1"/>
  <c r="AS111" i="1"/>
  <c r="BP15" i="1"/>
  <c r="BV36" i="1"/>
  <c r="BL36" i="1"/>
  <c r="BL49" i="1"/>
  <c r="AP49" i="1"/>
  <c r="BA56" i="1"/>
  <c r="AX63" i="1"/>
  <c r="AW67" i="1"/>
  <c r="AM73" i="1"/>
  <c r="AP79" i="1"/>
  <c r="BO92" i="1"/>
  <c r="BJ99" i="1"/>
  <c r="AZ104" i="1"/>
  <c r="BU104" i="1"/>
  <c r="AN104" i="1"/>
  <c r="I104" i="1" s="1"/>
  <c r="BJ104" i="1"/>
  <c r="BO111" i="1"/>
  <c r="AW19" i="1"/>
  <c r="BI25" i="1"/>
  <c r="CD28" i="1"/>
  <c r="BB28" i="1"/>
  <c r="AT37" i="1"/>
  <c r="BE45" i="1"/>
  <c r="BR47" i="1"/>
  <c r="BY56" i="1"/>
  <c r="AN73" i="1"/>
  <c r="BK75" i="1"/>
  <c r="BN77" i="1"/>
  <c r="AQ79" i="1"/>
  <c r="CB86" i="1"/>
  <c r="CD88" i="1"/>
  <c r="AX88" i="1"/>
  <c r="BB88" i="1"/>
  <c r="BZ96" i="1"/>
  <c r="AR96" i="1"/>
  <c r="BP96" i="1"/>
  <c r="AS96" i="1"/>
  <c r="CB103" i="1"/>
  <c r="BP111" i="1"/>
  <c r="AX18" i="1"/>
  <c r="BF58" i="1"/>
  <c r="BM68" i="1"/>
  <c r="CB70" i="1"/>
  <c r="BK78" i="1"/>
  <c r="AK80" i="1"/>
  <c r="AP81" i="1"/>
  <c r="BU91" i="1"/>
  <c r="AN103" i="1"/>
  <c r="BA109" i="1"/>
  <c r="AO68" i="1"/>
  <c r="BF76" i="1"/>
  <c r="BM100" i="1"/>
  <c r="AS110" i="1"/>
  <c r="BQ68" i="1"/>
  <c r="BI76" i="1"/>
  <c r="BV84" i="1"/>
  <c r="BL84" i="1"/>
  <c r="BL93" i="1"/>
  <c r="BY100" i="1"/>
  <c r="BC103" i="1"/>
  <c r="AZ112" i="1"/>
  <c r="BY113" i="1"/>
  <c r="BM113" i="1"/>
  <c r="AX82" i="1"/>
  <c r="BF106" i="1"/>
  <c r="AO34" i="1"/>
  <c r="AX103" i="1"/>
  <c r="CC109" i="1"/>
  <c r="BL22" i="1"/>
  <c r="AX48" i="1"/>
  <c r="BE60" i="1"/>
  <c r="CA16" i="1"/>
  <c r="AO20" i="1"/>
  <c r="AL83" i="1"/>
  <c r="I83" i="1" s="1"/>
  <c r="AQ24" i="1"/>
  <c r="CC63" i="1"/>
  <c r="AW71" i="1"/>
  <c r="BV71" i="1"/>
  <c r="BP73" i="1"/>
  <c r="BB95" i="1"/>
  <c r="BE95" i="1"/>
  <c r="BF97" i="1"/>
  <c r="AN111" i="1"/>
  <c r="BL44" i="1"/>
  <c r="BW57" i="1"/>
  <c r="CA84" i="1"/>
  <c r="AT108" i="1"/>
  <c r="AK44" i="1"/>
  <c r="BU79" i="1"/>
  <c r="CA104" i="1"/>
  <c r="CB25" i="1"/>
  <c r="BA47" i="1"/>
  <c r="AW77" i="1"/>
  <c r="BB54" i="1"/>
  <c r="BZ80" i="1"/>
  <c r="BJ112" i="1"/>
  <c r="BX76" i="1"/>
  <c r="BD94" i="1"/>
  <c r="AY113" i="1"/>
  <c r="AX98" i="1"/>
  <c r="BZ59" i="1"/>
  <c r="AO101" i="1"/>
  <c r="BL39" i="1"/>
  <c r="AM21" i="1"/>
  <c r="BA22" i="1"/>
  <c r="BJ51" i="1"/>
  <c r="BM22" i="1"/>
  <c r="CD40" i="1"/>
  <c r="CC60" i="1"/>
  <c r="AZ20" i="1"/>
  <c r="AQ72" i="1"/>
  <c r="BP95" i="1"/>
  <c r="AM85" i="1"/>
  <c r="CA67" i="1"/>
  <c r="BJ24" i="1"/>
  <c r="AO72" i="1"/>
  <c r="BZ88" i="1"/>
  <c r="AY93" i="1"/>
  <c r="AL93" i="1"/>
  <c r="BF98" i="1"/>
  <c r="CA32" i="1"/>
  <c r="AS52" i="1"/>
  <c r="AM61" i="1"/>
  <c r="AR55" i="1"/>
  <c r="BP17" i="1"/>
  <c r="CC33" i="1"/>
  <c r="BZ92" i="1"/>
  <c r="AT89" i="1"/>
  <c r="AW101" i="1"/>
  <c r="BV51" i="1"/>
  <c r="BR22" i="1"/>
  <c r="CD51" i="1"/>
  <c r="AP14" i="1"/>
  <c r="BZ30" i="1"/>
  <c r="CB40" i="1"/>
  <c r="BK55" i="1"/>
  <c r="AM16" i="1"/>
  <c r="BI20" i="1"/>
  <c r="CB48" i="1"/>
  <c r="AZ69" i="1"/>
  <c r="BJ79" i="1"/>
  <c r="BV72" i="1"/>
  <c r="BF95" i="1"/>
  <c r="AP111" i="1"/>
  <c r="CB111" i="1"/>
  <c r="AY57" i="1"/>
  <c r="AN99" i="1"/>
  <c r="BU108" i="1"/>
  <c r="BD35" i="1"/>
  <c r="BR67" i="1"/>
  <c r="AO87" i="1"/>
  <c r="AT27" i="1"/>
  <c r="BZ57" i="1"/>
  <c r="BQ88" i="1"/>
  <c r="BY96" i="1"/>
  <c r="BO66" i="1"/>
  <c r="AQ100" i="1"/>
  <c r="AT110" i="1"/>
  <c r="BB94" i="1"/>
  <c r="BO98" i="1"/>
  <c r="BA46" i="1"/>
  <c r="BK107" i="1"/>
  <c r="AY30" i="1"/>
  <c r="BI23" i="1"/>
  <c r="AY33" i="1"/>
  <c r="BD48" i="1"/>
  <c r="AX52" i="1"/>
  <c r="AL59" i="1"/>
  <c r="BX89" i="1"/>
  <c r="BI89" i="1"/>
  <c r="BD89" i="1"/>
  <c r="BI101" i="1"/>
  <c r="BF101" i="1"/>
  <c r="BX26" i="1"/>
  <c r="AR39" i="1"/>
  <c r="BW31" i="1"/>
  <c r="AN22" i="1"/>
  <c r="BW30" i="1"/>
  <c r="BV32" i="1"/>
  <c r="AY43" i="1"/>
  <c r="BE61" i="1"/>
  <c r="BM46" i="1"/>
  <c r="AX21" i="1"/>
  <c r="AW51" i="1"/>
  <c r="AN39" i="1"/>
  <c r="CC14" i="1"/>
  <c r="BZ14" i="1"/>
  <c r="BO14" i="1"/>
  <c r="AS30" i="1"/>
  <c r="CD30" i="1"/>
  <c r="AZ30" i="1"/>
  <c r="BZ40" i="1"/>
  <c r="AR40" i="1"/>
  <c r="CC40" i="1"/>
  <c r="AW40" i="1"/>
  <c r="AR48" i="1"/>
  <c r="BR48" i="1"/>
  <c r="AL52" i="1"/>
  <c r="I52" i="1" s="1"/>
  <c r="AQ60" i="1"/>
  <c r="AS60" i="1"/>
  <c r="BQ16" i="1"/>
  <c r="AW16" i="1"/>
  <c r="BM20" i="1"/>
  <c r="AN20" i="1"/>
  <c r="BN22" i="1"/>
  <c r="BX32" i="1"/>
  <c r="AS55" i="1"/>
  <c r="BE69" i="1"/>
  <c r="AT69" i="1"/>
  <c r="BQ69" i="1"/>
  <c r="BY25" i="1"/>
  <c r="BM25" i="1"/>
  <c r="BR63" i="1"/>
  <c r="BE71" i="1"/>
  <c r="AT71" i="1"/>
  <c r="AS71" i="1"/>
  <c r="CB72" i="1"/>
  <c r="BI72" i="1"/>
  <c r="AT73" i="1"/>
  <c r="BO79" i="1"/>
  <c r="BU87" i="1"/>
  <c r="AN87" i="1"/>
  <c r="I87" i="1" s="1"/>
  <c r="BZ87" i="1"/>
  <c r="BL95" i="1"/>
  <c r="AY97" i="1"/>
  <c r="AR102" i="1"/>
  <c r="AS92" i="1"/>
  <c r="BL111" i="1"/>
  <c r="AM25" i="1"/>
  <c r="AW35" i="1"/>
  <c r="BB44" i="1"/>
  <c r="BK56" i="1"/>
  <c r="BK57" i="1"/>
  <c r="BX73" i="1"/>
  <c r="AY75" i="1"/>
  <c r="BN99" i="1"/>
  <c r="BB99" i="1"/>
  <c r="BC108" i="1"/>
  <c r="AQ108" i="1"/>
  <c r="BZ111" i="1"/>
  <c r="BE27" i="1"/>
  <c r="BX27" i="1"/>
  <c r="BM36" i="1"/>
  <c r="BL45" i="1"/>
  <c r="BN45" i="1"/>
  <c r="BC49" i="1"/>
  <c r="BK63" i="1"/>
  <c r="BP67" i="1"/>
  <c r="AZ73" i="1"/>
  <c r="BE79" i="1"/>
  <c r="BE85" i="1"/>
  <c r="CC99" i="1"/>
  <c r="AQ104" i="1"/>
  <c r="AW15" i="1"/>
  <c r="AN15" i="1"/>
  <c r="AN19" i="1"/>
  <c r="I19" i="1" s="1"/>
  <c r="BV28" i="1"/>
  <c r="BL28" i="1"/>
  <c r="BC36" i="1"/>
  <c r="BK38" i="1"/>
  <c r="BO45" i="1"/>
  <c r="BJ47" i="1"/>
  <c r="AQ49" i="1"/>
  <c r="AR57" i="1"/>
  <c r="BZ63" i="1"/>
  <c r="BB73" i="1"/>
  <c r="BX75" i="1"/>
  <c r="AT77" i="1"/>
  <c r="BV79" i="1"/>
  <c r="BK86" i="1"/>
  <c r="AR86" i="1"/>
  <c r="BQ86" i="1"/>
  <c r="AQ87" i="1"/>
  <c r="AN88" i="1"/>
  <c r="BN88" i="1"/>
  <c r="BQ96" i="1"/>
  <c r="BF96" i="1"/>
  <c r="CB113" i="1"/>
  <c r="BW113" i="1"/>
  <c r="AK55" i="1"/>
  <c r="I55" i="1" s="1"/>
  <c r="CB64" i="1"/>
  <c r="BU30" i="1"/>
  <c r="BQ40" i="1"/>
  <c r="CD48" i="1"/>
  <c r="BY52" i="1"/>
  <c r="BK60" i="1"/>
  <c r="BO16" i="1"/>
  <c r="BY30" i="1"/>
  <c r="CA79" i="1"/>
  <c r="AP92" i="1"/>
  <c r="BE99" i="1"/>
  <c r="AZ85" i="1"/>
  <c r="AK35" i="1"/>
  <c r="AT49" i="1"/>
  <c r="BR85" i="1"/>
  <c r="BW104" i="1"/>
  <c r="AX15" i="1"/>
  <c r="BM28" i="1"/>
  <c r="BW38" i="1"/>
  <c r="AX86" i="1"/>
  <c r="CB96" i="1"/>
  <c r="BO18" i="1"/>
  <c r="AO74" i="1"/>
  <c r="AK81" i="1"/>
  <c r="AS107" i="1"/>
  <c r="BU109" i="1"/>
  <c r="AO70" i="1"/>
  <c r="BW103" i="1"/>
  <c r="BP89" i="1"/>
  <c r="CC101" i="1"/>
  <c r="BV109" i="1"/>
  <c r="AL14" i="1"/>
  <c r="I14" i="1" s="1"/>
  <c r="AY40" i="1"/>
  <c r="AM55" i="1"/>
  <c r="BF16" i="1"/>
  <c r="AR83" i="1"/>
  <c r="BX34" i="1"/>
  <c r="BY87" i="1"/>
  <c r="BR97" i="1"/>
  <c r="BM44" i="1"/>
  <c r="BR75" i="1"/>
  <c r="BI99" i="1"/>
  <c r="AK108" i="1"/>
  <c r="I108" i="1" s="1"/>
  <c r="AN27" i="1"/>
  <c r="CB46" i="1"/>
  <c r="AT67" i="1"/>
  <c r="BM104" i="1"/>
  <c r="AL35" i="1"/>
  <c r="AR47" i="1"/>
  <c r="BP77" i="1"/>
  <c r="AM96" i="1"/>
  <c r="BN80" i="1"/>
  <c r="BN109" i="1"/>
  <c r="AK112" i="1"/>
  <c r="I112" i="1" s="1"/>
  <c r="BZ89" i="1"/>
  <c r="BM32" i="1"/>
  <c r="BE55" i="1"/>
  <c r="BX17" i="1"/>
  <c r="BW43" i="1"/>
  <c r="AS43" i="1"/>
  <c r="BM21" i="1"/>
  <c r="AY89" i="1"/>
  <c r="BJ101" i="1"/>
  <c r="BB39" i="1"/>
  <c r="CB21" i="1"/>
  <c r="CD64" i="1"/>
  <c r="BB22" i="1"/>
  <c r="BN52" i="1"/>
  <c r="BA30" i="1"/>
  <c r="BZ48" i="1"/>
  <c r="BM60" i="1"/>
  <c r="BA17" i="1"/>
  <c r="AS69" i="1"/>
  <c r="BW63" i="1"/>
  <c r="AS72" i="1"/>
  <c r="BR87" i="1"/>
  <c r="AM97" i="1"/>
  <c r="AR92" i="1"/>
  <c r="BO25" i="1"/>
  <c r="BI63" i="1"/>
  <c r="BF108" i="1"/>
  <c r="BC44" i="1"/>
  <c r="BB57" i="1"/>
  <c r="BF104" i="1"/>
  <c r="CC24" i="1"/>
  <c r="CC37" i="1"/>
  <c r="BE46" i="1"/>
  <c r="BI77" i="1"/>
  <c r="BO88" i="1"/>
  <c r="BI93" i="1"/>
  <c r="BX68" i="1"/>
  <c r="AO54" i="1"/>
  <c r="BY110" i="1"/>
  <c r="V18" i="1"/>
  <c r="W18" i="1" s="1"/>
  <c r="CD15" i="1"/>
  <c r="BX25" i="1"/>
  <c r="AL20" i="1"/>
  <c r="I20" i="1" s="1"/>
  <c r="BU23" i="1"/>
  <c r="BA105" i="1"/>
  <c r="BZ105" i="1"/>
  <c r="BM105" i="1"/>
  <c r="AT20" i="1"/>
  <c r="AY23" i="1"/>
  <c r="CC29" i="1"/>
  <c r="BM29" i="1"/>
  <c r="AK31" i="1"/>
  <c r="BK41" i="1"/>
  <c r="BO41" i="1"/>
  <c r="BN48" i="1"/>
  <c r="AL53" i="1"/>
  <c r="I53" i="1" s="1"/>
  <c r="BX53" i="1"/>
  <c r="AT65" i="1"/>
  <c r="BV52" i="1"/>
  <c r="BL25" i="1"/>
  <c r="BI61" i="1"/>
  <c r="BW55" i="1"/>
  <c r="BJ55" i="1"/>
  <c r="BY55" i="1"/>
  <c r="BU55" i="1"/>
  <c r="AX17" i="1"/>
  <c r="BF17" i="1"/>
  <c r="CC31" i="1"/>
  <c r="CA43" i="1"/>
  <c r="AR43" i="1"/>
  <c r="AY32" i="1"/>
  <c r="AP33" i="1"/>
  <c r="AN33" i="1"/>
  <c r="AZ37" i="1"/>
  <c r="BE30" i="1"/>
  <c r="BL33" i="1"/>
  <c r="BE40" i="1"/>
  <c r="BU52" i="1"/>
  <c r="BN65" i="1"/>
  <c r="BY89" i="1"/>
  <c r="AQ89" i="1"/>
  <c r="BN89" i="1"/>
  <c r="BF89" i="1"/>
  <c r="AR89" i="1"/>
  <c r="BY101" i="1"/>
  <c r="AY101" i="1"/>
  <c r="AN101" i="1"/>
  <c r="BV39" i="1"/>
  <c r="AZ39" i="1"/>
  <c r="BZ39" i="1"/>
  <c r="AQ21" i="1"/>
  <c r="AP21" i="1"/>
  <c r="BP32" i="1"/>
  <c r="BW61" i="1"/>
  <c r="BK87" i="1"/>
  <c r="AW25" i="1"/>
  <c r="BY57" i="1"/>
  <c r="AP99" i="1"/>
  <c r="BJ92" i="1"/>
  <c r="BX45" i="1"/>
  <c r="BX106" i="1"/>
  <c r="BN36" i="1"/>
  <c r="BD57" i="1"/>
  <c r="BK88" i="1"/>
  <c r="BL104" i="1"/>
  <c r="CD68" i="1"/>
  <c r="BD80" i="1"/>
  <c r="BR94" i="1"/>
  <c r="AL91" i="1"/>
  <c r="I91" i="1" s="1"/>
  <c r="AL22" i="1"/>
  <c r="I22" i="1" s="1"/>
  <c r="BK43" i="1"/>
  <c r="CA59" i="1"/>
  <c r="AW32" i="1"/>
  <c r="AR32" i="1"/>
  <c r="CA14" i="1"/>
  <c r="BI40" i="1"/>
  <c r="BV60" i="1"/>
  <c r="BW16" i="1"/>
  <c r="BC15" i="1"/>
  <c r="CD72" i="1"/>
  <c r="AZ87" i="1"/>
  <c r="AL95" i="1"/>
  <c r="I95" i="1" s="1"/>
  <c r="CA102" i="1"/>
  <c r="BU75" i="1"/>
  <c r="BJ108" i="1"/>
  <c r="AT35" i="1"/>
  <c r="AL49" i="1"/>
  <c r="AN72" i="1"/>
  <c r="AX102" i="1"/>
  <c r="AK27" i="1"/>
  <c r="BV67" i="1"/>
  <c r="CC86" i="1"/>
  <c r="BJ96" i="1"/>
  <c r="BK54" i="1"/>
  <c r="CD76" i="1"/>
  <c r="BW91" i="1"/>
  <c r="BF91" i="1"/>
  <c r="BP110" i="1"/>
  <c r="BY14" i="1"/>
  <c r="AW105" i="1"/>
  <c r="AR41" i="1"/>
  <c r="BB53" i="1"/>
  <c r="BZ52" i="1"/>
  <c r="BU61" i="1"/>
  <c r="BQ61" i="1"/>
  <c r="BB55" i="1"/>
  <c r="BY31" i="1"/>
  <c r="BD43" i="1"/>
  <c r="BK32" i="1"/>
  <c r="CD43" i="1"/>
  <c r="BO59" i="1"/>
  <c r="AL89" i="1"/>
  <c r="I89" i="1" s="1"/>
  <c r="BU101" i="1"/>
  <c r="BF39" i="1"/>
  <c r="CA21" i="1"/>
  <c r="AW33" i="1"/>
  <c r="BL14" i="1"/>
  <c r="BW32" i="1"/>
  <c r="AP51" i="1"/>
  <c r="AT14" i="1"/>
  <c r="AZ40" i="1"/>
  <c r="AS48" i="1"/>
  <c r="BR60" i="1"/>
  <c r="BM16" i="1"/>
  <c r="BD79" i="1"/>
  <c r="BQ83" i="1"/>
  <c r="BM15" i="1"/>
  <c r="AR63" i="1"/>
  <c r="AP73" i="1"/>
  <c r="AS95" i="1"/>
  <c r="BR102" i="1"/>
  <c r="BN111" i="1"/>
  <c r="BD44" i="1"/>
  <c r="BJ75" i="1"/>
  <c r="BM85" i="1"/>
  <c r="BK49" i="1"/>
  <c r="BI75" i="1"/>
  <c r="BE44" i="1"/>
  <c r="BJ86" i="1"/>
  <c r="AS62" i="1"/>
  <c r="BI80" i="1"/>
  <c r="BM107" i="1"/>
  <c r="AX78" i="1"/>
  <c r="BA103" i="1"/>
  <c r="AT112" i="1"/>
  <c r="U19" i="1"/>
  <c r="BR26" i="1"/>
  <c r="AT15" i="1"/>
  <c r="AO30" i="1"/>
  <c r="BL32" i="1"/>
  <c r="BV105" i="1"/>
  <c r="AQ105" i="1"/>
  <c r="BF105" i="1"/>
  <c r="CA23" i="1"/>
  <c r="AO23" i="1"/>
  <c r="BP23" i="1"/>
  <c r="AT23" i="1"/>
  <c r="AN29" i="1"/>
  <c r="BY41" i="1"/>
  <c r="BB41" i="1"/>
  <c r="CB41" i="1"/>
  <c r="BF41" i="1"/>
  <c r="AP43" i="1"/>
  <c r="AP53" i="1"/>
  <c r="BF53" i="1"/>
  <c r="BM53" i="1"/>
  <c r="AL65" i="1"/>
  <c r="BP65" i="1"/>
  <c r="BM52" i="1"/>
  <c r="BX62" i="1"/>
  <c r="BA36" i="1"/>
  <c r="CC61" i="1"/>
  <c r="AX61" i="1"/>
  <c r="CB61" i="1"/>
  <c r="BK61" i="1"/>
  <c r="BN55" i="1"/>
  <c r="BA55" i="1"/>
  <c r="BM55" i="1"/>
  <c r="BI55" i="1"/>
  <c r="BY17" i="1"/>
  <c r="AN17" i="1"/>
  <c r="BI17" i="1"/>
  <c r="BI31" i="1"/>
  <c r="BO43" i="1"/>
  <c r="BU32" i="1"/>
  <c r="AO32" i="1"/>
  <c r="AS39" i="1"/>
  <c r="AY51" i="1"/>
  <c r="CD101" i="1"/>
  <c r="AZ64" i="1"/>
  <c r="BV48" i="1"/>
  <c r="AT60" i="1"/>
  <c r="I60" i="1" s="1"/>
  <c r="CC16" i="1"/>
  <c r="BC33" i="1"/>
  <c r="AN69" i="1"/>
  <c r="BA92" i="1"/>
  <c r="BE15" i="1"/>
  <c r="BP57" i="1"/>
  <c r="AW99" i="1"/>
  <c r="BP108" i="1"/>
  <c r="AM36" i="1"/>
  <c r="AQ57" i="1"/>
  <c r="BN57" i="1"/>
  <c r="AN77" i="1"/>
  <c r="I77" i="1" s="1"/>
  <c r="BA88" i="1"/>
  <c r="BF66" i="1"/>
  <c r="BC107" i="1"/>
  <c r="BK94" i="1"/>
  <c r="BU16" i="1"/>
  <c r="BR23" i="1"/>
  <c r="BL29" i="1"/>
  <c r="AO29" i="1"/>
  <c r="AW41" i="1"/>
  <c r="CD53" i="1"/>
  <c r="AY65" i="1"/>
  <c r="AX55" i="1"/>
  <c r="AY31" i="1"/>
  <c r="BE32" i="1"/>
  <c r="AZ33" i="1"/>
  <c r="AQ14" i="1"/>
  <c r="AT17" i="1"/>
  <c r="BV53" i="1"/>
  <c r="BX60" i="1"/>
  <c r="CD89" i="1"/>
  <c r="BD101" i="1"/>
  <c r="AT21" i="1"/>
  <c r="AQ64" i="1"/>
  <c r="AW22" i="1"/>
  <c r="BU40" i="1"/>
  <c r="AQ16" i="1"/>
  <c r="AL108" i="1"/>
  <c r="AK24" i="1"/>
  <c r="I24" i="1" s="1"/>
  <c r="CA71" i="1"/>
  <c r="CD97" i="1"/>
  <c r="BJ102" i="1"/>
  <c r="AK85" i="1"/>
  <c r="I85" i="1" s="1"/>
  <c r="AM24" i="1"/>
  <c r="BU57" i="1"/>
  <c r="BD85" i="1"/>
  <c r="AZ108" i="1"/>
  <c r="AL45" i="1"/>
  <c r="I45" i="1" s="1"/>
  <c r="BU67" i="1"/>
  <c r="AS19" i="1"/>
  <c r="BA72" i="1"/>
  <c r="AK86" i="1"/>
  <c r="I86" i="1" s="1"/>
  <c r="BP92" i="1"/>
  <c r="AX108" i="1"/>
  <c r="CB54" i="1"/>
  <c r="AK70" i="1"/>
  <c r="BA110" i="1"/>
  <c r="BM91" i="1"/>
  <c r="BP91" i="1"/>
  <c r="AR60" i="1"/>
  <c r="AR20" i="1"/>
  <c r="AO111" i="1"/>
  <c r="BX35" i="1"/>
  <c r="BM71" i="1"/>
  <c r="BM63" i="1"/>
  <c r="BF42" i="1"/>
  <c r="U93" i="1"/>
  <c r="V93" i="1"/>
  <c r="W93" i="1"/>
  <c r="AK33" i="1"/>
  <c r="AL62" i="1"/>
  <c r="BQ77" i="1"/>
  <c r="BZ93" i="1"/>
  <c r="BL81" i="1"/>
  <c r="BB75" i="1"/>
  <c r="W105" i="1"/>
  <c r="U105" i="1"/>
  <c r="V105" i="1"/>
  <c r="BW29" i="1"/>
  <c r="CA41" i="1"/>
  <c r="BW65" i="1"/>
  <c r="BF52" i="1"/>
  <c r="V55" i="1"/>
  <c r="W55" i="1" s="1"/>
  <c r="U55" i="1"/>
  <c r="BW33" i="1"/>
  <c r="W32" i="1"/>
  <c r="V32" i="1"/>
  <c r="U32" i="1"/>
  <c r="U50" i="1"/>
  <c r="BD106" i="1"/>
  <c r="BV88" i="1"/>
  <c r="BJ94" i="1"/>
  <c r="BC80" i="1"/>
  <c r="AR54" i="1"/>
  <c r="AX100" i="1"/>
  <c r="BQ109" i="1"/>
  <c r="AY80" i="1"/>
  <c r="AZ54" i="1"/>
  <c r="AP28" i="1"/>
  <c r="BJ53" i="1"/>
  <c r="BJ38" i="1"/>
  <c r="AM78" i="1"/>
  <c r="BD40" i="1"/>
  <c r="BC14" i="1"/>
  <c r="AR84" i="1"/>
  <c r="BA25" i="1"/>
  <c r="AZ103" i="1"/>
  <c r="BN62" i="1"/>
  <c r="BK24" i="1"/>
  <c r="AR72" i="1"/>
  <c r="AS59" i="1"/>
  <c r="AP45" i="1"/>
  <c r="CA45" i="1"/>
  <c r="BF64" i="1"/>
  <c r="BL47" i="1"/>
  <c r="AK40" i="1"/>
  <c r="AQ70" i="1"/>
  <c r="I70" i="1" s="1"/>
  <c r="BP60" i="1"/>
  <c r="AP20" i="1"/>
  <c r="CC68" i="1"/>
  <c r="AY79" i="1"/>
  <c r="BN85" i="1"/>
  <c r="A869" i="15"/>
  <c r="AM99" i="1"/>
  <c r="BO85" i="1"/>
  <c r="BN38" i="1"/>
  <c r="AO62" i="1"/>
  <c r="V31" i="1"/>
  <c r="W31" i="1" s="1"/>
  <c r="U31" i="1"/>
  <c r="AO44" i="1"/>
  <c r="BK82" i="1"/>
  <c r="BI96" i="1"/>
  <c r="W62" i="1"/>
  <c r="U62" i="1"/>
  <c r="V62" i="1"/>
  <c r="AT93" i="1"/>
  <c r="AK68" i="1"/>
  <c r="AL25" i="1"/>
  <c r="BW53" i="1"/>
  <c r="AO65" i="1"/>
  <c r="BA58" i="1"/>
  <c r="BC82" i="1"/>
  <c r="BM98" i="1"/>
  <c r="AQ26" i="1"/>
  <c r="R24" i="1"/>
  <c r="T24" i="1"/>
  <c r="S24" i="1"/>
  <c r="AX29" i="1"/>
  <c r="BQ42" i="1"/>
  <c r="BV69" i="1"/>
  <c r="BU54" i="1"/>
  <c r="BY32" i="1"/>
  <c r="BF112" i="1"/>
  <c r="AY87" i="1"/>
  <c r="BV93" i="1"/>
  <c r="AS112" i="1"/>
  <c r="BR108" i="1"/>
  <c r="BF72" i="1"/>
  <c r="CA27" i="1"/>
  <c r="AK98" i="1"/>
  <c r="AY70" i="1"/>
  <c r="BN16" i="1"/>
  <c r="BD77" i="1"/>
  <c r="AK47" i="1"/>
  <c r="BM89" i="1"/>
  <c r="BQ62" i="1"/>
  <c r="BY24" i="1"/>
  <c r="BL113" i="1"/>
  <c r="CB45" i="1"/>
  <c r="BP71" i="1"/>
  <c r="BU58" i="1"/>
  <c r="CC46" i="1"/>
  <c r="BL92" i="1"/>
  <c r="V110" i="1"/>
  <c r="W110" i="1" s="1"/>
  <c r="U110" i="1"/>
  <c r="BI45" i="1"/>
  <c r="BL67" i="1"/>
  <c r="V97" i="1"/>
  <c r="W97" i="1" s="1"/>
  <c r="BL91" i="1"/>
  <c r="BR64" i="1"/>
  <c r="AK29" i="1"/>
  <c r="BC110" i="1"/>
  <c r="AX51" i="1"/>
  <c r="AT50" i="1"/>
  <c r="I50" i="1" s="1"/>
  <c r="AW65" i="1"/>
  <c r="CB37" i="1"/>
  <c r="BV54" i="1"/>
  <c r="BO32" i="1"/>
  <c r="V33" i="1"/>
  <c r="W33" i="1" s="1"/>
  <c r="U33" i="1"/>
  <c r="BD98" i="1"/>
  <c r="AX80" i="1"/>
  <c r="AR78" i="1"/>
  <c r="BI53" i="1"/>
  <c r="BF83" i="1"/>
  <c r="BO93" i="1"/>
  <c r="BP58" i="1"/>
  <c r="CB26" i="1"/>
  <c r="AT107" i="1"/>
  <c r="CB69" i="1"/>
  <c r="I69" i="1" s="1"/>
  <c r="BE66" i="1"/>
  <c r="BB25" i="1"/>
  <c r="CD93" i="1"/>
  <c r="CC70" i="1"/>
  <c r="BY26" i="1"/>
  <c r="CA106" i="1"/>
  <c r="BE57" i="1"/>
  <c r="BB42" i="1"/>
  <c r="BJ45" i="1"/>
  <c r="BI100" i="1"/>
  <c r="AW88" i="1"/>
  <c r="AY53" i="1"/>
  <c r="BM40" i="1"/>
  <c r="AW61" i="1"/>
  <c r="BZ32" i="1"/>
  <c r="BC61" i="1"/>
  <c r="AO14" i="1"/>
  <c r="U91" i="1"/>
  <c r="CB32" i="1"/>
  <c r="AW92" i="1"/>
  <c r="CB23" i="1"/>
  <c r="AL102" i="1"/>
  <c r="BW69" i="1"/>
  <c r="BL53" i="1"/>
  <c r="BU65" i="1"/>
  <c r="CD29" i="1"/>
  <c r="AT51" i="1"/>
  <c r="BN43" i="1"/>
  <c r="AX22" i="1"/>
  <c r="AM111" i="1"/>
  <c r="AT52" i="1"/>
  <c r="BK39" i="1"/>
  <c r="AL85" i="1"/>
  <c r="AR29" i="1"/>
  <c r="BD36" i="1"/>
  <c r="BX56" i="1"/>
  <c r="AX65" i="1"/>
  <c r="BC29" i="1"/>
  <c r="AM105" i="1"/>
  <c r="BD65" i="1"/>
  <c r="BL51" i="1"/>
  <c r="A1722" i="15"/>
  <c r="E45" i="12"/>
  <c r="E1745" i="15" s="1"/>
  <c r="A25" i="12"/>
  <c r="T72" i="1"/>
  <c r="R72" i="1"/>
  <c r="S72" i="1"/>
  <c r="T84" i="1"/>
  <c r="S84" i="1"/>
  <c r="R84" i="1"/>
  <c r="V25" i="1"/>
  <c r="U25" i="1"/>
  <c r="W25" i="1"/>
  <c r="S21" i="1"/>
  <c r="T21" i="1"/>
  <c r="R21" i="1"/>
  <c r="S87" i="1"/>
  <c r="T87" i="1"/>
  <c r="R87" i="1"/>
  <c r="T64" i="1"/>
  <c r="R64" i="1"/>
  <c r="S64" i="1"/>
  <c r="T86" i="1"/>
  <c r="S86" i="1"/>
  <c r="R86" i="1"/>
  <c r="R52" i="1"/>
  <c r="T52" i="1"/>
  <c r="S52" i="1"/>
  <c r="A459" i="19"/>
  <c r="H459" i="19"/>
  <c r="G459" i="19"/>
  <c r="F459" i="19"/>
  <c r="E459" i="19"/>
  <c r="D459" i="19"/>
  <c r="C459" i="19"/>
  <c r="U73" i="1"/>
  <c r="W73" i="1"/>
  <c r="V73" i="1"/>
  <c r="S71" i="1"/>
  <c r="T71" i="1"/>
  <c r="R71" i="1"/>
  <c r="W75" i="1"/>
  <c r="V75" i="1"/>
  <c r="U75" i="1"/>
  <c r="U79" i="1"/>
  <c r="V79" i="1"/>
  <c r="W79" i="1" s="1"/>
  <c r="V28" i="1"/>
  <c r="U28" i="1"/>
  <c r="W28" i="1"/>
  <c r="I111" i="1"/>
  <c r="V111" i="1"/>
  <c r="W111" i="1" s="1"/>
  <c r="U111" i="1"/>
  <c r="U77" i="1"/>
  <c r="V77" i="1"/>
  <c r="W77" i="1" s="1"/>
  <c r="R40" i="1"/>
  <c r="T40" i="1"/>
  <c r="S40" i="1"/>
  <c r="U34" i="1"/>
  <c r="V83" i="1"/>
  <c r="W83" i="1" s="1"/>
  <c r="U83" i="1"/>
  <c r="T54" i="1"/>
  <c r="S54" i="1"/>
  <c r="R54" i="1"/>
  <c r="V103" i="1"/>
  <c r="W103" i="1" s="1"/>
  <c r="BL100" i="1"/>
  <c r="BU93" i="1"/>
  <c r="AK110" i="1"/>
  <c r="W88" i="1"/>
  <c r="U88" i="1"/>
  <c r="V88" i="1"/>
  <c r="AX34" i="1"/>
  <c r="AZ90" i="1"/>
  <c r="BU111" i="1"/>
  <c r="BW50" i="1"/>
  <c r="BR36" i="1"/>
  <c r="BJ34" i="1"/>
  <c r="BB32" i="1"/>
  <c r="V29" i="1"/>
  <c r="W29" i="1" s="1"/>
  <c r="V41" i="1"/>
  <c r="W41" i="1" s="1"/>
  <c r="U41" i="1"/>
  <c r="U65" i="1"/>
  <c r="W65" i="1"/>
  <c r="V65" i="1"/>
  <c r="BX20" i="1"/>
  <c r="BC17" i="1"/>
  <c r="AN32" i="1"/>
  <c r="BQ33" i="1"/>
  <c r="CA107" i="1"/>
  <c r="AO110" i="1"/>
  <c r="BC81" i="1"/>
  <c r="AZ107" i="1"/>
  <c r="BR66" i="1"/>
  <c r="BM96" i="1"/>
  <c r="AS73" i="1"/>
  <c r="I73" i="1" s="1"/>
  <c r="BK23" i="1"/>
  <c r="CC90" i="1"/>
  <c r="BU62" i="1"/>
  <c r="AK39" i="1"/>
  <c r="I39" i="1" s="1"/>
  <c r="AT19" i="1"/>
  <c r="AM58" i="1"/>
  <c r="BI28" i="1"/>
  <c r="BF71" i="1"/>
  <c r="AQ66" i="1"/>
  <c r="BC40" i="1"/>
  <c r="BF94" i="1"/>
  <c r="BD63" i="1"/>
  <c r="AP106" i="1"/>
  <c r="AY19" i="1"/>
  <c r="BU80" i="1"/>
  <c r="BU15" i="1"/>
  <c r="AN60" i="1"/>
  <c r="T14" i="1"/>
  <c r="R14" i="1"/>
  <c r="S14" i="1"/>
  <c r="AZ75" i="1"/>
  <c r="AT22" i="1"/>
  <c r="BX24" i="1"/>
  <c r="BY71" i="1"/>
  <c r="AO85" i="1"/>
  <c r="BO71" i="1"/>
  <c r="AK54" i="1"/>
  <c r="I54" i="1" s="1"/>
  <c r="T93" i="1"/>
  <c r="S93" i="1"/>
  <c r="R93" i="1"/>
  <c r="AY48" i="1"/>
  <c r="AN35" i="1"/>
  <c r="BJ62" i="1"/>
  <c r="AS77" i="1"/>
  <c r="AP93" i="1"/>
  <c r="AN81" i="1"/>
  <c r="AN21" i="1"/>
  <c r="T105" i="1"/>
  <c r="S105" i="1"/>
  <c r="R105" i="1"/>
  <c r="AQ29" i="1"/>
  <c r="AT53" i="1"/>
  <c r="S91" i="1"/>
  <c r="T91" i="1"/>
  <c r="R91" i="1"/>
  <c r="CA52" i="1"/>
  <c r="S55" i="1"/>
  <c r="T55" i="1"/>
  <c r="R55" i="1"/>
  <c r="AL43" i="1"/>
  <c r="BC62" i="1"/>
  <c r="AL67" i="1"/>
  <c r="BZ100" i="1"/>
  <c r="BJ88" i="1"/>
  <c r="AL94" i="1"/>
  <c r="I94" i="1" s="1"/>
  <c r="BO80" i="1"/>
  <c r="BD54" i="1"/>
  <c r="BN78" i="1"/>
  <c r="BD102" i="1"/>
  <c r="AW73" i="1"/>
  <c r="BL54" i="1"/>
  <c r="BZ28" i="1"/>
  <c r="AX53" i="1"/>
  <c r="BV38" i="1"/>
  <c r="BA68" i="1"/>
  <c r="AZ34" i="1"/>
  <c r="BZ90" i="1"/>
  <c r="BY76" i="1"/>
  <c r="CD106" i="1"/>
  <c r="AZ93" i="1"/>
  <c r="AP62" i="1"/>
  <c r="BW24" i="1"/>
  <c r="BB16" i="1"/>
  <c r="AN65" i="1"/>
  <c r="I65" i="1" s="1"/>
  <c r="BB45" i="1"/>
  <c r="U67" i="1"/>
  <c r="AR17" i="1"/>
  <c r="AY62" i="1"/>
  <c r="BC70" i="1"/>
  <c r="BI82" i="1"/>
  <c r="BI30" i="1"/>
  <c r="AS68" i="1"/>
  <c r="CB79" i="1"/>
  <c r="BO95" i="1"/>
  <c r="BD92" i="1"/>
  <c r="BM111" i="1"/>
  <c r="CB24" i="1"/>
  <c r="CB71" i="1"/>
  <c r="I71" i="1" s="1"/>
  <c r="S31" i="1"/>
  <c r="T31" i="1"/>
  <c r="R31" i="1"/>
  <c r="BA44" i="1"/>
  <c r="BW82" i="1"/>
  <c r="BU68" i="1"/>
  <c r="BV25" i="1"/>
  <c r="AZ92" i="1"/>
  <c r="V70" i="1"/>
  <c r="W70" i="1" s="1"/>
  <c r="U70" i="1"/>
  <c r="BP99" i="1"/>
  <c r="AO45" i="1"/>
  <c r="BY58" i="1"/>
  <c r="AW50" i="1"/>
  <c r="AY28" i="1"/>
  <c r="BC26" i="1"/>
  <c r="V24" i="1"/>
  <c r="W24" i="1" s="1"/>
  <c r="U24" i="1"/>
  <c r="V27" i="1"/>
  <c r="W27" i="1" s="1"/>
  <c r="U27" i="1"/>
  <c r="BZ37" i="1"/>
  <c r="BQ53" i="1"/>
  <c r="AM94" i="1"/>
  <c r="BI54" i="1"/>
  <c r="BU74" i="1"/>
  <c r="CD112" i="1"/>
  <c r="CD80" i="1"/>
  <c r="BU86" i="1"/>
  <c r="AY99" i="1"/>
  <c r="BO94" i="1"/>
  <c r="BE65" i="1"/>
  <c r="AQ27" i="1"/>
  <c r="BU98" i="1"/>
  <c r="AM70" i="1"/>
  <c r="AP16" i="1"/>
  <c r="CD67" i="1"/>
  <c r="BU47" i="1"/>
  <c r="BY112" i="1"/>
  <c r="CC62" i="1"/>
  <c r="BM24" i="1"/>
  <c r="AN113" i="1"/>
  <c r="BP45" i="1"/>
  <c r="AS21" i="1"/>
  <c r="AK58" i="1"/>
  <c r="BM43" i="1"/>
  <c r="AW45" i="1"/>
  <c r="AZ67" i="1"/>
  <c r="AZ91" i="1"/>
  <c r="CA19" i="1"/>
  <c r="BP31" i="1"/>
  <c r="BF87" i="1"/>
  <c r="V36" i="1"/>
  <c r="W36" i="1" s="1"/>
  <c r="U36" i="1"/>
  <c r="V35" i="1"/>
  <c r="W35" i="1" s="1"/>
  <c r="AW93" i="1"/>
  <c r="BR50" i="1"/>
  <c r="AM74" i="1"/>
  <c r="I74" i="1" s="1"/>
  <c r="AR37" i="1"/>
  <c r="BP38" i="1"/>
  <c r="AK84" i="1"/>
  <c r="I84" i="1" s="1"/>
  <c r="AR98" i="1"/>
  <c r="AL80" i="1"/>
  <c r="BP78" i="1"/>
  <c r="BD104" i="1"/>
  <c r="CB76" i="1"/>
  <c r="CA93" i="1"/>
  <c r="AR58" i="1"/>
  <c r="AR26" i="1"/>
  <c r="BF107" i="1"/>
  <c r="AZ59" i="1"/>
  <c r="CC66" i="1"/>
  <c r="CD18" i="1"/>
  <c r="BP30" i="1"/>
  <c r="BE70" i="1"/>
  <c r="AM59" i="1"/>
  <c r="BQ57" i="1"/>
  <c r="AP42" i="1"/>
  <c r="CA109" i="1"/>
  <c r="AP34" i="1"/>
  <c r="AK88" i="1"/>
  <c r="I88" i="1" s="1"/>
  <c r="BO55" i="1"/>
  <c r="BV17" i="1"/>
  <c r="BP85" i="1"/>
  <c r="BN39" i="1"/>
  <c r="AZ24" i="1"/>
  <c r="AQ41" i="1"/>
  <c r="BR55" i="1"/>
  <c r="BK65" i="1"/>
  <c r="BR89" i="1"/>
  <c r="BP61" i="1"/>
  <c r="CC43" i="1"/>
  <c r="BB61" i="1"/>
  <c r="BB52" i="1"/>
  <c r="AS22" i="1"/>
  <c r="BB23" i="1"/>
  <c r="BN27" i="1"/>
  <c r="BR104" i="1"/>
  <c r="BI83" i="1"/>
  <c r="BR32" i="1"/>
  <c r="BJ73" i="1"/>
  <c r="CA22" i="1"/>
  <c r="AP29" i="1"/>
  <c r="BX39" i="1"/>
  <c r="CD41" i="1"/>
  <c r="BV14" i="1"/>
  <c r="BX52" i="1"/>
  <c r="BM27" i="1"/>
  <c r="BZ55" i="1"/>
  <c r="W23" i="1"/>
  <c r="U23" i="1"/>
  <c r="V23" i="1"/>
  <c r="I23" i="1"/>
  <c r="I102" i="1"/>
  <c r="V102" i="1"/>
  <c r="W102" i="1" s="1"/>
  <c r="U102" i="1"/>
  <c r="W51" i="1"/>
  <c r="U51" i="1"/>
  <c r="V51" i="1"/>
  <c r="I51" i="1"/>
  <c r="T22" i="1"/>
  <c r="S22" i="1"/>
  <c r="R22" i="1"/>
  <c r="V112" i="1"/>
  <c r="W112" i="1" s="1"/>
  <c r="V52" i="1"/>
  <c r="W52" i="1"/>
  <c r="U52" i="1"/>
  <c r="S73" i="1"/>
  <c r="T73" i="1"/>
  <c r="R73" i="1"/>
  <c r="S75" i="1"/>
  <c r="T75" i="1"/>
  <c r="R75" i="1"/>
  <c r="U49" i="1"/>
  <c r="I49" i="1"/>
  <c r="V49" i="1"/>
  <c r="W49" i="1"/>
  <c r="S79" i="1"/>
  <c r="T79" i="1"/>
  <c r="R79" i="1"/>
  <c r="S111" i="1"/>
  <c r="R111" i="1"/>
  <c r="T111" i="1"/>
  <c r="V96" i="1"/>
  <c r="W96" i="1" s="1"/>
  <c r="T77" i="1"/>
  <c r="S77" i="1"/>
  <c r="R77" i="1"/>
  <c r="V26" i="1"/>
  <c r="W26" i="1" s="1"/>
  <c r="R83" i="1"/>
  <c r="T83" i="1"/>
  <c r="S83" i="1"/>
  <c r="V94" i="1"/>
  <c r="W94" i="1" s="1"/>
  <c r="U94" i="1"/>
  <c r="AX72" i="1"/>
  <c r="AX62" i="1"/>
  <c r="BL90" i="1"/>
  <c r="BJ107" i="1"/>
  <c r="AM50" i="1"/>
  <c r="BP36" i="1"/>
  <c r="BV34" i="1"/>
  <c r="AY105" i="1"/>
  <c r="BL41" i="1"/>
  <c r="S65" i="1"/>
  <c r="T65" i="1"/>
  <c r="R65" i="1"/>
  <c r="BR52" i="1"/>
  <c r="AP31" i="1"/>
  <c r="AM49" i="1"/>
  <c r="BW95" i="1"/>
  <c r="BM110" i="1"/>
  <c r="AQ81" i="1"/>
  <c r="BL107" i="1"/>
  <c r="CD66" i="1"/>
  <c r="BA96" i="1"/>
  <c r="AQ67" i="1"/>
  <c r="BW23" i="1"/>
  <c r="BE90" i="1"/>
  <c r="BI62" i="1"/>
  <c r="BC25" i="1"/>
  <c r="BR19" i="1"/>
  <c r="AY58" i="1"/>
  <c r="AW28" i="1"/>
  <c r="BA100" i="1"/>
  <c r="AQ54" i="1"/>
  <c r="BV26" i="1"/>
  <c r="CD94" i="1"/>
  <c r="BP63" i="1"/>
  <c r="BB91" i="1"/>
  <c r="BK19" i="1"/>
  <c r="AW80" i="1"/>
  <c r="BI15" i="1"/>
  <c r="CC15" i="1"/>
  <c r="BI106" i="1"/>
  <c r="AP35" i="1"/>
  <c r="BX85" i="1"/>
  <c r="BB65" i="1"/>
  <c r="BX14" i="1"/>
  <c r="BL75" i="1"/>
  <c r="AS32" i="1"/>
  <c r="BM79" i="1"/>
  <c r="AN63" i="1"/>
  <c r="BW99" i="1"/>
  <c r="AT85" i="1"/>
  <c r="BC77" i="1"/>
  <c r="BD76" i="1"/>
  <c r="A27" i="11"/>
  <c r="BO76" i="1"/>
  <c r="BL24" i="1"/>
  <c r="BL106" i="1"/>
  <c r="CD111" i="1"/>
  <c r="BQ103" i="1"/>
  <c r="BV62" i="1"/>
  <c r="I62" i="1" s="1"/>
  <c r="BE103" i="1"/>
  <c r="BB93" i="1"/>
  <c r="BX81" i="1"/>
  <c r="AQ34" i="1"/>
  <c r="AL105" i="1"/>
  <c r="BO36" i="1"/>
  <c r="CB53" i="1"/>
  <c r="A1042" i="15"/>
  <c r="A27" i="8"/>
  <c r="AP52" i="1"/>
  <c r="BQ17" i="1"/>
  <c r="BB43" i="1"/>
  <c r="AQ62" i="1"/>
  <c r="AX67" i="1"/>
  <c r="BN100" i="1"/>
  <c r="BU81" i="1"/>
  <c r="BV94" i="1"/>
  <c r="CA80" i="1"/>
  <c r="BP54" i="1"/>
  <c r="BZ78" i="1"/>
  <c r="AP95" i="1"/>
  <c r="BI73" i="1"/>
  <c r="BJ48" i="1"/>
  <c r="BN28" i="1"/>
  <c r="AY45" i="1"/>
  <c r="BR30" i="1"/>
  <c r="BY68" i="1"/>
  <c r="I68" i="1" s="1"/>
  <c r="AN34" i="1"/>
  <c r="AP90" i="1"/>
  <c r="BA76" i="1"/>
  <c r="BR106" i="1"/>
  <c r="AN93" i="1"/>
  <c r="BZ62" i="1"/>
  <c r="BJ90" i="1"/>
  <c r="BU24" i="1"/>
  <c r="BA89" i="1"/>
  <c r="BU21" i="1"/>
  <c r="V67" i="1"/>
  <c r="W67" i="1" s="1"/>
  <c r="BU22" i="1"/>
  <c r="AM62" i="1"/>
  <c r="CA70" i="1"/>
  <c r="AW82" i="1"/>
  <c r="BW40" i="1"/>
  <c r="BE68" i="1"/>
  <c r="AN83" i="1"/>
  <c r="BO97" i="1"/>
  <c r="A1209" i="15"/>
  <c r="BU92" i="1"/>
  <c r="BL56" i="1"/>
  <c r="BU88" i="1"/>
  <c r="BX64" i="1"/>
  <c r="BP55" i="1"/>
  <c r="AW68" i="1"/>
  <c r="BJ25" i="1"/>
  <c r="T70" i="1"/>
  <c r="S70" i="1"/>
  <c r="R70" i="1"/>
  <c r="U44" i="1"/>
  <c r="BA45" i="1"/>
  <c r="BD14" i="1"/>
  <c r="BI50" i="1"/>
  <c r="BK28" i="1"/>
  <c r="U81" i="1"/>
  <c r="AT32" i="1"/>
  <c r="AP37" i="1"/>
  <c r="AR61" i="1"/>
  <c r="AW74" i="1"/>
  <c r="BR112" i="1"/>
  <c r="BR80" i="1"/>
  <c r="BI86" i="1"/>
  <c r="BE84" i="1"/>
  <c r="BC94" i="1"/>
  <c r="BQ65" i="1"/>
  <c r="BY21" i="1"/>
  <c r="BI98" i="1"/>
  <c r="BW60" i="1"/>
  <c r="BB15" i="1"/>
  <c r="BF67" i="1"/>
  <c r="AY26" i="1"/>
  <c r="BM112" i="1"/>
  <c r="BR45" i="1"/>
  <c r="BA24" i="1"/>
  <c r="AT91" i="1"/>
  <c r="AR45" i="1"/>
  <c r="BI26" i="1"/>
  <c r="BE59" i="1"/>
  <c r="AT64" i="1"/>
  <c r="AS88" i="1"/>
  <c r="BX67" i="1"/>
  <c r="BO64" i="1"/>
  <c r="CC57" i="1"/>
  <c r="AP85" i="1"/>
  <c r="V60" i="1"/>
  <c r="U60" i="1"/>
  <c r="W60" i="1"/>
  <c r="AY90" i="1"/>
  <c r="BO19" i="1"/>
  <c r="BD31" i="1"/>
  <c r="AT87" i="1"/>
  <c r="R36" i="1"/>
  <c r="S36" i="1"/>
  <c r="T36" i="1"/>
  <c r="AK93" i="1"/>
  <c r="I93" i="1" s="1"/>
  <c r="CD50" i="1"/>
  <c r="BW74" i="1"/>
  <c r="BC52" i="1"/>
  <c r="AR38" i="1"/>
  <c r="BU84" i="1"/>
  <c r="BP98" i="1"/>
  <c r="BJ80" i="1"/>
  <c r="BD78" i="1"/>
  <c r="AZ98" i="1"/>
  <c r="AR76" i="1"/>
  <c r="AQ93" i="1"/>
  <c r="BD58" i="1"/>
  <c r="BD26" i="1"/>
  <c r="BR107" i="1"/>
  <c r="AT103" i="1"/>
  <c r="BQ66" i="1"/>
  <c r="BR18" i="1"/>
  <c r="BD30" i="1"/>
  <c r="CD33" i="1"/>
  <c r="BW68" i="1"/>
  <c r="BK59" i="1"/>
  <c r="AS57" i="1"/>
  <c r="BN42" i="1"/>
  <c r="BO109" i="1"/>
  <c r="BB34" i="1"/>
  <c r="BY61" i="1"/>
  <c r="BV29" i="1"/>
  <c r="CC104" i="1"/>
  <c r="BI69" i="1"/>
  <c r="BX22" i="1"/>
  <c r="AZ32" i="1"/>
  <c r="AT33" i="1"/>
  <c r="U20" i="1"/>
  <c r="V91" i="1"/>
  <c r="W91" i="1" s="1"/>
  <c r="AS105" i="1"/>
  <c r="CB101" i="1"/>
  <c r="BE39" i="1"/>
  <c r="CA53" i="1"/>
  <c r="BI22" i="1"/>
  <c r="BI21" i="1"/>
  <c r="BV40" i="1"/>
  <c r="BP20" i="1"/>
  <c r="BD60" i="1"/>
  <c r="BR25" i="1"/>
  <c r="BE97" i="1"/>
  <c r="CA69" i="1"/>
  <c r="AP113" i="1"/>
  <c r="AR31" i="1"/>
  <c r="BW89" i="1"/>
  <c r="BL21" i="1"/>
  <c r="AL101" i="1"/>
  <c r="AL61" i="1"/>
  <c r="I61" i="1" s="1"/>
  <c r="BO30" i="1"/>
  <c r="BB105" i="1"/>
  <c r="U40" i="1"/>
  <c r="BA41" i="1"/>
  <c r="T85" i="1"/>
  <c r="S85" i="1"/>
  <c r="R85" i="1"/>
  <c r="W71" i="1"/>
  <c r="U71" i="1"/>
  <c r="V71" i="1"/>
  <c r="T38" i="1"/>
  <c r="S38" i="1"/>
  <c r="R38" i="1"/>
  <c r="V66" i="1"/>
  <c r="W66" i="1" s="1"/>
  <c r="A1552" i="15"/>
  <c r="U26" i="1"/>
  <c r="T94" i="1"/>
  <c r="S94" i="1"/>
  <c r="R94" i="1"/>
  <c r="BF18" i="1"/>
  <c r="AM66" i="1"/>
  <c r="I66" i="1" s="1"/>
  <c r="AR99" i="1"/>
  <c r="BR103" i="1"/>
  <c r="BR82" i="1"/>
  <c r="BQ44" i="1"/>
  <c r="BF32" i="1"/>
  <c r="AX107" i="1"/>
  <c r="AY50" i="1"/>
  <c r="CB36" i="1"/>
  <c r="AL34" i="1"/>
  <c r="I34" i="1" s="1"/>
  <c r="CC105" i="1"/>
  <c r="BY53" i="1"/>
  <c r="CB65" i="1"/>
  <c r="BA52" i="1"/>
  <c r="BQ31" i="1"/>
  <c r="AS113" i="1"/>
  <c r="BF88" i="1"/>
  <c r="AM102" i="1"/>
  <c r="CA81" i="1"/>
  <c r="BE93" i="1"/>
  <c r="AT66" i="1"/>
  <c r="AZ89" i="1"/>
  <c r="BC67" i="1"/>
  <c r="CD16" i="1"/>
  <c r="BQ90" i="1"/>
  <c r="AW62" i="1"/>
  <c r="AQ25" i="1"/>
  <c r="I25" i="1" s="1"/>
  <c r="CD19" i="1"/>
  <c r="BK58" i="1"/>
  <c r="BU28" i="1"/>
  <c r="AO100" i="1"/>
  <c r="BC54" i="1"/>
  <c r="BJ26" i="1"/>
  <c r="BB82" i="1"/>
  <c r="BO47" i="1"/>
  <c r="AP91" i="1"/>
  <c r="BO29" i="1"/>
  <c r="BJ89" i="1"/>
  <c r="AO39" i="1"/>
  <c r="CB43" i="1"/>
  <c r="BU106" i="1"/>
  <c r="BB35" i="1"/>
  <c r="BE36" i="1"/>
  <c r="BB30" i="1"/>
  <c r="BZ16" i="1"/>
  <c r="V68" i="1"/>
  <c r="W68" i="1"/>
  <c r="U68" i="1"/>
  <c r="AW83" i="1"/>
  <c r="AR71" i="1"/>
  <c r="BL99" i="1"/>
  <c r="CD85" i="1"/>
  <c r="A529" i="15"/>
  <c r="A30" i="5"/>
  <c r="A540" i="15" s="1"/>
  <c r="V15" i="1"/>
  <c r="U15" i="1"/>
  <c r="W15" i="1"/>
  <c r="BC86" i="1"/>
  <c r="AO84" i="1"/>
  <c r="BN93" i="1"/>
  <c r="AN106" i="1"/>
  <c r="I106" i="1" s="1"/>
  <c r="AO79" i="1"/>
  <c r="I79" i="1" s="1"/>
  <c r="BY63" i="1"/>
  <c r="CB14" i="1"/>
  <c r="CC103" i="1"/>
  <c r="BL35" i="1"/>
  <c r="AZ81" i="1"/>
  <c r="BC34" i="1"/>
  <c r="AL75" i="1"/>
  <c r="I75" i="1" s="1"/>
  <c r="CD105" i="1"/>
  <c r="CA36" i="1"/>
  <c r="I36" i="1" s="1"/>
  <c r="T53" i="1"/>
  <c r="S53" i="1"/>
  <c r="R53" i="1"/>
  <c r="AP61" i="1"/>
  <c r="BO17" i="1"/>
  <c r="AO52" i="1"/>
  <c r="CA62" i="1"/>
  <c r="AW113" i="1"/>
  <c r="AP100" i="1"/>
  <c r="AW81" i="1"/>
  <c r="AX94" i="1"/>
  <c r="AN74" i="1"/>
  <c r="BF113" i="1"/>
  <c r="AP78" i="1"/>
  <c r="BX88" i="1"/>
  <c r="AR66" i="1"/>
  <c r="AK41" i="1"/>
  <c r="I41" i="1" s="1"/>
  <c r="BV16" i="1"/>
  <c r="BK45" i="1"/>
  <c r="BC24" i="1"/>
  <c r="CA57" i="1"/>
  <c r="BL34" i="1"/>
  <c r="BB90" i="1"/>
  <c r="CD63" i="1"/>
  <c r="AT106" i="1"/>
  <c r="AP80" i="1"/>
  <c r="BM54" i="1"/>
  <c r="AL90" i="1"/>
  <c r="I90" i="1" s="1"/>
  <c r="AL30" i="1"/>
  <c r="BN96" i="1"/>
  <c r="BA21" i="1"/>
  <c r="H452" i="19"/>
  <c r="G452" i="19"/>
  <c r="F452" i="19"/>
  <c r="E452" i="19"/>
  <c r="D452" i="19"/>
  <c r="C452" i="19"/>
  <c r="A452" i="19" s="1"/>
  <c r="A30" i="4"/>
  <c r="BJ22" i="1"/>
  <c r="BW62" i="1"/>
  <c r="CD65" i="1"/>
  <c r="AK82" i="1"/>
  <c r="I82" i="1" s="1"/>
  <c r="W69" i="1"/>
  <c r="U69" i="1"/>
  <c r="V69" i="1"/>
  <c r="A189" i="15"/>
  <c r="A27" i="3"/>
  <c r="A30" i="3"/>
  <c r="A200" i="15" s="1"/>
  <c r="BL83" i="1"/>
  <c r="AS97" i="1"/>
  <c r="AY92" i="1"/>
  <c r="AN67" i="1"/>
  <c r="BK96" i="1"/>
  <c r="BB67" i="1"/>
  <c r="BY62" i="1"/>
  <c r="AQ17" i="1"/>
  <c r="AQ110" i="1"/>
  <c r="I110" i="1" s="1"/>
  <c r="BM45" i="1"/>
  <c r="CC54" i="1"/>
  <c r="BU50" i="1"/>
  <c r="BW88" i="1"/>
  <c r="BB37" i="1"/>
  <c r="BA31" i="1"/>
  <c r="BI74" i="1"/>
  <c r="BC99" i="1"/>
  <c r="BF80" i="1"/>
  <c r="AW86" i="1"/>
  <c r="CC84" i="1"/>
  <c r="AQ94" i="1"/>
  <c r="AO53" i="1"/>
  <c r="BK15" i="1"/>
  <c r="AZ99" i="1"/>
  <c r="AN44" i="1"/>
  <c r="AP15" i="1"/>
  <c r="I15" i="1" s="1"/>
  <c r="BC56" i="1"/>
  <c r="AM26" i="1"/>
  <c r="BA112" i="1"/>
  <c r="BF45" i="1"/>
  <c r="CC98" i="1"/>
  <c r="BR91" i="1"/>
  <c r="AK103" i="1"/>
  <c r="AW26" i="1"/>
  <c r="BL59" i="1"/>
  <c r="CC88" i="1"/>
  <c r="BE56" i="1"/>
  <c r="BO51" i="1"/>
  <c r="S17" i="1"/>
  <c r="T17" i="1"/>
  <c r="R17" i="1"/>
  <c r="BW90" i="1"/>
  <c r="AQ19" i="1"/>
  <c r="AW70" i="1"/>
  <c r="AT31" i="1"/>
  <c r="W99" i="1"/>
  <c r="I99" i="1"/>
  <c r="V99" i="1"/>
  <c r="U99" i="1"/>
  <c r="AK105" i="1"/>
  <c r="I105" i="1" s="1"/>
  <c r="BD16" i="1"/>
  <c r="AY74" i="1"/>
  <c r="AN41" i="1"/>
  <c r="CA20" i="1"/>
  <c r="BI84" i="1"/>
  <c r="CB98" i="1"/>
  <c r="AP107" i="1"/>
  <c r="AP72" i="1"/>
  <c r="BL98" i="1"/>
  <c r="BP76" i="1"/>
  <c r="BN86" i="1"/>
  <c r="CB58" i="1"/>
  <c r="BP26" i="1"/>
  <c r="AP94" i="1"/>
  <c r="BF103" i="1"/>
  <c r="AS66" i="1"/>
  <c r="AT18" i="1"/>
  <c r="I18" i="1" s="1"/>
  <c r="AS101" i="1"/>
  <c r="BD49" i="1"/>
  <c r="BK68" i="1"/>
  <c r="CD81" i="1"/>
  <c r="AY59" i="1"/>
  <c r="BE25" i="1"/>
  <c r="BZ42" i="1"/>
  <c r="AX44" i="1"/>
  <c r="BN34" i="1"/>
  <c r="BY29" i="1"/>
  <c r="BQ23" i="1"/>
  <c r="BR59" i="1"/>
  <c r="BY105" i="1"/>
  <c r="AK16" i="1"/>
  <c r="I16" i="1" s="1"/>
  <c r="BU110" i="1"/>
  <c r="BM108" i="1"/>
  <c r="BC59" i="1"/>
  <c r="AQ33" i="1"/>
  <c r="AO31" i="1"/>
  <c r="I31" i="1" s="1"/>
  <c r="BQ64" i="1"/>
  <c r="BU105" i="1"/>
  <c r="BZ20" i="1"/>
  <c r="BD55" i="1"/>
  <c r="AQ52" i="1"/>
  <c r="AM17" i="1"/>
  <c r="I17" i="1" s="1"/>
  <c r="AO51" i="1"/>
  <c r="BC91" i="1"/>
  <c r="CB92" i="1"/>
  <c r="AO78" i="1"/>
  <c r="AZ16" i="1"/>
  <c r="AP75" i="1"/>
  <c r="AO33" i="1"/>
  <c r="I33" i="1" s="1"/>
  <c r="BK52" i="1"/>
  <c r="AM43" i="1"/>
  <c r="BQ24" i="1"/>
  <c r="BE17" i="1"/>
  <c r="BX31" i="1"/>
  <c r="A1047" i="15" l="1"/>
  <c r="A30" i="8"/>
  <c r="A33" i="8"/>
  <c r="A1053" i="15" s="1"/>
  <c r="A1557" i="15"/>
  <c r="I58" i="1"/>
  <c r="E42" i="12"/>
  <c r="E1742" i="15" s="1"/>
  <c r="A1725" i="15"/>
  <c r="I98" i="1"/>
  <c r="A27" i="6"/>
  <c r="I100" i="1"/>
  <c r="I29" i="1"/>
  <c r="I42" i="1"/>
  <c r="A537" i="15"/>
  <c r="A33" i="5"/>
  <c r="I103" i="1"/>
  <c r="I67" i="1"/>
  <c r="I40" i="1"/>
  <c r="I35" i="1"/>
  <c r="I80" i="1"/>
  <c r="A370" i="15"/>
  <c r="A33" i="4"/>
  <c r="A28" i="12"/>
  <c r="A30" i="6"/>
  <c r="A710" i="15" s="1"/>
  <c r="A36" i="4"/>
  <c r="A376" i="15" s="1"/>
  <c r="A33" i="7"/>
  <c r="I47" i="1"/>
  <c r="I96" i="1"/>
  <c r="I107" i="1"/>
  <c r="A30" i="11"/>
  <c r="A33" i="10"/>
  <c r="A1387" i="15"/>
  <c r="A702" i="15"/>
  <c r="I26" i="1"/>
  <c r="A197" i="15"/>
  <c r="A33" i="3"/>
  <c r="I27" i="1"/>
  <c r="I81" i="1"/>
  <c r="I44" i="1"/>
  <c r="A1220" i="15"/>
  <c r="A33" i="9"/>
  <c r="A22" i="15"/>
  <c r="A30" i="2"/>
  <c r="A1728" i="15" l="1"/>
  <c r="E39" i="12"/>
  <c r="E1739" i="15" s="1"/>
  <c r="A31" i="12"/>
  <c r="A36" i="12"/>
  <c r="A707" i="15"/>
  <c r="A33" i="6"/>
  <c r="A36" i="6" s="1"/>
  <c r="A1050" i="15"/>
  <c r="A373" i="15"/>
  <c r="A39" i="4"/>
  <c r="A33" i="11"/>
  <c r="A36" i="8"/>
  <c r="A1223" i="15"/>
  <c r="A36" i="9"/>
  <c r="A39" i="8"/>
  <c r="A1059" i="15" s="1"/>
  <c r="A1393" i="15"/>
  <c r="A36" i="10"/>
  <c r="A36" i="3"/>
  <c r="A44" i="3" s="1"/>
  <c r="A543" i="15"/>
  <c r="A36" i="5"/>
  <c r="A203" i="15"/>
  <c r="A39" i="3"/>
  <c r="A209" i="15" s="1"/>
  <c r="A883" i="15"/>
  <c r="A36" i="7"/>
  <c r="A39" i="7"/>
  <c r="A889" i="15" s="1"/>
  <c r="A30" i="15"/>
  <c r="A33" i="2"/>
  <c r="A1560" i="15"/>
  <c r="A36" i="11"/>
  <c r="A1566" i="15" s="1"/>
  <c r="A39" i="10"/>
  <c r="A1399" i="15" s="1"/>
  <c r="A39" i="5"/>
  <c r="A549" i="15" s="1"/>
  <c r="A716" i="15" l="1"/>
  <c r="A214" i="15"/>
  <c r="A47" i="3"/>
  <c r="A217" i="15" s="1"/>
  <c r="A886" i="15"/>
  <c r="A39" i="11"/>
  <c r="A39" i="9"/>
  <c r="A546" i="15"/>
  <c r="A44" i="5"/>
  <c r="A47" i="5"/>
  <c r="A557" i="15" s="1"/>
  <c r="A50" i="5"/>
  <c r="A560" i="15" s="1"/>
  <c r="A50" i="3"/>
  <c r="A220" i="15" s="1"/>
  <c r="A1226" i="15"/>
  <c r="A44" i="8"/>
  <c r="A36" i="2"/>
  <c r="A44" i="7"/>
  <c r="A206" i="15"/>
  <c r="A1056" i="15"/>
  <c r="A53" i="5"/>
  <c r="A379" i="15"/>
  <c r="A44" i="4"/>
  <c r="A1396" i="15"/>
  <c r="A44" i="10"/>
  <c r="A1404" i="15" s="1"/>
  <c r="A713" i="15"/>
  <c r="A39" i="6"/>
  <c r="A719" i="15" s="1"/>
  <c r="A1736" i="15"/>
  <c r="C50" i="12"/>
  <c r="C1750" i="15" s="1"/>
  <c r="A33" i="15"/>
  <c r="A1563" i="15"/>
  <c r="A44" i="11"/>
  <c r="A44" i="6"/>
  <c r="A724" i="15" s="1"/>
  <c r="A1731" i="15"/>
  <c r="E36" i="12"/>
  <c r="E1736" i="15" s="1"/>
  <c r="A39" i="12"/>
  <c r="A42" i="12" s="1"/>
  <c r="A1742" i="15" l="1"/>
  <c r="E53" i="12"/>
  <c r="E1753" i="15" s="1"/>
  <c r="A894" i="15"/>
  <c r="A1229" i="15"/>
  <c r="A44" i="9"/>
  <c r="A39" i="2"/>
  <c r="A1569" i="15"/>
  <c r="A554" i="15"/>
  <c r="A61" i="5"/>
  <c r="A53" i="3"/>
  <c r="A384" i="15"/>
  <c r="A563" i="15"/>
  <c r="A56" i="5"/>
  <c r="A566" i="15" s="1"/>
  <c r="A47" i="7"/>
  <c r="A45" i="12"/>
  <c r="A36" i="15"/>
  <c r="A1064" i="15"/>
  <c r="A47" i="8"/>
  <c r="A47" i="4"/>
  <c r="A1739" i="15"/>
  <c r="C53" i="12"/>
  <c r="C1753" i="15" s="1"/>
  <c r="A1574" i="15"/>
  <c r="A47" i="11"/>
  <c r="A47" i="6"/>
  <c r="A47" i="10"/>
  <c r="A897" i="15" l="1"/>
  <c r="A1234" i="15"/>
  <c r="A47" i="9"/>
  <c r="A1577" i="15"/>
  <c r="A50" i="11"/>
  <c r="A39" i="15"/>
  <c r="A47" i="2"/>
  <c r="A44" i="2"/>
  <c r="A1745" i="15"/>
  <c r="E50" i="12"/>
  <c r="E1750" i="15" s="1"/>
  <c r="A50" i="12"/>
  <c r="A571" i="15"/>
  <c r="A64" i="5"/>
  <c r="A50" i="6"/>
  <c r="A50" i="7"/>
  <c r="A223" i="15"/>
  <c r="A56" i="3"/>
  <c r="A1407" i="15"/>
  <c r="A50" i="10"/>
  <c r="A387" i="15"/>
  <c r="A50" i="4"/>
  <c r="A727" i="15"/>
  <c r="A1067" i="15"/>
  <c r="A50" i="8"/>
  <c r="A1237" i="15" l="1"/>
  <c r="A50" i="9"/>
  <c r="A226" i="15"/>
  <c r="A61" i="3"/>
  <c r="A574" i="15"/>
  <c r="A67" i="5"/>
  <c r="A47" i="15"/>
  <c r="A50" i="2"/>
  <c r="A50" i="15" s="1"/>
  <c r="A1410" i="15"/>
  <c r="A53" i="10"/>
  <c r="A390" i="15"/>
  <c r="A53" i="4"/>
  <c r="A1580" i="15"/>
  <c r="A53" i="11"/>
  <c r="A900" i="15"/>
  <c r="A53" i="7"/>
  <c r="A1070" i="15"/>
  <c r="A53" i="8"/>
  <c r="A730" i="15"/>
  <c r="A53" i="6"/>
  <c r="A1750" i="15"/>
  <c r="C58" i="12"/>
  <c r="C1758" i="15" s="1"/>
  <c r="C61" i="12"/>
  <c r="C1761" i="15" s="1"/>
  <c r="A53" i="12"/>
  <c r="A44" i="15"/>
  <c r="A53" i="2"/>
  <c r="A53" i="15" l="1"/>
  <c r="A56" i="2"/>
  <c r="A1073" i="15"/>
  <c r="A56" i="8"/>
  <c r="A1413" i="15"/>
  <c r="A56" i="10"/>
  <c r="A231" i="15"/>
  <c r="A64" i="3"/>
  <c r="A903" i="15"/>
  <c r="A56" i="7"/>
  <c r="E58" i="12"/>
  <c r="E1758" i="15" s="1"/>
  <c r="A1753" i="15"/>
  <c r="E61" i="12"/>
  <c r="E1761" i="15" s="1"/>
  <c r="A58" i="12"/>
  <c r="A1583" i="15"/>
  <c r="A56" i="11"/>
  <c r="A577" i="15"/>
  <c r="A70" i="5"/>
  <c r="A1240" i="15"/>
  <c r="A53" i="9"/>
  <c r="A733" i="15"/>
  <c r="A56" i="6"/>
  <c r="A393" i="15"/>
  <c r="A56" i="4"/>
  <c r="A234" i="15" l="1"/>
  <c r="A67" i="3"/>
  <c r="A736" i="15"/>
  <c r="A61" i="6"/>
  <c r="A1758" i="15"/>
  <c r="AC61" i="12"/>
  <c r="B467" i="19" s="1"/>
  <c r="A61" i="12"/>
  <c r="A1761" i="15" s="1"/>
  <c r="A1586" i="15"/>
  <c r="A61" i="11"/>
  <c r="A1416" i="15"/>
  <c r="A61" i="10"/>
  <c r="A1243" i="15"/>
  <c r="A56" i="9"/>
  <c r="A1076" i="15"/>
  <c r="A61" i="8"/>
  <c r="A580" i="15"/>
  <c r="A73" i="5"/>
  <c r="A906" i="15"/>
  <c r="A61" i="7"/>
  <c r="A396" i="15"/>
  <c r="A61" i="4"/>
  <c r="A56" i="15"/>
  <c r="A61" i="2"/>
  <c r="A1081" i="15" l="1"/>
  <c r="A64" i="8"/>
  <c r="A401" i="15"/>
  <c r="A64" i="4"/>
  <c r="A1246" i="15"/>
  <c r="A61" i="9"/>
  <c r="A467" i="19"/>
  <c r="H467" i="19"/>
  <c r="G467" i="19"/>
  <c r="F467" i="19"/>
  <c r="E467" i="19"/>
  <c r="D467" i="19"/>
  <c r="C467" i="19"/>
  <c r="A741" i="15"/>
  <c r="A64" i="6"/>
  <c r="A911" i="15"/>
  <c r="A64" i="7"/>
  <c r="A1421" i="15"/>
  <c r="A64" i="10"/>
  <c r="A237" i="15"/>
  <c r="A70" i="3"/>
  <c r="A61" i="15"/>
  <c r="A64" i="2"/>
  <c r="A583" i="15"/>
  <c r="A78" i="5"/>
  <c r="A1591" i="15"/>
  <c r="A64" i="11"/>
  <c r="A1251" i="15" l="1"/>
  <c r="A64" i="9"/>
  <c r="A64" i="15"/>
  <c r="A67" i="2"/>
  <c r="A404" i="15"/>
  <c r="A67" i="4"/>
  <c r="A744" i="15"/>
  <c r="A67" i="6"/>
  <c r="A1084" i="15"/>
  <c r="A67" i="8"/>
  <c r="A240" i="15"/>
  <c r="A73" i="3"/>
  <c r="A1594" i="15"/>
  <c r="A67" i="11"/>
  <c r="A1424" i="15"/>
  <c r="A67" i="10"/>
  <c r="A588" i="15"/>
  <c r="A81" i="5"/>
  <c r="A914" i="15"/>
  <c r="A67" i="7"/>
  <c r="A1427" i="15" l="1"/>
  <c r="A70" i="10"/>
  <c r="A407" i="15"/>
  <c r="A70" i="4"/>
  <c r="A1597" i="15"/>
  <c r="A70" i="11"/>
  <c r="A747" i="15"/>
  <c r="A70" i="6"/>
  <c r="A243" i="15"/>
  <c r="A78" i="3"/>
  <c r="A67" i="15"/>
  <c r="A70" i="2"/>
  <c r="A917" i="15"/>
  <c r="A70" i="7"/>
  <c r="A1087" i="15"/>
  <c r="A70" i="8"/>
  <c r="A591" i="15"/>
  <c r="A84" i="5"/>
  <c r="A1254" i="15"/>
  <c r="A67" i="9"/>
  <c r="A1600" i="15" l="1"/>
  <c r="A73" i="11"/>
  <c r="A750" i="15"/>
  <c r="A73" i="6"/>
  <c r="A920" i="15"/>
  <c r="A73" i="7"/>
  <c r="A1257" i="15"/>
  <c r="A70" i="9"/>
  <c r="A70" i="15"/>
  <c r="A73" i="2"/>
  <c r="A410" i="15"/>
  <c r="A73" i="4"/>
  <c r="A1090" i="15"/>
  <c r="A73" i="8"/>
  <c r="A594" i="15"/>
  <c r="A87" i="5"/>
  <c r="A248" i="15"/>
  <c r="A81" i="3"/>
  <c r="A1430" i="15"/>
  <c r="A73" i="10"/>
  <c r="A1260" i="15" l="1"/>
  <c r="A73" i="9"/>
  <c r="A597" i="15"/>
  <c r="A90" i="5"/>
  <c r="A1093" i="15"/>
  <c r="A78" i="8"/>
  <c r="A923" i="15"/>
  <c r="A78" i="7"/>
  <c r="A413" i="15"/>
  <c r="A78" i="4"/>
  <c r="A753" i="15"/>
  <c r="A78" i="6"/>
  <c r="A1433" i="15"/>
  <c r="A78" i="10"/>
  <c r="A251" i="15"/>
  <c r="A84" i="3"/>
  <c r="A73" i="15"/>
  <c r="A78" i="2"/>
  <c r="A1603" i="15"/>
  <c r="A78" i="11"/>
  <c r="A928" i="15" l="1"/>
  <c r="A81" i="7"/>
  <c r="A1438" i="15"/>
  <c r="A81" i="10"/>
  <c r="A254" i="15"/>
  <c r="A87" i="3"/>
  <c r="A1098" i="15"/>
  <c r="A81" i="8"/>
  <c r="A600" i="15"/>
  <c r="A95" i="5"/>
  <c r="A758" i="15"/>
  <c r="A81" i="6"/>
  <c r="A1608" i="15"/>
  <c r="A81" i="11"/>
  <c r="A78" i="15"/>
  <c r="A81" i="2"/>
  <c r="A418" i="15"/>
  <c r="A81" i="4"/>
  <c r="A1263" i="15"/>
  <c r="A78" i="9"/>
  <c r="A1101" i="15" l="1"/>
  <c r="A84" i="8"/>
  <c r="A1611" i="15"/>
  <c r="A84" i="11"/>
  <c r="A257" i="15"/>
  <c r="A90" i="3"/>
  <c r="A81" i="15"/>
  <c r="A84" i="2"/>
  <c r="A761" i="15"/>
  <c r="A84" i="6"/>
  <c r="A1441" i="15"/>
  <c r="A84" i="10"/>
  <c r="A1268" i="15"/>
  <c r="A81" i="9"/>
  <c r="A421" i="15"/>
  <c r="A84" i="4"/>
  <c r="A605" i="15"/>
  <c r="A98" i="5"/>
  <c r="A931" i="15"/>
  <c r="A84" i="7"/>
  <c r="A424" i="15" l="1"/>
  <c r="A87" i="4"/>
  <c r="A84" i="15"/>
  <c r="A87" i="2"/>
  <c r="A1271" i="15"/>
  <c r="A84" i="9"/>
  <c r="A260" i="15"/>
  <c r="A95" i="3"/>
  <c r="A934" i="15"/>
  <c r="A87" i="7"/>
  <c r="A1444" i="15"/>
  <c r="A87" i="10"/>
  <c r="A1614" i="15"/>
  <c r="A87" i="11"/>
  <c r="A608" i="15"/>
  <c r="A101" i="5"/>
  <c r="A764" i="15"/>
  <c r="A87" i="6"/>
  <c r="A1104" i="15"/>
  <c r="A87" i="8"/>
  <c r="A937" i="15" l="1"/>
  <c r="A90" i="7"/>
  <c r="A611" i="15"/>
  <c r="A104" i="5"/>
  <c r="A265" i="15"/>
  <c r="A98" i="3"/>
  <c r="A1617" i="15"/>
  <c r="A90" i="11"/>
  <c r="A1274" i="15"/>
  <c r="A87" i="9"/>
  <c r="A1107" i="15"/>
  <c r="A90" i="8"/>
  <c r="A1447" i="15"/>
  <c r="A90" i="10"/>
  <c r="A87" i="15"/>
  <c r="A90" i="2"/>
  <c r="A767" i="15"/>
  <c r="A90" i="6"/>
  <c r="A427" i="15"/>
  <c r="A90" i="4"/>
  <c r="A1620" i="15" l="1"/>
  <c r="A95" i="11"/>
  <c r="A90" i="15"/>
  <c r="A95" i="2"/>
  <c r="A268" i="15"/>
  <c r="A101" i="3"/>
  <c r="A1450" i="15"/>
  <c r="A95" i="10"/>
  <c r="A614" i="15"/>
  <c r="A107" i="5"/>
  <c r="A1110" i="15"/>
  <c r="A95" i="8"/>
  <c r="A430" i="15"/>
  <c r="A95" i="4"/>
  <c r="A770" i="15"/>
  <c r="A95" i="6"/>
  <c r="A1277" i="15"/>
  <c r="A90" i="9"/>
  <c r="A940" i="15"/>
  <c r="A95" i="7"/>
  <c r="A617" i="15" l="1"/>
  <c r="A112" i="5"/>
  <c r="A775" i="15"/>
  <c r="A98" i="6"/>
  <c r="A1455" i="15"/>
  <c r="A98" i="10"/>
  <c r="A271" i="15"/>
  <c r="A104" i="3"/>
  <c r="A945" i="15"/>
  <c r="A98" i="7"/>
  <c r="A435" i="15"/>
  <c r="A98" i="4"/>
  <c r="A1115" i="15"/>
  <c r="A98" i="8"/>
  <c r="A95" i="15"/>
  <c r="A98" i="2"/>
  <c r="A1625" i="15"/>
  <c r="A98" i="11"/>
  <c r="A1280" i="15"/>
  <c r="A95" i="9"/>
  <c r="A98" i="15" l="1"/>
  <c r="A101" i="2"/>
  <c r="A274" i="15"/>
  <c r="A107" i="3"/>
  <c r="A1118" i="15"/>
  <c r="A101" i="8"/>
  <c r="A1458" i="15"/>
  <c r="A101" i="10"/>
  <c r="A1285" i="15"/>
  <c r="A98" i="9"/>
  <c r="A778" i="15"/>
  <c r="A101" i="6"/>
  <c r="A438" i="15"/>
  <c r="A101" i="4"/>
  <c r="A1628" i="15"/>
  <c r="A101" i="11"/>
  <c r="A948" i="15"/>
  <c r="A101" i="7"/>
  <c r="A622" i="15"/>
  <c r="A115" i="5"/>
  <c r="A441" i="15" l="1"/>
  <c r="A104" i="4"/>
  <c r="A1631" i="15"/>
  <c r="A104" i="11"/>
  <c r="A1461" i="15"/>
  <c r="A104" i="10"/>
  <c r="A625" i="15"/>
  <c r="A118" i="5"/>
  <c r="A781" i="15"/>
  <c r="A104" i="6"/>
  <c r="A277" i="15"/>
  <c r="A112" i="3"/>
  <c r="A1121" i="15"/>
  <c r="A104" i="8"/>
  <c r="A951" i="15"/>
  <c r="A104" i="7"/>
  <c r="A1288" i="15"/>
  <c r="A101" i="9"/>
  <c r="A101" i="15"/>
  <c r="A104" i="2"/>
  <c r="A954" i="15" l="1"/>
  <c r="A107" i="7"/>
  <c r="A628" i="15"/>
  <c r="A121" i="5"/>
  <c r="A1464" i="15"/>
  <c r="A107" i="10"/>
  <c r="A104" i="15"/>
  <c r="A107" i="2"/>
  <c r="A1634" i="15"/>
  <c r="A107" i="11"/>
  <c r="A282" i="15"/>
  <c r="A115" i="3"/>
  <c r="A1291" i="15"/>
  <c r="A104" i="9"/>
  <c r="A784" i="15"/>
  <c r="A107" i="6"/>
  <c r="A444" i="15"/>
  <c r="A107" i="4"/>
  <c r="A1124" i="15"/>
  <c r="A107" i="8"/>
  <c r="A1637" i="15" l="1"/>
  <c r="A112" i="11"/>
  <c r="A787" i="15"/>
  <c r="A112" i="6"/>
  <c r="A107" i="15"/>
  <c r="A112" i="2"/>
  <c r="A1294" i="15"/>
  <c r="A107" i="9"/>
  <c r="A1467" i="15"/>
  <c r="A112" i="10"/>
  <c r="A1127" i="15"/>
  <c r="A112" i="8"/>
  <c r="A285" i="15"/>
  <c r="A118" i="3"/>
  <c r="A631" i="15"/>
  <c r="A124" i="5"/>
  <c r="A447" i="15"/>
  <c r="A112" i="4"/>
  <c r="A957" i="15"/>
  <c r="A112" i="7"/>
  <c r="A1297" i="15" l="1"/>
  <c r="A112" i="9"/>
  <c r="A1472" i="15"/>
  <c r="A115" i="10"/>
  <c r="A634" i="15"/>
  <c r="A129" i="5"/>
  <c r="A1642" i="15"/>
  <c r="A115" i="11"/>
  <c r="A792" i="15"/>
  <c r="A115" i="6"/>
  <c r="A452" i="15"/>
  <c r="A115" i="4"/>
  <c r="A288" i="15"/>
  <c r="A121" i="3"/>
  <c r="A112" i="15"/>
  <c r="A115" i="2"/>
  <c r="A962" i="15"/>
  <c r="A115" i="7"/>
  <c r="A1132" i="15"/>
  <c r="A115" i="8"/>
  <c r="A795" i="15" l="1"/>
  <c r="A118" i="6"/>
  <c r="A1302" i="15"/>
  <c r="A115" i="9"/>
  <c r="A115" i="15"/>
  <c r="A118" i="2"/>
  <c r="A1645" i="15"/>
  <c r="A118" i="11"/>
  <c r="A291" i="15"/>
  <c r="A124" i="3"/>
  <c r="A965" i="15"/>
  <c r="A118" i="7"/>
  <c r="A639" i="15"/>
  <c r="A132" i="5"/>
  <c r="A1135" i="15"/>
  <c r="A118" i="8"/>
  <c r="A455" i="15"/>
  <c r="A118" i="4"/>
  <c r="A1475" i="15"/>
  <c r="A118" i="10"/>
  <c r="A458" i="15" l="1"/>
  <c r="A121" i="4"/>
  <c r="A1138" i="15"/>
  <c r="A121" i="8"/>
  <c r="A1648" i="15"/>
  <c r="A121" i="11"/>
  <c r="A798" i="15"/>
  <c r="A121" i="6"/>
  <c r="A294" i="15"/>
  <c r="A129" i="3"/>
  <c r="A118" i="15"/>
  <c r="A121" i="2"/>
  <c r="A1478" i="15"/>
  <c r="A121" i="10"/>
  <c r="A968" i="15"/>
  <c r="A121" i="7"/>
  <c r="A1305" i="15"/>
  <c r="A118" i="9"/>
  <c r="A642" i="15"/>
  <c r="A135" i="5"/>
  <c r="A1651" i="15" l="1"/>
  <c r="A124" i="11"/>
  <c r="A971" i="15"/>
  <c r="A124" i="7"/>
  <c r="A801" i="15"/>
  <c r="A124" i="6"/>
  <c r="A645" i="15"/>
  <c r="A138" i="5"/>
  <c r="A121" i="15"/>
  <c r="A124" i="2"/>
  <c r="A1141" i="15"/>
  <c r="A124" i="8"/>
  <c r="A1481" i="15"/>
  <c r="A124" i="10"/>
  <c r="A1308" i="15"/>
  <c r="A121" i="9"/>
  <c r="A299" i="15"/>
  <c r="A132" i="3"/>
  <c r="A461" i="15"/>
  <c r="A124" i="4"/>
  <c r="A124" i="15" l="1"/>
  <c r="A129" i="2"/>
  <c r="A648" i="15"/>
  <c r="A141" i="5"/>
  <c r="A1654" i="15"/>
  <c r="A129" i="11"/>
  <c r="A1311" i="15"/>
  <c r="A124" i="9"/>
  <c r="A804" i="15"/>
  <c r="A129" i="6"/>
  <c r="A1144" i="15"/>
  <c r="A129" i="8"/>
  <c r="A974" i="15"/>
  <c r="A129" i="7"/>
  <c r="A302" i="15"/>
  <c r="A135" i="3"/>
  <c r="A1484" i="15"/>
  <c r="A129" i="10"/>
  <c r="A464" i="15"/>
  <c r="A129" i="4"/>
  <c r="A1314" i="15" l="1"/>
  <c r="A129" i="9"/>
  <c r="A1659" i="15"/>
  <c r="A132" i="11"/>
  <c r="A1149" i="15"/>
  <c r="A132" i="8"/>
  <c r="A305" i="15"/>
  <c r="A138" i="3"/>
  <c r="A979" i="15"/>
  <c r="A132" i="7"/>
  <c r="A651" i="15"/>
  <c r="A146" i="5"/>
  <c r="A469" i="15"/>
  <c r="A132" i="4"/>
  <c r="A1489" i="15"/>
  <c r="A132" i="10"/>
  <c r="A809" i="15"/>
  <c r="A132" i="6"/>
  <c r="A129" i="15"/>
  <c r="A132" i="2"/>
  <c r="A308" i="15" l="1"/>
  <c r="A141" i="3"/>
  <c r="A1492" i="15"/>
  <c r="A135" i="10"/>
  <c r="A472" i="15"/>
  <c r="A135" i="4"/>
  <c r="A1152" i="15"/>
  <c r="A135" i="8"/>
  <c r="A656" i="15"/>
  <c r="A149" i="5"/>
  <c r="A1662" i="15"/>
  <c r="A135" i="11"/>
  <c r="A132" i="15"/>
  <c r="A135" i="2"/>
  <c r="A812" i="15"/>
  <c r="A135" i="6"/>
  <c r="A982" i="15"/>
  <c r="A135" i="7"/>
  <c r="A1319" i="15"/>
  <c r="A132" i="9"/>
  <c r="A815" i="15" l="1"/>
  <c r="A138" i="6"/>
  <c r="A1322" i="15"/>
  <c r="A135" i="9"/>
  <c r="A1155" i="15"/>
  <c r="A138" i="8"/>
  <c r="A135" i="15"/>
  <c r="A138" i="2"/>
  <c r="A1495" i="15"/>
  <c r="A138" i="10"/>
  <c r="A475" i="15"/>
  <c r="A138" i="4"/>
  <c r="A1665" i="15"/>
  <c r="A138" i="11"/>
  <c r="A985" i="15"/>
  <c r="A138" i="7"/>
  <c r="A659" i="15"/>
  <c r="A152" i="5"/>
  <c r="A311" i="15"/>
  <c r="A146" i="3"/>
  <c r="A988" i="15" l="1"/>
  <c r="A141" i="7"/>
  <c r="A138" i="15"/>
  <c r="A141" i="2"/>
  <c r="A1158" i="15"/>
  <c r="A141" i="8"/>
  <c r="A478" i="15"/>
  <c r="A141" i="4"/>
  <c r="A1325" i="15"/>
  <c r="A138" i="9"/>
  <c r="A316" i="15"/>
  <c r="A149" i="3"/>
  <c r="A662" i="15"/>
  <c r="A155" i="5"/>
  <c r="A818" i="15"/>
  <c r="A141" i="6"/>
  <c r="A1668" i="15"/>
  <c r="A141" i="11"/>
  <c r="A1498" i="15"/>
  <c r="A141" i="10"/>
  <c r="A821" i="15" l="1"/>
  <c r="A146" i="6"/>
  <c r="A481" i="15"/>
  <c r="A146" i="4"/>
  <c r="A665" i="15"/>
  <c r="A158" i="5"/>
  <c r="A668" i="15" s="1"/>
  <c r="A1161" i="15"/>
  <c r="A146" i="8"/>
  <c r="A319" i="15"/>
  <c r="A152" i="3"/>
  <c r="A141" i="15"/>
  <c r="A146" i="2"/>
  <c r="A1328" i="15"/>
  <c r="A141" i="9"/>
  <c r="A991" i="15"/>
  <c r="A146" i="7"/>
  <c r="A1501" i="15"/>
  <c r="A146" i="10"/>
  <c r="A1671" i="15"/>
  <c r="A146" i="11"/>
  <c r="A1331" i="15" l="1"/>
  <c r="A146" i="9"/>
  <c r="A1676" i="15"/>
  <c r="A149" i="11"/>
  <c r="A1166" i="15"/>
  <c r="A149" i="8"/>
  <c r="A146" i="15"/>
  <c r="A149" i="2"/>
  <c r="A996" i="15"/>
  <c r="A149" i="7"/>
  <c r="A486" i="15"/>
  <c r="A149" i="4"/>
  <c r="A1506" i="15"/>
  <c r="A149" i="10"/>
  <c r="A322" i="15"/>
  <c r="A155" i="3"/>
  <c r="A826" i="15"/>
  <c r="A149" i="6"/>
  <c r="A149" i="15" l="1"/>
  <c r="A152" i="2"/>
  <c r="A1509" i="15"/>
  <c r="A152" i="10"/>
  <c r="A325" i="15"/>
  <c r="A158" i="3"/>
  <c r="A328" i="15" s="1"/>
  <c r="A1679" i="15"/>
  <c r="A152" i="11"/>
  <c r="A1169" i="15"/>
  <c r="A152" i="8"/>
  <c r="A489" i="15"/>
  <c r="A152" i="4"/>
  <c r="A829" i="15"/>
  <c r="A152" i="6"/>
  <c r="A999" i="15"/>
  <c r="A152" i="7"/>
  <c r="A1336" i="15"/>
  <c r="A149" i="9"/>
  <c r="A1682" i="15" l="1"/>
  <c r="A155" i="11"/>
  <c r="A832" i="15"/>
  <c r="A155" i="6"/>
  <c r="A1512" i="15"/>
  <c r="A155" i="10"/>
  <c r="A1002" i="15"/>
  <c r="A155" i="7"/>
  <c r="A492" i="15"/>
  <c r="A155" i="4"/>
  <c r="A1339" i="15"/>
  <c r="A152" i="9"/>
  <c r="A1172" i="15"/>
  <c r="A155" i="8"/>
  <c r="A152" i="15"/>
  <c r="A155" i="2"/>
  <c r="A155" i="15" l="1"/>
  <c r="A158" i="2"/>
  <c r="A158" i="15" s="1"/>
  <c r="A1175" i="15"/>
  <c r="A158" i="8"/>
  <c r="A1178" i="15" s="1"/>
  <c r="A835" i="15"/>
  <c r="A158" i="6"/>
  <c r="A838" i="15" s="1"/>
  <c r="A1005" i="15"/>
  <c r="A158" i="7"/>
  <c r="A1008" i="15" s="1"/>
  <c r="A1515" i="15"/>
  <c r="A158" i="10"/>
  <c r="A1518" i="15" s="1"/>
  <c r="A1342" i="15"/>
  <c r="A155" i="9"/>
  <c r="A495" i="15"/>
  <c r="A158" i="4"/>
  <c r="A498" i="15" s="1"/>
  <c r="A1685" i="15"/>
  <c r="A158" i="11"/>
  <c r="A1688" i="15" s="1"/>
  <c r="A1345" i="15" l="1"/>
  <c r="A158" i="9"/>
  <c r="A1348" i="15" s="1"/>
</calcChain>
</file>

<file path=xl/sharedStrings.xml><?xml version="1.0" encoding="utf-8"?>
<sst xmlns="http://schemas.openxmlformats.org/spreadsheetml/2006/main" count="11605" uniqueCount="546">
  <si>
    <t>PARAMETRI</t>
  </si>
  <si>
    <t>Campionato</t>
  </si>
  <si>
    <t>Link Logo 1</t>
  </si>
  <si>
    <t>Link Logo 2</t>
  </si>
  <si>
    <t>Gironi (separati da virgola)</t>
  </si>
  <si>
    <t>A,B,C,D,E,F,G,H,I,J</t>
  </si>
  <si>
    <t>Stagione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</si>
  <si>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</si>
  <si>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</si>
  <si>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</si>
  <si>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</si>
  <si>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</si>
  <si>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</si>
  <si>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</si>
  <si>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</si>
  <si>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</si>
  <si>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</si>
  <si>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</si>
  <si>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</si>
  <si>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</si>
  <si>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</si>
  <si>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</si>
  <si>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</si>
  <si>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</si>
  <si>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</si>
  <si>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</si>
  <si>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</si>
  <si>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</si>
  <si>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</si>
  <si>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</si>
  <si>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</si>
  <si>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</si>
  <si>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</si>
  <si>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</si>
  <si>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</si>
  <si>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</si>
  <si>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</si>
  <si>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</si>
  <si>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</si>
  <si>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</si>
  <si>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</si>
  <si>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</si>
  <si>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</si>
  <si>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</si>
  <si>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</si>
  <si>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</si>
  <si>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</si>
  <si>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</si>
  <si>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</si>
  <si>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</si>
  <si>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</si>
  <si>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</si>
  <si>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</si>
  <si>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</si>
  <si>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</si>
  <si>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</si>
  <si>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</si>
  <si>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</si>
  <si>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</si>
  <si>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</si>
  <si>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</si>
  <si>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B01</t>
  </si>
  <si>
    <t>B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</si>
  <si>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</si>
  <si>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</si>
  <si>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</si>
  <si>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</si>
  <si>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</si>
  <si>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</si>
  <si>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</si>
  <si>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</si>
  <si>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</si>
  <si>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C01</t>
  </si>
  <si>
    <t>C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</si>
  <si>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</si>
  <si>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</si>
  <si>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</si>
  <si>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</si>
  <si>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</si>
  <si>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</si>
  <si>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</si>
  <si>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</si>
  <si>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</si>
  <si>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D01</t>
  </si>
  <si>
    <t>D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</si>
  <si>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</si>
  <si>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</si>
  <si>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</si>
  <si>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</si>
  <si>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</si>
  <si>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</si>
  <si>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</si>
  <si>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</si>
  <si>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</si>
  <si>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E01</t>
  </si>
  <si>
    <t>E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</si>
  <si>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</si>
  <si>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</si>
  <si>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</si>
  <si>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</si>
  <si>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</si>
  <si>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</si>
  <si>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</si>
  <si>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</si>
  <si>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</si>
  <si>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F01</t>
  </si>
  <si>
    <t>F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</si>
  <si>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</si>
  <si>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</si>
  <si>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</si>
  <si>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</si>
  <si>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</si>
  <si>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</si>
  <si>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</si>
  <si>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</si>
  <si>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</si>
  <si>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G01</t>
  </si>
  <si>
    <t>G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</si>
  <si>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</si>
  <si>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</si>
  <si>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</si>
  <si>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</si>
  <si>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</si>
  <si>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</si>
  <si>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</si>
  <si>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</si>
  <si>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</si>
  <si>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H01</t>
  </si>
  <si>
    <t>H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</si>
  <si>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</si>
  <si>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</si>
  <si>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</si>
  <si>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</si>
  <si>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</si>
  <si>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</si>
  <si>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</si>
  <si>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</si>
  <si>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</si>
  <si>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I01</t>
  </si>
  <si>
    <t>I</t>
  </si>
  <si>
    <t>I02</t>
  </si>
  <si>
    <t>I03</t>
  </si>
  <si>
    <t>I04</t>
  </si>
  <si>
    <t>I05</t>
  </si>
  <si>
    <t>I06</t>
  </si>
  <si>
    <t>I07</t>
  </si>
  <si>
    <t>I08</t>
  </si>
  <si>
    <t>I09</t>
  </si>
  <si>
    <t>I10</t>
  </si>
  <si>
    <t>J01</t>
  </si>
  <si>
    <t>J</t>
  </si>
  <si>
    <t>J02</t>
  </si>
  <si>
    <t>J03</t>
  </si>
  <si>
    <t>J04</t>
  </si>
  <si>
    <t>J05</t>
  </si>
  <si>
    <t>J06</t>
  </si>
  <si>
    <t>J07</t>
  </si>
  <si>
    <t>J08</t>
  </si>
  <si>
    <t>J09</t>
  </si>
  <si>
    <t>J10</t>
  </si>
  <si>
    <t>CAMPI</t>
  </si>
  <si>
    <t>Nome Campo</t>
  </si>
  <si>
    <t>Link Mappa Campo</t>
  </si>
  <si>
    <t>PO1</t>
  </si>
  <si>
    <t>PO2</t>
  </si>
  <si>
    <t>PO3</t>
  </si>
  <si>
    <t>PO4</t>
  </si>
  <si>
    <t>PO5</t>
  </si>
  <si>
    <t>PO6</t>
  </si>
  <si>
    <t>PO7</t>
  </si>
  <si>
    <t>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</si>
  <si>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</si>
  <si>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</si>
  <si>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</si>
  <si>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</si>
  <si>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</si>
  <si>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</si>
  <si>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</si>
  <si>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</si>
  <si>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</si>
  <si>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</si>
  <si>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</si>
  <si>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</si>
  <si>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</si>
  <si>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</si>
  <si>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</si>
  <si>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</si>
  <si>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</si>
  <si>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</si>
  <si>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</si>
  <si>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</si>
  <si>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</si>
  <si>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</si>
  <si>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</si>
  <si>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</si>
  <si>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</si>
  <si>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</si>
  <si>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</si>
  <si>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</si>
  <si>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</si>
  <si>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</si>
  <si>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</si>
  <si>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</si>
  <si>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</si>
  <si>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</si>
  <si>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</si>
  <si>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</si>
  <si>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</si>
  <si>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</si>
  <si>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</si>
  <si>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</si>
  <si>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</si>
  <si>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</si>
  <si>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</si>
  <si>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</si>
  <si>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</si>
  <si>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</si>
  <si>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</si>
  <si>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</si>
  <si>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</si>
  <si>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</si>
  <si>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</si>
  <si>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</si>
  <si>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</si>
  <si>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</si>
  <si>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</si>
  <si>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</si>
  <si>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</si>
  <si>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</si>
  <si>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</si>
  <si>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</si>
  <si>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</si>
  <si>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</si>
  <si>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</si>
  <si>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</si>
  <si>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</si>
  <si>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</si>
  <si>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</si>
  <si>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</si>
  <si>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</si>
  <si>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</si>
  <si>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</si>
  <si>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</si>
  <si>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</si>
  <si>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</si>
  <si>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</si>
  <si>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</si>
  <si>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</si>
  <si>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</si>
  <si>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</si>
  <si>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</si>
  <si>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</si>
  <si>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</si>
  <si>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</si>
  <si>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</si>
  <si>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</si>
  <si>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</si>
  <si>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</si>
  <si>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</si>
  <si>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</si>
  <si>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</si>
  <si>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</si>
  <si>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</si>
  <si>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</si>
  <si>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</si>
  <si>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</si>
  <si>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</si>
  <si>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</si>
  <si>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</si>
  <si>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</si>
  <si>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</si>
  <si>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</si>
  <si>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</si>
  <si>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</si>
  <si>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</si>
  <si>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</si>
  <si>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</si>
  <si>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</si>
  <si>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</si>
  <si>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</si>
  <si>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</si>
  <si>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</si>
  <si>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</si>
  <si>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</si>
  <si>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</si>
  <si>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</si>
  <si>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</si>
  <si>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</si>
  <si>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</si>
  <si>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</si>
  <si>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</si>
  <si>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</si>
  <si>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</si>
  <si>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</si>
  <si>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</si>
  <si>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</si>
  <si>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</si>
  <si>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</si>
  <si>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</si>
  <si>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</si>
  <si>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</si>
  <si>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</si>
  <si>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</si>
  <si>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</si>
  <si>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</si>
  <si>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</si>
  <si>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</si>
  <si>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</si>
  <si>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</si>
  <si>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</si>
  <si>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</si>
  <si>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</si>
  <si>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</si>
  <si>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</si>
  <si>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</si>
  <si>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</si>
  <si>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</si>
  <si>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</si>
  <si>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</si>
  <si>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</si>
  <si>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</si>
  <si>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</si>
  <si>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</si>
  <si>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</si>
  <si>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</si>
  <si>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</si>
  <si>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</si>
  <si>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</si>
  <si>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</si>
  <si>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</si>
  <si>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</si>
  <si>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</si>
  <si>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</si>
  <si>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</si>
  <si>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</si>
  <si>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</si>
  <si>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</si>
  <si>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</si>
  <si>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</si>
  <si>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</si>
  <si>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</si>
  <si>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</si>
  <si>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</si>
  <si>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</si>
  <si>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</si>
  <si>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</si>
  <si>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</si>
  <si>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</si>
  <si>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</si>
  <si>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</si>
  <si>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</si>
  <si>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</si>
  <si>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</si>
  <si>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</si>
  <si>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</si>
  <si>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</si>
  <si>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</si>
  <si>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</si>
  <si>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</si>
  <si>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</si>
  <si>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</si>
  <si>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</si>
  <si>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</si>
  <si>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</si>
  <si>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</si>
  <si>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</si>
  <si>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</si>
  <si>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</si>
  <si>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</si>
  <si>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</si>
  <si>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</si>
  <si>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</si>
  <si>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</si>
  <si>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</si>
  <si>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</si>
  <si>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</si>
  <si>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</si>
  <si>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</si>
  <si>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</si>
  <si>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</si>
  <si>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</si>
  <si>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</si>
  <si>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</si>
  <si>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</si>
  <si>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</si>
  <si>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</si>
  <si>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</si>
  <si>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</si>
  <si>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</si>
  <si>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</si>
  <si>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</si>
  <si>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</si>
  <si>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</si>
  <si>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</si>
  <si>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</si>
  <si>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</si>
  <si>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</si>
  <si>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</si>
  <si>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</si>
  <si>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</si>
  <si>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</si>
  <si>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</si>
  <si>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</si>
  <si>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</si>
  <si>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</si>
  <si>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</si>
  <si>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</si>
  <si>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</si>
  <si>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</si>
  <si>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</si>
  <si>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</si>
  <si>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</si>
  <si>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</si>
  <si>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</si>
  <si>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</si>
  <si>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</si>
  <si>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</si>
  <si>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</si>
  <si>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</si>
  <si>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</si>
  <si>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</si>
  <si>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</si>
  <si>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</si>
  <si>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</si>
  <si>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</si>
  <si>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</si>
  <si>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</si>
  <si>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</si>
  <si>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</si>
  <si>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</si>
  <si>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</si>
  <si>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</si>
  <si>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</si>
  <si>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</si>
  <si>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</si>
  <si>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</si>
  <si>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</si>
  <si>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</si>
  <si>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</si>
  <si>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</si>
  <si>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</si>
  <si>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</si>
  <si>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</si>
  <si>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</si>
  <si>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</si>
  <si>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</si>
  <si>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</si>
  <si>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</si>
  <si>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</si>
  <si>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</si>
  <si>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</si>
  <si>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</si>
  <si>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</si>
  <si>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</si>
  <si>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</si>
  <si>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</si>
  <si>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</si>
  <si>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</si>
  <si>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</si>
  <si>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</si>
  <si>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</si>
  <si>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</si>
  <si>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</si>
  <si>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</si>
  <si>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</si>
  <si>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</si>
  <si>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</si>
  <si>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</si>
  <si>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</si>
  <si>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</si>
  <si>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</si>
  <si>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</si>
  <si>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</si>
  <si>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</si>
  <si>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</si>
  <si>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</si>
  <si>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</si>
  <si>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</si>
  <si>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</si>
  <si>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</si>
  <si>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</si>
  <si>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</si>
  <si>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</si>
  <si>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</si>
  <si>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</si>
  <si>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</si>
  <si>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</si>
  <si>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</si>
  <si>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</si>
  <si>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</si>
  <si>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</si>
  <si>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</si>
  <si>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</si>
  <si>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</si>
  <si>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</si>
  <si>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</si>
  <si>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</si>
  <si>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</si>
  <si>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</si>
  <si>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</si>
  <si>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</si>
  <si>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</si>
  <si>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</si>
  <si>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</si>
  <si>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</si>
  <si>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</si>
  <si>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MODELLO VUOTO</t>
  </si>
  <si>
    <t>* File MODELLO: griglia completamente vuota. Struttura, formule, formattazione, convalide e formattazione condizionale sono gia' pronte.</t>
  </si>
  <si>
    <t>COSA COMPILARE, nell'ordine:</t>
  </si>
  <si>
    <t>1) Foglio Campionato, celle D2-D10 (blocco PARAMETRI): nome campionato, link loghi, elenco gironi separati da virgola (es. A,B,C,D), stagione e punteggi (vittoria/sconfitta/forfait).</t>
  </si>
  <si>
    <t>2) Foglio Campionato, colonna C righe 14-113 (blocco SQUADRE): i nomi squadra nel formato 'Nome-Citta PR'. La lettera in colonna E decide il girone: cambiandola la squadra cambia girone, ma vanno poi sistemati a mano il calendario e i colori.</t>
  </si>
  <si>
    <t>3) Foglio Campionato, blocco CAMPI: righe 117-216 nome e link mappa del campo di ogni squadra; righe 217-224 gli otto campi neutri PO1-PO8 per la fase a eliminazione diretta.</t>
  </si>
  <si>
    <t>4) Fogli Calendario A-J: per ogni gara i codici squadra (colonne C ed E), la data con orario (colonna F) e il codice campo (colonna I della riga sottostante).</t>
  </si>
  <si>
    <t>5) Fogli Arbitri e UdC, colonna D righe 5-104: i nominativi che alimentano gli elenchi a discesa delle designazioni.</t>
  </si>
  <si>
    <t>6) Foglio DESIGNAZIONI: arbitri e ufficiali di campo, scelti dagli elenchi a discesa.</t>
  </si>
  <si>
    <t>* Durante la stagione si inseriscono solo i punteggi nelle colonne Risultato dei fogli Calendario e Playoff: tutto il resto si aggiorna da solo.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</si>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</sst>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5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1E6FBF"/>
      <name val="Arial"/>
    </font>
    <font>
      <sz val="8"/>
      <color rgb="FF000000"/>
      <name val="Arial"/>
    </font>
    <font>
      <b/>
      <sz val="10"/>
      <color rgb="FF2E9B4F"/>
      <name val="Arial"/>
    </font>
    <font>
      <b/>
      <sz val="10"/>
      <color rgb="FFC0392B"/>
      <name val="Arial"/>
    </font>
    <font>
      <b/>
      <sz val="10"/>
      <color rgb="FFE07B12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1E6FBF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2E9B4F"/>
      <name val="Arial"/>
    </font>
    <font>
      <b/>
      <sz val="14"/>
      <color rgb="FFC0392B"/>
      <name val="Arial"/>
    </font>
    <font>
      <b/>
      <sz val="14"/>
      <color rgb="FFE07B12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  <font>
      <b/>
      <sz val="10"/>
      <name val="Arial"/>
    </font>
    <font>
      <i/>
      <sz val="9"/>
      <color rgb="FF000000"/>
      <name val="Arial"/>
      <family val="2"/>
    </font>
    <font>
      <i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41" fillId="0" borderId="0" xfId="0" applyFont="1" applyAlignment="1">
      <alignment vertical="center" wrapText="1"/>
    </xf>
    <xf numFmtId="0" fontId="43" fillId="16" borderId="1" xfId="0" applyFont="1" applyFill="1" applyBorder="1"/>
    <xf numFmtId="0" fontId="44" fillId="16" borderId="1" xfId="0" applyFont="1" applyFill="1" applyBorder="1"/>
    <xf numFmtId="0" fontId="42" fillId="16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3" fillId="18" borderId="1" xfId="0" applyFont="1" applyFill="1" applyBorder="1" applyAlignment="1">
      <alignment horizontal="left" vertical="center" indent="1"/>
    </xf>
    <xf numFmtId="0" fontId="21" fillId="0" borderId="0" xfId="0" applyFont="1"/>
    <xf numFmtId="0" fontId="27" fillId="0" borderId="1" xfId="0" applyFont="1" applyBorder="1" applyAlignment="1">
      <alignment horizontal="center" vertical="center"/>
    </xf>
    <xf numFmtId="0" fontId="0" fillId="0" borderId="5" xfId="0" applyBorder="1"/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22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19" fillId="29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 wrapText="1"/>
    </xf>
    <xf numFmtId="0" fontId="19" fillId="26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6" t="s">
        <v>0</v>
      </c>
      <c r="C1" s="124"/>
      <c r="D1" s="125"/>
    </row>
    <row r="2" spans="2:84" ht="15.75" x14ac:dyDescent="0.25">
      <c r="B2" s="128" t="s">
        <v>1</v>
      </c>
      <c r="C2" s="129"/>
      <c r="D2" s="1"/>
    </row>
    <row r="3" spans="2:84" x14ac:dyDescent="0.25">
      <c r="B3" s="128" t="s">
        <v>2</v>
      </c>
      <c r="C3" s="129"/>
      <c r="D3" s="2"/>
    </row>
    <row r="4" spans="2:84" x14ac:dyDescent="0.25">
      <c r="B4" s="128" t="s">
        <v>3</v>
      </c>
      <c r="C4" s="129"/>
      <c r="D4" s="2"/>
    </row>
    <row r="5" spans="2:84" x14ac:dyDescent="0.25">
      <c r="B5" s="128" t="s">
        <v>4</v>
      </c>
      <c r="C5" s="129"/>
      <c r="D5" s="2" t="s">
        <v>5</v>
      </c>
    </row>
    <row r="6" spans="2:84" x14ac:dyDescent="0.25">
      <c r="B6" s="128" t="s">
        <v>6</v>
      </c>
      <c r="C6" s="129"/>
      <c r="D6" s="2"/>
    </row>
    <row r="7" spans="2:84" x14ac:dyDescent="0.25">
      <c r="B7" s="128" t="s">
        <v>7</v>
      </c>
      <c r="C7" s="129"/>
      <c r="D7" s="2">
        <v>3</v>
      </c>
    </row>
    <row r="8" spans="2:84" x14ac:dyDescent="0.25">
      <c r="B8" s="128" t="s">
        <v>8</v>
      </c>
      <c r="C8" s="129"/>
      <c r="D8" s="2">
        <v>1</v>
      </c>
    </row>
    <row r="9" spans="2:84" x14ac:dyDescent="0.25">
      <c r="B9" s="128" t="s">
        <v>9</v>
      </c>
      <c r="C9" s="129"/>
      <c r="D9" s="2">
        <v>0</v>
      </c>
    </row>
    <row r="10" spans="2:84" x14ac:dyDescent="0.25">
      <c r="B10" s="128" t="s">
        <v>10</v>
      </c>
      <c r="C10" s="129"/>
      <c r="D10" s="2" t="s">
        <v>11</v>
      </c>
    </row>
    <row r="12" spans="2:84" ht="20.100000000000001" customHeight="1" x14ac:dyDescent="0.25">
      <c r="B12" s="130" t="s">
        <v>12</v>
      </c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5"/>
      <c r="Y12" s="123" t="s">
        <v>13</v>
      </c>
      <c r="Z12" s="124"/>
      <c r="AA12" s="124"/>
      <c r="AB12" s="124"/>
      <c r="AC12" s="124"/>
      <c r="AD12" s="124"/>
      <c r="AE12" s="124"/>
      <c r="AF12" s="124"/>
      <c r="AG12" s="124"/>
      <c r="AH12" s="125"/>
      <c r="AJ12" s="3" t="s">
        <v>14</v>
      </c>
      <c r="AK12" s="123" t="s">
        <v>15</v>
      </c>
      <c r="AL12" s="124"/>
      <c r="AM12" s="124"/>
      <c r="AN12" s="124"/>
      <c r="AO12" s="124"/>
      <c r="AP12" s="124"/>
      <c r="AQ12" s="124"/>
      <c r="AR12" s="124"/>
      <c r="AS12" s="124"/>
      <c r="AT12" s="125"/>
      <c r="AV12" s="3" t="s">
        <v>14</v>
      </c>
      <c r="AW12" s="123" t="s">
        <v>16</v>
      </c>
      <c r="AX12" s="124"/>
      <c r="AY12" s="124"/>
      <c r="AZ12" s="124"/>
      <c r="BA12" s="124"/>
      <c r="BB12" s="124"/>
      <c r="BC12" s="124"/>
      <c r="BD12" s="124"/>
      <c r="BE12" s="124"/>
      <c r="BF12" s="125"/>
      <c r="BH12" s="3" t="s">
        <v>14</v>
      </c>
      <c r="BI12" s="123" t="s">
        <v>17</v>
      </c>
      <c r="BJ12" s="124"/>
      <c r="BK12" s="124"/>
      <c r="BL12" s="124"/>
      <c r="BM12" s="124"/>
      <c r="BN12" s="124"/>
      <c r="BO12" s="124"/>
      <c r="BP12" s="124"/>
      <c r="BQ12" s="124"/>
      <c r="BR12" s="125"/>
      <c r="BT12" s="3" t="s">
        <v>14</v>
      </c>
      <c r="BU12" s="123" t="s">
        <v>18</v>
      </c>
      <c r="BV12" s="124"/>
      <c r="BW12" s="124"/>
      <c r="BX12" s="124"/>
      <c r="BY12" s="124"/>
      <c r="BZ12" s="124"/>
      <c r="CA12" s="124"/>
      <c r="CB12" s="124"/>
      <c r="CC12" s="124"/>
      <c r="CD12" s="125"/>
    </row>
    <row r="13" spans="2:84" ht="45.95" customHeight="1" x14ac:dyDescent="0.25">
      <c r="B13" s="3" t="s">
        <v>19</v>
      </c>
      <c r="C13" s="3" t="s">
        <v>14</v>
      </c>
      <c r="D13" s="3" t="s">
        <v>20</v>
      </c>
      <c r="E13" s="3" t="s">
        <v>21</v>
      </c>
      <c r="G13" s="3" t="s">
        <v>22</v>
      </c>
      <c r="H13" s="3" t="s">
        <v>14</v>
      </c>
      <c r="I13" s="3" t="s">
        <v>23</v>
      </c>
      <c r="J13" s="3" t="s">
        <v>24</v>
      </c>
      <c r="K13" s="3" t="s">
        <v>25</v>
      </c>
      <c r="L13" s="3" t="s">
        <v>26</v>
      </c>
      <c r="M13" s="3" t="s">
        <v>27</v>
      </c>
      <c r="N13" s="3" t="s">
        <v>28</v>
      </c>
      <c r="O13" s="3" t="s">
        <v>29</v>
      </c>
      <c r="P13" s="3" t="s">
        <v>30</v>
      </c>
      <c r="Q13" s="3" t="s">
        <v>31</v>
      </c>
      <c r="R13" s="3" t="s">
        <v>32</v>
      </c>
      <c r="S13" s="3" t="s">
        <v>33</v>
      </c>
      <c r="T13" s="3" t="s">
        <v>34</v>
      </c>
      <c r="U13" s="3" t="s">
        <v>35</v>
      </c>
      <c r="V13" s="3" t="s">
        <v>36</v>
      </c>
      <c r="W13" s="3" t="s">
        <v>37</v>
      </c>
      <c r="X13" s="4" t="s">
        <v>38</v>
      </c>
      <c r="Y13" s="4" t="s">
        <v>39</v>
      </c>
      <c r="Z13" s="4" t="s">
        <v>40</v>
      </c>
      <c r="AA13" s="4" t="s">
        <v>41</v>
      </c>
      <c r="AB13" s="4" t="s">
        <v>42</v>
      </c>
      <c r="AC13" s="4" t="s">
        <v>43</v>
      </c>
      <c r="AD13" s="4" t="s">
        <v>44</v>
      </c>
      <c r="AE13" s="4" t="s">
        <v>45</v>
      </c>
      <c r="AF13" s="4" t="s">
        <v>46</v>
      </c>
      <c r="AG13" s="4" t="s">
        <v>47</v>
      </c>
      <c r="AH13" s="4" t="s">
        <v>48</v>
      </c>
      <c r="AJ13" s="4" t="s">
        <v>14</v>
      </c>
      <c r="AK13" s="4" t="s">
        <v>39</v>
      </c>
      <c r="AL13" s="4" t="s">
        <v>40</v>
      </c>
      <c r="AM13" s="4" t="s">
        <v>41</v>
      </c>
      <c r="AN13" s="4" t="s">
        <v>42</v>
      </c>
      <c r="AO13" s="4" t="s">
        <v>43</v>
      </c>
      <c r="AP13" s="4" t="s">
        <v>44</v>
      </c>
      <c r="AQ13" s="4" t="s">
        <v>45</v>
      </c>
      <c r="AR13" s="4" t="s">
        <v>46</v>
      </c>
      <c r="AS13" s="4" t="s">
        <v>47</v>
      </c>
      <c r="AT13" s="4" t="s">
        <v>48</v>
      </c>
      <c r="AV13" s="4" t="s">
        <v>14</v>
      </c>
      <c r="AW13" s="4" t="s">
        <v>39</v>
      </c>
      <c r="AX13" s="4" t="s">
        <v>40</v>
      </c>
      <c r="AY13" s="4" t="s">
        <v>41</v>
      </c>
      <c r="AZ13" s="4" t="s">
        <v>42</v>
      </c>
      <c r="BA13" s="4" t="s">
        <v>43</v>
      </c>
      <c r="BB13" s="4" t="s">
        <v>44</v>
      </c>
      <c r="BC13" s="4" t="s">
        <v>45</v>
      </c>
      <c r="BD13" s="4" t="s">
        <v>46</v>
      </c>
      <c r="BE13" s="4" t="s">
        <v>47</v>
      </c>
      <c r="BF13" s="4" t="s">
        <v>48</v>
      </c>
      <c r="BH13" s="4" t="s">
        <v>14</v>
      </c>
      <c r="BI13" s="4" t="s">
        <v>39</v>
      </c>
      <c r="BJ13" s="4" t="s">
        <v>40</v>
      </c>
      <c r="BK13" s="4" t="s">
        <v>41</v>
      </c>
      <c r="BL13" s="4" t="s">
        <v>42</v>
      </c>
      <c r="BM13" s="4" t="s">
        <v>43</v>
      </c>
      <c r="BN13" s="4" t="s">
        <v>44</v>
      </c>
      <c r="BO13" s="4" t="s">
        <v>45</v>
      </c>
      <c r="BP13" s="4" t="s">
        <v>46</v>
      </c>
      <c r="BQ13" s="4" t="s">
        <v>47</v>
      </c>
      <c r="BR13" s="4" t="s">
        <v>48</v>
      </c>
      <c r="BT13" s="4" t="s">
        <v>14</v>
      </c>
      <c r="BU13" s="4" t="s">
        <v>39</v>
      </c>
      <c r="BV13" s="4" t="s">
        <v>40</v>
      </c>
      <c r="BW13" s="4" t="s">
        <v>41</v>
      </c>
      <c r="BX13" s="4" t="s">
        <v>42</v>
      </c>
      <c r="BY13" s="4" t="s">
        <v>43</v>
      </c>
      <c r="BZ13" s="4" t="s">
        <v>44</v>
      </c>
      <c r="CA13" s="4" t="s">
        <v>45</v>
      </c>
      <c r="CB13" s="4" t="s">
        <v>46</v>
      </c>
      <c r="CC13" s="4" t="s">
        <v>47</v>
      </c>
      <c r="CD13" s="4" t="s">
        <v>48</v>
      </c>
      <c r="CF13" s="4" t="s">
        <v>49</v>
      </c>
    </row>
    <row r="14" spans="2:84" x14ac:dyDescent="0.25">
      <c r="B14" s="5" t="s">
        <v>50</v>
      </c>
      <c r="C14" s="6"/>
      <c r="D14" s="7"/>
      <c r="E14" s="8" t="s">
        <v>51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/>
      </c>
      <c r="H14" s="10" t="str">
        <f t="shared" ref="H14:H45" si="1">IF($C14="","",IFERROR(LEFT($C14,FIND("-",$C14)-1),$C14))</f>
        <v/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|1000000000|0000000000|0000000000|0000000000|</v>
      </c>
      <c r="J14" s="9">
        <f t="shared" ref="J14:J45" si="3">L14*constPuntiVittoria+M14*constPuntiSconfitta+N14*constPuntiForfait+IF(D14="",0,D14)</f>
        <v>0</v>
      </c>
      <c r="K14" s="5">
        <f t="shared" ref="K14:K45" si="4">SUM(L14:N14)</f>
        <v>0</v>
      </c>
      <c r="L14" s="5">
        <f>IF($H14="",0,SUMIF(Dati!$A$2:$A$451,$H14,Dati!$B$2:$B$451)+SUMIF(Dati!$H$2:$H$451,$H14,Dati!$I$2:$I$451))</f>
        <v>0</v>
      </c>
      <c r="M14" s="5">
        <f>IF($H14="",0,SUMIF(Dati!$A$2:$A$451,$H14,Dati!$D$2:$D$451)+SUMIF(Dati!$H$2:$H$451,$H14,Dati!$K$2:$K$451))</f>
        <v>0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0</v>
      </c>
      <c r="P14" s="5">
        <f>IF($H14="",0,SUMIF(Dati!$A$2:$A$451,$H14,Dati!$F$2:$F$451)+SUMIF(Dati!$H$2:$H$451,$H14,Dati!$M$2:$M$451))</f>
        <v>0</v>
      </c>
      <c r="Q14" s="5">
        <f>IF($H14="",0,SUMIF(Dati!$A$2:$A$451,$H14,Dati!$G$2:$G$451)+SUMIF(Dati!$H$2:$H$451,$H14,Dati!$N$2:$N$451))</f>
        <v>0</v>
      </c>
      <c r="R14" s="5">
        <f t="shared" ref="R14:R45" si="5">IF(K14=0,0,ROUND(O14/K14,2))</f>
        <v>0</v>
      </c>
      <c r="S14" s="5">
        <f t="shared" ref="S14:S45" si="6">IF(K14=0,0,ROUND(P14/K14,2))</f>
        <v>0</v>
      </c>
      <c r="T14" s="5">
        <f t="shared" ref="T14:T45" si="7">IF(K14=0,0,ROUND(Q14/K14,2))</f>
        <v>0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/>
      </c>
      <c r="Y14" s="13" t="str">
        <f t="shared" ref="Y14:Y45" si="11">IFERROR(INDEX($H$14:$H$113,MATCH($E14&amp;"#1",$X$14:$X$113,0)),"")</f>
        <v/>
      </c>
      <c r="Z14" s="13" t="str">
        <f t="shared" ref="Z14:Z45" si="12">IFERROR(INDEX($H$14:$H$113,MATCH($E14&amp;"#2",$X$14:$X$113,0)),"")</f>
        <v/>
      </c>
      <c r="AA14" s="13" t="str">
        <f t="shared" ref="AA14:AA45" si="13">IFERROR(INDEX($H$14:$H$113,MATCH($E14&amp;"#3",$X$14:$X$113,0)),"")</f>
        <v/>
      </c>
      <c r="AB14" s="13" t="str">
        <f t="shared" ref="AB14:AB45" si="14">IFERROR(INDEX($H$14:$H$113,MATCH($E14&amp;"#4",$X$14:$X$113,0)),"")</f>
        <v/>
      </c>
      <c r="AC14" s="13" t="str">
        <f t="shared" ref="AC14:AC45" si="15">IFERROR(INDEX($H$14:$H$113,MATCH($E14&amp;"#5",$X$14:$X$113,0)),"")</f>
        <v/>
      </c>
      <c r="AD14" s="13" t="str">
        <f t="shared" ref="AD14:AD45" si="16">IFERROR(INDEX($H$14:$H$113,MATCH($E14&amp;"#6",$X$14:$X$113,0)),"")</f>
        <v/>
      </c>
      <c r="AE14" s="13" t="str">
        <f t="shared" ref="AE14:AE45" si="17">IFERROR(INDEX($H$14:$H$113,MATCH($E14&amp;"#7",$X$14:$X$113,0)),"")</f>
        <v/>
      </c>
      <c r="AF14" s="13" t="str">
        <f t="shared" ref="AF14:AF45" si="18">IFERROR(INDEX($H$14:$H$113,MATCH($E14&amp;"#8",$X$14:$X$113,0)),"")</f>
        <v/>
      </c>
      <c r="AG14" s="13" t="str">
        <f t="shared" ref="AG14:AG45" si="19">IFERROR(INDEX($H$14:$H$113,MATCH($E14&amp;"#9",$X$14:$X$113,0)),"")</f>
        <v/>
      </c>
      <c r="AH14" s="13" t="str">
        <f t="shared" ref="AH14:AH45" si="20">IFERROR(INDEX($H$14:$H$113,MATCH($E14&amp;"#10",$X$14:$X$113,0)),"")</f>
        <v/>
      </c>
      <c r="AJ14" s="14">
        <f t="shared" ref="AJ14:AJ45" si="21">$C14</f>
        <v>0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>
        <f t="shared" ref="AV14:AV45" si="22">$C14</f>
        <v>0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>
        <f t="shared" ref="BH14:BH45" si="23">$C14</f>
        <v>0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>
        <f t="shared" ref="BT14:BT45" si="24">$C14</f>
        <v>0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 t="str">
        <f t="shared" ref="CF14:CF45" si="25">IF($C14="","",SUM(AK14:AT14))</f>
        <v/>
      </c>
    </row>
    <row r="15" spans="2:84" x14ac:dyDescent="0.25">
      <c r="B15" s="5" t="s">
        <v>52</v>
      </c>
      <c r="C15" s="6"/>
      <c r="D15" s="7"/>
      <c r="E15" s="8" t="s">
        <v>51</v>
      </c>
      <c r="G15" s="9" t="str">
        <f t="shared" si="0"/>
        <v/>
      </c>
      <c r="H15" s="10" t="str">
        <f t="shared" si="1"/>
        <v/>
      </c>
      <c r="I15" s="5" t="str">
        <f t="shared" si="2"/>
        <v>|1000000000|0000000000|0000000000|0000000000|</v>
      </c>
      <c r="J15" s="9">
        <f t="shared" si="3"/>
        <v>0</v>
      </c>
      <c r="K15" s="5">
        <f t="shared" si="4"/>
        <v>0</v>
      </c>
      <c r="L15" s="5">
        <f>IF($H15="",0,SUMIF(Dati!$A$2:$A$451,$H15,Dati!$B$2:$B$451)+SUMIF(Dati!$H$2:$H$451,$H15,Dati!$I$2:$I$451))</f>
        <v>0</v>
      </c>
      <c r="M15" s="5">
        <f>IF($H15="",0,SUMIF(Dati!$A$2:$A$451,$H15,Dati!$D$2:$D$451)+SUMIF(Dati!$H$2:$H$451,$H15,Dati!$K$2:$K$451))</f>
        <v>0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0</v>
      </c>
      <c r="P15" s="5">
        <f>IF($H15="",0,SUMIF(Dati!$A$2:$A$451,$H15,Dati!$F$2:$F$451)+SUMIF(Dati!$H$2:$H$451,$H15,Dati!$M$2:$M$451))</f>
        <v>0</v>
      </c>
      <c r="Q15" s="5">
        <f>IF($H15="",0,SUMIF(Dati!$A$2:$A$451,$H15,Dati!$G$2:$G$451)+SUMIF(Dati!$H$2:$H$451,$H15,Dati!$N$2:$N$451))</f>
        <v>0</v>
      </c>
      <c r="R15" s="5">
        <f t="shared" si="5"/>
        <v>0</v>
      </c>
      <c r="S15" s="5">
        <f t="shared" si="6"/>
        <v>0</v>
      </c>
      <c r="T15" s="5">
        <f t="shared" si="7"/>
        <v>0</v>
      </c>
      <c r="U15" s="5" t="str">
        <f t="shared" si="8"/>
        <v>-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/>
      </c>
      <c r="Y15" s="13" t="str">
        <f t="shared" si="11"/>
        <v/>
      </c>
      <c r="Z15" s="13" t="str">
        <f t="shared" si="12"/>
        <v/>
      </c>
      <c r="AA15" s="13" t="str">
        <f t="shared" si="13"/>
        <v/>
      </c>
      <c r="AB15" s="13" t="str">
        <f t="shared" si="14"/>
        <v/>
      </c>
      <c r="AC15" s="13" t="str">
        <f t="shared" si="15"/>
        <v/>
      </c>
      <c r="AD15" s="13" t="str">
        <f t="shared" si="16"/>
        <v/>
      </c>
      <c r="AE15" s="13" t="str">
        <f t="shared" si="17"/>
        <v/>
      </c>
      <c r="AF15" s="13" t="str">
        <f t="shared" si="18"/>
        <v/>
      </c>
      <c r="AG15" s="13" t="str">
        <f t="shared" si="19"/>
        <v/>
      </c>
      <c r="AH15" s="13" t="str">
        <f t="shared" si="20"/>
        <v/>
      </c>
      <c r="AJ15" s="14">
        <f t="shared" si="21"/>
        <v>0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 t="str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-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>
        <f t="shared" si="22"/>
        <v>0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 t="str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>
        <f t="shared" si="23"/>
        <v>0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 t="str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-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>
        <f t="shared" si="24"/>
        <v>0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 t="str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-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 t="str">
        <f t="shared" si="25"/>
        <v/>
      </c>
    </row>
    <row r="16" spans="2:84" x14ac:dyDescent="0.25">
      <c r="B16" s="5" t="s">
        <v>53</v>
      </c>
      <c r="C16" s="6"/>
      <c r="D16" s="7"/>
      <c r="E16" s="8" t="s">
        <v>51</v>
      </c>
      <c r="G16" s="9" t="str">
        <f t="shared" si="0"/>
        <v/>
      </c>
      <c r="H16" s="10" t="str">
        <f t="shared" si="1"/>
        <v/>
      </c>
      <c r="I16" s="5" t="str">
        <f t="shared" si="2"/>
        <v>|1000000000|0000000000|0000000000|0000000000|</v>
      </c>
      <c r="J16" s="9">
        <f t="shared" si="3"/>
        <v>0</v>
      </c>
      <c r="K16" s="5">
        <f t="shared" si="4"/>
        <v>0</v>
      </c>
      <c r="L16" s="5">
        <f>IF($H16="",0,SUMIF(Dati!$A$2:$A$451,$H16,Dati!$B$2:$B$451)+SUMIF(Dati!$H$2:$H$451,$H16,Dati!$I$2:$I$451))</f>
        <v>0</v>
      </c>
      <c r="M16" s="5">
        <f>IF($H16="",0,SUMIF(Dati!$A$2:$A$451,$H16,Dati!$D$2:$D$451)+SUMIF(Dati!$H$2:$H$451,$H16,Dati!$K$2:$K$451))</f>
        <v>0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0</v>
      </c>
      <c r="P16" s="5">
        <f>IF($H16="",0,SUMIF(Dati!$A$2:$A$451,$H16,Dati!$F$2:$F$451)+SUMIF(Dati!$H$2:$H$451,$H16,Dati!$M$2:$M$451))</f>
        <v>0</v>
      </c>
      <c r="Q16" s="5">
        <f>IF($H16="",0,SUMIF(Dati!$A$2:$A$451,$H16,Dati!$G$2:$G$451)+SUMIF(Dati!$H$2:$H$451,$H16,Dati!$N$2:$N$451))</f>
        <v>0</v>
      </c>
      <c r="R16" s="5">
        <f t="shared" si="5"/>
        <v>0</v>
      </c>
      <c r="S16" s="5">
        <f t="shared" si="6"/>
        <v>0</v>
      </c>
      <c r="T16" s="5">
        <f t="shared" si="7"/>
        <v>0</v>
      </c>
      <c r="U16" s="5" t="str">
        <f t="shared" si="8"/>
        <v>-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/>
      </c>
      <c r="Y16" s="13" t="str">
        <f t="shared" si="11"/>
        <v/>
      </c>
      <c r="Z16" s="13" t="str">
        <f t="shared" si="12"/>
        <v/>
      </c>
      <c r="AA16" s="13" t="str">
        <f t="shared" si="13"/>
        <v/>
      </c>
      <c r="AB16" s="13" t="str">
        <f t="shared" si="14"/>
        <v/>
      </c>
      <c r="AC16" s="13" t="str">
        <f t="shared" si="15"/>
        <v/>
      </c>
      <c r="AD16" s="13" t="str">
        <f t="shared" si="16"/>
        <v/>
      </c>
      <c r="AE16" s="13" t="str">
        <f t="shared" si="17"/>
        <v/>
      </c>
      <c r="AF16" s="13" t="str">
        <f t="shared" si="18"/>
        <v/>
      </c>
      <c r="AG16" s="13" t="str">
        <f t="shared" si="19"/>
        <v/>
      </c>
      <c r="AH16" s="13" t="str">
        <f t="shared" si="20"/>
        <v/>
      </c>
      <c r="AJ16" s="14">
        <f t="shared" si="21"/>
        <v>0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 t="str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-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 t="str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-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>
        <f t="shared" si="22"/>
        <v>0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 t="str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 t="str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-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>
        <f t="shared" si="23"/>
        <v>0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 t="str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-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 t="str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-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>
        <f t="shared" si="24"/>
        <v>0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 t="str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-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 t="str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-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 t="str">
        <f t="shared" si="25"/>
        <v/>
      </c>
    </row>
    <row r="17" spans="2:84" x14ac:dyDescent="0.25">
      <c r="B17" s="5" t="s">
        <v>54</v>
      </c>
      <c r="C17" s="6"/>
      <c r="D17" s="7"/>
      <c r="E17" s="8" t="s">
        <v>51</v>
      </c>
      <c r="G17" s="9" t="str">
        <f t="shared" si="0"/>
        <v/>
      </c>
      <c r="H17" s="10" t="str">
        <f t="shared" si="1"/>
        <v/>
      </c>
      <c r="I17" s="5" t="str">
        <f t="shared" si="2"/>
        <v>|1000000000|0000000000|0000000000|0000000000|</v>
      </c>
      <c r="J17" s="9">
        <f t="shared" si="3"/>
        <v>0</v>
      </c>
      <c r="K17" s="5">
        <f t="shared" si="4"/>
        <v>0</v>
      </c>
      <c r="L17" s="5">
        <f>IF($H17="",0,SUMIF(Dati!$A$2:$A$451,$H17,Dati!$B$2:$B$451)+SUMIF(Dati!$H$2:$H$451,$H17,Dati!$I$2:$I$451))</f>
        <v>0</v>
      </c>
      <c r="M17" s="5">
        <f>IF($H17="",0,SUMIF(Dati!$A$2:$A$451,$H17,Dati!$D$2:$D$451)+SUMIF(Dati!$H$2:$H$451,$H17,Dati!$K$2:$K$451))</f>
        <v>0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0</v>
      </c>
      <c r="P17" s="5">
        <f>IF($H17="",0,SUMIF(Dati!$A$2:$A$451,$H17,Dati!$F$2:$F$451)+SUMIF(Dati!$H$2:$H$451,$H17,Dati!$M$2:$M$451))</f>
        <v>0</v>
      </c>
      <c r="Q17" s="5">
        <f>IF($H17="",0,SUMIF(Dati!$A$2:$A$451,$H17,Dati!$G$2:$G$451)+SUMIF(Dati!$H$2:$H$451,$H17,Dati!$N$2:$N$451))</f>
        <v>0</v>
      </c>
      <c r="R17" s="5">
        <f t="shared" si="5"/>
        <v>0</v>
      </c>
      <c r="S17" s="5">
        <f t="shared" si="6"/>
        <v>0</v>
      </c>
      <c r="T17" s="5">
        <f t="shared" si="7"/>
        <v>0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/>
      </c>
      <c r="Y17" s="13" t="str">
        <f t="shared" si="11"/>
        <v/>
      </c>
      <c r="Z17" s="13" t="str">
        <f t="shared" si="12"/>
        <v/>
      </c>
      <c r="AA17" s="13" t="str">
        <f t="shared" si="13"/>
        <v/>
      </c>
      <c r="AB17" s="13" t="str">
        <f t="shared" si="14"/>
        <v/>
      </c>
      <c r="AC17" s="13" t="str">
        <f t="shared" si="15"/>
        <v/>
      </c>
      <c r="AD17" s="13" t="str">
        <f t="shared" si="16"/>
        <v/>
      </c>
      <c r="AE17" s="13" t="str">
        <f t="shared" si="17"/>
        <v/>
      </c>
      <c r="AF17" s="13" t="str">
        <f t="shared" si="18"/>
        <v/>
      </c>
      <c r="AG17" s="13" t="str">
        <f t="shared" si="19"/>
        <v/>
      </c>
      <c r="AH17" s="13" t="str">
        <f t="shared" si="20"/>
        <v/>
      </c>
      <c r="AJ17" s="14">
        <f t="shared" si="21"/>
        <v>0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>
        <f t="shared" si="22"/>
        <v>0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>
        <f t="shared" si="23"/>
        <v>0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>
        <f t="shared" si="24"/>
        <v>0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 t="str">
        <f t="shared" si="25"/>
        <v/>
      </c>
    </row>
    <row r="18" spans="2:84" x14ac:dyDescent="0.25">
      <c r="B18" s="5" t="s">
        <v>55</v>
      </c>
      <c r="C18" s="6"/>
      <c r="D18" s="7"/>
      <c r="E18" s="8" t="s">
        <v>51</v>
      </c>
      <c r="G18" s="9" t="str">
        <f t="shared" si="0"/>
        <v/>
      </c>
      <c r="H18" s="10" t="str">
        <f t="shared" si="1"/>
        <v/>
      </c>
      <c r="I18" s="5" t="str">
        <f t="shared" si="2"/>
        <v>|1000000000|0000000000|0000000000|0000000000|</v>
      </c>
      <c r="J18" s="9">
        <f t="shared" si="3"/>
        <v>0</v>
      </c>
      <c r="K18" s="5">
        <f t="shared" si="4"/>
        <v>0</v>
      </c>
      <c r="L18" s="5">
        <f>IF($H18="",0,SUMIF(Dati!$A$2:$A$451,$H18,Dati!$B$2:$B$451)+SUMIF(Dati!$H$2:$H$451,$H18,Dati!$I$2:$I$451))</f>
        <v>0</v>
      </c>
      <c r="M18" s="5">
        <f>IF($H18="",0,SUMIF(Dati!$A$2:$A$451,$H18,Dati!$D$2:$D$451)+SUMIF(Dati!$H$2:$H$451,$H18,Dati!$K$2:$K$451))</f>
        <v>0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0</v>
      </c>
      <c r="P18" s="5">
        <f>IF($H18="",0,SUMIF(Dati!$A$2:$A$451,$H18,Dati!$F$2:$F$451)+SUMIF(Dati!$H$2:$H$451,$H18,Dati!$M$2:$M$451))</f>
        <v>0</v>
      </c>
      <c r="Q18" s="5">
        <f>IF($H18="",0,SUMIF(Dati!$A$2:$A$451,$H18,Dati!$G$2:$G$451)+SUMIF(Dati!$H$2:$H$451,$H18,Dati!$N$2:$N$451))</f>
        <v>0</v>
      </c>
      <c r="R18" s="5">
        <f t="shared" si="5"/>
        <v>0</v>
      </c>
      <c r="S18" s="5">
        <f t="shared" si="6"/>
        <v>0</v>
      </c>
      <c r="T18" s="5">
        <f t="shared" si="7"/>
        <v>0</v>
      </c>
      <c r="U18" s="5" t="str">
        <f t="shared" si="8"/>
        <v>-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/>
      </c>
      <c r="Y18" s="13" t="str">
        <f t="shared" si="11"/>
        <v/>
      </c>
      <c r="Z18" s="13" t="str">
        <f t="shared" si="12"/>
        <v/>
      </c>
      <c r="AA18" s="13" t="str">
        <f t="shared" si="13"/>
        <v/>
      </c>
      <c r="AB18" s="13" t="str">
        <f t="shared" si="14"/>
        <v/>
      </c>
      <c r="AC18" s="13" t="str">
        <f t="shared" si="15"/>
        <v/>
      </c>
      <c r="AD18" s="13" t="str">
        <f t="shared" si="16"/>
        <v/>
      </c>
      <c r="AE18" s="13" t="str">
        <f t="shared" si="17"/>
        <v/>
      </c>
      <c r="AF18" s="13" t="str">
        <f t="shared" si="18"/>
        <v/>
      </c>
      <c r="AG18" s="13" t="str">
        <f t="shared" si="19"/>
        <v/>
      </c>
      <c r="AH18" s="13" t="str">
        <f t="shared" si="20"/>
        <v/>
      </c>
      <c r="AJ18" s="14">
        <f t="shared" si="21"/>
        <v>0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 t="str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-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 t="str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-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>
        <f t="shared" si="22"/>
        <v>0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 t="str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 t="str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>
        <f t="shared" si="23"/>
        <v>0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 t="str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-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 t="str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-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>
        <f t="shared" si="24"/>
        <v>0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 t="str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-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 t="str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-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 t="str">
        <f t="shared" si="25"/>
        <v/>
      </c>
    </row>
    <row r="19" spans="2:84" x14ac:dyDescent="0.25">
      <c r="B19" s="5" t="s">
        <v>56</v>
      </c>
      <c r="C19" s="6"/>
      <c r="D19" s="7"/>
      <c r="E19" s="8" t="s">
        <v>51</v>
      </c>
      <c r="G19" s="9" t="str">
        <f t="shared" si="0"/>
        <v/>
      </c>
      <c r="H19" s="10" t="str">
        <f t="shared" si="1"/>
        <v/>
      </c>
      <c r="I19" s="5" t="str">
        <f t="shared" si="2"/>
        <v>|1000000000|0000000000|0000000000|0000000000|</v>
      </c>
      <c r="J19" s="9">
        <f t="shared" si="3"/>
        <v>0</v>
      </c>
      <c r="K19" s="5">
        <f t="shared" si="4"/>
        <v>0</v>
      </c>
      <c r="L19" s="5">
        <f>IF($H19="",0,SUMIF(Dati!$A$2:$A$451,$H19,Dati!$B$2:$B$451)+SUMIF(Dati!$H$2:$H$451,$H19,Dati!$I$2:$I$451))</f>
        <v>0</v>
      </c>
      <c r="M19" s="5">
        <f>IF($H19="",0,SUMIF(Dati!$A$2:$A$451,$H19,Dati!$D$2:$D$451)+SUMIF(Dati!$H$2:$H$451,$H19,Dati!$K$2:$K$451))</f>
        <v>0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0</v>
      </c>
      <c r="P19" s="5">
        <f>IF($H19="",0,SUMIF(Dati!$A$2:$A$451,$H19,Dati!$F$2:$F$451)+SUMIF(Dati!$H$2:$H$451,$H19,Dati!$M$2:$M$451))</f>
        <v>0</v>
      </c>
      <c r="Q19" s="5">
        <f>IF($H19="",0,SUMIF(Dati!$A$2:$A$451,$H19,Dati!$G$2:$G$451)+SUMIF(Dati!$H$2:$H$451,$H19,Dati!$N$2:$N$451))</f>
        <v>0</v>
      </c>
      <c r="R19" s="5">
        <f t="shared" si="5"/>
        <v>0</v>
      </c>
      <c r="S19" s="5">
        <f t="shared" si="6"/>
        <v>0</v>
      </c>
      <c r="T19" s="5">
        <f t="shared" si="7"/>
        <v>0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/>
      </c>
      <c r="Y19" s="13" t="str">
        <f t="shared" si="11"/>
        <v/>
      </c>
      <c r="Z19" s="13" t="str">
        <f t="shared" si="12"/>
        <v/>
      </c>
      <c r="AA19" s="13" t="str">
        <f t="shared" si="13"/>
        <v/>
      </c>
      <c r="AB19" s="13" t="str">
        <f t="shared" si="14"/>
        <v/>
      </c>
      <c r="AC19" s="13" t="str">
        <f t="shared" si="15"/>
        <v/>
      </c>
      <c r="AD19" s="13" t="str">
        <f t="shared" si="16"/>
        <v/>
      </c>
      <c r="AE19" s="13" t="str">
        <f t="shared" si="17"/>
        <v/>
      </c>
      <c r="AF19" s="13" t="str">
        <f t="shared" si="18"/>
        <v/>
      </c>
      <c r="AG19" s="13" t="str">
        <f t="shared" si="19"/>
        <v/>
      </c>
      <c r="AH19" s="13" t="str">
        <f t="shared" si="20"/>
        <v/>
      </c>
      <c r="AJ19" s="14">
        <f t="shared" si="21"/>
        <v>0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>
        <f t="shared" si="22"/>
        <v>0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>
        <f t="shared" si="23"/>
        <v>0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>
        <f t="shared" si="24"/>
        <v>0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 t="str">
        <f t="shared" si="25"/>
        <v/>
      </c>
    </row>
    <row r="20" spans="2:84" x14ac:dyDescent="0.25">
      <c r="B20" s="5" t="s">
        <v>57</v>
      </c>
      <c r="C20" s="6"/>
      <c r="D20" s="7"/>
      <c r="E20" s="8" t="s">
        <v>51</v>
      </c>
      <c r="G20" s="9" t="str">
        <f t="shared" si="0"/>
        <v/>
      </c>
      <c r="H20" s="10" t="str">
        <f t="shared" si="1"/>
        <v/>
      </c>
      <c r="I20" s="5" t="str">
        <f t="shared" si="2"/>
        <v>|1000000000|0000000000|0000000000|0000000000|</v>
      </c>
      <c r="J20" s="9">
        <f t="shared" si="3"/>
        <v>0</v>
      </c>
      <c r="K20" s="5">
        <f t="shared" si="4"/>
        <v>0</v>
      </c>
      <c r="L20" s="5">
        <f>IF($H20="",0,SUMIF(Dati!$A$2:$A$451,$H20,Dati!$B$2:$B$451)+SUMIF(Dati!$H$2:$H$451,$H20,Dati!$I$2:$I$451))</f>
        <v>0</v>
      </c>
      <c r="M20" s="5">
        <f>IF($H20="",0,SUMIF(Dati!$A$2:$A$451,$H20,Dati!$D$2:$D$451)+SUMIF(Dati!$H$2:$H$451,$H20,Dati!$K$2:$K$451))</f>
        <v>0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0</v>
      </c>
      <c r="P20" s="5">
        <f>IF($H20="",0,SUMIF(Dati!$A$2:$A$451,$H20,Dati!$F$2:$F$451)+SUMIF(Dati!$H$2:$H$451,$H20,Dati!$M$2:$M$451))</f>
        <v>0</v>
      </c>
      <c r="Q20" s="5">
        <f>IF($H20="",0,SUMIF(Dati!$A$2:$A$451,$H20,Dati!$G$2:$G$451)+SUMIF(Dati!$H$2:$H$451,$H20,Dati!$N$2:$N$451))</f>
        <v>0</v>
      </c>
      <c r="R20" s="5">
        <f t="shared" si="5"/>
        <v>0</v>
      </c>
      <c r="S20" s="5">
        <f t="shared" si="6"/>
        <v>0</v>
      </c>
      <c r="T20" s="5">
        <f t="shared" si="7"/>
        <v>0</v>
      </c>
      <c r="U20" s="5" t="str">
        <f t="shared" si="8"/>
        <v>-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/>
      </c>
      <c r="Y20" s="13" t="str">
        <f t="shared" si="11"/>
        <v/>
      </c>
      <c r="Z20" s="13" t="str">
        <f t="shared" si="12"/>
        <v/>
      </c>
      <c r="AA20" s="13" t="str">
        <f t="shared" si="13"/>
        <v/>
      </c>
      <c r="AB20" s="13" t="str">
        <f t="shared" si="14"/>
        <v/>
      </c>
      <c r="AC20" s="13" t="str">
        <f t="shared" si="15"/>
        <v/>
      </c>
      <c r="AD20" s="13" t="str">
        <f t="shared" si="16"/>
        <v/>
      </c>
      <c r="AE20" s="13" t="str">
        <f t="shared" si="17"/>
        <v/>
      </c>
      <c r="AF20" s="13" t="str">
        <f t="shared" si="18"/>
        <v/>
      </c>
      <c r="AG20" s="13" t="str">
        <f t="shared" si="19"/>
        <v/>
      </c>
      <c r="AH20" s="13" t="str">
        <f t="shared" si="20"/>
        <v/>
      </c>
      <c r="AJ20" s="14">
        <f t="shared" si="21"/>
        <v>0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 t="str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-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>
        <f t="shared" si="22"/>
        <v>0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 t="str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>
        <f t="shared" si="23"/>
        <v>0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 t="str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-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>
        <f t="shared" si="24"/>
        <v>0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 t="str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-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 t="str">
        <f t="shared" si="25"/>
        <v/>
      </c>
    </row>
    <row r="21" spans="2:84" x14ac:dyDescent="0.25">
      <c r="B21" s="5" t="s">
        <v>58</v>
      </c>
      <c r="C21" s="6"/>
      <c r="D21" s="7"/>
      <c r="E21" s="8" t="s">
        <v>51</v>
      </c>
      <c r="G21" s="9" t="str">
        <f t="shared" si="0"/>
        <v/>
      </c>
      <c r="H21" s="10" t="str">
        <f t="shared" si="1"/>
        <v/>
      </c>
      <c r="I21" s="5" t="str">
        <f t="shared" si="2"/>
        <v>|1000000000|0000000000|0000000000|0000000000|</v>
      </c>
      <c r="J21" s="9">
        <f t="shared" si="3"/>
        <v>0</v>
      </c>
      <c r="K21" s="5">
        <f t="shared" si="4"/>
        <v>0</v>
      </c>
      <c r="L21" s="5">
        <f>IF($H21="",0,SUMIF(Dati!$A$2:$A$451,$H21,Dati!$B$2:$B$451)+SUMIF(Dati!$H$2:$H$451,$H21,Dati!$I$2:$I$451))</f>
        <v>0</v>
      </c>
      <c r="M21" s="5">
        <f>IF($H21="",0,SUMIF(Dati!$A$2:$A$451,$H21,Dati!$D$2:$D$451)+SUMIF(Dati!$H$2:$H$451,$H21,Dati!$K$2:$K$451))</f>
        <v>0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0</v>
      </c>
      <c r="P21" s="5">
        <f>IF($H21="",0,SUMIF(Dati!$A$2:$A$451,$H21,Dati!$F$2:$F$451)+SUMIF(Dati!$H$2:$H$451,$H21,Dati!$M$2:$M$451))</f>
        <v>0</v>
      </c>
      <c r="Q21" s="5">
        <f>IF($H21="",0,SUMIF(Dati!$A$2:$A$451,$H21,Dati!$G$2:$G$451)+SUMIF(Dati!$H$2:$H$451,$H21,Dati!$N$2:$N$451))</f>
        <v>0</v>
      </c>
      <c r="R21" s="5">
        <f t="shared" si="5"/>
        <v>0</v>
      </c>
      <c r="S21" s="5">
        <f t="shared" si="6"/>
        <v>0</v>
      </c>
      <c r="T21" s="5">
        <f t="shared" si="7"/>
        <v>0</v>
      </c>
      <c r="U21" s="5" t="str">
        <f t="shared" si="8"/>
        <v>-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/>
      </c>
      <c r="Y21" s="13" t="str">
        <f t="shared" si="11"/>
        <v/>
      </c>
      <c r="Z21" s="13" t="str">
        <f t="shared" si="12"/>
        <v/>
      </c>
      <c r="AA21" s="13" t="str">
        <f t="shared" si="13"/>
        <v/>
      </c>
      <c r="AB21" s="13" t="str">
        <f t="shared" si="14"/>
        <v/>
      </c>
      <c r="AC21" s="13" t="str">
        <f t="shared" si="15"/>
        <v/>
      </c>
      <c r="AD21" s="13" t="str">
        <f t="shared" si="16"/>
        <v/>
      </c>
      <c r="AE21" s="13" t="str">
        <f t="shared" si="17"/>
        <v/>
      </c>
      <c r="AF21" s="13" t="str">
        <f t="shared" si="18"/>
        <v/>
      </c>
      <c r="AG21" s="13" t="str">
        <f t="shared" si="19"/>
        <v/>
      </c>
      <c r="AH21" s="13" t="str">
        <f t="shared" si="20"/>
        <v/>
      </c>
      <c r="AJ21" s="14">
        <f t="shared" si="21"/>
        <v>0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 t="str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-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 t="str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-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>
        <f t="shared" si="22"/>
        <v>0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 t="str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 t="str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>
        <f t="shared" si="23"/>
        <v>0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 t="str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-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 t="str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-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>
        <f t="shared" si="24"/>
        <v>0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 t="str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-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 t="str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-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 t="str">
        <f t="shared" si="25"/>
        <v/>
      </c>
    </row>
    <row r="22" spans="2:84" x14ac:dyDescent="0.25">
      <c r="B22" s="5" t="s">
        <v>59</v>
      </c>
      <c r="C22" s="6"/>
      <c r="D22" s="7"/>
      <c r="E22" s="8" t="s">
        <v>51</v>
      </c>
      <c r="G22" s="9" t="str">
        <f t="shared" si="0"/>
        <v/>
      </c>
      <c r="H22" s="10" t="str">
        <f t="shared" si="1"/>
        <v/>
      </c>
      <c r="I22" s="5" t="str">
        <f t="shared" si="2"/>
        <v>|1000000000|0000000000|0000000000|0000000000|</v>
      </c>
      <c r="J22" s="9">
        <f t="shared" si="3"/>
        <v>0</v>
      </c>
      <c r="K22" s="5">
        <f t="shared" si="4"/>
        <v>0</v>
      </c>
      <c r="L22" s="5">
        <f>IF($H22="",0,SUMIF(Dati!$A$2:$A$451,$H22,Dati!$B$2:$B$451)+SUMIF(Dati!$H$2:$H$451,$H22,Dati!$I$2:$I$451))</f>
        <v>0</v>
      </c>
      <c r="M22" s="5">
        <f>IF($H22="",0,SUMIF(Dati!$A$2:$A$451,$H22,Dati!$D$2:$D$451)+SUMIF(Dati!$H$2:$H$451,$H22,Dati!$K$2:$K$451))</f>
        <v>0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0</v>
      </c>
      <c r="P22" s="5">
        <f>IF($H22="",0,SUMIF(Dati!$A$2:$A$451,$H22,Dati!$F$2:$F$451)+SUMIF(Dati!$H$2:$H$451,$H22,Dati!$M$2:$M$451))</f>
        <v>0</v>
      </c>
      <c r="Q22" s="5">
        <f>IF($H22="",0,SUMIF(Dati!$A$2:$A$451,$H22,Dati!$G$2:$G$451)+SUMIF(Dati!$H$2:$H$451,$H22,Dati!$N$2:$N$451))</f>
        <v>0</v>
      </c>
      <c r="R22" s="5">
        <f t="shared" si="5"/>
        <v>0</v>
      </c>
      <c r="S22" s="5">
        <f t="shared" si="6"/>
        <v>0</v>
      </c>
      <c r="T22" s="5">
        <f t="shared" si="7"/>
        <v>0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/>
      </c>
      <c r="Y22" s="13" t="str">
        <f t="shared" si="11"/>
        <v/>
      </c>
      <c r="Z22" s="13" t="str">
        <f t="shared" si="12"/>
        <v/>
      </c>
      <c r="AA22" s="13" t="str">
        <f t="shared" si="13"/>
        <v/>
      </c>
      <c r="AB22" s="13" t="str">
        <f t="shared" si="14"/>
        <v/>
      </c>
      <c r="AC22" s="13" t="str">
        <f t="shared" si="15"/>
        <v/>
      </c>
      <c r="AD22" s="13" t="str">
        <f t="shared" si="16"/>
        <v/>
      </c>
      <c r="AE22" s="13" t="str">
        <f t="shared" si="17"/>
        <v/>
      </c>
      <c r="AF22" s="13" t="str">
        <f t="shared" si="18"/>
        <v/>
      </c>
      <c r="AG22" s="13" t="str">
        <f t="shared" si="19"/>
        <v/>
      </c>
      <c r="AH22" s="13" t="str">
        <f t="shared" si="20"/>
        <v/>
      </c>
      <c r="AJ22" s="14">
        <f t="shared" si="21"/>
        <v>0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>
        <f t="shared" si="22"/>
        <v>0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>
        <f t="shared" si="23"/>
        <v>0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>
        <f t="shared" si="24"/>
        <v>0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 t="str">
        <f t="shared" si="25"/>
        <v/>
      </c>
    </row>
    <row r="23" spans="2:84" x14ac:dyDescent="0.25">
      <c r="B23" s="5" t="s">
        <v>60</v>
      </c>
      <c r="C23" s="6"/>
      <c r="D23" s="7"/>
      <c r="E23" s="8" t="s">
        <v>51</v>
      </c>
      <c r="G23" s="9" t="str">
        <f t="shared" si="0"/>
        <v/>
      </c>
      <c r="H23" s="10" t="str">
        <f t="shared" si="1"/>
        <v/>
      </c>
      <c r="I23" s="5" t="str">
        <f t="shared" si="2"/>
        <v>|1000000000|0000000000|0000000000|0000000000|</v>
      </c>
      <c r="J23" s="9">
        <f t="shared" si="3"/>
        <v>0</v>
      </c>
      <c r="K23" s="5">
        <f t="shared" si="4"/>
        <v>0</v>
      </c>
      <c r="L23" s="5">
        <f>IF($H23="",0,SUMIF(Dati!$A$2:$A$451,$H23,Dati!$B$2:$B$451)+SUMIF(Dati!$H$2:$H$451,$H23,Dati!$I$2:$I$451))</f>
        <v>0</v>
      </c>
      <c r="M23" s="5">
        <f>IF($H23="",0,SUMIF(Dati!$A$2:$A$451,$H23,Dati!$D$2:$D$451)+SUMIF(Dati!$H$2:$H$451,$H23,Dati!$K$2:$K$451))</f>
        <v>0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0</v>
      </c>
      <c r="P23" s="5">
        <f>IF($H23="",0,SUMIF(Dati!$A$2:$A$451,$H23,Dati!$F$2:$F$451)+SUMIF(Dati!$H$2:$H$451,$H23,Dati!$M$2:$M$451))</f>
        <v>0</v>
      </c>
      <c r="Q23" s="5">
        <f>IF($H23="",0,SUMIF(Dati!$A$2:$A$451,$H23,Dati!$G$2:$G$451)+SUMIF(Dati!$H$2:$H$451,$H23,Dati!$N$2:$N$451))</f>
        <v>0</v>
      </c>
      <c r="R23" s="5">
        <f t="shared" si="5"/>
        <v>0</v>
      </c>
      <c r="S23" s="5">
        <f t="shared" si="6"/>
        <v>0</v>
      </c>
      <c r="T23" s="5">
        <f t="shared" si="7"/>
        <v>0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/>
      </c>
      <c r="Y23" s="13" t="str">
        <f t="shared" si="11"/>
        <v/>
      </c>
      <c r="Z23" s="13" t="str">
        <f t="shared" si="12"/>
        <v/>
      </c>
      <c r="AA23" s="13" t="str">
        <f t="shared" si="13"/>
        <v/>
      </c>
      <c r="AB23" s="13" t="str">
        <f t="shared" si="14"/>
        <v/>
      </c>
      <c r="AC23" s="13" t="str">
        <f t="shared" si="15"/>
        <v/>
      </c>
      <c r="AD23" s="13" t="str">
        <f t="shared" si="16"/>
        <v/>
      </c>
      <c r="AE23" s="13" t="str">
        <f t="shared" si="17"/>
        <v/>
      </c>
      <c r="AF23" s="13" t="str">
        <f t="shared" si="18"/>
        <v/>
      </c>
      <c r="AG23" s="13" t="str">
        <f t="shared" si="19"/>
        <v/>
      </c>
      <c r="AH23" s="13" t="str">
        <f t="shared" si="20"/>
        <v/>
      </c>
      <c r="AJ23" s="14">
        <f t="shared" si="21"/>
        <v>0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>
        <f t="shared" si="22"/>
        <v>0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>
        <f t="shared" si="23"/>
        <v>0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>
        <f t="shared" si="24"/>
        <v>0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 t="str">
        <f t="shared" si="25"/>
        <v/>
      </c>
    </row>
    <row r="24" spans="2:84" x14ac:dyDescent="0.25">
      <c r="B24" s="5" t="s">
        <v>61</v>
      </c>
      <c r="C24" s="6"/>
      <c r="D24" s="7"/>
      <c r="E24" s="16" t="s">
        <v>62</v>
      </c>
      <c r="G24" s="17" t="str">
        <f t="shared" si="0"/>
        <v/>
      </c>
      <c r="H24" s="10" t="str">
        <f t="shared" si="1"/>
        <v/>
      </c>
      <c r="I24" s="5" t="str">
        <f t="shared" si="2"/>
        <v>|1000000000|0000000000|0000000000|0000000000|</v>
      </c>
      <c r="J24" s="17">
        <f t="shared" si="3"/>
        <v>0</v>
      </c>
      <c r="K24" s="5">
        <f t="shared" si="4"/>
        <v>0</v>
      </c>
      <c r="L24" s="5">
        <f>IF($H24="",0,SUMIF(Dati!$A$2:$A$451,$H24,Dati!$B$2:$B$451)+SUMIF(Dati!$H$2:$H$451,$H24,Dati!$I$2:$I$451))</f>
        <v>0</v>
      </c>
      <c r="M24" s="5">
        <f>IF($H24="",0,SUMIF(Dati!$A$2:$A$451,$H24,Dati!$D$2:$D$451)+SUMIF(Dati!$H$2:$H$451,$H24,Dati!$K$2:$K$451))</f>
        <v>0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0</v>
      </c>
      <c r="P24" s="5">
        <f>IF($H24="",0,SUMIF(Dati!$A$2:$A$451,$H24,Dati!$F$2:$F$451)+SUMIF(Dati!$H$2:$H$451,$H24,Dati!$M$2:$M$451))</f>
        <v>0</v>
      </c>
      <c r="Q24" s="5">
        <f>IF($H24="",0,SUMIF(Dati!$A$2:$A$451,$H24,Dati!$G$2:$G$451)+SUMIF(Dati!$H$2:$H$451,$H24,Dati!$N$2:$N$451))</f>
        <v>0</v>
      </c>
      <c r="R24" s="5">
        <f t="shared" si="5"/>
        <v>0</v>
      </c>
      <c r="S24" s="5">
        <f t="shared" si="6"/>
        <v>0</v>
      </c>
      <c r="T24" s="5">
        <f t="shared" si="7"/>
        <v>0</v>
      </c>
      <c r="U24" s="5" t="str">
        <f t="shared" si="8"/>
        <v>-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/>
      </c>
      <c r="Y24" s="13" t="str">
        <f t="shared" si="11"/>
        <v/>
      </c>
      <c r="Z24" s="13" t="str">
        <f t="shared" si="12"/>
        <v/>
      </c>
      <c r="AA24" s="13" t="str">
        <f t="shared" si="13"/>
        <v/>
      </c>
      <c r="AB24" s="13" t="str">
        <f t="shared" si="14"/>
        <v/>
      </c>
      <c r="AC24" s="13" t="str">
        <f t="shared" si="15"/>
        <v/>
      </c>
      <c r="AD24" s="13" t="str">
        <f t="shared" si="16"/>
        <v/>
      </c>
      <c r="AE24" s="13" t="str">
        <f t="shared" si="17"/>
        <v/>
      </c>
      <c r="AF24" s="13" t="str">
        <f t="shared" si="18"/>
        <v/>
      </c>
      <c r="AG24" s="13" t="str">
        <f t="shared" si="19"/>
        <v/>
      </c>
      <c r="AH24" s="13" t="str">
        <f t="shared" si="20"/>
        <v/>
      </c>
      <c r="AJ24" s="14">
        <f t="shared" si="21"/>
        <v>0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 t="str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-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>
        <f t="shared" si="22"/>
        <v>0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 t="str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>
        <f t="shared" si="23"/>
        <v>0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 t="str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-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>
        <f t="shared" si="24"/>
        <v>0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 t="str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-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 t="str">
        <f t="shared" si="25"/>
        <v/>
      </c>
    </row>
    <row r="25" spans="2:84" x14ac:dyDescent="0.25">
      <c r="B25" s="5" t="s">
        <v>63</v>
      </c>
      <c r="C25" s="6"/>
      <c r="D25" s="7"/>
      <c r="E25" s="16" t="s">
        <v>62</v>
      </c>
      <c r="G25" s="17" t="str">
        <f t="shared" si="0"/>
        <v/>
      </c>
      <c r="H25" s="10" t="str">
        <f t="shared" si="1"/>
        <v/>
      </c>
      <c r="I25" s="5" t="str">
        <f t="shared" si="2"/>
        <v>|1000000000|0000000000|0000000000|0000000000|</v>
      </c>
      <c r="J25" s="17">
        <f t="shared" si="3"/>
        <v>0</v>
      </c>
      <c r="K25" s="5">
        <f t="shared" si="4"/>
        <v>0</v>
      </c>
      <c r="L25" s="5">
        <f>IF($H25="",0,SUMIF(Dati!$A$2:$A$451,$H25,Dati!$B$2:$B$451)+SUMIF(Dati!$H$2:$H$451,$H25,Dati!$I$2:$I$451))</f>
        <v>0</v>
      </c>
      <c r="M25" s="5">
        <f>IF($H25="",0,SUMIF(Dati!$A$2:$A$451,$H25,Dati!$D$2:$D$451)+SUMIF(Dati!$H$2:$H$451,$H25,Dati!$K$2:$K$451))</f>
        <v>0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0</v>
      </c>
      <c r="P25" s="5">
        <f>IF($H25="",0,SUMIF(Dati!$A$2:$A$451,$H25,Dati!$F$2:$F$451)+SUMIF(Dati!$H$2:$H$451,$H25,Dati!$M$2:$M$451))</f>
        <v>0</v>
      </c>
      <c r="Q25" s="5">
        <f>IF($H25="",0,SUMIF(Dati!$A$2:$A$451,$H25,Dati!$G$2:$G$451)+SUMIF(Dati!$H$2:$H$451,$H25,Dati!$N$2:$N$451))</f>
        <v>0</v>
      </c>
      <c r="R25" s="5">
        <f t="shared" si="5"/>
        <v>0</v>
      </c>
      <c r="S25" s="5">
        <f t="shared" si="6"/>
        <v>0</v>
      </c>
      <c r="T25" s="5">
        <f t="shared" si="7"/>
        <v>0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/>
      </c>
      <c r="Y25" s="13" t="str">
        <f t="shared" si="11"/>
        <v/>
      </c>
      <c r="Z25" s="13" t="str">
        <f t="shared" si="12"/>
        <v/>
      </c>
      <c r="AA25" s="13" t="str">
        <f t="shared" si="13"/>
        <v/>
      </c>
      <c r="AB25" s="13" t="str">
        <f t="shared" si="14"/>
        <v/>
      </c>
      <c r="AC25" s="13" t="str">
        <f t="shared" si="15"/>
        <v/>
      </c>
      <c r="AD25" s="13" t="str">
        <f t="shared" si="16"/>
        <v/>
      </c>
      <c r="AE25" s="13" t="str">
        <f t="shared" si="17"/>
        <v/>
      </c>
      <c r="AF25" s="13" t="str">
        <f t="shared" si="18"/>
        <v/>
      </c>
      <c r="AG25" s="13" t="str">
        <f t="shared" si="19"/>
        <v/>
      </c>
      <c r="AH25" s="13" t="str">
        <f t="shared" si="20"/>
        <v/>
      </c>
      <c r="AJ25" s="14">
        <f t="shared" si="21"/>
        <v>0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>
        <f t="shared" si="22"/>
        <v>0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>
        <f t="shared" si="23"/>
        <v>0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>
        <f t="shared" si="24"/>
        <v>0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 t="str">
        <f t="shared" si="25"/>
        <v/>
      </c>
    </row>
    <row r="26" spans="2:84" x14ac:dyDescent="0.25">
      <c r="B26" s="5" t="s">
        <v>64</v>
      </c>
      <c r="C26" s="6"/>
      <c r="D26" s="7"/>
      <c r="E26" s="16" t="s">
        <v>62</v>
      </c>
      <c r="G26" s="17" t="str">
        <f t="shared" si="0"/>
        <v/>
      </c>
      <c r="H26" s="10" t="str">
        <f t="shared" si="1"/>
        <v/>
      </c>
      <c r="I26" s="5" t="str">
        <f t="shared" si="2"/>
        <v>|1000000000|0000000000|0000000000|0000000000|</v>
      </c>
      <c r="J26" s="17">
        <f t="shared" si="3"/>
        <v>0</v>
      </c>
      <c r="K26" s="5">
        <f t="shared" si="4"/>
        <v>0</v>
      </c>
      <c r="L26" s="5">
        <f>IF($H26="",0,SUMIF(Dati!$A$2:$A$451,$H26,Dati!$B$2:$B$451)+SUMIF(Dati!$H$2:$H$451,$H26,Dati!$I$2:$I$451))</f>
        <v>0</v>
      </c>
      <c r="M26" s="5">
        <f>IF($H26="",0,SUMIF(Dati!$A$2:$A$451,$H26,Dati!$D$2:$D$451)+SUMIF(Dati!$H$2:$H$451,$H26,Dati!$K$2:$K$451))</f>
        <v>0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0</v>
      </c>
      <c r="P26" s="5">
        <f>IF($H26="",0,SUMIF(Dati!$A$2:$A$451,$H26,Dati!$F$2:$F$451)+SUMIF(Dati!$H$2:$H$451,$H26,Dati!$M$2:$M$451))</f>
        <v>0</v>
      </c>
      <c r="Q26" s="5">
        <f>IF($H26="",0,SUMIF(Dati!$A$2:$A$451,$H26,Dati!$G$2:$G$451)+SUMIF(Dati!$H$2:$H$451,$H26,Dati!$N$2:$N$451))</f>
        <v>0</v>
      </c>
      <c r="R26" s="5">
        <f t="shared" si="5"/>
        <v>0</v>
      </c>
      <c r="S26" s="5">
        <f t="shared" si="6"/>
        <v>0</v>
      </c>
      <c r="T26" s="5">
        <f t="shared" si="7"/>
        <v>0</v>
      </c>
      <c r="U26" s="5" t="str">
        <f t="shared" si="8"/>
        <v>-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/>
      </c>
      <c r="Y26" s="13" t="str">
        <f t="shared" si="11"/>
        <v/>
      </c>
      <c r="Z26" s="13" t="str">
        <f t="shared" si="12"/>
        <v/>
      </c>
      <c r="AA26" s="13" t="str">
        <f t="shared" si="13"/>
        <v/>
      </c>
      <c r="AB26" s="13" t="str">
        <f t="shared" si="14"/>
        <v/>
      </c>
      <c r="AC26" s="13" t="str">
        <f t="shared" si="15"/>
        <v/>
      </c>
      <c r="AD26" s="13" t="str">
        <f t="shared" si="16"/>
        <v/>
      </c>
      <c r="AE26" s="13" t="str">
        <f t="shared" si="17"/>
        <v/>
      </c>
      <c r="AF26" s="13" t="str">
        <f t="shared" si="18"/>
        <v/>
      </c>
      <c r="AG26" s="13" t="str">
        <f t="shared" si="19"/>
        <v/>
      </c>
      <c r="AH26" s="13" t="str">
        <f t="shared" si="20"/>
        <v/>
      </c>
      <c r="AJ26" s="14">
        <f t="shared" si="21"/>
        <v>0</v>
      </c>
      <c r="AK26" s="15" t="str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-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>
        <f t="shared" si="22"/>
        <v>0</v>
      </c>
      <c r="AW26" s="15" t="str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>
        <f t="shared" si="23"/>
        <v>0</v>
      </c>
      <c r="BI26" s="15" t="str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-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>
        <f t="shared" si="24"/>
        <v>0</v>
      </c>
      <c r="BU26" s="15" t="str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-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 t="str">
        <f t="shared" si="25"/>
        <v/>
      </c>
    </row>
    <row r="27" spans="2:84" x14ac:dyDescent="0.25">
      <c r="B27" s="5" t="s">
        <v>65</v>
      </c>
      <c r="C27" s="6"/>
      <c r="D27" s="7"/>
      <c r="E27" s="16" t="s">
        <v>62</v>
      </c>
      <c r="G27" s="17" t="str">
        <f t="shared" si="0"/>
        <v/>
      </c>
      <c r="H27" s="10" t="str">
        <f t="shared" si="1"/>
        <v/>
      </c>
      <c r="I27" s="5" t="str">
        <f t="shared" si="2"/>
        <v>|1000000000|0000000000|0000000000|0000000000|</v>
      </c>
      <c r="J27" s="17">
        <f t="shared" si="3"/>
        <v>0</v>
      </c>
      <c r="K27" s="5">
        <f t="shared" si="4"/>
        <v>0</v>
      </c>
      <c r="L27" s="5">
        <f>IF($H27="",0,SUMIF(Dati!$A$2:$A$451,$H27,Dati!$B$2:$B$451)+SUMIF(Dati!$H$2:$H$451,$H27,Dati!$I$2:$I$451))</f>
        <v>0</v>
      </c>
      <c r="M27" s="5">
        <f>IF($H27="",0,SUMIF(Dati!$A$2:$A$451,$H27,Dati!$D$2:$D$451)+SUMIF(Dati!$H$2:$H$451,$H27,Dati!$K$2:$K$451))</f>
        <v>0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0</v>
      </c>
      <c r="P27" s="5">
        <f>IF($H27="",0,SUMIF(Dati!$A$2:$A$451,$H27,Dati!$F$2:$F$451)+SUMIF(Dati!$H$2:$H$451,$H27,Dati!$M$2:$M$451))</f>
        <v>0</v>
      </c>
      <c r="Q27" s="5">
        <f>IF($H27="",0,SUMIF(Dati!$A$2:$A$451,$H27,Dati!$G$2:$G$451)+SUMIF(Dati!$H$2:$H$451,$H27,Dati!$N$2:$N$451))</f>
        <v>0</v>
      </c>
      <c r="R27" s="5">
        <f t="shared" si="5"/>
        <v>0</v>
      </c>
      <c r="S27" s="5">
        <f t="shared" si="6"/>
        <v>0</v>
      </c>
      <c r="T27" s="5">
        <f t="shared" si="7"/>
        <v>0</v>
      </c>
      <c r="U27" s="5" t="str">
        <f t="shared" si="8"/>
        <v>-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/>
      </c>
      <c r="Y27" s="13" t="str">
        <f t="shared" si="11"/>
        <v/>
      </c>
      <c r="Z27" s="13" t="str">
        <f t="shared" si="12"/>
        <v/>
      </c>
      <c r="AA27" s="13" t="str">
        <f t="shared" si="13"/>
        <v/>
      </c>
      <c r="AB27" s="13" t="str">
        <f t="shared" si="14"/>
        <v/>
      </c>
      <c r="AC27" s="13" t="str">
        <f t="shared" si="15"/>
        <v/>
      </c>
      <c r="AD27" s="13" t="str">
        <f t="shared" si="16"/>
        <v/>
      </c>
      <c r="AE27" s="13" t="str">
        <f t="shared" si="17"/>
        <v/>
      </c>
      <c r="AF27" s="13" t="str">
        <f t="shared" si="18"/>
        <v/>
      </c>
      <c r="AG27" s="13" t="str">
        <f t="shared" si="19"/>
        <v/>
      </c>
      <c r="AH27" s="13" t="str">
        <f t="shared" si="20"/>
        <v/>
      </c>
      <c r="AJ27" s="14">
        <f t="shared" si="21"/>
        <v>0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 t="str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-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>
        <f t="shared" si="22"/>
        <v>0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 t="str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>
        <f t="shared" si="23"/>
        <v>0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 t="str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-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>
        <f t="shared" si="24"/>
        <v>0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 t="str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-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 t="str">
        <f t="shared" si="25"/>
        <v/>
      </c>
    </row>
    <row r="28" spans="2:84" x14ac:dyDescent="0.25">
      <c r="B28" s="5" t="s">
        <v>66</v>
      </c>
      <c r="C28" s="6"/>
      <c r="D28" s="7"/>
      <c r="E28" s="16" t="s">
        <v>62</v>
      </c>
      <c r="G28" s="17" t="str">
        <f t="shared" si="0"/>
        <v/>
      </c>
      <c r="H28" s="10" t="str">
        <f t="shared" si="1"/>
        <v/>
      </c>
      <c r="I28" s="5" t="str">
        <f t="shared" si="2"/>
        <v>|1000000000|0000000000|0000000000|0000000000|</v>
      </c>
      <c r="J28" s="17">
        <f t="shared" si="3"/>
        <v>0</v>
      </c>
      <c r="K28" s="5">
        <f t="shared" si="4"/>
        <v>0</v>
      </c>
      <c r="L28" s="5">
        <f>IF($H28="",0,SUMIF(Dati!$A$2:$A$451,$H28,Dati!$B$2:$B$451)+SUMIF(Dati!$H$2:$H$451,$H28,Dati!$I$2:$I$451))</f>
        <v>0</v>
      </c>
      <c r="M28" s="5">
        <f>IF($H28="",0,SUMIF(Dati!$A$2:$A$451,$H28,Dati!$D$2:$D$451)+SUMIF(Dati!$H$2:$H$451,$H28,Dati!$K$2:$K$451))</f>
        <v>0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0</v>
      </c>
      <c r="P28" s="5">
        <f>IF($H28="",0,SUMIF(Dati!$A$2:$A$451,$H28,Dati!$F$2:$F$451)+SUMIF(Dati!$H$2:$H$451,$H28,Dati!$M$2:$M$451))</f>
        <v>0</v>
      </c>
      <c r="Q28" s="5">
        <f>IF($H28="",0,SUMIF(Dati!$A$2:$A$451,$H28,Dati!$G$2:$G$451)+SUMIF(Dati!$H$2:$H$451,$H28,Dati!$N$2:$N$451))</f>
        <v>0</v>
      </c>
      <c r="R28" s="5">
        <f t="shared" si="5"/>
        <v>0</v>
      </c>
      <c r="S28" s="5">
        <f t="shared" si="6"/>
        <v>0</v>
      </c>
      <c r="T28" s="5">
        <f t="shared" si="7"/>
        <v>0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/>
      </c>
      <c r="Y28" s="13" t="str">
        <f t="shared" si="11"/>
        <v/>
      </c>
      <c r="Z28" s="13" t="str">
        <f t="shared" si="12"/>
        <v/>
      </c>
      <c r="AA28" s="13" t="str">
        <f t="shared" si="13"/>
        <v/>
      </c>
      <c r="AB28" s="13" t="str">
        <f t="shared" si="14"/>
        <v/>
      </c>
      <c r="AC28" s="13" t="str">
        <f t="shared" si="15"/>
        <v/>
      </c>
      <c r="AD28" s="13" t="str">
        <f t="shared" si="16"/>
        <v/>
      </c>
      <c r="AE28" s="13" t="str">
        <f t="shared" si="17"/>
        <v/>
      </c>
      <c r="AF28" s="13" t="str">
        <f t="shared" si="18"/>
        <v/>
      </c>
      <c r="AG28" s="13" t="str">
        <f t="shared" si="19"/>
        <v/>
      </c>
      <c r="AH28" s="13" t="str">
        <f t="shared" si="20"/>
        <v/>
      </c>
      <c r="AJ28" s="14">
        <f t="shared" si="21"/>
        <v>0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>
        <f t="shared" si="22"/>
        <v>0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>
        <f t="shared" si="23"/>
        <v>0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>
        <f t="shared" si="24"/>
        <v>0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 t="str">
        <f t="shared" si="25"/>
        <v/>
      </c>
    </row>
    <row r="29" spans="2:84" x14ac:dyDescent="0.25">
      <c r="B29" s="5" t="s">
        <v>67</v>
      </c>
      <c r="C29" s="6"/>
      <c r="D29" s="7"/>
      <c r="E29" s="16" t="s">
        <v>62</v>
      </c>
      <c r="G29" s="17" t="str">
        <f t="shared" si="0"/>
        <v/>
      </c>
      <c r="H29" s="10" t="str">
        <f t="shared" si="1"/>
        <v/>
      </c>
      <c r="I29" s="5" t="str">
        <f t="shared" si="2"/>
        <v>|1000000000|0000000000|0000000000|0000000000|</v>
      </c>
      <c r="J29" s="17">
        <f t="shared" si="3"/>
        <v>0</v>
      </c>
      <c r="K29" s="5">
        <f t="shared" si="4"/>
        <v>0</v>
      </c>
      <c r="L29" s="5">
        <f>IF($H29="",0,SUMIF(Dati!$A$2:$A$451,$H29,Dati!$B$2:$B$451)+SUMIF(Dati!$H$2:$H$451,$H29,Dati!$I$2:$I$451))</f>
        <v>0</v>
      </c>
      <c r="M29" s="5">
        <f>IF($H29="",0,SUMIF(Dati!$A$2:$A$451,$H29,Dati!$D$2:$D$451)+SUMIF(Dati!$H$2:$H$451,$H29,Dati!$K$2:$K$451))</f>
        <v>0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0</v>
      </c>
      <c r="P29" s="5">
        <f>IF($H29="",0,SUMIF(Dati!$A$2:$A$451,$H29,Dati!$F$2:$F$451)+SUMIF(Dati!$H$2:$H$451,$H29,Dati!$M$2:$M$451))</f>
        <v>0</v>
      </c>
      <c r="Q29" s="5">
        <f>IF($H29="",0,SUMIF(Dati!$A$2:$A$451,$H29,Dati!$G$2:$G$451)+SUMIF(Dati!$H$2:$H$451,$H29,Dati!$N$2:$N$451))</f>
        <v>0</v>
      </c>
      <c r="R29" s="5">
        <f t="shared" si="5"/>
        <v>0</v>
      </c>
      <c r="S29" s="5">
        <f t="shared" si="6"/>
        <v>0</v>
      </c>
      <c r="T29" s="5">
        <f t="shared" si="7"/>
        <v>0</v>
      </c>
      <c r="U29" s="5" t="str">
        <f t="shared" si="8"/>
        <v>-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/>
      </c>
      <c r="Y29" s="13" t="str">
        <f t="shared" si="11"/>
        <v/>
      </c>
      <c r="Z29" s="13" t="str">
        <f t="shared" si="12"/>
        <v/>
      </c>
      <c r="AA29" s="13" t="str">
        <f t="shared" si="13"/>
        <v/>
      </c>
      <c r="AB29" s="13" t="str">
        <f t="shared" si="14"/>
        <v/>
      </c>
      <c r="AC29" s="13" t="str">
        <f t="shared" si="15"/>
        <v/>
      </c>
      <c r="AD29" s="13" t="str">
        <f t="shared" si="16"/>
        <v/>
      </c>
      <c r="AE29" s="13" t="str">
        <f t="shared" si="17"/>
        <v/>
      </c>
      <c r="AF29" s="13" t="str">
        <f t="shared" si="18"/>
        <v/>
      </c>
      <c r="AG29" s="13" t="str">
        <f t="shared" si="19"/>
        <v/>
      </c>
      <c r="AH29" s="13" t="str">
        <f t="shared" si="20"/>
        <v/>
      </c>
      <c r="AJ29" s="14">
        <f t="shared" si="21"/>
        <v>0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 t="str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-</v>
      </c>
      <c r="AV29" s="14">
        <f t="shared" si="22"/>
        <v>0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 t="str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4">
        <f t="shared" si="23"/>
        <v>0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 t="str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-</v>
      </c>
      <c r="BT29" s="14">
        <f t="shared" si="24"/>
        <v>0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 t="str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-</v>
      </c>
      <c r="CF29" s="15" t="str">
        <f t="shared" si="25"/>
        <v/>
      </c>
    </row>
    <row r="30" spans="2:84" x14ac:dyDescent="0.25">
      <c r="B30" s="5" t="s">
        <v>68</v>
      </c>
      <c r="C30" s="6"/>
      <c r="D30" s="7"/>
      <c r="E30" s="16" t="s">
        <v>62</v>
      </c>
      <c r="G30" s="17" t="str">
        <f t="shared" si="0"/>
        <v/>
      </c>
      <c r="H30" s="10" t="str">
        <f t="shared" si="1"/>
        <v/>
      </c>
      <c r="I30" s="5" t="str">
        <f t="shared" si="2"/>
        <v>|1000000000|0000000000|0000000000|0000000000|</v>
      </c>
      <c r="J30" s="17">
        <f t="shared" si="3"/>
        <v>0</v>
      </c>
      <c r="K30" s="5">
        <f t="shared" si="4"/>
        <v>0</v>
      </c>
      <c r="L30" s="5">
        <f>IF($H30="",0,SUMIF(Dati!$A$2:$A$451,$H30,Dati!$B$2:$B$451)+SUMIF(Dati!$H$2:$H$451,$H30,Dati!$I$2:$I$451))</f>
        <v>0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0</v>
      </c>
      <c r="P30" s="5">
        <f>IF($H30="",0,SUMIF(Dati!$A$2:$A$451,$H30,Dati!$F$2:$F$451)+SUMIF(Dati!$H$2:$H$451,$H30,Dati!$M$2:$M$451))</f>
        <v>0</v>
      </c>
      <c r="Q30" s="5">
        <f>IF($H30="",0,SUMIF(Dati!$A$2:$A$451,$H30,Dati!$G$2:$G$451)+SUMIF(Dati!$H$2:$H$451,$H30,Dati!$N$2:$N$451))</f>
        <v>0</v>
      </c>
      <c r="R30" s="5">
        <f t="shared" si="5"/>
        <v>0</v>
      </c>
      <c r="S30" s="5">
        <f t="shared" si="6"/>
        <v>0</v>
      </c>
      <c r="T30" s="5">
        <f t="shared" si="7"/>
        <v>0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/>
      </c>
      <c r="Y30" s="13" t="str">
        <f t="shared" si="11"/>
        <v/>
      </c>
      <c r="Z30" s="13" t="str">
        <f t="shared" si="12"/>
        <v/>
      </c>
      <c r="AA30" s="13" t="str">
        <f t="shared" si="13"/>
        <v/>
      </c>
      <c r="AB30" s="13" t="str">
        <f t="shared" si="14"/>
        <v/>
      </c>
      <c r="AC30" s="13" t="str">
        <f t="shared" si="15"/>
        <v/>
      </c>
      <c r="AD30" s="13" t="str">
        <f t="shared" si="16"/>
        <v/>
      </c>
      <c r="AE30" s="13" t="str">
        <f t="shared" si="17"/>
        <v/>
      </c>
      <c r="AF30" s="13" t="str">
        <f t="shared" si="18"/>
        <v/>
      </c>
      <c r="AG30" s="13" t="str">
        <f t="shared" si="19"/>
        <v/>
      </c>
      <c r="AH30" s="13" t="str">
        <f t="shared" si="20"/>
        <v/>
      </c>
      <c r="AJ30" s="14">
        <f t="shared" si="21"/>
        <v>0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>
        <f t="shared" si="22"/>
        <v>0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>
        <f t="shared" si="23"/>
        <v>0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>
        <f t="shared" si="24"/>
        <v>0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 t="str">
        <f t="shared" si="25"/>
        <v/>
      </c>
    </row>
    <row r="31" spans="2:84" x14ac:dyDescent="0.25">
      <c r="B31" s="5" t="s">
        <v>69</v>
      </c>
      <c r="C31" s="6"/>
      <c r="D31" s="7"/>
      <c r="E31" s="16" t="s">
        <v>62</v>
      </c>
      <c r="G31" s="17" t="str">
        <f t="shared" si="0"/>
        <v/>
      </c>
      <c r="H31" s="10" t="str">
        <f t="shared" si="1"/>
        <v/>
      </c>
      <c r="I31" s="5" t="str">
        <f t="shared" si="2"/>
        <v>|1000000000|0000000000|0000000000|0000000000|</v>
      </c>
      <c r="J31" s="17">
        <f t="shared" si="3"/>
        <v>0</v>
      </c>
      <c r="K31" s="5">
        <f t="shared" si="4"/>
        <v>0</v>
      </c>
      <c r="L31" s="5">
        <f>IF($H31="",0,SUMIF(Dati!$A$2:$A$451,$H31,Dati!$B$2:$B$451)+SUMIF(Dati!$H$2:$H$451,$H31,Dati!$I$2:$I$451))</f>
        <v>0</v>
      </c>
      <c r="M31" s="5">
        <f>IF($H31="",0,SUMIF(Dati!$A$2:$A$451,$H31,Dati!$D$2:$D$451)+SUMIF(Dati!$H$2:$H$451,$H31,Dati!$K$2:$K$451))</f>
        <v>0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0</v>
      </c>
      <c r="P31" s="5">
        <f>IF($H31="",0,SUMIF(Dati!$A$2:$A$451,$H31,Dati!$F$2:$F$451)+SUMIF(Dati!$H$2:$H$451,$H31,Dati!$M$2:$M$451))</f>
        <v>0</v>
      </c>
      <c r="Q31" s="5">
        <f>IF($H31="",0,SUMIF(Dati!$A$2:$A$451,$H31,Dati!$G$2:$G$451)+SUMIF(Dati!$H$2:$H$451,$H31,Dati!$N$2:$N$451))</f>
        <v>0</v>
      </c>
      <c r="R31" s="5">
        <f t="shared" si="5"/>
        <v>0</v>
      </c>
      <c r="S31" s="5">
        <f t="shared" si="6"/>
        <v>0</v>
      </c>
      <c r="T31" s="5">
        <f t="shared" si="7"/>
        <v>0</v>
      </c>
      <c r="U31" s="5" t="str">
        <f t="shared" si="8"/>
        <v>-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/>
      </c>
      <c r="Y31" s="13" t="str">
        <f t="shared" si="11"/>
        <v/>
      </c>
      <c r="Z31" s="13" t="str">
        <f t="shared" si="12"/>
        <v/>
      </c>
      <c r="AA31" s="13" t="str">
        <f t="shared" si="13"/>
        <v/>
      </c>
      <c r="AB31" s="13" t="str">
        <f t="shared" si="14"/>
        <v/>
      </c>
      <c r="AC31" s="13" t="str">
        <f t="shared" si="15"/>
        <v/>
      </c>
      <c r="AD31" s="13" t="str">
        <f t="shared" si="16"/>
        <v/>
      </c>
      <c r="AE31" s="13" t="str">
        <f t="shared" si="17"/>
        <v/>
      </c>
      <c r="AF31" s="13" t="str">
        <f t="shared" si="18"/>
        <v/>
      </c>
      <c r="AG31" s="13" t="str">
        <f t="shared" si="19"/>
        <v/>
      </c>
      <c r="AH31" s="13" t="str">
        <f t="shared" si="20"/>
        <v/>
      </c>
      <c r="AJ31" s="14">
        <f t="shared" si="21"/>
        <v>0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 t="str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-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>
        <f t="shared" si="22"/>
        <v>0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 t="str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>
        <f t="shared" si="23"/>
        <v>0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 t="str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-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>
        <f t="shared" si="24"/>
        <v>0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 t="str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-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 t="str">
        <f t="shared" si="25"/>
        <v/>
      </c>
    </row>
    <row r="32" spans="2:84" x14ac:dyDescent="0.25">
      <c r="B32" s="5" t="s">
        <v>70</v>
      </c>
      <c r="C32" s="6"/>
      <c r="D32" s="7"/>
      <c r="E32" s="16" t="s">
        <v>62</v>
      </c>
      <c r="G32" s="17" t="str">
        <f t="shared" si="0"/>
        <v/>
      </c>
      <c r="H32" s="10" t="str">
        <f t="shared" si="1"/>
        <v/>
      </c>
      <c r="I32" s="5" t="str">
        <f t="shared" si="2"/>
        <v>|1000000000|0000000000|0000000000|0000000000|</v>
      </c>
      <c r="J32" s="17">
        <f t="shared" si="3"/>
        <v>0</v>
      </c>
      <c r="K32" s="5">
        <f t="shared" si="4"/>
        <v>0</v>
      </c>
      <c r="L32" s="5">
        <f>IF($H32="",0,SUMIF(Dati!$A$2:$A$451,$H32,Dati!$B$2:$B$451)+SUMIF(Dati!$H$2:$H$451,$H32,Dati!$I$2:$I$451))</f>
        <v>0</v>
      </c>
      <c r="M32" s="5">
        <f>IF($H32="",0,SUMIF(Dati!$A$2:$A$451,$H32,Dati!$D$2:$D$451)+SUMIF(Dati!$H$2:$H$451,$H32,Dati!$K$2:$K$451))</f>
        <v>0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0</v>
      </c>
      <c r="P32" s="5">
        <f>IF($H32="",0,SUMIF(Dati!$A$2:$A$451,$H32,Dati!$F$2:$F$451)+SUMIF(Dati!$H$2:$H$451,$H32,Dati!$M$2:$M$451))</f>
        <v>0</v>
      </c>
      <c r="Q32" s="5">
        <f>IF($H32="",0,SUMIF(Dati!$A$2:$A$451,$H32,Dati!$G$2:$G$451)+SUMIF(Dati!$H$2:$H$451,$H32,Dati!$N$2:$N$451))</f>
        <v>0</v>
      </c>
      <c r="R32" s="5">
        <f t="shared" si="5"/>
        <v>0</v>
      </c>
      <c r="S32" s="5">
        <f t="shared" si="6"/>
        <v>0</v>
      </c>
      <c r="T32" s="5">
        <f t="shared" si="7"/>
        <v>0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/>
      </c>
      <c r="Y32" s="13" t="str">
        <f t="shared" si="11"/>
        <v/>
      </c>
      <c r="Z32" s="13" t="str">
        <f t="shared" si="12"/>
        <v/>
      </c>
      <c r="AA32" s="13" t="str">
        <f t="shared" si="13"/>
        <v/>
      </c>
      <c r="AB32" s="13" t="str">
        <f t="shared" si="14"/>
        <v/>
      </c>
      <c r="AC32" s="13" t="str">
        <f t="shared" si="15"/>
        <v/>
      </c>
      <c r="AD32" s="13" t="str">
        <f t="shared" si="16"/>
        <v/>
      </c>
      <c r="AE32" s="13" t="str">
        <f t="shared" si="17"/>
        <v/>
      </c>
      <c r="AF32" s="13" t="str">
        <f t="shared" si="18"/>
        <v/>
      </c>
      <c r="AG32" s="13" t="str">
        <f t="shared" si="19"/>
        <v/>
      </c>
      <c r="AH32" s="13" t="str">
        <f t="shared" si="20"/>
        <v/>
      </c>
      <c r="AJ32" s="14">
        <f t="shared" si="21"/>
        <v>0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>
        <f t="shared" si="22"/>
        <v>0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>
        <f t="shared" si="23"/>
        <v>0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>
        <f t="shared" si="24"/>
        <v>0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 t="str">
        <f t="shared" si="25"/>
        <v/>
      </c>
    </row>
    <row r="33" spans="2:84" x14ac:dyDescent="0.25">
      <c r="B33" s="5" t="s">
        <v>71</v>
      </c>
      <c r="C33" s="6"/>
      <c r="D33" s="7"/>
      <c r="E33" s="16" t="s">
        <v>62</v>
      </c>
      <c r="G33" s="17" t="str">
        <f t="shared" si="0"/>
        <v/>
      </c>
      <c r="H33" s="10" t="str">
        <f t="shared" si="1"/>
        <v/>
      </c>
      <c r="I33" s="5" t="str">
        <f t="shared" si="2"/>
        <v>|1000000000|0000000000|0000000000|0000000000|</v>
      </c>
      <c r="J33" s="17">
        <f t="shared" si="3"/>
        <v>0</v>
      </c>
      <c r="K33" s="5">
        <f t="shared" si="4"/>
        <v>0</v>
      </c>
      <c r="L33" s="5">
        <f>IF($H33="",0,SUMIF(Dati!$A$2:$A$451,$H33,Dati!$B$2:$B$451)+SUMIF(Dati!$H$2:$H$451,$H33,Dati!$I$2:$I$451))</f>
        <v>0</v>
      </c>
      <c r="M33" s="5">
        <f>IF($H33="",0,SUMIF(Dati!$A$2:$A$451,$H33,Dati!$D$2:$D$451)+SUMIF(Dati!$H$2:$H$451,$H33,Dati!$K$2:$K$451))</f>
        <v>0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0</v>
      </c>
      <c r="P33" s="5">
        <f>IF($H33="",0,SUMIF(Dati!$A$2:$A$451,$H33,Dati!$F$2:$F$451)+SUMIF(Dati!$H$2:$H$451,$H33,Dati!$M$2:$M$451))</f>
        <v>0</v>
      </c>
      <c r="Q33" s="5">
        <f>IF($H33="",0,SUMIF(Dati!$A$2:$A$451,$H33,Dati!$G$2:$G$451)+SUMIF(Dati!$H$2:$H$451,$H33,Dati!$N$2:$N$451))</f>
        <v>0</v>
      </c>
      <c r="R33" s="5">
        <f t="shared" si="5"/>
        <v>0</v>
      </c>
      <c r="S33" s="5">
        <f t="shared" si="6"/>
        <v>0</v>
      </c>
      <c r="T33" s="5">
        <f t="shared" si="7"/>
        <v>0</v>
      </c>
      <c r="U33" s="5" t="str">
        <f t="shared" si="8"/>
        <v>-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/>
      </c>
      <c r="Y33" s="13" t="str">
        <f t="shared" si="11"/>
        <v/>
      </c>
      <c r="Z33" s="13" t="str">
        <f t="shared" si="12"/>
        <v/>
      </c>
      <c r="AA33" s="13" t="str">
        <f t="shared" si="13"/>
        <v/>
      </c>
      <c r="AB33" s="13" t="str">
        <f t="shared" si="14"/>
        <v/>
      </c>
      <c r="AC33" s="13" t="str">
        <f t="shared" si="15"/>
        <v/>
      </c>
      <c r="AD33" s="13" t="str">
        <f t="shared" si="16"/>
        <v/>
      </c>
      <c r="AE33" s="13" t="str">
        <f t="shared" si="17"/>
        <v/>
      </c>
      <c r="AF33" s="13" t="str">
        <f t="shared" si="18"/>
        <v/>
      </c>
      <c r="AG33" s="13" t="str">
        <f t="shared" si="19"/>
        <v/>
      </c>
      <c r="AH33" s="13" t="str">
        <f t="shared" si="20"/>
        <v/>
      </c>
      <c r="AJ33" s="14">
        <f t="shared" si="21"/>
        <v>0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 t="str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-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>
        <f t="shared" si="22"/>
        <v>0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 t="str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>
        <f t="shared" si="23"/>
        <v>0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 t="str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-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>
        <f t="shared" si="24"/>
        <v>0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 t="str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-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 t="str">
        <f t="shared" si="25"/>
        <v/>
      </c>
    </row>
    <row r="34" spans="2:84" x14ac:dyDescent="0.25">
      <c r="B34" s="5" t="s">
        <v>72</v>
      </c>
      <c r="C34" s="6"/>
      <c r="D34" s="7"/>
      <c r="E34" s="18" t="s">
        <v>73</v>
      </c>
      <c r="G34" s="19" t="str">
        <f t="shared" si="0"/>
        <v/>
      </c>
      <c r="H34" s="10" t="str">
        <f t="shared" si="1"/>
        <v/>
      </c>
      <c r="I34" s="5" t="str">
        <f t="shared" si="2"/>
        <v>|1000000000|0000000000|0000000000|0000000000|</v>
      </c>
      <c r="J34" s="19">
        <f t="shared" si="3"/>
        <v>0</v>
      </c>
      <c r="K34" s="5">
        <f t="shared" si="4"/>
        <v>0</v>
      </c>
      <c r="L34" s="5">
        <f>IF($H34="",0,SUMIF(Dati!$A$2:$A$451,$H34,Dati!$B$2:$B$451)+SUMIF(Dati!$H$2:$H$451,$H34,Dati!$I$2:$I$451))</f>
        <v>0</v>
      </c>
      <c r="M34" s="5">
        <f>IF($H34="",0,SUMIF(Dati!$A$2:$A$451,$H34,Dati!$D$2:$D$451)+SUMIF(Dati!$H$2:$H$451,$H34,Dati!$K$2:$K$451))</f>
        <v>0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0</v>
      </c>
      <c r="P34" s="5">
        <f>IF($H34="",0,SUMIF(Dati!$A$2:$A$451,$H34,Dati!$F$2:$F$451)+SUMIF(Dati!$H$2:$H$451,$H34,Dati!$M$2:$M$451))</f>
        <v>0</v>
      </c>
      <c r="Q34" s="5">
        <f>IF($H34="",0,SUMIF(Dati!$A$2:$A$451,$H34,Dati!$G$2:$G$451)+SUMIF(Dati!$H$2:$H$451,$H34,Dati!$N$2:$N$451))</f>
        <v>0</v>
      </c>
      <c r="R34" s="5">
        <f t="shared" si="5"/>
        <v>0</v>
      </c>
      <c r="S34" s="5">
        <f t="shared" si="6"/>
        <v>0</v>
      </c>
      <c r="T34" s="5">
        <f t="shared" si="7"/>
        <v>0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/>
      </c>
      <c r="Y34" s="13" t="str">
        <f t="shared" si="11"/>
        <v/>
      </c>
      <c r="Z34" s="13" t="str">
        <f t="shared" si="12"/>
        <v/>
      </c>
      <c r="AA34" s="13" t="str">
        <f t="shared" si="13"/>
        <v/>
      </c>
      <c r="AB34" s="13" t="str">
        <f t="shared" si="14"/>
        <v/>
      </c>
      <c r="AC34" s="13" t="str">
        <f t="shared" si="15"/>
        <v/>
      </c>
      <c r="AD34" s="13" t="str">
        <f t="shared" si="16"/>
        <v/>
      </c>
      <c r="AE34" s="13" t="str">
        <f t="shared" si="17"/>
        <v/>
      </c>
      <c r="AF34" s="13" t="str">
        <f t="shared" si="18"/>
        <v/>
      </c>
      <c r="AG34" s="13" t="str">
        <f t="shared" si="19"/>
        <v/>
      </c>
      <c r="AH34" s="13" t="str">
        <f t="shared" si="20"/>
        <v/>
      </c>
      <c r="AJ34" s="14">
        <f t="shared" si="21"/>
        <v>0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>
        <f t="shared" si="22"/>
        <v>0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>
        <f t="shared" si="23"/>
        <v>0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>
        <f t="shared" si="24"/>
        <v>0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 t="str">
        <f t="shared" si="25"/>
        <v/>
      </c>
    </row>
    <row r="35" spans="2:84" x14ac:dyDescent="0.25">
      <c r="B35" s="5" t="s">
        <v>74</v>
      </c>
      <c r="C35" s="6"/>
      <c r="D35" s="7"/>
      <c r="E35" s="18" t="s">
        <v>73</v>
      </c>
      <c r="G35" s="19" t="str">
        <f t="shared" si="0"/>
        <v/>
      </c>
      <c r="H35" s="10" t="str">
        <f t="shared" si="1"/>
        <v/>
      </c>
      <c r="I35" s="5" t="str">
        <f t="shared" si="2"/>
        <v>|1000000000|0000000000|0000000000|0000000000|</v>
      </c>
      <c r="J35" s="19">
        <f t="shared" si="3"/>
        <v>0</v>
      </c>
      <c r="K35" s="5">
        <f t="shared" si="4"/>
        <v>0</v>
      </c>
      <c r="L35" s="5">
        <f>IF($H35="",0,SUMIF(Dati!$A$2:$A$451,$H35,Dati!$B$2:$B$451)+SUMIF(Dati!$H$2:$H$451,$H35,Dati!$I$2:$I$451))</f>
        <v>0</v>
      </c>
      <c r="M35" s="5">
        <f>IF($H35="",0,SUMIF(Dati!$A$2:$A$451,$H35,Dati!$D$2:$D$451)+SUMIF(Dati!$H$2:$H$451,$H35,Dati!$K$2:$K$451))</f>
        <v>0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0</v>
      </c>
      <c r="P35" s="5">
        <f>IF($H35="",0,SUMIF(Dati!$A$2:$A$451,$H35,Dati!$F$2:$F$451)+SUMIF(Dati!$H$2:$H$451,$H35,Dati!$M$2:$M$451))</f>
        <v>0</v>
      </c>
      <c r="Q35" s="5">
        <f>IF($H35="",0,SUMIF(Dati!$A$2:$A$451,$H35,Dati!$G$2:$G$451)+SUMIF(Dati!$H$2:$H$451,$H35,Dati!$N$2:$N$451))</f>
        <v>0</v>
      </c>
      <c r="R35" s="5">
        <f t="shared" si="5"/>
        <v>0</v>
      </c>
      <c r="S35" s="5">
        <f t="shared" si="6"/>
        <v>0</v>
      </c>
      <c r="T35" s="5">
        <f t="shared" si="7"/>
        <v>0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/>
      </c>
      <c r="Y35" s="13" t="str">
        <f t="shared" si="11"/>
        <v/>
      </c>
      <c r="Z35" s="13" t="str">
        <f t="shared" si="12"/>
        <v/>
      </c>
      <c r="AA35" s="13" t="str">
        <f t="shared" si="13"/>
        <v/>
      </c>
      <c r="AB35" s="13" t="str">
        <f t="shared" si="14"/>
        <v/>
      </c>
      <c r="AC35" s="13" t="str">
        <f t="shared" si="15"/>
        <v/>
      </c>
      <c r="AD35" s="13" t="str">
        <f t="shared" si="16"/>
        <v/>
      </c>
      <c r="AE35" s="13" t="str">
        <f t="shared" si="17"/>
        <v/>
      </c>
      <c r="AF35" s="13" t="str">
        <f t="shared" si="18"/>
        <v/>
      </c>
      <c r="AG35" s="13" t="str">
        <f t="shared" si="19"/>
        <v/>
      </c>
      <c r="AH35" s="13" t="str">
        <f t="shared" si="20"/>
        <v/>
      </c>
      <c r="AJ35" s="14">
        <f t="shared" si="21"/>
        <v>0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>
        <f t="shared" si="22"/>
        <v>0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>
        <f t="shared" si="23"/>
        <v>0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>
        <f t="shared" si="24"/>
        <v>0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 t="str">
        <f t="shared" si="25"/>
        <v/>
      </c>
    </row>
    <row r="36" spans="2:84" x14ac:dyDescent="0.25">
      <c r="B36" s="5" t="s">
        <v>75</v>
      </c>
      <c r="C36" s="6"/>
      <c r="D36" s="7"/>
      <c r="E36" s="18" t="s">
        <v>73</v>
      </c>
      <c r="G36" s="19" t="str">
        <f t="shared" si="0"/>
        <v/>
      </c>
      <c r="H36" s="10" t="str">
        <f t="shared" si="1"/>
        <v/>
      </c>
      <c r="I36" s="5" t="str">
        <f t="shared" si="2"/>
        <v>|1000000000|0000000000|0000000000|0000000000|</v>
      </c>
      <c r="J36" s="19">
        <f t="shared" si="3"/>
        <v>0</v>
      </c>
      <c r="K36" s="5">
        <f t="shared" si="4"/>
        <v>0</v>
      </c>
      <c r="L36" s="5">
        <f>IF($H36="",0,SUMIF(Dati!$A$2:$A$451,$H36,Dati!$B$2:$B$451)+SUMIF(Dati!$H$2:$H$451,$H36,Dati!$I$2:$I$451))</f>
        <v>0</v>
      </c>
      <c r="M36" s="5">
        <f>IF($H36="",0,SUMIF(Dati!$A$2:$A$451,$H36,Dati!$D$2:$D$451)+SUMIF(Dati!$H$2:$H$451,$H36,Dati!$K$2:$K$451))</f>
        <v>0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0</v>
      </c>
      <c r="P36" s="5">
        <f>IF($H36="",0,SUMIF(Dati!$A$2:$A$451,$H36,Dati!$F$2:$F$451)+SUMIF(Dati!$H$2:$H$451,$H36,Dati!$M$2:$M$451))</f>
        <v>0</v>
      </c>
      <c r="Q36" s="5">
        <f>IF($H36="",0,SUMIF(Dati!$A$2:$A$451,$H36,Dati!$G$2:$G$451)+SUMIF(Dati!$H$2:$H$451,$H36,Dati!$N$2:$N$451))</f>
        <v>0</v>
      </c>
      <c r="R36" s="5">
        <f t="shared" si="5"/>
        <v>0</v>
      </c>
      <c r="S36" s="5">
        <f t="shared" si="6"/>
        <v>0</v>
      </c>
      <c r="T36" s="5">
        <f t="shared" si="7"/>
        <v>0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/>
      </c>
      <c r="Y36" s="13" t="str">
        <f t="shared" si="11"/>
        <v/>
      </c>
      <c r="Z36" s="13" t="str">
        <f t="shared" si="12"/>
        <v/>
      </c>
      <c r="AA36" s="13" t="str">
        <f t="shared" si="13"/>
        <v/>
      </c>
      <c r="AB36" s="13" t="str">
        <f t="shared" si="14"/>
        <v/>
      </c>
      <c r="AC36" s="13" t="str">
        <f t="shared" si="15"/>
        <v/>
      </c>
      <c r="AD36" s="13" t="str">
        <f t="shared" si="16"/>
        <v/>
      </c>
      <c r="AE36" s="13" t="str">
        <f t="shared" si="17"/>
        <v/>
      </c>
      <c r="AF36" s="13" t="str">
        <f t="shared" si="18"/>
        <v/>
      </c>
      <c r="AG36" s="13" t="str">
        <f t="shared" si="19"/>
        <v/>
      </c>
      <c r="AH36" s="13" t="str">
        <f t="shared" si="20"/>
        <v/>
      </c>
      <c r="AJ36" s="14">
        <f t="shared" si="21"/>
        <v>0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>
        <f t="shared" si="22"/>
        <v>0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>
        <f t="shared" si="23"/>
        <v>0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>
        <f t="shared" si="24"/>
        <v>0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 t="str">
        <f t="shared" si="25"/>
        <v/>
      </c>
    </row>
    <row r="37" spans="2:84" x14ac:dyDescent="0.25">
      <c r="B37" s="5" t="s">
        <v>76</v>
      </c>
      <c r="C37" s="6"/>
      <c r="D37" s="7"/>
      <c r="E37" s="18" t="s">
        <v>73</v>
      </c>
      <c r="G37" s="19" t="str">
        <f t="shared" si="0"/>
        <v/>
      </c>
      <c r="H37" s="10" t="str">
        <f t="shared" si="1"/>
        <v/>
      </c>
      <c r="I37" s="5" t="str">
        <f t="shared" si="2"/>
        <v>|1000000000|0000000000|0000000000|0000000000|</v>
      </c>
      <c r="J37" s="19">
        <f t="shared" si="3"/>
        <v>0</v>
      </c>
      <c r="K37" s="5">
        <f t="shared" si="4"/>
        <v>0</v>
      </c>
      <c r="L37" s="5">
        <f>IF($H37="",0,SUMIF(Dati!$A$2:$A$451,$H37,Dati!$B$2:$B$451)+SUMIF(Dati!$H$2:$H$451,$H37,Dati!$I$2:$I$451))</f>
        <v>0</v>
      </c>
      <c r="M37" s="5">
        <f>IF($H37="",0,SUMIF(Dati!$A$2:$A$451,$H37,Dati!$D$2:$D$451)+SUMIF(Dati!$H$2:$H$451,$H37,Dati!$K$2:$K$451))</f>
        <v>0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0</v>
      </c>
      <c r="P37" s="5">
        <f>IF($H37="",0,SUMIF(Dati!$A$2:$A$451,$H37,Dati!$F$2:$F$451)+SUMIF(Dati!$H$2:$H$451,$H37,Dati!$M$2:$M$451))</f>
        <v>0</v>
      </c>
      <c r="Q37" s="5">
        <f>IF($H37="",0,SUMIF(Dati!$A$2:$A$451,$H37,Dati!$G$2:$G$451)+SUMIF(Dati!$H$2:$H$451,$H37,Dati!$N$2:$N$451))</f>
        <v>0</v>
      </c>
      <c r="R37" s="5">
        <f t="shared" si="5"/>
        <v>0</v>
      </c>
      <c r="S37" s="5">
        <f t="shared" si="6"/>
        <v>0</v>
      </c>
      <c r="T37" s="5">
        <f t="shared" si="7"/>
        <v>0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/>
      </c>
      <c r="Y37" s="13" t="str">
        <f t="shared" si="11"/>
        <v/>
      </c>
      <c r="Z37" s="13" t="str">
        <f t="shared" si="12"/>
        <v/>
      </c>
      <c r="AA37" s="13" t="str">
        <f t="shared" si="13"/>
        <v/>
      </c>
      <c r="AB37" s="13" t="str">
        <f t="shared" si="14"/>
        <v/>
      </c>
      <c r="AC37" s="13" t="str">
        <f t="shared" si="15"/>
        <v/>
      </c>
      <c r="AD37" s="13" t="str">
        <f t="shared" si="16"/>
        <v/>
      </c>
      <c r="AE37" s="13" t="str">
        <f t="shared" si="17"/>
        <v/>
      </c>
      <c r="AF37" s="13" t="str">
        <f t="shared" si="18"/>
        <v/>
      </c>
      <c r="AG37" s="13" t="str">
        <f t="shared" si="19"/>
        <v/>
      </c>
      <c r="AH37" s="13" t="str">
        <f t="shared" si="20"/>
        <v/>
      </c>
      <c r="AJ37" s="14">
        <f t="shared" si="21"/>
        <v>0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>
        <f t="shared" si="22"/>
        <v>0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>
        <f t="shared" si="23"/>
        <v>0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>
        <f t="shared" si="24"/>
        <v>0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 t="str">
        <f t="shared" si="25"/>
        <v/>
      </c>
    </row>
    <row r="38" spans="2:84" x14ac:dyDescent="0.25">
      <c r="B38" s="5" t="s">
        <v>77</v>
      </c>
      <c r="C38" s="6"/>
      <c r="D38" s="7"/>
      <c r="E38" s="18" t="s">
        <v>73</v>
      </c>
      <c r="G38" s="19" t="str">
        <f t="shared" si="0"/>
        <v/>
      </c>
      <c r="H38" s="10" t="str">
        <f t="shared" si="1"/>
        <v/>
      </c>
      <c r="I38" s="5" t="str">
        <f t="shared" si="2"/>
        <v>|1000000000|0000000000|0000000000|0000000000|</v>
      </c>
      <c r="J38" s="19">
        <f t="shared" si="3"/>
        <v>0</v>
      </c>
      <c r="K38" s="5">
        <f t="shared" si="4"/>
        <v>0</v>
      </c>
      <c r="L38" s="5">
        <f>IF($H38="",0,SUMIF(Dati!$A$2:$A$451,$H38,Dati!$B$2:$B$451)+SUMIF(Dati!$H$2:$H$451,$H38,Dati!$I$2:$I$451))</f>
        <v>0</v>
      </c>
      <c r="M38" s="5">
        <f>IF($H38="",0,SUMIF(Dati!$A$2:$A$451,$H38,Dati!$D$2:$D$451)+SUMIF(Dati!$H$2:$H$451,$H38,Dati!$K$2:$K$451))</f>
        <v>0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0</v>
      </c>
      <c r="P38" s="5">
        <f>IF($H38="",0,SUMIF(Dati!$A$2:$A$451,$H38,Dati!$F$2:$F$451)+SUMIF(Dati!$H$2:$H$451,$H38,Dati!$M$2:$M$451))</f>
        <v>0</v>
      </c>
      <c r="Q38" s="5">
        <f>IF($H38="",0,SUMIF(Dati!$A$2:$A$451,$H38,Dati!$G$2:$G$451)+SUMIF(Dati!$H$2:$H$451,$H38,Dati!$N$2:$N$451))</f>
        <v>0</v>
      </c>
      <c r="R38" s="5">
        <f t="shared" si="5"/>
        <v>0</v>
      </c>
      <c r="S38" s="5">
        <f t="shared" si="6"/>
        <v>0</v>
      </c>
      <c r="T38" s="5">
        <f t="shared" si="7"/>
        <v>0</v>
      </c>
      <c r="U38" s="5" t="str">
        <f t="shared" si="8"/>
        <v>-</v>
      </c>
      <c r="V38" s="11" t="str">
        <f t="shared" si="9"/>
        <v>-</v>
      </c>
      <c r="W38" s="11" t="str">
        <f t="shared" si="10"/>
        <v>-</v>
      </c>
      <c r="X38" s="12" t="str">
        <f>IF($C38="","",$E38&amp;"#"&amp;COUNTIFS($E$14:$E38,$E38,$C$14:$C38,"&lt;&gt;"))</f>
        <v/>
      </c>
      <c r="Y38" s="13" t="str">
        <f t="shared" si="11"/>
        <v/>
      </c>
      <c r="Z38" s="13" t="str">
        <f t="shared" si="12"/>
        <v/>
      </c>
      <c r="AA38" s="13" t="str">
        <f t="shared" si="13"/>
        <v/>
      </c>
      <c r="AB38" s="13" t="str">
        <f t="shared" si="14"/>
        <v/>
      </c>
      <c r="AC38" s="13" t="str">
        <f t="shared" si="15"/>
        <v/>
      </c>
      <c r="AD38" s="13" t="str">
        <f t="shared" si="16"/>
        <v/>
      </c>
      <c r="AE38" s="13" t="str">
        <f t="shared" si="17"/>
        <v/>
      </c>
      <c r="AF38" s="13" t="str">
        <f t="shared" si="18"/>
        <v/>
      </c>
      <c r="AG38" s="13" t="str">
        <f t="shared" si="19"/>
        <v/>
      </c>
      <c r="AH38" s="13" t="str">
        <f t="shared" si="20"/>
        <v/>
      </c>
      <c r="AJ38" s="14">
        <f t="shared" si="21"/>
        <v>0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 t="str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-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 t="str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-</v>
      </c>
      <c r="AS38" s="15" t="str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-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>
        <f t="shared" si="22"/>
        <v>0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 t="str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 t="str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5" t="str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>
        <f t="shared" si="23"/>
        <v>0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 t="str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-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 t="str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-</v>
      </c>
      <c r="BQ38" s="15" t="str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-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>
        <f t="shared" si="24"/>
        <v>0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 t="str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-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 t="str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-</v>
      </c>
      <c r="CC38" s="15" t="str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-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 t="str">
        <f t="shared" si="25"/>
        <v/>
      </c>
    </row>
    <row r="39" spans="2:84" x14ac:dyDescent="0.25">
      <c r="B39" s="5" t="s">
        <v>78</v>
      </c>
      <c r="C39" s="6"/>
      <c r="D39" s="7"/>
      <c r="E39" s="18" t="s">
        <v>73</v>
      </c>
      <c r="G39" s="19" t="str">
        <f t="shared" si="0"/>
        <v/>
      </c>
      <c r="H39" s="10" t="str">
        <f t="shared" si="1"/>
        <v/>
      </c>
      <c r="I39" s="5" t="str">
        <f t="shared" si="2"/>
        <v>|1000000000|0000000000|0000000000|0000000000|</v>
      </c>
      <c r="J39" s="19">
        <f t="shared" si="3"/>
        <v>0</v>
      </c>
      <c r="K39" s="5">
        <f t="shared" si="4"/>
        <v>0</v>
      </c>
      <c r="L39" s="5">
        <f>IF($H39="",0,SUMIF(Dati!$A$2:$A$451,$H39,Dati!$B$2:$B$451)+SUMIF(Dati!$H$2:$H$451,$H39,Dati!$I$2:$I$451))</f>
        <v>0</v>
      </c>
      <c r="M39" s="5">
        <f>IF($H39="",0,SUMIF(Dati!$A$2:$A$451,$H39,Dati!$D$2:$D$451)+SUMIF(Dati!$H$2:$H$451,$H39,Dati!$K$2:$K$451))</f>
        <v>0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0</v>
      </c>
      <c r="P39" s="5">
        <f>IF($H39="",0,SUMIF(Dati!$A$2:$A$451,$H39,Dati!$F$2:$F$451)+SUMIF(Dati!$H$2:$H$451,$H39,Dati!$M$2:$M$451))</f>
        <v>0</v>
      </c>
      <c r="Q39" s="5">
        <f>IF($H39="",0,SUMIF(Dati!$A$2:$A$451,$H39,Dati!$G$2:$G$451)+SUMIF(Dati!$H$2:$H$451,$H39,Dati!$N$2:$N$451))</f>
        <v>0</v>
      </c>
      <c r="R39" s="5">
        <f t="shared" si="5"/>
        <v>0</v>
      </c>
      <c r="S39" s="5">
        <f t="shared" si="6"/>
        <v>0</v>
      </c>
      <c r="T39" s="5">
        <f t="shared" si="7"/>
        <v>0</v>
      </c>
      <c r="U39" s="5" t="str">
        <f t="shared" si="8"/>
        <v>-</v>
      </c>
      <c r="V39" s="11" t="str">
        <f t="shared" si="9"/>
        <v>-</v>
      </c>
      <c r="W39" s="11" t="str">
        <f t="shared" si="10"/>
        <v>-</v>
      </c>
      <c r="X39" s="12" t="str">
        <f>IF($C39="","",$E39&amp;"#"&amp;COUNTIFS($E$14:$E39,$E39,$C$14:$C39,"&lt;&gt;"))</f>
        <v/>
      </c>
      <c r="Y39" s="13" t="str">
        <f t="shared" si="11"/>
        <v/>
      </c>
      <c r="Z39" s="13" t="str">
        <f t="shared" si="12"/>
        <v/>
      </c>
      <c r="AA39" s="13" t="str">
        <f t="shared" si="13"/>
        <v/>
      </c>
      <c r="AB39" s="13" t="str">
        <f t="shared" si="14"/>
        <v/>
      </c>
      <c r="AC39" s="13" t="str">
        <f t="shared" si="15"/>
        <v/>
      </c>
      <c r="AD39" s="13" t="str">
        <f t="shared" si="16"/>
        <v/>
      </c>
      <c r="AE39" s="13" t="str">
        <f t="shared" si="17"/>
        <v/>
      </c>
      <c r="AF39" s="13" t="str">
        <f t="shared" si="18"/>
        <v/>
      </c>
      <c r="AG39" s="13" t="str">
        <f t="shared" si="19"/>
        <v/>
      </c>
      <c r="AH39" s="13" t="str">
        <f t="shared" si="20"/>
        <v/>
      </c>
      <c r="AJ39" s="14">
        <f t="shared" si="21"/>
        <v>0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 t="str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-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 t="str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-</v>
      </c>
      <c r="AS39" s="15" t="str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-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>
        <f t="shared" si="22"/>
        <v>0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 t="str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-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 t="str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5" t="str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-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>
        <f t="shared" si="23"/>
        <v>0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 t="str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-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 t="str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-</v>
      </c>
      <c r="BQ39" s="15" t="str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-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>
        <f t="shared" si="24"/>
        <v>0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 t="str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-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 t="str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-</v>
      </c>
      <c r="CC39" s="15" t="str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-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 t="str">
        <f t="shared" si="25"/>
        <v/>
      </c>
    </row>
    <row r="40" spans="2:84" x14ac:dyDescent="0.25">
      <c r="B40" s="5" t="s">
        <v>79</v>
      </c>
      <c r="C40" s="6"/>
      <c r="D40" s="7"/>
      <c r="E40" s="18" t="s">
        <v>73</v>
      </c>
      <c r="G40" s="19" t="str">
        <f t="shared" si="0"/>
        <v/>
      </c>
      <c r="H40" s="10" t="str">
        <f t="shared" si="1"/>
        <v/>
      </c>
      <c r="I40" s="5" t="str">
        <f t="shared" si="2"/>
        <v>|1000000000|0000000000|0000000000|0000000000|</v>
      </c>
      <c r="J40" s="19">
        <f t="shared" si="3"/>
        <v>0</v>
      </c>
      <c r="K40" s="5">
        <f t="shared" si="4"/>
        <v>0</v>
      </c>
      <c r="L40" s="5">
        <f>IF($H40="",0,SUMIF(Dati!$A$2:$A$451,$H40,Dati!$B$2:$B$451)+SUMIF(Dati!$H$2:$H$451,$H40,Dati!$I$2:$I$451))</f>
        <v>0</v>
      </c>
      <c r="M40" s="5">
        <f>IF($H40="",0,SUMIF(Dati!$A$2:$A$451,$H40,Dati!$D$2:$D$451)+SUMIF(Dati!$H$2:$H$451,$H40,Dati!$K$2:$K$451))</f>
        <v>0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0</v>
      </c>
      <c r="P40" s="5">
        <f>IF($H40="",0,SUMIF(Dati!$A$2:$A$451,$H40,Dati!$F$2:$F$451)+SUMIF(Dati!$H$2:$H$451,$H40,Dati!$M$2:$M$451))</f>
        <v>0</v>
      </c>
      <c r="Q40" s="5">
        <f>IF($H40="",0,SUMIF(Dati!$A$2:$A$451,$H40,Dati!$G$2:$G$451)+SUMIF(Dati!$H$2:$H$451,$H40,Dati!$N$2:$N$451))</f>
        <v>0</v>
      </c>
      <c r="R40" s="5">
        <f t="shared" si="5"/>
        <v>0</v>
      </c>
      <c r="S40" s="5">
        <f t="shared" si="6"/>
        <v>0</v>
      </c>
      <c r="T40" s="5">
        <f t="shared" si="7"/>
        <v>0</v>
      </c>
      <c r="U40" s="5" t="str">
        <f t="shared" si="8"/>
        <v>-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/>
      </c>
      <c r="Y40" s="13" t="str">
        <f t="shared" si="11"/>
        <v/>
      </c>
      <c r="Z40" s="13" t="str">
        <f t="shared" si="12"/>
        <v/>
      </c>
      <c r="AA40" s="13" t="str">
        <f t="shared" si="13"/>
        <v/>
      </c>
      <c r="AB40" s="13" t="str">
        <f t="shared" si="14"/>
        <v/>
      </c>
      <c r="AC40" s="13" t="str">
        <f t="shared" si="15"/>
        <v/>
      </c>
      <c r="AD40" s="13" t="str">
        <f t="shared" si="16"/>
        <v/>
      </c>
      <c r="AE40" s="13" t="str">
        <f t="shared" si="17"/>
        <v/>
      </c>
      <c r="AF40" s="13" t="str">
        <f t="shared" si="18"/>
        <v/>
      </c>
      <c r="AG40" s="13" t="str">
        <f t="shared" si="19"/>
        <v/>
      </c>
      <c r="AH40" s="13" t="str">
        <f t="shared" si="20"/>
        <v/>
      </c>
      <c r="AJ40" s="14">
        <f t="shared" si="21"/>
        <v>0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 t="str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-</v>
      </c>
      <c r="AV40" s="14">
        <f t="shared" si="22"/>
        <v>0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 t="str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4">
        <f t="shared" si="23"/>
        <v>0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 t="str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-</v>
      </c>
      <c r="BT40" s="14">
        <f t="shared" si="24"/>
        <v>0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 t="str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-</v>
      </c>
      <c r="CF40" s="15" t="str">
        <f t="shared" si="25"/>
        <v/>
      </c>
    </row>
    <row r="41" spans="2:84" x14ac:dyDescent="0.25">
      <c r="B41" s="5" t="s">
        <v>80</v>
      </c>
      <c r="C41" s="6"/>
      <c r="D41" s="7"/>
      <c r="E41" s="18" t="s">
        <v>73</v>
      </c>
      <c r="G41" s="19" t="str">
        <f t="shared" si="0"/>
        <v/>
      </c>
      <c r="H41" s="10" t="str">
        <f t="shared" si="1"/>
        <v/>
      </c>
      <c r="I41" s="5" t="str">
        <f t="shared" si="2"/>
        <v>|1000000000|0000000000|0000000000|0000000000|</v>
      </c>
      <c r="J41" s="19">
        <f t="shared" si="3"/>
        <v>0</v>
      </c>
      <c r="K41" s="5">
        <f t="shared" si="4"/>
        <v>0</v>
      </c>
      <c r="L41" s="5">
        <f>IF($H41="",0,SUMIF(Dati!$A$2:$A$451,$H41,Dati!$B$2:$B$451)+SUMIF(Dati!$H$2:$H$451,$H41,Dati!$I$2:$I$451))</f>
        <v>0</v>
      </c>
      <c r="M41" s="5">
        <f>IF($H41="",0,SUMIF(Dati!$A$2:$A$451,$H41,Dati!$D$2:$D$451)+SUMIF(Dati!$H$2:$H$451,$H41,Dati!$K$2:$K$451))</f>
        <v>0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0</v>
      </c>
      <c r="P41" s="5">
        <f>IF($H41="",0,SUMIF(Dati!$A$2:$A$451,$H41,Dati!$F$2:$F$451)+SUMIF(Dati!$H$2:$H$451,$H41,Dati!$M$2:$M$451))</f>
        <v>0</v>
      </c>
      <c r="Q41" s="5">
        <f>IF($H41="",0,SUMIF(Dati!$A$2:$A$451,$H41,Dati!$G$2:$G$451)+SUMIF(Dati!$H$2:$H$451,$H41,Dati!$N$2:$N$451))</f>
        <v>0</v>
      </c>
      <c r="R41" s="5">
        <f t="shared" si="5"/>
        <v>0</v>
      </c>
      <c r="S41" s="5">
        <f t="shared" si="6"/>
        <v>0</v>
      </c>
      <c r="T41" s="5">
        <f t="shared" si="7"/>
        <v>0</v>
      </c>
      <c r="U41" s="5" t="str">
        <f t="shared" si="8"/>
        <v>-</v>
      </c>
      <c r="V41" s="11" t="str">
        <f t="shared" si="9"/>
        <v>-</v>
      </c>
      <c r="W41" s="11" t="str">
        <f t="shared" si="10"/>
        <v>-</v>
      </c>
      <c r="X41" s="12" t="str">
        <f>IF($C41="","",$E41&amp;"#"&amp;COUNTIFS($E$14:$E41,$E41,$C$14:$C41,"&lt;&gt;"))</f>
        <v/>
      </c>
      <c r="Y41" s="13" t="str">
        <f t="shared" si="11"/>
        <v/>
      </c>
      <c r="Z41" s="13" t="str">
        <f t="shared" si="12"/>
        <v/>
      </c>
      <c r="AA41" s="13" t="str">
        <f t="shared" si="13"/>
        <v/>
      </c>
      <c r="AB41" s="13" t="str">
        <f t="shared" si="14"/>
        <v/>
      </c>
      <c r="AC41" s="13" t="str">
        <f t="shared" si="15"/>
        <v/>
      </c>
      <c r="AD41" s="13" t="str">
        <f t="shared" si="16"/>
        <v/>
      </c>
      <c r="AE41" s="13" t="str">
        <f t="shared" si="17"/>
        <v/>
      </c>
      <c r="AF41" s="13" t="str">
        <f t="shared" si="18"/>
        <v/>
      </c>
      <c r="AG41" s="13" t="str">
        <f t="shared" si="19"/>
        <v/>
      </c>
      <c r="AH41" s="13" t="str">
        <f t="shared" si="20"/>
        <v/>
      </c>
      <c r="AJ41" s="14">
        <f t="shared" si="21"/>
        <v>0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 t="str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-</v>
      </c>
      <c r="AP41" s="15" t="str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-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 t="str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-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>
        <f t="shared" si="22"/>
        <v>0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 t="str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5" t="str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 t="str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>
        <f t="shared" si="23"/>
        <v>0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 t="str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-</v>
      </c>
      <c r="BN41" s="15" t="str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-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 t="str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-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>
        <f t="shared" si="24"/>
        <v>0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 t="str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-</v>
      </c>
      <c r="BZ41" s="15" t="str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-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 t="str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-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 t="str">
        <f t="shared" si="25"/>
        <v/>
      </c>
    </row>
    <row r="42" spans="2:84" x14ac:dyDescent="0.25">
      <c r="B42" s="5" t="s">
        <v>81</v>
      </c>
      <c r="C42" s="6"/>
      <c r="D42" s="7"/>
      <c r="E42" s="18" t="s">
        <v>73</v>
      </c>
      <c r="G42" s="19" t="str">
        <f t="shared" si="0"/>
        <v/>
      </c>
      <c r="H42" s="10" t="str">
        <f t="shared" si="1"/>
        <v/>
      </c>
      <c r="I42" s="5" t="str">
        <f t="shared" si="2"/>
        <v>|1000000000|0000000000|0000000000|0000000000|</v>
      </c>
      <c r="J42" s="19">
        <f t="shared" si="3"/>
        <v>0</v>
      </c>
      <c r="K42" s="5">
        <f t="shared" si="4"/>
        <v>0</v>
      </c>
      <c r="L42" s="5">
        <f>IF($H42="",0,SUMIF(Dati!$A$2:$A$451,$H42,Dati!$B$2:$B$451)+SUMIF(Dati!$H$2:$H$451,$H42,Dati!$I$2:$I$451))</f>
        <v>0</v>
      </c>
      <c r="M42" s="5">
        <f>IF($H42="",0,SUMIF(Dati!$A$2:$A$451,$H42,Dati!$D$2:$D$451)+SUMIF(Dati!$H$2:$H$451,$H42,Dati!$K$2:$K$451))</f>
        <v>0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0</v>
      </c>
      <c r="P42" s="5">
        <f>IF($H42="",0,SUMIF(Dati!$A$2:$A$451,$H42,Dati!$F$2:$F$451)+SUMIF(Dati!$H$2:$H$451,$H42,Dati!$M$2:$M$451))</f>
        <v>0</v>
      </c>
      <c r="Q42" s="5">
        <f>IF($H42="",0,SUMIF(Dati!$A$2:$A$451,$H42,Dati!$G$2:$G$451)+SUMIF(Dati!$H$2:$H$451,$H42,Dati!$N$2:$N$451))</f>
        <v>0</v>
      </c>
      <c r="R42" s="5">
        <f t="shared" si="5"/>
        <v>0</v>
      </c>
      <c r="S42" s="5">
        <f t="shared" si="6"/>
        <v>0</v>
      </c>
      <c r="T42" s="5">
        <f t="shared" si="7"/>
        <v>0</v>
      </c>
      <c r="U42" s="5" t="str">
        <f t="shared" si="8"/>
        <v>-</v>
      </c>
      <c r="V42" s="11" t="str">
        <f t="shared" si="9"/>
        <v>-</v>
      </c>
      <c r="W42" s="11" t="str">
        <f t="shared" si="10"/>
        <v>-</v>
      </c>
      <c r="X42" s="12" t="str">
        <f>IF($C42="","",$E42&amp;"#"&amp;COUNTIFS($E$14:$E42,$E42,$C$14:$C42,"&lt;&gt;"))</f>
        <v/>
      </c>
      <c r="Y42" s="13" t="str">
        <f t="shared" si="11"/>
        <v/>
      </c>
      <c r="Z42" s="13" t="str">
        <f t="shared" si="12"/>
        <v/>
      </c>
      <c r="AA42" s="13" t="str">
        <f t="shared" si="13"/>
        <v/>
      </c>
      <c r="AB42" s="13" t="str">
        <f t="shared" si="14"/>
        <v/>
      </c>
      <c r="AC42" s="13" t="str">
        <f t="shared" si="15"/>
        <v/>
      </c>
      <c r="AD42" s="13" t="str">
        <f t="shared" si="16"/>
        <v/>
      </c>
      <c r="AE42" s="13" t="str">
        <f t="shared" si="17"/>
        <v/>
      </c>
      <c r="AF42" s="13" t="str">
        <f t="shared" si="18"/>
        <v/>
      </c>
      <c r="AG42" s="13" t="str">
        <f t="shared" si="19"/>
        <v/>
      </c>
      <c r="AH42" s="13" t="str">
        <f t="shared" si="20"/>
        <v/>
      </c>
      <c r="AJ42" s="14">
        <f t="shared" si="21"/>
        <v>0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 t="str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-</v>
      </c>
      <c r="AP42" s="15" t="str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-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 t="str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-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>
        <f t="shared" si="22"/>
        <v>0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 t="str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5" t="str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 t="str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>
        <f t="shared" si="23"/>
        <v>0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 t="str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-</v>
      </c>
      <c r="BN42" s="15" t="str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-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 t="str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-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>
        <f t="shared" si="24"/>
        <v>0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 t="str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-</v>
      </c>
      <c r="BZ42" s="15" t="str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-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 t="str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-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 t="str">
        <f t="shared" si="25"/>
        <v/>
      </c>
    </row>
    <row r="43" spans="2:84" x14ac:dyDescent="0.25">
      <c r="B43" s="5" t="s">
        <v>82</v>
      </c>
      <c r="C43" s="6"/>
      <c r="D43" s="7"/>
      <c r="E43" s="18" t="s">
        <v>73</v>
      </c>
      <c r="G43" s="19" t="str">
        <f t="shared" si="0"/>
        <v/>
      </c>
      <c r="H43" s="10" t="str">
        <f t="shared" si="1"/>
        <v/>
      </c>
      <c r="I43" s="5" t="str">
        <f t="shared" si="2"/>
        <v>|1000000000|0000000000|0000000000|0000000000|</v>
      </c>
      <c r="J43" s="19">
        <f t="shared" si="3"/>
        <v>0</v>
      </c>
      <c r="K43" s="5">
        <f t="shared" si="4"/>
        <v>0</v>
      </c>
      <c r="L43" s="5">
        <f>IF($H43="",0,SUMIF(Dati!$A$2:$A$451,$H43,Dati!$B$2:$B$451)+SUMIF(Dati!$H$2:$H$451,$H43,Dati!$I$2:$I$451))</f>
        <v>0</v>
      </c>
      <c r="M43" s="5">
        <f>IF($H43="",0,SUMIF(Dati!$A$2:$A$451,$H43,Dati!$D$2:$D$451)+SUMIF(Dati!$H$2:$H$451,$H43,Dati!$K$2:$K$451))</f>
        <v>0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0</v>
      </c>
      <c r="P43" s="5">
        <f>IF($H43="",0,SUMIF(Dati!$A$2:$A$451,$H43,Dati!$F$2:$F$451)+SUMIF(Dati!$H$2:$H$451,$H43,Dati!$M$2:$M$451))</f>
        <v>0</v>
      </c>
      <c r="Q43" s="5">
        <f>IF($H43="",0,SUMIF(Dati!$A$2:$A$451,$H43,Dati!$G$2:$G$451)+SUMIF(Dati!$H$2:$H$451,$H43,Dati!$N$2:$N$451))</f>
        <v>0</v>
      </c>
      <c r="R43" s="5">
        <f t="shared" si="5"/>
        <v>0</v>
      </c>
      <c r="S43" s="5">
        <f t="shared" si="6"/>
        <v>0</v>
      </c>
      <c r="T43" s="5">
        <f t="shared" si="7"/>
        <v>0</v>
      </c>
      <c r="U43" s="5" t="str">
        <f t="shared" si="8"/>
        <v>-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/>
      </c>
      <c r="Y43" s="13" t="str">
        <f t="shared" si="11"/>
        <v/>
      </c>
      <c r="Z43" s="13" t="str">
        <f t="shared" si="12"/>
        <v/>
      </c>
      <c r="AA43" s="13" t="str">
        <f t="shared" si="13"/>
        <v/>
      </c>
      <c r="AB43" s="13" t="str">
        <f t="shared" si="14"/>
        <v/>
      </c>
      <c r="AC43" s="13" t="str">
        <f t="shared" si="15"/>
        <v/>
      </c>
      <c r="AD43" s="13" t="str">
        <f t="shared" si="16"/>
        <v/>
      </c>
      <c r="AE43" s="13" t="str">
        <f t="shared" si="17"/>
        <v/>
      </c>
      <c r="AF43" s="13" t="str">
        <f t="shared" si="18"/>
        <v/>
      </c>
      <c r="AG43" s="13" t="str">
        <f t="shared" si="19"/>
        <v/>
      </c>
      <c r="AH43" s="13" t="str">
        <f t="shared" si="20"/>
        <v/>
      </c>
      <c r="AJ43" s="14">
        <f t="shared" si="21"/>
        <v>0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 t="str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-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>
        <f t="shared" si="22"/>
        <v>0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 t="str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>
        <f t="shared" si="23"/>
        <v>0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 t="str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-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>
        <f t="shared" si="24"/>
        <v>0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 t="str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-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 t="str">
        <f t="shared" si="25"/>
        <v/>
      </c>
    </row>
    <row r="44" spans="2:84" x14ac:dyDescent="0.25">
      <c r="B44" s="5" t="s">
        <v>83</v>
      </c>
      <c r="C44" s="6"/>
      <c r="D44" s="7"/>
      <c r="E44" s="20" t="s">
        <v>84</v>
      </c>
      <c r="G44" s="21" t="str">
        <f t="shared" si="0"/>
        <v/>
      </c>
      <c r="H44" s="10" t="str">
        <f t="shared" si="1"/>
        <v/>
      </c>
      <c r="I44" s="5" t="str">
        <f t="shared" si="2"/>
        <v>|1000000000|0000000000|0000000000|0000000000|</v>
      </c>
      <c r="J44" s="21">
        <f t="shared" si="3"/>
        <v>0</v>
      </c>
      <c r="K44" s="5">
        <f t="shared" si="4"/>
        <v>0</v>
      </c>
      <c r="L44" s="5">
        <f>IF($H44="",0,SUMIF(Dati!$A$2:$A$451,$H44,Dati!$B$2:$B$451)+SUMIF(Dati!$H$2:$H$451,$H44,Dati!$I$2:$I$451))</f>
        <v>0</v>
      </c>
      <c r="M44" s="5">
        <f>IF($H44="",0,SUMIF(Dati!$A$2:$A$451,$H44,Dati!$D$2:$D$451)+SUMIF(Dati!$H$2:$H$451,$H44,Dati!$K$2:$K$451))</f>
        <v>0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0</v>
      </c>
      <c r="P44" s="5">
        <f>IF($H44="",0,SUMIF(Dati!$A$2:$A$451,$H44,Dati!$F$2:$F$451)+SUMIF(Dati!$H$2:$H$451,$H44,Dati!$M$2:$M$451))</f>
        <v>0</v>
      </c>
      <c r="Q44" s="5">
        <f>IF($H44="",0,SUMIF(Dati!$A$2:$A$451,$H44,Dati!$G$2:$G$451)+SUMIF(Dati!$H$2:$H$451,$H44,Dati!$N$2:$N$451))</f>
        <v>0</v>
      </c>
      <c r="R44" s="5">
        <f t="shared" si="5"/>
        <v>0</v>
      </c>
      <c r="S44" s="5">
        <f t="shared" si="6"/>
        <v>0</v>
      </c>
      <c r="T44" s="5">
        <f t="shared" si="7"/>
        <v>0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/>
      </c>
      <c r="Y44" s="13" t="str">
        <f t="shared" si="11"/>
        <v/>
      </c>
      <c r="Z44" s="13" t="str">
        <f t="shared" si="12"/>
        <v/>
      </c>
      <c r="AA44" s="13" t="str">
        <f t="shared" si="13"/>
        <v/>
      </c>
      <c r="AB44" s="13" t="str">
        <f t="shared" si="14"/>
        <v/>
      </c>
      <c r="AC44" s="13" t="str">
        <f t="shared" si="15"/>
        <v/>
      </c>
      <c r="AD44" s="13" t="str">
        <f t="shared" si="16"/>
        <v/>
      </c>
      <c r="AE44" s="13" t="str">
        <f t="shared" si="17"/>
        <v/>
      </c>
      <c r="AF44" s="13" t="str">
        <f t="shared" si="18"/>
        <v/>
      </c>
      <c r="AG44" s="13" t="str">
        <f t="shared" si="19"/>
        <v/>
      </c>
      <c r="AH44" s="13" t="str">
        <f t="shared" si="20"/>
        <v/>
      </c>
      <c r="AJ44" s="14">
        <f t="shared" si="21"/>
        <v>0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>
        <f t="shared" si="22"/>
        <v>0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>
        <f t="shared" si="23"/>
        <v>0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>
        <f t="shared" si="24"/>
        <v>0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 t="str">
        <f t="shared" si="25"/>
        <v/>
      </c>
    </row>
    <row r="45" spans="2:84" x14ac:dyDescent="0.25">
      <c r="B45" s="5" t="s">
        <v>85</v>
      </c>
      <c r="C45" s="6"/>
      <c r="D45" s="7"/>
      <c r="E45" s="20" t="s">
        <v>84</v>
      </c>
      <c r="G45" s="21" t="str">
        <f t="shared" si="0"/>
        <v/>
      </c>
      <c r="H45" s="10" t="str">
        <f t="shared" si="1"/>
        <v/>
      </c>
      <c r="I45" s="5" t="str">
        <f t="shared" si="2"/>
        <v>|1000000000|0000000000|0000000000|0000000000|</v>
      </c>
      <c r="J45" s="21">
        <f t="shared" si="3"/>
        <v>0</v>
      </c>
      <c r="K45" s="5">
        <f t="shared" si="4"/>
        <v>0</v>
      </c>
      <c r="L45" s="5">
        <f>IF($H45="",0,SUMIF(Dati!$A$2:$A$451,$H45,Dati!$B$2:$B$451)+SUMIF(Dati!$H$2:$H$451,$H45,Dati!$I$2:$I$451))</f>
        <v>0</v>
      </c>
      <c r="M45" s="5">
        <f>IF($H45="",0,SUMIF(Dati!$A$2:$A$451,$H45,Dati!$D$2:$D$451)+SUMIF(Dati!$H$2:$H$451,$H45,Dati!$K$2:$K$451))</f>
        <v>0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0</v>
      </c>
      <c r="P45" s="5">
        <f>IF($H45="",0,SUMIF(Dati!$A$2:$A$451,$H45,Dati!$F$2:$F$451)+SUMIF(Dati!$H$2:$H$451,$H45,Dati!$M$2:$M$451))</f>
        <v>0</v>
      </c>
      <c r="Q45" s="5">
        <f>IF($H45="",0,SUMIF(Dati!$A$2:$A$451,$H45,Dati!$G$2:$G$451)+SUMIF(Dati!$H$2:$H$451,$H45,Dati!$N$2:$N$451))</f>
        <v>0</v>
      </c>
      <c r="R45" s="5">
        <f t="shared" si="5"/>
        <v>0</v>
      </c>
      <c r="S45" s="5">
        <f t="shared" si="6"/>
        <v>0</v>
      </c>
      <c r="T45" s="5">
        <f t="shared" si="7"/>
        <v>0</v>
      </c>
      <c r="U45" s="5" t="str">
        <f t="shared" si="8"/>
        <v>-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/>
      </c>
      <c r="Y45" s="13" t="str">
        <f t="shared" si="11"/>
        <v/>
      </c>
      <c r="Z45" s="13" t="str">
        <f t="shared" si="12"/>
        <v/>
      </c>
      <c r="AA45" s="13" t="str">
        <f t="shared" si="13"/>
        <v/>
      </c>
      <c r="AB45" s="13" t="str">
        <f t="shared" si="14"/>
        <v/>
      </c>
      <c r="AC45" s="13" t="str">
        <f t="shared" si="15"/>
        <v/>
      </c>
      <c r="AD45" s="13" t="str">
        <f t="shared" si="16"/>
        <v/>
      </c>
      <c r="AE45" s="13" t="str">
        <f t="shared" si="17"/>
        <v/>
      </c>
      <c r="AF45" s="13" t="str">
        <f t="shared" si="18"/>
        <v/>
      </c>
      <c r="AG45" s="13" t="str">
        <f t="shared" si="19"/>
        <v/>
      </c>
      <c r="AH45" s="13" t="str">
        <f t="shared" si="20"/>
        <v/>
      </c>
      <c r="AJ45" s="14">
        <f t="shared" si="21"/>
        <v>0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 t="str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-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 t="str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-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>
        <f t="shared" si="22"/>
        <v>0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 t="str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 t="str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>
        <f t="shared" si="23"/>
        <v>0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 t="str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-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 t="str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-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>
        <f t="shared" si="24"/>
        <v>0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 t="str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-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 t="str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-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 t="str">
        <f t="shared" si="25"/>
        <v/>
      </c>
    </row>
    <row r="46" spans="2:84" x14ac:dyDescent="0.25">
      <c r="B46" s="5" t="s">
        <v>86</v>
      </c>
      <c r="C46" s="6"/>
      <c r="D46" s="7"/>
      <c r="E46" s="20" t="s">
        <v>84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/>
      </c>
      <c r="H46" s="10" t="str">
        <f t="shared" ref="H46:H77" si="27">IF($C46="","",IFERROR(LEFT($C46,FIND("-",$C46)-1),$C46))</f>
        <v/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|1000000000|0000000000|0000000000|0000000000|</v>
      </c>
      <c r="J46" s="21">
        <f t="shared" ref="J46:J77" si="29">L46*constPuntiVittoria+M46*constPuntiSconfitta+N46*constPuntiForfait+IF(D46="",0,D46)</f>
        <v>0</v>
      </c>
      <c r="K46" s="5">
        <f t="shared" ref="K46:K77" si="30">SUM(L46:N46)</f>
        <v>0</v>
      </c>
      <c r="L46" s="5">
        <f>IF($H46="",0,SUMIF(Dati!$A$2:$A$451,$H46,Dati!$B$2:$B$451)+SUMIF(Dati!$H$2:$H$451,$H46,Dati!$I$2:$I$451))</f>
        <v>0</v>
      </c>
      <c r="M46" s="5">
        <f>IF($H46="",0,SUMIF(Dati!$A$2:$A$451,$H46,Dati!$D$2:$D$451)+SUMIF(Dati!$H$2:$H$451,$H46,Dati!$K$2:$K$451))</f>
        <v>0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0</v>
      </c>
      <c r="P46" s="5">
        <f>IF($H46="",0,SUMIF(Dati!$A$2:$A$451,$H46,Dati!$F$2:$F$451)+SUMIF(Dati!$H$2:$H$451,$H46,Dati!$M$2:$M$451))</f>
        <v>0</v>
      </c>
      <c r="Q46" s="5">
        <f>IF($H46="",0,SUMIF(Dati!$A$2:$A$451,$H46,Dati!$G$2:$G$451)+SUMIF(Dati!$H$2:$H$451,$H46,Dati!$N$2:$N$451))</f>
        <v>0</v>
      </c>
      <c r="R46" s="5">
        <f t="shared" ref="R46:R77" si="31">IF(K46=0,0,ROUND(O46/K46,2))</f>
        <v>0</v>
      </c>
      <c r="S46" s="5">
        <f t="shared" ref="S46:S77" si="32">IF(K46=0,0,ROUND(P46/K46,2))</f>
        <v>0</v>
      </c>
      <c r="T46" s="5">
        <f t="shared" ref="T46:T77" si="33">IF(K46=0,0,ROUND(Q46/K46,2))</f>
        <v>0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/>
      </c>
      <c r="Y46" s="13" t="str">
        <f t="shared" ref="Y46:Y77" si="37">IFERROR(INDEX($H$14:$H$113,MATCH($E46&amp;"#1",$X$14:$X$113,0)),"")</f>
        <v/>
      </c>
      <c r="Z46" s="13" t="str">
        <f t="shared" ref="Z46:Z77" si="38">IFERROR(INDEX($H$14:$H$113,MATCH($E46&amp;"#2",$X$14:$X$113,0)),"")</f>
        <v/>
      </c>
      <c r="AA46" s="13" t="str">
        <f t="shared" ref="AA46:AA77" si="39">IFERROR(INDEX($H$14:$H$113,MATCH($E46&amp;"#3",$X$14:$X$113,0)),"")</f>
        <v/>
      </c>
      <c r="AB46" s="13" t="str">
        <f t="shared" ref="AB46:AB77" si="40">IFERROR(INDEX($H$14:$H$113,MATCH($E46&amp;"#4",$X$14:$X$113,0)),"")</f>
        <v/>
      </c>
      <c r="AC46" s="13" t="str">
        <f t="shared" ref="AC46:AC77" si="41">IFERROR(INDEX($H$14:$H$113,MATCH($E46&amp;"#5",$X$14:$X$113,0)),"")</f>
        <v/>
      </c>
      <c r="AD46" s="13" t="str">
        <f t="shared" ref="AD46:AD77" si="42">IFERROR(INDEX($H$14:$H$113,MATCH($E46&amp;"#6",$X$14:$X$113,0)),"")</f>
        <v/>
      </c>
      <c r="AE46" s="13" t="str">
        <f t="shared" ref="AE46:AE77" si="43">IFERROR(INDEX($H$14:$H$113,MATCH($E46&amp;"#7",$X$14:$X$113,0)),"")</f>
        <v/>
      </c>
      <c r="AF46" s="13" t="str">
        <f t="shared" ref="AF46:AF77" si="44">IFERROR(INDEX($H$14:$H$113,MATCH($E46&amp;"#8",$X$14:$X$113,0)),"")</f>
        <v/>
      </c>
      <c r="AG46" s="13" t="str">
        <f t="shared" ref="AG46:AG77" si="45">IFERROR(INDEX($H$14:$H$113,MATCH($E46&amp;"#9",$X$14:$X$113,0)),"")</f>
        <v/>
      </c>
      <c r="AH46" s="13" t="str">
        <f t="shared" ref="AH46:AH77" si="46">IFERROR(INDEX($H$14:$H$113,MATCH($E46&amp;"#10",$X$14:$X$113,0)),"")</f>
        <v/>
      </c>
      <c r="AJ46" s="14">
        <f t="shared" ref="AJ46:AJ77" si="47">$C46</f>
        <v>0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>
        <f t="shared" ref="AV46:AV77" si="48">$C46</f>
        <v>0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>
        <f t="shared" ref="BH46:BH77" si="49">$C46</f>
        <v>0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>
        <f t="shared" ref="BT46:BT77" si="50">$C46</f>
        <v>0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 t="str">
        <f t="shared" ref="CF46:CF77" si="51">IF($C46="","",SUM(AK46:AT46))</f>
        <v/>
      </c>
    </row>
    <row r="47" spans="2:84" x14ac:dyDescent="0.25">
      <c r="B47" s="5" t="s">
        <v>87</v>
      </c>
      <c r="C47" s="6"/>
      <c r="D47" s="7"/>
      <c r="E47" s="20" t="s">
        <v>84</v>
      </c>
      <c r="G47" s="21" t="str">
        <f t="shared" si="26"/>
        <v/>
      </c>
      <c r="H47" s="10" t="str">
        <f t="shared" si="27"/>
        <v/>
      </c>
      <c r="I47" s="5" t="str">
        <f t="shared" si="28"/>
        <v>|1000000000|0000000000|0000000000|0000000000|</v>
      </c>
      <c r="J47" s="21">
        <f t="shared" si="29"/>
        <v>0</v>
      </c>
      <c r="K47" s="5">
        <f t="shared" si="30"/>
        <v>0</v>
      </c>
      <c r="L47" s="5">
        <f>IF($H47="",0,SUMIF(Dati!$A$2:$A$451,$H47,Dati!$B$2:$B$451)+SUMIF(Dati!$H$2:$H$451,$H47,Dati!$I$2:$I$451))</f>
        <v>0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0</v>
      </c>
      <c r="P47" s="5">
        <f>IF($H47="",0,SUMIF(Dati!$A$2:$A$451,$H47,Dati!$F$2:$F$451)+SUMIF(Dati!$H$2:$H$451,$H47,Dati!$M$2:$M$451))</f>
        <v>0</v>
      </c>
      <c r="Q47" s="5">
        <f>IF($H47="",0,SUMIF(Dati!$A$2:$A$451,$H47,Dati!$G$2:$G$451)+SUMIF(Dati!$H$2:$H$451,$H47,Dati!$N$2:$N$451))</f>
        <v>0</v>
      </c>
      <c r="R47" s="5">
        <f t="shared" si="31"/>
        <v>0</v>
      </c>
      <c r="S47" s="5">
        <f t="shared" si="32"/>
        <v>0</v>
      </c>
      <c r="T47" s="5">
        <f t="shared" si="33"/>
        <v>0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/>
      </c>
      <c r="Y47" s="13" t="str">
        <f t="shared" si="37"/>
        <v/>
      </c>
      <c r="Z47" s="13" t="str">
        <f t="shared" si="38"/>
        <v/>
      </c>
      <c r="AA47" s="13" t="str">
        <f t="shared" si="39"/>
        <v/>
      </c>
      <c r="AB47" s="13" t="str">
        <f t="shared" si="40"/>
        <v/>
      </c>
      <c r="AC47" s="13" t="str">
        <f t="shared" si="41"/>
        <v/>
      </c>
      <c r="AD47" s="13" t="str">
        <f t="shared" si="42"/>
        <v/>
      </c>
      <c r="AE47" s="13" t="str">
        <f t="shared" si="43"/>
        <v/>
      </c>
      <c r="AF47" s="13" t="str">
        <f t="shared" si="44"/>
        <v/>
      </c>
      <c r="AG47" s="13" t="str">
        <f t="shared" si="45"/>
        <v/>
      </c>
      <c r="AH47" s="13" t="str">
        <f t="shared" si="46"/>
        <v/>
      </c>
      <c r="AJ47" s="14">
        <f t="shared" si="47"/>
        <v>0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>
        <f t="shared" si="48"/>
        <v>0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>
        <f t="shared" si="49"/>
        <v>0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>
        <f t="shared" si="50"/>
        <v>0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 t="str">
        <f t="shared" si="51"/>
        <v/>
      </c>
    </row>
    <row r="48" spans="2:84" x14ac:dyDescent="0.25">
      <c r="B48" s="5" t="s">
        <v>88</v>
      </c>
      <c r="C48" s="6"/>
      <c r="D48" s="7"/>
      <c r="E48" s="20" t="s">
        <v>84</v>
      </c>
      <c r="G48" s="21" t="str">
        <f t="shared" si="26"/>
        <v/>
      </c>
      <c r="H48" s="10" t="str">
        <f t="shared" si="27"/>
        <v/>
      </c>
      <c r="I48" s="5" t="str">
        <f t="shared" si="28"/>
        <v>|1000000000|0000000000|0000000000|0000000000|</v>
      </c>
      <c r="J48" s="21">
        <f t="shared" si="29"/>
        <v>0</v>
      </c>
      <c r="K48" s="5">
        <f t="shared" si="30"/>
        <v>0</v>
      </c>
      <c r="L48" s="5">
        <f>IF($H48="",0,SUMIF(Dati!$A$2:$A$451,$H48,Dati!$B$2:$B$451)+SUMIF(Dati!$H$2:$H$451,$H48,Dati!$I$2:$I$451))</f>
        <v>0</v>
      </c>
      <c r="M48" s="5">
        <f>IF($H48="",0,SUMIF(Dati!$A$2:$A$451,$H48,Dati!$D$2:$D$451)+SUMIF(Dati!$H$2:$H$451,$H48,Dati!$K$2:$K$451))</f>
        <v>0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0</v>
      </c>
      <c r="P48" s="5">
        <f>IF($H48="",0,SUMIF(Dati!$A$2:$A$451,$H48,Dati!$F$2:$F$451)+SUMIF(Dati!$H$2:$H$451,$H48,Dati!$M$2:$M$451))</f>
        <v>0</v>
      </c>
      <c r="Q48" s="5">
        <f>IF($H48="",0,SUMIF(Dati!$A$2:$A$451,$H48,Dati!$G$2:$G$451)+SUMIF(Dati!$H$2:$H$451,$H48,Dati!$N$2:$N$451))</f>
        <v>0</v>
      </c>
      <c r="R48" s="5">
        <f t="shared" si="31"/>
        <v>0</v>
      </c>
      <c r="S48" s="5">
        <f t="shared" si="32"/>
        <v>0</v>
      </c>
      <c r="T48" s="5">
        <f t="shared" si="33"/>
        <v>0</v>
      </c>
      <c r="U48" s="5" t="str">
        <f t="shared" si="34"/>
        <v>-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/>
      </c>
      <c r="Y48" s="13" t="str">
        <f t="shared" si="37"/>
        <v/>
      </c>
      <c r="Z48" s="13" t="str">
        <f t="shared" si="38"/>
        <v/>
      </c>
      <c r="AA48" s="13" t="str">
        <f t="shared" si="39"/>
        <v/>
      </c>
      <c r="AB48" s="13" t="str">
        <f t="shared" si="40"/>
        <v/>
      </c>
      <c r="AC48" s="13" t="str">
        <f t="shared" si="41"/>
        <v/>
      </c>
      <c r="AD48" s="13" t="str">
        <f t="shared" si="42"/>
        <v/>
      </c>
      <c r="AE48" s="13" t="str">
        <f t="shared" si="43"/>
        <v/>
      </c>
      <c r="AF48" s="13" t="str">
        <f t="shared" si="44"/>
        <v/>
      </c>
      <c r="AG48" s="13" t="str">
        <f t="shared" si="45"/>
        <v/>
      </c>
      <c r="AH48" s="13" t="str">
        <f t="shared" si="46"/>
        <v/>
      </c>
      <c r="AJ48" s="14">
        <f t="shared" si="47"/>
        <v>0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 t="str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-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 t="str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-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>
        <f t="shared" si="48"/>
        <v>0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 t="str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 t="str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>
        <f t="shared" si="49"/>
        <v>0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 t="str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-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 t="str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-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>
        <f t="shared" si="50"/>
        <v>0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 t="str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-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 t="str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-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 t="str">
        <f t="shared" si="51"/>
        <v/>
      </c>
    </row>
    <row r="49" spans="2:84" x14ac:dyDescent="0.25">
      <c r="B49" s="5" t="s">
        <v>89</v>
      </c>
      <c r="C49" s="6"/>
      <c r="D49" s="7"/>
      <c r="E49" s="20" t="s">
        <v>84</v>
      </c>
      <c r="G49" s="21" t="str">
        <f t="shared" si="26"/>
        <v/>
      </c>
      <c r="H49" s="10" t="str">
        <f t="shared" si="27"/>
        <v/>
      </c>
      <c r="I49" s="5" t="str">
        <f t="shared" si="28"/>
        <v>|1000000000|0000000000|0000000000|0000000000|</v>
      </c>
      <c r="J49" s="21">
        <f t="shared" si="29"/>
        <v>0</v>
      </c>
      <c r="K49" s="5">
        <f t="shared" si="30"/>
        <v>0</v>
      </c>
      <c r="L49" s="5">
        <f>IF($H49="",0,SUMIF(Dati!$A$2:$A$451,$H49,Dati!$B$2:$B$451)+SUMIF(Dati!$H$2:$H$451,$H49,Dati!$I$2:$I$451))</f>
        <v>0</v>
      </c>
      <c r="M49" s="5">
        <f>IF($H49="",0,SUMIF(Dati!$A$2:$A$451,$H49,Dati!$D$2:$D$451)+SUMIF(Dati!$H$2:$H$451,$H49,Dati!$K$2:$K$451))</f>
        <v>0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0</v>
      </c>
      <c r="P49" s="5">
        <f>IF($H49="",0,SUMIF(Dati!$A$2:$A$451,$H49,Dati!$F$2:$F$451)+SUMIF(Dati!$H$2:$H$451,$H49,Dati!$M$2:$M$451))</f>
        <v>0</v>
      </c>
      <c r="Q49" s="5">
        <f>IF($H49="",0,SUMIF(Dati!$A$2:$A$451,$H49,Dati!$G$2:$G$451)+SUMIF(Dati!$H$2:$H$451,$H49,Dati!$N$2:$N$451))</f>
        <v>0</v>
      </c>
      <c r="R49" s="5">
        <f t="shared" si="31"/>
        <v>0</v>
      </c>
      <c r="S49" s="5">
        <f t="shared" si="32"/>
        <v>0</v>
      </c>
      <c r="T49" s="5">
        <f t="shared" si="33"/>
        <v>0</v>
      </c>
      <c r="U49" s="5" t="str">
        <f t="shared" si="34"/>
        <v>-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/>
      </c>
      <c r="Y49" s="13" t="str">
        <f t="shared" si="37"/>
        <v/>
      </c>
      <c r="Z49" s="13" t="str">
        <f t="shared" si="38"/>
        <v/>
      </c>
      <c r="AA49" s="13" t="str">
        <f t="shared" si="39"/>
        <v/>
      </c>
      <c r="AB49" s="13" t="str">
        <f t="shared" si="40"/>
        <v/>
      </c>
      <c r="AC49" s="13" t="str">
        <f t="shared" si="41"/>
        <v/>
      </c>
      <c r="AD49" s="13" t="str">
        <f t="shared" si="42"/>
        <v/>
      </c>
      <c r="AE49" s="13" t="str">
        <f t="shared" si="43"/>
        <v/>
      </c>
      <c r="AF49" s="13" t="str">
        <f t="shared" si="44"/>
        <v/>
      </c>
      <c r="AG49" s="13" t="str">
        <f t="shared" si="45"/>
        <v/>
      </c>
      <c r="AH49" s="13" t="str">
        <f t="shared" si="46"/>
        <v/>
      </c>
      <c r="AJ49" s="14">
        <f t="shared" si="47"/>
        <v>0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 t="str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-</v>
      </c>
      <c r="AV49" s="14">
        <f t="shared" si="48"/>
        <v>0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 t="str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4">
        <f t="shared" si="49"/>
        <v>0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 t="str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-</v>
      </c>
      <c r="BT49" s="14">
        <f t="shared" si="50"/>
        <v>0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 t="str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-</v>
      </c>
      <c r="CF49" s="15" t="str">
        <f t="shared" si="51"/>
        <v/>
      </c>
    </row>
    <row r="50" spans="2:84" x14ac:dyDescent="0.25">
      <c r="B50" s="5" t="s">
        <v>90</v>
      </c>
      <c r="C50" s="6"/>
      <c r="D50" s="7"/>
      <c r="E50" s="20" t="s">
        <v>84</v>
      </c>
      <c r="G50" s="21" t="str">
        <f t="shared" si="26"/>
        <v/>
      </c>
      <c r="H50" s="10" t="str">
        <f t="shared" si="27"/>
        <v/>
      </c>
      <c r="I50" s="5" t="str">
        <f t="shared" si="28"/>
        <v>|1000000000|0000000000|0000000000|0000000000|</v>
      </c>
      <c r="J50" s="21">
        <f t="shared" si="29"/>
        <v>0</v>
      </c>
      <c r="K50" s="5">
        <f t="shared" si="30"/>
        <v>0</v>
      </c>
      <c r="L50" s="5">
        <f>IF($H50="",0,SUMIF(Dati!$A$2:$A$451,$H50,Dati!$B$2:$B$451)+SUMIF(Dati!$H$2:$H$451,$H50,Dati!$I$2:$I$451))</f>
        <v>0</v>
      </c>
      <c r="M50" s="5">
        <f>IF($H50="",0,SUMIF(Dati!$A$2:$A$451,$H50,Dati!$D$2:$D$451)+SUMIF(Dati!$H$2:$H$451,$H50,Dati!$K$2:$K$451))</f>
        <v>0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0</v>
      </c>
      <c r="P50" s="5">
        <f>IF($H50="",0,SUMIF(Dati!$A$2:$A$451,$H50,Dati!$F$2:$F$451)+SUMIF(Dati!$H$2:$H$451,$H50,Dati!$M$2:$M$451))</f>
        <v>0</v>
      </c>
      <c r="Q50" s="5">
        <f>IF($H50="",0,SUMIF(Dati!$A$2:$A$451,$H50,Dati!$G$2:$G$451)+SUMIF(Dati!$H$2:$H$451,$H50,Dati!$N$2:$N$451))</f>
        <v>0</v>
      </c>
      <c r="R50" s="5">
        <f t="shared" si="31"/>
        <v>0</v>
      </c>
      <c r="S50" s="5">
        <f t="shared" si="32"/>
        <v>0</v>
      </c>
      <c r="T50" s="5">
        <f t="shared" si="33"/>
        <v>0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/>
      </c>
      <c r="Y50" s="13" t="str">
        <f t="shared" si="37"/>
        <v/>
      </c>
      <c r="Z50" s="13" t="str">
        <f t="shared" si="38"/>
        <v/>
      </c>
      <c r="AA50" s="13" t="str">
        <f t="shared" si="39"/>
        <v/>
      </c>
      <c r="AB50" s="13" t="str">
        <f t="shared" si="40"/>
        <v/>
      </c>
      <c r="AC50" s="13" t="str">
        <f t="shared" si="41"/>
        <v/>
      </c>
      <c r="AD50" s="13" t="str">
        <f t="shared" si="42"/>
        <v/>
      </c>
      <c r="AE50" s="13" t="str">
        <f t="shared" si="43"/>
        <v/>
      </c>
      <c r="AF50" s="13" t="str">
        <f t="shared" si="44"/>
        <v/>
      </c>
      <c r="AG50" s="13" t="str">
        <f t="shared" si="45"/>
        <v/>
      </c>
      <c r="AH50" s="13" t="str">
        <f t="shared" si="46"/>
        <v/>
      </c>
      <c r="AJ50" s="14">
        <f t="shared" si="47"/>
        <v>0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>
        <f t="shared" si="48"/>
        <v>0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>
        <f t="shared" si="49"/>
        <v>0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>
        <f t="shared" si="50"/>
        <v>0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 t="str">
        <f t="shared" si="51"/>
        <v/>
      </c>
    </row>
    <row r="51" spans="2:84" x14ac:dyDescent="0.25">
      <c r="B51" s="5" t="s">
        <v>91</v>
      </c>
      <c r="C51" s="6"/>
      <c r="D51" s="7"/>
      <c r="E51" s="20" t="s">
        <v>84</v>
      </c>
      <c r="G51" s="21" t="str">
        <f t="shared" si="26"/>
        <v/>
      </c>
      <c r="H51" s="10" t="str">
        <f t="shared" si="27"/>
        <v/>
      </c>
      <c r="I51" s="5" t="str">
        <f t="shared" si="28"/>
        <v>|1000000000|0000000000|0000000000|0000000000|</v>
      </c>
      <c r="J51" s="21">
        <f t="shared" si="29"/>
        <v>0</v>
      </c>
      <c r="K51" s="5">
        <f t="shared" si="30"/>
        <v>0</v>
      </c>
      <c r="L51" s="5">
        <f>IF($H51="",0,SUMIF(Dati!$A$2:$A$451,$H51,Dati!$B$2:$B$451)+SUMIF(Dati!$H$2:$H$451,$H51,Dati!$I$2:$I$451))</f>
        <v>0</v>
      </c>
      <c r="M51" s="5">
        <f>IF($H51="",0,SUMIF(Dati!$A$2:$A$451,$H51,Dati!$D$2:$D$451)+SUMIF(Dati!$H$2:$H$451,$H51,Dati!$K$2:$K$451))</f>
        <v>0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0</v>
      </c>
      <c r="P51" s="5">
        <f>IF($H51="",0,SUMIF(Dati!$A$2:$A$451,$H51,Dati!$F$2:$F$451)+SUMIF(Dati!$H$2:$H$451,$H51,Dati!$M$2:$M$451))</f>
        <v>0</v>
      </c>
      <c r="Q51" s="5">
        <f>IF($H51="",0,SUMIF(Dati!$A$2:$A$451,$H51,Dati!$G$2:$G$451)+SUMIF(Dati!$H$2:$H$451,$H51,Dati!$N$2:$N$451))</f>
        <v>0</v>
      </c>
      <c r="R51" s="5">
        <f t="shared" si="31"/>
        <v>0</v>
      </c>
      <c r="S51" s="5">
        <f t="shared" si="32"/>
        <v>0</v>
      </c>
      <c r="T51" s="5">
        <f t="shared" si="33"/>
        <v>0</v>
      </c>
      <c r="U51" s="5" t="str">
        <f t="shared" si="34"/>
        <v>-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/>
      </c>
      <c r="Y51" s="13" t="str">
        <f t="shared" si="37"/>
        <v/>
      </c>
      <c r="Z51" s="13" t="str">
        <f t="shared" si="38"/>
        <v/>
      </c>
      <c r="AA51" s="13" t="str">
        <f t="shared" si="39"/>
        <v/>
      </c>
      <c r="AB51" s="13" t="str">
        <f t="shared" si="40"/>
        <v/>
      </c>
      <c r="AC51" s="13" t="str">
        <f t="shared" si="41"/>
        <v/>
      </c>
      <c r="AD51" s="13" t="str">
        <f t="shared" si="42"/>
        <v/>
      </c>
      <c r="AE51" s="13" t="str">
        <f t="shared" si="43"/>
        <v/>
      </c>
      <c r="AF51" s="13" t="str">
        <f t="shared" si="44"/>
        <v/>
      </c>
      <c r="AG51" s="13" t="str">
        <f t="shared" si="45"/>
        <v/>
      </c>
      <c r="AH51" s="13" t="str">
        <f t="shared" si="46"/>
        <v/>
      </c>
      <c r="AJ51" s="14">
        <f t="shared" si="47"/>
        <v>0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 t="str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-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 t="str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-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>
        <f t="shared" si="48"/>
        <v>0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 t="str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 t="str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>
        <f t="shared" si="49"/>
        <v>0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 t="str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-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 t="str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-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>
        <f t="shared" si="50"/>
        <v>0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 t="str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-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 t="str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-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 t="str">
        <f t="shared" si="51"/>
        <v/>
      </c>
    </row>
    <row r="52" spans="2:84" x14ac:dyDescent="0.25">
      <c r="B52" s="5" t="s">
        <v>92</v>
      </c>
      <c r="C52" s="6"/>
      <c r="D52" s="7"/>
      <c r="E52" s="20" t="s">
        <v>84</v>
      </c>
      <c r="G52" s="21" t="str">
        <f t="shared" si="26"/>
        <v/>
      </c>
      <c r="H52" s="10" t="str">
        <f t="shared" si="27"/>
        <v/>
      </c>
      <c r="I52" s="5" t="str">
        <f t="shared" si="28"/>
        <v>|1000000000|0000000000|0000000000|0000000000|</v>
      </c>
      <c r="J52" s="21">
        <f t="shared" si="29"/>
        <v>0</v>
      </c>
      <c r="K52" s="5">
        <f t="shared" si="30"/>
        <v>0</v>
      </c>
      <c r="L52" s="5">
        <f>IF($H52="",0,SUMIF(Dati!$A$2:$A$451,$H52,Dati!$B$2:$B$451)+SUMIF(Dati!$H$2:$H$451,$H52,Dati!$I$2:$I$451))</f>
        <v>0</v>
      </c>
      <c r="M52" s="5">
        <f>IF($H52="",0,SUMIF(Dati!$A$2:$A$451,$H52,Dati!$D$2:$D$451)+SUMIF(Dati!$H$2:$H$451,$H52,Dati!$K$2:$K$451))</f>
        <v>0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0</v>
      </c>
      <c r="P52" s="5">
        <f>IF($H52="",0,SUMIF(Dati!$A$2:$A$451,$H52,Dati!$F$2:$F$451)+SUMIF(Dati!$H$2:$H$451,$H52,Dati!$M$2:$M$451))</f>
        <v>0</v>
      </c>
      <c r="Q52" s="5">
        <f>IF($H52="",0,SUMIF(Dati!$A$2:$A$451,$H52,Dati!$G$2:$G$451)+SUMIF(Dati!$H$2:$H$451,$H52,Dati!$N$2:$N$451))</f>
        <v>0</v>
      </c>
      <c r="R52" s="5">
        <f t="shared" si="31"/>
        <v>0</v>
      </c>
      <c r="S52" s="5">
        <f t="shared" si="32"/>
        <v>0</v>
      </c>
      <c r="T52" s="5">
        <f t="shared" si="33"/>
        <v>0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/>
      </c>
      <c r="Y52" s="13" t="str">
        <f t="shared" si="37"/>
        <v/>
      </c>
      <c r="Z52" s="13" t="str">
        <f t="shared" si="38"/>
        <v/>
      </c>
      <c r="AA52" s="13" t="str">
        <f t="shared" si="39"/>
        <v/>
      </c>
      <c r="AB52" s="13" t="str">
        <f t="shared" si="40"/>
        <v/>
      </c>
      <c r="AC52" s="13" t="str">
        <f t="shared" si="41"/>
        <v/>
      </c>
      <c r="AD52" s="13" t="str">
        <f t="shared" si="42"/>
        <v/>
      </c>
      <c r="AE52" s="13" t="str">
        <f t="shared" si="43"/>
        <v/>
      </c>
      <c r="AF52" s="13" t="str">
        <f t="shared" si="44"/>
        <v/>
      </c>
      <c r="AG52" s="13" t="str">
        <f t="shared" si="45"/>
        <v/>
      </c>
      <c r="AH52" s="13" t="str">
        <f t="shared" si="46"/>
        <v/>
      </c>
      <c r="AJ52" s="14">
        <f t="shared" si="47"/>
        <v>0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>
        <f t="shared" si="48"/>
        <v>0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>
        <f t="shared" si="49"/>
        <v>0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>
        <f t="shared" si="50"/>
        <v>0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 t="str">
        <f t="shared" si="51"/>
        <v/>
      </c>
    </row>
    <row r="53" spans="2:84" x14ac:dyDescent="0.25">
      <c r="B53" s="5" t="s">
        <v>93</v>
      </c>
      <c r="C53" s="6"/>
      <c r="D53" s="7"/>
      <c r="E53" s="20" t="s">
        <v>84</v>
      </c>
      <c r="G53" s="21" t="str">
        <f t="shared" si="26"/>
        <v/>
      </c>
      <c r="H53" s="10" t="str">
        <f t="shared" si="27"/>
        <v/>
      </c>
      <c r="I53" s="5" t="str">
        <f t="shared" si="28"/>
        <v>|1000000000|0000000000|0000000000|0000000000|</v>
      </c>
      <c r="J53" s="21">
        <f t="shared" si="29"/>
        <v>0</v>
      </c>
      <c r="K53" s="5">
        <f t="shared" si="30"/>
        <v>0</v>
      </c>
      <c r="L53" s="5">
        <f>IF($H53="",0,SUMIF(Dati!$A$2:$A$451,$H53,Dati!$B$2:$B$451)+SUMIF(Dati!$H$2:$H$451,$H53,Dati!$I$2:$I$451))</f>
        <v>0</v>
      </c>
      <c r="M53" s="5">
        <f>IF($H53="",0,SUMIF(Dati!$A$2:$A$451,$H53,Dati!$D$2:$D$451)+SUMIF(Dati!$H$2:$H$451,$H53,Dati!$K$2:$K$451))</f>
        <v>0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0</v>
      </c>
      <c r="P53" s="5">
        <f>IF($H53="",0,SUMIF(Dati!$A$2:$A$451,$H53,Dati!$F$2:$F$451)+SUMIF(Dati!$H$2:$H$451,$H53,Dati!$M$2:$M$451))</f>
        <v>0</v>
      </c>
      <c r="Q53" s="5">
        <f>IF($H53="",0,SUMIF(Dati!$A$2:$A$451,$H53,Dati!$G$2:$G$451)+SUMIF(Dati!$H$2:$H$451,$H53,Dati!$N$2:$N$451))</f>
        <v>0</v>
      </c>
      <c r="R53" s="5">
        <f t="shared" si="31"/>
        <v>0</v>
      </c>
      <c r="S53" s="5">
        <f t="shared" si="32"/>
        <v>0</v>
      </c>
      <c r="T53" s="5">
        <f t="shared" si="33"/>
        <v>0</v>
      </c>
      <c r="U53" s="5" t="str">
        <f t="shared" si="34"/>
        <v>-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/>
      </c>
      <c r="Y53" s="13" t="str">
        <f t="shared" si="37"/>
        <v/>
      </c>
      <c r="Z53" s="13" t="str">
        <f t="shared" si="38"/>
        <v/>
      </c>
      <c r="AA53" s="13" t="str">
        <f t="shared" si="39"/>
        <v/>
      </c>
      <c r="AB53" s="13" t="str">
        <f t="shared" si="40"/>
        <v/>
      </c>
      <c r="AC53" s="13" t="str">
        <f t="shared" si="41"/>
        <v/>
      </c>
      <c r="AD53" s="13" t="str">
        <f t="shared" si="42"/>
        <v/>
      </c>
      <c r="AE53" s="13" t="str">
        <f t="shared" si="43"/>
        <v/>
      </c>
      <c r="AF53" s="13" t="str">
        <f t="shared" si="44"/>
        <v/>
      </c>
      <c r="AG53" s="13" t="str">
        <f t="shared" si="45"/>
        <v/>
      </c>
      <c r="AH53" s="13" t="str">
        <f t="shared" si="46"/>
        <v/>
      </c>
      <c r="AJ53" s="14">
        <f t="shared" si="47"/>
        <v>0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 t="str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-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>
        <f t="shared" si="48"/>
        <v>0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 t="str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>
        <f t="shared" si="49"/>
        <v>0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 t="str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-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>
        <f t="shared" si="50"/>
        <v>0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 t="str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-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 t="str">
        <f t="shared" si="51"/>
        <v/>
      </c>
    </row>
    <row r="54" spans="2:84" x14ac:dyDescent="0.25">
      <c r="B54" s="5" t="s">
        <v>94</v>
      </c>
      <c r="C54" s="6"/>
      <c r="D54" s="7"/>
      <c r="E54" s="22" t="s">
        <v>95</v>
      </c>
      <c r="G54" s="23" t="str">
        <f t="shared" si="26"/>
        <v/>
      </c>
      <c r="H54" s="10" t="str">
        <f t="shared" si="27"/>
        <v/>
      </c>
      <c r="I54" s="5" t="str">
        <f t="shared" si="28"/>
        <v>|1000000000|0000000000|0000000000|0000000000|</v>
      </c>
      <c r="J54" s="23">
        <f t="shared" si="29"/>
        <v>0</v>
      </c>
      <c r="K54" s="5">
        <f t="shared" si="30"/>
        <v>0</v>
      </c>
      <c r="L54" s="5">
        <f>IF($H54="",0,SUMIF(Dati!$A$2:$A$451,$H54,Dati!$B$2:$B$451)+SUMIF(Dati!$H$2:$H$451,$H54,Dati!$I$2:$I$451))</f>
        <v>0</v>
      </c>
      <c r="M54" s="5">
        <f>IF($H54="",0,SUMIF(Dati!$A$2:$A$451,$H54,Dati!$D$2:$D$451)+SUMIF(Dati!$H$2:$H$451,$H54,Dati!$K$2:$K$451))</f>
        <v>0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0</v>
      </c>
      <c r="P54" s="5">
        <f>IF($H54="",0,SUMIF(Dati!$A$2:$A$451,$H54,Dati!$F$2:$F$451)+SUMIF(Dati!$H$2:$H$451,$H54,Dati!$M$2:$M$451))</f>
        <v>0</v>
      </c>
      <c r="Q54" s="5">
        <f>IF($H54="",0,SUMIF(Dati!$A$2:$A$451,$H54,Dati!$G$2:$G$451)+SUMIF(Dati!$H$2:$H$451,$H54,Dati!$N$2:$N$451))</f>
        <v>0</v>
      </c>
      <c r="R54" s="5">
        <f t="shared" si="31"/>
        <v>0</v>
      </c>
      <c r="S54" s="5">
        <f t="shared" si="32"/>
        <v>0</v>
      </c>
      <c r="T54" s="5">
        <f t="shared" si="33"/>
        <v>0</v>
      </c>
      <c r="U54" s="5" t="str">
        <f t="shared" si="34"/>
        <v>-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/>
      </c>
      <c r="Y54" s="13" t="str">
        <f t="shared" si="37"/>
        <v/>
      </c>
      <c r="Z54" s="13" t="str">
        <f t="shared" si="38"/>
        <v/>
      </c>
      <c r="AA54" s="13" t="str">
        <f t="shared" si="39"/>
        <v/>
      </c>
      <c r="AB54" s="13" t="str">
        <f t="shared" si="40"/>
        <v/>
      </c>
      <c r="AC54" s="13" t="str">
        <f t="shared" si="41"/>
        <v/>
      </c>
      <c r="AD54" s="13" t="str">
        <f t="shared" si="42"/>
        <v/>
      </c>
      <c r="AE54" s="13" t="str">
        <f t="shared" si="43"/>
        <v/>
      </c>
      <c r="AF54" s="13" t="str">
        <f t="shared" si="44"/>
        <v/>
      </c>
      <c r="AG54" s="13" t="str">
        <f t="shared" si="45"/>
        <v/>
      </c>
      <c r="AH54" s="13" t="str">
        <f t="shared" si="46"/>
        <v/>
      </c>
      <c r="AJ54" s="14">
        <f t="shared" si="47"/>
        <v>0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 t="str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-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>
        <f t="shared" si="48"/>
        <v>0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 t="str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>
        <f t="shared" si="49"/>
        <v>0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 t="str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-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>
        <f t="shared" si="50"/>
        <v>0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 t="str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-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 t="str">
        <f t="shared" si="51"/>
        <v/>
      </c>
    </row>
    <row r="55" spans="2:84" x14ac:dyDescent="0.25">
      <c r="B55" s="5" t="s">
        <v>96</v>
      </c>
      <c r="C55" s="6"/>
      <c r="D55" s="7"/>
      <c r="E55" s="22" t="s">
        <v>95</v>
      </c>
      <c r="G55" s="23" t="str">
        <f t="shared" si="26"/>
        <v/>
      </c>
      <c r="H55" s="10" t="str">
        <f t="shared" si="27"/>
        <v/>
      </c>
      <c r="I55" s="5" t="str">
        <f t="shared" si="28"/>
        <v>|1000000000|0000000000|0000000000|0000000000|</v>
      </c>
      <c r="J55" s="23">
        <f t="shared" si="29"/>
        <v>0</v>
      </c>
      <c r="K55" s="5">
        <f t="shared" si="30"/>
        <v>0</v>
      </c>
      <c r="L55" s="5">
        <f>IF($H55="",0,SUMIF(Dati!$A$2:$A$451,$H55,Dati!$B$2:$B$451)+SUMIF(Dati!$H$2:$H$451,$H55,Dati!$I$2:$I$451))</f>
        <v>0</v>
      </c>
      <c r="M55" s="5">
        <f>IF($H55="",0,SUMIF(Dati!$A$2:$A$451,$H55,Dati!$D$2:$D$451)+SUMIF(Dati!$H$2:$H$451,$H55,Dati!$K$2:$K$451))</f>
        <v>0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0</v>
      </c>
      <c r="P55" s="5">
        <f>IF($H55="",0,SUMIF(Dati!$A$2:$A$451,$H55,Dati!$F$2:$F$451)+SUMIF(Dati!$H$2:$H$451,$H55,Dati!$M$2:$M$451))</f>
        <v>0</v>
      </c>
      <c r="Q55" s="5">
        <f>IF($H55="",0,SUMIF(Dati!$A$2:$A$451,$H55,Dati!$G$2:$G$451)+SUMIF(Dati!$H$2:$H$451,$H55,Dati!$N$2:$N$451))</f>
        <v>0</v>
      </c>
      <c r="R55" s="5">
        <f t="shared" si="31"/>
        <v>0</v>
      </c>
      <c r="S55" s="5">
        <f t="shared" si="32"/>
        <v>0</v>
      </c>
      <c r="T55" s="5">
        <f t="shared" si="33"/>
        <v>0</v>
      </c>
      <c r="U55" s="5" t="str">
        <f t="shared" si="34"/>
        <v>-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/>
      </c>
      <c r="Y55" s="13" t="str">
        <f t="shared" si="37"/>
        <v/>
      </c>
      <c r="Z55" s="13" t="str">
        <f t="shared" si="38"/>
        <v/>
      </c>
      <c r="AA55" s="13" t="str">
        <f t="shared" si="39"/>
        <v/>
      </c>
      <c r="AB55" s="13" t="str">
        <f t="shared" si="40"/>
        <v/>
      </c>
      <c r="AC55" s="13" t="str">
        <f t="shared" si="41"/>
        <v/>
      </c>
      <c r="AD55" s="13" t="str">
        <f t="shared" si="42"/>
        <v/>
      </c>
      <c r="AE55" s="13" t="str">
        <f t="shared" si="43"/>
        <v/>
      </c>
      <c r="AF55" s="13" t="str">
        <f t="shared" si="44"/>
        <v/>
      </c>
      <c r="AG55" s="13" t="str">
        <f t="shared" si="45"/>
        <v/>
      </c>
      <c r="AH55" s="13" t="str">
        <f t="shared" si="46"/>
        <v/>
      </c>
      <c r="AJ55" s="14">
        <f t="shared" si="47"/>
        <v>0</v>
      </c>
      <c r="AK55" s="15" t="str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-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>
        <f t="shared" si="48"/>
        <v>0</v>
      </c>
      <c r="AW55" s="15" t="str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>
        <f t="shared" si="49"/>
        <v>0</v>
      </c>
      <c r="BI55" s="15" t="str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-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>
        <f t="shared" si="50"/>
        <v>0</v>
      </c>
      <c r="BU55" s="15" t="str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-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 t="str">
        <f t="shared" si="51"/>
        <v/>
      </c>
    </row>
    <row r="56" spans="2:84" x14ac:dyDescent="0.25">
      <c r="B56" s="5" t="s">
        <v>97</v>
      </c>
      <c r="C56" s="6"/>
      <c r="D56" s="7"/>
      <c r="E56" s="22" t="s">
        <v>95</v>
      </c>
      <c r="G56" s="23" t="str">
        <f t="shared" si="26"/>
        <v/>
      </c>
      <c r="H56" s="10" t="str">
        <f t="shared" si="27"/>
        <v/>
      </c>
      <c r="I56" s="5" t="str">
        <f t="shared" si="28"/>
        <v>|1000000000|0000000000|0000000000|0000000000|</v>
      </c>
      <c r="J56" s="23">
        <f t="shared" si="29"/>
        <v>0</v>
      </c>
      <c r="K56" s="5">
        <f t="shared" si="30"/>
        <v>0</v>
      </c>
      <c r="L56" s="5">
        <f>IF($H56="",0,SUMIF(Dati!$A$2:$A$451,$H56,Dati!$B$2:$B$451)+SUMIF(Dati!$H$2:$H$451,$H56,Dati!$I$2:$I$451))</f>
        <v>0</v>
      </c>
      <c r="M56" s="5">
        <f>IF($H56="",0,SUMIF(Dati!$A$2:$A$451,$H56,Dati!$D$2:$D$451)+SUMIF(Dati!$H$2:$H$451,$H56,Dati!$K$2:$K$451))</f>
        <v>0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0</v>
      </c>
      <c r="P56" s="5">
        <f>IF($H56="",0,SUMIF(Dati!$A$2:$A$451,$H56,Dati!$F$2:$F$451)+SUMIF(Dati!$H$2:$H$451,$H56,Dati!$M$2:$M$451))</f>
        <v>0</v>
      </c>
      <c r="Q56" s="5">
        <f>IF($H56="",0,SUMIF(Dati!$A$2:$A$451,$H56,Dati!$G$2:$G$451)+SUMIF(Dati!$H$2:$H$451,$H56,Dati!$N$2:$N$451))</f>
        <v>0</v>
      </c>
      <c r="R56" s="5">
        <f t="shared" si="31"/>
        <v>0</v>
      </c>
      <c r="S56" s="5">
        <f t="shared" si="32"/>
        <v>0</v>
      </c>
      <c r="T56" s="5">
        <f t="shared" si="33"/>
        <v>0</v>
      </c>
      <c r="U56" s="5" t="str">
        <f t="shared" si="34"/>
        <v>-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/>
      </c>
      <c r="Y56" s="13" t="str">
        <f t="shared" si="37"/>
        <v/>
      </c>
      <c r="Z56" s="13" t="str">
        <f t="shared" si="38"/>
        <v/>
      </c>
      <c r="AA56" s="13" t="str">
        <f t="shared" si="39"/>
        <v/>
      </c>
      <c r="AB56" s="13" t="str">
        <f t="shared" si="40"/>
        <v/>
      </c>
      <c r="AC56" s="13" t="str">
        <f t="shared" si="41"/>
        <v/>
      </c>
      <c r="AD56" s="13" t="str">
        <f t="shared" si="42"/>
        <v/>
      </c>
      <c r="AE56" s="13" t="str">
        <f t="shared" si="43"/>
        <v/>
      </c>
      <c r="AF56" s="13" t="str">
        <f t="shared" si="44"/>
        <v/>
      </c>
      <c r="AG56" s="13" t="str">
        <f t="shared" si="45"/>
        <v/>
      </c>
      <c r="AH56" s="13" t="str">
        <f t="shared" si="46"/>
        <v/>
      </c>
      <c r="AJ56" s="14">
        <f t="shared" si="47"/>
        <v>0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 t="str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-</v>
      </c>
      <c r="AO56" s="15" t="str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-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>
        <f t="shared" si="48"/>
        <v>0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 t="str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-</v>
      </c>
      <c r="BA56" s="15" t="str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>
        <f t="shared" si="49"/>
        <v>0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 t="str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-</v>
      </c>
      <c r="BM56" s="15" t="str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-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>
        <f t="shared" si="50"/>
        <v>0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 t="str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-</v>
      </c>
      <c r="BY56" s="15" t="str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-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 t="str">
        <f t="shared" si="51"/>
        <v/>
      </c>
    </row>
    <row r="57" spans="2:84" x14ac:dyDescent="0.25">
      <c r="B57" s="5" t="s">
        <v>98</v>
      </c>
      <c r="C57" s="6"/>
      <c r="D57" s="7"/>
      <c r="E57" s="22" t="s">
        <v>95</v>
      </c>
      <c r="G57" s="23" t="str">
        <f t="shared" si="26"/>
        <v/>
      </c>
      <c r="H57" s="10" t="str">
        <f t="shared" si="27"/>
        <v/>
      </c>
      <c r="I57" s="5" t="str">
        <f t="shared" si="28"/>
        <v>|1000000000|0000000000|0000000000|0000000000|</v>
      </c>
      <c r="J57" s="23">
        <f t="shared" si="29"/>
        <v>0</v>
      </c>
      <c r="K57" s="5">
        <f t="shared" si="30"/>
        <v>0</v>
      </c>
      <c r="L57" s="5">
        <f>IF($H57="",0,SUMIF(Dati!$A$2:$A$451,$H57,Dati!$B$2:$B$451)+SUMIF(Dati!$H$2:$H$451,$H57,Dati!$I$2:$I$451))</f>
        <v>0</v>
      </c>
      <c r="M57" s="5">
        <f>IF($H57="",0,SUMIF(Dati!$A$2:$A$451,$H57,Dati!$D$2:$D$451)+SUMIF(Dati!$H$2:$H$451,$H57,Dati!$K$2:$K$451))</f>
        <v>0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0</v>
      </c>
      <c r="P57" s="5">
        <f>IF($H57="",0,SUMIF(Dati!$A$2:$A$451,$H57,Dati!$F$2:$F$451)+SUMIF(Dati!$H$2:$H$451,$H57,Dati!$M$2:$M$451))</f>
        <v>0</v>
      </c>
      <c r="Q57" s="5">
        <f>IF($H57="",0,SUMIF(Dati!$A$2:$A$451,$H57,Dati!$G$2:$G$451)+SUMIF(Dati!$H$2:$H$451,$H57,Dati!$N$2:$N$451))</f>
        <v>0</v>
      </c>
      <c r="R57" s="5">
        <f t="shared" si="31"/>
        <v>0</v>
      </c>
      <c r="S57" s="5">
        <f t="shared" si="32"/>
        <v>0</v>
      </c>
      <c r="T57" s="5">
        <f t="shared" si="33"/>
        <v>0</v>
      </c>
      <c r="U57" s="5" t="str">
        <f t="shared" si="34"/>
        <v>-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/>
      </c>
      <c r="Y57" s="13" t="str">
        <f t="shared" si="37"/>
        <v/>
      </c>
      <c r="Z57" s="13" t="str">
        <f t="shared" si="38"/>
        <v/>
      </c>
      <c r="AA57" s="13" t="str">
        <f t="shared" si="39"/>
        <v/>
      </c>
      <c r="AB57" s="13" t="str">
        <f t="shared" si="40"/>
        <v/>
      </c>
      <c r="AC57" s="13" t="str">
        <f t="shared" si="41"/>
        <v/>
      </c>
      <c r="AD57" s="13" t="str">
        <f t="shared" si="42"/>
        <v/>
      </c>
      <c r="AE57" s="13" t="str">
        <f t="shared" si="43"/>
        <v/>
      </c>
      <c r="AF57" s="13" t="str">
        <f t="shared" si="44"/>
        <v/>
      </c>
      <c r="AG57" s="13" t="str">
        <f t="shared" si="45"/>
        <v/>
      </c>
      <c r="AH57" s="13" t="str">
        <f t="shared" si="46"/>
        <v/>
      </c>
      <c r="AJ57" s="14">
        <f t="shared" si="47"/>
        <v>0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 t="str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-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 t="str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-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>
        <f t="shared" si="48"/>
        <v>0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 t="str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 t="str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>
        <f t="shared" si="49"/>
        <v>0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 t="str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-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 t="str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-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>
        <f t="shared" si="50"/>
        <v>0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 t="str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-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 t="str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-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 t="str">
        <f t="shared" si="51"/>
        <v/>
      </c>
    </row>
    <row r="58" spans="2:84" x14ac:dyDescent="0.25">
      <c r="B58" s="5" t="s">
        <v>99</v>
      </c>
      <c r="C58" s="6"/>
      <c r="D58" s="7"/>
      <c r="E58" s="22" t="s">
        <v>95</v>
      </c>
      <c r="G58" s="23" t="str">
        <f t="shared" si="26"/>
        <v/>
      </c>
      <c r="H58" s="10" t="str">
        <f t="shared" si="27"/>
        <v/>
      </c>
      <c r="I58" s="5" t="str">
        <f t="shared" si="28"/>
        <v>|1000000000|0000000000|0000000000|0000000000|</v>
      </c>
      <c r="J58" s="23">
        <f t="shared" si="29"/>
        <v>0</v>
      </c>
      <c r="K58" s="5">
        <f t="shared" si="30"/>
        <v>0</v>
      </c>
      <c r="L58" s="5">
        <f>IF($H58="",0,SUMIF(Dati!$A$2:$A$451,$H58,Dati!$B$2:$B$451)+SUMIF(Dati!$H$2:$H$451,$H58,Dati!$I$2:$I$451))</f>
        <v>0</v>
      </c>
      <c r="M58" s="5">
        <f>IF($H58="",0,SUMIF(Dati!$A$2:$A$451,$H58,Dati!$D$2:$D$451)+SUMIF(Dati!$H$2:$H$451,$H58,Dati!$K$2:$K$451))</f>
        <v>0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0</v>
      </c>
      <c r="P58" s="5">
        <f>IF($H58="",0,SUMIF(Dati!$A$2:$A$451,$H58,Dati!$F$2:$F$451)+SUMIF(Dati!$H$2:$H$451,$H58,Dati!$M$2:$M$451))</f>
        <v>0</v>
      </c>
      <c r="Q58" s="5">
        <f>IF($H58="",0,SUMIF(Dati!$A$2:$A$451,$H58,Dati!$G$2:$G$451)+SUMIF(Dati!$H$2:$H$451,$H58,Dati!$N$2:$N$451))</f>
        <v>0</v>
      </c>
      <c r="R58" s="5">
        <f t="shared" si="31"/>
        <v>0</v>
      </c>
      <c r="S58" s="5">
        <f t="shared" si="32"/>
        <v>0</v>
      </c>
      <c r="T58" s="5">
        <f t="shared" si="33"/>
        <v>0</v>
      </c>
      <c r="U58" s="5" t="str">
        <f t="shared" si="34"/>
        <v>-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/>
      </c>
      <c r="Y58" s="13" t="str">
        <f t="shared" si="37"/>
        <v/>
      </c>
      <c r="Z58" s="13" t="str">
        <f t="shared" si="38"/>
        <v/>
      </c>
      <c r="AA58" s="13" t="str">
        <f t="shared" si="39"/>
        <v/>
      </c>
      <c r="AB58" s="13" t="str">
        <f t="shared" si="40"/>
        <v/>
      </c>
      <c r="AC58" s="13" t="str">
        <f t="shared" si="41"/>
        <v/>
      </c>
      <c r="AD58" s="13" t="str">
        <f t="shared" si="42"/>
        <v/>
      </c>
      <c r="AE58" s="13" t="str">
        <f t="shared" si="43"/>
        <v/>
      </c>
      <c r="AF58" s="13" t="str">
        <f t="shared" si="44"/>
        <v/>
      </c>
      <c r="AG58" s="13" t="str">
        <f t="shared" si="45"/>
        <v/>
      </c>
      <c r="AH58" s="13" t="str">
        <f t="shared" si="46"/>
        <v/>
      </c>
      <c r="AJ58" s="14">
        <f t="shared" si="47"/>
        <v>0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 t="str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-</v>
      </c>
      <c r="AN58" s="15" t="str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-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>
        <f t="shared" si="48"/>
        <v>0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 t="str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5" t="str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>
        <f t="shared" si="49"/>
        <v>0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 t="str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-</v>
      </c>
      <c r="BL58" s="15" t="str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-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>
        <f t="shared" si="50"/>
        <v>0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 t="str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-</v>
      </c>
      <c r="BX58" s="15" t="str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-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 t="str">
        <f t="shared" si="51"/>
        <v/>
      </c>
    </row>
    <row r="59" spans="2:84" x14ac:dyDescent="0.25">
      <c r="B59" s="5" t="s">
        <v>100</v>
      </c>
      <c r="C59" s="6"/>
      <c r="D59" s="7"/>
      <c r="E59" s="22" t="s">
        <v>95</v>
      </c>
      <c r="G59" s="23" t="str">
        <f t="shared" si="26"/>
        <v/>
      </c>
      <c r="H59" s="10" t="str">
        <f t="shared" si="27"/>
        <v/>
      </c>
      <c r="I59" s="5" t="str">
        <f t="shared" si="28"/>
        <v>|1000000000|0000000000|0000000000|0000000000|</v>
      </c>
      <c r="J59" s="23">
        <f t="shared" si="29"/>
        <v>0</v>
      </c>
      <c r="K59" s="5">
        <f t="shared" si="30"/>
        <v>0</v>
      </c>
      <c r="L59" s="5">
        <f>IF($H59="",0,SUMIF(Dati!$A$2:$A$451,$H59,Dati!$B$2:$B$451)+SUMIF(Dati!$H$2:$H$451,$H59,Dati!$I$2:$I$451))</f>
        <v>0</v>
      </c>
      <c r="M59" s="5">
        <f>IF($H59="",0,SUMIF(Dati!$A$2:$A$451,$H59,Dati!$D$2:$D$451)+SUMIF(Dati!$H$2:$H$451,$H59,Dati!$K$2:$K$451))</f>
        <v>0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0</v>
      </c>
      <c r="P59" s="5">
        <f>IF($H59="",0,SUMIF(Dati!$A$2:$A$451,$H59,Dati!$F$2:$F$451)+SUMIF(Dati!$H$2:$H$451,$H59,Dati!$M$2:$M$451))</f>
        <v>0</v>
      </c>
      <c r="Q59" s="5">
        <f>IF($H59="",0,SUMIF(Dati!$A$2:$A$451,$H59,Dati!$G$2:$G$451)+SUMIF(Dati!$H$2:$H$451,$H59,Dati!$N$2:$N$451))</f>
        <v>0</v>
      </c>
      <c r="R59" s="5">
        <f t="shared" si="31"/>
        <v>0</v>
      </c>
      <c r="S59" s="5">
        <f t="shared" si="32"/>
        <v>0</v>
      </c>
      <c r="T59" s="5">
        <f t="shared" si="33"/>
        <v>0</v>
      </c>
      <c r="U59" s="5" t="str">
        <f t="shared" si="34"/>
        <v>-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/>
      </c>
      <c r="Y59" s="13" t="str">
        <f t="shared" si="37"/>
        <v/>
      </c>
      <c r="Z59" s="13" t="str">
        <f t="shared" si="38"/>
        <v/>
      </c>
      <c r="AA59" s="13" t="str">
        <f t="shared" si="39"/>
        <v/>
      </c>
      <c r="AB59" s="13" t="str">
        <f t="shared" si="40"/>
        <v/>
      </c>
      <c r="AC59" s="13" t="str">
        <f t="shared" si="41"/>
        <v/>
      </c>
      <c r="AD59" s="13" t="str">
        <f t="shared" si="42"/>
        <v/>
      </c>
      <c r="AE59" s="13" t="str">
        <f t="shared" si="43"/>
        <v/>
      </c>
      <c r="AF59" s="13" t="str">
        <f t="shared" si="44"/>
        <v/>
      </c>
      <c r="AG59" s="13" t="str">
        <f t="shared" si="45"/>
        <v/>
      </c>
      <c r="AH59" s="13" t="str">
        <f t="shared" si="46"/>
        <v/>
      </c>
      <c r="AJ59" s="14">
        <f t="shared" si="47"/>
        <v>0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 t="str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-</v>
      </c>
      <c r="AV59" s="14">
        <f t="shared" si="48"/>
        <v>0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 t="str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4">
        <f t="shared" si="49"/>
        <v>0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 t="str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-</v>
      </c>
      <c r="BT59" s="14">
        <f t="shared" si="50"/>
        <v>0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 t="str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-</v>
      </c>
      <c r="CF59" s="15" t="str">
        <f t="shared" si="51"/>
        <v/>
      </c>
    </row>
    <row r="60" spans="2:84" x14ac:dyDescent="0.25">
      <c r="B60" s="5" t="s">
        <v>101</v>
      </c>
      <c r="C60" s="6"/>
      <c r="D60" s="7"/>
      <c r="E60" s="22" t="s">
        <v>95</v>
      </c>
      <c r="G60" s="23" t="str">
        <f t="shared" si="26"/>
        <v/>
      </c>
      <c r="H60" s="10" t="str">
        <f t="shared" si="27"/>
        <v/>
      </c>
      <c r="I60" s="5" t="str">
        <f t="shared" si="28"/>
        <v>|1000000000|0000000000|0000000000|0000000000|</v>
      </c>
      <c r="J60" s="23">
        <f t="shared" si="29"/>
        <v>0</v>
      </c>
      <c r="K60" s="5">
        <f t="shared" si="30"/>
        <v>0</v>
      </c>
      <c r="L60" s="5">
        <f>IF($H60="",0,SUMIF(Dati!$A$2:$A$451,$H60,Dati!$B$2:$B$451)+SUMIF(Dati!$H$2:$H$451,$H60,Dati!$I$2:$I$451))</f>
        <v>0</v>
      </c>
      <c r="M60" s="5">
        <f>IF($H60="",0,SUMIF(Dati!$A$2:$A$451,$H60,Dati!$D$2:$D$451)+SUMIF(Dati!$H$2:$H$451,$H60,Dati!$K$2:$K$451))</f>
        <v>0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0</v>
      </c>
      <c r="P60" s="5">
        <f>IF($H60="",0,SUMIF(Dati!$A$2:$A$451,$H60,Dati!$F$2:$F$451)+SUMIF(Dati!$H$2:$H$451,$H60,Dati!$M$2:$M$451))</f>
        <v>0</v>
      </c>
      <c r="Q60" s="5">
        <f>IF($H60="",0,SUMIF(Dati!$A$2:$A$451,$H60,Dati!$G$2:$G$451)+SUMIF(Dati!$H$2:$H$451,$H60,Dati!$N$2:$N$451))</f>
        <v>0</v>
      </c>
      <c r="R60" s="5">
        <f t="shared" si="31"/>
        <v>0</v>
      </c>
      <c r="S60" s="5">
        <f t="shared" si="32"/>
        <v>0</v>
      </c>
      <c r="T60" s="5">
        <f t="shared" si="33"/>
        <v>0</v>
      </c>
      <c r="U60" s="5" t="str">
        <f t="shared" si="34"/>
        <v>-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/>
      </c>
      <c r="Y60" s="13" t="str">
        <f t="shared" si="37"/>
        <v/>
      </c>
      <c r="Z60" s="13" t="str">
        <f t="shared" si="38"/>
        <v/>
      </c>
      <c r="AA60" s="13" t="str">
        <f t="shared" si="39"/>
        <v/>
      </c>
      <c r="AB60" s="13" t="str">
        <f t="shared" si="40"/>
        <v/>
      </c>
      <c r="AC60" s="13" t="str">
        <f t="shared" si="41"/>
        <v/>
      </c>
      <c r="AD60" s="13" t="str">
        <f t="shared" si="42"/>
        <v/>
      </c>
      <c r="AE60" s="13" t="str">
        <f t="shared" si="43"/>
        <v/>
      </c>
      <c r="AF60" s="13" t="str">
        <f t="shared" si="44"/>
        <v/>
      </c>
      <c r="AG60" s="13" t="str">
        <f t="shared" si="45"/>
        <v/>
      </c>
      <c r="AH60" s="13" t="str">
        <f t="shared" si="46"/>
        <v/>
      </c>
      <c r="AJ60" s="14">
        <f t="shared" si="47"/>
        <v>0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 t="str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-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>
        <f t="shared" si="48"/>
        <v>0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 t="str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>
        <f t="shared" si="49"/>
        <v>0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 t="str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-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>
        <f t="shared" si="50"/>
        <v>0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 t="str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-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 t="str">
        <f t="shared" si="51"/>
        <v/>
      </c>
    </row>
    <row r="61" spans="2:84" x14ac:dyDescent="0.25">
      <c r="B61" s="5" t="s">
        <v>102</v>
      </c>
      <c r="C61" s="6"/>
      <c r="D61" s="7"/>
      <c r="E61" s="22" t="s">
        <v>95</v>
      </c>
      <c r="G61" s="23" t="str">
        <f t="shared" si="26"/>
        <v/>
      </c>
      <c r="H61" s="10" t="str">
        <f t="shared" si="27"/>
        <v/>
      </c>
      <c r="I61" s="5" t="str">
        <f t="shared" si="28"/>
        <v>|1000000000|0000000000|0000000000|0000000000|</v>
      </c>
      <c r="J61" s="23">
        <f t="shared" si="29"/>
        <v>0</v>
      </c>
      <c r="K61" s="5">
        <f t="shared" si="30"/>
        <v>0</v>
      </c>
      <c r="L61" s="5">
        <f>IF($H61="",0,SUMIF(Dati!$A$2:$A$451,$H61,Dati!$B$2:$B$451)+SUMIF(Dati!$H$2:$H$451,$H61,Dati!$I$2:$I$451))</f>
        <v>0</v>
      </c>
      <c r="M61" s="5">
        <f>IF($H61="",0,SUMIF(Dati!$A$2:$A$451,$H61,Dati!$D$2:$D$451)+SUMIF(Dati!$H$2:$H$451,$H61,Dati!$K$2:$K$451))</f>
        <v>0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0</v>
      </c>
      <c r="P61" s="5">
        <f>IF($H61="",0,SUMIF(Dati!$A$2:$A$451,$H61,Dati!$F$2:$F$451)+SUMIF(Dati!$H$2:$H$451,$H61,Dati!$M$2:$M$451))</f>
        <v>0</v>
      </c>
      <c r="Q61" s="5">
        <f>IF($H61="",0,SUMIF(Dati!$A$2:$A$451,$H61,Dati!$G$2:$G$451)+SUMIF(Dati!$H$2:$H$451,$H61,Dati!$N$2:$N$451))</f>
        <v>0</v>
      </c>
      <c r="R61" s="5">
        <f t="shared" si="31"/>
        <v>0</v>
      </c>
      <c r="S61" s="5">
        <f t="shared" si="32"/>
        <v>0</v>
      </c>
      <c r="T61" s="5">
        <f t="shared" si="33"/>
        <v>0</v>
      </c>
      <c r="U61" s="5" t="str">
        <f t="shared" si="34"/>
        <v>-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/>
      </c>
      <c r="Y61" s="13" t="str">
        <f t="shared" si="37"/>
        <v/>
      </c>
      <c r="Z61" s="13" t="str">
        <f t="shared" si="38"/>
        <v/>
      </c>
      <c r="AA61" s="13" t="str">
        <f t="shared" si="39"/>
        <v/>
      </c>
      <c r="AB61" s="13" t="str">
        <f t="shared" si="40"/>
        <v/>
      </c>
      <c r="AC61" s="13" t="str">
        <f t="shared" si="41"/>
        <v/>
      </c>
      <c r="AD61" s="13" t="str">
        <f t="shared" si="42"/>
        <v/>
      </c>
      <c r="AE61" s="13" t="str">
        <f t="shared" si="43"/>
        <v/>
      </c>
      <c r="AF61" s="13" t="str">
        <f t="shared" si="44"/>
        <v/>
      </c>
      <c r="AG61" s="13" t="str">
        <f t="shared" si="45"/>
        <v/>
      </c>
      <c r="AH61" s="13" t="str">
        <f t="shared" si="46"/>
        <v/>
      </c>
      <c r="AJ61" s="14">
        <f t="shared" si="47"/>
        <v>0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 t="str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-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>
        <f t="shared" si="48"/>
        <v>0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 t="str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>
        <f t="shared" si="49"/>
        <v>0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 t="str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-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>
        <f t="shared" si="50"/>
        <v>0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 t="str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-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 t="str">
        <f t="shared" si="51"/>
        <v/>
      </c>
    </row>
    <row r="62" spans="2:84" x14ac:dyDescent="0.25">
      <c r="B62" s="5" t="s">
        <v>103</v>
      </c>
      <c r="C62" s="6"/>
      <c r="D62" s="7"/>
      <c r="E62" s="22" t="s">
        <v>95</v>
      </c>
      <c r="G62" s="23" t="str">
        <f t="shared" si="26"/>
        <v/>
      </c>
      <c r="H62" s="10" t="str">
        <f t="shared" si="27"/>
        <v/>
      </c>
      <c r="I62" s="5" t="str">
        <f t="shared" si="28"/>
        <v>|1000000000|0000000000|0000000000|0000000000|</v>
      </c>
      <c r="J62" s="23">
        <f t="shared" si="29"/>
        <v>0</v>
      </c>
      <c r="K62" s="5">
        <f t="shared" si="30"/>
        <v>0</v>
      </c>
      <c r="L62" s="5">
        <f>IF($H62="",0,SUMIF(Dati!$A$2:$A$451,$H62,Dati!$B$2:$B$451)+SUMIF(Dati!$H$2:$H$451,$H62,Dati!$I$2:$I$451))</f>
        <v>0</v>
      </c>
      <c r="M62" s="5">
        <f>IF($H62="",0,SUMIF(Dati!$A$2:$A$451,$H62,Dati!$D$2:$D$451)+SUMIF(Dati!$H$2:$H$451,$H62,Dati!$K$2:$K$451))</f>
        <v>0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0</v>
      </c>
      <c r="P62" s="5">
        <f>IF($H62="",0,SUMIF(Dati!$A$2:$A$451,$H62,Dati!$F$2:$F$451)+SUMIF(Dati!$H$2:$H$451,$H62,Dati!$M$2:$M$451))</f>
        <v>0</v>
      </c>
      <c r="Q62" s="5">
        <f>IF($H62="",0,SUMIF(Dati!$A$2:$A$451,$H62,Dati!$G$2:$G$451)+SUMIF(Dati!$H$2:$H$451,$H62,Dati!$N$2:$N$451))</f>
        <v>0</v>
      </c>
      <c r="R62" s="5">
        <f t="shared" si="31"/>
        <v>0</v>
      </c>
      <c r="S62" s="5">
        <f t="shared" si="32"/>
        <v>0</v>
      </c>
      <c r="T62" s="5">
        <f t="shared" si="33"/>
        <v>0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/>
      </c>
      <c r="Y62" s="13" t="str">
        <f t="shared" si="37"/>
        <v/>
      </c>
      <c r="Z62" s="13" t="str">
        <f t="shared" si="38"/>
        <v/>
      </c>
      <c r="AA62" s="13" t="str">
        <f t="shared" si="39"/>
        <v/>
      </c>
      <c r="AB62" s="13" t="str">
        <f t="shared" si="40"/>
        <v/>
      </c>
      <c r="AC62" s="13" t="str">
        <f t="shared" si="41"/>
        <v/>
      </c>
      <c r="AD62" s="13" t="str">
        <f t="shared" si="42"/>
        <v/>
      </c>
      <c r="AE62" s="13" t="str">
        <f t="shared" si="43"/>
        <v/>
      </c>
      <c r="AF62" s="13" t="str">
        <f t="shared" si="44"/>
        <v/>
      </c>
      <c r="AG62" s="13" t="str">
        <f t="shared" si="45"/>
        <v/>
      </c>
      <c r="AH62" s="13" t="str">
        <f t="shared" si="46"/>
        <v/>
      </c>
      <c r="AJ62" s="14">
        <f t="shared" si="47"/>
        <v>0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>
        <f t="shared" si="48"/>
        <v>0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>
        <f t="shared" si="49"/>
        <v>0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>
        <f t="shared" si="50"/>
        <v>0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 t="str">
        <f t="shared" si="51"/>
        <v/>
      </c>
    </row>
    <row r="63" spans="2:84" x14ac:dyDescent="0.25">
      <c r="B63" s="5" t="s">
        <v>104</v>
      </c>
      <c r="C63" s="6"/>
      <c r="D63" s="7"/>
      <c r="E63" s="22" t="s">
        <v>95</v>
      </c>
      <c r="G63" s="23" t="str">
        <f t="shared" si="26"/>
        <v/>
      </c>
      <c r="H63" s="10" t="str">
        <f t="shared" si="27"/>
        <v/>
      </c>
      <c r="I63" s="5" t="str">
        <f t="shared" si="28"/>
        <v>|1000000000|0000000000|0000000000|0000000000|</v>
      </c>
      <c r="J63" s="23">
        <f t="shared" si="29"/>
        <v>0</v>
      </c>
      <c r="K63" s="5">
        <f t="shared" si="30"/>
        <v>0</v>
      </c>
      <c r="L63" s="5">
        <f>IF($H63="",0,SUMIF(Dati!$A$2:$A$451,$H63,Dati!$B$2:$B$451)+SUMIF(Dati!$H$2:$H$451,$H63,Dati!$I$2:$I$451))</f>
        <v>0</v>
      </c>
      <c r="M63" s="5">
        <f>IF($H63="",0,SUMIF(Dati!$A$2:$A$451,$H63,Dati!$D$2:$D$451)+SUMIF(Dati!$H$2:$H$451,$H63,Dati!$K$2:$K$451))</f>
        <v>0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0</v>
      </c>
      <c r="P63" s="5">
        <f>IF($H63="",0,SUMIF(Dati!$A$2:$A$451,$H63,Dati!$F$2:$F$451)+SUMIF(Dati!$H$2:$H$451,$H63,Dati!$M$2:$M$451))</f>
        <v>0</v>
      </c>
      <c r="Q63" s="5">
        <f>IF($H63="",0,SUMIF(Dati!$A$2:$A$451,$H63,Dati!$G$2:$G$451)+SUMIF(Dati!$H$2:$H$451,$H63,Dati!$N$2:$N$451))</f>
        <v>0</v>
      </c>
      <c r="R63" s="5">
        <f t="shared" si="31"/>
        <v>0</v>
      </c>
      <c r="S63" s="5">
        <f t="shared" si="32"/>
        <v>0</v>
      </c>
      <c r="T63" s="5">
        <f t="shared" si="33"/>
        <v>0</v>
      </c>
      <c r="U63" s="5" t="str">
        <f t="shared" si="34"/>
        <v>-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/>
      </c>
      <c r="Y63" s="13" t="str">
        <f t="shared" si="37"/>
        <v/>
      </c>
      <c r="Z63" s="13" t="str">
        <f t="shared" si="38"/>
        <v/>
      </c>
      <c r="AA63" s="13" t="str">
        <f t="shared" si="39"/>
        <v/>
      </c>
      <c r="AB63" s="13" t="str">
        <f t="shared" si="40"/>
        <v/>
      </c>
      <c r="AC63" s="13" t="str">
        <f t="shared" si="41"/>
        <v/>
      </c>
      <c r="AD63" s="13" t="str">
        <f t="shared" si="42"/>
        <v/>
      </c>
      <c r="AE63" s="13" t="str">
        <f t="shared" si="43"/>
        <v/>
      </c>
      <c r="AF63" s="13" t="str">
        <f t="shared" si="44"/>
        <v/>
      </c>
      <c r="AG63" s="13" t="str">
        <f t="shared" si="45"/>
        <v/>
      </c>
      <c r="AH63" s="13" t="str">
        <f t="shared" si="46"/>
        <v/>
      </c>
      <c r="AJ63" s="14">
        <f t="shared" si="47"/>
        <v>0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 t="str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-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>
        <f t="shared" si="48"/>
        <v>0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 t="str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>
        <f t="shared" si="49"/>
        <v>0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 t="str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-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>
        <f t="shared" si="50"/>
        <v>0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 t="str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-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 t="str">
        <f t="shared" si="51"/>
        <v/>
      </c>
    </row>
    <row r="64" spans="2:84" x14ac:dyDescent="0.25">
      <c r="B64" s="5" t="s">
        <v>105</v>
      </c>
      <c r="C64" s="6"/>
      <c r="D64" s="7"/>
      <c r="E64" s="24" t="s">
        <v>106</v>
      </c>
      <c r="G64" s="25" t="str">
        <f t="shared" si="26"/>
        <v/>
      </c>
      <c r="H64" s="10" t="str">
        <f t="shared" si="27"/>
        <v/>
      </c>
      <c r="I64" s="5" t="str">
        <f t="shared" si="28"/>
        <v>|1000000000|0000000000|0000000000|0000000000|</v>
      </c>
      <c r="J64" s="25">
        <f t="shared" si="29"/>
        <v>0</v>
      </c>
      <c r="K64" s="5">
        <f t="shared" si="30"/>
        <v>0</v>
      </c>
      <c r="L64" s="5">
        <f>IF($H64="",0,SUMIF(Dati!$A$2:$A$451,$H64,Dati!$B$2:$B$451)+SUMIF(Dati!$H$2:$H$451,$H64,Dati!$I$2:$I$451))</f>
        <v>0</v>
      </c>
      <c r="M64" s="5">
        <f>IF($H64="",0,SUMIF(Dati!$A$2:$A$451,$H64,Dati!$D$2:$D$451)+SUMIF(Dati!$H$2:$H$451,$H64,Dati!$K$2:$K$451))</f>
        <v>0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0</v>
      </c>
      <c r="P64" s="5">
        <f>IF($H64="",0,SUMIF(Dati!$A$2:$A$451,$H64,Dati!$F$2:$F$451)+SUMIF(Dati!$H$2:$H$451,$H64,Dati!$M$2:$M$451))</f>
        <v>0</v>
      </c>
      <c r="Q64" s="5">
        <f>IF($H64="",0,SUMIF(Dati!$A$2:$A$451,$H64,Dati!$G$2:$G$451)+SUMIF(Dati!$H$2:$H$451,$H64,Dati!$N$2:$N$451))</f>
        <v>0</v>
      </c>
      <c r="R64" s="5">
        <f t="shared" si="31"/>
        <v>0</v>
      </c>
      <c r="S64" s="5">
        <f t="shared" si="32"/>
        <v>0</v>
      </c>
      <c r="T64" s="5">
        <f t="shared" si="33"/>
        <v>0</v>
      </c>
      <c r="U64" s="5" t="str">
        <f t="shared" si="34"/>
        <v>-</v>
      </c>
      <c r="V64" s="11" t="str">
        <f t="shared" si="35"/>
        <v>-</v>
      </c>
      <c r="W64" s="11" t="str">
        <f t="shared" si="36"/>
        <v>-</v>
      </c>
      <c r="X64" s="12" t="str">
        <f>IF($C64="","",$E64&amp;"#"&amp;COUNTIFS($E$14:$E64,$E64,$C$14:$C64,"&lt;&gt;"))</f>
        <v/>
      </c>
      <c r="Y64" s="13" t="str">
        <f t="shared" si="37"/>
        <v/>
      </c>
      <c r="Z64" s="13" t="str">
        <f t="shared" si="38"/>
        <v/>
      </c>
      <c r="AA64" s="13" t="str">
        <f t="shared" si="39"/>
        <v/>
      </c>
      <c r="AB64" s="13" t="str">
        <f t="shared" si="40"/>
        <v/>
      </c>
      <c r="AC64" s="13" t="str">
        <f t="shared" si="41"/>
        <v/>
      </c>
      <c r="AD64" s="13" t="str">
        <f t="shared" si="42"/>
        <v/>
      </c>
      <c r="AE64" s="13" t="str">
        <f t="shared" si="43"/>
        <v/>
      </c>
      <c r="AF64" s="13" t="str">
        <f t="shared" si="44"/>
        <v/>
      </c>
      <c r="AG64" s="13" t="str">
        <f t="shared" si="45"/>
        <v/>
      </c>
      <c r="AH64" s="13" t="str">
        <f t="shared" si="46"/>
        <v/>
      </c>
      <c r="AJ64" s="14">
        <f t="shared" si="47"/>
        <v>0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 t="str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-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 t="str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-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>
        <f t="shared" si="48"/>
        <v>0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 t="str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 t="str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-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>
        <f t="shared" si="49"/>
        <v>0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 t="str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-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 t="str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-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>
        <f t="shared" si="50"/>
        <v>0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 t="str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-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 t="str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-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 t="str">
        <f t="shared" si="51"/>
        <v/>
      </c>
    </row>
    <row r="65" spans="2:84" x14ac:dyDescent="0.25">
      <c r="B65" s="5" t="s">
        <v>107</v>
      </c>
      <c r="C65" s="6"/>
      <c r="D65" s="7"/>
      <c r="E65" s="24" t="s">
        <v>106</v>
      </c>
      <c r="G65" s="25" t="str">
        <f t="shared" si="26"/>
        <v/>
      </c>
      <c r="H65" s="10" t="str">
        <f t="shared" si="27"/>
        <v/>
      </c>
      <c r="I65" s="5" t="str">
        <f t="shared" si="28"/>
        <v>|1000000000|0000000000|0000000000|0000000000|</v>
      </c>
      <c r="J65" s="25">
        <f t="shared" si="29"/>
        <v>0</v>
      </c>
      <c r="K65" s="5">
        <f t="shared" si="30"/>
        <v>0</v>
      </c>
      <c r="L65" s="5">
        <f>IF($H65="",0,SUMIF(Dati!$A$2:$A$451,$H65,Dati!$B$2:$B$451)+SUMIF(Dati!$H$2:$H$451,$H65,Dati!$I$2:$I$451))</f>
        <v>0</v>
      </c>
      <c r="M65" s="5">
        <f>IF($H65="",0,SUMIF(Dati!$A$2:$A$451,$H65,Dati!$D$2:$D$451)+SUMIF(Dati!$H$2:$H$451,$H65,Dati!$K$2:$K$451))</f>
        <v>0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0</v>
      </c>
      <c r="P65" s="5">
        <f>IF($H65="",0,SUMIF(Dati!$A$2:$A$451,$H65,Dati!$F$2:$F$451)+SUMIF(Dati!$H$2:$H$451,$H65,Dati!$M$2:$M$451))</f>
        <v>0</v>
      </c>
      <c r="Q65" s="5">
        <f>IF($H65="",0,SUMIF(Dati!$A$2:$A$451,$H65,Dati!$G$2:$G$451)+SUMIF(Dati!$H$2:$H$451,$H65,Dati!$N$2:$N$451))</f>
        <v>0</v>
      </c>
      <c r="R65" s="5">
        <f t="shared" si="31"/>
        <v>0</v>
      </c>
      <c r="S65" s="5">
        <f t="shared" si="32"/>
        <v>0</v>
      </c>
      <c r="T65" s="5">
        <f t="shared" si="33"/>
        <v>0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/>
      </c>
      <c r="Y65" s="13" t="str">
        <f t="shared" si="37"/>
        <v/>
      </c>
      <c r="Z65" s="13" t="str">
        <f t="shared" si="38"/>
        <v/>
      </c>
      <c r="AA65" s="13" t="str">
        <f t="shared" si="39"/>
        <v/>
      </c>
      <c r="AB65" s="13" t="str">
        <f t="shared" si="40"/>
        <v/>
      </c>
      <c r="AC65" s="13" t="str">
        <f t="shared" si="41"/>
        <v/>
      </c>
      <c r="AD65" s="13" t="str">
        <f t="shared" si="42"/>
        <v/>
      </c>
      <c r="AE65" s="13" t="str">
        <f t="shared" si="43"/>
        <v/>
      </c>
      <c r="AF65" s="13" t="str">
        <f t="shared" si="44"/>
        <v/>
      </c>
      <c r="AG65" s="13" t="str">
        <f t="shared" si="45"/>
        <v/>
      </c>
      <c r="AH65" s="13" t="str">
        <f t="shared" si="46"/>
        <v/>
      </c>
      <c r="AJ65" s="14">
        <f t="shared" si="47"/>
        <v>0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>
        <f t="shared" si="48"/>
        <v>0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>
        <f t="shared" si="49"/>
        <v>0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>
        <f t="shared" si="50"/>
        <v>0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 t="str">
        <f t="shared" si="51"/>
        <v/>
      </c>
    </row>
    <row r="66" spans="2:84" x14ac:dyDescent="0.25">
      <c r="B66" s="5" t="s">
        <v>108</v>
      </c>
      <c r="C66" s="6"/>
      <c r="D66" s="7"/>
      <c r="E66" s="24" t="s">
        <v>106</v>
      </c>
      <c r="G66" s="25" t="str">
        <f t="shared" si="26"/>
        <v/>
      </c>
      <c r="H66" s="10" t="str">
        <f t="shared" si="27"/>
        <v/>
      </c>
      <c r="I66" s="5" t="str">
        <f t="shared" si="28"/>
        <v>|1000000000|0000000000|0000000000|0000000000|</v>
      </c>
      <c r="J66" s="25">
        <f t="shared" si="29"/>
        <v>0</v>
      </c>
      <c r="K66" s="5">
        <f t="shared" si="30"/>
        <v>0</v>
      </c>
      <c r="L66" s="5">
        <f>IF($H66="",0,SUMIF(Dati!$A$2:$A$451,$H66,Dati!$B$2:$B$451)+SUMIF(Dati!$H$2:$H$451,$H66,Dati!$I$2:$I$451))</f>
        <v>0</v>
      </c>
      <c r="M66" s="5">
        <f>IF($H66="",0,SUMIF(Dati!$A$2:$A$451,$H66,Dati!$D$2:$D$451)+SUMIF(Dati!$H$2:$H$451,$H66,Dati!$K$2:$K$451))</f>
        <v>0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0</v>
      </c>
      <c r="P66" s="5">
        <f>IF($H66="",0,SUMIF(Dati!$A$2:$A$451,$H66,Dati!$F$2:$F$451)+SUMIF(Dati!$H$2:$H$451,$H66,Dati!$M$2:$M$451))</f>
        <v>0</v>
      </c>
      <c r="Q66" s="5">
        <f>IF($H66="",0,SUMIF(Dati!$A$2:$A$451,$H66,Dati!$G$2:$G$451)+SUMIF(Dati!$H$2:$H$451,$H66,Dati!$N$2:$N$451))</f>
        <v>0</v>
      </c>
      <c r="R66" s="5">
        <f t="shared" si="31"/>
        <v>0</v>
      </c>
      <c r="S66" s="5">
        <f t="shared" si="32"/>
        <v>0</v>
      </c>
      <c r="T66" s="5">
        <f t="shared" si="33"/>
        <v>0</v>
      </c>
      <c r="U66" s="5" t="str">
        <f t="shared" si="34"/>
        <v>-</v>
      </c>
      <c r="V66" s="11" t="str">
        <f t="shared" si="35"/>
        <v>-</v>
      </c>
      <c r="W66" s="11" t="str">
        <f t="shared" si="36"/>
        <v>-</v>
      </c>
      <c r="X66" s="12" t="str">
        <f>IF($C66="","",$E66&amp;"#"&amp;COUNTIFS($E$14:$E66,$E66,$C$14:$C66,"&lt;&gt;"))</f>
        <v/>
      </c>
      <c r="Y66" s="13" t="str">
        <f t="shared" si="37"/>
        <v/>
      </c>
      <c r="Z66" s="13" t="str">
        <f t="shared" si="38"/>
        <v/>
      </c>
      <c r="AA66" s="13" t="str">
        <f t="shared" si="39"/>
        <v/>
      </c>
      <c r="AB66" s="13" t="str">
        <f t="shared" si="40"/>
        <v/>
      </c>
      <c r="AC66" s="13" t="str">
        <f t="shared" si="41"/>
        <v/>
      </c>
      <c r="AD66" s="13" t="str">
        <f t="shared" si="42"/>
        <v/>
      </c>
      <c r="AE66" s="13" t="str">
        <f t="shared" si="43"/>
        <v/>
      </c>
      <c r="AF66" s="13" t="str">
        <f t="shared" si="44"/>
        <v/>
      </c>
      <c r="AG66" s="13" t="str">
        <f t="shared" si="45"/>
        <v/>
      </c>
      <c r="AH66" s="13" t="str">
        <f t="shared" si="46"/>
        <v/>
      </c>
      <c r="AJ66" s="14">
        <f t="shared" si="47"/>
        <v>0</v>
      </c>
      <c r="AK66" s="15" t="str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-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 t="str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-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>
        <f t="shared" si="48"/>
        <v>0</v>
      </c>
      <c r="AW66" s="15" t="str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 t="str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>
        <f t="shared" si="49"/>
        <v>0</v>
      </c>
      <c r="BI66" s="15" t="str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-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 t="str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-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>
        <f t="shared" si="50"/>
        <v>0</v>
      </c>
      <c r="BU66" s="15" t="str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-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 t="str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-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 t="str">
        <f t="shared" si="51"/>
        <v/>
      </c>
    </row>
    <row r="67" spans="2:84" x14ac:dyDescent="0.25">
      <c r="B67" s="5" t="s">
        <v>109</v>
      </c>
      <c r="C67" s="6"/>
      <c r="D67" s="7"/>
      <c r="E67" s="24" t="s">
        <v>106</v>
      </c>
      <c r="G67" s="25" t="str">
        <f t="shared" si="26"/>
        <v/>
      </c>
      <c r="H67" s="10" t="str">
        <f t="shared" si="27"/>
        <v/>
      </c>
      <c r="I67" s="5" t="str">
        <f t="shared" si="28"/>
        <v>|1000000000|0000000000|0000000000|0000000000|</v>
      </c>
      <c r="J67" s="25">
        <f t="shared" si="29"/>
        <v>0</v>
      </c>
      <c r="K67" s="5">
        <f t="shared" si="30"/>
        <v>0</v>
      </c>
      <c r="L67" s="5">
        <f>IF($H67="",0,SUMIF(Dati!$A$2:$A$451,$H67,Dati!$B$2:$B$451)+SUMIF(Dati!$H$2:$H$451,$H67,Dati!$I$2:$I$451))</f>
        <v>0</v>
      </c>
      <c r="M67" s="5">
        <f>IF($H67="",0,SUMIF(Dati!$A$2:$A$451,$H67,Dati!$D$2:$D$451)+SUMIF(Dati!$H$2:$H$451,$H67,Dati!$K$2:$K$451))</f>
        <v>0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0</v>
      </c>
      <c r="P67" s="5">
        <f>IF($H67="",0,SUMIF(Dati!$A$2:$A$451,$H67,Dati!$F$2:$F$451)+SUMIF(Dati!$H$2:$H$451,$H67,Dati!$M$2:$M$451))</f>
        <v>0</v>
      </c>
      <c r="Q67" s="5">
        <f>IF($H67="",0,SUMIF(Dati!$A$2:$A$451,$H67,Dati!$G$2:$G$451)+SUMIF(Dati!$H$2:$H$451,$H67,Dati!$N$2:$N$451))</f>
        <v>0</v>
      </c>
      <c r="R67" s="5">
        <f t="shared" si="31"/>
        <v>0</v>
      </c>
      <c r="S67" s="5">
        <f t="shared" si="32"/>
        <v>0</v>
      </c>
      <c r="T67" s="5">
        <f t="shared" si="33"/>
        <v>0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/>
      </c>
      <c r="Y67" s="13" t="str">
        <f t="shared" si="37"/>
        <v/>
      </c>
      <c r="Z67" s="13" t="str">
        <f t="shared" si="38"/>
        <v/>
      </c>
      <c r="AA67" s="13" t="str">
        <f t="shared" si="39"/>
        <v/>
      </c>
      <c r="AB67" s="13" t="str">
        <f t="shared" si="40"/>
        <v/>
      </c>
      <c r="AC67" s="13" t="str">
        <f t="shared" si="41"/>
        <v/>
      </c>
      <c r="AD67" s="13" t="str">
        <f t="shared" si="42"/>
        <v/>
      </c>
      <c r="AE67" s="13" t="str">
        <f t="shared" si="43"/>
        <v/>
      </c>
      <c r="AF67" s="13" t="str">
        <f t="shared" si="44"/>
        <v/>
      </c>
      <c r="AG67" s="13" t="str">
        <f t="shared" si="45"/>
        <v/>
      </c>
      <c r="AH67" s="13" t="str">
        <f t="shared" si="46"/>
        <v/>
      </c>
      <c r="AJ67" s="14">
        <f t="shared" si="47"/>
        <v>0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>
        <f t="shared" si="48"/>
        <v>0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>
        <f t="shared" si="49"/>
        <v>0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>
        <f t="shared" si="50"/>
        <v>0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 t="str">
        <f t="shared" si="51"/>
        <v/>
      </c>
    </row>
    <row r="68" spans="2:84" x14ac:dyDescent="0.25">
      <c r="B68" s="5" t="s">
        <v>110</v>
      </c>
      <c r="C68" s="6"/>
      <c r="D68" s="7"/>
      <c r="E68" s="24" t="s">
        <v>106</v>
      </c>
      <c r="G68" s="25" t="str">
        <f t="shared" si="26"/>
        <v/>
      </c>
      <c r="H68" s="10" t="str">
        <f t="shared" si="27"/>
        <v/>
      </c>
      <c r="I68" s="5" t="str">
        <f t="shared" si="28"/>
        <v>|1000000000|0000000000|0000000000|0000000000|</v>
      </c>
      <c r="J68" s="25">
        <f t="shared" si="29"/>
        <v>0</v>
      </c>
      <c r="K68" s="5">
        <f t="shared" si="30"/>
        <v>0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0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0</v>
      </c>
      <c r="P68" s="5">
        <f>IF($H68="",0,SUMIF(Dati!$A$2:$A$451,$H68,Dati!$F$2:$F$451)+SUMIF(Dati!$H$2:$H$451,$H68,Dati!$M$2:$M$451))</f>
        <v>0</v>
      </c>
      <c r="Q68" s="5">
        <f>IF($H68="",0,SUMIF(Dati!$A$2:$A$451,$H68,Dati!$G$2:$G$451)+SUMIF(Dati!$H$2:$H$451,$H68,Dati!$N$2:$N$451))</f>
        <v>0</v>
      </c>
      <c r="R68" s="5">
        <f t="shared" si="31"/>
        <v>0</v>
      </c>
      <c r="S68" s="5">
        <f t="shared" si="32"/>
        <v>0</v>
      </c>
      <c r="T68" s="5">
        <f t="shared" si="33"/>
        <v>0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/>
      </c>
      <c r="Y68" s="13" t="str">
        <f t="shared" si="37"/>
        <v/>
      </c>
      <c r="Z68" s="13" t="str">
        <f t="shared" si="38"/>
        <v/>
      </c>
      <c r="AA68" s="13" t="str">
        <f t="shared" si="39"/>
        <v/>
      </c>
      <c r="AB68" s="13" t="str">
        <f t="shared" si="40"/>
        <v/>
      </c>
      <c r="AC68" s="13" t="str">
        <f t="shared" si="41"/>
        <v/>
      </c>
      <c r="AD68" s="13" t="str">
        <f t="shared" si="42"/>
        <v/>
      </c>
      <c r="AE68" s="13" t="str">
        <f t="shared" si="43"/>
        <v/>
      </c>
      <c r="AF68" s="13" t="str">
        <f t="shared" si="44"/>
        <v/>
      </c>
      <c r="AG68" s="13" t="str">
        <f t="shared" si="45"/>
        <v/>
      </c>
      <c r="AH68" s="13" t="str">
        <f t="shared" si="46"/>
        <v/>
      </c>
      <c r="AJ68" s="14">
        <f t="shared" si="47"/>
        <v>0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>
        <f t="shared" si="48"/>
        <v>0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>
        <f t="shared" si="49"/>
        <v>0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>
        <f t="shared" si="50"/>
        <v>0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 t="str">
        <f t="shared" si="51"/>
        <v/>
      </c>
    </row>
    <row r="69" spans="2:84" x14ac:dyDescent="0.25">
      <c r="B69" s="5" t="s">
        <v>111</v>
      </c>
      <c r="C69" s="6"/>
      <c r="D69" s="7"/>
      <c r="E69" s="24" t="s">
        <v>106</v>
      </c>
      <c r="G69" s="25" t="str">
        <f t="shared" si="26"/>
        <v/>
      </c>
      <c r="H69" s="10" t="str">
        <f t="shared" si="27"/>
        <v/>
      </c>
      <c r="I69" s="5" t="str">
        <f t="shared" si="28"/>
        <v>|1000000000|0000000000|0000000000|0000000000|</v>
      </c>
      <c r="J69" s="25">
        <f t="shared" si="29"/>
        <v>0</v>
      </c>
      <c r="K69" s="5">
        <f t="shared" si="30"/>
        <v>0</v>
      </c>
      <c r="L69" s="5">
        <f>IF($H69="",0,SUMIF(Dati!$A$2:$A$451,$H69,Dati!$B$2:$B$451)+SUMIF(Dati!$H$2:$H$451,$H69,Dati!$I$2:$I$451))</f>
        <v>0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0</v>
      </c>
      <c r="P69" s="5">
        <f>IF($H69="",0,SUMIF(Dati!$A$2:$A$451,$H69,Dati!$F$2:$F$451)+SUMIF(Dati!$H$2:$H$451,$H69,Dati!$M$2:$M$451))</f>
        <v>0</v>
      </c>
      <c r="Q69" s="5">
        <f>IF($H69="",0,SUMIF(Dati!$A$2:$A$451,$H69,Dati!$G$2:$G$451)+SUMIF(Dati!$H$2:$H$451,$H69,Dati!$N$2:$N$451))</f>
        <v>0</v>
      </c>
      <c r="R69" s="5">
        <f t="shared" si="31"/>
        <v>0</v>
      </c>
      <c r="S69" s="5">
        <f t="shared" si="32"/>
        <v>0</v>
      </c>
      <c r="T69" s="5">
        <f t="shared" si="33"/>
        <v>0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/>
      </c>
      <c r="Y69" s="13" t="str">
        <f t="shared" si="37"/>
        <v/>
      </c>
      <c r="Z69" s="13" t="str">
        <f t="shared" si="38"/>
        <v/>
      </c>
      <c r="AA69" s="13" t="str">
        <f t="shared" si="39"/>
        <v/>
      </c>
      <c r="AB69" s="13" t="str">
        <f t="shared" si="40"/>
        <v/>
      </c>
      <c r="AC69" s="13" t="str">
        <f t="shared" si="41"/>
        <v/>
      </c>
      <c r="AD69" s="13" t="str">
        <f t="shared" si="42"/>
        <v/>
      </c>
      <c r="AE69" s="13" t="str">
        <f t="shared" si="43"/>
        <v/>
      </c>
      <c r="AF69" s="13" t="str">
        <f t="shared" si="44"/>
        <v/>
      </c>
      <c r="AG69" s="13" t="str">
        <f t="shared" si="45"/>
        <v/>
      </c>
      <c r="AH69" s="13" t="str">
        <f t="shared" si="46"/>
        <v/>
      </c>
      <c r="AJ69" s="14">
        <f t="shared" si="47"/>
        <v>0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>
        <f t="shared" si="48"/>
        <v>0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>
        <f t="shared" si="49"/>
        <v>0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>
        <f t="shared" si="50"/>
        <v>0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 t="str">
        <f t="shared" si="51"/>
        <v/>
      </c>
    </row>
    <row r="70" spans="2:84" x14ac:dyDescent="0.25">
      <c r="B70" s="5" t="s">
        <v>112</v>
      </c>
      <c r="C70" s="6"/>
      <c r="D70" s="7"/>
      <c r="E70" s="24" t="s">
        <v>106</v>
      </c>
      <c r="G70" s="25" t="str">
        <f t="shared" si="26"/>
        <v/>
      </c>
      <c r="H70" s="10" t="str">
        <f t="shared" si="27"/>
        <v/>
      </c>
      <c r="I70" s="5" t="str">
        <f t="shared" si="28"/>
        <v>|1000000000|0000000000|0000000000|0000000000|</v>
      </c>
      <c r="J70" s="25">
        <f t="shared" si="29"/>
        <v>0</v>
      </c>
      <c r="K70" s="5">
        <f t="shared" si="30"/>
        <v>0</v>
      </c>
      <c r="L70" s="5">
        <f>IF($H70="",0,SUMIF(Dati!$A$2:$A$451,$H70,Dati!$B$2:$B$451)+SUMIF(Dati!$H$2:$H$451,$H70,Dati!$I$2:$I$451))</f>
        <v>0</v>
      </c>
      <c r="M70" s="5">
        <f>IF($H70="",0,SUMIF(Dati!$A$2:$A$451,$H70,Dati!$D$2:$D$451)+SUMIF(Dati!$H$2:$H$451,$H70,Dati!$K$2:$K$451))</f>
        <v>0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0</v>
      </c>
      <c r="P70" s="5">
        <f>IF($H70="",0,SUMIF(Dati!$A$2:$A$451,$H70,Dati!$F$2:$F$451)+SUMIF(Dati!$H$2:$H$451,$H70,Dati!$M$2:$M$451))</f>
        <v>0</v>
      </c>
      <c r="Q70" s="5">
        <f>IF($H70="",0,SUMIF(Dati!$A$2:$A$451,$H70,Dati!$G$2:$G$451)+SUMIF(Dati!$H$2:$H$451,$H70,Dati!$N$2:$N$451))</f>
        <v>0</v>
      </c>
      <c r="R70" s="5">
        <f t="shared" si="31"/>
        <v>0</v>
      </c>
      <c r="S70" s="5">
        <f t="shared" si="32"/>
        <v>0</v>
      </c>
      <c r="T70" s="5">
        <f t="shared" si="33"/>
        <v>0</v>
      </c>
      <c r="U70" s="5" t="str">
        <f t="shared" si="34"/>
        <v>-</v>
      </c>
      <c r="V70" s="11" t="str">
        <f t="shared" si="35"/>
        <v>-</v>
      </c>
      <c r="W70" s="11" t="str">
        <f t="shared" si="36"/>
        <v>-</v>
      </c>
      <c r="X70" s="12" t="str">
        <f>IF($C70="","",$E70&amp;"#"&amp;COUNTIFS($E$14:$E70,$E70,$C$14:$C70,"&lt;&gt;"))</f>
        <v/>
      </c>
      <c r="Y70" s="13" t="str">
        <f t="shared" si="37"/>
        <v/>
      </c>
      <c r="Z70" s="13" t="str">
        <f t="shared" si="38"/>
        <v/>
      </c>
      <c r="AA70" s="13" t="str">
        <f t="shared" si="39"/>
        <v/>
      </c>
      <c r="AB70" s="13" t="str">
        <f t="shared" si="40"/>
        <v/>
      </c>
      <c r="AC70" s="13" t="str">
        <f t="shared" si="41"/>
        <v/>
      </c>
      <c r="AD70" s="13" t="str">
        <f t="shared" si="42"/>
        <v/>
      </c>
      <c r="AE70" s="13" t="str">
        <f t="shared" si="43"/>
        <v/>
      </c>
      <c r="AF70" s="13" t="str">
        <f t="shared" si="44"/>
        <v/>
      </c>
      <c r="AG70" s="13" t="str">
        <f t="shared" si="45"/>
        <v/>
      </c>
      <c r="AH70" s="13" t="str">
        <f t="shared" si="46"/>
        <v/>
      </c>
      <c r="AJ70" s="14">
        <f t="shared" si="47"/>
        <v>0</v>
      </c>
      <c r="AK70" s="15" t="str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-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 t="str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-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>
        <f t="shared" si="48"/>
        <v>0</v>
      </c>
      <c r="AW70" s="15" t="str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 t="str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>
        <f t="shared" si="49"/>
        <v>0</v>
      </c>
      <c r="BI70" s="15" t="str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-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 t="str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-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>
        <f t="shared" si="50"/>
        <v>0</v>
      </c>
      <c r="BU70" s="15" t="str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-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 t="str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-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 t="str">
        <f t="shared" si="51"/>
        <v/>
      </c>
    </row>
    <row r="71" spans="2:84" x14ac:dyDescent="0.25">
      <c r="B71" s="5" t="s">
        <v>113</v>
      </c>
      <c r="C71" s="6"/>
      <c r="D71" s="7"/>
      <c r="E71" s="24" t="s">
        <v>106</v>
      </c>
      <c r="G71" s="25" t="str">
        <f t="shared" si="26"/>
        <v/>
      </c>
      <c r="H71" s="10" t="str">
        <f t="shared" si="27"/>
        <v/>
      </c>
      <c r="I71" s="5" t="str">
        <f t="shared" si="28"/>
        <v>|1000000000|0000000000|0000000000|0000000000|</v>
      </c>
      <c r="J71" s="25">
        <f t="shared" si="29"/>
        <v>0</v>
      </c>
      <c r="K71" s="5">
        <f t="shared" si="30"/>
        <v>0</v>
      </c>
      <c r="L71" s="5">
        <f>IF($H71="",0,SUMIF(Dati!$A$2:$A$451,$H71,Dati!$B$2:$B$451)+SUMIF(Dati!$H$2:$H$451,$H71,Dati!$I$2:$I$451))</f>
        <v>0</v>
      </c>
      <c r="M71" s="5">
        <f>IF($H71="",0,SUMIF(Dati!$A$2:$A$451,$H71,Dati!$D$2:$D$451)+SUMIF(Dati!$H$2:$H$451,$H71,Dati!$K$2:$K$451))</f>
        <v>0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0</v>
      </c>
      <c r="P71" s="5">
        <f>IF($H71="",0,SUMIF(Dati!$A$2:$A$451,$H71,Dati!$F$2:$F$451)+SUMIF(Dati!$H$2:$H$451,$H71,Dati!$M$2:$M$451))</f>
        <v>0</v>
      </c>
      <c r="Q71" s="5">
        <f>IF($H71="",0,SUMIF(Dati!$A$2:$A$451,$H71,Dati!$G$2:$G$451)+SUMIF(Dati!$H$2:$H$451,$H71,Dati!$N$2:$N$451))</f>
        <v>0</v>
      </c>
      <c r="R71" s="5">
        <f t="shared" si="31"/>
        <v>0</v>
      </c>
      <c r="S71" s="5">
        <f t="shared" si="32"/>
        <v>0</v>
      </c>
      <c r="T71" s="5">
        <f t="shared" si="33"/>
        <v>0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/>
      </c>
      <c r="Y71" s="13" t="str">
        <f t="shared" si="37"/>
        <v/>
      </c>
      <c r="Z71" s="13" t="str">
        <f t="shared" si="38"/>
        <v/>
      </c>
      <c r="AA71" s="13" t="str">
        <f t="shared" si="39"/>
        <v/>
      </c>
      <c r="AB71" s="13" t="str">
        <f t="shared" si="40"/>
        <v/>
      </c>
      <c r="AC71" s="13" t="str">
        <f t="shared" si="41"/>
        <v/>
      </c>
      <c r="AD71" s="13" t="str">
        <f t="shared" si="42"/>
        <v/>
      </c>
      <c r="AE71" s="13" t="str">
        <f t="shared" si="43"/>
        <v/>
      </c>
      <c r="AF71" s="13" t="str">
        <f t="shared" si="44"/>
        <v/>
      </c>
      <c r="AG71" s="13" t="str">
        <f t="shared" si="45"/>
        <v/>
      </c>
      <c r="AH71" s="13" t="str">
        <f t="shared" si="46"/>
        <v/>
      </c>
      <c r="AJ71" s="14">
        <f t="shared" si="47"/>
        <v>0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>
        <f t="shared" si="48"/>
        <v>0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>
        <f t="shared" si="49"/>
        <v>0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>
        <f t="shared" si="50"/>
        <v>0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 t="str">
        <f t="shared" si="51"/>
        <v/>
      </c>
    </row>
    <row r="72" spans="2:84" x14ac:dyDescent="0.25">
      <c r="B72" s="5" t="s">
        <v>114</v>
      </c>
      <c r="C72" s="6"/>
      <c r="D72" s="7"/>
      <c r="E72" s="24" t="s">
        <v>106</v>
      </c>
      <c r="G72" s="25" t="str">
        <f t="shared" si="26"/>
        <v/>
      </c>
      <c r="H72" s="10" t="str">
        <f t="shared" si="27"/>
        <v/>
      </c>
      <c r="I72" s="5" t="str">
        <f t="shared" si="28"/>
        <v>|1000000000|0000000000|0000000000|0000000000|</v>
      </c>
      <c r="J72" s="25">
        <f t="shared" si="29"/>
        <v>0</v>
      </c>
      <c r="K72" s="5">
        <f t="shared" si="30"/>
        <v>0</v>
      </c>
      <c r="L72" s="5">
        <f>IF($H72="",0,SUMIF(Dati!$A$2:$A$451,$H72,Dati!$B$2:$B$451)+SUMIF(Dati!$H$2:$H$451,$H72,Dati!$I$2:$I$451))</f>
        <v>0</v>
      </c>
      <c r="M72" s="5">
        <f>IF($H72="",0,SUMIF(Dati!$A$2:$A$451,$H72,Dati!$D$2:$D$451)+SUMIF(Dati!$H$2:$H$451,$H72,Dati!$K$2:$K$451))</f>
        <v>0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0</v>
      </c>
      <c r="P72" s="5">
        <f>IF($H72="",0,SUMIF(Dati!$A$2:$A$451,$H72,Dati!$F$2:$F$451)+SUMIF(Dati!$H$2:$H$451,$H72,Dati!$M$2:$M$451))</f>
        <v>0</v>
      </c>
      <c r="Q72" s="5">
        <f>IF($H72="",0,SUMIF(Dati!$A$2:$A$451,$H72,Dati!$G$2:$G$451)+SUMIF(Dati!$H$2:$H$451,$H72,Dati!$N$2:$N$451))</f>
        <v>0</v>
      </c>
      <c r="R72" s="5">
        <f t="shared" si="31"/>
        <v>0</v>
      </c>
      <c r="S72" s="5">
        <f t="shared" si="32"/>
        <v>0</v>
      </c>
      <c r="T72" s="5">
        <f t="shared" si="33"/>
        <v>0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/>
      </c>
      <c r="Y72" s="13" t="str">
        <f t="shared" si="37"/>
        <v/>
      </c>
      <c r="Z72" s="13" t="str">
        <f t="shared" si="38"/>
        <v/>
      </c>
      <c r="AA72" s="13" t="str">
        <f t="shared" si="39"/>
        <v/>
      </c>
      <c r="AB72" s="13" t="str">
        <f t="shared" si="40"/>
        <v/>
      </c>
      <c r="AC72" s="13" t="str">
        <f t="shared" si="41"/>
        <v/>
      </c>
      <c r="AD72" s="13" t="str">
        <f t="shared" si="42"/>
        <v/>
      </c>
      <c r="AE72" s="13" t="str">
        <f t="shared" si="43"/>
        <v/>
      </c>
      <c r="AF72" s="13" t="str">
        <f t="shared" si="44"/>
        <v/>
      </c>
      <c r="AG72" s="13" t="str">
        <f t="shared" si="45"/>
        <v/>
      </c>
      <c r="AH72" s="13" t="str">
        <f t="shared" si="46"/>
        <v/>
      </c>
      <c r="AJ72" s="14">
        <f t="shared" si="47"/>
        <v>0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>
        <f t="shared" si="48"/>
        <v>0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>
        <f t="shared" si="49"/>
        <v>0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>
        <f t="shared" si="50"/>
        <v>0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 t="str">
        <f t="shared" si="51"/>
        <v/>
      </c>
    </row>
    <row r="73" spans="2:84" x14ac:dyDescent="0.25">
      <c r="B73" s="5" t="s">
        <v>115</v>
      </c>
      <c r="C73" s="6"/>
      <c r="D73" s="7"/>
      <c r="E73" s="24" t="s">
        <v>106</v>
      </c>
      <c r="G73" s="25" t="str">
        <f t="shared" si="26"/>
        <v/>
      </c>
      <c r="H73" s="10" t="str">
        <f t="shared" si="27"/>
        <v/>
      </c>
      <c r="I73" s="5" t="str">
        <f t="shared" si="28"/>
        <v>|1000000000|0000000000|0000000000|0000000000|</v>
      </c>
      <c r="J73" s="25">
        <f t="shared" si="29"/>
        <v>0</v>
      </c>
      <c r="K73" s="5">
        <f t="shared" si="30"/>
        <v>0</v>
      </c>
      <c r="L73" s="5">
        <f>IF($H73="",0,SUMIF(Dati!$A$2:$A$451,$H73,Dati!$B$2:$B$451)+SUMIF(Dati!$H$2:$H$451,$H73,Dati!$I$2:$I$451))</f>
        <v>0</v>
      </c>
      <c r="M73" s="5">
        <f>IF($H73="",0,SUMIF(Dati!$A$2:$A$451,$H73,Dati!$D$2:$D$451)+SUMIF(Dati!$H$2:$H$451,$H73,Dati!$K$2:$K$451))</f>
        <v>0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0</v>
      </c>
      <c r="P73" s="5">
        <f>IF($H73="",0,SUMIF(Dati!$A$2:$A$451,$H73,Dati!$F$2:$F$451)+SUMIF(Dati!$H$2:$H$451,$H73,Dati!$M$2:$M$451))</f>
        <v>0</v>
      </c>
      <c r="Q73" s="5">
        <f>IF($H73="",0,SUMIF(Dati!$A$2:$A$451,$H73,Dati!$G$2:$G$451)+SUMIF(Dati!$H$2:$H$451,$H73,Dati!$N$2:$N$451))</f>
        <v>0</v>
      </c>
      <c r="R73" s="5">
        <f t="shared" si="31"/>
        <v>0</v>
      </c>
      <c r="S73" s="5">
        <f t="shared" si="32"/>
        <v>0</v>
      </c>
      <c r="T73" s="5">
        <f t="shared" si="33"/>
        <v>0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/>
      </c>
      <c r="Y73" s="13" t="str">
        <f t="shared" si="37"/>
        <v/>
      </c>
      <c r="Z73" s="13" t="str">
        <f t="shared" si="38"/>
        <v/>
      </c>
      <c r="AA73" s="13" t="str">
        <f t="shared" si="39"/>
        <v/>
      </c>
      <c r="AB73" s="13" t="str">
        <f t="shared" si="40"/>
        <v/>
      </c>
      <c r="AC73" s="13" t="str">
        <f t="shared" si="41"/>
        <v/>
      </c>
      <c r="AD73" s="13" t="str">
        <f t="shared" si="42"/>
        <v/>
      </c>
      <c r="AE73" s="13" t="str">
        <f t="shared" si="43"/>
        <v/>
      </c>
      <c r="AF73" s="13" t="str">
        <f t="shared" si="44"/>
        <v/>
      </c>
      <c r="AG73" s="13" t="str">
        <f t="shared" si="45"/>
        <v/>
      </c>
      <c r="AH73" s="13" t="str">
        <f t="shared" si="46"/>
        <v/>
      </c>
      <c r="AJ73" s="14">
        <f t="shared" si="47"/>
        <v>0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>
        <f t="shared" si="48"/>
        <v>0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>
        <f t="shared" si="49"/>
        <v>0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>
        <f t="shared" si="50"/>
        <v>0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 t="str">
        <f t="shared" si="51"/>
        <v/>
      </c>
    </row>
    <row r="74" spans="2:84" x14ac:dyDescent="0.25">
      <c r="B74" s="5" t="s">
        <v>116</v>
      </c>
      <c r="C74" s="6"/>
      <c r="D74" s="7"/>
      <c r="E74" s="26" t="s">
        <v>117</v>
      </c>
      <c r="G74" s="27" t="str">
        <f t="shared" si="26"/>
        <v/>
      </c>
      <c r="H74" s="10" t="str">
        <f t="shared" si="27"/>
        <v/>
      </c>
      <c r="I74" s="5" t="str">
        <f t="shared" si="28"/>
        <v>|1000000000|0000000000|0000000000|0000000000|</v>
      </c>
      <c r="J74" s="27">
        <f t="shared" si="29"/>
        <v>0</v>
      </c>
      <c r="K74" s="5">
        <f t="shared" si="30"/>
        <v>0</v>
      </c>
      <c r="L74" s="5">
        <f>IF($H74="",0,SUMIF(Dati!$A$2:$A$451,$H74,Dati!$B$2:$B$451)+SUMIF(Dati!$H$2:$H$451,$H74,Dati!$I$2:$I$451))</f>
        <v>0</v>
      </c>
      <c r="M74" s="5">
        <f>IF($H74="",0,SUMIF(Dati!$A$2:$A$451,$H74,Dati!$D$2:$D$451)+SUMIF(Dati!$H$2:$H$451,$H74,Dati!$K$2:$K$451))</f>
        <v>0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0</v>
      </c>
      <c r="P74" s="5">
        <f>IF($H74="",0,SUMIF(Dati!$A$2:$A$451,$H74,Dati!$F$2:$F$451)+SUMIF(Dati!$H$2:$H$451,$H74,Dati!$M$2:$M$451))</f>
        <v>0</v>
      </c>
      <c r="Q74" s="5">
        <f>IF($H74="",0,SUMIF(Dati!$A$2:$A$451,$H74,Dati!$G$2:$G$451)+SUMIF(Dati!$H$2:$H$451,$H74,Dati!$N$2:$N$451))</f>
        <v>0</v>
      </c>
      <c r="R74" s="5">
        <f t="shared" si="31"/>
        <v>0</v>
      </c>
      <c r="S74" s="5">
        <f t="shared" si="32"/>
        <v>0</v>
      </c>
      <c r="T74" s="5">
        <f t="shared" si="33"/>
        <v>0</v>
      </c>
      <c r="U74" s="5" t="str">
        <f t="shared" si="34"/>
        <v>-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/>
      </c>
      <c r="Y74" s="13" t="str">
        <f t="shared" si="37"/>
        <v/>
      </c>
      <c r="Z74" s="13" t="str">
        <f t="shared" si="38"/>
        <v/>
      </c>
      <c r="AA74" s="13" t="str">
        <f t="shared" si="39"/>
        <v/>
      </c>
      <c r="AB74" s="13" t="str">
        <f t="shared" si="40"/>
        <v/>
      </c>
      <c r="AC74" s="13" t="str">
        <f t="shared" si="41"/>
        <v/>
      </c>
      <c r="AD74" s="13" t="str">
        <f t="shared" si="42"/>
        <v/>
      </c>
      <c r="AE74" s="13" t="str">
        <f t="shared" si="43"/>
        <v/>
      </c>
      <c r="AF74" s="13" t="str">
        <f t="shared" si="44"/>
        <v/>
      </c>
      <c r="AG74" s="13" t="str">
        <f t="shared" si="45"/>
        <v/>
      </c>
      <c r="AH74" s="13" t="str">
        <f t="shared" si="46"/>
        <v/>
      </c>
      <c r="AJ74" s="14">
        <f t="shared" si="47"/>
        <v>0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 t="str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-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 t="str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-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>
        <f t="shared" si="48"/>
        <v>0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 t="str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 t="str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>
        <f t="shared" si="49"/>
        <v>0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 t="str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-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 t="str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-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>
        <f t="shared" si="50"/>
        <v>0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 t="str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-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 t="str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-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 t="str">
        <f t="shared" si="51"/>
        <v/>
      </c>
    </row>
    <row r="75" spans="2:84" x14ac:dyDescent="0.25">
      <c r="B75" s="5" t="s">
        <v>118</v>
      </c>
      <c r="C75" s="6"/>
      <c r="D75" s="7"/>
      <c r="E75" s="26" t="s">
        <v>117</v>
      </c>
      <c r="G75" s="27" t="str">
        <f t="shared" si="26"/>
        <v/>
      </c>
      <c r="H75" s="10" t="str">
        <f t="shared" si="27"/>
        <v/>
      </c>
      <c r="I75" s="5" t="str">
        <f t="shared" si="28"/>
        <v>|1000000000|0000000000|0000000000|0000000000|</v>
      </c>
      <c r="J75" s="27">
        <f t="shared" si="29"/>
        <v>0</v>
      </c>
      <c r="K75" s="5">
        <f t="shared" si="30"/>
        <v>0</v>
      </c>
      <c r="L75" s="5">
        <f>IF($H75="",0,SUMIF(Dati!$A$2:$A$451,$H75,Dati!$B$2:$B$451)+SUMIF(Dati!$H$2:$H$451,$H75,Dati!$I$2:$I$451))</f>
        <v>0</v>
      </c>
      <c r="M75" s="5">
        <f>IF($H75="",0,SUMIF(Dati!$A$2:$A$451,$H75,Dati!$D$2:$D$451)+SUMIF(Dati!$H$2:$H$451,$H75,Dati!$K$2:$K$451))</f>
        <v>0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0</v>
      </c>
      <c r="P75" s="5">
        <f>IF($H75="",0,SUMIF(Dati!$A$2:$A$451,$H75,Dati!$F$2:$F$451)+SUMIF(Dati!$H$2:$H$451,$H75,Dati!$M$2:$M$451))</f>
        <v>0</v>
      </c>
      <c r="Q75" s="5">
        <f>IF($H75="",0,SUMIF(Dati!$A$2:$A$451,$H75,Dati!$G$2:$G$451)+SUMIF(Dati!$H$2:$H$451,$H75,Dati!$N$2:$N$451))</f>
        <v>0</v>
      </c>
      <c r="R75" s="5">
        <f t="shared" si="31"/>
        <v>0</v>
      </c>
      <c r="S75" s="5">
        <f t="shared" si="32"/>
        <v>0</v>
      </c>
      <c r="T75" s="5">
        <f t="shared" si="33"/>
        <v>0</v>
      </c>
      <c r="U75" s="5" t="str">
        <f t="shared" si="34"/>
        <v>-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/>
      </c>
      <c r="Y75" s="13" t="str">
        <f t="shared" si="37"/>
        <v/>
      </c>
      <c r="Z75" s="13" t="str">
        <f t="shared" si="38"/>
        <v/>
      </c>
      <c r="AA75" s="13" t="str">
        <f t="shared" si="39"/>
        <v/>
      </c>
      <c r="AB75" s="13" t="str">
        <f t="shared" si="40"/>
        <v/>
      </c>
      <c r="AC75" s="13" t="str">
        <f t="shared" si="41"/>
        <v/>
      </c>
      <c r="AD75" s="13" t="str">
        <f t="shared" si="42"/>
        <v/>
      </c>
      <c r="AE75" s="13" t="str">
        <f t="shared" si="43"/>
        <v/>
      </c>
      <c r="AF75" s="13" t="str">
        <f t="shared" si="44"/>
        <v/>
      </c>
      <c r="AG75" s="13" t="str">
        <f t="shared" si="45"/>
        <v/>
      </c>
      <c r="AH75" s="13" t="str">
        <f t="shared" si="46"/>
        <v/>
      </c>
      <c r="AJ75" s="14">
        <f t="shared" si="47"/>
        <v>0</v>
      </c>
      <c r="AK75" s="15" t="str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-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 t="str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-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>
        <f t="shared" si="48"/>
        <v>0</v>
      </c>
      <c r="AW75" s="15" t="str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 t="str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>
        <f t="shared" si="49"/>
        <v>0</v>
      </c>
      <c r="BI75" s="15" t="str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-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 t="str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-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>
        <f t="shared" si="50"/>
        <v>0</v>
      </c>
      <c r="BU75" s="15" t="str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-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 t="str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-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 t="str">
        <f t="shared" si="51"/>
        <v/>
      </c>
    </row>
    <row r="76" spans="2:84" x14ac:dyDescent="0.25">
      <c r="B76" s="5" t="s">
        <v>119</v>
      </c>
      <c r="C76" s="6"/>
      <c r="D76" s="7"/>
      <c r="E76" s="26" t="s">
        <v>117</v>
      </c>
      <c r="G76" s="27" t="str">
        <f t="shared" si="26"/>
        <v/>
      </c>
      <c r="H76" s="10" t="str">
        <f t="shared" si="27"/>
        <v/>
      </c>
      <c r="I76" s="5" t="str">
        <f t="shared" si="28"/>
        <v>|1000000000|0000000000|0000000000|0000000000|</v>
      </c>
      <c r="J76" s="27">
        <f t="shared" si="29"/>
        <v>0</v>
      </c>
      <c r="K76" s="5">
        <f t="shared" si="30"/>
        <v>0</v>
      </c>
      <c r="L76" s="5">
        <f>IF($H76="",0,SUMIF(Dati!$A$2:$A$451,$H76,Dati!$B$2:$B$451)+SUMIF(Dati!$H$2:$H$451,$H76,Dati!$I$2:$I$451))</f>
        <v>0</v>
      </c>
      <c r="M76" s="5">
        <f>IF($H76="",0,SUMIF(Dati!$A$2:$A$451,$H76,Dati!$D$2:$D$451)+SUMIF(Dati!$H$2:$H$451,$H76,Dati!$K$2:$K$451))</f>
        <v>0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0</v>
      </c>
      <c r="P76" s="5">
        <f>IF($H76="",0,SUMIF(Dati!$A$2:$A$451,$H76,Dati!$F$2:$F$451)+SUMIF(Dati!$H$2:$H$451,$H76,Dati!$M$2:$M$451))</f>
        <v>0</v>
      </c>
      <c r="Q76" s="5">
        <f>IF($H76="",0,SUMIF(Dati!$A$2:$A$451,$H76,Dati!$G$2:$G$451)+SUMIF(Dati!$H$2:$H$451,$H76,Dati!$N$2:$N$451))</f>
        <v>0</v>
      </c>
      <c r="R76" s="5">
        <f t="shared" si="31"/>
        <v>0</v>
      </c>
      <c r="S76" s="5">
        <f t="shared" si="32"/>
        <v>0</v>
      </c>
      <c r="T76" s="5">
        <f t="shared" si="33"/>
        <v>0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/>
      </c>
      <c r="Y76" s="13" t="str">
        <f t="shared" si="37"/>
        <v/>
      </c>
      <c r="Z76" s="13" t="str">
        <f t="shared" si="38"/>
        <v/>
      </c>
      <c r="AA76" s="13" t="str">
        <f t="shared" si="39"/>
        <v/>
      </c>
      <c r="AB76" s="13" t="str">
        <f t="shared" si="40"/>
        <v/>
      </c>
      <c r="AC76" s="13" t="str">
        <f t="shared" si="41"/>
        <v/>
      </c>
      <c r="AD76" s="13" t="str">
        <f t="shared" si="42"/>
        <v/>
      </c>
      <c r="AE76" s="13" t="str">
        <f t="shared" si="43"/>
        <v/>
      </c>
      <c r="AF76" s="13" t="str">
        <f t="shared" si="44"/>
        <v/>
      </c>
      <c r="AG76" s="13" t="str">
        <f t="shared" si="45"/>
        <v/>
      </c>
      <c r="AH76" s="13" t="str">
        <f t="shared" si="46"/>
        <v/>
      </c>
      <c r="AJ76" s="14">
        <f t="shared" si="47"/>
        <v>0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>
        <f t="shared" si="48"/>
        <v>0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>
        <f t="shared" si="49"/>
        <v>0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>
        <f t="shared" si="50"/>
        <v>0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 t="str">
        <f t="shared" si="51"/>
        <v/>
      </c>
    </row>
    <row r="77" spans="2:84" x14ac:dyDescent="0.25">
      <c r="B77" s="5" t="s">
        <v>120</v>
      </c>
      <c r="C77" s="6"/>
      <c r="D77" s="7"/>
      <c r="E77" s="26" t="s">
        <v>117</v>
      </c>
      <c r="G77" s="27" t="str">
        <f t="shared" si="26"/>
        <v/>
      </c>
      <c r="H77" s="10" t="str">
        <f t="shared" si="27"/>
        <v/>
      </c>
      <c r="I77" s="5" t="str">
        <f t="shared" si="28"/>
        <v>|1000000000|0000000000|0000000000|0000000000|</v>
      </c>
      <c r="J77" s="27">
        <f t="shared" si="29"/>
        <v>0</v>
      </c>
      <c r="K77" s="5">
        <f t="shared" si="30"/>
        <v>0</v>
      </c>
      <c r="L77" s="5">
        <f>IF($H77="",0,SUMIF(Dati!$A$2:$A$451,$H77,Dati!$B$2:$B$451)+SUMIF(Dati!$H$2:$H$451,$H77,Dati!$I$2:$I$451))</f>
        <v>0</v>
      </c>
      <c r="M77" s="5">
        <f>IF($H77="",0,SUMIF(Dati!$A$2:$A$451,$H77,Dati!$D$2:$D$451)+SUMIF(Dati!$H$2:$H$451,$H77,Dati!$K$2:$K$451))</f>
        <v>0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0</v>
      </c>
      <c r="P77" s="5">
        <f>IF($H77="",0,SUMIF(Dati!$A$2:$A$451,$H77,Dati!$F$2:$F$451)+SUMIF(Dati!$H$2:$H$451,$H77,Dati!$M$2:$M$451))</f>
        <v>0</v>
      </c>
      <c r="Q77" s="5">
        <f>IF($H77="",0,SUMIF(Dati!$A$2:$A$451,$H77,Dati!$G$2:$G$451)+SUMIF(Dati!$H$2:$H$451,$H77,Dati!$N$2:$N$451))</f>
        <v>0</v>
      </c>
      <c r="R77" s="5">
        <f t="shared" si="31"/>
        <v>0</v>
      </c>
      <c r="S77" s="5">
        <f t="shared" si="32"/>
        <v>0</v>
      </c>
      <c r="T77" s="5">
        <f t="shared" si="33"/>
        <v>0</v>
      </c>
      <c r="U77" s="5" t="str">
        <f t="shared" si="34"/>
        <v>-</v>
      </c>
      <c r="V77" s="11" t="str">
        <f t="shared" si="35"/>
        <v>-</v>
      </c>
      <c r="W77" s="11" t="str">
        <f t="shared" si="36"/>
        <v>-</v>
      </c>
      <c r="X77" s="12" t="str">
        <f>IF($C77="","",$E77&amp;"#"&amp;COUNTIFS($E$14:$E77,$E77,$C$14:$C77,"&lt;&gt;"))</f>
        <v/>
      </c>
      <c r="Y77" s="13" t="str">
        <f t="shared" si="37"/>
        <v/>
      </c>
      <c r="Z77" s="13" t="str">
        <f t="shared" si="38"/>
        <v/>
      </c>
      <c r="AA77" s="13" t="str">
        <f t="shared" si="39"/>
        <v/>
      </c>
      <c r="AB77" s="13" t="str">
        <f t="shared" si="40"/>
        <v/>
      </c>
      <c r="AC77" s="13" t="str">
        <f t="shared" si="41"/>
        <v/>
      </c>
      <c r="AD77" s="13" t="str">
        <f t="shared" si="42"/>
        <v/>
      </c>
      <c r="AE77" s="13" t="str">
        <f t="shared" si="43"/>
        <v/>
      </c>
      <c r="AF77" s="13" t="str">
        <f t="shared" si="44"/>
        <v/>
      </c>
      <c r="AG77" s="13" t="str">
        <f t="shared" si="45"/>
        <v/>
      </c>
      <c r="AH77" s="13" t="str">
        <f t="shared" si="46"/>
        <v/>
      </c>
      <c r="AJ77" s="14">
        <f t="shared" si="47"/>
        <v>0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 t="str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-</v>
      </c>
      <c r="AT77" s="15" t="str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-</v>
      </c>
      <c r="AV77" s="14">
        <f t="shared" si="48"/>
        <v>0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 t="str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5" t="str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4">
        <f t="shared" si="49"/>
        <v>0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 t="str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-</v>
      </c>
      <c r="BR77" s="15" t="str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-</v>
      </c>
      <c r="BT77" s="14">
        <f t="shared" si="50"/>
        <v>0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 t="str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-</v>
      </c>
      <c r="CD77" s="15" t="str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-</v>
      </c>
      <c r="CF77" s="15" t="str">
        <f t="shared" si="51"/>
        <v/>
      </c>
    </row>
    <row r="78" spans="2:84" x14ac:dyDescent="0.25">
      <c r="B78" s="5" t="s">
        <v>121</v>
      </c>
      <c r="C78" s="6"/>
      <c r="D78" s="7"/>
      <c r="E78" s="26" t="s">
        <v>117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/>
      </c>
      <c r="H78" s="10" t="str">
        <f t="shared" ref="H78:H113" si="53">IF($C78="","",IFERROR(LEFT($C78,FIND("-",$C78)-1),$C78))</f>
        <v/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|1000000000|0000000000|0000000000|0000000000|</v>
      </c>
      <c r="J78" s="27">
        <f t="shared" ref="J78:J113" si="55">L78*constPuntiVittoria+M78*constPuntiSconfitta+N78*constPuntiForfait+IF(D78="",0,D78)</f>
        <v>0</v>
      </c>
      <c r="K78" s="5">
        <f t="shared" ref="K78:K109" si="56">SUM(L78:N78)</f>
        <v>0</v>
      </c>
      <c r="L78" s="5">
        <f>IF($H78="",0,SUMIF(Dati!$A$2:$A$451,$H78,Dati!$B$2:$B$451)+SUMIF(Dati!$H$2:$H$451,$H78,Dati!$I$2:$I$451))</f>
        <v>0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0</v>
      </c>
      <c r="P78" s="5">
        <f>IF($H78="",0,SUMIF(Dati!$A$2:$A$451,$H78,Dati!$F$2:$F$451)+SUMIF(Dati!$H$2:$H$451,$H78,Dati!$M$2:$M$451))</f>
        <v>0</v>
      </c>
      <c r="Q78" s="5">
        <f>IF($H78="",0,SUMIF(Dati!$A$2:$A$451,$H78,Dati!$G$2:$G$451)+SUMIF(Dati!$H$2:$H$451,$H78,Dati!$N$2:$N$451))</f>
        <v>0</v>
      </c>
      <c r="R78" s="5">
        <f t="shared" ref="R78:R113" si="57">IF(K78=0,0,ROUND(O78/K78,2))</f>
        <v>0</v>
      </c>
      <c r="S78" s="5">
        <f t="shared" ref="S78:S113" si="58">IF(K78=0,0,ROUND(P78/K78,2))</f>
        <v>0</v>
      </c>
      <c r="T78" s="5">
        <f t="shared" ref="T78:T113" si="59">IF(K78=0,0,ROUND(Q78/K78,2))</f>
        <v>0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/>
      </c>
      <c r="Y78" s="13" t="str">
        <f t="shared" ref="Y78:Y113" si="63">IFERROR(INDEX($H$14:$H$113,MATCH($E78&amp;"#1",$X$14:$X$113,0)),"")</f>
        <v/>
      </c>
      <c r="Z78" s="13" t="str">
        <f t="shared" ref="Z78:Z113" si="64">IFERROR(INDEX($H$14:$H$113,MATCH($E78&amp;"#2",$X$14:$X$113,0)),"")</f>
        <v/>
      </c>
      <c r="AA78" s="13" t="str">
        <f t="shared" ref="AA78:AA113" si="65">IFERROR(INDEX($H$14:$H$113,MATCH($E78&amp;"#3",$X$14:$X$113,0)),"")</f>
        <v/>
      </c>
      <c r="AB78" s="13" t="str">
        <f t="shared" ref="AB78:AB113" si="66">IFERROR(INDEX($H$14:$H$113,MATCH($E78&amp;"#4",$X$14:$X$113,0)),"")</f>
        <v/>
      </c>
      <c r="AC78" s="13" t="str">
        <f t="shared" ref="AC78:AC113" si="67">IFERROR(INDEX($H$14:$H$113,MATCH($E78&amp;"#5",$X$14:$X$113,0)),"")</f>
        <v/>
      </c>
      <c r="AD78" s="13" t="str">
        <f t="shared" ref="AD78:AD113" si="68">IFERROR(INDEX($H$14:$H$113,MATCH($E78&amp;"#6",$X$14:$X$113,0)),"")</f>
        <v/>
      </c>
      <c r="AE78" s="13" t="str">
        <f t="shared" ref="AE78:AE113" si="69">IFERROR(INDEX($H$14:$H$113,MATCH($E78&amp;"#7",$X$14:$X$113,0)),"")</f>
        <v/>
      </c>
      <c r="AF78" s="13" t="str">
        <f t="shared" ref="AF78:AF113" si="70">IFERROR(INDEX($H$14:$H$113,MATCH($E78&amp;"#8",$X$14:$X$113,0)),"")</f>
        <v/>
      </c>
      <c r="AG78" s="13" t="str">
        <f t="shared" ref="AG78:AG113" si="71">IFERROR(INDEX($H$14:$H$113,MATCH($E78&amp;"#9",$X$14:$X$113,0)),"")</f>
        <v/>
      </c>
      <c r="AH78" s="13" t="str">
        <f t="shared" ref="AH78:AH113" si="72">IFERROR(INDEX($H$14:$H$113,MATCH($E78&amp;"#10",$X$14:$X$113,0)),"")</f>
        <v/>
      </c>
      <c r="AJ78" s="14">
        <f t="shared" ref="AJ78:AJ113" si="73">$C78</f>
        <v>0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>
        <f t="shared" ref="AV78:AV113" si="74">$C78</f>
        <v>0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>
        <f t="shared" ref="BH78:BH113" si="75">$C78</f>
        <v>0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>
        <f t="shared" ref="BT78:BT113" si="76">$C78</f>
        <v>0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 t="str">
        <f t="shared" ref="CF78:CF113" si="77">IF($C78="","",SUM(AK78:AT78))</f>
        <v/>
      </c>
    </row>
    <row r="79" spans="2:84" x14ac:dyDescent="0.25">
      <c r="B79" s="5" t="s">
        <v>122</v>
      </c>
      <c r="C79" s="6"/>
      <c r="D79" s="7"/>
      <c r="E79" s="26" t="s">
        <v>117</v>
      </c>
      <c r="G79" s="27" t="str">
        <f t="shared" si="52"/>
        <v/>
      </c>
      <c r="H79" s="10" t="str">
        <f t="shared" si="53"/>
        <v/>
      </c>
      <c r="I79" s="5" t="str">
        <f t="shared" si="54"/>
        <v>|1000000000|0000000000|0000000000|0000000000|</v>
      </c>
      <c r="J79" s="27">
        <f t="shared" si="55"/>
        <v>0</v>
      </c>
      <c r="K79" s="5">
        <f t="shared" si="56"/>
        <v>0</v>
      </c>
      <c r="L79" s="5">
        <f>IF($H79="",0,SUMIF(Dati!$A$2:$A$451,$H79,Dati!$B$2:$B$451)+SUMIF(Dati!$H$2:$H$451,$H79,Dati!$I$2:$I$451))</f>
        <v>0</v>
      </c>
      <c r="M79" s="5">
        <f>IF($H79="",0,SUMIF(Dati!$A$2:$A$451,$H79,Dati!$D$2:$D$451)+SUMIF(Dati!$H$2:$H$451,$H79,Dati!$K$2:$K$451))</f>
        <v>0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0</v>
      </c>
      <c r="P79" s="5">
        <f>IF($H79="",0,SUMIF(Dati!$A$2:$A$451,$H79,Dati!$F$2:$F$451)+SUMIF(Dati!$H$2:$H$451,$H79,Dati!$M$2:$M$451))</f>
        <v>0</v>
      </c>
      <c r="Q79" s="5">
        <f>IF($H79="",0,SUMIF(Dati!$A$2:$A$451,$H79,Dati!$G$2:$G$451)+SUMIF(Dati!$H$2:$H$451,$H79,Dati!$N$2:$N$451))</f>
        <v>0</v>
      </c>
      <c r="R79" s="5">
        <f t="shared" si="57"/>
        <v>0</v>
      </c>
      <c r="S79" s="5">
        <f t="shared" si="58"/>
        <v>0</v>
      </c>
      <c r="T79" s="5">
        <f t="shared" si="59"/>
        <v>0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/>
      </c>
      <c r="Y79" s="13" t="str">
        <f t="shared" si="63"/>
        <v/>
      </c>
      <c r="Z79" s="13" t="str">
        <f t="shared" si="64"/>
        <v/>
      </c>
      <c r="AA79" s="13" t="str">
        <f t="shared" si="65"/>
        <v/>
      </c>
      <c r="AB79" s="13" t="str">
        <f t="shared" si="66"/>
        <v/>
      </c>
      <c r="AC79" s="13" t="str">
        <f t="shared" si="67"/>
        <v/>
      </c>
      <c r="AD79" s="13" t="str">
        <f t="shared" si="68"/>
        <v/>
      </c>
      <c r="AE79" s="13" t="str">
        <f t="shared" si="69"/>
        <v/>
      </c>
      <c r="AF79" s="13" t="str">
        <f t="shared" si="70"/>
        <v/>
      </c>
      <c r="AG79" s="13" t="str">
        <f t="shared" si="71"/>
        <v/>
      </c>
      <c r="AH79" s="13" t="str">
        <f t="shared" si="72"/>
        <v/>
      </c>
      <c r="AJ79" s="14">
        <f t="shared" si="73"/>
        <v>0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>
        <f t="shared" si="74"/>
        <v>0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>
        <f t="shared" si="75"/>
        <v>0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>
        <f t="shared" si="76"/>
        <v>0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 t="str">
        <f t="shared" si="77"/>
        <v/>
      </c>
    </row>
    <row r="80" spans="2:84" x14ac:dyDescent="0.25">
      <c r="B80" s="5" t="s">
        <v>123</v>
      </c>
      <c r="C80" s="6"/>
      <c r="D80" s="7"/>
      <c r="E80" s="26" t="s">
        <v>117</v>
      </c>
      <c r="G80" s="27" t="str">
        <f t="shared" si="52"/>
        <v/>
      </c>
      <c r="H80" s="10" t="str">
        <f t="shared" si="53"/>
        <v/>
      </c>
      <c r="I80" s="5" t="str">
        <f t="shared" si="54"/>
        <v>|1000000000|0000000000|0000000000|0000000000|</v>
      </c>
      <c r="J80" s="27">
        <f t="shared" si="55"/>
        <v>0</v>
      </c>
      <c r="K80" s="5">
        <f t="shared" si="56"/>
        <v>0</v>
      </c>
      <c r="L80" s="5">
        <f>IF($H80="",0,SUMIF(Dati!$A$2:$A$451,$H80,Dati!$B$2:$B$451)+SUMIF(Dati!$H$2:$H$451,$H80,Dati!$I$2:$I$451))</f>
        <v>0</v>
      </c>
      <c r="M80" s="5">
        <f>IF($H80="",0,SUMIF(Dati!$A$2:$A$451,$H80,Dati!$D$2:$D$451)+SUMIF(Dati!$H$2:$H$451,$H80,Dati!$K$2:$K$451))</f>
        <v>0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0</v>
      </c>
      <c r="P80" s="5">
        <f>IF($H80="",0,SUMIF(Dati!$A$2:$A$451,$H80,Dati!$F$2:$F$451)+SUMIF(Dati!$H$2:$H$451,$H80,Dati!$M$2:$M$451))</f>
        <v>0</v>
      </c>
      <c r="Q80" s="5">
        <f>IF($H80="",0,SUMIF(Dati!$A$2:$A$451,$H80,Dati!$G$2:$G$451)+SUMIF(Dati!$H$2:$H$451,$H80,Dati!$N$2:$N$451))</f>
        <v>0</v>
      </c>
      <c r="R80" s="5">
        <f t="shared" si="57"/>
        <v>0</v>
      </c>
      <c r="S80" s="5">
        <f t="shared" si="58"/>
        <v>0</v>
      </c>
      <c r="T80" s="5">
        <f t="shared" si="59"/>
        <v>0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/>
      </c>
      <c r="Y80" s="13" t="str">
        <f t="shared" si="63"/>
        <v/>
      </c>
      <c r="Z80" s="13" t="str">
        <f t="shared" si="64"/>
        <v/>
      </c>
      <c r="AA80" s="13" t="str">
        <f t="shared" si="65"/>
        <v/>
      </c>
      <c r="AB80" s="13" t="str">
        <f t="shared" si="66"/>
        <v/>
      </c>
      <c r="AC80" s="13" t="str">
        <f t="shared" si="67"/>
        <v/>
      </c>
      <c r="AD80" s="13" t="str">
        <f t="shared" si="68"/>
        <v/>
      </c>
      <c r="AE80" s="13" t="str">
        <f t="shared" si="69"/>
        <v/>
      </c>
      <c r="AF80" s="13" t="str">
        <f t="shared" si="70"/>
        <v/>
      </c>
      <c r="AG80" s="13" t="str">
        <f t="shared" si="71"/>
        <v/>
      </c>
      <c r="AH80" s="13" t="str">
        <f t="shared" si="72"/>
        <v/>
      </c>
      <c r="AJ80" s="14">
        <f t="shared" si="73"/>
        <v>0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>
        <f t="shared" si="74"/>
        <v>0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>
        <f t="shared" si="75"/>
        <v>0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>
        <f t="shared" si="76"/>
        <v>0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 t="str">
        <f t="shared" si="77"/>
        <v/>
      </c>
    </row>
    <row r="81" spans="2:84" x14ac:dyDescent="0.25">
      <c r="B81" s="5" t="s">
        <v>124</v>
      </c>
      <c r="C81" s="6"/>
      <c r="D81" s="7"/>
      <c r="E81" s="26" t="s">
        <v>117</v>
      </c>
      <c r="G81" s="27" t="str">
        <f t="shared" si="52"/>
        <v/>
      </c>
      <c r="H81" s="10" t="str">
        <f t="shared" si="53"/>
        <v/>
      </c>
      <c r="I81" s="5" t="str">
        <f t="shared" si="54"/>
        <v>|1000000000|0000000000|0000000000|0000000000|</v>
      </c>
      <c r="J81" s="27">
        <f t="shared" si="55"/>
        <v>0</v>
      </c>
      <c r="K81" s="5">
        <f t="shared" si="56"/>
        <v>0</v>
      </c>
      <c r="L81" s="5">
        <f>IF($H81="",0,SUMIF(Dati!$A$2:$A$451,$H81,Dati!$B$2:$B$451)+SUMIF(Dati!$H$2:$H$451,$H81,Dati!$I$2:$I$451))</f>
        <v>0</v>
      </c>
      <c r="M81" s="5">
        <f>IF($H81="",0,SUMIF(Dati!$A$2:$A$451,$H81,Dati!$D$2:$D$451)+SUMIF(Dati!$H$2:$H$451,$H81,Dati!$K$2:$K$451))</f>
        <v>0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0</v>
      </c>
      <c r="P81" s="5">
        <f>IF($H81="",0,SUMIF(Dati!$A$2:$A$451,$H81,Dati!$F$2:$F$451)+SUMIF(Dati!$H$2:$H$451,$H81,Dati!$M$2:$M$451))</f>
        <v>0</v>
      </c>
      <c r="Q81" s="5">
        <f>IF($H81="",0,SUMIF(Dati!$A$2:$A$451,$H81,Dati!$G$2:$G$451)+SUMIF(Dati!$H$2:$H$451,$H81,Dati!$N$2:$N$451))</f>
        <v>0</v>
      </c>
      <c r="R81" s="5">
        <f t="shared" si="57"/>
        <v>0</v>
      </c>
      <c r="S81" s="5">
        <f t="shared" si="58"/>
        <v>0</v>
      </c>
      <c r="T81" s="5">
        <f t="shared" si="59"/>
        <v>0</v>
      </c>
      <c r="U81" s="5" t="str">
        <f t="shared" si="60"/>
        <v>-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/>
      </c>
      <c r="Y81" s="13" t="str">
        <f t="shared" si="63"/>
        <v/>
      </c>
      <c r="Z81" s="13" t="str">
        <f t="shared" si="64"/>
        <v/>
      </c>
      <c r="AA81" s="13" t="str">
        <f t="shared" si="65"/>
        <v/>
      </c>
      <c r="AB81" s="13" t="str">
        <f t="shared" si="66"/>
        <v/>
      </c>
      <c r="AC81" s="13" t="str">
        <f t="shared" si="67"/>
        <v/>
      </c>
      <c r="AD81" s="13" t="str">
        <f t="shared" si="68"/>
        <v/>
      </c>
      <c r="AE81" s="13" t="str">
        <f t="shared" si="69"/>
        <v/>
      </c>
      <c r="AF81" s="13" t="str">
        <f t="shared" si="70"/>
        <v/>
      </c>
      <c r="AG81" s="13" t="str">
        <f t="shared" si="71"/>
        <v/>
      </c>
      <c r="AH81" s="13" t="str">
        <f t="shared" si="72"/>
        <v/>
      </c>
      <c r="AJ81" s="14">
        <f t="shared" si="73"/>
        <v>0</v>
      </c>
      <c r="AK81" s="15" t="str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-</v>
      </c>
      <c r="AL81" s="15" t="str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-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>
        <f t="shared" si="74"/>
        <v>0</v>
      </c>
      <c r="AW81" s="15" t="str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5" t="str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>
        <f t="shared" si="75"/>
        <v>0</v>
      </c>
      <c r="BI81" s="15" t="str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-</v>
      </c>
      <c r="BJ81" s="15" t="str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-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>
        <f t="shared" si="76"/>
        <v>0</v>
      </c>
      <c r="BU81" s="15" t="str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-</v>
      </c>
      <c r="BV81" s="15" t="str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-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 t="str">
        <f t="shared" si="77"/>
        <v/>
      </c>
    </row>
    <row r="82" spans="2:84" x14ac:dyDescent="0.25">
      <c r="B82" s="5" t="s">
        <v>125</v>
      </c>
      <c r="C82" s="6"/>
      <c r="D82" s="7"/>
      <c r="E82" s="26" t="s">
        <v>117</v>
      </c>
      <c r="G82" s="27" t="str">
        <f t="shared" si="52"/>
        <v/>
      </c>
      <c r="H82" s="10" t="str">
        <f t="shared" si="53"/>
        <v/>
      </c>
      <c r="I82" s="5" t="str">
        <f t="shared" si="54"/>
        <v>|1000000000|0000000000|0000000000|0000000000|</v>
      </c>
      <c r="J82" s="27">
        <f t="shared" si="55"/>
        <v>0</v>
      </c>
      <c r="K82" s="5">
        <f t="shared" si="56"/>
        <v>0</v>
      </c>
      <c r="L82" s="5">
        <f>IF($H82="",0,SUMIF(Dati!$A$2:$A$451,$H82,Dati!$B$2:$B$451)+SUMIF(Dati!$H$2:$H$451,$H82,Dati!$I$2:$I$451))</f>
        <v>0</v>
      </c>
      <c r="M82" s="5">
        <f>IF($H82="",0,SUMIF(Dati!$A$2:$A$451,$H82,Dati!$D$2:$D$451)+SUMIF(Dati!$H$2:$H$451,$H82,Dati!$K$2:$K$451))</f>
        <v>0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0</v>
      </c>
      <c r="P82" s="5">
        <f>IF($H82="",0,SUMIF(Dati!$A$2:$A$451,$H82,Dati!$F$2:$F$451)+SUMIF(Dati!$H$2:$H$451,$H82,Dati!$M$2:$M$451))</f>
        <v>0</v>
      </c>
      <c r="Q82" s="5">
        <f>IF($H82="",0,SUMIF(Dati!$A$2:$A$451,$H82,Dati!$G$2:$G$451)+SUMIF(Dati!$H$2:$H$451,$H82,Dati!$N$2:$N$451))</f>
        <v>0</v>
      </c>
      <c r="R82" s="5">
        <f t="shared" si="57"/>
        <v>0</v>
      </c>
      <c r="S82" s="5">
        <f t="shared" si="58"/>
        <v>0</v>
      </c>
      <c r="T82" s="5">
        <f t="shared" si="59"/>
        <v>0</v>
      </c>
      <c r="U82" s="5" t="str">
        <f t="shared" si="60"/>
        <v>-</v>
      </c>
      <c r="V82" s="11" t="str">
        <f t="shared" si="61"/>
        <v>-</v>
      </c>
      <c r="W82" s="11" t="str">
        <f t="shared" si="62"/>
        <v>-</v>
      </c>
      <c r="X82" s="12" t="str">
        <f>IF($C82="","",$E82&amp;"#"&amp;COUNTIFS($E$14:$E82,$E82,$C$14:$C82,"&lt;&gt;"))</f>
        <v/>
      </c>
      <c r="Y82" s="13" t="str">
        <f t="shared" si="63"/>
        <v/>
      </c>
      <c r="Z82" s="13" t="str">
        <f t="shared" si="64"/>
        <v/>
      </c>
      <c r="AA82" s="13" t="str">
        <f t="shared" si="65"/>
        <v/>
      </c>
      <c r="AB82" s="13" t="str">
        <f t="shared" si="66"/>
        <v/>
      </c>
      <c r="AC82" s="13" t="str">
        <f t="shared" si="67"/>
        <v/>
      </c>
      <c r="AD82" s="13" t="str">
        <f t="shared" si="68"/>
        <v/>
      </c>
      <c r="AE82" s="13" t="str">
        <f t="shared" si="69"/>
        <v/>
      </c>
      <c r="AF82" s="13" t="str">
        <f t="shared" si="70"/>
        <v/>
      </c>
      <c r="AG82" s="13" t="str">
        <f t="shared" si="71"/>
        <v/>
      </c>
      <c r="AH82" s="13" t="str">
        <f t="shared" si="72"/>
        <v/>
      </c>
      <c r="AJ82" s="14">
        <f t="shared" si="73"/>
        <v>0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 t="str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-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 t="str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-</v>
      </c>
      <c r="AV82" s="14">
        <f t="shared" si="74"/>
        <v>0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 t="str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 t="str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-</v>
      </c>
      <c r="BH82" s="14">
        <f t="shared" si="75"/>
        <v>0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 t="str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-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 t="str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-</v>
      </c>
      <c r="BT82" s="14">
        <f t="shared" si="76"/>
        <v>0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 t="str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-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 t="str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-</v>
      </c>
      <c r="CF82" s="15" t="str">
        <f t="shared" si="77"/>
        <v/>
      </c>
    </row>
    <row r="83" spans="2:84" x14ac:dyDescent="0.25">
      <c r="B83" s="5" t="s">
        <v>126</v>
      </c>
      <c r="C83" s="6"/>
      <c r="D83" s="7"/>
      <c r="E83" s="26" t="s">
        <v>117</v>
      </c>
      <c r="G83" s="27" t="str">
        <f t="shared" si="52"/>
        <v/>
      </c>
      <c r="H83" s="10" t="str">
        <f t="shared" si="53"/>
        <v/>
      </c>
      <c r="I83" s="5" t="str">
        <f t="shared" si="54"/>
        <v>|1000000000|0000000000|0000000000|0000000000|</v>
      </c>
      <c r="J83" s="27">
        <f t="shared" si="55"/>
        <v>0</v>
      </c>
      <c r="K83" s="5">
        <f t="shared" si="56"/>
        <v>0</v>
      </c>
      <c r="L83" s="5">
        <f>IF($H83="",0,SUMIF(Dati!$A$2:$A$451,$H83,Dati!$B$2:$B$451)+SUMIF(Dati!$H$2:$H$451,$H83,Dati!$I$2:$I$451))</f>
        <v>0</v>
      </c>
      <c r="M83" s="5">
        <f>IF($H83="",0,SUMIF(Dati!$A$2:$A$451,$H83,Dati!$D$2:$D$451)+SUMIF(Dati!$H$2:$H$451,$H83,Dati!$K$2:$K$451))</f>
        <v>0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0</v>
      </c>
      <c r="P83" s="5">
        <f>IF($H83="",0,SUMIF(Dati!$A$2:$A$451,$H83,Dati!$F$2:$F$451)+SUMIF(Dati!$H$2:$H$451,$H83,Dati!$M$2:$M$451))</f>
        <v>0</v>
      </c>
      <c r="Q83" s="5">
        <f>IF($H83="",0,SUMIF(Dati!$A$2:$A$451,$H83,Dati!$G$2:$G$451)+SUMIF(Dati!$H$2:$H$451,$H83,Dati!$N$2:$N$451))</f>
        <v>0</v>
      </c>
      <c r="R83" s="5">
        <f t="shared" si="57"/>
        <v>0</v>
      </c>
      <c r="S83" s="5">
        <f t="shared" si="58"/>
        <v>0</v>
      </c>
      <c r="T83" s="5">
        <f t="shared" si="59"/>
        <v>0</v>
      </c>
      <c r="U83" s="5" t="str">
        <f t="shared" si="60"/>
        <v>-</v>
      </c>
      <c r="V83" s="11" t="str">
        <f t="shared" si="61"/>
        <v>-</v>
      </c>
      <c r="W83" s="11" t="str">
        <f t="shared" si="62"/>
        <v>-</v>
      </c>
      <c r="X83" s="12" t="str">
        <f>IF($C83="","",$E83&amp;"#"&amp;COUNTIFS($E$14:$E83,$E83,$C$14:$C83,"&lt;&gt;"))</f>
        <v/>
      </c>
      <c r="Y83" s="13" t="str">
        <f t="shared" si="63"/>
        <v/>
      </c>
      <c r="Z83" s="13" t="str">
        <f t="shared" si="64"/>
        <v/>
      </c>
      <c r="AA83" s="13" t="str">
        <f t="shared" si="65"/>
        <v/>
      </c>
      <c r="AB83" s="13" t="str">
        <f t="shared" si="66"/>
        <v/>
      </c>
      <c r="AC83" s="13" t="str">
        <f t="shared" si="67"/>
        <v/>
      </c>
      <c r="AD83" s="13" t="str">
        <f t="shared" si="68"/>
        <v/>
      </c>
      <c r="AE83" s="13" t="str">
        <f t="shared" si="69"/>
        <v/>
      </c>
      <c r="AF83" s="13" t="str">
        <f t="shared" si="70"/>
        <v/>
      </c>
      <c r="AG83" s="13" t="str">
        <f t="shared" si="71"/>
        <v/>
      </c>
      <c r="AH83" s="13" t="str">
        <f t="shared" si="72"/>
        <v/>
      </c>
      <c r="AJ83" s="14">
        <f t="shared" si="73"/>
        <v>0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 t="str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-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 t="str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-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>
        <f t="shared" si="74"/>
        <v>0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 t="str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 t="str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>
        <f t="shared" si="75"/>
        <v>0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 t="str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-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 t="str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-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>
        <f t="shared" si="76"/>
        <v>0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 t="str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-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 t="str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-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 t="str">
        <f t="shared" si="77"/>
        <v/>
      </c>
    </row>
    <row r="84" spans="2:84" x14ac:dyDescent="0.25">
      <c r="B84" s="5" t="s">
        <v>127</v>
      </c>
      <c r="C84" s="6"/>
      <c r="D84" s="7"/>
      <c r="E84" s="28" t="s">
        <v>128</v>
      </c>
      <c r="G84" s="29" t="str">
        <f t="shared" si="52"/>
        <v/>
      </c>
      <c r="H84" s="10" t="str">
        <f t="shared" si="53"/>
        <v/>
      </c>
      <c r="I84" s="5" t="str">
        <f t="shared" si="54"/>
        <v>|1000000000|0000000000|0000000000|0000000000|</v>
      </c>
      <c r="J84" s="29">
        <f t="shared" si="55"/>
        <v>0</v>
      </c>
      <c r="K84" s="5">
        <f t="shared" si="56"/>
        <v>0</v>
      </c>
      <c r="L84" s="5">
        <f>IF($H84="",0,SUMIF(Dati!$A$2:$A$451,$H84,Dati!$B$2:$B$451)+SUMIF(Dati!$H$2:$H$451,$H84,Dati!$I$2:$I$451))</f>
        <v>0</v>
      </c>
      <c r="M84" s="5">
        <f>IF($H84="",0,SUMIF(Dati!$A$2:$A$451,$H84,Dati!$D$2:$D$451)+SUMIF(Dati!$H$2:$H$451,$H84,Dati!$K$2:$K$451))</f>
        <v>0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0</v>
      </c>
      <c r="P84" s="5">
        <f>IF($H84="",0,SUMIF(Dati!$A$2:$A$451,$H84,Dati!$F$2:$F$451)+SUMIF(Dati!$H$2:$H$451,$H84,Dati!$M$2:$M$451))</f>
        <v>0</v>
      </c>
      <c r="Q84" s="5">
        <f>IF($H84="",0,SUMIF(Dati!$A$2:$A$451,$H84,Dati!$G$2:$G$451)+SUMIF(Dati!$H$2:$H$451,$H84,Dati!$N$2:$N$451))</f>
        <v>0</v>
      </c>
      <c r="R84" s="5">
        <f t="shared" si="57"/>
        <v>0</v>
      </c>
      <c r="S84" s="5">
        <f t="shared" si="58"/>
        <v>0</v>
      </c>
      <c r="T84" s="5">
        <f t="shared" si="59"/>
        <v>0</v>
      </c>
      <c r="U84" s="5" t="str">
        <f t="shared" si="60"/>
        <v>-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/>
      </c>
      <c r="Y84" s="13" t="str">
        <f t="shared" si="63"/>
        <v/>
      </c>
      <c r="Z84" s="13" t="str">
        <f t="shared" si="64"/>
        <v/>
      </c>
      <c r="AA84" s="13" t="str">
        <f t="shared" si="65"/>
        <v/>
      </c>
      <c r="AB84" s="13" t="str">
        <f t="shared" si="66"/>
        <v/>
      </c>
      <c r="AC84" s="13" t="str">
        <f t="shared" si="67"/>
        <v/>
      </c>
      <c r="AD84" s="13" t="str">
        <f t="shared" si="68"/>
        <v/>
      </c>
      <c r="AE84" s="13" t="str">
        <f t="shared" si="69"/>
        <v/>
      </c>
      <c r="AF84" s="13" t="str">
        <f t="shared" si="70"/>
        <v/>
      </c>
      <c r="AG84" s="13" t="str">
        <f t="shared" si="71"/>
        <v/>
      </c>
      <c r="AH84" s="13" t="str">
        <f t="shared" si="72"/>
        <v/>
      </c>
      <c r="AJ84" s="14">
        <f t="shared" si="73"/>
        <v>0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 t="str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-</v>
      </c>
      <c r="AV84" s="14">
        <f t="shared" si="74"/>
        <v>0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 t="str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4">
        <f t="shared" si="75"/>
        <v>0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 t="str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-</v>
      </c>
      <c r="BT84" s="14">
        <f t="shared" si="76"/>
        <v>0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 t="str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-</v>
      </c>
      <c r="CF84" s="15" t="str">
        <f t="shared" si="77"/>
        <v/>
      </c>
    </row>
    <row r="85" spans="2:84" x14ac:dyDescent="0.25">
      <c r="B85" s="5" t="s">
        <v>129</v>
      </c>
      <c r="C85" s="6"/>
      <c r="D85" s="7"/>
      <c r="E85" s="28" t="s">
        <v>128</v>
      </c>
      <c r="G85" s="29" t="str">
        <f t="shared" si="52"/>
        <v/>
      </c>
      <c r="H85" s="10" t="str">
        <f t="shared" si="53"/>
        <v/>
      </c>
      <c r="I85" s="5" t="str">
        <f t="shared" si="54"/>
        <v>|1000000000|0000000000|0000000000|0000000000|</v>
      </c>
      <c r="J85" s="29">
        <f t="shared" si="55"/>
        <v>0</v>
      </c>
      <c r="K85" s="5">
        <f t="shared" si="56"/>
        <v>0</v>
      </c>
      <c r="L85" s="5">
        <f>IF($H85="",0,SUMIF(Dati!$A$2:$A$451,$H85,Dati!$B$2:$B$451)+SUMIF(Dati!$H$2:$H$451,$H85,Dati!$I$2:$I$451))</f>
        <v>0</v>
      </c>
      <c r="M85" s="5">
        <f>IF($H85="",0,SUMIF(Dati!$A$2:$A$451,$H85,Dati!$D$2:$D$451)+SUMIF(Dati!$H$2:$H$451,$H85,Dati!$K$2:$K$451))</f>
        <v>0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0</v>
      </c>
      <c r="P85" s="5">
        <f>IF($H85="",0,SUMIF(Dati!$A$2:$A$451,$H85,Dati!$F$2:$F$451)+SUMIF(Dati!$H$2:$H$451,$H85,Dati!$M$2:$M$451))</f>
        <v>0</v>
      </c>
      <c r="Q85" s="5">
        <f>IF($H85="",0,SUMIF(Dati!$A$2:$A$451,$H85,Dati!$G$2:$G$451)+SUMIF(Dati!$H$2:$H$451,$H85,Dati!$N$2:$N$451))</f>
        <v>0</v>
      </c>
      <c r="R85" s="5">
        <f t="shared" si="57"/>
        <v>0</v>
      </c>
      <c r="S85" s="5">
        <f t="shared" si="58"/>
        <v>0</v>
      </c>
      <c r="T85" s="5">
        <f t="shared" si="59"/>
        <v>0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/>
      </c>
      <c r="Y85" s="13" t="str">
        <f t="shared" si="63"/>
        <v/>
      </c>
      <c r="Z85" s="13" t="str">
        <f t="shared" si="64"/>
        <v/>
      </c>
      <c r="AA85" s="13" t="str">
        <f t="shared" si="65"/>
        <v/>
      </c>
      <c r="AB85" s="13" t="str">
        <f t="shared" si="66"/>
        <v/>
      </c>
      <c r="AC85" s="13" t="str">
        <f t="shared" si="67"/>
        <v/>
      </c>
      <c r="AD85" s="13" t="str">
        <f t="shared" si="68"/>
        <v/>
      </c>
      <c r="AE85" s="13" t="str">
        <f t="shared" si="69"/>
        <v/>
      </c>
      <c r="AF85" s="13" t="str">
        <f t="shared" si="70"/>
        <v/>
      </c>
      <c r="AG85" s="13" t="str">
        <f t="shared" si="71"/>
        <v/>
      </c>
      <c r="AH85" s="13" t="str">
        <f t="shared" si="72"/>
        <v/>
      </c>
      <c r="AJ85" s="14">
        <f t="shared" si="73"/>
        <v>0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>
        <f t="shared" si="74"/>
        <v>0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>
        <f t="shared" si="75"/>
        <v>0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>
        <f t="shared" si="76"/>
        <v>0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 t="str">
        <f t="shared" si="77"/>
        <v/>
      </c>
    </row>
    <row r="86" spans="2:84" x14ac:dyDescent="0.25">
      <c r="B86" s="5" t="s">
        <v>130</v>
      </c>
      <c r="C86" s="6"/>
      <c r="D86" s="7"/>
      <c r="E86" s="28" t="s">
        <v>128</v>
      </c>
      <c r="G86" s="29" t="str">
        <f t="shared" si="52"/>
        <v/>
      </c>
      <c r="H86" s="10" t="str">
        <f t="shared" si="53"/>
        <v/>
      </c>
      <c r="I86" s="5" t="str">
        <f t="shared" si="54"/>
        <v>|1000000000|0000000000|0000000000|0000000000|</v>
      </c>
      <c r="J86" s="29">
        <f t="shared" si="55"/>
        <v>0</v>
      </c>
      <c r="K86" s="5">
        <f t="shared" si="56"/>
        <v>0</v>
      </c>
      <c r="L86" s="5">
        <f>IF($H86="",0,SUMIF(Dati!$A$2:$A$451,$H86,Dati!$B$2:$B$451)+SUMIF(Dati!$H$2:$H$451,$H86,Dati!$I$2:$I$451))</f>
        <v>0</v>
      </c>
      <c r="M86" s="5">
        <f>IF($H86="",0,SUMIF(Dati!$A$2:$A$451,$H86,Dati!$D$2:$D$451)+SUMIF(Dati!$H$2:$H$451,$H86,Dati!$K$2:$K$451))</f>
        <v>0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0</v>
      </c>
      <c r="P86" s="5">
        <f>IF($H86="",0,SUMIF(Dati!$A$2:$A$451,$H86,Dati!$F$2:$F$451)+SUMIF(Dati!$H$2:$H$451,$H86,Dati!$M$2:$M$451))</f>
        <v>0</v>
      </c>
      <c r="Q86" s="5">
        <f>IF($H86="",0,SUMIF(Dati!$A$2:$A$451,$H86,Dati!$G$2:$G$451)+SUMIF(Dati!$H$2:$H$451,$H86,Dati!$N$2:$N$451))</f>
        <v>0</v>
      </c>
      <c r="R86" s="5">
        <f t="shared" si="57"/>
        <v>0</v>
      </c>
      <c r="S86" s="5">
        <f t="shared" si="58"/>
        <v>0</v>
      </c>
      <c r="T86" s="5">
        <f t="shared" si="59"/>
        <v>0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/>
      </c>
      <c r="Y86" s="13" t="str">
        <f t="shared" si="63"/>
        <v/>
      </c>
      <c r="Z86" s="13" t="str">
        <f t="shared" si="64"/>
        <v/>
      </c>
      <c r="AA86" s="13" t="str">
        <f t="shared" si="65"/>
        <v/>
      </c>
      <c r="AB86" s="13" t="str">
        <f t="shared" si="66"/>
        <v/>
      </c>
      <c r="AC86" s="13" t="str">
        <f t="shared" si="67"/>
        <v/>
      </c>
      <c r="AD86" s="13" t="str">
        <f t="shared" si="68"/>
        <v/>
      </c>
      <c r="AE86" s="13" t="str">
        <f t="shared" si="69"/>
        <v/>
      </c>
      <c r="AF86" s="13" t="str">
        <f t="shared" si="70"/>
        <v/>
      </c>
      <c r="AG86" s="13" t="str">
        <f t="shared" si="71"/>
        <v/>
      </c>
      <c r="AH86" s="13" t="str">
        <f t="shared" si="72"/>
        <v/>
      </c>
      <c r="AJ86" s="14">
        <f t="shared" si="73"/>
        <v>0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>
        <f t="shared" si="74"/>
        <v>0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>
        <f t="shared" si="75"/>
        <v>0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>
        <f t="shared" si="76"/>
        <v>0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 t="str">
        <f t="shared" si="77"/>
        <v/>
      </c>
    </row>
    <row r="87" spans="2:84" x14ac:dyDescent="0.25">
      <c r="B87" s="5" t="s">
        <v>131</v>
      </c>
      <c r="C87" s="6"/>
      <c r="D87" s="7"/>
      <c r="E87" s="28" t="s">
        <v>128</v>
      </c>
      <c r="G87" s="29" t="str">
        <f t="shared" si="52"/>
        <v/>
      </c>
      <c r="H87" s="10" t="str">
        <f t="shared" si="53"/>
        <v/>
      </c>
      <c r="I87" s="5" t="str">
        <f t="shared" si="54"/>
        <v>|1000000000|0000000000|0000000000|0000000000|</v>
      </c>
      <c r="J87" s="29">
        <f t="shared" si="55"/>
        <v>0</v>
      </c>
      <c r="K87" s="5">
        <f t="shared" si="56"/>
        <v>0</v>
      </c>
      <c r="L87" s="5">
        <f>IF($H87="",0,SUMIF(Dati!$A$2:$A$451,$H87,Dati!$B$2:$B$451)+SUMIF(Dati!$H$2:$H$451,$H87,Dati!$I$2:$I$451))</f>
        <v>0</v>
      </c>
      <c r="M87" s="5">
        <f>IF($H87="",0,SUMIF(Dati!$A$2:$A$451,$H87,Dati!$D$2:$D$451)+SUMIF(Dati!$H$2:$H$451,$H87,Dati!$K$2:$K$451))</f>
        <v>0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0</v>
      </c>
      <c r="P87" s="5">
        <f>IF($H87="",0,SUMIF(Dati!$A$2:$A$451,$H87,Dati!$F$2:$F$451)+SUMIF(Dati!$H$2:$H$451,$H87,Dati!$M$2:$M$451))</f>
        <v>0</v>
      </c>
      <c r="Q87" s="5">
        <f>IF($H87="",0,SUMIF(Dati!$A$2:$A$451,$H87,Dati!$G$2:$G$451)+SUMIF(Dati!$H$2:$H$451,$H87,Dati!$N$2:$N$451))</f>
        <v>0</v>
      </c>
      <c r="R87" s="5">
        <f t="shared" si="57"/>
        <v>0</v>
      </c>
      <c r="S87" s="5">
        <f t="shared" si="58"/>
        <v>0</v>
      </c>
      <c r="T87" s="5">
        <f t="shared" si="59"/>
        <v>0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/>
      </c>
      <c r="Y87" s="13" t="str">
        <f t="shared" si="63"/>
        <v/>
      </c>
      <c r="Z87" s="13" t="str">
        <f t="shared" si="64"/>
        <v/>
      </c>
      <c r="AA87" s="13" t="str">
        <f t="shared" si="65"/>
        <v/>
      </c>
      <c r="AB87" s="13" t="str">
        <f t="shared" si="66"/>
        <v/>
      </c>
      <c r="AC87" s="13" t="str">
        <f t="shared" si="67"/>
        <v/>
      </c>
      <c r="AD87" s="13" t="str">
        <f t="shared" si="68"/>
        <v/>
      </c>
      <c r="AE87" s="13" t="str">
        <f t="shared" si="69"/>
        <v/>
      </c>
      <c r="AF87" s="13" t="str">
        <f t="shared" si="70"/>
        <v/>
      </c>
      <c r="AG87" s="13" t="str">
        <f t="shared" si="71"/>
        <v/>
      </c>
      <c r="AH87" s="13" t="str">
        <f t="shared" si="72"/>
        <v/>
      </c>
      <c r="AJ87" s="14">
        <f t="shared" si="73"/>
        <v>0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>
        <f t="shared" si="74"/>
        <v>0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>
        <f t="shared" si="75"/>
        <v>0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>
        <f t="shared" si="76"/>
        <v>0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 t="str">
        <f t="shared" si="77"/>
        <v/>
      </c>
    </row>
    <row r="88" spans="2:84" x14ac:dyDescent="0.25">
      <c r="B88" s="5" t="s">
        <v>132</v>
      </c>
      <c r="C88" s="6"/>
      <c r="D88" s="7"/>
      <c r="E88" s="28" t="s">
        <v>128</v>
      </c>
      <c r="G88" s="29" t="str">
        <f t="shared" si="52"/>
        <v/>
      </c>
      <c r="H88" s="10" t="str">
        <f t="shared" si="53"/>
        <v/>
      </c>
      <c r="I88" s="5" t="str">
        <f t="shared" si="54"/>
        <v>|1000000000|0000000000|0000000000|0000000000|</v>
      </c>
      <c r="J88" s="29">
        <f t="shared" si="55"/>
        <v>0</v>
      </c>
      <c r="K88" s="5">
        <f t="shared" si="56"/>
        <v>0</v>
      </c>
      <c r="L88" s="5">
        <f>IF($H88="",0,SUMIF(Dati!$A$2:$A$451,$H88,Dati!$B$2:$B$451)+SUMIF(Dati!$H$2:$H$451,$H88,Dati!$I$2:$I$451))</f>
        <v>0</v>
      </c>
      <c r="M88" s="5">
        <f>IF($H88="",0,SUMIF(Dati!$A$2:$A$451,$H88,Dati!$D$2:$D$451)+SUMIF(Dati!$H$2:$H$451,$H88,Dati!$K$2:$K$451))</f>
        <v>0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0</v>
      </c>
      <c r="P88" s="5">
        <f>IF($H88="",0,SUMIF(Dati!$A$2:$A$451,$H88,Dati!$F$2:$F$451)+SUMIF(Dati!$H$2:$H$451,$H88,Dati!$M$2:$M$451))</f>
        <v>0</v>
      </c>
      <c r="Q88" s="5">
        <f>IF($H88="",0,SUMIF(Dati!$A$2:$A$451,$H88,Dati!$G$2:$G$451)+SUMIF(Dati!$H$2:$H$451,$H88,Dati!$N$2:$N$451))</f>
        <v>0</v>
      </c>
      <c r="R88" s="5">
        <f t="shared" si="57"/>
        <v>0</v>
      </c>
      <c r="S88" s="5">
        <f t="shared" si="58"/>
        <v>0</v>
      </c>
      <c r="T88" s="5">
        <f t="shared" si="59"/>
        <v>0</v>
      </c>
      <c r="U88" s="5" t="str">
        <f t="shared" si="60"/>
        <v>-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/>
      </c>
      <c r="Y88" s="13" t="str">
        <f t="shared" si="63"/>
        <v/>
      </c>
      <c r="Z88" s="13" t="str">
        <f t="shared" si="64"/>
        <v/>
      </c>
      <c r="AA88" s="13" t="str">
        <f t="shared" si="65"/>
        <v/>
      </c>
      <c r="AB88" s="13" t="str">
        <f t="shared" si="66"/>
        <v/>
      </c>
      <c r="AC88" s="13" t="str">
        <f t="shared" si="67"/>
        <v/>
      </c>
      <c r="AD88" s="13" t="str">
        <f t="shared" si="68"/>
        <v/>
      </c>
      <c r="AE88" s="13" t="str">
        <f t="shared" si="69"/>
        <v/>
      </c>
      <c r="AF88" s="13" t="str">
        <f t="shared" si="70"/>
        <v/>
      </c>
      <c r="AG88" s="13" t="str">
        <f t="shared" si="71"/>
        <v/>
      </c>
      <c r="AH88" s="13" t="str">
        <f t="shared" si="72"/>
        <v/>
      </c>
      <c r="AJ88" s="14">
        <f t="shared" si="73"/>
        <v>0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 t="str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-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>
        <f t="shared" si="74"/>
        <v>0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 t="str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>
        <f t="shared" si="75"/>
        <v>0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 t="str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-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>
        <f t="shared" si="76"/>
        <v>0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 t="str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-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 t="str">
        <f t="shared" si="77"/>
        <v/>
      </c>
    </row>
    <row r="89" spans="2:84" x14ac:dyDescent="0.25">
      <c r="B89" s="5" t="s">
        <v>133</v>
      </c>
      <c r="C89" s="6"/>
      <c r="D89" s="7"/>
      <c r="E89" s="28" t="s">
        <v>128</v>
      </c>
      <c r="G89" s="29" t="str">
        <f t="shared" si="52"/>
        <v/>
      </c>
      <c r="H89" s="10" t="str">
        <f t="shared" si="53"/>
        <v/>
      </c>
      <c r="I89" s="5" t="str">
        <f t="shared" si="54"/>
        <v>|1000000000|0000000000|0000000000|0000000000|</v>
      </c>
      <c r="J89" s="29">
        <f t="shared" si="55"/>
        <v>0</v>
      </c>
      <c r="K89" s="5">
        <f t="shared" si="56"/>
        <v>0</v>
      </c>
      <c r="L89" s="5">
        <f>IF($H89="",0,SUMIF(Dati!$A$2:$A$451,$H89,Dati!$B$2:$B$451)+SUMIF(Dati!$H$2:$H$451,$H89,Dati!$I$2:$I$451))</f>
        <v>0</v>
      </c>
      <c r="M89" s="5">
        <f>IF($H89="",0,SUMIF(Dati!$A$2:$A$451,$H89,Dati!$D$2:$D$451)+SUMIF(Dati!$H$2:$H$451,$H89,Dati!$K$2:$K$451))</f>
        <v>0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0</v>
      </c>
      <c r="P89" s="5">
        <f>IF($H89="",0,SUMIF(Dati!$A$2:$A$451,$H89,Dati!$F$2:$F$451)+SUMIF(Dati!$H$2:$H$451,$H89,Dati!$M$2:$M$451))</f>
        <v>0</v>
      </c>
      <c r="Q89" s="5">
        <f>IF($H89="",0,SUMIF(Dati!$A$2:$A$451,$H89,Dati!$G$2:$G$451)+SUMIF(Dati!$H$2:$H$451,$H89,Dati!$N$2:$N$451))</f>
        <v>0</v>
      </c>
      <c r="R89" s="5">
        <f t="shared" si="57"/>
        <v>0</v>
      </c>
      <c r="S89" s="5">
        <f t="shared" si="58"/>
        <v>0</v>
      </c>
      <c r="T89" s="5">
        <f t="shared" si="59"/>
        <v>0</v>
      </c>
      <c r="U89" s="5" t="str">
        <f t="shared" si="60"/>
        <v>-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/>
      </c>
      <c r="Y89" s="13" t="str">
        <f t="shared" si="63"/>
        <v/>
      </c>
      <c r="Z89" s="13" t="str">
        <f t="shared" si="64"/>
        <v/>
      </c>
      <c r="AA89" s="13" t="str">
        <f t="shared" si="65"/>
        <v/>
      </c>
      <c r="AB89" s="13" t="str">
        <f t="shared" si="66"/>
        <v/>
      </c>
      <c r="AC89" s="13" t="str">
        <f t="shared" si="67"/>
        <v/>
      </c>
      <c r="AD89" s="13" t="str">
        <f t="shared" si="68"/>
        <v/>
      </c>
      <c r="AE89" s="13" t="str">
        <f t="shared" si="69"/>
        <v/>
      </c>
      <c r="AF89" s="13" t="str">
        <f t="shared" si="70"/>
        <v/>
      </c>
      <c r="AG89" s="13" t="str">
        <f t="shared" si="71"/>
        <v/>
      </c>
      <c r="AH89" s="13" t="str">
        <f t="shared" si="72"/>
        <v/>
      </c>
      <c r="AJ89" s="14">
        <f t="shared" si="73"/>
        <v>0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 t="str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-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>
        <f t="shared" si="74"/>
        <v>0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 t="str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>
        <f t="shared" si="75"/>
        <v>0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 t="str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-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>
        <f t="shared" si="76"/>
        <v>0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 t="str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-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 t="str">
        <f t="shared" si="77"/>
        <v/>
      </c>
    </row>
    <row r="90" spans="2:84" x14ac:dyDescent="0.25">
      <c r="B90" s="5" t="s">
        <v>134</v>
      </c>
      <c r="C90" s="6"/>
      <c r="D90" s="7"/>
      <c r="E90" s="28" t="s">
        <v>128</v>
      </c>
      <c r="G90" s="29" t="str">
        <f t="shared" si="52"/>
        <v/>
      </c>
      <c r="H90" s="10" t="str">
        <f t="shared" si="53"/>
        <v/>
      </c>
      <c r="I90" s="5" t="str">
        <f t="shared" si="54"/>
        <v>|1000000000|0000000000|0000000000|0000000000|</v>
      </c>
      <c r="J90" s="29">
        <f t="shared" si="55"/>
        <v>0</v>
      </c>
      <c r="K90" s="5">
        <f t="shared" si="56"/>
        <v>0</v>
      </c>
      <c r="L90" s="5">
        <f>IF($H90="",0,SUMIF(Dati!$A$2:$A$451,$H90,Dati!$B$2:$B$451)+SUMIF(Dati!$H$2:$H$451,$H90,Dati!$I$2:$I$451))</f>
        <v>0</v>
      </c>
      <c r="M90" s="5">
        <f>IF($H90="",0,SUMIF(Dati!$A$2:$A$451,$H90,Dati!$D$2:$D$451)+SUMIF(Dati!$H$2:$H$451,$H90,Dati!$K$2:$K$451))</f>
        <v>0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0</v>
      </c>
      <c r="P90" s="5">
        <f>IF($H90="",0,SUMIF(Dati!$A$2:$A$451,$H90,Dati!$F$2:$F$451)+SUMIF(Dati!$H$2:$H$451,$H90,Dati!$M$2:$M$451))</f>
        <v>0</v>
      </c>
      <c r="Q90" s="5">
        <f>IF($H90="",0,SUMIF(Dati!$A$2:$A$451,$H90,Dati!$G$2:$G$451)+SUMIF(Dati!$H$2:$H$451,$H90,Dati!$N$2:$N$451))</f>
        <v>0</v>
      </c>
      <c r="R90" s="5">
        <f t="shared" si="57"/>
        <v>0</v>
      </c>
      <c r="S90" s="5">
        <f t="shared" si="58"/>
        <v>0</v>
      </c>
      <c r="T90" s="5">
        <f t="shared" si="59"/>
        <v>0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/>
      </c>
      <c r="Y90" s="13" t="str">
        <f t="shared" si="63"/>
        <v/>
      </c>
      <c r="Z90" s="13" t="str">
        <f t="shared" si="64"/>
        <v/>
      </c>
      <c r="AA90" s="13" t="str">
        <f t="shared" si="65"/>
        <v/>
      </c>
      <c r="AB90" s="13" t="str">
        <f t="shared" si="66"/>
        <v/>
      </c>
      <c r="AC90" s="13" t="str">
        <f t="shared" si="67"/>
        <v/>
      </c>
      <c r="AD90" s="13" t="str">
        <f t="shared" si="68"/>
        <v/>
      </c>
      <c r="AE90" s="13" t="str">
        <f t="shared" si="69"/>
        <v/>
      </c>
      <c r="AF90" s="13" t="str">
        <f t="shared" si="70"/>
        <v/>
      </c>
      <c r="AG90" s="13" t="str">
        <f t="shared" si="71"/>
        <v/>
      </c>
      <c r="AH90" s="13" t="str">
        <f t="shared" si="72"/>
        <v/>
      </c>
      <c r="AJ90" s="14">
        <f t="shared" si="73"/>
        <v>0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>
        <f t="shared" si="74"/>
        <v>0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>
        <f t="shared" si="75"/>
        <v>0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>
        <f t="shared" si="76"/>
        <v>0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 t="str">
        <f t="shared" si="77"/>
        <v/>
      </c>
    </row>
    <row r="91" spans="2:84" x14ac:dyDescent="0.25">
      <c r="B91" s="5" t="s">
        <v>135</v>
      </c>
      <c r="C91" s="6"/>
      <c r="D91" s="7"/>
      <c r="E91" s="28" t="s">
        <v>128</v>
      </c>
      <c r="G91" s="29" t="str">
        <f t="shared" si="52"/>
        <v/>
      </c>
      <c r="H91" s="10" t="str">
        <f t="shared" si="53"/>
        <v/>
      </c>
      <c r="I91" s="5" t="str">
        <f t="shared" si="54"/>
        <v>|1000000000|0000000000|0000000000|0000000000|</v>
      </c>
      <c r="J91" s="29">
        <f t="shared" si="55"/>
        <v>0</v>
      </c>
      <c r="K91" s="5">
        <f t="shared" si="56"/>
        <v>0</v>
      </c>
      <c r="L91" s="5">
        <f>IF($H91="",0,SUMIF(Dati!$A$2:$A$451,$H91,Dati!$B$2:$B$451)+SUMIF(Dati!$H$2:$H$451,$H91,Dati!$I$2:$I$451))</f>
        <v>0</v>
      </c>
      <c r="M91" s="5">
        <f>IF($H91="",0,SUMIF(Dati!$A$2:$A$451,$H91,Dati!$D$2:$D$451)+SUMIF(Dati!$H$2:$H$451,$H91,Dati!$K$2:$K$451))</f>
        <v>0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0</v>
      </c>
      <c r="P91" s="5">
        <f>IF($H91="",0,SUMIF(Dati!$A$2:$A$451,$H91,Dati!$F$2:$F$451)+SUMIF(Dati!$H$2:$H$451,$H91,Dati!$M$2:$M$451))</f>
        <v>0</v>
      </c>
      <c r="Q91" s="5">
        <f>IF($H91="",0,SUMIF(Dati!$A$2:$A$451,$H91,Dati!$G$2:$G$451)+SUMIF(Dati!$H$2:$H$451,$H91,Dati!$N$2:$N$451))</f>
        <v>0</v>
      </c>
      <c r="R91" s="5">
        <f t="shared" si="57"/>
        <v>0</v>
      </c>
      <c r="S91" s="5">
        <f t="shared" si="58"/>
        <v>0</v>
      </c>
      <c r="T91" s="5">
        <f t="shared" si="59"/>
        <v>0</v>
      </c>
      <c r="U91" s="5" t="str">
        <f t="shared" si="60"/>
        <v>-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/>
      </c>
      <c r="Y91" s="13" t="str">
        <f t="shared" si="63"/>
        <v/>
      </c>
      <c r="Z91" s="13" t="str">
        <f t="shared" si="64"/>
        <v/>
      </c>
      <c r="AA91" s="13" t="str">
        <f t="shared" si="65"/>
        <v/>
      </c>
      <c r="AB91" s="13" t="str">
        <f t="shared" si="66"/>
        <v/>
      </c>
      <c r="AC91" s="13" t="str">
        <f t="shared" si="67"/>
        <v/>
      </c>
      <c r="AD91" s="13" t="str">
        <f t="shared" si="68"/>
        <v/>
      </c>
      <c r="AE91" s="13" t="str">
        <f t="shared" si="69"/>
        <v/>
      </c>
      <c r="AF91" s="13" t="str">
        <f t="shared" si="70"/>
        <v/>
      </c>
      <c r="AG91" s="13" t="str">
        <f t="shared" si="71"/>
        <v/>
      </c>
      <c r="AH91" s="13" t="str">
        <f t="shared" si="72"/>
        <v/>
      </c>
      <c r="AJ91" s="14">
        <f t="shared" si="73"/>
        <v>0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 t="str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-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>
        <f t="shared" si="74"/>
        <v>0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 t="str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>
        <f t="shared" si="75"/>
        <v>0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 t="str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-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>
        <f t="shared" si="76"/>
        <v>0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 t="str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-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 t="str">
        <f t="shared" si="77"/>
        <v/>
      </c>
    </row>
    <row r="92" spans="2:84" x14ac:dyDescent="0.25">
      <c r="B92" s="5" t="s">
        <v>136</v>
      </c>
      <c r="C92" s="6"/>
      <c r="D92" s="7"/>
      <c r="E92" s="28" t="s">
        <v>128</v>
      </c>
      <c r="G92" s="29" t="str">
        <f t="shared" si="52"/>
        <v/>
      </c>
      <c r="H92" s="10" t="str">
        <f t="shared" si="53"/>
        <v/>
      </c>
      <c r="I92" s="5" t="str">
        <f t="shared" si="54"/>
        <v>|1000000000|0000000000|0000000000|0000000000|</v>
      </c>
      <c r="J92" s="29">
        <f t="shared" si="55"/>
        <v>0</v>
      </c>
      <c r="K92" s="5">
        <f t="shared" si="56"/>
        <v>0</v>
      </c>
      <c r="L92" s="5">
        <f>IF($H92="",0,SUMIF(Dati!$A$2:$A$451,$H92,Dati!$B$2:$B$451)+SUMIF(Dati!$H$2:$H$451,$H92,Dati!$I$2:$I$451))</f>
        <v>0</v>
      </c>
      <c r="M92" s="5">
        <f>IF($H92="",0,SUMIF(Dati!$A$2:$A$451,$H92,Dati!$D$2:$D$451)+SUMIF(Dati!$H$2:$H$451,$H92,Dati!$K$2:$K$451))</f>
        <v>0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0</v>
      </c>
      <c r="P92" s="5">
        <f>IF($H92="",0,SUMIF(Dati!$A$2:$A$451,$H92,Dati!$F$2:$F$451)+SUMIF(Dati!$H$2:$H$451,$H92,Dati!$M$2:$M$451))</f>
        <v>0</v>
      </c>
      <c r="Q92" s="5">
        <f>IF($H92="",0,SUMIF(Dati!$A$2:$A$451,$H92,Dati!$G$2:$G$451)+SUMIF(Dati!$H$2:$H$451,$H92,Dati!$N$2:$N$451))</f>
        <v>0</v>
      </c>
      <c r="R92" s="5">
        <f t="shared" si="57"/>
        <v>0</v>
      </c>
      <c r="S92" s="5">
        <f t="shared" si="58"/>
        <v>0</v>
      </c>
      <c r="T92" s="5">
        <f t="shared" si="59"/>
        <v>0</v>
      </c>
      <c r="U92" s="5" t="str">
        <f t="shared" si="60"/>
        <v>-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/>
      </c>
      <c r="Y92" s="13" t="str">
        <f t="shared" si="63"/>
        <v/>
      </c>
      <c r="Z92" s="13" t="str">
        <f t="shared" si="64"/>
        <v/>
      </c>
      <c r="AA92" s="13" t="str">
        <f t="shared" si="65"/>
        <v/>
      </c>
      <c r="AB92" s="13" t="str">
        <f t="shared" si="66"/>
        <v/>
      </c>
      <c r="AC92" s="13" t="str">
        <f t="shared" si="67"/>
        <v/>
      </c>
      <c r="AD92" s="13" t="str">
        <f t="shared" si="68"/>
        <v/>
      </c>
      <c r="AE92" s="13" t="str">
        <f t="shared" si="69"/>
        <v/>
      </c>
      <c r="AF92" s="13" t="str">
        <f t="shared" si="70"/>
        <v/>
      </c>
      <c r="AG92" s="13" t="str">
        <f t="shared" si="71"/>
        <v/>
      </c>
      <c r="AH92" s="13" t="str">
        <f t="shared" si="72"/>
        <v/>
      </c>
      <c r="AJ92" s="14">
        <f t="shared" si="73"/>
        <v>0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 t="str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-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>
        <f t="shared" si="74"/>
        <v>0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 t="str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>
        <f t="shared" si="75"/>
        <v>0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 t="str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-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>
        <f t="shared" si="76"/>
        <v>0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 t="str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-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 t="str">
        <f t="shared" si="77"/>
        <v/>
      </c>
    </row>
    <row r="93" spans="2:84" x14ac:dyDescent="0.25">
      <c r="B93" s="5" t="s">
        <v>137</v>
      </c>
      <c r="C93" s="6"/>
      <c r="D93" s="7"/>
      <c r="E93" s="28" t="s">
        <v>128</v>
      </c>
      <c r="G93" s="29" t="str">
        <f t="shared" si="52"/>
        <v/>
      </c>
      <c r="H93" s="10" t="str">
        <f t="shared" si="53"/>
        <v/>
      </c>
      <c r="I93" s="5" t="str">
        <f t="shared" si="54"/>
        <v>|1000000000|0000000000|0000000000|0000000000|</v>
      </c>
      <c r="J93" s="29">
        <f t="shared" si="55"/>
        <v>0</v>
      </c>
      <c r="K93" s="5">
        <f t="shared" si="56"/>
        <v>0</v>
      </c>
      <c r="L93" s="5">
        <f>IF($H93="",0,SUMIF(Dati!$A$2:$A$451,$H93,Dati!$B$2:$B$451)+SUMIF(Dati!$H$2:$H$451,$H93,Dati!$I$2:$I$451))</f>
        <v>0</v>
      </c>
      <c r="M93" s="5">
        <f>IF($H93="",0,SUMIF(Dati!$A$2:$A$451,$H93,Dati!$D$2:$D$451)+SUMIF(Dati!$H$2:$H$451,$H93,Dati!$K$2:$K$451))</f>
        <v>0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0</v>
      </c>
      <c r="P93" s="5">
        <f>IF($H93="",0,SUMIF(Dati!$A$2:$A$451,$H93,Dati!$F$2:$F$451)+SUMIF(Dati!$H$2:$H$451,$H93,Dati!$M$2:$M$451))</f>
        <v>0</v>
      </c>
      <c r="Q93" s="5">
        <f>IF($H93="",0,SUMIF(Dati!$A$2:$A$451,$H93,Dati!$G$2:$G$451)+SUMIF(Dati!$H$2:$H$451,$H93,Dati!$N$2:$N$451))</f>
        <v>0</v>
      </c>
      <c r="R93" s="5">
        <f t="shared" si="57"/>
        <v>0</v>
      </c>
      <c r="S93" s="5">
        <f t="shared" si="58"/>
        <v>0</v>
      </c>
      <c r="T93" s="5">
        <f t="shared" si="59"/>
        <v>0</v>
      </c>
      <c r="U93" s="5" t="str">
        <f t="shared" si="60"/>
        <v>-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/>
      </c>
      <c r="Y93" s="13" t="str">
        <f t="shared" si="63"/>
        <v/>
      </c>
      <c r="Z93" s="13" t="str">
        <f t="shared" si="64"/>
        <v/>
      </c>
      <c r="AA93" s="13" t="str">
        <f t="shared" si="65"/>
        <v/>
      </c>
      <c r="AB93" s="13" t="str">
        <f t="shared" si="66"/>
        <v/>
      </c>
      <c r="AC93" s="13" t="str">
        <f t="shared" si="67"/>
        <v/>
      </c>
      <c r="AD93" s="13" t="str">
        <f t="shared" si="68"/>
        <v/>
      </c>
      <c r="AE93" s="13" t="str">
        <f t="shared" si="69"/>
        <v/>
      </c>
      <c r="AF93" s="13" t="str">
        <f t="shared" si="70"/>
        <v/>
      </c>
      <c r="AG93" s="13" t="str">
        <f t="shared" si="71"/>
        <v/>
      </c>
      <c r="AH93" s="13" t="str">
        <f t="shared" si="72"/>
        <v/>
      </c>
      <c r="AJ93" s="14">
        <f t="shared" si="73"/>
        <v>0</v>
      </c>
      <c r="AK93" s="15" t="str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-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>
        <f t="shared" si="74"/>
        <v>0</v>
      </c>
      <c r="AW93" s="15" t="str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>
        <f t="shared" si="75"/>
        <v>0</v>
      </c>
      <c r="BI93" s="15" t="str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-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>
        <f t="shared" si="76"/>
        <v>0</v>
      </c>
      <c r="BU93" s="15" t="str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-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 t="str">
        <f t="shared" si="77"/>
        <v/>
      </c>
    </row>
    <row r="94" spans="2:84" x14ac:dyDescent="0.25">
      <c r="B94" s="5" t="s">
        <v>138</v>
      </c>
      <c r="C94" s="6"/>
      <c r="D94" s="7"/>
      <c r="E94" s="30" t="s">
        <v>139</v>
      </c>
      <c r="G94" s="31" t="str">
        <f t="shared" si="52"/>
        <v/>
      </c>
      <c r="H94" s="10" t="str">
        <f t="shared" si="53"/>
        <v/>
      </c>
      <c r="I94" s="5" t="str">
        <f t="shared" si="54"/>
        <v>|1000000000|0000000000|0000000000|0000000000|</v>
      </c>
      <c r="J94" s="31">
        <f t="shared" si="55"/>
        <v>0</v>
      </c>
      <c r="K94" s="5">
        <f t="shared" si="56"/>
        <v>0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0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0</v>
      </c>
      <c r="P94" s="5">
        <f>IF($H94="",0,SUMIF(Dati!$A$2:$A$451,$H94,Dati!$F$2:$F$451)+SUMIF(Dati!$H$2:$H$451,$H94,Dati!$M$2:$M$451))</f>
        <v>0</v>
      </c>
      <c r="Q94" s="5">
        <f>IF($H94="",0,SUMIF(Dati!$A$2:$A$451,$H94,Dati!$G$2:$G$451)+SUMIF(Dati!$H$2:$H$451,$H94,Dati!$N$2:$N$451))</f>
        <v>0</v>
      </c>
      <c r="R94" s="5">
        <f t="shared" si="57"/>
        <v>0</v>
      </c>
      <c r="S94" s="5">
        <f t="shared" si="58"/>
        <v>0</v>
      </c>
      <c r="T94" s="5">
        <f t="shared" si="59"/>
        <v>0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/>
      </c>
      <c r="Y94" s="13" t="str">
        <f t="shared" si="63"/>
        <v/>
      </c>
      <c r="Z94" s="13" t="str">
        <f t="shared" si="64"/>
        <v/>
      </c>
      <c r="AA94" s="13" t="str">
        <f t="shared" si="65"/>
        <v/>
      </c>
      <c r="AB94" s="13" t="str">
        <f t="shared" si="66"/>
        <v/>
      </c>
      <c r="AC94" s="13" t="str">
        <f t="shared" si="67"/>
        <v/>
      </c>
      <c r="AD94" s="13" t="str">
        <f t="shared" si="68"/>
        <v/>
      </c>
      <c r="AE94" s="13" t="str">
        <f t="shared" si="69"/>
        <v/>
      </c>
      <c r="AF94" s="13" t="str">
        <f t="shared" si="70"/>
        <v/>
      </c>
      <c r="AG94" s="13" t="str">
        <f t="shared" si="71"/>
        <v/>
      </c>
      <c r="AH94" s="13" t="str">
        <f t="shared" si="72"/>
        <v/>
      </c>
      <c r="AJ94" s="14">
        <f t="shared" si="73"/>
        <v>0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>
        <f t="shared" si="74"/>
        <v>0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>
        <f t="shared" si="75"/>
        <v>0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>
        <f t="shared" si="76"/>
        <v>0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 t="str">
        <f t="shared" si="77"/>
        <v/>
      </c>
    </row>
    <row r="95" spans="2:84" x14ac:dyDescent="0.25">
      <c r="B95" s="5" t="s">
        <v>140</v>
      </c>
      <c r="C95" s="6"/>
      <c r="D95" s="7"/>
      <c r="E95" s="30" t="s">
        <v>139</v>
      </c>
      <c r="G95" s="31" t="str">
        <f t="shared" si="52"/>
        <v/>
      </c>
      <c r="H95" s="10" t="str">
        <f t="shared" si="53"/>
        <v/>
      </c>
      <c r="I95" s="5" t="str">
        <f t="shared" si="54"/>
        <v>|1000000000|0000000000|0000000000|0000000000|</v>
      </c>
      <c r="J95" s="31">
        <f t="shared" si="55"/>
        <v>0</v>
      </c>
      <c r="K95" s="5">
        <f t="shared" si="56"/>
        <v>0</v>
      </c>
      <c r="L95" s="5">
        <f>IF($H95="",0,SUMIF(Dati!$A$2:$A$451,$H95,Dati!$B$2:$B$451)+SUMIF(Dati!$H$2:$H$451,$H95,Dati!$I$2:$I$451))</f>
        <v>0</v>
      </c>
      <c r="M95" s="5">
        <f>IF($H95="",0,SUMIF(Dati!$A$2:$A$451,$H95,Dati!$D$2:$D$451)+SUMIF(Dati!$H$2:$H$451,$H95,Dati!$K$2:$K$451))</f>
        <v>0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0</v>
      </c>
      <c r="P95" s="5">
        <f>IF($H95="",0,SUMIF(Dati!$A$2:$A$451,$H95,Dati!$F$2:$F$451)+SUMIF(Dati!$H$2:$H$451,$H95,Dati!$M$2:$M$451))</f>
        <v>0</v>
      </c>
      <c r="Q95" s="5">
        <f>IF($H95="",0,SUMIF(Dati!$A$2:$A$451,$H95,Dati!$G$2:$G$451)+SUMIF(Dati!$H$2:$H$451,$H95,Dati!$N$2:$N$451))</f>
        <v>0</v>
      </c>
      <c r="R95" s="5">
        <f t="shared" si="57"/>
        <v>0</v>
      </c>
      <c r="S95" s="5">
        <f t="shared" si="58"/>
        <v>0</v>
      </c>
      <c r="T95" s="5">
        <f t="shared" si="59"/>
        <v>0</v>
      </c>
      <c r="U95" s="5" t="str">
        <f t="shared" si="60"/>
        <v>-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/>
      </c>
      <c r="Y95" s="13" t="str">
        <f t="shared" si="63"/>
        <v/>
      </c>
      <c r="Z95" s="13" t="str">
        <f t="shared" si="64"/>
        <v/>
      </c>
      <c r="AA95" s="13" t="str">
        <f t="shared" si="65"/>
        <v/>
      </c>
      <c r="AB95" s="13" t="str">
        <f t="shared" si="66"/>
        <v/>
      </c>
      <c r="AC95" s="13" t="str">
        <f t="shared" si="67"/>
        <v/>
      </c>
      <c r="AD95" s="13" t="str">
        <f t="shared" si="68"/>
        <v/>
      </c>
      <c r="AE95" s="13" t="str">
        <f t="shared" si="69"/>
        <v/>
      </c>
      <c r="AF95" s="13" t="str">
        <f t="shared" si="70"/>
        <v/>
      </c>
      <c r="AG95" s="13" t="str">
        <f t="shared" si="71"/>
        <v/>
      </c>
      <c r="AH95" s="13" t="str">
        <f t="shared" si="72"/>
        <v/>
      </c>
      <c r="AJ95" s="14">
        <f t="shared" si="73"/>
        <v>0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 t="str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-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 t="str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-</v>
      </c>
      <c r="AV95" s="14">
        <f t="shared" si="74"/>
        <v>0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 t="str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 t="str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-</v>
      </c>
      <c r="BH95" s="14">
        <f t="shared" si="75"/>
        <v>0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 t="str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-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 t="str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-</v>
      </c>
      <c r="BT95" s="14">
        <f t="shared" si="76"/>
        <v>0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 t="str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-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 t="str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-</v>
      </c>
      <c r="CF95" s="15" t="str">
        <f t="shared" si="77"/>
        <v/>
      </c>
    </row>
    <row r="96" spans="2:84" x14ac:dyDescent="0.25">
      <c r="B96" s="5" t="s">
        <v>141</v>
      </c>
      <c r="C96" s="6"/>
      <c r="D96" s="7"/>
      <c r="E96" s="30" t="s">
        <v>139</v>
      </c>
      <c r="G96" s="31" t="str">
        <f t="shared" si="52"/>
        <v/>
      </c>
      <c r="H96" s="10" t="str">
        <f t="shared" si="53"/>
        <v/>
      </c>
      <c r="I96" s="5" t="str">
        <f t="shared" si="54"/>
        <v>|1000000000|0000000000|0000000000|0000000000|</v>
      </c>
      <c r="J96" s="31">
        <f t="shared" si="55"/>
        <v>0</v>
      </c>
      <c r="K96" s="5">
        <f t="shared" si="56"/>
        <v>0</v>
      </c>
      <c r="L96" s="5">
        <f>IF($H96="",0,SUMIF(Dati!$A$2:$A$451,$H96,Dati!$B$2:$B$451)+SUMIF(Dati!$H$2:$H$451,$H96,Dati!$I$2:$I$451))</f>
        <v>0</v>
      </c>
      <c r="M96" s="5">
        <f>IF($H96="",0,SUMIF(Dati!$A$2:$A$451,$H96,Dati!$D$2:$D$451)+SUMIF(Dati!$H$2:$H$451,$H96,Dati!$K$2:$K$451))</f>
        <v>0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0</v>
      </c>
      <c r="P96" s="5">
        <f>IF($H96="",0,SUMIF(Dati!$A$2:$A$451,$H96,Dati!$F$2:$F$451)+SUMIF(Dati!$H$2:$H$451,$H96,Dati!$M$2:$M$451))</f>
        <v>0</v>
      </c>
      <c r="Q96" s="5">
        <f>IF($H96="",0,SUMIF(Dati!$A$2:$A$451,$H96,Dati!$G$2:$G$451)+SUMIF(Dati!$H$2:$H$451,$H96,Dati!$N$2:$N$451))</f>
        <v>0</v>
      </c>
      <c r="R96" s="5">
        <f t="shared" si="57"/>
        <v>0</v>
      </c>
      <c r="S96" s="5">
        <f t="shared" si="58"/>
        <v>0</v>
      </c>
      <c r="T96" s="5">
        <f t="shared" si="59"/>
        <v>0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/>
      </c>
      <c r="Y96" s="13" t="str">
        <f t="shared" si="63"/>
        <v/>
      </c>
      <c r="Z96" s="13" t="str">
        <f t="shared" si="64"/>
        <v/>
      </c>
      <c r="AA96" s="13" t="str">
        <f t="shared" si="65"/>
        <v/>
      </c>
      <c r="AB96" s="13" t="str">
        <f t="shared" si="66"/>
        <v/>
      </c>
      <c r="AC96" s="13" t="str">
        <f t="shared" si="67"/>
        <v/>
      </c>
      <c r="AD96" s="13" t="str">
        <f t="shared" si="68"/>
        <v/>
      </c>
      <c r="AE96" s="13" t="str">
        <f t="shared" si="69"/>
        <v/>
      </c>
      <c r="AF96" s="13" t="str">
        <f t="shared" si="70"/>
        <v/>
      </c>
      <c r="AG96" s="13" t="str">
        <f t="shared" si="71"/>
        <v/>
      </c>
      <c r="AH96" s="13" t="str">
        <f t="shared" si="72"/>
        <v/>
      </c>
      <c r="AJ96" s="14">
        <f t="shared" si="73"/>
        <v>0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>
        <f t="shared" si="74"/>
        <v>0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>
        <f t="shared" si="75"/>
        <v>0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>
        <f t="shared" si="76"/>
        <v>0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 t="str">
        <f t="shared" si="77"/>
        <v/>
      </c>
    </row>
    <row r="97" spans="2:84" x14ac:dyDescent="0.25">
      <c r="B97" s="5" t="s">
        <v>142</v>
      </c>
      <c r="C97" s="6"/>
      <c r="D97" s="7"/>
      <c r="E97" s="30" t="s">
        <v>139</v>
      </c>
      <c r="G97" s="31" t="str">
        <f t="shared" si="52"/>
        <v/>
      </c>
      <c r="H97" s="10" t="str">
        <f t="shared" si="53"/>
        <v/>
      </c>
      <c r="I97" s="5" t="str">
        <f t="shared" si="54"/>
        <v>|1000000000|0000000000|0000000000|0000000000|</v>
      </c>
      <c r="J97" s="31">
        <f t="shared" si="55"/>
        <v>0</v>
      </c>
      <c r="K97" s="5">
        <f t="shared" si="56"/>
        <v>0</v>
      </c>
      <c r="L97" s="5">
        <f>IF($H97="",0,SUMIF(Dati!$A$2:$A$451,$H97,Dati!$B$2:$B$451)+SUMIF(Dati!$H$2:$H$451,$H97,Dati!$I$2:$I$451))</f>
        <v>0</v>
      </c>
      <c r="M97" s="5">
        <f>IF($H97="",0,SUMIF(Dati!$A$2:$A$451,$H97,Dati!$D$2:$D$451)+SUMIF(Dati!$H$2:$H$451,$H97,Dati!$K$2:$K$451))</f>
        <v>0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0</v>
      </c>
      <c r="P97" s="5">
        <f>IF($H97="",0,SUMIF(Dati!$A$2:$A$451,$H97,Dati!$F$2:$F$451)+SUMIF(Dati!$H$2:$H$451,$H97,Dati!$M$2:$M$451))</f>
        <v>0</v>
      </c>
      <c r="Q97" s="5">
        <f>IF($H97="",0,SUMIF(Dati!$A$2:$A$451,$H97,Dati!$G$2:$G$451)+SUMIF(Dati!$H$2:$H$451,$H97,Dati!$N$2:$N$451))</f>
        <v>0</v>
      </c>
      <c r="R97" s="5">
        <f t="shared" si="57"/>
        <v>0</v>
      </c>
      <c r="S97" s="5">
        <f t="shared" si="58"/>
        <v>0</v>
      </c>
      <c r="T97" s="5">
        <f t="shared" si="59"/>
        <v>0</v>
      </c>
      <c r="U97" s="5" t="str">
        <f t="shared" si="60"/>
        <v>-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/>
      </c>
      <c r="Y97" s="13" t="str">
        <f t="shared" si="63"/>
        <v/>
      </c>
      <c r="Z97" s="13" t="str">
        <f t="shared" si="64"/>
        <v/>
      </c>
      <c r="AA97" s="13" t="str">
        <f t="shared" si="65"/>
        <v/>
      </c>
      <c r="AB97" s="13" t="str">
        <f t="shared" si="66"/>
        <v/>
      </c>
      <c r="AC97" s="13" t="str">
        <f t="shared" si="67"/>
        <v/>
      </c>
      <c r="AD97" s="13" t="str">
        <f t="shared" si="68"/>
        <v/>
      </c>
      <c r="AE97" s="13" t="str">
        <f t="shared" si="69"/>
        <v/>
      </c>
      <c r="AF97" s="13" t="str">
        <f t="shared" si="70"/>
        <v/>
      </c>
      <c r="AG97" s="13" t="str">
        <f t="shared" si="71"/>
        <v/>
      </c>
      <c r="AH97" s="13" t="str">
        <f t="shared" si="72"/>
        <v/>
      </c>
      <c r="AJ97" s="14">
        <f t="shared" si="73"/>
        <v>0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 t="str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-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 t="str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-</v>
      </c>
      <c r="AV97" s="14">
        <f t="shared" si="74"/>
        <v>0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 t="str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 t="str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4">
        <f t="shared" si="75"/>
        <v>0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 t="str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-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 t="str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-</v>
      </c>
      <c r="BT97" s="14">
        <f t="shared" si="76"/>
        <v>0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 t="str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-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 t="str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-</v>
      </c>
      <c r="CF97" s="15" t="str">
        <f t="shared" si="77"/>
        <v/>
      </c>
    </row>
    <row r="98" spans="2:84" x14ac:dyDescent="0.25">
      <c r="B98" s="5" t="s">
        <v>143</v>
      </c>
      <c r="C98" s="6"/>
      <c r="D98" s="7"/>
      <c r="E98" s="30" t="s">
        <v>139</v>
      </c>
      <c r="G98" s="31" t="str">
        <f t="shared" si="52"/>
        <v/>
      </c>
      <c r="H98" s="10" t="str">
        <f t="shared" si="53"/>
        <v/>
      </c>
      <c r="I98" s="5" t="str">
        <f t="shared" si="54"/>
        <v>|1000000000|0000000000|0000000000|0000000000|</v>
      </c>
      <c r="J98" s="31">
        <f t="shared" si="55"/>
        <v>0</v>
      </c>
      <c r="K98" s="5">
        <f t="shared" si="56"/>
        <v>0</v>
      </c>
      <c r="L98" s="5">
        <f>IF($H98="",0,SUMIF(Dati!$A$2:$A$451,$H98,Dati!$B$2:$B$451)+SUMIF(Dati!$H$2:$H$451,$H98,Dati!$I$2:$I$451))</f>
        <v>0</v>
      </c>
      <c r="M98" s="5">
        <f>IF($H98="",0,SUMIF(Dati!$A$2:$A$451,$H98,Dati!$D$2:$D$451)+SUMIF(Dati!$H$2:$H$451,$H98,Dati!$K$2:$K$451))</f>
        <v>0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0</v>
      </c>
      <c r="P98" s="5">
        <f>IF($H98="",0,SUMIF(Dati!$A$2:$A$451,$H98,Dati!$F$2:$F$451)+SUMIF(Dati!$H$2:$H$451,$H98,Dati!$M$2:$M$451))</f>
        <v>0</v>
      </c>
      <c r="Q98" s="5">
        <f>IF($H98="",0,SUMIF(Dati!$A$2:$A$451,$H98,Dati!$G$2:$G$451)+SUMIF(Dati!$H$2:$H$451,$H98,Dati!$N$2:$N$451))</f>
        <v>0</v>
      </c>
      <c r="R98" s="5">
        <f t="shared" si="57"/>
        <v>0</v>
      </c>
      <c r="S98" s="5">
        <f t="shared" si="58"/>
        <v>0</v>
      </c>
      <c r="T98" s="5">
        <f t="shared" si="59"/>
        <v>0</v>
      </c>
      <c r="U98" s="5" t="str">
        <f t="shared" si="60"/>
        <v>-</v>
      </c>
      <c r="V98" s="11" t="str">
        <f t="shared" si="61"/>
        <v>-</v>
      </c>
      <c r="W98" s="11" t="str">
        <f t="shared" si="62"/>
        <v>-</v>
      </c>
      <c r="X98" s="12" t="str">
        <f>IF($C98="","",$E98&amp;"#"&amp;COUNTIFS($E$14:$E98,$E98,$C$14:$C98,"&lt;&gt;"))</f>
        <v/>
      </c>
      <c r="Y98" s="13" t="str">
        <f t="shared" si="63"/>
        <v/>
      </c>
      <c r="Z98" s="13" t="str">
        <f t="shared" si="64"/>
        <v/>
      </c>
      <c r="AA98" s="13" t="str">
        <f t="shared" si="65"/>
        <v/>
      </c>
      <c r="AB98" s="13" t="str">
        <f t="shared" si="66"/>
        <v/>
      </c>
      <c r="AC98" s="13" t="str">
        <f t="shared" si="67"/>
        <v/>
      </c>
      <c r="AD98" s="13" t="str">
        <f t="shared" si="68"/>
        <v/>
      </c>
      <c r="AE98" s="13" t="str">
        <f t="shared" si="69"/>
        <v/>
      </c>
      <c r="AF98" s="13" t="str">
        <f t="shared" si="70"/>
        <v/>
      </c>
      <c r="AG98" s="13" t="str">
        <f t="shared" si="71"/>
        <v/>
      </c>
      <c r="AH98" s="13" t="str">
        <f t="shared" si="72"/>
        <v/>
      </c>
      <c r="AJ98" s="14">
        <f t="shared" si="73"/>
        <v>0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 t="str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-</v>
      </c>
      <c r="AQ98" s="15" t="str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-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>
        <f t="shared" si="74"/>
        <v>0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 t="str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-</v>
      </c>
      <c r="BC98" s="15" t="str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>
        <f t="shared" si="75"/>
        <v>0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 t="str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-</v>
      </c>
      <c r="BO98" s="15" t="str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-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>
        <f t="shared" si="76"/>
        <v>0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 t="str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-</v>
      </c>
      <c r="CA98" s="15" t="str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-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 t="str">
        <f t="shared" si="77"/>
        <v/>
      </c>
    </row>
    <row r="99" spans="2:84" x14ac:dyDescent="0.25">
      <c r="B99" s="5" t="s">
        <v>144</v>
      </c>
      <c r="C99" s="6"/>
      <c r="D99" s="7"/>
      <c r="E99" s="30" t="s">
        <v>139</v>
      </c>
      <c r="G99" s="31" t="str">
        <f t="shared" si="52"/>
        <v/>
      </c>
      <c r="H99" s="10" t="str">
        <f t="shared" si="53"/>
        <v/>
      </c>
      <c r="I99" s="5" t="str">
        <f t="shared" si="54"/>
        <v>|1000000000|0000000000|0000000000|0000000000|</v>
      </c>
      <c r="J99" s="31">
        <f t="shared" si="55"/>
        <v>0</v>
      </c>
      <c r="K99" s="5">
        <f t="shared" si="56"/>
        <v>0</v>
      </c>
      <c r="L99" s="5">
        <f>IF($H99="",0,SUMIF(Dati!$A$2:$A$451,$H99,Dati!$B$2:$B$451)+SUMIF(Dati!$H$2:$H$451,$H99,Dati!$I$2:$I$451))</f>
        <v>0</v>
      </c>
      <c r="M99" s="5">
        <f>IF($H99="",0,SUMIF(Dati!$A$2:$A$451,$H99,Dati!$D$2:$D$451)+SUMIF(Dati!$H$2:$H$451,$H99,Dati!$K$2:$K$451))</f>
        <v>0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0</v>
      </c>
      <c r="P99" s="5">
        <f>IF($H99="",0,SUMIF(Dati!$A$2:$A$451,$H99,Dati!$F$2:$F$451)+SUMIF(Dati!$H$2:$H$451,$H99,Dati!$M$2:$M$451))</f>
        <v>0</v>
      </c>
      <c r="Q99" s="5">
        <f>IF($H99="",0,SUMIF(Dati!$A$2:$A$451,$H99,Dati!$G$2:$G$451)+SUMIF(Dati!$H$2:$H$451,$H99,Dati!$N$2:$N$451))</f>
        <v>0</v>
      </c>
      <c r="R99" s="5">
        <f t="shared" si="57"/>
        <v>0</v>
      </c>
      <c r="S99" s="5">
        <f t="shared" si="58"/>
        <v>0</v>
      </c>
      <c r="T99" s="5">
        <f t="shared" si="59"/>
        <v>0</v>
      </c>
      <c r="U99" s="5" t="str">
        <f t="shared" si="60"/>
        <v>-</v>
      </c>
      <c r="V99" s="11" t="str">
        <f t="shared" si="61"/>
        <v>-</v>
      </c>
      <c r="W99" s="11" t="str">
        <f t="shared" si="62"/>
        <v>-</v>
      </c>
      <c r="X99" s="12" t="str">
        <f>IF($C99="","",$E99&amp;"#"&amp;COUNTIFS($E$14:$E99,$E99,$C$14:$C99,"&lt;&gt;"))</f>
        <v/>
      </c>
      <c r="Y99" s="13" t="str">
        <f t="shared" si="63"/>
        <v/>
      </c>
      <c r="Z99" s="13" t="str">
        <f t="shared" si="64"/>
        <v/>
      </c>
      <c r="AA99" s="13" t="str">
        <f t="shared" si="65"/>
        <v/>
      </c>
      <c r="AB99" s="13" t="str">
        <f t="shared" si="66"/>
        <v/>
      </c>
      <c r="AC99" s="13" t="str">
        <f t="shared" si="67"/>
        <v/>
      </c>
      <c r="AD99" s="13" t="str">
        <f t="shared" si="68"/>
        <v/>
      </c>
      <c r="AE99" s="13" t="str">
        <f t="shared" si="69"/>
        <v/>
      </c>
      <c r="AF99" s="13" t="str">
        <f t="shared" si="70"/>
        <v/>
      </c>
      <c r="AG99" s="13" t="str">
        <f t="shared" si="71"/>
        <v/>
      </c>
      <c r="AH99" s="13" t="str">
        <f t="shared" si="72"/>
        <v/>
      </c>
      <c r="AJ99" s="14">
        <f t="shared" si="73"/>
        <v>0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 t="str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-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 t="str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-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>
        <f t="shared" si="74"/>
        <v>0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 t="str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 t="str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>
        <f t="shared" si="75"/>
        <v>0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 t="str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-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 t="str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-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>
        <f t="shared" si="76"/>
        <v>0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 t="str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-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 t="str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-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 t="str">
        <f t="shared" si="77"/>
        <v/>
      </c>
    </row>
    <row r="100" spans="2:84" x14ac:dyDescent="0.25">
      <c r="B100" s="5" t="s">
        <v>145</v>
      </c>
      <c r="C100" s="6"/>
      <c r="D100" s="7"/>
      <c r="E100" s="30" t="s">
        <v>139</v>
      </c>
      <c r="G100" s="31" t="str">
        <f t="shared" si="52"/>
        <v/>
      </c>
      <c r="H100" s="10" t="str">
        <f t="shared" si="53"/>
        <v/>
      </c>
      <c r="I100" s="5" t="str">
        <f t="shared" si="54"/>
        <v>|1000000000|0000000000|0000000000|0000000000|</v>
      </c>
      <c r="J100" s="31">
        <f t="shared" si="55"/>
        <v>0</v>
      </c>
      <c r="K100" s="5">
        <f t="shared" si="56"/>
        <v>0</v>
      </c>
      <c r="L100" s="5">
        <f>IF($H100="",0,SUMIF(Dati!$A$2:$A$451,$H100,Dati!$B$2:$B$451)+SUMIF(Dati!$H$2:$H$451,$H100,Dati!$I$2:$I$451))</f>
        <v>0</v>
      </c>
      <c r="M100" s="5">
        <f>IF($H100="",0,SUMIF(Dati!$A$2:$A$451,$H100,Dati!$D$2:$D$451)+SUMIF(Dati!$H$2:$H$451,$H100,Dati!$K$2:$K$451))</f>
        <v>0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0</v>
      </c>
      <c r="P100" s="5">
        <f>IF($H100="",0,SUMIF(Dati!$A$2:$A$451,$H100,Dati!$F$2:$F$451)+SUMIF(Dati!$H$2:$H$451,$H100,Dati!$M$2:$M$451))</f>
        <v>0</v>
      </c>
      <c r="Q100" s="5">
        <f>IF($H100="",0,SUMIF(Dati!$A$2:$A$451,$H100,Dati!$G$2:$G$451)+SUMIF(Dati!$H$2:$H$451,$H100,Dati!$N$2:$N$451))</f>
        <v>0</v>
      </c>
      <c r="R100" s="5">
        <f t="shared" si="57"/>
        <v>0</v>
      </c>
      <c r="S100" s="5">
        <f t="shared" si="58"/>
        <v>0</v>
      </c>
      <c r="T100" s="5">
        <f t="shared" si="59"/>
        <v>0</v>
      </c>
      <c r="U100" s="5" t="str">
        <f t="shared" si="60"/>
        <v>-</v>
      </c>
      <c r="V100" s="11" t="str">
        <f t="shared" si="61"/>
        <v>-</v>
      </c>
      <c r="W100" s="11" t="str">
        <f t="shared" si="62"/>
        <v>-</v>
      </c>
      <c r="X100" s="12" t="str">
        <f>IF($C100="","",$E100&amp;"#"&amp;COUNTIFS($E$14:$E100,$E100,$C$14:$C100,"&lt;&gt;"))</f>
        <v/>
      </c>
      <c r="Y100" s="13" t="str">
        <f t="shared" si="63"/>
        <v/>
      </c>
      <c r="Z100" s="13" t="str">
        <f t="shared" si="64"/>
        <v/>
      </c>
      <c r="AA100" s="13" t="str">
        <f t="shared" si="65"/>
        <v/>
      </c>
      <c r="AB100" s="13" t="str">
        <f t="shared" si="66"/>
        <v/>
      </c>
      <c r="AC100" s="13" t="str">
        <f t="shared" si="67"/>
        <v/>
      </c>
      <c r="AD100" s="13" t="str">
        <f t="shared" si="68"/>
        <v/>
      </c>
      <c r="AE100" s="13" t="str">
        <f t="shared" si="69"/>
        <v/>
      </c>
      <c r="AF100" s="13" t="str">
        <f t="shared" si="70"/>
        <v/>
      </c>
      <c r="AG100" s="13" t="str">
        <f t="shared" si="71"/>
        <v/>
      </c>
      <c r="AH100" s="13" t="str">
        <f t="shared" si="72"/>
        <v/>
      </c>
      <c r="AJ100" s="14">
        <f t="shared" si="73"/>
        <v>0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 t="str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-</v>
      </c>
      <c r="AP100" s="15" t="str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-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>
        <f t="shared" si="74"/>
        <v>0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 t="str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5" t="str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>
        <f t="shared" si="75"/>
        <v>0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 t="str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-</v>
      </c>
      <c r="BN100" s="15" t="str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-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>
        <f t="shared" si="76"/>
        <v>0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 t="str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-</v>
      </c>
      <c r="BZ100" s="15" t="str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-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 t="str">
        <f t="shared" si="77"/>
        <v/>
      </c>
    </row>
    <row r="101" spans="2:84" x14ac:dyDescent="0.25">
      <c r="B101" s="5" t="s">
        <v>146</v>
      </c>
      <c r="C101" s="6"/>
      <c r="D101" s="7"/>
      <c r="E101" s="30" t="s">
        <v>139</v>
      </c>
      <c r="G101" s="31" t="str">
        <f t="shared" si="52"/>
        <v/>
      </c>
      <c r="H101" s="10" t="str">
        <f t="shared" si="53"/>
        <v/>
      </c>
      <c r="I101" s="5" t="str">
        <f t="shared" si="54"/>
        <v>|1000000000|0000000000|0000000000|0000000000|</v>
      </c>
      <c r="J101" s="31">
        <f t="shared" si="55"/>
        <v>0</v>
      </c>
      <c r="K101" s="5">
        <f t="shared" si="56"/>
        <v>0</v>
      </c>
      <c r="L101" s="5">
        <f>IF($H101="",0,SUMIF(Dati!$A$2:$A$451,$H101,Dati!$B$2:$B$451)+SUMIF(Dati!$H$2:$H$451,$H101,Dati!$I$2:$I$451))</f>
        <v>0</v>
      </c>
      <c r="M101" s="5">
        <f>IF($H101="",0,SUMIF(Dati!$A$2:$A$451,$H101,Dati!$D$2:$D$451)+SUMIF(Dati!$H$2:$H$451,$H101,Dati!$K$2:$K$451))</f>
        <v>0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0</v>
      </c>
      <c r="P101" s="5">
        <f>IF($H101="",0,SUMIF(Dati!$A$2:$A$451,$H101,Dati!$F$2:$F$451)+SUMIF(Dati!$H$2:$H$451,$H101,Dati!$M$2:$M$451))</f>
        <v>0</v>
      </c>
      <c r="Q101" s="5">
        <f>IF($H101="",0,SUMIF(Dati!$A$2:$A$451,$H101,Dati!$G$2:$G$451)+SUMIF(Dati!$H$2:$H$451,$H101,Dati!$N$2:$N$451))</f>
        <v>0</v>
      </c>
      <c r="R101" s="5">
        <f t="shared" si="57"/>
        <v>0</v>
      </c>
      <c r="S101" s="5">
        <f t="shared" si="58"/>
        <v>0</v>
      </c>
      <c r="T101" s="5">
        <f t="shared" si="59"/>
        <v>0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/>
      </c>
      <c r="Y101" s="13" t="str">
        <f t="shared" si="63"/>
        <v/>
      </c>
      <c r="Z101" s="13" t="str">
        <f t="shared" si="64"/>
        <v/>
      </c>
      <c r="AA101" s="13" t="str">
        <f t="shared" si="65"/>
        <v/>
      </c>
      <c r="AB101" s="13" t="str">
        <f t="shared" si="66"/>
        <v/>
      </c>
      <c r="AC101" s="13" t="str">
        <f t="shared" si="67"/>
        <v/>
      </c>
      <c r="AD101" s="13" t="str">
        <f t="shared" si="68"/>
        <v/>
      </c>
      <c r="AE101" s="13" t="str">
        <f t="shared" si="69"/>
        <v/>
      </c>
      <c r="AF101" s="13" t="str">
        <f t="shared" si="70"/>
        <v/>
      </c>
      <c r="AG101" s="13" t="str">
        <f t="shared" si="71"/>
        <v/>
      </c>
      <c r="AH101" s="13" t="str">
        <f t="shared" si="72"/>
        <v/>
      </c>
      <c r="AJ101" s="14">
        <f t="shared" si="73"/>
        <v>0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>
        <f t="shared" si="74"/>
        <v>0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>
        <f t="shared" si="75"/>
        <v>0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>
        <f t="shared" si="76"/>
        <v>0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 t="str">
        <f t="shared" si="77"/>
        <v/>
      </c>
    </row>
    <row r="102" spans="2:84" x14ac:dyDescent="0.25">
      <c r="B102" s="5" t="s">
        <v>147</v>
      </c>
      <c r="C102" s="6"/>
      <c r="D102" s="7"/>
      <c r="E102" s="30" t="s">
        <v>139</v>
      </c>
      <c r="G102" s="31" t="str">
        <f t="shared" si="52"/>
        <v/>
      </c>
      <c r="H102" s="10" t="str">
        <f t="shared" si="53"/>
        <v/>
      </c>
      <c r="I102" s="5" t="str">
        <f t="shared" si="54"/>
        <v>|1000000000|0000000000|0000000000|0000000000|</v>
      </c>
      <c r="J102" s="31">
        <f t="shared" si="55"/>
        <v>0</v>
      </c>
      <c r="K102" s="5">
        <f t="shared" si="56"/>
        <v>0</v>
      </c>
      <c r="L102" s="5">
        <f>IF($H102="",0,SUMIF(Dati!$A$2:$A$451,$H102,Dati!$B$2:$B$451)+SUMIF(Dati!$H$2:$H$451,$H102,Dati!$I$2:$I$451))</f>
        <v>0</v>
      </c>
      <c r="M102" s="5">
        <f>IF($H102="",0,SUMIF(Dati!$A$2:$A$451,$H102,Dati!$D$2:$D$451)+SUMIF(Dati!$H$2:$H$451,$H102,Dati!$K$2:$K$451))</f>
        <v>0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0</v>
      </c>
      <c r="P102" s="5">
        <f>IF($H102="",0,SUMIF(Dati!$A$2:$A$451,$H102,Dati!$F$2:$F$451)+SUMIF(Dati!$H$2:$H$451,$H102,Dati!$M$2:$M$451))</f>
        <v>0</v>
      </c>
      <c r="Q102" s="5">
        <f>IF($H102="",0,SUMIF(Dati!$A$2:$A$451,$H102,Dati!$G$2:$G$451)+SUMIF(Dati!$H$2:$H$451,$H102,Dati!$N$2:$N$451))</f>
        <v>0</v>
      </c>
      <c r="R102" s="5">
        <f t="shared" si="57"/>
        <v>0</v>
      </c>
      <c r="S102" s="5">
        <f t="shared" si="58"/>
        <v>0</v>
      </c>
      <c r="T102" s="5">
        <f t="shared" si="59"/>
        <v>0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/>
      </c>
      <c r="Y102" s="13" t="str">
        <f t="shared" si="63"/>
        <v/>
      </c>
      <c r="Z102" s="13" t="str">
        <f t="shared" si="64"/>
        <v/>
      </c>
      <c r="AA102" s="13" t="str">
        <f t="shared" si="65"/>
        <v/>
      </c>
      <c r="AB102" s="13" t="str">
        <f t="shared" si="66"/>
        <v/>
      </c>
      <c r="AC102" s="13" t="str">
        <f t="shared" si="67"/>
        <v/>
      </c>
      <c r="AD102" s="13" t="str">
        <f t="shared" si="68"/>
        <v/>
      </c>
      <c r="AE102" s="13" t="str">
        <f t="shared" si="69"/>
        <v/>
      </c>
      <c r="AF102" s="13" t="str">
        <f t="shared" si="70"/>
        <v/>
      </c>
      <c r="AG102" s="13" t="str">
        <f t="shared" si="71"/>
        <v/>
      </c>
      <c r="AH102" s="13" t="str">
        <f t="shared" si="72"/>
        <v/>
      </c>
      <c r="AJ102" s="14">
        <f t="shared" si="73"/>
        <v>0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>
        <f t="shared" si="74"/>
        <v>0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>
        <f t="shared" si="75"/>
        <v>0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>
        <f t="shared" si="76"/>
        <v>0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 t="str">
        <f t="shared" si="77"/>
        <v/>
      </c>
    </row>
    <row r="103" spans="2:84" x14ac:dyDescent="0.25">
      <c r="B103" s="5" t="s">
        <v>148</v>
      </c>
      <c r="C103" s="6"/>
      <c r="D103" s="7"/>
      <c r="E103" s="30" t="s">
        <v>139</v>
      </c>
      <c r="G103" s="31" t="str">
        <f t="shared" si="52"/>
        <v/>
      </c>
      <c r="H103" s="10" t="str">
        <f t="shared" si="53"/>
        <v/>
      </c>
      <c r="I103" s="5" t="str">
        <f t="shared" si="54"/>
        <v>|1000000000|0000000000|0000000000|0000000000|</v>
      </c>
      <c r="J103" s="31">
        <f t="shared" si="55"/>
        <v>0</v>
      </c>
      <c r="K103" s="5">
        <f t="shared" si="56"/>
        <v>0</v>
      </c>
      <c r="L103" s="5">
        <f>IF($H103="",0,SUMIF(Dati!$A$2:$A$451,$H103,Dati!$B$2:$B$451)+SUMIF(Dati!$H$2:$H$451,$H103,Dati!$I$2:$I$451))</f>
        <v>0</v>
      </c>
      <c r="M103" s="5">
        <f>IF($H103="",0,SUMIF(Dati!$A$2:$A$451,$H103,Dati!$D$2:$D$451)+SUMIF(Dati!$H$2:$H$451,$H103,Dati!$K$2:$K$451))</f>
        <v>0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0</v>
      </c>
      <c r="P103" s="5">
        <f>IF($H103="",0,SUMIF(Dati!$A$2:$A$451,$H103,Dati!$F$2:$F$451)+SUMIF(Dati!$H$2:$H$451,$H103,Dati!$M$2:$M$451))</f>
        <v>0</v>
      </c>
      <c r="Q103" s="5">
        <f>IF($H103="",0,SUMIF(Dati!$A$2:$A$451,$H103,Dati!$G$2:$G$451)+SUMIF(Dati!$H$2:$H$451,$H103,Dati!$N$2:$N$451))</f>
        <v>0</v>
      </c>
      <c r="R103" s="5">
        <f t="shared" si="57"/>
        <v>0</v>
      </c>
      <c r="S103" s="5">
        <f t="shared" si="58"/>
        <v>0</v>
      </c>
      <c r="T103" s="5">
        <f t="shared" si="59"/>
        <v>0</v>
      </c>
      <c r="U103" s="5" t="str">
        <f t="shared" si="60"/>
        <v>-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/>
      </c>
      <c r="Y103" s="13" t="str">
        <f t="shared" si="63"/>
        <v/>
      </c>
      <c r="Z103" s="13" t="str">
        <f t="shared" si="64"/>
        <v/>
      </c>
      <c r="AA103" s="13" t="str">
        <f t="shared" si="65"/>
        <v/>
      </c>
      <c r="AB103" s="13" t="str">
        <f t="shared" si="66"/>
        <v/>
      </c>
      <c r="AC103" s="13" t="str">
        <f t="shared" si="67"/>
        <v/>
      </c>
      <c r="AD103" s="13" t="str">
        <f t="shared" si="68"/>
        <v/>
      </c>
      <c r="AE103" s="13" t="str">
        <f t="shared" si="69"/>
        <v/>
      </c>
      <c r="AF103" s="13" t="str">
        <f t="shared" si="70"/>
        <v/>
      </c>
      <c r="AG103" s="13" t="str">
        <f t="shared" si="71"/>
        <v/>
      </c>
      <c r="AH103" s="13" t="str">
        <f t="shared" si="72"/>
        <v/>
      </c>
      <c r="AJ103" s="14">
        <f t="shared" si="73"/>
        <v>0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 t="str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-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 t="str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-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>
        <f t="shared" si="74"/>
        <v>0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 t="str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 t="str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>
        <f t="shared" si="75"/>
        <v>0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 t="str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-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 t="str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-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>
        <f t="shared" si="76"/>
        <v>0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 t="str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-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 t="str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-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 t="str">
        <f t="shared" si="77"/>
        <v/>
      </c>
    </row>
    <row r="104" spans="2:84" x14ac:dyDescent="0.25">
      <c r="B104" s="5" t="s">
        <v>149</v>
      </c>
      <c r="C104" s="6"/>
      <c r="D104" s="7"/>
      <c r="E104" s="32" t="s">
        <v>150</v>
      </c>
      <c r="G104" s="33" t="str">
        <f t="shared" si="52"/>
        <v/>
      </c>
      <c r="H104" s="10" t="str">
        <f t="shared" si="53"/>
        <v/>
      </c>
      <c r="I104" s="5" t="str">
        <f t="shared" si="54"/>
        <v>|1000000000|0000000000|0000000000|0000000000|</v>
      </c>
      <c r="J104" s="33">
        <f t="shared" si="55"/>
        <v>0</v>
      </c>
      <c r="K104" s="5">
        <f t="shared" si="56"/>
        <v>0</v>
      </c>
      <c r="L104" s="5">
        <f>IF($H104="",0,SUMIF(Dati!$A$2:$A$451,$H104,Dati!$B$2:$B$451)+SUMIF(Dati!$H$2:$H$451,$H104,Dati!$I$2:$I$451))</f>
        <v>0</v>
      </c>
      <c r="M104" s="5">
        <f>IF($H104="",0,SUMIF(Dati!$A$2:$A$451,$H104,Dati!$D$2:$D$451)+SUMIF(Dati!$H$2:$H$451,$H104,Dati!$K$2:$K$451))</f>
        <v>0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0</v>
      </c>
      <c r="P104" s="5">
        <f>IF($H104="",0,SUMIF(Dati!$A$2:$A$451,$H104,Dati!$F$2:$F$451)+SUMIF(Dati!$H$2:$H$451,$H104,Dati!$M$2:$M$451))</f>
        <v>0</v>
      </c>
      <c r="Q104" s="5">
        <f>IF($H104="",0,SUMIF(Dati!$A$2:$A$451,$H104,Dati!$G$2:$G$451)+SUMIF(Dati!$H$2:$H$451,$H104,Dati!$N$2:$N$451))</f>
        <v>0</v>
      </c>
      <c r="R104" s="5">
        <f t="shared" si="57"/>
        <v>0</v>
      </c>
      <c r="S104" s="5">
        <f t="shared" si="58"/>
        <v>0</v>
      </c>
      <c r="T104" s="5">
        <f t="shared" si="59"/>
        <v>0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/>
      </c>
      <c r="Y104" s="13" t="str">
        <f t="shared" si="63"/>
        <v/>
      </c>
      <c r="Z104" s="13" t="str">
        <f t="shared" si="64"/>
        <v/>
      </c>
      <c r="AA104" s="13" t="str">
        <f t="shared" si="65"/>
        <v/>
      </c>
      <c r="AB104" s="13" t="str">
        <f t="shared" si="66"/>
        <v/>
      </c>
      <c r="AC104" s="13" t="str">
        <f t="shared" si="67"/>
        <v/>
      </c>
      <c r="AD104" s="13" t="str">
        <f t="shared" si="68"/>
        <v/>
      </c>
      <c r="AE104" s="13" t="str">
        <f t="shared" si="69"/>
        <v/>
      </c>
      <c r="AF104" s="13" t="str">
        <f t="shared" si="70"/>
        <v/>
      </c>
      <c r="AG104" s="13" t="str">
        <f t="shared" si="71"/>
        <v/>
      </c>
      <c r="AH104" s="13" t="str">
        <f t="shared" si="72"/>
        <v/>
      </c>
      <c r="AJ104" s="14">
        <f t="shared" si="73"/>
        <v>0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>
        <f t="shared" si="74"/>
        <v>0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>
        <f t="shared" si="75"/>
        <v>0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>
        <f t="shared" si="76"/>
        <v>0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 t="str">
        <f t="shared" si="77"/>
        <v/>
      </c>
    </row>
    <row r="105" spans="2:84" x14ac:dyDescent="0.25">
      <c r="B105" s="5" t="s">
        <v>151</v>
      </c>
      <c r="C105" s="6"/>
      <c r="D105" s="7"/>
      <c r="E105" s="32" t="s">
        <v>150</v>
      </c>
      <c r="G105" s="33" t="str">
        <f t="shared" si="52"/>
        <v/>
      </c>
      <c r="H105" s="10" t="str">
        <f t="shared" si="53"/>
        <v/>
      </c>
      <c r="I105" s="5" t="str">
        <f t="shared" si="54"/>
        <v>|1000000000|0000000000|0000000000|0000000000|</v>
      </c>
      <c r="J105" s="33">
        <f t="shared" si="55"/>
        <v>0</v>
      </c>
      <c r="K105" s="5">
        <f t="shared" si="56"/>
        <v>0</v>
      </c>
      <c r="L105" s="5">
        <f>IF($H105="",0,SUMIF(Dati!$A$2:$A$451,$H105,Dati!$B$2:$B$451)+SUMIF(Dati!$H$2:$H$451,$H105,Dati!$I$2:$I$451))</f>
        <v>0</v>
      </c>
      <c r="M105" s="5">
        <f>IF($H105="",0,SUMIF(Dati!$A$2:$A$451,$H105,Dati!$D$2:$D$451)+SUMIF(Dati!$H$2:$H$451,$H105,Dati!$K$2:$K$451))</f>
        <v>0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0</v>
      </c>
      <c r="P105" s="5">
        <f>IF($H105="",0,SUMIF(Dati!$A$2:$A$451,$H105,Dati!$F$2:$F$451)+SUMIF(Dati!$H$2:$H$451,$H105,Dati!$M$2:$M$451))</f>
        <v>0</v>
      </c>
      <c r="Q105" s="5">
        <f>IF($H105="",0,SUMIF(Dati!$A$2:$A$451,$H105,Dati!$G$2:$G$451)+SUMIF(Dati!$H$2:$H$451,$H105,Dati!$N$2:$N$451))</f>
        <v>0</v>
      </c>
      <c r="R105" s="5">
        <f t="shared" si="57"/>
        <v>0</v>
      </c>
      <c r="S105" s="5">
        <f t="shared" si="58"/>
        <v>0</v>
      </c>
      <c r="T105" s="5">
        <f t="shared" si="59"/>
        <v>0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/>
      </c>
      <c r="Y105" s="13" t="str">
        <f t="shared" si="63"/>
        <v/>
      </c>
      <c r="Z105" s="13" t="str">
        <f t="shared" si="64"/>
        <v/>
      </c>
      <c r="AA105" s="13" t="str">
        <f t="shared" si="65"/>
        <v/>
      </c>
      <c r="AB105" s="13" t="str">
        <f t="shared" si="66"/>
        <v/>
      </c>
      <c r="AC105" s="13" t="str">
        <f t="shared" si="67"/>
        <v/>
      </c>
      <c r="AD105" s="13" t="str">
        <f t="shared" si="68"/>
        <v/>
      </c>
      <c r="AE105" s="13" t="str">
        <f t="shared" si="69"/>
        <v/>
      </c>
      <c r="AF105" s="13" t="str">
        <f t="shared" si="70"/>
        <v/>
      </c>
      <c r="AG105" s="13" t="str">
        <f t="shared" si="71"/>
        <v/>
      </c>
      <c r="AH105" s="13" t="str">
        <f t="shared" si="72"/>
        <v/>
      </c>
      <c r="AJ105" s="14">
        <f t="shared" si="73"/>
        <v>0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>
        <f t="shared" si="74"/>
        <v>0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>
        <f t="shared" si="75"/>
        <v>0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>
        <f t="shared" si="76"/>
        <v>0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 t="str">
        <f t="shared" si="77"/>
        <v/>
      </c>
    </row>
    <row r="106" spans="2:84" x14ac:dyDescent="0.25">
      <c r="B106" s="5" t="s">
        <v>152</v>
      </c>
      <c r="C106" s="6"/>
      <c r="D106" s="7"/>
      <c r="E106" s="32" t="s">
        <v>150</v>
      </c>
      <c r="G106" s="33" t="str">
        <f t="shared" si="52"/>
        <v/>
      </c>
      <c r="H106" s="10" t="str">
        <f t="shared" si="53"/>
        <v/>
      </c>
      <c r="I106" s="5" t="str">
        <f t="shared" si="54"/>
        <v>|1000000000|0000000000|0000000000|0000000000|</v>
      </c>
      <c r="J106" s="33">
        <f t="shared" si="55"/>
        <v>0</v>
      </c>
      <c r="K106" s="5">
        <f t="shared" si="56"/>
        <v>0</v>
      </c>
      <c r="L106" s="5">
        <f>IF($H106="",0,SUMIF(Dati!$A$2:$A$451,$H106,Dati!$B$2:$B$451)+SUMIF(Dati!$H$2:$H$451,$H106,Dati!$I$2:$I$451))</f>
        <v>0</v>
      </c>
      <c r="M106" s="5">
        <f>IF($H106="",0,SUMIF(Dati!$A$2:$A$451,$H106,Dati!$D$2:$D$451)+SUMIF(Dati!$H$2:$H$451,$H106,Dati!$K$2:$K$451))</f>
        <v>0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0</v>
      </c>
      <c r="P106" s="5">
        <f>IF($H106="",0,SUMIF(Dati!$A$2:$A$451,$H106,Dati!$F$2:$F$451)+SUMIF(Dati!$H$2:$H$451,$H106,Dati!$M$2:$M$451))</f>
        <v>0</v>
      </c>
      <c r="Q106" s="5">
        <f>IF($H106="",0,SUMIF(Dati!$A$2:$A$451,$H106,Dati!$G$2:$G$451)+SUMIF(Dati!$H$2:$H$451,$H106,Dati!$N$2:$N$451))</f>
        <v>0</v>
      </c>
      <c r="R106" s="5">
        <f t="shared" si="57"/>
        <v>0</v>
      </c>
      <c r="S106" s="5">
        <f t="shared" si="58"/>
        <v>0</v>
      </c>
      <c r="T106" s="5">
        <f t="shared" si="59"/>
        <v>0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/>
      </c>
      <c r="Y106" s="13" t="str">
        <f t="shared" si="63"/>
        <v/>
      </c>
      <c r="Z106" s="13" t="str">
        <f t="shared" si="64"/>
        <v/>
      </c>
      <c r="AA106" s="13" t="str">
        <f t="shared" si="65"/>
        <v/>
      </c>
      <c r="AB106" s="13" t="str">
        <f t="shared" si="66"/>
        <v/>
      </c>
      <c r="AC106" s="13" t="str">
        <f t="shared" si="67"/>
        <v/>
      </c>
      <c r="AD106" s="13" t="str">
        <f t="shared" si="68"/>
        <v/>
      </c>
      <c r="AE106" s="13" t="str">
        <f t="shared" si="69"/>
        <v/>
      </c>
      <c r="AF106" s="13" t="str">
        <f t="shared" si="70"/>
        <v/>
      </c>
      <c r="AG106" s="13" t="str">
        <f t="shared" si="71"/>
        <v/>
      </c>
      <c r="AH106" s="13" t="str">
        <f t="shared" si="72"/>
        <v/>
      </c>
      <c r="AJ106" s="14">
        <f t="shared" si="73"/>
        <v>0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>
        <f t="shared" si="74"/>
        <v>0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>
        <f t="shared" si="75"/>
        <v>0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>
        <f t="shared" si="76"/>
        <v>0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 t="str">
        <f t="shared" si="77"/>
        <v/>
      </c>
    </row>
    <row r="107" spans="2:84" x14ac:dyDescent="0.25">
      <c r="B107" s="5" t="s">
        <v>153</v>
      </c>
      <c r="C107" s="6"/>
      <c r="D107" s="7"/>
      <c r="E107" s="32" t="s">
        <v>150</v>
      </c>
      <c r="G107" s="33" t="str">
        <f t="shared" si="52"/>
        <v/>
      </c>
      <c r="H107" s="10" t="str">
        <f t="shared" si="53"/>
        <v/>
      </c>
      <c r="I107" s="5" t="str">
        <f t="shared" si="54"/>
        <v>|1000000000|0000000000|0000000000|0000000000|</v>
      </c>
      <c r="J107" s="33">
        <f t="shared" si="55"/>
        <v>0</v>
      </c>
      <c r="K107" s="5">
        <f t="shared" si="56"/>
        <v>0</v>
      </c>
      <c r="L107" s="5">
        <f>IF($H107="",0,SUMIF(Dati!$A$2:$A$451,$H107,Dati!$B$2:$B$451)+SUMIF(Dati!$H$2:$H$451,$H107,Dati!$I$2:$I$451))</f>
        <v>0</v>
      </c>
      <c r="M107" s="5">
        <f>IF($H107="",0,SUMIF(Dati!$A$2:$A$451,$H107,Dati!$D$2:$D$451)+SUMIF(Dati!$H$2:$H$451,$H107,Dati!$K$2:$K$451))</f>
        <v>0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0</v>
      </c>
      <c r="P107" s="5">
        <f>IF($H107="",0,SUMIF(Dati!$A$2:$A$451,$H107,Dati!$F$2:$F$451)+SUMIF(Dati!$H$2:$H$451,$H107,Dati!$M$2:$M$451))</f>
        <v>0</v>
      </c>
      <c r="Q107" s="5">
        <f>IF($H107="",0,SUMIF(Dati!$A$2:$A$451,$H107,Dati!$G$2:$G$451)+SUMIF(Dati!$H$2:$H$451,$H107,Dati!$N$2:$N$451))</f>
        <v>0</v>
      </c>
      <c r="R107" s="5">
        <f t="shared" si="57"/>
        <v>0</v>
      </c>
      <c r="S107" s="5">
        <f t="shared" si="58"/>
        <v>0</v>
      </c>
      <c r="T107" s="5">
        <f t="shared" si="59"/>
        <v>0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/>
      </c>
      <c r="Y107" s="13" t="str">
        <f t="shared" si="63"/>
        <v/>
      </c>
      <c r="Z107" s="13" t="str">
        <f t="shared" si="64"/>
        <v/>
      </c>
      <c r="AA107" s="13" t="str">
        <f t="shared" si="65"/>
        <v/>
      </c>
      <c r="AB107" s="13" t="str">
        <f t="shared" si="66"/>
        <v/>
      </c>
      <c r="AC107" s="13" t="str">
        <f t="shared" si="67"/>
        <v/>
      </c>
      <c r="AD107" s="13" t="str">
        <f t="shared" si="68"/>
        <v/>
      </c>
      <c r="AE107" s="13" t="str">
        <f t="shared" si="69"/>
        <v/>
      </c>
      <c r="AF107" s="13" t="str">
        <f t="shared" si="70"/>
        <v/>
      </c>
      <c r="AG107" s="13" t="str">
        <f t="shared" si="71"/>
        <v/>
      </c>
      <c r="AH107" s="13" t="str">
        <f t="shared" si="72"/>
        <v/>
      </c>
      <c r="AJ107" s="14">
        <f t="shared" si="73"/>
        <v>0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>
        <f t="shared" si="74"/>
        <v>0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>
        <f t="shared" si="75"/>
        <v>0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>
        <f t="shared" si="76"/>
        <v>0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 t="str">
        <f t="shared" si="77"/>
        <v/>
      </c>
    </row>
    <row r="108" spans="2:84" x14ac:dyDescent="0.25">
      <c r="B108" s="5" t="s">
        <v>154</v>
      </c>
      <c r="C108" s="6"/>
      <c r="D108" s="7"/>
      <c r="E108" s="32" t="s">
        <v>150</v>
      </c>
      <c r="G108" s="33" t="str">
        <f t="shared" si="52"/>
        <v/>
      </c>
      <c r="H108" s="10" t="str">
        <f t="shared" si="53"/>
        <v/>
      </c>
      <c r="I108" s="5" t="str">
        <f t="shared" si="54"/>
        <v>|1000000000|0000000000|0000000000|0000000000|</v>
      </c>
      <c r="J108" s="33">
        <f t="shared" si="55"/>
        <v>0</v>
      </c>
      <c r="K108" s="5">
        <f t="shared" si="56"/>
        <v>0</v>
      </c>
      <c r="L108" s="5">
        <f>IF($H108="",0,SUMIF(Dati!$A$2:$A$451,$H108,Dati!$B$2:$B$451)+SUMIF(Dati!$H$2:$H$451,$H108,Dati!$I$2:$I$451))</f>
        <v>0</v>
      </c>
      <c r="M108" s="5">
        <f>IF($H108="",0,SUMIF(Dati!$A$2:$A$451,$H108,Dati!$D$2:$D$451)+SUMIF(Dati!$H$2:$H$451,$H108,Dati!$K$2:$K$451))</f>
        <v>0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0</v>
      </c>
      <c r="P108" s="5">
        <f>IF($H108="",0,SUMIF(Dati!$A$2:$A$451,$H108,Dati!$F$2:$F$451)+SUMIF(Dati!$H$2:$H$451,$H108,Dati!$M$2:$M$451))</f>
        <v>0</v>
      </c>
      <c r="Q108" s="5">
        <f>IF($H108="",0,SUMIF(Dati!$A$2:$A$451,$H108,Dati!$G$2:$G$451)+SUMIF(Dati!$H$2:$H$451,$H108,Dati!$N$2:$N$451))</f>
        <v>0</v>
      </c>
      <c r="R108" s="5">
        <f t="shared" si="57"/>
        <v>0</v>
      </c>
      <c r="S108" s="5">
        <f t="shared" si="58"/>
        <v>0</v>
      </c>
      <c r="T108" s="5">
        <f t="shared" si="59"/>
        <v>0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/>
      </c>
      <c r="Y108" s="13" t="str">
        <f t="shared" si="63"/>
        <v/>
      </c>
      <c r="Z108" s="13" t="str">
        <f t="shared" si="64"/>
        <v/>
      </c>
      <c r="AA108" s="13" t="str">
        <f t="shared" si="65"/>
        <v/>
      </c>
      <c r="AB108" s="13" t="str">
        <f t="shared" si="66"/>
        <v/>
      </c>
      <c r="AC108" s="13" t="str">
        <f t="shared" si="67"/>
        <v/>
      </c>
      <c r="AD108" s="13" t="str">
        <f t="shared" si="68"/>
        <v/>
      </c>
      <c r="AE108" s="13" t="str">
        <f t="shared" si="69"/>
        <v/>
      </c>
      <c r="AF108" s="13" t="str">
        <f t="shared" si="70"/>
        <v/>
      </c>
      <c r="AG108" s="13" t="str">
        <f t="shared" si="71"/>
        <v/>
      </c>
      <c r="AH108" s="13" t="str">
        <f t="shared" si="72"/>
        <v/>
      </c>
      <c r="AJ108" s="14">
        <f t="shared" si="73"/>
        <v>0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>
        <f t="shared" si="74"/>
        <v>0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>
        <f t="shared" si="75"/>
        <v>0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>
        <f t="shared" si="76"/>
        <v>0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 t="str">
        <f t="shared" si="77"/>
        <v/>
      </c>
    </row>
    <row r="109" spans="2:84" x14ac:dyDescent="0.25">
      <c r="B109" s="5" t="s">
        <v>155</v>
      </c>
      <c r="C109" s="6"/>
      <c r="D109" s="7"/>
      <c r="E109" s="32" t="s">
        <v>150</v>
      </c>
      <c r="G109" s="33" t="str">
        <f t="shared" si="52"/>
        <v/>
      </c>
      <c r="H109" s="10" t="str">
        <f t="shared" si="53"/>
        <v/>
      </c>
      <c r="I109" s="5" t="str">
        <f t="shared" si="54"/>
        <v>|1000000000|0000000000|0000000000|0000000000|</v>
      </c>
      <c r="J109" s="33">
        <f t="shared" si="55"/>
        <v>0</v>
      </c>
      <c r="K109" s="5">
        <f t="shared" si="56"/>
        <v>0</v>
      </c>
      <c r="L109" s="5">
        <f>IF($H109="",0,SUMIF(Dati!$A$2:$A$451,$H109,Dati!$B$2:$B$451)+SUMIF(Dati!$H$2:$H$451,$H109,Dati!$I$2:$I$451))</f>
        <v>0</v>
      </c>
      <c r="M109" s="5">
        <f>IF($H109="",0,SUMIF(Dati!$A$2:$A$451,$H109,Dati!$D$2:$D$451)+SUMIF(Dati!$H$2:$H$451,$H109,Dati!$K$2:$K$451))</f>
        <v>0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0</v>
      </c>
      <c r="P109" s="5">
        <f>IF($H109="",0,SUMIF(Dati!$A$2:$A$451,$H109,Dati!$F$2:$F$451)+SUMIF(Dati!$H$2:$H$451,$H109,Dati!$M$2:$M$451))</f>
        <v>0</v>
      </c>
      <c r="Q109" s="5">
        <f>IF($H109="",0,SUMIF(Dati!$A$2:$A$451,$H109,Dati!$G$2:$G$451)+SUMIF(Dati!$H$2:$H$451,$H109,Dati!$N$2:$N$451))</f>
        <v>0</v>
      </c>
      <c r="R109" s="5">
        <f t="shared" si="57"/>
        <v>0</v>
      </c>
      <c r="S109" s="5">
        <f t="shared" si="58"/>
        <v>0</v>
      </c>
      <c r="T109" s="5">
        <f t="shared" si="59"/>
        <v>0</v>
      </c>
      <c r="U109" s="5" t="str">
        <f t="shared" si="60"/>
        <v>-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/>
      </c>
      <c r="Y109" s="13" t="str">
        <f t="shared" si="63"/>
        <v/>
      </c>
      <c r="Z109" s="13" t="str">
        <f t="shared" si="64"/>
        <v/>
      </c>
      <c r="AA109" s="13" t="str">
        <f t="shared" si="65"/>
        <v/>
      </c>
      <c r="AB109" s="13" t="str">
        <f t="shared" si="66"/>
        <v/>
      </c>
      <c r="AC109" s="13" t="str">
        <f t="shared" si="67"/>
        <v/>
      </c>
      <c r="AD109" s="13" t="str">
        <f t="shared" si="68"/>
        <v/>
      </c>
      <c r="AE109" s="13" t="str">
        <f t="shared" si="69"/>
        <v/>
      </c>
      <c r="AF109" s="13" t="str">
        <f t="shared" si="70"/>
        <v/>
      </c>
      <c r="AG109" s="13" t="str">
        <f t="shared" si="71"/>
        <v/>
      </c>
      <c r="AH109" s="13" t="str">
        <f t="shared" si="72"/>
        <v/>
      </c>
      <c r="AJ109" s="14">
        <f t="shared" si="73"/>
        <v>0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 t="str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-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>
        <f t="shared" si="74"/>
        <v>0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 t="str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>
        <f t="shared" si="75"/>
        <v>0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 t="str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-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>
        <f t="shared" si="76"/>
        <v>0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 t="str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-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 t="str">
        <f t="shared" si="77"/>
        <v/>
      </c>
    </row>
    <row r="110" spans="2:84" x14ac:dyDescent="0.25">
      <c r="B110" s="5" t="s">
        <v>156</v>
      </c>
      <c r="C110" s="6"/>
      <c r="D110" s="7"/>
      <c r="E110" s="32" t="s">
        <v>150</v>
      </c>
      <c r="G110" s="33" t="str">
        <f t="shared" ref="G110:G113" si="78">IF($C110="","",$E110&amp;(COUNTIFS(I$14:I$113,"&gt;"&amp;I110,E$14:E$113,"="&amp;E110,C$14:C$113,"&lt;&gt;")+COUNTIFS(I$14:I$113,"="&amp;I110,H$14:H$113,"&lt;="&amp;H110,E$14:E$113,"="&amp;E110,C$14:C$113,"&lt;&gt;")))</f>
        <v/>
      </c>
      <c r="H110" s="10" t="str">
        <f t="shared" si="53"/>
        <v/>
      </c>
      <c r="I110" s="5" t="str">
        <f t="shared" ref="I110:I113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|1000000000|0000000000|0000000000|0000000000|</v>
      </c>
      <c r="J110" s="33">
        <f t="shared" si="55"/>
        <v>0</v>
      </c>
      <c r="K110" s="5">
        <f t="shared" ref="K110:K113" si="80">SUM(L110:N110)</f>
        <v>0</v>
      </c>
      <c r="L110" s="5">
        <f>IF($H110="",0,SUMIF(Dati!$A$2:$A$451,$H110,Dati!$B$2:$B$451)+SUMIF(Dati!$H$2:$H$451,$H110,Dati!$I$2:$I$451))</f>
        <v>0</v>
      </c>
      <c r="M110" s="5">
        <f>IF($H110="",0,SUMIF(Dati!$A$2:$A$451,$H110,Dati!$D$2:$D$451)+SUMIF(Dati!$H$2:$H$451,$H110,Dati!$K$2:$K$451))</f>
        <v>0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0</v>
      </c>
      <c r="P110" s="5">
        <f>IF($H110="",0,SUMIF(Dati!$A$2:$A$451,$H110,Dati!$F$2:$F$451)+SUMIF(Dati!$H$2:$H$451,$H110,Dati!$M$2:$M$451))</f>
        <v>0</v>
      </c>
      <c r="Q110" s="5">
        <f>IF($H110="",0,SUMIF(Dati!$A$2:$A$451,$H110,Dati!$G$2:$G$451)+SUMIF(Dati!$H$2:$H$451,$H110,Dati!$N$2:$N$451))</f>
        <v>0</v>
      </c>
      <c r="R110" s="5">
        <f t="shared" si="57"/>
        <v>0</v>
      </c>
      <c r="S110" s="5">
        <f t="shared" si="58"/>
        <v>0</v>
      </c>
      <c r="T110" s="5">
        <f t="shared" si="59"/>
        <v>0</v>
      </c>
      <c r="U110" s="5" t="str">
        <f t="shared" si="60"/>
        <v>-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/>
      </c>
      <c r="Y110" s="13" t="str">
        <f t="shared" si="63"/>
        <v/>
      </c>
      <c r="Z110" s="13" t="str">
        <f t="shared" si="64"/>
        <v/>
      </c>
      <c r="AA110" s="13" t="str">
        <f t="shared" si="65"/>
        <v/>
      </c>
      <c r="AB110" s="13" t="str">
        <f t="shared" si="66"/>
        <v/>
      </c>
      <c r="AC110" s="13" t="str">
        <f t="shared" si="67"/>
        <v/>
      </c>
      <c r="AD110" s="13" t="str">
        <f t="shared" si="68"/>
        <v/>
      </c>
      <c r="AE110" s="13" t="str">
        <f t="shared" si="69"/>
        <v/>
      </c>
      <c r="AF110" s="13" t="str">
        <f t="shared" si="70"/>
        <v/>
      </c>
      <c r="AG110" s="13" t="str">
        <f t="shared" si="71"/>
        <v/>
      </c>
      <c r="AH110" s="13" t="str">
        <f t="shared" si="72"/>
        <v/>
      </c>
      <c r="AJ110" s="14">
        <f t="shared" si="73"/>
        <v>0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 t="str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-</v>
      </c>
      <c r="AV110" s="14">
        <f t="shared" si="74"/>
        <v>0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 t="str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4">
        <f t="shared" si="75"/>
        <v>0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 t="str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-</v>
      </c>
      <c r="BT110" s="14">
        <f t="shared" si="76"/>
        <v>0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 t="str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-</v>
      </c>
      <c r="CF110" s="15" t="str">
        <f t="shared" si="77"/>
        <v/>
      </c>
    </row>
    <row r="111" spans="2:84" x14ac:dyDescent="0.25">
      <c r="B111" s="5" t="s">
        <v>157</v>
      </c>
      <c r="C111" s="6"/>
      <c r="D111" s="7"/>
      <c r="E111" s="32" t="s">
        <v>150</v>
      </c>
      <c r="G111" s="33" t="str">
        <f t="shared" si="78"/>
        <v/>
      </c>
      <c r="H111" s="10" t="str">
        <f t="shared" si="53"/>
        <v/>
      </c>
      <c r="I111" s="5" t="str">
        <f t="shared" si="79"/>
        <v>|1000000000|0000000000|0000000000|0000000000|</v>
      </c>
      <c r="J111" s="33">
        <f t="shared" si="55"/>
        <v>0</v>
      </c>
      <c r="K111" s="5">
        <f t="shared" si="80"/>
        <v>0</v>
      </c>
      <c r="L111" s="5">
        <f>IF($H111="",0,SUMIF(Dati!$A$2:$A$451,$H111,Dati!$B$2:$B$451)+SUMIF(Dati!$H$2:$H$451,$H111,Dati!$I$2:$I$451))</f>
        <v>0</v>
      </c>
      <c r="M111" s="5">
        <f>IF($H111="",0,SUMIF(Dati!$A$2:$A$451,$H111,Dati!$D$2:$D$451)+SUMIF(Dati!$H$2:$H$451,$H111,Dati!$K$2:$K$451))</f>
        <v>0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0</v>
      </c>
      <c r="P111" s="5">
        <f>IF($H111="",0,SUMIF(Dati!$A$2:$A$451,$H111,Dati!$F$2:$F$451)+SUMIF(Dati!$H$2:$H$451,$H111,Dati!$M$2:$M$451))</f>
        <v>0</v>
      </c>
      <c r="Q111" s="5">
        <f>IF($H111="",0,SUMIF(Dati!$A$2:$A$451,$H111,Dati!$G$2:$G$451)+SUMIF(Dati!$H$2:$H$451,$H111,Dati!$N$2:$N$451))</f>
        <v>0</v>
      </c>
      <c r="R111" s="5">
        <f t="shared" si="57"/>
        <v>0</v>
      </c>
      <c r="S111" s="5">
        <f t="shared" si="58"/>
        <v>0</v>
      </c>
      <c r="T111" s="5">
        <f t="shared" si="59"/>
        <v>0</v>
      </c>
      <c r="U111" s="5" t="str">
        <f t="shared" si="60"/>
        <v>-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/>
      </c>
      <c r="Y111" s="13" t="str">
        <f t="shared" si="63"/>
        <v/>
      </c>
      <c r="Z111" s="13" t="str">
        <f t="shared" si="64"/>
        <v/>
      </c>
      <c r="AA111" s="13" t="str">
        <f t="shared" si="65"/>
        <v/>
      </c>
      <c r="AB111" s="13" t="str">
        <f t="shared" si="66"/>
        <v/>
      </c>
      <c r="AC111" s="13" t="str">
        <f t="shared" si="67"/>
        <v/>
      </c>
      <c r="AD111" s="13" t="str">
        <f t="shared" si="68"/>
        <v/>
      </c>
      <c r="AE111" s="13" t="str">
        <f t="shared" si="69"/>
        <v/>
      </c>
      <c r="AF111" s="13" t="str">
        <f t="shared" si="70"/>
        <v/>
      </c>
      <c r="AG111" s="13" t="str">
        <f t="shared" si="71"/>
        <v/>
      </c>
      <c r="AH111" s="13" t="str">
        <f t="shared" si="72"/>
        <v/>
      </c>
      <c r="AJ111" s="14">
        <f t="shared" si="73"/>
        <v>0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 t="str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-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>
        <f t="shared" si="74"/>
        <v>0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 t="str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>
        <f t="shared" si="75"/>
        <v>0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 t="str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-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>
        <f t="shared" si="76"/>
        <v>0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 t="str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-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 t="str">
        <f t="shared" si="77"/>
        <v/>
      </c>
    </row>
    <row r="112" spans="2:84" x14ac:dyDescent="0.25">
      <c r="B112" s="5" t="s">
        <v>158</v>
      </c>
      <c r="C112" s="6"/>
      <c r="D112" s="7"/>
      <c r="E112" s="32" t="s">
        <v>150</v>
      </c>
      <c r="G112" s="33" t="str">
        <f t="shared" si="78"/>
        <v/>
      </c>
      <c r="H112" s="10" t="str">
        <f t="shared" si="53"/>
        <v/>
      </c>
      <c r="I112" s="5" t="str">
        <f t="shared" si="79"/>
        <v>|1000000000|0000000000|0000000000|0000000000|</v>
      </c>
      <c r="J112" s="33">
        <f t="shared" si="55"/>
        <v>0</v>
      </c>
      <c r="K112" s="5">
        <f t="shared" si="80"/>
        <v>0</v>
      </c>
      <c r="L112" s="5">
        <f>IF($H112="",0,SUMIF(Dati!$A$2:$A$451,$H112,Dati!$B$2:$B$451)+SUMIF(Dati!$H$2:$H$451,$H112,Dati!$I$2:$I$451))</f>
        <v>0</v>
      </c>
      <c r="M112" s="5">
        <f>IF($H112="",0,SUMIF(Dati!$A$2:$A$451,$H112,Dati!$D$2:$D$451)+SUMIF(Dati!$H$2:$H$451,$H112,Dati!$K$2:$K$451))</f>
        <v>0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0</v>
      </c>
      <c r="P112" s="5">
        <f>IF($H112="",0,SUMIF(Dati!$A$2:$A$451,$H112,Dati!$F$2:$F$451)+SUMIF(Dati!$H$2:$H$451,$H112,Dati!$M$2:$M$451))</f>
        <v>0</v>
      </c>
      <c r="Q112" s="5">
        <f>IF($H112="",0,SUMIF(Dati!$A$2:$A$451,$H112,Dati!$G$2:$G$451)+SUMIF(Dati!$H$2:$H$451,$H112,Dati!$N$2:$N$451))</f>
        <v>0</v>
      </c>
      <c r="R112" s="5">
        <f t="shared" si="57"/>
        <v>0</v>
      </c>
      <c r="S112" s="5">
        <f t="shared" si="58"/>
        <v>0</v>
      </c>
      <c r="T112" s="5">
        <f t="shared" si="59"/>
        <v>0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/>
      </c>
      <c r="Y112" s="13" t="str">
        <f t="shared" si="63"/>
        <v/>
      </c>
      <c r="Z112" s="13" t="str">
        <f t="shared" si="64"/>
        <v/>
      </c>
      <c r="AA112" s="13" t="str">
        <f t="shared" si="65"/>
        <v/>
      </c>
      <c r="AB112" s="13" t="str">
        <f t="shared" si="66"/>
        <v/>
      </c>
      <c r="AC112" s="13" t="str">
        <f t="shared" si="67"/>
        <v/>
      </c>
      <c r="AD112" s="13" t="str">
        <f t="shared" si="68"/>
        <v/>
      </c>
      <c r="AE112" s="13" t="str">
        <f t="shared" si="69"/>
        <v/>
      </c>
      <c r="AF112" s="13" t="str">
        <f t="shared" si="70"/>
        <v/>
      </c>
      <c r="AG112" s="13" t="str">
        <f t="shared" si="71"/>
        <v/>
      </c>
      <c r="AH112" s="13" t="str">
        <f t="shared" si="72"/>
        <v/>
      </c>
      <c r="AJ112" s="14">
        <f t="shared" si="73"/>
        <v>0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>
        <f t="shared" si="74"/>
        <v>0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>
        <f t="shared" si="75"/>
        <v>0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>
        <f t="shared" si="76"/>
        <v>0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 t="str">
        <f t="shared" si="77"/>
        <v/>
      </c>
    </row>
    <row r="113" spans="2:84" x14ac:dyDescent="0.25">
      <c r="B113" s="5" t="s">
        <v>159</v>
      </c>
      <c r="C113" s="6"/>
      <c r="D113" s="7"/>
      <c r="E113" s="32" t="s">
        <v>150</v>
      </c>
      <c r="G113" s="33" t="str">
        <f t="shared" si="78"/>
        <v/>
      </c>
      <c r="H113" s="10" t="str">
        <f t="shared" si="53"/>
        <v/>
      </c>
      <c r="I113" s="5" t="str">
        <f t="shared" si="79"/>
        <v>|1000000000|0000000000|0000000000|0000000000|</v>
      </c>
      <c r="J113" s="33">
        <f t="shared" si="55"/>
        <v>0</v>
      </c>
      <c r="K113" s="5">
        <f t="shared" si="80"/>
        <v>0</v>
      </c>
      <c r="L113" s="5">
        <f>IF($H113="",0,SUMIF(Dati!$A$2:$A$451,$H113,Dati!$B$2:$B$451)+SUMIF(Dati!$H$2:$H$451,$H113,Dati!$I$2:$I$451))</f>
        <v>0</v>
      </c>
      <c r="M113" s="5">
        <f>IF($H113="",0,SUMIF(Dati!$A$2:$A$451,$H113,Dati!$D$2:$D$451)+SUMIF(Dati!$H$2:$H$451,$H113,Dati!$K$2:$K$451))</f>
        <v>0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0</v>
      </c>
      <c r="P113" s="5">
        <f>IF($H113="",0,SUMIF(Dati!$A$2:$A$451,$H113,Dati!$F$2:$F$451)+SUMIF(Dati!$H$2:$H$451,$H113,Dati!$M$2:$M$451))</f>
        <v>0</v>
      </c>
      <c r="Q113" s="5">
        <f>IF($H113="",0,SUMIF(Dati!$A$2:$A$451,$H113,Dati!$G$2:$G$451)+SUMIF(Dati!$H$2:$H$451,$H113,Dati!$N$2:$N$451))</f>
        <v>0</v>
      </c>
      <c r="R113" s="5">
        <f t="shared" si="57"/>
        <v>0</v>
      </c>
      <c r="S113" s="5">
        <f t="shared" si="58"/>
        <v>0</v>
      </c>
      <c r="T113" s="5">
        <f t="shared" si="59"/>
        <v>0</v>
      </c>
      <c r="U113" s="5" t="str">
        <f t="shared" si="60"/>
        <v>-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/>
      </c>
      <c r="Y113" s="13" t="str">
        <f t="shared" si="63"/>
        <v/>
      </c>
      <c r="Z113" s="13" t="str">
        <f t="shared" si="64"/>
        <v/>
      </c>
      <c r="AA113" s="13" t="str">
        <f t="shared" si="65"/>
        <v/>
      </c>
      <c r="AB113" s="13" t="str">
        <f t="shared" si="66"/>
        <v/>
      </c>
      <c r="AC113" s="13" t="str">
        <f t="shared" si="67"/>
        <v/>
      </c>
      <c r="AD113" s="13" t="str">
        <f t="shared" si="68"/>
        <v/>
      </c>
      <c r="AE113" s="13" t="str">
        <f t="shared" si="69"/>
        <v/>
      </c>
      <c r="AF113" s="13" t="str">
        <f t="shared" si="70"/>
        <v/>
      </c>
      <c r="AG113" s="13" t="str">
        <f t="shared" si="71"/>
        <v/>
      </c>
      <c r="AH113" s="13" t="str">
        <f t="shared" si="72"/>
        <v/>
      </c>
      <c r="AJ113" s="14">
        <f t="shared" si="73"/>
        <v>0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 t="str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-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>
        <f t="shared" si="74"/>
        <v>0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 t="str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-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>
        <f t="shared" si="75"/>
        <v>0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 t="str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-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>
        <f t="shared" si="76"/>
        <v>0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 t="str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-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 t="str">
        <f t="shared" si="77"/>
        <v/>
      </c>
    </row>
    <row r="115" spans="2:84" ht="20.100000000000001" customHeight="1" x14ac:dyDescent="0.25">
      <c r="B115" s="127" t="s">
        <v>160</v>
      </c>
      <c r="C115" s="124"/>
      <c r="D115" s="125"/>
    </row>
    <row r="116" spans="2:84" x14ac:dyDescent="0.25">
      <c r="B116" s="34" t="s">
        <v>19</v>
      </c>
      <c r="C116" s="34" t="s">
        <v>161</v>
      </c>
      <c r="D116" s="34" t="s">
        <v>162</v>
      </c>
    </row>
    <row r="117" spans="2:84" x14ac:dyDescent="0.25">
      <c r="B117" s="5" t="s">
        <v>50</v>
      </c>
      <c r="C117" s="6"/>
      <c r="D117" s="35"/>
    </row>
    <row r="118" spans="2:84" x14ac:dyDescent="0.25">
      <c r="B118" s="5" t="s">
        <v>52</v>
      </c>
      <c r="C118" s="6"/>
      <c r="D118" s="35"/>
    </row>
    <row r="119" spans="2:84" x14ac:dyDescent="0.25">
      <c r="B119" s="5" t="s">
        <v>53</v>
      </c>
      <c r="C119" s="6"/>
      <c r="D119" s="35"/>
    </row>
    <row r="120" spans="2:84" x14ac:dyDescent="0.25">
      <c r="B120" s="5" t="s">
        <v>54</v>
      </c>
      <c r="C120" s="6"/>
      <c r="D120" s="35"/>
    </row>
    <row r="121" spans="2:84" x14ac:dyDescent="0.25">
      <c r="B121" s="5" t="s">
        <v>55</v>
      </c>
      <c r="C121" s="6"/>
      <c r="D121" s="35"/>
    </row>
    <row r="122" spans="2:84" x14ac:dyDescent="0.25">
      <c r="B122" s="5" t="s">
        <v>56</v>
      </c>
      <c r="C122" s="6"/>
      <c r="D122" s="35"/>
    </row>
    <row r="123" spans="2:84" x14ac:dyDescent="0.25">
      <c r="B123" s="5" t="s">
        <v>57</v>
      </c>
      <c r="C123" s="6"/>
      <c r="D123" s="35"/>
    </row>
    <row r="124" spans="2:84" x14ac:dyDescent="0.25">
      <c r="B124" s="5" t="s">
        <v>58</v>
      </c>
      <c r="C124" s="6"/>
      <c r="D124" s="35"/>
    </row>
    <row r="125" spans="2:84" x14ac:dyDescent="0.25">
      <c r="B125" s="5" t="s">
        <v>59</v>
      </c>
      <c r="C125" s="6"/>
      <c r="D125" s="35"/>
    </row>
    <row r="126" spans="2:84" x14ac:dyDescent="0.25">
      <c r="B126" s="5" t="s">
        <v>60</v>
      </c>
      <c r="C126" s="6"/>
      <c r="D126" s="35"/>
    </row>
    <row r="127" spans="2:84" x14ac:dyDescent="0.25">
      <c r="B127" s="5" t="s">
        <v>61</v>
      </c>
      <c r="C127" s="6"/>
      <c r="D127" s="35"/>
    </row>
    <row r="128" spans="2:84" x14ac:dyDescent="0.25">
      <c r="B128" s="5" t="s">
        <v>63</v>
      </c>
      <c r="C128" s="6"/>
      <c r="D128" s="35"/>
    </row>
    <row r="129" spans="2:4" x14ac:dyDescent="0.25">
      <c r="B129" s="5" t="s">
        <v>64</v>
      </c>
      <c r="C129" s="6"/>
      <c r="D129" s="35"/>
    </row>
    <row r="130" spans="2:4" x14ac:dyDescent="0.25">
      <c r="B130" s="5" t="s">
        <v>65</v>
      </c>
      <c r="C130" s="6"/>
      <c r="D130" s="35"/>
    </row>
    <row r="131" spans="2:4" x14ac:dyDescent="0.25">
      <c r="B131" s="5" t="s">
        <v>66</v>
      </c>
      <c r="C131" s="6"/>
      <c r="D131" s="35"/>
    </row>
    <row r="132" spans="2:4" x14ac:dyDescent="0.25">
      <c r="B132" s="5" t="s">
        <v>67</v>
      </c>
      <c r="C132" s="6"/>
      <c r="D132" s="35"/>
    </row>
    <row r="133" spans="2:4" x14ac:dyDescent="0.25">
      <c r="B133" s="5" t="s">
        <v>68</v>
      </c>
      <c r="C133" s="6"/>
      <c r="D133" s="35"/>
    </row>
    <row r="134" spans="2:4" x14ac:dyDescent="0.25">
      <c r="B134" s="5" t="s">
        <v>69</v>
      </c>
      <c r="C134" s="6"/>
      <c r="D134" s="35"/>
    </row>
    <row r="135" spans="2:4" x14ac:dyDescent="0.25">
      <c r="B135" s="5" t="s">
        <v>70</v>
      </c>
      <c r="C135" s="6"/>
      <c r="D135" s="35"/>
    </row>
    <row r="136" spans="2:4" x14ac:dyDescent="0.25">
      <c r="B136" s="5" t="s">
        <v>71</v>
      </c>
      <c r="C136" s="6"/>
      <c r="D136" s="35"/>
    </row>
    <row r="137" spans="2:4" x14ac:dyDescent="0.25">
      <c r="B137" s="5" t="s">
        <v>72</v>
      </c>
      <c r="C137" s="6"/>
      <c r="D137" s="35"/>
    </row>
    <row r="138" spans="2:4" x14ac:dyDescent="0.25">
      <c r="B138" s="5" t="s">
        <v>74</v>
      </c>
      <c r="C138" s="6"/>
      <c r="D138" s="35"/>
    </row>
    <row r="139" spans="2:4" x14ac:dyDescent="0.25">
      <c r="B139" s="5" t="s">
        <v>75</v>
      </c>
      <c r="C139" s="6"/>
      <c r="D139" s="35"/>
    </row>
    <row r="140" spans="2:4" x14ac:dyDescent="0.25">
      <c r="B140" s="5" t="s">
        <v>76</v>
      </c>
      <c r="C140" s="6"/>
      <c r="D140" s="35"/>
    </row>
    <row r="141" spans="2:4" x14ac:dyDescent="0.25">
      <c r="B141" s="5" t="s">
        <v>77</v>
      </c>
      <c r="C141" s="6"/>
      <c r="D141" s="35"/>
    </row>
    <row r="142" spans="2:4" x14ac:dyDescent="0.25">
      <c r="B142" s="5" t="s">
        <v>78</v>
      </c>
      <c r="C142" s="6"/>
      <c r="D142" s="35"/>
    </row>
    <row r="143" spans="2:4" x14ac:dyDescent="0.25">
      <c r="B143" s="5" t="s">
        <v>79</v>
      </c>
      <c r="C143" s="6"/>
      <c r="D143" s="35"/>
    </row>
    <row r="144" spans="2:4" x14ac:dyDescent="0.25">
      <c r="B144" s="5" t="s">
        <v>80</v>
      </c>
      <c r="C144" s="6"/>
      <c r="D144" s="35"/>
    </row>
    <row r="145" spans="2:4" x14ac:dyDescent="0.25">
      <c r="B145" s="5" t="s">
        <v>81</v>
      </c>
      <c r="C145" s="6"/>
      <c r="D145" s="35"/>
    </row>
    <row r="146" spans="2:4" x14ac:dyDescent="0.25">
      <c r="B146" s="5" t="s">
        <v>82</v>
      </c>
      <c r="C146" s="6"/>
      <c r="D146" s="35"/>
    </row>
    <row r="147" spans="2:4" x14ac:dyDescent="0.25">
      <c r="B147" s="5" t="s">
        <v>83</v>
      </c>
      <c r="C147" s="6"/>
      <c r="D147" s="35"/>
    </row>
    <row r="148" spans="2:4" x14ac:dyDescent="0.25">
      <c r="B148" s="5" t="s">
        <v>85</v>
      </c>
      <c r="C148" s="6"/>
      <c r="D148" s="35"/>
    </row>
    <row r="149" spans="2:4" x14ac:dyDescent="0.25">
      <c r="B149" s="5" t="s">
        <v>86</v>
      </c>
      <c r="C149" s="6"/>
      <c r="D149" s="35"/>
    </row>
    <row r="150" spans="2:4" x14ac:dyDescent="0.25">
      <c r="B150" s="5" t="s">
        <v>87</v>
      </c>
      <c r="C150" s="6"/>
      <c r="D150" s="35"/>
    </row>
    <row r="151" spans="2:4" x14ac:dyDescent="0.25">
      <c r="B151" s="5" t="s">
        <v>88</v>
      </c>
      <c r="C151" s="6"/>
      <c r="D151" s="35"/>
    </row>
    <row r="152" spans="2:4" x14ac:dyDescent="0.25">
      <c r="B152" s="5" t="s">
        <v>89</v>
      </c>
      <c r="C152" s="6"/>
      <c r="D152" s="35"/>
    </row>
    <row r="153" spans="2:4" x14ac:dyDescent="0.25">
      <c r="B153" s="5" t="s">
        <v>90</v>
      </c>
      <c r="C153" s="6"/>
      <c r="D153" s="35"/>
    </row>
    <row r="154" spans="2:4" x14ac:dyDescent="0.25">
      <c r="B154" s="5" t="s">
        <v>91</v>
      </c>
      <c r="C154" s="6"/>
      <c r="D154" s="35"/>
    </row>
    <row r="155" spans="2:4" x14ac:dyDescent="0.25">
      <c r="B155" s="5" t="s">
        <v>92</v>
      </c>
      <c r="C155" s="6"/>
      <c r="D155" s="35"/>
    </row>
    <row r="156" spans="2:4" x14ac:dyDescent="0.25">
      <c r="B156" s="5" t="s">
        <v>93</v>
      </c>
      <c r="C156" s="6"/>
      <c r="D156" s="35"/>
    </row>
    <row r="157" spans="2:4" x14ac:dyDescent="0.25">
      <c r="B157" s="5" t="s">
        <v>94</v>
      </c>
      <c r="C157" s="6"/>
      <c r="D157" s="35"/>
    </row>
    <row r="158" spans="2:4" x14ac:dyDescent="0.25">
      <c r="B158" s="5" t="s">
        <v>96</v>
      </c>
      <c r="C158" s="6"/>
      <c r="D158" s="35"/>
    </row>
    <row r="159" spans="2:4" x14ac:dyDescent="0.25">
      <c r="B159" s="5" t="s">
        <v>97</v>
      </c>
      <c r="C159" s="6"/>
      <c r="D159" s="35"/>
    </row>
    <row r="160" spans="2:4" x14ac:dyDescent="0.25">
      <c r="B160" s="5" t="s">
        <v>98</v>
      </c>
      <c r="C160" s="6"/>
      <c r="D160" s="35"/>
    </row>
    <row r="161" spans="2:4" x14ac:dyDescent="0.25">
      <c r="B161" s="5" t="s">
        <v>99</v>
      </c>
      <c r="C161" s="6"/>
      <c r="D161" s="35"/>
    </row>
    <row r="162" spans="2:4" x14ac:dyDescent="0.25">
      <c r="B162" s="5" t="s">
        <v>100</v>
      </c>
      <c r="C162" s="6"/>
      <c r="D162" s="35"/>
    </row>
    <row r="163" spans="2:4" x14ac:dyDescent="0.25">
      <c r="B163" s="5" t="s">
        <v>101</v>
      </c>
      <c r="C163" s="6"/>
      <c r="D163" s="35"/>
    </row>
    <row r="164" spans="2:4" x14ac:dyDescent="0.25">
      <c r="B164" s="5" t="s">
        <v>102</v>
      </c>
      <c r="C164" s="6"/>
      <c r="D164" s="35"/>
    </row>
    <row r="165" spans="2:4" x14ac:dyDescent="0.25">
      <c r="B165" s="5" t="s">
        <v>103</v>
      </c>
      <c r="C165" s="6"/>
      <c r="D165" s="35"/>
    </row>
    <row r="166" spans="2:4" x14ac:dyDescent="0.25">
      <c r="B166" s="5" t="s">
        <v>104</v>
      </c>
      <c r="C166" s="6"/>
      <c r="D166" s="35"/>
    </row>
    <row r="167" spans="2:4" x14ac:dyDescent="0.25">
      <c r="B167" s="5" t="s">
        <v>105</v>
      </c>
      <c r="C167" s="6"/>
      <c r="D167" s="35"/>
    </row>
    <row r="168" spans="2:4" x14ac:dyDescent="0.25">
      <c r="B168" s="5" t="s">
        <v>107</v>
      </c>
      <c r="C168" s="6"/>
      <c r="D168" s="35"/>
    </row>
    <row r="169" spans="2:4" x14ac:dyDescent="0.25">
      <c r="B169" s="5" t="s">
        <v>108</v>
      </c>
      <c r="C169" s="6"/>
      <c r="D169" s="35"/>
    </row>
    <row r="170" spans="2:4" x14ac:dyDescent="0.25">
      <c r="B170" s="5" t="s">
        <v>109</v>
      </c>
      <c r="C170" s="6"/>
      <c r="D170" s="35"/>
    </row>
    <row r="171" spans="2:4" x14ac:dyDescent="0.25">
      <c r="B171" s="5" t="s">
        <v>110</v>
      </c>
      <c r="C171" s="6"/>
      <c r="D171" s="35"/>
    </row>
    <row r="172" spans="2:4" x14ac:dyDescent="0.25">
      <c r="B172" s="5" t="s">
        <v>111</v>
      </c>
      <c r="C172" s="6"/>
      <c r="D172" s="35"/>
    </row>
    <row r="173" spans="2:4" x14ac:dyDescent="0.25">
      <c r="B173" s="5" t="s">
        <v>112</v>
      </c>
      <c r="C173" s="6"/>
      <c r="D173" s="35"/>
    </row>
    <row r="174" spans="2:4" x14ac:dyDescent="0.25">
      <c r="B174" s="5" t="s">
        <v>113</v>
      </c>
      <c r="C174" s="6"/>
      <c r="D174" s="35"/>
    </row>
    <row r="175" spans="2:4" x14ac:dyDescent="0.25">
      <c r="B175" s="5" t="s">
        <v>114</v>
      </c>
      <c r="C175" s="6"/>
      <c r="D175" s="35"/>
    </row>
    <row r="176" spans="2:4" x14ac:dyDescent="0.25">
      <c r="B176" s="5" t="s">
        <v>115</v>
      </c>
      <c r="C176" s="6"/>
      <c r="D176" s="35"/>
    </row>
    <row r="177" spans="2:4" x14ac:dyDescent="0.25">
      <c r="B177" s="5" t="s">
        <v>116</v>
      </c>
      <c r="C177" s="6"/>
      <c r="D177" s="35"/>
    </row>
    <row r="178" spans="2:4" x14ac:dyDescent="0.25">
      <c r="B178" s="5" t="s">
        <v>118</v>
      </c>
      <c r="C178" s="6"/>
      <c r="D178" s="35"/>
    </row>
    <row r="179" spans="2:4" x14ac:dyDescent="0.25">
      <c r="B179" s="5" t="s">
        <v>119</v>
      </c>
      <c r="C179" s="6"/>
      <c r="D179" s="35"/>
    </row>
    <row r="180" spans="2:4" x14ac:dyDescent="0.25">
      <c r="B180" s="5" t="s">
        <v>120</v>
      </c>
      <c r="C180" s="6"/>
      <c r="D180" s="35"/>
    </row>
    <row r="181" spans="2:4" x14ac:dyDescent="0.25">
      <c r="B181" s="5" t="s">
        <v>121</v>
      </c>
      <c r="C181" s="6"/>
      <c r="D181" s="35"/>
    </row>
    <row r="182" spans="2:4" x14ac:dyDescent="0.25">
      <c r="B182" s="5" t="s">
        <v>122</v>
      </c>
      <c r="C182" s="6"/>
      <c r="D182" s="35"/>
    </row>
    <row r="183" spans="2:4" x14ac:dyDescent="0.25">
      <c r="B183" s="5" t="s">
        <v>123</v>
      </c>
      <c r="C183" s="6"/>
      <c r="D183" s="35"/>
    </row>
    <row r="184" spans="2:4" x14ac:dyDescent="0.25">
      <c r="B184" s="5" t="s">
        <v>124</v>
      </c>
      <c r="C184" s="6"/>
      <c r="D184" s="35"/>
    </row>
    <row r="185" spans="2:4" x14ac:dyDescent="0.25">
      <c r="B185" s="5" t="s">
        <v>125</v>
      </c>
      <c r="C185" s="6"/>
      <c r="D185" s="35"/>
    </row>
    <row r="186" spans="2:4" x14ac:dyDescent="0.25">
      <c r="B186" s="5" t="s">
        <v>126</v>
      </c>
      <c r="C186" s="6"/>
      <c r="D186" s="35"/>
    </row>
    <row r="187" spans="2:4" x14ac:dyDescent="0.25">
      <c r="B187" s="5" t="s">
        <v>127</v>
      </c>
      <c r="C187" s="6"/>
      <c r="D187" s="35"/>
    </row>
    <row r="188" spans="2:4" x14ac:dyDescent="0.25">
      <c r="B188" s="5" t="s">
        <v>129</v>
      </c>
      <c r="C188" s="6"/>
      <c r="D188" s="35"/>
    </row>
    <row r="189" spans="2:4" x14ac:dyDescent="0.25">
      <c r="B189" s="5" t="s">
        <v>130</v>
      </c>
      <c r="C189" s="6"/>
      <c r="D189" s="35"/>
    </row>
    <row r="190" spans="2:4" x14ac:dyDescent="0.25">
      <c r="B190" s="5" t="s">
        <v>131</v>
      </c>
      <c r="C190" s="6"/>
      <c r="D190" s="35"/>
    </row>
    <row r="191" spans="2:4" x14ac:dyDescent="0.25">
      <c r="B191" s="5" t="s">
        <v>132</v>
      </c>
      <c r="C191" s="6"/>
      <c r="D191" s="35"/>
    </row>
    <row r="192" spans="2:4" x14ac:dyDescent="0.25">
      <c r="B192" s="5" t="s">
        <v>133</v>
      </c>
      <c r="C192" s="6"/>
      <c r="D192" s="35"/>
    </row>
    <row r="193" spans="2:4" x14ac:dyDescent="0.25">
      <c r="B193" s="5" t="s">
        <v>134</v>
      </c>
      <c r="C193" s="6"/>
      <c r="D193" s="35"/>
    </row>
    <row r="194" spans="2:4" x14ac:dyDescent="0.25">
      <c r="B194" s="5" t="s">
        <v>135</v>
      </c>
      <c r="C194" s="6"/>
      <c r="D194" s="35"/>
    </row>
    <row r="195" spans="2:4" x14ac:dyDescent="0.25">
      <c r="B195" s="5" t="s">
        <v>136</v>
      </c>
      <c r="C195" s="6"/>
      <c r="D195" s="35"/>
    </row>
    <row r="196" spans="2:4" x14ac:dyDescent="0.25">
      <c r="B196" s="5" t="s">
        <v>137</v>
      </c>
      <c r="C196" s="6"/>
      <c r="D196" s="35"/>
    </row>
    <row r="197" spans="2:4" x14ac:dyDescent="0.25">
      <c r="B197" s="5" t="s">
        <v>138</v>
      </c>
      <c r="C197" s="6"/>
      <c r="D197" s="35"/>
    </row>
    <row r="198" spans="2:4" x14ac:dyDescent="0.25">
      <c r="B198" s="5" t="s">
        <v>140</v>
      </c>
      <c r="C198" s="6"/>
      <c r="D198" s="35"/>
    </row>
    <row r="199" spans="2:4" x14ac:dyDescent="0.25">
      <c r="B199" s="5" t="s">
        <v>141</v>
      </c>
      <c r="C199" s="6"/>
      <c r="D199" s="35"/>
    </row>
    <row r="200" spans="2:4" x14ac:dyDescent="0.25">
      <c r="B200" s="5" t="s">
        <v>142</v>
      </c>
      <c r="C200" s="6"/>
      <c r="D200" s="35"/>
    </row>
    <row r="201" spans="2:4" x14ac:dyDescent="0.25">
      <c r="B201" s="5" t="s">
        <v>143</v>
      </c>
      <c r="C201" s="6"/>
      <c r="D201" s="35"/>
    </row>
    <row r="202" spans="2:4" x14ac:dyDescent="0.25">
      <c r="B202" s="5" t="s">
        <v>144</v>
      </c>
      <c r="C202" s="6"/>
      <c r="D202" s="35"/>
    </row>
    <row r="203" spans="2:4" x14ac:dyDescent="0.25">
      <c r="B203" s="5" t="s">
        <v>145</v>
      </c>
      <c r="C203" s="6"/>
      <c r="D203" s="35"/>
    </row>
    <row r="204" spans="2:4" x14ac:dyDescent="0.25">
      <c r="B204" s="5" t="s">
        <v>146</v>
      </c>
      <c r="C204" s="6"/>
      <c r="D204" s="35"/>
    </row>
    <row r="205" spans="2:4" x14ac:dyDescent="0.25">
      <c r="B205" s="5" t="s">
        <v>147</v>
      </c>
      <c r="C205" s="6"/>
      <c r="D205" s="35"/>
    </row>
    <row r="206" spans="2:4" x14ac:dyDescent="0.25">
      <c r="B206" s="5" t="s">
        <v>148</v>
      </c>
      <c r="C206" s="6"/>
      <c r="D206" s="35"/>
    </row>
    <row r="207" spans="2:4" x14ac:dyDescent="0.25">
      <c r="B207" s="5" t="s">
        <v>149</v>
      </c>
      <c r="C207" s="6"/>
      <c r="D207" s="35"/>
    </row>
    <row r="208" spans="2:4" x14ac:dyDescent="0.25">
      <c r="B208" s="5" t="s">
        <v>151</v>
      </c>
      <c r="C208" s="6"/>
      <c r="D208" s="35"/>
    </row>
    <row r="209" spans="2:4" x14ac:dyDescent="0.25">
      <c r="B209" s="5" t="s">
        <v>152</v>
      </c>
      <c r="C209" s="6"/>
      <c r="D209" s="35"/>
    </row>
    <row r="210" spans="2:4" x14ac:dyDescent="0.25">
      <c r="B210" s="5" t="s">
        <v>153</v>
      </c>
      <c r="C210" s="6"/>
      <c r="D210" s="35"/>
    </row>
    <row r="211" spans="2:4" x14ac:dyDescent="0.25">
      <c r="B211" s="5" t="s">
        <v>154</v>
      </c>
      <c r="C211" s="6"/>
      <c r="D211" s="35"/>
    </row>
    <row r="212" spans="2:4" x14ac:dyDescent="0.25">
      <c r="B212" s="5" t="s">
        <v>155</v>
      </c>
      <c r="C212" s="6"/>
      <c r="D212" s="35"/>
    </row>
    <row r="213" spans="2:4" x14ac:dyDescent="0.25">
      <c r="B213" s="5" t="s">
        <v>156</v>
      </c>
      <c r="C213" s="6"/>
      <c r="D213" s="35"/>
    </row>
    <row r="214" spans="2:4" x14ac:dyDescent="0.25">
      <c r="B214" s="5" t="s">
        <v>157</v>
      </c>
      <c r="C214" s="6"/>
      <c r="D214" s="35"/>
    </row>
    <row r="215" spans="2:4" x14ac:dyDescent="0.25">
      <c r="B215" s="5" t="s">
        <v>158</v>
      </c>
      <c r="C215" s="6"/>
      <c r="D215" s="35"/>
    </row>
    <row r="216" spans="2:4" x14ac:dyDescent="0.25">
      <c r="B216" s="5" t="s">
        <v>159</v>
      </c>
      <c r="C216" s="6"/>
      <c r="D216" s="35"/>
    </row>
    <row r="217" spans="2:4" x14ac:dyDescent="0.25">
      <c r="B217" s="36" t="s">
        <v>163</v>
      </c>
      <c r="C217" s="37"/>
      <c r="D217" s="38"/>
    </row>
    <row r="218" spans="2:4" x14ac:dyDescent="0.25">
      <c r="B218" s="36" t="s">
        <v>164</v>
      </c>
      <c r="C218" s="37"/>
      <c r="D218" s="38"/>
    </row>
    <row r="219" spans="2:4" x14ac:dyDescent="0.25">
      <c r="B219" s="36" t="s">
        <v>165</v>
      </c>
      <c r="C219" s="37"/>
      <c r="D219" s="38"/>
    </row>
    <row r="220" spans="2:4" x14ac:dyDescent="0.25">
      <c r="B220" s="36" t="s">
        <v>166</v>
      </c>
      <c r="C220" s="37"/>
      <c r="D220" s="38"/>
    </row>
    <row r="221" spans="2:4" x14ac:dyDescent="0.25">
      <c r="B221" s="36" t="s">
        <v>167</v>
      </c>
      <c r="C221" s="37"/>
      <c r="D221" s="38"/>
    </row>
    <row r="222" spans="2:4" x14ac:dyDescent="0.25">
      <c r="B222" s="36" t="s">
        <v>168</v>
      </c>
      <c r="C222" s="37"/>
      <c r="D222" s="38"/>
    </row>
    <row r="223" spans="2:4" x14ac:dyDescent="0.25">
      <c r="B223" s="36" t="s">
        <v>169</v>
      </c>
      <c r="C223" s="37"/>
      <c r="D223" s="38"/>
    </row>
    <row r="224" spans="2:4" x14ac:dyDescent="0.25">
      <c r="B224" s="36" t="s">
        <v>170</v>
      </c>
      <c r="C224" s="37"/>
      <c r="D224" s="38"/>
    </row>
    <row r="225" spans="2:4" x14ac:dyDescent="0.25">
      <c r="B225" s="122" t="s">
        <v>171</v>
      </c>
      <c r="C225" s="120" t="s">
        <v>172</v>
      </c>
      <c r="D225" s="121"/>
    </row>
    <row r="227" spans="2:4" x14ac:dyDescent="0.25">
      <c r="C227" s="39" t="s">
        <v>173</v>
      </c>
    </row>
    <row r="228" spans="2:4" x14ac:dyDescent="0.25">
      <c r="C228" s="39" t="s">
        <v>174</v>
      </c>
    </row>
  </sheetData>
  <mergeCells count="17">
    <mergeCell ref="B5:C5"/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6FB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40" t="str">
        <f>"GIRONE A - Stagione "&amp;constStagionaCampionato</f>
        <v xml:space="preserve">GIRONE A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42" t="s">
        <v>192</v>
      </c>
      <c r="B8" s="139" t="str">
        <f>"GIORNATA "&amp;ROMAN(VALUE(LEFT(A8,LEN(A8)-1)))&amp;" - GIRONE "&amp;RIGHT(A8,1)</f>
        <v>GIORNATA I - GIRONE A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43" t="s">
        <v>193</v>
      </c>
      <c r="B9" s="134" t="s">
        <v>175</v>
      </c>
      <c r="C9" s="125"/>
      <c r="D9" s="134" t="s">
        <v>182</v>
      </c>
      <c r="E9" s="125"/>
      <c r="F9" s="43" t="s">
        <v>194</v>
      </c>
      <c r="G9" s="43" t="s">
        <v>195</v>
      </c>
      <c r="H9" s="134" t="s">
        <v>196</v>
      </c>
      <c r="I9" s="125"/>
      <c r="J9" s="134" t="s">
        <v>197</v>
      </c>
      <c r="K9" s="124"/>
      <c r="L9" s="125"/>
    </row>
    <row r="10" spans="1:29" ht="24" customHeight="1" x14ac:dyDescent="0.25">
      <c r="A10" s="137">
        <v>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43" t="s">
        <v>193</v>
      </c>
      <c r="B12" s="134" t="s">
        <v>175</v>
      </c>
      <c r="C12" s="125"/>
      <c r="D12" s="134" t="s">
        <v>182</v>
      </c>
      <c r="E12" s="125"/>
      <c r="F12" s="43" t="s">
        <v>194</v>
      </c>
      <c r="G12" s="43" t="s">
        <v>195</v>
      </c>
      <c r="H12" s="134" t="s">
        <v>196</v>
      </c>
      <c r="I12" s="125"/>
      <c r="J12" s="134" t="s">
        <v>197</v>
      </c>
      <c r="K12" s="124"/>
      <c r="L12" s="125"/>
    </row>
    <row r="13" spans="1:29" ht="24" customHeight="1" x14ac:dyDescent="0.25">
      <c r="A13" s="137">
        <f>MAX(A$10:A12)+1</f>
        <v>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43" t="s">
        <v>193</v>
      </c>
      <c r="B15" s="134" t="s">
        <v>175</v>
      </c>
      <c r="C15" s="125"/>
      <c r="D15" s="134" t="s">
        <v>182</v>
      </c>
      <c r="E15" s="125"/>
      <c r="F15" s="43" t="s">
        <v>194</v>
      </c>
      <c r="G15" s="43" t="s">
        <v>195</v>
      </c>
      <c r="H15" s="134" t="s">
        <v>196</v>
      </c>
      <c r="I15" s="125"/>
      <c r="J15" s="134" t="s">
        <v>197</v>
      </c>
      <c r="K15" s="124"/>
      <c r="L15" s="125"/>
    </row>
    <row r="16" spans="1:29" ht="24" customHeight="1" x14ac:dyDescent="0.25">
      <c r="A16" s="137">
        <f>MAX(A$10:A15)+1</f>
        <v>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43" t="s">
        <v>193</v>
      </c>
      <c r="B18" s="134" t="s">
        <v>175</v>
      </c>
      <c r="C18" s="125"/>
      <c r="D18" s="134" t="s">
        <v>182</v>
      </c>
      <c r="E18" s="125"/>
      <c r="F18" s="43" t="s">
        <v>194</v>
      </c>
      <c r="G18" s="43" t="s">
        <v>195</v>
      </c>
      <c r="H18" s="134" t="s">
        <v>196</v>
      </c>
      <c r="I18" s="125"/>
      <c r="J18" s="134" t="s">
        <v>197</v>
      </c>
      <c r="K18" s="124"/>
      <c r="L18" s="125"/>
    </row>
    <row r="19" spans="1:29" ht="24" customHeight="1" x14ac:dyDescent="0.25">
      <c r="A19" s="137">
        <f>MAX(A$10:A18)+1</f>
        <v>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43" t="s">
        <v>193</v>
      </c>
      <c r="B21" s="134" t="s">
        <v>175</v>
      </c>
      <c r="C21" s="125"/>
      <c r="D21" s="134" t="s">
        <v>182</v>
      </c>
      <c r="E21" s="125"/>
      <c r="F21" s="43" t="s">
        <v>194</v>
      </c>
      <c r="G21" s="43" t="s">
        <v>195</v>
      </c>
      <c r="H21" s="134" t="s">
        <v>196</v>
      </c>
      <c r="I21" s="125"/>
      <c r="J21" s="134" t="s">
        <v>197</v>
      </c>
      <c r="K21" s="124"/>
      <c r="L21" s="125"/>
    </row>
    <row r="22" spans="1:29" ht="24" customHeight="1" x14ac:dyDescent="0.25">
      <c r="A22" s="137">
        <f>MAX(A$10:A21)+1</f>
        <v>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42" t="s">
        <v>199</v>
      </c>
      <c r="B25" s="139" t="str">
        <f>"GIORNATA "&amp;ROMAN(VALUE(LEFT(A25,LEN(A25)-1)))&amp;" - GIRONE "&amp;RIGHT(A25,1)</f>
        <v>GIORNATA II - GIRONE A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43" t="s">
        <v>193</v>
      </c>
      <c r="B26" s="134" t="s">
        <v>175</v>
      </c>
      <c r="C26" s="125"/>
      <c r="D26" s="134" t="s">
        <v>182</v>
      </c>
      <c r="E26" s="125"/>
      <c r="F26" s="43" t="s">
        <v>194</v>
      </c>
      <c r="G26" s="43" t="s">
        <v>195</v>
      </c>
      <c r="H26" s="134" t="s">
        <v>196</v>
      </c>
      <c r="I26" s="125"/>
      <c r="J26" s="134" t="s">
        <v>197</v>
      </c>
      <c r="K26" s="124"/>
      <c r="L26" s="125"/>
    </row>
    <row r="27" spans="1:29" ht="24" customHeight="1" x14ac:dyDescent="0.25">
      <c r="A27" s="137">
        <f>MAX(A$10:A26)+1</f>
        <v>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43" t="s">
        <v>193</v>
      </c>
      <c r="B29" s="134" t="s">
        <v>175</v>
      </c>
      <c r="C29" s="125"/>
      <c r="D29" s="134" t="s">
        <v>182</v>
      </c>
      <c r="E29" s="125"/>
      <c r="F29" s="43" t="s">
        <v>194</v>
      </c>
      <c r="G29" s="43" t="s">
        <v>195</v>
      </c>
      <c r="H29" s="134" t="s">
        <v>196</v>
      </c>
      <c r="I29" s="125"/>
      <c r="J29" s="134" t="s">
        <v>197</v>
      </c>
      <c r="K29" s="124"/>
      <c r="L29" s="125"/>
    </row>
    <row r="30" spans="1:29" ht="24" customHeight="1" x14ac:dyDescent="0.25">
      <c r="A30" s="137">
        <f>MAX(A$10:A29)+1</f>
        <v>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43" t="s">
        <v>193</v>
      </c>
      <c r="B32" s="134" t="s">
        <v>175</v>
      </c>
      <c r="C32" s="125"/>
      <c r="D32" s="134" t="s">
        <v>182</v>
      </c>
      <c r="E32" s="125"/>
      <c r="F32" s="43" t="s">
        <v>194</v>
      </c>
      <c r="G32" s="43" t="s">
        <v>195</v>
      </c>
      <c r="H32" s="134" t="s">
        <v>196</v>
      </c>
      <c r="I32" s="125"/>
      <c r="J32" s="134" t="s">
        <v>197</v>
      </c>
      <c r="K32" s="124"/>
      <c r="L32" s="125"/>
    </row>
    <row r="33" spans="1:29" ht="24" customHeight="1" x14ac:dyDescent="0.25">
      <c r="A33" s="137">
        <f>MAX(A$10:A32)+1</f>
        <v>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43" t="s">
        <v>193</v>
      </c>
      <c r="B35" s="134" t="s">
        <v>175</v>
      </c>
      <c r="C35" s="125"/>
      <c r="D35" s="134" t="s">
        <v>182</v>
      </c>
      <c r="E35" s="125"/>
      <c r="F35" s="43" t="s">
        <v>194</v>
      </c>
      <c r="G35" s="43" t="s">
        <v>195</v>
      </c>
      <c r="H35" s="134" t="s">
        <v>196</v>
      </c>
      <c r="I35" s="125"/>
      <c r="J35" s="134" t="s">
        <v>197</v>
      </c>
      <c r="K35" s="124"/>
      <c r="L35" s="125"/>
    </row>
    <row r="36" spans="1:29" ht="24" customHeight="1" x14ac:dyDescent="0.25">
      <c r="A36" s="137">
        <f>MAX(A$10:A35)+1</f>
        <v>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43" t="s">
        <v>193</v>
      </c>
      <c r="B38" s="134" t="s">
        <v>175</v>
      </c>
      <c r="C38" s="125"/>
      <c r="D38" s="134" t="s">
        <v>182</v>
      </c>
      <c r="E38" s="125"/>
      <c r="F38" s="43" t="s">
        <v>194</v>
      </c>
      <c r="G38" s="43" t="s">
        <v>195</v>
      </c>
      <c r="H38" s="134" t="s">
        <v>196</v>
      </c>
      <c r="I38" s="125"/>
      <c r="J38" s="134" t="s">
        <v>197</v>
      </c>
      <c r="K38" s="124"/>
      <c r="L38" s="125"/>
    </row>
    <row r="39" spans="1:29" ht="24" customHeight="1" x14ac:dyDescent="0.25">
      <c r="A39" s="137">
        <f>MAX(A$10:A38)+1</f>
        <v>10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42" t="s">
        <v>200</v>
      </c>
      <c r="B42" s="139" t="str">
        <f>"GIORNATA "&amp;ROMAN(VALUE(LEFT(A42,LEN(A42)-1)))&amp;" - GIRONE "&amp;RIGHT(A42,1)</f>
        <v>GIORNATA III - GIRONE A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43" t="s">
        <v>193</v>
      </c>
      <c r="B43" s="134" t="s">
        <v>175</v>
      </c>
      <c r="C43" s="125"/>
      <c r="D43" s="134" t="s">
        <v>182</v>
      </c>
      <c r="E43" s="125"/>
      <c r="F43" s="43" t="s">
        <v>194</v>
      </c>
      <c r="G43" s="43" t="s">
        <v>195</v>
      </c>
      <c r="H43" s="134" t="s">
        <v>196</v>
      </c>
      <c r="I43" s="125"/>
      <c r="J43" s="134" t="s">
        <v>197</v>
      </c>
      <c r="K43" s="124"/>
      <c r="L43" s="125"/>
    </row>
    <row r="44" spans="1:29" ht="24" customHeight="1" x14ac:dyDescent="0.25">
      <c r="A44" s="137">
        <f>MAX(A$10:A43)+1</f>
        <v>11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43" t="s">
        <v>193</v>
      </c>
      <c r="B46" s="134" t="s">
        <v>175</v>
      </c>
      <c r="C46" s="125"/>
      <c r="D46" s="134" t="s">
        <v>182</v>
      </c>
      <c r="E46" s="125"/>
      <c r="F46" s="43" t="s">
        <v>194</v>
      </c>
      <c r="G46" s="43" t="s">
        <v>195</v>
      </c>
      <c r="H46" s="134" t="s">
        <v>196</v>
      </c>
      <c r="I46" s="125"/>
      <c r="J46" s="134" t="s">
        <v>197</v>
      </c>
      <c r="K46" s="124"/>
      <c r="L46" s="125"/>
    </row>
    <row r="47" spans="1:29" ht="24" customHeight="1" x14ac:dyDescent="0.25">
      <c r="A47" s="137">
        <f>MAX(A$10:A46)+1</f>
        <v>12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43" t="s">
        <v>193</v>
      </c>
      <c r="B49" s="134" t="s">
        <v>175</v>
      </c>
      <c r="C49" s="125"/>
      <c r="D49" s="134" t="s">
        <v>182</v>
      </c>
      <c r="E49" s="125"/>
      <c r="F49" s="43" t="s">
        <v>194</v>
      </c>
      <c r="G49" s="43" t="s">
        <v>195</v>
      </c>
      <c r="H49" s="134" t="s">
        <v>196</v>
      </c>
      <c r="I49" s="125"/>
      <c r="J49" s="134" t="s">
        <v>197</v>
      </c>
      <c r="K49" s="124"/>
      <c r="L49" s="125"/>
    </row>
    <row r="50" spans="1:29" ht="24" customHeight="1" x14ac:dyDescent="0.25">
      <c r="A50" s="137">
        <f>MAX(A$10:A49)+1</f>
        <v>13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43" t="s">
        <v>193</v>
      </c>
      <c r="B52" s="134" t="s">
        <v>175</v>
      </c>
      <c r="C52" s="125"/>
      <c r="D52" s="134" t="s">
        <v>182</v>
      </c>
      <c r="E52" s="125"/>
      <c r="F52" s="43" t="s">
        <v>194</v>
      </c>
      <c r="G52" s="43" t="s">
        <v>195</v>
      </c>
      <c r="H52" s="134" t="s">
        <v>196</v>
      </c>
      <c r="I52" s="125"/>
      <c r="J52" s="134" t="s">
        <v>197</v>
      </c>
      <c r="K52" s="124"/>
      <c r="L52" s="125"/>
    </row>
    <row r="53" spans="1:29" ht="24" customHeight="1" x14ac:dyDescent="0.25">
      <c r="A53" s="137">
        <f>MAX(A$10:A52)+1</f>
        <v>14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43" t="s">
        <v>193</v>
      </c>
      <c r="B55" s="134" t="s">
        <v>175</v>
      </c>
      <c r="C55" s="125"/>
      <c r="D55" s="134" t="s">
        <v>182</v>
      </c>
      <c r="E55" s="125"/>
      <c r="F55" s="43" t="s">
        <v>194</v>
      </c>
      <c r="G55" s="43" t="s">
        <v>195</v>
      </c>
      <c r="H55" s="134" t="s">
        <v>196</v>
      </c>
      <c r="I55" s="125"/>
      <c r="J55" s="134" t="s">
        <v>197</v>
      </c>
      <c r="K55" s="124"/>
      <c r="L55" s="125"/>
    </row>
    <row r="56" spans="1:29" ht="24" customHeight="1" x14ac:dyDescent="0.25">
      <c r="A56" s="137">
        <f>MAX(A$10:A55)+1</f>
        <v>15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42" t="s">
        <v>201</v>
      </c>
      <c r="B59" s="139" t="str">
        <f>"GIORNATA "&amp;ROMAN(VALUE(LEFT(A59,LEN(A59)-1)))&amp;" - GIRONE "&amp;RIGHT(A59,1)</f>
        <v>GIORNATA IV - GIRONE A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43" t="s">
        <v>193</v>
      </c>
      <c r="B60" s="134" t="s">
        <v>175</v>
      </c>
      <c r="C60" s="125"/>
      <c r="D60" s="134" t="s">
        <v>182</v>
      </c>
      <c r="E60" s="125"/>
      <c r="F60" s="43" t="s">
        <v>194</v>
      </c>
      <c r="G60" s="43" t="s">
        <v>195</v>
      </c>
      <c r="H60" s="134" t="s">
        <v>196</v>
      </c>
      <c r="I60" s="125"/>
      <c r="J60" s="134" t="s">
        <v>197</v>
      </c>
      <c r="K60" s="124"/>
      <c r="L60" s="125"/>
    </row>
    <row r="61" spans="1:29" ht="24" customHeight="1" x14ac:dyDescent="0.25">
      <c r="A61" s="137">
        <f>MAX(A$10:A60)+1</f>
        <v>16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43" t="s">
        <v>193</v>
      </c>
      <c r="B63" s="134" t="s">
        <v>175</v>
      </c>
      <c r="C63" s="125"/>
      <c r="D63" s="134" t="s">
        <v>182</v>
      </c>
      <c r="E63" s="125"/>
      <c r="F63" s="43" t="s">
        <v>194</v>
      </c>
      <c r="G63" s="43" t="s">
        <v>195</v>
      </c>
      <c r="H63" s="134" t="s">
        <v>196</v>
      </c>
      <c r="I63" s="125"/>
      <c r="J63" s="134" t="s">
        <v>197</v>
      </c>
      <c r="K63" s="124"/>
      <c r="L63" s="125"/>
    </row>
    <row r="64" spans="1:29" ht="24" customHeight="1" x14ac:dyDescent="0.25">
      <c r="A64" s="137">
        <f>MAX(A$10:A63)+1</f>
        <v>17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43" t="s">
        <v>193</v>
      </c>
      <c r="B66" s="134" t="s">
        <v>175</v>
      </c>
      <c r="C66" s="125"/>
      <c r="D66" s="134" t="s">
        <v>182</v>
      </c>
      <c r="E66" s="125"/>
      <c r="F66" s="43" t="s">
        <v>194</v>
      </c>
      <c r="G66" s="43" t="s">
        <v>195</v>
      </c>
      <c r="H66" s="134" t="s">
        <v>196</v>
      </c>
      <c r="I66" s="125"/>
      <c r="J66" s="134" t="s">
        <v>197</v>
      </c>
      <c r="K66" s="124"/>
      <c r="L66" s="125"/>
    </row>
    <row r="67" spans="1:29" ht="24" customHeight="1" x14ac:dyDescent="0.25">
      <c r="A67" s="137">
        <f>MAX(A$10:A66)+1</f>
        <v>18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43" t="s">
        <v>193</v>
      </c>
      <c r="B69" s="134" t="s">
        <v>175</v>
      </c>
      <c r="C69" s="125"/>
      <c r="D69" s="134" t="s">
        <v>182</v>
      </c>
      <c r="E69" s="125"/>
      <c r="F69" s="43" t="s">
        <v>194</v>
      </c>
      <c r="G69" s="43" t="s">
        <v>195</v>
      </c>
      <c r="H69" s="134" t="s">
        <v>196</v>
      </c>
      <c r="I69" s="125"/>
      <c r="J69" s="134" t="s">
        <v>197</v>
      </c>
      <c r="K69" s="124"/>
      <c r="L69" s="125"/>
    </row>
    <row r="70" spans="1:29" ht="24" customHeight="1" x14ac:dyDescent="0.25">
      <c r="A70" s="137">
        <f>MAX(A$10:A69)+1</f>
        <v>19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43" t="s">
        <v>193</v>
      </c>
      <c r="B72" s="134" t="s">
        <v>175</v>
      </c>
      <c r="C72" s="125"/>
      <c r="D72" s="134" t="s">
        <v>182</v>
      </c>
      <c r="E72" s="125"/>
      <c r="F72" s="43" t="s">
        <v>194</v>
      </c>
      <c r="G72" s="43" t="s">
        <v>195</v>
      </c>
      <c r="H72" s="134" t="s">
        <v>196</v>
      </c>
      <c r="I72" s="125"/>
      <c r="J72" s="134" t="s">
        <v>197</v>
      </c>
      <c r="K72" s="124"/>
      <c r="L72" s="125"/>
    </row>
    <row r="73" spans="1:29" ht="24" customHeight="1" x14ac:dyDescent="0.25">
      <c r="A73" s="137">
        <f>MAX(A$10:A72)+1</f>
        <v>20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42" t="s">
        <v>202</v>
      </c>
      <c r="B76" s="139" t="str">
        <f>"GIORNATA "&amp;ROMAN(VALUE(LEFT(A76,LEN(A76)-1)))&amp;" - GIRONE "&amp;RIGHT(A76,1)</f>
        <v>GIORNATA V - GIRONE A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43" t="s">
        <v>193</v>
      </c>
      <c r="B77" s="134" t="s">
        <v>175</v>
      </c>
      <c r="C77" s="125"/>
      <c r="D77" s="134" t="s">
        <v>182</v>
      </c>
      <c r="E77" s="125"/>
      <c r="F77" s="43" t="s">
        <v>194</v>
      </c>
      <c r="G77" s="43" t="s">
        <v>195</v>
      </c>
      <c r="H77" s="134" t="s">
        <v>196</v>
      </c>
      <c r="I77" s="125"/>
      <c r="J77" s="134" t="s">
        <v>197</v>
      </c>
      <c r="K77" s="124"/>
      <c r="L77" s="125"/>
    </row>
    <row r="78" spans="1:29" ht="24" customHeight="1" x14ac:dyDescent="0.25">
      <c r="A78" s="137">
        <f>MAX(A$10:A77)+1</f>
        <v>21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43" t="s">
        <v>193</v>
      </c>
      <c r="B80" s="134" t="s">
        <v>175</v>
      </c>
      <c r="C80" s="125"/>
      <c r="D80" s="134" t="s">
        <v>182</v>
      </c>
      <c r="E80" s="125"/>
      <c r="F80" s="43" t="s">
        <v>194</v>
      </c>
      <c r="G80" s="43" t="s">
        <v>195</v>
      </c>
      <c r="H80" s="134" t="s">
        <v>196</v>
      </c>
      <c r="I80" s="125"/>
      <c r="J80" s="134" t="s">
        <v>197</v>
      </c>
      <c r="K80" s="124"/>
      <c r="L80" s="125"/>
    </row>
    <row r="81" spans="1:29" ht="24" customHeight="1" x14ac:dyDescent="0.25">
      <c r="A81" s="137">
        <f>MAX(A$10:A80)+1</f>
        <v>22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43" t="s">
        <v>193</v>
      </c>
      <c r="B83" s="134" t="s">
        <v>175</v>
      </c>
      <c r="C83" s="125"/>
      <c r="D83" s="134" t="s">
        <v>182</v>
      </c>
      <c r="E83" s="125"/>
      <c r="F83" s="43" t="s">
        <v>194</v>
      </c>
      <c r="G83" s="43" t="s">
        <v>195</v>
      </c>
      <c r="H83" s="134" t="s">
        <v>196</v>
      </c>
      <c r="I83" s="125"/>
      <c r="J83" s="134" t="s">
        <v>197</v>
      </c>
      <c r="K83" s="124"/>
      <c r="L83" s="125"/>
    </row>
    <row r="84" spans="1:29" ht="24" customHeight="1" x14ac:dyDescent="0.25">
      <c r="A84" s="137">
        <f>MAX(A$10:A83)+1</f>
        <v>23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43" t="s">
        <v>193</v>
      </c>
      <c r="B86" s="134" t="s">
        <v>175</v>
      </c>
      <c r="C86" s="125"/>
      <c r="D86" s="134" t="s">
        <v>182</v>
      </c>
      <c r="E86" s="125"/>
      <c r="F86" s="43" t="s">
        <v>194</v>
      </c>
      <c r="G86" s="43" t="s">
        <v>195</v>
      </c>
      <c r="H86" s="134" t="s">
        <v>196</v>
      </c>
      <c r="I86" s="125"/>
      <c r="J86" s="134" t="s">
        <v>197</v>
      </c>
      <c r="K86" s="124"/>
      <c r="L86" s="125"/>
    </row>
    <row r="87" spans="1:29" ht="24" customHeight="1" x14ac:dyDescent="0.25">
      <c r="A87" s="137">
        <f>MAX(A$10:A86)+1</f>
        <v>24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43" t="s">
        <v>193</v>
      </c>
      <c r="B89" s="134" t="s">
        <v>175</v>
      </c>
      <c r="C89" s="125"/>
      <c r="D89" s="134" t="s">
        <v>182</v>
      </c>
      <c r="E89" s="125"/>
      <c r="F89" s="43" t="s">
        <v>194</v>
      </c>
      <c r="G89" s="43" t="s">
        <v>195</v>
      </c>
      <c r="H89" s="134" t="s">
        <v>196</v>
      </c>
      <c r="I89" s="125"/>
      <c r="J89" s="134" t="s">
        <v>197</v>
      </c>
      <c r="K89" s="124"/>
      <c r="L89" s="125"/>
    </row>
    <row r="90" spans="1:29" ht="24" customHeight="1" x14ac:dyDescent="0.25">
      <c r="A90" s="137">
        <f>MAX(A$10:A89)+1</f>
        <v>25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42" t="s">
        <v>203</v>
      </c>
      <c r="B93" s="139" t="str">
        <f>"GIORNATA "&amp;ROMAN(VALUE(LEFT(A93,LEN(A93)-1)))&amp;" - GIRONE "&amp;RIGHT(A93,1)</f>
        <v>GIORNATA VI - GIRONE A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43" t="s">
        <v>193</v>
      </c>
      <c r="B94" s="134" t="s">
        <v>175</v>
      </c>
      <c r="C94" s="125"/>
      <c r="D94" s="134" t="s">
        <v>182</v>
      </c>
      <c r="E94" s="125"/>
      <c r="F94" s="43" t="s">
        <v>194</v>
      </c>
      <c r="G94" s="43" t="s">
        <v>195</v>
      </c>
      <c r="H94" s="134" t="s">
        <v>196</v>
      </c>
      <c r="I94" s="125"/>
      <c r="J94" s="134" t="s">
        <v>197</v>
      </c>
      <c r="K94" s="124"/>
      <c r="L94" s="125"/>
    </row>
    <row r="95" spans="1:29" ht="24" customHeight="1" x14ac:dyDescent="0.25">
      <c r="A95" s="137">
        <f>MAX(A$10:A94)+1</f>
        <v>26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43" t="s">
        <v>193</v>
      </c>
      <c r="B97" s="134" t="s">
        <v>175</v>
      </c>
      <c r="C97" s="125"/>
      <c r="D97" s="134" t="s">
        <v>182</v>
      </c>
      <c r="E97" s="125"/>
      <c r="F97" s="43" t="s">
        <v>194</v>
      </c>
      <c r="G97" s="43" t="s">
        <v>195</v>
      </c>
      <c r="H97" s="134" t="s">
        <v>196</v>
      </c>
      <c r="I97" s="125"/>
      <c r="J97" s="134" t="s">
        <v>197</v>
      </c>
      <c r="K97" s="124"/>
      <c r="L97" s="125"/>
    </row>
    <row r="98" spans="1:29" ht="24" customHeight="1" x14ac:dyDescent="0.25">
      <c r="A98" s="137">
        <f>MAX(A$10:A97)+1</f>
        <v>27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43" t="s">
        <v>193</v>
      </c>
      <c r="B100" s="134" t="s">
        <v>175</v>
      </c>
      <c r="C100" s="125"/>
      <c r="D100" s="134" t="s">
        <v>182</v>
      </c>
      <c r="E100" s="125"/>
      <c r="F100" s="43" t="s">
        <v>194</v>
      </c>
      <c r="G100" s="43" t="s">
        <v>195</v>
      </c>
      <c r="H100" s="134" t="s">
        <v>196</v>
      </c>
      <c r="I100" s="125"/>
      <c r="J100" s="134" t="s">
        <v>197</v>
      </c>
      <c r="K100" s="124"/>
      <c r="L100" s="125"/>
    </row>
    <row r="101" spans="1:29" ht="24" customHeight="1" x14ac:dyDescent="0.25">
      <c r="A101" s="137">
        <f>MAX(A$10:A100)+1</f>
        <v>28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43" t="s">
        <v>193</v>
      </c>
      <c r="B103" s="134" t="s">
        <v>175</v>
      </c>
      <c r="C103" s="125"/>
      <c r="D103" s="134" t="s">
        <v>182</v>
      </c>
      <c r="E103" s="125"/>
      <c r="F103" s="43" t="s">
        <v>194</v>
      </c>
      <c r="G103" s="43" t="s">
        <v>195</v>
      </c>
      <c r="H103" s="134" t="s">
        <v>196</v>
      </c>
      <c r="I103" s="125"/>
      <c r="J103" s="134" t="s">
        <v>197</v>
      </c>
      <c r="K103" s="124"/>
      <c r="L103" s="125"/>
    </row>
    <row r="104" spans="1:29" ht="24" customHeight="1" x14ac:dyDescent="0.25">
      <c r="A104" s="137">
        <f>MAX(A$10:A103)+1</f>
        <v>29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43" t="s">
        <v>193</v>
      </c>
      <c r="B106" s="134" t="s">
        <v>175</v>
      </c>
      <c r="C106" s="125"/>
      <c r="D106" s="134" t="s">
        <v>182</v>
      </c>
      <c r="E106" s="125"/>
      <c r="F106" s="43" t="s">
        <v>194</v>
      </c>
      <c r="G106" s="43" t="s">
        <v>195</v>
      </c>
      <c r="H106" s="134" t="s">
        <v>196</v>
      </c>
      <c r="I106" s="125"/>
      <c r="J106" s="134" t="s">
        <v>197</v>
      </c>
      <c r="K106" s="124"/>
      <c r="L106" s="125"/>
    </row>
    <row r="107" spans="1:29" ht="24" customHeight="1" x14ac:dyDescent="0.25">
      <c r="A107" s="137">
        <f>MAX(A$10:A106)+1</f>
        <v>30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42" t="s">
        <v>204</v>
      </c>
      <c r="B110" s="139" t="str">
        <f>"GIORNATA "&amp;ROMAN(VALUE(LEFT(A110,LEN(A110)-1)))&amp;" - GIRONE "&amp;RIGHT(A110,1)</f>
        <v>GIORNATA VII - GIRONE A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43" t="s">
        <v>193</v>
      </c>
      <c r="B111" s="134" t="s">
        <v>175</v>
      </c>
      <c r="C111" s="125"/>
      <c r="D111" s="134" t="s">
        <v>182</v>
      </c>
      <c r="E111" s="125"/>
      <c r="F111" s="43" t="s">
        <v>194</v>
      </c>
      <c r="G111" s="43" t="s">
        <v>195</v>
      </c>
      <c r="H111" s="134" t="s">
        <v>196</v>
      </c>
      <c r="I111" s="125"/>
      <c r="J111" s="134" t="s">
        <v>197</v>
      </c>
      <c r="K111" s="124"/>
      <c r="L111" s="125"/>
    </row>
    <row r="112" spans="1:29" ht="24" customHeight="1" x14ac:dyDescent="0.25">
      <c r="A112" s="137">
        <f>MAX(A$10:A111)+1</f>
        <v>31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43" t="s">
        <v>193</v>
      </c>
      <c r="B114" s="134" t="s">
        <v>175</v>
      </c>
      <c r="C114" s="125"/>
      <c r="D114" s="134" t="s">
        <v>182</v>
      </c>
      <c r="E114" s="125"/>
      <c r="F114" s="43" t="s">
        <v>194</v>
      </c>
      <c r="G114" s="43" t="s">
        <v>195</v>
      </c>
      <c r="H114" s="134" t="s">
        <v>196</v>
      </c>
      <c r="I114" s="125"/>
      <c r="J114" s="134" t="s">
        <v>197</v>
      </c>
      <c r="K114" s="124"/>
      <c r="L114" s="125"/>
    </row>
    <row r="115" spans="1:29" ht="24" customHeight="1" x14ac:dyDescent="0.25">
      <c r="A115" s="137">
        <f>MAX(A$10:A114)+1</f>
        <v>32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43" t="s">
        <v>193</v>
      </c>
      <c r="B117" s="134" t="s">
        <v>175</v>
      </c>
      <c r="C117" s="125"/>
      <c r="D117" s="134" t="s">
        <v>182</v>
      </c>
      <c r="E117" s="125"/>
      <c r="F117" s="43" t="s">
        <v>194</v>
      </c>
      <c r="G117" s="43" t="s">
        <v>195</v>
      </c>
      <c r="H117" s="134" t="s">
        <v>196</v>
      </c>
      <c r="I117" s="125"/>
      <c r="J117" s="134" t="s">
        <v>197</v>
      </c>
      <c r="K117" s="124"/>
      <c r="L117" s="125"/>
    </row>
    <row r="118" spans="1:29" ht="24" customHeight="1" x14ac:dyDescent="0.25">
      <c r="A118" s="137">
        <f>MAX(A$10:A117)+1</f>
        <v>33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43" t="s">
        <v>193</v>
      </c>
      <c r="B120" s="134" t="s">
        <v>175</v>
      </c>
      <c r="C120" s="125"/>
      <c r="D120" s="134" t="s">
        <v>182</v>
      </c>
      <c r="E120" s="125"/>
      <c r="F120" s="43" t="s">
        <v>194</v>
      </c>
      <c r="G120" s="43" t="s">
        <v>195</v>
      </c>
      <c r="H120" s="134" t="s">
        <v>196</v>
      </c>
      <c r="I120" s="125"/>
      <c r="J120" s="134" t="s">
        <v>197</v>
      </c>
      <c r="K120" s="124"/>
      <c r="L120" s="125"/>
    </row>
    <row r="121" spans="1:29" ht="24" customHeight="1" x14ac:dyDescent="0.25">
      <c r="A121" s="137">
        <f>MAX(A$10:A120)+1</f>
        <v>34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43" t="s">
        <v>193</v>
      </c>
      <c r="B123" s="134" t="s">
        <v>175</v>
      </c>
      <c r="C123" s="125"/>
      <c r="D123" s="134" t="s">
        <v>182</v>
      </c>
      <c r="E123" s="125"/>
      <c r="F123" s="43" t="s">
        <v>194</v>
      </c>
      <c r="G123" s="43" t="s">
        <v>195</v>
      </c>
      <c r="H123" s="134" t="s">
        <v>196</v>
      </c>
      <c r="I123" s="125"/>
      <c r="J123" s="134" t="s">
        <v>197</v>
      </c>
      <c r="K123" s="124"/>
      <c r="L123" s="125"/>
    </row>
    <row r="124" spans="1:29" ht="24" customHeight="1" x14ac:dyDescent="0.25">
      <c r="A124" s="137">
        <f>MAX(A$10:A123)+1</f>
        <v>35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42" t="s">
        <v>205</v>
      </c>
      <c r="B127" s="139" t="str">
        <f>"GIORNATA "&amp;ROMAN(VALUE(LEFT(A127,LEN(A127)-1)))&amp;" - GIRONE "&amp;RIGHT(A127,1)</f>
        <v>GIORNATA VIII - GIRONE A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43" t="s">
        <v>193</v>
      </c>
      <c r="B128" s="134" t="s">
        <v>175</v>
      </c>
      <c r="C128" s="125"/>
      <c r="D128" s="134" t="s">
        <v>182</v>
      </c>
      <c r="E128" s="125"/>
      <c r="F128" s="43" t="s">
        <v>194</v>
      </c>
      <c r="G128" s="43" t="s">
        <v>195</v>
      </c>
      <c r="H128" s="134" t="s">
        <v>196</v>
      </c>
      <c r="I128" s="125"/>
      <c r="J128" s="134" t="s">
        <v>197</v>
      </c>
      <c r="K128" s="124"/>
      <c r="L128" s="125"/>
    </row>
    <row r="129" spans="1:29" ht="24" customHeight="1" x14ac:dyDescent="0.25">
      <c r="A129" s="137">
        <f>MAX(A$10:A128)+1</f>
        <v>36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43" t="s">
        <v>193</v>
      </c>
      <c r="B131" s="134" t="s">
        <v>175</v>
      </c>
      <c r="C131" s="125"/>
      <c r="D131" s="134" t="s">
        <v>182</v>
      </c>
      <c r="E131" s="125"/>
      <c r="F131" s="43" t="s">
        <v>194</v>
      </c>
      <c r="G131" s="43" t="s">
        <v>195</v>
      </c>
      <c r="H131" s="134" t="s">
        <v>196</v>
      </c>
      <c r="I131" s="125"/>
      <c r="J131" s="134" t="s">
        <v>197</v>
      </c>
      <c r="K131" s="124"/>
      <c r="L131" s="125"/>
    </row>
    <row r="132" spans="1:29" ht="24" customHeight="1" x14ac:dyDescent="0.25">
      <c r="A132" s="137">
        <f>MAX(A$10:A131)+1</f>
        <v>37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43" t="s">
        <v>193</v>
      </c>
      <c r="B134" s="134" t="s">
        <v>175</v>
      </c>
      <c r="C134" s="125"/>
      <c r="D134" s="134" t="s">
        <v>182</v>
      </c>
      <c r="E134" s="125"/>
      <c r="F134" s="43" t="s">
        <v>194</v>
      </c>
      <c r="G134" s="43" t="s">
        <v>195</v>
      </c>
      <c r="H134" s="134" t="s">
        <v>196</v>
      </c>
      <c r="I134" s="125"/>
      <c r="J134" s="134" t="s">
        <v>197</v>
      </c>
      <c r="K134" s="124"/>
      <c r="L134" s="125"/>
    </row>
    <row r="135" spans="1:29" ht="24" customHeight="1" x14ac:dyDescent="0.25">
      <c r="A135" s="137">
        <f>MAX(A$10:A134)+1</f>
        <v>38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43" t="s">
        <v>193</v>
      </c>
      <c r="B137" s="134" t="s">
        <v>175</v>
      </c>
      <c r="C137" s="125"/>
      <c r="D137" s="134" t="s">
        <v>182</v>
      </c>
      <c r="E137" s="125"/>
      <c r="F137" s="43" t="s">
        <v>194</v>
      </c>
      <c r="G137" s="43" t="s">
        <v>195</v>
      </c>
      <c r="H137" s="134" t="s">
        <v>196</v>
      </c>
      <c r="I137" s="125"/>
      <c r="J137" s="134" t="s">
        <v>197</v>
      </c>
      <c r="K137" s="124"/>
      <c r="L137" s="125"/>
    </row>
    <row r="138" spans="1:29" ht="24" customHeight="1" x14ac:dyDescent="0.25">
      <c r="A138" s="137">
        <f>MAX(A$10:A137)+1</f>
        <v>39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43" t="s">
        <v>193</v>
      </c>
      <c r="B140" s="134" t="s">
        <v>175</v>
      </c>
      <c r="C140" s="125"/>
      <c r="D140" s="134" t="s">
        <v>182</v>
      </c>
      <c r="E140" s="125"/>
      <c r="F140" s="43" t="s">
        <v>194</v>
      </c>
      <c r="G140" s="43" t="s">
        <v>195</v>
      </c>
      <c r="H140" s="134" t="s">
        <v>196</v>
      </c>
      <c r="I140" s="125"/>
      <c r="J140" s="134" t="s">
        <v>197</v>
      </c>
      <c r="K140" s="124"/>
      <c r="L140" s="125"/>
    </row>
    <row r="141" spans="1:29" ht="24" customHeight="1" x14ac:dyDescent="0.25">
      <c r="A141" s="137">
        <f>MAX(A$10:A140)+1</f>
        <v>40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42" t="s">
        <v>206</v>
      </c>
      <c r="B144" s="139" t="str">
        <f>"GIORNATA "&amp;ROMAN(VALUE(LEFT(A144,LEN(A144)-1)))&amp;" - GIRONE "&amp;RIGHT(A144,1)</f>
        <v>GIORNATA IX - GIRONE A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43" t="s">
        <v>193</v>
      </c>
      <c r="B145" s="134" t="s">
        <v>175</v>
      </c>
      <c r="C145" s="125"/>
      <c r="D145" s="134" t="s">
        <v>182</v>
      </c>
      <c r="E145" s="125"/>
      <c r="F145" s="43" t="s">
        <v>194</v>
      </c>
      <c r="G145" s="43" t="s">
        <v>195</v>
      </c>
      <c r="H145" s="134" t="s">
        <v>196</v>
      </c>
      <c r="I145" s="125"/>
      <c r="J145" s="134" t="s">
        <v>197</v>
      </c>
      <c r="K145" s="124"/>
      <c r="L145" s="125"/>
    </row>
    <row r="146" spans="1:29" ht="24" customHeight="1" x14ac:dyDescent="0.25">
      <c r="A146" s="137">
        <f>MAX(A$10:A145)+1</f>
        <v>41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43" t="s">
        <v>193</v>
      </c>
      <c r="B148" s="134" t="s">
        <v>175</v>
      </c>
      <c r="C148" s="125"/>
      <c r="D148" s="134" t="s">
        <v>182</v>
      </c>
      <c r="E148" s="125"/>
      <c r="F148" s="43" t="s">
        <v>194</v>
      </c>
      <c r="G148" s="43" t="s">
        <v>195</v>
      </c>
      <c r="H148" s="134" t="s">
        <v>196</v>
      </c>
      <c r="I148" s="125"/>
      <c r="J148" s="134" t="s">
        <v>197</v>
      </c>
      <c r="K148" s="124"/>
      <c r="L148" s="125"/>
    </row>
    <row r="149" spans="1:29" ht="24" customHeight="1" x14ac:dyDescent="0.25">
      <c r="A149" s="137">
        <f>MAX(A$10:A148)+1</f>
        <v>42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43" t="s">
        <v>193</v>
      </c>
      <c r="B151" s="134" t="s">
        <v>175</v>
      </c>
      <c r="C151" s="125"/>
      <c r="D151" s="134" t="s">
        <v>182</v>
      </c>
      <c r="E151" s="125"/>
      <c r="F151" s="43" t="s">
        <v>194</v>
      </c>
      <c r="G151" s="43" t="s">
        <v>195</v>
      </c>
      <c r="H151" s="134" t="s">
        <v>196</v>
      </c>
      <c r="I151" s="125"/>
      <c r="J151" s="134" t="s">
        <v>197</v>
      </c>
      <c r="K151" s="124"/>
      <c r="L151" s="125"/>
    </row>
    <row r="152" spans="1:29" ht="24" customHeight="1" x14ac:dyDescent="0.25">
      <c r="A152" s="137">
        <f>MAX(A$10:A151)+1</f>
        <v>43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43" t="s">
        <v>193</v>
      </c>
      <c r="B154" s="134" t="s">
        <v>175</v>
      </c>
      <c r="C154" s="125"/>
      <c r="D154" s="134" t="s">
        <v>182</v>
      </c>
      <c r="E154" s="125"/>
      <c r="F154" s="43" t="s">
        <v>194</v>
      </c>
      <c r="G154" s="43" t="s">
        <v>195</v>
      </c>
      <c r="H154" s="134" t="s">
        <v>196</v>
      </c>
      <c r="I154" s="125"/>
      <c r="J154" s="134" t="s">
        <v>197</v>
      </c>
      <c r="K154" s="124"/>
      <c r="L154" s="125"/>
    </row>
    <row r="155" spans="1:29" ht="24" customHeight="1" x14ac:dyDescent="0.25">
      <c r="A155" s="137">
        <f>MAX(A$10:A154)+1</f>
        <v>44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43" t="s">
        <v>193</v>
      </c>
      <c r="B157" s="134" t="s">
        <v>175</v>
      </c>
      <c r="C157" s="125"/>
      <c r="D157" s="134" t="s">
        <v>182</v>
      </c>
      <c r="E157" s="125"/>
      <c r="F157" s="43" t="s">
        <v>194</v>
      </c>
      <c r="G157" s="43" t="s">
        <v>195</v>
      </c>
      <c r="H157" s="134" t="s">
        <v>196</v>
      </c>
      <c r="I157" s="125"/>
      <c r="J157" s="134" t="s">
        <v>197</v>
      </c>
      <c r="K157" s="124"/>
      <c r="L157" s="125"/>
    </row>
    <row r="158" spans="1:29" ht="24" customHeight="1" x14ac:dyDescent="0.25">
      <c r="A158" s="137">
        <f>MAX(A$10:A157)+1</f>
        <v>45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9B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44" t="str">
        <f>"GIRONE B - Stagione "&amp;constStagionaCampionato</f>
        <v xml:space="preserve">GIRONE B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49" t="s">
        <v>208</v>
      </c>
      <c r="B8" s="143" t="str">
        <f>"GIORNATA "&amp;ROMAN(VALUE(LEFT(A8,LEN(A8)-1)))&amp;" - GIRONE "&amp;RIGHT(A8,1)</f>
        <v>GIORNATA I - GIRONE B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50" t="s">
        <v>193</v>
      </c>
      <c r="B9" s="141" t="s">
        <v>175</v>
      </c>
      <c r="C9" s="125"/>
      <c r="D9" s="141" t="s">
        <v>182</v>
      </c>
      <c r="E9" s="125"/>
      <c r="F9" s="50" t="s">
        <v>194</v>
      </c>
      <c r="G9" s="50" t="s">
        <v>195</v>
      </c>
      <c r="H9" s="141" t="s">
        <v>196</v>
      </c>
      <c r="I9" s="125"/>
      <c r="J9" s="141" t="s">
        <v>197</v>
      </c>
      <c r="K9" s="124"/>
      <c r="L9" s="125"/>
    </row>
    <row r="10" spans="1:29" ht="24" customHeight="1" x14ac:dyDescent="0.25">
      <c r="A10" s="142">
        <v>46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50" t="s">
        <v>193</v>
      </c>
      <c r="B12" s="141" t="s">
        <v>175</v>
      </c>
      <c r="C12" s="125"/>
      <c r="D12" s="141" t="s">
        <v>182</v>
      </c>
      <c r="E12" s="125"/>
      <c r="F12" s="50" t="s">
        <v>194</v>
      </c>
      <c r="G12" s="50" t="s">
        <v>195</v>
      </c>
      <c r="H12" s="141" t="s">
        <v>196</v>
      </c>
      <c r="I12" s="125"/>
      <c r="J12" s="141" t="s">
        <v>197</v>
      </c>
      <c r="K12" s="124"/>
      <c r="L12" s="125"/>
    </row>
    <row r="13" spans="1:29" ht="24" customHeight="1" x14ac:dyDescent="0.25">
      <c r="A13" s="142">
        <f>MAX(A$10:A12)+1</f>
        <v>47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50" t="s">
        <v>193</v>
      </c>
      <c r="B15" s="141" t="s">
        <v>175</v>
      </c>
      <c r="C15" s="125"/>
      <c r="D15" s="141" t="s">
        <v>182</v>
      </c>
      <c r="E15" s="125"/>
      <c r="F15" s="50" t="s">
        <v>194</v>
      </c>
      <c r="G15" s="50" t="s">
        <v>195</v>
      </c>
      <c r="H15" s="141" t="s">
        <v>196</v>
      </c>
      <c r="I15" s="125"/>
      <c r="J15" s="141" t="s">
        <v>197</v>
      </c>
      <c r="K15" s="124"/>
      <c r="L15" s="125"/>
    </row>
    <row r="16" spans="1:29" ht="24" customHeight="1" x14ac:dyDescent="0.25">
      <c r="A16" s="142">
        <f>MAX(A$10:A15)+1</f>
        <v>48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50" t="s">
        <v>193</v>
      </c>
      <c r="B18" s="141" t="s">
        <v>175</v>
      </c>
      <c r="C18" s="125"/>
      <c r="D18" s="141" t="s">
        <v>182</v>
      </c>
      <c r="E18" s="125"/>
      <c r="F18" s="50" t="s">
        <v>194</v>
      </c>
      <c r="G18" s="50" t="s">
        <v>195</v>
      </c>
      <c r="H18" s="141" t="s">
        <v>196</v>
      </c>
      <c r="I18" s="125"/>
      <c r="J18" s="141" t="s">
        <v>197</v>
      </c>
      <c r="K18" s="124"/>
      <c r="L18" s="125"/>
    </row>
    <row r="19" spans="1:29" ht="24" customHeight="1" x14ac:dyDescent="0.25">
      <c r="A19" s="142">
        <f>MAX(A$10:A18)+1</f>
        <v>49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50" t="s">
        <v>193</v>
      </c>
      <c r="B21" s="141" t="s">
        <v>175</v>
      </c>
      <c r="C21" s="125"/>
      <c r="D21" s="141" t="s">
        <v>182</v>
      </c>
      <c r="E21" s="125"/>
      <c r="F21" s="50" t="s">
        <v>194</v>
      </c>
      <c r="G21" s="50" t="s">
        <v>195</v>
      </c>
      <c r="H21" s="141" t="s">
        <v>196</v>
      </c>
      <c r="I21" s="125"/>
      <c r="J21" s="141" t="s">
        <v>197</v>
      </c>
      <c r="K21" s="124"/>
      <c r="L21" s="125"/>
    </row>
    <row r="22" spans="1:29" ht="24" customHeight="1" x14ac:dyDescent="0.25">
      <c r="A22" s="142">
        <f>MAX(A$10:A21)+1</f>
        <v>50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49" t="s">
        <v>209</v>
      </c>
      <c r="B25" s="143" t="str">
        <f>"GIORNATA "&amp;ROMAN(VALUE(LEFT(A25,LEN(A25)-1)))&amp;" - GIRONE "&amp;RIGHT(A25,1)</f>
        <v>GIORNATA II - GIRONE B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50" t="s">
        <v>193</v>
      </c>
      <c r="B26" s="141" t="s">
        <v>175</v>
      </c>
      <c r="C26" s="125"/>
      <c r="D26" s="141" t="s">
        <v>182</v>
      </c>
      <c r="E26" s="125"/>
      <c r="F26" s="50" t="s">
        <v>194</v>
      </c>
      <c r="G26" s="50" t="s">
        <v>195</v>
      </c>
      <c r="H26" s="141" t="s">
        <v>196</v>
      </c>
      <c r="I26" s="125"/>
      <c r="J26" s="141" t="s">
        <v>197</v>
      </c>
      <c r="K26" s="124"/>
      <c r="L26" s="125"/>
    </row>
    <row r="27" spans="1:29" ht="24" customHeight="1" x14ac:dyDescent="0.25">
      <c r="A27" s="142">
        <f>MAX(A$10:A26)+1</f>
        <v>51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50" t="s">
        <v>193</v>
      </c>
      <c r="B29" s="141" t="s">
        <v>175</v>
      </c>
      <c r="C29" s="125"/>
      <c r="D29" s="141" t="s">
        <v>182</v>
      </c>
      <c r="E29" s="125"/>
      <c r="F29" s="50" t="s">
        <v>194</v>
      </c>
      <c r="G29" s="50" t="s">
        <v>195</v>
      </c>
      <c r="H29" s="141" t="s">
        <v>196</v>
      </c>
      <c r="I29" s="125"/>
      <c r="J29" s="141" t="s">
        <v>197</v>
      </c>
      <c r="K29" s="124"/>
      <c r="L29" s="125"/>
    </row>
    <row r="30" spans="1:29" ht="24" customHeight="1" x14ac:dyDescent="0.25">
      <c r="A30" s="142">
        <f>MAX(A$10:A29)+1</f>
        <v>52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50" t="s">
        <v>193</v>
      </c>
      <c r="B32" s="141" t="s">
        <v>175</v>
      </c>
      <c r="C32" s="125"/>
      <c r="D32" s="141" t="s">
        <v>182</v>
      </c>
      <c r="E32" s="125"/>
      <c r="F32" s="50" t="s">
        <v>194</v>
      </c>
      <c r="G32" s="50" t="s">
        <v>195</v>
      </c>
      <c r="H32" s="141" t="s">
        <v>196</v>
      </c>
      <c r="I32" s="125"/>
      <c r="J32" s="141" t="s">
        <v>197</v>
      </c>
      <c r="K32" s="124"/>
      <c r="L32" s="125"/>
    </row>
    <row r="33" spans="1:29" ht="24" customHeight="1" x14ac:dyDescent="0.25">
      <c r="A33" s="142">
        <f>MAX(A$10:A32)+1</f>
        <v>53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50" t="s">
        <v>193</v>
      </c>
      <c r="B35" s="141" t="s">
        <v>175</v>
      </c>
      <c r="C35" s="125"/>
      <c r="D35" s="141" t="s">
        <v>182</v>
      </c>
      <c r="E35" s="125"/>
      <c r="F35" s="50" t="s">
        <v>194</v>
      </c>
      <c r="G35" s="50" t="s">
        <v>195</v>
      </c>
      <c r="H35" s="141" t="s">
        <v>196</v>
      </c>
      <c r="I35" s="125"/>
      <c r="J35" s="141" t="s">
        <v>197</v>
      </c>
      <c r="K35" s="124"/>
      <c r="L35" s="125"/>
    </row>
    <row r="36" spans="1:29" ht="24" customHeight="1" x14ac:dyDescent="0.25">
      <c r="A36" s="142">
        <f>MAX(A$10:A35)+1</f>
        <v>54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50" t="s">
        <v>193</v>
      </c>
      <c r="B38" s="141" t="s">
        <v>175</v>
      </c>
      <c r="C38" s="125"/>
      <c r="D38" s="141" t="s">
        <v>182</v>
      </c>
      <c r="E38" s="125"/>
      <c r="F38" s="50" t="s">
        <v>194</v>
      </c>
      <c r="G38" s="50" t="s">
        <v>195</v>
      </c>
      <c r="H38" s="141" t="s">
        <v>196</v>
      </c>
      <c r="I38" s="125"/>
      <c r="J38" s="141" t="s">
        <v>197</v>
      </c>
      <c r="K38" s="124"/>
      <c r="L38" s="125"/>
    </row>
    <row r="39" spans="1:29" ht="24" customHeight="1" x14ac:dyDescent="0.25">
      <c r="A39" s="142">
        <f>MAX(A$10:A38)+1</f>
        <v>55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49" t="s">
        <v>210</v>
      </c>
      <c r="B42" s="143" t="str">
        <f>"GIORNATA "&amp;ROMAN(VALUE(LEFT(A42,LEN(A42)-1)))&amp;" - GIRONE "&amp;RIGHT(A42,1)</f>
        <v>GIORNATA III - GIRONE B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50" t="s">
        <v>193</v>
      </c>
      <c r="B43" s="141" t="s">
        <v>175</v>
      </c>
      <c r="C43" s="125"/>
      <c r="D43" s="141" t="s">
        <v>182</v>
      </c>
      <c r="E43" s="125"/>
      <c r="F43" s="50" t="s">
        <v>194</v>
      </c>
      <c r="G43" s="50" t="s">
        <v>195</v>
      </c>
      <c r="H43" s="141" t="s">
        <v>196</v>
      </c>
      <c r="I43" s="125"/>
      <c r="J43" s="141" t="s">
        <v>197</v>
      </c>
      <c r="K43" s="124"/>
      <c r="L43" s="125"/>
    </row>
    <row r="44" spans="1:29" ht="24" customHeight="1" x14ac:dyDescent="0.25">
      <c r="A44" s="142">
        <f>MAX(A$10:A43)+1</f>
        <v>56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50" t="s">
        <v>193</v>
      </c>
      <c r="B46" s="141" t="s">
        <v>175</v>
      </c>
      <c r="C46" s="125"/>
      <c r="D46" s="141" t="s">
        <v>182</v>
      </c>
      <c r="E46" s="125"/>
      <c r="F46" s="50" t="s">
        <v>194</v>
      </c>
      <c r="G46" s="50" t="s">
        <v>195</v>
      </c>
      <c r="H46" s="141" t="s">
        <v>196</v>
      </c>
      <c r="I46" s="125"/>
      <c r="J46" s="141" t="s">
        <v>197</v>
      </c>
      <c r="K46" s="124"/>
      <c r="L46" s="125"/>
    </row>
    <row r="47" spans="1:29" ht="24" customHeight="1" x14ac:dyDescent="0.25">
      <c r="A47" s="142">
        <f>MAX(A$10:A46)+1</f>
        <v>57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50" t="s">
        <v>193</v>
      </c>
      <c r="B49" s="141" t="s">
        <v>175</v>
      </c>
      <c r="C49" s="125"/>
      <c r="D49" s="141" t="s">
        <v>182</v>
      </c>
      <c r="E49" s="125"/>
      <c r="F49" s="50" t="s">
        <v>194</v>
      </c>
      <c r="G49" s="50" t="s">
        <v>195</v>
      </c>
      <c r="H49" s="141" t="s">
        <v>196</v>
      </c>
      <c r="I49" s="125"/>
      <c r="J49" s="141" t="s">
        <v>197</v>
      </c>
      <c r="K49" s="124"/>
      <c r="L49" s="125"/>
    </row>
    <row r="50" spans="1:29" ht="24" customHeight="1" x14ac:dyDescent="0.25">
      <c r="A50" s="142">
        <f>MAX(A$10:A49)+1</f>
        <v>58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50" t="s">
        <v>193</v>
      </c>
      <c r="B52" s="141" t="s">
        <v>175</v>
      </c>
      <c r="C52" s="125"/>
      <c r="D52" s="141" t="s">
        <v>182</v>
      </c>
      <c r="E52" s="125"/>
      <c r="F52" s="50" t="s">
        <v>194</v>
      </c>
      <c r="G52" s="50" t="s">
        <v>195</v>
      </c>
      <c r="H52" s="141" t="s">
        <v>196</v>
      </c>
      <c r="I52" s="125"/>
      <c r="J52" s="141" t="s">
        <v>197</v>
      </c>
      <c r="K52" s="124"/>
      <c r="L52" s="125"/>
    </row>
    <row r="53" spans="1:29" ht="24" customHeight="1" x14ac:dyDescent="0.25">
      <c r="A53" s="142">
        <f>MAX(A$10:A52)+1</f>
        <v>59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50" t="s">
        <v>193</v>
      </c>
      <c r="B55" s="141" t="s">
        <v>175</v>
      </c>
      <c r="C55" s="125"/>
      <c r="D55" s="141" t="s">
        <v>182</v>
      </c>
      <c r="E55" s="125"/>
      <c r="F55" s="50" t="s">
        <v>194</v>
      </c>
      <c r="G55" s="50" t="s">
        <v>195</v>
      </c>
      <c r="H55" s="141" t="s">
        <v>196</v>
      </c>
      <c r="I55" s="125"/>
      <c r="J55" s="141" t="s">
        <v>197</v>
      </c>
      <c r="K55" s="124"/>
      <c r="L55" s="125"/>
    </row>
    <row r="56" spans="1:29" ht="24" customHeight="1" x14ac:dyDescent="0.25">
      <c r="A56" s="142">
        <f>MAX(A$10:A55)+1</f>
        <v>60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49" t="s">
        <v>211</v>
      </c>
      <c r="B59" s="143" t="str">
        <f>"GIORNATA "&amp;ROMAN(VALUE(LEFT(A59,LEN(A59)-1)))&amp;" - GIRONE "&amp;RIGHT(A59,1)</f>
        <v>GIORNATA IV - GIRONE B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50" t="s">
        <v>193</v>
      </c>
      <c r="B60" s="141" t="s">
        <v>175</v>
      </c>
      <c r="C60" s="125"/>
      <c r="D60" s="141" t="s">
        <v>182</v>
      </c>
      <c r="E60" s="125"/>
      <c r="F60" s="50" t="s">
        <v>194</v>
      </c>
      <c r="G60" s="50" t="s">
        <v>195</v>
      </c>
      <c r="H60" s="141" t="s">
        <v>196</v>
      </c>
      <c r="I60" s="125"/>
      <c r="J60" s="141" t="s">
        <v>197</v>
      </c>
      <c r="K60" s="124"/>
      <c r="L60" s="125"/>
    </row>
    <row r="61" spans="1:29" ht="24" customHeight="1" x14ac:dyDescent="0.25">
      <c r="A61" s="142">
        <f>MAX(A$10:A60)+1</f>
        <v>61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50" t="s">
        <v>193</v>
      </c>
      <c r="B63" s="141" t="s">
        <v>175</v>
      </c>
      <c r="C63" s="125"/>
      <c r="D63" s="141" t="s">
        <v>182</v>
      </c>
      <c r="E63" s="125"/>
      <c r="F63" s="50" t="s">
        <v>194</v>
      </c>
      <c r="G63" s="50" t="s">
        <v>195</v>
      </c>
      <c r="H63" s="141" t="s">
        <v>196</v>
      </c>
      <c r="I63" s="125"/>
      <c r="J63" s="141" t="s">
        <v>197</v>
      </c>
      <c r="K63" s="124"/>
      <c r="L63" s="125"/>
    </row>
    <row r="64" spans="1:29" ht="24" customHeight="1" x14ac:dyDescent="0.25">
      <c r="A64" s="142">
        <f>MAX(A$10:A63)+1</f>
        <v>62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50" t="s">
        <v>193</v>
      </c>
      <c r="B66" s="141" t="s">
        <v>175</v>
      </c>
      <c r="C66" s="125"/>
      <c r="D66" s="141" t="s">
        <v>182</v>
      </c>
      <c r="E66" s="125"/>
      <c r="F66" s="50" t="s">
        <v>194</v>
      </c>
      <c r="G66" s="50" t="s">
        <v>195</v>
      </c>
      <c r="H66" s="141" t="s">
        <v>196</v>
      </c>
      <c r="I66" s="125"/>
      <c r="J66" s="141" t="s">
        <v>197</v>
      </c>
      <c r="K66" s="124"/>
      <c r="L66" s="125"/>
    </row>
    <row r="67" spans="1:29" ht="24" customHeight="1" x14ac:dyDescent="0.25">
      <c r="A67" s="142">
        <f>MAX(A$10:A66)+1</f>
        <v>63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50" t="s">
        <v>193</v>
      </c>
      <c r="B69" s="141" t="s">
        <v>175</v>
      </c>
      <c r="C69" s="125"/>
      <c r="D69" s="141" t="s">
        <v>182</v>
      </c>
      <c r="E69" s="125"/>
      <c r="F69" s="50" t="s">
        <v>194</v>
      </c>
      <c r="G69" s="50" t="s">
        <v>195</v>
      </c>
      <c r="H69" s="141" t="s">
        <v>196</v>
      </c>
      <c r="I69" s="125"/>
      <c r="J69" s="141" t="s">
        <v>197</v>
      </c>
      <c r="K69" s="124"/>
      <c r="L69" s="125"/>
    </row>
    <row r="70" spans="1:29" ht="24" customHeight="1" x14ac:dyDescent="0.25">
      <c r="A70" s="142">
        <f>MAX(A$10:A69)+1</f>
        <v>64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50" t="s">
        <v>193</v>
      </c>
      <c r="B72" s="141" t="s">
        <v>175</v>
      </c>
      <c r="C72" s="125"/>
      <c r="D72" s="141" t="s">
        <v>182</v>
      </c>
      <c r="E72" s="125"/>
      <c r="F72" s="50" t="s">
        <v>194</v>
      </c>
      <c r="G72" s="50" t="s">
        <v>195</v>
      </c>
      <c r="H72" s="141" t="s">
        <v>196</v>
      </c>
      <c r="I72" s="125"/>
      <c r="J72" s="141" t="s">
        <v>197</v>
      </c>
      <c r="K72" s="124"/>
      <c r="L72" s="125"/>
    </row>
    <row r="73" spans="1:29" ht="24" customHeight="1" x14ac:dyDescent="0.25">
      <c r="A73" s="142">
        <f>MAX(A$10:A72)+1</f>
        <v>65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49" t="s">
        <v>212</v>
      </c>
      <c r="B76" s="143" t="str">
        <f>"GIORNATA "&amp;ROMAN(VALUE(LEFT(A76,LEN(A76)-1)))&amp;" - GIRONE "&amp;RIGHT(A76,1)</f>
        <v>GIORNATA V - GIRONE B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50" t="s">
        <v>193</v>
      </c>
      <c r="B77" s="141" t="s">
        <v>175</v>
      </c>
      <c r="C77" s="125"/>
      <c r="D77" s="141" t="s">
        <v>182</v>
      </c>
      <c r="E77" s="125"/>
      <c r="F77" s="50" t="s">
        <v>194</v>
      </c>
      <c r="G77" s="50" t="s">
        <v>195</v>
      </c>
      <c r="H77" s="141" t="s">
        <v>196</v>
      </c>
      <c r="I77" s="125"/>
      <c r="J77" s="141" t="s">
        <v>197</v>
      </c>
      <c r="K77" s="124"/>
      <c r="L77" s="125"/>
    </row>
    <row r="78" spans="1:29" ht="24" customHeight="1" x14ac:dyDescent="0.25">
      <c r="A78" s="142">
        <f>MAX(A$10:A77)+1</f>
        <v>66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50" t="s">
        <v>193</v>
      </c>
      <c r="B80" s="141" t="s">
        <v>175</v>
      </c>
      <c r="C80" s="125"/>
      <c r="D80" s="141" t="s">
        <v>182</v>
      </c>
      <c r="E80" s="125"/>
      <c r="F80" s="50" t="s">
        <v>194</v>
      </c>
      <c r="G80" s="50" t="s">
        <v>195</v>
      </c>
      <c r="H80" s="141" t="s">
        <v>196</v>
      </c>
      <c r="I80" s="125"/>
      <c r="J80" s="141" t="s">
        <v>197</v>
      </c>
      <c r="K80" s="124"/>
      <c r="L80" s="125"/>
    </row>
    <row r="81" spans="1:29" ht="24" customHeight="1" x14ac:dyDescent="0.25">
      <c r="A81" s="142">
        <f>MAX(A$10:A80)+1</f>
        <v>67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50" t="s">
        <v>193</v>
      </c>
      <c r="B83" s="141" t="s">
        <v>175</v>
      </c>
      <c r="C83" s="125"/>
      <c r="D83" s="141" t="s">
        <v>182</v>
      </c>
      <c r="E83" s="125"/>
      <c r="F83" s="50" t="s">
        <v>194</v>
      </c>
      <c r="G83" s="50" t="s">
        <v>195</v>
      </c>
      <c r="H83" s="141" t="s">
        <v>196</v>
      </c>
      <c r="I83" s="125"/>
      <c r="J83" s="141" t="s">
        <v>197</v>
      </c>
      <c r="K83" s="124"/>
      <c r="L83" s="125"/>
    </row>
    <row r="84" spans="1:29" ht="24" customHeight="1" x14ac:dyDescent="0.25">
      <c r="A84" s="142">
        <f>MAX(A$10:A83)+1</f>
        <v>68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50" t="s">
        <v>193</v>
      </c>
      <c r="B86" s="141" t="s">
        <v>175</v>
      </c>
      <c r="C86" s="125"/>
      <c r="D86" s="141" t="s">
        <v>182</v>
      </c>
      <c r="E86" s="125"/>
      <c r="F86" s="50" t="s">
        <v>194</v>
      </c>
      <c r="G86" s="50" t="s">
        <v>195</v>
      </c>
      <c r="H86" s="141" t="s">
        <v>196</v>
      </c>
      <c r="I86" s="125"/>
      <c r="J86" s="141" t="s">
        <v>197</v>
      </c>
      <c r="K86" s="124"/>
      <c r="L86" s="125"/>
    </row>
    <row r="87" spans="1:29" ht="24" customHeight="1" x14ac:dyDescent="0.25">
      <c r="A87" s="142">
        <f>MAX(A$10:A86)+1</f>
        <v>69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50" t="s">
        <v>193</v>
      </c>
      <c r="B89" s="141" t="s">
        <v>175</v>
      </c>
      <c r="C89" s="125"/>
      <c r="D89" s="141" t="s">
        <v>182</v>
      </c>
      <c r="E89" s="125"/>
      <c r="F89" s="50" t="s">
        <v>194</v>
      </c>
      <c r="G89" s="50" t="s">
        <v>195</v>
      </c>
      <c r="H89" s="141" t="s">
        <v>196</v>
      </c>
      <c r="I89" s="125"/>
      <c r="J89" s="141" t="s">
        <v>197</v>
      </c>
      <c r="K89" s="124"/>
      <c r="L89" s="125"/>
    </row>
    <row r="90" spans="1:29" ht="24" customHeight="1" x14ac:dyDescent="0.25">
      <c r="A90" s="142">
        <f>MAX(A$10:A89)+1</f>
        <v>70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49" t="s">
        <v>213</v>
      </c>
      <c r="B93" s="143" t="str">
        <f>"GIORNATA "&amp;ROMAN(VALUE(LEFT(A93,LEN(A93)-1)))&amp;" - GIRONE "&amp;RIGHT(A93,1)</f>
        <v>GIORNATA VI - GIRONE B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50" t="s">
        <v>193</v>
      </c>
      <c r="B94" s="141" t="s">
        <v>175</v>
      </c>
      <c r="C94" s="125"/>
      <c r="D94" s="141" t="s">
        <v>182</v>
      </c>
      <c r="E94" s="125"/>
      <c r="F94" s="50" t="s">
        <v>194</v>
      </c>
      <c r="G94" s="50" t="s">
        <v>195</v>
      </c>
      <c r="H94" s="141" t="s">
        <v>196</v>
      </c>
      <c r="I94" s="125"/>
      <c r="J94" s="141" t="s">
        <v>197</v>
      </c>
      <c r="K94" s="124"/>
      <c r="L94" s="125"/>
    </row>
    <row r="95" spans="1:29" ht="24" customHeight="1" x14ac:dyDescent="0.25">
      <c r="A95" s="142">
        <f>MAX(A$10:A94)+1</f>
        <v>71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50" t="s">
        <v>193</v>
      </c>
      <c r="B97" s="141" t="s">
        <v>175</v>
      </c>
      <c r="C97" s="125"/>
      <c r="D97" s="141" t="s">
        <v>182</v>
      </c>
      <c r="E97" s="125"/>
      <c r="F97" s="50" t="s">
        <v>194</v>
      </c>
      <c r="G97" s="50" t="s">
        <v>195</v>
      </c>
      <c r="H97" s="141" t="s">
        <v>196</v>
      </c>
      <c r="I97" s="125"/>
      <c r="J97" s="141" t="s">
        <v>197</v>
      </c>
      <c r="K97" s="124"/>
      <c r="L97" s="125"/>
    </row>
    <row r="98" spans="1:29" ht="24" customHeight="1" x14ac:dyDescent="0.25">
      <c r="A98" s="142">
        <f>MAX(A$10:A97)+1</f>
        <v>72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50" t="s">
        <v>193</v>
      </c>
      <c r="B100" s="141" t="s">
        <v>175</v>
      </c>
      <c r="C100" s="125"/>
      <c r="D100" s="141" t="s">
        <v>182</v>
      </c>
      <c r="E100" s="125"/>
      <c r="F100" s="50" t="s">
        <v>194</v>
      </c>
      <c r="G100" s="50" t="s">
        <v>195</v>
      </c>
      <c r="H100" s="141" t="s">
        <v>196</v>
      </c>
      <c r="I100" s="125"/>
      <c r="J100" s="141" t="s">
        <v>197</v>
      </c>
      <c r="K100" s="124"/>
      <c r="L100" s="125"/>
    </row>
    <row r="101" spans="1:29" ht="24" customHeight="1" x14ac:dyDescent="0.25">
      <c r="A101" s="142">
        <f>MAX(A$10:A100)+1</f>
        <v>73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50" t="s">
        <v>193</v>
      </c>
      <c r="B103" s="141" t="s">
        <v>175</v>
      </c>
      <c r="C103" s="125"/>
      <c r="D103" s="141" t="s">
        <v>182</v>
      </c>
      <c r="E103" s="125"/>
      <c r="F103" s="50" t="s">
        <v>194</v>
      </c>
      <c r="G103" s="50" t="s">
        <v>195</v>
      </c>
      <c r="H103" s="141" t="s">
        <v>196</v>
      </c>
      <c r="I103" s="125"/>
      <c r="J103" s="141" t="s">
        <v>197</v>
      </c>
      <c r="K103" s="124"/>
      <c r="L103" s="125"/>
    </row>
    <row r="104" spans="1:29" ht="24" customHeight="1" x14ac:dyDescent="0.25">
      <c r="A104" s="142">
        <f>MAX(A$10:A103)+1</f>
        <v>74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50" t="s">
        <v>193</v>
      </c>
      <c r="B106" s="141" t="s">
        <v>175</v>
      </c>
      <c r="C106" s="125"/>
      <c r="D106" s="141" t="s">
        <v>182</v>
      </c>
      <c r="E106" s="125"/>
      <c r="F106" s="50" t="s">
        <v>194</v>
      </c>
      <c r="G106" s="50" t="s">
        <v>195</v>
      </c>
      <c r="H106" s="141" t="s">
        <v>196</v>
      </c>
      <c r="I106" s="125"/>
      <c r="J106" s="141" t="s">
        <v>197</v>
      </c>
      <c r="K106" s="124"/>
      <c r="L106" s="125"/>
    </row>
    <row r="107" spans="1:29" ht="24" customHeight="1" x14ac:dyDescent="0.25">
      <c r="A107" s="142">
        <f>MAX(A$10:A106)+1</f>
        <v>75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49" t="s">
        <v>214</v>
      </c>
      <c r="B110" s="143" t="str">
        <f>"GIORNATA "&amp;ROMAN(VALUE(LEFT(A110,LEN(A110)-1)))&amp;" - GIRONE "&amp;RIGHT(A110,1)</f>
        <v>GIORNATA VII - GIRONE B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50" t="s">
        <v>193</v>
      </c>
      <c r="B111" s="141" t="s">
        <v>175</v>
      </c>
      <c r="C111" s="125"/>
      <c r="D111" s="141" t="s">
        <v>182</v>
      </c>
      <c r="E111" s="125"/>
      <c r="F111" s="50" t="s">
        <v>194</v>
      </c>
      <c r="G111" s="50" t="s">
        <v>195</v>
      </c>
      <c r="H111" s="141" t="s">
        <v>196</v>
      </c>
      <c r="I111" s="125"/>
      <c r="J111" s="141" t="s">
        <v>197</v>
      </c>
      <c r="K111" s="124"/>
      <c r="L111" s="125"/>
    </row>
    <row r="112" spans="1:29" ht="24" customHeight="1" x14ac:dyDescent="0.25">
      <c r="A112" s="142">
        <f>MAX(A$10:A111)+1</f>
        <v>76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50" t="s">
        <v>193</v>
      </c>
      <c r="B114" s="141" t="s">
        <v>175</v>
      </c>
      <c r="C114" s="125"/>
      <c r="D114" s="141" t="s">
        <v>182</v>
      </c>
      <c r="E114" s="125"/>
      <c r="F114" s="50" t="s">
        <v>194</v>
      </c>
      <c r="G114" s="50" t="s">
        <v>195</v>
      </c>
      <c r="H114" s="141" t="s">
        <v>196</v>
      </c>
      <c r="I114" s="125"/>
      <c r="J114" s="141" t="s">
        <v>197</v>
      </c>
      <c r="K114" s="124"/>
      <c r="L114" s="125"/>
    </row>
    <row r="115" spans="1:29" ht="24" customHeight="1" x14ac:dyDescent="0.25">
      <c r="A115" s="142">
        <f>MAX(A$10:A114)+1</f>
        <v>77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50" t="s">
        <v>193</v>
      </c>
      <c r="B117" s="141" t="s">
        <v>175</v>
      </c>
      <c r="C117" s="125"/>
      <c r="D117" s="141" t="s">
        <v>182</v>
      </c>
      <c r="E117" s="125"/>
      <c r="F117" s="50" t="s">
        <v>194</v>
      </c>
      <c r="G117" s="50" t="s">
        <v>195</v>
      </c>
      <c r="H117" s="141" t="s">
        <v>196</v>
      </c>
      <c r="I117" s="125"/>
      <c r="J117" s="141" t="s">
        <v>197</v>
      </c>
      <c r="K117" s="124"/>
      <c r="L117" s="125"/>
    </row>
    <row r="118" spans="1:29" ht="24" customHeight="1" x14ac:dyDescent="0.25">
      <c r="A118" s="142">
        <f>MAX(A$10:A117)+1</f>
        <v>78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50" t="s">
        <v>193</v>
      </c>
      <c r="B120" s="141" t="s">
        <v>175</v>
      </c>
      <c r="C120" s="125"/>
      <c r="D120" s="141" t="s">
        <v>182</v>
      </c>
      <c r="E120" s="125"/>
      <c r="F120" s="50" t="s">
        <v>194</v>
      </c>
      <c r="G120" s="50" t="s">
        <v>195</v>
      </c>
      <c r="H120" s="141" t="s">
        <v>196</v>
      </c>
      <c r="I120" s="125"/>
      <c r="J120" s="141" t="s">
        <v>197</v>
      </c>
      <c r="K120" s="124"/>
      <c r="L120" s="125"/>
    </row>
    <row r="121" spans="1:29" ht="24" customHeight="1" x14ac:dyDescent="0.25">
      <c r="A121" s="142">
        <f>MAX(A$10:A120)+1</f>
        <v>79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50" t="s">
        <v>193</v>
      </c>
      <c r="B123" s="141" t="s">
        <v>175</v>
      </c>
      <c r="C123" s="125"/>
      <c r="D123" s="141" t="s">
        <v>182</v>
      </c>
      <c r="E123" s="125"/>
      <c r="F123" s="50" t="s">
        <v>194</v>
      </c>
      <c r="G123" s="50" t="s">
        <v>195</v>
      </c>
      <c r="H123" s="141" t="s">
        <v>196</v>
      </c>
      <c r="I123" s="125"/>
      <c r="J123" s="141" t="s">
        <v>197</v>
      </c>
      <c r="K123" s="124"/>
      <c r="L123" s="125"/>
    </row>
    <row r="124" spans="1:29" ht="24" customHeight="1" x14ac:dyDescent="0.25">
      <c r="A124" s="142">
        <f>MAX(A$10:A123)+1</f>
        <v>80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49" t="s">
        <v>215</v>
      </c>
      <c r="B127" s="143" t="str">
        <f>"GIORNATA "&amp;ROMAN(VALUE(LEFT(A127,LEN(A127)-1)))&amp;" - GIRONE "&amp;RIGHT(A127,1)</f>
        <v>GIORNATA VIII - GIRONE B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50" t="s">
        <v>193</v>
      </c>
      <c r="B128" s="141" t="s">
        <v>175</v>
      </c>
      <c r="C128" s="125"/>
      <c r="D128" s="141" t="s">
        <v>182</v>
      </c>
      <c r="E128" s="125"/>
      <c r="F128" s="50" t="s">
        <v>194</v>
      </c>
      <c r="G128" s="50" t="s">
        <v>195</v>
      </c>
      <c r="H128" s="141" t="s">
        <v>196</v>
      </c>
      <c r="I128" s="125"/>
      <c r="J128" s="141" t="s">
        <v>197</v>
      </c>
      <c r="K128" s="124"/>
      <c r="L128" s="125"/>
    </row>
    <row r="129" spans="1:29" ht="24" customHeight="1" x14ac:dyDescent="0.25">
      <c r="A129" s="142">
        <f>MAX(A$10:A128)+1</f>
        <v>81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50" t="s">
        <v>193</v>
      </c>
      <c r="B131" s="141" t="s">
        <v>175</v>
      </c>
      <c r="C131" s="125"/>
      <c r="D131" s="141" t="s">
        <v>182</v>
      </c>
      <c r="E131" s="125"/>
      <c r="F131" s="50" t="s">
        <v>194</v>
      </c>
      <c r="G131" s="50" t="s">
        <v>195</v>
      </c>
      <c r="H131" s="141" t="s">
        <v>196</v>
      </c>
      <c r="I131" s="125"/>
      <c r="J131" s="141" t="s">
        <v>197</v>
      </c>
      <c r="K131" s="124"/>
      <c r="L131" s="125"/>
    </row>
    <row r="132" spans="1:29" ht="24" customHeight="1" x14ac:dyDescent="0.25">
      <c r="A132" s="142">
        <f>MAX(A$10:A131)+1</f>
        <v>82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50" t="s">
        <v>193</v>
      </c>
      <c r="B134" s="141" t="s">
        <v>175</v>
      </c>
      <c r="C134" s="125"/>
      <c r="D134" s="141" t="s">
        <v>182</v>
      </c>
      <c r="E134" s="125"/>
      <c r="F134" s="50" t="s">
        <v>194</v>
      </c>
      <c r="G134" s="50" t="s">
        <v>195</v>
      </c>
      <c r="H134" s="141" t="s">
        <v>196</v>
      </c>
      <c r="I134" s="125"/>
      <c r="J134" s="141" t="s">
        <v>197</v>
      </c>
      <c r="K134" s="124"/>
      <c r="L134" s="125"/>
    </row>
    <row r="135" spans="1:29" ht="24" customHeight="1" x14ac:dyDescent="0.25">
      <c r="A135" s="142">
        <f>MAX(A$10:A134)+1</f>
        <v>83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50" t="s">
        <v>193</v>
      </c>
      <c r="B137" s="141" t="s">
        <v>175</v>
      </c>
      <c r="C137" s="125"/>
      <c r="D137" s="141" t="s">
        <v>182</v>
      </c>
      <c r="E137" s="125"/>
      <c r="F137" s="50" t="s">
        <v>194</v>
      </c>
      <c r="G137" s="50" t="s">
        <v>195</v>
      </c>
      <c r="H137" s="141" t="s">
        <v>196</v>
      </c>
      <c r="I137" s="125"/>
      <c r="J137" s="141" t="s">
        <v>197</v>
      </c>
      <c r="K137" s="124"/>
      <c r="L137" s="125"/>
    </row>
    <row r="138" spans="1:29" ht="24" customHeight="1" x14ac:dyDescent="0.25">
      <c r="A138" s="142">
        <f>MAX(A$10:A137)+1</f>
        <v>84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50" t="s">
        <v>193</v>
      </c>
      <c r="B140" s="141" t="s">
        <v>175</v>
      </c>
      <c r="C140" s="125"/>
      <c r="D140" s="141" t="s">
        <v>182</v>
      </c>
      <c r="E140" s="125"/>
      <c r="F140" s="50" t="s">
        <v>194</v>
      </c>
      <c r="G140" s="50" t="s">
        <v>195</v>
      </c>
      <c r="H140" s="141" t="s">
        <v>196</v>
      </c>
      <c r="I140" s="125"/>
      <c r="J140" s="141" t="s">
        <v>197</v>
      </c>
      <c r="K140" s="124"/>
      <c r="L140" s="125"/>
    </row>
    <row r="141" spans="1:29" ht="24" customHeight="1" x14ac:dyDescent="0.25">
      <c r="A141" s="142">
        <f>MAX(A$10:A140)+1</f>
        <v>85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49" t="s">
        <v>216</v>
      </c>
      <c r="B144" s="143" t="str">
        <f>"GIORNATA "&amp;ROMAN(VALUE(LEFT(A144,LEN(A144)-1)))&amp;" - GIRONE "&amp;RIGHT(A144,1)</f>
        <v>GIORNATA IX - GIRONE B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50" t="s">
        <v>193</v>
      </c>
      <c r="B145" s="141" t="s">
        <v>175</v>
      </c>
      <c r="C145" s="125"/>
      <c r="D145" s="141" t="s">
        <v>182</v>
      </c>
      <c r="E145" s="125"/>
      <c r="F145" s="50" t="s">
        <v>194</v>
      </c>
      <c r="G145" s="50" t="s">
        <v>195</v>
      </c>
      <c r="H145" s="141" t="s">
        <v>196</v>
      </c>
      <c r="I145" s="125"/>
      <c r="J145" s="141" t="s">
        <v>197</v>
      </c>
      <c r="K145" s="124"/>
      <c r="L145" s="125"/>
    </row>
    <row r="146" spans="1:29" ht="24" customHeight="1" x14ac:dyDescent="0.25">
      <c r="A146" s="142">
        <f>MAX(A$10:A145)+1</f>
        <v>86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50" t="s">
        <v>193</v>
      </c>
      <c r="B148" s="141" t="s">
        <v>175</v>
      </c>
      <c r="C148" s="125"/>
      <c r="D148" s="141" t="s">
        <v>182</v>
      </c>
      <c r="E148" s="125"/>
      <c r="F148" s="50" t="s">
        <v>194</v>
      </c>
      <c r="G148" s="50" t="s">
        <v>195</v>
      </c>
      <c r="H148" s="141" t="s">
        <v>196</v>
      </c>
      <c r="I148" s="125"/>
      <c r="J148" s="141" t="s">
        <v>197</v>
      </c>
      <c r="K148" s="124"/>
      <c r="L148" s="125"/>
    </row>
    <row r="149" spans="1:29" ht="24" customHeight="1" x14ac:dyDescent="0.25">
      <c r="A149" s="142">
        <f>MAX(A$10:A148)+1</f>
        <v>87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50" t="s">
        <v>193</v>
      </c>
      <c r="B151" s="141" t="s">
        <v>175</v>
      </c>
      <c r="C151" s="125"/>
      <c r="D151" s="141" t="s">
        <v>182</v>
      </c>
      <c r="E151" s="125"/>
      <c r="F151" s="50" t="s">
        <v>194</v>
      </c>
      <c r="G151" s="50" t="s">
        <v>195</v>
      </c>
      <c r="H151" s="141" t="s">
        <v>196</v>
      </c>
      <c r="I151" s="125"/>
      <c r="J151" s="141" t="s">
        <v>197</v>
      </c>
      <c r="K151" s="124"/>
      <c r="L151" s="125"/>
    </row>
    <row r="152" spans="1:29" ht="24" customHeight="1" x14ac:dyDescent="0.25">
      <c r="A152" s="142">
        <f>MAX(A$10:A151)+1</f>
        <v>88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50" t="s">
        <v>193</v>
      </c>
      <c r="B154" s="141" t="s">
        <v>175</v>
      </c>
      <c r="C154" s="125"/>
      <c r="D154" s="141" t="s">
        <v>182</v>
      </c>
      <c r="E154" s="125"/>
      <c r="F154" s="50" t="s">
        <v>194</v>
      </c>
      <c r="G154" s="50" t="s">
        <v>195</v>
      </c>
      <c r="H154" s="141" t="s">
        <v>196</v>
      </c>
      <c r="I154" s="125"/>
      <c r="J154" s="141" t="s">
        <v>197</v>
      </c>
      <c r="K154" s="124"/>
      <c r="L154" s="125"/>
    </row>
    <row r="155" spans="1:29" ht="24" customHeight="1" x14ac:dyDescent="0.25">
      <c r="A155" s="142">
        <f>MAX(A$10:A154)+1</f>
        <v>89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50" t="s">
        <v>193</v>
      </c>
      <c r="B157" s="141" t="s">
        <v>175</v>
      </c>
      <c r="C157" s="125"/>
      <c r="D157" s="141" t="s">
        <v>182</v>
      </c>
      <c r="E157" s="125"/>
      <c r="F157" s="50" t="s">
        <v>194</v>
      </c>
      <c r="G157" s="50" t="s">
        <v>195</v>
      </c>
      <c r="H157" s="141" t="s">
        <v>196</v>
      </c>
      <c r="I157" s="125"/>
      <c r="J157" s="141" t="s">
        <v>197</v>
      </c>
      <c r="K157" s="124"/>
      <c r="L157" s="125"/>
    </row>
    <row r="158" spans="1:29" ht="24" customHeight="1" x14ac:dyDescent="0.25">
      <c r="A158" s="142">
        <f>MAX(A$10:A157)+1</f>
        <v>90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48" t="str">
        <f>"GIRONE C - Stagione "&amp;constStagionaCampionato</f>
        <v xml:space="preserve">GIRONE C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1" t="s">
        <v>217</v>
      </c>
      <c r="B8" s="147" t="str">
        <f>"GIORNATA "&amp;ROMAN(VALUE(LEFT(A8,LEN(A8)-1)))&amp;" - GIRONE "&amp;RIGHT(A8,1)</f>
        <v>GIORNATA I - GIRONE C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52" t="s">
        <v>193</v>
      </c>
      <c r="B9" s="145" t="s">
        <v>175</v>
      </c>
      <c r="C9" s="125"/>
      <c r="D9" s="145" t="s">
        <v>182</v>
      </c>
      <c r="E9" s="125"/>
      <c r="F9" s="52" t="s">
        <v>194</v>
      </c>
      <c r="G9" s="52" t="s">
        <v>195</v>
      </c>
      <c r="H9" s="145" t="s">
        <v>196</v>
      </c>
      <c r="I9" s="125"/>
      <c r="J9" s="145" t="s">
        <v>197</v>
      </c>
      <c r="K9" s="124"/>
      <c r="L9" s="125"/>
    </row>
    <row r="10" spans="1:29" ht="24" customHeight="1" x14ac:dyDescent="0.25">
      <c r="A10" s="146">
        <v>91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52" t="s">
        <v>193</v>
      </c>
      <c r="B12" s="145" t="s">
        <v>175</v>
      </c>
      <c r="C12" s="125"/>
      <c r="D12" s="145" t="s">
        <v>182</v>
      </c>
      <c r="E12" s="125"/>
      <c r="F12" s="52" t="s">
        <v>194</v>
      </c>
      <c r="G12" s="52" t="s">
        <v>195</v>
      </c>
      <c r="H12" s="145" t="s">
        <v>196</v>
      </c>
      <c r="I12" s="125"/>
      <c r="J12" s="145" t="s">
        <v>197</v>
      </c>
      <c r="K12" s="124"/>
      <c r="L12" s="125"/>
    </row>
    <row r="13" spans="1:29" ht="24" customHeight="1" x14ac:dyDescent="0.25">
      <c r="A13" s="146">
        <f>MAX(A$10:A12)+1</f>
        <v>92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52" t="s">
        <v>193</v>
      </c>
      <c r="B15" s="145" t="s">
        <v>175</v>
      </c>
      <c r="C15" s="125"/>
      <c r="D15" s="145" t="s">
        <v>182</v>
      </c>
      <c r="E15" s="125"/>
      <c r="F15" s="52" t="s">
        <v>194</v>
      </c>
      <c r="G15" s="52" t="s">
        <v>195</v>
      </c>
      <c r="H15" s="145" t="s">
        <v>196</v>
      </c>
      <c r="I15" s="125"/>
      <c r="J15" s="145" t="s">
        <v>197</v>
      </c>
      <c r="K15" s="124"/>
      <c r="L15" s="125"/>
    </row>
    <row r="16" spans="1:29" ht="24" customHeight="1" x14ac:dyDescent="0.25">
      <c r="A16" s="146">
        <f>MAX(A$10:A15)+1</f>
        <v>93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52" t="s">
        <v>193</v>
      </c>
      <c r="B18" s="145" t="s">
        <v>175</v>
      </c>
      <c r="C18" s="125"/>
      <c r="D18" s="145" t="s">
        <v>182</v>
      </c>
      <c r="E18" s="125"/>
      <c r="F18" s="52" t="s">
        <v>194</v>
      </c>
      <c r="G18" s="52" t="s">
        <v>195</v>
      </c>
      <c r="H18" s="145" t="s">
        <v>196</v>
      </c>
      <c r="I18" s="125"/>
      <c r="J18" s="145" t="s">
        <v>197</v>
      </c>
      <c r="K18" s="124"/>
      <c r="L18" s="125"/>
    </row>
    <row r="19" spans="1:29" ht="24" customHeight="1" x14ac:dyDescent="0.25">
      <c r="A19" s="146">
        <f>MAX(A$10:A18)+1</f>
        <v>94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52" t="s">
        <v>193</v>
      </c>
      <c r="B21" s="145" t="s">
        <v>175</v>
      </c>
      <c r="C21" s="125"/>
      <c r="D21" s="145" t="s">
        <v>182</v>
      </c>
      <c r="E21" s="125"/>
      <c r="F21" s="52" t="s">
        <v>194</v>
      </c>
      <c r="G21" s="52" t="s">
        <v>195</v>
      </c>
      <c r="H21" s="145" t="s">
        <v>196</v>
      </c>
      <c r="I21" s="125"/>
      <c r="J21" s="145" t="s">
        <v>197</v>
      </c>
      <c r="K21" s="124"/>
      <c r="L21" s="125"/>
    </row>
    <row r="22" spans="1:29" ht="24" customHeight="1" x14ac:dyDescent="0.25">
      <c r="A22" s="146">
        <f>MAX(A$10:A21)+1</f>
        <v>95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51" t="s">
        <v>218</v>
      </c>
      <c r="B25" s="147" t="str">
        <f>"GIORNATA "&amp;ROMAN(VALUE(LEFT(A25,LEN(A25)-1)))&amp;" - GIRONE "&amp;RIGHT(A25,1)</f>
        <v>GIORNATA II - GIRONE C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52" t="s">
        <v>193</v>
      </c>
      <c r="B26" s="145" t="s">
        <v>175</v>
      </c>
      <c r="C26" s="125"/>
      <c r="D26" s="145" t="s">
        <v>182</v>
      </c>
      <c r="E26" s="125"/>
      <c r="F26" s="52" t="s">
        <v>194</v>
      </c>
      <c r="G26" s="52" t="s">
        <v>195</v>
      </c>
      <c r="H26" s="145" t="s">
        <v>196</v>
      </c>
      <c r="I26" s="125"/>
      <c r="J26" s="145" t="s">
        <v>197</v>
      </c>
      <c r="K26" s="124"/>
      <c r="L26" s="125"/>
    </row>
    <row r="27" spans="1:29" ht="24" customHeight="1" x14ac:dyDescent="0.25">
      <c r="A27" s="146">
        <f>MAX(A$10:A26)+1</f>
        <v>96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52" t="s">
        <v>193</v>
      </c>
      <c r="B29" s="145" t="s">
        <v>175</v>
      </c>
      <c r="C29" s="125"/>
      <c r="D29" s="145" t="s">
        <v>182</v>
      </c>
      <c r="E29" s="125"/>
      <c r="F29" s="52" t="s">
        <v>194</v>
      </c>
      <c r="G29" s="52" t="s">
        <v>195</v>
      </c>
      <c r="H29" s="145" t="s">
        <v>196</v>
      </c>
      <c r="I29" s="125"/>
      <c r="J29" s="145" t="s">
        <v>197</v>
      </c>
      <c r="K29" s="124"/>
      <c r="L29" s="125"/>
    </row>
    <row r="30" spans="1:29" ht="24" customHeight="1" x14ac:dyDescent="0.25">
      <c r="A30" s="146">
        <f>MAX(A$10:A29)+1</f>
        <v>97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52" t="s">
        <v>193</v>
      </c>
      <c r="B32" s="145" t="s">
        <v>175</v>
      </c>
      <c r="C32" s="125"/>
      <c r="D32" s="145" t="s">
        <v>182</v>
      </c>
      <c r="E32" s="125"/>
      <c r="F32" s="52" t="s">
        <v>194</v>
      </c>
      <c r="G32" s="52" t="s">
        <v>195</v>
      </c>
      <c r="H32" s="145" t="s">
        <v>196</v>
      </c>
      <c r="I32" s="125"/>
      <c r="J32" s="145" t="s">
        <v>197</v>
      </c>
      <c r="K32" s="124"/>
      <c r="L32" s="125"/>
    </row>
    <row r="33" spans="1:29" ht="24" customHeight="1" x14ac:dyDescent="0.25">
      <c r="A33" s="146">
        <f>MAX(A$10:A32)+1</f>
        <v>98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52" t="s">
        <v>193</v>
      </c>
      <c r="B35" s="145" t="s">
        <v>175</v>
      </c>
      <c r="C35" s="125"/>
      <c r="D35" s="145" t="s">
        <v>182</v>
      </c>
      <c r="E35" s="125"/>
      <c r="F35" s="52" t="s">
        <v>194</v>
      </c>
      <c r="G35" s="52" t="s">
        <v>195</v>
      </c>
      <c r="H35" s="145" t="s">
        <v>196</v>
      </c>
      <c r="I35" s="125"/>
      <c r="J35" s="145" t="s">
        <v>197</v>
      </c>
      <c r="K35" s="124"/>
      <c r="L35" s="125"/>
    </row>
    <row r="36" spans="1:29" ht="24" customHeight="1" x14ac:dyDescent="0.25">
      <c r="A36" s="146">
        <f>MAX(A$10:A35)+1</f>
        <v>99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52" t="s">
        <v>193</v>
      </c>
      <c r="B38" s="145" t="s">
        <v>175</v>
      </c>
      <c r="C38" s="125"/>
      <c r="D38" s="145" t="s">
        <v>182</v>
      </c>
      <c r="E38" s="125"/>
      <c r="F38" s="52" t="s">
        <v>194</v>
      </c>
      <c r="G38" s="52" t="s">
        <v>195</v>
      </c>
      <c r="H38" s="145" t="s">
        <v>196</v>
      </c>
      <c r="I38" s="125"/>
      <c r="J38" s="145" t="s">
        <v>197</v>
      </c>
      <c r="K38" s="124"/>
      <c r="L38" s="125"/>
    </row>
    <row r="39" spans="1:29" ht="24" customHeight="1" x14ac:dyDescent="0.25">
      <c r="A39" s="146">
        <f>MAX(A$10:A38)+1</f>
        <v>100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51" t="s">
        <v>219</v>
      </c>
      <c r="B42" s="147" t="str">
        <f>"GIORNATA "&amp;ROMAN(VALUE(LEFT(A42,LEN(A42)-1)))&amp;" - GIRONE "&amp;RIGHT(A42,1)</f>
        <v>GIORNATA III - GIRONE C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52" t="s">
        <v>193</v>
      </c>
      <c r="B43" s="145" t="s">
        <v>175</v>
      </c>
      <c r="C43" s="125"/>
      <c r="D43" s="145" t="s">
        <v>182</v>
      </c>
      <c r="E43" s="125"/>
      <c r="F43" s="52" t="s">
        <v>194</v>
      </c>
      <c r="G43" s="52" t="s">
        <v>195</v>
      </c>
      <c r="H43" s="145" t="s">
        <v>196</v>
      </c>
      <c r="I43" s="125"/>
      <c r="J43" s="145" t="s">
        <v>197</v>
      </c>
      <c r="K43" s="124"/>
      <c r="L43" s="125"/>
    </row>
    <row r="44" spans="1:29" ht="24" customHeight="1" x14ac:dyDescent="0.25">
      <c r="A44" s="146">
        <f>MAX(A$10:A43)+1</f>
        <v>101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52" t="s">
        <v>193</v>
      </c>
      <c r="B46" s="145" t="s">
        <v>175</v>
      </c>
      <c r="C46" s="125"/>
      <c r="D46" s="145" t="s">
        <v>182</v>
      </c>
      <c r="E46" s="125"/>
      <c r="F46" s="52" t="s">
        <v>194</v>
      </c>
      <c r="G46" s="52" t="s">
        <v>195</v>
      </c>
      <c r="H46" s="145" t="s">
        <v>196</v>
      </c>
      <c r="I46" s="125"/>
      <c r="J46" s="145" t="s">
        <v>197</v>
      </c>
      <c r="K46" s="124"/>
      <c r="L46" s="125"/>
    </row>
    <row r="47" spans="1:29" ht="24" customHeight="1" x14ac:dyDescent="0.25">
      <c r="A47" s="146">
        <f>MAX(A$10:A46)+1</f>
        <v>102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52" t="s">
        <v>193</v>
      </c>
      <c r="B49" s="145" t="s">
        <v>175</v>
      </c>
      <c r="C49" s="125"/>
      <c r="D49" s="145" t="s">
        <v>182</v>
      </c>
      <c r="E49" s="125"/>
      <c r="F49" s="52" t="s">
        <v>194</v>
      </c>
      <c r="G49" s="52" t="s">
        <v>195</v>
      </c>
      <c r="H49" s="145" t="s">
        <v>196</v>
      </c>
      <c r="I49" s="125"/>
      <c r="J49" s="145" t="s">
        <v>197</v>
      </c>
      <c r="K49" s="124"/>
      <c r="L49" s="125"/>
    </row>
    <row r="50" spans="1:29" ht="24" customHeight="1" x14ac:dyDescent="0.25">
      <c r="A50" s="146">
        <f>MAX(A$10:A49)+1</f>
        <v>103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52" t="s">
        <v>193</v>
      </c>
      <c r="B52" s="145" t="s">
        <v>175</v>
      </c>
      <c r="C52" s="125"/>
      <c r="D52" s="145" t="s">
        <v>182</v>
      </c>
      <c r="E52" s="125"/>
      <c r="F52" s="52" t="s">
        <v>194</v>
      </c>
      <c r="G52" s="52" t="s">
        <v>195</v>
      </c>
      <c r="H52" s="145" t="s">
        <v>196</v>
      </c>
      <c r="I52" s="125"/>
      <c r="J52" s="145" t="s">
        <v>197</v>
      </c>
      <c r="K52" s="124"/>
      <c r="L52" s="125"/>
    </row>
    <row r="53" spans="1:29" ht="24" customHeight="1" x14ac:dyDescent="0.25">
      <c r="A53" s="146">
        <f>MAX(A$10:A52)+1</f>
        <v>104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52" t="s">
        <v>193</v>
      </c>
      <c r="B55" s="145" t="s">
        <v>175</v>
      </c>
      <c r="C55" s="125"/>
      <c r="D55" s="145" t="s">
        <v>182</v>
      </c>
      <c r="E55" s="125"/>
      <c r="F55" s="52" t="s">
        <v>194</v>
      </c>
      <c r="G55" s="52" t="s">
        <v>195</v>
      </c>
      <c r="H55" s="145" t="s">
        <v>196</v>
      </c>
      <c r="I55" s="125"/>
      <c r="J55" s="145" t="s">
        <v>197</v>
      </c>
      <c r="K55" s="124"/>
      <c r="L55" s="125"/>
    </row>
    <row r="56" spans="1:29" ht="24" customHeight="1" x14ac:dyDescent="0.25">
      <c r="A56" s="146">
        <f>MAX(A$10:A55)+1</f>
        <v>105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51" t="s">
        <v>220</v>
      </c>
      <c r="B59" s="147" t="str">
        <f>"GIORNATA "&amp;ROMAN(VALUE(LEFT(A59,LEN(A59)-1)))&amp;" - GIRONE "&amp;RIGHT(A59,1)</f>
        <v>GIORNATA IV - GIRONE C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52" t="s">
        <v>193</v>
      </c>
      <c r="B60" s="145" t="s">
        <v>175</v>
      </c>
      <c r="C60" s="125"/>
      <c r="D60" s="145" t="s">
        <v>182</v>
      </c>
      <c r="E60" s="125"/>
      <c r="F60" s="52" t="s">
        <v>194</v>
      </c>
      <c r="G60" s="52" t="s">
        <v>195</v>
      </c>
      <c r="H60" s="145" t="s">
        <v>196</v>
      </c>
      <c r="I60" s="125"/>
      <c r="J60" s="145" t="s">
        <v>197</v>
      </c>
      <c r="K60" s="124"/>
      <c r="L60" s="125"/>
    </row>
    <row r="61" spans="1:29" ht="24" customHeight="1" x14ac:dyDescent="0.25">
      <c r="A61" s="146">
        <f>MAX(A$10:A60)+1</f>
        <v>106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52" t="s">
        <v>193</v>
      </c>
      <c r="B63" s="145" t="s">
        <v>175</v>
      </c>
      <c r="C63" s="125"/>
      <c r="D63" s="145" t="s">
        <v>182</v>
      </c>
      <c r="E63" s="125"/>
      <c r="F63" s="52" t="s">
        <v>194</v>
      </c>
      <c r="G63" s="52" t="s">
        <v>195</v>
      </c>
      <c r="H63" s="145" t="s">
        <v>196</v>
      </c>
      <c r="I63" s="125"/>
      <c r="J63" s="145" t="s">
        <v>197</v>
      </c>
      <c r="K63" s="124"/>
      <c r="L63" s="125"/>
    </row>
    <row r="64" spans="1:29" ht="24" customHeight="1" x14ac:dyDescent="0.25">
      <c r="A64" s="146">
        <f>MAX(A$10:A63)+1</f>
        <v>107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52" t="s">
        <v>193</v>
      </c>
      <c r="B66" s="145" t="s">
        <v>175</v>
      </c>
      <c r="C66" s="125"/>
      <c r="D66" s="145" t="s">
        <v>182</v>
      </c>
      <c r="E66" s="125"/>
      <c r="F66" s="52" t="s">
        <v>194</v>
      </c>
      <c r="G66" s="52" t="s">
        <v>195</v>
      </c>
      <c r="H66" s="145" t="s">
        <v>196</v>
      </c>
      <c r="I66" s="125"/>
      <c r="J66" s="145" t="s">
        <v>197</v>
      </c>
      <c r="K66" s="124"/>
      <c r="L66" s="125"/>
    </row>
    <row r="67" spans="1:29" ht="24" customHeight="1" x14ac:dyDescent="0.25">
      <c r="A67" s="146">
        <f>MAX(A$10:A66)+1</f>
        <v>108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52" t="s">
        <v>193</v>
      </c>
      <c r="B69" s="145" t="s">
        <v>175</v>
      </c>
      <c r="C69" s="125"/>
      <c r="D69" s="145" t="s">
        <v>182</v>
      </c>
      <c r="E69" s="125"/>
      <c r="F69" s="52" t="s">
        <v>194</v>
      </c>
      <c r="G69" s="52" t="s">
        <v>195</v>
      </c>
      <c r="H69" s="145" t="s">
        <v>196</v>
      </c>
      <c r="I69" s="125"/>
      <c r="J69" s="145" t="s">
        <v>197</v>
      </c>
      <c r="K69" s="124"/>
      <c r="L69" s="125"/>
    </row>
    <row r="70" spans="1:29" ht="24" customHeight="1" x14ac:dyDescent="0.25">
      <c r="A70" s="146">
        <f>MAX(A$10:A69)+1</f>
        <v>109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52" t="s">
        <v>193</v>
      </c>
      <c r="B72" s="145" t="s">
        <v>175</v>
      </c>
      <c r="C72" s="125"/>
      <c r="D72" s="145" t="s">
        <v>182</v>
      </c>
      <c r="E72" s="125"/>
      <c r="F72" s="52" t="s">
        <v>194</v>
      </c>
      <c r="G72" s="52" t="s">
        <v>195</v>
      </c>
      <c r="H72" s="145" t="s">
        <v>196</v>
      </c>
      <c r="I72" s="125"/>
      <c r="J72" s="145" t="s">
        <v>197</v>
      </c>
      <c r="K72" s="124"/>
      <c r="L72" s="125"/>
    </row>
    <row r="73" spans="1:29" ht="24" customHeight="1" x14ac:dyDescent="0.25">
      <c r="A73" s="146">
        <f>MAX(A$10:A72)+1</f>
        <v>110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51" t="s">
        <v>221</v>
      </c>
      <c r="B76" s="147" t="str">
        <f>"GIORNATA "&amp;ROMAN(VALUE(LEFT(A76,LEN(A76)-1)))&amp;" - GIRONE "&amp;RIGHT(A76,1)</f>
        <v>GIORNATA V - GIRONE C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52" t="s">
        <v>193</v>
      </c>
      <c r="B77" s="145" t="s">
        <v>175</v>
      </c>
      <c r="C77" s="125"/>
      <c r="D77" s="145" t="s">
        <v>182</v>
      </c>
      <c r="E77" s="125"/>
      <c r="F77" s="52" t="s">
        <v>194</v>
      </c>
      <c r="G77" s="52" t="s">
        <v>195</v>
      </c>
      <c r="H77" s="145" t="s">
        <v>196</v>
      </c>
      <c r="I77" s="125"/>
      <c r="J77" s="145" t="s">
        <v>197</v>
      </c>
      <c r="K77" s="124"/>
      <c r="L77" s="125"/>
    </row>
    <row r="78" spans="1:29" ht="24" customHeight="1" x14ac:dyDescent="0.25">
      <c r="A78" s="146">
        <f>MAX(A$10:A77)+1</f>
        <v>111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52" t="s">
        <v>193</v>
      </c>
      <c r="B80" s="145" t="s">
        <v>175</v>
      </c>
      <c r="C80" s="125"/>
      <c r="D80" s="145" t="s">
        <v>182</v>
      </c>
      <c r="E80" s="125"/>
      <c r="F80" s="52" t="s">
        <v>194</v>
      </c>
      <c r="G80" s="52" t="s">
        <v>195</v>
      </c>
      <c r="H80" s="145" t="s">
        <v>196</v>
      </c>
      <c r="I80" s="125"/>
      <c r="J80" s="145" t="s">
        <v>197</v>
      </c>
      <c r="K80" s="124"/>
      <c r="L80" s="125"/>
    </row>
    <row r="81" spans="1:29" ht="24" customHeight="1" x14ac:dyDescent="0.25">
      <c r="A81" s="146">
        <f>MAX(A$10:A80)+1</f>
        <v>112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52" t="s">
        <v>193</v>
      </c>
      <c r="B83" s="145" t="s">
        <v>175</v>
      </c>
      <c r="C83" s="125"/>
      <c r="D83" s="145" t="s">
        <v>182</v>
      </c>
      <c r="E83" s="125"/>
      <c r="F83" s="52" t="s">
        <v>194</v>
      </c>
      <c r="G83" s="52" t="s">
        <v>195</v>
      </c>
      <c r="H83" s="145" t="s">
        <v>196</v>
      </c>
      <c r="I83" s="125"/>
      <c r="J83" s="145" t="s">
        <v>197</v>
      </c>
      <c r="K83" s="124"/>
      <c r="L83" s="125"/>
    </row>
    <row r="84" spans="1:29" ht="24" customHeight="1" x14ac:dyDescent="0.25">
      <c r="A84" s="146">
        <f>MAX(A$10:A83)+1</f>
        <v>113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52" t="s">
        <v>193</v>
      </c>
      <c r="B86" s="145" t="s">
        <v>175</v>
      </c>
      <c r="C86" s="125"/>
      <c r="D86" s="145" t="s">
        <v>182</v>
      </c>
      <c r="E86" s="125"/>
      <c r="F86" s="52" t="s">
        <v>194</v>
      </c>
      <c r="G86" s="52" t="s">
        <v>195</v>
      </c>
      <c r="H86" s="145" t="s">
        <v>196</v>
      </c>
      <c r="I86" s="125"/>
      <c r="J86" s="145" t="s">
        <v>197</v>
      </c>
      <c r="K86" s="124"/>
      <c r="L86" s="125"/>
    </row>
    <row r="87" spans="1:29" ht="24" customHeight="1" x14ac:dyDescent="0.25">
      <c r="A87" s="146">
        <f>MAX(A$10:A86)+1</f>
        <v>114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52" t="s">
        <v>193</v>
      </c>
      <c r="B89" s="145" t="s">
        <v>175</v>
      </c>
      <c r="C89" s="125"/>
      <c r="D89" s="145" t="s">
        <v>182</v>
      </c>
      <c r="E89" s="125"/>
      <c r="F89" s="52" t="s">
        <v>194</v>
      </c>
      <c r="G89" s="52" t="s">
        <v>195</v>
      </c>
      <c r="H89" s="145" t="s">
        <v>196</v>
      </c>
      <c r="I89" s="125"/>
      <c r="J89" s="145" t="s">
        <v>197</v>
      </c>
      <c r="K89" s="124"/>
      <c r="L89" s="125"/>
    </row>
    <row r="90" spans="1:29" ht="24" customHeight="1" x14ac:dyDescent="0.25">
      <c r="A90" s="146">
        <f>MAX(A$10:A89)+1</f>
        <v>115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51" t="s">
        <v>222</v>
      </c>
      <c r="B93" s="147" t="str">
        <f>"GIORNATA "&amp;ROMAN(VALUE(LEFT(A93,LEN(A93)-1)))&amp;" - GIRONE "&amp;RIGHT(A93,1)</f>
        <v>GIORNATA VI - GIRONE C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52" t="s">
        <v>193</v>
      </c>
      <c r="B94" s="145" t="s">
        <v>175</v>
      </c>
      <c r="C94" s="125"/>
      <c r="D94" s="145" t="s">
        <v>182</v>
      </c>
      <c r="E94" s="125"/>
      <c r="F94" s="52" t="s">
        <v>194</v>
      </c>
      <c r="G94" s="52" t="s">
        <v>195</v>
      </c>
      <c r="H94" s="145" t="s">
        <v>196</v>
      </c>
      <c r="I94" s="125"/>
      <c r="J94" s="145" t="s">
        <v>197</v>
      </c>
      <c r="K94" s="124"/>
      <c r="L94" s="125"/>
    </row>
    <row r="95" spans="1:29" ht="24" customHeight="1" x14ac:dyDescent="0.25">
      <c r="A95" s="146">
        <f>MAX(A$10:A94)+1</f>
        <v>116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52" t="s">
        <v>193</v>
      </c>
      <c r="B97" s="145" t="s">
        <v>175</v>
      </c>
      <c r="C97" s="125"/>
      <c r="D97" s="145" t="s">
        <v>182</v>
      </c>
      <c r="E97" s="125"/>
      <c r="F97" s="52" t="s">
        <v>194</v>
      </c>
      <c r="G97" s="52" t="s">
        <v>195</v>
      </c>
      <c r="H97" s="145" t="s">
        <v>196</v>
      </c>
      <c r="I97" s="125"/>
      <c r="J97" s="145" t="s">
        <v>197</v>
      </c>
      <c r="K97" s="124"/>
      <c r="L97" s="125"/>
    </row>
    <row r="98" spans="1:29" ht="24" customHeight="1" x14ac:dyDescent="0.25">
      <c r="A98" s="146">
        <f>MAX(A$10:A97)+1</f>
        <v>117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52" t="s">
        <v>193</v>
      </c>
      <c r="B100" s="145" t="s">
        <v>175</v>
      </c>
      <c r="C100" s="125"/>
      <c r="D100" s="145" t="s">
        <v>182</v>
      </c>
      <c r="E100" s="125"/>
      <c r="F100" s="52" t="s">
        <v>194</v>
      </c>
      <c r="G100" s="52" t="s">
        <v>195</v>
      </c>
      <c r="H100" s="145" t="s">
        <v>196</v>
      </c>
      <c r="I100" s="125"/>
      <c r="J100" s="145" t="s">
        <v>197</v>
      </c>
      <c r="K100" s="124"/>
      <c r="L100" s="125"/>
    </row>
    <row r="101" spans="1:29" ht="24" customHeight="1" x14ac:dyDescent="0.25">
      <c r="A101" s="146">
        <f>MAX(A$10:A100)+1</f>
        <v>118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52" t="s">
        <v>193</v>
      </c>
      <c r="B103" s="145" t="s">
        <v>175</v>
      </c>
      <c r="C103" s="125"/>
      <c r="D103" s="145" t="s">
        <v>182</v>
      </c>
      <c r="E103" s="125"/>
      <c r="F103" s="52" t="s">
        <v>194</v>
      </c>
      <c r="G103" s="52" t="s">
        <v>195</v>
      </c>
      <c r="H103" s="145" t="s">
        <v>196</v>
      </c>
      <c r="I103" s="125"/>
      <c r="J103" s="145" t="s">
        <v>197</v>
      </c>
      <c r="K103" s="124"/>
      <c r="L103" s="125"/>
    </row>
    <row r="104" spans="1:29" ht="24" customHeight="1" x14ac:dyDescent="0.25">
      <c r="A104" s="146">
        <f>MAX(A$10:A103)+1</f>
        <v>119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52" t="s">
        <v>193</v>
      </c>
      <c r="B106" s="145" t="s">
        <v>175</v>
      </c>
      <c r="C106" s="125"/>
      <c r="D106" s="145" t="s">
        <v>182</v>
      </c>
      <c r="E106" s="125"/>
      <c r="F106" s="52" t="s">
        <v>194</v>
      </c>
      <c r="G106" s="52" t="s">
        <v>195</v>
      </c>
      <c r="H106" s="145" t="s">
        <v>196</v>
      </c>
      <c r="I106" s="125"/>
      <c r="J106" s="145" t="s">
        <v>197</v>
      </c>
      <c r="K106" s="124"/>
      <c r="L106" s="125"/>
    </row>
    <row r="107" spans="1:29" ht="24" customHeight="1" x14ac:dyDescent="0.25">
      <c r="A107" s="146">
        <f>MAX(A$10:A106)+1</f>
        <v>120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51" t="s">
        <v>223</v>
      </c>
      <c r="B110" s="147" t="str">
        <f>"GIORNATA "&amp;ROMAN(VALUE(LEFT(A110,LEN(A110)-1)))&amp;" - GIRONE "&amp;RIGHT(A110,1)</f>
        <v>GIORNATA VII - GIRONE C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52" t="s">
        <v>193</v>
      </c>
      <c r="B111" s="145" t="s">
        <v>175</v>
      </c>
      <c r="C111" s="125"/>
      <c r="D111" s="145" t="s">
        <v>182</v>
      </c>
      <c r="E111" s="125"/>
      <c r="F111" s="52" t="s">
        <v>194</v>
      </c>
      <c r="G111" s="52" t="s">
        <v>195</v>
      </c>
      <c r="H111" s="145" t="s">
        <v>196</v>
      </c>
      <c r="I111" s="125"/>
      <c r="J111" s="145" t="s">
        <v>197</v>
      </c>
      <c r="K111" s="124"/>
      <c r="L111" s="125"/>
    </row>
    <row r="112" spans="1:29" ht="24" customHeight="1" x14ac:dyDescent="0.25">
      <c r="A112" s="146">
        <f>MAX(A$10:A111)+1</f>
        <v>121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52" t="s">
        <v>193</v>
      </c>
      <c r="B114" s="145" t="s">
        <v>175</v>
      </c>
      <c r="C114" s="125"/>
      <c r="D114" s="145" t="s">
        <v>182</v>
      </c>
      <c r="E114" s="125"/>
      <c r="F114" s="52" t="s">
        <v>194</v>
      </c>
      <c r="G114" s="52" t="s">
        <v>195</v>
      </c>
      <c r="H114" s="145" t="s">
        <v>196</v>
      </c>
      <c r="I114" s="125"/>
      <c r="J114" s="145" t="s">
        <v>197</v>
      </c>
      <c r="K114" s="124"/>
      <c r="L114" s="125"/>
    </row>
    <row r="115" spans="1:29" ht="24" customHeight="1" x14ac:dyDescent="0.25">
      <c r="A115" s="146">
        <f>MAX(A$10:A114)+1</f>
        <v>122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52" t="s">
        <v>193</v>
      </c>
      <c r="B117" s="145" t="s">
        <v>175</v>
      </c>
      <c r="C117" s="125"/>
      <c r="D117" s="145" t="s">
        <v>182</v>
      </c>
      <c r="E117" s="125"/>
      <c r="F117" s="52" t="s">
        <v>194</v>
      </c>
      <c r="G117" s="52" t="s">
        <v>195</v>
      </c>
      <c r="H117" s="145" t="s">
        <v>196</v>
      </c>
      <c r="I117" s="125"/>
      <c r="J117" s="145" t="s">
        <v>197</v>
      </c>
      <c r="K117" s="124"/>
      <c r="L117" s="125"/>
    </row>
    <row r="118" spans="1:29" ht="24" customHeight="1" x14ac:dyDescent="0.25">
      <c r="A118" s="146">
        <f>MAX(A$10:A117)+1</f>
        <v>123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52" t="s">
        <v>193</v>
      </c>
      <c r="B120" s="145" t="s">
        <v>175</v>
      </c>
      <c r="C120" s="125"/>
      <c r="D120" s="145" t="s">
        <v>182</v>
      </c>
      <c r="E120" s="125"/>
      <c r="F120" s="52" t="s">
        <v>194</v>
      </c>
      <c r="G120" s="52" t="s">
        <v>195</v>
      </c>
      <c r="H120" s="145" t="s">
        <v>196</v>
      </c>
      <c r="I120" s="125"/>
      <c r="J120" s="145" t="s">
        <v>197</v>
      </c>
      <c r="K120" s="124"/>
      <c r="L120" s="125"/>
    </row>
    <row r="121" spans="1:29" ht="24" customHeight="1" x14ac:dyDescent="0.25">
      <c r="A121" s="146">
        <f>MAX(A$10:A120)+1</f>
        <v>124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52" t="s">
        <v>193</v>
      </c>
      <c r="B123" s="145" t="s">
        <v>175</v>
      </c>
      <c r="C123" s="125"/>
      <c r="D123" s="145" t="s">
        <v>182</v>
      </c>
      <c r="E123" s="125"/>
      <c r="F123" s="52" t="s">
        <v>194</v>
      </c>
      <c r="G123" s="52" t="s">
        <v>195</v>
      </c>
      <c r="H123" s="145" t="s">
        <v>196</v>
      </c>
      <c r="I123" s="125"/>
      <c r="J123" s="145" t="s">
        <v>197</v>
      </c>
      <c r="K123" s="124"/>
      <c r="L123" s="125"/>
    </row>
    <row r="124" spans="1:29" ht="24" customHeight="1" x14ac:dyDescent="0.25">
      <c r="A124" s="146">
        <f>MAX(A$10:A123)+1</f>
        <v>125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51" t="s">
        <v>224</v>
      </c>
      <c r="B127" s="147" t="str">
        <f>"GIORNATA "&amp;ROMAN(VALUE(LEFT(A127,LEN(A127)-1)))&amp;" - GIRONE "&amp;RIGHT(A127,1)</f>
        <v>GIORNATA VIII - GIRONE C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52" t="s">
        <v>193</v>
      </c>
      <c r="B128" s="145" t="s">
        <v>175</v>
      </c>
      <c r="C128" s="125"/>
      <c r="D128" s="145" t="s">
        <v>182</v>
      </c>
      <c r="E128" s="125"/>
      <c r="F128" s="52" t="s">
        <v>194</v>
      </c>
      <c r="G128" s="52" t="s">
        <v>195</v>
      </c>
      <c r="H128" s="145" t="s">
        <v>196</v>
      </c>
      <c r="I128" s="125"/>
      <c r="J128" s="145" t="s">
        <v>197</v>
      </c>
      <c r="K128" s="124"/>
      <c r="L128" s="125"/>
    </row>
    <row r="129" spans="1:29" ht="24" customHeight="1" x14ac:dyDescent="0.25">
      <c r="A129" s="146">
        <f>MAX(A$10:A128)+1</f>
        <v>126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52" t="s">
        <v>193</v>
      </c>
      <c r="B131" s="145" t="s">
        <v>175</v>
      </c>
      <c r="C131" s="125"/>
      <c r="D131" s="145" t="s">
        <v>182</v>
      </c>
      <c r="E131" s="125"/>
      <c r="F131" s="52" t="s">
        <v>194</v>
      </c>
      <c r="G131" s="52" t="s">
        <v>195</v>
      </c>
      <c r="H131" s="145" t="s">
        <v>196</v>
      </c>
      <c r="I131" s="125"/>
      <c r="J131" s="145" t="s">
        <v>197</v>
      </c>
      <c r="K131" s="124"/>
      <c r="L131" s="125"/>
    </row>
    <row r="132" spans="1:29" ht="24" customHeight="1" x14ac:dyDescent="0.25">
      <c r="A132" s="146">
        <f>MAX(A$10:A131)+1</f>
        <v>127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52" t="s">
        <v>193</v>
      </c>
      <c r="B134" s="145" t="s">
        <v>175</v>
      </c>
      <c r="C134" s="125"/>
      <c r="D134" s="145" t="s">
        <v>182</v>
      </c>
      <c r="E134" s="125"/>
      <c r="F134" s="52" t="s">
        <v>194</v>
      </c>
      <c r="G134" s="52" t="s">
        <v>195</v>
      </c>
      <c r="H134" s="145" t="s">
        <v>196</v>
      </c>
      <c r="I134" s="125"/>
      <c r="J134" s="145" t="s">
        <v>197</v>
      </c>
      <c r="K134" s="124"/>
      <c r="L134" s="125"/>
    </row>
    <row r="135" spans="1:29" ht="24" customHeight="1" x14ac:dyDescent="0.25">
      <c r="A135" s="146">
        <f>MAX(A$10:A134)+1</f>
        <v>128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52" t="s">
        <v>193</v>
      </c>
      <c r="B137" s="145" t="s">
        <v>175</v>
      </c>
      <c r="C137" s="125"/>
      <c r="D137" s="145" t="s">
        <v>182</v>
      </c>
      <c r="E137" s="125"/>
      <c r="F137" s="52" t="s">
        <v>194</v>
      </c>
      <c r="G137" s="52" t="s">
        <v>195</v>
      </c>
      <c r="H137" s="145" t="s">
        <v>196</v>
      </c>
      <c r="I137" s="125"/>
      <c r="J137" s="145" t="s">
        <v>197</v>
      </c>
      <c r="K137" s="124"/>
      <c r="L137" s="125"/>
    </row>
    <row r="138" spans="1:29" ht="24" customHeight="1" x14ac:dyDescent="0.25">
      <c r="A138" s="146">
        <f>MAX(A$10:A137)+1</f>
        <v>129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52" t="s">
        <v>193</v>
      </c>
      <c r="B140" s="145" t="s">
        <v>175</v>
      </c>
      <c r="C140" s="125"/>
      <c r="D140" s="145" t="s">
        <v>182</v>
      </c>
      <c r="E140" s="125"/>
      <c r="F140" s="52" t="s">
        <v>194</v>
      </c>
      <c r="G140" s="52" t="s">
        <v>195</v>
      </c>
      <c r="H140" s="145" t="s">
        <v>196</v>
      </c>
      <c r="I140" s="125"/>
      <c r="J140" s="145" t="s">
        <v>197</v>
      </c>
      <c r="K140" s="124"/>
      <c r="L140" s="125"/>
    </row>
    <row r="141" spans="1:29" ht="24" customHeight="1" x14ac:dyDescent="0.25">
      <c r="A141" s="146">
        <f>MAX(A$10:A140)+1</f>
        <v>130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51" t="s">
        <v>225</v>
      </c>
      <c r="B144" s="147" t="str">
        <f>"GIORNATA "&amp;ROMAN(VALUE(LEFT(A144,LEN(A144)-1)))&amp;" - GIRONE "&amp;RIGHT(A144,1)</f>
        <v>GIORNATA IX - GIRONE C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52" t="s">
        <v>193</v>
      </c>
      <c r="B145" s="145" t="s">
        <v>175</v>
      </c>
      <c r="C145" s="125"/>
      <c r="D145" s="145" t="s">
        <v>182</v>
      </c>
      <c r="E145" s="125"/>
      <c r="F145" s="52" t="s">
        <v>194</v>
      </c>
      <c r="G145" s="52" t="s">
        <v>195</v>
      </c>
      <c r="H145" s="145" t="s">
        <v>196</v>
      </c>
      <c r="I145" s="125"/>
      <c r="J145" s="145" t="s">
        <v>197</v>
      </c>
      <c r="K145" s="124"/>
      <c r="L145" s="125"/>
    </row>
    <row r="146" spans="1:29" ht="24" customHeight="1" x14ac:dyDescent="0.25">
      <c r="A146" s="146">
        <f>MAX(A$10:A145)+1</f>
        <v>131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52" t="s">
        <v>193</v>
      </c>
      <c r="B148" s="145" t="s">
        <v>175</v>
      </c>
      <c r="C148" s="125"/>
      <c r="D148" s="145" t="s">
        <v>182</v>
      </c>
      <c r="E148" s="125"/>
      <c r="F148" s="52" t="s">
        <v>194</v>
      </c>
      <c r="G148" s="52" t="s">
        <v>195</v>
      </c>
      <c r="H148" s="145" t="s">
        <v>196</v>
      </c>
      <c r="I148" s="125"/>
      <c r="J148" s="145" t="s">
        <v>197</v>
      </c>
      <c r="K148" s="124"/>
      <c r="L148" s="125"/>
    </row>
    <row r="149" spans="1:29" ht="24" customHeight="1" x14ac:dyDescent="0.25">
      <c r="A149" s="146">
        <f>MAX(A$10:A148)+1</f>
        <v>132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52" t="s">
        <v>193</v>
      </c>
      <c r="B151" s="145" t="s">
        <v>175</v>
      </c>
      <c r="C151" s="125"/>
      <c r="D151" s="145" t="s">
        <v>182</v>
      </c>
      <c r="E151" s="125"/>
      <c r="F151" s="52" t="s">
        <v>194</v>
      </c>
      <c r="G151" s="52" t="s">
        <v>195</v>
      </c>
      <c r="H151" s="145" t="s">
        <v>196</v>
      </c>
      <c r="I151" s="125"/>
      <c r="J151" s="145" t="s">
        <v>197</v>
      </c>
      <c r="K151" s="124"/>
      <c r="L151" s="125"/>
    </row>
    <row r="152" spans="1:29" ht="24" customHeight="1" x14ac:dyDescent="0.25">
      <c r="A152" s="146">
        <f>MAX(A$10:A151)+1</f>
        <v>133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52" t="s">
        <v>193</v>
      </c>
      <c r="B154" s="145" t="s">
        <v>175</v>
      </c>
      <c r="C154" s="125"/>
      <c r="D154" s="145" t="s">
        <v>182</v>
      </c>
      <c r="E154" s="125"/>
      <c r="F154" s="52" t="s">
        <v>194</v>
      </c>
      <c r="G154" s="52" t="s">
        <v>195</v>
      </c>
      <c r="H154" s="145" t="s">
        <v>196</v>
      </c>
      <c r="I154" s="125"/>
      <c r="J154" s="145" t="s">
        <v>197</v>
      </c>
      <c r="K154" s="124"/>
      <c r="L154" s="125"/>
    </row>
    <row r="155" spans="1:29" ht="24" customHeight="1" x14ac:dyDescent="0.25">
      <c r="A155" s="146">
        <f>MAX(A$10:A154)+1</f>
        <v>134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52" t="s">
        <v>193</v>
      </c>
      <c r="B157" s="145" t="s">
        <v>175</v>
      </c>
      <c r="C157" s="125"/>
      <c r="D157" s="145" t="s">
        <v>182</v>
      </c>
      <c r="E157" s="125"/>
      <c r="F157" s="52" t="s">
        <v>194</v>
      </c>
      <c r="G157" s="52" t="s">
        <v>195</v>
      </c>
      <c r="H157" s="145" t="s">
        <v>196</v>
      </c>
      <c r="I157" s="125"/>
      <c r="J157" s="145" t="s">
        <v>197</v>
      </c>
      <c r="K157" s="124"/>
      <c r="L157" s="125"/>
    </row>
    <row r="158" spans="1:29" ht="24" customHeight="1" x14ac:dyDescent="0.25">
      <c r="A158" s="146">
        <f>MAX(A$10:A157)+1</f>
        <v>135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7B12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52" t="str">
        <f>"GIRONE D - Stagione "&amp;constStagionaCampionato</f>
        <v xml:space="preserve">GIRONE D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3" t="s">
        <v>226</v>
      </c>
      <c r="B8" s="151" t="str">
        <f>"GIORNATA "&amp;ROMAN(VALUE(LEFT(A8,LEN(A8)-1)))&amp;" - GIRONE "&amp;RIGHT(A8,1)</f>
        <v>GIORNATA I - GIRONE D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54" t="s">
        <v>193</v>
      </c>
      <c r="B9" s="149" t="s">
        <v>175</v>
      </c>
      <c r="C9" s="125"/>
      <c r="D9" s="149" t="s">
        <v>182</v>
      </c>
      <c r="E9" s="125"/>
      <c r="F9" s="54" t="s">
        <v>194</v>
      </c>
      <c r="G9" s="54" t="s">
        <v>195</v>
      </c>
      <c r="H9" s="149" t="s">
        <v>196</v>
      </c>
      <c r="I9" s="125"/>
      <c r="J9" s="149" t="s">
        <v>197</v>
      </c>
      <c r="K9" s="124"/>
      <c r="L9" s="125"/>
    </row>
    <row r="10" spans="1:29" ht="24" customHeight="1" x14ac:dyDescent="0.25">
      <c r="A10" s="150">
        <v>136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54" t="s">
        <v>193</v>
      </c>
      <c r="B12" s="149" t="s">
        <v>175</v>
      </c>
      <c r="C12" s="125"/>
      <c r="D12" s="149" t="s">
        <v>182</v>
      </c>
      <c r="E12" s="125"/>
      <c r="F12" s="54" t="s">
        <v>194</v>
      </c>
      <c r="G12" s="54" t="s">
        <v>195</v>
      </c>
      <c r="H12" s="149" t="s">
        <v>196</v>
      </c>
      <c r="I12" s="125"/>
      <c r="J12" s="149" t="s">
        <v>197</v>
      </c>
      <c r="K12" s="124"/>
      <c r="L12" s="125"/>
    </row>
    <row r="13" spans="1:29" ht="24" customHeight="1" x14ac:dyDescent="0.25">
      <c r="A13" s="150">
        <f>MAX(A$10:A12)+1</f>
        <v>137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54" t="s">
        <v>193</v>
      </c>
      <c r="B15" s="149" t="s">
        <v>175</v>
      </c>
      <c r="C15" s="125"/>
      <c r="D15" s="149" t="s">
        <v>182</v>
      </c>
      <c r="E15" s="125"/>
      <c r="F15" s="54" t="s">
        <v>194</v>
      </c>
      <c r="G15" s="54" t="s">
        <v>195</v>
      </c>
      <c r="H15" s="149" t="s">
        <v>196</v>
      </c>
      <c r="I15" s="125"/>
      <c r="J15" s="149" t="s">
        <v>197</v>
      </c>
      <c r="K15" s="124"/>
      <c r="L15" s="125"/>
    </row>
    <row r="16" spans="1:29" ht="24" customHeight="1" x14ac:dyDescent="0.25">
      <c r="A16" s="150">
        <f>MAX(A$10:A15)+1</f>
        <v>138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54" t="s">
        <v>193</v>
      </c>
      <c r="B18" s="149" t="s">
        <v>175</v>
      </c>
      <c r="C18" s="125"/>
      <c r="D18" s="149" t="s">
        <v>182</v>
      </c>
      <c r="E18" s="125"/>
      <c r="F18" s="54" t="s">
        <v>194</v>
      </c>
      <c r="G18" s="54" t="s">
        <v>195</v>
      </c>
      <c r="H18" s="149" t="s">
        <v>196</v>
      </c>
      <c r="I18" s="125"/>
      <c r="J18" s="149" t="s">
        <v>197</v>
      </c>
      <c r="K18" s="124"/>
      <c r="L18" s="125"/>
    </row>
    <row r="19" spans="1:29" ht="24" customHeight="1" x14ac:dyDescent="0.25">
      <c r="A19" s="150">
        <f>MAX(A$10:A18)+1</f>
        <v>139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54" t="s">
        <v>193</v>
      </c>
      <c r="B21" s="149" t="s">
        <v>175</v>
      </c>
      <c r="C21" s="125"/>
      <c r="D21" s="149" t="s">
        <v>182</v>
      </c>
      <c r="E21" s="125"/>
      <c r="F21" s="54" t="s">
        <v>194</v>
      </c>
      <c r="G21" s="54" t="s">
        <v>195</v>
      </c>
      <c r="H21" s="149" t="s">
        <v>196</v>
      </c>
      <c r="I21" s="125"/>
      <c r="J21" s="149" t="s">
        <v>197</v>
      </c>
      <c r="K21" s="124"/>
      <c r="L21" s="125"/>
    </row>
    <row r="22" spans="1:29" ht="24" customHeight="1" x14ac:dyDescent="0.25">
      <c r="A22" s="150">
        <f>MAX(A$10:A21)+1</f>
        <v>140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53" t="s">
        <v>227</v>
      </c>
      <c r="B25" s="151" t="str">
        <f>"GIORNATA "&amp;ROMAN(VALUE(LEFT(A25,LEN(A25)-1)))&amp;" - GIRONE "&amp;RIGHT(A25,1)</f>
        <v>GIORNATA II - GIRONE D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54" t="s">
        <v>193</v>
      </c>
      <c r="B26" s="149" t="s">
        <v>175</v>
      </c>
      <c r="C26" s="125"/>
      <c r="D26" s="149" t="s">
        <v>182</v>
      </c>
      <c r="E26" s="125"/>
      <c r="F26" s="54" t="s">
        <v>194</v>
      </c>
      <c r="G26" s="54" t="s">
        <v>195</v>
      </c>
      <c r="H26" s="149" t="s">
        <v>196</v>
      </c>
      <c r="I26" s="125"/>
      <c r="J26" s="149" t="s">
        <v>197</v>
      </c>
      <c r="K26" s="124"/>
      <c r="L26" s="125"/>
    </row>
    <row r="27" spans="1:29" ht="24" customHeight="1" x14ac:dyDescent="0.25">
      <c r="A27" s="150">
        <f>MAX(A$10:A26)+1</f>
        <v>141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54" t="s">
        <v>193</v>
      </c>
      <c r="B29" s="149" t="s">
        <v>175</v>
      </c>
      <c r="C29" s="125"/>
      <c r="D29" s="149" t="s">
        <v>182</v>
      </c>
      <c r="E29" s="125"/>
      <c r="F29" s="54" t="s">
        <v>194</v>
      </c>
      <c r="G29" s="54" t="s">
        <v>195</v>
      </c>
      <c r="H29" s="149" t="s">
        <v>196</v>
      </c>
      <c r="I29" s="125"/>
      <c r="J29" s="149" t="s">
        <v>197</v>
      </c>
      <c r="K29" s="124"/>
      <c r="L29" s="125"/>
    </row>
    <row r="30" spans="1:29" ht="24" customHeight="1" x14ac:dyDescent="0.25">
      <c r="A30" s="150">
        <f>MAX(A$10:A29)+1</f>
        <v>142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54" t="s">
        <v>193</v>
      </c>
      <c r="B32" s="149" t="s">
        <v>175</v>
      </c>
      <c r="C32" s="125"/>
      <c r="D32" s="149" t="s">
        <v>182</v>
      </c>
      <c r="E32" s="125"/>
      <c r="F32" s="54" t="s">
        <v>194</v>
      </c>
      <c r="G32" s="54" t="s">
        <v>195</v>
      </c>
      <c r="H32" s="149" t="s">
        <v>196</v>
      </c>
      <c r="I32" s="125"/>
      <c r="J32" s="149" t="s">
        <v>197</v>
      </c>
      <c r="K32" s="124"/>
      <c r="L32" s="125"/>
    </row>
    <row r="33" spans="1:29" ht="24" customHeight="1" x14ac:dyDescent="0.25">
      <c r="A33" s="150">
        <f>MAX(A$10:A32)+1</f>
        <v>143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54" t="s">
        <v>193</v>
      </c>
      <c r="B35" s="149" t="s">
        <v>175</v>
      </c>
      <c r="C35" s="125"/>
      <c r="D35" s="149" t="s">
        <v>182</v>
      </c>
      <c r="E35" s="125"/>
      <c r="F35" s="54" t="s">
        <v>194</v>
      </c>
      <c r="G35" s="54" t="s">
        <v>195</v>
      </c>
      <c r="H35" s="149" t="s">
        <v>196</v>
      </c>
      <c r="I35" s="125"/>
      <c r="J35" s="149" t="s">
        <v>197</v>
      </c>
      <c r="K35" s="124"/>
      <c r="L35" s="125"/>
    </row>
    <row r="36" spans="1:29" ht="24" customHeight="1" x14ac:dyDescent="0.25">
      <c r="A36" s="150">
        <f>MAX(A$10:A35)+1</f>
        <v>144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54" t="s">
        <v>193</v>
      </c>
      <c r="B38" s="149" t="s">
        <v>175</v>
      </c>
      <c r="C38" s="125"/>
      <c r="D38" s="149" t="s">
        <v>182</v>
      </c>
      <c r="E38" s="125"/>
      <c r="F38" s="54" t="s">
        <v>194</v>
      </c>
      <c r="G38" s="54" t="s">
        <v>195</v>
      </c>
      <c r="H38" s="149" t="s">
        <v>196</v>
      </c>
      <c r="I38" s="125"/>
      <c r="J38" s="149" t="s">
        <v>197</v>
      </c>
      <c r="K38" s="124"/>
      <c r="L38" s="125"/>
    </row>
    <row r="39" spans="1:29" ht="24" customHeight="1" x14ac:dyDescent="0.25">
      <c r="A39" s="150">
        <f>MAX(A$10:A38)+1</f>
        <v>145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53" t="s">
        <v>228</v>
      </c>
      <c r="B42" s="151" t="str">
        <f>"GIORNATA "&amp;ROMAN(VALUE(LEFT(A42,LEN(A42)-1)))&amp;" - GIRONE "&amp;RIGHT(A42,1)</f>
        <v>GIORNATA III - GIRONE D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54" t="s">
        <v>193</v>
      </c>
      <c r="B43" s="149" t="s">
        <v>175</v>
      </c>
      <c r="C43" s="125"/>
      <c r="D43" s="149" t="s">
        <v>182</v>
      </c>
      <c r="E43" s="125"/>
      <c r="F43" s="54" t="s">
        <v>194</v>
      </c>
      <c r="G43" s="54" t="s">
        <v>195</v>
      </c>
      <c r="H43" s="149" t="s">
        <v>196</v>
      </c>
      <c r="I43" s="125"/>
      <c r="J43" s="149" t="s">
        <v>197</v>
      </c>
      <c r="K43" s="124"/>
      <c r="L43" s="125"/>
    </row>
    <row r="44" spans="1:29" ht="24" customHeight="1" x14ac:dyDescent="0.25">
      <c r="A44" s="150">
        <f>MAX(A$10:A43)+1</f>
        <v>146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54" t="s">
        <v>193</v>
      </c>
      <c r="B46" s="149" t="s">
        <v>175</v>
      </c>
      <c r="C46" s="125"/>
      <c r="D46" s="149" t="s">
        <v>182</v>
      </c>
      <c r="E46" s="125"/>
      <c r="F46" s="54" t="s">
        <v>194</v>
      </c>
      <c r="G46" s="54" t="s">
        <v>195</v>
      </c>
      <c r="H46" s="149" t="s">
        <v>196</v>
      </c>
      <c r="I46" s="125"/>
      <c r="J46" s="149" t="s">
        <v>197</v>
      </c>
      <c r="K46" s="124"/>
      <c r="L46" s="125"/>
    </row>
    <row r="47" spans="1:29" ht="24" customHeight="1" x14ac:dyDescent="0.25">
      <c r="A47" s="150">
        <f>MAX(A$10:A46)+1</f>
        <v>147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54" t="s">
        <v>193</v>
      </c>
      <c r="B49" s="149" t="s">
        <v>175</v>
      </c>
      <c r="C49" s="125"/>
      <c r="D49" s="149" t="s">
        <v>182</v>
      </c>
      <c r="E49" s="125"/>
      <c r="F49" s="54" t="s">
        <v>194</v>
      </c>
      <c r="G49" s="54" t="s">
        <v>195</v>
      </c>
      <c r="H49" s="149" t="s">
        <v>196</v>
      </c>
      <c r="I49" s="125"/>
      <c r="J49" s="149" t="s">
        <v>197</v>
      </c>
      <c r="K49" s="124"/>
      <c r="L49" s="125"/>
    </row>
    <row r="50" spans="1:29" ht="24" customHeight="1" x14ac:dyDescent="0.25">
      <c r="A50" s="150">
        <f>MAX(A$10:A49)+1</f>
        <v>148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54" t="s">
        <v>193</v>
      </c>
      <c r="B52" s="149" t="s">
        <v>175</v>
      </c>
      <c r="C52" s="125"/>
      <c r="D52" s="149" t="s">
        <v>182</v>
      </c>
      <c r="E52" s="125"/>
      <c r="F52" s="54" t="s">
        <v>194</v>
      </c>
      <c r="G52" s="54" t="s">
        <v>195</v>
      </c>
      <c r="H52" s="149" t="s">
        <v>196</v>
      </c>
      <c r="I52" s="125"/>
      <c r="J52" s="149" t="s">
        <v>197</v>
      </c>
      <c r="K52" s="124"/>
      <c r="L52" s="125"/>
    </row>
    <row r="53" spans="1:29" ht="24" customHeight="1" x14ac:dyDescent="0.25">
      <c r="A53" s="150">
        <f>MAX(A$10:A52)+1</f>
        <v>149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54" t="s">
        <v>193</v>
      </c>
      <c r="B55" s="149" t="s">
        <v>175</v>
      </c>
      <c r="C55" s="125"/>
      <c r="D55" s="149" t="s">
        <v>182</v>
      </c>
      <c r="E55" s="125"/>
      <c r="F55" s="54" t="s">
        <v>194</v>
      </c>
      <c r="G55" s="54" t="s">
        <v>195</v>
      </c>
      <c r="H55" s="149" t="s">
        <v>196</v>
      </c>
      <c r="I55" s="125"/>
      <c r="J55" s="149" t="s">
        <v>197</v>
      </c>
      <c r="K55" s="124"/>
      <c r="L55" s="125"/>
    </row>
    <row r="56" spans="1:29" ht="24" customHeight="1" x14ac:dyDescent="0.25">
      <c r="A56" s="150">
        <f>MAX(A$10:A55)+1</f>
        <v>150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53" t="s">
        <v>229</v>
      </c>
      <c r="B59" s="151" t="str">
        <f>"GIORNATA "&amp;ROMAN(VALUE(LEFT(A59,LEN(A59)-1)))&amp;" - GIRONE "&amp;RIGHT(A59,1)</f>
        <v>GIORNATA IV - GIRONE D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54" t="s">
        <v>193</v>
      </c>
      <c r="B60" s="149" t="s">
        <v>175</v>
      </c>
      <c r="C60" s="125"/>
      <c r="D60" s="149" t="s">
        <v>182</v>
      </c>
      <c r="E60" s="125"/>
      <c r="F60" s="54" t="s">
        <v>194</v>
      </c>
      <c r="G60" s="54" t="s">
        <v>195</v>
      </c>
      <c r="H60" s="149" t="s">
        <v>196</v>
      </c>
      <c r="I60" s="125"/>
      <c r="J60" s="149" t="s">
        <v>197</v>
      </c>
      <c r="K60" s="124"/>
      <c r="L60" s="125"/>
    </row>
    <row r="61" spans="1:29" ht="24" customHeight="1" x14ac:dyDescent="0.25">
      <c r="A61" s="150">
        <f>MAX(A$10:A60)+1</f>
        <v>151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54" t="s">
        <v>193</v>
      </c>
      <c r="B63" s="149" t="s">
        <v>175</v>
      </c>
      <c r="C63" s="125"/>
      <c r="D63" s="149" t="s">
        <v>182</v>
      </c>
      <c r="E63" s="125"/>
      <c r="F63" s="54" t="s">
        <v>194</v>
      </c>
      <c r="G63" s="54" t="s">
        <v>195</v>
      </c>
      <c r="H63" s="149" t="s">
        <v>196</v>
      </c>
      <c r="I63" s="125"/>
      <c r="J63" s="149" t="s">
        <v>197</v>
      </c>
      <c r="K63" s="124"/>
      <c r="L63" s="125"/>
    </row>
    <row r="64" spans="1:29" ht="24" customHeight="1" x14ac:dyDescent="0.25">
      <c r="A64" s="150">
        <f>MAX(A$10:A63)+1</f>
        <v>152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54" t="s">
        <v>193</v>
      </c>
      <c r="B66" s="149" t="s">
        <v>175</v>
      </c>
      <c r="C66" s="125"/>
      <c r="D66" s="149" t="s">
        <v>182</v>
      </c>
      <c r="E66" s="125"/>
      <c r="F66" s="54" t="s">
        <v>194</v>
      </c>
      <c r="G66" s="54" t="s">
        <v>195</v>
      </c>
      <c r="H66" s="149" t="s">
        <v>196</v>
      </c>
      <c r="I66" s="125"/>
      <c r="J66" s="149" t="s">
        <v>197</v>
      </c>
      <c r="K66" s="124"/>
      <c r="L66" s="125"/>
    </row>
    <row r="67" spans="1:29" ht="24" customHeight="1" x14ac:dyDescent="0.25">
      <c r="A67" s="150">
        <f>MAX(A$10:A66)+1</f>
        <v>153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54" t="s">
        <v>193</v>
      </c>
      <c r="B69" s="149" t="s">
        <v>175</v>
      </c>
      <c r="C69" s="125"/>
      <c r="D69" s="149" t="s">
        <v>182</v>
      </c>
      <c r="E69" s="125"/>
      <c r="F69" s="54" t="s">
        <v>194</v>
      </c>
      <c r="G69" s="54" t="s">
        <v>195</v>
      </c>
      <c r="H69" s="149" t="s">
        <v>196</v>
      </c>
      <c r="I69" s="125"/>
      <c r="J69" s="149" t="s">
        <v>197</v>
      </c>
      <c r="K69" s="124"/>
      <c r="L69" s="125"/>
    </row>
    <row r="70" spans="1:29" ht="24" customHeight="1" x14ac:dyDescent="0.25">
      <c r="A70" s="150">
        <f>MAX(A$10:A69)+1</f>
        <v>154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54" t="s">
        <v>193</v>
      </c>
      <c r="B72" s="149" t="s">
        <v>175</v>
      </c>
      <c r="C72" s="125"/>
      <c r="D72" s="149" t="s">
        <v>182</v>
      </c>
      <c r="E72" s="125"/>
      <c r="F72" s="54" t="s">
        <v>194</v>
      </c>
      <c r="G72" s="54" t="s">
        <v>195</v>
      </c>
      <c r="H72" s="149" t="s">
        <v>196</v>
      </c>
      <c r="I72" s="125"/>
      <c r="J72" s="149" t="s">
        <v>197</v>
      </c>
      <c r="K72" s="124"/>
      <c r="L72" s="125"/>
    </row>
    <row r="73" spans="1:29" ht="24" customHeight="1" x14ac:dyDescent="0.25">
      <c r="A73" s="150">
        <f>MAX(A$10:A72)+1</f>
        <v>155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53" t="s">
        <v>230</v>
      </c>
      <c r="B76" s="151" t="str">
        <f>"GIORNATA "&amp;ROMAN(VALUE(LEFT(A76,LEN(A76)-1)))&amp;" - GIRONE "&amp;RIGHT(A76,1)</f>
        <v>GIORNATA V - GIRONE D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54" t="s">
        <v>193</v>
      </c>
      <c r="B77" s="149" t="s">
        <v>175</v>
      </c>
      <c r="C77" s="125"/>
      <c r="D77" s="149" t="s">
        <v>182</v>
      </c>
      <c r="E77" s="125"/>
      <c r="F77" s="54" t="s">
        <v>194</v>
      </c>
      <c r="G77" s="54" t="s">
        <v>195</v>
      </c>
      <c r="H77" s="149" t="s">
        <v>196</v>
      </c>
      <c r="I77" s="125"/>
      <c r="J77" s="149" t="s">
        <v>197</v>
      </c>
      <c r="K77" s="124"/>
      <c r="L77" s="125"/>
    </row>
    <row r="78" spans="1:29" ht="24" customHeight="1" x14ac:dyDescent="0.25">
      <c r="A78" s="150">
        <f>MAX(A$10:A77)+1</f>
        <v>156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54" t="s">
        <v>193</v>
      </c>
      <c r="B80" s="149" t="s">
        <v>175</v>
      </c>
      <c r="C80" s="125"/>
      <c r="D80" s="149" t="s">
        <v>182</v>
      </c>
      <c r="E80" s="125"/>
      <c r="F80" s="54" t="s">
        <v>194</v>
      </c>
      <c r="G80" s="54" t="s">
        <v>195</v>
      </c>
      <c r="H80" s="149" t="s">
        <v>196</v>
      </c>
      <c r="I80" s="125"/>
      <c r="J80" s="149" t="s">
        <v>197</v>
      </c>
      <c r="K80" s="124"/>
      <c r="L80" s="125"/>
    </row>
    <row r="81" spans="1:29" ht="24" customHeight="1" x14ac:dyDescent="0.25">
      <c r="A81" s="150">
        <f>MAX(A$10:A80)+1</f>
        <v>157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54" t="s">
        <v>193</v>
      </c>
      <c r="B83" s="149" t="s">
        <v>175</v>
      </c>
      <c r="C83" s="125"/>
      <c r="D83" s="149" t="s">
        <v>182</v>
      </c>
      <c r="E83" s="125"/>
      <c r="F83" s="54" t="s">
        <v>194</v>
      </c>
      <c r="G83" s="54" t="s">
        <v>195</v>
      </c>
      <c r="H83" s="149" t="s">
        <v>196</v>
      </c>
      <c r="I83" s="125"/>
      <c r="J83" s="149" t="s">
        <v>197</v>
      </c>
      <c r="K83" s="124"/>
      <c r="L83" s="125"/>
    </row>
    <row r="84" spans="1:29" ht="24" customHeight="1" x14ac:dyDescent="0.25">
      <c r="A84" s="150">
        <f>MAX(A$10:A83)+1</f>
        <v>158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54" t="s">
        <v>193</v>
      </c>
      <c r="B86" s="149" t="s">
        <v>175</v>
      </c>
      <c r="C86" s="125"/>
      <c r="D86" s="149" t="s">
        <v>182</v>
      </c>
      <c r="E86" s="125"/>
      <c r="F86" s="54" t="s">
        <v>194</v>
      </c>
      <c r="G86" s="54" t="s">
        <v>195</v>
      </c>
      <c r="H86" s="149" t="s">
        <v>196</v>
      </c>
      <c r="I86" s="125"/>
      <c r="J86" s="149" t="s">
        <v>197</v>
      </c>
      <c r="K86" s="124"/>
      <c r="L86" s="125"/>
    </row>
    <row r="87" spans="1:29" ht="24" customHeight="1" x14ac:dyDescent="0.25">
      <c r="A87" s="150">
        <f>MAX(A$10:A86)+1</f>
        <v>159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54" t="s">
        <v>193</v>
      </c>
      <c r="B89" s="149" t="s">
        <v>175</v>
      </c>
      <c r="C89" s="125"/>
      <c r="D89" s="149" t="s">
        <v>182</v>
      </c>
      <c r="E89" s="125"/>
      <c r="F89" s="54" t="s">
        <v>194</v>
      </c>
      <c r="G89" s="54" t="s">
        <v>195</v>
      </c>
      <c r="H89" s="149" t="s">
        <v>196</v>
      </c>
      <c r="I89" s="125"/>
      <c r="J89" s="149" t="s">
        <v>197</v>
      </c>
      <c r="K89" s="124"/>
      <c r="L89" s="125"/>
    </row>
    <row r="90" spans="1:29" ht="24" customHeight="1" x14ac:dyDescent="0.25">
      <c r="A90" s="150">
        <f>MAX(A$10:A89)+1</f>
        <v>160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53" t="s">
        <v>231</v>
      </c>
      <c r="B93" s="151" t="str">
        <f>"GIORNATA "&amp;ROMAN(VALUE(LEFT(A93,LEN(A93)-1)))&amp;" - GIRONE "&amp;RIGHT(A93,1)</f>
        <v>GIORNATA VI - GIRONE D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54" t="s">
        <v>193</v>
      </c>
      <c r="B94" s="149" t="s">
        <v>175</v>
      </c>
      <c r="C94" s="125"/>
      <c r="D94" s="149" t="s">
        <v>182</v>
      </c>
      <c r="E94" s="125"/>
      <c r="F94" s="54" t="s">
        <v>194</v>
      </c>
      <c r="G94" s="54" t="s">
        <v>195</v>
      </c>
      <c r="H94" s="149" t="s">
        <v>196</v>
      </c>
      <c r="I94" s="125"/>
      <c r="J94" s="149" t="s">
        <v>197</v>
      </c>
      <c r="K94" s="124"/>
      <c r="L94" s="125"/>
    </row>
    <row r="95" spans="1:29" ht="24" customHeight="1" x14ac:dyDescent="0.25">
      <c r="A95" s="150">
        <f>MAX(A$10:A94)+1</f>
        <v>161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54" t="s">
        <v>193</v>
      </c>
      <c r="B97" s="149" t="s">
        <v>175</v>
      </c>
      <c r="C97" s="125"/>
      <c r="D97" s="149" t="s">
        <v>182</v>
      </c>
      <c r="E97" s="125"/>
      <c r="F97" s="54" t="s">
        <v>194</v>
      </c>
      <c r="G97" s="54" t="s">
        <v>195</v>
      </c>
      <c r="H97" s="149" t="s">
        <v>196</v>
      </c>
      <c r="I97" s="125"/>
      <c r="J97" s="149" t="s">
        <v>197</v>
      </c>
      <c r="K97" s="124"/>
      <c r="L97" s="125"/>
    </row>
    <row r="98" spans="1:29" ht="24" customHeight="1" x14ac:dyDescent="0.25">
      <c r="A98" s="150">
        <f>MAX(A$10:A97)+1</f>
        <v>162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54" t="s">
        <v>193</v>
      </c>
      <c r="B100" s="149" t="s">
        <v>175</v>
      </c>
      <c r="C100" s="125"/>
      <c r="D100" s="149" t="s">
        <v>182</v>
      </c>
      <c r="E100" s="125"/>
      <c r="F100" s="54" t="s">
        <v>194</v>
      </c>
      <c r="G100" s="54" t="s">
        <v>195</v>
      </c>
      <c r="H100" s="149" t="s">
        <v>196</v>
      </c>
      <c r="I100" s="125"/>
      <c r="J100" s="149" t="s">
        <v>197</v>
      </c>
      <c r="K100" s="124"/>
      <c r="L100" s="125"/>
    </row>
    <row r="101" spans="1:29" ht="24" customHeight="1" x14ac:dyDescent="0.25">
      <c r="A101" s="150">
        <f>MAX(A$10:A100)+1</f>
        <v>163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54" t="s">
        <v>193</v>
      </c>
      <c r="B103" s="149" t="s">
        <v>175</v>
      </c>
      <c r="C103" s="125"/>
      <c r="D103" s="149" t="s">
        <v>182</v>
      </c>
      <c r="E103" s="125"/>
      <c r="F103" s="54" t="s">
        <v>194</v>
      </c>
      <c r="G103" s="54" t="s">
        <v>195</v>
      </c>
      <c r="H103" s="149" t="s">
        <v>196</v>
      </c>
      <c r="I103" s="125"/>
      <c r="J103" s="149" t="s">
        <v>197</v>
      </c>
      <c r="K103" s="124"/>
      <c r="L103" s="125"/>
    </row>
    <row r="104" spans="1:29" ht="24" customHeight="1" x14ac:dyDescent="0.25">
      <c r="A104" s="150">
        <f>MAX(A$10:A103)+1</f>
        <v>164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54" t="s">
        <v>193</v>
      </c>
      <c r="B106" s="149" t="s">
        <v>175</v>
      </c>
      <c r="C106" s="125"/>
      <c r="D106" s="149" t="s">
        <v>182</v>
      </c>
      <c r="E106" s="125"/>
      <c r="F106" s="54" t="s">
        <v>194</v>
      </c>
      <c r="G106" s="54" t="s">
        <v>195</v>
      </c>
      <c r="H106" s="149" t="s">
        <v>196</v>
      </c>
      <c r="I106" s="125"/>
      <c r="J106" s="149" t="s">
        <v>197</v>
      </c>
      <c r="K106" s="124"/>
      <c r="L106" s="125"/>
    </row>
    <row r="107" spans="1:29" ht="24" customHeight="1" x14ac:dyDescent="0.25">
      <c r="A107" s="150">
        <f>MAX(A$10:A106)+1</f>
        <v>165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53" t="s">
        <v>232</v>
      </c>
      <c r="B110" s="151" t="str">
        <f>"GIORNATA "&amp;ROMAN(VALUE(LEFT(A110,LEN(A110)-1)))&amp;" - GIRONE "&amp;RIGHT(A110,1)</f>
        <v>GIORNATA VII - GIRONE D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54" t="s">
        <v>193</v>
      </c>
      <c r="B111" s="149" t="s">
        <v>175</v>
      </c>
      <c r="C111" s="125"/>
      <c r="D111" s="149" t="s">
        <v>182</v>
      </c>
      <c r="E111" s="125"/>
      <c r="F111" s="54" t="s">
        <v>194</v>
      </c>
      <c r="G111" s="54" t="s">
        <v>195</v>
      </c>
      <c r="H111" s="149" t="s">
        <v>196</v>
      </c>
      <c r="I111" s="125"/>
      <c r="J111" s="149" t="s">
        <v>197</v>
      </c>
      <c r="K111" s="124"/>
      <c r="L111" s="125"/>
    </row>
    <row r="112" spans="1:29" ht="24" customHeight="1" x14ac:dyDescent="0.25">
      <c r="A112" s="150">
        <f>MAX(A$10:A111)+1</f>
        <v>166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54" t="s">
        <v>193</v>
      </c>
      <c r="B114" s="149" t="s">
        <v>175</v>
      </c>
      <c r="C114" s="125"/>
      <c r="D114" s="149" t="s">
        <v>182</v>
      </c>
      <c r="E114" s="125"/>
      <c r="F114" s="54" t="s">
        <v>194</v>
      </c>
      <c r="G114" s="54" t="s">
        <v>195</v>
      </c>
      <c r="H114" s="149" t="s">
        <v>196</v>
      </c>
      <c r="I114" s="125"/>
      <c r="J114" s="149" t="s">
        <v>197</v>
      </c>
      <c r="K114" s="124"/>
      <c r="L114" s="125"/>
    </row>
    <row r="115" spans="1:29" ht="24" customHeight="1" x14ac:dyDescent="0.25">
      <c r="A115" s="150">
        <f>MAX(A$10:A114)+1</f>
        <v>167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54" t="s">
        <v>193</v>
      </c>
      <c r="B117" s="149" t="s">
        <v>175</v>
      </c>
      <c r="C117" s="125"/>
      <c r="D117" s="149" t="s">
        <v>182</v>
      </c>
      <c r="E117" s="125"/>
      <c r="F117" s="54" t="s">
        <v>194</v>
      </c>
      <c r="G117" s="54" t="s">
        <v>195</v>
      </c>
      <c r="H117" s="149" t="s">
        <v>196</v>
      </c>
      <c r="I117" s="125"/>
      <c r="J117" s="149" t="s">
        <v>197</v>
      </c>
      <c r="K117" s="124"/>
      <c r="L117" s="125"/>
    </row>
    <row r="118" spans="1:29" ht="24" customHeight="1" x14ac:dyDescent="0.25">
      <c r="A118" s="150">
        <f>MAX(A$10:A117)+1</f>
        <v>168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54" t="s">
        <v>193</v>
      </c>
      <c r="B120" s="149" t="s">
        <v>175</v>
      </c>
      <c r="C120" s="125"/>
      <c r="D120" s="149" t="s">
        <v>182</v>
      </c>
      <c r="E120" s="125"/>
      <c r="F120" s="54" t="s">
        <v>194</v>
      </c>
      <c r="G120" s="54" t="s">
        <v>195</v>
      </c>
      <c r="H120" s="149" t="s">
        <v>196</v>
      </c>
      <c r="I120" s="125"/>
      <c r="J120" s="149" t="s">
        <v>197</v>
      </c>
      <c r="K120" s="124"/>
      <c r="L120" s="125"/>
    </row>
    <row r="121" spans="1:29" ht="24" customHeight="1" x14ac:dyDescent="0.25">
      <c r="A121" s="150">
        <f>MAX(A$10:A120)+1</f>
        <v>169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54" t="s">
        <v>193</v>
      </c>
      <c r="B123" s="149" t="s">
        <v>175</v>
      </c>
      <c r="C123" s="125"/>
      <c r="D123" s="149" t="s">
        <v>182</v>
      </c>
      <c r="E123" s="125"/>
      <c r="F123" s="54" t="s">
        <v>194</v>
      </c>
      <c r="G123" s="54" t="s">
        <v>195</v>
      </c>
      <c r="H123" s="149" t="s">
        <v>196</v>
      </c>
      <c r="I123" s="125"/>
      <c r="J123" s="149" t="s">
        <v>197</v>
      </c>
      <c r="K123" s="124"/>
      <c r="L123" s="125"/>
    </row>
    <row r="124" spans="1:29" ht="24" customHeight="1" x14ac:dyDescent="0.25">
      <c r="A124" s="150">
        <f>MAX(A$10:A123)+1</f>
        <v>170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53" t="s">
        <v>233</v>
      </c>
      <c r="B127" s="151" t="str">
        <f>"GIORNATA "&amp;ROMAN(VALUE(LEFT(A127,LEN(A127)-1)))&amp;" - GIRONE "&amp;RIGHT(A127,1)</f>
        <v>GIORNATA VIII - GIRONE D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54" t="s">
        <v>193</v>
      </c>
      <c r="B128" s="149" t="s">
        <v>175</v>
      </c>
      <c r="C128" s="125"/>
      <c r="D128" s="149" t="s">
        <v>182</v>
      </c>
      <c r="E128" s="125"/>
      <c r="F128" s="54" t="s">
        <v>194</v>
      </c>
      <c r="G128" s="54" t="s">
        <v>195</v>
      </c>
      <c r="H128" s="149" t="s">
        <v>196</v>
      </c>
      <c r="I128" s="125"/>
      <c r="J128" s="149" t="s">
        <v>197</v>
      </c>
      <c r="K128" s="124"/>
      <c r="L128" s="125"/>
    </row>
    <row r="129" spans="1:29" ht="24" customHeight="1" x14ac:dyDescent="0.25">
      <c r="A129" s="150">
        <f>MAX(A$10:A128)+1</f>
        <v>171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54" t="s">
        <v>193</v>
      </c>
      <c r="B131" s="149" t="s">
        <v>175</v>
      </c>
      <c r="C131" s="125"/>
      <c r="D131" s="149" t="s">
        <v>182</v>
      </c>
      <c r="E131" s="125"/>
      <c r="F131" s="54" t="s">
        <v>194</v>
      </c>
      <c r="G131" s="54" t="s">
        <v>195</v>
      </c>
      <c r="H131" s="149" t="s">
        <v>196</v>
      </c>
      <c r="I131" s="125"/>
      <c r="J131" s="149" t="s">
        <v>197</v>
      </c>
      <c r="K131" s="124"/>
      <c r="L131" s="125"/>
    </row>
    <row r="132" spans="1:29" ht="24" customHeight="1" x14ac:dyDescent="0.25">
      <c r="A132" s="150">
        <f>MAX(A$10:A131)+1</f>
        <v>172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54" t="s">
        <v>193</v>
      </c>
      <c r="B134" s="149" t="s">
        <v>175</v>
      </c>
      <c r="C134" s="125"/>
      <c r="D134" s="149" t="s">
        <v>182</v>
      </c>
      <c r="E134" s="125"/>
      <c r="F134" s="54" t="s">
        <v>194</v>
      </c>
      <c r="G134" s="54" t="s">
        <v>195</v>
      </c>
      <c r="H134" s="149" t="s">
        <v>196</v>
      </c>
      <c r="I134" s="125"/>
      <c r="J134" s="149" t="s">
        <v>197</v>
      </c>
      <c r="K134" s="124"/>
      <c r="L134" s="125"/>
    </row>
    <row r="135" spans="1:29" ht="24" customHeight="1" x14ac:dyDescent="0.25">
      <c r="A135" s="150">
        <f>MAX(A$10:A134)+1</f>
        <v>173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54" t="s">
        <v>193</v>
      </c>
      <c r="B137" s="149" t="s">
        <v>175</v>
      </c>
      <c r="C137" s="125"/>
      <c r="D137" s="149" t="s">
        <v>182</v>
      </c>
      <c r="E137" s="125"/>
      <c r="F137" s="54" t="s">
        <v>194</v>
      </c>
      <c r="G137" s="54" t="s">
        <v>195</v>
      </c>
      <c r="H137" s="149" t="s">
        <v>196</v>
      </c>
      <c r="I137" s="125"/>
      <c r="J137" s="149" t="s">
        <v>197</v>
      </c>
      <c r="K137" s="124"/>
      <c r="L137" s="125"/>
    </row>
    <row r="138" spans="1:29" ht="24" customHeight="1" x14ac:dyDescent="0.25">
      <c r="A138" s="150">
        <f>MAX(A$10:A137)+1</f>
        <v>174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54" t="s">
        <v>193</v>
      </c>
      <c r="B140" s="149" t="s">
        <v>175</v>
      </c>
      <c r="C140" s="125"/>
      <c r="D140" s="149" t="s">
        <v>182</v>
      </c>
      <c r="E140" s="125"/>
      <c r="F140" s="54" t="s">
        <v>194</v>
      </c>
      <c r="G140" s="54" t="s">
        <v>195</v>
      </c>
      <c r="H140" s="149" t="s">
        <v>196</v>
      </c>
      <c r="I140" s="125"/>
      <c r="J140" s="149" t="s">
        <v>197</v>
      </c>
      <c r="K140" s="124"/>
      <c r="L140" s="125"/>
    </row>
    <row r="141" spans="1:29" ht="24" customHeight="1" x14ac:dyDescent="0.25">
      <c r="A141" s="150">
        <f>MAX(A$10:A140)+1</f>
        <v>175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53" t="s">
        <v>234</v>
      </c>
      <c r="B144" s="151" t="str">
        <f>"GIORNATA "&amp;ROMAN(VALUE(LEFT(A144,LEN(A144)-1)))&amp;" - GIRONE "&amp;RIGHT(A144,1)</f>
        <v>GIORNATA IX - GIRONE D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54" t="s">
        <v>193</v>
      </c>
      <c r="B145" s="149" t="s">
        <v>175</v>
      </c>
      <c r="C145" s="125"/>
      <c r="D145" s="149" t="s">
        <v>182</v>
      </c>
      <c r="E145" s="125"/>
      <c r="F145" s="54" t="s">
        <v>194</v>
      </c>
      <c r="G145" s="54" t="s">
        <v>195</v>
      </c>
      <c r="H145" s="149" t="s">
        <v>196</v>
      </c>
      <c r="I145" s="125"/>
      <c r="J145" s="149" t="s">
        <v>197</v>
      </c>
      <c r="K145" s="124"/>
      <c r="L145" s="125"/>
    </row>
    <row r="146" spans="1:29" ht="24" customHeight="1" x14ac:dyDescent="0.25">
      <c r="A146" s="150">
        <f>MAX(A$10:A145)+1</f>
        <v>176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54" t="s">
        <v>193</v>
      </c>
      <c r="B148" s="149" t="s">
        <v>175</v>
      </c>
      <c r="C148" s="125"/>
      <c r="D148" s="149" t="s">
        <v>182</v>
      </c>
      <c r="E148" s="125"/>
      <c r="F148" s="54" t="s">
        <v>194</v>
      </c>
      <c r="G148" s="54" t="s">
        <v>195</v>
      </c>
      <c r="H148" s="149" t="s">
        <v>196</v>
      </c>
      <c r="I148" s="125"/>
      <c r="J148" s="149" t="s">
        <v>197</v>
      </c>
      <c r="K148" s="124"/>
      <c r="L148" s="125"/>
    </row>
    <row r="149" spans="1:29" ht="24" customHeight="1" x14ac:dyDescent="0.25">
      <c r="A149" s="150">
        <f>MAX(A$10:A148)+1</f>
        <v>177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54" t="s">
        <v>193</v>
      </c>
      <c r="B151" s="149" t="s">
        <v>175</v>
      </c>
      <c r="C151" s="125"/>
      <c r="D151" s="149" t="s">
        <v>182</v>
      </c>
      <c r="E151" s="125"/>
      <c r="F151" s="54" t="s">
        <v>194</v>
      </c>
      <c r="G151" s="54" t="s">
        <v>195</v>
      </c>
      <c r="H151" s="149" t="s">
        <v>196</v>
      </c>
      <c r="I151" s="125"/>
      <c r="J151" s="149" t="s">
        <v>197</v>
      </c>
      <c r="K151" s="124"/>
      <c r="L151" s="125"/>
    </row>
    <row r="152" spans="1:29" ht="24" customHeight="1" x14ac:dyDescent="0.25">
      <c r="A152" s="150">
        <f>MAX(A$10:A151)+1</f>
        <v>178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54" t="s">
        <v>193</v>
      </c>
      <c r="B154" s="149" t="s">
        <v>175</v>
      </c>
      <c r="C154" s="125"/>
      <c r="D154" s="149" t="s">
        <v>182</v>
      </c>
      <c r="E154" s="125"/>
      <c r="F154" s="54" t="s">
        <v>194</v>
      </c>
      <c r="G154" s="54" t="s">
        <v>195</v>
      </c>
      <c r="H154" s="149" t="s">
        <v>196</v>
      </c>
      <c r="I154" s="125"/>
      <c r="J154" s="149" t="s">
        <v>197</v>
      </c>
      <c r="K154" s="124"/>
      <c r="L154" s="125"/>
    </row>
    <row r="155" spans="1:29" ht="24" customHeight="1" x14ac:dyDescent="0.25">
      <c r="A155" s="150">
        <f>MAX(A$10:A154)+1</f>
        <v>179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54" t="s">
        <v>193</v>
      </c>
      <c r="B157" s="149" t="s">
        <v>175</v>
      </c>
      <c r="C157" s="125"/>
      <c r="D157" s="149" t="s">
        <v>182</v>
      </c>
      <c r="E157" s="125"/>
      <c r="F157" s="54" t="s">
        <v>194</v>
      </c>
      <c r="G157" s="54" t="s">
        <v>195</v>
      </c>
      <c r="H157" s="149" t="s">
        <v>196</v>
      </c>
      <c r="I157" s="125"/>
      <c r="J157" s="149" t="s">
        <v>197</v>
      </c>
      <c r="K157" s="124"/>
      <c r="L157" s="125"/>
    </row>
    <row r="158" spans="1:29" ht="24" customHeight="1" x14ac:dyDescent="0.25">
      <c r="A158" s="150">
        <f>MAX(A$10:A157)+1</f>
        <v>180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56" t="str">
        <f>"GIRONE E - Stagione "&amp;constStagionaCampionato</f>
        <v xml:space="preserve">GIRONE E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5" t="s">
        <v>235</v>
      </c>
      <c r="B8" s="155" t="str">
        <f>"GIORNATA "&amp;ROMAN(VALUE(LEFT(A8,LEN(A8)-1)))&amp;" - GIRONE "&amp;RIGHT(A8,1)</f>
        <v>GIORNATA I - GIRONE E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56" t="s">
        <v>193</v>
      </c>
      <c r="B9" s="153" t="s">
        <v>175</v>
      </c>
      <c r="C9" s="125"/>
      <c r="D9" s="153" t="s">
        <v>182</v>
      </c>
      <c r="E9" s="125"/>
      <c r="F9" s="56" t="s">
        <v>194</v>
      </c>
      <c r="G9" s="56" t="s">
        <v>195</v>
      </c>
      <c r="H9" s="153" t="s">
        <v>196</v>
      </c>
      <c r="I9" s="125"/>
      <c r="J9" s="153" t="s">
        <v>197</v>
      </c>
      <c r="K9" s="124"/>
      <c r="L9" s="125"/>
    </row>
    <row r="10" spans="1:29" ht="24" customHeight="1" x14ac:dyDescent="0.25">
      <c r="A10" s="154">
        <v>181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56" t="s">
        <v>193</v>
      </c>
      <c r="B12" s="153" t="s">
        <v>175</v>
      </c>
      <c r="C12" s="125"/>
      <c r="D12" s="153" t="s">
        <v>182</v>
      </c>
      <c r="E12" s="125"/>
      <c r="F12" s="56" t="s">
        <v>194</v>
      </c>
      <c r="G12" s="56" t="s">
        <v>195</v>
      </c>
      <c r="H12" s="153" t="s">
        <v>196</v>
      </c>
      <c r="I12" s="125"/>
      <c r="J12" s="153" t="s">
        <v>197</v>
      </c>
      <c r="K12" s="124"/>
      <c r="L12" s="125"/>
    </row>
    <row r="13" spans="1:29" ht="24" customHeight="1" x14ac:dyDescent="0.25">
      <c r="A13" s="154">
        <f>MAX(A$10:A12)+1</f>
        <v>182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56" t="s">
        <v>193</v>
      </c>
      <c r="B15" s="153" t="s">
        <v>175</v>
      </c>
      <c r="C15" s="125"/>
      <c r="D15" s="153" t="s">
        <v>182</v>
      </c>
      <c r="E15" s="125"/>
      <c r="F15" s="56" t="s">
        <v>194</v>
      </c>
      <c r="G15" s="56" t="s">
        <v>195</v>
      </c>
      <c r="H15" s="153" t="s">
        <v>196</v>
      </c>
      <c r="I15" s="125"/>
      <c r="J15" s="153" t="s">
        <v>197</v>
      </c>
      <c r="K15" s="124"/>
      <c r="L15" s="125"/>
    </row>
    <row r="16" spans="1:29" ht="24" customHeight="1" x14ac:dyDescent="0.25">
      <c r="A16" s="154">
        <f>MAX(A$10:A15)+1</f>
        <v>183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56" t="s">
        <v>193</v>
      </c>
      <c r="B18" s="153" t="s">
        <v>175</v>
      </c>
      <c r="C18" s="125"/>
      <c r="D18" s="153" t="s">
        <v>182</v>
      </c>
      <c r="E18" s="125"/>
      <c r="F18" s="56" t="s">
        <v>194</v>
      </c>
      <c r="G18" s="56" t="s">
        <v>195</v>
      </c>
      <c r="H18" s="153" t="s">
        <v>196</v>
      </c>
      <c r="I18" s="125"/>
      <c r="J18" s="153" t="s">
        <v>197</v>
      </c>
      <c r="K18" s="124"/>
      <c r="L18" s="125"/>
    </row>
    <row r="19" spans="1:29" ht="24" customHeight="1" x14ac:dyDescent="0.25">
      <c r="A19" s="154">
        <f>MAX(A$10:A18)+1</f>
        <v>184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56" t="s">
        <v>193</v>
      </c>
      <c r="B21" s="153" t="s">
        <v>175</v>
      </c>
      <c r="C21" s="125"/>
      <c r="D21" s="153" t="s">
        <v>182</v>
      </c>
      <c r="E21" s="125"/>
      <c r="F21" s="56" t="s">
        <v>194</v>
      </c>
      <c r="G21" s="56" t="s">
        <v>195</v>
      </c>
      <c r="H21" s="153" t="s">
        <v>196</v>
      </c>
      <c r="I21" s="125"/>
      <c r="J21" s="153" t="s">
        <v>197</v>
      </c>
      <c r="K21" s="124"/>
      <c r="L21" s="125"/>
    </row>
    <row r="22" spans="1:29" ht="24" customHeight="1" x14ac:dyDescent="0.25">
      <c r="A22" s="154">
        <f>MAX(A$10:A21)+1</f>
        <v>185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55" t="s">
        <v>236</v>
      </c>
      <c r="B25" s="155" t="str">
        <f>"GIORNATA "&amp;ROMAN(VALUE(LEFT(A25,LEN(A25)-1)))&amp;" - GIRONE "&amp;RIGHT(A25,1)</f>
        <v>GIORNATA II - GIRONE E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56" t="s">
        <v>193</v>
      </c>
      <c r="B26" s="153" t="s">
        <v>175</v>
      </c>
      <c r="C26" s="125"/>
      <c r="D26" s="153" t="s">
        <v>182</v>
      </c>
      <c r="E26" s="125"/>
      <c r="F26" s="56" t="s">
        <v>194</v>
      </c>
      <c r="G26" s="56" t="s">
        <v>195</v>
      </c>
      <c r="H26" s="153" t="s">
        <v>196</v>
      </c>
      <c r="I26" s="125"/>
      <c r="J26" s="153" t="s">
        <v>197</v>
      </c>
      <c r="K26" s="124"/>
      <c r="L26" s="125"/>
    </row>
    <row r="27" spans="1:29" ht="24" customHeight="1" x14ac:dyDescent="0.25">
      <c r="A27" s="154">
        <f>MAX(A$10:A26)+1</f>
        <v>186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56" t="s">
        <v>193</v>
      </c>
      <c r="B29" s="153" t="s">
        <v>175</v>
      </c>
      <c r="C29" s="125"/>
      <c r="D29" s="153" t="s">
        <v>182</v>
      </c>
      <c r="E29" s="125"/>
      <c r="F29" s="56" t="s">
        <v>194</v>
      </c>
      <c r="G29" s="56" t="s">
        <v>195</v>
      </c>
      <c r="H29" s="153" t="s">
        <v>196</v>
      </c>
      <c r="I29" s="125"/>
      <c r="J29" s="153" t="s">
        <v>197</v>
      </c>
      <c r="K29" s="124"/>
      <c r="L29" s="125"/>
    </row>
    <row r="30" spans="1:29" ht="24" customHeight="1" x14ac:dyDescent="0.25">
      <c r="A30" s="154">
        <f>MAX(A$10:A29)+1</f>
        <v>187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56" t="s">
        <v>193</v>
      </c>
      <c r="B32" s="153" t="s">
        <v>175</v>
      </c>
      <c r="C32" s="125"/>
      <c r="D32" s="153" t="s">
        <v>182</v>
      </c>
      <c r="E32" s="125"/>
      <c r="F32" s="56" t="s">
        <v>194</v>
      </c>
      <c r="G32" s="56" t="s">
        <v>195</v>
      </c>
      <c r="H32" s="153" t="s">
        <v>196</v>
      </c>
      <c r="I32" s="125"/>
      <c r="J32" s="153" t="s">
        <v>197</v>
      </c>
      <c r="K32" s="124"/>
      <c r="L32" s="125"/>
    </row>
    <row r="33" spans="1:29" ht="24" customHeight="1" x14ac:dyDescent="0.25">
      <c r="A33" s="154">
        <f>MAX(A$10:A32)+1</f>
        <v>188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56" t="s">
        <v>193</v>
      </c>
      <c r="B35" s="153" t="s">
        <v>175</v>
      </c>
      <c r="C35" s="125"/>
      <c r="D35" s="153" t="s">
        <v>182</v>
      </c>
      <c r="E35" s="125"/>
      <c r="F35" s="56" t="s">
        <v>194</v>
      </c>
      <c r="G35" s="56" t="s">
        <v>195</v>
      </c>
      <c r="H35" s="153" t="s">
        <v>196</v>
      </c>
      <c r="I35" s="125"/>
      <c r="J35" s="153" t="s">
        <v>197</v>
      </c>
      <c r="K35" s="124"/>
      <c r="L35" s="125"/>
    </row>
    <row r="36" spans="1:29" ht="24" customHeight="1" x14ac:dyDescent="0.25">
      <c r="A36" s="154">
        <f>MAX(A$10:A35)+1</f>
        <v>189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56" t="s">
        <v>193</v>
      </c>
      <c r="B38" s="153" t="s">
        <v>175</v>
      </c>
      <c r="C38" s="125"/>
      <c r="D38" s="153" t="s">
        <v>182</v>
      </c>
      <c r="E38" s="125"/>
      <c r="F38" s="56" t="s">
        <v>194</v>
      </c>
      <c r="G38" s="56" t="s">
        <v>195</v>
      </c>
      <c r="H38" s="153" t="s">
        <v>196</v>
      </c>
      <c r="I38" s="125"/>
      <c r="J38" s="153" t="s">
        <v>197</v>
      </c>
      <c r="K38" s="124"/>
      <c r="L38" s="125"/>
    </row>
    <row r="39" spans="1:29" ht="24" customHeight="1" x14ac:dyDescent="0.25">
      <c r="A39" s="154">
        <f>MAX(A$10:A38)+1</f>
        <v>190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55" t="s">
        <v>237</v>
      </c>
      <c r="B42" s="155" t="str">
        <f>"GIORNATA "&amp;ROMAN(VALUE(LEFT(A42,LEN(A42)-1)))&amp;" - GIRONE "&amp;RIGHT(A42,1)</f>
        <v>GIORNATA III - GIRONE E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56" t="s">
        <v>193</v>
      </c>
      <c r="B43" s="153" t="s">
        <v>175</v>
      </c>
      <c r="C43" s="125"/>
      <c r="D43" s="153" t="s">
        <v>182</v>
      </c>
      <c r="E43" s="125"/>
      <c r="F43" s="56" t="s">
        <v>194</v>
      </c>
      <c r="G43" s="56" t="s">
        <v>195</v>
      </c>
      <c r="H43" s="153" t="s">
        <v>196</v>
      </c>
      <c r="I43" s="125"/>
      <c r="J43" s="153" t="s">
        <v>197</v>
      </c>
      <c r="K43" s="124"/>
      <c r="L43" s="125"/>
    </row>
    <row r="44" spans="1:29" ht="24" customHeight="1" x14ac:dyDescent="0.25">
      <c r="A44" s="154">
        <f>MAX(A$10:A43)+1</f>
        <v>191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56" t="s">
        <v>193</v>
      </c>
      <c r="B46" s="153" t="s">
        <v>175</v>
      </c>
      <c r="C46" s="125"/>
      <c r="D46" s="153" t="s">
        <v>182</v>
      </c>
      <c r="E46" s="125"/>
      <c r="F46" s="56" t="s">
        <v>194</v>
      </c>
      <c r="G46" s="56" t="s">
        <v>195</v>
      </c>
      <c r="H46" s="153" t="s">
        <v>196</v>
      </c>
      <c r="I46" s="125"/>
      <c r="J46" s="153" t="s">
        <v>197</v>
      </c>
      <c r="K46" s="124"/>
      <c r="L46" s="125"/>
    </row>
    <row r="47" spans="1:29" ht="24" customHeight="1" x14ac:dyDescent="0.25">
      <c r="A47" s="154">
        <f>MAX(A$10:A46)+1</f>
        <v>192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56" t="s">
        <v>193</v>
      </c>
      <c r="B49" s="153" t="s">
        <v>175</v>
      </c>
      <c r="C49" s="125"/>
      <c r="D49" s="153" t="s">
        <v>182</v>
      </c>
      <c r="E49" s="125"/>
      <c r="F49" s="56" t="s">
        <v>194</v>
      </c>
      <c r="G49" s="56" t="s">
        <v>195</v>
      </c>
      <c r="H49" s="153" t="s">
        <v>196</v>
      </c>
      <c r="I49" s="125"/>
      <c r="J49" s="153" t="s">
        <v>197</v>
      </c>
      <c r="K49" s="124"/>
      <c r="L49" s="125"/>
    </row>
    <row r="50" spans="1:29" ht="24" customHeight="1" x14ac:dyDescent="0.25">
      <c r="A50" s="154">
        <f>MAX(A$10:A49)+1</f>
        <v>193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56" t="s">
        <v>193</v>
      </c>
      <c r="B52" s="153" t="s">
        <v>175</v>
      </c>
      <c r="C52" s="125"/>
      <c r="D52" s="153" t="s">
        <v>182</v>
      </c>
      <c r="E52" s="125"/>
      <c r="F52" s="56" t="s">
        <v>194</v>
      </c>
      <c r="G52" s="56" t="s">
        <v>195</v>
      </c>
      <c r="H52" s="153" t="s">
        <v>196</v>
      </c>
      <c r="I52" s="125"/>
      <c r="J52" s="153" t="s">
        <v>197</v>
      </c>
      <c r="K52" s="124"/>
      <c r="L52" s="125"/>
    </row>
    <row r="53" spans="1:29" ht="24" customHeight="1" x14ac:dyDescent="0.25">
      <c r="A53" s="154">
        <f>MAX(A$10:A52)+1</f>
        <v>194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56" t="s">
        <v>193</v>
      </c>
      <c r="B55" s="153" t="s">
        <v>175</v>
      </c>
      <c r="C55" s="125"/>
      <c r="D55" s="153" t="s">
        <v>182</v>
      </c>
      <c r="E55" s="125"/>
      <c r="F55" s="56" t="s">
        <v>194</v>
      </c>
      <c r="G55" s="56" t="s">
        <v>195</v>
      </c>
      <c r="H55" s="153" t="s">
        <v>196</v>
      </c>
      <c r="I55" s="125"/>
      <c r="J55" s="153" t="s">
        <v>197</v>
      </c>
      <c r="K55" s="124"/>
      <c r="L55" s="125"/>
    </row>
    <row r="56" spans="1:29" ht="24" customHeight="1" x14ac:dyDescent="0.25">
      <c r="A56" s="154">
        <f>MAX(A$10:A55)+1</f>
        <v>195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55" t="s">
        <v>238</v>
      </c>
      <c r="B59" s="155" t="str">
        <f>"GIORNATA "&amp;ROMAN(VALUE(LEFT(A59,LEN(A59)-1)))&amp;" - GIRONE "&amp;RIGHT(A59,1)</f>
        <v>GIORNATA IV - GIRONE E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56" t="s">
        <v>193</v>
      </c>
      <c r="B60" s="153" t="s">
        <v>175</v>
      </c>
      <c r="C60" s="125"/>
      <c r="D60" s="153" t="s">
        <v>182</v>
      </c>
      <c r="E60" s="125"/>
      <c r="F60" s="56" t="s">
        <v>194</v>
      </c>
      <c r="G60" s="56" t="s">
        <v>195</v>
      </c>
      <c r="H60" s="153" t="s">
        <v>196</v>
      </c>
      <c r="I60" s="125"/>
      <c r="J60" s="153" t="s">
        <v>197</v>
      </c>
      <c r="K60" s="124"/>
      <c r="L60" s="125"/>
    </row>
    <row r="61" spans="1:29" ht="24" customHeight="1" x14ac:dyDescent="0.25">
      <c r="A61" s="154">
        <f>MAX(A$10:A60)+1</f>
        <v>196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56" t="s">
        <v>193</v>
      </c>
      <c r="B63" s="153" t="s">
        <v>175</v>
      </c>
      <c r="C63" s="125"/>
      <c r="D63" s="153" t="s">
        <v>182</v>
      </c>
      <c r="E63" s="125"/>
      <c r="F63" s="56" t="s">
        <v>194</v>
      </c>
      <c r="G63" s="56" t="s">
        <v>195</v>
      </c>
      <c r="H63" s="153" t="s">
        <v>196</v>
      </c>
      <c r="I63" s="125"/>
      <c r="J63" s="153" t="s">
        <v>197</v>
      </c>
      <c r="K63" s="124"/>
      <c r="L63" s="125"/>
    </row>
    <row r="64" spans="1:29" ht="24" customHeight="1" x14ac:dyDescent="0.25">
      <c r="A64" s="154">
        <f>MAX(A$10:A63)+1</f>
        <v>197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56" t="s">
        <v>193</v>
      </c>
      <c r="B66" s="153" t="s">
        <v>175</v>
      </c>
      <c r="C66" s="125"/>
      <c r="D66" s="153" t="s">
        <v>182</v>
      </c>
      <c r="E66" s="125"/>
      <c r="F66" s="56" t="s">
        <v>194</v>
      </c>
      <c r="G66" s="56" t="s">
        <v>195</v>
      </c>
      <c r="H66" s="153" t="s">
        <v>196</v>
      </c>
      <c r="I66" s="125"/>
      <c r="J66" s="153" t="s">
        <v>197</v>
      </c>
      <c r="K66" s="124"/>
      <c r="L66" s="125"/>
    </row>
    <row r="67" spans="1:29" ht="24" customHeight="1" x14ac:dyDescent="0.25">
      <c r="A67" s="154">
        <f>MAX(A$10:A66)+1</f>
        <v>198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56" t="s">
        <v>193</v>
      </c>
      <c r="B69" s="153" t="s">
        <v>175</v>
      </c>
      <c r="C69" s="125"/>
      <c r="D69" s="153" t="s">
        <v>182</v>
      </c>
      <c r="E69" s="125"/>
      <c r="F69" s="56" t="s">
        <v>194</v>
      </c>
      <c r="G69" s="56" t="s">
        <v>195</v>
      </c>
      <c r="H69" s="153" t="s">
        <v>196</v>
      </c>
      <c r="I69" s="125"/>
      <c r="J69" s="153" t="s">
        <v>197</v>
      </c>
      <c r="K69" s="124"/>
      <c r="L69" s="125"/>
    </row>
    <row r="70" spans="1:29" ht="24" customHeight="1" x14ac:dyDescent="0.25">
      <c r="A70" s="154">
        <f>MAX(A$10:A69)+1</f>
        <v>199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56" t="s">
        <v>193</v>
      </c>
      <c r="B72" s="153" t="s">
        <v>175</v>
      </c>
      <c r="C72" s="125"/>
      <c r="D72" s="153" t="s">
        <v>182</v>
      </c>
      <c r="E72" s="125"/>
      <c r="F72" s="56" t="s">
        <v>194</v>
      </c>
      <c r="G72" s="56" t="s">
        <v>195</v>
      </c>
      <c r="H72" s="153" t="s">
        <v>196</v>
      </c>
      <c r="I72" s="125"/>
      <c r="J72" s="153" t="s">
        <v>197</v>
      </c>
      <c r="K72" s="124"/>
      <c r="L72" s="125"/>
    </row>
    <row r="73" spans="1:29" ht="24" customHeight="1" x14ac:dyDescent="0.25">
      <c r="A73" s="154">
        <f>MAX(A$10:A72)+1</f>
        <v>200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55" t="s">
        <v>239</v>
      </c>
      <c r="B76" s="155" t="str">
        <f>"GIORNATA "&amp;ROMAN(VALUE(LEFT(A76,LEN(A76)-1)))&amp;" - GIRONE "&amp;RIGHT(A76,1)</f>
        <v>GIORNATA V - GIRONE E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56" t="s">
        <v>193</v>
      </c>
      <c r="B77" s="153" t="s">
        <v>175</v>
      </c>
      <c r="C77" s="125"/>
      <c r="D77" s="153" t="s">
        <v>182</v>
      </c>
      <c r="E77" s="125"/>
      <c r="F77" s="56" t="s">
        <v>194</v>
      </c>
      <c r="G77" s="56" t="s">
        <v>195</v>
      </c>
      <c r="H77" s="153" t="s">
        <v>196</v>
      </c>
      <c r="I77" s="125"/>
      <c r="J77" s="153" t="s">
        <v>197</v>
      </c>
      <c r="K77" s="124"/>
      <c r="L77" s="125"/>
    </row>
    <row r="78" spans="1:29" ht="24" customHeight="1" x14ac:dyDescent="0.25">
      <c r="A78" s="154">
        <f>MAX(A$10:A77)+1</f>
        <v>201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56" t="s">
        <v>193</v>
      </c>
      <c r="B80" s="153" t="s">
        <v>175</v>
      </c>
      <c r="C80" s="125"/>
      <c r="D80" s="153" t="s">
        <v>182</v>
      </c>
      <c r="E80" s="125"/>
      <c r="F80" s="56" t="s">
        <v>194</v>
      </c>
      <c r="G80" s="56" t="s">
        <v>195</v>
      </c>
      <c r="H80" s="153" t="s">
        <v>196</v>
      </c>
      <c r="I80" s="125"/>
      <c r="J80" s="153" t="s">
        <v>197</v>
      </c>
      <c r="K80" s="124"/>
      <c r="L80" s="125"/>
    </row>
    <row r="81" spans="1:29" ht="24" customHeight="1" x14ac:dyDescent="0.25">
      <c r="A81" s="154">
        <f>MAX(A$10:A80)+1</f>
        <v>202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56" t="s">
        <v>193</v>
      </c>
      <c r="B83" s="153" t="s">
        <v>175</v>
      </c>
      <c r="C83" s="125"/>
      <c r="D83" s="153" t="s">
        <v>182</v>
      </c>
      <c r="E83" s="125"/>
      <c r="F83" s="56" t="s">
        <v>194</v>
      </c>
      <c r="G83" s="56" t="s">
        <v>195</v>
      </c>
      <c r="H83" s="153" t="s">
        <v>196</v>
      </c>
      <c r="I83" s="125"/>
      <c r="J83" s="153" t="s">
        <v>197</v>
      </c>
      <c r="K83" s="124"/>
      <c r="L83" s="125"/>
    </row>
    <row r="84" spans="1:29" ht="24" customHeight="1" x14ac:dyDescent="0.25">
      <c r="A84" s="154">
        <f>MAX(A$10:A83)+1</f>
        <v>203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56" t="s">
        <v>193</v>
      </c>
      <c r="B86" s="153" t="s">
        <v>175</v>
      </c>
      <c r="C86" s="125"/>
      <c r="D86" s="153" t="s">
        <v>182</v>
      </c>
      <c r="E86" s="125"/>
      <c r="F86" s="56" t="s">
        <v>194</v>
      </c>
      <c r="G86" s="56" t="s">
        <v>195</v>
      </c>
      <c r="H86" s="153" t="s">
        <v>196</v>
      </c>
      <c r="I86" s="125"/>
      <c r="J86" s="153" t="s">
        <v>197</v>
      </c>
      <c r="K86" s="124"/>
      <c r="L86" s="125"/>
    </row>
    <row r="87" spans="1:29" ht="24" customHeight="1" x14ac:dyDescent="0.25">
      <c r="A87" s="154">
        <f>MAX(A$10:A86)+1</f>
        <v>204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56" t="s">
        <v>193</v>
      </c>
      <c r="B89" s="153" t="s">
        <v>175</v>
      </c>
      <c r="C89" s="125"/>
      <c r="D89" s="153" t="s">
        <v>182</v>
      </c>
      <c r="E89" s="125"/>
      <c r="F89" s="56" t="s">
        <v>194</v>
      </c>
      <c r="G89" s="56" t="s">
        <v>195</v>
      </c>
      <c r="H89" s="153" t="s">
        <v>196</v>
      </c>
      <c r="I89" s="125"/>
      <c r="J89" s="153" t="s">
        <v>197</v>
      </c>
      <c r="K89" s="124"/>
      <c r="L89" s="125"/>
    </row>
    <row r="90" spans="1:29" ht="24" customHeight="1" x14ac:dyDescent="0.25">
      <c r="A90" s="154">
        <f>MAX(A$10:A89)+1</f>
        <v>205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55" t="s">
        <v>240</v>
      </c>
      <c r="B93" s="155" t="str">
        <f>"GIORNATA "&amp;ROMAN(VALUE(LEFT(A93,LEN(A93)-1)))&amp;" - GIRONE "&amp;RIGHT(A93,1)</f>
        <v>GIORNATA VI - GIRONE E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56" t="s">
        <v>193</v>
      </c>
      <c r="B94" s="153" t="s">
        <v>175</v>
      </c>
      <c r="C94" s="125"/>
      <c r="D94" s="153" t="s">
        <v>182</v>
      </c>
      <c r="E94" s="125"/>
      <c r="F94" s="56" t="s">
        <v>194</v>
      </c>
      <c r="G94" s="56" t="s">
        <v>195</v>
      </c>
      <c r="H94" s="153" t="s">
        <v>196</v>
      </c>
      <c r="I94" s="125"/>
      <c r="J94" s="153" t="s">
        <v>197</v>
      </c>
      <c r="K94" s="124"/>
      <c r="L94" s="125"/>
    </row>
    <row r="95" spans="1:29" ht="24" customHeight="1" x14ac:dyDescent="0.25">
      <c r="A95" s="154">
        <f>MAX(A$10:A94)+1</f>
        <v>206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56" t="s">
        <v>193</v>
      </c>
      <c r="B97" s="153" t="s">
        <v>175</v>
      </c>
      <c r="C97" s="125"/>
      <c r="D97" s="153" t="s">
        <v>182</v>
      </c>
      <c r="E97" s="125"/>
      <c r="F97" s="56" t="s">
        <v>194</v>
      </c>
      <c r="G97" s="56" t="s">
        <v>195</v>
      </c>
      <c r="H97" s="153" t="s">
        <v>196</v>
      </c>
      <c r="I97" s="125"/>
      <c r="J97" s="153" t="s">
        <v>197</v>
      </c>
      <c r="K97" s="124"/>
      <c r="L97" s="125"/>
    </row>
    <row r="98" spans="1:29" ht="24" customHeight="1" x14ac:dyDescent="0.25">
      <c r="A98" s="154">
        <f>MAX(A$10:A97)+1</f>
        <v>207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56" t="s">
        <v>193</v>
      </c>
      <c r="B100" s="153" t="s">
        <v>175</v>
      </c>
      <c r="C100" s="125"/>
      <c r="D100" s="153" t="s">
        <v>182</v>
      </c>
      <c r="E100" s="125"/>
      <c r="F100" s="56" t="s">
        <v>194</v>
      </c>
      <c r="G100" s="56" t="s">
        <v>195</v>
      </c>
      <c r="H100" s="153" t="s">
        <v>196</v>
      </c>
      <c r="I100" s="125"/>
      <c r="J100" s="153" t="s">
        <v>197</v>
      </c>
      <c r="K100" s="124"/>
      <c r="L100" s="125"/>
    </row>
    <row r="101" spans="1:29" ht="24" customHeight="1" x14ac:dyDescent="0.25">
      <c r="A101" s="154">
        <f>MAX(A$10:A100)+1</f>
        <v>208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56" t="s">
        <v>193</v>
      </c>
      <c r="B103" s="153" t="s">
        <v>175</v>
      </c>
      <c r="C103" s="125"/>
      <c r="D103" s="153" t="s">
        <v>182</v>
      </c>
      <c r="E103" s="125"/>
      <c r="F103" s="56" t="s">
        <v>194</v>
      </c>
      <c r="G103" s="56" t="s">
        <v>195</v>
      </c>
      <c r="H103" s="153" t="s">
        <v>196</v>
      </c>
      <c r="I103" s="125"/>
      <c r="J103" s="153" t="s">
        <v>197</v>
      </c>
      <c r="K103" s="124"/>
      <c r="L103" s="125"/>
    </row>
    <row r="104" spans="1:29" ht="24" customHeight="1" x14ac:dyDescent="0.25">
      <c r="A104" s="154">
        <f>MAX(A$10:A103)+1</f>
        <v>209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56" t="s">
        <v>193</v>
      </c>
      <c r="B106" s="153" t="s">
        <v>175</v>
      </c>
      <c r="C106" s="125"/>
      <c r="D106" s="153" t="s">
        <v>182</v>
      </c>
      <c r="E106" s="125"/>
      <c r="F106" s="56" t="s">
        <v>194</v>
      </c>
      <c r="G106" s="56" t="s">
        <v>195</v>
      </c>
      <c r="H106" s="153" t="s">
        <v>196</v>
      </c>
      <c r="I106" s="125"/>
      <c r="J106" s="153" t="s">
        <v>197</v>
      </c>
      <c r="K106" s="124"/>
      <c r="L106" s="125"/>
    </row>
    <row r="107" spans="1:29" ht="24" customHeight="1" x14ac:dyDescent="0.25">
      <c r="A107" s="154">
        <f>MAX(A$10:A106)+1</f>
        <v>210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55" t="s">
        <v>241</v>
      </c>
      <c r="B110" s="155" t="str">
        <f>"GIORNATA "&amp;ROMAN(VALUE(LEFT(A110,LEN(A110)-1)))&amp;" - GIRONE "&amp;RIGHT(A110,1)</f>
        <v>GIORNATA VII - GIRONE E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56" t="s">
        <v>193</v>
      </c>
      <c r="B111" s="153" t="s">
        <v>175</v>
      </c>
      <c r="C111" s="125"/>
      <c r="D111" s="153" t="s">
        <v>182</v>
      </c>
      <c r="E111" s="125"/>
      <c r="F111" s="56" t="s">
        <v>194</v>
      </c>
      <c r="G111" s="56" t="s">
        <v>195</v>
      </c>
      <c r="H111" s="153" t="s">
        <v>196</v>
      </c>
      <c r="I111" s="125"/>
      <c r="J111" s="153" t="s">
        <v>197</v>
      </c>
      <c r="K111" s="124"/>
      <c r="L111" s="125"/>
    </row>
    <row r="112" spans="1:29" ht="24" customHeight="1" x14ac:dyDescent="0.25">
      <c r="A112" s="154">
        <f>MAX(A$10:A111)+1</f>
        <v>211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56" t="s">
        <v>193</v>
      </c>
      <c r="B114" s="153" t="s">
        <v>175</v>
      </c>
      <c r="C114" s="125"/>
      <c r="D114" s="153" t="s">
        <v>182</v>
      </c>
      <c r="E114" s="125"/>
      <c r="F114" s="56" t="s">
        <v>194</v>
      </c>
      <c r="G114" s="56" t="s">
        <v>195</v>
      </c>
      <c r="H114" s="153" t="s">
        <v>196</v>
      </c>
      <c r="I114" s="125"/>
      <c r="J114" s="153" t="s">
        <v>197</v>
      </c>
      <c r="K114" s="124"/>
      <c r="L114" s="125"/>
    </row>
    <row r="115" spans="1:29" ht="24" customHeight="1" x14ac:dyDescent="0.25">
      <c r="A115" s="154">
        <f>MAX(A$10:A114)+1</f>
        <v>212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56" t="s">
        <v>193</v>
      </c>
      <c r="B117" s="153" t="s">
        <v>175</v>
      </c>
      <c r="C117" s="125"/>
      <c r="D117" s="153" t="s">
        <v>182</v>
      </c>
      <c r="E117" s="125"/>
      <c r="F117" s="56" t="s">
        <v>194</v>
      </c>
      <c r="G117" s="56" t="s">
        <v>195</v>
      </c>
      <c r="H117" s="153" t="s">
        <v>196</v>
      </c>
      <c r="I117" s="125"/>
      <c r="J117" s="153" t="s">
        <v>197</v>
      </c>
      <c r="K117" s="124"/>
      <c r="L117" s="125"/>
    </row>
    <row r="118" spans="1:29" ht="24" customHeight="1" x14ac:dyDescent="0.25">
      <c r="A118" s="154">
        <f>MAX(A$10:A117)+1</f>
        <v>213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56" t="s">
        <v>193</v>
      </c>
      <c r="B120" s="153" t="s">
        <v>175</v>
      </c>
      <c r="C120" s="125"/>
      <c r="D120" s="153" t="s">
        <v>182</v>
      </c>
      <c r="E120" s="125"/>
      <c r="F120" s="56" t="s">
        <v>194</v>
      </c>
      <c r="G120" s="56" t="s">
        <v>195</v>
      </c>
      <c r="H120" s="153" t="s">
        <v>196</v>
      </c>
      <c r="I120" s="125"/>
      <c r="J120" s="153" t="s">
        <v>197</v>
      </c>
      <c r="K120" s="124"/>
      <c r="L120" s="125"/>
    </row>
    <row r="121" spans="1:29" ht="24" customHeight="1" x14ac:dyDescent="0.25">
      <c r="A121" s="154">
        <f>MAX(A$10:A120)+1</f>
        <v>214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56" t="s">
        <v>193</v>
      </c>
      <c r="B123" s="153" t="s">
        <v>175</v>
      </c>
      <c r="C123" s="125"/>
      <c r="D123" s="153" t="s">
        <v>182</v>
      </c>
      <c r="E123" s="125"/>
      <c r="F123" s="56" t="s">
        <v>194</v>
      </c>
      <c r="G123" s="56" t="s">
        <v>195</v>
      </c>
      <c r="H123" s="153" t="s">
        <v>196</v>
      </c>
      <c r="I123" s="125"/>
      <c r="J123" s="153" t="s">
        <v>197</v>
      </c>
      <c r="K123" s="124"/>
      <c r="L123" s="125"/>
    </row>
    <row r="124" spans="1:29" ht="24" customHeight="1" x14ac:dyDescent="0.25">
      <c r="A124" s="154">
        <f>MAX(A$10:A123)+1</f>
        <v>215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55" t="s">
        <v>242</v>
      </c>
      <c r="B127" s="155" t="str">
        <f>"GIORNATA "&amp;ROMAN(VALUE(LEFT(A127,LEN(A127)-1)))&amp;" - GIRONE "&amp;RIGHT(A127,1)</f>
        <v>GIORNATA VIII - GIRONE E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56" t="s">
        <v>193</v>
      </c>
      <c r="B128" s="153" t="s">
        <v>175</v>
      </c>
      <c r="C128" s="125"/>
      <c r="D128" s="153" t="s">
        <v>182</v>
      </c>
      <c r="E128" s="125"/>
      <c r="F128" s="56" t="s">
        <v>194</v>
      </c>
      <c r="G128" s="56" t="s">
        <v>195</v>
      </c>
      <c r="H128" s="153" t="s">
        <v>196</v>
      </c>
      <c r="I128" s="125"/>
      <c r="J128" s="153" t="s">
        <v>197</v>
      </c>
      <c r="K128" s="124"/>
      <c r="L128" s="125"/>
    </row>
    <row r="129" spans="1:29" ht="24" customHeight="1" x14ac:dyDescent="0.25">
      <c r="A129" s="154">
        <f>MAX(A$10:A128)+1</f>
        <v>216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56" t="s">
        <v>193</v>
      </c>
      <c r="B131" s="153" t="s">
        <v>175</v>
      </c>
      <c r="C131" s="125"/>
      <c r="D131" s="153" t="s">
        <v>182</v>
      </c>
      <c r="E131" s="125"/>
      <c r="F131" s="56" t="s">
        <v>194</v>
      </c>
      <c r="G131" s="56" t="s">
        <v>195</v>
      </c>
      <c r="H131" s="153" t="s">
        <v>196</v>
      </c>
      <c r="I131" s="125"/>
      <c r="J131" s="153" t="s">
        <v>197</v>
      </c>
      <c r="K131" s="124"/>
      <c r="L131" s="125"/>
    </row>
    <row r="132" spans="1:29" ht="24" customHeight="1" x14ac:dyDescent="0.25">
      <c r="A132" s="154">
        <f>MAX(A$10:A131)+1</f>
        <v>217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56" t="s">
        <v>193</v>
      </c>
      <c r="B134" s="153" t="s">
        <v>175</v>
      </c>
      <c r="C134" s="125"/>
      <c r="D134" s="153" t="s">
        <v>182</v>
      </c>
      <c r="E134" s="125"/>
      <c r="F134" s="56" t="s">
        <v>194</v>
      </c>
      <c r="G134" s="56" t="s">
        <v>195</v>
      </c>
      <c r="H134" s="153" t="s">
        <v>196</v>
      </c>
      <c r="I134" s="125"/>
      <c r="J134" s="153" t="s">
        <v>197</v>
      </c>
      <c r="K134" s="124"/>
      <c r="L134" s="125"/>
    </row>
    <row r="135" spans="1:29" ht="24" customHeight="1" x14ac:dyDescent="0.25">
      <c r="A135" s="154">
        <f>MAX(A$10:A134)+1</f>
        <v>218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56" t="s">
        <v>193</v>
      </c>
      <c r="B137" s="153" t="s">
        <v>175</v>
      </c>
      <c r="C137" s="125"/>
      <c r="D137" s="153" t="s">
        <v>182</v>
      </c>
      <c r="E137" s="125"/>
      <c r="F137" s="56" t="s">
        <v>194</v>
      </c>
      <c r="G137" s="56" t="s">
        <v>195</v>
      </c>
      <c r="H137" s="153" t="s">
        <v>196</v>
      </c>
      <c r="I137" s="125"/>
      <c r="J137" s="153" t="s">
        <v>197</v>
      </c>
      <c r="K137" s="124"/>
      <c r="L137" s="125"/>
    </row>
    <row r="138" spans="1:29" ht="24" customHeight="1" x14ac:dyDescent="0.25">
      <c r="A138" s="154">
        <f>MAX(A$10:A137)+1</f>
        <v>219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56" t="s">
        <v>193</v>
      </c>
      <c r="B140" s="153" t="s">
        <v>175</v>
      </c>
      <c r="C140" s="125"/>
      <c r="D140" s="153" t="s">
        <v>182</v>
      </c>
      <c r="E140" s="125"/>
      <c r="F140" s="56" t="s">
        <v>194</v>
      </c>
      <c r="G140" s="56" t="s">
        <v>195</v>
      </c>
      <c r="H140" s="153" t="s">
        <v>196</v>
      </c>
      <c r="I140" s="125"/>
      <c r="J140" s="153" t="s">
        <v>197</v>
      </c>
      <c r="K140" s="124"/>
      <c r="L140" s="125"/>
    </row>
    <row r="141" spans="1:29" ht="24" customHeight="1" x14ac:dyDescent="0.25">
      <c r="A141" s="154">
        <f>MAX(A$10:A140)+1</f>
        <v>220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55" t="s">
        <v>243</v>
      </c>
      <c r="B144" s="155" t="str">
        <f>"GIORNATA "&amp;ROMAN(VALUE(LEFT(A144,LEN(A144)-1)))&amp;" - GIRONE "&amp;RIGHT(A144,1)</f>
        <v>GIORNATA IX - GIRONE E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56" t="s">
        <v>193</v>
      </c>
      <c r="B145" s="153" t="s">
        <v>175</v>
      </c>
      <c r="C145" s="125"/>
      <c r="D145" s="153" t="s">
        <v>182</v>
      </c>
      <c r="E145" s="125"/>
      <c r="F145" s="56" t="s">
        <v>194</v>
      </c>
      <c r="G145" s="56" t="s">
        <v>195</v>
      </c>
      <c r="H145" s="153" t="s">
        <v>196</v>
      </c>
      <c r="I145" s="125"/>
      <c r="J145" s="153" t="s">
        <v>197</v>
      </c>
      <c r="K145" s="124"/>
      <c r="L145" s="125"/>
    </row>
    <row r="146" spans="1:29" ht="24" customHeight="1" x14ac:dyDescent="0.25">
      <c r="A146" s="154">
        <f>MAX(A$10:A145)+1</f>
        <v>221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56" t="s">
        <v>193</v>
      </c>
      <c r="B148" s="153" t="s">
        <v>175</v>
      </c>
      <c r="C148" s="125"/>
      <c r="D148" s="153" t="s">
        <v>182</v>
      </c>
      <c r="E148" s="125"/>
      <c r="F148" s="56" t="s">
        <v>194</v>
      </c>
      <c r="G148" s="56" t="s">
        <v>195</v>
      </c>
      <c r="H148" s="153" t="s">
        <v>196</v>
      </c>
      <c r="I148" s="125"/>
      <c r="J148" s="153" t="s">
        <v>197</v>
      </c>
      <c r="K148" s="124"/>
      <c r="L148" s="125"/>
    </row>
    <row r="149" spans="1:29" ht="24" customHeight="1" x14ac:dyDescent="0.25">
      <c r="A149" s="154">
        <f>MAX(A$10:A148)+1</f>
        <v>222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56" t="s">
        <v>193</v>
      </c>
      <c r="B151" s="153" t="s">
        <v>175</v>
      </c>
      <c r="C151" s="125"/>
      <c r="D151" s="153" t="s">
        <v>182</v>
      </c>
      <c r="E151" s="125"/>
      <c r="F151" s="56" t="s">
        <v>194</v>
      </c>
      <c r="G151" s="56" t="s">
        <v>195</v>
      </c>
      <c r="H151" s="153" t="s">
        <v>196</v>
      </c>
      <c r="I151" s="125"/>
      <c r="J151" s="153" t="s">
        <v>197</v>
      </c>
      <c r="K151" s="124"/>
      <c r="L151" s="125"/>
    </row>
    <row r="152" spans="1:29" ht="24" customHeight="1" x14ac:dyDescent="0.25">
      <c r="A152" s="154">
        <f>MAX(A$10:A151)+1</f>
        <v>223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56" t="s">
        <v>193</v>
      </c>
      <c r="B154" s="153" t="s">
        <v>175</v>
      </c>
      <c r="C154" s="125"/>
      <c r="D154" s="153" t="s">
        <v>182</v>
      </c>
      <c r="E154" s="125"/>
      <c r="F154" s="56" t="s">
        <v>194</v>
      </c>
      <c r="G154" s="56" t="s">
        <v>195</v>
      </c>
      <c r="H154" s="153" t="s">
        <v>196</v>
      </c>
      <c r="I154" s="125"/>
      <c r="J154" s="153" t="s">
        <v>197</v>
      </c>
      <c r="K154" s="124"/>
      <c r="L154" s="125"/>
    </row>
    <row r="155" spans="1:29" ht="24" customHeight="1" x14ac:dyDescent="0.25">
      <c r="A155" s="154">
        <f>MAX(A$10:A154)+1</f>
        <v>224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56" t="s">
        <v>193</v>
      </c>
      <c r="B157" s="153" t="s">
        <v>175</v>
      </c>
      <c r="C157" s="125"/>
      <c r="D157" s="153" t="s">
        <v>182</v>
      </c>
      <c r="E157" s="125"/>
      <c r="F157" s="56" t="s">
        <v>194</v>
      </c>
      <c r="G157" s="56" t="s">
        <v>195</v>
      </c>
      <c r="H157" s="153" t="s">
        <v>196</v>
      </c>
      <c r="I157" s="125"/>
      <c r="J157" s="153" t="s">
        <v>197</v>
      </c>
      <c r="K157" s="124"/>
      <c r="L157" s="125"/>
    </row>
    <row r="158" spans="1:29" ht="24" customHeight="1" x14ac:dyDescent="0.25">
      <c r="A158" s="154">
        <f>MAX(A$10:A157)+1</f>
        <v>225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60" t="str">
        <f>"GIRONE F - Stagione "&amp;constStagionaCampionato</f>
        <v xml:space="preserve">GIRONE F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7" t="s">
        <v>244</v>
      </c>
      <c r="B8" s="159" t="str">
        <f>"GIORNATA "&amp;ROMAN(VALUE(LEFT(A8,LEN(A8)-1)))&amp;" - GIRONE "&amp;RIGHT(A8,1)</f>
        <v>GIORNATA I - GIRONE F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58" t="s">
        <v>193</v>
      </c>
      <c r="B9" s="157" t="s">
        <v>175</v>
      </c>
      <c r="C9" s="125"/>
      <c r="D9" s="157" t="s">
        <v>182</v>
      </c>
      <c r="E9" s="125"/>
      <c r="F9" s="58" t="s">
        <v>194</v>
      </c>
      <c r="G9" s="58" t="s">
        <v>195</v>
      </c>
      <c r="H9" s="157" t="s">
        <v>196</v>
      </c>
      <c r="I9" s="125"/>
      <c r="J9" s="157" t="s">
        <v>197</v>
      </c>
      <c r="K9" s="124"/>
      <c r="L9" s="125"/>
    </row>
    <row r="10" spans="1:29" ht="24" customHeight="1" x14ac:dyDescent="0.25">
      <c r="A10" s="158">
        <v>226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58" t="s">
        <v>193</v>
      </c>
      <c r="B12" s="157" t="s">
        <v>175</v>
      </c>
      <c r="C12" s="125"/>
      <c r="D12" s="157" t="s">
        <v>182</v>
      </c>
      <c r="E12" s="125"/>
      <c r="F12" s="58" t="s">
        <v>194</v>
      </c>
      <c r="G12" s="58" t="s">
        <v>195</v>
      </c>
      <c r="H12" s="157" t="s">
        <v>196</v>
      </c>
      <c r="I12" s="125"/>
      <c r="J12" s="157" t="s">
        <v>197</v>
      </c>
      <c r="K12" s="124"/>
      <c r="L12" s="125"/>
    </row>
    <row r="13" spans="1:29" ht="24" customHeight="1" x14ac:dyDescent="0.25">
      <c r="A13" s="158">
        <f>MAX(A$10:A12)+1</f>
        <v>227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58" t="s">
        <v>193</v>
      </c>
      <c r="B15" s="157" t="s">
        <v>175</v>
      </c>
      <c r="C15" s="125"/>
      <c r="D15" s="157" t="s">
        <v>182</v>
      </c>
      <c r="E15" s="125"/>
      <c r="F15" s="58" t="s">
        <v>194</v>
      </c>
      <c r="G15" s="58" t="s">
        <v>195</v>
      </c>
      <c r="H15" s="157" t="s">
        <v>196</v>
      </c>
      <c r="I15" s="125"/>
      <c r="J15" s="157" t="s">
        <v>197</v>
      </c>
      <c r="K15" s="124"/>
      <c r="L15" s="125"/>
    </row>
    <row r="16" spans="1:29" ht="24" customHeight="1" x14ac:dyDescent="0.25">
      <c r="A16" s="158">
        <f>MAX(A$10:A15)+1</f>
        <v>228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58" t="s">
        <v>193</v>
      </c>
      <c r="B18" s="157" t="s">
        <v>175</v>
      </c>
      <c r="C18" s="125"/>
      <c r="D18" s="157" t="s">
        <v>182</v>
      </c>
      <c r="E18" s="125"/>
      <c r="F18" s="58" t="s">
        <v>194</v>
      </c>
      <c r="G18" s="58" t="s">
        <v>195</v>
      </c>
      <c r="H18" s="157" t="s">
        <v>196</v>
      </c>
      <c r="I18" s="125"/>
      <c r="J18" s="157" t="s">
        <v>197</v>
      </c>
      <c r="K18" s="124"/>
      <c r="L18" s="125"/>
    </row>
    <row r="19" spans="1:29" ht="24" customHeight="1" x14ac:dyDescent="0.25">
      <c r="A19" s="158">
        <f>MAX(A$10:A18)+1</f>
        <v>229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58" t="s">
        <v>193</v>
      </c>
      <c r="B21" s="157" t="s">
        <v>175</v>
      </c>
      <c r="C21" s="125"/>
      <c r="D21" s="157" t="s">
        <v>182</v>
      </c>
      <c r="E21" s="125"/>
      <c r="F21" s="58" t="s">
        <v>194</v>
      </c>
      <c r="G21" s="58" t="s">
        <v>195</v>
      </c>
      <c r="H21" s="157" t="s">
        <v>196</v>
      </c>
      <c r="I21" s="125"/>
      <c r="J21" s="157" t="s">
        <v>197</v>
      </c>
      <c r="K21" s="124"/>
      <c r="L21" s="125"/>
    </row>
    <row r="22" spans="1:29" ht="24" customHeight="1" x14ac:dyDescent="0.25">
      <c r="A22" s="158">
        <f>MAX(A$10:A21)+1</f>
        <v>230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57" t="s">
        <v>245</v>
      </c>
      <c r="B25" s="159" t="str">
        <f>"GIORNATA "&amp;ROMAN(VALUE(LEFT(A25,LEN(A25)-1)))&amp;" - GIRONE "&amp;RIGHT(A25,1)</f>
        <v>GIORNATA II - GIRONE F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58" t="s">
        <v>193</v>
      </c>
      <c r="B26" s="157" t="s">
        <v>175</v>
      </c>
      <c r="C26" s="125"/>
      <c r="D26" s="157" t="s">
        <v>182</v>
      </c>
      <c r="E26" s="125"/>
      <c r="F26" s="58" t="s">
        <v>194</v>
      </c>
      <c r="G26" s="58" t="s">
        <v>195</v>
      </c>
      <c r="H26" s="157" t="s">
        <v>196</v>
      </c>
      <c r="I26" s="125"/>
      <c r="J26" s="157" t="s">
        <v>197</v>
      </c>
      <c r="K26" s="124"/>
      <c r="L26" s="125"/>
    </row>
    <row r="27" spans="1:29" ht="24" customHeight="1" x14ac:dyDescent="0.25">
      <c r="A27" s="158">
        <f>MAX(A$10:A26)+1</f>
        <v>231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58" t="s">
        <v>193</v>
      </c>
      <c r="B29" s="157" t="s">
        <v>175</v>
      </c>
      <c r="C29" s="125"/>
      <c r="D29" s="157" t="s">
        <v>182</v>
      </c>
      <c r="E29" s="125"/>
      <c r="F29" s="58" t="s">
        <v>194</v>
      </c>
      <c r="G29" s="58" t="s">
        <v>195</v>
      </c>
      <c r="H29" s="157" t="s">
        <v>196</v>
      </c>
      <c r="I29" s="125"/>
      <c r="J29" s="157" t="s">
        <v>197</v>
      </c>
      <c r="K29" s="124"/>
      <c r="L29" s="125"/>
    </row>
    <row r="30" spans="1:29" ht="24" customHeight="1" x14ac:dyDescent="0.25">
      <c r="A30" s="158">
        <f>MAX(A$10:A29)+1</f>
        <v>232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58" t="s">
        <v>193</v>
      </c>
      <c r="B32" s="157" t="s">
        <v>175</v>
      </c>
      <c r="C32" s="125"/>
      <c r="D32" s="157" t="s">
        <v>182</v>
      </c>
      <c r="E32" s="125"/>
      <c r="F32" s="58" t="s">
        <v>194</v>
      </c>
      <c r="G32" s="58" t="s">
        <v>195</v>
      </c>
      <c r="H32" s="157" t="s">
        <v>196</v>
      </c>
      <c r="I32" s="125"/>
      <c r="J32" s="157" t="s">
        <v>197</v>
      </c>
      <c r="K32" s="124"/>
      <c r="L32" s="125"/>
    </row>
    <row r="33" spans="1:29" ht="24" customHeight="1" x14ac:dyDescent="0.25">
      <c r="A33" s="158">
        <f>MAX(A$10:A32)+1</f>
        <v>233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58" t="s">
        <v>193</v>
      </c>
      <c r="B35" s="157" t="s">
        <v>175</v>
      </c>
      <c r="C35" s="125"/>
      <c r="D35" s="157" t="s">
        <v>182</v>
      </c>
      <c r="E35" s="125"/>
      <c r="F35" s="58" t="s">
        <v>194</v>
      </c>
      <c r="G35" s="58" t="s">
        <v>195</v>
      </c>
      <c r="H35" s="157" t="s">
        <v>196</v>
      </c>
      <c r="I35" s="125"/>
      <c r="J35" s="157" t="s">
        <v>197</v>
      </c>
      <c r="K35" s="124"/>
      <c r="L35" s="125"/>
    </row>
    <row r="36" spans="1:29" ht="24" customHeight="1" x14ac:dyDescent="0.25">
      <c r="A36" s="158">
        <f>MAX(A$10:A35)+1</f>
        <v>234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58" t="s">
        <v>193</v>
      </c>
      <c r="B38" s="157" t="s">
        <v>175</v>
      </c>
      <c r="C38" s="125"/>
      <c r="D38" s="157" t="s">
        <v>182</v>
      </c>
      <c r="E38" s="125"/>
      <c r="F38" s="58" t="s">
        <v>194</v>
      </c>
      <c r="G38" s="58" t="s">
        <v>195</v>
      </c>
      <c r="H38" s="157" t="s">
        <v>196</v>
      </c>
      <c r="I38" s="125"/>
      <c r="J38" s="157" t="s">
        <v>197</v>
      </c>
      <c r="K38" s="124"/>
      <c r="L38" s="125"/>
    </row>
    <row r="39" spans="1:29" ht="24" customHeight="1" x14ac:dyDescent="0.25">
      <c r="A39" s="158">
        <f>MAX(A$10:A38)+1</f>
        <v>235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57" t="s">
        <v>246</v>
      </c>
      <c r="B42" s="159" t="str">
        <f>"GIORNATA "&amp;ROMAN(VALUE(LEFT(A42,LEN(A42)-1)))&amp;" - GIRONE "&amp;RIGHT(A42,1)</f>
        <v>GIORNATA III - GIRONE F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58" t="s">
        <v>193</v>
      </c>
      <c r="B43" s="157" t="s">
        <v>175</v>
      </c>
      <c r="C43" s="125"/>
      <c r="D43" s="157" t="s">
        <v>182</v>
      </c>
      <c r="E43" s="125"/>
      <c r="F43" s="58" t="s">
        <v>194</v>
      </c>
      <c r="G43" s="58" t="s">
        <v>195</v>
      </c>
      <c r="H43" s="157" t="s">
        <v>196</v>
      </c>
      <c r="I43" s="125"/>
      <c r="J43" s="157" t="s">
        <v>197</v>
      </c>
      <c r="K43" s="124"/>
      <c r="L43" s="125"/>
    </row>
    <row r="44" spans="1:29" ht="24" customHeight="1" x14ac:dyDescent="0.25">
      <c r="A44" s="158">
        <f>MAX(A$10:A43)+1</f>
        <v>236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58" t="s">
        <v>193</v>
      </c>
      <c r="B46" s="157" t="s">
        <v>175</v>
      </c>
      <c r="C46" s="125"/>
      <c r="D46" s="157" t="s">
        <v>182</v>
      </c>
      <c r="E46" s="125"/>
      <c r="F46" s="58" t="s">
        <v>194</v>
      </c>
      <c r="G46" s="58" t="s">
        <v>195</v>
      </c>
      <c r="H46" s="157" t="s">
        <v>196</v>
      </c>
      <c r="I46" s="125"/>
      <c r="J46" s="157" t="s">
        <v>197</v>
      </c>
      <c r="K46" s="124"/>
      <c r="L46" s="125"/>
    </row>
    <row r="47" spans="1:29" ht="24" customHeight="1" x14ac:dyDescent="0.25">
      <c r="A47" s="158">
        <f>MAX(A$10:A46)+1</f>
        <v>237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58" t="s">
        <v>193</v>
      </c>
      <c r="B49" s="157" t="s">
        <v>175</v>
      </c>
      <c r="C49" s="125"/>
      <c r="D49" s="157" t="s">
        <v>182</v>
      </c>
      <c r="E49" s="125"/>
      <c r="F49" s="58" t="s">
        <v>194</v>
      </c>
      <c r="G49" s="58" t="s">
        <v>195</v>
      </c>
      <c r="H49" s="157" t="s">
        <v>196</v>
      </c>
      <c r="I49" s="125"/>
      <c r="J49" s="157" t="s">
        <v>197</v>
      </c>
      <c r="K49" s="124"/>
      <c r="L49" s="125"/>
    </row>
    <row r="50" spans="1:29" ht="24" customHeight="1" x14ac:dyDescent="0.25">
      <c r="A50" s="158">
        <f>MAX(A$10:A49)+1</f>
        <v>238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58" t="s">
        <v>193</v>
      </c>
      <c r="B52" s="157" t="s">
        <v>175</v>
      </c>
      <c r="C52" s="125"/>
      <c r="D52" s="157" t="s">
        <v>182</v>
      </c>
      <c r="E52" s="125"/>
      <c r="F52" s="58" t="s">
        <v>194</v>
      </c>
      <c r="G52" s="58" t="s">
        <v>195</v>
      </c>
      <c r="H52" s="157" t="s">
        <v>196</v>
      </c>
      <c r="I52" s="125"/>
      <c r="J52" s="157" t="s">
        <v>197</v>
      </c>
      <c r="K52" s="124"/>
      <c r="L52" s="125"/>
    </row>
    <row r="53" spans="1:29" ht="24" customHeight="1" x14ac:dyDescent="0.25">
      <c r="A53" s="158">
        <f>MAX(A$10:A52)+1</f>
        <v>239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58" t="s">
        <v>193</v>
      </c>
      <c r="B55" s="157" t="s">
        <v>175</v>
      </c>
      <c r="C55" s="125"/>
      <c r="D55" s="157" t="s">
        <v>182</v>
      </c>
      <c r="E55" s="125"/>
      <c r="F55" s="58" t="s">
        <v>194</v>
      </c>
      <c r="G55" s="58" t="s">
        <v>195</v>
      </c>
      <c r="H55" s="157" t="s">
        <v>196</v>
      </c>
      <c r="I55" s="125"/>
      <c r="J55" s="157" t="s">
        <v>197</v>
      </c>
      <c r="K55" s="124"/>
      <c r="L55" s="125"/>
    </row>
    <row r="56" spans="1:29" ht="24" customHeight="1" x14ac:dyDescent="0.25">
      <c r="A56" s="158">
        <f>MAX(A$10:A55)+1</f>
        <v>240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57" t="s">
        <v>247</v>
      </c>
      <c r="B59" s="159" t="str">
        <f>"GIORNATA "&amp;ROMAN(VALUE(LEFT(A59,LEN(A59)-1)))&amp;" - GIRONE "&amp;RIGHT(A59,1)</f>
        <v>GIORNATA IV - GIRONE F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58" t="s">
        <v>193</v>
      </c>
      <c r="B60" s="157" t="s">
        <v>175</v>
      </c>
      <c r="C60" s="125"/>
      <c r="D60" s="157" t="s">
        <v>182</v>
      </c>
      <c r="E60" s="125"/>
      <c r="F60" s="58" t="s">
        <v>194</v>
      </c>
      <c r="G60" s="58" t="s">
        <v>195</v>
      </c>
      <c r="H60" s="157" t="s">
        <v>196</v>
      </c>
      <c r="I60" s="125"/>
      <c r="J60" s="157" t="s">
        <v>197</v>
      </c>
      <c r="K60" s="124"/>
      <c r="L60" s="125"/>
    </row>
    <row r="61" spans="1:29" ht="24" customHeight="1" x14ac:dyDescent="0.25">
      <c r="A61" s="158">
        <f>MAX(A$10:A60)+1</f>
        <v>241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58" t="s">
        <v>193</v>
      </c>
      <c r="B63" s="157" t="s">
        <v>175</v>
      </c>
      <c r="C63" s="125"/>
      <c r="D63" s="157" t="s">
        <v>182</v>
      </c>
      <c r="E63" s="125"/>
      <c r="F63" s="58" t="s">
        <v>194</v>
      </c>
      <c r="G63" s="58" t="s">
        <v>195</v>
      </c>
      <c r="H63" s="157" t="s">
        <v>196</v>
      </c>
      <c r="I63" s="125"/>
      <c r="J63" s="157" t="s">
        <v>197</v>
      </c>
      <c r="K63" s="124"/>
      <c r="L63" s="125"/>
    </row>
    <row r="64" spans="1:29" ht="24" customHeight="1" x14ac:dyDescent="0.25">
      <c r="A64" s="158">
        <f>MAX(A$10:A63)+1</f>
        <v>242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58" t="s">
        <v>193</v>
      </c>
      <c r="B66" s="157" t="s">
        <v>175</v>
      </c>
      <c r="C66" s="125"/>
      <c r="D66" s="157" t="s">
        <v>182</v>
      </c>
      <c r="E66" s="125"/>
      <c r="F66" s="58" t="s">
        <v>194</v>
      </c>
      <c r="G66" s="58" t="s">
        <v>195</v>
      </c>
      <c r="H66" s="157" t="s">
        <v>196</v>
      </c>
      <c r="I66" s="125"/>
      <c r="J66" s="157" t="s">
        <v>197</v>
      </c>
      <c r="K66" s="124"/>
      <c r="L66" s="125"/>
    </row>
    <row r="67" spans="1:29" ht="24" customHeight="1" x14ac:dyDescent="0.25">
      <c r="A67" s="158">
        <f>MAX(A$10:A66)+1</f>
        <v>243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58" t="s">
        <v>193</v>
      </c>
      <c r="B69" s="157" t="s">
        <v>175</v>
      </c>
      <c r="C69" s="125"/>
      <c r="D69" s="157" t="s">
        <v>182</v>
      </c>
      <c r="E69" s="125"/>
      <c r="F69" s="58" t="s">
        <v>194</v>
      </c>
      <c r="G69" s="58" t="s">
        <v>195</v>
      </c>
      <c r="H69" s="157" t="s">
        <v>196</v>
      </c>
      <c r="I69" s="125"/>
      <c r="J69" s="157" t="s">
        <v>197</v>
      </c>
      <c r="K69" s="124"/>
      <c r="L69" s="125"/>
    </row>
    <row r="70" spans="1:29" ht="24" customHeight="1" x14ac:dyDescent="0.25">
      <c r="A70" s="158">
        <f>MAX(A$10:A69)+1</f>
        <v>244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58" t="s">
        <v>193</v>
      </c>
      <c r="B72" s="157" t="s">
        <v>175</v>
      </c>
      <c r="C72" s="125"/>
      <c r="D72" s="157" t="s">
        <v>182</v>
      </c>
      <c r="E72" s="125"/>
      <c r="F72" s="58" t="s">
        <v>194</v>
      </c>
      <c r="G72" s="58" t="s">
        <v>195</v>
      </c>
      <c r="H72" s="157" t="s">
        <v>196</v>
      </c>
      <c r="I72" s="125"/>
      <c r="J72" s="157" t="s">
        <v>197</v>
      </c>
      <c r="K72" s="124"/>
      <c r="L72" s="125"/>
    </row>
    <row r="73" spans="1:29" ht="24" customHeight="1" x14ac:dyDescent="0.25">
      <c r="A73" s="158">
        <f>MAX(A$10:A72)+1</f>
        <v>245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57" t="s">
        <v>248</v>
      </c>
      <c r="B76" s="159" t="str">
        <f>"GIORNATA "&amp;ROMAN(VALUE(LEFT(A76,LEN(A76)-1)))&amp;" - GIRONE "&amp;RIGHT(A76,1)</f>
        <v>GIORNATA V - GIRONE F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58" t="s">
        <v>193</v>
      </c>
      <c r="B77" s="157" t="s">
        <v>175</v>
      </c>
      <c r="C77" s="125"/>
      <c r="D77" s="157" t="s">
        <v>182</v>
      </c>
      <c r="E77" s="125"/>
      <c r="F77" s="58" t="s">
        <v>194</v>
      </c>
      <c r="G77" s="58" t="s">
        <v>195</v>
      </c>
      <c r="H77" s="157" t="s">
        <v>196</v>
      </c>
      <c r="I77" s="125"/>
      <c r="J77" s="157" t="s">
        <v>197</v>
      </c>
      <c r="K77" s="124"/>
      <c r="L77" s="125"/>
    </row>
    <row r="78" spans="1:29" ht="24" customHeight="1" x14ac:dyDescent="0.25">
      <c r="A78" s="158">
        <f>MAX(A$10:A77)+1</f>
        <v>246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58" t="s">
        <v>193</v>
      </c>
      <c r="B80" s="157" t="s">
        <v>175</v>
      </c>
      <c r="C80" s="125"/>
      <c r="D80" s="157" t="s">
        <v>182</v>
      </c>
      <c r="E80" s="125"/>
      <c r="F80" s="58" t="s">
        <v>194</v>
      </c>
      <c r="G80" s="58" t="s">
        <v>195</v>
      </c>
      <c r="H80" s="157" t="s">
        <v>196</v>
      </c>
      <c r="I80" s="125"/>
      <c r="J80" s="157" t="s">
        <v>197</v>
      </c>
      <c r="K80" s="124"/>
      <c r="L80" s="125"/>
    </row>
    <row r="81" spans="1:29" ht="24" customHeight="1" x14ac:dyDescent="0.25">
      <c r="A81" s="158">
        <f>MAX(A$10:A80)+1</f>
        <v>247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58" t="s">
        <v>193</v>
      </c>
      <c r="B83" s="157" t="s">
        <v>175</v>
      </c>
      <c r="C83" s="125"/>
      <c r="D83" s="157" t="s">
        <v>182</v>
      </c>
      <c r="E83" s="125"/>
      <c r="F83" s="58" t="s">
        <v>194</v>
      </c>
      <c r="G83" s="58" t="s">
        <v>195</v>
      </c>
      <c r="H83" s="157" t="s">
        <v>196</v>
      </c>
      <c r="I83" s="125"/>
      <c r="J83" s="157" t="s">
        <v>197</v>
      </c>
      <c r="K83" s="124"/>
      <c r="L83" s="125"/>
    </row>
    <row r="84" spans="1:29" ht="24" customHeight="1" x14ac:dyDescent="0.25">
      <c r="A84" s="158">
        <f>MAX(A$10:A83)+1</f>
        <v>248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58" t="s">
        <v>193</v>
      </c>
      <c r="B86" s="157" t="s">
        <v>175</v>
      </c>
      <c r="C86" s="125"/>
      <c r="D86" s="157" t="s">
        <v>182</v>
      </c>
      <c r="E86" s="125"/>
      <c r="F86" s="58" t="s">
        <v>194</v>
      </c>
      <c r="G86" s="58" t="s">
        <v>195</v>
      </c>
      <c r="H86" s="157" t="s">
        <v>196</v>
      </c>
      <c r="I86" s="125"/>
      <c r="J86" s="157" t="s">
        <v>197</v>
      </c>
      <c r="K86" s="124"/>
      <c r="L86" s="125"/>
    </row>
    <row r="87" spans="1:29" ht="24" customHeight="1" x14ac:dyDescent="0.25">
      <c r="A87" s="158">
        <f>MAX(A$10:A86)+1</f>
        <v>249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58" t="s">
        <v>193</v>
      </c>
      <c r="B89" s="157" t="s">
        <v>175</v>
      </c>
      <c r="C89" s="125"/>
      <c r="D89" s="157" t="s">
        <v>182</v>
      </c>
      <c r="E89" s="125"/>
      <c r="F89" s="58" t="s">
        <v>194</v>
      </c>
      <c r="G89" s="58" t="s">
        <v>195</v>
      </c>
      <c r="H89" s="157" t="s">
        <v>196</v>
      </c>
      <c r="I89" s="125"/>
      <c r="J89" s="157" t="s">
        <v>197</v>
      </c>
      <c r="K89" s="124"/>
      <c r="L89" s="125"/>
    </row>
    <row r="90" spans="1:29" ht="24" customHeight="1" x14ac:dyDescent="0.25">
      <c r="A90" s="158">
        <f>MAX(A$10:A89)+1</f>
        <v>250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57" t="s">
        <v>249</v>
      </c>
      <c r="B93" s="159" t="str">
        <f>"GIORNATA "&amp;ROMAN(VALUE(LEFT(A93,LEN(A93)-1)))&amp;" - GIRONE "&amp;RIGHT(A93,1)</f>
        <v>GIORNATA VI - GIRONE F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58" t="s">
        <v>193</v>
      </c>
      <c r="B94" s="157" t="s">
        <v>175</v>
      </c>
      <c r="C94" s="125"/>
      <c r="D94" s="157" t="s">
        <v>182</v>
      </c>
      <c r="E94" s="125"/>
      <c r="F94" s="58" t="s">
        <v>194</v>
      </c>
      <c r="G94" s="58" t="s">
        <v>195</v>
      </c>
      <c r="H94" s="157" t="s">
        <v>196</v>
      </c>
      <c r="I94" s="125"/>
      <c r="J94" s="157" t="s">
        <v>197</v>
      </c>
      <c r="K94" s="124"/>
      <c r="L94" s="125"/>
    </row>
    <row r="95" spans="1:29" ht="24" customHeight="1" x14ac:dyDescent="0.25">
      <c r="A95" s="158">
        <f>MAX(A$10:A94)+1</f>
        <v>251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58" t="s">
        <v>193</v>
      </c>
      <c r="B97" s="157" t="s">
        <v>175</v>
      </c>
      <c r="C97" s="125"/>
      <c r="D97" s="157" t="s">
        <v>182</v>
      </c>
      <c r="E97" s="125"/>
      <c r="F97" s="58" t="s">
        <v>194</v>
      </c>
      <c r="G97" s="58" t="s">
        <v>195</v>
      </c>
      <c r="H97" s="157" t="s">
        <v>196</v>
      </c>
      <c r="I97" s="125"/>
      <c r="J97" s="157" t="s">
        <v>197</v>
      </c>
      <c r="K97" s="124"/>
      <c r="L97" s="125"/>
    </row>
    <row r="98" spans="1:29" ht="24" customHeight="1" x14ac:dyDescent="0.25">
      <c r="A98" s="158">
        <f>MAX(A$10:A97)+1</f>
        <v>252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58" t="s">
        <v>193</v>
      </c>
      <c r="B100" s="157" t="s">
        <v>175</v>
      </c>
      <c r="C100" s="125"/>
      <c r="D100" s="157" t="s">
        <v>182</v>
      </c>
      <c r="E100" s="125"/>
      <c r="F100" s="58" t="s">
        <v>194</v>
      </c>
      <c r="G100" s="58" t="s">
        <v>195</v>
      </c>
      <c r="H100" s="157" t="s">
        <v>196</v>
      </c>
      <c r="I100" s="125"/>
      <c r="J100" s="157" t="s">
        <v>197</v>
      </c>
      <c r="K100" s="124"/>
      <c r="L100" s="125"/>
    </row>
    <row r="101" spans="1:29" ht="24" customHeight="1" x14ac:dyDescent="0.25">
      <c r="A101" s="158">
        <f>MAX(A$10:A100)+1</f>
        <v>253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58" t="s">
        <v>193</v>
      </c>
      <c r="B103" s="157" t="s">
        <v>175</v>
      </c>
      <c r="C103" s="125"/>
      <c r="D103" s="157" t="s">
        <v>182</v>
      </c>
      <c r="E103" s="125"/>
      <c r="F103" s="58" t="s">
        <v>194</v>
      </c>
      <c r="G103" s="58" t="s">
        <v>195</v>
      </c>
      <c r="H103" s="157" t="s">
        <v>196</v>
      </c>
      <c r="I103" s="125"/>
      <c r="J103" s="157" t="s">
        <v>197</v>
      </c>
      <c r="K103" s="124"/>
      <c r="L103" s="125"/>
    </row>
    <row r="104" spans="1:29" ht="24" customHeight="1" x14ac:dyDescent="0.25">
      <c r="A104" s="158">
        <f>MAX(A$10:A103)+1</f>
        <v>254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58" t="s">
        <v>193</v>
      </c>
      <c r="B106" s="157" t="s">
        <v>175</v>
      </c>
      <c r="C106" s="125"/>
      <c r="D106" s="157" t="s">
        <v>182</v>
      </c>
      <c r="E106" s="125"/>
      <c r="F106" s="58" t="s">
        <v>194</v>
      </c>
      <c r="G106" s="58" t="s">
        <v>195</v>
      </c>
      <c r="H106" s="157" t="s">
        <v>196</v>
      </c>
      <c r="I106" s="125"/>
      <c r="J106" s="157" t="s">
        <v>197</v>
      </c>
      <c r="K106" s="124"/>
      <c r="L106" s="125"/>
    </row>
    <row r="107" spans="1:29" ht="24" customHeight="1" x14ac:dyDescent="0.25">
      <c r="A107" s="158">
        <f>MAX(A$10:A106)+1</f>
        <v>255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57" t="s">
        <v>250</v>
      </c>
      <c r="B110" s="159" t="str">
        <f>"GIORNATA "&amp;ROMAN(VALUE(LEFT(A110,LEN(A110)-1)))&amp;" - GIRONE "&amp;RIGHT(A110,1)</f>
        <v>GIORNATA VII - GIRONE F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58" t="s">
        <v>193</v>
      </c>
      <c r="B111" s="157" t="s">
        <v>175</v>
      </c>
      <c r="C111" s="125"/>
      <c r="D111" s="157" t="s">
        <v>182</v>
      </c>
      <c r="E111" s="125"/>
      <c r="F111" s="58" t="s">
        <v>194</v>
      </c>
      <c r="G111" s="58" t="s">
        <v>195</v>
      </c>
      <c r="H111" s="157" t="s">
        <v>196</v>
      </c>
      <c r="I111" s="125"/>
      <c r="J111" s="157" t="s">
        <v>197</v>
      </c>
      <c r="K111" s="124"/>
      <c r="L111" s="125"/>
    </row>
    <row r="112" spans="1:29" ht="24" customHeight="1" x14ac:dyDescent="0.25">
      <c r="A112" s="158">
        <f>MAX(A$10:A111)+1</f>
        <v>256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58" t="s">
        <v>193</v>
      </c>
      <c r="B114" s="157" t="s">
        <v>175</v>
      </c>
      <c r="C114" s="125"/>
      <c r="D114" s="157" t="s">
        <v>182</v>
      </c>
      <c r="E114" s="125"/>
      <c r="F114" s="58" t="s">
        <v>194</v>
      </c>
      <c r="G114" s="58" t="s">
        <v>195</v>
      </c>
      <c r="H114" s="157" t="s">
        <v>196</v>
      </c>
      <c r="I114" s="125"/>
      <c r="J114" s="157" t="s">
        <v>197</v>
      </c>
      <c r="K114" s="124"/>
      <c r="L114" s="125"/>
    </row>
    <row r="115" spans="1:29" ht="24" customHeight="1" x14ac:dyDescent="0.25">
      <c r="A115" s="158">
        <f>MAX(A$10:A114)+1</f>
        <v>257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58" t="s">
        <v>193</v>
      </c>
      <c r="B117" s="157" t="s">
        <v>175</v>
      </c>
      <c r="C117" s="125"/>
      <c r="D117" s="157" t="s">
        <v>182</v>
      </c>
      <c r="E117" s="125"/>
      <c r="F117" s="58" t="s">
        <v>194</v>
      </c>
      <c r="G117" s="58" t="s">
        <v>195</v>
      </c>
      <c r="H117" s="157" t="s">
        <v>196</v>
      </c>
      <c r="I117" s="125"/>
      <c r="J117" s="157" t="s">
        <v>197</v>
      </c>
      <c r="K117" s="124"/>
      <c r="L117" s="125"/>
    </row>
    <row r="118" spans="1:29" ht="24" customHeight="1" x14ac:dyDescent="0.25">
      <c r="A118" s="158">
        <f>MAX(A$10:A117)+1</f>
        <v>258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58" t="s">
        <v>193</v>
      </c>
      <c r="B120" s="157" t="s">
        <v>175</v>
      </c>
      <c r="C120" s="125"/>
      <c r="D120" s="157" t="s">
        <v>182</v>
      </c>
      <c r="E120" s="125"/>
      <c r="F120" s="58" t="s">
        <v>194</v>
      </c>
      <c r="G120" s="58" t="s">
        <v>195</v>
      </c>
      <c r="H120" s="157" t="s">
        <v>196</v>
      </c>
      <c r="I120" s="125"/>
      <c r="J120" s="157" t="s">
        <v>197</v>
      </c>
      <c r="K120" s="124"/>
      <c r="L120" s="125"/>
    </row>
    <row r="121" spans="1:29" ht="24" customHeight="1" x14ac:dyDescent="0.25">
      <c r="A121" s="158">
        <f>MAX(A$10:A120)+1</f>
        <v>259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58" t="s">
        <v>193</v>
      </c>
      <c r="B123" s="157" t="s">
        <v>175</v>
      </c>
      <c r="C123" s="125"/>
      <c r="D123" s="157" t="s">
        <v>182</v>
      </c>
      <c r="E123" s="125"/>
      <c r="F123" s="58" t="s">
        <v>194</v>
      </c>
      <c r="G123" s="58" t="s">
        <v>195</v>
      </c>
      <c r="H123" s="157" t="s">
        <v>196</v>
      </c>
      <c r="I123" s="125"/>
      <c r="J123" s="157" t="s">
        <v>197</v>
      </c>
      <c r="K123" s="124"/>
      <c r="L123" s="125"/>
    </row>
    <row r="124" spans="1:29" ht="24" customHeight="1" x14ac:dyDescent="0.25">
      <c r="A124" s="158">
        <f>MAX(A$10:A123)+1</f>
        <v>260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57" t="s">
        <v>251</v>
      </c>
      <c r="B127" s="159" t="str">
        <f>"GIORNATA "&amp;ROMAN(VALUE(LEFT(A127,LEN(A127)-1)))&amp;" - GIRONE "&amp;RIGHT(A127,1)</f>
        <v>GIORNATA VIII - GIRONE F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58" t="s">
        <v>193</v>
      </c>
      <c r="B128" s="157" t="s">
        <v>175</v>
      </c>
      <c r="C128" s="125"/>
      <c r="D128" s="157" t="s">
        <v>182</v>
      </c>
      <c r="E128" s="125"/>
      <c r="F128" s="58" t="s">
        <v>194</v>
      </c>
      <c r="G128" s="58" t="s">
        <v>195</v>
      </c>
      <c r="H128" s="157" t="s">
        <v>196</v>
      </c>
      <c r="I128" s="125"/>
      <c r="J128" s="157" t="s">
        <v>197</v>
      </c>
      <c r="K128" s="124"/>
      <c r="L128" s="125"/>
    </row>
    <row r="129" spans="1:29" ht="24" customHeight="1" x14ac:dyDescent="0.25">
      <c r="A129" s="158">
        <f>MAX(A$10:A128)+1</f>
        <v>261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58" t="s">
        <v>193</v>
      </c>
      <c r="B131" s="157" t="s">
        <v>175</v>
      </c>
      <c r="C131" s="125"/>
      <c r="D131" s="157" t="s">
        <v>182</v>
      </c>
      <c r="E131" s="125"/>
      <c r="F131" s="58" t="s">
        <v>194</v>
      </c>
      <c r="G131" s="58" t="s">
        <v>195</v>
      </c>
      <c r="H131" s="157" t="s">
        <v>196</v>
      </c>
      <c r="I131" s="125"/>
      <c r="J131" s="157" t="s">
        <v>197</v>
      </c>
      <c r="K131" s="124"/>
      <c r="L131" s="125"/>
    </row>
    <row r="132" spans="1:29" ht="24" customHeight="1" x14ac:dyDescent="0.25">
      <c r="A132" s="158">
        <f>MAX(A$10:A131)+1</f>
        <v>262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58" t="s">
        <v>193</v>
      </c>
      <c r="B134" s="157" t="s">
        <v>175</v>
      </c>
      <c r="C134" s="125"/>
      <c r="D134" s="157" t="s">
        <v>182</v>
      </c>
      <c r="E134" s="125"/>
      <c r="F134" s="58" t="s">
        <v>194</v>
      </c>
      <c r="G134" s="58" t="s">
        <v>195</v>
      </c>
      <c r="H134" s="157" t="s">
        <v>196</v>
      </c>
      <c r="I134" s="125"/>
      <c r="J134" s="157" t="s">
        <v>197</v>
      </c>
      <c r="K134" s="124"/>
      <c r="L134" s="125"/>
    </row>
    <row r="135" spans="1:29" ht="24" customHeight="1" x14ac:dyDescent="0.25">
      <c r="A135" s="158">
        <f>MAX(A$10:A134)+1</f>
        <v>263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58" t="s">
        <v>193</v>
      </c>
      <c r="B137" s="157" t="s">
        <v>175</v>
      </c>
      <c r="C137" s="125"/>
      <c r="D137" s="157" t="s">
        <v>182</v>
      </c>
      <c r="E137" s="125"/>
      <c r="F137" s="58" t="s">
        <v>194</v>
      </c>
      <c r="G137" s="58" t="s">
        <v>195</v>
      </c>
      <c r="H137" s="157" t="s">
        <v>196</v>
      </c>
      <c r="I137" s="125"/>
      <c r="J137" s="157" t="s">
        <v>197</v>
      </c>
      <c r="K137" s="124"/>
      <c r="L137" s="125"/>
    </row>
    <row r="138" spans="1:29" ht="24" customHeight="1" x14ac:dyDescent="0.25">
      <c r="A138" s="158">
        <f>MAX(A$10:A137)+1</f>
        <v>264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58" t="s">
        <v>193</v>
      </c>
      <c r="B140" s="157" t="s">
        <v>175</v>
      </c>
      <c r="C140" s="125"/>
      <c r="D140" s="157" t="s">
        <v>182</v>
      </c>
      <c r="E140" s="125"/>
      <c r="F140" s="58" t="s">
        <v>194</v>
      </c>
      <c r="G140" s="58" t="s">
        <v>195</v>
      </c>
      <c r="H140" s="157" t="s">
        <v>196</v>
      </c>
      <c r="I140" s="125"/>
      <c r="J140" s="157" t="s">
        <v>197</v>
      </c>
      <c r="K140" s="124"/>
      <c r="L140" s="125"/>
    </row>
    <row r="141" spans="1:29" ht="24" customHeight="1" x14ac:dyDescent="0.25">
      <c r="A141" s="158">
        <f>MAX(A$10:A140)+1</f>
        <v>265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57" t="s">
        <v>252</v>
      </c>
      <c r="B144" s="159" t="str">
        <f>"GIORNATA "&amp;ROMAN(VALUE(LEFT(A144,LEN(A144)-1)))&amp;" - GIRONE "&amp;RIGHT(A144,1)</f>
        <v>GIORNATA IX - GIRONE F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58" t="s">
        <v>193</v>
      </c>
      <c r="B145" s="157" t="s">
        <v>175</v>
      </c>
      <c r="C145" s="125"/>
      <c r="D145" s="157" t="s">
        <v>182</v>
      </c>
      <c r="E145" s="125"/>
      <c r="F145" s="58" t="s">
        <v>194</v>
      </c>
      <c r="G145" s="58" t="s">
        <v>195</v>
      </c>
      <c r="H145" s="157" t="s">
        <v>196</v>
      </c>
      <c r="I145" s="125"/>
      <c r="J145" s="157" t="s">
        <v>197</v>
      </c>
      <c r="K145" s="124"/>
      <c r="L145" s="125"/>
    </row>
    <row r="146" spans="1:29" ht="24" customHeight="1" x14ac:dyDescent="0.25">
      <c r="A146" s="158">
        <f>MAX(A$10:A145)+1</f>
        <v>266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58" t="s">
        <v>193</v>
      </c>
      <c r="B148" s="157" t="s">
        <v>175</v>
      </c>
      <c r="C148" s="125"/>
      <c r="D148" s="157" t="s">
        <v>182</v>
      </c>
      <c r="E148" s="125"/>
      <c r="F148" s="58" t="s">
        <v>194</v>
      </c>
      <c r="G148" s="58" t="s">
        <v>195</v>
      </c>
      <c r="H148" s="157" t="s">
        <v>196</v>
      </c>
      <c r="I148" s="125"/>
      <c r="J148" s="157" t="s">
        <v>197</v>
      </c>
      <c r="K148" s="124"/>
      <c r="L148" s="125"/>
    </row>
    <row r="149" spans="1:29" ht="24" customHeight="1" x14ac:dyDescent="0.25">
      <c r="A149" s="158">
        <f>MAX(A$10:A148)+1</f>
        <v>267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58" t="s">
        <v>193</v>
      </c>
      <c r="B151" s="157" t="s">
        <v>175</v>
      </c>
      <c r="C151" s="125"/>
      <c r="D151" s="157" t="s">
        <v>182</v>
      </c>
      <c r="E151" s="125"/>
      <c r="F151" s="58" t="s">
        <v>194</v>
      </c>
      <c r="G151" s="58" t="s">
        <v>195</v>
      </c>
      <c r="H151" s="157" t="s">
        <v>196</v>
      </c>
      <c r="I151" s="125"/>
      <c r="J151" s="157" t="s">
        <v>197</v>
      </c>
      <c r="K151" s="124"/>
      <c r="L151" s="125"/>
    </row>
    <row r="152" spans="1:29" ht="24" customHeight="1" x14ac:dyDescent="0.25">
      <c r="A152" s="158">
        <f>MAX(A$10:A151)+1</f>
        <v>268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58" t="s">
        <v>193</v>
      </c>
      <c r="B154" s="157" t="s">
        <v>175</v>
      </c>
      <c r="C154" s="125"/>
      <c r="D154" s="157" t="s">
        <v>182</v>
      </c>
      <c r="E154" s="125"/>
      <c r="F154" s="58" t="s">
        <v>194</v>
      </c>
      <c r="G154" s="58" t="s">
        <v>195</v>
      </c>
      <c r="H154" s="157" t="s">
        <v>196</v>
      </c>
      <c r="I154" s="125"/>
      <c r="J154" s="157" t="s">
        <v>197</v>
      </c>
      <c r="K154" s="124"/>
      <c r="L154" s="125"/>
    </row>
    <row r="155" spans="1:29" ht="24" customHeight="1" x14ac:dyDescent="0.25">
      <c r="A155" s="158">
        <f>MAX(A$10:A154)+1</f>
        <v>269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58" t="s">
        <v>193</v>
      </c>
      <c r="B157" s="157" t="s">
        <v>175</v>
      </c>
      <c r="C157" s="125"/>
      <c r="D157" s="157" t="s">
        <v>182</v>
      </c>
      <c r="E157" s="125"/>
      <c r="F157" s="58" t="s">
        <v>194</v>
      </c>
      <c r="G157" s="58" t="s">
        <v>195</v>
      </c>
      <c r="H157" s="157" t="s">
        <v>196</v>
      </c>
      <c r="I157" s="125"/>
      <c r="J157" s="157" t="s">
        <v>197</v>
      </c>
      <c r="K157" s="124"/>
      <c r="L157" s="125"/>
    </row>
    <row r="158" spans="1:29" ht="24" customHeight="1" x14ac:dyDescent="0.25">
      <c r="A158" s="158">
        <f>MAX(A$10:A157)+1</f>
        <v>270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64" t="str">
        <f>"GIRONE G - Stagione "&amp;constStagionaCampionato</f>
        <v xml:space="preserve">GIRONE G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9" t="s">
        <v>253</v>
      </c>
      <c r="B8" s="163" t="str">
        <f>"GIORNATA "&amp;ROMAN(VALUE(LEFT(A8,LEN(A8)-1)))&amp;" - GIRONE "&amp;RIGHT(A8,1)</f>
        <v>GIORNATA I - GIRONE G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60" t="s">
        <v>193</v>
      </c>
      <c r="B9" s="161" t="s">
        <v>175</v>
      </c>
      <c r="C9" s="125"/>
      <c r="D9" s="161" t="s">
        <v>182</v>
      </c>
      <c r="E9" s="125"/>
      <c r="F9" s="60" t="s">
        <v>194</v>
      </c>
      <c r="G9" s="60" t="s">
        <v>195</v>
      </c>
      <c r="H9" s="161" t="s">
        <v>196</v>
      </c>
      <c r="I9" s="125"/>
      <c r="J9" s="161" t="s">
        <v>197</v>
      </c>
      <c r="K9" s="124"/>
      <c r="L9" s="125"/>
    </row>
    <row r="10" spans="1:29" ht="24" customHeight="1" x14ac:dyDescent="0.25">
      <c r="A10" s="162">
        <v>271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60" t="s">
        <v>193</v>
      </c>
      <c r="B12" s="161" t="s">
        <v>175</v>
      </c>
      <c r="C12" s="125"/>
      <c r="D12" s="161" t="s">
        <v>182</v>
      </c>
      <c r="E12" s="125"/>
      <c r="F12" s="60" t="s">
        <v>194</v>
      </c>
      <c r="G12" s="60" t="s">
        <v>195</v>
      </c>
      <c r="H12" s="161" t="s">
        <v>196</v>
      </c>
      <c r="I12" s="125"/>
      <c r="J12" s="161" t="s">
        <v>197</v>
      </c>
      <c r="K12" s="124"/>
      <c r="L12" s="125"/>
    </row>
    <row r="13" spans="1:29" ht="24" customHeight="1" x14ac:dyDescent="0.25">
      <c r="A13" s="162">
        <f>MAX(A$10:A12)+1</f>
        <v>272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60" t="s">
        <v>193</v>
      </c>
      <c r="B15" s="161" t="s">
        <v>175</v>
      </c>
      <c r="C15" s="125"/>
      <c r="D15" s="161" t="s">
        <v>182</v>
      </c>
      <c r="E15" s="125"/>
      <c r="F15" s="60" t="s">
        <v>194</v>
      </c>
      <c r="G15" s="60" t="s">
        <v>195</v>
      </c>
      <c r="H15" s="161" t="s">
        <v>196</v>
      </c>
      <c r="I15" s="125"/>
      <c r="J15" s="161" t="s">
        <v>197</v>
      </c>
      <c r="K15" s="124"/>
      <c r="L15" s="125"/>
    </row>
    <row r="16" spans="1:29" ht="24" customHeight="1" x14ac:dyDescent="0.25">
      <c r="A16" s="162">
        <f>MAX(A$10:A15)+1</f>
        <v>273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60" t="s">
        <v>193</v>
      </c>
      <c r="B18" s="161" t="s">
        <v>175</v>
      </c>
      <c r="C18" s="125"/>
      <c r="D18" s="161" t="s">
        <v>182</v>
      </c>
      <c r="E18" s="125"/>
      <c r="F18" s="60" t="s">
        <v>194</v>
      </c>
      <c r="G18" s="60" t="s">
        <v>195</v>
      </c>
      <c r="H18" s="161" t="s">
        <v>196</v>
      </c>
      <c r="I18" s="125"/>
      <c r="J18" s="161" t="s">
        <v>197</v>
      </c>
      <c r="K18" s="124"/>
      <c r="L18" s="125"/>
    </row>
    <row r="19" spans="1:29" ht="24" customHeight="1" x14ac:dyDescent="0.25">
      <c r="A19" s="162">
        <f>MAX(A$10:A18)+1</f>
        <v>274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60" t="s">
        <v>193</v>
      </c>
      <c r="B21" s="161" t="s">
        <v>175</v>
      </c>
      <c r="C21" s="125"/>
      <c r="D21" s="161" t="s">
        <v>182</v>
      </c>
      <c r="E21" s="125"/>
      <c r="F21" s="60" t="s">
        <v>194</v>
      </c>
      <c r="G21" s="60" t="s">
        <v>195</v>
      </c>
      <c r="H21" s="161" t="s">
        <v>196</v>
      </c>
      <c r="I21" s="125"/>
      <c r="J21" s="161" t="s">
        <v>197</v>
      </c>
      <c r="K21" s="124"/>
      <c r="L21" s="125"/>
    </row>
    <row r="22" spans="1:29" ht="24" customHeight="1" x14ac:dyDescent="0.25">
      <c r="A22" s="162">
        <f>MAX(A$10:A21)+1</f>
        <v>275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59" t="s">
        <v>254</v>
      </c>
      <c r="B25" s="163" t="str">
        <f>"GIORNATA "&amp;ROMAN(VALUE(LEFT(A25,LEN(A25)-1)))&amp;" - GIRONE "&amp;RIGHT(A25,1)</f>
        <v>GIORNATA II - GIRONE G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60" t="s">
        <v>193</v>
      </c>
      <c r="B26" s="161" t="s">
        <v>175</v>
      </c>
      <c r="C26" s="125"/>
      <c r="D26" s="161" t="s">
        <v>182</v>
      </c>
      <c r="E26" s="125"/>
      <c r="F26" s="60" t="s">
        <v>194</v>
      </c>
      <c r="G26" s="60" t="s">
        <v>195</v>
      </c>
      <c r="H26" s="161" t="s">
        <v>196</v>
      </c>
      <c r="I26" s="125"/>
      <c r="J26" s="161" t="s">
        <v>197</v>
      </c>
      <c r="K26" s="124"/>
      <c r="L26" s="125"/>
    </row>
    <row r="27" spans="1:29" ht="24" customHeight="1" x14ac:dyDescent="0.25">
      <c r="A27" s="162">
        <f>MAX(A$10:A26)+1</f>
        <v>276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60" t="s">
        <v>193</v>
      </c>
      <c r="B29" s="161" t="s">
        <v>175</v>
      </c>
      <c r="C29" s="125"/>
      <c r="D29" s="161" t="s">
        <v>182</v>
      </c>
      <c r="E29" s="125"/>
      <c r="F29" s="60" t="s">
        <v>194</v>
      </c>
      <c r="G29" s="60" t="s">
        <v>195</v>
      </c>
      <c r="H29" s="161" t="s">
        <v>196</v>
      </c>
      <c r="I29" s="125"/>
      <c r="J29" s="161" t="s">
        <v>197</v>
      </c>
      <c r="K29" s="124"/>
      <c r="L29" s="125"/>
    </row>
    <row r="30" spans="1:29" ht="24" customHeight="1" x14ac:dyDescent="0.25">
      <c r="A30" s="162">
        <f>MAX(A$10:A29)+1</f>
        <v>277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60" t="s">
        <v>193</v>
      </c>
      <c r="B32" s="161" t="s">
        <v>175</v>
      </c>
      <c r="C32" s="125"/>
      <c r="D32" s="161" t="s">
        <v>182</v>
      </c>
      <c r="E32" s="125"/>
      <c r="F32" s="60" t="s">
        <v>194</v>
      </c>
      <c r="G32" s="60" t="s">
        <v>195</v>
      </c>
      <c r="H32" s="161" t="s">
        <v>196</v>
      </c>
      <c r="I32" s="125"/>
      <c r="J32" s="161" t="s">
        <v>197</v>
      </c>
      <c r="K32" s="124"/>
      <c r="L32" s="125"/>
    </row>
    <row r="33" spans="1:29" ht="24" customHeight="1" x14ac:dyDescent="0.25">
      <c r="A33" s="162">
        <f>MAX(A$10:A32)+1</f>
        <v>278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60" t="s">
        <v>193</v>
      </c>
      <c r="B35" s="161" t="s">
        <v>175</v>
      </c>
      <c r="C35" s="125"/>
      <c r="D35" s="161" t="s">
        <v>182</v>
      </c>
      <c r="E35" s="125"/>
      <c r="F35" s="60" t="s">
        <v>194</v>
      </c>
      <c r="G35" s="60" t="s">
        <v>195</v>
      </c>
      <c r="H35" s="161" t="s">
        <v>196</v>
      </c>
      <c r="I35" s="125"/>
      <c r="J35" s="161" t="s">
        <v>197</v>
      </c>
      <c r="K35" s="124"/>
      <c r="L35" s="125"/>
    </row>
    <row r="36" spans="1:29" ht="24" customHeight="1" x14ac:dyDescent="0.25">
      <c r="A36" s="162">
        <f>MAX(A$10:A35)+1</f>
        <v>279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60" t="s">
        <v>193</v>
      </c>
      <c r="B38" s="161" t="s">
        <v>175</v>
      </c>
      <c r="C38" s="125"/>
      <c r="D38" s="161" t="s">
        <v>182</v>
      </c>
      <c r="E38" s="125"/>
      <c r="F38" s="60" t="s">
        <v>194</v>
      </c>
      <c r="G38" s="60" t="s">
        <v>195</v>
      </c>
      <c r="H38" s="161" t="s">
        <v>196</v>
      </c>
      <c r="I38" s="125"/>
      <c r="J38" s="161" t="s">
        <v>197</v>
      </c>
      <c r="K38" s="124"/>
      <c r="L38" s="125"/>
    </row>
    <row r="39" spans="1:29" ht="24" customHeight="1" x14ac:dyDescent="0.25">
      <c r="A39" s="162">
        <f>MAX(A$10:A38)+1</f>
        <v>280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59" t="s">
        <v>255</v>
      </c>
      <c r="B42" s="163" t="str">
        <f>"GIORNATA "&amp;ROMAN(VALUE(LEFT(A42,LEN(A42)-1)))&amp;" - GIRONE "&amp;RIGHT(A42,1)</f>
        <v>GIORNATA III - GIRONE G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60" t="s">
        <v>193</v>
      </c>
      <c r="B43" s="161" t="s">
        <v>175</v>
      </c>
      <c r="C43" s="125"/>
      <c r="D43" s="161" t="s">
        <v>182</v>
      </c>
      <c r="E43" s="125"/>
      <c r="F43" s="60" t="s">
        <v>194</v>
      </c>
      <c r="G43" s="60" t="s">
        <v>195</v>
      </c>
      <c r="H43" s="161" t="s">
        <v>196</v>
      </c>
      <c r="I43" s="125"/>
      <c r="J43" s="161" t="s">
        <v>197</v>
      </c>
      <c r="K43" s="124"/>
      <c r="L43" s="125"/>
    </row>
    <row r="44" spans="1:29" ht="24" customHeight="1" x14ac:dyDescent="0.25">
      <c r="A44" s="162">
        <f>MAX(A$10:A43)+1</f>
        <v>281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60" t="s">
        <v>193</v>
      </c>
      <c r="B46" s="161" t="s">
        <v>175</v>
      </c>
      <c r="C46" s="125"/>
      <c r="D46" s="161" t="s">
        <v>182</v>
      </c>
      <c r="E46" s="125"/>
      <c r="F46" s="60" t="s">
        <v>194</v>
      </c>
      <c r="G46" s="60" t="s">
        <v>195</v>
      </c>
      <c r="H46" s="161" t="s">
        <v>196</v>
      </c>
      <c r="I46" s="125"/>
      <c r="J46" s="161" t="s">
        <v>197</v>
      </c>
      <c r="K46" s="124"/>
      <c r="L46" s="125"/>
    </row>
    <row r="47" spans="1:29" ht="24" customHeight="1" x14ac:dyDescent="0.25">
      <c r="A47" s="162">
        <f>MAX(A$10:A46)+1</f>
        <v>282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60" t="s">
        <v>193</v>
      </c>
      <c r="B49" s="161" t="s">
        <v>175</v>
      </c>
      <c r="C49" s="125"/>
      <c r="D49" s="161" t="s">
        <v>182</v>
      </c>
      <c r="E49" s="125"/>
      <c r="F49" s="60" t="s">
        <v>194</v>
      </c>
      <c r="G49" s="60" t="s">
        <v>195</v>
      </c>
      <c r="H49" s="161" t="s">
        <v>196</v>
      </c>
      <c r="I49" s="125"/>
      <c r="J49" s="161" t="s">
        <v>197</v>
      </c>
      <c r="K49" s="124"/>
      <c r="L49" s="125"/>
    </row>
    <row r="50" spans="1:29" ht="24" customHeight="1" x14ac:dyDescent="0.25">
      <c r="A50" s="162">
        <f>MAX(A$10:A49)+1</f>
        <v>283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60" t="s">
        <v>193</v>
      </c>
      <c r="B52" s="161" t="s">
        <v>175</v>
      </c>
      <c r="C52" s="125"/>
      <c r="D52" s="161" t="s">
        <v>182</v>
      </c>
      <c r="E52" s="125"/>
      <c r="F52" s="60" t="s">
        <v>194</v>
      </c>
      <c r="G52" s="60" t="s">
        <v>195</v>
      </c>
      <c r="H52" s="161" t="s">
        <v>196</v>
      </c>
      <c r="I52" s="125"/>
      <c r="J52" s="161" t="s">
        <v>197</v>
      </c>
      <c r="K52" s="124"/>
      <c r="L52" s="125"/>
    </row>
    <row r="53" spans="1:29" ht="24" customHeight="1" x14ac:dyDescent="0.25">
      <c r="A53" s="162">
        <f>MAX(A$10:A52)+1</f>
        <v>284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60" t="s">
        <v>193</v>
      </c>
      <c r="B55" s="161" t="s">
        <v>175</v>
      </c>
      <c r="C55" s="125"/>
      <c r="D55" s="161" t="s">
        <v>182</v>
      </c>
      <c r="E55" s="125"/>
      <c r="F55" s="60" t="s">
        <v>194</v>
      </c>
      <c r="G55" s="60" t="s">
        <v>195</v>
      </c>
      <c r="H55" s="161" t="s">
        <v>196</v>
      </c>
      <c r="I55" s="125"/>
      <c r="J55" s="161" t="s">
        <v>197</v>
      </c>
      <c r="K55" s="124"/>
      <c r="L55" s="125"/>
    </row>
    <row r="56" spans="1:29" ht="24" customHeight="1" x14ac:dyDescent="0.25">
      <c r="A56" s="162">
        <f>MAX(A$10:A55)+1</f>
        <v>285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59" t="s">
        <v>256</v>
      </c>
      <c r="B59" s="163" t="str">
        <f>"GIORNATA "&amp;ROMAN(VALUE(LEFT(A59,LEN(A59)-1)))&amp;" - GIRONE "&amp;RIGHT(A59,1)</f>
        <v>GIORNATA IV - GIRONE G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60" t="s">
        <v>193</v>
      </c>
      <c r="B60" s="161" t="s">
        <v>175</v>
      </c>
      <c r="C60" s="125"/>
      <c r="D60" s="161" t="s">
        <v>182</v>
      </c>
      <c r="E60" s="125"/>
      <c r="F60" s="60" t="s">
        <v>194</v>
      </c>
      <c r="G60" s="60" t="s">
        <v>195</v>
      </c>
      <c r="H60" s="161" t="s">
        <v>196</v>
      </c>
      <c r="I60" s="125"/>
      <c r="J60" s="161" t="s">
        <v>197</v>
      </c>
      <c r="K60" s="124"/>
      <c r="L60" s="125"/>
    </row>
    <row r="61" spans="1:29" ht="24" customHeight="1" x14ac:dyDescent="0.25">
      <c r="A61" s="162">
        <f>MAX(A$10:A60)+1</f>
        <v>286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60" t="s">
        <v>193</v>
      </c>
      <c r="B63" s="161" t="s">
        <v>175</v>
      </c>
      <c r="C63" s="125"/>
      <c r="D63" s="161" t="s">
        <v>182</v>
      </c>
      <c r="E63" s="125"/>
      <c r="F63" s="60" t="s">
        <v>194</v>
      </c>
      <c r="G63" s="60" t="s">
        <v>195</v>
      </c>
      <c r="H63" s="161" t="s">
        <v>196</v>
      </c>
      <c r="I63" s="125"/>
      <c r="J63" s="161" t="s">
        <v>197</v>
      </c>
      <c r="K63" s="124"/>
      <c r="L63" s="125"/>
    </row>
    <row r="64" spans="1:29" ht="24" customHeight="1" x14ac:dyDescent="0.25">
      <c r="A64" s="162">
        <f>MAX(A$10:A63)+1</f>
        <v>287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60" t="s">
        <v>193</v>
      </c>
      <c r="B66" s="161" t="s">
        <v>175</v>
      </c>
      <c r="C66" s="125"/>
      <c r="D66" s="161" t="s">
        <v>182</v>
      </c>
      <c r="E66" s="125"/>
      <c r="F66" s="60" t="s">
        <v>194</v>
      </c>
      <c r="G66" s="60" t="s">
        <v>195</v>
      </c>
      <c r="H66" s="161" t="s">
        <v>196</v>
      </c>
      <c r="I66" s="125"/>
      <c r="J66" s="161" t="s">
        <v>197</v>
      </c>
      <c r="K66" s="124"/>
      <c r="L66" s="125"/>
    </row>
    <row r="67" spans="1:29" ht="24" customHeight="1" x14ac:dyDescent="0.25">
      <c r="A67" s="162">
        <f>MAX(A$10:A66)+1</f>
        <v>288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60" t="s">
        <v>193</v>
      </c>
      <c r="B69" s="161" t="s">
        <v>175</v>
      </c>
      <c r="C69" s="125"/>
      <c r="D69" s="161" t="s">
        <v>182</v>
      </c>
      <c r="E69" s="125"/>
      <c r="F69" s="60" t="s">
        <v>194</v>
      </c>
      <c r="G69" s="60" t="s">
        <v>195</v>
      </c>
      <c r="H69" s="161" t="s">
        <v>196</v>
      </c>
      <c r="I69" s="125"/>
      <c r="J69" s="161" t="s">
        <v>197</v>
      </c>
      <c r="K69" s="124"/>
      <c r="L69" s="125"/>
    </row>
    <row r="70" spans="1:29" ht="24" customHeight="1" x14ac:dyDescent="0.25">
      <c r="A70" s="162">
        <f>MAX(A$10:A69)+1</f>
        <v>289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60" t="s">
        <v>193</v>
      </c>
      <c r="B72" s="161" t="s">
        <v>175</v>
      </c>
      <c r="C72" s="125"/>
      <c r="D72" s="161" t="s">
        <v>182</v>
      </c>
      <c r="E72" s="125"/>
      <c r="F72" s="60" t="s">
        <v>194</v>
      </c>
      <c r="G72" s="60" t="s">
        <v>195</v>
      </c>
      <c r="H72" s="161" t="s">
        <v>196</v>
      </c>
      <c r="I72" s="125"/>
      <c r="J72" s="161" t="s">
        <v>197</v>
      </c>
      <c r="K72" s="124"/>
      <c r="L72" s="125"/>
    </row>
    <row r="73" spans="1:29" ht="24" customHeight="1" x14ac:dyDescent="0.25">
      <c r="A73" s="162">
        <f>MAX(A$10:A72)+1</f>
        <v>290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59" t="s">
        <v>257</v>
      </c>
      <c r="B76" s="163" t="str">
        <f>"GIORNATA "&amp;ROMAN(VALUE(LEFT(A76,LEN(A76)-1)))&amp;" - GIRONE "&amp;RIGHT(A76,1)</f>
        <v>GIORNATA V - GIRONE G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60" t="s">
        <v>193</v>
      </c>
      <c r="B77" s="161" t="s">
        <v>175</v>
      </c>
      <c r="C77" s="125"/>
      <c r="D77" s="161" t="s">
        <v>182</v>
      </c>
      <c r="E77" s="125"/>
      <c r="F77" s="60" t="s">
        <v>194</v>
      </c>
      <c r="G77" s="60" t="s">
        <v>195</v>
      </c>
      <c r="H77" s="161" t="s">
        <v>196</v>
      </c>
      <c r="I77" s="125"/>
      <c r="J77" s="161" t="s">
        <v>197</v>
      </c>
      <c r="K77" s="124"/>
      <c r="L77" s="125"/>
    </row>
    <row r="78" spans="1:29" ht="24" customHeight="1" x14ac:dyDescent="0.25">
      <c r="A78" s="162">
        <f>MAX(A$10:A77)+1</f>
        <v>291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60" t="s">
        <v>193</v>
      </c>
      <c r="B80" s="161" t="s">
        <v>175</v>
      </c>
      <c r="C80" s="125"/>
      <c r="D80" s="161" t="s">
        <v>182</v>
      </c>
      <c r="E80" s="125"/>
      <c r="F80" s="60" t="s">
        <v>194</v>
      </c>
      <c r="G80" s="60" t="s">
        <v>195</v>
      </c>
      <c r="H80" s="161" t="s">
        <v>196</v>
      </c>
      <c r="I80" s="125"/>
      <c r="J80" s="161" t="s">
        <v>197</v>
      </c>
      <c r="K80" s="124"/>
      <c r="L80" s="125"/>
    </row>
    <row r="81" spans="1:29" ht="24" customHeight="1" x14ac:dyDescent="0.25">
      <c r="A81" s="162">
        <f>MAX(A$10:A80)+1</f>
        <v>292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60" t="s">
        <v>193</v>
      </c>
      <c r="B83" s="161" t="s">
        <v>175</v>
      </c>
      <c r="C83" s="125"/>
      <c r="D83" s="161" t="s">
        <v>182</v>
      </c>
      <c r="E83" s="125"/>
      <c r="F83" s="60" t="s">
        <v>194</v>
      </c>
      <c r="G83" s="60" t="s">
        <v>195</v>
      </c>
      <c r="H83" s="161" t="s">
        <v>196</v>
      </c>
      <c r="I83" s="125"/>
      <c r="J83" s="161" t="s">
        <v>197</v>
      </c>
      <c r="K83" s="124"/>
      <c r="L83" s="125"/>
    </row>
    <row r="84" spans="1:29" ht="24" customHeight="1" x14ac:dyDescent="0.25">
      <c r="A84" s="162">
        <f>MAX(A$10:A83)+1</f>
        <v>293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60" t="s">
        <v>193</v>
      </c>
      <c r="B86" s="161" t="s">
        <v>175</v>
      </c>
      <c r="C86" s="125"/>
      <c r="D86" s="161" t="s">
        <v>182</v>
      </c>
      <c r="E86" s="125"/>
      <c r="F86" s="60" t="s">
        <v>194</v>
      </c>
      <c r="G86" s="60" t="s">
        <v>195</v>
      </c>
      <c r="H86" s="161" t="s">
        <v>196</v>
      </c>
      <c r="I86" s="125"/>
      <c r="J86" s="161" t="s">
        <v>197</v>
      </c>
      <c r="K86" s="124"/>
      <c r="L86" s="125"/>
    </row>
    <row r="87" spans="1:29" ht="24" customHeight="1" x14ac:dyDescent="0.25">
      <c r="A87" s="162">
        <f>MAX(A$10:A86)+1</f>
        <v>294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60" t="s">
        <v>193</v>
      </c>
      <c r="B89" s="161" t="s">
        <v>175</v>
      </c>
      <c r="C89" s="125"/>
      <c r="D89" s="161" t="s">
        <v>182</v>
      </c>
      <c r="E89" s="125"/>
      <c r="F89" s="60" t="s">
        <v>194</v>
      </c>
      <c r="G89" s="60" t="s">
        <v>195</v>
      </c>
      <c r="H89" s="161" t="s">
        <v>196</v>
      </c>
      <c r="I89" s="125"/>
      <c r="J89" s="161" t="s">
        <v>197</v>
      </c>
      <c r="K89" s="124"/>
      <c r="L89" s="125"/>
    </row>
    <row r="90" spans="1:29" ht="24" customHeight="1" x14ac:dyDescent="0.25">
      <c r="A90" s="162">
        <f>MAX(A$10:A89)+1</f>
        <v>295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59" t="s">
        <v>258</v>
      </c>
      <c r="B93" s="163" t="str">
        <f>"GIORNATA "&amp;ROMAN(VALUE(LEFT(A93,LEN(A93)-1)))&amp;" - GIRONE "&amp;RIGHT(A93,1)</f>
        <v>GIORNATA VI - GIRONE G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60" t="s">
        <v>193</v>
      </c>
      <c r="B94" s="161" t="s">
        <v>175</v>
      </c>
      <c r="C94" s="125"/>
      <c r="D94" s="161" t="s">
        <v>182</v>
      </c>
      <c r="E94" s="125"/>
      <c r="F94" s="60" t="s">
        <v>194</v>
      </c>
      <c r="G94" s="60" t="s">
        <v>195</v>
      </c>
      <c r="H94" s="161" t="s">
        <v>196</v>
      </c>
      <c r="I94" s="125"/>
      <c r="J94" s="161" t="s">
        <v>197</v>
      </c>
      <c r="K94" s="124"/>
      <c r="L94" s="125"/>
    </row>
    <row r="95" spans="1:29" ht="24" customHeight="1" x14ac:dyDescent="0.25">
      <c r="A95" s="162">
        <f>MAX(A$10:A94)+1</f>
        <v>296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60" t="s">
        <v>193</v>
      </c>
      <c r="B97" s="161" t="s">
        <v>175</v>
      </c>
      <c r="C97" s="125"/>
      <c r="D97" s="161" t="s">
        <v>182</v>
      </c>
      <c r="E97" s="125"/>
      <c r="F97" s="60" t="s">
        <v>194</v>
      </c>
      <c r="G97" s="60" t="s">
        <v>195</v>
      </c>
      <c r="H97" s="161" t="s">
        <v>196</v>
      </c>
      <c r="I97" s="125"/>
      <c r="J97" s="161" t="s">
        <v>197</v>
      </c>
      <c r="K97" s="124"/>
      <c r="L97" s="125"/>
    </row>
    <row r="98" spans="1:29" ht="24" customHeight="1" x14ac:dyDescent="0.25">
      <c r="A98" s="162">
        <f>MAX(A$10:A97)+1</f>
        <v>297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60" t="s">
        <v>193</v>
      </c>
      <c r="B100" s="161" t="s">
        <v>175</v>
      </c>
      <c r="C100" s="125"/>
      <c r="D100" s="161" t="s">
        <v>182</v>
      </c>
      <c r="E100" s="125"/>
      <c r="F100" s="60" t="s">
        <v>194</v>
      </c>
      <c r="G100" s="60" t="s">
        <v>195</v>
      </c>
      <c r="H100" s="161" t="s">
        <v>196</v>
      </c>
      <c r="I100" s="125"/>
      <c r="J100" s="161" t="s">
        <v>197</v>
      </c>
      <c r="K100" s="124"/>
      <c r="L100" s="125"/>
    </row>
    <row r="101" spans="1:29" ht="24" customHeight="1" x14ac:dyDescent="0.25">
      <c r="A101" s="162">
        <f>MAX(A$10:A100)+1</f>
        <v>298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60" t="s">
        <v>193</v>
      </c>
      <c r="B103" s="161" t="s">
        <v>175</v>
      </c>
      <c r="C103" s="125"/>
      <c r="D103" s="161" t="s">
        <v>182</v>
      </c>
      <c r="E103" s="125"/>
      <c r="F103" s="60" t="s">
        <v>194</v>
      </c>
      <c r="G103" s="60" t="s">
        <v>195</v>
      </c>
      <c r="H103" s="161" t="s">
        <v>196</v>
      </c>
      <c r="I103" s="125"/>
      <c r="J103" s="161" t="s">
        <v>197</v>
      </c>
      <c r="K103" s="124"/>
      <c r="L103" s="125"/>
    </row>
    <row r="104" spans="1:29" ht="24" customHeight="1" x14ac:dyDescent="0.25">
      <c r="A104" s="162">
        <f>MAX(A$10:A103)+1</f>
        <v>299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60" t="s">
        <v>193</v>
      </c>
      <c r="B106" s="161" t="s">
        <v>175</v>
      </c>
      <c r="C106" s="125"/>
      <c r="D106" s="161" t="s">
        <v>182</v>
      </c>
      <c r="E106" s="125"/>
      <c r="F106" s="60" t="s">
        <v>194</v>
      </c>
      <c r="G106" s="60" t="s">
        <v>195</v>
      </c>
      <c r="H106" s="161" t="s">
        <v>196</v>
      </c>
      <c r="I106" s="125"/>
      <c r="J106" s="161" t="s">
        <v>197</v>
      </c>
      <c r="K106" s="124"/>
      <c r="L106" s="125"/>
    </row>
    <row r="107" spans="1:29" ht="24" customHeight="1" x14ac:dyDescent="0.25">
      <c r="A107" s="162">
        <f>MAX(A$10:A106)+1</f>
        <v>300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59" t="s">
        <v>259</v>
      </c>
      <c r="B110" s="163" t="str">
        <f>"GIORNATA "&amp;ROMAN(VALUE(LEFT(A110,LEN(A110)-1)))&amp;" - GIRONE "&amp;RIGHT(A110,1)</f>
        <v>GIORNATA VII - GIRONE G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60" t="s">
        <v>193</v>
      </c>
      <c r="B111" s="161" t="s">
        <v>175</v>
      </c>
      <c r="C111" s="125"/>
      <c r="D111" s="161" t="s">
        <v>182</v>
      </c>
      <c r="E111" s="125"/>
      <c r="F111" s="60" t="s">
        <v>194</v>
      </c>
      <c r="G111" s="60" t="s">
        <v>195</v>
      </c>
      <c r="H111" s="161" t="s">
        <v>196</v>
      </c>
      <c r="I111" s="125"/>
      <c r="J111" s="161" t="s">
        <v>197</v>
      </c>
      <c r="K111" s="124"/>
      <c r="L111" s="125"/>
    </row>
    <row r="112" spans="1:29" ht="24" customHeight="1" x14ac:dyDescent="0.25">
      <c r="A112" s="162">
        <f>MAX(A$10:A111)+1</f>
        <v>301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60" t="s">
        <v>193</v>
      </c>
      <c r="B114" s="161" t="s">
        <v>175</v>
      </c>
      <c r="C114" s="125"/>
      <c r="D114" s="161" t="s">
        <v>182</v>
      </c>
      <c r="E114" s="125"/>
      <c r="F114" s="60" t="s">
        <v>194</v>
      </c>
      <c r="G114" s="60" t="s">
        <v>195</v>
      </c>
      <c r="H114" s="161" t="s">
        <v>196</v>
      </c>
      <c r="I114" s="125"/>
      <c r="J114" s="161" t="s">
        <v>197</v>
      </c>
      <c r="K114" s="124"/>
      <c r="L114" s="125"/>
    </row>
    <row r="115" spans="1:29" ht="24" customHeight="1" x14ac:dyDescent="0.25">
      <c r="A115" s="162">
        <f>MAX(A$10:A114)+1</f>
        <v>302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60" t="s">
        <v>193</v>
      </c>
      <c r="B117" s="161" t="s">
        <v>175</v>
      </c>
      <c r="C117" s="125"/>
      <c r="D117" s="161" t="s">
        <v>182</v>
      </c>
      <c r="E117" s="125"/>
      <c r="F117" s="60" t="s">
        <v>194</v>
      </c>
      <c r="G117" s="60" t="s">
        <v>195</v>
      </c>
      <c r="H117" s="161" t="s">
        <v>196</v>
      </c>
      <c r="I117" s="125"/>
      <c r="J117" s="161" t="s">
        <v>197</v>
      </c>
      <c r="K117" s="124"/>
      <c r="L117" s="125"/>
    </row>
    <row r="118" spans="1:29" ht="24" customHeight="1" x14ac:dyDescent="0.25">
      <c r="A118" s="162">
        <f>MAX(A$10:A117)+1</f>
        <v>303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60" t="s">
        <v>193</v>
      </c>
      <c r="B120" s="161" t="s">
        <v>175</v>
      </c>
      <c r="C120" s="125"/>
      <c r="D120" s="161" t="s">
        <v>182</v>
      </c>
      <c r="E120" s="125"/>
      <c r="F120" s="60" t="s">
        <v>194</v>
      </c>
      <c r="G120" s="60" t="s">
        <v>195</v>
      </c>
      <c r="H120" s="161" t="s">
        <v>196</v>
      </c>
      <c r="I120" s="125"/>
      <c r="J120" s="161" t="s">
        <v>197</v>
      </c>
      <c r="K120" s="124"/>
      <c r="L120" s="125"/>
    </row>
    <row r="121" spans="1:29" ht="24" customHeight="1" x14ac:dyDescent="0.25">
      <c r="A121" s="162">
        <f>MAX(A$10:A120)+1</f>
        <v>304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60" t="s">
        <v>193</v>
      </c>
      <c r="B123" s="161" t="s">
        <v>175</v>
      </c>
      <c r="C123" s="125"/>
      <c r="D123" s="161" t="s">
        <v>182</v>
      </c>
      <c r="E123" s="125"/>
      <c r="F123" s="60" t="s">
        <v>194</v>
      </c>
      <c r="G123" s="60" t="s">
        <v>195</v>
      </c>
      <c r="H123" s="161" t="s">
        <v>196</v>
      </c>
      <c r="I123" s="125"/>
      <c r="J123" s="161" t="s">
        <v>197</v>
      </c>
      <c r="K123" s="124"/>
      <c r="L123" s="125"/>
    </row>
    <row r="124" spans="1:29" ht="24" customHeight="1" x14ac:dyDescent="0.25">
      <c r="A124" s="162">
        <f>MAX(A$10:A123)+1</f>
        <v>305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59" t="s">
        <v>260</v>
      </c>
      <c r="B127" s="163" t="str">
        <f>"GIORNATA "&amp;ROMAN(VALUE(LEFT(A127,LEN(A127)-1)))&amp;" - GIRONE "&amp;RIGHT(A127,1)</f>
        <v>GIORNATA VIII - GIRONE G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60" t="s">
        <v>193</v>
      </c>
      <c r="B128" s="161" t="s">
        <v>175</v>
      </c>
      <c r="C128" s="125"/>
      <c r="D128" s="161" t="s">
        <v>182</v>
      </c>
      <c r="E128" s="125"/>
      <c r="F128" s="60" t="s">
        <v>194</v>
      </c>
      <c r="G128" s="60" t="s">
        <v>195</v>
      </c>
      <c r="H128" s="161" t="s">
        <v>196</v>
      </c>
      <c r="I128" s="125"/>
      <c r="J128" s="161" t="s">
        <v>197</v>
      </c>
      <c r="K128" s="124"/>
      <c r="L128" s="125"/>
    </row>
    <row r="129" spans="1:29" ht="24" customHeight="1" x14ac:dyDescent="0.25">
      <c r="A129" s="162">
        <f>MAX(A$10:A128)+1</f>
        <v>306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60" t="s">
        <v>193</v>
      </c>
      <c r="B131" s="161" t="s">
        <v>175</v>
      </c>
      <c r="C131" s="125"/>
      <c r="D131" s="161" t="s">
        <v>182</v>
      </c>
      <c r="E131" s="125"/>
      <c r="F131" s="60" t="s">
        <v>194</v>
      </c>
      <c r="G131" s="60" t="s">
        <v>195</v>
      </c>
      <c r="H131" s="161" t="s">
        <v>196</v>
      </c>
      <c r="I131" s="125"/>
      <c r="J131" s="161" t="s">
        <v>197</v>
      </c>
      <c r="K131" s="124"/>
      <c r="L131" s="125"/>
    </row>
    <row r="132" spans="1:29" ht="24" customHeight="1" x14ac:dyDescent="0.25">
      <c r="A132" s="162">
        <f>MAX(A$10:A131)+1</f>
        <v>307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60" t="s">
        <v>193</v>
      </c>
      <c r="B134" s="161" t="s">
        <v>175</v>
      </c>
      <c r="C134" s="125"/>
      <c r="D134" s="161" t="s">
        <v>182</v>
      </c>
      <c r="E134" s="125"/>
      <c r="F134" s="60" t="s">
        <v>194</v>
      </c>
      <c r="G134" s="60" t="s">
        <v>195</v>
      </c>
      <c r="H134" s="161" t="s">
        <v>196</v>
      </c>
      <c r="I134" s="125"/>
      <c r="J134" s="161" t="s">
        <v>197</v>
      </c>
      <c r="K134" s="124"/>
      <c r="L134" s="125"/>
    </row>
    <row r="135" spans="1:29" ht="24" customHeight="1" x14ac:dyDescent="0.25">
      <c r="A135" s="162">
        <f>MAX(A$10:A134)+1</f>
        <v>308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60" t="s">
        <v>193</v>
      </c>
      <c r="B137" s="161" t="s">
        <v>175</v>
      </c>
      <c r="C137" s="125"/>
      <c r="D137" s="161" t="s">
        <v>182</v>
      </c>
      <c r="E137" s="125"/>
      <c r="F137" s="60" t="s">
        <v>194</v>
      </c>
      <c r="G137" s="60" t="s">
        <v>195</v>
      </c>
      <c r="H137" s="161" t="s">
        <v>196</v>
      </c>
      <c r="I137" s="125"/>
      <c r="J137" s="161" t="s">
        <v>197</v>
      </c>
      <c r="K137" s="124"/>
      <c r="L137" s="125"/>
    </row>
    <row r="138" spans="1:29" ht="24" customHeight="1" x14ac:dyDescent="0.25">
      <c r="A138" s="162">
        <f>MAX(A$10:A137)+1</f>
        <v>309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60" t="s">
        <v>193</v>
      </c>
      <c r="B140" s="161" t="s">
        <v>175</v>
      </c>
      <c r="C140" s="125"/>
      <c r="D140" s="161" t="s">
        <v>182</v>
      </c>
      <c r="E140" s="125"/>
      <c r="F140" s="60" t="s">
        <v>194</v>
      </c>
      <c r="G140" s="60" t="s">
        <v>195</v>
      </c>
      <c r="H140" s="161" t="s">
        <v>196</v>
      </c>
      <c r="I140" s="125"/>
      <c r="J140" s="161" t="s">
        <v>197</v>
      </c>
      <c r="K140" s="124"/>
      <c r="L140" s="125"/>
    </row>
    <row r="141" spans="1:29" ht="24" customHeight="1" x14ac:dyDescent="0.25">
      <c r="A141" s="162">
        <f>MAX(A$10:A140)+1</f>
        <v>310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59" t="s">
        <v>261</v>
      </c>
      <c r="B144" s="163" t="str">
        <f>"GIORNATA "&amp;ROMAN(VALUE(LEFT(A144,LEN(A144)-1)))&amp;" - GIRONE "&amp;RIGHT(A144,1)</f>
        <v>GIORNATA IX - GIRONE G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60" t="s">
        <v>193</v>
      </c>
      <c r="B145" s="161" t="s">
        <v>175</v>
      </c>
      <c r="C145" s="125"/>
      <c r="D145" s="161" t="s">
        <v>182</v>
      </c>
      <c r="E145" s="125"/>
      <c r="F145" s="60" t="s">
        <v>194</v>
      </c>
      <c r="G145" s="60" t="s">
        <v>195</v>
      </c>
      <c r="H145" s="161" t="s">
        <v>196</v>
      </c>
      <c r="I145" s="125"/>
      <c r="J145" s="161" t="s">
        <v>197</v>
      </c>
      <c r="K145" s="124"/>
      <c r="L145" s="125"/>
    </row>
    <row r="146" spans="1:29" ht="24" customHeight="1" x14ac:dyDescent="0.25">
      <c r="A146" s="162">
        <f>MAX(A$10:A145)+1</f>
        <v>311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60" t="s">
        <v>193</v>
      </c>
      <c r="B148" s="161" t="s">
        <v>175</v>
      </c>
      <c r="C148" s="125"/>
      <c r="D148" s="161" t="s">
        <v>182</v>
      </c>
      <c r="E148" s="125"/>
      <c r="F148" s="60" t="s">
        <v>194</v>
      </c>
      <c r="G148" s="60" t="s">
        <v>195</v>
      </c>
      <c r="H148" s="161" t="s">
        <v>196</v>
      </c>
      <c r="I148" s="125"/>
      <c r="J148" s="161" t="s">
        <v>197</v>
      </c>
      <c r="K148" s="124"/>
      <c r="L148" s="125"/>
    </row>
    <row r="149" spans="1:29" ht="24" customHeight="1" x14ac:dyDescent="0.25">
      <c r="A149" s="162">
        <f>MAX(A$10:A148)+1</f>
        <v>312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60" t="s">
        <v>193</v>
      </c>
      <c r="B151" s="161" t="s">
        <v>175</v>
      </c>
      <c r="C151" s="125"/>
      <c r="D151" s="161" t="s">
        <v>182</v>
      </c>
      <c r="E151" s="125"/>
      <c r="F151" s="60" t="s">
        <v>194</v>
      </c>
      <c r="G151" s="60" t="s">
        <v>195</v>
      </c>
      <c r="H151" s="161" t="s">
        <v>196</v>
      </c>
      <c r="I151" s="125"/>
      <c r="J151" s="161" t="s">
        <v>197</v>
      </c>
      <c r="K151" s="124"/>
      <c r="L151" s="125"/>
    </row>
    <row r="152" spans="1:29" ht="24" customHeight="1" x14ac:dyDescent="0.25">
      <c r="A152" s="162">
        <f>MAX(A$10:A151)+1</f>
        <v>313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60" t="s">
        <v>193</v>
      </c>
      <c r="B154" s="161" t="s">
        <v>175</v>
      </c>
      <c r="C154" s="125"/>
      <c r="D154" s="161" t="s">
        <v>182</v>
      </c>
      <c r="E154" s="125"/>
      <c r="F154" s="60" t="s">
        <v>194</v>
      </c>
      <c r="G154" s="60" t="s">
        <v>195</v>
      </c>
      <c r="H154" s="161" t="s">
        <v>196</v>
      </c>
      <c r="I154" s="125"/>
      <c r="J154" s="161" t="s">
        <v>197</v>
      </c>
      <c r="K154" s="124"/>
      <c r="L154" s="125"/>
    </row>
    <row r="155" spans="1:29" ht="24" customHeight="1" x14ac:dyDescent="0.25">
      <c r="A155" s="162">
        <f>MAX(A$10:A154)+1</f>
        <v>314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60" t="s">
        <v>193</v>
      </c>
      <c r="B157" s="161" t="s">
        <v>175</v>
      </c>
      <c r="C157" s="125"/>
      <c r="D157" s="161" t="s">
        <v>182</v>
      </c>
      <c r="E157" s="125"/>
      <c r="F157" s="60" t="s">
        <v>194</v>
      </c>
      <c r="G157" s="60" t="s">
        <v>195</v>
      </c>
      <c r="H157" s="161" t="s">
        <v>196</v>
      </c>
      <c r="I157" s="125"/>
      <c r="J157" s="161" t="s">
        <v>197</v>
      </c>
      <c r="K157" s="124"/>
      <c r="L157" s="125"/>
    </row>
    <row r="158" spans="1:29" ht="24" customHeight="1" x14ac:dyDescent="0.25">
      <c r="A158" s="162">
        <f>MAX(A$10:A157)+1</f>
        <v>315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68" t="str">
        <f>"GIRONE H - Stagione "&amp;constStagionaCampionato</f>
        <v xml:space="preserve">GIRONE H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1" t="s">
        <v>262</v>
      </c>
      <c r="B8" s="167" t="str">
        <f>"GIORNATA "&amp;ROMAN(VALUE(LEFT(A8,LEN(A8)-1)))&amp;" - GIRONE "&amp;RIGHT(A8,1)</f>
        <v>GIORNATA I - GIRONE H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62" t="s">
        <v>193</v>
      </c>
      <c r="B9" s="165" t="s">
        <v>175</v>
      </c>
      <c r="C9" s="125"/>
      <c r="D9" s="165" t="s">
        <v>182</v>
      </c>
      <c r="E9" s="125"/>
      <c r="F9" s="62" t="s">
        <v>194</v>
      </c>
      <c r="G9" s="62" t="s">
        <v>195</v>
      </c>
      <c r="H9" s="165" t="s">
        <v>196</v>
      </c>
      <c r="I9" s="125"/>
      <c r="J9" s="165" t="s">
        <v>197</v>
      </c>
      <c r="K9" s="124"/>
      <c r="L9" s="125"/>
    </row>
    <row r="10" spans="1:29" ht="24" customHeight="1" x14ac:dyDescent="0.25">
      <c r="A10" s="166">
        <v>316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62" t="s">
        <v>193</v>
      </c>
      <c r="B12" s="165" t="s">
        <v>175</v>
      </c>
      <c r="C12" s="125"/>
      <c r="D12" s="165" t="s">
        <v>182</v>
      </c>
      <c r="E12" s="125"/>
      <c r="F12" s="62" t="s">
        <v>194</v>
      </c>
      <c r="G12" s="62" t="s">
        <v>195</v>
      </c>
      <c r="H12" s="165" t="s">
        <v>196</v>
      </c>
      <c r="I12" s="125"/>
      <c r="J12" s="165" t="s">
        <v>197</v>
      </c>
      <c r="K12" s="124"/>
      <c r="L12" s="125"/>
    </row>
    <row r="13" spans="1:29" ht="24" customHeight="1" x14ac:dyDescent="0.25">
      <c r="A13" s="166">
        <f>MAX(A$10:A12)+1</f>
        <v>317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62" t="s">
        <v>193</v>
      </c>
      <c r="B15" s="165" t="s">
        <v>175</v>
      </c>
      <c r="C15" s="125"/>
      <c r="D15" s="165" t="s">
        <v>182</v>
      </c>
      <c r="E15" s="125"/>
      <c r="F15" s="62" t="s">
        <v>194</v>
      </c>
      <c r="G15" s="62" t="s">
        <v>195</v>
      </c>
      <c r="H15" s="165" t="s">
        <v>196</v>
      </c>
      <c r="I15" s="125"/>
      <c r="J15" s="165" t="s">
        <v>197</v>
      </c>
      <c r="K15" s="124"/>
      <c r="L15" s="125"/>
    </row>
    <row r="16" spans="1:29" ht="24" customHeight="1" x14ac:dyDescent="0.25">
      <c r="A16" s="166">
        <f>MAX(A$10:A15)+1</f>
        <v>318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62" t="s">
        <v>193</v>
      </c>
      <c r="B18" s="165" t="s">
        <v>175</v>
      </c>
      <c r="C18" s="125"/>
      <c r="D18" s="165" t="s">
        <v>182</v>
      </c>
      <c r="E18" s="125"/>
      <c r="F18" s="62" t="s">
        <v>194</v>
      </c>
      <c r="G18" s="62" t="s">
        <v>195</v>
      </c>
      <c r="H18" s="165" t="s">
        <v>196</v>
      </c>
      <c r="I18" s="125"/>
      <c r="J18" s="165" t="s">
        <v>197</v>
      </c>
      <c r="K18" s="124"/>
      <c r="L18" s="125"/>
    </row>
    <row r="19" spans="1:29" ht="24" customHeight="1" x14ac:dyDescent="0.25">
      <c r="A19" s="166">
        <f>MAX(A$10:A18)+1</f>
        <v>319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62" t="s">
        <v>193</v>
      </c>
      <c r="B21" s="165" t="s">
        <v>175</v>
      </c>
      <c r="C21" s="125"/>
      <c r="D21" s="165" t="s">
        <v>182</v>
      </c>
      <c r="E21" s="125"/>
      <c r="F21" s="62" t="s">
        <v>194</v>
      </c>
      <c r="G21" s="62" t="s">
        <v>195</v>
      </c>
      <c r="H21" s="165" t="s">
        <v>196</v>
      </c>
      <c r="I21" s="125"/>
      <c r="J21" s="165" t="s">
        <v>197</v>
      </c>
      <c r="K21" s="124"/>
      <c r="L21" s="125"/>
    </row>
    <row r="22" spans="1:29" ht="24" customHeight="1" x14ac:dyDescent="0.25">
      <c r="A22" s="166">
        <f>MAX(A$10:A21)+1</f>
        <v>320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61" t="s">
        <v>263</v>
      </c>
      <c r="B25" s="167" t="str">
        <f>"GIORNATA "&amp;ROMAN(VALUE(LEFT(A25,LEN(A25)-1)))&amp;" - GIRONE "&amp;RIGHT(A25,1)</f>
        <v>GIORNATA II - GIRONE H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62" t="s">
        <v>193</v>
      </c>
      <c r="B26" s="165" t="s">
        <v>175</v>
      </c>
      <c r="C26" s="125"/>
      <c r="D26" s="165" t="s">
        <v>182</v>
      </c>
      <c r="E26" s="125"/>
      <c r="F26" s="62" t="s">
        <v>194</v>
      </c>
      <c r="G26" s="62" t="s">
        <v>195</v>
      </c>
      <c r="H26" s="165" t="s">
        <v>196</v>
      </c>
      <c r="I26" s="125"/>
      <c r="J26" s="165" t="s">
        <v>197</v>
      </c>
      <c r="K26" s="124"/>
      <c r="L26" s="125"/>
    </row>
    <row r="27" spans="1:29" ht="24" customHeight="1" x14ac:dyDescent="0.25">
      <c r="A27" s="166">
        <f>MAX(A$10:A26)+1</f>
        <v>321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62" t="s">
        <v>193</v>
      </c>
      <c r="B29" s="165" t="s">
        <v>175</v>
      </c>
      <c r="C29" s="125"/>
      <c r="D29" s="165" t="s">
        <v>182</v>
      </c>
      <c r="E29" s="125"/>
      <c r="F29" s="62" t="s">
        <v>194</v>
      </c>
      <c r="G29" s="62" t="s">
        <v>195</v>
      </c>
      <c r="H29" s="165" t="s">
        <v>196</v>
      </c>
      <c r="I29" s="125"/>
      <c r="J29" s="165" t="s">
        <v>197</v>
      </c>
      <c r="K29" s="124"/>
      <c r="L29" s="125"/>
    </row>
    <row r="30" spans="1:29" ht="24" customHeight="1" x14ac:dyDescent="0.25">
      <c r="A30" s="166">
        <f>MAX(A$10:A29)+1</f>
        <v>322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62" t="s">
        <v>193</v>
      </c>
      <c r="B32" s="165" t="s">
        <v>175</v>
      </c>
      <c r="C32" s="125"/>
      <c r="D32" s="165" t="s">
        <v>182</v>
      </c>
      <c r="E32" s="125"/>
      <c r="F32" s="62" t="s">
        <v>194</v>
      </c>
      <c r="G32" s="62" t="s">
        <v>195</v>
      </c>
      <c r="H32" s="165" t="s">
        <v>196</v>
      </c>
      <c r="I32" s="125"/>
      <c r="J32" s="165" t="s">
        <v>197</v>
      </c>
      <c r="K32" s="124"/>
      <c r="L32" s="125"/>
    </row>
    <row r="33" spans="1:29" ht="24" customHeight="1" x14ac:dyDescent="0.25">
      <c r="A33" s="166">
        <f>MAX(A$10:A32)+1</f>
        <v>323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62" t="s">
        <v>193</v>
      </c>
      <c r="B35" s="165" t="s">
        <v>175</v>
      </c>
      <c r="C35" s="125"/>
      <c r="D35" s="165" t="s">
        <v>182</v>
      </c>
      <c r="E35" s="125"/>
      <c r="F35" s="62" t="s">
        <v>194</v>
      </c>
      <c r="G35" s="62" t="s">
        <v>195</v>
      </c>
      <c r="H35" s="165" t="s">
        <v>196</v>
      </c>
      <c r="I35" s="125"/>
      <c r="J35" s="165" t="s">
        <v>197</v>
      </c>
      <c r="K35" s="124"/>
      <c r="L35" s="125"/>
    </row>
    <row r="36" spans="1:29" ht="24" customHeight="1" x14ac:dyDescent="0.25">
      <c r="A36" s="166">
        <f>MAX(A$10:A35)+1</f>
        <v>324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62" t="s">
        <v>193</v>
      </c>
      <c r="B38" s="165" t="s">
        <v>175</v>
      </c>
      <c r="C38" s="125"/>
      <c r="D38" s="165" t="s">
        <v>182</v>
      </c>
      <c r="E38" s="125"/>
      <c r="F38" s="62" t="s">
        <v>194</v>
      </c>
      <c r="G38" s="62" t="s">
        <v>195</v>
      </c>
      <c r="H38" s="165" t="s">
        <v>196</v>
      </c>
      <c r="I38" s="125"/>
      <c r="J38" s="165" t="s">
        <v>197</v>
      </c>
      <c r="K38" s="124"/>
      <c r="L38" s="125"/>
    </row>
    <row r="39" spans="1:29" ht="24" customHeight="1" x14ac:dyDescent="0.25">
      <c r="A39" s="166">
        <f>MAX(A$10:A38)+1</f>
        <v>325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61" t="s">
        <v>264</v>
      </c>
      <c r="B42" s="167" t="str">
        <f>"GIORNATA "&amp;ROMAN(VALUE(LEFT(A42,LEN(A42)-1)))&amp;" - GIRONE "&amp;RIGHT(A42,1)</f>
        <v>GIORNATA III - GIRONE H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62" t="s">
        <v>193</v>
      </c>
      <c r="B43" s="165" t="s">
        <v>175</v>
      </c>
      <c r="C43" s="125"/>
      <c r="D43" s="165" t="s">
        <v>182</v>
      </c>
      <c r="E43" s="125"/>
      <c r="F43" s="62" t="s">
        <v>194</v>
      </c>
      <c r="G43" s="62" t="s">
        <v>195</v>
      </c>
      <c r="H43" s="165" t="s">
        <v>196</v>
      </c>
      <c r="I43" s="125"/>
      <c r="J43" s="165" t="s">
        <v>197</v>
      </c>
      <c r="K43" s="124"/>
      <c r="L43" s="125"/>
    </row>
    <row r="44" spans="1:29" ht="24" customHeight="1" x14ac:dyDescent="0.25">
      <c r="A44" s="166">
        <f>MAX(A$10:A43)+1</f>
        <v>326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62" t="s">
        <v>193</v>
      </c>
      <c r="B46" s="165" t="s">
        <v>175</v>
      </c>
      <c r="C46" s="125"/>
      <c r="D46" s="165" t="s">
        <v>182</v>
      </c>
      <c r="E46" s="125"/>
      <c r="F46" s="62" t="s">
        <v>194</v>
      </c>
      <c r="G46" s="62" t="s">
        <v>195</v>
      </c>
      <c r="H46" s="165" t="s">
        <v>196</v>
      </c>
      <c r="I46" s="125"/>
      <c r="J46" s="165" t="s">
        <v>197</v>
      </c>
      <c r="K46" s="124"/>
      <c r="L46" s="125"/>
    </row>
    <row r="47" spans="1:29" ht="24" customHeight="1" x14ac:dyDescent="0.25">
      <c r="A47" s="166">
        <f>MAX(A$10:A46)+1</f>
        <v>327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62" t="s">
        <v>193</v>
      </c>
      <c r="B49" s="165" t="s">
        <v>175</v>
      </c>
      <c r="C49" s="125"/>
      <c r="D49" s="165" t="s">
        <v>182</v>
      </c>
      <c r="E49" s="125"/>
      <c r="F49" s="62" t="s">
        <v>194</v>
      </c>
      <c r="G49" s="62" t="s">
        <v>195</v>
      </c>
      <c r="H49" s="165" t="s">
        <v>196</v>
      </c>
      <c r="I49" s="125"/>
      <c r="J49" s="165" t="s">
        <v>197</v>
      </c>
      <c r="K49" s="124"/>
      <c r="L49" s="125"/>
    </row>
    <row r="50" spans="1:29" ht="24" customHeight="1" x14ac:dyDescent="0.25">
      <c r="A50" s="166">
        <f>MAX(A$10:A49)+1</f>
        <v>328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62" t="s">
        <v>193</v>
      </c>
      <c r="B52" s="165" t="s">
        <v>175</v>
      </c>
      <c r="C52" s="125"/>
      <c r="D52" s="165" t="s">
        <v>182</v>
      </c>
      <c r="E52" s="125"/>
      <c r="F52" s="62" t="s">
        <v>194</v>
      </c>
      <c r="G52" s="62" t="s">
        <v>195</v>
      </c>
      <c r="H52" s="165" t="s">
        <v>196</v>
      </c>
      <c r="I52" s="125"/>
      <c r="J52" s="165" t="s">
        <v>197</v>
      </c>
      <c r="K52" s="124"/>
      <c r="L52" s="125"/>
    </row>
    <row r="53" spans="1:29" ht="24" customHeight="1" x14ac:dyDescent="0.25">
      <c r="A53" s="166">
        <f>MAX(A$10:A52)+1</f>
        <v>329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62" t="s">
        <v>193</v>
      </c>
      <c r="B55" s="165" t="s">
        <v>175</v>
      </c>
      <c r="C55" s="125"/>
      <c r="D55" s="165" t="s">
        <v>182</v>
      </c>
      <c r="E55" s="125"/>
      <c r="F55" s="62" t="s">
        <v>194</v>
      </c>
      <c r="G55" s="62" t="s">
        <v>195</v>
      </c>
      <c r="H55" s="165" t="s">
        <v>196</v>
      </c>
      <c r="I55" s="125"/>
      <c r="J55" s="165" t="s">
        <v>197</v>
      </c>
      <c r="K55" s="124"/>
      <c r="L55" s="125"/>
    </row>
    <row r="56" spans="1:29" ht="24" customHeight="1" x14ac:dyDescent="0.25">
      <c r="A56" s="166">
        <f>MAX(A$10:A55)+1</f>
        <v>330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61" t="s">
        <v>265</v>
      </c>
      <c r="B59" s="167" t="str">
        <f>"GIORNATA "&amp;ROMAN(VALUE(LEFT(A59,LEN(A59)-1)))&amp;" - GIRONE "&amp;RIGHT(A59,1)</f>
        <v>GIORNATA IV - GIRONE H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62" t="s">
        <v>193</v>
      </c>
      <c r="B60" s="165" t="s">
        <v>175</v>
      </c>
      <c r="C60" s="125"/>
      <c r="D60" s="165" t="s">
        <v>182</v>
      </c>
      <c r="E60" s="125"/>
      <c r="F60" s="62" t="s">
        <v>194</v>
      </c>
      <c r="G60" s="62" t="s">
        <v>195</v>
      </c>
      <c r="H60" s="165" t="s">
        <v>196</v>
      </c>
      <c r="I60" s="125"/>
      <c r="J60" s="165" t="s">
        <v>197</v>
      </c>
      <c r="K60" s="124"/>
      <c r="L60" s="125"/>
    </row>
    <row r="61" spans="1:29" ht="24" customHeight="1" x14ac:dyDescent="0.25">
      <c r="A61" s="166">
        <f>MAX(A$10:A60)+1</f>
        <v>331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62" t="s">
        <v>193</v>
      </c>
      <c r="B63" s="165" t="s">
        <v>175</v>
      </c>
      <c r="C63" s="125"/>
      <c r="D63" s="165" t="s">
        <v>182</v>
      </c>
      <c r="E63" s="125"/>
      <c r="F63" s="62" t="s">
        <v>194</v>
      </c>
      <c r="G63" s="62" t="s">
        <v>195</v>
      </c>
      <c r="H63" s="165" t="s">
        <v>196</v>
      </c>
      <c r="I63" s="125"/>
      <c r="J63" s="165" t="s">
        <v>197</v>
      </c>
      <c r="K63" s="124"/>
      <c r="L63" s="125"/>
    </row>
    <row r="64" spans="1:29" ht="24" customHeight="1" x14ac:dyDescent="0.25">
      <c r="A64" s="166">
        <f>MAX(A$10:A63)+1</f>
        <v>332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62" t="s">
        <v>193</v>
      </c>
      <c r="B66" s="165" t="s">
        <v>175</v>
      </c>
      <c r="C66" s="125"/>
      <c r="D66" s="165" t="s">
        <v>182</v>
      </c>
      <c r="E66" s="125"/>
      <c r="F66" s="62" t="s">
        <v>194</v>
      </c>
      <c r="G66" s="62" t="s">
        <v>195</v>
      </c>
      <c r="H66" s="165" t="s">
        <v>196</v>
      </c>
      <c r="I66" s="125"/>
      <c r="J66" s="165" t="s">
        <v>197</v>
      </c>
      <c r="K66" s="124"/>
      <c r="L66" s="125"/>
    </row>
    <row r="67" spans="1:29" ht="24" customHeight="1" x14ac:dyDescent="0.25">
      <c r="A67" s="166">
        <f>MAX(A$10:A66)+1</f>
        <v>333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62" t="s">
        <v>193</v>
      </c>
      <c r="B69" s="165" t="s">
        <v>175</v>
      </c>
      <c r="C69" s="125"/>
      <c r="D69" s="165" t="s">
        <v>182</v>
      </c>
      <c r="E69" s="125"/>
      <c r="F69" s="62" t="s">
        <v>194</v>
      </c>
      <c r="G69" s="62" t="s">
        <v>195</v>
      </c>
      <c r="H69" s="165" t="s">
        <v>196</v>
      </c>
      <c r="I69" s="125"/>
      <c r="J69" s="165" t="s">
        <v>197</v>
      </c>
      <c r="K69" s="124"/>
      <c r="L69" s="125"/>
    </row>
    <row r="70" spans="1:29" ht="24" customHeight="1" x14ac:dyDescent="0.25">
      <c r="A70" s="166">
        <f>MAX(A$10:A69)+1</f>
        <v>334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62" t="s">
        <v>193</v>
      </c>
      <c r="B72" s="165" t="s">
        <v>175</v>
      </c>
      <c r="C72" s="125"/>
      <c r="D72" s="165" t="s">
        <v>182</v>
      </c>
      <c r="E72" s="125"/>
      <c r="F72" s="62" t="s">
        <v>194</v>
      </c>
      <c r="G72" s="62" t="s">
        <v>195</v>
      </c>
      <c r="H72" s="165" t="s">
        <v>196</v>
      </c>
      <c r="I72" s="125"/>
      <c r="J72" s="165" t="s">
        <v>197</v>
      </c>
      <c r="K72" s="124"/>
      <c r="L72" s="125"/>
    </row>
    <row r="73" spans="1:29" ht="24" customHeight="1" x14ac:dyDescent="0.25">
      <c r="A73" s="166">
        <f>MAX(A$10:A72)+1</f>
        <v>335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61" t="s">
        <v>266</v>
      </c>
      <c r="B76" s="167" t="str">
        <f>"GIORNATA "&amp;ROMAN(VALUE(LEFT(A76,LEN(A76)-1)))&amp;" - GIRONE "&amp;RIGHT(A76,1)</f>
        <v>GIORNATA V - GIRONE H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62" t="s">
        <v>193</v>
      </c>
      <c r="B77" s="165" t="s">
        <v>175</v>
      </c>
      <c r="C77" s="125"/>
      <c r="D77" s="165" t="s">
        <v>182</v>
      </c>
      <c r="E77" s="125"/>
      <c r="F77" s="62" t="s">
        <v>194</v>
      </c>
      <c r="G77" s="62" t="s">
        <v>195</v>
      </c>
      <c r="H77" s="165" t="s">
        <v>196</v>
      </c>
      <c r="I77" s="125"/>
      <c r="J77" s="165" t="s">
        <v>197</v>
      </c>
      <c r="K77" s="124"/>
      <c r="L77" s="125"/>
    </row>
    <row r="78" spans="1:29" ht="24" customHeight="1" x14ac:dyDescent="0.25">
      <c r="A78" s="166">
        <f>MAX(A$10:A77)+1</f>
        <v>336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62" t="s">
        <v>193</v>
      </c>
      <c r="B80" s="165" t="s">
        <v>175</v>
      </c>
      <c r="C80" s="125"/>
      <c r="D80" s="165" t="s">
        <v>182</v>
      </c>
      <c r="E80" s="125"/>
      <c r="F80" s="62" t="s">
        <v>194</v>
      </c>
      <c r="G80" s="62" t="s">
        <v>195</v>
      </c>
      <c r="H80" s="165" t="s">
        <v>196</v>
      </c>
      <c r="I80" s="125"/>
      <c r="J80" s="165" t="s">
        <v>197</v>
      </c>
      <c r="K80" s="124"/>
      <c r="L80" s="125"/>
    </row>
    <row r="81" spans="1:29" ht="24" customHeight="1" x14ac:dyDescent="0.25">
      <c r="A81" s="166">
        <f>MAX(A$10:A80)+1</f>
        <v>337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62" t="s">
        <v>193</v>
      </c>
      <c r="B83" s="165" t="s">
        <v>175</v>
      </c>
      <c r="C83" s="125"/>
      <c r="D83" s="165" t="s">
        <v>182</v>
      </c>
      <c r="E83" s="125"/>
      <c r="F83" s="62" t="s">
        <v>194</v>
      </c>
      <c r="G83" s="62" t="s">
        <v>195</v>
      </c>
      <c r="H83" s="165" t="s">
        <v>196</v>
      </c>
      <c r="I83" s="125"/>
      <c r="J83" s="165" t="s">
        <v>197</v>
      </c>
      <c r="K83" s="124"/>
      <c r="L83" s="125"/>
    </row>
    <row r="84" spans="1:29" ht="24" customHeight="1" x14ac:dyDescent="0.25">
      <c r="A84" s="166">
        <f>MAX(A$10:A83)+1</f>
        <v>338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62" t="s">
        <v>193</v>
      </c>
      <c r="B86" s="165" t="s">
        <v>175</v>
      </c>
      <c r="C86" s="125"/>
      <c r="D86" s="165" t="s">
        <v>182</v>
      </c>
      <c r="E86" s="125"/>
      <c r="F86" s="62" t="s">
        <v>194</v>
      </c>
      <c r="G86" s="62" t="s">
        <v>195</v>
      </c>
      <c r="H86" s="165" t="s">
        <v>196</v>
      </c>
      <c r="I86" s="125"/>
      <c r="J86" s="165" t="s">
        <v>197</v>
      </c>
      <c r="K86" s="124"/>
      <c r="L86" s="125"/>
    </row>
    <row r="87" spans="1:29" ht="24" customHeight="1" x14ac:dyDescent="0.25">
      <c r="A87" s="166">
        <f>MAX(A$10:A86)+1</f>
        <v>339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62" t="s">
        <v>193</v>
      </c>
      <c r="B89" s="165" t="s">
        <v>175</v>
      </c>
      <c r="C89" s="125"/>
      <c r="D89" s="165" t="s">
        <v>182</v>
      </c>
      <c r="E89" s="125"/>
      <c r="F89" s="62" t="s">
        <v>194</v>
      </c>
      <c r="G89" s="62" t="s">
        <v>195</v>
      </c>
      <c r="H89" s="165" t="s">
        <v>196</v>
      </c>
      <c r="I89" s="125"/>
      <c r="J89" s="165" t="s">
        <v>197</v>
      </c>
      <c r="K89" s="124"/>
      <c r="L89" s="125"/>
    </row>
    <row r="90" spans="1:29" ht="24" customHeight="1" x14ac:dyDescent="0.25">
      <c r="A90" s="166">
        <f>MAX(A$10:A89)+1</f>
        <v>340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61" t="s">
        <v>267</v>
      </c>
      <c r="B93" s="167" t="str">
        <f>"GIORNATA "&amp;ROMAN(VALUE(LEFT(A93,LEN(A93)-1)))&amp;" - GIRONE "&amp;RIGHT(A93,1)</f>
        <v>GIORNATA VI - GIRONE H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62" t="s">
        <v>193</v>
      </c>
      <c r="B94" s="165" t="s">
        <v>175</v>
      </c>
      <c r="C94" s="125"/>
      <c r="D94" s="165" t="s">
        <v>182</v>
      </c>
      <c r="E94" s="125"/>
      <c r="F94" s="62" t="s">
        <v>194</v>
      </c>
      <c r="G94" s="62" t="s">
        <v>195</v>
      </c>
      <c r="H94" s="165" t="s">
        <v>196</v>
      </c>
      <c r="I94" s="125"/>
      <c r="J94" s="165" t="s">
        <v>197</v>
      </c>
      <c r="K94" s="124"/>
      <c r="L94" s="125"/>
    </row>
    <row r="95" spans="1:29" ht="24" customHeight="1" x14ac:dyDescent="0.25">
      <c r="A95" s="166">
        <f>MAX(A$10:A94)+1</f>
        <v>341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62" t="s">
        <v>193</v>
      </c>
      <c r="B97" s="165" t="s">
        <v>175</v>
      </c>
      <c r="C97" s="125"/>
      <c r="D97" s="165" t="s">
        <v>182</v>
      </c>
      <c r="E97" s="125"/>
      <c r="F97" s="62" t="s">
        <v>194</v>
      </c>
      <c r="G97" s="62" t="s">
        <v>195</v>
      </c>
      <c r="H97" s="165" t="s">
        <v>196</v>
      </c>
      <c r="I97" s="125"/>
      <c r="J97" s="165" t="s">
        <v>197</v>
      </c>
      <c r="K97" s="124"/>
      <c r="L97" s="125"/>
    </row>
    <row r="98" spans="1:29" ht="24" customHeight="1" x14ac:dyDescent="0.25">
      <c r="A98" s="166">
        <f>MAX(A$10:A97)+1</f>
        <v>342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62" t="s">
        <v>193</v>
      </c>
      <c r="B100" s="165" t="s">
        <v>175</v>
      </c>
      <c r="C100" s="125"/>
      <c r="D100" s="165" t="s">
        <v>182</v>
      </c>
      <c r="E100" s="125"/>
      <c r="F100" s="62" t="s">
        <v>194</v>
      </c>
      <c r="G100" s="62" t="s">
        <v>195</v>
      </c>
      <c r="H100" s="165" t="s">
        <v>196</v>
      </c>
      <c r="I100" s="125"/>
      <c r="J100" s="165" t="s">
        <v>197</v>
      </c>
      <c r="K100" s="124"/>
      <c r="L100" s="125"/>
    </row>
    <row r="101" spans="1:29" ht="24" customHeight="1" x14ac:dyDescent="0.25">
      <c r="A101" s="166">
        <f>MAX(A$10:A100)+1</f>
        <v>343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62" t="s">
        <v>193</v>
      </c>
      <c r="B103" s="165" t="s">
        <v>175</v>
      </c>
      <c r="C103" s="125"/>
      <c r="D103" s="165" t="s">
        <v>182</v>
      </c>
      <c r="E103" s="125"/>
      <c r="F103" s="62" t="s">
        <v>194</v>
      </c>
      <c r="G103" s="62" t="s">
        <v>195</v>
      </c>
      <c r="H103" s="165" t="s">
        <v>196</v>
      </c>
      <c r="I103" s="125"/>
      <c r="J103" s="165" t="s">
        <v>197</v>
      </c>
      <c r="K103" s="124"/>
      <c r="L103" s="125"/>
    </row>
    <row r="104" spans="1:29" ht="24" customHeight="1" x14ac:dyDescent="0.25">
      <c r="A104" s="166">
        <f>MAX(A$10:A103)+1</f>
        <v>344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62" t="s">
        <v>193</v>
      </c>
      <c r="B106" s="165" t="s">
        <v>175</v>
      </c>
      <c r="C106" s="125"/>
      <c r="D106" s="165" t="s">
        <v>182</v>
      </c>
      <c r="E106" s="125"/>
      <c r="F106" s="62" t="s">
        <v>194</v>
      </c>
      <c r="G106" s="62" t="s">
        <v>195</v>
      </c>
      <c r="H106" s="165" t="s">
        <v>196</v>
      </c>
      <c r="I106" s="125"/>
      <c r="J106" s="165" t="s">
        <v>197</v>
      </c>
      <c r="K106" s="124"/>
      <c r="L106" s="125"/>
    </row>
    <row r="107" spans="1:29" ht="24" customHeight="1" x14ac:dyDescent="0.25">
      <c r="A107" s="166">
        <f>MAX(A$10:A106)+1</f>
        <v>345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61" t="s">
        <v>268</v>
      </c>
      <c r="B110" s="167" t="str">
        <f>"GIORNATA "&amp;ROMAN(VALUE(LEFT(A110,LEN(A110)-1)))&amp;" - GIRONE "&amp;RIGHT(A110,1)</f>
        <v>GIORNATA VII - GIRONE H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62" t="s">
        <v>193</v>
      </c>
      <c r="B111" s="165" t="s">
        <v>175</v>
      </c>
      <c r="C111" s="125"/>
      <c r="D111" s="165" t="s">
        <v>182</v>
      </c>
      <c r="E111" s="125"/>
      <c r="F111" s="62" t="s">
        <v>194</v>
      </c>
      <c r="G111" s="62" t="s">
        <v>195</v>
      </c>
      <c r="H111" s="165" t="s">
        <v>196</v>
      </c>
      <c r="I111" s="125"/>
      <c r="J111" s="165" t="s">
        <v>197</v>
      </c>
      <c r="K111" s="124"/>
      <c r="L111" s="125"/>
    </row>
    <row r="112" spans="1:29" ht="24" customHeight="1" x14ac:dyDescent="0.25">
      <c r="A112" s="166">
        <f>MAX(A$10:A111)+1</f>
        <v>346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62" t="s">
        <v>193</v>
      </c>
      <c r="B114" s="165" t="s">
        <v>175</v>
      </c>
      <c r="C114" s="125"/>
      <c r="D114" s="165" t="s">
        <v>182</v>
      </c>
      <c r="E114" s="125"/>
      <c r="F114" s="62" t="s">
        <v>194</v>
      </c>
      <c r="G114" s="62" t="s">
        <v>195</v>
      </c>
      <c r="H114" s="165" t="s">
        <v>196</v>
      </c>
      <c r="I114" s="125"/>
      <c r="J114" s="165" t="s">
        <v>197</v>
      </c>
      <c r="K114" s="124"/>
      <c r="L114" s="125"/>
    </row>
    <row r="115" spans="1:29" ht="24" customHeight="1" x14ac:dyDescent="0.25">
      <c r="A115" s="166">
        <f>MAX(A$10:A114)+1</f>
        <v>347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62" t="s">
        <v>193</v>
      </c>
      <c r="B117" s="165" t="s">
        <v>175</v>
      </c>
      <c r="C117" s="125"/>
      <c r="D117" s="165" t="s">
        <v>182</v>
      </c>
      <c r="E117" s="125"/>
      <c r="F117" s="62" t="s">
        <v>194</v>
      </c>
      <c r="G117" s="62" t="s">
        <v>195</v>
      </c>
      <c r="H117" s="165" t="s">
        <v>196</v>
      </c>
      <c r="I117" s="125"/>
      <c r="J117" s="165" t="s">
        <v>197</v>
      </c>
      <c r="K117" s="124"/>
      <c r="L117" s="125"/>
    </row>
    <row r="118" spans="1:29" ht="24" customHeight="1" x14ac:dyDescent="0.25">
      <c r="A118" s="166">
        <f>MAX(A$10:A117)+1</f>
        <v>348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62" t="s">
        <v>193</v>
      </c>
      <c r="B120" s="165" t="s">
        <v>175</v>
      </c>
      <c r="C120" s="125"/>
      <c r="D120" s="165" t="s">
        <v>182</v>
      </c>
      <c r="E120" s="125"/>
      <c r="F120" s="62" t="s">
        <v>194</v>
      </c>
      <c r="G120" s="62" t="s">
        <v>195</v>
      </c>
      <c r="H120" s="165" t="s">
        <v>196</v>
      </c>
      <c r="I120" s="125"/>
      <c r="J120" s="165" t="s">
        <v>197</v>
      </c>
      <c r="K120" s="124"/>
      <c r="L120" s="125"/>
    </row>
    <row r="121" spans="1:29" ht="24" customHeight="1" x14ac:dyDescent="0.25">
      <c r="A121" s="166">
        <f>MAX(A$10:A120)+1</f>
        <v>349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62" t="s">
        <v>193</v>
      </c>
      <c r="B123" s="165" t="s">
        <v>175</v>
      </c>
      <c r="C123" s="125"/>
      <c r="D123" s="165" t="s">
        <v>182</v>
      </c>
      <c r="E123" s="125"/>
      <c r="F123" s="62" t="s">
        <v>194</v>
      </c>
      <c r="G123" s="62" t="s">
        <v>195</v>
      </c>
      <c r="H123" s="165" t="s">
        <v>196</v>
      </c>
      <c r="I123" s="125"/>
      <c r="J123" s="165" t="s">
        <v>197</v>
      </c>
      <c r="K123" s="124"/>
      <c r="L123" s="125"/>
    </row>
    <row r="124" spans="1:29" ht="24" customHeight="1" x14ac:dyDescent="0.25">
      <c r="A124" s="166">
        <f>MAX(A$10:A123)+1</f>
        <v>350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61" t="s">
        <v>269</v>
      </c>
      <c r="B127" s="167" t="str">
        <f>"GIORNATA "&amp;ROMAN(VALUE(LEFT(A127,LEN(A127)-1)))&amp;" - GIRONE "&amp;RIGHT(A127,1)</f>
        <v>GIORNATA VIII - GIRONE H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62" t="s">
        <v>193</v>
      </c>
      <c r="B128" s="165" t="s">
        <v>175</v>
      </c>
      <c r="C128" s="125"/>
      <c r="D128" s="165" t="s">
        <v>182</v>
      </c>
      <c r="E128" s="125"/>
      <c r="F128" s="62" t="s">
        <v>194</v>
      </c>
      <c r="G128" s="62" t="s">
        <v>195</v>
      </c>
      <c r="H128" s="165" t="s">
        <v>196</v>
      </c>
      <c r="I128" s="125"/>
      <c r="J128" s="165" t="s">
        <v>197</v>
      </c>
      <c r="K128" s="124"/>
      <c r="L128" s="125"/>
    </row>
    <row r="129" spans="1:29" ht="24" customHeight="1" x14ac:dyDescent="0.25">
      <c r="A129" s="166">
        <f>MAX(A$10:A128)+1</f>
        <v>351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62" t="s">
        <v>193</v>
      </c>
      <c r="B131" s="165" t="s">
        <v>175</v>
      </c>
      <c r="C131" s="125"/>
      <c r="D131" s="165" t="s">
        <v>182</v>
      </c>
      <c r="E131" s="125"/>
      <c r="F131" s="62" t="s">
        <v>194</v>
      </c>
      <c r="G131" s="62" t="s">
        <v>195</v>
      </c>
      <c r="H131" s="165" t="s">
        <v>196</v>
      </c>
      <c r="I131" s="125"/>
      <c r="J131" s="165" t="s">
        <v>197</v>
      </c>
      <c r="K131" s="124"/>
      <c r="L131" s="125"/>
    </row>
    <row r="132" spans="1:29" ht="24" customHeight="1" x14ac:dyDescent="0.25">
      <c r="A132" s="166">
        <f>MAX(A$10:A131)+1</f>
        <v>352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62" t="s">
        <v>193</v>
      </c>
      <c r="B134" s="165" t="s">
        <v>175</v>
      </c>
      <c r="C134" s="125"/>
      <c r="D134" s="165" t="s">
        <v>182</v>
      </c>
      <c r="E134" s="125"/>
      <c r="F134" s="62" t="s">
        <v>194</v>
      </c>
      <c r="G134" s="62" t="s">
        <v>195</v>
      </c>
      <c r="H134" s="165" t="s">
        <v>196</v>
      </c>
      <c r="I134" s="125"/>
      <c r="J134" s="165" t="s">
        <v>197</v>
      </c>
      <c r="K134" s="124"/>
      <c r="L134" s="125"/>
    </row>
    <row r="135" spans="1:29" ht="24" customHeight="1" x14ac:dyDescent="0.25">
      <c r="A135" s="166">
        <f>MAX(A$10:A134)+1</f>
        <v>353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62" t="s">
        <v>193</v>
      </c>
      <c r="B137" s="165" t="s">
        <v>175</v>
      </c>
      <c r="C137" s="125"/>
      <c r="D137" s="165" t="s">
        <v>182</v>
      </c>
      <c r="E137" s="125"/>
      <c r="F137" s="62" t="s">
        <v>194</v>
      </c>
      <c r="G137" s="62" t="s">
        <v>195</v>
      </c>
      <c r="H137" s="165" t="s">
        <v>196</v>
      </c>
      <c r="I137" s="125"/>
      <c r="J137" s="165" t="s">
        <v>197</v>
      </c>
      <c r="K137" s="124"/>
      <c r="L137" s="125"/>
    </row>
    <row r="138" spans="1:29" ht="24" customHeight="1" x14ac:dyDescent="0.25">
      <c r="A138" s="166">
        <f>MAX(A$10:A137)+1</f>
        <v>354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62" t="s">
        <v>193</v>
      </c>
      <c r="B140" s="165" t="s">
        <v>175</v>
      </c>
      <c r="C140" s="125"/>
      <c r="D140" s="165" t="s">
        <v>182</v>
      </c>
      <c r="E140" s="125"/>
      <c r="F140" s="62" t="s">
        <v>194</v>
      </c>
      <c r="G140" s="62" t="s">
        <v>195</v>
      </c>
      <c r="H140" s="165" t="s">
        <v>196</v>
      </c>
      <c r="I140" s="125"/>
      <c r="J140" s="165" t="s">
        <v>197</v>
      </c>
      <c r="K140" s="124"/>
      <c r="L140" s="125"/>
    </row>
    <row r="141" spans="1:29" ht="24" customHeight="1" x14ac:dyDescent="0.25">
      <c r="A141" s="166">
        <f>MAX(A$10:A140)+1</f>
        <v>355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61" t="s">
        <v>270</v>
      </c>
      <c r="B144" s="167" t="str">
        <f>"GIORNATA "&amp;ROMAN(VALUE(LEFT(A144,LEN(A144)-1)))&amp;" - GIRONE "&amp;RIGHT(A144,1)</f>
        <v>GIORNATA IX - GIRONE H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62" t="s">
        <v>193</v>
      </c>
      <c r="B145" s="165" t="s">
        <v>175</v>
      </c>
      <c r="C145" s="125"/>
      <c r="D145" s="165" t="s">
        <v>182</v>
      </c>
      <c r="E145" s="125"/>
      <c r="F145" s="62" t="s">
        <v>194</v>
      </c>
      <c r="G145" s="62" t="s">
        <v>195</v>
      </c>
      <c r="H145" s="165" t="s">
        <v>196</v>
      </c>
      <c r="I145" s="125"/>
      <c r="J145" s="165" t="s">
        <v>197</v>
      </c>
      <c r="K145" s="124"/>
      <c r="L145" s="125"/>
    </row>
    <row r="146" spans="1:29" ht="24" customHeight="1" x14ac:dyDescent="0.25">
      <c r="A146" s="166">
        <f>MAX(A$10:A145)+1</f>
        <v>356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62" t="s">
        <v>193</v>
      </c>
      <c r="B148" s="165" t="s">
        <v>175</v>
      </c>
      <c r="C148" s="125"/>
      <c r="D148" s="165" t="s">
        <v>182</v>
      </c>
      <c r="E148" s="125"/>
      <c r="F148" s="62" t="s">
        <v>194</v>
      </c>
      <c r="G148" s="62" t="s">
        <v>195</v>
      </c>
      <c r="H148" s="165" t="s">
        <v>196</v>
      </c>
      <c r="I148" s="125"/>
      <c r="J148" s="165" t="s">
        <v>197</v>
      </c>
      <c r="K148" s="124"/>
      <c r="L148" s="125"/>
    </row>
    <row r="149" spans="1:29" ht="24" customHeight="1" x14ac:dyDescent="0.25">
      <c r="A149" s="166">
        <f>MAX(A$10:A148)+1</f>
        <v>357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62" t="s">
        <v>193</v>
      </c>
      <c r="B151" s="165" t="s">
        <v>175</v>
      </c>
      <c r="C151" s="125"/>
      <c r="D151" s="165" t="s">
        <v>182</v>
      </c>
      <c r="E151" s="125"/>
      <c r="F151" s="62" t="s">
        <v>194</v>
      </c>
      <c r="G151" s="62" t="s">
        <v>195</v>
      </c>
      <c r="H151" s="165" t="s">
        <v>196</v>
      </c>
      <c r="I151" s="125"/>
      <c r="J151" s="165" t="s">
        <v>197</v>
      </c>
      <c r="K151" s="124"/>
      <c r="L151" s="125"/>
    </row>
    <row r="152" spans="1:29" ht="24" customHeight="1" x14ac:dyDescent="0.25">
      <c r="A152" s="166">
        <f>MAX(A$10:A151)+1</f>
        <v>358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62" t="s">
        <v>193</v>
      </c>
      <c r="B154" s="165" t="s">
        <v>175</v>
      </c>
      <c r="C154" s="125"/>
      <c r="D154" s="165" t="s">
        <v>182</v>
      </c>
      <c r="E154" s="125"/>
      <c r="F154" s="62" t="s">
        <v>194</v>
      </c>
      <c r="G154" s="62" t="s">
        <v>195</v>
      </c>
      <c r="H154" s="165" t="s">
        <v>196</v>
      </c>
      <c r="I154" s="125"/>
      <c r="J154" s="165" t="s">
        <v>197</v>
      </c>
      <c r="K154" s="124"/>
      <c r="L154" s="125"/>
    </row>
    <row r="155" spans="1:29" ht="24" customHeight="1" x14ac:dyDescent="0.25">
      <c r="A155" s="166">
        <f>MAX(A$10:A154)+1</f>
        <v>359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62" t="s">
        <v>193</v>
      </c>
      <c r="B157" s="165" t="s">
        <v>175</v>
      </c>
      <c r="C157" s="125"/>
      <c r="D157" s="165" t="s">
        <v>182</v>
      </c>
      <c r="E157" s="125"/>
      <c r="F157" s="62" t="s">
        <v>194</v>
      </c>
      <c r="G157" s="62" t="s">
        <v>195</v>
      </c>
      <c r="H157" s="165" t="s">
        <v>196</v>
      </c>
      <c r="I157" s="125"/>
      <c r="J157" s="165" t="s">
        <v>197</v>
      </c>
      <c r="K157" s="124"/>
      <c r="L157" s="125"/>
    </row>
    <row r="158" spans="1:29" ht="24" customHeight="1" x14ac:dyDescent="0.25">
      <c r="A158" s="166">
        <f>MAX(A$10:A157)+1</f>
        <v>360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72" t="str">
        <f>"GIRONE I - Stagione "&amp;constStagionaCampionato</f>
        <v xml:space="preserve">GIRONE I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3" t="s">
        <v>271</v>
      </c>
      <c r="B8" s="171" t="str">
        <f>"GIORNATA "&amp;ROMAN(VALUE(LEFT(A8,LEN(A8)-1)))&amp;" - GIRONE "&amp;RIGHT(A8,1)</f>
        <v>GIORNATA I - GIRONE I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64" t="s">
        <v>193</v>
      </c>
      <c r="B9" s="169" t="s">
        <v>175</v>
      </c>
      <c r="C9" s="125"/>
      <c r="D9" s="169" t="s">
        <v>182</v>
      </c>
      <c r="E9" s="125"/>
      <c r="F9" s="64" t="s">
        <v>194</v>
      </c>
      <c r="G9" s="64" t="s">
        <v>195</v>
      </c>
      <c r="H9" s="169" t="s">
        <v>196</v>
      </c>
      <c r="I9" s="125"/>
      <c r="J9" s="169" t="s">
        <v>197</v>
      </c>
      <c r="K9" s="124"/>
      <c r="L9" s="125"/>
    </row>
    <row r="10" spans="1:29" ht="24" customHeight="1" x14ac:dyDescent="0.25">
      <c r="A10" s="170">
        <v>361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64" t="s">
        <v>193</v>
      </c>
      <c r="B12" s="169" t="s">
        <v>175</v>
      </c>
      <c r="C12" s="125"/>
      <c r="D12" s="169" t="s">
        <v>182</v>
      </c>
      <c r="E12" s="125"/>
      <c r="F12" s="64" t="s">
        <v>194</v>
      </c>
      <c r="G12" s="64" t="s">
        <v>195</v>
      </c>
      <c r="H12" s="169" t="s">
        <v>196</v>
      </c>
      <c r="I12" s="125"/>
      <c r="J12" s="169" t="s">
        <v>197</v>
      </c>
      <c r="K12" s="124"/>
      <c r="L12" s="125"/>
    </row>
    <row r="13" spans="1:29" ht="24" customHeight="1" x14ac:dyDescent="0.25">
      <c r="A13" s="170">
        <f>MAX(A$10:A12)+1</f>
        <v>362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64" t="s">
        <v>193</v>
      </c>
      <c r="B15" s="169" t="s">
        <v>175</v>
      </c>
      <c r="C15" s="125"/>
      <c r="D15" s="169" t="s">
        <v>182</v>
      </c>
      <c r="E15" s="125"/>
      <c r="F15" s="64" t="s">
        <v>194</v>
      </c>
      <c r="G15" s="64" t="s">
        <v>195</v>
      </c>
      <c r="H15" s="169" t="s">
        <v>196</v>
      </c>
      <c r="I15" s="125"/>
      <c r="J15" s="169" t="s">
        <v>197</v>
      </c>
      <c r="K15" s="124"/>
      <c r="L15" s="125"/>
    </row>
    <row r="16" spans="1:29" ht="24" customHeight="1" x14ac:dyDescent="0.25">
      <c r="A16" s="170">
        <f>MAX(A$10:A15)+1</f>
        <v>363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64" t="s">
        <v>193</v>
      </c>
      <c r="B18" s="169" t="s">
        <v>175</v>
      </c>
      <c r="C18" s="125"/>
      <c r="D18" s="169" t="s">
        <v>182</v>
      </c>
      <c r="E18" s="125"/>
      <c r="F18" s="64" t="s">
        <v>194</v>
      </c>
      <c r="G18" s="64" t="s">
        <v>195</v>
      </c>
      <c r="H18" s="169" t="s">
        <v>196</v>
      </c>
      <c r="I18" s="125"/>
      <c r="J18" s="169" t="s">
        <v>197</v>
      </c>
      <c r="K18" s="124"/>
      <c r="L18" s="125"/>
    </row>
    <row r="19" spans="1:29" ht="24" customHeight="1" x14ac:dyDescent="0.25">
      <c r="A19" s="170">
        <f>MAX(A$10:A18)+1</f>
        <v>364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64" t="s">
        <v>193</v>
      </c>
      <c r="B21" s="169" t="s">
        <v>175</v>
      </c>
      <c r="C21" s="125"/>
      <c r="D21" s="169" t="s">
        <v>182</v>
      </c>
      <c r="E21" s="125"/>
      <c r="F21" s="64" t="s">
        <v>194</v>
      </c>
      <c r="G21" s="64" t="s">
        <v>195</v>
      </c>
      <c r="H21" s="169" t="s">
        <v>196</v>
      </c>
      <c r="I21" s="125"/>
      <c r="J21" s="169" t="s">
        <v>197</v>
      </c>
      <c r="K21" s="124"/>
      <c r="L21" s="125"/>
    </row>
    <row r="22" spans="1:29" ht="24" customHeight="1" x14ac:dyDescent="0.25">
      <c r="A22" s="170">
        <f>MAX(A$10:A21)+1</f>
        <v>365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63" t="s">
        <v>272</v>
      </c>
      <c r="B25" s="171" t="str">
        <f>"GIORNATA "&amp;ROMAN(VALUE(LEFT(A25,LEN(A25)-1)))&amp;" - GIRONE "&amp;RIGHT(A25,1)</f>
        <v>GIORNATA II - GIRONE I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64" t="s">
        <v>193</v>
      </c>
      <c r="B26" s="169" t="s">
        <v>175</v>
      </c>
      <c r="C26" s="125"/>
      <c r="D26" s="169" t="s">
        <v>182</v>
      </c>
      <c r="E26" s="125"/>
      <c r="F26" s="64" t="s">
        <v>194</v>
      </c>
      <c r="G26" s="64" t="s">
        <v>195</v>
      </c>
      <c r="H26" s="169" t="s">
        <v>196</v>
      </c>
      <c r="I26" s="125"/>
      <c r="J26" s="169" t="s">
        <v>197</v>
      </c>
      <c r="K26" s="124"/>
      <c r="L26" s="125"/>
    </row>
    <row r="27" spans="1:29" ht="24" customHeight="1" x14ac:dyDescent="0.25">
      <c r="A27" s="170">
        <f>MAX(A$10:A26)+1</f>
        <v>366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64" t="s">
        <v>193</v>
      </c>
      <c r="B29" s="169" t="s">
        <v>175</v>
      </c>
      <c r="C29" s="125"/>
      <c r="D29" s="169" t="s">
        <v>182</v>
      </c>
      <c r="E29" s="125"/>
      <c r="F29" s="64" t="s">
        <v>194</v>
      </c>
      <c r="G29" s="64" t="s">
        <v>195</v>
      </c>
      <c r="H29" s="169" t="s">
        <v>196</v>
      </c>
      <c r="I29" s="125"/>
      <c r="J29" s="169" t="s">
        <v>197</v>
      </c>
      <c r="K29" s="124"/>
      <c r="L29" s="125"/>
    </row>
    <row r="30" spans="1:29" ht="24" customHeight="1" x14ac:dyDescent="0.25">
      <c r="A30" s="170">
        <f>MAX(A$10:A29)+1</f>
        <v>367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64" t="s">
        <v>193</v>
      </c>
      <c r="B32" s="169" t="s">
        <v>175</v>
      </c>
      <c r="C32" s="125"/>
      <c r="D32" s="169" t="s">
        <v>182</v>
      </c>
      <c r="E32" s="125"/>
      <c r="F32" s="64" t="s">
        <v>194</v>
      </c>
      <c r="G32" s="64" t="s">
        <v>195</v>
      </c>
      <c r="H32" s="169" t="s">
        <v>196</v>
      </c>
      <c r="I32" s="125"/>
      <c r="J32" s="169" t="s">
        <v>197</v>
      </c>
      <c r="K32" s="124"/>
      <c r="L32" s="125"/>
    </row>
    <row r="33" spans="1:29" ht="24" customHeight="1" x14ac:dyDescent="0.25">
      <c r="A33" s="170">
        <f>MAX(A$10:A32)+1</f>
        <v>368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64" t="s">
        <v>193</v>
      </c>
      <c r="B35" s="169" t="s">
        <v>175</v>
      </c>
      <c r="C35" s="125"/>
      <c r="D35" s="169" t="s">
        <v>182</v>
      </c>
      <c r="E35" s="125"/>
      <c r="F35" s="64" t="s">
        <v>194</v>
      </c>
      <c r="G35" s="64" t="s">
        <v>195</v>
      </c>
      <c r="H35" s="169" t="s">
        <v>196</v>
      </c>
      <c r="I35" s="125"/>
      <c r="J35" s="169" t="s">
        <v>197</v>
      </c>
      <c r="K35" s="124"/>
      <c r="L35" s="125"/>
    </row>
    <row r="36" spans="1:29" ht="24" customHeight="1" x14ac:dyDescent="0.25">
      <c r="A36" s="170">
        <f>MAX(A$10:A35)+1</f>
        <v>369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64" t="s">
        <v>193</v>
      </c>
      <c r="B38" s="169" t="s">
        <v>175</v>
      </c>
      <c r="C38" s="125"/>
      <c r="D38" s="169" t="s">
        <v>182</v>
      </c>
      <c r="E38" s="125"/>
      <c r="F38" s="64" t="s">
        <v>194</v>
      </c>
      <c r="G38" s="64" t="s">
        <v>195</v>
      </c>
      <c r="H38" s="169" t="s">
        <v>196</v>
      </c>
      <c r="I38" s="125"/>
      <c r="J38" s="169" t="s">
        <v>197</v>
      </c>
      <c r="K38" s="124"/>
      <c r="L38" s="125"/>
    </row>
    <row r="39" spans="1:29" ht="24" customHeight="1" x14ac:dyDescent="0.25">
      <c r="A39" s="170">
        <f>MAX(A$10:A38)+1</f>
        <v>370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63" t="s">
        <v>273</v>
      </c>
      <c r="B42" s="171" t="str">
        <f>"GIORNATA "&amp;ROMAN(VALUE(LEFT(A42,LEN(A42)-1)))&amp;" - GIRONE "&amp;RIGHT(A42,1)</f>
        <v>GIORNATA III - GIRONE I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64" t="s">
        <v>193</v>
      </c>
      <c r="B43" s="169" t="s">
        <v>175</v>
      </c>
      <c r="C43" s="125"/>
      <c r="D43" s="169" t="s">
        <v>182</v>
      </c>
      <c r="E43" s="125"/>
      <c r="F43" s="64" t="s">
        <v>194</v>
      </c>
      <c r="G43" s="64" t="s">
        <v>195</v>
      </c>
      <c r="H43" s="169" t="s">
        <v>196</v>
      </c>
      <c r="I43" s="125"/>
      <c r="J43" s="169" t="s">
        <v>197</v>
      </c>
      <c r="K43" s="124"/>
      <c r="L43" s="125"/>
    </row>
    <row r="44" spans="1:29" ht="24" customHeight="1" x14ac:dyDescent="0.25">
      <c r="A44" s="170">
        <f>MAX(A$10:A43)+1</f>
        <v>371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64" t="s">
        <v>193</v>
      </c>
      <c r="B46" s="169" t="s">
        <v>175</v>
      </c>
      <c r="C46" s="125"/>
      <c r="D46" s="169" t="s">
        <v>182</v>
      </c>
      <c r="E46" s="125"/>
      <c r="F46" s="64" t="s">
        <v>194</v>
      </c>
      <c r="G46" s="64" t="s">
        <v>195</v>
      </c>
      <c r="H46" s="169" t="s">
        <v>196</v>
      </c>
      <c r="I46" s="125"/>
      <c r="J46" s="169" t="s">
        <v>197</v>
      </c>
      <c r="K46" s="124"/>
      <c r="L46" s="125"/>
    </row>
    <row r="47" spans="1:29" ht="24" customHeight="1" x14ac:dyDescent="0.25">
      <c r="A47" s="170">
        <f>MAX(A$10:A46)+1</f>
        <v>372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64" t="s">
        <v>193</v>
      </c>
      <c r="B49" s="169" t="s">
        <v>175</v>
      </c>
      <c r="C49" s="125"/>
      <c r="D49" s="169" t="s">
        <v>182</v>
      </c>
      <c r="E49" s="125"/>
      <c r="F49" s="64" t="s">
        <v>194</v>
      </c>
      <c r="G49" s="64" t="s">
        <v>195</v>
      </c>
      <c r="H49" s="169" t="s">
        <v>196</v>
      </c>
      <c r="I49" s="125"/>
      <c r="J49" s="169" t="s">
        <v>197</v>
      </c>
      <c r="K49" s="124"/>
      <c r="L49" s="125"/>
    </row>
    <row r="50" spans="1:29" ht="24" customHeight="1" x14ac:dyDescent="0.25">
      <c r="A50" s="170">
        <f>MAX(A$10:A49)+1</f>
        <v>373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64" t="s">
        <v>193</v>
      </c>
      <c r="B52" s="169" t="s">
        <v>175</v>
      </c>
      <c r="C52" s="125"/>
      <c r="D52" s="169" t="s">
        <v>182</v>
      </c>
      <c r="E52" s="125"/>
      <c r="F52" s="64" t="s">
        <v>194</v>
      </c>
      <c r="G52" s="64" t="s">
        <v>195</v>
      </c>
      <c r="H52" s="169" t="s">
        <v>196</v>
      </c>
      <c r="I52" s="125"/>
      <c r="J52" s="169" t="s">
        <v>197</v>
      </c>
      <c r="K52" s="124"/>
      <c r="L52" s="125"/>
    </row>
    <row r="53" spans="1:29" ht="24" customHeight="1" x14ac:dyDescent="0.25">
      <c r="A53" s="170">
        <f>MAX(A$10:A52)+1</f>
        <v>374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64" t="s">
        <v>193</v>
      </c>
      <c r="B55" s="169" t="s">
        <v>175</v>
      </c>
      <c r="C55" s="125"/>
      <c r="D55" s="169" t="s">
        <v>182</v>
      </c>
      <c r="E55" s="125"/>
      <c r="F55" s="64" t="s">
        <v>194</v>
      </c>
      <c r="G55" s="64" t="s">
        <v>195</v>
      </c>
      <c r="H55" s="169" t="s">
        <v>196</v>
      </c>
      <c r="I55" s="125"/>
      <c r="J55" s="169" t="s">
        <v>197</v>
      </c>
      <c r="K55" s="124"/>
      <c r="L55" s="125"/>
    </row>
    <row r="56" spans="1:29" ht="24" customHeight="1" x14ac:dyDescent="0.25">
      <c r="A56" s="170">
        <f>MAX(A$10:A55)+1</f>
        <v>375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63" t="s">
        <v>274</v>
      </c>
      <c r="B59" s="171" t="str">
        <f>"GIORNATA "&amp;ROMAN(VALUE(LEFT(A59,LEN(A59)-1)))&amp;" - GIRONE "&amp;RIGHT(A59,1)</f>
        <v>GIORNATA IV - GIRONE I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64" t="s">
        <v>193</v>
      </c>
      <c r="B60" s="169" t="s">
        <v>175</v>
      </c>
      <c r="C60" s="125"/>
      <c r="D60" s="169" t="s">
        <v>182</v>
      </c>
      <c r="E60" s="125"/>
      <c r="F60" s="64" t="s">
        <v>194</v>
      </c>
      <c r="G60" s="64" t="s">
        <v>195</v>
      </c>
      <c r="H60" s="169" t="s">
        <v>196</v>
      </c>
      <c r="I60" s="125"/>
      <c r="J60" s="169" t="s">
        <v>197</v>
      </c>
      <c r="K60" s="124"/>
      <c r="L60" s="125"/>
    </row>
    <row r="61" spans="1:29" ht="24" customHeight="1" x14ac:dyDescent="0.25">
      <c r="A61" s="170">
        <f>MAX(A$10:A60)+1</f>
        <v>376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64" t="s">
        <v>193</v>
      </c>
      <c r="B63" s="169" t="s">
        <v>175</v>
      </c>
      <c r="C63" s="125"/>
      <c r="D63" s="169" t="s">
        <v>182</v>
      </c>
      <c r="E63" s="125"/>
      <c r="F63" s="64" t="s">
        <v>194</v>
      </c>
      <c r="G63" s="64" t="s">
        <v>195</v>
      </c>
      <c r="H63" s="169" t="s">
        <v>196</v>
      </c>
      <c r="I63" s="125"/>
      <c r="J63" s="169" t="s">
        <v>197</v>
      </c>
      <c r="K63" s="124"/>
      <c r="L63" s="125"/>
    </row>
    <row r="64" spans="1:29" ht="24" customHeight="1" x14ac:dyDescent="0.25">
      <c r="A64" s="170">
        <f>MAX(A$10:A63)+1</f>
        <v>377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64" t="s">
        <v>193</v>
      </c>
      <c r="B66" s="169" t="s">
        <v>175</v>
      </c>
      <c r="C66" s="125"/>
      <c r="D66" s="169" t="s">
        <v>182</v>
      </c>
      <c r="E66" s="125"/>
      <c r="F66" s="64" t="s">
        <v>194</v>
      </c>
      <c r="G66" s="64" t="s">
        <v>195</v>
      </c>
      <c r="H66" s="169" t="s">
        <v>196</v>
      </c>
      <c r="I66" s="125"/>
      <c r="J66" s="169" t="s">
        <v>197</v>
      </c>
      <c r="K66" s="124"/>
      <c r="L66" s="125"/>
    </row>
    <row r="67" spans="1:29" ht="24" customHeight="1" x14ac:dyDescent="0.25">
      <c r="A67" s="170">
        <f>MAX(A$10:A66)+1</f>
        <v>378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64" t="s">
        <v>193</v>
      </c>
      <c r="B69" s="169" t="s">
        <v>175</v>
      </c>
      <c r="C69" s="125"/>
      <c r="D69" s="169" t="s">
        <v>182</v>
      </c>
      <c r="E69" s="125"/>
      <c r="F69" s="64" t="s">
        <v>194</v>
      </c>
      <c r="G69" s="64" t="s">
        <v>195</v>
      </c>
      <c r="H69" s="169" t="s">
        <v>196</v>
      </c>
      <c r="I69" s="125"/>
      <c r="J69" s="169" t="s">
        <v>197</v>
      </c>
      <c r="K69" s="124"/>
      <c r="L69" s="125"/>
    </row>
    <row r="70" spans="1:29" ht="24" customHeight="1" x14ac:dyDescent="0.25">
      <c r="A70" s="170">
        <f>MAX(A$10:A69)+1</f>
        <v>379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64" t="s">
        <v>193</v>
      </c>
      <c r="B72" s="169" t="s">
        <v>175</v>
      </c>
      <c r="C72" s="125"/>
      <c r="D72" s="169" t="s">
        <v>182</v>
      </c>
      <c r="E72" s="125"/>
      <c r="F72" s="64" t="s">
        <v>194</v>
      </c>
      <c r="G72" s="64" t="s">
        <v>195</v>
      </c>
      <c r="H72" s="169" t="s">
        <v>196</v>
      </c>
      <c r="I72" s="125"/>
      <c r="J72" s="169" t="s">
        <v>197</v>
      </c>
      <c r="K72" s="124"/>
      <c r="L72" s="125"/>
    </row>
    <row r="73" spans="1:29" ht="24" customHeight="1" x14ac:dyDescent="0.25">
      <c r="A73" s="170">
        <f>MAX(A$10:A72)+1</f>
        <v>380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63" t="s">
        <v>275</v>
      </c>
      <c r="B76" s="171" t="str">
        <f>"GIORNATA "&amp;ROMAN(VALUE(LEFT(A76,LEN(A76)-1)))&amp;" - GIRONE "&amp;RIGHT(A76,1)</f>
        <v>GIORNATA V - GIRONE I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64" t="s">
        <v>193</v>
      </c>
      <c r="B77" s="169" t="s">
        <v>175</v>
      </c>
      <c r="C77" s="125"/>
      <c r="D77" s="169" t="s">
        <v>182</v>
      </c>
      <c r="E77" s="125"/>
      <c r="F77" s="64" t="s">
        <v>194</v>
      </c>
      <c r="G77" s="64" t="s">
        <v>195</v>
      </c>
      <c r="H77" s="169" t="s">
        <v>196</v>
      </c>
      <c r="I77" s="125"/>
      <c r="J77" s="169" t="s">
        <v>197</v>
      </c>
      <c r="K77" s="124"/>
      <c r="L77" s="125"/>
    </row>
    <row r="78" spans="1:29" ht="24" customHeight="1" x14ac:dyDescent="0.25">
      <c r="A78" s="170">
        <f>MAX(A$10:A77)+1</f>
        <v>381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64" t="s">
        <v>193</v>
      </c>
      <c r="B80" s="169" t="s">
        <v>175</v>
      </c>
      <c r="C80" s="125"/>
      <c r="D80" s="169" t="s">
        <v>182</v>
      </c>
      <c r="E80" s="125"/>
      <c r="F80" s="64" t="s">
        <v>194</v>
      </c>
      <c r="G80" s="64" t="s">
        <v>195</v>
      </c>
      <c r="H80" s="169" t="s">
        <v>196</v>
      </c>
      <c r="I80" s="125"/>
      <c r="J80" s="169" t="s">
        <v>197</v>
      </c>
      <c r="K80" s="124"/>
      <c r="L80" s="125"/>
    </row>
    <row r="81" spans="1:29" ht="24" customHeight="1" x14ac:dyDescent="0.25">
      <c r="A81" s="170">
        <f>MAX(A$10:A80)+1</f>
        <v>382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64" t="s">
        <v>193</v>
      </c>
      <c r="B83" s="169" t="s">
        <v>175</v>
      </c>
      <c r="C83" s="125"/>
      <c r="D83" s="169" t="s">
        <v>182</v>
      </c>
      <c r="E83" s="125"/>
      <c r="F83" s="64" t="s">
        <v>194</v>
      </c>
      <c r="G83" s="64" t="s">
        <v>195</v>
      </c>
      <c r="H83" s="169" t="s">
        <v>196</v>
      </c>
      <c r="I83" s="125"/>
      <c r="J83" s="169" t="s">
        <v>197</v>
      </c>
      <c r="K83" s="124"/>
      <c r="L83" s="125"/>
    </row>
    <row r="84" spans="1:29" ht="24" customHeight="1" x14ac:dyDescent="0.25">
      <c r="A84" s="170">
        <f>MAX(A$10:A83)+1</f>
        <v>383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64" t="s">
        <v>193</v>
      </c>
      <c r="B86" s="169" t="s">
        <v>175</v>
      </c>
      <c r="C86" s="125"/>
      <c r="D86" s="169" t="s">
        <v>182</v>
      </c>
      <c r="E86" s="125"/>
      <c r="F86" s="64" t="s">
        <v>194</v>
      </c>
      <c r="G86" s="64" t="s">
        <v>195</v>
      </c>
      <c r="H86" s="169" t="s">
        <v>196</v>
      </c>
      <c r="I86" s="125"/>
      <c r="J86" s="169" t="s">
        <v>197</v>
      </c>
      <c r="K86" s="124"/>
      <c r="L86" s="125"/>
    </row>
    <row r="87" spans="1:29" ht="24" customHeight="1" x14ac:dyDescent="0.25">
      <c r="A87" s="170">
        <f>MAX(A$10:A86)+1</f>
        <v>384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64" t="s">
        <v>193</v>
      </c>
      <c r="B89" s="169" t="s">
        <v>175</v>
      </c>
      <c r="C89" s="125"/>
      <c r="D89" s="169" t="s">
        <v>182</v>
      </c>
      <c r="E89" s="125"/>
      <c r="F89" s="64" t="s">
        <v>194</v>
      </c>
      <c r="G89" s="64" t="s">
        <v>195</v>
      </c>
      <c r="H89" s="169" t="s">
        <v>196</v>
      </c>
      <c r="I89" s="125"/>
      <c r="J89" s="169" t="s">
        <v>197</v>
      </c>
      <c r="K89" s="124"/>
      <c r="L89" s="125"/>
    </row>
    <row r="90" spans="1:29" ht="24" customHeight="1" x14ac:dyDescent="0.25">
      <c r="A90" s="170">
        <f>MAX(A$10:A89)+1</f>
        <v>385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63" t="s">
        <v>276</v>
      </c>
      <c r="B93" s="171" t="str">
        <f>"GIORNATA "&amp;ROMAN(VALUE(LEFT(A93,LEN(A93)-1)))&amp;" - GIRONE "&amp;RIGHT(A93,1)</f>
        <v>GIORNATA VI - GIRONE I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64" t="s">
        <v>193</v>
      </c>
      <c r="B94" s="169" t="s">
        <v>175</v>
      </c>
      <c r="C94" s="125"/>
      <c r="D94" s="169" t="s">
        <v>182</v>
      </c>
      <c r="E94" s="125"/>
      <c r="F94" s="64" t="s">
        <v>194</v>
      </c>
      <c r="G94" s="64" t="s">
        <v>195</v>
      </c>
      <c r="H94" s="169" t="s">
        <v>196</v>
      </c>
      <c r="I94" s="125"/>
      <c r="J94" s="169" t="s">
        <v>197</v>
      </c>
      <c r="K94" s="124"/>
      <c r="L94" s="125"/>
    </row>
    <row r="95" spans="1:29" ht="24" customHeight="1" x14ac:dyDescent="0.25">
      <c r="A95" s="170">
        <f>MAX(A$10:A94)+1</f>
        <v>386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64" t="s">
        <v>193</v>
      </c>
      <c r="B97" s="169" t="s">
        <v>175</v>
      </c>
      <c r="C97" s="125"/>
      <c r="D97" s="169" t="s">
        <v>182</v>
      </c>
      <c r="E97" s="125"/>
      <c r="F97" s="64" t="s">
        <v>194</v>
      </c>
      <c r="G97" s="64" t="s">
        <v>195</v>
      </c>
      <c r="H97" s="169" t="s">
        <v>196</v>
      </c>
      <c r="I97" s="125"/>
      <c r="J97" s="169" t="s">
        <v>197</v>
      </c>
      <c r="K97" s="124"/>
      <c r="L97" s="125"/>
    </row>
    <row r="98" spans="1:29" ht="24" customHeight="1" x14ac:dyDescent="0.25">
      <c r="A98" s="170">
        <f>MAX(A$10:A97)+1</f>
        <v>387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64" t="s">
        <v>193</v>
      </c>
      <c r="B100" s="169" t="s">
        <v>175</v>
      </c>
      <c r="C100" s="125"/>
      <c r="D100" s="169" t="s">
        <v>182</v>
      </c>
      <c r="E100" s="125"/>
      <c r="F100" s="64" t="s">
        <v>194</v>
      </c>
      <c r="G100" s="64" t="s">
        <v>195</v>
      </c>
      <c r="H100" s="169" t="s">
        <v>196</v>
      </c>
      <c r="I100" s="125"/>
      <c r="J100" s="169" t="s">
        <v>197</v>
      </c>
      <c r="K100" s="124"/>
      <c r="L100" s="125"/>
    </row>
    <row r="101" spans="1:29" ht="24" customHeight="1" x14ac:dyDescent="0.25">
      <c r="A101" s="170">
        <f>MAX(A$10:A100)+1</f>
        <v>388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64" t="s">
        <v>193</v>
      </c>
      <c r="B103" s="169" t="s">
        <v>175</v>
      </c>
      <c r="C103" s="125"/>
      <c r="D103" s="169" t="s">
        <v>182</v>
      </c>
      <c r="E103" s="125"/>
      <c r="F103" s="64" t="s">
        <v>194</v>
      </c>
      <c r="G103" s="64" t="s">
        <v>195</v>
      </c>
      <c r="H103" s="169" t="s">
        <v>196</v>
      </c>
      <c r="I103" s="125"/>
      <c r="J103" s="169" t="s">
        <v>197</v>
      </c>
      <c r="K103" s="124"/>
      <c r="L103" s="125"/>
    </row>
    <row r="104" spans="1:29" ht="24" customHeight="1" x14ac:dyDescent="0.25">
      <c r="A104" s="170">
        <f>MAX(A$10:A103)+1</f>
        <v>389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64" t="s">
        <v>193</v>
      </c>
      <c r="B106" s="169" t="s">
        <v>175</v>
      </c>
      <c r="C106" s="125"/>
      <c r="D106" s="169" t="s">
        <v>182</v>
      </c>
      <c r="E106" s="125"/>
      <c r="F106" s="64" t="s">
        <v>194</v>
      </c>
      <c r="G106" s="64" t="s">
        <v>195</v>
      </c>
      <c r="H106" s="169" t="s">
        <v>196</v>
      </c>
      <c r="I106" s="125"/>
      <c r="J106" s="169" t="s">
        <v>197</v>
      </c>
      <c r="K106" s="124"/>
      <c r="L106" s="125"/>
    </row>
    <row r="107" spans="1:29" ht="24" customHeight="1" x14ac:dyDescent="0.25">
      <c r="A107" s="170">
        <f>MAX(A$10:A106)+1</f>
        <v>390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63" t="s">
        <v>277</v>
      </c>
      <c r="B110" s="171" t="str">
        <f>"GIORNATA "&amp;ROMAN(VALUE(LEFT(A110,LEN(A110)-1)))&amp;" - GIRONE "&amp;RIGHT(A110,1)</f>
        <v>GIORNATA VII - GIRONE I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64" t="s">
        <v>193</v>
      </c>
      <c r="B111" s="169" t="s">
        <v>175</v>
      </c>
      <c r="C111" s="125"/>
      <c r="D111" s="169" t="s">
        <v>182</v>
      </c>
      <c r="E111" s="125"/>
      <c r="F111" s="64" t="s">
        <v>194</v>
      </c>
      <c r="G111" s="64" t="s">
        <v>195</v>
      </c>
      <c r="H111" s="169" t="s">
        <v>196</v>
      </c>
      <c r="I111" s="125"/>
      <c r="J111" s="169" t="s">
        <v>197</v>
      </c>
      <c r="K111" s="124"/>
      <c r="L111" s="125"/>
    </row>
    <row r="112" spans="1:29" ht="24" customHeight="1" x14ac:dyDescent="0.25">
      <c r="A112" s="170">
        <f>MAX(A$10:A111)+1</f>
        <v>391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64" t="s">
        <v>193</v>
      </c>
      <c r="B114" s="169" t="s">
        <v>175</v>
      </c>
      <c r="C114" s="125"/>
      <c r="D114" s="169" t="s">
        <v>182</v>
      </c>
      <c r="E114" s="125"/>
      <c r="F114" s="64" t="s">
        <v>194</v>
      </c>
      <c r="G114" s="64" t="s">
        <v>195</v>
      </c>
      <c r="H114" s="169" t="s">
        <v>196</v>
      </c>
      <c r="I114" s="125"/>
      <c r="J114" s="169" t="s">
        <v>197</v>
      </c>
      <c r="K114" s="124"/>
      <c r="L114" s="125"/>
    </row>
    <row r="115" spans="1:29" ht="24" customHeight="1" x14ac:dyDescent="0.25">
      <c r="A115" s="170">
        <f>MAX(A$10:A114)+1</f>
        <v>392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64" t="s">
        <v>193</v>
      </c>
      <c r="B117" s="169" t="s">
        <v>175</v>
      </c>
      <c r="C117" s="125"/>
      <c r="D117" s="169" t="s">
        <v>182</v>
      </c>
      <c r="E117" s="125"/>
      <c r="F117" s="64" t="s">
        <v>194</v>
      </c>
      <c r="G117" s="64" t="s">
        <v>195</v>
      </c>
      <c r="H117" s="169" t="s">
        <v>196</v>
      </c>
      <c r="I117" s="125"/>
      <c r="J117" s="169" t="s">
        <v>197</v>
      </c>
      <c r="K117" s="124"/>
      <c r="L117" s="125"/>
    </row>
    <row r="118" spans="1:29" ht="24" customHeight="1" x14ac:dyDescent="0.25">
      <c r="A118" s="170">
        <f>MAX(A$10:A117)+1</f>
        <v>393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64" t="s">
        <v>193</v>
      </c>
      <c r="B120" s="169" t="s">
        <v>175</v>
      </c>
      <c r="C120" s="125"/>
      <c r="D120" s="169" t="s">
        <v>182</v>
      </c>
      <c r="E120" s="125"/>
      <c r="F120" s="64" t="s">
        <v>194</v>
      </c>
      <c r="G120" s="64" t="s">
        <v>195</v>
      </c>
      <c r="H120" s="169" t="s">
        <v>196</v>
      </c>
      <c r="I120" s="125"/>
      <c r="J120" s="169" t="s">
        <v>197</v>
      </c>
      <c r="K120" s="124"/>
      <c r="L120" s="125"/>
    </row>
    <row r="121" spans="1:29" ht="24" customHeight="1" x14ac:dyDescent="0.25">
      <c r="A121" s="170">
        <f>MAX(A$10:A120)+1</f>
        <v>394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64" t="s">
        <v>193</v>
      </c>
      <c r="B123" s="169" t="s">
        <v>175</v>
      </c>
      <c r="C123" s="125"/>
      <c r="D123" s="169" t="s">
        <v>182</v>
      </c>
      <c r="E123" s="125"/>
      <c r="F123" s="64" t="s">
        <v>194</v>
      </c>
      <c r="G123" s="64" t="s">
        <v>195</v>
      </c>
      <c r="H123" s="169" t="s">
        <v>196</v>
      </c>
      <c r="I123" s="125"/>
      <c r="J123" s="169" t="s">
        <v>197</v>
      </c>
      <c r="K123" s="124"/>
      <c r="L123" s="125"/>
    </row>
    <row r="124" spans="1:29" ht="24" customHeight="1" x14ac:dyDescent="0.25">
      <c r="A124" s="170">
        <f>MAX(A$10:A123)+1</f>
        <v>395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63" t="s">
        <v>278</v>
      </c>
      <c r="B127" s="171" t="str">
        <f>"GIORNATA "&amp;ROMAN(VALUE(LEFT(A127,LEN(A127)-1)))&amp;" - GIRONE "&amp;RIGHT(A127,1)</f>
        <v>GIORNATA VIII - GIRONE I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64" t="s">
        <v>193</v>
      </c>
      <c r="B128" s="169" t="s">
        <v>175</v>
      </c>
      <c r="C128" s="125"/>
      <c r="D128" s="169" t="s">
        <v>182</v>
      </c>
      <c r="E128" s="125"/>
      <c r="F128" s="64" t="s">
        <v>194</v>
      </c>
      <c r="G128" s="64" t="s">
        <v>195</v>
      </c>
      <c r="H128" s="169" t="s">
        <v>196</v>
      </c>
      <c r="I128" s="125"/>
      <c r="J128" s="169" t="s">
        <v>197</v>
      </c>
      <c r="K128" s="124"/>
      <c r="L128" s="125"/>
    </row>
    <row r="129" spans="1:29" ht="24" customHeight="1" x14ac:dyDescent="0.25">
      <c r="A129" s="170">
        <f>MAX(A$10:A128)+1</f>
        <v>396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64" t="s">
        <v>193</v>
      </c>
      <c r="B131" s="169" t="s">
        <v>175</v>
      </c>
      <c r="C131" s="125"/>
      <c r="D131" s="169" t="s">
        <v>182</v>
      </c>
      <c r="E131" s="125"/>
      <c r="F131" s="64" t="s">
        <v>194</v>
      </c>
      <c r="G131" s="64" t="s">
        <v>195</v>
      </c>
      <c r="H131" s="169" t="s">
        <v>196</v>
      </c>
      <c r="I131" s="125"/>
      <c r="J131" s="169" t="s">
        <v>197</v>
      </c>
      <c r="K131" s="124"/>
      <c r="L131" s="125"/>
    </row>
    <row r="132" spans="1:29" ht="24" customHeight="1" x14ac:dyDescent="0.25">
      <c r="A132" s="170">
        <f>MAX(A$10:A131)+1</f>
        <v>397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64" t="s">
        <v>193</v>
      </c>
      <c r="B134" s="169" t="s">
        <v>175</v>
      </c>
      <c r="C134" s="125"/>
      <c r="D134" s="169" t="s">
        <v>182</v>
      </c>
      <c r="E134" s="125"/>
      <c r="F134" s="64" t="s">
        <v>194</v>
      </c>
      <c r="G134" s="64" t="s">
        <v>195</v>
      </c>
      <c r="H134" s="169" t="s">
        <v>196</v>
      </c>
      <c r="I134" s="125"/>
      <c r="J134" s="169" t="s">
        <v>197</v>
      </c>
      <c r="K134" s="124"/>
      <c r="L134" s="125"/>
    </row>
    <row r="135" spans="1:29" ht="24" customHeight="1" x14ac:dyDescent="0.25">
      <c r="A135" s="170">
        <f>MAX(A$10:A134)+1</f>
        <v>398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64" t="s">
        <v>193</v>
      </c>
      <c r="B137" s="169" t="s">
        <v>175</v>
      </c>
      <c r="C137" s="125"/>
      <c r="D137" s="169" t="s">
        <v>182</v>
      </c>
      <c r="E137" s="125"/>
      <c r="F137" s="64" t="s">
        <v>194</v>
      </c>
      <c r="G137" s="64" t="s">
        <v>195</v>
      </c>
      <c r="H137" s="169" t="s">
        <v>196</v>
      </c>
      <c r="I137" s="125"/>
      <c r="J137" s="169" t="s">
        <v>197</v>
      </c>
      <c r="K137" s="124"/>
      <c r="L137" s="125"/>
    </row>
    <row r="138" spans="1:29" ht="24" customHeight="1" x14ac:dyDescent="0.25">
      <c r="A138" s="170">
        <f>MAX(A$10:A137)+1</f>
        <v>399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64" t="s">
        <v>193</v>
      </c>
      <c r="B140" s="169" t="s">
        <v>175</v>
      </c>
      <c r="C140" s="125"/>
      <c r="D140" s="169" t="s">
        <v>182</v>
      </c>
      <c r="E140" s="125"/>
      <c r="F140" s="64" t="s">
        <v>194</v>
      </c>
      <c r="G140" s="64" t="s">
        <v>195</v>
      </c>
      <c r="H140" s="169" t="s">
        <v>196</v>
      </c>
      <c r="I140" s="125"/>
      <c r="J140" s="169" t="s">
        <v>197</v>
      </c>
      <c r="K140" s="124"/>
      <c r="L140" s="125"/>
    </row>
    <row r="141" spans="1:29" ht="24" customHeight="1" x14ac:dyDescent="0.25">
      <c r="A141" s="170">
        <f>MAX(A$10:A140)+1</f>
        <v>400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63" t="s">
        <v>279</v>
      </c>
      <c r="B144" s="171" t="str">
        <f>"GIORNATA "&amp;ROMAN(VALUE(LEFT(A144,LEN(A144)-1)))&amp;" - GIRONE "&amp;RIGHT(A144,1)</f>
        <v>GIORNATA IX - GIRONE I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64" t="s">
        <v>193</v>
      </c>
      <c r="B145" s="169" t="s">
        <v>175</v>
      </c>
      <c r="C145" s="125"/>
      <c r="D145" s="169" t="s">
        <v>182</v>
      </c>
      <c r="E145" s="125"/>
      <c r="F145" s="64" t="s">
        <v>194</v>
      </c>
      <c r="G145" s="64" t="s">
        <v>195</v>
      </c>
      <c r="H145" s="169" t="s">
        <v>196</v>
      </c>
      <c r="I145" s="125"/>
      <c r="J145" s="169" t="s">
        <v>197</v>
      </c>
      <c r="K145" s="124"/>
      <c r="L145" s="125"/>
    </row>
    <row r="146" spans="1:29" ht="24" customHeight="1" x14ac:dyDescent="0.25">
      <c r="A146" s="170">
        <f>MAX(A$10:A145)+1</f>
        <v>401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64" t="s">
        <v>193</v>
      </c>
      <c r="B148" s="169" t="s">
        <v>175</v>
      </c>
      <c r="C148" s="125"/>
      <c r="D148" s="169" t="s">
        <v>182</v>
      </c>
      <c r="E148" s="125"/>
      <c r="F148" s="64" t="s">
        <v>194</v>
      </c>
      <c r="G148" s="64" t="s">
        <v>195</v>
      </c>
      <c r="H148" s="169" t="s">
        <v>196</v>
      </c>
      <c r="I148" s="125"/>
      <c r="J148" s="169" t="s">
        <v>197</v>
      </c>
      <c r="K148" s="124"/>
      <c r="L148" s="125"/>
    </row>
    <row r="149" spans="1:29" ht="24" customHeight="1" x14ac:dyDescent="0.25">
      <c r="A149" s="170">
        <f>MAX(A$10:A148)+1</f>
        <v>402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64" t="s">
        <v>193</v>
      </c>
      <c r="B151" s="169" t="s">
        <v>175</v>
      </c>
      <c r="C151" s="125"/>
      <c r="D151" s="169" t="s">
        <v>182</v>
      </c>
      <c r="E151" s="125"/>
      <c r="F151" s="64" t="s">
        <v>194</v>
      </c>
      <c r="G151" s="64" t="s">
        <v>195</v>
      </c>
      <c r="H151" s="169" t="s">
        <v>196</v>
      </c>
      <c r="I151" s="125"/>
      <c r="J151" s="169" t="s">
        <v>197</v>
      </c>
      <c r="K151" s="124"/>
      <c r="L151" s="125"/>
    </row>
    <row r="152" spans="1:29" ht="24" customHeight="1" x14ac:dyDescent="0.25">
      <c r="A152" s="170">
        <f>MAX(A$10:A151)+1</f>
        <v>403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64" t="s">
        <v>193</v>
      </c>
      <c r="B154" s="169" t="s">
        <v>175</v>
      </c>
      <c r="C154" s="125"/>
      <c r="D154" s="169" t="s">
        <v>182</v>
      </c>
      <c r="E154" s="125"/>
      <c r="F154" s="64" t="s">
        <v>194</v>
      </c>
      <c r="G154" s="64" t="s">
        <v>195</v>
      </c>
      <c r="H154" s="169" t="s">
        <v>196</v>
      </c>
      <c r="I154" s="125"/>
      <c r="J154" s="169" t="s">
        <v>197</v>
      </c>
      <c r="K154" s="124"/>
      <c r="L154" s="125"/>
    </row>
    <row r="155" spans="1:29" ht="24" customHeight="1" x14ac:dyDescent="0.25">
      <c r="A155" s="170">
        <f>MAX(A$10:A154)+1</f>
        <v>404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64" t="s">
        <v>193</v>
      </c>
      <c r="B157" s="169" t="s">
        <v>175</v>
      </c>
      <c r="C157" s="125"/>
      <c r="D157" s="169" t="s">
        <v>182</v>
      </c>
      <c r="E157" s="125"/>
      <c r="F157" s="64" t="s">
        <v>194</v>
      </c>
      <c r="G157" s="64" t="s">
        <v>195</v>
      </c>
      <c r="H157" s="169" t="s">
        <v>196</v>
      </c>
      <c r="I157" s="125"/>
      <c r="J157" s="169" t="s">
        <v>197</v>
      </c>
      <c r="K157" s="124"/>
      <c r="L157" s="125"/>
    </row>
    <row r="158" spans="1:29" ht="24" customHeight="1" x14ac:dyDescent="0.25">
      <c r="A158" s="170">
        <f>MAX(A$10:A157)+1</f>
        <v>405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1" t="str">
        <f>constNomeCampionato&amp;""</f>
        <v/>
      </c>
      <c r="B1" s="129"/>
      <c r="C1" s="129"/>
      <c r="D1" s="129"/>
    </row>
    <row r="2" spans="1:29" ht="21.95" customHeight="1" x14ac:dyDescent="0.25">
      <c r="A2" s="129"/>
      <c r="B2" s="129"/>
      <c r="C2" s="129"/>
      <c r="D2" s="129"/>
    </row>
    <row r="3" spans="1:29" ht="21.95" customHeight="1" x14ac:dyDescent="0.25">
      <c r="A3" s="176" t="str">
        <f>"GIRONE J - Stagione "&amp;constStagionaCampionato</f>
        <v xml:space="preserve">GIRONE J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5" t="s">
        <v>280</v>
      </c>
      <c r="B8" s="175" t="str">
        <f>"GIORNATA "&amp;ROMAN(VALUE(LEFT(A8,LEN(A8)-1)))&amp;" - GIRONE "&amp;RIGHT(A8,1)</f>
        <v>GIORNATA I - GIRONE J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66" t="s">
        <v>193</v>
      </c>
      <c r="B9" s="173" t="s">
        <v>175</v>
      </c>
      <c r="C9" s="125"/>
      <c r="D9" s="173" t="s">
        <v>182</v>
      </c>
      <c r="E9" s="125"/>
      <c r="F9" s="66" t="s">
        <v>194</v>
      </c>
      <c r="G9" s="66" t="s">
        <v>195</v>
      </c>
      <c r="H9" s="173" t="s">
        <v>196</v>
      </c>
      <c r="I9" s="125"/>
      <c r="J9" s="173" t="s">
        <v>197</v>
      </c>
      <c r="K9" s="124"/>
      <c r="L9" s="125"/>
    </row>
    <row r="10" spans="1:29" ht="24" customHeight="1" x14ac:dyDescent="0.25">
      <c r="A10" s="174">
        <v>406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/>
      </c>
      <c r="C11" s="124"/>
      <c r="D11" s="124"/>
      <c r="E11" s="124"/>
      <c r="F11" s="124"/>
      <c r="G11" s="124"/>
      <c r="H11" s="125"/>
      <c r="I11" s="45"/>
      <c r="J11" s="133"/>
      <c r="K11" s="133"/>
      <c r="L11" s="133"/>
    </row>
    <row r="12" spans="1:29" ht="12.95" customHeight="1" x14ac:dyDescent="0.25">
      <c r="A12" s="66" t="s">
        <v>193</v>
      </c>
      <c r="B12" s="173" t="s">
        <v>175</v>
      </c>
      <c r="C12" s="125"/>
      <c r="D12" s="173" t="s">
        <v>182</v>
      </c>
      <c r="E12" s="125"/>
      <c r="F12" s="66" t="s">
        <v>194</v>
      </c>
      <c r="G12" s="66" t="s">
        <v>195</v>
      </c>
      <c r="H12" s="173" t="s">
        <v>196</v>
      </c>
      <c r="I12" s="125"/>
      <c r="J12" s="173" t="s">
        <v>197</v>
      </c>
      <c r="K12" s="124"/>
      <c r="L12" s="125"/>
    </row>
    <row r="13" spans="1:29" ht="24" customHeight="1" x14ac:dyDescent="0.25">
      <c r="A13" s="174">
        <f>MAX(A$10:A12)+1</f>
        <v>407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/>
      </c>
      <c r="C14" s="124"/>
      <c r="D14" s="124"/>
      <c r="E14" s="124"/>
      <c r="F14" s="124"/>
      <c r="G14" s="124"/>
      <c r="H14" s="125"/>
      <c r="I14" s="45"/>
      <c r="J14" s="133"/>
      <c r="K14" s="133"/>
      <c r="L14" s="133"/>
    </row>
    <row r="15" spans="1:29" ht="12.95" customHeight="1" x14ac:dyDescent="0.25">
      <c r="A15" s="66" t="s">
        <v>193</v>
      </c>
      <c r="B15" s="173" t="s">
        <v>175</v>
      </c>
      <c r="C15" s="125"/>
      <c r="D15" s="173" t="s">
        <v>182</v>
      </c>
      <c r="E15" s="125"/>
      <c r="F15" s="66" t="s">
        <v>194</v>
      </c>
      <c r="G15" s="66" t="s">
        <v>195</v>
      </c>
      <c r="H15" s="173" t="s">
        <v>196</v>
      </c>
      <c r="I15" s="125"/>
      <c r="J15" s="173" t="s">
        <v>197</v>
      </c>
      <c r="K15" s="124"/>
      <c r="L15" s="125"/>
    </row>
    <row r="16" spans="1:29" ht="24" customHeight="1" x14ac:dyDescent="0.25">
      <c r="A16" s="174">
        <f>MAX(A$10:A15)+1</f>
        <v>408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/>
      </c>
      <c r="C17" s="124"/>
      <c r="D17" s="124"/>
      <c r="E17" s="124"/>
      <c r="F17" s="124"/>
      <c r="G17" s="124"/>
      <c r="H17" s="125"/>
      <c r="I17" s="45"/>
      <c r="J17" s="133"/>
      <c r="K17" s="133"/>
      <c r="L17" s="133"/>
    </row>
    <row r="18" spans="1:29" ht="12.95" customHeight="1" x14ac:dyDescent="0.25">
      <c r="A18" s="66" t="s">
        <v>193</v>
      </c>
      <c r="B18" s="173" t="s">
        <v>175</v>
      </c>
      <c r="C18" s="125"/>
      <c r="D18" s="173" t="s">
        <v>182</v>
      </c>
      <c r="E18" s="125"/>
      <c r="F18" s="66" t="s">
        <v>194</v>
      </c>
      <c r="G18" s="66" t="s">
        <v>195</v>
      </c>
      <c r="H18" s="173" t="s">
        <v>196</v>
      </c>
      <c r="I18" s="125"/>
      <c r="J18" s="173" t="s">
        <v>197</v>
      </c>
      <c r="K18" s="124"/>
      <c r="L18" s="125"/>
    </row>
    <row r="19" spans="1:29" ht="24" customHeight="1" x14ac:dyDescent="0.25">
      <c r="A19" s="174">
        <f>MAX(A$10:A18)+1</f>
        <v>409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/>
      </c>
      <c r="C20" s="124"/>
      <c r="D20" s="124"/>
      <c r="E20" s="124"/>
      <c r="F20" s="124"/>
      <c r="G20" s="124"/>
      <c r="H20" s="125"/>
      <c r="I20" s="45"/>
      <c r="J20" s="133"/>
      <c r="K20" s="133"/>
      <c r="L20" s="133"/>
    </row>
    <row r="21" spans="1:29" ht="12.95" customHeight="1" x14ac:dyDescent="0.25">
      <c r="A21" s="66" t="s">
        <v>193</v>
      </c>
      <c r="B21" s="173" t="s">
        <v>175</v>
      </c>
      <c r="C21" s="125"/>
      <c r="D21" s="173" t="s">
        <v>182</v>
      </c>
      <c r="E21" s="125"/>
      <c r="F21" s="66" t="s">
        <v>194</v>
      </c>
      <c r="G21" s="66" t="s">
        <v>195</v>
      </c>
      <c r="H21" s="173" t="s">
        <v>196</v>
      </c>
      <c r="I21" s="125"/>
      <c r="J21" s="173" t="s">
        <v>197</v>
      </c>
      <c r="K21" s="124"/>
      <c r="L21" s="125"/>
    </row>
    <row r="22" spans="1:29" ht="24" customHeight="1" x14ac:dyDescent="0.25">
      <c r="A22" s="174">
        <f>MAX(A$10:A21)+1</f>
        <v>410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/>
      </c>
      <c r="C23" s="124"/>
      <c r="D23" s="124"/>
      <c r="E23" s="124"/>
      <c r="F23" s="124"/>
      <c r="G23" s="124"/>
      <c r="H23" s="125"/>
      <c r="I23" s="45"/>
      <c r="J23" s="133"/>
      <c r="K23" s="133"/>
      <c r="L23" s="133"/>
    </row>
    <row r="24" spans="1:29" ht="8.1" customHeight="1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</row>
    <row r="25" spans="1:29" ht="20.100000000000001" customHeight="1" x14ac:dyDescent="0.25">
      <c r="A25" s="65" t="s">
        <v>281</v>
      </c>
      <c r="B25" s="175" t="str">
        <f>"GIORNATA "&amp;ROMAN(VALUE(LEFT(A25,LEN(A25)-1)))&amp;" - GIRONE "&amp;RIGHT(A25,1)</f>
        <v>GIORNATA II - GIRONE J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</row>
    <row r="26" spans="1:29" ht="12.95" customHeight="1" x14ac:dyDescent="0.25">
      <c r="A26" s="66" t="s">
        <v>193</v>
      </c>
      <c r="B26" s="173" t="s">
        <v>175</v>
      </c>
      <c r="C26" s="125"/>
      <c r="D26" s="173" t="s">
        <v>182</v>
      </c>
      <c r="E26" s="125"/>
      <c r="F26" s="66" t="s">
        <v>194</v>
      </c>
      <c r="G26" s="66" t="s">
        <v>195</v>
      </c>
      <c r="H26" s="173" t="s">
        <v>196</v>
      </c>
      <c r="I26" s="125"/>
      <c r="J26" s="173" t="s">
        <v>197</v>
      </c>
      <c r="K26" s="124"/>
      <c r="L26" s="125"/>
    </row>
    <row r="27" spans="1:29" ht="24" customHeight="1" x14ac:dyDescent="0.25">
      <c r="A27" s="174">
        <f>MAX(A$10:A26)+1</f>
        <v>411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8"/>
      <c r="G27" s="124"/>
      <c r="H27" s="124"/>
      <c r="I27" s="125"/>
      <c r="J27" s="135"/>
      <c r="K27" s="132" t="s">
        <v>198</v>
      </c>
      <c r="L27" s="135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3"/>
      <c r="B28" s="136" t="str">
        <f>IF(I28="","",HYPERLINK(VLOOKUP(I28,areaCampiSquadre,3,FALSE),VLOOKUP(I28,areaCampiSquadre,2,FALSE)))</f>
        <v/>
      </c>
      <c r="C28" s="124"/>
      <c r="D28" s="124"/>
      <c r="E28" s="124"/>
      <c r="F28" s="124"/>
      <c r="G28" s="124"/>
      <c r="H28" s="125"/>
      <c r="I28" s="45"/>
      <c r="J28" s="133"/>
      <c r="K28" s="133"/>
      <c r="L28" s="133"/>
    </row>
    <row r="29" spans="1:29" ht="12.95" customHeight="1" x14ac:dyDescent="0.25">
      <c r="A29" s="66" t="s">
        <v>193</v>
      </c>
      <c r="B29" s="173" t="s">
        <v>175</v>
      </c>
      <c r="C29" s="125"/>
      <c r="D29" s="173" t="s">
        <v>182</v>
      </c>
      <c r="E29" s="125"/>
      <c r="F29" s="66" t="s">
        <v>194</v>
      </c>
      <c r="G29" s="66" t="s">
        <v>195</v>
      </c>
      <c r="H29" s="173" t="s">
        <v>196</v>
      </c>
      <c r="I29" s="125"/>
      <c r="J29" s="173" t="s">
        <v>197</v>
      </c>
      <c r="K29" s="124"/>
      <c r="L29" s="125"/>
    </row>
    <row r="30" spans="1:29" ht="24" customHeight="1" x14ac:dyDescent="0.25">
      <c r="A30" s="174">
        <f>MAX(A$10:A29)+1</f>
        <v>412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8"/>
      <c r="G30" s="124"/>
      <c r="H30" s="124"/>
      <c r="I30" s="125"/>
      <c r="J30" s="135"/>
      <c r="K30" s="132" t="s">
        <v>198</v>
      </c>
      <c r="L30" s="135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3"/>
      <c r="B31" s="136" t="str">
        <f>IF(I31="","",HYPERLINK(VLOOKUP(I31,areaCampiSquadre,3,FALSE),VLOOKUP(I31,areaCampiSquadre,2,FALSE)))</f>
        <v/>
      </c>
      <c r="C31" s="124"/>
      <c r="D31" s="124"/>
      <c r="E31" s="124"/>
      <c r="F31" s="124"/>
      <c r="G31" s="124"/>
      <c r="H31" s="125"/>
      <c r="I31" s="45"/>
      <c r="J31" s="133"/>
      <c r="K31" s="133"/>
      <c r="L31" s="133"/>
    </row>
    <row r="32" spans="1:29" ht="12.95" customHeight="1" x14ac:dyDescent="0.25">
      <c r="A32" s="66" t="s">
        <v>193</v>
      </c>
      <c r="B32" s="173" t="s">
        <v>175</v>
      </c>
      <c r="C32" s="125"/>
      <c r="D32" s="173" t="s">
        <v>182</v>
      </c>
      <c r="E32" s="125"/>
      <c r="F32" s="66" t="s">
        <v>194</v>
      </c>
      <c r="G32" s="66" t="s">
        <v>195</v>
      </c>
      <c r="H32" s="173" t="s">
        <v>196</v>
      </c>
      <c r="I32" s="125"/>
      <c r="J32" s="173" t="s">
        <v>197</v>
      </c>
      <c r="K32" s="124"/>
      <c r="L32" s="125"/>
    </row>
    <row r="33" spans="1:29" ht="24" customHeight="1" x14ac:dyDescent="0.25">
      <c r="A33" s="174">
        <f>MAX(A$10:A32)+1</f>
        <v>413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8"/>
      <c r="G33" s="124"/>
      <c r="H33" s="124"/>
      <c r="I33" s="125"/>
      <c r="J33" s="135"/>
      <c r="K33" s="132" t="s">
        <v>198</v>
      </c>
      <c r="L33" s="135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3"/>
      <c r="B34" s="136" t="str">
        <f>IF(I34="","",HYPERLINK(VLOOKUP(I34,areaCampiSquadre,3,FALSE),VLOOKUP(I34,areaCampiSquadre,2,FALSE)))</f>
        <v/>
      </c>
      <c r="C34" s="124"/>
      <c r="D34" s="124"/>
      <c r="E34" s="124"/>
      <c r="F34" s="124"/>
      <c r="G34" s="124"/>
      <c r="H34" s="125"/>
      <c r="I34" s="45"/>
      <c r="J34" s="133"/>
      <c r="K34" s="133"/>
      <c r="L34" s="133"/>
    </row>
    <row r="35" spans="1:29" ht="12.95" customHeight="1" x14ac:dyDescent="0.25">
      <c r="A35" s="66" t="s">
        <v>193</v>
      </c>
      <c r="B35" s="173" t="s">
        <v>175</v>
      </c>
      <c r="C35" s="125"/>
      <c r="D35" s="173" t="s">
        <v>182</v>
      </c>
      <c r="E35" s="125"/>
      <c r="F35" s="66" t="s">
        <v>194</v>
      </c>
      <c r="G35" s="66" t="s">
        <v>195</v>
      </c>
      <c r="H35" s="173" t="s">
        <v>196</v>
      </c>
      <c r="I35" s="125"/>
      <c r="J35" s="173" t="s">
        <v>197</v>
      </c>
      <c r="K35" s="124"/>
      <c r="L35" s="125"/>
    </row>
    <row r="36" spans="1:29" ht="24" customHeight="1" x14ac:dyDescent="0.25">
      <c r="A36" s="174">
        <f>MAX(A$10:A35)+1</f>
        <v>414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/>
      </c>
      <c r="C37" s="124"/>
      <c r="D37" s="124"/>
      <c r="E37" s="124"/>
      <c r="F37" s="124"/>
      <c r="G37" s="124"/>
      <c r="H37" s="125"/>
      <c r="I37" s="45"/>
      <c r="J37" s="133"/>
      <c r="K37" s="133"/>
      <c r="L37" s="133"/>
    </row>
    <row r="38" spans="1:29" ht="12.95" customHeight="1" x14ac:dyDescent="0.25">
      <c r="A38" s="66" t="s">
        <v>193</v>
      </c>
      <c r="B38" s="173" t="s">
        <v>175</v>
      </c>
      <c r="C38" s="125"/>
      <c r="D38" s="173" t="s">
        <v>182</v>
      </c>
      <c r="E38" s="125"/>
      <c r="F38" s="66" t="s">
        <v>194</v>
      </c>
      <c r="G38" s="66" t="s">
        <v>195</v>
      </c>
      <c r="H38" s="173" t="s">
        <v>196</v>
      </c>
      <c r="I38" s="125"/>
      <c r="J38" s="173" t="s">
        <v>197</v>
      </c>
      <c r="K38" s="124"/>
      <c r="L38" s="125"/>
    </row>
    <row r="39" spans="1:29" ht="24" customHeight="1" x14ac:dyDescent="0.25">
      <c r="A39" s="174">
        <f>MAX(A$10:A38)+1</f>
        <v>415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/>
      </c>
      <c r="C40" s="124"/>
      <c r="D40" s="124"/>
      <c r="E40" s="124"/>
      <c r="F40" s="124"/>
      <c r="G40" s="124"/>
      <c r="H40" s="125"/>
      <c r="I40" s="45"/>
      <c r="J40" s="133"/>
      <c r="K40" s="133"/>
      <c r="L40" s="133"/>
    </row>
    <row r="41" spans="1:29" ht="8.1" customHeight="1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</row>
    <row r="42" spans="1:29" ht="20.100000000000001" customHeight="1" x14ac:dyDescent="0.25">
      <c r="A42" s="65" t="s">
        <v>282</v>
      </c>
      <c r="B42" s="175" t="str">
        <f>"GIORNATA "&amp;ROMAN(VALUE(LEFT(A42,LEN(A42)-1)))&amp;" - GIRONE "&amp;RIGHT(A42,1)</f>
        <v>GIORNATA III - GIRONE J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</row>
    <row r="43" spans="1:29" ht="12.95" customHeight="1" x14ac:dyDescent="0.25">
      <c r="A43" s="66" t="s">
        <v>193</v>
      </c>
      <c r="B43" s="173" t="s">
        <v>175</v>
      </c>
      <c r="C43" s="125"/>
      <c r="D43" s="173" t="s">
        <v>182</v>
      </c>
      <c r="E43" s="125"/>
      <c r="F43" s="66" t="s">
        <v>194</v>
      </c>
      <c r="G43" s="66" t="s">
        <v>195</v>
      </c>
      <c r="H43" s="173" t="s">
        <v>196</v>
      </c>
      <c r="I43" s="125"/>
      <c r="J43" s="173" t="s">
        <v>197</v>
      </c>
      <c r="K43" s="124"/>
      <c r="L43" s="125"/>
    </row>
    <row r="44" spans="1:29" ht="24" customHeight="1" x14ac:dyDescent="0.25">
      <c r="A44" s="174">
        <f>MAX(A$10:A43)+1</f>
        <v>416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8"/>
      <c r="G44" s="124"/>
      <c r="H44" s="124"/>
      <c r="I44" s="125"/>
      <c r="J44" s="135"/>
      <c r="K44" s="132" t="s">
        <v>198</v>
      </c>
      <c r="L44" s="135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3"/>
      <c r="B45" s="136" t="str">
        <f>IF(I45="","",HYPERLINK(VLOOKUP(I45,areaCampiSquadre,3,FALSE),VLOOKUP(I45,areaCampiSquadre,2,FALSE)))</f>
        <v/>
      </c>
      <c r="C45" s="124"/>
      <c r="D45" s="124"/>
      <c r="E45" s="124"/>
      <c r="F45" s="124"/>
      <c r="G45" s="124"/>
      <c r="H45" s="125"/>
      <c r="I45" s="45"/>
      <c r="J45" s="133"/>
      <c r="K45" s="133"/>
      <c r="L45" s="133"/>
    </row>
    <row r="46" spans="1:29" ht="12.95" customHeight="1" x14ac:dyDescent="0.25">
      <c r="A46" s="66" t="s">
        <v>193</v>
      </c>
      <c r="B46" s="173" t="s">
        <v>175</v>
      </c>
      <c r="C46" s="125"/>
      <c r="D46" s="173" t="s">
        <v>182</v>
      </c>
      <c r="E46" s="125"/>
      <c r="F46" s="66" t="s">
        <v>194</v>
      </c>
      <c r="G46" s="66" t="s">
        <v>195</v>
      </c>
      <c r="H46" s="173" t="s">
        <v>196</v>
      </c>
      <c r="I46" s="125"/>
      <c r="J46" s="173" t="s">
        <v>197</v>
      </c>
      <c r="K46" s="124"/>
      <c r="L46" s="125"/>
    </row>
    <row r="47" spans="1:29" ht="24" customHeight="1" x14ac:dyDescent="0.25">
      <c r="A47" s="174">
        <f>MAX(A$10:A46)+1</f>
        <v>417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8"/>
      <c r="G47" s="124"/>
      <c r="H47" s="124"/>
      <c r="I47" s="125"/>
      <c r="J47" s="135"/>
      <c r="K47" s="132" t="s">
        <v>198</v>
      </c>
      <c r="L47" s="135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3"/>
      <c r="B48" s="136" t="str">
        <f>IF(I48="","",HYPERLINK(VLOOKUP(I48,areaCampiSquadre,3,FALSE),VLOOKUP(I48,areaCampiSquadre,2,FALSE)))</f>
        <v/>
      </c>
      <c r="C48" s="124"/>
      <c r="D48" s="124"/>
      <c r="E48" s="124"/>
      <c r="F48" s="124"/>
      <c r="G48" s="124"/>
      <c r="H48" s="125"/>
      <c r="I48" s="45"/>
      <c r="J48" s="133"/>
      <c r="K48" s="133"/>
      <c r="L48" s="133"/>
    </row>
    <row r="49" spans="1:29" ht="12.95" customHeight="1" x14ac:dyDescent="0.25">
      <c r="A49" s="66" t="s">
        <v>193</v>
      </c>
      <c r="B49" s="173" t="s">
        <v>175</v>
      </c>
      <c r="C49" s="125"/>
      <c r="D49" s="173" t="s">
        <v>182</v>
      </c>
      <c r="E49" s="125"/>
      <c r="F49" s="66" t="s">
        <v>194</v>
      </c>
      <c r="G49" s="66" t="s">
        <v>195</v>
      </c>
      <c r="H49" s="173" t="s">
        <v>196</v>
      </c>
      <c r="I49" s="125"/>
      <c r="J49" s="173" t="s">
        <v>197</v>
      </c>
      <c r="K49" s="124"/>
      <c r="L49" s="125"/>
    </row>
    <row r="50" spans="1:29" ht="24" customHeight="1" x14ac:dyDescent="0.25">
      <c r="A50" s="174">
        <f>MAX(A$10:A49)+1</f>
        <v>418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/>
      </c>
      <c r="C51" s="124"/>
      <c r="D51" s="124"/>
      <c r="E51" s="124"/>
      <c r="F51" s="124"/>
      <c r="G51" s="124"/>
      <c r="H51" s="125"/>
      <c r="I51" s="45"/>
      <c r="J51" s="133"/>
      <c r="K51" s="133"/>
      <c r="L51" s="133"/>
    </row>
    <row r="52" spans="1:29" ht="12.95" customHeight="1" x14ac:dyDescent="0.25">
      <c r="A52" s="66" t="s">
        <v>193</v>
      </c>
      <c r="B52" s="173" t="s">
        <v>175</v>
      </c>
      <c r="C52" s="125"/>
      <c r="D52" s="173" t="s">
        <v>182</v>
      </c>
      <c r="E52" s="125"/>
      <c r="F52" s="66" t="s">
        <v>194</v>
      </c>
      <c r="G52" s="66" t="s">
        <v>195</v>
      </c>
      <c r="H52" s="173" t="s">
        <v>196</v>
      </c>
      <c r="I52" s="125"/>
      <c r="J52" s="173" t="s">
        <v>197</v>
      </c>
      <c r="K52" s="124"/>
      <c r="L52" s="125"/>
    </row>
    <row r="53" spans="1:29" ht="24" customHeight="1" x14ac:dyDescent="0.25">
      <c r="A53" s="174">
        <f>MAX(A$10:A52)+1</f>
        <v>419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/>
      </c>
      <c r="C54" s="124"/>
      <c r="D54" s="124"/>
      <c r="E54" s="124"/>
      <c r="F54" s="124"/>
      <c r="G54" s="124"/>
      <c r="H54" s="125"/>
      <c r="I54" s="45"/>
      <c r="J54" s="133"/>
      <c r="K54" s="133"/>
      <c r="L54" s="133"/>
    </row>
    <row r="55" spans="1:29" ht="12.95" customHeight="1" x14ac:dyDescent="0.25">
      <c r="A55" s="66" t="s">
        <v>193</v>
      </c>
      <c r="B55" s="173" t="s">
        <v>175</v>
      </c>
      <c r="C55" s="125"/>
      <c r="D55" s="173" t="s">
        <v>182</v>
      </c>
      <c r="E55" s="125"/>
      <c r="F55" s="66" t="s">
        <v>194</v>
      </c>
      <c r="G55" s="66" t="s">
        <v>195</v>
      </c>
      <c r="H55" s="173" t="s">
        <v>196</v>
      </c>
      <c r="I55" s="125"/>
      <c r="J55" s="173" t="s">
        <v>197</v>
      </c>
      <c r="K55" s="124"/>
      <c r="L55" s="125"/>
    </row>
    <row r="56" spans="1:29" ht="24" customHeight="1" x14ac:dyDescent="0.25">
      <c r="A56" s="174">
        <f>MAX(A$10:A55)+1</f>
        <v>420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8"/>
      <c r="G56" s="124"/>
      <c r="H56" s="124"/>
      <c r="I56" s="125"/>
      <c r="J56" s="135"/>
      <c r="K56" s="132" t="s">
        <v>198</v>
      </c>
      <c r="L56" s="135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3"/>
      <c r="B57" s="136" t="str">
        <f>IF(I57="","",HYPERLINK(VLOOKUP(I57,areaCampiSquadre,3,FALSE),VLOOKUP(I57,areaCampiSquadre,2,FALSE)))</f>
        <v/>
      </c>
      <c r="C57" s="124"/>
      <c r="D57" s="124"/>
      <c r="E57" s="124"/>
      <c r="F57" s="124"/>
      <c r="G57" s="124"/>
      <c r="H57" s="125"/>
      <c r="I57" s="45"/>
      <c r="J57" s="133"/>
      <c r="K57" s="133"/>
      <c r="L57" s="133"/>
    </row>
    <row r="58" spans="1:29" ht="8.1" customHeight="1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</row>
    <row r="59" spans="1:29" ht="20.100000000000001" customHeight="1" x14ac:dyDescent="0.25">
      <c r="A59" s="65" t="s">
        <v>283</v>
      </c>
      <c r="B59" s="175" t="str">
        <f>"GIORNATA "&amp;ROMAN(VALUE(LEFT(A59,LEN(A59)-1)))&amp;" - GIRONE "&amp;RIGHT(A59,1)</f>
        <v>GIORNATA IV - GIRONE J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</row>
    <row r="60" spans="1:29" ht="12.95" customHeight="1" x14ac:dyDescent="0.25">
      <c r="A60" s="66" t="s">
        <v>193</v>
      </c>
      <c r="B60" s="173" t="s">
        <v>175</v>
      </c>
      <c r="C60" s="125"/>
      <c r="D60" s="173" t="s">
        <v>182</v>
      </c>
      <c r="E60" s="125"/>
      <c r="F60" s="66" t="s">
        <v>194</v>
      </c>
      <c r="G60" s="66" t="s">
        <v>195</v>
      </c>
      <c r="H60" s="173" t="s">
        <v>196</v>
      </c>
      <c r="I60" s="125"/>
      <c r="J60" s="173" t="s">
        <v>197</v>
      </c>
      <c r="K60" s="124"/>
      <c r="L60" s="125"/>
    </row>
    <row r="61" spans="1:29" ht="24" customHeight="1" x14ac:dyDescent="0.25">
      <c r="A61" s="174">
        <f>MAX(A$10:A60)+1</f>
        <v>421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/>
      </c>
      <c r="C62" s="124"/>
      <c r="D62" s="124"/>
      <c r="E62" s="124"/>
      <c r="F62" s="124"/>
      <c r="G62" s="124"/>
      <c r="H62" s="125"/>
      <c r="I62" s="45"/>
      <c r="J62" s="133"/>
      <c r="K62" s="133"/>
      <c r="L62" s="133"/>
    </row>
    <row r="63" spans="1:29" ht="12.95" customHeight="1" x14ac:dyDescent="0.25">
      <c r="A63" s="66" t="s">
        <v>193</v>
      </c>
      <c r="B63" s="173" t="s">
        <v>175</v>
      </c>
      <c r="C63" s="125"/>
      <c r="D63" s="173" t="s">
        <v>182</v>
      </c>
      <c r="E63" s="125"/>
      <c r="F63" s="66" t="s">
        <v>194</v>
      </c>
      <c r="G63" s="66" t="s">
        <v>195</v>
      </c>
      <c r="H63" s="173" t="s">
        <v>196</v>
      </c>
      <c r="I63" s="125"/>
      <c r="J63" s="173" t="s">
        <v>197</v>
      </c>
      <c r="K63" s="124"/>
      <c r="L63" s="125"/>
    </row>
    <row r="64" spans="1:29" ht="24" customHeight="1" x14ac:dyDescent="0.25">
      <c r="A64" s="174">
        <f>MAX(A$10:A63)+1</f>
        <v>422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8"/>
      <c r="G64" s="124"/>
      <c r="H64" s="124"/>
      <c r="I64" s="125"/>
      <c r="J64" s="135"/>
      <c r="K64" s="132" t="s">
        <v>198</v>
      </c>
      <c r="L64" s="135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3"/>
      <c r="B65" s="136" t="str">
        <f>IF(I65="","",HYPERLINK(VLOOKUP(I65,areaCampiSquadre,3,FALSE),VLOOKUP(I65,areaCampiSquadre,2,FALSE)))</f>
        <v/>
      </c>
      <c r="C65" s="124"/>
      <c r="D65" s="124"/>
      <c r="E65" s="124"/>
      <c r="F65" s="124"/>
      <c r="G65" s="124"/>
      <c r="H65" s="125"/>
      <c r="I65" s="45"/>
      <c r="J65" s="133"/>
      <c r="K65" s="133"/>
      <c r="L65" s="133"/>
    </row>
    <row r="66" spans="1:29" ht="12.95" customHeight="1" x14ac:dyDescent="0.25">
      <c r="A66" s="66" t="s">
        <v>193</v>
      </c>
      <c r="B66" s="173" t="s">
        <v>175</v>
      </c>
      <c r="C66" s="125"/>
      <c r="D66" s="173" t="s">
        <v>182</v>
      </c>
      <c r="E66" s="125"/>
      <c r="F66" s="66" t="s">
        <v>194</v>
      </c>
      <c r="G66" s="66" t="s">
        <v>195</v>
      </c>
      <c r="H66" s="173" t="s">
        <v>196</v>
      </c>
      <c r="I66" s="125"/>
      <c r="J66" s="173" t="s">
        <v>197</v>
      </c>
      <c r="K66" s="124"/>
      <c r="L66" s="125"/>
    </row>
    <row r="67" spans="1:29" ht="24" customHeight="1" x14ac:dyDescent="0.25">
      <c r="A67" s="174">
        <f>MAX(A$10:A66)+1</f>
        <v>423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8"/>
      <c r="G67" s="124"/>
      <c r="H67" s="124"/>
      <c r="I67" s="125"/>
      <c r="J67" s="135"/>
      <c r="K67" s="132" t="s">
        <v>198</v>
      </c>
      <c r="L67" s="135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3"/>
      <c r="B68" s="136" t="str">
        <f>IF(I68="","",HYPERLINK(VLOOKUP(I68,areaCampiSquadre,3,FALSE),VLOOKUP(I68,areaCampiSquadre,2,FALSE)))</f>
        <v/>
      </c>
      <c r="C68" s="124"/>
      <c r="D68" s="124"/>
      <c r="E68" s="124"/>
      <c r="F68" s="124"/>
      <c r="G68" s="124"/>
      <c r="H68" s="125"/>
      <c r="I68" s="45"/>
      <c r="J68" s="133"/>
      <c r="K68" s="133"/>
      <c r="L68" s="133"/>
    </row>
    <row r="69" spans="1:29" ht="12.95" customHeight="1" x14ac:dyDescent="0.25">
      <c r="A69" s="66" t="s">
        <v>193</v>
      </c>
      <c r="B69" s="173" t="s">
        <v>175</v>
      </c>
      <c r="C69" s="125"/>
      <c r="D69" s="173" t="s">
        <v>182</v>
      </c>
      <c r="E69" s="125"/>
      <c r="F69" s="66" t="s">
        <v>194</v>
      </c>
      <c r="G69" s="66" t="s">
        <v>195</v>
      </c>
      <c r="H69" s="173" t="s">
        <v>196</v>
      </c>
      <c r="I69" s="125"/>
      <c r="J69" s="173" t="s">
        <v>197</v>
      </c>
      <c r="K69" s="124"/>
      <c r="L69" s="125"/>
    </row>
    <row r="70" spans="1:29" ht="24" customHeight="1" x14ac:dyDescent="0.25">
      <c r="A70" s="174">
        <f>MAX(A$10:A69)+1</f>
        <v>424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8"/>
      <c r="G70" s="124"/>
      <c r="H70" s="124"/>
      <c r="I70" s="125"/>
      <c r="J70" s="135"/>
      <c r="K70" s="132" t="s">
        <v>198</v>
      </c>
      <c r="L70" s="135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3"/>
      <c r="B71" s="136" t="str">
        <f>IF(I71="","",HYPERLINK(VLOOKUP(I71,areaCampiSquadre,3,FALSE),VLOOKUP(I71,areaCampiSquadre,2,FALSE)))</f>
        <v/>
      </c>
      <c r="C71" s="124"/>
      <c r="D71" s="124"/>
      <c r="E71" s="124"/>
      <c r="F71" s="124"/>
      <c r="G71" s="124"/>
      <c r="H71" s="125"/>
      <c r="I71" s="45"/>
      <c r="J71" s="133"/>
      <c r="K71" s="133"/>
      <c r="L71" s="133"/>
    </row>
    <row r="72" spans="1:29" ht="12.95" customHeight="1" x14ac:dyDescent="0.25">
      <c r="A72" s="66" t="s">
        <v>193</v>
      </c>
      <c r="B72" s="173" t="s">
        <v>175</v>
      </c>
      <c r="C72" s="125"/>
      <c r="D72" s="173" t="s">
        <v>182</v>
      </c>
      <c r="E72" s="125"/>
      <c r="F72" s="66" t="s">
        <v>194</v>
      </c>
      <c r="G72" s="66" t="s">
        <v>195</v>
      </c>
      <c r="H72" s="173" t="s">
        <v>196</v>
      </c>
      <c r="I72" s="125"/>
      <c r="J72" s="173" t="s">
        <v>197</v>
      </c>
      <c r="K72" s="124"/>
      <c r="L72" s="125"/>
    </row>
    <row r="73" spans="1:29" ht="24" customHeight="1" x14ac:dyDescent="0.25">
      <c r="A73" s="174">
        <f>MAX(A$10:A72)+1</f>
        <v>425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8"/>
      <c r="G73" s="124"/>
      <c r="H73" s="124"/>
      <c r="I73" s="125"/>
      <c r="J73" s="135"/>
      <c r="K73" s="132" t="s">
        <v>198</v>
      </c>
      <c r="L73" s="135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3"/>
      <c r="B74" s="136" t="str">
        <f>IF(I74="","",HYPERLINK(VLOOKUP(I74,areaCampiSquadre,3,FALSE),VLOOKUP(I74,areaCampiSquadre,2,FALSE)))</f>
        <v/>
      </c>
      <c r="C74" s="124"/>
      <c r="D74" s="124"/>
      <c r="E74" s="124"/>
      <c r="F74" s="124"/>
      <c r="G74" s="124"/>
      <c r="H74" s="125"/>
      <c r="I74" s="45"/>
      <c r="J74" s="133"/>
      <c r="K74" s="133"/>
      <c r="L74" s="133"/>
    </row>
    <row r="75" spans="1:29" ht="8.1" customHeight="1" x14ac:dyDescent="0.2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</row>
    <row r="76" spans="1:29" ht="20.100000000000001" customHeight="1" x14ac:dyDescent="0.25">
      <c r="A76" s="65" t="s">
        <v>284</v>
      </c>
      <c r="B76" s="175" t="str">
        <f>"GIORNATA "&amp;ROMAN(VALUE(LEFT(A76,LEN(A76)-1)))&amp;" - GIRONE "&amp;RIGHT(A76,1)</f>
        <v>GIORNATA V - GIRONE J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</row>
    <row r="77" spans="1:29" ht="12.95" customHeight="1" x14ac:dyDescent="0.25">
      <c r="A77" s="66" t="s">
        <v>193</v>
      </c>
      <c r="B77" s="173" t="s">
        <v>175</v>
      </c>
      <c r="C77" s="125"/>
      <c r="D77" s="173" t="s">
        <v>182</v>
      </c>
      <c r="E77" s="125"/>
      <c r="F77" s="66" t="s">
        <v>194</v>
      </c>
      <c r="G77" s="66" t="s">
        <v>195</v>
      </c>
      <c r="H77" s="173" t="s">
        <v>196</v>
      </c>
      <c r="I77" s="125"/>
      <c r="J77" s="173" t="s">
        <v>197</v>
      </c>
      <c r="K77" s="124"/>
      <c r="L77" s="125"/>
    </row>
    <row r="78" spans="1:29" ht="24" customHeight="1" x14ac:dyDescent="0.25">
      <c r="A78" s="174">
        <f>MAX(A$10:A77)+1</f>
        <v>426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8"/>
      <c r="G78" s="124"/>
      <c r="H78" s="124"/>
      <c r="I78" s="125"/>
      <c r="J78" s="135"/>
      <c r="K78" s="132" t="s">
        <v>198</v>
      </c>
      <c r="L78" s="135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3"/>
      <c r="B79" s="136" t="str">
        <f>IF(I79="","",HYPERLINK(VLOOKUP(I79,areaCampiSquadre,3,FALSE),VLOOKUP(I79,areaCampiSquadre,2,FALSE)))</f>
        <v/>
      </c>
      <c r="C79" s="124"/>
      <c r="D79" s="124"/>
      <c r="E79" s="124"/>
      <c r="F79" s="124"/>
      <c r="G79" s="124"/>
      <c r="H79" s="125"/>
      <c r="I79" s="45"/>
      <c r="J79" s="133"/>
      <c r="K79" s="133"/>
      <c r="L79" s="133"/>
    </row>
    <row r="80" spans="1:29" ht="12.95" customHeight="1" x14ac:dyDescent="0.25">
      <c r="A80" s="66" t="s">
        <v>193</v>
      </c>
      <c r="B80" s="173" t="s">
        <v>175</v>
      </c>
      <c r="C80" s="125"/>
      <c r="D80" s="173" t="s">
        <v>182</v>
      </c>
      <c r="E80" s="125"/>
      <c r="F80" s="66" t="s">
        <v>194</v>
      </c>
      <c r="G80" s="66" t="s">
        <v>195</v>
      </c>
      <c r="H80" s="173" t="s">
        <v>196</v>
      </c>
      <c r="I80" s="125"/>
      <c r="J80" s="173" t="s">
        <v>197</v>
      </c>
      <c r="K80" s="124"/>
      <c r="L80" s="125"/>
    </row>
    <row r="81" spans="1:29" ht="24" customHeight="1" x14ac:dyDescent="0.25">
      <c r="A81" s="174">
        <f>MAX(A$10:A80)+1</f>
        <v>427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8"/>
      <c r="G81" s="124"/>
      <c r="H81" s="124"/>
      <c r="I81" s="125"/>
      <c r="J81" s="135"/>
      <c r="K81" s="132" t="s">
        <v>198</v>
      </c>
      <c r="L81" s="135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3"/>
      <c r="B82" s="136" t="str">
        <f>IF(I82="","",HYPERLINK(VLOOKUP(I82,areaCampiSquadre,3,FALSE),VLOOKUP(I82,areaCampiSquadre,2,FALSE)))</f>
        <v/>
      </c>
      <c r="C82" s="124"/>
      <c r="D82" s="124"/>
      <c r="E82" s="124"/>
      <c r="F82" s="124"/>
      <c r="G82" s="124"/>
      <c r="H82" s="125"/>
      <c r="I82" s="45"/>
      <c r="J82" s="133"/>
      <c r="K82" s="133"/>
      <c r="L82" s="133"/>
    </row>
    <row r="83" spans="1:29" ht="12.95" customHeight="1" x14ac:dyDescent="0.25">
      <c r="A83" s="66" t="s">
        <v>193</v>
      </c>
      <c r="B83" s="173" t="s">
        <v>175</v>
      </c>
      <c r="C83" s="125"/>
      <c r="D83" s="173" t="s">
        <v>182</v>
      </c>
      <c r="E83" s="125"/>
      <c r="F83" s="66" t="s">
        <v>194</v>
      </c>
      <c r="G83" s="66" t="s">
        <v>195</v>
      </c>
      <c r="H83" s="173" t="s">
        <v>196</v>
      </c>
      <c r="I83" s="125"/>
      <c r="J83" s="173" t="s">
        <v>197</v>
      </c>
      <c r="K83" s="124"/>
      <c r="L83" s="125"/>
    </row>
    <row r="84" spans="1:29" ht="24" customHeight="1" x14ac:dyDescent="0.25">
      <c r="A84" s="174">
        <f>MAX(A$10:A83)+1</f>
        <v>428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8"/>
      <c r="G84" s="124"/>
      <c r="H84" s="124"/>
      <c r="I84" s="125"/>
      <c r="J84" s="135"/>
      <c r="K84" s="132" t="s">
        <v>198</v>
      </c>
      <c r="L84" s="135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3"/>
      <c r="B85" s="136" t="str">
        <f>IF(I85="","",HYPERLINK(VLOOKUP(I85,areaCampiSquadre,3,FALSE),VLOOKUP(I85,areaCampiSquadre,2,FALSE)))</f>
        <v/>
      </c>
      <c r="C85" s="124"/>
      <c r="D85" s="124"/>
      <c r="E85" s="124"/>
      <c r="F85" s="124"/>
      <c r="G85" s="124"/>
      <c r="H85" s="125"/>
      <c r="I85" s="45"/>
      <c r="J85" s="133"/>
      <c r="K85" s="133"/>
      <c r="L85" s="133"/>
    </row>
    <row r="86" spans="1:29" ht="12.95" customHeight="1" x14ac:dyDescent="0.25">
      <c r="A86" s="66" t="s">
        <v>193</v>
      </c>
      <c r="B86" s="173" t="s">
        <v>175</v>
      </c>
      <c r="C86" s="125"/>
      <c r="D86" s="173" t="s">
        <v>182</v>
      </c>
      <c r="E86" s="125"/>
      <c r="F86" s="66" t="s">
        <v>194</v>
      </c>
      <c r="G86" s="66" t="s">
        <v>195</v>
      </c>
      <c r="H86" s="173" t="s">
        <v>196</v>
      </c>
      <c r="I86" s="125"/>
      <c r="J86" s="173" t="s">
        <v>197</v>
      </c>
      <c r="K86" s="124"/>
      <c r="L86" s="125"/>
    </row>
    <row r="87" spans="1:29" ht="24" customHeight="1" x14ac:dyDescent="0.25">
      <c r="A87" s="174">
        <f>MAX(A$10:A86)+1</f>
        <v>429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8"/>
      <c r="G87" s="124"/>
      <c r="H87" s="124"/>
      <c r="I87" s="125"/>
      <c r="J87" s="135"/>
      <c r="K87" s="132" t="s">
        <v>198</v>
      </c>
      <c r="L87" s="135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3"/>
      <c r="B88" s="136" t="str">
        <f>IF(I88="","",HYPERLINK(VLOOKUP(I88,areaCampiSquadre,3,FALSE),VLOOKUP(I88,areaCampiSquadre,2,FALSE)))</f>
        <v/>
      </c>
      <c r="C88" s="124"/>
      <c r="D88" s="124"/>
      <c r="E88" s="124"/>
      <c r="F88" s="124"/>
      <c r="G88" s="124"/>
      <c r="H88" s="125"/>
      <c r="I88" s="45"/>
      <c r="J88" s="133"/>
      <c r="K88" s="133"/>
      <c r="L88" s="133"/>
    </row>
    <row r="89" spans="1:29" ht="12.95" customHeight="1" x14ac:dyDescent="0.25">
      <c r="A89" s="66" t="s">
        <v>193</v>
      </c>
      <c r="B89" s="173" t="s">
        <v>175</v>
      </c>
      <c r="C89" s="125"/>
      <c r="D89" s="173" t="s">
        <v>182</v>
      </c>
      <c r="E89" s="125"/>
      <c r="F89" s="66" t="s">
        <v>194</v>
      </c>
      <c r="G89" s="66" t="s">
        <v>195</v>
      </c>
      <c r="H89" s="173" t="s">
        <v>196</v>
      </c>
      <c r="I89" s="125"/>
      <c r="J89" s="173" t="s">
        <v>197</v>
      </c>
      <c r="K89" s="124"/>
      <c r="L89" s="125"/>
    </row>
    <row r="90" spans="1:29" ht="24" customHeight="1" x14ac:dyDescent="0.25">
      <c r="A90" s="174">
        <f>MAX(A$10:A89)+1</f>
        <v>430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8"/>
      <c r="G90" s="124"/>
      <c r="H90" s="124"/>
      <c r="I90" s="125"/>
      <c r="J90" s="135"/>
      <c r="K90" s="132" t="s">
        <v>198</v>
      </c>
      <c r="L90" s="135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3"/>
      <c r="B91" s="136" t="str">
        <f>IF(I91="","",HYPERLINK(VLOOKUP(I91,areaCampiSquadre,3,FALSE),VLOOKUP(I91,areaCampiSquadre,2,FALSE)))</f>
        <v/>
      </c>
      <c r="C91" s="124"/>
      <c r="D91" s="124"/>
      <c r="E91" s="124"/>
      <c r="F91" s="124"/>
      <c r="G91" s="124"/>
      <c r="H91" s="125"/>
      <c r="I91" s="45"/>
      <c r="J91" s="133"/>
      <c r="K91" s="133"/>
      <c r="L91" s="133"/>
    </row>
    <row r="92" spans="1:29" ht="8.1" customHeight="1" x14ac:dyDescent="0.25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</row>
    <row r="93" spans="1:29" ht="20.100000000000001" customHeight="1" x14ac:dyDescent="0.25">
      <c r="A93" s="65" t="s">
        <v>285</v>
      </c>
      <c r="B93" s="175" t="str">
        <f>"GIORNATA "&amp;ROMAN(VALUE(LEFT(A93,LEN(A93)-1)))&amp;" - GIRONE "&amp;RIGHT(A93,1)</f>
        <v>GIORNATA VI - GIRONE J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</row>
    <row r="94" spans="1:29" ht="12.95" customHeight="1" x14ac:dyDescent="0.25">
      <c r="A94" s="66" t="s">
        <v>193</v>
      </c>
      <c r="B94" s="173" t="s">
        <v>175</v>
      </c>
      <c r="C94" s="125"/>
      <c r="D94" s="173" t="s">
        <v>182</v>
      </c>
      <c r="E94" s="125"/>
      <c r="F94" s="66" t="s">
        <v>194</v>
      </c>
      <c r="G94" s="66" t="s">
        <v>195</v>
      </c>
      <c r="H94" s="173" t="s">
        <v>196</v>
      </c>
      <c r="I94" s="125"/>
      <c r="J94" s="173" t="s">
        <v>197</v>
      </c>
      <c r="K94" s="124"/>
      <c r="L94" s="125"/>
    </row>
    <row r="95" spans="1:29" ht="24" customHeight="1" x14ac:dyDescent="0.25">
      <c r="A95" s="174">
        <f>MAX(A$10:A94)+1</f>
        <v>431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8"/>
      <c r="G95" s="124"/>
      <c r="H95" s="124"/>
      <c r="I95" s="125"/>
      <c r="J95" s="135"/>
      <c r="K95" s="132" t="s">
        <v>198</v>
      </c>
      <c r="L95" s="135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3"/>
      <c r="B96" s="136" t="str">
        <f>IF(I96="","",HYPERLINK(VLOOKUP(I96,areaCampiSquadre,3,FALSE),VLOOKUP(I96,areaCampiSquadre,2,FALSE)))</f>
        <v/>
      </c>
      <c r="C96" s="124"/>
      <c r="D96" s="124"/>
      <c r="E96" s="124"/>
      <c r="F96" s="124"/>
      <c r="G96" s="124"/>
      <c r="H96" s="125"/>
      <c r="I96" s="45"/>
      <c r="J96" s="133"/>
      <c r="K96" s="133"/>
      <c r="L96" s="133"/>
    </row>
    <row r="97" spans="1:29" ht="12.95" customHeight="1" x14ac:dyDescent="0.25">
      <c r="A97" s="66" t="s">
        <v>193</v>
      </c>
      <c r="B97" s="173" t="s">
        <v>175</v>
      </c>
      <c r="C97" s="125"/>
      <c r="D97" s="173" t="s">
        <v>182</v>
      </c>
      <c r="E97" s="125"/>
      <c r="F97" s="66" t="s">
        <v>194</v>
      </c>
      <c r="G97" s="66" t="s">
        <v>195</v>
      </c>
      <c r="H97" s="173" t="s">
        <v>196</v>
      </c>
      <c r="I97" s="125"/>
      <c r="J97" s="173" t="s">
        <v>197</v>
      </c>
      <c r="K97" s="124"/>
      <c r="L97" s="125"/>
    </row>
    <row r="98" spans="1:29" ht="24" customHeight="1" x14ac:dyDescent="0.25">
      <c r="A98" s="174">
        <f>MAX(A$10:A97)+1</f>
        <v>432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8"/>
      <c r="G98" s="124"/>
      <c r="H98" s="124"/>
      <c r="I98" s="125"/>
      <c r="J98" s="135"/>
      <c r="K98" s="132" t="s">
        <v>198</v>
      </c>
      <c r="L98" s="135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3"/>
      <c r="B99" s="136" t="str">
        <f>IF(I99="","",HYPERLINK(VLOOKUP(I99,areaCampiSquadre,3,FALSE),VLOOKUP(I99,areaCampiSquadre,2,FALSE)))</f>
        <v/>
      </c>
      <c r="C99" s="124"/>
      <c r="D99" s="124"/>
      <c r="E99" s="124"/>
      <c r="F99" s="124"/>
      <c r="G99" s="124"/>
      <c r="H99" s="125"/>
      <c r="I99" s="45"/>
      <c r="J99" s="133"/>
      <c r="K99" s="133"/>
      <c r="L99" s="133"/>
    </row>
    <row r="100" spans="1:29" ht="12.95" customHeight="1" x14ac:dyDescent="0.25">
      <c r="A100" s="66" t="s">
        <v>193</v>
      </c>
      <c r="B100" s="173" t="s">
        <v>175</v>
      </c>
      <c r="C100" s="125"/>
      <c r="D100" s="173" t="s">
        <v>182</v>
      </c>
      <c r="E100" s="125"/>
      <c r="F100" s="66" t="s">
        <v>194</v>
      </c>
      <c r="G100" s="66" t="s">
        <v>195</v>
      </c>
      <c r="H100" s="173" t="s">
        <v>196</v>
      </c>
      <c r="I100" s="125"/>
      <c r="J100" s="173" t="s">
        <v>197</v>
      </c>
      <c r="K100" s="124"/>
      <c r="L100" s="125"/>
    </row>
    <row r="101" spans="1:29" ht="24" customHeight="1" x14ac:dyDescent="0.25">
      <c r="A101" s="174">
        <f>MAX(A$10:A100)+1</f>
        <v>433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8"/>
      <c r="G101" s="124"/>
      <c r="H101" s="124"/>
      <c r="I101" s="125"/>
      <c r="J101" s="135"/>
      <c r="K101" s="132" t="s">
        <v>198</v>
      </c>
      <c r="L101" s="135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3"/>
      <c r="B102" s="136" t="str">
        <f>IF(I102="","",HYPERLINK(VLOOKUP(I102,areaCampiSquadre,3,FALSE),VLOOKUP(I102,areaCampiSquadre,2,FALSE)))</f>
        <v/>
      </c>
      <c r="C102" s="124"/>
      <c r="D102" s="124"/>
      <c r="E102" s="124"/>
      <c r="F102" s="124"/>
      <c r="G102" s="124"/>
      <c r="H102" s="125"/>
      <c r="I102" s="45"/>
      <c r="J102" s="133"/>
      <c r="K102" s="133"/>
      <c r="L102" s="133"/>
    </row>
    <row r="103" spans="1:29" ht="12.95" customHeight="1" x14ac:dyDescent="0.25">
      <c r="A103" s="66" t="s">
        <v>193</v>
      </c>
      <c r="B103" s="173" t="s">
        <v>175</v>
      </c>
      <c r="C103" s="125"/>
      <c r="D103" s="173" t="s">
        <v>182</v>
      </c>
      <c r="E103" s="125"/>
      <c r="F103" s="66" t="s">
        <v>194</v>
      </c>
      <c r="G103" s="66" t="s">
        <v>195</v>
      </c>
      <c r="H103" s="173" t="s">
        <v>196</v>
      </c>
      <c r="I103" s="125"/>
      <c r="J103" s="173" t="s">
        <v>197</v>
      </c>
      <c r="K103" s="124"/>
      <c r="L103" s="125"/>
    </row>
    <row r="104" spans="1:29" ht="24" customHeight="1" x14ac:dyDescent="0.25">
      <c r="A104" s="174">
        <f>MAX(A$10:A103)+1</f>
        <v>434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8"/>
      <c r="G104" s="124"/>
      <c r="H104" s="124"/>
      <c r="I104" s="125"/>
      <c r="J104" s="135"/>
      <c r="K104" s="132" t="s">
        <v>198</v>
      </c>
      <c r="L104" s="135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3"/>
      <c r="B105" s="136" t="str">
        <f>IF(I105="","",HYPERLINK(VLOOKUP(I105,areaCampiSquadre,3,FALSE),VLOOKUP(I105,areaCampiSquadre,2,FALSE)))</f>
        <v/>
      </c>
      <c r="C105" s="124"/>
      <c r="D105" s="124"/>
      <c r="E105" s="124"/>
      <c r="F105" s="124"/>
      <c r="G105" s="124"/>
      <c r="H105" s="125"/>
      <c r="I105" s="45"/>
      <c r="J105" s="133"/>
      <c r="K105" s="133"/>
      <c r="L105" s="133"/>
    </row>
    <row r="106" spans="1:29" ht="12.95" customHeight="1" x14ac:dyDescent="0.25">
      <c r="A106" s="66" t="s">
        <v>193</v>
      </c>
      <c r="B106" s="173" t="s">
        <v>175</v>
      </c>
      <c r="C106" s="125"/>
      <c r="D106" s="173" t="s">
        <v>182</v>
      </c>
      <c r="E106" s="125"/>
      <c r="F106" s="66" t="s">
        <v>194</v>
      </c>
      <c r="G106" s="66" t="s">
        <v>195</v>
      </c>
      <c r="H106" s="173" t="s">
        <v>196</v>
      </c>
      <c r="I106" s="125"/>
      <c r="J106" s="173" t="s">
        <v>197</v>
      </c>
      <c r="K106" s="124"/>
      <c r="L106" s="125"/>
    </row>
    <row r="107" spans="1:29" ht="24" customHeight="1" x14ac:dyDescent="0.25">
      <c r="A107" s="174">
        <f>MAX(A$10:A106)+1</f>
        <v>435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8"/>
      <c r="G107" s="124"/>
      <c r="H107" s="124"/>
      <c r="I107" s="125"/>
      <c r="J107" s="135"/>
      <c r="K107" s="132" t="s">
        <v>198</v>
      </c>
      <c r="L107" s="135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3"/>
      <c r="B108" s="136" t="str">
        <f>IF(I108="","",HYPERLINK(VLOOKUP(I108,areaCampiSquadre,3,FALSE),VLOOKUP(I108,areaCampiSquadre,2,FALSE)))</f>
        <v/>
      </c>
      <c r="C108" s="124"/>
      <c r="D108" s="124"/>
      <c r="E108" s="124"/>
      <c r="F108" s="124"/>
      <c r="G108" s="124"/>
      <c r="H108" s="125"/>
      <c r="I108" s="45"/>
      <c r="J108" s="133"/>
      <c r="K108" s="133"/>
      <c r="L108" s="133"/>
    </row>
    <row r="109" spans="1:29" ht="8.1" customHeight="1" x14ac:dyDescent="0.25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</row>
    <row r="110" spans="1:29" ht="20.100000000000001" customHeight="1" x14ac:dyDescent="0.25">
      <c r="A110" s="65" t="s">
        <v>286</v>
      </c>
      <c r="B110" s="175" t="str">
        <f>"GIORNATA "&amp;ROMAN(VALUE(LEFT(A110,LEN(A110)-1)))&amp;" - GIRONE "&amp;RIGHT(A110,1)</f>
        <v>GIORNATA VII - GIRONE J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</row>
    <row r="111" spans="1:29" ht="12.95" customHeight="1" x14ac:dyDescent="0.25">
      <c r="A111" s="66" t="s">
        <v>193</v>
      </c>
      <c r="B111" s="173" t="s">
        <v>175</v>
      </c>
      <c r="C111" s="125"/>
      <c r="D111" s="173" t="s">
        <v>182</v>
      </c>
      <c r="E111" s="125"/>
      <c r="F111" s="66" t="s">
        <v>194</v>
      </c>
      <c r="G111" s="66" t="s">
        <v>195</v>
      </c>
      <c r="H111" s="173" t="s">
        <v>196</v>
      </c>
      <c r="I111" s="125"/>
      <c r="J111" s="173" t="s">
        <v>197</v>
      </c>
      <c r="K111" s="124"/>
      <c r="L111" s="125"/>
    </row>
    <row r="112" spans="1:29" ht="24" customHeight="1" x14ac:dyDescent="0.25">
      <c r="A112" s="174">
        <f>MAX(A$10:A111)+1</f>
        <v>436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8"/>
      <c r="G112" s="124"/>
      <c r="H112" s="124"/>
      <c r="I112" s="125"/>
      <c r="J112" s="135"/>
      <c r="K112" s="132" t="s">
        <v>198</v>
      </c>
      <c r="L112" s="135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3"/>
      <c r="B113" s="136" t="str">
        <f>IF(I113="","",HYPERLINK(VLOOKUP(I113,areaCampiSquadre,3,FALSE),VLOOKUP(I113,areaCampiSquadre,2,FALSE)))</f>
        <v/>
      </c>
      <c r="C113" s="124"/>
      <c r="D113" s="124"/>
      <c r="E113" s="124"/>
      <c r="F113" s="124"/>
      <c r="G113" s="124"/>
      <c r="H113" s="125"/>
      <c r="I113" s="45"/>
      <c r="J113" s="133"/>
      <c r="K113" s="133"/>
      <c r="L113" s="133"/>
    </row>
    <row r="114" spans="1:29" ht="12.95" customHeight="1" x14ac:dyDescent="0.25">
      <c r="A114" s="66" t="s">
        <v>193</v>
      </c>
      <c r="B114" s="173" t="s">
        <v>175</v>
      </c>
      <c r="C114" s="125"/>
      <c r="D114" s="173" t="s">
        <v>182</v>
      </c>
      <c r="E114" s="125"/>
      <c r="F114" s="66" t="s">
        <v>194</v>
      </c>
      <c r="G114" s="66" t="s">
        <v>195</v>
      </c>
      <c r="H114" s="173" t="s">
        <v>196</v>
      </c>
      <c r="I114" s="125"/>
      <c r="J114" s="173" t="s">
        <v>197</v>
      </c>
      <c r="K114" s="124"/>
      <c r="L114" s="125"/>
    </row>
    <row r="115" spans="1:29" ht="24" customHeight="1" x14ac:dyDescent="0.25">
      <c r="A115" s="174">
        <f>MAX(A$10:A114)+1</f>
        <v>437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8"/>
      <c r="G115" s="124"/>
      <c r="H115" s="124"/>
      <c r="I115" s="125"/>
      <c r="J115" s="135"/>
      <c r="K115" s="132" t="s">
        <v>198</v>
      </c>
      <c r="L115" s="135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3"/>
      <c r="B116" s="136" t="str">
        <f>IF(I116="","",HYPERLINK(VLOOKUP(I116,areaCampiSquadre,3,FALSE),VLOOKUP(I116,areaCampiSquadre,2,FALSE)))</f>
        <v/>
      </c>
      <c r="C116" s="124"/>
      <c r="D116" s="124"/>
      <c r="E116" s="124"/>
      <c r="F116" s="124"/>
      <c r="G116" s="124"/>
      <c r="H116" s="125"/>
      <c r="I116" s="45"/>
      <c r="J116" s="133"/>
      <c r="K116" s="133"/>
      <c r="L116" s="133"/>
    </row>
    <row r="117" spans="1:29" ht="12.95" customHeight="1" x14ac:dyDescent="0.25">
      <c r="A117" s="66" t="s">
        <v>193</v>
      </c>
      <c r="B117" s="173" t="s">
        <v>175</v>
      </c>
      <c r="C117" s="125"/>
      <c r="D117" s="173" t="s">
        <v>182</v>
      </c>
      <c r="E117" s="125"/>
      <c r="F117" s="66" t="s">
        <v>194</v>
      </c>
      <c r="G117" s="66" t="s">
        <v>195</v>
      </c>
      <c r="H117" s="173" t="s">
        <v>196</v>
      </c>
      <c r="I117" s="125"/>
      <c r="J117" s="173" t="s">
        <v>197</v>
      </c>
      <c r="K117" s="124"/>
      <c r="L117" s="125"/>
    </row>
    <row r="118" spans="1:29" ht="24" customHeight="1" x14ac:dyDescent="0.25">
      <c r="A118" s="174">
        <f>MAX(A$10:A117)+1</f>
        <v>438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8"/>
      <c r="G118" s="124"/>
      <c r="H118" s="124"/>
      <c r="I118" s="125"/>
      <c r="J118" s="135"/>
      <c r="K118" s="132" t="s">
        <v>198</v>
      </c>
      <c r="L118" s="135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3"/>
      <c r="B119" s="136" t="str">
        <f>IF(I119="","",HYPERLINK(VLOOKUP(I119,areaCampiSquadre,3,FALSE),VLOOKUP(I119,areaCampiSquadre,2,FALSE)))</f>
        <v/>
      </c>
      <c r="C119" s="124"/>
      <c r="D119" s="124"/>
      <c r="E119" s="124"/>
      <c r="F119" s="124"/>
      <c r="G119" s="124"/>
      <c r="H119" s="125"/>
      <c r="I119" s="45"/>
      <c r="J119" s="133"/>
      <c r="K119" s="133"/>
      <c r="L119" s="133"/>
    </row>
    <row r="120" spans="1:29" ht="12.95" customHeight="1" x14ac:dyDescent="0.25">
      <c r="A120" s="66" t="s">
        <v>193</v>
      </c>
      <c r="B120" s="173" t="s">
        <v>175</v>
      </c>
      <c r="C120" s="125"/>
      <c r="D120" s="173" t="s">
        <v>182</v>
      </c>
      <c r="E120" s="125"/>
      <c r="F120" s="66" t="s">
        <v>194</v>
      </c>
      <c r="G120" s="66" t="s">
        <v>195</v>
      </c>
      <c r="H120" s="173" t="s">
        <v>196</v>
      </c>
      <c r="I120" s="125"/>
      <c r="J120" s="173" t="s">
        <v>197</v>
      </c>
      <c r="K120" s="124"/>
      <c r="L120" s="125"/>
    </row>
    <row r="121" spans="1:29" ht="24" customHeight="1" x14ac:dyDescent="0.25">
      <c r="A121" s="174">
        <f>MAX(A$10:A120)+1</f>
        <v>439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8"/>
      <c r="G121" s="124"/>
      <c r="H121" s="124"/>
      <c r="I121" s="125"/>
      <c r="J121" s="135"/>
      <c r="K121" s="132" t="s">
        <v>198</v>
      </c>
      <c r="L121" s="135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3"/>
      <c r="B122" s="136" t="str">
        <f>IF(I122="","",HYPERLINK(VLOOKUP(I122,areaCampiSquadre,3,FALSE),VLOOKUP(I122,areaCampiSquadre,2,FALSE)))</f>
        <v/>
      </c>
      <c r="C122" s="124"/>
      <c r="D122" s="124"/>
      <c r="E122" s="124"/>
      <c r="F122" s="124"/>
      <c r="G122" s="124"/>
      <c r="H122" s="125"/>
      <c r="I122" s="45"/>
      <c r="J122" s="133"/>
      <c r="K122" s="133"/>
      <c r="L122" s="133"/>
    </row>
    <row r="123" spans="1:29" ht="12.95" customHeight="1" x14ac:dyDescent="0.25">
      <c r="A123" s="66" t="s">
        <v>193</v>
      </c>
      <c r="B123" s="173" t="s">
        <v>175</v>
      </c>
      <c r="C123" s="125"/>
      <c r="D123" s="173" t="s">
        <v>182</v>
      </c>
      <c r="E123" s="125"/>
      <c r="F123" s="66" t="s">
        <v>194</v>
      </c>
      <c r="G123" s="66" t="s">
        <v>195</v>
      </c>
      <c r="H123" s="173" t="s">
        <v>196</v>
      </c>
      <c r="I123" s="125"/>
      <c r="J123" s="173" t="s">
        <v>197</v>
      </c>
      <c r="K123" s="124"/>
      <c r="L123" s="125"/>
    </row>
    <row r="124" spans="1:29" ht="24" customHeight="1" x14ac:dyDescent="0.25">
      <c r="A124" s="174">
        <f>MAX(A$10:A123)+1</f>
        <v>440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8"/>
      <c r="G124" s="124"/>
      <c r="H124" s="124"/>
      <c r="I124" s="125"/>
      <c r="J124" s="135"/>
      <c r="K124" s="132" t="s">
        <v>198</v>
      </c>
      <c r="L124" s="135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3"/>
      <c r="B125" s="136" t="str">
        <f>IF(I125="","",HYPERLINK(VLOOKUP(I125,areaCampiSquadre,3,FALSE),VLOOKUP(I125,areaCampiSquadre,2,FALSE)))</f>
        <v/>
      </c>
      <c r="C125" s="124"/>
      <c r="D125" s="124"/>
      <c r="E125" s="124"/>
      <c r="F125" s="124"/>
      <c r="G125" s="124"/>
      <c r="H125" s="125"/>
      <c r="I125" s="45"/>
      <c r="J125" s="133"/>
      <c r="K125" s="133"/>
      <c r="L125" s="133"/>
    </row>
    <row r="126" spans="1:29" ht="8.1" customHeight="1" x14ac:dyDescent="0.25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</row>
    <row r="127" spans="1:29" ht="20.100000000000001" customHeight="1" x14ac:dyDescent="0.25">
      <c r="A127" s="65" t="s">
        <v>287</v>
      </c>
      <c r="B127" s="175" t="str">
        <f>"GIORNATA "&amp;ROMAN(VALUE(LEFT(A127,LEN(A127)-1)))&amp;" - GIRONE "&amp;RIGHT(A127,1)</f>
        <v>GIORNATA VIII - GIRONE J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</row>
    <row r="128" spans="1:29" ht="12.95" customHeight="1" x14ac:dyDescent="0.25">
      <c r="A128" s="66" t="s">
        <v>193</v>
      </c>
      <c r="B128" s="173" t="s">
        <v>175</v>
      </c>
      <c r="C128" s="125"/>
      <c r="D128" s="173" t="s">
        <v>182</v>
      </c>
      <c r="E128" s="125"/>
      <c r="F128" s="66" t="s">
        <v>194</v>
      </c>
      <c r="G128" s="66" t="s">
        <v>195</v>
      </c>
      <c r="H128" s="173" t="s">
        <v>196</v>
      </c>
      <c r="I128" s="125"/>
      <c r="J128" s="173" t="s">
        <v>197</v>
      </c>
      <c r="K128" s="124"/>
      <c r="L128" s="125"/>
    </row>
    <row r="129" spans="1:29" ht="24" customHeight="1" x14ac:dyDescent="0.25">
      <c r="A129" s="174">
        <f>MAX(A$10:A128)+1</f>
        <v>441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8"/>
      <c r="G129" s="124"/>
      <c r="H129" s="124"/>
      <c r="I129" s="125"/>
      <c r="J129" s="135"/>
      <c r="K129" s="132" t="s">
        <v>198</v>
      </c>
      <c r="L129" s="135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3"/>
      <c r="B130" s="136" t="str">
        <f>IF(I130="","",HYPERLINK(VLOOKUP(I130,areaCampiSquadre,3,FALSE),VLOOKUP(I130,areaCampiSquadre,2,FALSE)))</f>
        <v/>
      </c>
      <c r="C130" s="124"/>
      <c r="D130" s="124"/>
      <c r="E130" s="124"/>
      <c r="F130" s="124"/>
      <c r="G130" s="124"/>
      <c r="H130" s="125"/>
      <c r="I130" s="45"/>
      <c r="J130" s="133"/>
      <c r="K130" s="133"/>
      <c r="L130" s="133"/>
    </row>
    <row r="131" spans="1:29" ht="12.95" customHeight="1" x14ac:dyDescent="0.25">
      <c r="A131" s="66" t="s">
        <v>193</v>
      </c>
      <c r="B131" s="173" t="s">
        <v>175</v>
      </c>
      <c r="C131" s="125"/>
      <c r="D131" s="173" t="s">
        <v>182</v>
      </c>
      <c r="E131" s="125"/>
      <c r="F131" s="66" t="s">
        <v>194</v>
      </c>
      <c r="G131" s="66" t="s">
        <v>195</v>
      </c>
      <c r="H131" s="173" t="s">
        <v>196</v>
      </c>
      <c r="I131" s="125"/>
      <c r="J131" s="173" t="s">
        <v>197</v>
      </c>
      <c r="K131" s="124"/>
      <c r="L131" s="125"/>
    </row>
    <row r="132" spans="1:29" ht="24" customHeight="1" x14ac:dyDescent="0.25">
      <c r="A132" s="174">
        <f>MAX(A$10:A131)+1</f>
        <v>442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8"/>
      <c r="G132" s="124"/>
      <c r="H132" s="124"/>
      <c r="I132" s="125"/>
      <c r="J132" s="135"/>
      <c r="K132" s="132" t="s">
        <v>198</v>
      </c>
      <c r="L132" s="135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3"/>
      <c r="B133" s="136" t="str">
        <f>IF(I133="","",HYPERLINK(VLOOKUP(I133,areaCampiSquadre,3,FALSE),VLOOKUP(I133,areaCampiSquadre,2,FALSE)))</f>
        <v/>
      </c>
      <c r="C133" s="124"/>
      <c r="D133" s="124"/>
      <c r="E133" s="124"/>
      <c r="F133" s="124"/>
      <c r="G133" s="124"/>
      <c r="H133" s="125"/>
      <c r="I133" s="45"/>
      <c r="J133" s="133"/>
      <c r="K133" s="133"/>
      <c r="L133" s="133"/>
    </row>
    <row r="134" spans="1:29" ht="12.95" customHeight="1" x14ac:dyDescent="0.25">
      <c r="A134" s="66" t="s">
        <v>193</v>
      </c>
      <c r="B134" s="173" t="s">
        <v>175</v>
      </c>
      <c r="C134" s="125"/>
      <c r="D134" s="173" t="s">
        <v>182</v>
      </c>
      <c r="E134" s="125"/>
      <c r="F134" s="66" t="s">
        <v>194</v>
      </c>
      <c r="G134" s="66" t="s">
        <v>195</v>
      </c>
      <c r="H134" s="173" t="s">
        <v>196</v>
      </c>
      <c r="I134" s="125"/>
      <c r="J134" s="173" t="s">
        <v>197</v>
      </c>
      <c r="K134" s="124"/>
      <c r="L134" s="125"/>
    </row>
    <row r="135" spans="1:29" ht="24" customHeight="1" x14ac:dyDescent="0.25">
      <c r="A135" s="174">
        <f>MAX(A$10:A134)+1</f>
        <v>443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8"/>
      <c r="G135" s="124"/>
      <c r="H135" s="124"/>
      <c r="I135" s="125"/>
      <c r="J135" s="135"/>
      <c r="K135" s="132" t="s">
        <v>198</v>
      </c>
      <c r="L135" s="135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3"/>
      <c r="B136" s="136" t="str">
        <f>IF(I136="","",HYPERLINK(VLOOKUP(I136,areaCampiSquadre,3,FALSE),VLOOKUP(I136,areaCampiSquadre,2,FALSE)))</f>
        <v/>
      </c>
      <c r="C136" s="124"/>
      <c r="D136" s="124"/>
      <c r="E136" s="124"/>
      <c r="F136" s="124"/>
      <c r="G136" s="124"/>
      <c r="H136" s="125"/>
      <c r="I136" s="45"/>
      <c r="J136" s="133"/>
      <c r="K136" s="133"/>
      <c r="L136" s="133"/>
    </row>
    <row r="137" spans="1:29" ht="12.95" customHeight="1" x14ac:dyDescent="0.25">
      <c r="A137" s="66" t="s">
        <v>193</v>
      </c>
      <c r="B137" s="173" t="s">
        <v>175</v>
      </c>
      <c r="C137" s="125"/>
      <c r="D137" s="173" t="s">
        <v>182</v>
      </c>
      <c r="E137" s="125"/>
      <c r="F137" s="66" t="s">
        <v>194</v>
      </c>
      <c r="G137" s="66" t="s">
        <v>195</v>
      </c>
      <c r="H137" s="173" t="s">
        <v>196</v>
      </c>
      <c r="I137" s="125"/>
      <c r="J137" s="173" t="s">
        <v>197</v>
      </c>
      <c r="K137" s="124"/>
      <c r="L137" s="125"/>
    </row>
    <row r="138" spans="1:29" ht="24" customHeight="1" x14ac:dyDescent="0.25">
      <c r="A138" s="174">
        <f>MAX(A$10:A137)+1</f>
        <v>444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8"/>
      <c r="G138" s="124"/>
      <c r="H138" s="124"/>
      <c r="I138" s="125"/>
      <c r="J138" s="135"/>
      <c r="K138" s="132" t="s">
        <v>198</v>
      </c>
      <c r="L138" s="135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3"/>
      <c r="B139" s="136" t="str">
        <f>IF(I139="","",HYPERLINK(VLOOKUP(I139,areaCampiSquadre,3,FALSE),VLOOKUP(I139,areaCampiSquadre,2,FALSE)))</f>
        <v/>
      </c>
      <c r="C139" s="124"/>
      <c r="D139" s="124"/>
      <c r="E139" s="124"/>
      <c r="F139" s="124"/>
      <c r="G139" s="124"/>
      <c r="H139" s="125"/>
      <c r="I139" s="45"/>
      <c r="J139" s="133"/>
      <c r="K139" s="133"/>
      <c r="L139" s="133"/>
    </row>
    <row r="140" spans="1:29" ht="12.95" customHeight="1" x14ac:dyDescent="0.25">
      <c r="A140" s="66" t="s">
        <v>193</v>
      </c>
      <c r="B140" s="173" t="s">
        <v>175</v>
      </c>
      <c r="C140" s="125"/>
      <c r="D140" s="173" t="s">
        <v>182</v>
      </c>
      <c r="E140" s="125"/>
      <c r="F140" s="66" t="s">
        <v>194</v>
      </c>
      <c r="G140" s="66" t="s">
        <v>195</v>
      </c>
      <c r="H140" s="173" t="s">
        <v>196</v>
      </c>
      <c r="I140" s="125"/>
      <c r="J140" s="173" t="s">
        <v>197</v>
      </c>
      <c r="K140" s="124"/>
      <c r="L140" s="125"/>
    </row>
    <row r="141" spans="1:29" ht="24" customHeight="1" x14ac:dyDescent="0.25">
      <c r="A141" s="174">
        <f>MAX(A$10:A140)+1</f>
        <v>445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8"/>
      <c r="G141" s="124"/>
      <c r="H141" s="124"/>
      <c r="I141" s="125"/>
      <c r="J141" s="135"/>
      <c r="K141" s="132" t="s">
        <v>198</v>
      </c>
      <c r="L141" s="135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3"/>
      <c r="B142" s="136" t="str">
        <f>IF(I142="","",HYPERLINK(VLOOKUP(I142,areaCampiSquadre,3,FALSE),VLOOKUP(I142,areaCampiSquadre,2,FALSE)))</f>
        <v/>
      </c>
      <c r="C142" s="124"/>
      <c r="D142" s="124"/>
      <c r="E142" s="124"/>
      <c r="F142" s="124"/>
      <c r="G142" s="124"/>
      <c r="H142" s="125"/>
      <c r="I142" s="45"/>
      <c r="J142" s="133"/>
      <c r="K142" s="133"/>
      <c r="L142" s="133"/>
    </row>
    <row r="143" spans="1:29" ht="8.1" customHeight="1" x14ac:dyDescent="0.25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</row>
    <row r="144" spans="1:29" ht="20.100000000000001" customHeight="1" x14ac:dyDescent="0.25">
      <c r="A144" s="65" t="s">
        <v>288</v>
      </c>
      <c r="B144" s="175" t="str">
        <f>"GIORNATA "&amp;ROMAN(VALUE(LEFT(A144,LEN(A144)-1)))&amp;" - GIRONE "&amp;RIGHT(A144,1)</f>
        <v>GIORNATA IX - GIRONE J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</row>
    <row r="145" spans="1:29" ht="12.95" customHeight="1" x14ac:dyDescent="0.25">
      <c r="A145" s="66" t="s">
        <v>193</v>
      </c>
      <c r="B145" s="173" t="s">
        <v>175</v>
      </c>
      <c r="C145" s="125"/>
      <c r="D145" s="173" t="s">
        <v>182</v>
      </c>
      <c r="E145" s="125"/>
      <c r="F145" s="66" t="s">
        <v>194</v>
      </c>
      <c r="G145" s="66" t="s">
        <v>195</v>
      </c>
      <c r="H145" s="173" t="s">
        <v>196</v>
      </c>
      <c r="I145" s="125"/>
      <c r="J145" s="173" t="s">
        <v>197</v>
      </c>
      <c r="K145" s="124"/>
      <c r="L145" s="125"/>
    </row>
    <row r="146" spans="1:29" ht="24" customHeight="1" x14ac:dyDescent="0.25">
      <c r="A146" s="174">
        <f>MAX(A$10:A145)+1</f>
        <v>446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8"/>
      <c r="G146" s="124"/>
      <c r="H146" s="124"/>
      <c r="I146" s="125"/>
      <c r="J146" s="135"/>
      <c r="K146" s="132" t="s">
        <v>198</v>
      </c>
      <c r="L146" s="135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3"/>
      <c r="B147" s="136" t="str">
        <f>IF(I147="","",HYPERLINK(VLOOKUP(I147,areaCampiSquadre,3,FALSE),VLOOKUP(I147,areaCampiSquadre,2,FALSE)))</f>
        <v/>
      </c>
      <c r="C147" s="124"/>
      <c r="D147" s="124"/>
      <c r="E147" s="124"/>
      <c r="F147" s="124"/>
      <c r="G147" s="124"/>
      <c r="H147" s="125"/>
      <c r="I147" s="45"/>
      <c r="J147" s="133"/>
      <c r="K147" s="133"/>
      <c r="L147" s="133"/>
    </row>
    <row r="148" spans="1:29" ht="12.95" customHeight="1" x14ac:dyDescent="0.25">
      <c r="A148" s="66" t="s">
        <v>193</v>
      </c>
      <c r="B148" s="173" t="s">
        <v>175</v>
      </c>
      <c r="C148" s="125"/>
      <c r="D148" s="173" t="s">
        <v>182</v>
      </c>
      <c r="E148" s="125"/>
      <c r="F148" s="66" t="s">
        <v>194</v>
      </c>
      <c r="G148" s="66" t="s">
        <v>195</v>
      </c>
      <c r="H148" s="173" t="s">
        <v>196</v>
      </c>
      <c r="I148" s="125"/>
      <c r="J148" s="173" t="s">
        <v>197</v>
      </c>
      <c r="K148" s="124"/>
      <c r="L148" s="125"/>
    </row>
    <row r="149" spans="1:29" ht="24" customHeight="1" x14ac:dyDescent="0.25">
      <c r="A149" s="174">
        <f>MAX(A$10:A148)+1</f>
        <v>447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8"/>
      <c r="G149" s="124"/>
      <c r="H149" s="124"/>
      <c r="I149" s="125"/>
      <c r="J149" s="135"/>
      <c r="K149" s="132" t="s">
        <v>198</v>
      </c>
      <c r="L149" s="135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3"/>
      <c r="B150" s="136" t="str">
        <f>IF(I150="","",HYPERLINK(VLOOKUP(I150,areaCampiSquadre,3,FALSE),VLOOKUP(I150,areaCampiSquadre,2,FALSE)))</f>
        <v/>
      </c>
      <c r="C150" s="124"/>
      <c r="D150" s="124"/>
      <c r="E150" s="124"/>
      <c r="F150" s="124"/>
      <c r="G150" s="124"/>
      <c r="H150" s="125"/>
      <c r="I150" s="45"/>
      <c r="J150" s="133"/>
      <c r="K150" s="133"/>
      <c r="L150" s="133"/>
    </row>
    <row r="151" spans="1:29" ht="12.95" customHeight="1" x14ac:dyDescent="0.25">
      <c r="A151" s="66" t="s">
        <v>193</v>
      </c>
      <c r="B151" s="173" t="s">
        <v>175</v>
      </c>
      <c r="C151" s="125"/>
      <c r="D151" s="173" t="s">
        <v>182</v>
      </c>
      <c r="E151" s="125"/>
      <c r="F151" s="66" t="s">
        <v>194</v>
      </c>
      <c r="G151" s="66" t="s">
        <v>195</v>
      </c>
      <c r="H151" s="173" t="s">
        <v>196</v>
      </c>
      <c r="I151" s="125"/>
      <c r="J151" s="173" t="s">
        <v>197</v>
      </c>
      <c r="K151" s="124"/>
      <c r="L151" s="125"/>
    </row>
    <row r="152" spans="1:29" ht="24" customHeight="1" x14ac:dyDescent="0.25">
      <c r="A152" s="174">
        <f>MAX(A$10:A151)+1</f>
        <v>448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8"/>
      <c r="G152" s="124"/>
      <c r="H152" s="124"/>
      <c r="I152" s="125"/>
      <c r="J152" s="135"/>
      <c r="K152" s="132" t="s">
        <v>198</v>
      </c>
      <c r="L152" s="135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3"/>
      <c r="B153" s="136" t="str">
        <f>IF(I153="","",HYPERLINK(VLOOKUP(I153,areaCampiSquadre,3,FALSE),VLOOKUP(I153,areaCampiSquadre,2,FALSE)))</f>
        <v/>
      </c>
      <c r="C153" s="124"/>
      <c r="D153" s="124"/>
      <c r="E153" s="124"/>
      <c r="F153" s="124"/>
      <c r="G153" s="124"/>
      <c r="H153" s="125"/>
      <c r="I153" s="45"/>
      <c r="J153" s="133"/>
      <c r="K153" s="133"/>
      <c r="L153" s="133"/>
    </row>
    <row r="154" spans="1:29" ht="12.95" customHeight="1" x14ac:dyDescent="0.25">
      <c r="A154" s="66" t="s">
        <v>193</v>
      </c>
      <c r="B154" s="173" t="s">
        <v>175</v>
      </c>
      <c r="C154" s="125"/>
      <c r="D154" s="173" t="s">
        <v>182</v>
      </c>
      <c r="E154" s="125"/>
      <c r="F154" s="66" t="s">
        <v>194</v>
      </c>
      <c r="G154" s="66" t="s">
        <v>195</v>
      </c>
      <c r="H154" s="173" t="s">
        <v>196</v>
      </c>
      <c r="I154" s="125"/>
      <c r="J154" s="173" t="s">
        <v>197</v>
      </c>
      <c r="K154" s="124"/>
      <c r="L154" s="125"/>
    </row>
    <row r="155" spans="1:29" ht="24" customHeight="1" x14ac:dyDescent="0.25">
      <c r="A155" s="174">
        <f>MAX(A$10:A154)+1</f>
        <v>449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8"/>
      <c r="G155" s="124"/>
      <c r="H155" s="124"/>
      <c r="I155" s="125"/>
      <c r="J155" s="135"/>
      <c r="K155" s="132" t="s">
        <v>198</v>
      </c>
      <c r="L155" s="135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3"/>
      <c r="B156" s="136" t="str">
        <f>IF(I156="","",HYPERLINK(VLOOKUP(I156,areaCampiSquadre,3,FALSE),VLOOKUP(I156,areaCampiSquadre,2,FALSE)))</f>
        <v/>
      </c>
      <c r="C156" s="124"/>
      <c r="D156" s="124"/>
      <c r="E156" s="124"/>
      <c r="F156" s="124"/>
      <c r="G156" s="124"/>
      <c r="H156" s="125"/>
      <c r="I156" s="45"/>
      <c r="J156" s="133"/>
      <c r="K156" s="133"/>
      <c r="L156" s="133"/>
    </row>
    <row r="157" spans="1:29" ht="12.95" customHeight="1" x14ac:dyDescent="0.25">
      <c r="A157" s="66" t="s">
        <v>193</v>
      </c>
      <c r="B157" s="173" t="s">
        <v>175</v>
      </c>
      <c r="C157" s="125"/>
      <c r="D157" s="173" t="s">
        <v>182</v>
      </c>
      <c r="E157" s="125"/>
      <c r="F157" s="66" t="s">
        <v>194</v>
      </c>
      <c r="G157" s="66" t="s">
        <v>195</v>
      </c>
      <c r="H157" s="173" t="s">
        <v>196</v>
      </c>
      <c r="I157" s="125"/>
      <c r="J157" s="173" t="s">
        <v>197</v>
      </c>
      <c r="K157" s="124"/>
      <c r="L157" s="125"/>
    </row>
    <row r="158" spans="1:29" ht="24" customHeight="1" x14ac:dyDescent="0.25">
      <c r="A158" s="174">
        <f>MAX(A$10:A157)+1</f>
        <v>450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8"/>
      <c r="G158" s="124"/>
      <c r="H158" s="124"/>
      <c r="I158" s="125"/>
      <c r="J158" s="135"/>
      <c r="K158" s="132" t="s">
        <v>198</v>
      </c>
      <c r="L158" s="135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3"/>
      <c r="B159" s="136" t="str">
        <f>IF(I159="","",HYPERLINK(VLOOKUP(I159,areaCampiSquadre,3,FALSE),VLOOKUP(I159,areaCampiSquadre,2,FALSE)))</f>
        <v/>
      </c>
      <c r="C159" s="124"/>
      <c r="D159" s="124"/>
      <c r="E159" s="124"/>
      <c r="F159" s="124"/>
      <c r="G159" s="124"/>
      <c r="H159" s="125"/>
      <c r="I159" s="45"/>
      <c r="J159" s="133"/>
      <c r="K159" s="133"/>
      <c r="L159" s="133"/>
    </row>
    <row r="160" spans="1:29" ht="8.1" customHeight="1" x14ac:dyDescent="0.25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</row>
    <row r="162" spans="1:1" x14ac:dyDescent="0.25">
      <c r="A162" s="39" t="s">
        <v>207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spans="1:13" x14ac:dyDescent="0.25">
      <c r="A1" s="131" t="str">
        <f>""&amp;constNomeCampionato</f>
        <v/>
      </c>
      <c r="B1" s="129"/>
      <c r="C1" s="129"/>
      <c r="D1" s="129"/>
      <c r="E1" s="129"/>
      <c r="F1" s="129"/>
      <c r="G1" s="129"/>
      <c r="H1" s="129"/>
    </row>
    <row r="2" spans="1:13" x14ac:dyDescent="0.25">
      <c r="A2" s="129"/>
      <c r="B2" s="129"/>
      <c r="C2" s="129"/>
      <c r="D2" s="129"/>
      <c r="E2" s="129"/>
      <c r="F2" s="129"/>
      <c r="G2" s="129"/>
      <c r="H2" s="129"/>
    </row>
    <row r="3" spans="1:13" ht="18" x14ac:dyDescent="0.25">
      <c r="A3" s="131" t="str">
        <f>"Classifiche di girone - Stagione "&amp;constStagionaCampionato</f>
        <v xml:space="preserve">Classifiche di girone - Stagione </v>
      </c>
      <c r="B3" s="129"/>
      <c r="C3" s="129"/>
      <c r="D3" s="129"/>
      <c r="E3" s="129"/>
      <c r="F3" s="129"/>
      <c r="G3" s="129"/>
      <c r="H3" s="129"/>
    </row>
    <row r="6" spans="1:13" ht="20.100000000000001" customHeight="1" x14ac:dyDescent="0.25">
      <c r="A6" s="180" t="str">
        <f>"CLASSIFICA - GIRONE A"</f>
        <v>CLASSIFICA - GIRONE A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5"/>
    </row>
    <row r="7" spans="1:13" ht="26.1" customHeight="1" x14ac:dyDescent="0.25">
      <c r="A7" s="181" t="s">
        <v>312</v>
      </c>
      <c r="B7" s="181" t="s">
        <v>313</v>
      </c>
      <c r="C7" s="181" t="s">
        <v>314</v>
      </c>
      <c r="D7" s="181" t="s">
        <v>315</v>
      </c>
      <c r="E7" s="124"/>
      <c r="F7" s="124"/>
      <c r="G7" s="125"/>
      <c r="H7" s="181" t="s">
        <v>316</v>
      </c>
      <c r="I7" s="124"/>
      <c r="J7" s="125"/>
      <c r="K7" s="181" t="s">
        <v>317</v>
      </c>
      <c r="L7" s="181" t="s">
        <v>318</v>
      </c>
      <c r="M7" s="181" t="s">
        <v>319</v>
      </c>
    </row>
    <row r="8" spans="1:13" x14ac:dyDescent="0.25">
      <c r="A8" s="133"/>
      <c r="B8" s="133"/>
      <c r="C8" s="133"/>
      <c r="D8" s="69" t="s">
        <v>117</v>
      </c>
      <c r="E8" s="69" t="s">
        <v>320</v>
      </c>
      <c r="F8" s="69" t="s">
        <v>312</v>
      </c>
      <c r="G8" s="69" t="s">
        <v>106</v>
      </c>
      <c r="H8" s="69" t="s">
        <v>321</v>
      </c>
      <c r="I8" s="69" t="s">
        <v>322</v>
      </c>
      <c r="J8" s="69" t="s">
        <v>323</v>
      </c>
      <c r="K8" s="133"/>
      <c r="L8" s="133"/>
      <c r="M8" s="133"/>
    </row>
    <row r="9" spans="1:13" x14ac:dyDescent="0.25">
      <c r="A9" s="70" t="s">
        <v>290</v>
      </c>
      <c r="B9" s="71" t="str">
        <f t="shared" ref="B9:B18" si="0">IFERROR(VLOOKUP($A9,areaCercaDatiPerPosizioneSquadre,2,FALSE),"("&amp;$A9&amp;")")</f>
        <v>(A1)</v>
      </c>
      <c r="C9" s="72" t="str">
        <f t="shared" ref="C9:C18" si="1">IFERROR(VLOOKUP($A9,areaCercaDatiPerPosizioneSquadre,4,FALSE),"-")</f>
        <v>-</v>
      </c>
      <c r="D9" s="5" t="str">
        <f t="shared" ref="D9:D18" si="2">IFERROR(VLOOKUP($A9,areaCercaDatiPerPosizioneSquadre,5,FALSE),"-")</f>
        <v>-</v>
      </c>
      <c r="E9" s="5" t="str">
        <f t="shared" ref="E9:E18" si="3">IFERROR(VLOOKUP($A9,areaCercaDatiPerPosizioneSquadre,6,FALSE),"-")</f>
        <v>-</v>
      </c>
      <c r="F9" s="5" t="str">
        <f t="shared" ref="F9:F18" si="4">IFERROR(VLOOKUP($A9,areaCercaDatiPerPosizioneSquadre,7,FALSE),"-")</f>
        <v>-</v>
      </c>
      <c r="G9" s="5" t="str">
        <f t="shared" ref="G9:G18" si="5">IFERROR(VLOOKUP($A9,areaCercaDatiPerPosizioneSquadre,8,FALSE),"-")</f>
        <v>-</v>
      </c>
      <c r="H9" s="5" t="str">
        <f t="shared" ref="H9:H18" si="6">IFERROR(VLOOKUP($A9,areaCercaDatiPerPosizioneSquadre,9,FALSE),"-")</f>
        <v>-</v>
      </c>
      <c r="I9" s="5" t="str">
        <f t="shared" ref="I9:I18" si="7">IFERROR(VLOOKUP($A9,areaCercaDatiPerPosizioneSquadre,10,FALSE),"-")</f>
        <v>-</v>
      </c>
      <c r="J9" s="5" t="str">
        <f t="shared" ref="J9:J18" si="8">IFERROR(VLOOKUP($A9,areaCercaDatiPerPosizioneSquadre,11,FALSE),"-")</f>
        <v>-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0" t="s">
        <v>305</v>
      </c>
      <c r="B10" s="71" t="str">
        <f t="shared" si="0"/>
        <v>(A2)</v>
      </c>
      <c r="C10" s="72" t="str">
        <f t="shared" si="1"/>
        <v>-</v>
      </c>
      <c r="D10" s="5" t="str">
        <f t="shared" si="2"/>
        <v>-</v>
      </c>
      <c r="E10" s="5" t="str">
        <f t="shared" si="3"/>
        <v>-</v>
      </c>
      <c r="F10" s="5" t="str">
        <f t="shared" si="4"/>
        <v>-</v>
      </c>
      <c r="G10" s="5" t="str">
        <f t="shared" si="5"/>
        <v>-</v>
      </c>
      <c r="H10" s="5" t="str">
        <f t="shared" si="6"/>
        <v>-</v>
      </c>
      <c r="I10" s="5" t="str">
        <f t="shared" si="7"/>
        <v>-</v>
      </c>
      <c r="J10" s="5" t="str">
        <f t="shared" si="8"/>
        <v>-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0" t="s">
        <v>324</v>
      </c>
      <c r="B11" s="10" t="str">
        <f t="shared" si="0"/>
        <v>(A3)</v>
      </c>
      <c r="C11" s="72" t="str">
        <f t="shared" si="1"/>
        <v>-</v>
      </c>
      <c r="D11" s="5" t="str">
        <f t="shared" si="2"/>
        <v>-</v>
      </c>
      <c r="E11" s="5" t="str">
        <f t="shared" si="3"/>
        <v>-</v>
      </c>
      <c r="F11" s="5" t="str">
        <f t="shared" si="4"/>
        <v>-</v>
      </c>
      <c r="G11" s="5" t="str">
        <f t="shared" si="5"/>
        <v>-</v>
      </c>
      <c r="H11" s="5" t="str">
        <f t="shared" si="6"/>
        <v>-</v>
      </c>
      <c r="I11" s="5" t="str">
        <f t="shared" si="7"/>
        <v>-</v>
      </c>
      <c r="J11" s="5" t="str">
        <f t="shared" si="8"/>
        <v>-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0" t="s">
        <v>325</v>
      </c>
      <c r="B12" s="10" t="str">
        <f t="shared" si="0"/>
        <v>(A4)</v>
      </c>
      <c r="C12" s="72" t="str">
        <f t="shared" si="1"/>
        <v>-</v>
      </c>
      <c r="D12" s="5" t="str">
        <f t="shared" si="2"/>
        <v>-</v>
      </c>
      <c r="E12" s="5" t="str">
        <f t="shared" si="3"/>
        <v>-</v>
      </c>
      <c r="F12" s="5" t="str">
        <f t="shared" si="4"/>
        <v>-</v>
      </c>
      <c r="G12" s="5" t="str">
        <f t="shared" si="5"/>
        <v>-</v>
      </c>
      <c r="H12" s="5" t="str">
        <f t="shared" si="6"/>
        <v>-</v>
      </c>
      <c r="I12" s="5" t="str">
        <f t="shared" si="7"/>
        <v>-</v>
      </c>
      <c r="J12" s="5" t="str">
        <f t="shared" si="8"/>
        <v>-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0" t="s">
        <v>326</v>
      </c>
      <c r="B13" s="10" t="str">
        <f t="shared" si="0"/>
        <v>(A5)</v>
      </c>
      <c r="C13" s="72" t="str">
        <f t="shared" si="1"/>
        <v>-</v>
      </c>
      <c r="D13" s="5" t="str">
        <f t="shared" si="2"/>
        <v>-</v>
      </c>
      <c r="E13" s="5" t="str">
        <f t="shared" si="3"/>
        <v>-</v>
      </c>
      <c r="F13" s="5" t="str">
        <f t="shared" si="4"/>
        <v>-</v>
      </c>
      <c r="G13" s="5" t="str">
        <f t="shared" si="5"/>
        <v>-</v>
      </c>
      <c r="H13" s="5" t="str">
        <f t="shared" si="6"/>
        <v>-</v>
      </c>
      <c r="I13" s="5" t="str">
        <f t="shared" si="7"/>
        <v>-</v>
      </c>
      <c r="J13" s="5" t="str">
        <f t="shared" si="8"/>
        <v>-</v>
      </c>
      <c r="K13" s="5" t="str">
        <f t="shared" si="9"/>
        <v>-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0" t="s">
        <v>327</v>
      </c>
      <c r="B14" s="10" t="str">
        <f t="shared" si="0"/>
        <v>(A6)</v>
      </c>
      <c r="C14" s="72" t="str">
        <f t="shared" si="1"/>
        <v>-</v>
      </c>
      <c r="D14" s="5" t="str">
        <f t="shared" si="2"/>
        <v>-</v>
      </c>
      <c r="E14" s="5" t="str">
        <f t="shared" si="3"/>
        <v>-</v>
      </c>
      <c r="F14" s="5" t="str">
        <f t="shared" si="4"/>
        <v>-</v>
      </c>
      <c r="G14" s="5" t="str">
        <f t="shared" si="5"/>
        <v>-</v>
      </c>
      <c r="H14" s="5" t="str">
        <f t="shared" si="6"/>
        <v>-</v>
      </c>
      <c r="I14" s="5" t="str">
        <f t="shared" si="7"/>
        <v>-</v>
      </c>
      <c r="J14" s="5" t="str">
        <f t="shared" si="8"/>
        <v>-</v>
      </c>
      <c r="K14" s="5" t="str">
        <f t="shared" si="9"/>
        <v>-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0" t="s">
        <v>328</v>
      </c>
      <c r="B15" s="10" t="str">
        <f t="shared" si="0"/>
        <v>(A7)</v>
      </c>
      <c r="C15" s="72" t="str">
        <f t="shared" si="1"/>
        <v>-</v>
      </c>
      <c r="D15" s="5" t="str">
        <f t="shared" si="2"/>
        <v>-</v>
      </c>
      <c r="E15" s="5" t="str">
        <f t="shared" si="3"/>
        <v>-</v>
      </c>
      <c r="F15" s="5" t="str">
        <f t="shared" si="4"/>
        <v>-</v>
      </c>
      <c r="G15" s="5" t="str">
        <f t="shared" si="5"/>
        <v>-</v>
      </c>
      <c r="H15" s="5" t="str">
        <f t="shared" si="6"/>
        <v>-</v>
      </c>
      <c r="I15" s="5" t="str">
        <f t="shared" si="7"/>
        <v>-</v>
      </c>
      <c r="J15" s="5" t="str">
        <f t="shared" si="8"/>
        <v>-</v>
      </c>
      <c r="K15" s="5" t="str">
        <f t="shared" si="9"/>
        <v>-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0" t="s">
        <v>329</v>
      </c>
      <c r="B16" s="10" t="str">
        <f t="shared" si="0"/>
        <v>(A8)</v>
      </c>
      <c r="C16" s="72" t="str">
        <f t="shared" si="1"/>
        <v>-</v>
      </c>
      <c r="D16" s="5" t="str">
        <f t="shared" si="2"/>
        <v>-</v>
      </c>
      <c r="E16" s="5" t="str">
        <f t="shared" si="3"/>
        <v>-</v>
      </c>
      <c r="F16" s="5" t="str">
        <f t="shared" si="4"/>
        <v>-</v>
      </c>
      <c r="G16" s="5" t="str">
        <f t="shared" si="5"/>
        <v>-</v>
      </c>
      <c r="H16" s="5" t="str">
        <f t="shared" si="6"/>
        <v>-</v>
      </c>
      <c r="I16" s="5" t="str">
        <f t="shared" si="7"/>
        <v>-</v>
      </c>
      <c r="J16" s="5" t="str">
        <f t="shared" si="8"/>
        <v>-</v>
      </c>
      <c r="K16" s="5" t="str">
        <f t="shared" si="9"/>
        <v>-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0" t="s">
        <v>330</v>
      </c>
      <c r="B17" s="10" t="str">
        <f t="shared" si="0"/>
        <v>(A9)</v>
      </c>
      <c r="C17" s="72" t="str">
        <f t="shared" si="1"/>
        <v>-</v>
      </c>
      <c r="D17" s="5" t="str">
        <f t="shared" si="2"/>
        <v>-</v>
      </c>
      <c r="E17" s="5" t="str">
        <f t="shared" si="3"/>
        <v>-</v>
      </c>
      <c r="F17" s="5" t="str">
        <f t="shared" si="4"/>
        <v>-</v>
      </c>
      <c r="G17" s="5" t="str">
        <f t="shared" si="5"/>
        <v>-</v>
      </c>
      <c r="H17" s="5" t="str">
        <f t="shared" si="6"/>
        <v>-</v>
      </c>
      <c r="I17" s="5" t="str">
        <f t="shared" si="7"/>
        <v>-</v>
      </c>
      <c r="J17" s="5" t="str">
        <f t="shared" si="8"/>
        <v>-</v>
      </c>
      <c r="K17" s="5" t="str">
        <f t="shared" si="9"/>
        <v>-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0" t="s">
        <v>60</v>
      </c>
      <c r="B18" s="10" t="str">
        <f t="shared" si="0"/>
        <v>(A10)</v>
      </c>
      <c r="C18" s="72" t="str">
        <f t="shared" si="1"/>
        <v>-</v>
      </c>
      <c r="D18" s="5" t="str">
        <f t="shared" si="2"/>
        <v>-</v>
      </c>
      <c r="E18" s="5" t="str">
        <f t="shared" si="3"/>
        <v>-</v>
      </c>
      <c r="F18" s="5" t="str">
        <f t="shared" si="4"/>
        <v>-</v>
      </c>
      <c r="G18" s="5" t="str">
        <f t="shared" si="5"/>
        <v>-</v>
      </c>
      <c r="H18" s="5" t="str">
        <f t="shared" si="6"/>
        <v>-</v>
      </c>
      <c r="I18" s="5" t="str">
        <f t="shared" si="7"/>
        <v>-</v>
      </c>
      <c r="J18" s="5" t="str">
        <f t="shared" si="8"/>
        <v>-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97" t="str">
        <f>"CLASSIFICA - GIRONE B"</f>
        <v>CLASSIFICA - GIRONE B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ht="26.1" customHeight="1" x14ac:dyDescent="0.25">
      <c r="A21" s="190" t="s">
        <v>312</v>
      </c>
      <c r="B21" s="190" t="s">
        <v>313</v>
      </c>
      <c r="C21" s="190" t="s">
        <v>314</v>
      </c>
      <c r="D21" s="190" t="s">
        <v>315</v>
      </c>
      <c r="E21" s="124"/>
      <c r="F21" s="124"/>
      <c r="G21" s="125"/>
      <c r="H21" s="190" t="s">
        <v>316</v>
      </c>
      <c r="I21" s="124"/>
      <c r="J21" s="125"/>
      <c r="K21" s="190" t="s">
        <v>317</v>
      </c>
      <c r="L21" s="190" t="s">
        <v>318</v>
      </c>
      <c r="M21" s="190" t="s">
        <v>319</v>
      </c>
    </row>
    <row r="22" spans="1:13" x14ac:dyDescent="0.25">
      <c r="A22" s="133"/>
      <c r="B22" s="133"/>
      <c r="C22" s="133"/>
      <c r="D22" s="73" t="s">
        <v>117</v>
      </c>
      <c r="E22" s="73" t="s">
        <v>320</v>
      </c>
      <c r="F22" s="73" t="s">
        <v>312</v>
      </c>
      <c r="G22" s="73" t="s">
        <v>106</v>
      </c>
      <c r="H22" s="73" t="s">
        <v>321</v>
      </c>
      <c r="I22" s="73" t="s">
        <v>322</v>
      </c>
      <c r="J22" s="73" t="s">
        <v>323</v>
      </c>
      <c r="K22" s="133"/>
      <c r="L22" s="133"/>
      <c r="M22" s="133"/>
    </row>
    <row r="23" spans="1:13" x14ac:dyDescent="0.25">
      <c r="A23" s="74" t="s">
        <v>292</v>
      </c>
      <c r="B23" s="75" t="str">
        <f t="shared" ref="B23:B32" si="12">IFERROR(VLOOKUP($A23,areaCercaDatiPerPosizioneSquadre,2,FALSE),"("&amp;$A23&amp;")")</f>
        <v>(B1)</v>
      </c>
      <c r="C23" s="72" t="str">
        <f t="shared" ref="C23:C32" si="13">IFERROR(VLOOKUP($A23,areaCercaDatiPerPosizioneSquadre,4,FALSE),"-")</f>
        <v>-</v>
      </c>
      <c r="D23" s="5" t="str">
        <f t="shared" ref="D23:D32" si="14">IFERROR(VLOOKUP($A23,areaCercaDatiPerPosizioneSquadre,5,FALSE),"-")</f>
        <v>-</v>
      </c>
      <c r="E23" s="5" t="str">
        <f t="shared" ref="E23:E32" si="15">IFERROR(VLOOKUP($A23,areaCercaDatiPerPosizioneSquadre,6,FALSE),"-")</f>
        <v>-</v>
      </c>
      <c r="F23" s="5" t="str">
        <f t="shared" ref="F23:F32" si="16">IFERROR(VLOOKUP($A23,areaCercaDatiPerPosizioneSquadre,7,FALSE),"-")</f>
        <v>-</v>
      </c>
      <c r="G23" s="5" t="str">
        <f t="shared" ref="G23:G32" si="17">IFERROR(VLOOKUP($A23,areaCercaDatiPerPosizioneSquadre,8,FALSE),"-")</f>
        <v>-</v>
      </c>
      <c r="H23" s="5" t="str">
        <f t="shared" ref="H23:H32" si="18">IFERROR(VLOOKUP($A23,areaCercaDatiPerPosizioneSquadre,9,FALSE),"-")</f>
        <v>-</v>
      </c>
      <c r="I23" s="5" t="str">
        <f t="shared" ref="I23:I32" si="19">IFERROR(VLOOKUP($A23,areaCercaDatiPerPosizioneSquadre,10,FALSE),"-")</f>
        <v>-</v>
      </c>
      <c r="J23" s="5" t="str">
        <f t="shared" ref="J23:J32" si="20">IFERROR(VLOOKUP($A23,areaCercaDatiPerPosizioneSquadre,11,FALSE),"-")</f>
        <v>-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4" t="s">
        <v>303</v>
      </c>
      <c r="B24" s="75" t="str">
        <f t="shared" si="12"/>
        <v>(B2)</v>
      </c>
      <c r="C24" s="72" t="str">
        <f t="shared" si="13"/>
        <v>-</v>
      </c>
      <c r="D24" s="5" t="str">
        <f t="shared" si="14"/>
        <v>-</v>
      </c>
      <c r="E24" s="5" t="str">
        <f t="shared" si="15"/>
        <v>-</v>
      </c>
      <c r="F24" s="5" t="str">
        <f t="shared" si="16"/>
        <v>-</v>
      </c>
      <c r="G24" s="5" t="str">
        <f t="shared" si="17"/>
        <v>-</v>
      </c>
      <c r="H24" s="5" t="str">
        <f t="shared" si="18"/>
        <v>-</v>
      </c>
      <c r="I24" s="5" t="str">
        <f t="shared" si="19"/>
        <v>-</v>
      </c>
      <c r="J24" s="5" t="str">
        <f t="shared" si="20"/>
        <v>-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4" t="s">
        <v>331</v>
      </c>
      <c r="B25" s="10" t="str">
        <f t="shared" si="12"/>
        <v>(B3)</v>
      </c>
      <c r="C25" s="72" t="str">
        <f t="shared" si="13"/>
        <v>-</v>
      </c>
      <c r="D25" s="5" t="str">
        <f t="shared" si="14"/>
        <v>-</v>
      </c>
      <c r="E25" s="5" t="str">
        <f t="shared" si="15"/>
        <v>-</v>
      </c>
      <c r="F25" s="5" t="str">
        <f t="shared" si="16"/>
        <v>-</v>
      </c>
      <c r="G25" s="5" t="str">
        <f t="shared" si="17"/>
        <v>-</v>
      </c>
      <c r="H25" s="5" t="str">
        <f t="shared" si="18"/>
        <v>-</v>
      </c>
      <c r="I25" s="5" t="str">
        <f t="shared" si="19"/>
        <v>-</v>
      </c>
      <c r="J25" s="5" t="str">
        <f t="shared" si="20"/>
        <v>-</v>
      </c>
      <c r="K25" s="5" t="str">
        <f t="shared" si="21"/>
        <v>-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4" t="s">
        <v>332</v>
      </c>
      <c r="B26" s="10" t="str">
        <f t="shared" si="12"/>
        <v>(B4)</v>
      </c>
      <c r="C26" s="72" t="str">
        <f t="shared" si="13"/>
        <v>-</v>
      </c>
      <c r="D26" s="5" t="str">
        <f t="shared" si="14"/>
        <v>-</v>
      </c>
      <c r="E26" s="5" t="str">
        <f t="shared" si="15"/>
        <v>-</v>
      </c>
      <c r="F26" s="5" t="str">
        <f t="shared" si="16"/>
        <v>-</v>
      </c>
      <c r="G26" s="5" t="str">
        <f t="shared" si="17"/>
        <v>-</v>
      </c>
      <c r="H26" s="5" t="str">
        <f t="shared" si="18"/>
        <v>-</v>
      </c>
      <c r="I26" s="5" t="str">
        <f t="shared" si="19"/>
        <v>-</v>
      </c>
      <c r="J26" s="5" t="str">
        <f t="shared" si="20"/>
        <v>-</v>
      </c>
      <c r="K26" s="5" t="str">
        <f t="shared" si="21"/>
        <v>-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4" t="s">
        <v>333</v>
      </c>
      <c r="B27" s="10" t="str">
        <f t="shared" si="12"/>
        <v>(B5)</v>
      </c>
      <c r="C27" s="72" t="str">
        <f t="shared" si="13"/>
        <v>-</v>
      </c>
      <c r="D27" s="5" t="str">
        <f t="shared" si="14"/>
        <v>-</v>
      </c>
      <c r="E27" s="5" t="str">
        <f t="shared" si="15"/>
        <v>-</v>
      </c>
      <c r="F27" s="5" t="str">
        <f t="shared" si="16"/>
        <v>-</v>
      </c>
      <c r="G27" s="5" t="str">
        <f t="shared" si="17"/>
        <v>-</v>
      </c>
      <c r="H27" s="5" t="str">
        <f t="shared" si="18"/>
        <v>-</v>
      </c>
      <c r="I27" s="5" t="str">
        <f t="shared" si="19"/>
        <v>-</v>
      </c>
      <c r="J27" s="5" t="str">
        <f t="shared" si="20"/>
        <v>-</v>
      </c>
      <c r="K27" s="5" t="str">
        <f t="shared" si="21"/>
        <v>-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4" t="s">
        <v>334</v>
      </c>
      <c r="B28" s="10" t="str">
        <f t="shared" si="12"/>
        <v>(B6)</v>
      </c>
      <c r="C28" s="72" t="str">
        <f t="shared" si="13"/>
        <v>-</v>
      </c>
      <c r="D28" s="5" t="str">
        <f t="shared" si="14"/>
        <v>-</v>
      </c>
      <c r="E28" s="5" t="str">
        <f t="shared" si="15"/>
        <v>-</v>
      </c>
      <c r="F28" s="5" t="str">
        <f t="shared" si="16"/>
        <v>-</v>
      </c>
      <c r="G28" s="5" t="str">
        <f t="shared" si="17"/>
        <v>-</v>
      </c>
      <c r="H28" s="5" t="str">
        <f t="shared" si="18"/>
        <v>-</v>
      </c>
      <c r="I28" s="5" t="str">
        <f t="shared" si="19"/>
        <v>-</v>
      </c>
      <c r="J28" s="5" t="str">
        <f t="shared" si="20"/>
        <v>-</v>
      </c>
      <c r="K28" s="5" t="str">
        <f t="shared" si="21"/>
        <v>-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4" t="s">
        <v>335</v>
      </c>
      <c r="B29" s="10" t="str">
        <f t="shared" si="12"/>
        <v>(B7)</v>
      </c>
      <c r="C29" s="72" t="str">
        <f t="shared" si="13"/>
        <v>-</v>
      </c>
      <c r="D29" s="5" t="str">
        <f t="shared" si="14"/>
        <v>-</v>
      </c>
      <c r="E29" s="5" t="str">
        <f t="shared" si="15"/>
        <v>-</v>
      </c>
      <c r="F29" s="5" t="str">
        <f t="shared" si="16"/>
        <v>-</v>
      </c>
      <c r="G29" s="5" t="str">
        <f t="shared" si="17"/>
        <v>-</v>
      </c>
      <c r="H29" s="5" t="str">
        <f t="shared" si="18"/>
        <v>-</v>
      </c>
      <c r="I29" s="5" t="str">
        <f t="shared" si="19"/>
        <v>-</v>
      </c>
      <c r="J29" s="5" t="str">
        <f t="shared" si="20"/>
        <v>-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4" t="s">
        <v>336</v>
      </c>
      <c r="B30" s="10" t="str">
        <f t="shared" si="12"/>
        <v>(B8)</v>
      </c>
      <c r="C30" s="72" t="str">
        <f t="shared" si="13"/>
        <v>-</v>
      </c>
      <c r="D30" s="5" t="str">
        <f t="shared" si="14"/>
        <v>-</v>
      </c>
      <c r="E30" s="5" t="str">
        <f t="shared" si="15"/>
        <v>-</v>
      </c>
      <c r="F30" s="5" t="str">
        <f t="shared" si="16"/>
        <v>-</v>
      </c>
      <c r="G30" s="5" t="str">
        <f t="shared" si="17"/>
        <v>-</v>
      </c>
      <c r="H30" s="5" t="str">
        <f t="shared" si="18"/>
        <v>-</v>
      </c>
      <c r="I30" s="5" t="str">
        <f t="shared" si="19"/>
        <v>-</v>
      </c>
      <c r="J30" s="5" t="str">
        <f t="shared" si="20"/>
        <v>-</v>
      </c>
      <c r="K30" s="5" t="str">
        <f t="shared" si="21"/>
        <v>-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4" t="s">
        <v>337</v>
      </c>
      <c r="B31" s="10" t="str">
        <f t="shared" si="12"/>
        <v>(B9)</v>
      </c>
      <c r="C31" s="72" t="str">
        <f t="shared" si="13"/>
        <v>-</v>
      </c>
      <c r="D31" s="5" t="str">
        <f t="shared" si="14"/>
        <v>-</v>
      </c>
      <c r="E31" s="5" t="str">
        <f t="shared" si="15"/>
        <v>-</v>
      </c>
      <c r="F31" s="5" t="str">
        <f t="shared" si="16"/>
        <v>-</v>
      </c>
      <c r="G31" s="5" t="str">
        <f t="shared" si="17"/>
        <v>-</v>
      </c>
      <c r="H31" s="5" t="str">
        <f t="shared" si="18"/>
        <v>-</v>
      </c>
      <c r="I31" s="5" t="str">
        <f t="shared" si="19"/>
        <v>-</v>
      </c>
      <c r="J31" s="5" t="str">
        <f t="shared" si="20"/>
        <v>-</v>
      </c>
      <c r="K31" s="5" t="str">
        <f t="shared" si="21"/>
        <v>-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4" t="s">
        <v>71</v>
      </c>
      <c r="B32" s="10" t="str">
        <f t="shared" si="12"/>
        <v>(B10)</v>
      </c>
      <c r="C32" s="72" t="str">
        <f t="shared" si="13"/>
        <v>-</v>
      </c>
      <c r="D32" s="5" t="str">
        <f t="shared" si="14"/>
        <v>-</v>
      </c>
      <c r="E32" s="5" t="str">
        <f t="shared" si="15"/>
        <v>-</v>
      </c>
      <c r="F32" s="5" t="str">
        <f t="shared" si="16"/>
        <v>-</v>
      </c>
      <c r="G32" s="5" t="str">
        <f t="shared" si="17"/>
        <v>-</v>
      </c>
      <c r="H32" s="5" t="str">
        <f t="shared" si="18"/>
        <v>-</v>
      </c>
      <c r="I32" s="5" t="str">
        <f t="shared" si="19"/>
        <v>-</v>
      </c>
      <c r="J32" s="5" t="str">
        <f t="shared" si="20"/>
        <v>-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5" t="str">
        <f>"CLASSIFICA - GIRONE C"</f>
        <v>CLASSIFICA - GIRONE C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5"/>
    </row>
    <row r="35" spans="1:13" ht="26.1" customHeight="1" x14ac:dyDescent="0.25">
      <c r="A35" s="191" t="s">
        <v>312</v>
      </c>
      <c r="B35" s="191" t="s">
        <v>313</v>
      </c>
      <c r="C35" s="191" t="s">
        <v>314</v>
      </c>
      <c r="D35" s="191" t="s">
        <v>315</v>
      </c>
      <c r="E35" s="124"/>
      <c r="F35" s="124"/>
      <c r="G35" s="125"/>
      <c r="H35" s="191" t="s">
        <v>316</v>
      </c>
      <c r="I35" s="124"/>
      <c r="J35" s="125"/>
      <c r="K35" s="191" t="s">
        <v>317</v>
      </c>
      <c r="L35" s="191" t="s">
        <v>318</v>
      </c>
      <c r="M35" s="191" t="s">
        <v>319</v>
      </c>
    </row>
    <row r="36" spans="1:13" x14ac:dyDescent="0.25">
      <c r="A36" s="133"/>
      <c r="B36" s="133"/>
      <c r="C36" s="133"/>
      <c r="D36" s="76" t="s">
        <v>117</v>
      </c>
      <c r="E36" s="76" t="s">
        <v>320</v>
      </c>
      <c r="F36" s="76" t="s">
        <v>312</v>
      </c>
      <c r="G36" s="76" t="s">
        <v>106</v>
      </c>
      <c r="H36" s="76" t="s">
        <v>321</v>
      </c>
      <c r="I36" s="76" t="s">
        <v>322</v>
      </c>
      <c r="J36" s="76" t="s">
        <v>323</v>
      </c>
      <c r="K36" s="133"/>
      <c r="L36" s="133"/>
      <c r="M36" s="133"/>
    </row>
    <row r="37" spans="1:13" x14ac:dyDescent="0.25">
      <c r="A37" s="77" t="s">
        <v>294</v>
      </c>
      <c r="B37" s="78" t="str">
        <f t="shared" ref="B37:B46" si="24">IFERROR(VLOOKUP($A37,areaCercaDatiPerPosizioneSquadre,2,FALSE),"("&amp;$A37&amp;")")</f>
        <v>(C1)</v>
      </c>
      <c r="C37" s="72" t="str">
        <f t="shared" ref="C37:C46" si="25">IFERROR(VLOOKUP($A37,areaCercaDatiPerPosizioneSquadre,4,FALSE),"-")</f>
        <v>-</v>
      </c>
      <c r="D37" s="5" t="str">
        <f t="shared" ref="D37:D46" si="26">IFERROR(VLOOKUP($A37,areaCercaDatiPerPosizioneSquadre,5,FALSE),"-")</f>
        <v>-</v>
      </c>
      <c r="E37" s="5" t="str">
        <f t="shared" ref="E37:E46" si="27">IFERROR(VLOOKUP($A37,areaCercaDatiPerPosizioneSquadre,6,FALSE),"-")</f>
        <v>-</v>
      </c>
      <c r="F37" s="5" t="str">
        <f t="shared" ref="F37:F46" si="28">IFERROR(VLOOKUP($A37,areaCercaDatiPerPosizioneSquadre,7,FALSE),"-")</f>
        <v>-</v>
      </c>
      <c r="G37" s="5" t="str">
        <f t="shared" ref="G37:G46" si="29">IFERROR(VLOOKUP($A37,areaCercaDatiPerPosizioneSquadre,8,FALSE),"-")</f>
        <v>-</v>
      </c>
      <c r="H37" s="5" t="str">
        <f t="shared" ref="H37:H46" si="30">IFERROR(VLOOKUP($A37,areaCercaDatiPerPosizioneSquadre,9,FALSE),"-")</f>
        <v>-</v>
      </c>
      <c r="I37" s="5" t="str">
        <f t="shared" ref="I37:I46" si="31">IFERROR(VLOOKUP($A37,areaCercaDatiPerPosizioneSquadre,10,FALSE),"-")</f>
        <v>-</v>
      </c>
      <c r="J37" s="5" t="str">
        <f t="shared" ref="J37:J46" si="32">IFERROR(VLOOKUP($A37,areaCercaDatiPerPosizioneSquadre,11,FALSE),"-")</f>
        <v>-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77" t="s">
        <v>301</v>
      </c>
      <c r="B38" s="78" t="str">
        <f t="shared" si="24"/>
        <v>(C2)</v>
      </c>
      <c r="C38" s="72" t="str">
        <f t="shared" si="25"/>
        <v>-</v>
      </c>
      <c r="D38" s="5" t="str">
        <f t="shared" si="26"/>
        <v>-</v>
      </c>
      <c r="E38" s="5" t="str">
        <f t="shared" si="27"/>
        <v>-</v>
      </c>
      <c r="F38" s="5" t="str">
        <f t="shared" si="28"/>
        <v>-</v>
      </c>
      <c r="G38" s="5" t="str">
        <f t="shared" si="29"/>
        <v>-</v>
      </c>
      <c r="H38" s="5" t="str">
        <f t="shared" si="30"/>
        <v>-</v>
      </c>
      <c r="I38" s="5" t="str">
        <f t="shared" si="31"/>
        <v>-</v>
      </c>
      <c r="J38" s="5" t="str">
        <f t="shared" si="32"/>
        <v>-</v>
      </c>
      <c r="K38" s="5" t="str">
        <f t="shared" si="33"/>
        <v>-</v>
      </c>
      <c r="L38" s="11" t="str">
        <f t="shared" si="34"/>
        <v>-</v>
      </c>
      <c r="M38" s="11" t="str">
        <f t="shared" si="35"/>
        <v>-</v>
      </c>
    </row>
    <row r="39" spans="1:13" x14ac:dyDescent="0.25">
      <c r="A39" s="77" t="s">
        <v>338</v>
      </c>
      <c r="B39" s="10" t="str">
        <f t="shared" si="24"/>
        <v>(C3)</v>
      </c>
      <c r="C39" s="72" t="str">
        <f t="shared" si="25"/>
        <v>-</v>
      </c>
      <c r="D39" s="5" t="str">
        <f t="shared" si="26"/>
        <v>-</v>
      </c>
      <c r="E39" s="5" t="str">
        <f t="shared" si="27"/>
        <v>-</v>
      </c>
      <c r="F39" s="5" t="str">
        <f t="shared" si="28"/>
        <v>-</v>
      </c>
      <c r="G39" s="5" t="str">
        <f t="shared" si="29"/>
        <v>-</v>
      </c>
      <c r="H39" s="5" t="str">
        <f t="shared" si="30"/>
        <v>-</v>
      </c>
      <c r="I39" s="5" t="str">
        <f t="shared" si="31"/>
        <v>-</v>
      </c>
      <c r="J39" s="5" t="str">
        <f t="shared" si="32"/>
        <v>-</v>
      </c>
      <c r="K39" s="5" t="str">
        <f t="shared" si="33"/>
        <v>-</v>
      </c>
      <c r="L39" s="11" t="str">
        <f t="shared" si="34"/>
        <v>-</v>
      </c>
      <c r="M39" s="11" t="str">
        <f t="shared" si="35"/>
        <v>-</v>
      </c>
    </row>
    <row r="40" spans="1:13" x14ac:dyDescent="0.25">
      <c r="A40" s="77" t="s">
        <v>339</v>
      </c>
      <c r="B40" s="10" t="str">
        <f t="shared" si="24"/>
        <v>(C4)</v>
      </c>
      <c r="C40" s="72" t="str">
        <f t="shared" si="25"/>
        <v>-</v>
      </c>
      <c r="D40" s="5" t="str">
        <f t="shared" si="26"/>
        <v>-</v>
      </c>
      <c r="E40" s="5" t="str">
        <f t="shared" si="27"/>
        <v>-</v>
      </c>
      <c r="F40" s="5" t="str">
        <f t="shared" si="28"/>
        <v>-</v>
      </c>
      <c r="G40" s="5" t="str">
        <f t="shared" si="29"/>
        <v>-</v>
      </c>
      <c r="H40" s="5" t="str">
        <f t="shared" si="30"/>
        <v>-</v>
      </c>
      <c r="I40" s="5" t="str">
        <f t="shared" si="31"/>
        <v>-</v>
      </c>
      <c r="J40" s="5" t="str">
        <f t="shared" si="32"/>
        <v>-</v>
      </c>
      <c r="K40" s="5" t="str">
        <f t="shared" si="33"/>
        <v>-</v>
      </c>
      <c r="L40" s="11" t="str">
        <f t="shared" si="34"/>
        <v>-</v>
      </c>
      <c r="M40" s="11" t="str">
        <f t="shared" si="35"/>
        <v>-</v>
      </c>
    </row>
    <row r="41" spans="1:13" x14ac:dyDescent="0.25">
      <c r="A41" s="77" t="s">
        <v>340</v>
      </c>
      <c r="B41" s="10" t="str">
        <f t="shared" si="24"/>
        <v>(C5)</v>
      </c>
      <c r="C41" s="72" t="str">
        <f t="shared" si="25"/>
        <v>-</v>
      </c>
      <c r="D41" s="5" t="str">
        <f t="shared" si="26"/>
        <v>-</v>
      </c>
      <c r="E41" s="5" t="str">
        <f t="shared" si="27"/>
        <v>-</v>
      </c>
      <c r="F41" s="5" t="str">
        <f t="shared" si="28"/>
        <v>-</v>
      </c>
      <c r="G41" s="5" t="str">
        <f t="shared" si="29"/>
        <v>-</v>
      </c>
      <c r="H41" s="5" t="str">
        <f t="shared" si="30"/>
        <v>-</v>
      </c>
      <c r="I41" s="5" t="str">
        <f t="shared" si="31"/>
        <v>-</v>
      </c>
      <c r="J41" s="5" t="str">
        <f t="shared" si="32"/>
        <v>-</v>
      </c>
      <c r="K41" s="5" t="str">
        <f t="shared" si="33"/>
        <v>-</v>
      </c>
      <c r="L41" s="11" t="str">
        <f t="shared" si="34"/>
        <v>-</v>
      </c>
      <c r="M41" s="11" t="str">
        <f t="shared" si="35"/>
        <v>-</v>
      </c>
    </row>
    <row r="42" spans="1:13" x14ac:dyDescent="0.25">
      <c r="A42" s="77" t="s">
        <v>341</v>
      </c>
      <c r="B42" s="10" t="str">
        <f t="shared" si="24"/>
        <v>(C6)</v>
      </c>
      <c r="C42" s="72" t="str">
        <f t="shared" si="25"/>
        <v>-</v>
      </c>
      <c r="D42" s="5" t="str">
        <f t="shared" si="26"/>
        <v>-</v>
      </c>
      <c r="E42" s="5" t="str">
        <f t="shared" si="27"/>
        <v>-</v>
      </c>
      <c r="F42" s="5" t="str">
        <f t="shared" si="28"/>
        <v>-</v>
      </c>
      <c r="G42" s="5" t="str">
        <f t="shared" si="29"/>
        <v>-</v>
      </c>
      <c r="H42" s="5" t="str">
        <f t="shared" si="30"/>
        <v>-</v>
      </c>
      <c r="I42" s="5" t="str">
        <f t="shared" si="31"/>
        <v>-</v>
      </c>
      <c r="J42" s="5" t="str">
        <f t="shared" si="32"/>
        <v>-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77" t="s">
        <v>342</v>
      </c>
      <c r="B43" s="10" t="str">
        <f t="shared" si="24"/>
        <v>(C7)</v>
      </c>
      <c r="C43" s="72" t="str">
        <f t="shared" si="25"/>
        <v>-</v>
      </c>
      <c r="D43" s="5" t="str">
        <f t="shared" si="26"/>
        <v>-</v>
      </c>
      <c r="E43" s="5" t="str">
        <f t="shared" si="27"/>
        <v>-</v>
      </c>
      <c r="F43" s="5" t="str">
        <f t="shared" si="28"/>
        <v>-</v>
      </c>
      <c r="G43" s="5" t="str">
        <f t="shared" si="29"/>
        <v>-</v>
      </c>
      <c r="H43" s="5" t="str">
        <f t="shared" si="30"/>
        <v>-</v>
      </c>
      <c r="I43" s="5" t="str">
        <f t="shared" si="31"/>
        <v>-</v>
      </c>
      <c r="J43" s="5" t="str">
        <f t="shared" si="32"/>
        <v>-</v>
      </c>
      <c r="K43" s="5" t="str">
        <f t="shared" si="33"/>
        <v>-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77" t="s">
        <v>343</v>
      </c>
      <c r="B44" s="10" t="str">
        <f t="shared" si="24"/>
        <v>(C8)</v>
      </c>
      <c r="C44" s="72" t="str">
        <f t="shared" si="25"/>
        <v>-</v>
      </c>
      <c r="D44" s="5" t="str">
        <f t="shared" si="26"/>
        <v>-</v>
      </c>
      <c r="E44" s="5" t="str">
        <f t="shared" si="27"/>
        <v>-</v>
      </c>
      <c r="F44" s="5" t="str">
        <f t="shared" si="28"/>
        <v>-</v>
      </c>
      <c r="G44" s="5" t="str">
        <f t="shared" si="29"/>
        <v>-</v>
      </c>
      <c r="H44" s="5" t="str">
        <f t="shared" si="30"/>
        <v>-</v>
      </c>
      <c r="I44" s="5" t="str">
        <f t="shared" si="31"/>
        <v>-</v>
      </c>
      <c r="J44" s="5" t="str">
        <f t="shared" si="32"/>
        <v>-</v>
      </c>
      <c r="K44" s="5" t="str">
        <f t="shared" si="33"/>
        <v>-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77" t="s">
        <v>344</v>
      </c>
      <c r="B45" s="10" t="str">
        <f t="shared" si="24"/>
        <v>(C9)</v>
      </c>
      <c r="C45" s="72" t="str">
        <f t="shared" si="25"/>
        <v>-</v>
      </c>
      <c r="D45" s="5" t="str">
        <f t="shared" si="26"/>
        <v>-</v>
      </c>
      <c r="E45" s="5" t="str">
        <f t="shared" si="27"/>
        <v>-</v>
      </c>
      <c r="F45" s="5" t="str">
        <f t="shared" si="28"/>
        <v>-</v>
      </c>
      <c r="G45" s="5" t="str">
        <f t="shared" si="29"/>
        <v>-</v>
      </c>
      <c r="H45" s="5" t="str">
        <f t="shared" si="30"/>
        <v>-</v>
      </c>
      <c r="I45" s="5" t="str">
        <f t="shared" si="31"/>
        <v>-</v>
      </c>
      <c r="J45" s="5" t="str">
        <f t="shared" si="32"/>
        <v>-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77" t="s">
        <v>82</v>
      </c>
      <c r="B46" s="10" t="str">
        <f t="shared" si="24"/>
        <v>(C10)</v>
      </c>
      <c r="C46" s="72" t="str">
        <f t="shared" si="25"/>
        <v>-</v>
      </c>
      <c r="D46" s="5" t="str">
        <f t="shared" si="26"/>
        <v>-</v>
      </c>
      <c r="E46" s="5" t="str">
        <f t="shared" si="27"/>
        <v>-</v>
      </c>
      <c r="F46" s="5" t="str">
        <f t="shared" si="28"/>
        <v>-</v>
      </c>
      <c r="G46" s="5" t="str">
        <f t="shared" si="29"/>
        <v>-</v>
      </c>
      <c r="H46" s="5" t="str">
        <f t="shared" si="30"/>
        <v>-</v>
      </c>
      <c r="I46" s="5" t="str">
        <f t="shared" si="31"/>
        <v>-</v>
      </c>
      <c r="J46" s="5" t="str">
        <f t="shared" si="32"/>
        <v>-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8" t="str">
        <f>"CLASSIFICA - GIRONE D"</f>
        <v>CLASSIFICA - GIRONE D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ht="26.1" customHeight="1" x14ac:dyDescent="0.25">
      <c r="A49" s="183" t="s">
        <v>312</v>
      </c>
      <c r="B49" s="183" t="s">
        <v>313</v>
      </c>
      <c r="C49" s="183" t="s">
        <v>314</v>
      </c>
      <c r="D49" s="183" t="s">
        <v>315</v>
      </c>
      <c r="E49" s="124"/>
      <c r="F49" s="124"/>
      <c r="G49" s="125"/>
      <c r="H49" s="183" t="s">
        <v>316</v>
      </c>
      <c r="I49" s="124"/>
      <c r="J49" s="125"/>
      <c r="K49" s="183" t="s">
        <v>317</v>
      </c>
      <c r="L49" s="183" t="s">
        <v>318</v>
      </c>
      <c r="M49" s="183" t="s">
        <v>319</v>
      </c>
    </row>
    <row r="50" spans="1:13" x14ac:dyDescent="0.25">
      <c r="A50" s="133"/>
      <c r="B50" s="133"/>
      <c r="C50" s="133"/>
      <c r="D50" s="79" t="s">
        <v>117</v>
      </c>
      <c r="E50" s="79" t="s">
        <v>320</v>
      </c>
      <c r="F50" s="79" t="s">
        <v>312</v>
      </c>
      <c r="G50" s="79" t="s">
        <v>106</v>
      </c>
      <c r="H50" s="79" t="s">
        <v>321</v>
      </c>
      <c r="I50" s="79" t="s">
        <v>322</v>
      </c>
      <c r="J50" s="79" t="s">
        <v>323</v>
      </c>
      <c r="K50" s="133"/>
      <c r="L50" s="133"/>
      <c r="M50" s="133"/>
    </row>
    <row r="51" spans="1:13" x14ac:dyDescent="0.25">
      <c r="A51" s="80" t="s">
        <v>296</v>
      </c>
      <c r="B51" s="81" t="str">
        <f t="shared" ref="B51:B60" si="36">IFERROR(VLOOKUP($A51,areaCercaDatiPerPosizioneSquadre,2,FALSE),"("&amp;$A51&amp;")")</f>
        <v>(D1)</v>
      </c>
      <c r="C51" s="72" t="str">
        <f t="shared" ref="C51:C60" si="37">IFERROR(VLOOKUP($A51,areaCercaDatiPerPosizioneSquadre,4,FALSE),"-")</f>
        <v>-</v>
      </c>
      <c r="D51" s="5" t="str">
        <f t="shared" ref="D51:D60" si="38">IFERROR(VLOOKUP($A51,areaCercaDatiPerPosizioneSquadre,5,FALSE),"-")</f>
        <v>-</v>
      </c>
      <c r="E51" s="5" t="str">
        <f t="shared" ref="E51:E60" si="39">IFERROR(VLOOKUP($A51,areaCercaDatiPerPosizioneSquadre,6,FALSE),"-")</f>
        <v>-</v>
      </c>
      <c r="F51" s="5" t="str">
        <f t="shared" ref="F51:F60" si="40">IFERROR(VLOOKUP($A51,areaCercaDatiPerPosizioneSquadre,7,FALSE),"-")</f>
        <v>-</v>
      </c>
      <c r="G51" s="5" t="str">
        <f t="shared" ref="G51:G60" si="41">IFERROR(VLOOKUP($A51,areaCercaDatiPerPosizioneSquadre,8,FALSE),"-")</f>
        <v>-</v>
      </c>
      <c r="H51" s="5" t="str">
        <f t="shared" ref="H51:H60" si="42">IFERROR(VLOOKUP($A51,areaCercaDatiPerPosizioneSquadre,9,FALSE),"-")</f>
        <v>-</v>
      </c>
      <c r="I51" s="5" t="str">
        <f t="shared" ref="I51:I60" si="43">IFERROR(VLOOKUP($A51,areaCercaDatiPerPosizioneSquadre,10,FALSE),"-")</f>
        <v>-</v>
      </c>
      <c r="J51" s="5" t="str">
        <f t="shared" ref="J51:J60" si="44">IFERROR(VLOOKUP($A51,areaCercaDatiPerPosizioneSquadre,11,FALSE),"-")</f>
        <v>-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0" t="s">
        <v>299</v>
      </c>
      <c r="B52" s="81" t="str">
        <f t="shared" si="36"/>
        <v>(D2)</v>
      </c>
      <c r="C52" s="72" t="str">
        <f t="shared" si="37"/>
        <v>-</v>
      </c>
      <c r="D52" s="5" t="str">
        <f t="shared" si="38"/>
        <v>-</v>
      </c>
      <c r="E52" s="5" t="str">
        <f t="shared" si="39"/>
        <v>-</v>
      </c>
      <c r="F52" s="5" t="str">
        <f t="shared" si="40"/>
        <v>-</v>
      </c>
      <c r="G52" s="5" t="str">
        <f t="shared" si="41"/>
        <v>-</v>
      </c>
      <c r="H52" s="5" t="str">
        <f t="shared" si="42"/>
        <v>-</v>
      </c>
      <c r="I52" s="5" t="str">
        <f t="shared" si="43"/>
        <v>-</v>
      </c>
      <c r="J52" s="5" t="str">
        <f t="shared" si="44"/>
        <v>-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0" t="s">
        <v>345</v>
      </c>
      <c r="B53" s="10" t="str">
        <f t="shared" si="36"/>
        <v>(D3)</v>
      </c>
      <c r="C53" s="72" t="str">
        <f t="shared" si="37"/>
        <v>-</v>
      </c>
      <c r="D53" s="5" t="str">
        <f t="shared" si="38"/>
        <v>-</v>
      </c>
      <c r="E53" s="5" t="str">
        <f t="shared" si="39"/>
        <v>-</v>
      </c>
      <c r="F53" s="5" t="str">
        <f t="shared" si="40"/>
        <v>-</v>
      </c>
      <c r="G53" s="5" t="str">
        <f t="shared" si="41"/>
        <v>-</v>
      </c>
      <c r="H53" s="5" t="str">
        <f t="shared" si="42"/>
        <v>-</v>
      </c>
      <c r="I53" s="5" t="str">
        <f t="shared" si="43"/>
        <v>-</v>
      </c>
      <c r="J53" s="5" t="str">
        <f t="shared" si="44"/>
        <v>-</v>
      </c>
      <c r="K53" s="5" t="str">
        <f t="shared" si="45"/>
        <v>-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0" t="s">
        <v>346</v>
      </c>
      <c r="B54" s="10" t="str">
        <f t="shared" si="36"/>
        <v>(D4)</v>
      </c>
      <c r="C54" s="72" t="str">
        <f t="shared" si="37"/>
        <v>-</v>
      </c>
      <c r="D54" s="5" t="str">
        <f t="shared" si="38"/>
        <v>-</v>
      </c>
      <c r="E54" s="5" t="str">
        <f t="shared" si="39"/>
        <v>-</v>
      </c>
      <c r="F54" s="5" t="str">
        <f t="shared" si="40"/>
        <v>-</v>
      </c>
      <c r="G54" s="5" t="str">
        <f t="shared" si="41"/>
        <v>-</v>
      </c>
      <c r="H54" s="5" t="str">
        <f t="shared" si="42"/>
        <v>-</v>
      </c>
      <c r="I54" s="5" t="str">
        <f t="shared" si="43"/>
        <v>-</v>
      </c>
      <c r="J54" s="5" t="str">
        <f t="shared" si="44"/>
        <v>-</v>
      </c>
      <c r="K54" s="5" t="str">
        <f t="shared" si="45"/>
        <v>-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0" t="s">
        <v>347</v>
      </c>
      <c r="B55" s="10" t="str">
        <f t="shared" si="36"/>
        <v>(D5)</v>
      </c>
      <c r="C55" s="72" t="str">
        <f t="shared" si="37"/>
        <v>-</v>
      </c>
      <c r="D55" s="5" t="str">
        <f t="shared" si="38"/>
        <v>-</v>
      </c>
      <c r="E55" s="5" t="str">
        <f t="shared" si="39"/>
        <v>-</v>
      </c>
      <c r="F55" s="5" t="str">
        <f t="shared" si="40"/>
        <v>-</v>
      </c>
      <c r="G55" s="5" t="str">
        <f t="shared" si="41"/>
        <v>-</v>
      </c>
      <c r="H55" s="5" t="str">
        <f t="shared" si="42"/>
        <v>-</v>
      </c>
      <c r="I55" s="5" t="str">
        <f t="shared" si="43"/>
        <v>-</v>
      </c>
      <c r="J55" s="5" t="str">
        <f t="shared" si="44"/>
        <v>-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0" t="s">
        <v>348</v>
      </c>
      <c r="B56" s="10" t="str">
        <f t="shared" si="36"/>
        <v>(D6)</v>
      </c>
      <c r="C56" s="72" t="str">
        <f t="shared" si="37"/>
        <v>-</v>
      </c>
      <c r="D56" s="5" t="str">
        <f t="shared" si="38"/>
        <v>-</v>
      </c>
      <c r="E56" s="5" t="str">
        <f t="shared" si="39"/>
        <v>-</v>
      </c>
      <c r="F56" s="5" t="str">
        <f t="shared" si="40"/>
        <v>-</v>
      </c>
      <c r="G56" s="5" t="str">
        <f t="shared" si="41"/>
        <v>-</v>
      </c>
      <c r="H56" s="5" t="str">
        <f t="shared" si="42"/>
        <v>-</v>
      </c>
      <c r="I56" s="5" t="str">
        <f t="shared" si="43"/>
        <v>-</v>
      </c>
      <c r="J56" s="5" t="str">
        <f t="shared" si="44"/>
        <v>-</v>
      </c>
      <c r="K56" s="5" t="str">
        <f t="shared" si="45"/>
        <v>-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0" t="s">
        <v>349</v>
      </c>
      <c r="B57" s="10" t="str">
        <f t="shared" si="36"/>
        <v>(D7)</v>
      </c>
      <c r="C57" s="72" t="str">
        <f t="shared" si="37"/>
        <v>-</v>
      </c>
      <c r="D57" s="5" t="str">
        <f t="shared" si="38"/>
        <v>-</v>
      </c>
      <c r="E57" s="5" t="str">
        <f t="shared" si="39"/>
        <v>-</v>
      </c>
      <c r="F57" s="5" t="str">
        <f t="shared" si="40"/>
        <v>-</v>
      </c>
      <c r="G57" s="5" t="str">
        <f t="shared" si="41"/>
        <v>-</v>
      </c>
      <c r="H57" s="5" t="str">
        <f t="shared" si="42"/>
        <v>-</v>
      </c>
      <c r="I57" s="5" t="str">
        <f t="shared" si="43"/>
        <v>-</v>
      </c>
      <c r="J57" s="5" t="str">
        <f t="shared" si="44"/>
        <v>-</v>
      </c>
      <c r="K57" s="5" t="str">
        <f t="shared" si="45"/>
        <v>-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0" t="s">
        <v>350</v>
      </c>
      <c r="B58" s="10" t="str">
        <f t="shared" si="36"/>
        <v>(D8)</v>
      </c>
      <c r="C58" s="72" t="str">
        <f t="shared" si="37"/>
        <v>-</v>
      </c>
      <c r="D58" s="5" t="str">
        <f t="shared" si="38"/>
        <v>-</v>
      </c>
      <c r="E58" s="5" t="str">
        <f t="shared" si="39"/>
        <v>-</v>
      </c>
      <c r="F58" s="5" t="str">
        <f t="shared" si="40"/>
        <v>-</v>
      </c>
      <c r="G58" s="5" t="str">
        <f t="shared" si="41"/>
        <v>-</v>
      </c>
      <c r="H58" s="5" t="str">
        <f t="shared" si="42"/>
        <v>-</v>
      </c>
      <c r="I58" s="5" t="str">
        <f t="shared" si="43"/>
        <v>-</v>
      </c>
      <c r="J58" s="5" t="str">
        <f t="shared" si="44"/>
        <v>-</v>
      </c>
      <c r="K58" s="5" t="str">
        <f t="shared" si="45"/>
        <v>-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0" t="s">
        <v>351</v>
      </c>
      <c r="B59" s="10" t="str">
        <f t="shared" si="36"/>
        <v>(D9)</v>
      </c>
      <c r="C59" s="72" t="str">
        <f t="shared" si="37"/>
        <v>-</v>
      </c>
      <c r="D59" s="5" t="str">
        <f t="shared" si="38"/>
        <v>-</v>
      </c>
      <c r="E59" s="5" t="str">
        <f t="shared" si="39"/>
        <v>-</v>
      </c>
      <c r="F59" s="5" t="str">
        <f t="shared" si="40"/>
        <v>-</v>
      </c>
      <c r="G59" s="5" t="str">
        <f t="shared" si="41"/>
        <v>-</v>
      </c>
      <c r="H59" s="5" t="str">
        <f t="shared" si="42"/>
        <v>-</v>
      </c>
      <c r="I59" s="5" t="str">
        <f t="shared" si="43"/>
        <v>-</v>
      </c>
      <c r="J59" s="5" t="str">
        <f t="shared" si="44"/>
        <v>-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0" t="s">
        <v>93</v>
      </c>
      <c r="B60" s="10" t="str">
        <f t="shared" si="36"/>
        <v>(D10)</v>
      </c>
      <c r="C60" s="72" t="str">
        <f t="shared" si="37"/>
        <v>-</v>
      </c>
      <c r="D60" s="5" t="str">
        <f t="shared" si="38"/>
        <v>-</v>
      </c>
      <c r="E60" s="5" t="str">
        <f t="shared" si="39"/>
        <v>-</v>
      </c>
      <c r="F60" s="5" t="str">
        <f t="shared" si="40"/>
        <v>-</v>
      </c>
      <c r="G60" s="5" t="str">
        <f t="shared" si="41"/>
        <v>-</v>
      </c>
      <c r="H60" s="5" t="str">
        <f t="shared" si="42"/>
        <v>-</v>
      </c>
      <c r="I60" s="5" t="str">
        <f t="shared" si="43"/>
        <v>-</v>
      </c>
      <c r="J60" s="5" t="str">
        <f t="shared" si="44"/>
        <v>-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96" t="str">
        <f>"CLASSIFICA - GIRONE E"</f>
        <v>CLASSIFICA - GIRONE E</v>
      </c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5"/>
    </row>
    <row r="63" spans="1:13" ht="26.1" customHeight="1" x14ac:dyDescent="0.25">
      <c r="A63" s="187" t="s">
        <v>312</v>
      </c>
      <c r="B63" s="187" t="s">
        <v>313</v>
      </c>
      <c r="C63" s="187" t="s">
        <v>314</v>
      </c>
      <c r="D63" s="187" t="s">
        <v>315</v>
      </c>
      <c r="E63" s="124"/>
      <c r="F63" s="124"/>
      <c r="G63" s="125"/>
      <c r="H63" s="187" t="s">
        <v>316</v>
      </c>
      <c r="I63" s="124"/>
      <c r="J63" s="125"/>
      <c r="K63" s="187" t="s">
        <v>317</v>
      </c>
      <c r="L63" s="187" t="s">
        <v>318</v>
      </c>
      <c r="M63" s="187" t="s">
        <v>319</v>
      </c>
    </row>
    <row r="64" spans="1:13" x14ac:dyDescent="0.25">
      <c r="A64" s="133"/>
      <c r="B64" s="133"/>
      <c r="C64" s="133"/>
      <c r="D64" s="82" t="s">
        <v>117</v>
      </c>
      <c r="E64" s="82" t="s">
        <v>320</v>
      </c>
      <c r="F64" s="82" t="s">
        <v>312</v>
      </c>
      <c r="G64" s="82" t="s">
        <v>106</v>
      </c>
      <c r="H64" s="82" t="s">
        <v>321</v>
      </c>
      <c r="I64" s="82" t="s">
        <v>322</v>
      </c>
      <c r="J64" s="82" t="s">
        <v>323</v>
      </c>
      <c r="K64" s="133"/>
      <c r="L64" s="133"/>
      <c r="M64" s="133"/>
    </row>
    <row r="65" spans="1:13" x14ac:dyDescent="0.25">
      <c r="A65" s="83" t="s">
        <v>298</v>
      </c>
      <c r="B65" s="84" t="str">
        <f t="shared" ref="B65:B74" si="48">IFERROR(VLOOKUP($A65,areaCercaDatiPerPosizioneSquadre,2,FALSE),"("&amp;$A65&amp;")")</f>
        <v>(E1)</v>
      </c>
      <c r="C65" s="72" t="str">
        <f t="shared" ref="C65:C74" si="49">IFERROR(VLOOKUP($A65,areaCercaDatiPerPosizioneSquadre,4,FALSE),"-")</f>
        <v>-</v>
      </c>
      <c r="D65" s="5" t="str">
        <f t="shared" ref="D65:D74" si="50">IFERROR(VLOOKUP($A65,areaCercaDatiPerPosizioneSquadre,5,FALSE),"-")</f>
        <v>-</v>
      </c>
      <c r="E65" s="5" t="str">
        <f t="shared" ref="E65:E74" si="51">IFERROR(VLOOKUP($A65,areaCercaDatiPerPosizioneSquadre,6,FALSE),"-")</f>
        <v>-</v>
      </c>
      <c r="F65" s="5" t="str">
        <f t="shared" ref="F65:F74" si="52">IFERROR(VLOOKUP($A65,areaCercaDatiPerPosizioneSquadre,7,FALSE),"-")</f>
        <v>-</v>
      </c>
      <c r="G65" s="5" t="str">
        <f t="shared" ref="G65:G74" si="53">IFERROR(VLOOKUP($A65,areaCercaDatiPerPosizioneSquadre,8,FALSE),"-")</f>
        <v>-</v>
      </c>
      <c r="H65" s="5" t="str">
        <f t="shared" ref="H65:H74" si="54">IFERROR(VLOOKUP($A65,areaCercaDatiPerPosizioneSquadre,9,FALSE),"-")</f>
        <v>-</v>
      </c>
      <c r="I65" s="5" t="str">
        <f t="shared" ref="I65:I74" si="55">IFERROR(VLOOKUP($A65,areaCercaDatiPerPosizioneSquadre,10,FALSE),"-")</f>
        <v>-</v>
      </c>
      <c r="J65" s="5" t="str">
        <f t="shared" ref="J65:J74" si="56">IFERROR(VLOOKUP($A65,areaCercaDatiPerPosizioneSquadre,11,FALSE),"-")</f>
        <v>-</v>
      </c>
      <c r="K65" s="5" t="str">
        <f t="shared" ref="K65:K74" si="57">IFERROR(VLOOKUP($A65,areaCercaDatiPerPosizioneSquadre,15,FALSE),"-")</f>
        <v>-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3" t="s">
        <v>297</v>
      </c>
      <c r="B66" s="84" t="str">
        <f t="shared" si="48"/>
        <v>(E2)</v>
      </c>
      <c r="C66" s="72" t="str">
        <f t="shared" si="49"/>
        <v>-</v>
      </c>
      <c r="D66" s="5" t="str">
        <f t="shared" si="50"/>
        <v>-</v>
      </c>
      <c r="E66" s="5" t="str">
        <f t="shared" si="51"/>
        <v>-</v>
      </c>
      <c r="F66" s="5" t="str">
        <f t="shared" si="52"/>
        <v>-</v>
      </c>
      <c r="G66" s="5" t="str">
        <f t="shared" si="53"/>
        <v>-</v>
      </c>
      <c r="H66" s="5" t="str">
        <f t="shared" si="54"/>
        <v>-</v>
      </c>
      <c r="I66" s="5" t="str">
        <f t="shared" si="55"/>
        <v>-</v>
      </c>
      <c r="J66" s="5" t="str">
        <f t="shared" si="56"/>
        <v>-</v>
      </c>
      <c r="K66" s="5" t="str">
        <f t="shared" si="57"/>
        <v>-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3" t="s">
        <v>352</v>
      </c>
      <c r="B67" s="10" t="str">
        <f t="shared" si="48"/>
        <v>(E3)</v>
      </c>
      <c r="C67" s="72" t="str">
        <f t="shared" si="49"/>
        <v>-</v>
      </c>
      <c r="D67" s="5" t="str">
        <f t="shared" si="50"/>
        <v>-</v>
      </c>
      <c r="E67" s="5" t="str">
        <f t="shared" si="51"/>
        <v>-</v>
      </c>
      <c r="F67" s="5" t="str">
        <f t="shared" si="52"/>
        <v>-</v>
      </c>
      <c r="G67" s="5" t="str">
        <f t="shared" si="53"/>
        <v>-</v>
      </c>
      <c r="H67" s="5" t="str">
        <f t="shared" si="54"/>
        <v>-</v>
      </c>
      <c r="I67" s="5" t="str">
        <f t="shared" si="55"/>
        <v>-</v>
      </c>
      <c r="J67" s="5" t="str">
        <f t="shared" si="56"/>
        <v>-</v>
      </c>
      <c r="K67" s="5" t="str">
        <f t="shared" si="57"/>
        <v>-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3" t="s">
        <v>353</v>
      </c>
      <c r="B68" s="10" t="str">
        <f t="shared" si="48"/>
        <v>(E4)</v>
      </c>
      <c r="C68" s="72" t="str">
        <f t="shared" si="49"/>
        <v>-</v>
      </c>
      <c r="D68" s="5" t="str">
        <f t="shared" si="50"/>
        <v>-</v>
      </c>
      <c r="E68" s="5" t="str">
        <f t="shared" si="51"/>
        <v>-</v>
      </c>
      <c r="F68" s="5" t="str">
        <f t="shared" si="52"/>
        <v>-</v>
      </c>
      <c r="G68" s="5" t="str">
        <f t="shared" si="53"/>
        <v>-</v>
      </c>
      <c r="H68" s="5" t="str">
        <f t="shared" si="54"/>
        <v>-</v>
      </c>
      <c r="I68" s="5" t="str">
        <f t="shared" si="55"/>
        <v>-</v>
      </c>
      <c r="J68" s="5" t="str">
        <f t="shared" si="56"/>
        <v>-</v>
      </c>
      <c r="K68" s="5" t="str">
        <f t="shared" si="57"/>
        <v>-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3" t="s">
        <v>354</v>
      </c>
      <c r="B69" s="10" t="str">
        <f t="shared" si="48"/>
        <v>(E5)</v>
      </c>
      <c r="C69" s="72" t="str">
        <f t="shared" si="49"/>
        <v>-</v>
      </c>
      <c r="D69" s="5" t="str">
        <f t="shared" si="50"/>
        <v>-</v>
      </c>
      <c r="E69" s="5" t="str">
        <f t="shared" si="51"/>
        <v>-</v>
      </c>
      <c r="F69" s="5" t="str">
        <f t="shared" si="52"/>
        <v>-</v>
      </c>
      <c r="G69" s="5" t="str">
        <f t="shared" si="53"/>
        <v>-</v>
      </c>
      <c r="H69" s="5" t="str">
        <f t="shared" si="54"/>
        <v>-</v>
      </c>
      <c r="I69" s="5" t="str">
        <f t="shared" si="55"/>
        <v>-</v>
      </c>
      <c r="J69" s="5" t="str">
        <f t="shared" si="56"/>
        <v>-</v>
      </c>
      <c r="K69" s="5" t="str">
        <f t="shared" si="57"/>
        <v>-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3" t="s">
        <v>355</v>
      </c>
      <c r="B70" s="10" t="str">
        <f t="shared" si="48"/>
        <v>(E6)</v>
      </c>
      <c r="C70" s="72" t="str">
        <f t="shared" si="49"/>
        <v>-</v>
      </c>
      <c r="D70" s="5" t="str">
        <f t="shared" si="50"/>
        <v>-</v>
      </c>
      <c r="E70" s="5" t="str">
        <f t="shared" si="51"/>
        <v>-</v>
      </c>
      <c r="F70" s="5" t="str">
        <f t="shared" si="52"/>
        <v>-</v>
      </c>
      <c r="G70" s="5" t="str">
        <f t="shared" si="53"/>
        <v>-</v>
      </c>
      <c r="H70" s="5" t="str">
        <f t="shared" si="54"/>
        <v>-</v>
      </c>
      <c r="I70" s="5" t="str">
        <f t="shared" si="55"/>
        <v>-</v>
      </c>
      <c r="J70" s="5" t="str">
        <f t="shared" si="56"/>
        <v>-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3" t="s">
        <v>356</v>
      </c>
      <c r="B71" s="10" t="str">
        <f t="shared" si="48"/>
        <v>(E7)</v>
      </c>
      <c r="C71" s="72" t="str">
        <f t="shared" si="49"/>
        <v>-</v>
      </c>
      <c r="D71" s="5" t="str">
        <f t="shared" si="50"/>
        <v>-</v>
      </c>
      <c r="E71" s="5" t="str">
        <f t="shared" si="51"/>
        <v>-</v>
      </c>
      <c r="F71" s="5" t="str">
        <f t="shared" si="52"/>
        <v>-</v>
      </c>
      <c r="G71" s="5" t="str">
        <f t="shared" si="53"/>
        <v>-</v>
      </c>
      <c r="H71" s="5" t="str">
        <f t="shared" si="54"/>
        <v>-</v>
      </c>
      <c r="I71" s="5" t="str">
        <f t="shared" si="55"/>
        <v>-</v>
      </c>
      <c r="J71" s="5" t="str">
        <f t="shared" si="56"/>
        <v>-</v>
      </c>
      <c r="K71" s="5" t="str">
        <f t="shared" si="57"/>
        <v>-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3" t="s">
        <v>357</v>
      </c>
      <c r="B72" s="10" t="str">
        <f t="shared" si="48"/>
        <v>(E8)</v>
      </c>
      <c r="C72" s="72" t="str">
        <f t="shared" si="49"/>
        <v>-</v>
      </c>
      <c r="D72" s="5" t="str">
        <f t="shared" si="50"/>
        <v>-</v>
      </c>
      <c r="E72" s="5" t="str">
        <f t="shared" si="51"/>
        <v>-</v>
      </c>
      <c r="F72" s="5" t="str">
        <f t="shared" si="52"/>
        <v>-</v>
      </c>
      <c r="G72" s="5" t="str">
        <f t="shared" si="53"/>
        <v>-</v>
      </c>
      <c r="H72" s="5" t="str">
        <f t="shared" si="54"/>
        <v>-</v>
      </c>
      <c r="I72" s="5" t="str">
        <f t="shared" si="55"/>
        <v>-</v>
      </c>
      <c r="J72" s="5" t="str">
        <f t="shared" si="56"/>
        <v>-</v>
      </c>
      <c r="K72" s="5" t="str">
        <f t="shared" si="57"/>
        <v>-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3" t="s">
        <v>358</v>
      </c>
      <c r="B73" s="10" t="str">
        <f t="shared" si="48"/>
        <v>(E9)</v>
      </c>
      <c r="C73" s="72" t="str">
        <f t="shared" si="49"/>
        <v>-</v>
      </c>
      <c r="D73" s="5" t="str">
        <f t="shared" si="50"/>
        <v>-</v>
      </c>
      <c r="E73" s="5" t="str">
        <f t="shared" si="51"/>
        <v>-</v>
      </c>
      <c r="F73" s="5" t="str">
        <f t="shared" si="52"/>
        <v>-</v>
      </c>
      <c r="G73" s="5" t="str">
        <f t="shared" si="53"/>
        <v>-</v>
      </c>
      <c r="H73" s="5" t="str">
        <f t="shared" si="54"/>
        <v>-</v>
      </c>
      <c r="I73" s="5" t="str">
        <f t="shared" si="55"/>
        <v>-</v>
      </c>
      <c r="J73" s="5" t="str">
        <f t="shared" si="56"/>
        <v>-</v>
      </c>
      <c r="K73" s="5" t="str">
        <f t="shared" si="57"/>
        <v>-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3" t="s">
        <v>104</v>
      </c>
      <c r="B74" s="10" t="str">
        <f t="shared" si="48"/>
        <v>(E10)</v>
      </c>
      <c r="C74" s="72" t="str">
        <f t="shared" si="49"/>
        <v>-</v>
      </c>
      <c r="D74" s="5" t="str">
        <f t="shared" si="50"/>
        <v>-</v>
      </c>
      <c r="E74" s="5" t="str">
        <f t="shared" si="51"/>
        <v>-</v>
      </c>
      <c r="F74" s="5" t="str">
        <f t="shared" si="52"/>
        <v>-</v>
      </c>
      <c r="G74" s="5" t="str">
        <f t="shared" si="53"/>
        <v>-</v>
      </c>
      <c r="H74" s="5" t="str">
        <f t="shared" si="54"/>
        <v>-</v>
      </c>
      <c r="I74" s="5" t="str">
        <f t="shared" si="55"/>
        <v>-</v>
      </c>
      <c r="J74" s="5" t="str">
        <f t="shared" si="56"/>
        <v>-</v>
      </c>
      <c r="K74" s="5" t="str">
        <f t="shared" si="57"/>
        <v>-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2" t="str">
        <f>"CLASSIFICA - GIRONE F"</f>
        <v>CLASSIFICA - GIRONE F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ht="26.1" customHeight="1" x14ac:dyDescent="0.25">
      <c r="A77" s="185" t="s">
        <v>312</v>
      </c>
      <c r="B77" s="185" t="s">
        <v>313</v>
      </c>
      <c r="C77" s="185" t="s">
        <v>314</v>
      </c>
      <c r="D77" s="185" t="s">
        <v>315</v>
      </c>
      <c r="E77" s="124"/>
      <c r="F77" s="124"/>
      <c r="G77" s="125"/>
      <c r="H77" s="185" t="s">
        <v>316</v>
      </c>
      <c r="I77" s="124"/>
      <c r="J77" s="125"/>
      <c r="K77" s="185" t="s">
        <v>317</v>
      </c>
      <c r="L77" s="185" t="s">
        <v>318</v>
      </c>
      <c r="M77" s="185" t="s">
        <v>319</v>
      </c>
    </row>
    <row r="78" spans="1:13" x14ac:dyDescent="0.25">
      <c r="A78" s="133"/>
      <c r="B78" s="133"/>
      <c r="C78" s="133"/>
      <c r="D78" s="85" t="s">
        <v>117</v>
      </c>
      <c r="E78" s="85" t="s">
        <v>320</v>
      </c>
      <c r="F78" s="85" t="s">
        <v>312</v>
      </c>
      <c r="G78" s="85" t="s">
        <v>106</v>
      </c>
      <c r="H78" s="85" t="s">
        <v>321</v>
      </c>
      <c r="I78" s="85" t="s">
        <v>322</v>
      </c>
      <c r="J78" s="85" t="s">
        <v>323</v>
      </c>
      <c r="K78" s="133"/>
      <c r="L78" s="133"/>
      <c r="M78" s="133"/>
    </row>
    <row r="79" spans="1:13" x14ac:dyDescent="0.25">
      <c r="A79" s="86" t="s">
        <v>300</v>
      </c>
      <c r="B79" s="87" t="str">
        <f t="shared" ref="B79:B88" si="60">IFERROR(VLOOKUP($A79,areaCercaDatiPerPosizioneSquadre,2,FALSE),"("&amp;$A79&amp;")")</f>
        <v>(F1)</v>
      </c>
      <c r="C79" s="72" t="str">
        <f t="shared" ref="C79:C88" si="61">IFERROR(VLOOKUP($A79,areaCercaDatiPerPosizioneSquadre,4,FALSE),"-")</f>
        <v>-</v>
      </c>
      <c r="D79" s="5" t="str">
        <f t="shared" ref="D79:D88" si="62">IFERROR(VLOOKUP($A79,areaCercaDatiPerPosizioneSquadre,5,FALSE),"-")</f>
        <v>-</v>
      </c>
      <c r="E79" s="5" t="str">
        <f t="shared" ref="E79:E88" si="63">IFERROR(VLOOKUP($A79,areaCercaDatiPerPosizioneSquadre,6,FALSE),"-")</f>
        <v>-</v>
      </c>
      <c r="F79" s="5" t="str">
        <f t="shared" ref="F79:F88" si="64">IFERROR(VLOOKUP($A79,areaCercaDatiPerPosizioneSquadre,7,FALSE),"-")</f>
        <v>-</v>
      </c>
      <c r="G79" s="5" t="str">
        <f t="shared" ref="G79:G88" si="65">IFERROR(VLOOKUP($A79,areaCercaDatiPerPosizioneSquadre,8,FALSE),"-")</f>
        <v>-</v>
      </c>
      <c r="H79" s="5" t="str">
        <f t="shared" ref="H79:H88" si="66">IFERROR(VLOOKUP($A79,areaCercaDatiPerPosizioneSquadre,9,FALSE),"-")</f>
        <v>-</v>
      </c>
      <c r="I79" s="5" t="str">
        <f t="shared" ref="I79:I88" si="67">IFERROR(VLOOKUP($A79,areaCercaDatiPerPosizioneSquadre,10,FALSE),"-")</f>
        <v>-</v>
      </c>
      <c r="J79" s="5" t="str">
        <f t="shared" ref="J79:J88" si="68">IFERROR(VLOOKUP($A79,areaCercaDatiPerPosizioneSquadre,11,FALSE),"-")</f>
        <v>-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6" t="s">
        <v>295</v>
      </c>
      <c r="B80" s="87" t="str">
        <f t="shared" si="60"/>
        <v>(F2)</v>
      </c>
      <c r="C80" s="72" t="str">
        <f t="shared" si="61"/>
        <v>-</v>
      </c>
      <c r="D80" s="5" t="str">
        <f t="shared" si="62"/>
        <v>-</v>
      </c>
      <c r="E80" s="5" t="str">
        <f t="shared" si="63"/>
        <v>-</v>
      </c>
      <c r="F80" s="5" t="str">
        <f t="shared" si="64"/>
        <v>-</v>
      </c>
      <c r="G80" s="5" t="str">
        <f t="shared" si="65"/>
        <v>-</v>
      </c>
      <c r="H80" s="5" t="str">
        <f t="shared" si="66"/>
        <v>-</v>
      </c>
      <c r="I80" s="5" t="str">
        <f t="shared" si="67"/>
        <v>-</v>
      </c>
      <c r="J80" s="5" t="str">
        <f t="shared" si="68"/>
        <v>-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6" t="s">
        <v>359</v>
      </c>
      <c r="B81" s="10" t="str">
        <f t="shared" si="60"/>
        <v>(F3)</v>
      </c>
      <c r="C81" s="72" t="str">
        <f t="shared" si="61"/>
        <v>-</v>
      </c>
      <c r="D81" s="5" t="str">
        <f t="shared" si="62"/>
        <v>-</v>
      </c>
      <c r="E81" s="5" t="str">
        <f t="shared" si="63"/>
        <v>-</v>
      </c>
      <c r="F81" s="5" t="str">
        <f t="shared" si="64"/>
        <v>-</v>
      </c>
      <c r="G81" s="5" t="str">
        <f t="shared" si="65"/>
        <v>-</v>
      </c>
      <c r="H81" s="5" t="str">
        <f t="shared" si="66"/>
        <v>-</v>
      </c>
      <c r="I81" s="5" t="str">
        <f t="shared" si="67"/>
        <v>-</v>
      </c>
      <c r="J81" s="5" t="str">
        <f t="shared" si="68"/>
        <v>-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6" t="s">
        <v>360</v>
      </c>
      <c r="B82" s="10" t="str">
        <f t="shared" si="60"/>
        <v>(F4)</v>
      </c>
      <c r="C82" s="72" t="str">
        <f t="shared" si="61"/>
        <v>-</v>
      </c>
      <c r="D82" s="5" t="str">
        <f t="shared" si="62"/>
        <v>-</v>
      </c>
      <c r="E82" s="5" t="str">
        <f t="shared" si="63"/>
        <v>-</v>
      </c>
      <c r="F82" s="5" t="str">
        <f t="shared" si="64"/>
        <v>-</v>
      </c>
      <c r="G82" s="5" t="str">
        <f t="shared" si="65"/>
        <v>-</v>
      </c>
      <c r="H82" s="5" t="str">
        <f t="shared" si="66"/>
        <v>-</v>
      </c>
      <c r="I82" s="5" t="str">
        <f t="shared" si="67"/>
        <v>-</v>
      </c>
      <c r="J82" s="5" t="str">
        <f t="shared" si="68"/>
        <v>-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6" t="s">
        <v>361</v>
      </c>
      <c r="B83" s="10" t="str">
        <f t="shared" si="60"/>
        <v>(F5)</v>
      </c>
      <c r="C83" s="72" t="str">
        <f t="shared" si="61"/>
        <v>-</v>
      </c>
      <c r="D83" s="5" t="str">
        <f t="shared" si="62"/>
        <v>-</v>
      </c>
      <c r="E83" s="5" t="str">
        <f t="shared" si="63"/>
        <v>-</v>
      </c>
      <c r="F83" s="5" t="str">
        <f t="shared" si="64"/>
        <v>-</v>
      </c>
      <c r="G83" s="5" t="str">
        <f t="shared" si="65"/>
        <v>-</v>
      </c>
      <c r="H83" s="5" t="str">
        <f t="shared" si="66"/>
        <v>-</v>
      </c>
      <c r="I83" s="5" t="str">
        <f t="shared" si="67"/>
        <v>-</v>
      </c>
      <c r="J83" s="5" t="str">
        <f t="shared" si="68"/>
        <v>-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6" t="s">
        <v>362</v>
      </c>
      <c r="B84" s="10" t="str">
        <f t="shared" si="60"/>
        <v>(F6)</v>
      </c>
      <c r="C84" s="72" t="str">
        <f t="shared" si="61"/>
        <v>-</v>
      </c>
      <c r="D84" s="5" t="str">
        <f t="shared" si="62"/>
        <v>-</v>
      </c>
      <c r="E84" s="5" t="str">
        <f t="shared" si="63"/>
        <v>-</v>
      </c>
      <c r="F84" s="5" t="str">
        <f t="shared" si="64"/>
        <v>-</v>
      </c>
      <c r="G84" s="5" t="str">
        <f t="shared" si="65"/>
        <v>-</v>
      </c>
      <c r="H84" s="5" t="str">
        <f t="shared" si="66"/>
        <v>-</v>
      </c>
      <c r="I84" s="5" t="str">
        <f t="shared" si="67"/>
        <v>-</v>
      </c>
      <c r="J84" s="5" t="str">
        <f t="shared" si="68"/>
        <v>-</v>
      </c>
      <c r="K84" s="5" t="str">
        <f t="shared" si="69"/>
        <v>-</v>
      </c>
      <c r="L84" s="11" t="str">
        <f t="shared" si="70"/>
        <v>-</v>
      </c>
      <c r="M84" s="11" t="str">
        <f t="shared" si="71"/>
        <v>-</v>
      </c>
    </row>
    <row r="85" spans="1:13" x14ac:dyDescent="0.25">
      <c r="A85" s="86" t="s">
        <v>363</v>
      </c>
      <c r="B85" s="10" t="str">
        <f t="shared" si="60"/>
        <v>(F7)</v>
      </c>
      <c r="C85" s="72" t="str">
        <f t="shared" si="61"/>
        <v>-</v>
      </c>
      <c r="D85" s="5" t="str">
        <f t="shared" si="62"/>
        <v>-</v>
      </c>
      <c r="E85" s="5" t="str">
        <f t="shared" si="63"/>
        <v>-</v>
      </c>
      <c r="F85" s="5" t="str">
        <f t="shared" si="64"/>
        <v>-</v>
      </c>
      <c r="G85" s="5" t="str">
        <f t="shared" si="65"/>
        <v>-</v>
      </c>
      <c r="H85" s="5" t="str">
        <f t="shared" si="66"/>
        <v>-</v>
      </c>
      <c r="I85" s="5" t="str">
        <f t="shared" si="67"/>
        <v>-</v>
      </c>
      <c r="J85" s="5" t="str">
        <f t="shared" si="68"/>
        <v>-</v>
      </c>
      <c r="K85" s="5" t="str">
        <f t="shared" si="69"/>
        <v>-</v>
      </c>
      <c r="L85" s="11" t="str">
        <f t="shared" si="70"/>
        <v>-</v>
      </c>
      <c r="M85" s="11" t="str">
        <f t="shared" si="71"/>
        <v>-</v>
      </c>
    </row>
    <row r="86" spans="1:13" x14ac:dyDescent="0.25">
      <c r="A86" s="86" t="s">
        <v>364</v>
      </c>
      <c r="B86" s="10" t="str">
        <f t="shared" si="60"/>
        <v>(F8)</v>
      </c>
      <c r="C86" s="72" t="str">
        <f t="shared" si="61"/>
        <v>-</v>
      </c>
      <c r="D86" s="5" t="str">
        <f t="shared" si="62"/>
        <v>-</v>
      </c>
      <c r="E86" s="5" t="str">
        <f t="shared" si="63"/>
        <v>-</v>
      </c>
      <c r="F86" s="5" t="str">
        <f t="shared" si="64"/>
        <v>-</v>
      </c>
      <c r="G86" s="5" t="str">
        <f t="shared" si="65"/>
        <v>-</v>
      </c>
      <c r="H86" s="5" t="str">
        <f t="shared" si="66"/>
        <v>-</v>
      </c>
      <c r="I86" s="5" t="str">
        <f t="shared" si="67"/>
        <v>-</v>
      </c>
      <c r="J86" s="5" t="str">
        <f t="shared" si="68"/>
        <v>-</v>
      </c>
      <c r="K86" s="5" t="str">
        <f t="shared" si="69"/>
        <v>-</v>
      </c>
      <c r="L86" s="11" t="str">
        <f t="shared" si="70"/>
        <v>-</v>
      </c>
      <c r="M86" s="11" t="str">
        <f t="shared" si="71"/>
        <v>-</v>
      </c>
    </row>
    <row r="87" spans="1:13" x14ac:dyDescent="0.25">
      <c r="A87" s="86" t="s">
        <v>365</v>
      </c>
      <c r="B87" s="10" t="str">
        <f t="shared" si="60"/>
        <v>(F9)</v>
      </c>
      <c r="C87" s="72" t="str">
        <f t="shared" si="61"/>
        <v>-</v>
      </c>
      <c r="D87" s="5" t="str">
        <f t="shared" si="62"/>
        <v>-</v>
      </c>
      <c r="E87" s="5" t="str">
        <f t="shared" si="63"/>
        <v>-</v>
      </c>
      <c r="F87" s="5" t="str">
        <f t="shared" si="64"/>
        <v>-</v>
      </c>
      <c r="G87" s="5" t="str">
        <f t="shared" si="65"/>
        <v>-</v>
      </c>
      <c r="H87" s="5" t="str">
        <f t="shared" si="66"/>
        <v>-</v>
      </c>
      <c r="I87" s="5" t="str">
        <f t="shared" si="67"/>
        <v>-</v>
      </c>
      <c r="J87" s="5" t="str">
        <f t="shared" si="68"/>
        <v>-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6" t="s">
        <v>115</v>
      </c>
      <c r="B88" s="10" t="str">
        <f t="shared" si="60"/>
        <v>(F10)</v>
      </c>
      <c r="C88" s="72" t="str">
        <f t="shared" si="61"/>
        <v>-</v>
      </c>
      <c r="D88" s="5" t="str">
        <f t="shared" si="62"/>
        <v>-</v>
      </c>
      <c r="E88" s="5" t="str">
        <f t="shared" si="63"/>
        <v>-</v>
      </c>
      <c r="F88" s="5" t="str">
        <f t="shared" si="64"/>
        <v>-</v>
      </c>
      <c r="G88" s="5" t="str">
        <f t="shared" si="65"/>
        <v>-</v>
      </c>
      <c r="H88" s="5" t="str">
        <f t="shared" si="66"/>
        <v>-</v>
      </c>
      <c r="I88" s="5" t="str">
        <f t="shared" si="67"/>
        <v>-</v>
      </c>
      <c r="J88" s="5" t="str">
        <f t="shared" si="68"/>
        <v>-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4" t="str">
        <f>"CLASSIFICA - GIRONE G"</f>
        <v>CLASSIFICA - GIRONE G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ht="26.1" customHeight="1" x14ac:dyDescent="0.25">
      <c r="A91" s="182" t="s">
        <v>312</v>
      </c>
      <c r="B91" s="182" t="s">
        <v>313</v>
      </c>
      <c r="C91" s="182" t="s">
        <v>314</v>
      </c>
      <c r="D91" s="182" t="s">
        <v>315</v>
      </c>
      <c r="E91" s="124"/>
      <c r="F91" s="124"/>
      <c r="G91" s="125"/>
      <c r="H91" s="182" t="s">
        <v>316</v>
      </c>
      <c r="I91" s="124"/>
      <c r="J91" s="125"/>
      <c r="K91" s="182" t="s">
        <v>317</v>
      </c>
      <c r="L91" s="182" t="s">
        <v>318</v>
      </c>
      <c r="M91" s="182" t="s">
        <v>319</v>
      </c>
    </row>
    <row r="92" spans="1:13" x14ac:dyDescent="0.25">
      <c r="A92" s="133"/>
      <c r="B92" s="133"/>
      <c r="C92" s="133"/>
      <c r="D92" s="88" t="s">
        <v>117</v>
      </c>
      <c r="E92" s="88" t="s">
        <v>320</v>
      </c>
      <c r="F92" s="88" t="s">
        <v>312</v>
      </c>
      <c r="G92" s="88" t="s">
        <v>106</v>
      </c>
      <c r="H92" s="88" t="s">
        <v>321</v>
      </c>
      <c r="I92" s="88" t="s">
        <v>322</v>
      </c>
      <c r="J92" s="88" t="s">
        <v>323</v>
      </c>
      <c r="K92" s="133"/>
      <c r="L92" s="133"/>
      <c r="M92" s="133"/>
    </row>
    <row r="93" spans="1:13" x14ac:dyDescent="0.25">
      <c r="A93" s="89" t="s">
        <v>302</v>
      </c>
      <c r="B93" s="90" t="str">
        <f t="shared" ref="B93:B102" si="72">IFERROR(VLOOKUP($A93,areaCercaDatiPerPosizioneSquadre,2,FALSE),"("&amp;$A93&amp;")")</f>
        <v>(G1)</v>
      </c>
      <c r="C93" s="72" t="str">
        <f t="shared" ref="C93:C102" si="73">IFERROR(VLOOKUP($A93,areaCercaDatiPerPosizioneSquadre,4,FALSE),"-")</f>
        <v>-</v>
      </c>
      <c r="D93" s="5" t="str">
        <f t="shared" ref="D93:D102" si="74">IFERROR(VLOOKUP($A93,areaCercaDatiPerPosizioneSquadre,5,FALSE),"-")</f>
        <v>-</v>
      </c>
      <c r="E93" s="5" t="str">
        <f t="shared" ref="E93:E102" si="75">IFERROR(VLOOKUP($A93,areaCercaDatiPerPosizioneSquadre,6,FALSE),"-")</f>
        <v>-</v>
      </c>
      <c r="F93" s="5" t="str">
        <f t="shared" ref="F93:F102" si="76">IFERROR(VLOOKUP($A93,areaCercaDatiPerPosizioneSquadre,7,FALSE),"-")</f>
        <v>-</v>
      </c>
      <c r="G93" s="5" t="str">
        <f t="shared" ref="G93:G102" si="77">IFERROR(VLOOKUP($A93,areaCercaDatiPerPosizioneSquadre,8,FALSE),"-")</f>
        <v>-</v>
      </c>
      <c r="H93" s="5" t="str">
        <f t="shared" ref="H93:H102" si="78">IFERROR(VLOOKUP($A93,areaCercaDatiPerPosizioneSquadre,9,FALSE),"-")</f>
        <v>-</v>
      </c>
      <c r="I93" s="5" t="str">
        <f t="shared" ref="I93:I102" si="79">IFERROR(VLOOKUP($A93,areaCercaDatiPerPosizioneSquadre,10,FALSE),"-")</f>
        <v>-</v>
      </c>
      <c r="J93" s="5" t="str">
        <f t="shared" ref="J93:J102" si="80">IFERROR(VLOOKUP($A93,areaCercaDatiPerPosizioneSquadre,11,FALSE),"-")</f>
        <v>-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89" t="s">
        <v>293</v>
      </c>
      <c r="B94" s="90" t="str">
        <f t="shared" si="72"/>
        <v>(G2)</v>
      </c>
      <c r="C94" s="72" t="str">
        <f t="shared" si="73"/>
        <v>-</v>
      </c>
      <c r="D94" s="5" t="str">
        <f t="shared" si="74"/>
        <v>-</v>
      </c>
      <c r="E94" s="5" t="str">
        <f t="shared" si="75"/>
        <v>-</v>
      </c>
      <c r="F94" s="5" t="str">
        <f t="shared" si="76"/>
        <v>-</v>
      </c>
      <c r="G94" s="5" t="str">
        <f t="shared" si="77"/>
        <v>-</v>
      </c>
      <c r="H94" s="5" t="str">
        <f t="shared" si="78"/>
        <v>-</v>
      </c>
      <c r="I94" s="5" t="str">
        <f t="shared" si="79"/>
        <v>-</v>
      </c>
      <c r="J94" s="5" t="str">
        <f t="shared" si="80"/>
        <v>-</v>
      </c>
      <c r="K94" s="5" t="str">
        <f t="shared" si="81"/>
        <v>-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89" t="s">
        <v>366</v>
      </c>
      <c r="B95" s="10" t="str">
        <f t="shared" si="72"/>
        <v>(G3)</v>
      </c>
      <c r="C95" s="72" t="str">
        <f t="shared" si="73"/>
        <v>-</v>
      </c>
      <c r="D95" s="5" t="str">
        <f t="shared" si="74"/>
        <v>-</v>
      </c>
      <c r="E95" s="5" t="str">
        <f t="shared" si="75"/>
        <v>-</v>
      </c>
      <c r="F95" s="5" t="str">
        <f t="shared" si="76"/>
        <v>-</v>
      </c>
      <c r="G95" s="5" t="str">
        <f t="shared" si="77"/>
        <v>-</v>
      </c>
      <c r="H95" s="5" t="str">
        <f t="shared" si="78"/>
        <v>-</v>
      </c>
      <c r="I95" s="5" t="str">
        <f t="shared" si="79"/>
        <v>-</v>
      </c>
      <c r="J95" s="5" t="str">
        <f t="shared" si="80"/>
        <v>-</v>
      </c>
      <c r="K95" s="5" t="str">
        <f t="shared" si="81"/>
        <v>-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89" t="s">
        <v>367</v>
      </c>
      <c r="B96" s="10" t="str">
        <f t="shared" si="72"/>
        <v>(G4)</v>
      </c>
      <c r="C96" s="72" t="str">
        <f t="shared" si="73"/>
        <v>-</v>
      </c>
      <c r="D96" s="5" t="str">
        <f t="shared" si="74"/>
        <v>-</v>
      </c>
      <c r="E96" s="5" t="str">
        <f t="shared" si="75"/>
        <v>-</v>
      </c>
      <c r="F96" s="5" t="str">
        <f t="shared" si="76"/>
        <v>-</v>
      </c>
      <c r="G96" s="5" t="str">
        <f t="shared" si="77"/>
        <v>-</v>
      </c>
      <c r="H96" s="5" t="str">
        <f t="shared" si="78"/>
        <v>-</v>
      </c>
      <c r="I96" s="5" t="str">
        <f t="shared" si="79"/>
        <v>-</v>
      </c>
      <c r="J96" s="5" t="str">
        <f t="shared" si="80"/>
        <v>-</v>
      </c>
      <c r="K96" s="5" t="str">
        <f t="shared" si="81"/>
        <v>-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89" t="s">
        <v>368</v>
      </c>
      <c r="B97" s="10" t="str">
        <f t="shared" si="72"/>
        <v>(G5)</v>
      </c>
      <c r="C97" s="72" t="str">
        <f t="shared" si="73"/>
        <v>-</v>
      </c>
      <c r="D97" s="5" t="str">
        <f t="shared" si="74"/>
        <v>-</v>
      </c>
      <c r="E97" s="5" t="str">
        <f t="shared" si="75"/>
        <v>-</v>
      </c>
      <c r="F97" s="5" t="str">
        <f t="shared" si="76"/>
        <v>-</v>
      </c>
      <c r="G97" s="5" t="str">
        <f t="shared" si="77"/>
        <v>-</v>
      </c>
      <c r="H97" s="5" t="str">
        <f t="shared" si="78"/>
        <v>-</v>
      </c>
      <c r="I97" s="5" t="str">
        <f t="shared" si="79"/>
        <v>-</v>
      </c>
      <c r="J97" s="5" t="str">
        <f t="shared" si="80"/>
        <v>-</v>
      </c>
      <c r="K97" s="5" t="str">
        <f t="shared" si="81"/>
        <v>-</v>
      </c>
      <c r="L97" s="11" t="str">
        <f t="shared" si="82"/>
        <v>-</v>
      </c>
      <c r="M97" s="11" t="str">
        <f t="shared" si="83"/>
        <v>-</v>
      </c>
    </row>
    <row r="98" spans="1:13" x14ac:dyDescent="0.25">
      <c r="A98" s="89" t="s">
        <v>369</v>
      </c>
      <c r="B98" s="10" t="str">
        <f t="shared" si="72"/>
        <v>(G6)</v>
      </c>
      <c r="C98" s="72" t="str">
        <f t="shared" si="73"/>
        <v>-</v>
      </c>
      <c r="D98" s="5" t="str">
        <f t="shared" si="74"/>
        <v>-</v>
      </c>
      <c r="E98" s="5" t="str">
        <f t="shared" si="75"/>
        <v>-</v>
      </c>
      <c r="F98" s="5" t="str">
        <f t="shared" si="76"/>
        <v>-</v>
      </c>
      <c r="G98" s="5" t="str">
        <f t="shared" si="77"/>
        <v>-</v>
      </c>
      <c r="H98" s="5" t="str">
        <f t="shared" si="78"/>
        <v>-</v>
      </c>
      <c r="I98" s="5" t="str">
        <f t="shared" si="79"/>
        <v>-</v>
      </c>
      <c r="J98" s="5" t="str">
        <f t="shared" si="80"/>
        <v>-</v>
      </c>
      <c r="K98" s="5" t="str">
        <f t="shared" si="81"/>
        <v>-</v>
      </c>
      <c r="L98" s="11" t="str">
        <f t="shared" si="82"/>
        <v>-</v>
      </c>
      <c r="M98" s="11" t="str">
        <f t="shared" si="83"/>
        <v>-</v>
      </c>
    </row>
    <row r="99" spans="1:13" x14ac:dyDescent="0.25">
      <c r="A99" s="89" t="s">
        <v>370</v>
      </c>
      <c r="B99" s="10" t="str">
        <f t="shared" si="72"/>
        <v>(G7)</v>
      </c>
      <c r="C99" s="72" t="str">
        <f t="shared" si="73"/>
        <v>-</v>
      </c>
      <c r="D99" s="5" t="str">
        <f t="shared" si="74"/>
        <v>-</v>
      </c>
      <c r="E99" s="5" t="str">
        <f t="shared" si="75"/>
        <v>-</v>
      </c>
      <c r="F99" s="5" t="str">
        <f t="shared" si="76"/>
        <v>-</v>
      </c>
      <c r="G99" s="5" t="str">
        <f t="shared" si="77"/>
        <v>-</v>
      </c>
      <c r="H99" s="5" t="str">
        <f t="shared" si="78"/>
        <v>-</v>
      </c>
      <c r="I99" s="5" t="str">
        <f t="shared" si="79"/>
        <v>-</v>
      </c>
      <c r="J99" s="5" t="str">
        <f t="shared" si="80"/>
        <v>-</v>
      </c>
      <c r="K99" s="5" t="str">
        <f t="shared" si="81"/>
        <v>-</v>
      </c>
      <c r="L99" s="11" t="str">
        <f t="shared" si="82"/>
        <v>-</v>
      </c>
      <c r="M99" s="11" t="str">
        <f t="shared" si="83"/>
        <v>-</v>
      </c>
    </row>
    <row r="100" spans="1:13" x14ac:dyDescent="0.25">
      <c r="A100" s="89" t="s">
        <v>371</v>
      </c>
      <c r="B100" s="10" t="str">
        <f t="shared" si="72"/>
        <v>(G8)</v>
      </c>
      <c r="C100" s="72" t="str">
        <f t="shared" si="73"/>
        <v>-</v>
      </c>
      <c r="D100" s="5" t="str">
        <f t="shared" si="74"/>
        <v>-</v>
      </c>
      <c r="E100" s="5" t="str">
        <f t="shared" si="75"/>
        <v>-</v>
      </c>
      <c r="F100" s="5" t="str">
        <f t="shared" si="76"/>
        <v>-</v>
      </c>
      <c r="G100" s="5" t="str">
        <f t="shared" si="77"/>
        <v>-</v>
      </c>
      <c r="H100" s="5" t="str">
        <f t="shared" si="78"/>
        <v>-</v>
      </c>
      <c r="I100" s="5" t="str">
        <f t="shared" si="79"/>
        <v>-</v>
      </c>
      <c r="J100" s="5" t="str">
        <f t="shared" si="80"/>
        <v>-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89" t="s">
        <v>372</v>
      </c>
      <c r="B101" s="10" t="str">
        <f t="shared" si="72"/>
        <v>(G9)</v>
      </c>
      <c r="C101" s="72" t="str">
        <f t="shared" si="73"/>
        <v>-</v>
      </c>
      <c r="D101" s="5" t="str">
        <f t="shared" si="74"/>
        <v>-</v>
      </c>
      <c r="E101" s="5" t="str">
        <f t="shared" si="75"/>
        <v>-</v>
      </c>
      <c r="F101" s="5" t="str">
        <f t="shared" si="76"/>
        <v>-</v>
      </c>
      <c r="G101" s="5" t="str">
        <f t="shared" si="77"/>
        <v>-</v>
      </c>
      <c r="H101" s="5" t="str">
        <f t="shared" si="78"/>
        <v>-</v>
      </c>
      <c r="I101" s="5" t="str">
        <f t="shared" si="79"/>
        <v>-</v>
      </c>
      <c r="J101" s="5" t="str">
        <f t="shared" si="80"/>
        <v>-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89" t="s">
        <v>126</v>
      </c>
      <c r="B102" s="10" t="str">
        <f t="shared" si="72"/>
        <v>(G10)</v>
      </c>
      <c r="C102" s="72" t="str">
        <f t="shared" si="73"/>
        <v>-</v>
      </c>
      <c r="D102" s="5" t="str">
        <f t="shared" si="74"/>
        <v>-</v>
      </c>
      <c r="E102" s="5" t="str">
        <f t="shared" si="75"/>
        <v>-</v>
      </c>
      <c r="F102" s="5" t="str">
        <f t="shared" si="76"/>
        <v>-</v>
      </c>
      <c r="G102" s="5" t="str">
        <f t="shared" si="77"/>
        <v>-</v>
      </c>
      <c r="H102" s="5" t="str">
        <f t="shared" si="78"/>
        <v>-</v>
      </c>
      <c r="I102" s="5" t="str">
        <f t="shared" si="79"/>
        <v>-</v>
      </c>
      <c r="J102" s="5" t="str">
        <f t="shared" si="80"/>
        <v>-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9" t="str">
        <f>"CLASSIFICA - GIRONE H"</f>
        <v>CLASSIFICA - GIRONE H</v>
      </c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5"/>
    </row>
    <row r="105" spans="1:13" ht="26.1" customHeight="1" x14ac:dyDescent="0.25">
      <c r="A105" s="193" t="s">
        <v>312</v>
      </c>
      <c r="B105" s="193" t="s">
        <v>313</v>
      </c>
      <c r="C105" s="193" t="s">
        <v>314</v>
      </c>
      <c r="D105" s="193" t="s">
        <v>315</v>
      </c>
      <c r="E105" s="124"/>
      <c r="F105" s="124"/>
      <c r="G105" s="125"/>
      <c r="H105" s="193" t="s">
        <v>316</v>
      </c>
      <c r="I105" s="124"/>
      <c r="J105" s="125"/>
      <c r="K105" s="193" t="s">
        <v>317</v>
      </c>
      <c r="L105" s="193" t="s">
        <v>318</v>
      </c>
      <c r="M105" s="193" t="s">
        <v>319</v>
      </c>
    </row>
    <row r="106" spans="1:13" x14ac:dyDescent="0.25">
      <c r="A106" s="133"/>
      <c r="B106" s="133"/>
      <c r="C106" s="133"/>
      <c r="D106" s="91" t="s">
        <v>117</v>
      </c>
      <c r="E106" s="91" t="s">
        <v>320</v>
      </c>
      <c r="F106" s="91" t="s">
        <v>312</v>
      </c>
      <c r="G106" s="91" t="s">
        <v>106</v>
      </c>
      <c r="H106" s="91" t="s">
        <v>321</v>
      </c>
      <c r="I106" s="91" t="s">
        <v>322</v>
      </c>
      <c r="J106" s="91" t="s">
        <v>323</v>
      </c>
      <c r="K106" s="133"/>
      <c r="L106" s="133"/>
      <c r="M106" s="133"/>
    </row>
    <row r="107" spans="1:13" x14ac:dyDescent="0.25">
      <c r="A107" s="92" t="s">
        <v>304</v>
      </c>
      <c r="B107" s="93" t="str">
        <f t="shared" ref="B107:B116" si="84">IFERROR(VLOOKUP($A107,areaCercaDatiPerPosizioneSquadre,2,FALSE),"("&amp;$A107&amp;")")</f>
        <v>(H1)</v>
      </c>
      <c r="C107" s="72" t="str">
        <f t="shared" ref="C107:C116" si="85">IFERROR(VLOOKUP($A107,areaCercaDatiPerPosizioneSquadre,4,FALSE),"-")</f>
        <v>-</v>
      </c>
      <c r="D107" s="5" t="str">
        <f t="shared" ref="D107:D116" si="86">IFERROR(VLOOKUP($A107,areaCercaDatiPerPosizioneSquadre,5,FALSE),"-")</f>
        <v>-</v>
      </c>
      <c r="E107" s="5" t="str">
        <f t="shared" ref="E107:E116" si="87">IFERROR(VLOOKUP($A107,areaCercaDatiPerPosizioneSquadre,6,FALSE),"-")</f>
        <v>-</v>
      </c>
      <c r="F107" s="5" t="str">
        <f t="shared" ref="F107:F116" si="88">IFERROR(VLOOKUP($A107,areaCercaDatiPerPosizioneSquadre,7,FALSE),"-")</f>
        <v>-</v>
      </c>
      <c r="G107" s="5" t="str">
        <f t="shared" ref="G107:G116" si="89">IFERROR(VLOOKUP($A107,areaCercaDatiPerPosizioneSquadre,8,FALSE),"-")</f>
        <v>-</v>
      </c>
      <c r="H107" s="5" t="str">
        <f t="shared" ref="H107:H116" si="90">IFERROR(VLOOKUP($A107,areaCercaDatiPerPosizioneSquadre,9,FALSE),"-")</f>
        <v>-</v>
      </c>
      <c r="I107" s="5" t="str">
        <f t="shared" ref="I107:I116" si="91">IFERROR(VLOOKUP($A107,areaCercaDatiPerPosizioneSquadre,10,FALSE),"-")</f>
        <v>-</v>
      </c>
      <c r="J107" s="5" t="str">
        <f t="shared" ref="J107:J116" si="92">IFERROR(VLOOKUP($A107,areaCercaDatiPerPosizioneSquadre,11,FALSE),"-")</f>
        <v>-</v>
      </c>
      <c r="K107" s="5" t="str">
        <f t="shared" ref="K107:K116" si="93">IFERROR(VLOOKUP($A107,areaCercaDatiPerPosizioneSquadre,15,FALSE),"-")</f>
        <v>-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2" t="s">
        <v>291</v>
      </c>
      <c r="B108" s="93" t="str">
        <f t="shared" si="84"/>
        <v>(H2)</v>
      </c>
      <c r="C108" s="72" t="str">
        <f t="shared" si="85"/>
        <v>-</v>
      </c>
      <c r="D108" s="5" t="str">
        <f t="shared" si="86"/>
        <v>-</v>
      </c>
      <c r="E108" s="5" t="str">
        <f t="shared" si="87"/>
        <v>-</v>
      </c>
      <c r="F108" s="5" t="str">
        <f t="shared" si="88"/>
        <v>-</v>
      </c>
      <c r="G108" s="5" t="str">
        <f t="shared" si="89"/>
        <v>-</v>
      </c>
      <c r="H108" s="5" t="str">
        <f t="shared" si="90"/>
        <v>-</v>
      </c>
      <c r="I108" s="5" t="str">
        <f t="shared" si="91"/>
        <v>-</v>
      </c>
      <c r="J108" s="5" t="str">
        <f t="shared" si="92"/>
        <v>-</v>
      </c>
      <c r="K108" s="5" t="str">
        <f t="shared" si="93"/>
        <v>-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2" t="s">
        <v>373</v>
      </c>
      <c r="B109" s="10" t="str">
        <f t="shared" si="84"/>
        <v>(H3)</v>
      </c>
      <c r="C109" s="72" t="str">
        <f t="shared" si="85"/>
        <v>-</v>
      </c>
      <c r="D109" s="5" t="str">
        <f t="shared" si="86"/>
        <v>-</v>
      </c>
      <c r="E109" s="5" t="str">
        <f t="shared" si="87"/>
        <v>-</v>
      </c>
      <c r="F109" s="5" t="str">
        <f t="shared" si="88"/>
        <v>-</v>
      </c>
      <c r="G109" s="5" t="str">
        <f t="shared" si="89"/>
        <v>-</v>
      </c>
      <c r="H109" s="5" t="str">
        <f t="shared" si="90"/>
        <v>-</v>
      </c>
      <c r="I109" s="5" t="str">
        <f t="shared" si="91"/>
        <v>-</v>
      </c>
      <c r="J109" s="5" t="str">
        <f t="shared" si="92"/>
        <v>-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2" t="s">
        <v>374</v>
      </c>
      <c r="B110" s="10" t="str">
        <f t="shared" si="84"/>
        <v>(H4)</v>
      </c>
      <c r="C110" s="72" t="str">
        <f t="shared" si="85"/>
        <v>-</v>
      </c>
      <c r="D110" s="5" t="str">
        <f t="shared" si="86"/>
        <v>-</v>
      </c>
      <c r="E110" s="5" t="str">
        <f t="shared" si="87"/>
        <v>-</v>
      </c>
      <c r="F110" s="5" t="str">
        <f t="shared" si="88"/>
        <v>-</v>
      </c>
      <c r="G110" s="5" t="str">
        <f t="shared" si="89"/>
        <v>-</v>
      </c>
      <c r="H110" s="5" t="str">
        <f t="shared" si="90"/>
        <v>-</v>
      </c>
      <c r="I110" s="5" t="str">
        <f t="shared" si="91"/>
        <v>-</v>
      </c>
      <c r="J110" s="5" t="str">
        <f t="shared" si="92"/>
        <v>-</v>
      </c>
      <c r="K110" s="5" t="str">
        <f t="shared" si="93"/>
        <v>-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2" t="s">
        <v>375</v>
      </c>
      <c r="B111" s="10" t="str">
        <f t="shared" si="84"/>
        <v>(H5)</v>
      </c>
      <c r="C111" s="72" t="str">
        <f t="shared" si="85"/>
        <v>-</v>
      </c>
      <c r="D111" s="5" t="str">
        <f t="shared" si="86"/>
        <v>-</v>
      </c>
      <c r="E111" s="5" t="str">
        <f t="shared" si="87"/>
        <v>-</v>
      </c>
      <c r="F111" s="5" t="str">
        <f t="shared" si="88"/>
        <v>-</v>
      </c>
      <c r="G111" s="5" t="str">
        <f t="shared" si="89"/>
        <v>-</v>
      </c>
      <c r="H111" s="5" t="str">
        <f t="shared" si="90"/>
        <v>-</v>
      </c>
      <c r="I111" s="5" t="str">
        <f t="shared" si="91"/>
        <v>-</v>
      </c>
      <c r="J111" s="5" t="str">
        <f t="shared" si="92"/>
        <v>-</v>
      </c>
      <c r="K111" s="5" t="str">
        <f t="shared" si="93"/>
        <v>-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2" t="s">
        <v>376</v>
      </c>
      <c r="B112" s="10" t="str">
        <f t="shared" si="84"/>
        <v>(H6)</v>
      </c>
      <c r="C112" s="72" t="str">
        <f t="shared" si="85"/>
        <v>-</v>
      </c>
      <c r="D112" s="5" t="str">
        <f t="shared" si="86"/>
        <v>-</v>
      </c>
      <c r="E112" s="5" t="str">
        <f t="shared" si="87"/>
        <v>-</v>
      </c>
      <c r="F112" s="5" t="str">
        <f t="shared" si="88"/>
        <v>-</v>
      </c>
      <c r="G112" s="5" t="str">
        <f t="shared" si="89"/>
        <v>-</v>
      </c>
      <c r="H112" s="5" t="str">
        <f t="shared" si="90"/>
        <v>-</v>
      </c>
      <c r="I112" s="5" t="str">
        <f t="shared" si="91"/>
        <v>-</v>
      </c>
      <c r="J112" s="5" t="str">
        <f t="shared" si="92"/>
        <v>-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2" t="s">
        <v>377</v>
      </c>
      <c r="B113" s="10" t="str">
        <f t="shared" si="84"/>
        <v>(H7)</v>
      </c>
      <c r="C113" s="72" t="str">
        <f t="shared" si="85"/>
        <v>-</v>
      </c>
      <c r="D113" s="5" t="str">
        <f t="shared" si="86"/>
        <v>-</v>
      </c>
      <c r="E113" s="5" t="str">
        <f t="shared" si="87"/>
        <v>-</v>
      </c>
      <c r="F113" s="5" t="str">
        <f t="shared" si="88"/>
        <v>-</v>
      </c>
      <c r="G113" s="5" t="str">
        <f t="shared" si="89"/>
        <v>-</v>
      </c>
      <c r="H113" s="5" t="str">
        <f t="shared" si="90"/>
        <v>-</v>
      </c>
      <c r="I113" s="5" t="str">
        <f t="shared" si="91"/>
        <v>-</v>
      </c>
      <c r="J113" s="5" t="str">
        <f t="shared" si="92"/>
        <v>-</v>
      </c>
      <c r="K113" s="5" t="str">
        <f t="shared" si="93"/>
        <v>-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2" t="s">
        <v>378</v>
      </c>
      <c r="B114" s="10" t="str">
        <f t="shared" si="84"/>
        <v>(H8)</v>
      </c>
      <c r="C114" s="72" t="str">
        <f t="shared" si="85"/>
        <v>-</v>
      </c>
      <c r="D114" s="5" t="str">
        <f t="shared" si="86"/>
        <v>-</v>
      </c>
      <c r="E114" s="5" t="str">
        <f t="shared" si="87"/>
        <v>-</v>
      </c>
      <c r="F114" s="5" t="str">
        <f t="shared" si="88"/>
        <v>-</v>
      </c>
      <c r="G114" s="5" t="str">
        <f t="shared" si="89"/>
        <v>-</v>
      </c>
      <c r="H114" s="5" t="str">
        <f t="shared" si="90"/>
        <v>-</v>
      </c>
      <c r="I114" s="5" t="str">
        <f t="shared" si="91"/>
        <v>-</v>
      </c>
      <c r="J114" s="5" t="str">
        <f t="shared" si="92"/>
        <v>-</v>
      </c>
      <c r="K114" s="5" t="str">
        <f t="shared" si="93"/>
        <v>-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2" t="s">
        <v>379</v>
      </c>
      <c r="B115" s="10" t="str">
        <f t="shared" si="84"/>
        <v>(H9)</v>
      </c>
      <c r="C115" s="72" t="str">
        <f t="shared" si="85"/>
        <v>-</v>
      </c>
      <c r="D115" s="5" t="str">
        <f t="shared" si="86"/>
        <v>-</v>
      </c>
      <c r="E115" s="5" t="str">
        <f t="shared" si="87"/>
        <v>-</v>
      </c>
      <c r="F115" s="5" t="str">
        <f t="shared" si="88"/>
        <v>-</v>
      </c>
      <c r="G115" s="5" t="str">
        <f t="shared" si="89"/>
        <v>-</v>
      </c>
      <c r="H115" s="5" t="str">
        <f t="shared" si="90"/>
        <v>-</v>
      </c>
      <c r="I115" s="5" t="str">
        <f t="shared" si="91"/>
        <v>-</v>
      </c>
      <c r="J115" s="5" t="str">
        <f t="shared" si="92"/>
        <v>-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2" t="s">
        <v>137</v>
      </c>
      <c r="B116" s="10" t="str">
        <f t="shared" si="84"/>
        <v>(H10)</v>
      </c>
      <c r="C116" s="72" t="str">
        <f t="shared" si="85"/>
        <v>-</v>
      </c>
      <c r="D116" s="5" t="str">
        <f t="shared" si="86"/>
        <v>-</v>
      </c>
      <c r="E116" s="5" t="str">
        <f t="shared" si="87"/>
        <v>-</v>
      </c>
      <c r="F116" s="5" t="str">
        <f t="shared" si="88"/>
        <v>-</v>
      </c>
      <c r="G116" s="5" t="str">
        <f t="shared" si="89"/>
        <v>-</v>
      </c>
      <c r="H116" s="5" t="str">
        <f t="shared" si="90"/>
        <v>-</v>
      </c>
      <c r="I116" s="5" t="str">
        <f t="shared" si="91"/>
        <v>-</v>
      </c>
      <c r="J116" s="5" t="str">
        <f t="shared" si="92"/>
        <v>-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89" t="str">
        <f>"CLASSIFICA - GIRONE I (non competitivo, fuori dai playoff)"</f>
        <v>CLASSIFICA - GIRONE I (non competitivo, fuori dai playoff)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5"/>
    </row>
    <row r="119" spans="1:13" ht="26.1" customHeight="1" x14ac:dyDescent="0.25">
      <c r="A119" s="186" t="s">
        <v>312</v>
      </c>
      <c r="B119" s="186" t="s">
        <v>313</v>
      </c>
      <c r="C119" s="186" t="s">
        <v>314</v>
      </c>
      <c r="D119" s="186" t="s">
        <v>315</v>
      </c>
      <c r="E119" s="124"/>
      <c r="F119" s="124"/>
      <c r="G119" s="125"/>
      <c r="H119" s="186" t="s">
        <v>316</v>
      </c>
      <c r="I119" s="124"/>
      <c r="J119" s="125"/>
      <c r="K119" s="186" t="s">
        <v>317</v>
      </c>
      <c r="L119" s="186" t="s">
        <v>318</v>
      </c>
      <c r="M119" s="186" t="s">
        <v>319</v>
      </c>
    </row>
    <row r="120" spans="1:13" x14ac:dyDescent="0.25">
      <c r="A120" s="133"/>
      <c r="B120" s="133"/>
      <c r="C120" s="133"/>
      <c r="D120" s="94" t="s">
        <v>117</v>
      </c>
      <c r="E120" s="94" t="s">
        <v>320</v>
      </c>
      <c r="F120" s="94" t="s">
        <v>312</v>
      </c>
      <c r="G120" s="94" t="s">
        <v>106</v>
      </c>
      <c r="H120" s="94" t="s">
        <v>321</v>
      </c>
      <c r="I120" s="94" t="s">
        <v>322</v>
      </c>
      <c r="J120" s="94" t="s">
        <v>323</v>
      </c>
      <c r="K120" s="133"/>
      <c r="L120" s="133"/>
      <c r="M120" s="133"/>
    </row>
    <row r="121" spans="1:13" x14ac:dyDescent="0.25">
      <c r="A121" s="95" t="s">
        <v>380</v>
      </c>
      <c r="B121" s="10" t="str">
        <f t="shared" ref="B121:B130" si="96">IFERROR(VLOOKUP($A121,areaCercaDatiPerPosizioneSquadre,2,FALSE),"("&amp;$A121&amp;")")</f>
        <v>(I1)</v>
      </c>
      <c r="C121" s="72" t="str">
        <f t="shared" ref="C121:C130" si="97">IFERROR(VLOOKUP($A121,areaCercaDatiPerPosizioneSquadre,4,FALSE),"-")</f>
        <v>-</v>
      </c>
      <c r="D121" s="5" t="str">
        <f t="shared" ref="D121:D130" si="98">IFERROR(VLOOKUP($A121,areaCercaDatiPerPosizioneSquadre,5,FALSE),"-")</f>
        <v>-</v>
      </c>
      <c r="E121" s="5" t="str">
        <f t="shared" ref="E121:E130" si="99">IFERROR(VLOOKUP($A121,areaCercaDatiPerPosizioneSquadre,6,FALSE),"-")</f>
        <v>-</v>
      </c>
      <c r="F121" s="5" t="str">
        <f t="shared" ref="F121:F130" si="100">IFERROR(VLOOKUP($A121,areaCercaDatiPerPosizioneSquadre,7,FALSE),"-")</f>
        <v>-</v>
      </c>
      <c r="G121" s="5" t="str">
        <f t="shared" ref="G121:G130" si="101">IFERROR(VLOOKUP($A121,areaCercaDatiPerPosizioneSquadre,8,FALSE),"-")</f>
        <v>-</v>
      </c>
      <c r="H121" s="5" t="str">
        <f t="shared" ref="H121:H130" si="102">IFERROR(VLOOKUP($A121,areaCercaDatiPerPosizioneSquadre,9,FALSE),"-")</f>
        <v>-</v>
      </c>
      <c r="I121" s="5" t="str">
        <f t="shared" ref="I121:I130" si="103">IFERROR(VLOOKUP($A121,areaCercaDatiPerPosizioneSquadre,10,FALSE),"-")</f>
        <v>-</v>
      </c>
      <c r="J121" s="5" t="str">
        <f t="shared" ref="J121:J130" si="104">IFERROR(VLOOKUP($A121,areaCercaDatiPerPosizioneSquadre,11,FALSE),"-")</f>
        <v>-</v>
      </c>
      <c r="K121" s="5" t="str">
        <f t="shared" ref="K121:K130" si="105">IFERROR(VLOOKUP($A121,areaCercaDatiPerPosizioneSquadre,15,FALSE),"-")</f>
        <v>-</v>
      </c>
      <c r="L121" s="11" t="str">
        <f t="shared" ref="L121:L130" si="106">IFERROR(VLOOKUP($A121,areaCercaDatiPerPosizioneSquadre,16,FALSE),"-")</f>
        <v>-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5" t="s">
        <v>381</v>
      </c>
      <c r="B122" s="10" t="str">
        <f t="shared" si="96"/>
        <v>(I2)</v>
      </c>
      <c r="C122" s="72" t="str">
        <f t="shared" si="97"/>
        <v>-</v>
      </c>
      <c r="D122" s="5" t="str">
        <f t="shared" si="98"/>
        <v>-</v>
      </c>
      <c r="E122" s="5" t="str">
        <f t="shared" si="99"/>
        <v>-</v>
      </c>
      <c r="F122" s="5" t="str">
        <f t="shared" si="100"/>
        <v>-</v>
      </c>
      <c r="G122" s="5" t="str">
        <f t="shared" si="101"/>
        <v>-</v>
      </c>
      <c r="H122" s="5" t="str">
        <f t="shared" si="102"/>
        <v>-</v>
      </c>
      <c r="I122" s="5" t="str">
        <f t="shared" si="103"/>
        <v>-</v>
      </c>
      <c r="J122" s="5" t="str">
        <f t="shared" si="104"/>
        <v>-</v>
      </c>
      <c r="K122" s="5" t="str">
        <f t="shared" si="105"/>
        <v>-</v>
      </c>
      <c r="L122" s="11" t="str">
        <f t="shared" si="106"/>
        <v>-</v>
      </c>
      <c r="M122" s="11" t="str">
        <f t="shared" si="107"/>
        <v>-</v>
      </c>
    </row>
    <row r="123" spans="1:13" x14ac:dyDescent="0.25">
      <c r="A123" s="95" t="s">
        <v>382</v>
      </c>
      <c r="B123" s="10" t="str">
        <f t="shared" si="96"/>
        <v>(I3)</v>
      </c>
      <c r="C123" s="72" t="str">
        <f t="shared" si="97"/>
        <v>-</v>
      </c>
      <c r="D123" s="5" t="str">
        <f t="shared" si="98"/>
        <v>-</v>
      </c>
      <c r="E123" s="5" t="str">
        <f t="shared" si="99"/>
        <v>-</v>
      </c>
      <c r="F123" s="5" t="str">
        <f t="shared" si="100"/>
        <v>-</v>
      </c>
      <c r="G123" s="5" t="str">
        <f t="shared" si="101"/>
        <v>-</v>
      </c>
      <c r="H123" s="5" t="str">
        <f t="shared" si="102"/>
        <v>-</v>
      </c>
      <c r="I123" s="5" t="str">
        <f t="shared" si="103"/>
        <v>-</v>
      </c>
      <c r="J123" s="5" t="str">
        <f t="shared" si="104"/>
        <v>-</v>
      </c>
      <c r="K123" s="5" t="str">
        <f t="shared" si="105"/>
        <v>-</v>
      </c>
      <c r="L123" s="11" t="str">
        <f t="shared" si="106"/>
        <v>-</v>
      </c>
      <c r="M123" s="11" t="str">
        <f t="shared" si="107"/>
        <v>-</v>
      </c>
    </row>
    <row r="124" spans="1:13" x14ac:dyDescent="0.25">
      <c r="A124" s="95" t="s">
        <v>383</v>
      </c>
      <c r="B124" s="10" t="str">
        <f t="shared" si="96"/>
        <v>(I4)</v>
      </c>
      <c r="C124" s="72" t="str">
        <f t="shared" si="97"/>
        <v>-</v>
      </c>
      <c r="D124" s="5" t="str">
        <f t="shared" si="98"/>
        <v>-</v>
      </c>
      <c r="E124" s="5" t="str">
        <f t="shared" si="99"/>
        <v>-</v>
      </c>
      <c r="F124" s="5" t="str">
        <f t="shared" si="100"/>
        <v>-</v>
      </c>
      <c r="G124" s="5" t="str">
        <f t="shared" si="101"/>
        <v>-</v>
      </c>
      <c r="H124" s="5" t="str">
        <f t="shared" si="102"/>
        <v>-</v>
      </c>
      <c r="I124" s="5" t="str">
        <f t="shared" si="103"/>
        <v>-</v>
      </c>
      <c r="J124" s="5" t="str">
        <f t="shared" si="104"/>
        <v>-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5" t="s">
        <v>384</v>
      </c>
      <c r="B125" s="10" t="str">
        <f t="shared" si="96"/>
        <v>(I5)</v>
      </c>
      <c r="C125" s="72" t="str">
        <f t="shared" si="97"/>
        <v>-</v>
      </c>
      <c r="D125" s="5" t="str">
        <f t="shared" si="98"/>
        <v>-</v>
      </c>
      <c r="E125" s="5" t="str">
        <f t="shared" si="99"/>
        <v>-</v>
      </c>
      <c r="F125" s="5" t="str">
        <f t="shared" si="100"/>
        <v>-</v>
      </c>
      <c r="G125" s="5" t="str">
        <f t="shared" si="101"/>
        <v>-</v>
      </c>
      <c r="H125" s="5" t="str">
        <f t="shared" si="102"/>
        <v>-</v>
      </c>
      <c r="I125" s="5" t="str">
        <f t="shared" si="103"/>
        <v>-</v>
      </c>
      <c r="J125" s="5" t="str">
        <f t="shared" si="104"/>
        <v>-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5" t="s">
        <v>385</v>
      </c>
      <c r="B126" s="10" t="str">
        <f t="shared" si="96"/>
        <v>(I6)</v>
      </c>
      <c r="C126" s="72" t="str">
        <f t="shared" si="97"/>
        <v>-</v>
      </c>
      <c r="D126" s="5" t="str">
        <f t="shared" si="98"/>
        <v>-</v>
      </c>
      <c r="E126" s="5" t="str">
        <f t="shared" si="99"/>
        <v>-</v>
      </c>
      <c r="F126" s="5" t="str">
        <f t="shared" si="100"/>
        <v>-</v>
      </c>
      <c r="G126" s="5" t="str">
        <f t="shared" si="101"/>
        <v>-</v>
      </c>
      <c r="H126" s="5" t="str">
        <f t="shared" si="102"/>
        <v>-</v>
      </c>
      <c r="I126" s="5" t="str">
        <f t="shared" si="103"/>
        <v>-</v>
      </c>
      <c r="J126" s="5" t="str">
        <f t="shared" si="104"/>
        <v>-</v>
      </c>
      <c r="K126" s="5" t="str">
        <f t="shared" si="105"/>
        <v>-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5" t="s">
        <v>386</v>
      </c>
      <c r="B127" s="10" t="str">
        <f t="shared" si="96"/>
        <v>(I7)</v>
      </c>
      <c r="C127" s="72" t="str">
        <f t="shared" si="97"/>
        <v>-</v>
      </c>
      <c r="D127" s="5" t="str">
        <f t="shared" si="98"/>
        <v>-</v>
      </c>
      <c r="E127" s="5" t="str">
        <f t="shared" si="99"/>
        <v>-</v>
      </c>
      <c r="F127" s="5" t="str">
        <f t="shared" si="100"/>
        <v>-</v>
      </c>
      <c r="G127" s="5" t="str">
        <f t="shared" si="101"/>
        <v>-</v>
      </c>
      <c r="H127" s="5" t="str">
        <f t="shared" si="102"/>
        <v>-</v>
      </c>
      <c r="I127" s="5" t="str">
        <f t="shared" si="103"/>
        <v>-</v>
      </c>
      <c r="J127" s="5" t="str">
        <f t="shared" si="104"/>
        <v>-</v>
      </c>
      <c r="K127" s="5" t="str">
        <f t="shared" si="105"/>
        <v>-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5" t="s">
        <v>387</v>
      </c>
      <c r="B128" s="10" t="str">
        <f t="shared" si="96"/>
        <v>(I8)</v>
      </c>
      <c r="C128" s="72" t="str">
        <f t="shared" si="97"/>
        <v>-</v>
      </c>
      <c r="D128" s="5" t="str">
        <f t="shared" si="98"/>
        <v>-</v>
      </c>
      <c r="E128" s="5" t="str">
        <f t="shared" si="99"/>
        <v>-</v>
      </c>
      <c r="F128" s="5" t="str">
        <f t="shared" si="100"/>
        <v>-</v>
      </c>
      <c r="G128" s="5" t="str">
        <f t="shared" si="101"/>
        <v>-</v>
      </c>
      <c r="H128" s="5" t="str">
        <f t="shared" si="102"/>
        <v>-</v>
      </c>
      <c r="I128" s="5" t="str">
        <f t="shared" si="103"/>
        <v>-</v>
      </c>
      <c r="J128" s="5" t="str">
        <f t="shared" si="104"/>
        <v>-</v>
      </c>
      <c r="K128" s="5" t="str">
        <f t="shared" si="105"/>
        <v>-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5" t="s">
        <v>388</v>
      </c>
      <c r="B129" s="10" t="str">
        <f t="shared" si="96"/>
        <v>(I9)</v>
      </c>
      <c r="C129" s="72" t="str">
        <f t="shared" si="97"/>
        <v>-</v>
      </c>
      <c r="D129" s="5" t="str">
        <f t="shared" si="98"/>
        <v>-</v>
      </c>
      <c r="E129" s="5" t="str">
        <f t="shared" si="99"/>
        <v>-</v>
      </c>
      <c r="F129" s="5" t="str">
        <f t="shared" si="100"/>
        <v>-</v>
      </c>
      <c r="G129" s="5" t="str">
        <f t="shared" si="101"/>
        <v>-</v>
      </c>
      <c r="H129" s="5" t="str">
        <f t="shared" si="102"/>
        <v>-</v>
      </c>
      <c r="I129" s="5" t="str">
        <f t="shared" si="103"/>
        <v>-</v>
      </c>
      <c r="J129" s="5" t="str">
        <f t="shared" si="104"/>
        <v>-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5" t="s">
        <v>148</v>
      </c>
      <c r="B130" s="10" t="str">
        <f t="shared" si="96"/>
        <v>(I10)</v>
      </c>
      <c r="C130" s="72" t="str">
        <f t="shared" si="97"/>
        <v>-</v>
      </c>
      <c r="D130" s="5" t="str">
        <f t="shared" si="98"/>
        <v>-</v>
      </c>
      <c r="E130" s="5" t="str">
        <f t="shared" si="99"/>
        <v>-</v>
      </c>
      <c r="F130" s="5" t="str">
        <f t="shared" si="100"/>
        <v>-</v>
      </c>
      <c r="G130" s="5" t="str">
        <f t="shared" si="101"/>
        <v>-</v>
      </c>
      <c r="H130" s="5" t="str">
        <f t="shared" si="102"/>
        <v>-</v>
      </c>
      <c r="I130" s="5" t="str">
        <f t="shared" si="103"/>
        <v>-</v>
      </c>
      <c r="J130" s="5" t="str">
        <f t="shared" si="104"/>
        <v>-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88" t="str">
        <f>"CLASSIFICA - GIRONE J (non competitivo, fuori dai playoff)"</f>
        <v>CLASSIFICA - GIRONE J (non competitivo, fuori dai playoff)</v>
      </c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5"/>
    </row>
    <row r="133" spans="1:13" ht="26.1" customHeight="1" x14ac:dyDescent="0.25">
      <c r="A133" s="184" t="s">
        <v>312</v>
      </c>
      <c r="B133" s="184" t="s">
        <v>313</v>
      </c>
      <c r="C133" s="184" t="s">
        <v>314</v>
      </c>
      <c r="D133" s="184" t="s">
        <v>315</v>
      </c>
      <c r="E133" s="124"/>
      <c r="F133" s="124"/>
      <c r="G133" s="125"/>
      <c r="H133" s="184" t="s">
        <v>316</v>
      </c>
      <c r="I133" s="124"/>
      <c r="J133" s="125"/>
      <c r="K133" s="184" t="s">
        <v>317</v>
      </c>
      <c r="L133" s="184" t="s">
        <v>318</v>
      </c>
      <c r="M133" s="184" t="s">
        <v>319</v>
      </c>
    </row>
    <row r="134" spans="1:13" x14ac:dyDescent="0.25">
      <c r="A134" s="133"/>
      <c r="B134" s="133"/>
      <c r="C134" s="133"/>
      <c r="D134" s="96" t="s">
        <v>117</v>
      </c>
      <c r="E134" s="96" t="s">
        <v>320</v>
      </c>
      <c r="F134" s="96" t="s">
        <v>312</v>
      </c>
      <c r="G134" s="96" t="s">
        <v>106</v>
      </c>
      <c r="H134" s="96" t="s">
        <v>321</v>
      </c>
      <c r="I134" s="96" t="s">
        <v>322</v>
      </c>
      <c r="J134" s="96" t="s">
        <v>323</v>
      </c>
      <c r="K134" s="133"/>
      <c r="L134" s="133"/>
      <c r="M134" s="133"/>
    </row>
    <row r="135" spans="1:13" x14ac:dyDescent="0.25">
      <c r="A135" s="97" t="s">
        <v>389</v>
      </c>
      <c r="B135" s="10" t="str">
        <f t="shared" ref="B135:B144" si="108">IFERROR(VLOOKUP($A135,areaCercaDatiPerPosizioneSquadre,2,FALSE),"("&amp;$A135&amp;")")</f>
        <v>(J1)</v>
      </c>
      <c r="C135" s="72" t="str">
        <f t="shared" ref="C135:C144" si="109">IFERROR(VLOOKUP($A135,areaCercaDatiPerPosizioneSquadre,4,FALSE),"-")</f>
        <v>-</v>
      </c>
      <c r="D135" s="5" t="str">
        <f t="shared" ref="D135:D144" si="110">IFERROR(VLOOKUP($A135,areaCercaDatiPerPosizioneSquadre,5,FALSE),"-")</f>
        <v>-</v>
      </c>
      <c r="E135" s="5" t="str">
        <f t="shared" ref="E135:E144" si="111">IFERROR(VLOOKUP($A135,areaCercaDatiPerPosizioneSquadre,6,FALSE),"-")</f>
        <v>-</v>
      </c>
      <c r="F135" s="5" t="str">
        <f t="shared" ref="F135:F144" si="112">IFERROR(VLOOKUP($A135,areaCercaDatiPerPosizioneSquadre,7,FALSE),"-")</f>
        <v>-</v>
      </c>
      <c r="G135" s="5" t="str">
        <f t="shared" ref="G135:G144" si="113">IFERROR(VLOOKUP($A135,areaCercaDatiPerPosizioneSquadre,8,FALSE),"-")</f>
        <v>-</v>
      </c>
      <c r="H135" s="5" t="str">
        <f t="shared" ref="H135:H144" si="114">IFERROR(VLOOKUP($A135,areaCercaDatiPerPosizioneSquadre,9,FALSE),"-")</f>
        <v>-</v>
      </c>
      <c r="I135" s="5" t="str">
        <f t="shared" ref="I135:I144" si="115">IFERROR(VLOOKUP($A135,areaCercaDatiPerPosizioneSquadre,10,FALSE),"-")</f>
        <v>-</v>
      </c>
      <c r="J135" s="5" t="str">
        <f t="shared" ref="J135:J144" si="116">IFERROR(VLOOKUP($A135,areaCercaDatiPerPosizioneSquadre,11,FALSE),"-")</f>
        <v>-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97" t="s">
        <v>390</v>
      </c>
      <c r="B136" s="10" t="str">
        <f t="shared" si="108"/>
        <v>(J2)</v>
      </c>
      <c r="C136" s="72" t="str">
        <f t="shared" si="109"/>
        <v>-</v>
      </c>
      <c r="D136" s="5" t="str">
        <f t="shared" si="110"/>
        <v>-</v>
      </c>
      <c r="E136" s="5" t="str">
        <f t="shared" si="111"/>
        <v>-</v>
      </c>
      <c r="F136" s="5" t="str">
        <f t="shared" si="112"/>
        <v>-</v>
      </c>
      <c r="G136" s="5" t="str">
        <f t="shared" si="113"/>
        <v>-</v>
      </c>
      <c r="H136" s="5" t="str">
        <f t="shared" si="114"/>
        <v>-</v>
      </c>
      <c r="I136" s="5" t="str">
        <f t="shared" si="115"/>
        <v>-</v>
      </c>
      <c r="J136" s="5" t="str">
        <f t="shared" si="116"/>
        <v>-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97" t="s">
        <v>391</v>
      </c>
      <c r="B137" s="10" t="str">
        <f t="shared" si="108"/>
        <v>(J3)</v>
      </c>
      <c r="C137" s="72" t="str">
        <f t="shared" si="109"/>
        <v>-</v>
      </c>
      <c r="D137" s="5" t="str">
        <f t="shared" si="110"/>
        <v>-</v>
      </c>
      <c r="E137" s="5" t="str">
        <f t="shared" si="111"/>
        <v>-</v>
      </c>
      <c r="F137" s="5" t="str">
        <f t="shared" si="112"/>
        <v>-</v>
      </c>
      <c r="G137" s="5" t="str">
        <f t="shared" si="113"/>
        <v>-</v>
      </c>
      <c r="H137" s="5" t="str">
        <f t="shared" si="114"/>
        <v>-</v>
      </c>
      <c r="I137" s="5" t="str">
        <f t="shared" si="115"/>
        <v>-</v>
      </c>
      <c r="J137" s="5" t="str">
        <f t="shared" si="116"/>
        <v>-</v>
      </c>
      <c r="K137" s="5" t="str">
        <f t="shared" si="117"/>
        <v>-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97" t="s">
        <v>392</v>
      </c>
      <c r="B138" s="10" t="str">
        <f t="shared" si="108"/>
        <v>(J4)</v>
      </c>
      <c r="C138" s="72" t="str">
        <f t="shared" si="109"/>
        <v>-</v>
      </c>
      <c r="D138" s="5" t="str">
        <f t="shared" si="110"/>
        <v>-</v>
      </c>
      <c r="E138" s="5" t="str">
        <f t="shared" si="111"/>
        <v>-</v>
      </c>
      <c r="F138" s="5" t="str">
        <f t="shared" si="112"/>
        <v>-</v>
      </c>
      <c r="G138" s="5" t="str">
        <f t="shared" si="113"/>
        <v>-</v>
      </c>
      <c r="H138" s="5" t="str">
        <f t="shared" si="114"/>
        <v>-</v>
      </c>
      <c r="I138" s="5" t="str">
        <f t="shared" si="115"/>
        <v>-</v>
      </c>
      <c r="J138" s="5" t="str">
        <f t="shared" si="116"/>
        <v>-</v>
      </c>
      <c r="K138" s="5" t="str">
        <f t="shared" si="117"/>
        <v>-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97" t="s">
        <v>393</v>
      </c>
      <c r="B139" s="10" t="str">
        <f t="shared" si="108"/>
        <v>(J5)</v>
      </c>
      <c r="C139" s="72" t="str">
        <f t="shared" si="109"/>
        <v>-</v>
      </c>
      <c r="D139" s="5" t="str">
        <f t="shared" si="110"/>
        <v>-</v>
      </c>
      <c r="E139" s="5" t="str">
        <f t="shared" si="111"/>
        <v>-</v>
      </c>
      <c r="F139" s="5" t="str">
        <f t="shared" si="112"/>
        <v>-</v>
      </c>
      <c r="G139" s="5" t="str">
        <f t="shared" si="113"/>
        <v>-</v>
      </c>
      <c r="H139" s="5" t="str">
        <f t="shared" si="114"/>
        <v>-</v>
      </c>
      <c r="I139" s="5" t="str">
        <f t="shared" si="115"/>
        <v>-</v>
      </c>
      <c r="J139" s="5" t="str">
        <f t="shared" si="116"/>
        <v>-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97" t="s">
        <v>394</v>
      </c>
      <c r="B140" s="10" t="str">
        <f t="shared" si="108"/>
        <v>(J6)</v>
      </c>
      <c r="C140" s="72" t="str">
        <f t="shared" si="109"/>
        <v>-</v>
      </c>
      <c r="D140" s="5" t="str">
        <f t="shared" si="110"/>
        <v>-</v>
      </c>
      <c r="E140" s="5" t="str">
        <f t="shared" si="111"/>
        <v>-</v>
      </c>
      <c r="F140" s="5" t="str">
        <f t="shared" si="112"/>
        <v>-</v>
      </c>
      <c r="G140" s="5" t="str">
        <f t="shared" si="113"/>
        <v>-</v>
      </c>
      <c r="H140" s="5" t="str">
        <f t="shared" si="114"/>
        <v>-</v>
      </c>
      <c r="I140" s="5" t="str">
        <f t="shared" si="115"/>
        <v>-</v>
      </c>
      <c r="J140" s="5" t="str">
        <f t="shared" si="116"/>
        <v>-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97" t="s">
        <v>395</v>
      </c>
      <c r="B141" s="10" t="str">
        <f t="shared" si="108"/>
        <v>(J7)</v>
      </c>
      <c r="C141" s="72" t="str">
        <f t="shared" si="109"/>
        <v>-</v>
      </c>
      <c r="D141" s="5" t="str">
        <f t="shared" si="110"/>
        <v>-</v>
      </c>
      <c r="E141" s="5" t="str">
        <f t="shared" si="111"/>
        <v>-</v>
      </c>
      <c r="F141" s="5" t="str">
        <f t="shared" si="112"/>
        <v>-</v>
      </c>
      <c r="G141" s="5" t="str">
        <f t="shared" si="113"/>
        <v>-</v>
      </c>
      <c r="H141" s="5" t="str">
        <f t="shared" si="114"/>
        <v>-</v>
      </c>
      <c r="I141" s="5" t="str">
        <f t="shared" si="115"/>
        <v>-</v>
      </c>
      <c r="J141" s="5" t="str">
        <f t="shared" si="116"/>
        <v>-</v>
      </c>
      <c r="K141" s="5" t="str">
        <f t="shared" si="117"/>
        <v>-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97" t="s">
        <v>396</v>
      </c>
      <c r="B142" s="10" t="str">
        <f t="shared" si="108"/>
        <v>(J8)</v>
      </c>
      <c r="C142" s="72" t="str">
        <f t="shared" si="109"/>
        <v>-</v>
      </c>
      <c r="D142" s="5" t="str">
        <f t="shared" si="110"/>
        <v>-</v>
      </c>
      <c r="E142" s="5" t="str">
        <f t="shared" si="111"/>
        <v>-</v>
      </c>
      <c r="F142" s="5" t="str">
        <f t="shared" si="112"/>
        <v>-</v>
      </c>
      <c r="G142" s="5" t="str">
        <f t="shared" si="113"/>
        <v>-</v>
      </c>
      <c r="H142" s="5" t="str">
        <f t="shared" si="114"/>
        <v>-</v>
      </c>
      <c r="I142" s="5" t="str">
        <f t="shared" si="115"/>
        <v>-</v>
      </c>
      <c r="J142" s="5" t="str">
        <f t="shared" si="116"/>
        <v>-</v>
      </c>
      <c r="K142" s="5" t="str">
        <f t="shared" si="117"/>
        <v>-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97" t="s">
        <v>397</v>
      </c>
      <c r="B143" s="10" t="str">
        <f t="shared" si="108"/>
        <v>(J9)</v>
      </c>
      <c r="C143" s="72" t="str">
        <f t="shared" si="109"/>
        <v>-</v>
      </c>
      <c r="D143" s="5" t="str">
        <f t="shared" si="110"/>
        <v>-</v>
      </c>
      <c r="E143" s="5" t="str">
        <f t="shared" si="111"/>
        <v>-</v>
      </c>
      <c r="F143" s="5" t="str">
        <f t="shared" si="112"/>
        <v>-</v>
      </c>
      <c r="G143" s="5" t="str">
        <f t="shared" si="113"/>
        <v>-</v>
      </c>
      <c r="H143" s="5" t="str">
        <f t="shared" si="114"/>
        <v>-</v>
      </c>
      <c r="I143" s="5" t="str">
        <f t="shared" si="115"/>
        <v>-</v>
      </c>
      <c r="J143" s="5" t="str">
        <f t="shared" si="116"/>
        <v>-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97" t="s">
        <v>159</v>
      </c>
      <c r="B144" s="10" t="str">
        <f t="shared" si="108"/>
        <v>(J10)</v>
      </c>
      <c r="C144" s="72" t="str">
        <f t="shared" si="109"/>
        <v>-</v>
      </c>
      <c r="D144" s="5" t="str">
        <f t="shared" si="110"/>
        <v>-</v>
      </c>
      <c r="E144" s="5" t="str">
        <f t="shared" si="111"/>
        <v>-</v>
      </c>
      <c r="F144" s="5" t="str">
        <f t="shared" si="112"/>
        <v>-</v>
      </c>
      <c r="G144" s="5" t="str">
        <f t="shared" si="113"/>
        <v>-</v>
      </c>
      <c r="H144" s="5" t="str">
        <f t="shared" si="114"/>
        <v>-</v>
      </c>
      <c r="I144" s="5" t="str">
        <f t="shared" si="115"/>
        <v>-</v>
      </c>
      <c r="J144" s="5" t="str">
        <f t="shared" si="116"/>
        <v>-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39" t="s">
        <v>398</v>
      </c>
    </row>
  </sheetData>
  <mergeCells count="92">
    <mergeCell ref="M21:M22"/>
    <mergeCell ref="M91:M92"/>
    <mergeCell ref="K63:K64"/>
    <mergeCell ref="L91:L92"/>
    <mergeCell ref="A7:A8"/>
    <mergeCell ref="C63:C64"/>
    <mergeCell ref="H35:J35"/>
    <mergeCell ref="A63:A64"/>
    <mergeCell ref="L21:L22"/>
    <mergeCell ref="D91:G91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B133:B134"/>
    <mergeCell ref="L77:L78"/>
    <mergeCell ref="L105:L106"/>
    <mergeCell ref="H63:J63"/>
    <mergeCell ref="M63:M64"/>
    <mergeCell ref="A90:M90"/>
    <mergeCell ref="C77:C78"/>
    <mergeCell ref="H119:J119"/>
    <mergeCell ref="A105:A106"/>
    <mergeCell ref="A104:M104"/>
    <mergeCell ref="H105:J105"/>
    <mergeCell ref="D63:G63"/>
    <mergeCell ref="B49:B50"/>
    <mergeCell ref="D105:G105"/>
    <mergeCell ref="C91:C92"/>
    <mergeCell ref="D49:G49"/>
    <mergeCell ref="C49:C50"/>
    <mergeCell ref="H49:J49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91:K92"/>
    <mergeCell ref="D133:G133"/>
    <mergeCell ref="K133:K134"/>
    <mergeCell ref="A76:M76"/>
    <mergeCell ref="K119:K120"/>
    <mergeCell ref="B105:B106"/>
    <mergeCell ref="M119:M120"/>
    <mergeCell ref="A6:M6"/>
    <mergeCell ref="K7:K8"/>
    <mergeCell ref="A1:H2"/>
    <mergeCell ref="H91:J91"/>
    <mergeCell ref="L49:L50"/>
    <mergeCell ref="K21:K22"/>
    <mergeCell ref="K35:K36"/>
    <mergeCell ref="M49:M50"/>
    <mergeCell ref="B7:B8"/>
    <mergeCell ref="A49:A50"/>
    <mergeCell ref="L7:L8"/>
    <mergeCell ref="A34:M34"/>
    <mergeCell ref="C21:C22"/>
    <mergeCell ref="C7:C8"/>
    <mergeCell ref="B21:B22"/>
    <mergeCell ref="K49:K50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1" t="str">
        <f>constNomeCampionato&amp;""</f>
        <v/>
      </c>
      <c r="B1" s="129"/>
      <c r="C1" s="129"/>
      <c r="D1" s="129"/>
    </row>
    <row r="2" spans="1:29" x14ac:dyDescent="0.25">
      <c r="A2" s="129"/>
      <c r="B2" s="129"/>
      <c r="C2" s="129"/>
      <c r="D2" s="129"/>
    </row>
    <row r="3" spans="1:29" ht="18" x14ac:dyDescent="0.25">
      <c r="A3" s="131" t="str">
        <f>"PLAYOFF - Stagione "&amp;constStagionaCampionato</f>
        <v xml:space="preserve">PLAYOFF - Stagione </v>
      </c>
      <c r="B3" s="129"/>
      <c r="C3" s="129"/>
      <c r="D3" s="129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B8" s="178" t="s">
        <v>289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</row>
    <row r="9" spans="1:29" ht="12.95" customHeight="1" x14ac:dyDescent="0.25">
      <c r="A9" s="67" t="s">
        <v>193</v>
      </c>
      <c r="B9" s="177" t="s">
        <v>175</v>
      </c>
      <c r="C9" s="125"/>
      <c r="D9" s="177" t="s">
        <v>182</v>
      </c>
      <c r="E9" s="125"/>
      <c r="F9" s="67" t="s">
        <v>194</v>
      </c>
      <c r="G9" s="67" t="s">
        <v>195</v>
      </c>
      <c r="H9" s="177" t="s">
        <v>196</v>
      </c>
      <c r="I9" s="125"/>
      <c r="J9" s="177" t="s">
        <v>197</v>
      </c>
      <c r="K9" s="124"/>
      <c r="L9" s="125"/>
    </row>
    <row r="10" spans="1:29" ht="24" customHeight="1" x14ac:dyDescent="0.25">
      <c r="A10" s="179">
        <v>451</v>
      </c>
      <c r="B10" s="44" t="str">
        <f>IFERROR(VLOOKUP(C10,Campionato!$G$14:$H$113,2,FALSE),"("&amp;C10&amp;")")</f>
        <v>(A1)</v>
      </c>
      <c r="C10" s="45" t="s">
        <v>290</v>
      </c>
      <c r="D10" s="44" t="str">
        <f>IFERROR(VLOOKUP(E10,Campionato!$G$14:$H$113,2,FALSE),"("&amp;E10&amp;")")</f>
        <v>(H2)</v>
      </c>
      <c r="E10" s="45" t="s">
        <v>291</v>
      </c>
      <c r="F10" s="138"/>
      <c r="G10" s="124"/>
      <c r="H10" s="124"/>
      <c r="I10" s="125"/>
      <c r="J10" s="135"/>
      <c r="K10" s="132" t="s">
        <v>198</v>
      </c>
      <c r="L10" s="135"/>
      <c r="M10" s="47" t="str">
        <f>IF($B10="","(Squadra A)",$B10)</f>
        <v>(A1)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(H2)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IF($B10="","","["&amp;PROPER(TRIM(SUBSTITUTE(SUBSTITUTE($B$8,"PLAYOFF",""),"DI FINALE","")))&amp;"]")</f>
        <v>[Ottavi]</v>
      </c>
    </row>
    <row r="11" spans="1:29" ht="15.95" customHeight="1" x14ac:dyDescent="0.25">
      <c r="A11" s="133"/>
      <c r="B11" s="136" t="str">
        <f>IF(I11="","",HYPERLINK(VLOOKUP(I11,areaCampiSquadre,3,FALSE),VLOOKUP(I11,areaCampiSquadre,2,FALSE)))</f>
        <v>DA DEFINIRE</v>
      </c>
      <c r="C11" s="124"/>
      <c r="D11" s="124"/>
      <c r="E11" s="124"/>
      <c r="F11" s="124"/>
      <c r="G11" s="124"/>
      <c r="H11" s="125"/>
      <c r="I11" s="68" t="s">
        <v>171</v>
      </c>
      <c r="J11" s="133"/>
      <c r="K11" s="133"/>
      <c r="L11" s="133"/>
    </row>
    <row r="12" spans="1:29" ht="12.95" customHeight="1" x14ac:dyDescent="0.25">
      <c r="A12" s="67" t="s">
        <v>193</v>
      </c>
      <c r="B12" s="177" t="s">
        <v>175</v>
      </c>
      <c r="C12" s="125"/>
      <c r="D12" s="177" t="s">
        <v>182</v>
      </c>
      <c r="E12" s="125"/>
      <c r="F12" s="67" t="s">
        <v>194</v>
      </c>
      <c r="G12" s="67" t="s">
        <v>195</v>
      </c>
      <c r="H12" s="177" t="s">
        <v>196</v>
      </c>
      <c r="I12" s="125"/>
      <c r="J12" s="177" t="s">
        <v>197</v>
      </c>
      <c r="K12" s="124"/>
      <c r="L12" s="125"/>
    </row>
    <row r="13" spans="1:29" ht="24" customHeight="1" x14ac:dyDescent="0.25">
      <c r="A13" s="179">
        <f>MAX(A$10:A12)+1</f>
        <v>452</v>
      </c>
      <c r="B13" s="44" t="str">
        <f>IFERROR(VLOOKUP(C13,Campionato!$G$14:$H$113,2,FALSE),"("&amp;C13&amp;")")</f>
        <v>(B1)</v>
      </c>
      <c r="C13" s="45" t="s">
        <v>292</v>
      </c>
      <c r="D13" s="44" t="str">
        <f>IFERROR(VLOOKUP(E13,Campionato!$G$14:$H$113,2,FALSE),"("&amp;E13&amp;")")</f>
        <v>(G2)</v>
      </c>
      <c r="E13" s="45" t="s">
        <v>293</v>
      </c>
      <c r="F13" s="138"/>
      <c r="G13" s="124"/>
      <c r="H13" s="124"/>
      <c r="I13" s="125"/>
      <c r="J13" s="135"/>
      <c r="K13" s="132" t="s">
        <v>198</v>
      </c>
      <c r="L13" s="135"/>
      <c r="M13" s="47" t="str">
        <f>IF($B13="","(Squadra A)",$B13)</f>
        <v>(B1)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(G2)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IF($B13="","","["&amp;PROPER(TRIM(SUBSTITUTE(SUBSTITUTE($B$8,"PLAYOFF",""),"DI FINALE","")))&amp;"]")</f>
        <v>[Ottavi]</v>
      </c>
    </row>
    <row r="14" spans="1:29" ht="15.95" customHeight="1" x14ac:dyDescent="0.25">
      <c r="A14" s="133"/>
      <c r="B14" s="136" t="str">
        <f>IF(I14="","",HYPERLINK(VLOOKUP(I14,areaCampiSquadre,3,FALSE),VLOOKUP(I14,areaCampiSquadre,2,FALSE)))</f>
        <v>DA DEFINIRE</v>
      </c>
      <c r="C14" s="124"/>
      <c r="D14" s="124"/>
      <c r="E14" s="124"/>
      <c r="F14" s="124"/>
      <c r="G14" s="124"/>
      <c r="H14" s="125"/>
      <c r="I14" s="68" t="s">
        <v>171</v>
      </c>
      <c r="J14" s="133"/>
      <c r="K14" s="133"/>
      <c r="L14" s="133"/>
    </row>
    <row r="15" spans="1:29" ht="12.95" customHeight="1" x14ac:dyDescent="0.25">
      <c r="A15" s="67" t="s">
        <v>193</v>
      </c>
      <c r="B15" s="177" t="s">
        <v>175</v>
      </c>
      <c r="C15" s="125"/>
      <c r="D15" s="177" t="s">
        <v>182</v>
      </c>
      <c r="E15" s="125"/>
      <c r="F15" s="67" t="s">
        <v>194</v>
      </c>
      <c r="G15" s="67" t="s">
        <v>195</v>
      </c>
      <c r="H15" s="177" t="s">
        <v>196</v>
      </c>
      <c r="I15" s="125"/>
      <c r="J15" s="177" t="s">
        <v>197</v>
      </c>
      <c r="K15" s="124"/>
      <c r="L15" s="125"/>
    </row>
    <row r="16" spans="1:29" ht="24" customHeight="1" x14ac:dyDescent="0.25">
      <c r="A16" s="179">
        <f>MAX(A$10:A15)+1</f>
        <v>453</v>
      </c>
      <c r="B16" s="44" t="str">
        <f>IFERROR(VLOOKUP(C16,Campionato!$G$14:$H$113,2,FALSE),"("&amp;C16&amp;")")</f>
        <v>(C1)</v>
      </c>
      <c r="C16" s="45" t="s">
        <v>294</v>
      </c>
      <c r="D16" s="44" t="str">
        <f>IFERROR(VLOOKUP(E16,Campionato!$G$14:$H$113,2,FALSE),"("&amp;E16&amp;")")</f>
        <v>(F2)</v>
      </c>
      <c r="E16" s="45" t="s">
        <v>295</v>
      </c>
      <c r="F16" s="138"/>
      <c r="G16" s="124"/>
      <c r="H16" s="124"/>
      <c r="I16" s="125"/>
      <c r="J16" s="135"/>
      <c r="K16" s="132" t="s">
        <v>198</v>
      </c>
      <c r="L16" s="135"/>
      <c r="M16" s="47" t="str">
        <f>IF($B16="","(Squadra A)",$B16)</f>
        <v>(C1)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(F2)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IF($B16="","","["&amp;PROPER(TRIM(SUBSTITUTE(SUBSTITUTE($B$8,"PLAYOFF",""),"DI FINALE","")))&amp;"]")</f>
        <v>[Ottavi]</v>
      </c>
    </row>
    <row r="17" spans="1:29" ht="15.95" customHeight="1" x14ac:dyDescent="0.25">
      <c r="A17" s="133"/>
      <c r="B17" s="136" t="str">
        <f>IF(I17="","",HYPERLINK(VLOOKUP(I17,areaCampiSquadre,3,FALSE),VLOOKUP(I17,areaCampiSquadre,2,FALSE)))</f>
        <v>DA DEFINIRE</v>
      </c>
      <c r="C17" s="124"/>
      <c r="D17" s="124"/>
      <c r="E17" s="124"/>
      <c r="F17" s="124"/>
      <c r="G17" s="124"/>
      <c r="H17" s="125"/>
      <c r="I17" s="68" t="s">
        <v>171</v>
      </c>
      <c r="J17" s="133"/>
      <c r="K17" s="133"/>
      <c r="L17" s="133"/>
    </row>
    <row r="18" spans="1:29" ht="12.95" customHeight="1" x14ac:dyDescent="0.25">
      <c r="A18" s="67" t="s">
        <v>193</v>
      </c>
      <c r="B18" s="177" t="s">
        <v>175</v>
      </c>
      <c r="C18" s="125"/>
      <c r="D18" s="177" t="s">
        <v>182</v>
      </c>
      <c r="E18" s="125"/>
      <c r="F18" s="67" t="s">
        <v>194</v>
      </c>
      <c r="G18" s="67" t="s">
        <v>195</v>
      </c>
      <c r="H18" s="177" t="s">
        <v>196</v>
      </c>
      <c r="I18" s="125"/>
      <c r="J18" s="177" t="s">
        <v>197</v>
      </c>
      <c r="K18" s="124"/>
      <c r="L18" s="125"/>
    </row>
    <row r="19" spans="1:29" ht="24" customHeight="1" x14ac:dyDescent="0.25">
      <c r="A19" s="179">
        <f>MAX(A$10:A18)+1</f>
        <v>454</v>
      </c>
      <c r="B19" s="44" t="str">
        <f>IFERROR(VLOOKUP(C19,Campionato!$G$14:$H$113,2,FALSE),"("&amp;C19&amp;")")</f>
        <v>(D1)</v>
      </c>
      <c r="C19" s="45" t="s">
        <v>296</v>
      </c>
      <c r="D19" s="44" t="str">
        <f>IFERROR(VLOOKUP(E19,Campionato!$G$14:$H$113,2,FALSE),"("&amp;E19&amp;")")</f>
        <v>(E2)</v>
      </c>
      <c r="E19" s="45" t="s">
        <v>297</v>
      </c>
      <c r="F19" s="138"/>
      <c r="G19" s="124"/>
      <c r="H19" s="124"/>
      <c r="I19" s="125"/>
      <c r="J19" s="135"/>
      <c r="K19" s="132" t="s">
        <v>198</v>
      </c>
      <c r="L19" s="135"/>
      <c r="M19" s="47" t="str">
        <f>IF($B19="","(Squadra A)",$B19)</f>
        <v>(D1)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(E2)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IF($B19="","","["&amp;PROPER(TRIM(SUBSTITUTE(SUBSTITUTE($B$8,"PLAYOFF",""),"DI FINALE","")))&amp;"]")</f>
        <v>[Ottavi]</v>
      </c>
    </row>
    <row r="20" spans="1:29" ht="15.95" customHeight="1" x14ac:dyDescent="0.25">
      <c r="A20" s="133"/>
      <c r="B20" s="136" t="str">
        <f>IF(I20="","",HYPERLINK(VLOOKUP(I20,areaCampiSquadre,3,FALSE),VLOOKUP(I20,areaCampiSquadre,2,FALSE)))</f>
        <v>DA DEFINIRE</v>
      </c>
      <c r="C20" s="124"/>
      <c r="D20" s="124"/>
      <c r="E20" s="124"/>
      <c r="F20" s="124"/>
      <c r="G20" s="124"/>
      <c r="H20" s="125"/>
      <c r="I20" s="68" t="s">
        <v>171</v>
      </c>
      <c r="J20" s="133"/>
      <c r="K20" s="133"/>
      <c r="L20" s="133"/>
    </row>
    <row r="21" spans="1:29" ht="12.95" customHeight="1" x14ac:dyDescent="0.25">
      <c r="A21" s="67" t="s">
        <v>193</v>
      </c>
      <c r="B21" s="177" t="s">
        <v>175</v>
      </c>
      <c r="C21" s="125"/>
      <c r="D21" s="177" t="s">
        <v>182</v>
      </c>
      <c r="E21" s="125"/>
      <c r="F21" s="67" t="s">
        <v>194</v>
      </c>
      <c r="G21" s="67" t="s">
        <v>195</v>
      </c>
      <c r="H21" s="177" t="s">
        <v>196</v>
      </c>
      <c r="I21" s="125"/>
      <c r="J21" s="177" t="s">
        <v>197</v>
      </c>
      <c r="K21" s="124"/>
      <c r="L21" s="125"/>
    </row>
    <row r="22" spans="1:29" ht="24" customHeight="1" x14ac:dyDescent="0.25">
      <c r="A22" s="179">
        <f>MAX(A$10:A21)+1</f>
        <v>455</v>
      </c>
      <c r="B22" s="44" t="str">
        <f>IFERROR(VLOOKUP(C22,Campionato!$G$14:$H$113,2,FALSE),"("&amp;C22&amp;")")</f>
        <v>(E1)</v>
      </c>
      <c r="C22" s="45" t="s">
        <v>298</v>
      </c>
      <c r="D22" s="44" t="str">
        <f>IFERROR(VLOOKUP(E22,Campionato!$G$14:$H$113,2,FALSE),"("&amp;E22&amp;")")</f>
        <v>(D2)</v>
      </c>
      <c r="E22" s="45" t="s">
        <v>299</v>
      </c>
      <c r="F22" s="138"/>
      <c r="G22" s="124"/>
      <c r="H22" s="124"/>
      <c r="I22" s="125"/>
      <c r="J22" s="135"/>
      <c r="K22" s="132" t="s">
        <v>198</v>
      </c>
      <c r="L22" s="135"/>
      <c r="M22" s="47" t="str">
        <f>IF($B22="","(Squadra A)",$B22)</f>
        <v>(E1)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(D2)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IF($B22="","","["&amp;PROPER(TRIM(SUBSTITUTE(SUBSTITUTE($B$8,"PLAYOFF",""),"DI FINALE","")))&amp;"]")</f>
        <v>[Ottavi]</v>
      </c>
    </row>
    <row r="23" spans="1:29" ht="15.95" customHeight="1" x14ac:dyDescent="0.25">
      <c r="A23" s="133"/>
      <c r="B23" s="136" t="str">
        <f>IF(I23="","",HYPERLINK(VLOOKUP(I23,areaCampiSquadre,3,FALSE),VLOOKUP(I23,areaCampiSquadre,2,FALSE)))</f>
        <v>DA DEFINIRE</v>
      </c>
      <c r="C23" s="124"/>
      <c r="D23" s="124"/>
      <c r="E23" s="124"/>
      <c r="F23" s="124"/>
      <c r="G23" s="124"/>
      <c r="H23" s="125"/>
      <c r="I23" s="68" t="s">
        <v>171</v>
      </c>
      <c r="J23" s="133"/>
      <c r="K23" s="133"/>
      <c r="L23" s="133"/>
    </row>
    <row r="24" spans="1:29" ht="12.95" customHeight="1" x14ac:dyDescent="0.25">
      <c r="A24" s="67" t="s">
        <v>193</v>
      </c>
      <c r="B24" s="177" t="s">
        <v>175</v>
      </c>
      <c r="C24" s="125"/>
      <c r="D24" s="177" t="s">
        <v>182</v>
      </c>
      <c r="E24" s="125"/>
      <c r="F24" s="67" t="s">
        <v>194</v>
      </c>
      <c r="G24" s="67" t="s">
        <v>195</v>
      </c>
      <c r="H24" s="177" t="s">
        <v>196</v>
      </c>
      <c r="I24" s="125"/>
      <c r="J24" s="177" t="s">
        <v>197</v>
      </c>
      <c r="K24" s="124"/>
      <c r="L24" s="125"/>
    </row>
    <row r="25" spans="1:29" ht="24" customHeight="1" x14ac:dyDescent="0.25">
      <c r="A25" s="179">
        <f>MAX(A$10:A24)+1</f>
        <v>456</v>
      </c>
      <c r="B25" s="44" t="str">
        <f>IFERROR(VLOOKUP(C25,Campionato!$G$14:$H$113,2,FALSE),"("&amp;C25&amp;")")</f>
        <v>(F1)</v>
      </c>
      <c r="C25" s="45" t="s">
        <v>300</v>
      </c>
      <c r="D25" s="44" t="str">
        <f>IFERROR(VLOOKUP(E25,Campionato!$G$14:$H$113,2,FALSE),"("&amp;E25&amp;")")</f>
        <v>(C2)</v>
      </c>
      <c r="E25" s="45" t="s">
        <v>301</v>
      </c>
      <c r="F25" s="138"/>
      <c r="G25" s="124"/>
      <c r="H25" s="124"/>
      <c r="I25" s="125"/>
      <c r="J25" s="135"/>
      <c r="K25" s="132" t="s">
        <v>198</v>
      </c>
      <c r="L25" s="135"/>
      <c r="M25" s="47" t="str">
        <f>IF($B25="","(Squadra A)",$B25)</f>
        <v>(F1)</v>
      </c>
      <c r="N25" s="47">
        <f>IF($J25+$L25=0,,IF($J25&gt;$L25,1,0))</f>
        <v>0</v>
      </c>
      <c r="O25" s="47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>
        <f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47">
        <f>IF($J25+$L25=0,,$J25)</f>
        <v>0</v>
      </c>
      <c r="R25" s="47">
        <f>IF($J25+$L25=0,,$L25)</f>
        <v>0</v>
      </c>
      <c r="S25" s="47">
        <f>IF($J25+$L25=0,,$J25-$L25)</f>
        <v>0</v>
      </c>
      <c r="T25" s="47" t="str">
        <f>IF($D25="","(Squadra B)",$D25)</f>
        <v>(C2)</v>
      </c>
      <c r="U25" s="47">
        <f>IF($J25+$L25=0,,IF($L25&gt;$J25,1,0))</f>
        <v>0</v>
      </c>
      <c r="V25" s="47">
        <f>IF($J25+$L25=0,,IF($L25&lt;$J25,IF($J25&amp;"-"&amp;$L25=constPunteggioForfait,1,0),0))</f>
        <v>0</v>
      </c>
      <c r="W25" s="47">
        <f>IF($J25+$L25=0,,IF($L25&lt;$J25,IF($J25&amp;"-"&amp;$L25&lt;&gt;constPunteggioForfait,1,0),0))</f>
        <v>0</v>
      </c>
      <c r="X25" s="47">
        <f>IF($J25+$L25=0,,$L25)</f>
        <v>0</v>
      </c>
      <c r="Y25" s="47">
        <f>IF($J25+$L25=0,,$J25)</f>
        <v>0</v>
      </c>
      <c r="Z25" s="47">
        <f>IF($J25+$L25=0,,$L25-$J25)</f>
        <v>0</v>
      </c>
      <c r="AA25" s="47" t="str">
        <f>IF($J25+$L25=0,"(Vincente)",IF($J25&gt;$L25,$B25,$D25))</f>
        <v>(Vincente)</v>
      </c>
      <c r="AB25" s="47" t="str">
        <f>IF($J25+$L25=0,"(Perdente)",IF($J25&lt;$L25,$B25,$D25))</f>
        <v>(Perdente)</v>
      </c>
      <c r="AC25" s="48" t="str">
        <f>IF($B25="","","["&amp;PROPER(TRIM(SUBSTITUTE(SUBSTITUTE($B$8,"PLAYOFF",""),"DI FINALE","")))&amp;"]")</f>
        <v>[Ottavi]</v>
      </c>
    </row>
    <row r="26" spans="1:29" ht="15.95" customHeight="1" x14ac:dyDescent="0.25">
      <c r="A26" s="133"/>
      <c r="B26" s="136" t="str">
        <f>IF(I26="","",HYPERLINK(VLOOKUP(I26,areaCampiSquadre,3,FALSE),VLOOKUP(I26,areaCampiSquadre,2,FALSE)))</f>
        <v>DA DEFINIRE</v>
      </c>
      <c r="C26" s="124"/>
      <c r="D26" s="124"/>
      <c r="E26" s="124"/>
      <c r="F26" s="124"/>
      <c r="G26" s="124"/>
      <c r="H26" s="125"/>
      <c r="I26" s="68" t="s">
        <v>171</v>
      </c>
      <c r="J26" s="133"/>
      <c r="K26" s="133"/>
      <c r="L26" s="133"/>
    </row>
    <row r="27" spans="1:29" ht="12.95" customHeight="1" x14ac:dyDescent="0.25">
      <c r="A27" s="67" t="s">
        <v>193</v>
      </c>
      <c r="B27" s="177" t="s">
        <v>175</v>
      </c>
      <c r="C27" s="125"/>
      <c r="D27" s="177" t="s">
        <v>182</v>
      </c>
      <c r="E27" s="125"/>
      <c r="F27" s="67" t="s">
        <v>194</v>
      </c>
      <c r="G27" s="67" t="s">
        <v>195</v>
      </c>
      <c r="H27" s="177" t="s">
        <v>196</v>
      </c>
      <c r="I27" s="125"/>
      <c r="J27" s="177" t="s">
        <v>197</v>
      </c>
      <c r="K27" s="124"/>
      <c r="L27" s="125"/>
    </row>
    <row r="28" spans="1:29" ht="24" customHeight="1" x14ac:dyDescent="0.25">
      <c r="A28" s="179">
        <f>MAX(A$10:A27)+1</f>
        <v>457</v>
      </c>
      <c r="B28" s="44" t="str">
        <f>IFERROR(VLOOKUP(C28,Campionato!$G$14:$H$113,2,FALSE),"("&amp;C28&amp;")")</f>
        <v>(G1)</v>
      </c>
      <c r="C28" s="45" t="s">
        <v>302</v>
      </c>
      <c r="D28" s="44" t="str">
        <f>IFERROR(VLOOKUP(E28,Campionato!$G$14:$H$113,2,FALSE),"("&amp;E28&amp;")")</f>
        <v>(B2)</v>
      </c>
      <c r="E28" s="45" t="s">
        <v>303</v>
      </c>
      <c r="F28" s="138"/>
      <c r="G28" s="124"/>
      <c r="H28" s="124"/>
      <c r="I28" s="125"/>
      <c r="J28" s="135"/>
      <c r="K28" s="132" t="s">
        <v>198</v>
      </c>
      <c r="L28" s="135"/>
      <c r="M28" s="47" t="str">
        <f>IF($B28="","(Squadra A)",$B28)</f>
        <v>(G1)</v>
      </c>
      <c r="N28" s="47">
        <f>IF($J28+$L28=0,,IF($J28&gt;$L28,1,0))</f>
        <v>0</v>
      </c>
      <c r="O28" s="47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>
        <f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47">
        <f>IF($J28+$L28=0,,$J28)</f>
        <v>0</v>
      </c>
      <c r="R28" s="47">
        <f>IF($J28+$L28=0,,$L28)</f>
        <v>0</v>
      </c>
      <c r="S28" s="47">
        <f>IF($J28+$L28=0,,$J28-$L28)</f>
        <v>0</v>
      </c>
      <c r="T28" s="47" t="str">
        <f>IF($D28="","(Squadra B)",$D28)</f>
        <v>(B2)</v>
      </c>
      <c r="U28" s="47">
        <f>IF($J28+$L28=0,,IF($L28&gt;$J28,1,0))</f>
        <v>0</v>
      </c>
      <c r="V28" s="47">
        <f>IF($J28+$L28=0,,IF($L28&lt;$J28,IF($J28&amp;"-"&amp;$L28=constPunteggioForfait,1,0),0))</f>
        <v>0</v>
      </c>
      <c r="W28" s="47">
        <f>IF($J28+$L28=0,,IF($L28&lt;$J28,IF($J28&amp;"-"&amp;$L28&lt;&gt;constPunteggioForfait,1,0),0))</f>
        <v>0</v>
      </c>
      <c r="X28" s="47">
        <f>IF($J28+$L28=0,,$L28)</f>
        <v>0</v>
      </c>
      <c r="Y28" s="47">
        <f>IF($J28+$L28=0,,$J28)</f>
        <v>0</v>
      </c>
      <c r="Z28" s="47">
        <f>IF($J28+$L28=0,,$L28-$J28)</f>
        <v>0</v>
      </c>
      <c r="AA28" s="47" t="str">
        <f>IF($J28+$L28=0,"(Vincente)",IF($J28&gt;$L28,$B28,$D28))</f>
        <v>(Vincente)</v>
      </c>
      <c r="AB28" s="47" t="str">
        <f>IF($J28+$L28=0,"(Perdente)",IF($J28&lt;$L28,$B28,$D28))</f>
        <v>(Perdente)</v>
      </c>
      <c r="AC28" s="48" t="str">
        <f>IF($B28="","","["&amp;PROPER(TRIM(SUBSTITUTE(SUBSTITUTE($B$8,"PLAYOFF",""),"DI FINALE","")))&amp;"]")</f>
        <v>[Ottavi]</v>
      </c>
    </row>
    <row r="29" spans="1:29" ht="15.95" customHeight="1" x14ac:dyDescent="0.25">
      <c r="A29" s="133"/>
      <c r="B29" s="136" t="str">
        <f>IF(I29="","",HYPERLINK(VLOOKUP(I29,areaCampiSquadre,3,FALSE),VLOOKUP(I29,areaCampiSquadre,2,FALSE)))</f>
        <v>DA DEFINIRE</v>
      </c>
      <c r="C29" s="124"/>
      <c r="D29" s="124"/>
      <c r="E29" s="124"/>
      <c r="F29" s="124"/>
      <c r="G29" s="124"/>
      <c r="H29" s="125"/>
      <c r="I29" s="68" t="s">
        <v>171</v>
      </c>
      <c r="J29" s="133"/>
      <c r="K29" s="133"/>
      <c r="L29" s="133"/>
    </row>
    <row r="30" spans="1:29" ht="12.95" customHeight="1" x14ac:dyDescent="0.25">
      <c r="A30" s="67" t="s">
        <v>193</v>
      </c>
      <c r="B30" s="177" t="s">
        <v>175</v>
      </c>
      <c r="C30" s="125"/>
      <c r="D30" s="177" t="s">
        <v>182</v>
      </c>
      <c r="E30" s="125"/>
      <c r="F30" s="67" t="s">
        <v>194</v>
      </c>
      <c r="G30" s="67" t="s">
        <v>195</v>
      </c>
      <c r="H30" s="177" t="s">
        <v>196</v>
      </c>
      <c r="I30" s="125"/>
      <c r="J30" s="177" t="s">
        <v>197</v>
      </c>
      <c r="K30" s="124"/>
      <c r="L30" s="125"/>
    </row>
    <row r="31" spans="1:29" ht="24" customHeight="1" x14ac:dyDescent="0.25">
      <c r="A31" s="179">
        <f>MAX(A$10:A30)+1</f>
        <v>458</v>
      </c>
      <c r="B31" s="44" t="str">
        <f>IFERROR(VLOOKUP(C31,Campionato!$G$14:$H$113,2,FALSE),"("&amp;C31&amp;")")</f>
        <v>(H1)</v>
      </c>
      <c r="C31" s="45" t="s">
        <v>304</v>
      </c>
      <c r="D31" s="44" t="str">
        <f>IFERROR(VLOOKUP(E31,Campionato!$G$14:$H$113,2,FALSE),"("&amp;E31&amp;")")</f>
        <v>(A2)</v>
      </c>
      <c r="E31" s="45" t="s">
        <v>305</v>
      </c>
      <c r="F31" s="138"/>
      <c r="G31" s="124"/>
      <c r="H31" s="124"/>
      <c r="I31" s="125"/>
      <c r="J31" s="135"/>
      <c r="K31" s="132" t="s">
        <v>198</v>
      </c>
      <c r="L31" s="135"/>
      <c r="M31" s="47" t="str">
        <f>IF($B31="","(Squadra A)",$B31)</f>
        <v>(H1)</v>
      </c>
      <c r="N31" s="47">
        <f>IF($J31+$L31=0,,IF($J31&gt;$L31,1,0))</f>
        <v>0</v>
      </c>
      <c r="O31" s="47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>
        <f>IF($J31+$L31=0,,$J31)</f>
        <v>0</v>
      </c>
      <c r="R31" s="47">
        <f>IF($J31+$L31=0,,$L31)</f>
        <v>0</v>
      </c>
      <c r="S31" s="47">
        <f>IF($J31+$L31=0,,$J31-$L31)</f>
        <v>0</v>
      </c>
      <c r="T31" s="47" t="str">
        <f>IF($D31="","(Squadra B)",$D31)</f>
        <v>(A2)</v>
      </c>
      <c r="U31" s="47">
        <f>IF($J31+$L31=0,,IF($L31&gt;$J31,1,0))</f>
        <v>0</v>
      </c>
      <c r="V31" s="47">
        <f>IF($J31+$L31=0,,IF($L31&lt;$J31,IF($J31&amp;"-"&amp;$L31=constPunteggioForfait,1,0),0))</f>
        <v>0</v>
      </c>
      <c r="W31" s="47">
        <f>IF($J31+$L31=0,,IF($L31&lt;$J31,IF($J31&amp;"-"&amp;$L31&lt;&gt;constPunteggioForfait,1,0),0))</f>
        <v>0</v>
      </c>
      <c r="X31" s="47">
        <f>IF($J31+$L31=0,,$L31)</f>
        <v>0</v>
      </c>
      <c r="Y31" s="47">
        <f>IF($J31+$L31=0,,$J31)</f>
        <v>0</v>
      </c>
      <c r="Z31" s="47">
        <f>IF($J31+$L31=0,,$L31-$J31)</f>
        <v>0</v>
      </c>
      <c r="AA31" s="47" t="str">
        <f>IF($J31+$L31=0,"(Vincente)",IF($J31&gt;$L31,$B31,$D31))</f>
        <v>(Vincente)</v>
      </c>
      <c r="AB31" s="47" t="str">
        <f>IF($J31+$L31=0,"(Perdente)",IF($J31&lt;$L31,$B31,$D31))</f>
        <v>(Perdente)</v>
      </c>
      <c r="AC31" s="48" t="str">
        <f>IF($B31="","","["&amp;PROPER(TRIM(SUBSTITUTE(SUBSTITUTE($B$8,"PLAYOFF",""),"DI FINALE","")))&amp;"]")</f>
        <v>[Ottavi]</v>
      </c>
    </row>
    <row r="32" spans="1:29" ht="15.95" customHeight="1" x14ac:dyDescent="0.25">
      <c r="A32" s="133"/>
      <c r="B32" s="136" t="str">
        <f>IF(I32="","",HYPERLINK(VLOOKUP(I32,areaCampiSquadre,3,FALSE),VLOOKUP(I32,areaCampiSquadre,2,FALSE)))</f>
        <v>DA DEFINIRE</v>
      </c>
      <c r="C32" s="124"/>
      <c r="D32" s="124"/>
      <c r="E32" s="124"/>
      <c r="F32" s="124"/>
      <c r="G32" s="124"/>
      <c r="H32" s="125"/>
      <c r="I32" s="68" t="s">
        <v>171</v>
      </c>
      <c r="J32" s="133"/>
      <c r="K32" s="133"/>
      <c r="L32" s="133"/>
    </row>
    <row r="34" spans="1:29" ht="20.100000000000001" customHeight="1" x14ac:dyDescent="0.25">
      <c r="B34" s="178" t="s">
        <v>306</v>
      </c>
      <c r="C34" s="124"/>
      <c r="D34" s="124"/>
      <c r="E34" s="124"/>
      <c r="F34" s="124"/>
      <c r="G34" s="124"/>
      <c r="H34" s="124"/>
      <c r="I34" s="124"/>
      <c r="J34" s="124"/>
      <c r="K34" s="124"/>
      <c r="L34" s="125"/>
    </row>
    <row r="35" spans="1:29" ht="12.95" customHeight="1" x14ac:dyDescent="0.25">
      <c r="A35" s="67" t="s">
        <v>193</v>
      </c>
      <c r="B35" s="177" t="s">
        <v>175</v>
      </c>
      <c r="C35" s="125"/>
      <c r="D35" s="177" t="s">
        <v>182</v>
      </c>
      <c r="E35" s="125"/>
      <c r="F35" s="67" t="s">
        <v>194</v>
      </c>
      <c r="G35" s="67" t="s">
        <v>195</v>
      </c>
      <c r="H35" s="177" t="s">
        <v>196</v>
      </c>
      <c r="I35" s="125"/>
      <c r="J35" s="177" t="s">
        <v>197</v>
      </c>
      <c r="K35" s="124"/>
      <c r="L35" s="125"/>
    </row>
    <row r="36" spans="1:29" ht="24" customHeight="1" x14ac:dyDescent="0.25">
      <c r="A36" s="179">
        <f>MAX(A$10:A35)+1</f>
        <v>459</v>
      </c>
      <c r="B36" s="44" t="str">
        <f>AA10</f>
        <v>(Vincente)</v>
      </c>
      <c r="C36" s="45">
        <f>A10</f>
        <v>451</v>
      </c>
      <c r="D36" s="44" t="str">
        <f>AA31</f>
        <v>(Vincente)</v>
      </c>
      <c r="E36" s="45">
        <f>A31</f>
        <v>458</v>
      </c>
      <c r="F36" s="138"/>
      <c r="G36" s="124"/>
      <c r="H36" s="124"/>
      <c r="I36" s="125"/>
      <c r="J36" s="135"/>
      <c r="K36" s="132" t="s">
        <v>198</v>
      </c>
      <c r="L36" s="135"/>
      <c r="M36" s="47" t="str">
        <f>IF($B36="","(Squadra A)",$B36)</f>
        <v>(Vincente)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(Vincente)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IF($B36="","","["&amp;PROPER(TRIM(SUBSTITUTE(SUBSTITUTE($B$34,"PLAYOFF",""),"DI FINALE","")))&amp;"]")</f>
        <v>[Quarti]</v>
      </c>
    </row>
    <row r="37" spans="1:29" ht="15.95" customHeight="1" x14ac:dyDescent="0.25">
      <c r="A37" s="133"/>
      <c r="B37" s="136" t="str">
        <f>IF(I37="","",HYPERLINK(VLOOKUP(I37,areaCampiSquadre,3,FALSE),VLOOKUP(I37,areaCampiSquadre,2,FALSE)))</f>
        <v>DA DEFINIRE</v>
      </c>
      <c r="C37" s="124"/>
      <c r="D37" s="124"/>
      <c r="E37" s="124"/>
      <c r="F37" s="124"/>
      <c r="G37" s="124"/>
      <c r="H37" s="125"/>
      <c r="I37" s="68" t="s">
        <v>171</v>
      </c>
      <c r="J37" s="133"/>
      <c r="K37" s="133"/>
      <c r="L37" s="133"/>
    </row>
    <row r="38" spans="1:29" ht="12.95" customHeight="1" x14ac:dyDescent="0.25">
      <c r="A38" s="67" t="s">
        <v>193</v>
      </c>
      <c r="B38" s="177" t="s">
        <v>175</v>
      </c>
      <c r="C38" s="125"/>
      <c r="D38" s="177" t="s">
        <v>182</v>
      </c>
      <c r="E38" s="125"/>
      <c r="F38" s="67" t="s">
        <v>194</v>
      </c>
      <c r="G38" s="67" t="s">
        <v>195</v>
      </c>
      <c r="H38" s="177" t="s">
        <v>196</v>
      </c>
      <c r="I38" s="125"/>
      <c r="J38" s="177" t="s">
        <v>197</v>
      </c>
      <c r="K38" s="124"/>
      <c r="L38" s="125"/>
    </row>
    <row r="39" spans="1:29" ht="24" customHeight="1" x14ac:dyDescent="0.25">
      <c r="A39" s="179">
        <f>MAX(A$10:A38)+1</f>
        <v>460</v>
      </c>
      <c r="B39" s="44" t="str">
        <f>AA13</f>
        <v>(Vincente)</v>
      </c>
      <c r="C39" s="45">
        <f>A13</f>
        <v>452</v>
      </c>
      <c r="D39" s="44" t="str">
        <f>AA28</f>
        <v>(Vincente)</v>
      </c>
      <c r="E39" s="45">
        <f>A28</f>
        <v>457</v>
      </c>
      <c r="F39" s="138"/>
      <c r="G39" s="124"/>
      <c r="H39" s="124"/>
      <c r="I39" s="125"/>
      <c r="J39" s="135"/>
      <c r="K39" s="132" t="s">
        <v>198</v>
      </c>
      <c r="L39" s="135"/>
      <c r="M39" s="47" t="str">
        <f>IF($B39="","(Squadra A)",$B39)</f>
        <v>(Vincente)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(Vincente)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IF($B39="","","["&amp;PROPER(TRIM(SUBSTITUTE(SUBSTITUTE($B$34,"PLAYOFF",""),"DI FINALE","")))&amp;"]")</f>
        <v>[Quarti]</v>
      </c>
    </row>
    <row r="40" spans="1:29" ht="15.95" customHeight="1" x14ac:dyDescent="0.25">
      <c r="A40" s="133"/>
      <c r="B40" s="136" t="str">
        <f>IF(I40="","",HYPERLINK(VLOOKUP(I40,areaCampiSquadre,3,FALSE),VLOOKUP(I40,areaCampiSquadre,2,FALSE)))</f>
        <v>DA DEFINIRE</v>
      </c>
      <c r="C40" s="124"/>
      <c r="D40" s="124"/>
      <c r="E40" s="124"/>
      <c r="F40" s="124"/>
      <c r="G40" s="124"/>
      <c r="H40" s="125"/>
      <c r="I40" s="68" t="s">
        <v>171</v>
      </c>
      <c r="J40" s="133"/>
      <c r="K40" s="133"/>
      <c r="L40" s="133"/>
    </row>
    <row r="41" spans="1:29" ht="12.95" customHeight="1" x14ac:dyDescent="0.25">
      <c r="A41" s="67" t="s">
        <v>193</v>
      </c>
      <c r="B41" s="177" t="s">
        <v>175</v>
      </c>
      <c r="C41" s="125"/>
      <c r="D41" s="177" t="s">
        <v>182</v>
      </c>
      <c r="E41" s="125"/>
      <c r="F41" s="67" t="s">
        <v>194</v>
      </c>
      <c r="G41" s="67" t="s">
        <v>195</v>
      </c>
      <c r="H41" s="177" t="s">
        <v>196</v>
      </c>
      <c r="I41" s="125"/>
      <c r="J41" s="177" t="s">
        <v>197</v>
      </c>
      <c r="K41" s="124"/>
      <c r="L41" s="125"/>
    </row>
    <row r="42" spans="1:29" ht="24" customHeight="1" x14ac:dyDescent="0.25">
      <c r="A42" s="179">
        <f>MAX(A$10:A41)+1</f>
        <v>461</v>
      </c>
      <c r="B42" s="44" t="str">
        <f>AA16</f>
        <v>(Vincente)</v>
      </c>
      <c r="C42" s="45">
        <f>A16</f>
        <v>453</v>
      </c>
      <c r="D42" s="44" t="str">
        <f>AA25</f>
        <v>(Vincente)</v>
      </c>
      <c r="E42" s="45">
        <f>A25</f>
        <v>456</v>
      </c>
      <c r="F42" s="138"/>
      <c r="G42" s="124"/>
      <c r="H42" s="124"/>
      <c r="I42" s="125"/>
      <c r="J42" s="135"/>
      <c r="K42" s="132" t="s">
        <v>198</v>
      </c>
      <c r="L42" s="135"/>
      <c r="M42" s="47" t="str">
        <f>IF($B42="","(Squadra A)",$B42)</f>
        <v>(Vincente)</v>
      </c>
      <c r="N42" s="47">
        <f>IF($J42+$L42=0,,IF($J42&gt;$L42,1,0))</f>
        <v>0</v>
      </c>
      <c r="O42" s="47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47">
        <f>IF($J42+$L42=0,,$J42)</f>
        <v>0</v>
      </c>
      <c r="R42" s="47">
        <f>IF($J42+$L42=0,,$L42)</f>
        <v>0</v>
      </c>
      <c r="S42" s="47">
        <f>IF($J42+$L42=0,,$J42-$L42)</f>
        <v>0</v>
      </c>
      <c r="T42" s="47" t="str">
        <f>IF($D42="","(Squadra B)",$D42)</f>
        <v>(Vincente)</v>
      </c>
      <c r="U42" s="47">
        <f>IF($J42+$L42=0,,IF($L42&gt;$J42,1,0))</f>
        <v>0</v>
      </c>
      <c r="V42" s="47">
        <f>IF($J42+$L42=0,,IF($L42&lt;$J42,IF($J42&amp;"-"&amp;$L42=constPunteggioForfait,1,0),0))</f>
        <v>0</v>
      </c>
      <c r="W42" s="47">
        <f>IF($J42+$L42=0,,IF($L42&lt;$J42,IF($J42&amp;"-"&amp;$L42&lt;&gt;constPunteggioForfait,1,0),0))</f>
        <v>0</v>
      </c>
      <c r="X42" s="47">
        <f>IF($J42+$L42=0,,$L42)</f>
        <v>0</v>
      </c>
      <c r="Y42" s="47">
        <f>IF($J42+$L42=0,,$J42)</f>
        <v>0</v>
      </c>
      <c r="Z42" s="47">
        <f>IF($J42+$L42=0,,$L42-$J42)</f>
        <v>0</v>
      </c>
      <c r="AA42" s="47" t="str">
        <f>IF($J42+$L42=0,"(Vincente)",IF($J42&gt;$L42,$B42,$D42))</f>
        <v>(Vincente)</v>
      </c>
      <c r="AB42" s="47" t="str">
        <f>IF($J42+$L42=0,"(Perdente)",IF($J42&lt;$L42,$B42,$D42))</f>
        <v>(Perdente)</v>
      </c>
      <c r="AC42" s="48" t="str">
        <f>IF($B42="","","["&amp;PROPER(TRIM(SUBSTITUTE(SUBSTITUTE($B$34,"PLAYOFF",""),"DI FINALE","")))&amp;"]")</f>
        <v>[Quarti]</v>
      </c>
    </row>
    <row r="43" spans="1:29" ht="15.95" customHeight="1" x14ac:dyDescent="0.25">
      <c r="A43" s="133"/>
      <c r="B43" s="136" t="str">
        <f>IF(I43="","",HYPERLINK(VLOOKUP(I43,areaCampiSquadre,3,FALSE),VLOOKUP(I43,areaCampiSquadre,2,FALSE)))</f>
        <v>DA DEFINIRE</v>
      </c>
      <c r="C43" s="124"/>
      <c r="D43" s="124"/>
      <c r="E43" s="124"/>
      <c r="F43" s="124"/>
      <c r="G43" s="124"/>
      <c r="H43" s="125"/>
      <c r="I43" s="68" t="s">
        <v>171</v>
      </c>
      <c r="J43" s="133"/>
      <c r="K43" s="133"/>
      <c r="L43" s="133"/>
    </row>
    <row r="44" spans="1:29" ht="12.95" customHeight="1" x14ac:dyDescent="0.25">
      <c r="A44" s="67" t="s">
        <v>193</v>
      </c>
      <c r="B44" s="177" t="s">
        <v>175</v>
      </c>
      <c r="C44" s="125"/>
      <c r="D44" s="177" t="s">
        <v>182</v>
      </c>
      <c r="E44" s="125"/>
      <c r="F44" s="67" t="s">
        <v>194</v>
      </c>
      <c r="G44" s="67" t="s">
        <v>195</v>
      </c>
      <c r="H44" s="177" t="s">
        <v>196</v>
      </c>
      <c r="I44" s="125"/>
      <c r="J44" s="177" t="s">
        <v>197</v>
      </c>
      <c r="K44" s="124"/>
      <c r="L44" s="125"/>
    </row>
    <row r="45" spans="1:29" ht="24" customHeight="1" x14ac:dyDescent="0.25">
      <c r="A45" s="179">
        <f>MAX(A$10:A44)+1</f>
        <v>462</v>
      </c>
      <c r="B45" s="44" t="str">
        <f>AA19</f>
        <v>(Vincente)</v>
      </c>
      <c r="C45" s="45">
        <f>A19</f>
        <v>454</v>
      </c>
      <c r="D45" s="44" t="str">
        <f>AA22</f>
        <v>(Vincente)</v>
      </c>
      <c r="E45" s="45">
        <f>A22</f>
        <v>455</v>
      </c>
      <c r="F45" s="138"/>
      <c r="G45" s="124"/>
      <c r="H45" s="124"/>
      <c r="I45" s="125"/>
      <c r="J45" s="135"/>
      <c r="K45" s="132" t="s">
        <v>198</v>
      </c>
      <c r="L45" s="135"/>
      <c r="M45" s="47" t="str">
        <f>IF($B45="","(Squadra A)",$B45)</f>
        <v>(Vincente)</v>
      </c>
      <c r="N45" s="47">
        <f>IF($J45+$L45=0,,IF($J45&gt;$L45,1,0))</f>
        <v>0</v>
      </c>
      <c r="O45" s="47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>
        <f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47">
        <f>IF($J45+$L45=0,,$J45)</f>
        <v>0</v>
      </c>
      <c r="R45" s="47">
        <f>IF($J45+$L45=0,,$L45)</f>
        <v>0</v>
      </c>
      <c r="S45" s="47">
        <f>IF($J45+$L45=0,,$J45-$L45)</f>
        <v>0</v>
      </c>
      <c r="T45" s="47" t="str">
        <f>IF($D45="","(Squadra B)",$D45)</f>
        <v>(Vincente)</v>
      </c>
      <c r="U45" s="47">
        <f>IF($J45+$L45=0,,IF($L45&gt;$J45,1,0))</f>
        <v>0</v>
      </c>
      <c r="V45" s="47">
        <f>IF($J45+$L45=0,,IF($L45&lt;$J45,IF($J45&amp;"-"&amp;$L45=constPunteggioForfait,1,0),0))</f>
        <v>0</v>
      </c>
      <c r="W45" s="47">
        <f>IF($J45+$L45=0,,IF($L45&lt;$J45,IF($J45&amp;"-"&amp;$L45&lt;&gt;constPunteggioForfait,1,0),0))</f>
        <v>0</v>
      </c>
      <c r="X45" s="47">
        <f>IF($J45+$L45=0,,$L45)</f>
        <v>0</v>
      </c>
      <c r="Y45" s="47">
        <f>IF($J45+$L45=0,,$J45)</f>
        <v>0</v>
      </c>
      <c r="Z45" s="47">
        <f>IF($J45+$L45=0,,$L45-$J45)</f>
        <v>0</v>
      </c>
      <c r="AA45" s="47" t="str">
        <f>IF($J45+$L45=0,"(Vincente)",IF($J45&gt;$L45,$B45,$D45))</f>
        <v>(Vincente)</v>
      </c>
      <c r="AB45" s="47" t="str">
        <f>IF($J45+$L45=0,"(Perdente)",IF($J45&lt;$L45,$B45,$D45))</f>
        <v>(Perdente)</v>
      </c>
      <c r="AC45" s="48" t="str">
        <f>IF($B45="","","["&amp;PROPER(TRIM(SUBSTITUTE(SUBSTITUTE($B$34,"PLAYOFF",""),"DI FINALE","")))&amp;"]")</f>
        <v>[Quarti]</v>
      </c>
    </row>
    <row r="46" spans="1:29" ht="15.95" customHeight="1" x14ac:dyDescent="0.25">
      <c r="A46" s="133"/>
      <c r="B46" s="136" t="str">
        <f>IF(I46="","",HYPERLINK(VLOOKUP(I46,areaCampiSquadre,3,FALSE),VLOOKUP(I46,areaCampiSquadre,2,FALSE)))</f>
        <v>DA DEFINIRE</v>
      </c>
      <c r="C46" s="124"/>
      <c r="D46" s="124"/>
      <c r="E46" s="124"/>
      <c r="F46" s="124"/>
      <c r="G46" s="124"/>
      <c r="H46" s="125"/>
      <c r="I46" s="68" t="s">
        <v>171</v>
      </c>
      <c r="J46" s="133"/>
      <c r="K46" s="133"/>
      <c r="L46" s="133"/>
    </row>
    <row r="48" spans="1:29" ht="20.100000000000001" customHeight="1" x14ac:dyDescent="0.25">
      <c r="B48" s="178" t="s">
        <v>307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5"/>
    </row>
    <row r="49" spans="1:29" ht="12.95" customHeight="1" x14ac:dyDescent="0.25">
      <c r="A49" s="67" t="s">
        <v>193</v>
      </c>
      <c r="B49" s="177" t="s">
        <v>175</v>
      </c>
      <c r="C49" s="125"/>
      <c r="D49" s="177" t="s">
        <v>182</v>
      </c>
      <c r="E49" s="125"/>
      <c r="F49" s="67" t="s">
        <v>194</v>
      </c>
      <c r="G49" s="67" t="s">
        <v>195</v>
      </c>
      <c r="H49" s="177" t="s">
        <v>196</v>
      </c>
      <c r="I49" s="125"/>
      <c r="J49" s="177" t="s">
        <v>197</v>
      </c>
      <c r="K49" s="124"/>
      <c r="L49" s="125"/>
    </row>
    <row r="50" spans="1:29" ht="24" customHeight="1" x14ac:dyDescent="0.25">
      <c r="A50" s="179">
        <f>MAX(A$10:A49)+1</f>
        <v>463</v>
      </c>
      <c r="B50" s="44" t="str">
        <f>AA36</f>
        <v>(Vincente)</v>
      </c>
      <c r="C50" s="45">
        <f>A36</f>
        <v>459</v>
      </c>
      <c r="D50" s="44" t="str">
        <f>AA45</f>
        <v>(Vincente)</v>
      </c>
      <c r="E50" s="45">
        <f>A45</f>
        <v>462</v>
      </c>
      <c r="F50" s="138"/>
      <c r="G50" s="124"/>
      <c r="H50" s="124"/>
      <c r="I50" s="125"/>
      <c r="J50" s="135"/>
      <c r="K50" s="132" t="s">
        <v>198</v>
      </c>
      <c r="L50" s="135"/>
      <c r="M50" s="47" t="str">
        <f>IF($B50="","(Squadra A)",$B50)</f>
        <v>(Vincente)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(Vincente)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3"/>
      <c r="B51" s="136" t="str">
        <f>IF(I51="","",HYPERLINK(VLOOKUP(I51,areaCampiSquadre,3,FALSE),VLOOKUP(I51,areaCampiSquadre,2,FALSE)))</f>
        <v>DA DEFINIRE</v>
      </c>
      <c r="C51" s="124"/>
      <c r="D51" s="124"/>
      <c r="E51" s="124"/>
      <c r="F51" s="124"/>
      <c r="G51" s="124"/>
      <c r="H51" s="125"/>
      <c r="I51" s="68" t="s">
        <v>171</v>
      </c>
      <c r="J51" s="133"/>
      <c r="K51" s="133"/>
      <c r="L51" s="133"/>
    </row>
    <row r="52" spans="1:29" ht="12.95" customHeight="1" x14ac:dyDescent="0.25">
      <c r="A52" s="67" t="s">
        <v>193</v>
      </c>
      <c r="B52" s="177" t="s">
        <v>175</v>
      </c>
      <c r="C52" s="125"/>
      <c r="D52" s="177" t="s">
        <v>182</v>
      </c>
      <c r="E52" s="125"/>
      <c r="F52" s="67" t="s">
        <v>194</v>
      </c>
      <c r="G52" s="67" t="s">
        <v>195</v>
      </c>
      <c r="H52" s="177" t="s">
        <v>196</v>
      </c>
      <c r="I52" s="125"/>
      <c r="J52" s="177" t="s">
        <v>197</v>
      </c>
      <c r="K52" s="124"/>
      <c r="L52" s="125"/>
    </row>
    <row r="53" spans="1:29" ht="24" customHeight="1" x14ac:dyDescent="0.25">
      <c r="A53" s="179">
        <f>MAX(A$10:A52)+1</f>
        <v>464</v>
      </c>
      <c r="B53" s="44" t="str">
        <f>AA39</f>
        <v>(Vincente)</v>
      </c>
      <c r="C53" s="45">
        <f>A39</f>
        <v>460</v>
      </c>
      <c r="D53" s="44" t="str">
        <f>AA42</f>
        <v>(Vincente)</v>
      </c>
      <c r="E53" s="45">
        <f>A42</f>
        <v>461</v>
      </c>
      <c r="F53" s="138"/>
      <c r="G53" s="124"/>
      <c r="H53" s="124"/>
      <c r="I53" s="125"/>
      <c r="J53" s="135"/>
      <c r="K53" s="132" t="s">
        <v>198</v>
      </c>
      <c r="L53" s="135"/>
      <c r="M53" s="47" t="str">
        <f>IF($B53="","(Squadra A)",$B53)</f>
        <v>(Vincente)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(Vincente)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3"/>
      <c r="B54" s="136" t="str">
        <f>IF(I54="","",HYPERLINK(VLOOKUP(I54,areaCampiSquadre,3,FALSE),VLOOKUP(I54,areaCampiSquadre,2,FALSE)))</f>
        <v>DA DEFINIRE</v>
      </c>
      <c r="C54" s="124"/>
      <c r="D54" s="124"/>
      <c r="E54" s="124"/>
      <c r="F54" s="124"/>
      <c r="G54" s="124"/>
      <c r="H54" s="125"/>
      <c r="I54" s="68" t="s">
        <v>171</v>
      </c>
      <c r="J54" s="133"/>
      <c r="K54" s="133"/>
      <c r="L54" s="133"/>
    </row>
    <row r="56" spans="1:29" ht="20.100000000000001" customHeight="1" x14ac:dyDescent="0.25">
      <c r="B56" s="178" t="s">
        <v>308</v>
      </c>
      <c r="C56" s="124"/>
      <c r="D56" s="124"/>
      <c r="E56" s="124"/>
      <c r="F56" s="124"/>
      <c r="G56" s="124"/>
      <c r="H56" s="124"/>
      <c r="I56" s="124"/>
      <c r="J56" s="124"/>
      <c r="K56" s="124"/>
      <c r="L56" s="125"/>
    </row>
    <row r="57" spans="1:29" ht="12.95" customHeight="1" x14ac:dyDescent="0.25">
      <c r="A57" s="67" t="s">
        <v>193</v>
      </c>
      <c r="B57" s="177" t="s">
        <v>175</v>
      </c>
      <c r="C57" s="125"/>
      <c r="D57" s="177" t="s">
        <v>182</v>
      </c>
      <c r="E57" s="125"/>
      <c r="F57" s="67" t="s">
        <v>194</v>
      </c>
      <c r="G57" s="67" t="s">
        <v>195</v>
      </c>
      <c r="H57" s="177" t="s">
        <v>196</v>
      </c>
      <c r="I57" s="125"/>
      <c r="J57" s="177" t="s">
        <v>197</v>
      </c>
      <c r="K57" s="124"/>
      <c r="L57" s="125"/>
    </row>
    <row r="58" spans="1:29" ht="24" customHeight="1" x14ac:dyDescent="0.25">
      <c r="A58" s="179">
        <f>MAX(A$10:A57)+1</f>
        <v>465</v>
      </c>
      <c r="B58" s="44" t="str">
        <f>AB50</f>
        <v>(Perdente)</v>
      </c>
      <c r="C58" s="45">
        <f>A50</f>
        <v>463</v>
      </c>
      <c r="D58" s="44" t="str">
        <f>AB53</f>
        <v>(Perdente)</v>
      </c>
      <c r="E58" s="45">
        <f>A53</f>
        <v>464</v>
      </c>
      <c r="F58" s="138"/>
      <c r="G58" s="124"/>
      <c r="H58" s="124"/>
      <c r="I58" s="125"/>
      <c r="J58" s="135"/>
      <c r="K58" s="132" t="s">
        <v>198</v>
      </c>
      <c r="L58" s="135"/>
      <c r="M58" s="47" t="str">
        <f>IF($B58="","(Squadra A)",$B58)</f>
        <v>(Perdente)</v>
      </c>
      <c r="N58" s="47">
        <f>IF($J58+$L58=0,,IF($J58&gt;$L58,1,0))</f>
        <v>0</v>
      </c>
      <c r="O58" s="47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>
        <f>IF($J58+$L58=0,,$J58)</f>
        <v>0</v>
      </c>
      <c r="R58" s="47">
        <f>IF($J58+$L58=0,,$L58)</f>
        <v>0</v>
      </c>
      <c r="S58" s="47">
        <f>IF($J58+$L58=0,,$J58-$L58)</f>
        <v>0</v>
      </c>
      <c r="T58" s="47" t="str">
        <f>IF($D58="","(Squadra B)",$D58)</f>
        <v>(Perdente)</v>
      </c>
      <c r="U58" s="47">
        <f>IF($J58+$L58=0,,IF($L58&gt;$J58,1,0))</f>
        <v>0</v>
      </c>
      <c r="V58" s="47">
        <f>IF($J58+$L58=0,,IF($L58&lt;$J58,IF($J58&amp;"-"&amp;$L58=constPunteggioForfait,1,0),0))</f>
        <v>0</v>
      </c>
      <c r="W58" s="47">
        <f>IF($J58+$L58=0,,IF($L58&lt;$J58,IF($J58&amp;"-"&amp;$L58&lt;&gt;constPunteggioForfait,1,0),0))</f>
        <v>0</v>
      </c>
      <c r="X58" s="47">
        <f>IF($J58+$L58=0,,$L58)</f>
        <v>0</v>
      </c>
      <c r="Y58" s="47">
        <f>IF($J58+$L58=0,,$J58)</f>
        <v>0</v>
      </c>
      <c r="Z58" s="47">
        <f>IF($J58+$L58=0,,$L58-$J58)</f>
        <v>0</v>
      </c>
      <c r="AA58" s="47" t="str">
        <f>IF($J58+$L58=0,"(Vincente)",IF($J58&gt;$L58,$B58,$D58))</f>
        <v>(Vincente)</v>
      </c>
      <c r="AB58" s="47" t="str">
        <f>IF($J58+$L58=0,"(Perdente)",IF($J58&lt;$L58,$B58,$D58))</f>
        <v>(Perdente)</v>
      </c>
      <c r="AC58" s="48" t="str">
        <f>IF($B58="","","[Finale "&amp;IF(COUNT($A$57:$A57)=0,"3-4","1-2")&amp;"]")</f>
        <v>[Finale 3-4]</v>
      </c>
    </row>
    <row r="59" spans="1:29" ht="15.95" customHeight="1" x14ac:dyDescent="0.25">
      <c r="A59" s="133"/>
      <c r="B59" s="136" t="str">
        <f>IF(I59="","",HYPERLINK(VLOOKUP(I59,areaCampiSquadre,3,FALSE),VLOOKUP(I59,areaCampiSquadre,2,FALSE)))</f>
        <v>DA DEFINIRE</v>
      </c>
      <c r="C59" s="124"/>
      <c r="D59" s="124"/>
      <c r="E59" s="124"/>
      <c r="F59" s="124"/>
      <c r="G59" s="124"/>
      <c r="H59" s="125"/>
      <c r="I59" s="68" t="s">
        <v>171</v>
      </c>
      <c r="J59" s="133"/>
      <c r="K59" s="133"/>
      <c r="L59" s="133"/>
    </row>
    <row r="60" spans="1:29" ht="12.95" customHeight="1" x14ac:dyDescent="0.25">
      <c r="A60" s="67" t="s">
        <v>193</v>
      </c>
      <c r="B60" s="177" t="s">
        <v>175</v>
      </c>
      <c r="C60" s="125"/>
      <c r="D60" s="177" t="s">
        <v>182</v>
      </c>
      <c r="E60" s="125"/>
      <c r="F60" s="67" t="s">
        <v>194</v>
      </c>
      <c r="G60" s="67" t="s">
        <v>195</v>
      </c>
      <c r="H60" s="177" t="s">
        <v>196</v>
      </c>
      <c r="I60" s="125"/>
      <c r="J60" s="177" t="s">
        <v>197</v>
      </c>
      <c r="K60" s="124"/>
      <c r="L60" s="125"/>
    </row>
    <row r="61" spans="1:29" ht="24" customHeight="1" x14ac:dyDescent="0.25">
      <c r="A61" s="179">
        <f>MAX(A$10:A60)+1</f>
        <v>466</v>
      </c>
      <c r="B61" s="44" t="str">
        <f>AA50</f>
        <v>(Vincente)</v>
      </c>
      <c r="C61" s="45">
        <f>A50</f>
        <v>463</v>
      </c>
      <c r="D61" s="44" t="str">
        <f>AA53</f>
        <v>(Vincente)</v>
      </c>
      <c r="E61" s="45">
        <f>A53</f>
        <v>464</v>
      </c>
      <c r="F61" s="138"/>
      <c r="G61" s="124"/>
      <c r="H61" s="124"/>
      <c r="I61" s="125"/>
      <c r="J61" s="135"/>
      <c r="K61" s="132" t="s">
        <v>198</v>
      </c>
      <c r="L61" s="135"/>
      <c r="M61" s="47" t="str">
        <f>IF($B61="","(Squadra A)",$B61)</f>
        <v>(Vincente)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(Vincente)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IF($B61="","","[Finale "&amp;IF(COUNT($A$57:$A60)=0,"3-4","1-2")&amp;"]")</f>
        <v>[Finale 1-2]</v>
      </c>
    </row>
    <row r="62" spans="1:29" ht="15.95" customHeight="1" x14ac:dyDescent="0.25">
      <c r="A62" s="133"/>
      <c r="B62" s="136" t="str">
        <f>IF(I62="","",HYPERLINK(VLOOKUP(I62,areaCampiSquadre,3,FALSE),VLOOKUP(I62,areaCampiSquadre,2,FALSE)))</f>
        <v>DA DEFINIRE</v>
      </c>
      <c r="C62" s="124"/>
      <c r="D62" s="124"/>
      <c r="E62" s="124"/>
      <c r="F62" s="124"/>
      <c r="G62" s="124"/>
      <c r="H62" s="125"/>
      <c r="I62" s="68" t="s">
        <v>171</v>
      </c>
      <c r="J62" s="133"/>
      <c r="K62" s="133"/>
      <c r="L62" s="133"/>
    </row>
    <row r="64" spans="1:29" x14ac:dyDescent="0.25">
      <c r="A64" s="39" t="s">
        <v>309</v>
      </c>
    </row>
    <row r="65" spans="1:1" x14ac:dyDescent="0.25">
      <c r="A65" s="39" t="s">
        <v>310</v>
      </c>
    </row>
    <row r="66" spans="1:1" x14ac:dyDescent="0.25">
      <c r="A66" s="39" t="s">
        <v>311</v>
      </c>
    </row>
    <row r="67" spans="1:1" x14ac:dyDescent="0.25">
      <c r="A67" s="39" t="s">
        <v>174</v>
      </c>
    </row>
  </sheetData>
  <mergeCells count="166"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F45:I45"/>
    <mergeCell ref="A19:A20"/>
    <mergeCell ref="K19:K20"/>
    <mergeCell ref="J44:L44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D9:E9"/>
    <mergeCell ref="F42:I42"/>
    <mergeCell ref="K28:K29"/>
    <mergeCell ref="H12:I12"/>
    <mergeCell ref="B15:C15"/>
    <mergeCell ref="B17:H17"/>
    <mergeCell ref="D15:E15"/>
    <mergeCell ref="D38:E38"/>
    <mergeCell ref="J39:J40"/>
    <mergeCell ref="J30:L30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D41:E41"/>
    <mergeCell ref="K39:K40"/>
    <mergeCell ref="J21:L21"/>
    <mergeCell ref="B23:H23"/>
    <mergeCell ref="F36:I36"/>
    <mergeCell ref="F50:I50"/>
    <mergeCell ref="B30:C30"/>
    <mergeCell ref="F28:I28"/>
    <mergeCell ref="H38:I38"/>
    <mergeCell ref="F39:I39"/>
    <mergeCell ref="K45:K46"/>
    <mergeCell ref="H21:I21"/>
    <mergeCell ref="D27:E27"/>
    <mergeCell ref="H35:I35"/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A25:A26"/>
    <mergeCell ref="J12:L12"/>
    <mergeCell ref="J16:J17"/>
    <mergeCell ref="L10:L11"/>
    <mergeCell ref="B8:L8"/>
    <mergeCell ref="A42:A43"/>
    <mergeCell ref="K13:K14"/>
    <mergeCell ref="B9:C9"/>
    <mergeCell ref="D12:E12"/>
    <mergeCell ref="K10:K11"/>
    <mergeCell ref="A39:A40"/>
    <mergeCell ref="A36:A37"/>
    <mergeCell ref="B20:H20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C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</cols>
  <sheetData>
    <row r="1" spans="1:3" x14ac:dyDescent="0.25">
      <c r="A1" s="131" t="str">
        <f>constNomeCampionato&amp;""</f>
        <v/>
      </c>
      <c r="B1" s="129"/>
      <c r="C1" s="129"/>
    </row>
    <row r="2" spans="1:3" x14ac:dyDescent="0.25">
      <c r="A2" s="129"/>
      <c r="B2" s="129"/>
      <c r="C2" s="129"/>
    </row>
    <row r="3" spans="1:3" ht="18" x14ac:dyDescent="0.25">
      <c r="A3" s="131" t="str">
        <f>"Classifica finale - Stagione "&amp;constStagionaCampionato</f>
        <v xml:space="preserve">Classifica finale - Stagione </v>
      </c>
      <c r="B3" s="129"/>
      <c r="C3" s="129"/>
    </row>
    <row r="6" spans="1:3" x14ac:dyDescent="0.25">
      <c r="A6" s="98" t="s">
        <v>399</v>
      </c>
      <c r="B6" s="98" t="s">
        <v>14</v>
      </c>
      <c r="C6" s="98" t="s">
        <v>400</v>
      </c>
    </row>
    <row r="7" spans="1:3" x14ac:dyDescent="0.25">
      <c r="A7" s="99">
        <v>1</v>
      </c>
      <c r="B7" s="100" t="str">
        <f>Playoff!AA61</f>
        <v>(Vincente)</v>
      </c>
      <c r="C7" s="101" t="s">
        <v>401</v>
      </c>
    </row>
    <row r="8" spans="1:3" x14ac:dyDescent="0.25">
      <c r="A8" s="99">
        <v>2</v>
      </c>
      <c r="B8" s="100" t="str">
        <f>Playoff!AB61</f>
        <v>(Perdente)</v>
      </c>
      <c r="C8" s="101" t="s">
        <v>402</v>
      </c>
    </row>
    <row r="9" spans="1:3" x14ac:dyDescent="0.25">
      <c r="A9" s="99">
        <v>3</v>
      </c>
      <c r="B9" s="100" t="str">
        <f>Playoff!AA58</f>
        <v>(Vincente)</v>
      </c>
      <c r="C9" s="101" t="s">
        <v>403</v>
      </c>
    </row>
    <row r="10" spans="1:3" x14ac:dyDescent="0.25">
      <c r="A10" s="99">
        <v>4</v>
      </c>
      <c r="B10" s="100" t="str">
        <f>Playoff!AB58</f>
        <v>(Perdente)</v>
      </c>
      <c r="C10" s="101" t="s">
        <v>404</v>
      </c>
    </row>
    <row r="11" spans="1:3" x14ac:dyDescent="0.25">
      <c r="A11" s="99">
        <v>5</v>
      </c>
      <c r="B11" s="6" t="str">
        <f>Playoff!AB36</f>
        <v>(Perdente)</v>
      </c>
      <c r="C11" s="101" t="s">
        <v>405</v>
      </c>
    </row>
    <row r="12" spans="1:3" x14ac:dyDescent="0.25">
      <c r="A12" s="99">
        <v>5</v>
      </c>
      <c r="B12" s="6" t="str">
        <f>Playoff!AB39</f>
        <v>(Perdente)</v>
      </c>
      <c r="C12" s="101" t="s">
        <v>405</v>
      </c>
    </row>
    <row r="13" spans="1:3" x14ac:dyDescent="0.25">
      <c r="A13" s="99">
        <v>5</v>
      </c>
      <c r="B13" s="6" t="str">
        <f>Playoff!AB42</f>
        <v>(Perdente)</v>
      </c>
      <c r="C13" s="101" t="s">
        <v>405</v>
      </c>
    </row>
    <row r="14" spans="1:3" x14ac:dyDescent="0.25">
      <c r="A14" s="99">
        <v>5</v>
      </c>
      <c r="B14" s="6" t="str">
        <f>Playoff!AB45</f>
        <v>(Perdente)</v>
      </c>
      <c r="C14" s="101" t="s">
        <v>405</v>
      </c>
    </row>
    <row r="15" spans="1:3" x14ac:dyDescent="0.25">
      <c r="A15" s="99">
        <v>9</v>
      </c>
      <c r="B15" s="6" t="str">
        <f>Playoff!AB10</f>
        <v>(Perdente)</v>
      </c>
      <c r="C15" s="101" t="s">
        <v>406</v>
      </c>
    </row>
    <row r="16" spans="1:3" x14ac:dyDescent="0.25">
      <c r="A16" s="99">
        <v>9</v>
      </c>
      <c r="B16" s="6" t="str">
        <f>Playoff!AB13</f>
        <v>(Perdente)</v>
      </c>
      <c r="C16" s="101" t="s">
        <v>406</v>
      </c>
    </row>
    <row r="17" spans="1:3" x14ac:dyDescent="0.25">
      <c r="A17" s="99">
        <v>9</v>
      </c>
      <c r="B17" s="6" t="str">
        <f>Playoff!AB16</f>
        <v>(Perdente)</v>
      </c>
      <c r="C17" s="101" t="s">
        <v>406</v>
      </c>
    </row>
    <row r="18" spans="1:3" x14ac:dyDescent="0.25">
      <c r="A18" s="99">
        <v>9</v>
      </c>
      <c r="B18" s="6" t="str">
        <f>Playoff!AB19</f>
        <v>(Perdente)</v>
      </c>
      <c r="C18" s="101" t="s">
        <v>406</v>
      </c>
    </row>
    <row r="19" spans="1:3" x14ac:dyDescent="0.25">
      <c r="A19" s="99">
        <v>9</v>
      </c>
      <c r="B19" s="6" t="str">
        <f>Playoff!AB22</f>
        <v>(Perdente)</v>
      </c>
      <c r="C19" s="101" t="s">
        <v>406</v>
      </c>
    </row>
    <row r="20" spans="1:3" x14ac:dyDescent="0.25">
      <c r="A20" s="99">
        <v>9</v>
      </c>
      <c r="B20" s="6" t="str">
        <f>Playoff!AB25</f>
        <v>(Perdente)</v>
      </c>
      <c r="C20" s="101" t="s">
        <v>406</v>
      </c>
    </row>
    <row r="21" spans="1:3" x14ac:dyDescent="0.25">
      <c r="A21" s="99">
        <v>9</v>
      </c>
      <c r="B21" s="6" t="str">
        <f>Playoff!AB28</f>
        <v>(Perdente)</v>
      </c>
      <c r="C21" s="101" t="s">
        <v>406</v>
      </c>
    </row>
    <row r="22" spans="1:3" x14ac:dyDescent="0.25">
      <c r="A22" s="99">
        <v>9</v>
      </c>
      <c r="B22" s="6" t="str">
        <f>Playoff!AB31</f>
        <v>(Perdente)</v>
      </c>
      <c r="C22" s="101" t="s">
        <v>406</v>
      </c>
    </row>
    <row r="23" spans="1:3" x14ac:dyDescent="0.25">
      <c r="A23" s="99">
        <v>17</v>
      </c>
      <c r="B23" s="6" t="str">
        <f>IFERROR(VLOOKUP("A3",areaCercaDatiPerPosizioneSquadre,2,FALSE),"(A3)")</f>
        <v>(A3)</v>
      </c>
      <c r="C23" s="101" t="s">
        <v>407</v>
      </c>
    </row>
    <row r="24" spans="1:3" x14ac:dyDescent="0.25">
      <c r="A24" s="99">
        <v>17</v>
      </c>
      <c r="B24" s="6" t="str">
        <f>IFERROR(VLOOKUP("A4",areaCercaDatiPerPosizioneSquadre,2,FALSE),"(A4)")</f>
        <v>(A4)</v>
      </c>
      <c r="C24" s="101" t="s">
        <v>408</v>
      </c>
    </row>
    <row r="25" spans="1:3" x14ac:dyDescent="0.25">
      <c r="A25" s="99">
        <v>17</v>
      </c>
      <c r="B25" s="6" t="str">
        <f>IFERROR(VLOOKUP("A5",areaCercaDatiPerPosizioneSquadre,2,FALSE),"(A5)")</f>
        <v>(A5)</v>
      </c>
      <c r="C25" s="101" t="s">
        <v>409</v>
      </c>
    </row>
    <row r="26" spans="1:3" x14ac:dyDescent="0.25">
      <c r="A26" s="99">
        <v>17</v>
      </c>
      <c r="B26" s="6" t="str">
        <f>IFERROR(VLOOKUP("A6",areaCercaDatiPerPosizioneSquadre,2,FALSE),"(A6)")</f>
        <v>(A6)</v>
      </c>
      <c r="C26" s="101" t="s">
        <v>410</v>
      </c>
    </row>
    <row r="27" spans="1:3" x14ac:dyDescent="0.25">
      <c r="A27" s="99">
        <v>17</v>
      </c>
      <c r="B27" s="6" t="str">
        <f>IFERROR(VLOOKUP("A7",areaCercaDatiPerPosizioneSquadre,2,FALSE),"(A7)")</f>
        <v>(A7)</v>
      </c>
      <c r="C27" s="101" t="s">
        <v>411</v>
      </c>
    </row>
    <row r="28" spans="1:3" x14ac:dyDescent="0.25">
      <c r="A28" s="99">
        <v>17</v>
      </c>
      <c r="B28" s="6" t="str">
        <f>IFERROR(VLOOKUP("A8",areaCercaDatiPerPosizioneSquadre,2,FALSE),"(A8)")</f>
        <v>(A8)</v>
      </c>
      <c r="C28" s="101" t="s">
        <v>412</v>
      </c>
    </row>
    <row r="29" spans="1:3" x14ac:dyDescent="0.25">
      <c r="A29" s="99">
        <v>17</v>
      </c>
      <c r="B29" s="6" t="str">
        <f>IFERROR(VLOOKUP("A9",areaCercaDatiPerPosizioneSquadre,2,FALSE),"(A9)")</f>
        <v>(A9)</v>
      </c>
      <c r="C29" s="101" t="s">
        <v>413</v>
      </c>
    </row>
    <row r="30" spans="1:3" x14ac:dyDescent="0.25">
      <c r="A30" s="99">
        <v>17</v>
      </c>
      <c r="B30" s="6" t="str">
        <f>IFERROR(VLOOKUP("A10",areaCercaDatiPerPosizioneSquadre,2,FALSE),"(A10)")</f>
        <v>(A10)</v>
      </c>
      <c r="C30" s="101" t="s">
        <v>414</v>
      </c>
    </row>
    <row r="31" spans="1:3" x14ac:dyDescent="0.25">
      <c r="A31" s="99">
        <v>17</v>
      </c>
      <c r="B31" s="6" t="str">
        <f>IFERROR(VLOOKUP("B3",areaCercaDatiPerPosizioneSquadre,2,FALSE),"(B3)")</f>
        <v>(B3)</v>
      </c>
      <c r="C31" s="101" t="s">
        <v>415</v>
      </c>
    </row>
    <row r="32" spans="1:3" x14ac:dyDescent="0.25">
      <c r="A32" s="99">
        <v>17</v>
      </c>
      <c r="B32" s="6" t="str">
        <f>IFERROR(VLOOKUP("B4",areaCercaDatiPerPosizioneSquadre,2,FALSE),"(B4)")</f>
        <v>(B4)</v>
      </c>
      <c r="C32" s="101" t="s">
        <v>416</v>
      </c>
    </row>
    <row r="33" spans="1:3" x14ac:dyDescent="0.25">
      <c r="A33" s="99">
        <v>17</v>
      </c>
      <c r="B33" s="6" t="str">
        <f>IFERROR(VLOOKUP("B5",areaCercaDatiPerPosizioneSquadre,2,FALSE),"(B5)")</f>
        <v>(B5)</v>
      </c>
      <c r="C33" s="101" t="s">
        <v>417</v>
      </c>
    </row>
    <row r="34" spans="1:3" x14ac:dyDescent="0.25">
      <c r="A34" s="99">
        <v>17</v>
      </c>
      <c r="B34" s="6" t="str">
        <f>IFERROR(VLOOKUP("B6",areaCercaDatiPerPosizioneSquadre,2,FALSE),"(B6)")</f>
        <v>(B6)</v>
      </c>
      <c r="C34" s="101" t="s">
        <v>418</v>
      </c>
    </row>
    <row r="35" spans="1:3" x14ac:dyDescent="0.25">
      <c r="A35" s="99">
        <v>17</v>
      </c>
      <c r="B35" s="6" t="str">
        <f>IFERROR(VLOOKUP("B7",areaCercaDatiPerPosizioneSquadre,2,FALSE),"(B7)")</f>
        <v>(B7)</v>
      </c>
      <c r="C35" s="101" t="s">
        <v>419</v>
      </c>
    </row>
    <row r="36" spans="1:3" x14ac:dyDescent="0.25">
      <c r="A36" s="99">
        <v>17</v>
      </c>
      <c r="B36" s="6" t="str">
        <f>IFERROR(VLOOKUP("B8",areaCercaDatiPerPosizioneSquadre,2,FALSE),"(B8)")</f>
        <v>(B8)</v>
      </c>
      <c r="C36" s="101" t="s">
        <v>420</v>
      </c>
    </row>
    <row r="37" spans="1:3" x14ac:dyDescent="0.25">
      <c r="A37" s="99">
        <v>17</v>
      </c>
      <c r="B37" s="6" t="str">
        <f>IFERROR(VLOOKUP("B9",areaCercaDatiPerPosizioneSquadre,2,FALSE),"(B9)")</f>
        <v>(B9)</v>
      </c>
      <c r="C37" s="101" t="s">
        <v>421</v>
      </c>
    </row>
    <row r="38" spans="1:3" x14ac:dyDescent="0.25">
      <c r="A38" s="99">
        <v>17</v>
      </c>
      <c r="B38" s="6" t="str">
        <f>IFERROR(VLOOKUP("B10",areaCercaDatiPerPosizioneSquadre,2,FALSE),"(B10)")</f>
        <v>(B10)</v>
      </c>
      <c r="C38" s="101" t="s">
        <v>422</v>
      </c>
    </row>
    <row r="39" spans="1:3" x14ac:dyDescent="0.25">
      <c r="A39" s="99">
        <v>17</v>
      </c>
      <c r="B39" s="6" t="str">
        <f>IFERROR(VLOOKUP("C3",areaCercaDatiPerPosizioneSquadre,2,FALSE),"(C3)")</f>
        <v>(C3)</v>
      </c>
      <c r="C39" s="101" t="s">
        <v>423</v>
      </c>
    </row>
    <row r="40" spans="1:3" x14ac:dyDescent="0.25">
      <c r="A40" s="99">
        <v>17</v>
      </c>
      <c r="B40" s="6" t="str">
        <f>IFERROR(VLOOKUP("C4",areaCercaDatiPerPosizioneSquadre,2,FALSE),"(C4)")</f>
        <v>(C4)</v>
      </c>
      <c r="C40" s="101" t="s">
        <v>424</v>
      </c>
    </row>
    <row r="41" spans="1:3" x14ac:dyDescent="0.25">
      <c r="A41" s="99">
        <v>17</v>
      </c>
      <c r="B41" s="6" t="str">
        <f>IFERROR(VLOOKUP("C5",areaCercaDatiPerPosizioneSquadre,2,FALSE),"(C5)")</f>
        <v>(C5)</v>
      </c>
      <c r="C41" s="101" t="s">
        <v>425</v>
      </c>
    </row>
    <row r="42" spans="1:3" x14ac:dyDescent="0.25">
      <c r="A42" s="99">
        <v>17</v>
      </c>
      <c r="B42" s="6" t="str">
        <f>IFERROR(VLOOKUP("C6",areaCercaDatiPerPosizioneSquadre,2,FALSE),"(C6)")</f>
        <v>(C6)</v>
      </c>
      <c r="C42" s="101" t="s">
        <v>426</v>
      </c>
    </row>
    <row r="43" spans="1:3" x14ac:dyDescent="0.25">
      <c r="A43" s="99">
        <v>17</v>
      </c>
      <c r="B43" s="6" t="str">
        <f>IFERROR(VLOOKUP("C7",areaCercaDatiPerPosizioneSquadre,2,FALSE),"(C7)")</f>
        <v>(C7)</v>
      </c>
      <c r="C43" s="101" t="s">
        <v>427</v>
      </c>
    </row>
    <row r="44" spans="1:3" x14ac:dyDescent="0.25">
      <c r="A44" s="99">
        <v>17</v>
      </c>
      <c r="B44" s="6" t="str">
        <f>IFERROR(VLOOKUP("C8",areaCercaDatiPerPosizioneSquadre,2,FALSE),"(C8)")</f>
        <v>(C8)</v>
      </c>
      <c r="C44" s="101" t="s">
        <v>428</v>
      </c>
    </row>
    <row r="45" spans="1:3" x14ac:dyDescent="0.25">
      <c r="A45" s="99">
        <v>17</v>
      </c>
      <c r="B45" s="6" t="str">
        <f>IFERROR(VLOOKUP("C9",areaCercaDatiPerPosizioneSquadre,2,FALSE),"(C9)")</f>
        <v>(C9)</v>
      </c>
      <c r="C45" s="101" t="s">
        <v>429</v>
      </c>
    </row>
    <row r="46" spans="1:3" x14ac:dyDescent="0.25">
      <c r="A46" s="99">
        <v>17</v>
      </c>
      <c r="B46" s="6" t="str">
        <f>IFERROR(VLOOKUP("C10",areaCercaDatiPerPosizioneSquadre,2,FALSE),"(C10)")</f>
        <v>(C10)</v>
      </c>
      <c r="C46" s="101" t="s">
        <v>430</v>
      </c>
    </row>
    <row r="47" spans="1:3" x14ac:dyDescent="0.25">
      <c r="A47" s="99">
        <v>17</v>
      </c>
      <c r="B47" s="6" t="str">
        <f>IFERROR(VLOOKUP("D3",areaCercaDatiPerPosizioneSquadre,2,FALSE),"(D3)")</f>
        <v>(D3)</v>
      </c>
      <c r="C47" s="101" t="s">
        <v>431</v>
      </c>
    </row>
    <row r="48" spans="1:3" x14ac:dyDescent="0.25">
      <c r="A48" s="99">
        <v>17</v>
      </c>
      <c r="B48" s="6" t="str">
        <f>IFERROR(VLOOKUP("D4",areaCercaDatiPerPosizioneSquadre,2,FALSE),"(D4)")</f>
        <v>(D4)</v>
      </c>
      <c r="C48" s="101" t="s">
        <v>432</v>
      </c>
    </row>
    <row r="49" spans="1:3" x14ac:dyDescent="0.25">
      <c r="A49" s="99">
        <v>17</v>
      </c>
      <c r="B49" s="6" t="str">
        <f>IFERROR(VLOOKUP("D5",areaCercaDatiPerPosizioneSquadre,2,FALSE),"(D5)")</f>
        <v>(D5)</v>
      </c>
      <c r="C49" s="101" t="s">
        <v>433</v>
      </c>
    </row>
    <row r="50" spans="1:3" x14ac:dyDescent="0.25">
      <c r="A50" s="99">
        <v>17</v>
      </c>
      <c r="B50" s="6" t="str">
        <f>IFERROR(VLOOKUP("D6",areaCercaDatiPerPosizioneSquadre,2,FALSE),"(D6)")</f>
        <v>(D6)</v>
      </c>
      <c r="C50" s="101" t="s">
        <v>434</v>
      </c>
    </row>
    <row r="51" spans="1:3" x14ac:dyDescent="0.25">
      <c r="A51" s="99">
        <v>17</v>
      </c>
      <c r="B51" s="6" t="str">
        <f>IFERROR(VLOOKUP("D7",areaCercaDatiPerPosizioneSquadre,2,FALSE),"(D7)")</f>
        <v>(D7)</v>
      </c>
      <c r="C51" s="101" t="s">
        <v>435</v>
      </c>
    </row>
    <row r="52" spans="1:3" x14ac:dyDescent="0.25">
      <c r="A52" s="99">
        <v>17</v>
      </c>
      <c r="B52" s="6" t="str">
        <f>IFERROR(VLOOKUP("D8",areaCercaDatiPerPosizioneSquadre,2,FALSE),"(D8)")</f>
        <v>(D8)</v>
      </c>
      <c r="C52" s="101" t="s">
        <v>436</v>
      </c>
    </row>
    <row r="53" spans="1:3" x14ac:dyDescent="0.25">
      <c r="A53" s="99">
        <v>17</v>
      </c>
      <c r="B53" s="6" t="str">
        <f>IFERROR(VLOOKUP("D9",areaCercaDatiPerPosizioneSquadre,2,FALSE),"(D9)")</f>
        <v>(D9)</v>
      </c>
      <c r="C53" s="101" t="s">
        <v>437</v>
      </c>
    </row>
    <row r="54" spans="1:3" x14ac:dyDescent="0.25">
      <c r="A54" s="99">
        <v>17</v>
      </c>
      <c r="B54" s="6" t="str">
        <f>IFERROR(VLOOKUP("D10",areaCercaDatiPerPosizioneSquadre,2,FALSE),"(D10)")</f>
        <v>(D10)</v>
      </c>
      <c r="C54" s="101" t="s">
        <v>438</v>
      </c>
    </row>
    <row r="55" spans="1:3" x14ac:dyDescent="0.25">
      <c r="A55" s="99">
        <v>17</v>
      </c>
      <c r="B55" s="6" t="str">
        <f>IFERROR(VLOOKUP("E3",areaCercaDatiPerPosizioneSquadre,2,FALSE),"(E3)")</f>
        <v>(E3)</v>
      </c>
      <c r="C55" s="101" t="s">
        <v>439</v>
      </c>
    </row>
    <row r="56" spans="1:3" x14ac:dyDescent="0.25">
      <c r="A56" s="99">
        <v>17</v>
      </c>
      <c r="B56" s="6" t="str">
        <f>IFERROR(VLOOKUP("E4",areaCercaDatiPerPosizioneSquadre,2,FALSE),"(E4)")</f>
        <v>(E4)</v>
      </c>
      <c r="C56" s="101" t="s">
        <v>440</v>
      </c>
    </row>
    <row r="57" spans="1:3" x14ac:dyDescent="0.25">
      <c r="A57" s="99">
        <v>17</v>
      </c>
      <c r="B57" s="6" t="str">
        <f>IFERROR(VLOOKUP("E5",areaCercaDatiPerPosizioneSquadre,2,FALSE),"(E5)")</f>
        <v>(E5)</v>
      </c>
      <c r="C57" s="101" t="s">
        <v>441</v>
      </c>
    </row>
    <row r="58" spans="1:3" x14ac:dyDescent="0.25">
      <c r="A58" s="99">
        <v>17</v>
      </c>
      <c r="B58" s="6" t="str">
        <f>IFERROR(VLOOKUP("E6",areaCercaDatiPerPosizioneSquadre,2,FALSE),"(E6)")</f>
        <v>(E6)</v>
      </c>
      <c r="C58" s="101" t="s">
        <v>442</v>
      </c>
    </row>
    <row r="59" spans="1:3" x14ac:dyDescent="0.25">
      <c r="A59" s="99">
        <v>17</v>
      </c>
      <c r="B59" s="6" t="str">
        <f>IFERROR(VLOOKUP("E7",areaCercaDatiPerPosizioneSquadre,2,FALSE),"(E7)")</f>
        <v>(E7)</v>
      </c>
      <c r="C59" s="101" t="s">
        <v>443</v>
      </c>
    </row>
    <row r="60" spans="1:3" x14ac:dyDescent="0.25">
      <c r="A60" s="99">
        <v>17</v>
      </c>
      <c r="B60" s="6" t="str">
        <f>IFERROR(VLOOKUP("E8",areaCercaDatiPerPosizioneSquadre,2,FALSE),"(E8)")</f>
        <v>(E8)</v>
      </c>
      <c r="C60" s="101" t="s">
        <v>444</v>
      </c>
    </row>
    <row r="61" spans="1:3" x14ac:dyDescent="0.25">
      <c r="A61" s="99">
        <v>17</v>
      </c>
      <c r="B61" s="6" t="str">
        <f>IFERROR(VLOOKUP("E9",areaCercaDatiPerPosizioneSquadre,2,FALSE),"(E9)")</f>
        <v>(E9)</v>
      </c>
      <c r="C61" s="101" t="s">
        <v>445</v>
      </c>
    </row>
    <row r="62" spans="1:3" x14ac:dyDescent="0.25">
      <c r="A62" s="99">
        <v>17</v>
      </c>
      <c r="B62" s="6" t="str">
        <f>IFERROR(VLOOKUP("E10",areaCercaDatiPerPosizioneSquadre,2,FALSE),"(E10)")</f>
        <v>(E10)</v>
      </c>
      <c r="C62" s="101" t="s">
        <v>446</v>
      </c>
    </row>
    <row r="63" spans="1:3" x14ac:dyDescent="0.25">
      <c r="A63" s="99">
        <v>17</v>
      </c>
      <c r="B63" s="6" t="str">
        <f>IFERROR(VLOOKUP("F3",areaCercaDatiPerPosizioneSquadre,2,FALSE),"(F3)")</f>
        <v>(F3)</v>
      </c>
      <c r="C63" s="101" t="s">
        <v>447</v>
      </c>
    </row>
    <row r="64" spans="1:3" x14ac:dyDescent="0.25">
      <c r="A64" s="99">
        <v>17</v>
      </c>
      <c r="B64" s="6" t="str">
        <f>IFERROR(VLOOKUP("F4",areaCercaDatiPerPosizioneSquadre,2,FALSE),"(F4)")</f>
        <v>(F4)</v>
      </c>
      <c r="C64" s="101" t="s">
        <v>448</v>
      </c>
    </row>
    <row r="65" spans="1:3" x14ac:dyDescent="0.25">
      <c r="A65" s="99">
        <v>17</v>
      </c>
      <c r="B65" s="6" t="str">
        <f>IFERROR(VLOOKUP("F5",areaCercaDatiPerPosizioneSquadre,2,FALSE),"(F5)")</f>
        <v>(F5)</v>
      </c>
      <c r="C65" s="101" t="s">
        <v>449</v>
      </c>
    </row>
    <row r="66" spans="1:3" x14ac:dyDescent="0.25">
      <c r="A66" s="99">
        <v>17</v>
      </c>
      <c r="B66" s="6" t="str">
        <f>IFERROR(VLOOKUP("F6",areaCercaDatiPerPosizioneSquadre,2,FALSE),"(F6)")</f>
        <v>(F6)</v>
      </c>
      <c r="C66" s="101" t="s">
        <v>450</v>
      </c>
    </row>
    <row r="67" spans="1:3" x14ac:dyDescent="0.25">
      <c r="A67" s="99">
        <v>17</v>
      </c>
      <c r="B67" s="6" t="str">
        <f>IFERROR(VLOOKUP("F7",areaCercaDatiPerPosizioneSquadre,2,FALSE),"(F7)")</f>
        <v>(F7)</v>
      </c>
      <c r="C67" s="101" t="s">
        <v>451</v>
      </c>
    </row>
    <row r="68" spans="1:3" x14ac:dyDescent="0.25">
      <c r="A68" s="99">
        <v>17</v>
      </c>
      <c r="B68" s="6" t="str">
        <f>IFERROR(VLOOKUP("F8",areaCercaDatiPerPosizioneSquadre,2,FALSE),"(F8)")</f>
        <v>(F8)</v>
      </c>
      <c r="C68" s="101" t="s">
        <v>452</v>
      </c>
    </row>
    <row r="69" spans="1:3" x14ac:dyDescent="0.25">
      <c r="A69" s="99">
        <v>17</v>
      </c>
      <c r="B69" s="6" t="str">
        <f>IFERROR(VLOOKUP("F9",areaCercaDatiPerPosizioneSquadre,2,FALSE),"(F9)")</f>
        <v>(F9)</v>
      </c>
      <c r="C69" s="101" t="s">
        <v>453</v>
      </c>
    </row>
    <row r="70" spans="1:3" x14ac:dyDescent="0.25">
      <c r="A70" s="99">
        <v>17</v>
      </c>
      <c r="B70" s="6" t="str">
        <f>IFERROR(VLOOKUP("F10",areaCercaDatiPerPosizioneSquadre,2,FALSE),"(F10)")</f>
        <v>(F10)</v>
      </c>
      <c r="C70" s="101" t="s">
        <v>454</v>
      </c>
    </row>
    <row r="71" spans="1:3" x14ac:dyDescent="0.25">
      <c r="A71" s="99">
        <v>17</v>
      </c>
      <c r="B71" s="6" t="str">
        <f>IFERROR(VLOOKUP("G3",areaCercaDatiPerPosizioneSquadre,2,FALSE),"(G3)")</f>
        <v>(G3)</v>
      </c>
      <c r="C71" s="101" t="s">
        <v>455</v>
      </c>
    </row>
    <row r="72" spans="1:3" x14ac:dyDescent="0.25">
      <c r="A72" s="99">
        <v>17</v>
      </c>
      <c r="B72" s="6" t="str">
        <f>IFERROR(VLOOKUP("G4",areaCercaDatiPerPosizioneSquadre,2,FALSE),"(G4)")</f>
        <v>(G4)</v>
      </c>
      <c r="C72" s="101" t="s">
        <v>456</v>
      </c>
    </row>
    <row r="73" spans="1:3" x14ac:dyDescent="0.25">
      <c r="A73" s="99">
        <v>17</v>
      </c>
      <c r="B73" s="6" t="str">
        <f>IFERROR(VLOOKUP("G5",areaCercaDatiPerPosizioneSquadre,2,FALSE),"(G5)")</f>
        <v>(G5)</v>
      </c>
      <c r="C73" s="101" t="s">
        <v>457</v>
      </c>
    </row>
    <row r="74" spans="1:3" x14ac:dyDescent="0.25">
      <c r="A74" s="99">
        <v>17</v>
      </c>
      <c r="B74" s="6" t="str">
        <f>IFERROR(VLOOKUP("G6",areaCercaDatiPerPosizioneSquadre,2,FALSE),"(G6)")</f>
        <v>(G6)</v>
      </c>
      <c r="C74" s="101" t="s">
        <v>458</v>
      </c>
    </row>
    <row r="75" spans="1:3" x14ac:dyDescent="0.25">
      <c r="A75" s="99">
        <v>17</v>
      </c>
      <c r="B75" s="6" t="str">
        <f>IFERROR(VLOOKUP("G7",areaCercaDatiPerPosizioneSquadre,2,FALSE),"(G7)")</f>
        <v>(G7)</v>
      </c>
      <c r="C75" s="101" t="s">
        <v>459</v>
      </c>
    </row>
    <row r="76" spans="1:3" x14ac:dyDescent="0.25">
      <c r="A76" s="99">
        <v>17</v>
      </c>
      <c r="B76" s="6" t="str">
        <f>IFERROR(VLOOKUP("G8",areaCercaDatiPerPosizioneSquadre,2,FALSE),"(G8)")</f>
        <v>(G8)</v>
      </c>
      <c r="C76" s="101" t="s">
        <v>460</v>
      </c>
    </row>
    <row r="77" spans="1:3" x14ac:dyDescent="0.25">
      <c r="A77" s="99">
        <v>17</v>
      </c>
      <c r="B77" s="6" t="str">
        <f>IFERROR(VLOOKUP("G9",areaCercaDatiPerPosizioneSquadre,2,FALSE),"(G9)")</f>
        <v>(G9)</v>
      </c>
      <c r="C77" s="101" t="s">
        <v>461</v>
      </c>
    </row>
    <row r="78" spans="1:3" x14ac:dyDescent="0.25">
      <c r="A78" s="99">
        <v>17</v>
      </c>
      <c r="B78" s="6" t="str">
        <f>IFERROR(VLOOKUP("G10",areaCercaDatiPerPosizioneSquadre,2,FALSE),"(G10)")</f>
        <v>(G10)</v>
      </c>
      <c r="C78" s="101" t="s">
        <v>462</v>
      </c>
    </row>
    <row r="79" spans="1:3" x14ac:dyDescent="0.25">
      <c r="A79" s="99">
        <v>17</v>
      </c>
      <c r="B79" s="6" t="str">
        <f>IFERROR(VLOOKUP("H3",areaCercaDatiPerPosizioneSquadre,2,FALSE),"(H3)")</f>
        <v>(H3)</v>
      </c>
      <c r="C79" s="101" t="s">
        <v>463</v>
      </c>
    </row>
    <row r="80" spans="1:3" x14ac:dyDescent="0.25">
      <c r="A80" s="99">
        <v>17</v>
      </c>
      <c r="B80" s="6" t="str">
        <f>IFERROR(VLOOKUP("H4",areaCercaDatiPerPosizioneSquadre,2,FALSE),"(H4)")</f>
        <v>(H4)</v>
      </c>
      <c r="C80" s="101" t="s">
        <v>464</v>
      </c>
    </row>
    <row r="81" spans="1:3" x14ac:dyDescent="0.25">
      <c r="A81" s="99">
        <v>17</v>
      </c>
      <c r="B81" s="6" t="str">
        <f>IFERROR(VLOOKUP("H5",areaCercaDatiPerPosizioneSquadre,2,FALSE),"(H5)")</f>
        <v>(H5)</v>
      </c>
      <c r="C81" s="101" t="s">
        <v>465</v>
      </c>
    </row>
    <row r="82" spans="1:3" x14ac:dyDescent="0.25">
      <c r="A82" s="99">
        <v>17</v>
      </c>
      <c r="B82" s="6" t="str">
        <f>IFERROR(VLOOKUP("H6",areaCercaDatiPerPosizioneSquadre,2,FALSE),"(H6)")</f>
        <v>(H6)</v>
      </c>
      <c r="C82" s="101" t="s">
        <v>466</v>
      </c>
    </row>
    <row r="83" spans="1:3" x14ac:dyDescent="0.25">
      <c r="A83" s="99">
        <v>17</v>
      </c>
      <c r="B83" s="6" t="str">
        <f>IFERROR(VLOOKUP("H7",areaCercaDatiPerPosizioneSquadre,2,FALSE),"(H7)")</f>
        <v>(H7)</v>
      </c>
      <c r="C83" s="101" t="s">
        <v>467</v>
      </c>
    </row>
    <row r="84" spans="1:3" x14ac:dyDescent="0.25">
      <c r="A84" s="99">
        <v>17</v>
      </c>
      <c r="B84" s="6" t="str">
        <f>IFERROR(VLOOKUP("H8",areaCercaDatiPerPosizioneSquadre,2,FALSE),"(H8)")</f>
        <v>(H8)</v>
      </c>
      <c r="C84" s="101" t="s">
        <v>468</v>
      </c>
    </row>
    <row r="85" spans="1:3" x14ac:dyDescent="0.25">
      <c r="A85" s="99">
        <v>17</v>
      </c>
      <c r="B85" s="6" t="str">
        <f>IFERROR(VLOOKUP("H9",areaCercaDatiPerPosizioneSquadre,2,FALSE),"(H9)")</f>
        <v>(H9)</v>
      </c>
      <c r="C85" s="101" t="s">
        <v>469</v>
      </c>
    </row>
    <row r="86" spans="1:3" x14ac:dyDescent="0.25">
      <c r="A86" s="99">
        <v>17</v>
      </c>
      <c r="B86" s="6" t="str">
        <f>IFERROR(VLOOKUP("H10",areaCercaDatiPerPosizioneSquadre,2,FALSE),"(H10)")</f>
        <v>(H10)</v>
      </c>
      <c r="C86" s="101" t="s">
        <v>470</v>
      </c>
    </row>
    <row r="87" spans="1:3" x14ac:dyDescent="0.25">
      <c r="A87" s="99">
        <v>81</v>
      </c>
      <c r="B87" s="6" t="str">
        <f>IFERROR(VLOOKUP("I1",areaCercaDatiPerPosizioneSquadre,2,FALSE),"(I1)")</f>
        <v>(I1)</v>
      </c>
      <c r="C87" s="101" t="s">
        <v>471</v>
      </c>
    </row>
    <row r="88" spans="1:3" x14ac:dyDescent="0.25">
      <c r="A88" s="99">
        <v>81</v>
      </c>
      <c r="B88" s="6" t="str">
        <f>IFERROR(VLOOKUP("I2",areaCercaDatiPerPosizioneSquadre,2,FALSE),"(I2)")</f>
        <v>(I2)</v>
      </c>
      <c r="C88" s="101" t="s">
        <v>472</v>
      </c>
    </row>
    <row r="89" spans="1:3" x14ac:dyDescent="0.25">
      <c r="A89" s="99">
        <v>81</v>
      </c>
      <c r="B89" s="6" t="str">
        <f>IFERROR(VLOOKUP("I3",areaCercaDatiPerPosizioneSquadre,2,FALSE),"(I3)")</f>
        <v>(I3)</v>
      </c>
      <c r="C89" s="101" t="s">
        <v>473</v>
      </c>
    </row>
    <row r="90" spans="1:3" x14ac:dyDescent="0.25">
      <c r="A90" s="99">
        <v>81</v>
      </c>
      <c r="B90" s="6" t="str">
        <f>IFERROR(VLOOKUP("I4",areaCercaDatiPerPosizioneSquadre,2,FALSE),"(I4)")</f>
        <v>(I4)</v>
      </c>
      <c r="C90" s="101" t="s">
        <v>474</v>
      </c>
    </row>
    <row r="91" spans="1:3" x14ac:dyDescent="0.25">
      <c r="A91" s="99">
        <v>81</v>
      </c>
      <c r="B91" s="6" t="str">
        <f>IFERROR(VLOOKUP("I5",areaCercaDatiPerPosizioneSquadre,2,FALSE),"(I5)")</f>
        <v>(I5)</v>
      </c>
      <c r="C91" s="101" t="s">
        <v>475</v>
      </c>
    </row>
    <row r="92" spans="1:3" x14ac:dyDescent="0.25">
      <c r="A92" s="99">
        <v>81</v>
      </c>
      <c r="B92" s="6" t="str">
        <f>IFERROR(VLOOKUP("I6",areaCercaDatiPerPosizioneSquadre,2,FALSE),"(I6)")</f>
        <v>(I6)</v>
      </c>
      <c r="C92" s="101" t="s">
        <v>476</v>
      </c>
    </row>
    <row r="93" spans="1:3" x14ac:dyDescent="0.25">
      <c r="A93" s="99">
        <v>81</v>
      </c>
      <c r="B93" s="6" t="str">
        <f>IFERROR(VLOOKUP("I7",areaCercaDatiPerPosizioneSquadre,2,FALSE),"(I7)")</f>
        <v>(I7)</v>
      </c>
      <c r="C93" s="101" t="s">
        <v>477</v>
      </c>
    </row>
    <row r="94" spans="1:3" x14ac:dyDescent="0.25">
      <c r="A94" s="99">
        <v>81</v>
      </c>
      <c r="B94" s="6" t="str">
        <f>IFERROR(VLOOKUP("I8",areaCercaDatiPerPosizioneSquadre,2,FALSE),"(I8)")</f>
        <v>(I8)</v>
      </c>
      <c r="C94" s="101" t="s">
        <v>478</v>
      </c>
    </row>
    <row r="95" spans="1:3" x14ac:dyDescent="0.25">
      <c r="A95" s="99">
        <v>81</v>
      </c>
      <c r="B95" s="6" t="str">
        <f>IFERROR(VLOOKUP("I9",areaCercaDatiPerPosizioneSquadre,2,FALSE),"(I9)")</f>
        <v>(I9)</v>
      </c>
      <c r="C95" s="101" t="s">
        <v>479</v>
      </c>
    </row>
    <row r="96" spans="1:3" x14ac:dyDescent="0.25">
      <c r="A96" s="99">
        <v>81</v>
      </c>
      <c r="B96" s="6" t="str">
        <f>IFERROR(VLOOKUP("I10",areaCercaDatiPerPosizioneSquadre,2,FALSE),"(I10)")</f>
        <v>(I10)</v>
      </c>
      <c r="C96" s="101" t="s">
        <v>480</v>
      </c>
    </row>
    <row r="97" spans="1:3" x14ac:dyDescent="0.25">
      <c r="A97" s="99">
        <v>81</v>
      </c>
      <c r="B97" s="6" t="str">
        <f>IFERROR(VLOOKUP("J1",areaCercaDatiPerPosizioneSquadre,2,FALSE),"(J1)")</f>
        <v>(J1)</v>
      </c>
      <c r="C97" s="101" t="s">
        <v>481</v>
      </c>
    </row>
    <row r="98" spans="1:3" x14ac:dyDescent="0.25">
      <c r="A98" s="99">
        <v>81</v>
      </c>
      <c r="B98" s="6" t="str">
        <f>IFERROR(VLOOKUP("J2",areaCercaDatiPerPosizioneSquadre,2,FALSE),"(J2)")</f>
        <v>(J2)</v>
      </c>
      <c r="C98" s="101" t="s">
        <v>482</v>
      </c>
    </row>
    <row r="99" spans="1:3" x14ac:dyDescent="0.25">
      <c r="A99" s="99">
        <v>81</v>
      </c>
      <c r="B99" s="6" t="str">
        <f>IFERROR(VLOOKUP("J3",areaCercaDatiPerPosizioneSquadre,2,FALSE),"(J3)")</f>
        <v>(J3)</v>
      </c>
      <c r="C99" s="101" t="s">
        <v>483</v>
      </c>
    </row>
    <row r="100" spans="1:3" x14ac:dyDescent="0.25">
      <c r="A100" s="99">
        <v>81</v>
      </c>
      <c r="B100" s="6" t="str">
        <f>IFERROR(VLOOKUP("J4",areaCercaDatiPerPosizioneSquadre,2,FALSE),"(J4)")</f>
        <v>(J4)</v>
      </c>
      <c r="C100" s="101" t="s">
        <v>484</v>
      </c>
    </row>
    <row r="101" spans="1:3" x14ac:dyDescent="0.25">
      <c r="A101" s="99">
        <v>81</v>
      </c>
      <c r="B101" s="6" t="str">
        <f>IFERROR(VLOOKUP("J5",areaCercaDatiPerPosizioneSquadre,2,FALSE),"(J5)")</f>
        <v>(J5)</v>
      </c>
      <c r="C101" s="101" t="s">
        <v>485</v>
      </c>
    </row>
    <row r="102" spans="1:3" x14ac:dyDescent="0.25">
      <c r="A102" s="99">
        <v>81</v>
      </c>
      <c r="B102" s="6" t="str">
        <f>IFERROR(VLOOKUP("J6",areaCercaDatiPerPosizioneSquadre,2,FALSE),"(J6)")</f>
        <v>(J6)</v>
      </c>
      <c r="C102" s="101" t="s">
        <v>486</v>
      </c>
    </row>
    <row r="103" spans="1:3" x14ac:dyDescent="0.25">
      <c r="A103" s="99">
        <v>81</v>
      </c>
      <c r="B103" s="6" t="str">
        <f>IFERROR(VLOOKUP("J7",areaCercaDatiPerPosizioneSquadre,2,FALSE),"(J7)")</f>
        <v>(J7)</v>
      </c>
      <c r="C103" s="101" t="s">
        <v>487</v>
      </c>
    </row>
    <row r="104" spans="1:3" x14ac:dyDescent="0.25">
      <c r="A104" s="99">
        <v>81</v>
      </c>
      <c r="B104" s="6" t="str">
        <f>IFERROR(VLOOKUP("J8",areaCercaDatiPerPosizioneSquadre,2,FALSE),"(J8)")</f>
        <v>(J8)</v>
      </c>
      <c r="C104" s="101" t="s">
        <v>488</v>
      </c>
    </row>
    <row r="105" spans="1:3" x14ac:dyDescent="0.25">
      <c r="A105" s="99">
        <v>81</v>
      </c>
      <c r="B105" s="6" t="str">
        <f>IFERROR(VLOOKUP("J9",areaCercaDatiPerPosizioneSquadre,2,FALSE),"(J9)")</f>
        <v>(J9)</v>
      </c>
      <c r="C105" s="101" t="s">
        <v>489</v>
      </c>
    </row>
    <row r="106" spans="1:3" x14ac:dyDescent="0.25">
      <c r="A106" s="99">
        <v>81</v>
      </c>
      <c r="B106" s="6" t="str">
        <f>IFERROR(VLOOKUP("J10",areaCercaDatiPerPosizioneSquadre,2,FALSE),"(J10)")</f>
        <v>(J10)</v>
      </c>
      <c r="C106" s="101" t="s">
        <v>490</v>
      </c>
    </row>
    <row r="108" spans="1:3" x14ac:dyDescent="0.25">
      <c r="A108" s="39" t="s">
        <v>491</v>
      </c>
    </row>
  </sheetData>
  <mergeCells count="2">
    <mergeCell ref="A1:C2"/>
    <mergeCell ref="A3:C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1" t="str">
        <f>constNomeCampionato&amp;""</f>
        <v/>
      </c>
      <c r="B1" s="129"/>
      <c r="C1" s="129"/>
      <c r="D1" s="129"/>
    </row>
    <row r="2" spans="1:18" x14ac:dyDescent="0.25">
      <c r="A2" s="129"/>
      <c r="B2" s="129"/>
      <c r="C2" s="129"/>
      <c r="D2" s="129"/>
    </row>
    <row r="3" spans="1:18" ht="18" x14ac:dyDescent="0.25">
      <c r="A3" s="131" t="str">
        <f>"DESIGNAZIONI - Stagione "&amp;constStagionaCampionato</f>
        <v xml:space="preserve">DESIGNAZIONI - Stagione </v>
      </c>
      <c r="B3" s="129"/>
      <c r="C3" s="129"/>
      <c r="D3" s="129"/>
    </row>
    <row r="8" spans="1:18" ht="20.100000000000001" customHeight="1" x14ac:dyDescent="0.25">
      <c r="A8" s="42" t="str">
        <f>IF('Calendario A'!A8="","",'Calendario A'!A8)</f>
        <v>1A</v>
      </c>
      <c r="B8" s="139" t="str">
        <f>IF('Calendario A'!B8="","",'Calendario A'!B8)</f>
        <v>GIORNATA I - GIRONE A</v>
      </c>
      <c r="C8" s="124"/>
      <c r="D8" s="124"/>
      <c r="E8" s="124"/>
      <c r="F8" s="124"/>
      <c r="G8" s="124"/>
      <c r="H8" s="124"/>
      <c r="I8" s="124"/>
      <c r="J8" s="124"/>
      <c r="K8" s="124"/>
      <c r="L8" s="125"/>
      <c r="M8" s="203" t="s">
        <v>492</v>
      </c>
      <c r="N8" s="124"/>
      <c r="O8" s="125"/>
      <c r="P8" s="203" t="s">
        <v>493</v>
      </c>
      <c r="Q8" s="124"/>
      <c r="R8" s="125"/>
    </row>
    <row r="9" spans="1:18" ht="14.1" customHeight="1" x14ac:dyDescent="0.25">
      <c r="A9" s="43" t="s">
        <v>193</v>
      </c>
      <c r="B9" s="134" t="s">
        <v>175</v>
      </c>
      <c r="C9" s="125"/>
      <c r="D9" s="134" t="s">
        <v>182</v>
      </c>
      <c r="E9" s="125"/>
      <c r="F9" s="43" t="s">
        <v>194</v>
      </c>
      <c r="G9" s="43" t="s">
        <v>195</v>
      </c>
      <c r="H9" s="134" t="s">
        <v>196</v>
      </c>
      <c r="I9" s="125"/>
      <c r="J9" s="134" t="s">
        <v>197</v>
      </c>
      <c r="K9" s="124"/>
      <c r="L9" s="125"/>
      <c r="M9" s="102" t="s">
        <v>494</v>
      </c>
      <c r="N9" s="102" t="s">
        <v>495</v>
      </c>
      <c r="O9" s="102" t="s">
        <v>496</v>
      </c>
      <c r="P9" s="102" t="s">
        <v>497</v>
      </c>
      <c r="Q9" s="102" t="s">
        <v>498</v>
      </c>
      <c r="R9" s="102" t="s">
        <v>499</v>
      </c>
    </row>
    <row r="10" spans="1:18" ht="21.95" customHeight="1" x14ac:dyDescent="0.25">
      <c r="A10" s="137">
        <f>IF('Calendario A'!A10="","",'Calendario A'!A10)</f>
        <v>1</v>
      </c>
      <c r="B10" s="44" t="str">
        <f>IF('Calendario A'!B10="","",'Calendario A'!B10)</f>
        <v/>
      </c>
      <c r="C10" s="45" t="str">
        <f>IF('Calendario A'!C10="","",'Calendario A'!C10)</f>
        <v/>
      </c>
      <c r="D10" s="44" t="str">
        <f>IF('Calendario A'!D10="","",'Calendario A'!D10)</f>
        <v/>
      </c>
      <c r="E10" s="45" t="str">
        <f>IF('Calendario A'!E10="","",'Calendario A'!E10)</f>
        <v/>
      </c>
      <c r="F10" s="138" t="str">
        <f>IF('Calendario A'!F10="","",'Calendario A'!F10)</f>
        <v/>
      </c>
      <c r="G10" s="124"/>
      <c r="H10" s="124"/>
      <c r="I10" s="125"/>
      <c r="J10" s="202" t="str">
        <f>IF('Calendario A'!J10="","",'Calendario A'!J10)</f>
        <v/>
      </c>
      <c r="K10" s="201" t="s">
        <v>198</v>
      </c>
      <c r="L10" s="202" t="str">
        <f>IF('Calendario A'!L10="","",'Calendario A'!L10)</f>
        <v/>
      </c>
      <c r="M10" s="200"/>
      <c r="N10" s="200"/>
      <c r="O10" s="200"/>
      <c r="P10" s="200"/>
      <c r="Q10" s="200"/>
      <c r="R10" s="200"/>
    </row>
    <row r="11" spans="1:18" ht="15" customHeight="1" x14ac:dyDescent="0.25">
      <c r="A11" s="133"/>
      <c r="B11" s="136" t="str">
        <f>IF('Calendario A'!B11="","",'Calendario A'!B11)</f>
        <v/>
      </c>
      <c r="C11" s="124"/>
      <c r="D11" s="124"/>
      <c r="E11" s="124"/>
      <c r="F11" s="124"/>
      <c r="G11" s="124"/>
      <c r="H11" s="125"/>
      <c r="I11" s="45" t="str">
        <f>IF('Calendario A'!I11="","",'Calendario A'!I11)</f>
        <v/>
      </c>
      <c r="J11" s="133"/>
      <c r="K11" s="133"/>
      <c r="L11" s="133"/>
      <c r="M11" s="133"/>
      <c r="N11" s="133"/>
      <c r="O11" s="133"/>
      <c r="P11" s="133"/>
      <c r="Q11" s="133"/>
      <c r="R11" s="133"/>
    </row>
    <row r="12" spans="1:18" ht="14.1" customHeight="1" x14ac:dyDescent="0.25">
      <c r="A12" s="43" t="s">
        <v>193</v>
      </c>
      <c r="B12" s="134" t="s">
        <v>175</v>
      </c>
      <c r="C12" s="125"/>
      <c r="D12" s="134" t="s">
        <v>182</v>
      </c>
      <c r="E12" s="125"/>
      <c r="F12" s="43" t="s">
        <v>194</v>
      </c>
      <c r="G12" s="43" t="s">
        <v>195</v>
      </c>
      <c r="H12" s="134" t="s">
        <v>196</v>
      </c>
      <c r="I12" s="125"/>
      <c r="J12" s="134" t="s">
        <v>197</v>
      </c>
      <c r="K12" s="124"/>
      <c r="L12" s="125"/>
      <c r="M12" s="102" t="s">
        <v>494</v>
      </c>
      <c r="N12" s="102" t="s">
        <v>495</v>
      </c>
      <c r="O12" s="102" t="s">
        <v>496</v>
      </c>
      <c r="P12" s="102" t="s">
        <v>497</v>
      </c>
      <c r="Q12" s="102" t="s">
        <v>498</v>
      </c>
      <c r="R12" s="102" t="s">
        <v>499</v>
      </c>
    </row>
    <row r="13" spans="1:18" ht="21.95" customHeight="1" x14ac:dyDescent="0.25">
      <c r="A13" s="137">
        <f>IF('Calendario A'!A13="","",'Calendario A'!A13)</f>
        <v>2</v>
      </c>
      <c r="B13" s="44" t="str">
        <f>IF('Calendario A'!B13="","",'Calendario A'!B13)</f>
        <v/>
      </c>
      <c r="C13" s="45" t="str">
        <f>IF('Calendario A'!C13="","",'Calendario A'!C13)</f>
        <v/>
      </c>
      <c r="D13" s="44" t="str">
        <f>IF('Calendario A'!D13="","",'Calendario A'!D13)</f>
        <v/>
      </c>
      <c r="E13" s="45" t="str">
        <f>IF('Calendario A'!E13="","",'Calendario A'!E13)</f>
        <v/>
      </c>
      <c r="F13" s="138" t="str">
        <f>IF('Calendario A'!F13="","",'Calendario A'!F13)</f>
        <v/>
      </c>
      <c r="G13" s="124"/>
      <c r="H13" s="124"/>
      <c r="I13" s="125"/>
      <c r="J13" s="202" t="str">
        <f>IF('Calendario A'!J13="","",'Calendario A'!J13)</f>
        <v/>
      </c>
      <c r="K13" s="201" t="s">
        <v>198</v>
      </c>
      <c r="L13" s="202" t="str">
        <f>IF('Calendario A'!L13="","",'Calendario A'!L13)</f>
        <v/>
      </c>
      <c r="M13" s="200"/>
      <c r="N13" s="200"/>
      <c r="O13" s="200"/>
      <c r="P13" s="200"/>
      <c r="Q13" s="200"/>
      <c r="R13" s="200"/>
    </row>
    <row r="14" spans="1:18" ht="15" customHeight="1" x14ac:dyDescent="0.25">
      <c r="A14" s="133"/>
      <c r="B14" s="136" t="str">
        <f>IF('Calendario A'!B14="","",'Calendario A'!B14)</f>
        <v/>
      </c>
      <c r="C14" s="124"/>
      <c r="D14" s="124"/>
      <c r="E14" s="124"/>
      <c r="F14" s="124"/>
      <c r="G14" s="124"/>
      <c r="H14" s="125"/>
      <c r="I14" s="45" t="str">
        <f>IF('Calendario A'!I14="","",'Calendario A'!I14)</f>
        <v/>
      </c>
      <c r="J14" s="133"/>
      <c r="K14" s="133"/>
      <c r="L14" s="133"/>
      <c r="M14" s="133"/>
      <c r="N14" s="133"/>
      <c r="O14" s="133"/>
      <c r="P14" s="133"/>
      <c r="Q14" s="133"/>
      <c r="R14" s="133"/>
    </row>
    <row r="15" spans="1:18" ht="14.1" customHeight="1" x14ac:dyDescent="0.25">
      <c r="A15" s="43" t="s">
        <v>193</v>
      </c>
      <c r="B15" s="134" t="s">
        <v>175</v>
      </c>
      <c r="C15" s="125"/>
      <c r="D15" s="134" t="s">
        <v>182</v>
      </c>
      <c r="E15" s="125"/>
      <c r="F15" s="43" t="s">
        <v>194</v>
      </c>
      <c r="G15" s="43" t="s">
        <v>195</v>
      </c>
      <c r="H15" s="134" t="s">
        <v>196</v>
      </c>
      <c r="I15" s="125"/>
      <c r="J15" s="134" t="s">
        <v>197</v>
      </c>
      <c r="K15" s="124"/>
      <c r="L15" s="125"/>
      <c r="M15" s="102" t="s">
        <v>494</v>
      </c>
      <c r="N15" s="102" t="s">
        <v>495</v>
      </c>
      <c r="O15" s="102" t="s">
        <v>496</v>
      </c>
      <c r="P15" s="102" t="s">
        <v>497</v>
      </c>
      <c r="Q15" s="102" t="s">
        <v>498</v>
      </c>
      <c r="R15" s="102" t="s">
        <v>499</v>
      </c>
    </row>
    <row r="16" spans="1:18" ht="21.95" customHeight="1" x14ac:dyDescent="0.25">
      <c r="A16" s="137">
        <f>IF('Calendario A'!A16="","",'Calendario A'!A16)</f>
        <v>3</v>
      </c>
      <c r="B16" s="44" t="str">
        <f>IF('Calendario A'!B16="","",'Calendario A'!B16)</f>
        <v/>
      </c>
      <c r="C16" s="45" t="str">
        <f>IF('Calendario A'!C16="","",'Calendario A'!C16)</f>
        <v/>
      </c>
      <c r="D16" s="44" t="str">
        <f>IF('Calendario A'!D16="","",'Calendario A'!D16)</f>
        <v/>
      </c>
      <c r="E16" s="45" t="str">
        <f>IF('Calendario A'!E16="","",'Calendario A'!E16)</f>
        <v/>
      </c>
      <c r="F16" s="138" t="str">
        <f>IF('Calendario A'!F16="","",'Calendario A'!F16)</f>
        <v/>
      </c>
      <c r="G16" s="124"/>
      <c r="H16" s="124"/>
      <c r="I16" s="125"/>
      <c r="J16" s="202" t="str">
        <f>IF('Calendario A'!J16="","",'Calendario A'!J16)</f>
        <v/>
      </c>
      <c r="K16" s="201" t="s">
        <v>198</v>
      </c>
      <c r="L16" s="202" t="str">
        <f>IF('Calendario A'!L16="","",'Calendario A'!L16)</f>
        <v/>
      </c>
      <c r="M16" s="200"/>
      <c r="N16" s="200"/>
      <c r="O16" s="200"/>
      <c r="P16" s="200"/>
      <c r="Q16" s="200"/>
      <c r="R16" s="200"/>
    </row>
    <row r="17" spans="1:18" ht="15" customHeight="1" x14ac:dyDescent="0.25">
      <c r="A17" s="133"/>
      <c r="B17" s="136" t="str">
        <f>IF('Calendario A'!B17="","",'Calendario A'!B17)</f>
        <v/>
      </c>
      <c r="C17" s="124"/>
      <c r="D17" s="124"/>
      <c r="E17" s="124"/>
      <c r="F17" s="124"/>
      <c r="G17" s="124"/>
      <c r="H17" s="125"/>
      <c r="I17" s="45" t="str">
        <f>IF('Calendario A'!I17="","",'Calendario A'!I17)</f>
        <v/>
      </c>
      <c r="J17" s="133"/>
      <c r="K17" s="133"/>
      <c r="L17" s="133"/>
      <c r="M17" s="133"/>
      <c r="N17" s="133"/>
      <c r="O17" s="133"/>
      <c r="P17" s="133"/>
      <c r="Q17" s="133"/>
      <c r="R17" s="133"/>
    </row>
    <row r="18" spans="1:18" ht="14.1" customHeight="1" x14ac:dyDescent="0.25">
      <c r="A18" s="43" t="s">
        <v>193</v>
      </c>
      <c r="B18" s="134" t="s">
        <v>175</v>
      </c>
      <c r="C18" s="125"/>
      <c r="D18" s="134" t="s">
        <v>182</v>
      </c>
      <c r="E18" s="125"/>
      <c r="F18" s="43" t="s">
        <v>194</v>
      </c>
      <c r="G18" s="43" t="s">
        <v>195</v>
      </c>
      <c r="H18" s="134" t="s">
        <v>196</v>
      </c>
      <c r="I18" s="125"/>
      <c r="J18" s="134" t="s">
        <v>197</v>
      </c>
      <c r="K18" s="124"/>
      <c r="L18" s="125"/>
      <c r="M18" s="102" t="s">
        <v>494</v>
      </c>
      <c r="N18" s="102" t="s">
        <v>495</v>
      </c>
      <c r="O18" s="102" t="s">
        <v>496</v>
      </c>
      <c r="P18" s="102" t="s">
        <v>497</v>
      </c>
      <c r="Q18" s="102" t="s">
        <v>498</v>
      </c>
      <c r="R18" s="102" t="s">
        <v>499</v>
      </c>
    </row>
    <row r="19" spans="1:18" ht="21.95" customHeight="1" x14ac:dyDescent="0.25">
      <c r="A19" s="137">
        <f>IF('Calendario A'!A19="","",'Calendario A'!A19)</f>
        <v>4</v>
      </c>
      <c r="B19" s="44" t="str">
        <f>IF('Calendario A'!B19="","",'Calendario A'!B19)</f>
        <v/>
      </c>
      <c r="C19" s="45" t="str">
        <f>IF('Calendario A'!C19="","",'Calendario A'!C19)</f>
        <v/>
      </c>
      <c r="D19" s="44" t="str">
        <f>IF('Calendario A'!D19="","",'Calendario A'!D19)</f>
        <v/>
      </c>
      <c r="E19" s="45" t="str">
        <f>IF('Calendario A'!E19="","",'Calendario A'!E19)</f>
        <v/>
      </c>
      <c r="F19" s="138" t="str">
        <f>IF('Calendario A'!F19="","",'Calendario A'!F19)</f>
        <v/>
      </c>
      <c r="G19" s="124"/>
      <c r="H19" s="124"/>
      <c r="I19" s="125"/>
      <c r="J19" s="202" t="str">
        <f>IF('Calendario A'!J19="","",'Calendario A'!J19)</f>
        <v/>
      </c>
      <c r="K19" s="201" t="s">
        <v>198</v>
      </c>
      <c r="L19" s="202" t="str">
        <f>IF('Calendario A'!L19="","",'Calendario A'!L19)</f>
        <v/>
      </c>
      <c r="M19" s="200"/>
      <c r="N19" s="200"/>
      <c r="O19" s="200"/>
      <c r="P19" s="200"/>
      <c r="Q19" s="200"/>
      <c r="R19" s="200"/>
    </row>
    <row r="20" spans="1:18" ht="15" customHeight="1" x14ac:dyDescent="0.25">
      <c r="A20" s="133"/>
      <c r="B20" s="136" t="str">
        <f>IF('Calendario A'!B20="","",'Calendario A'!B20)</f>
        <v/>
      </c>
      <c r="C20" s="124"/>
      <c r="D20" s="124"/>
      <c r="E20" s="124"/>
      <c r="F20" s="124"/>
      <c r="G20" s="124"/>
      <c r="H20" s="125"/>
      <c r="I20" s="45" t="str">
        <f>IF('Calendario A'!I20="","",'Calendario A'!I20)</f>
        <v/>
      </c>
      <c r="J20" s="133"/>
      <c r="K20" s="133"/>
      <c r="L20" s="133"/>
      <c r="M20" s="133"/>
      <c r="N20" s="133"/>
      <c r="O20" s="133"/>
      <c r="P20" s="133"/>
      <c r="Q20" s="133"/>
      <c r="R20" s="133"/>
    </row>
    <row r="21" spans="1:18" ht="14.1" customHeight="1" x14ac:dyDescent="0.25">
      <c r="A21" s="43" t="s">
        <v>193</v>
      </c>
      <c r="B21" s="134" t="s">
        <v>175</v>
      </c>
      <c r="C21" s="125"/>
      <c r="D21" s="134" t="s">
        <v>182</v>
      </c>
      <c r="E21" s="125"/>
      <c r="F21" s="43" t="s">
        <v>194</v>
      </c>
      <c r="G21" s="43" t="s">
        <v>195</v>
      </c>
      <c r="H21" s="134" t="s">
        <v>196</v>
      </c>
      <c r="I21" s="125"/>
      <c r="J21" s="134" t="s">
        <v>197</v>
      </c>
      <c r="K21" s="124"/>
      <c r="L21" s="125"/>
      <c r="M21" s="102" t="s">
        <v>494</v>
      </c>
      <c r="N21" s="102" t="s">
        <v>495</v>
      </c>
      <c r="O21" s="102" t="s">
        <v>496</v>
      </c>
      <c r="P21" s="102" t="s">
        <v>497</v>
      </c>
      <c r="Q21" s="102" t="s">
        <v>498</v>
      </c>
      <c r="R21" s="102" t="s">
        <v>499</v>
      </c>
    </row>
    <row r="22" spans="1:18" ht="21.95" customHeight="1" x14ac:dyDescent="0.25">
      <c r="A22" s="137">
        <f>IF('Calendario A'!A22="","",'Calendario A'!A22)</f>
        <v>5</v>
      </c>
      <c r="B22" s="44" t="str">
        <f>IF('Calendario A'!B22="","",'Calendario A'!B22)</f>
        <v/>
      </c>
      <c r="C22" s="45" t="str">
        <f>IF('Calendario A'!C22="","",'Calendario A'!C22)</f>
        <v/>
      </c>
      <c r="D22" s="44" t="str">
        <f>IF('Calendario A'!D22="","",'Calendario A'!D22)</f>
        <v/>
      </c>
      <c r="E22" s="45" t="str">
        <f>IF('Calendario A'!E22="","",'Calendario A'!E22)</f>
        <v/>
      </c>
      <c r="F22" s="138" t="str">
        <f>IF('Calendario A'!F22="","",'Calendario A'!F22)</f>
        <v/>
      </c>
      <c r="G22" s="124"/>
      <c r="H22" s="124"/>
      <c r="I22" s="125"/>
      <c r="J22" s="202" t="str">
        <f>IF('Calendario A'!J22="","",'Calendario A'!J22)</f>
        <v/>
      </c>
      <c r="K22" s="201" t="s">
        <v>198</v>
      </c>
      <c r="L22" s="202" t="str">
        <f>IF('Calendario A'!L22="","",'Calendario A'!L22)</f>
        <v/>
      </c>
      <c r="M22" s="200"/>
      <c r="N22" s="200"/>
      <c r="O22" s="200"/>
      <c r="P22" s="200"/>
      <c r="Q22" s="200"/>
      <c r="R22" s="200"/>
    </row>
    <row r="23" spans="1:18" ht="15" customHeight="1" x14ac:dyDescent="0.25">
      <c r="A23" s="133"/>
      <c r="B23" s="136" t="str">
        <f>IF('Calendario A'!B23="","",'Calendario A'!B23)</f>
        <v/>
      </c>
      <c r="C23" s="124"/>
      <c r="D23" s="124"/>
      <c r="E23" s="124"/>
      <c r="F23" s="124"/>
      <c r="G23" s="124"/>
      <c r="H23" s="125"/>
      <c r="I23" s="45" t="str">
        <f>IF('Calendario A'!I23="","",'Calendario A'!I23)</f>
        <v/>
      </c>
      <c r="J23" s="133"/>
      <c r="K23" s="133"/>
      <c r="L23" s="133"/>
      <c r="M23" s="133"/>
      <c r="N23" s="133"/>
      <c r="O23" s="133"/>
      <c r="P23" s="133"/>
      <c r="Q23" s="133"/>
      <c r="R23" s="133"/>
    </row>
    <row r="25" spans="1:18" ht="20.100000000000001" customHeight="1" x14ac:dyDescent="0.25">
      <c r="A25" s="42" t="str">
        <f>IF('Calendario A'!A25="","",'Calendario A'!A25)</f>
        <v>2A</v>
      </c>
      <c r="B25" s="139" t="str">
        <f>IF('Calendario A'!B25="","",'Calendario A'!B25)</f>
        <v>GIORNATA II - GIRONE A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5"/>
      <c r="M25" s="203" t="s">
        <v>492</v>
      </c>
      <c r="N25" s="124"/>
      <c r="O25" s="125"/>
      <c r="P25" s="203" t="s">
        <v>493</v>
      </c>
      <c r="Q25" s="124"/>
      <c r="R25" s="125"/>
    </row>
    <row r="26" spans="1:18" ht="14.1" customHeight="1" x14ac:dyDescent="0.25">
      <c r="A26" s="43" t="s">
        <v>193</v>
      </c>
      <c r="B26" s="134" t="s">
        <v>175</v>
      </c>
      <c r="C26" s="125"/>
      <c r="D26" s="134" t="s">
        <v>182</v>
      </c>
      <c r="E26" s="125"/>
      <c r="F26" s="43" t="s">
        <v>194</v>
      </c>
      <c r="G26" s="43" t="s">
        <v>195</v>
      </c>
      <c r="H26" s="134" t="s">
        <v>196</v>
      </c>
      <c r="I26" s="125"/>
      <c r="J26" s="134" t="s">
        <v>197</v>
      </c>
      <c r="K26" s="124"/>
      <c r="L26" s="125"/>
      <c r="M26" s="102" t="s">
        <v>494</v>
      </c>
      <c r="N26" s="102" t="s">
        <v>495</v>
      </c>
      <c r="O26" s="102" t="s">
        <v>496</v>
      </c>
      <c r="P26" s="102" t="s">
        <v>497</v>
      </c>
      <c r="Q26" s="102" t="s">
        <v>498</v>
      </c>
      <c r="R26" s="102" t="s">
        <v>499</v>
      </c>
    </row>
    <row r="27" spans="1:18" ht="21.95" customHeight="1" x14ac:dyDescent="0.25">
      <c r="A27" s="137">
        <f>IF('Calendario A'!A27="","",'Calendario A'!A27)</f>
        <v>6</v>
      </c>
      <c r="B27" s="44" t="str">
        <f>IF('Calendario A'!B27="","",'Calendario A'!B27)</f>
        <v/>
      </c>
      <c r="C27" s="45" t="str">
        <f>IF('Calendario A'!C27="","",'Calendario A'!C27)</f>
        <v/>
      </c>
      <c r="D27" s="44" t="str">
        <f>IF('Calendario A'!D27="","",'Calendario A'!D27)</f>
        <v/>
      </c>
      <c r="E27" s="45" t="str">
        <f>IF('Calendario A'!E27="","",'Calendario A'!E27)</f>
        <v/>
      </c>
      <c r="F27" s="138" t="str">
        <f>IF('Calendario A'!F27="","",'Calendario A'!F27)</f>
        <v/>
      </c>
      <c r="G27" s="124"/>
      <c r="H27" s="124"/>
      <c r="I27" s="125"/>
      <c r="J27" s="202" t="str">
        <f>IF('Calendario A'!J27="","",'Calendario A'!J27)</f>
        <v/>
      </c>
      <c r="K27" s="201" t="s">
        <v>198</v>
      </c>
      <c r="L27" s="202" t="str">
        <f>IF('Calendario A'!L27="","",'Calendario A'!L27)</f>
        <v/>
      </c>
      <c r="M27" s="200"/>
      <c r="N27" s="200"/>
      <c r="O27" s="200"/>
      <c r="P27" s="200"/>
      <c r="Q27" s="200"/>
      <c r="R27" s="200"/>
    </row>
    <row r="28" spans="1:18" ht="15" customHeight="1" x14ac:dyDescent="0.25">
      <c r="A28" s="133"/>
      <c r="B28" s="136" t="str">
        <f>IF('Calendario A'!B28="","",'Calendario A'!B28)</f>
        <v/>
      </c>
      <c r="C28" s="124"/>
      <c r="D28" s="124"/>
      <c r="E28" s="124"/>
      <c r="F28" s="124"/>
      <c r="G28" s="124"/>
      <c r="H28" s="125"/>
      <c r="I28" s="45" t="str">
        <f>IF('Calendario A'!I28="","",'Calendario A'!I28)</f>
        <v/>
      </c>
      <c r="J28" s="133"/>
      <c r="K28" s="133"/>
      <c r="L28" s="133"/>
      <c r="M28" s="133"/>
      <c r="N28" s="133"/>
      <c r="O28" s="133"/>
      <c r="P28" s="133"/>
      <c r="Q28" s="133"/>
      <c r="R28" s="133"/>
    </row>
    <row r="29" spans="1:18" ht="14.1" customHeight="1" x14ac:dyDescent="0.25">
      <c r="A29" s="43" t="s">
        <v>193</v>
      </c>
      <c r="B29" s="134" t="s">
        <v>175</v>
      </c>
      <c r="C29" s="125"/>
      <c r="D29" s="134" t="s">
        <v>182</v>
      </c>
      <c r="E29" s="125"/>
      <c r="F29" s="43" t="s">
        <v>194</v>
      </c>
      <c r="G29" s="43" t="s">
        <v>195</v>
      </c>
      <c r="H29" s="134" t="s">
        <v>196</v>
      </c>
      <c r="I29" s="125"/>
      <c r="J29" s="134" t="s">
        <v>197</v>
      </c>
      <c r="K29" s="124"/>
      <c r="L29" s="125"/>
      <c r="M29" s="102" t="s">
        <v>494</v>
      </c>
      <c r="N29" s="102" t="s">
        <v>495</v>
      </c>
      <c r="O29" s="102" t="s">
        <v>496</v>
      </c>
      <c r="P29" s="102" t="s">
        <v>497</v>
      </c>
      <c r="Q29" s="102" t="s">
        <v>498</v>
      </c>
      <c r="R29" s="102" t="s">
        <v>499</v>
      </c>
    </row>
    <row r="30" spans="1:18" ht="21.95" customHeight="1" x14ac:dyDescent="0.25">
      <c r="A30" s="137">
        <f>IF('Calendario A'!A30="","",'Calendario A'!A30)</f>
        <v>7</v>
      </c>
      <c r="B30" s="44" t="str">
        <f>IF('Calendario A'!B30="","",'Calendario A'!B30)</f>
        <v/>
      </c>
      <c r="C30" s="45" t="str">
        <f>IF('Calendario A'!C30="","",'Calendario A'!C30)</f>
        <v/>
      </c>
      <c r="D30" s="44" t="str">
        <f>IF('Calendario A'!D30="","",'Calendario A'!D30)</f>
        <v/>
      </c>
      <c r="E30" s="45" t="str">
        <f>IF('Calendario A'!E30="","",'Calendario A'!E30)</f>
        <v/>
      </c>
      <c r="F30" s="138" t="str">
        <f>IF('Calendario A'!F30="","",'Calendario A'!F30)</f>
        <v/>
      </c>
      <c r="G30" s="124"/>
      <c r="H30" s="124"/>
      <c r="I30" s="125"/>
      <c r="J30" s="202" t="str">
        <f>IF('Calendario A'!J30="","",'Calendario A'!J30)</f>
        <v/>
      </c>
      <c r="K30" s="201" t="s">
        <v>198</v>
      </c>
      <c r="L30" s="202" t="str">
        <f>IF('Calendario A'!L30="","",'Calendario A'!L30)</f>
        <v/>
      </c>
      <c r="M30" s="200"/>
      <c r="N30" s="200"/>
      <c r="O30" s="200"/>
      <c r="P30" s="200"/>
      <c r="Q30" s="200"/>
      <c r="R30" s="200"/>
    </row>
    <row r="31" spans="1:18" ht="15" customHeight="1" x14ac:dyDescent="0.25">
      <c r="A31" s="133"/>
      <c r="B31" s="136" t="str">
        <f>IF('Calendario A'!B31="","",'Calendario A'!B31)</f>
        <v/>
      </c>
      <c r="C31" s="124"/>
      <c r="D31" s="124"/>
      <c r="E31" s="124"/>
      <c r="F31" s="124"/>
      <c r="G31" s="124"/>
      <c r="H31" s="125"/>
      <c r="I31" s="45" t="str">
        <f>IF('Calendario A'!I31="","",'Calendario A'!I31)</f>
        <v/>
      </c>
      <c r="J31" s="133"/>
      <c r="K31" s="133"/>
      <c r="L31" s="133"/>
      <c r="M31" s="133"/>
      <c r="N31" s="133"/>
      <c r="O31" s="133"/>
      <c r="P31" s="133"/>
      <c r="Q31" s="133"/>
      <c r="R31" s="133"/>
    </row>
    <row r="32" spans="1:18" ht="14.1" customHeight="1" x14ac:dyDescent="0.25">
      <c r="A32" s="43" t="s">
        <v>193</v>
      </c>
      <c r="B32" s="134" t="s">
        <v>175</v>
      </c>
      <c r="C32" s="125"/>
      <c r="D32" s="134" t="s">
        <v>182</v>
      </c>
      <c r="E32" s="125"/>
      <c r="F32" s="43" t="s">
        <v>194</v>
      </c>
      <c r="G32" s="43" t="s">
        <v>195</v>
      </c>
      <c r="H32" s="134" t="s">
        <v>196</v>
      </c>
      <c r="I32" s="125"/>
      <c r="J32" s="134" t="s">
        <v>197</v>
      </c>
      <c r="K32" s="124"/>
      <c r="L32" s="125"/>
      <c r="M32" s="102" t="s">
        <v>494</v>
      </c>
      <c r="N32" s="102" t="s">
        <v>495</v>
      </c>
      <c r="O32" s="102" t="s">
        <v>496</v>
      </c>
      <c r="P32" s="102" t="s">
        <v>497</v>
      </c>
      <c r="Q32" s="102" t="s">
        <v>498</v>
      </c>
      <c r="R32" s="102" t="s">
        <v>499</v>
      </c>
    </row>
    <row r="33" spans="1:18" ht="21.95" customHeight="1" x14ac:dyDescent="0.25">
      <c r="A33" s="137">
        <f>IF('Calendario A'!A33="","",'Calendario A'!A33)</f>
        <v>8</v>
      </c>
      <c r="B33" s="44" t="str">
        <f>IF('Calendario A'!B33="","",'Calendario A'!B33)</f>
        <v/>
      </c>
      <c r="C33" s="45" t="str">
        <f>IF('Calendario A'!C33="","",'Calendario A'!C33)</f>
        <v/>
      </c>
      <c r="D33" s="44" t="str">
        <f>IF('Calendario A'!D33="","",'Calendario A'!D33)</f>
        <v/>
      </c>
      <c r="E33" s="45" t="str">
        <f>IF('Calendario A'!E33="","",'Calendario A'!E33)</f>
        <v/>
      </c>
      <c r="F33" s="138" t="str">
        <f>IF('Calendario A'!F33="","",'Calendario A'!F33)</f>
        <v/>
      </c>
      <c r="G33" s="124"/>
      <c r="H33" s="124"/>
      <c r="I33" s="125"/>
      <c r="J33" s="202" t="str">
        <f>IF('Calendario A'!J33="","",'Calendario A'!J33)</f>
        <v/>
      </c>
      <c r="K33" s="201" t="s">
        <v>198</v>
      </c>
      <c r="L33" s="202" t="str">
        <f>IF('Calendario A'!L33="","",'Calendario A'!L33)</f>
        <v/>
      </c>
      <c r="M33" s="200"/>
      <c r="N33" s="200"/>
      <c r="O33" s="200"/>
      <c r="P33" s="200"/>
      <c r="Q33" s="200"/>
      <c r="R33" s="200"/>
    </row>
    <row r="34" spans="1:18" ht="15" customHeight="1" x14ac:dyDescent="0.25">
      <c r="A34" s="133"/>
      <c r="B34" s="136" t="str">
        <f>IF('Calendario A'!B34="","",'Calendario A'!B34)</f>
        <v/>
      </c>
      <c r="C34" s="124"/>
      <c r="D34" s="124"/>
      <c r="E34" s="124"/>
      <c r="F34" s="124"/>
      <c r="G34" s="124"/>
      <c r="H34" s="125"/>
      <c r="I34" s="45" t="str">
        <f>IF('Calendario A'!I34="","",'Calendario A'!I34)</f>
        <v/>
      </c>
      <c r="J34" s="133"/>
      <c r="K34" s="133"/>
      <c r="L34" s="133"/>
      <c r="M34" s="133"/>
      <c r="N34" s="133"/>
      <c r="O34" s="133"/>
      <c r="P34" s="133"/>
      <c r="Q34" s="133"/>
      <c r="R34" s="133"/>
    </row>
    <row r="35" spans="1:18" ht="14.1" customHeight="1" x14ac:dyDescent="0.25">
      <c r="A35" s="43" t="s">
        <v>193</v>
      </c>
      <c r="B35" s="134" t="s">
        <v>175</v>
      </c>
      <c r="C35" s="125"/>
      <c r="D35" s="134" t="s">
        <v>182</v>
      </c>
      <c r="E35" s="125"/>
      <c r="F35" s="43" t="s">
        <v>194</v>
      </c>
      <c r="G35" s="43" t="s">
        <v>195</v>
      </c>
      <c r="H35" s="134" t="s">
        <v>196</v>
      </c>
      <c r="I35" s="125"/>
      <c r="J35" s="134" t="s">
        <v>197</v>
      </c>
      <c r="K35" s="124"/>
      <c r="L35" s="125"/>
      <c r="M35" s="102" t="s">
        <v>494</v>
      </c>
      <c r="N35" s="102" t="s">
        <v>495</v>
      </c>
      <c r="O35" s="102" t="s">
        <v>496</v>
      </c>
      <c r="P35" s="102" t="s">
        <v>497</v>
      </c>
      <c r="Q35" s="102" t="s">
        <v>498</v>
      </c>
      <c r="R35" s="102" t="s">
        <v>499</v>
      </c>
    </row>
    <row r="36" spans="1:18" ht="21.95" customHeight="1" x14ac:dyDescent="0.25">
      <c r="A36" s="137">
        <f>IF('Calendario A'!A36="","",'Calendario A'!A36)</f>
        <v>9</v>
      </c>
      <c r="B36" s="44" t="str">
        <f>IF('Calendario A'!B36="","",'Calendario A'!B36)</f>
        <v/>
      </c>
      <c r="C36" s="45" t="str">
        <f>IF('Calendario A'!C36="","",'Calendario A'!C36)</f>
        <v/>
      </c>
      <c r="D36" s="44" t="str">
        <f>IF('Calendario A'!D36="","",'Calendario A'!D36)</f>
        <v/>
      </c>
      <c r="E36" s="45" t="str">
        <f>IF('Calendario A'!E36="","",'Calendario A'!E36)</f>
        <v/>
      </c>
      <c r="F36" s="138" t="str">
        <f>IF('Calendario A'!F36="","",'Calendario A'!F36)</f>
        <v/>
      </c>
      <c r="G36" s="124"/>
      <c r="H36" s="124"/>
      <c r="I36" s="125"/>
      <c r="J36" s="202" t="str">
        <f>IF('Calendario A'!J36="","",'Calendario A'!J36)</f>
        <v/>
      </c>
      <c r="K36" s="201" t="s">
        <v>198</v>
      </c>
      <c r="L36" s="202" t="str">
        <f>IF('Calendario A'!L36="","",'Calendario A'!L36)</f>
        <v/>
      </c>
      <c r="M36" s="200"/>
      <c r="N36" s="200"/>
      <c r="O36" s="200"/>
      <c r="P36" s="200"/>
      <c r="Q36" s="200"/>
      <c r="R36" s="200"/>
    </row>
    <row r="37" spans="1:18" ht="15" customHeight="1" x14ac:dyDescent="0.25">
      <c r="A37" s="133"/>
      <c r="B37" s="136" t="str">
        <f>IF('Calendario A'!B37="","",'Calendario A'!B37)</f>
        <v/>
      </c>
      <c r="C37" s="124"/>
      <c r="D37" s="124"/>
      <c r="E37" s="124"/>
      <c r="F37" s="124"/>
      <c r="G37" s="124"/>
      <c r="H37" s="125"/>
      <c r="I37" s="45" t="str">
        <f>IF('Calendario A'!I37="","",'Calendario A'!I37)</f>
        <v/>
      </c>
      <c r="J37" s="133"/>
      <c r="K37" s="133"/>
      <c r="L37" s="133"/>
      <c r="M37" s="133"/>
      <c r="N37" s="133"/>
      <c r="O37" s="133"/>
      <c r="P37" s="133"/>
      <c r="Q37" s="133"/>
      <c r="R37" s="133"/>
    </row>
    <row r="38" spans="1:18" ht="14.1" customHeight="1" x14ac:dyDescent="0.25">
      <c r="A38" s="43" t="s">
        <v>193</v>
      </c>
      <c r="B38" s="134" t="s">
        <v>175</v>
      </c>
      <c r="C38" s="125"/>
      <c r="D38" s="134" t="s">
        <v>182</v>
      </c>
      <c r="E38" s="125"/>
      <c r="F38" s="43" t="s">
        <v>194</v>
      </c>
      <c r="G38" s="43" t="s">
        <v>195</v>
      </c>
      <c r="H38" s="134" t="s">
        <v>196</v>
      </c>
      <c r="I38" s="125"/>
      <c r="J38" s="134" t="s">
        <v>197</v>
      </c>
      <c r="K38" s="124"/>
      <c r="L38" s="125"/>
      <c r="M38" s="102" t="s">
        <v>494</v>
      </c>
      <c r="N38" s="102" t="s">
        <v>495</v>
      </c>
      <c r="O38" s="102" t="s">
        <v>496</v>
      </c>
      <c r="P38" s="102" t="s">
        <v>497</v>
      </c>
      <c r="Q38" s="102" t="s">
        <v>498</v>
      </c>
      <c r="R38" s="102" t="s">
        <v>499</v>
      </c>
    </row>
    <row r="39" spans="1:18" ht="21.95" customHeight="1" x14ac:dyDescent="0.25">
      <c r="A39" s="137">
        <f>IF('Calendario A'!A39="","",'Calendario A'!A39)</f>
        <v>10</v>
      </c>
      <c r="B39" s="44" t="str">
        <f>IF('Calendario A'!B39="","",'Calendario A'!B39)</f>
        <v/>
      </c>
      <c r="C39" s="45" t="str">
        <f>IF('Calendario A'!C39="","",'Calendario A'!C39)</f>
        <v/>
      </c>
      <c r="D39" s="44" t="str">
        <f>IF('Calendario A'!D39="","",'Calendario A'!D39)</f>
        <v/>
      </c>
      <c r="E39" s="45" t="str">
        <f>IF('Calendario A'!E39="","",'Calendario A'!E39)</f>
        <v/>
      </c>
      <c r="F39" s="138" t="str">
        <f>IF('Calendario A'!F39="","",'Calendario A'!F39)</f>
        <v/>
      </c>
      <c r="G39" s="124"/>
      <c r="H39" s="124"/>
      <c r="I39" s="125"/>
      <c r="J39" s="202" t="str">
        <f>IF('Calendario A'!J39="","",'Calendario A'!J39)</f>
        <v/>
      </c>
      <c r="K39" s="201" t="s">
        <v>198</v>
      </c>
      <c r="L39" s="202" t="str">
        <f>IF('Calendario A'!L39="","",'Calendario A'!L39)</f>
        <v/>
      </c>
      <c r="M39" s="200"/>
      <c r="N39" s="200"/>
      <c r="O39" s="200"/>
      <c r="P39" s="200"/>
      <c r="Q39" s="200"/>
      <c r="R39" s="200"/>
    </row>
    <row r="40" spans="1:18" ht="15" customHeight="1" x14ac:dyDescent="0.25">
      <c r="A40" s="133"/>
      <c r="B40" s="136" t="str">
        <f>IF('Calendario A'!B40="","",'Calendario A'!B40)</f>
        <v/>
      </c>
      <c r="C40" s="124"/>
      <c r="D40" s="124"/>
      <c r="E40" s="124"/>
      <c r="F40" s="124"/>
      <c r="G40" s="124"/>
      <c r="H40" s="125"/>
      <c r="I40" s="45" t="str">
        <f>IF('Calendario A'!I40="","",'Calendario A'!I40)</f>
        <v/>
      </c>
      <c r="J40" s="133"/>
      <c r="K40" s="133"/>
      <c r="L40" s="133"/>
      <c r="M40" s="133"/>
      <c r="N40" s="133"/>
      <c r="O40" s="133"/>
      <c r="P40" s="133"/>
      <c r="Q40" s="133"/>
      <c r="R40" s="133"/>
    </row>
    <row r="42" spans="1:18" ht="20.100000000000001" customHeight="1" x14ac:dyDescent="0.25">
      <c r="A42" s="42" t="str">
        <f>IF('Calendario A'!A42="","",'Calendario A'!A42)</f>
        <v>3A</v>
      </c>
      <c r="B42" s="139" t="str">
        <f>IF('Calendario A'!B42="","",'Calendario A'!B42)</f>
        <v>GIORNATA III - GIRONE A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5"/>
      <c r="M42" s="203" t="s">
        <v>492</v>
      </c>
      <c r="N42" s="124"/>
      <c r="O42" s="125"/>
      <c r="P42" s="203" t="s">
        <v>493</v>
      </c>
      <c r="Q42" s="124"/>
      <c r="R42" s="125"/>
    </row>
    <row r="43" spans="1:18" ht="14.1" customHeight="1" x14ac:dyDescent="0.25">
      <c r="A43" s="43" t="s">
        <v>193</v>
      </c>
      <c r="B43" s="134" t="s">
        <v>175</v>
      </c>
      <c r="C43" s="125"/>
      <c r="D43" s="134" t="s">
        <v>182</v>
      </c>
      <c r="E43" s="125"/>
      <c r="F43" s="43" t="s">
        <v>194</v>
      </c>
      <c r="G43" s="43" t="s">
        <v>195</v>
      </c>
      <c r="H43" s="134" t="s">
        <v>196</v>
      </c>
      <c r="I43" s="125"/>
      <c r="J43" s="134" t="s">
        <v>197</v>
      </c>
      <c r="K43" s="124"/>
      <c r="L43" s="125"/>
      <c r="M43" s="102" t="s">
        <v>494</v>
      </c>
      <c r="N43" s="102" t="s">
        <v>495</v>
      </c>
      <c r="O43" s="102" t="s">
        <v>496</v>
      </c>
      <c r="P43" s="102" t="s">
        <v>497</v>
      </c>
      <c r="Q43" s="102" t="s">
        <v>498</v>
      </c>
      <c r="R43" s="102" t="s">
        <v>499</v>
      </c>
    </row>
    <row r="44" spans="1:18" ht="21.95" customHeight="1" x14ac:dyDescent="0.25">
      <c r="A44" s="137">
        <f>IF('Calendario A'!A44="","",'Calendario A'!A44)</f>
        <v>11</v>
      </c>
      <c r="B44" s="44" t="str">
        <f>IF('Calendario A'!B44="","",'Calendario A'!B44)</f>
        <v/>
      </c>
      <c r="C44" s="45" t="str">
        <f>IF('Calendario A'!C44="","",'Calendario A'!C44)</f>
        <v/>
      </c>
      <c r="D44" s="44" t="str">
        <f>IF('Calendario A'!D44="","",'Calendario A'!D44)</f>
        <v/>
      </c>
      <c r="E44" s="45" t="str">
        <f>IF('Calendario A'!E44="","",'Calendario A'!E44)</f>
        <v/>
      </c>
      <c r="F44" s="138" t="str">
        <f>IF('Calendario A'!F44="","",'Calendario A'!F44)</f>
        <v/>
      </c>
      <c r="G44" s="124"/>
      <c r="H44" s="124"/>
      <c r="I44" s="125"/>
      <c r="J44" s="202" t="str">
        <f>IF('Calendario A'!J44="","",'Calendario A'!J44)</f>
        <v/>
      </c>
      <c r="K44" s="201" t="s">
        <v>198</v>
      </c>
      <c r="L44" s="202" t="str">
        <f>IF('Calendario A'!L44="","",'Calendario A'!L44)</f>
        <v/>
      </c>
      <c r="M44" s="200"/>
      <c r="N44" s="200"/>
      <c r="O44" s="200"/>
      <c r="P44" s="200"/>
      <c r="Q44" s="200"/>
      <c r="R44" s="200"/>
    </row>
    <row r="45" spans="1:18" ht="15" customHeight="1" x14ac:dyDescent="0.25">
      <c r="A45" s="133"/>
      <c r="B45" s="136" t="str">
        <f>IF('Calendario A'!B45="","",'Calendario A'!B45)</f>
        <v/>
      </c>
      <c r="C45" s="124"/>
      <c r="D45" s="124"/>
      <c r="E45" s="124"/>
      <c r="F45" s="124"/>
      <c r="G45" s="124"/>
      <c r="H45" s="125"/>
      <c r="I45" s="45" t="str">
        <f>IF('Calendario A'!I45="","",'Calendario A'!I45)</f>
        <v/>
      </c>
      <c r="J45" s="133"/>
      <c r="K45" s="133"/>
      <c r="L45" s="133"/>
      <c r="M45" s="133"/>
      <c r="N45" s="133"/>
      <c r="O45" s="133"/>
      <c r="P45" s="133"/>
      <c r="Q45" s="133"/>
      <c r="R45" s="133"/>
    </row>
    <row r="46" spans="1:18" ht="14.1" customHeight="1" x14ac:dyDescent="0.25">
      <c r="A46" s="43" t="s">
        <v>193</v>
      </c>
      <c r="B46" s="134" t="s">
        <v>175</v>
      </c>
      <c r="C46" s="125"/>
      <c r="D46" s="134" t="s">
        <v>182</v>
      </c>
      <c r="E46" s="125"/>
      <c r="F46" s="43" t="s">
        <v>194</v>
      </c>
      <c r="G46" s="43" t="s">
        <v>195</v>
      </c>
      <c r="H46" s="134" t="s">
        <v>196</v>
      </c>
      <c r="I46" s="125"/>
      <c r="J46" s="134" t="s">
        <v>197</v>
      </c>
      <c r="K46" s="124"/>
      <c r="L46" s="125"/>
      <c r="M46" s="102" t="s">
        <v>494</v>
      </c>
      <c r="N46" s="102" t="s">
        <v>495</v>
      </c>
      <c r="O46" s="102" t="s">
        <v>496</v>
      </c>
      <c r="P46" s="102" t="s">
        <v>497</v>
      </c>
      <c r="Q46" s="102" t="s">
        <v>498</v>
      </c>
      <c r="R46" s="102" t="s">
        <v>499</v>
      </c>
    </row>
    <row r="47" spans="1:18" ht="21.95" customHeight="1" x14ac:dyDescent="0.25">
      <c r="A47" s="137">
        <f>IF('Calendario A'!A47="","",'Calendario A'!A47)</f>
        <v>12</v>
      </c>
      <c r="B47" s="44" t="str">
        <f>IF('Calendario A'!B47="","",'Calendario A'!B47)</f>
        <v/>
      </c>
      <c r="C47" s="45" t="str">
        <f>IF('Calendario A'!C47="","",'Calendario A'!C47)</f>
        <v/>
      </c>
      <c r="D47" s="44" t="str">
        <f>IF('Calendario A'!D47="","",'Calendario A'!D47)</f>
        <v/>
      </c>
      <c r="E47" s="45" t="str">
        <f>IF('Calendario A'!E47="","",'Calendario A'!E47)</f>
        <v/>
      </c>
      <c r="F47" s="138" t="str">
        <f>IF('Calendario A'!F47="","",'Calendario A'!F47)</f>
        <v/>
      </c>
      <c r="G47" s="124"/>
      <c r="H47" s="124"/>
      <c r="I47" s="125"/>
      <c r="J47" s="202" t="str">
        <f>IF('Calendario A'!J47="","",'Calendario A'!J47)</f>
        <v/>
      </c>
      <c r="K47" s="201" t="s">
        <v>198</v>
      </c>
      <c r="L47" s="202" t="str">
        <f>IF('Calendario A'!L47="","",'Calendario A'!L47)</f>
        <v/>
      </c>
      <c r="M47" s="200"/>
      <c r="N47" s="200"/>
      <c r="O47" s="200"/>
      <c r="P47" s="200"/>
      <c r="Q47" s="200"/>
      <c r="R47" s="200"/>
    </row>
    <row r="48" spans="1:18" ht="15" customHeight="1" x14ac:dyDescent="0.25">
      <c r="A48" s="133"/>
      <c r="B48" s="136" t="str">
        <f>IF('Calendario A'!B48="","",'Calendario A'!B48)</f>
        <v/>
      </c>
      <c r="C48" s="124"/>
      <c r="D48" s="124"/>
      <c r="E48" s="124"/>
      <c r="F48" s="124"/>
      <c r="G48" s="124"/>
      <c r="H48" s="125"/>
      <c r="I48" s="45" t="str">
        <f>IF('Calendario A'!I48="","",'Calendario A'!I48)</f>
        <v/>
      </c>
      <c r="J48" s="133"/>
      <c r="K48" s="133"/>
      <c r="L48" s="133"/>
      <c r="M48" s="133"/>
      <c r="N48" s="133"/>
      <c r="O48" s="133"/>
      <c r="P48" s="133"/>
      <c r="Q48" s="133"/>
      <c r="R48" s="133"/>
    </row>
    <row r="49" spans="1:18" ht="14.1" customHeight="1" x14ac:dyDescent="0.25">
      <c r="A49" s="43" t="s">
        <v>193</v>
      </c>
      <c r="B49" s="134" t="s">
        <v>175</v>
      </c>
      <c r="C49" s="125"/>
      <c r="D49" s="134" t="s">
        <v>182</v>
      </c>
      <c r="E49" s="125"/>
      <c r="F49" s="43" t="s">
        <v>194</v>
      </c>
      <c r="G49" s="43" t="s">
        <v>195</v>
      </c>
      <c r="H49" s="134" t="s">
        <v>196</v>
      </c>
      <c r="I49" s="125"/>
      <c r="J49" s="134" t="s">
        <v>197</v>
      </c>
      <c r="K49" s="124"/>
      <c r="L49" s="125"/>
      <c r="M49" s="102" t="s">
        <v>494</v>
      </c>
      <c r="N49" s="102" t="s">
        <v>495</v>
      </c>
      <c r="O49" s="102" t="s">
        <v>496</v>
      </c>
      <c r="P49" s="102" t="s">
        <v>497</v>
      </c>
      <c r="Q49" s="102" t="s">
        <v>498</v>
      </c>
      <c r="R49" s="102" t="s">
        <v>499</v>
      </c>
    </row>
    <row r="50" spans="1:18" ht="21.95" customHeight="1" x14ac:dyDescent="0.25">
      <c r="A50" s="137">
        <f>IF('Calendario A'!A50="","",'Calendario A'!A50)</f>
        <v>13</v>
      </c>
      <c r="B50" s="44" t="str">
        <f>IF('Calendario A'!B50="","",'Calendario A'!B50)</f>
        <v/>
      </c>
      <c r="C50" s="45" t="str">
        <f>IF('Calendario A'!C50="","",'Calendario A'!C50)</f>
        <v/>
      </c>
      <c r="D50" s="44" t="str">
        <f>IF('Calendario A'!D50="","",'Calendario A'!D50)</f>
        <v/>
      </c>
      <c r="E50" s="45" t="str">
        <f>IF('Calendario A'!E50="","",'Calendario A'!E50)</f>
        <v/>
      </c>
      <c r="F50" s="138" t="str">
        <f>IF('Calendario A'!F50="","",'Calendario A'!F50)</f>
        <v/>
      </c>
      <c r="G50" s="124"/>
      <c r="H50" s="124"/>
      <c r="I50" s="125"/>
      <c r="J50" s="202" t="str">
        <f>IF('Calendario A'!J50="","",'Calendario A'!J50)</f>
        <v/>
      </c>
      <c r="K50" s="201" t="s">
        <v>198</v>
      </c>
      <c r="L50" s="202" t="str">
        <f>IF('Calendario A'!L50="","",'Calendario A'!L50)</f>
        <v/>
      </c>
      <c r="M50" s="200"/>
      <c r="N50" s="200"/>
      <c r="O50" s="200"/>
      <c r="P50" s="200"/>
      <c r="Q50" s="200"/>
      <c r="R50" s="200"/>
    </row>
    <row r="51" spans="1:18" ht="15" customHeight="1" x14ac:dyDescent="0.25">
      <c r="A51" s="133"/>
      <c r="B51" s="136" t="str">
        <f>IF('Calendario A'!B51="","",'Calendario A'!B51)</f>
        <v/>
      </c>
      <c r="C51" s="124"/>
      <c r="D51" s="124"/>
      <c r="E51" s="124"/>
      <c r="F51" s="124"/>
      <c r="G51" s="124"/>
      <c r="H51" s="125"/>
      <c r="I51" s="45" t="str">
        <f>IF('Calendario A'!I51="","",'Calendario A'!I51)</f>
        <v/>
      </c>
      <c r="J51" s="133"/>
      <c r="K51" s="133"/>
      <c r="L51" s="133"/>
      <c r="M51" s="133"/>
      <c r="N51" s="133"/>
      <c r="O51" s="133"/>
      <c r="P51" s="133"/>
      <c r="Q51" s="133"/>
      <c r="R51" s="133"/>
    </row>
    <row r="52" spans="1:18" ht="14.1" customHeight="1" x14ac:dyDescent="0.25">
      <c r="A52" s="43" t="s">
        <v>193</v>
      </c>
      <c r="B52" s="134" t="s">
        <v>175</v>
      </c>
      <c r="C52" s="125"/>
      <c r="D52" s="134" t="s">
        <v>182</v>
      </c>
      <c r="E52" s="125"/>
      <c r="F52" s="43" t="s">
        <v>194</v>
      </c>
      <c r="G52" s="43" t="s">
        <v>195</v>
      </c>
      <c r="H52" s="134" t="s">
        <v>196</v>
      </c>
      <c r="I52" s="125"/>
      <c r="J52" s="134" t="s">
        <v>197</v>
      </c>
      <c r="K52" s="124"/>
      <c r="L52" s="125"/>
      <c r="M52" s="102" t="s">
        <v>494</v>
      </c>
      <c r="N52" s="102" t="s">
        <v>495</v>
      </c>
      <c r="O52" s="102" t="s">
        <v>496</v>
      </c>
      <c r="P52" s="102" t="s">
        <v>497</v>
      </c>
      <c r="Q52" s="102" t="s">
        <v>498</v>
      </c>
      <c r="R52" s="102" t="s">
        <v>499</v>
      </c>
    </row>
    <row r="53" spans="1:18" ht="21.95" customHeight="1" x14ac:dyDescent="0.25">
      <c r="A53" s="137">
        <f>IF('Calendario A'!A53="","",'Calendario A'!A53)</f>
        <v>14</v>
      </c>
      <c r="B53" s="44" t="str">
        <f>IF('Calendario A'!B53="","",'Calendario A'!B53)</f>
        <v/>
      </c>
      <c r="C53" s="45" t="str">
        <f>IF('Calendario A'!C53="","",'Calendario A'!C53)</f>
        <v/>
      </c>
      <c r="D53" s="44" t="str">
        <f>IF('Calendario A'!D53="","",'Calendario A'!D53)</f>
        <v/>
      </c>
      <c r="E53" s="45" t="str">
        <f>IF('Calendario A'!E53="","",'Calendario A'!E53)</f>
        <v/>
      </c>
      <c r="F53" s="138" t="str">
        <f>IF('Calendario A'!F53="","",'Calendario A'!F53)</f>
        <v/>
      </c>
      <c r="G53" s="124"/>
      <c r="H53" s="124"/>
      <c r="I53" s="125"/>
      <c r="J53" s="202" t="str">
        <f>IF('Calendario A'!J53="","",'Calendario A'!J53)</f>
        <v/>
      </c>
      <c r="K53" s="201" t="s">
        <v>198</v>
      </c>
      <c r="L53" s="202" t="str">
        <f>IF('Calendario A'!L53="","",'Calendario A'!L53)</f>
        <v/>
      </c>
      <c r="M53" s="200"/>
      <c r="N53" s="200"/>
      <c r="O53" s="200"/>
      <c r="P53" s="200"/>
      <c r="Q53" s="200"/>
      <c r="R53" s="200"/>
    </row>
    <row r="54" spans="1:18" ht="15" customHeight="1" x14ac:dyDescent="0.25">
      <c r="A54" s="133"/>
      <c r="B54" s="136" t="str">
        <f>IF('Calendario A'!B54="","",'Calendario A'!B54)</f>
        <v/>
      </c>
      <c r="C54" s="124"/>
      <c r="D54" s="124"/>
      <c r="E54" s="124"/>
      <c r="F54" s="124"/>
      <c r="G54" s="124"/>
      <c r="H54" s="125"/>
      <c r="I54" s="45" t="str">
        <f>IF('Calendario A'!I54="","",'Calendario A'!I54)</f>
        <v/>
      </c>
      <c r="J54" s="133"/>
      <c r="K54" s="133"/>
      <c r="L54" s="133"/>
      <c r="M54" s="133"/>
      <c r="N54" s="133"/>
      <c r="O54" s="133"/>
      <c r="P54" s="133"/>
      <c r="Q54" s="133"/>
      <c r="R54" s="133"/>
    </row>
    <row r="55" spans="1:18" ht="14.1" customHeight="1" x14ac:dyDescent="0.25">
      <c r="A55" s="43" t="s">
        <v>193</v>
      </c>
      <c r="B55" s="134" t="s">
        <v>175</v>
      </c>
      <c r="C55" s="125"/>
      <c r="D55" s="134" t="s">
        <v>182</v>
      </c>
      <c r="E55" s="125"/>
      <c r="F55" s="43" t="s">
        <v>194</v>
      </c>
      <c r="G55" s="43" t="s">
        <v>195</v>
      </c>
      <c r="H55" s="134" t="s">
        <v>196</v>
      </c>
      <c r="I55" s="125"/>
      <c r="J55" s="134" t="s">
        <v>197</v>
      </c>
      <c r="K55" s="124"/>
      <c r="L55" s="125"/>
      <c r="M55" s="102" t="s">
        <v>494</v>
      </c>
      <c r="N55" s="102" t="s">
        <v>495</v>
      </c>
      <c r="O55" s="102" t="s">
        <v>496</v>
      </c>
      <c r="P55" s="102" t="s">
        <v>497</v>
      </c>
      <c r="Q55" s="102" t="s">
        <v>498</v>
      </c>
      <c r="R55" s="102" t="s">
        <v>499</v>
      </c>
    </row>
    <row r="56" spans="1:18" ht="21.95" customHeight="1" x14ac:dyDescent="0.25">
      <c r="A56" s="137">
        <f>IF('Calendario A'!A56="","",'Calendario A'!A56)</f>
        <v>15</v>
      </c>
      <c r="B56" s="44" t="str">
        <f>IF('Calendario A'!B56="","",'Calendario A'!B56)</f>
        <v/>
      </c>
      <c r="C56" s="45" t="str">
        <f>IF('Calendario A'!C56="","",'Calendario A'!C56)</f>
        <v/>
      </c>
      <c r="D56" s="44" t="str">
        <f>IF('Calendario A'!D56="","",'Calendario A'!D56)</f>
        <v/>
      </c>
      <c r="E56" s="45" t="str">
        <f>IF('Calendario A'!E56="","",'Calendario A'!E56)</f>
        <v/>
      </c>
      <c r="F56" s="138" t="str">
        <f>IF('Calendario A'!F56="","",'Calendario A'!F56)</f>
        <v/>
      </c>
      <c r="G56" s="124"/>
      <c r="H56" s="124"/>
      <c r="I56" s="125"/>
      <c r="J56" s="202" t="str">
        <f>IF('Calendario A'!J56="","",'Calendario A'!J56)</f>
        <v/>
      </c>
      <c r="K56" s="201" t="s">
        <v>198</v>
      </c>
      <c r="L56" s="202" t="str">
        <f>IF('Calendario A'!L56="","",'Calendario A'!L56)</f>
        <v/>
      </c>
      <c r="M56" s="200"/>
      <c r="N56" s="200"/>
      <c r="O56" s="200"/>
      <c r="P56" s="200"/>
      <c r="Q56" s="200"/>
      <c r="R56" s="200"/>
    </row>
    <row r="57" spans="1:18" ht="15" customHeight="1" x14ac:dyDescent="0.25">
      <c r="A57" s="133"/>
      <c r="B57" s="136" t="str">
        <f>IF('Calendario A'!B57="","",'Calendario A'!B57)</f>
        <v/>
      </c>
      <c r="C57" s="124"/>
      <c r="D57" s="124"/>
      <c r="E57" s="124"/>
      <c r="F57" s="124"/>
      <c r="G57" s="124"/>
      <c r="H57" s="125"/>
      <c r="I57" s="45" t="str">
        <f>IF('Calendario A'!I57="","",'Calendario A'!I57)</f>
        <v/>
      </c>
      <c r="J57" s="133"/>
      <c r="K57" s="133"/>
      <c r="L57" s="133"/>
      <c r="M57" s="133"/>
      <c r="N57" s="133"/>
      <c r="O57" s="133"/>
      <c r="P57" s="133"/>
      <c r="Q57" s="133"/>
      <c r="R57" s="133"/>
    </row>
    <row r="59" spans="1:18" ht="20.100000000000001" customHeight="1" x14ac:dyDescent="0.25">
      <c r="A59" s="42" t="str">
        <f>IF('Calendario A'!A59="","",'Calendario A'!A59)</f>
        <v>4A</v>
      </c>
      <c r="B59" s="139" t="str">
        <f>IF('Calendario A'!B59="","",'Calendario A'!B59)</f>
        <v>GIORNATA IV - GIRONE A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5"/>
      <c r="M59" s="203" t="s">
        <v>492</v>
      </c>
      <c r="N59" s="124"/>
      <c r="O59" s="125"/>
      <c r="P59" s="203" t="s">
        <v>493</v>
      </c>
      <c r="Q59" s="124"/>
      <c r="R59" s="125"/>
    </row>
    <row r="60" spans="1:18" ht="14.1" customHeight="1" x14ac:dyDescent="0.25">
      <c r="A60" s="43" t="s">
        <v>193</v>
      </c>
      <c r="B60" s="134" t="s">
        <v>175</v>
      </c>
      <c r="C60" s="125"/>
      <c r="D60" s="134" t="s">
        <v>182</v>
      </c>
      <c r="E60" s="125"/>
      <c r="F60" s="43" t="s">
        <v>194</v>
      </c>
      <c r="G60" s="43" t="s">
        <v>195</v>
      </c>
      <c r="H60" s="134" t="s">
        <v>196</v>
      </c>
      <c r="I60" s="125"/>
      <c r="J60" s="134" t="s">
        <v>197</v>
      </c>
      <c r="K60" s="124"/>
      <c r="L60" s="125"/>
      <c r="M60" s="102" t="s">
        <v>494</v>
      </c>
      <c r="N60" s="102" t="s">
        <v>495</v>
      </c>
      <c r="O60" s="102" t="s">
        <v>496</v>
      </c>
      <c r="P60" s="102" t="s">
        <v>497</v>
      </c>
      <c r="Q60" s="102" t="s">
        <v>498</v>
      </c>
      <c r="R60" s="102" t="s">
        <v>499</v>
      </c>
    </row>
    <row r="61" spans="1:18" ht="21.95" customHeight="1" x14ac:dyDescent="0.25">
      <c r="A61" s="137">
        <f>IF('Calendario A'!A61="","",'Calendario A'!A61)</f>
        <v>16</v>
      </c>
      <c r="B61" s="44" t="str">
        <f>IF('Calendario A'!B61="","",'Calendario A'!B61)</f>
        <v/>
      </c>
      <c r="C61" s="45" t="str">
        <f>IF('Calendario A'!C61="","",'Calendario A'!C61)</f>
        <v/>
      </c>
      <c r="D61" s="44" t="str">
        <f>IF('Calendario A'!D61="","",'Calendario A'!D61)</f>
        <v/>
      </c>
      <c r="E61" s="45" t="str">
        <f>IF('Calendario A'!E61="","",'Calendario A'!E61)</f>
        <v/>
      </c>
      <c r="F61" s="138" t="str">
        <f>IF('Calendario A'!F61="","",'Calendario A'!F61)</f>
        <v/>
      </c>
      <c r="G61" s="124"/>
      <c r="H61" s="124"/>
      <c r="I61" s="125"/>
      <c r="J61" s="202" t="str">
        <f>IF('Calendario A'!J61="","",'Calendario A'!J61)</f>
        <v/>
      </c>
      <c r="K61" s="201" t="s">
        <v>198</v>
      </c>
      <c r="L61" s="202" t="str">
        <f>IF('Calendario A'!L61="","",'Calendario A'!L61)</f>
        <v/>
      </c>
      <c r="M61" s="200"/>
      <c r="N61" s="200"/>
      <c r="O61" s="200"/>
      <c r="P61" s="200"/>
      <c r="Q61" s="200"/>
      <c r="R61" s="200"/>
    </row>
    <row r="62" spans="1:18" ht="15" customHeight="1" x14ac:dyDescent="0.25">
      <c r="A62" s="133"/>
      <c r="B62" s="136" t="str">
        <f>IF('Calendario A'!B62="","",'Calendario A'!B62)</f>
        <v/>
      </c>
      <c r="C62" s="124"/>
      <c r="D62" s="124"/>
      <c r="E62" s="124"/>
      <c r="F62" s="124"/>
      <c r="G62" s="124"/>
      <c r="H62" s="125"/>
      <c r="I62" s="45" t="str">
        <f>IF('Calendario A'!I62="","",'Calendario A'!I62)</f>
        <v/>
      </c>
      <c r="J62" s="133"/>
      <c r="K62" s="133"/>
      <c r="L62" s="133"/>
      <c r="M62" s="133"/>
      <c r="N62" s="133"/>
      <c r="O62" s="133"/>
      <c r="P62" s="133"/>
      <c r="Q62" s="133"/>
      <c r="R62" s="133"/>
    </row>
    <row r="63" spans="1:18" ht="14.1" customHeight="1" x14ac:dyDescent="0.25">
      <c r="A63" s="43" t="s">
        <v>193</v>
      </c>
      <c r="B63" s="134" t="s">
        <v>175</v>
      </c>
      <c r="C63" s="125"/>
      <c r="D63" s="134" t="s">
        <v>182</v>
      </c>
      <c r="E63" s="125"/>
      <c r="F63" s="43" t="s">
        <v>194</v>
      </c>
      <c r="G63" s="43" t="s">
        <v>195</v>
      </c>
      <c r="H63" s="134" t="s">
        <v>196</v>
      </c>
      <c r="I63" s="125"/>
      <c r="J63" s="134" t="s">
        <v>197</v>
      </c>
      <c r="K63" s="124"/>
      <c r="L63" s="125"/>
      <c r="M63" s="102" t="s">
        <v>494</v>
      </c>
      <c r="N63" s="102" t="s">
        <v>495</v>
      </c>
      <c r="O63" s="102" t="s">
        <v>496</v>
      </c>
      <c r="P63" s="102" t="s">
        <v>497</v>
      </c>
      <c r="Q63" s="102" t="s">
        <v>498</v>
      </c>
      <c r="R63" s="102" t="s">
        <v>499</v>
      </c>
    </row>
    <row r="64" spans="1:18" ht="21.95" customHeight="1" x14ac:dyDescent="0.25">
      <c r="A64" s="137">
        <f>IF('Calendario A'!A64="","",'Calendario A'!A64)</f>
        <v>17</v>
      </c>
      <c r="B64" s="44" t="str">
        <f>IF('Calendario A'!B64="","",'Calendario A'!B64)</f>
        <v/>
      </c>
      <c r="C64" s="45" t="str">
        <f>IF('Calendario A'!C64="","",'Calendario A'!C64)</f>
        <v/>
      </c>
      <c r="D64" s="44" t="str">
        <f>IF('Calendario A'!D64="","",'Calendario A'!D64)</f>
        <v/>
      </c>
      <c r="E64" s="45" t="str">
        <f>IF('Calendario A'!E64="","",'Calendario A'!E64)</f>
        <v/>
      </c>
      <c r="F64" s="138" t="str">
        <f>IF('Calendario A'!F64="","",'Calendario A'!F64)</f>
        <v/>
      </c>
      <c r="G64" s="124"/>
      <c r="H64" s="124"/>
      <c r="I64" s="125"/>
      <c r="J64" s="202" t="str">
        <f>IF('Calendario A'!J64="","",'Calendario A'!J64)</f>
        <v/>
      </c>
      <c r="K64" s="201" t="s">
        <v>198</v>
      </c>
      <c r="L64" s="202" t="str">
        <f>IF('Calendario A'!L64="","",'Calendario A'!L64)</f>
        <v/>
      </c>
      <c r="M64" s="200"/>
      <c r="N64" s="200"/>
      <c r="O64" s="200"/>
      <c r="P64" s="200"/>
      <c r="Q64" s="200"/>
      <c r="R64" s="200"/>
    </row>
    <row r="65" spans="1:18" ht="15" customHeight="1" x14ac:dyDescent="0.25">
      <c r="A65" s="133"/>
      <c r="B65" s="136" t="str">
        <f>IF('Calendario A'!B65="","",'Calendario A'!B65)</f>
        <v/>
      </c>
      <c r="C65" s="124"/>
      <c r="D65" s="124"/>
      <c r="E65" s="124"/>
      <c r="F65" s="124"/>
      <c r="G65" s="124"/>
      <c r="H65" s="125"/>
      <c r="I65" s="45" t="str">
        <f>IF('Calendario A'!I65="","",'Calendario A'!I65)</f>
        <v/>
      </c>
      <c r="J65" s="133"/>
      <c r="K65" s="133"/>
      <c r="L65" s="133"/>
      <c r="M65" s="133"/>
      <c r="N65" s="133"/>
      <c r="O65" s="133"/>
      <c r="P65" s="133"/>
      <c r="Q65" s="133"/>
      <c r="R65" s="133"/>
    </row>
    <row r="66" spans="1:18" ht="14.1" customHeight="1" x14ac:dyDescent="0.25">
      <c r="A66" s="43" t="s">
        <v>193</v>
      </c>
      <c r="B66" s="134" t="s">
        <v>175</v>
      </c>
      <c r="C66" s="125"/>
      <c r="D66" s="134" t="s">
        <v>182</v>
      </c>
      <c r="E66" s="125"/>
      <c r="F66" s="43" t="s">
        <v>194</v>
      </c>
      <c r="G66" s="43" t="s">
        <v>195</v>
      </c>
      <c r="H66" s="134" t="s">
        <v>196</v>
      </c>
      <c r="I66" s="125"/>
      <c r="J66" s="134" t="s">
        <v>197</v>
      </c>
      <c r="K66" s="124"/>
      <c r="L66" s="125"/>
      <c r="M66" s="102" t="s">
        <v>494</v>
      </c>
      <c r="N66" s="102" t="s">
        <v>495</v>
      </c>
      <c r="O66" s="102" t="s">
        <v>496</v>
      </c>
      <c r="P66" s="102" t="s">
        <v>497</v>
      </c>
      <c r="Q66" s="102" t="s">
        <v>498</v>
      </c>
      <c r="R66" s="102" t="s">
        <v>499</v>
      </c>
    </row>
    <row r="67" spans="1:18" ht="21.95" customHeight="1" x14ac:dyDescent="0.25">
      <c r="A67" s="137">
        <f>IF('Calendario A'!A67="","",'Calendario A'!A67)</f>
        <v>18</v>
      </c>
      <c r="B67" s="44" t="str">
        <f>IF('Calendario A'!B67="","",'Calendario A'!B67)</f>
        <v/>
      </c>
      <c r="C67" s="45" t="str">
        <f>IF('Calendario A'!C67="","",'Calendario A'!C67)</f>
        <v/>
      </c>
      <c r="D67" s="44" t="str">
        <f>IF('Calendario A'!D67="","",'Calendario A'!D67)</f>
        <v/>
      </c>
      <c r="E67" s="45" t="str">
        <f>IF('Calendario A'!E67="","",'Calendario A'!E67)</f>
        <v/>
      </c>
      <c r="F67" s="138" t="str">
        <f>IF('Calendario A'!F67="","",'Calendario A'!F67)</f>
        <v/>
      </c>
      <c r="G67" s="124"/>
      <c r="H67" s="124"/>
      <c r="I67" s="125"/>
      <c r="J67" s="202" t="str">
        <f>IF('Calendario A'!J67="","",'Calendario A'!J67)</f>
        <v/>
      </c>
      <c r="K67" s="201" t="s">
        <v>198</v>
      </c>
      <c r="L67" s="202" t="str">
        <f>IF('Calendario A'!L67="","",'Calendario A'!L67)</f>
        <v/>
      </c>
      <c r="M67" s="200"/>
      <c r="N67" s="200"/>
      <c r="O67" s="200"/>
      <c r="P67" s="200"/>
      <c r="Q67" s="200"/>
      <c r="R67" s="200"/>
    </row>
    <row r="68" spans="1:18" ht="15" customHeight="1" x14ac:dyDescent="0.25">
      <c r="A68" s="133"/>
      <c r="B68" s="136" t="str">
        <f>IF('Calendario A'!B68="","",'Calendario A'!B68)</f>
        <v/>
      </c>
      <c r="C68" s="124"/>
      <c r="D68" s="124"/>
      <c r="E68" s="124"/>
      <c r="F68" s="124"/>
      <c r="G68" s="124"/>
      <c r="H68" s="125"/>
      <c r="I68" s="45" t="str">
        <f>IF('Calendario A'!I68="","",'Calendario A'!I68)</f>
        <v/>
      </c>
      <c r="J68" s="133"/>
      <c r="K68" s="133"/>
      <c r="L68" s="133"/>
      <c r="M68" s="133"/>
      <c r="N68" s="133"/>
      <c r="O68" s="133"/>
      <c r="P68" s="133"/>
      <c r="Q68" s="133"/>
      <c r="R68" s="133"/>
    </row>
    <row r="69" spans="1:18" ht="14.1" customHeight="1" x14ac:dyDescent="0.25">
      <c r="A69" s="43" t="s">
        <v>193</v>
      </c>
      <c r="B69" s="134" t="s">
        <v>175</v>
      </c>
      <c r="C69" s="125"/>
      <c r="D69" s="134" t="s">
        <v>182</v>
      </c>
      <c r="E69" s="125"/>
      <c r="F69" s="43" t="s">
        <v>194</v>
      </c>
      <c r="G69" s="43" t="s">
        <v>195</v>
      </c>
      <c r="H69" s="134" t="s">
        <v>196</v>
      </c>
      <c r="I69" s="125"/>
      <c r="J69" s="134" t="s">
        <v>197</v>
      </c>
      <c r="K69" s="124"/>
      <c r="L69" s="125"/>
      <c r="M69" s="102" t="s">
        <v>494</v>
      </c>
      <c r="N69" s="102" t="s">
        <v>495</v>
      </c>
      <c r="O69" s="102" t="s">
        <v>496</v>
      </c>
      <c r="P69" s="102" t="s">
        <v>497</v>
      </c>
      <c r="Q69" s="102" t="s">
        <v>498</v>
      </c>
      <c r="R69" s="102" t="s">
        <v>499</v>
      </c>
    </row>
    <row r="70" spans="1:18" ht="21.95" customHeight="1" x14ac:dyDescent="0.25">
      <c r="A70" s="137">
        <f>IF('Calendario A'!A70="","",'Calendario A'!A70)</f>
        <v>19</v>
      </c>
      <c r="B70" s="44" t="str">
        <f>IF('Calendario A'!B70="","",'Calendario A'!B70)</f>
        <v/>
      </c>
      <c r="C70" s="45" t="str">
        <f>IF('Calendario A'!C70="","",'Calendario A'!C70)</f>
        <v/>
      </c>
      <c r="D70" s="44" t="str">
        <f>IF('Calendario A'!D70="","",'Calendario A'!D70)</f>
        <v/>
      </c>
      <c r="E70" s="45" t="str">
        <f>IF('Calendario A'!E70="","",'Calendario A'!E70)</f>
        <v/>
      </c>
      <c r="F70" s="138" t="str">
        <f>IF('Calendario A'!F70="","",'Calendario A'!F70)</f>
        <v/>
      </c>
      <c r="G70" s="124"/>
      <c r="H70" s="124"/>
      <c r="I70" s="125"/>
      <c r="J70" s="202" t="str">
        <f>IF('Calendario A'!J70="","",'Calendario A'!J70)</f>
        <v/>
      </c>
      <c r="K70" s="201" t="s">
        <v>198</v>
      </c>
      <c r="L70" s="202" t="str">
        <f>IF('Calendario A'!L70="","",'Calendario A'!L70)</f>
        <v/>
      </c>
      <c r="M70" s="200"/>
      <c r="N70" s="200"/>
      <c r="O70" s="200"/>
      <c r="P70" s="200"/>
      <c r="Q70" s="200"/>
      <c r="R70" s="200"/>
    </row>
    <row r="71" spans="1:18" ht="15" customHeight="1" x14ac:dyDescent="0.25">
      <c r="A71" s="133"/>
      <c r="B71" s="136" t="str">
        <f>IF('Calendario A'!B71="","",'Calendario A'!B71)</f>
        <v/>
      </c>
      <c r="C71" s="124"/>
      <c r="D71" s="124"/>
      <c r="E71" s="124"/>
      <c r="F71" s="124"/>
      <c r="G71" s="124"/>
      <c r="H71" s="125"/>
      <c r="I71" s="45" t="str">
        <f>IF('Calendario A'!I71="","",'Calendario A'!I71)</f>
        <v/>
      </c>
      <c r="J71" s="133"/>
      <c r="K71" s="133"/>
      <c r="L71" s="133"/>
      <c r="M71" s="133"/>
      <c r="N71" s="133"/>
      <c r="O71" s="133"/>
      <c r="P71" s="133"/>
      <c r="Q71" s="133"/>
      <c r="R71" s="133"/>
    </row>
    <row r="72" spans="1:18" ht="14.1" customHeight="1" x14ac:dyDescent="0.25">
      <c r="A72" s="43" t="s">
        <v>193</v>
      </c>
      <c r="B72" s="134" t="s">
        <v>175</v>
      </c>
      <c r="C72" s="125"/>
      <c r="D72" s="134" t="s">
        <v>182</v>
      </c>
      <c r="E72" s="125"/>
      <c r="F72" s="43" t="s">
        <v>194</v>
      </c>
      <c r="G72" s="43" t="s">
        <v>195</v>
      </c>
      <c r="H72" s="134" t="s">
        <v>196</v>
      </c>
      <c r="I72" s="125"/>
      <c r="J72" s="134" t="s">
        <v>197</v>
      </c>
      <c r="K72" s="124"/>
      <c r="L72" s="125"/>
      <c r="M72" s="102" t="s">
        <v>494</v>
      </c>
      <c r="N72" s="102" t="s">
        <v>495</v>
      </c>
      <c r="O72" s="102" t="s">
        <v>496</v>
      </c>
      <c r="P72" s="102" t="s">
        <v>497</v>
      </c>
      <c r="Q72" s="102" t="s">
        <v>498</v>
      </c>
      <c r="R72" s="102" t="s">
        <v>499</v>
      </c>
    </row>
    <row r="73" spans="1:18" ht="21.95" customHeight="1" x14ac:dyDescent="0.25">
      <c r="A73" s="137">
        <f>IF('Calendario A'!A73="","",'Calendario A'!A73)</f>
        <v>20</v>
      </c>
      <c r="B73" s="44" t="str">
        <f>IF('Calendario A'!B73="","",'Calendario A'!B73)</f>
        <v/>
      </c>
      <c r="C73" s="45" t="str">
        <f>IF('Calendario A'!C73="","",'Calendario A'!C73)</f>
        <v/>
      </c>
      <c r="D73" s="44" t="str">
        <f>IF('Calendario A'!D73="","",'Calendario A'!D73)</f>
        <v/>
      </c>
      <c r="E73" s="45" t="str">
        <f>IF('Calendario A'!E73="","",'Calendario A'!E73)</f>
        <v/>
      </c>
      <c r="F73" s="138" t="str">
        <f>IF('Calendario A'!F73="","",'Calendario A'!F73)</f>
        <v/>
      </c>
      <c r="G73" s="124"/>
      <c r="H73" s="124"/>
      <c r="I73" s="125"/>
      <c r="J73" s="202" t="str">
        <f>IF('Calendario A'!J73="","",'Calendario A'!J73)</f>
        <v/>
      </c>
      <c r="K73" s="201" t="s">
        <v>198</v>
      </c>
      <c r="L73" s="202" t="str">
        <f>IF('Calendario A'!L73="","",'Calendario A'!L73)</f>
        <v/>
      </c>
      <c r="M73" s="200"/>
      <c r="N73" s="200"/>
      <c r="O73" s="200"/>
      <c r="P73" s="200"/>
      <c r="Q73" s="200"/>
      <c r="R73" s="200"/>
    </row>
    <row r="74" spans="1:18" ht="15" customHeight="1" x14ac:dyDescent="0.25">
      <c r="A74" s="133"/>
      <c r="B74" s="136" t="str">
        <f>IF('Calendario A'!B74="","",'Calendario A'!B74)</f>
        <v/>
      </c>
      <c r="C74" s="124"/>
      <c r="D74" s="124"/>
      <c r="E74" s="124"/>
      <c r="F74" s="124"/>
      <c r="G74" s="124"/>
      <c r="H74" s="125"/>
      <c r="I74" s="45" t="str">
        <f>IF('Calendario A'!I74="","",'Calendario A'!I74)</f>
        <v/>
      </c>
      <c r="J74" s="133"/>
      <c r="K74" s="133"/>
      <c r="L74" s="133"/>
      <c r="M74" s="133"/>
      <c r="N74" s="133"/>
      <c r="O74" s="133"/>
      <c r="P74" s="133"/>
      <c r="Q74" s="133"/>
      <c r="R74" s="133"/>
    </row>
    <row r="76" spans="1:18" ht="20.100000000000001" customHeight="1" x14ac:dyDescent="0.25">
      <c r="A76" s="42" t="str">
        <f>IF('Calendario A'!A76="","",'Calendario A'!A76)</f>
        <v>5A</v>
      </c>
      <c r="B76" s="139" t="str">
        <f>IF('Calendario A'!B76="","",'Calendario A'!B76)</f>
        <v>GIORNATA V - GIRONE A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5"/>
      <c r="M76" s="203" t="s">
        <v>492</v>
      </c>
      <c r="N76" s="124"/>
      <c r="O76" s="125"/>
      <c r="P76" s="203" t="s">
        <v>493</v>
      </c>
      <c r="Q76" s="124"/>
      <c r="R76" s="125"/>
    </row>
    <row r="77" spans="1:18" ht="14.1" customHeight="1" x14ac:dyDescent="0.25">
      <c r="A77" s="43" t="s">
        <v>193</v>
      </c>
      <c r="B77" s="134" t="s">
        <v>175</v>
      </c>
      <c r="C77" s="125"/>
      <c r="D77" s="134" t="s">
        <v>182</v>
      </c>
      <c r="E77" s="125"/>
      <c r="F77" s="43" t="s">
        <v>194</v>
      </c>
      <c r="G77" s="43" t="s">
        <v>195</v>
      </c>
      <c r="H77" s="134" t="s">
        <v>196</v>
      </c>
      <c r="I77" s="125"/>
      <c r="J77" s="134" t="s">
        <v>197</v>
      </c>
      <c r="K77" s="124"/>
      <c r="L77" s="125"/>
      <c r="M77" s="102" t="s">
        <v>494</v>
      </c>
      <c r="N77" s="102" t="s">
        <v>495</v>
      </c>
      <c r="O77" s="102" t="s">
        <v>496</v>
      </c>
      <c r="P77" s="102" t="s">
        <v>497</v>
      </c>
      <c r="Q77" s="102" t="s">
        <v>498</v>
      </c>
      <c r="R77" s="102" t="s">
        <v>499</v>
      </c>
    </row>
    <row r="78" spans="1:18" ht="21.95" customHeight="1" x14ac:dyDescent="0.25">
      <c r="A78" s="137">
        <f>IF('Calendario A'!A78="","",'Calendario A'!A78)</f>
        <v>21</v>
      </c>
      <c r="B78" s="44" t="str">
        <f>IF('Calendario A'!B78="","",'Calendario A'!B78)</f>
        <v/>
      </c>
      <c r="C78" s="45" t="str">
        <f>IF('Calendario A'!C78="","",'Calendario A'!C78)</f>
        <v/>
      </c>
      <c r="D78" s="44" t="str">
        <f>IF('Calendario A'!D78="","",'Calendario A'!D78)</f>
        <v/>
      </c>
      <c r="E78" s="45" t="str">
        <f>IF('Calendario A'!E78="","",'Calendario A'!E78)</f>
        <v/>
      </c>
      <c r="F78" s="138" t="str">
        <f>IF('Calendario A'!F78="","",'Calendario A'!F78)</f>
        <v/>
      </c>
      <c r="G78" s="124"/>
      <c r="H78" s="124"/>
      <c r="I78" s="125"/>
      <c r="J78" s="202" t="str">
        <f>IF('Calendario A'!J78="","",'Calendario A'!J78)</f>
        <v/>
      </c>
      <c r="K78" s="201" t="s">
        <v>198</v>
      </c>
      <c r="L78" s="202" t="str">
        <f>IF('Calendario A'!L78="","",'Calendario A'!L78)</f>
        <v/>
      </c>
      <c r="M78" s="200"/>
      <c r="N78" s="200"/>
      <c r="O78" s="200"/>
      <c r="P78" s="200"/>
      <c r="Q78" s="200"/>
      <c r="R78" s="200"/>
    </row>
    <row r="79" spans="1:18" ht="15" customHeight="1" x14ac:dyDescent="0.25">
      <c r="A79" s="133"/>
      <c r="B79" s="136" t="str">
        <f>IF('Calendario A'!B79="","",'Calendario A'!B79)</f>
        <v/>
      </c>
      <c r="C79" s="124"/>
      <c r="D79" s="124"/>
      <c r="E79" s="124"/>
      <c r="F79" s="124"/>
      <c r="G79" s="124"/>
      <c r="H79" s="125"/>
      <c r="I79" s="45" t="str">
        <f>IF('Calendario A'!I79="","",'Calendario A'!I79)</f>
        <v/>
      </c>
      <c r="J79" s="133"/>
      <c r="K79" s="133"/>
      <c r="L79" s="133"/>
      <c r="M79" s="133"/>
      <c r="N79" s="133"/>
      <c r="O79" s="133"/>
      <c r="P79" s="133"/>
      <c r="Q79" s="133"/>
      <c r="R79" s="133"/>
    </row>
    <row r="80" spans="1:18" ht="14.1" customHeight="1" x14ac:dyDescent="0.25">
      <c r="A80" s="43" t="s">
        <v>193</v>
      </c>
      <c r="B80" s="134" t="s">
        <v>175</v>
      </c>
      <c r="C80" s="125"/>
      <c r="D80" s="134" t="s">
        <v>182</v>
      </c>
      <c r="E80" s="125"/>
      <c r="F80" s="43" t="s">
        <v>194</v>
      </c>
      <c r="G80" s="43" t="s">
        <v>195</v>
      </c>
      <c r="H80" s="134" t="s">
        <v>196</v>
      </c>
      <c r="I80" s="125"/>
      <c r="J80" s="134" t="s">
        <v>197</v>
      </c>
      <c r="K80" s="124"/>
      <c r="L80" s="125"/>
      <c r="M80" s="102" t="s">
        <v>494</v>
      </c>
      <c r="N80" s="102" t="s">
        <v>495</v>
      </c>
      <c r="O80" s="102" t="s">
        <v>496</v>
      </c>
      <c r="P80" s="102" t="s">
        <v>497</v>
      </c>
      <c r="Q80" s="102" t="s">
        <v>498</v>
      </c>
      <c r="R80" s="102" t="s">
        <v>499</v>
      </c>
    </row>
    <row r="81" spans="1:18" ht="21.95" customHeight="1" x14ac:dyDescent="0.25">
      <c r="A81" s="137">
        <f>IF('Calendario A'!A81="","",'Calendario A'!A81)</f>
        <v>22</v>
      </c>
      <c r="B81" s="44" t="str">
        <f>IF('Calendario A'!B81="","",'Calendario A'!B81)</f>
        <v/>
      </c>
      <c r="C81" s="45" t="str">
        <f>IF('Calendario A'!C81="","",'Calendario A'!C81)</f>
        <v/>
      </c>
      <c r="D81" s="44" t="str">
        <f>IF('Calendario A'!D81="","",'Calendario A'!D81)</f>
        <v/>
      </c>
      <c r="E81" s="45" t="str">
        <f>IF('Calendario A'!E81="","",'Calendario A'!E81)</f>
        <v/>
      </c>
      <c r="F81" s="138" t="str">
        <f>IF('Calendario A'!F81="","",'Calendario A'!F81)</f>
        <v/>
      </c>
      <c r="G81" s="124"/>
      <c r="H81" s="124"/>
      <c r="I81" s="125"/>
      <c r="J81" s="202" t="str">
        <f>IF('Calendario A'!J81="","",'Calendario A'!J81)</f>
        <v/>
      </c>
      <c r="K81" s="201" t="s">
        <v>198</v>
      </c>
      <c r="L81" s="202" t="str">
        <f>IF('Calendario A'!L81="","",'Calendario A'!L81)</f>
        <v/>
      </c>
      <c r="M81" s="200"/>
      <c r="N81" s="200"/>
      <c r="O81" s="200"/>
      <c r="P81" s="200"/>
      <c r="Q81" s="200"/>
      <c r="R81" s="200"/>
    </row>
    <row r="82" spans="1:18" ht="15" customHeight="1" x14ac:dyDescent="0.25">
      <c r="A82" s="133"/>
      <c r="B82" s="136" t="str">
        <f>IF('Calendario A'!B82="","",'Calendario A'!B82)</f>
        <v/>
      </c>
      <c r="C82" s="124"/>
      <c r="D82" s="124"/>
      <c r="E82" s="124"/>
      <c r="F82" s="124"/>
      <c r="G82" s="124"/>
      <c r="H82" s="125"/>
      <c r="I82" s="45" t="str">
        <f>IF('Calendario A'!I82="","",'Calendario A'!I82)</f>
        <v/>
      </c>
      <c r="J82" s="133"/>
      <c r="K82" s="133"/>
      <c r="L82" s="133"/>
      <c r="M82" s="133"/>
      <c r="N82" s="133"/>
      <c r="O82" s="133"/>
      <c r="P82" s="133"/>
      <c r="Q82" s="133"/>
      <c r="R82" s="133"/>
    </row>
    <row r="83" spans="1:18" ht="14.1" customHeight="1" x14ac:dyDescent="0.25">
      <c r="A83" s="43" t="s">
        <v>193</v>
      </c>
      <c r="B83" s="134" t="s">
        <v>175</v>
      </c>
      <c r="C83" s="125"/>
      <c r="D83" s="134" t="s">
        <v>182</v>
      </c>
      <c r="E83" s="125"/>
      <c r="F83" s="43" t="s">
        <v>194</v>
      </c>
      <c r="G83" s="43" t="s">
        <v>195</v>
      </c>
      <c r="H83" s="134" t="s">
        <v>196</v>
      </c>
      <c r="I83" s="125"/>
      <c r="J83" s="134" t="s">
        <v>197</v>
      </c>
      <c r="K83" s="124"/>
      <c r="L83" s="125"/>
      <c r="M83" s="102" t="s">
        <v>494</v>
      </c>
      <c r="N83" s="102" t="s">
        <v>495</v>
      </c>
      <c r="O83" s="102" t="s">
        <v>496</v>
      </c>
      <c r="P83" s="102" t="s">
        <v>497</v>
      </c>
      <c r="Q83" s="102" t="s">
        <v>498</v>
      </c>
      <c r="R83" s="102" t="s">
        <v>499</v>
      </c>
    </row>
    <row r="84" spans="1:18" ht="21.95" customHeight="1" x14ac:dyDescent="0.25">
      <c r="A84" s="137">
        <f>IF('Calendario A'!A84="","",'Calendario A'!A84)</f>
        <v>23</v>
      </c>
      <c r="B84" s="44" t="str">
        <f>IF('Calendario A'!B84="","",'Calendario A'!B84)</f>
        <v/>
      </c>
      <c r="C84" s="45" t="str">
        <f>IF('Calendario A'!C84="","",'Calendario A'!C84)</f>
        <v/>
      </c>
      <c r="D84" s="44" t="str">
        <f>IF('Calendario A'!D84="","",'Calendario A'!D84)</f>
        <v/>
      </c>
      <c r="E84" s="45" t="str">
        <f>IF('Calendario A'!E84="","",'Calendario A'!E84)</f>
        <v/>
      </c>
      <c r="F84" s="138" t="str">
        <f>IF('Calendario A'!F84="","",'Calendario A'!F84)</f>
        <v/>
      </c>
      <c r="G84" s="124"/>
      <c r="H84" s="124"/>
      <c r="I84" s="125"/>
      <c r="J84" s="202" t="str">
        <f>IF('Calendario A'!J84="","",'Calendario A'!J84)</f>
        <v/>
      </c>
      <c r="K84" s="201" t="s">
        <v>198</v>
      </c>
      <c r="L84" s="202" t="str">
        <f>IF('Calendario A'!L84="","",'Calendario A'!L84)</f>
        <v/>
      </c>
      <c r="M84" s="200"/>
      <c r="N84" s="200"/>
      <c r="O84" s="200"/>
      <c r="P84" s="200"/>
      <c r="Q84" s="200"/>
      <c r="R84" s="200"/>
    </row>
    <row r="85" spans="1:18" ht="15" customHeight="1" x14ac:dyDescent="0.25">
      <c r="A85" s="133"/>
      <c r="B85" s="136" t="str">
        <f>IF('Calendario A'!B85="","",'Calendario A'!B85)</f>
        <v/>
      </c>
      <c r="C85" s="124"/>
      <c r="D85" s="124"/>
      <c r="E85" s="124"/>
      <c r="F85" s="124"/>
      <c r="G85" s="124"/>
      <c r="H85" s="125"/>
      <c r="I85" s="45" t="str">
        <f>IF('Calendario A'!I85="","",'Calendario A'!I85)</f>
        <v/>
      </c>
      <c r="J85" s="133"/>
      <c r="K85" s="133"/>
      <c r="L85" s="133"/>
      <c r="M85" s="133"/>
      <c r="N85" s="133"/>
      <c r="O85" s="133"/>
      <c r="P85" s="133"/>
      <c r="Q85" s="133"/>
      <c r="R85" s="133"/>
    </row>
    <row r="86" spans="1:18" ht="14.1" customHeight="1" x14ac:dyDescent="0.25">
      <c r="A86" s="43" t="s">
        <v>193</v>
      </c>
      <c r="B86" s="134" t="s">
        <v>175</v>
      </c>
      <c r="C86" s="125"/>
      <c r="D86" s="134" t="s">
        <v>182</v>
      </c>
      <c r="E86" s="125"/>
      <c r="F86" s="43" t="s">
        <v>194</v>
      </c>
      <c r="G86" s="43" t="s">
        <v>195</v>
      </c>
      <c r="H86" s="134" t="s">
        <v>196</v>
      </c>
      <c r="I86" s="125"/>
      <c r="J86" s="134" t="s">
        <v>197</v>
      </c>
      <c r="K86" s="124"/>
      <c r="L86" s="125"/>
      <c r="M86" s="102" t="s">
        <v>494</v>
      </c>
      <c r="N86" s="102" t="s">
        <v>495</v>
      </c>
      <c r="O86" s="102" t="s">
        <v>496</v>
      </c>
      <c r="P86" s="102" t="s">
        <v>497</v>
      </c>
      <c r="Q86" s="102" t="s">
        <v>498</v>
      </c>
      <c r="R86" s="102" t="s">
        <v>499</v>
      </c>
    </row>
    <row r="87" spans="1:18" ht="21.95" customHeight="1" x14ac:dyDescent="0.25">
      <c r="A87" s="137">
        <f>IF('Calendario A'!A87="","",'Calendario A'!A87)</f>
        <v>24</v>
      </c>
      <c r="B87" s="44" t="str">
        <f>IF('Calendario A'!B87="","",'Calendario A'!B87)</f>
        <v/>
      </c>
      <c r="C87" s="45" t="str">
        <f>IF('Calendario A'!C87="","",'Calendario A'!C87)</f>
        <v/>
      </c>
      <c r="D87" s="44" t="str">
        <f>IF('Calendario A'!D87="","",'Calendario A'!D87)</f>
        <v/>
      </c>
      <c r="E87" s="45" t="str">
        <f>IF('Calendario A'!E87="","",'Calendario A'!E87)</f>
        <v/>
      </c>
      <c r="F87" s="138" t="str">
        <f>IF('Calendario A'!F87="","",'Calendario A'!F87)</f>
        <v/>
      </c>
      <c r="G87" s="124"/>
      <c r="H87" s="124"/>
      <c r="I87" s="125"/>
      <c r="J87" s="202" t="str">
        <f>IF('Calendario A'!J87="","",'Calendario A'!J87)</f>
        <v/>
      </c>
      <c r="K87" s="201" t="s">
        <v>198</v>
      </c>
      <c r="L87" s="202" t="str">
        <f>IF('Calendario A'!L87="","",'Calendario A'!L87)</f>
        <v/>
      </c>
      <c r="M87" s="200"/>
      <c r="N87" s="200"/>
      <c r="O87" s="200"/>
      <c r="P87" s="200"/>
      <c r="Q87" s="200"/>
      <c r="R87" s="200"/>
    </row>
    <row r="88" spans="1:18" ht="15" customHeight="1" x14ac:dyDescent="0.25">
      <c r="A88" s="133"/>
      <c r="B88" s="136" t="str">
        <f>IF('Calendario A'!B88="","",'Calendario A'!B88)</f>
        <v/>
      </c>
      <c r="C88" s="124"/>
      <c r="D88" s="124"/>
      <c r="E88" s="124"/>
      <c r="F88" s="124"/>
      <c r="G88" s="124"/>
      <c r="H88" s="125"/>
      <c r="I88" s="45" t="str">
        <f>IF('Calendario A'!I88="","",'Calendario A'!I88)</f>
        <v/>
      </c>
      <c r="J88" s="133"/>
      <c r="K88" s="133"/>
      <c r="L88" s="133"/>
      <c r="M88" s="133"/>
      <c r="N88" s="133"/>
      <c r="O88" s="133"/>
      <c r="P88" s="133"/>
      <c r="Q88" s="133"/>
      <c r="R88" s="133"/>
    </row>
    <row r="89" spans="1:18" ht="14.1" customHeight="1" x14ac:dyDescent="0.25">
      <c r="A89" s="43" t="s">
        <v>193</v>
      </c>
      <c r="B89" s="134" t="s">
        <v>175</v>
      </c>
      <c r="C89" s="125"/>
      <c r="D89" s="134" t="s">
        <v>182</v>
      </c>
      <c r="E89" s="125"/>
      <c r="F89" s="43" t="s">
        <v>194</v>
      </c>
      <c r="G89" s="43" t="s">
        <v>195</v>
      </c>
      <c r="H89" s="134" t="s">
        <v>196</v>
      </c>
      <c r="I89" s="125"/>
      <c r="J89" s="134" t="s">
        <v>197</v>
      </c>
      <c r="K89" s="124"/>
      <c r="L89" s="125"/>
      <c r="M89" s="102" t="s">
        <v>494</v>
      </c>
      <c r="N89" s="102" t="s">
        <v>495</v>
      </c>
      <c r="O89" s="102" t="s">
        <v>496</v>
      </c>
      <c r="P89" s="102" t="s">
        <v>497</v>
      </c>
      <c r="Q89" s="102" t="s">
        <v>498</v>
      </c>
      <c r="R89" s="102" t="s">
        <v>499</v>
      </c>
    </row>
    <row r="90" spans="1:18" ht="21.95" customHeight="1" x14ac:dyDescent="0.25">
      <c r="A90" s="137">
        <f>IF('Calendario A'!A90="","",'Calendario A'!A90)</f>
        <v>25</v>
      </c>
      <c r="B90" s="44" t="str">
        <f>IF('Calendario A'!B90="","",'Calendario A'!B90)</f>
        <v/>
      </c>
      <c r="C90" s="45" t="str">
        <f>IF('Calendario A'!C90="","",'Calendario A'!C90)</f>
        <v/>
      </c>
      <c r="D90" s="44" t="str">
        <f>IF('Calendario A'!D90="","",'Calendario A'!D90)</f>
        <v/>
      </c>
      <c r="E90" s="45" t="str">
        <f>IF('Calendario A'!E90="","",'Calendario A'!E90)</f>
        <v/>
      </c>
      <c r="F90" s="138" t="str">
        <f>IF('Calendario A'!F90="","",'Calendario A'!F90)</f>
        <v/>
      </c>
      <c r="G90" s="124"/>
      <c r="H90" s="124"/>
      <c r="I90" s="125"/>
      <c r="J90" s="202" t="str">
        <f>IF('Calendario A'!J90="","",'Calendario A'!J90)</f>
        <v/>
      </c>
      <c r="K90" s="201" t="s">
        <v>198</v>
      </c>
      <c r="L90" s="202" t="str">
        <f>IF('Calendario A'!L90="","",'Calendario A'!L90)</f>
        <v/>
      </c>
      <c r="M90" s="200"/>
      <c r="N90" s="200"/>
      <c r="O90" s="200"/>
      <c r="P90" s="200"/>
      <c r="Q90" s="200"/>
      <c r="R90" s="200"/>
    </row>
    <row r="91" spans="1:18" ht="15" customHeight="1" x14ac:dyDescent="0.25">
      <c r="A91" s="133"/>
      <c r="B91" s="136" t="str">
        <f>IF('Calendario A'!B91="","",'Calendario A'!B91)</f>
        <v/>
      </c>
      <c r="C91" s="124"/>
      <c r="D91" s="124"/>
      <c r="E91" s="124"/>
      <c r="F91" s="124"/>
      <c r="G91" s="124"/>
      <c r="H91" s="125"/>
      <c r="I91" s="45" t="str">
        <f>IF('Calendario A'!I91="","",'Calendario A'!I91)</f>
        <v/>
      </c>
      <c r="J91" s="133"/>
      <c r="K91" s="133"/>
      <c r="L91" s="133"/>
      <c r="M91" s="133"/>
      <c r="N91" s="133"/>
      <c r="O91" s="133"/>
      <c r="P91" s="133"/>
      <c r="Q91" s="133"/>
      <c r="R91" s="133"/>
    </row>
    <row r="93" spans="1:18" ht="20.100000000000001" customHeight="1" x14ac:dyDescent="0.25">
      <c r="A93" s="42" t="str">
        <f>IF('Calendario A'!A93="","",'Calendario A'!A93)</f>
        <v>6A</v>
      </c>
      <c r="B93" s="139" t="str">
        <f>IF('Calendario A'!B93="","",'Calendario A'!B93)</f>
        <v>GIORNATA VI - GIRONE A</v>
      </c>
      <c r="C93" s="124"/>
      <c r="D93" s="124"/>
      <c r="E93" s="124"/>
      <c r="F93" s="124"/>
      <c r="G93" s="124"/>
      <c r="H93" s="124"/>
      <c r="I93" s="124"/>
      <c r="J93" s="124"/>
      <c r="K93" s="124"/>
      <c r="L93" s="125"/>
      <c r="M93" s="203" t="s">
        <v>492</v>
      </c>
      <c r="N93" s="124"/>
      <c r="O93" s="125"/>
      <c r="P93" s="203" t="s">
        <v>493</v>
      </c>
      <c r="Q93" s="124"/>
      <c r="R93" s="125"/>
    </row>
    <row r="94" spans="1:18" ht="14.1" customHeight="1" x14ac:dyDescent="0.25">
      <c r="A94" s="43" t="s">
        <v>193</v>
      </c>
      <c r="B94" s="134" t="s">
        <v>175</v>
      </c>
      <c r="C94" s="125"/>
      <c r="D94" s="134" t="s">
        <v>182</v>
      </c>
      <c r="E94" s="125"/>
      <c r="F94" s="43" t="s">
        <v>194</v>
      </c>
      <c r="G94" s="43" t="s">
        <v>195</v>
      </c>
      <c r="H94" s="134" t="s">
        <v>196</v>
      </c>
      <c r="I94" s="125"/>
      <c r="J94" s="134" t="s">
        <v>197</v>
      </c>
      <c r="K94" s="124"/>
      <c r="L94" s="125"/>
      <c r="M94" s="102" t="s">
        <v>494</v>
      </c>
      <c r="N94" s="102" t="s">
        <v>495</v>
      </c>
      <c r="O94" s="102" t="s">
        <v>496</v>
      </c>
      <c r="P94" s="102" t="s">
        <v>497</v>
      </c>
      <c r="Q94" s="102" t="s">
        <v>498</v>
      </c>
      <c r="R94" s="102" t="s">
        <v>499</v>
      </c>
    </row>
    <row r="95" spans="1:18" ht="21.95" customHeight="1" x14ac:dyDescent="0.25">
      <c r="A95" s="137">
        <f>IF('Calendario A'!A95="","",'Calendario A'!A95)</f>
        <v>26</v>
      </c>
      <c r="B95" s="44" t="str">
        <f>IF('Calendario A'!B95="","",'Calendario A'!B95)</f>
        <v/>
      </c>
      <c r="C95" s="45" t="str">
        <f>IF('Calendario A'!C95="","",'Calendario A'!C95)</f>
        <v/>
      </c>
      <c r="D95" s="44" t="str">
        <f>IF('Calendario A'!D95="","",'Calendario A'!D95)</f>
        <v/>
      </c>
      <c r="E95" s="45" t="str">
        <f>IF('Calendario A'!E95="","",'Calendario A'!E95)</f>
        <v/>
      </c>
      <c r="F95" s="138" t="str">
        <f>IF('Calendario A'!F95="","",'Calendario A'!F95)</f>
        <v/>
      </c>
      <c r="G95" s="124"/>
      <c r="H95" s="124"/>
      <c r="I95" s="125"/>
      <c r="J95" s="202" t="str">
        <f>IF('Calendario A'!J95="","",'Calendario A'!J95)</f>
        <v/>
      </c>
      <c r="K95" s="201" t="s">
        <v>198</v>
      </c>
      <c r="L95" s="202" t="str">
        <f>IF('Calendario A'!L95="","",'Calendario A'!L95)</f>
        <v/>
      </c>
      <c r="M95" s="200"/>
      <c r="N95" s="200"/>
      <c r="O95" s="200"/>
      <c r="P95" s="200"/>
      <c r="Q95" s="200"/>
      <c r="R95" s="200"/>
    </row>
    <row r="96" spans="1:18" ht="15" customHeight="1" x14ac:dyDescent="0.25">
      <c r="A96" s="133"/>
      <c r="B96" s="136" t="str">
        <f>IF('Calendario A'!B96="","",'Calendario A'!B96)</f>
        <v/>
      </c>
      <c r="C96" s="124"/>
      <c r="D96" s="124"/>
      <c r="E96" s="124"/>
      <c r="F96" s="124"/>
      <c r="G96" s="124"/>
      <c r="H96" s="125"/>
      <c r="I96" s="45" t="str">
        <f>IF('Calendario A'!I96="","",'Calendario A'!I96)</f>
        <v/>
      </c>
      <c r="J96" s="133"/>
      <c r="K96" s="133"/>
      <c r="L96" s="133"/>
      <c r="M96" s="133"/>
      <c r="N96" s="133"/>
      <c r="O96" s="133"/>
      <c r="P96" s="133"/>
      <c r="Q96" s="133"/>
      <c r="R96" s="133"/>
    </row>
    <row r="97" spans="1:18" ht="14.1" customHeight="1" x14ac:dyDescent="0.25">
      <c r="A97" s="43" t="s">
        <v>193</v>
      </c>
      <c r="B97" s="134" t="s">
        <v>175</v>
      </c>
      <c r="C97" s="125"/>
      <c r="D97" s="134" t="s">
        <v>182</v>
      </c>
      <c r="E97" s="125"/>
      <c r="F97" s="43" t="s">
        <v>194</v>
      </c>
      <c r="G97" s="43" t="s">
        <v>195</v>
      </c>
      <c r="H97" s="134" t="s">
        <v>196</v>
      </c>
      <c r="I97" s="125"/>
      <c r="J97" s="134" t="s">
        <v>197</v>
      </c>
      <c r="K97" s="124"/>
      <c r="L97" s="125"/>
      <c r="M97" s="102" t="s">
        <v>494</v>
      </c>
      <c r="N97" s="102" t="s">
        <v>495</v>
      </c>
      <c r="O97" s="102" t="s">
        <v>496</v>
      </c>
      <c r="P97" s="102" t="s">
        <v>497</v>
      </c>
      <c r="Q97" s="102" t="s">
        <v>498</v>
      </c>
      <c r="R97" s="102" t="s">
        <v>499</v>
      </c>
    </row>
    <row r="98" spans="1:18" ht="21.95" customHeight="1" x14ac:dyDescent="0.25">
      <c r="A98" s="137">
        <f>IF('Calendario A'!A98="","",'Calendario A'!A98)</f>
        <v>27</v>
      </c>
      <c r="B98" s="44" t="str">
        <f>IF('Calendario A'!B98="","",'Calendario A'!B98)</f>
        <v/>
      </c>
      <c r="C98" s="45" t="str">
        <f>IF('Calendario A'!C98="","",'Calendario A'!C98)</f>
        <v/>
      </c>
      <c r="D98" s="44" t="str">
        <f>IF('Calendario A'!D98="","",'Calendario A'!D98)</f>
        <v/>
      </c>
      <c r="E98" s="45" t="str">
        <f>IF('Calendario A'!E98="","",'Calendario A'!E98)</f>
        <v/>
      </c>
      <c r="F98" s="138" t="str">
        <f>IF('Calendario A'!F98="","",'Calendario A'!F98)</f>
        <v/>
      </c>
      <c r="G98" s="124"/>
      <c r="H98" s="124"/>
      <c r="I98" s="125"/>
      <c r="J98" s="202" t="str">
        <f>IF('Calendario A'!J98="","",'Calendario A'!J98)</f>
        <v/>
      </c>
      <c r="K98" s="201" t="s">
        <v>198</v>
      </c>
      <c r="L98" s="202" t="str">
        <f>IF('Calendario A'!L98="","",'Calendario A'!L98)</f>
        <v/>
      </c>
      <c r="M98" s="200"/>
      <c r="N98" s="200"/>
      <c r="O98" s="200"/>
      <c r="P98" s="200"/>
      <c r="Q98" s="200"/>
      <c r="R98" s="200"/>
    </row>
    <row r="99" spans="1:18" ht="15" customHeight="1" x14ac:dyDescent="0.25">
      <c r="A99" s="133"/>
      <c r="B99" s="136" t="str">
        <f>IF('Calendario A'!B99="","",'Calendario A'!B99)</f>
        <v/>
      </c>
      <c r="C99" s="124"/>
      <c r="D99" s="124"/>
      <c r="E99" s="124"/>
      <c r="F99" s="124"/>
      <c r="G99" s="124"/>
      <c r="H99" s="125"/>
      <c r="I99" s="45" t="str">
        <f>IF('Calendario A'!I99="","",'Calendario A'!I99)</f>
        <v/>
      </c>
      <c r="J99" s="133"/>
      <c r="K99" s="133"/>
      <c r="L99" s="133"/>
      <c r="M99" s="133"/>
      <c r="N99" s="133"/>
      <c r="O99" s="133"/>
      <c r="P99" s="133"/>
      <c r="Q99" s="133"/>
      <c r="R99" s="133"/>
    </row>
    <row r="100" spans="1:18" ht="14.1" customHeight="1" x14ac:dyDescent="0.25">
      <c r="A100" s="43" t="s">
        <v>193</v>
      </c>
      <c r="B100" s="134" t="s">
        <v>175</v>
      </c>
      <c r="C100" s="125"/>
      <c r="D100" s="134" t="s">
        <v>182</v>
      </c>
      <c r="E100" s="125"/>
      <c r="F100" s="43" t="s">
        <v>194</v>
      </c>
      <c r="G100" s="43" t="s">
        <v>195</v>
      </c>
      <c r="H100" s="134" t="s">
        <v>196</v>
      </c>
      <c r="I100" s="125"/>
      <c r="J100" s="134" t="s">
        <v>197</v>
      </c>
      <c r="K100" s="124"/>
      <c r="L100" s="125"/>
      <c r="M100" s="102" t="s">
        <v>494</v>
      </c>
      <c r="N100" s="102" t="s">
        <v>495</v>
      </c>
      <c r="O100" s="102" t="s">
        <v>496</v>
      </c>
      <c r="P100" s="102" t="s">
        <v>497</v>
      </c>
      <c r="Q100" s="102" t="s">
        <v>498</v>
      </c>
      <c r="R100" s="102" t="s">
        <v>499</v>
      </c>
    </row>
    <row r="101" spans="1:18" ht="21.95" customHeight="1" x14ac:dyDescent="0.25">
      <c r="A101" s="137">
        <f>IF('Calendario A'!A101="","",'Calendario A'!A101)</f>
        <v>28</v>
      </c>
      <c r="B101" s="44" t="str">
        <f>IF('Calendario A'!B101="","",'Calendario A'!B101)</f>
        <v/>
      </c>
      <c r="C101" s="45" t="str">
        <f>IF('Calendario A'!C101="","",'Calendario A'!C101)</f>
        <v/>
      </c>
      <c r="D101" s="44" t="str">
        <f>IF('Calendario A'!D101="","",'Calendario A'!D101)</f>
        <v/>
      </c>
      <c r="E101" s="45" t="str">
        <f>IF('Calendario A'!E101="","",'Calendario A'!E101)</f>
        <v/>
      </c>
      <c r="F101" s="138" t="str">
        <f>IF('Calendario A'!F101="","",'Calendario A'!F101)</f>
        <v/>
      </c>
      <c r="G101" s="124"/>
      <c r="H101" s="124"/>
      <c r="I101" s="125"/>
      <c r="J101" s="202" t="str">
        <f>IF('Calendario A'!J101="","",'Calendario A'!J101)</f>
        <v/>
      </c>
      <c r="K101" s="201" t="s">
        <v>198</v>
      </c>
      <c r="L101" s="202" t="str">
        <f>IF('Calendario A'!L101="","",'Calendario A'!L101)</f>
        <v/>
      </c>
      <c r="M101" s="200"/>
      <c r="N101" s="200"/>
      <c r="O101" s="200"/>
      <c r="P101" s="200"/>
      <c r="Q101" s="200"/>
      <c r="R101" s="200"/>
    </row>
    <row r="102" spans="1:18" ht="15" customHeight="1" x14ac:dyDescent="0.25">
      <c r="A102" s="133"/>
      <c r="B102" s="136" t="str">
        <f>IF('Calendario A'!B102="","",'Calendario A'!B102)</f>
        <v/>
      </c>
      <c r="C102" s="124"/>
      <c r="D102" s="124"/>
      <c r="E102" s="124"/>
      <c r="F102" s="124"/>
      <c r="G102" s="124"/>
      <c r="H102" s="125"/>
      <c r="I102" s="45" t="str">
        <f>IF('Calendario A'!I102="","",'Calendario A'!I102)</f>
        <v/>
      </c>
      <c r="J102" s="133"/>
      <c r="K102" s="133"/>
      <c r="L102" s="133"/>
      <c r="M102" s="133"/>
      <c r="N102" s="133"/>
      <c r="O102" s="133"/>
      <c r="P102" s="133"/>
      <c r="Q102" s="133"/>
      <c r="R102" s="133"/>
    </row>
    <row r="103" spans="1:18" ht="14.1" customHeight="1" x14ac:dyDescent="0.25">
      <c r="A103" s="43" t="s">
        <v>193</v>
      </c>
      <c r="B103" s="134" t="s">
        <v>175</v>
      </c>
      <c r="C103" s="125"/>
      <c r="D103" s="134" t="s">
        <v>182</v>
      </c>
      <c r="E103" s="125"/>
      <c r="F103" s="43" t="s">
        <v>194</v>
      </c>
      <c r="G103" s="43" t="s">
        <v>195</v>
      </c>
      <c r="H103" s="134" t="s">
        <v>196</v>
      </c>
      <c r="I103" s="125"/>
      <c r="J103" s="134" t="s">
        <v>197</v>
      </c>
      <c r="K103" s="124"/>
      <c r="L103" s="125"/>
      <c r="M103" s="102" t="s">
        <v>494</v>
      </c>
      <c r="N103" s="102" t="s">
        <v>495</v>
      </c>
      <c r="O103" s="102" t="s">
        <v>496</v>
      </c>
      <c r="P103" s="102" t="s">
        <v>497</v>
      </c>
      <c r="Q103" s="102" t="s">
        <v>498</v>
      </c>
      <c r="R103" s="102" t="s">
        <v>499</v>
      </c>
    </row>
    <row r="104" spans="1:18" ht="21.95" customHeight="1" x14ac:dyDescent="0.25">
      <c r="A104" s="137">
        <f>IF('Calendario A'!A104="","",'Calendario A'!A104)</f>
        <v>29</v>
      </c>
      <c r="B104" s="44" t="str">
        <f>IF('Calendario A'!B104="","",'Calendario A'!B104)</f>
        <v/>
      </c>
      <c r="C104" s="45" t="str">
        <f>IF('Calendario A'!C104="","",'Calendario A'!C104)</f>
        <v/>
      </c>
      <c r="D104" s="44" t="str">
        <f>IF('Calendario A'!D104="","",'Calendario A'!D104)</f>
        <v/>
      </c>
      <c r="E104" s="45" t="str">
        <f>IF('Calendario A'!E104="","",'Calendario A'!E104)</f>
        <v/>
      </c>
      <c r="F104" s="138" t="str">
        <f>IF('Calendario A'!F104="","",'Calendario A'!F104)</f>
        <v/>
      </c>
      <c r="G104" s="124"/>
      <c r="H104" s="124"/>
      <c r="I104" s="125"/>
      <c r="J104" s="202" t="str">
        <f>IF('Calendario A'!J104="","",'Calendario A'!J104)</f>
        <v/>
      </c>
      <c r="K104" s="201" t="s">
        <v>198</v>
      </c>
      <c r="L104" s="202" t="str">
        <f>IF('Calendario A'!L104="","",'Calendario A'!L104)</f>
        <v/>
      </c>
      <c r="M104" s="200"/>
      <c r="N104" s="200"/>
      <c r="O104" s="200"/>
      <c r="P104" s="200"/>
      <c r="Q104" s="200"/>
      <c r="R104" s="200"/>
    </row>
    <row r="105" spans="1:18" ht="15" customHeight="1" x14ac:dyDescent="0.25">
      <c r="A105" s="133"/>
      <c r="B105" s="136" t="str">
        <f>IF('Calendario A'!B105="","",'Calendario A'!B105)</f>
        <v/>
      </c>
      <c r="C105" s="124"/>
      <c r="D105" s="124"/>
      <c r="E105" s="124"/>
      <c r="F105" s="124"/>
      <c r="G105" s="124"/>
      <c r="H105" s="125"/>
      <c r="I105" s="45" t="str">
        <f>IF('Calendario A'!I105="","",'Calendario A'!I105)</f>
        <v/>
      </c>
      <c r="J105" s="133"/>
      <c r="K105" s="133"/>
      <c r="L105" s="133"/>
      <c r="M105" s="133"/>
      <c r="N105" s="133"/>
      <c r="O105" s="133"/>
      <c r="P105" s="133"/>
      <c r="Q105" s="133"/>
      <c r="R105" s="133"/>
    </row>
    <row r="106" spans="1:18" ht="14.1" customHeight="1" x14ac:dyDescent="0.25">
      <c r="A106" s="43" t="s">
        <v>193</v>
      </c>
      <c r="B106" s="134" t="s">
        <v>175</v>
      </c>
      <c r="C106" s="125"/>
      <c r="D106" s="134" t="s">
        <v>182</v>
      </c>
      <c r="E106" s="125"/>
      <c r="F106" s="43" t="s">
        <v>194</v>
      </c>
      <c r="G106" s="43" t="s">
        <v>195</v>
      </c>
      <c r="H106" s="134" t="s">
        <v>196</v>
      </c>
      <c r="I106" s="125"/>
      <c r="J106" s="134" t="s">
        <v>197</v>
      </c>
      <c r="K106" s="124"/>
      <c r="L106" s="125"/>
      <c r="M106" s="102" t="s">
        <v>494</v>
      </c>
      <c r="N106" s="102" t="s">
        <v>495</v>
      </c>
      <c r="O106" s="102" t="s">
        <v>496</v>
      </c>
      <c r="P106" s="102" t="s">
        <v>497</v>
      </c>
      <c r="Q106" s="102" t="s">
        <v>498</v>
      </c>
      <c r="R106" s="102" t="s">
        <v>499</v>
      </c>
    </row>
    <row r="107" spans="1:18" ht="21.95" customHeight="1" x14ac:dyDescent="0.25">
      <c r="A107" s="137">
        <f>IF('Calendario A'!A107="","",'Calendario A'!A107)</f>
        <v>30</v>
      </c>
      <c r="B107" s="44" t="str">
        <f>IF('Calendario A'!B107="","",'Calendario A'!B107)</f>
        <v/>
      </c>
      <c r="C107" s="45" t="str">
        <f>IF('Calendario A'!C107="","",'Calendario A'!C107)</f>
        <v/>
      </c>
      <c r="D107" s="44" t="str">
        <f>IF('Calendario A'!D107="","",'Calendario A'!D107)</f>
        <v/>
      </c>
      <c r="E107" s="45" t="str">
        <f>IF('Calendario A'!E107="","",'Calendario A'!E107)</f>
        <v/>
      </c>
      <c r="F107" s="138" t="str">
        <f>IF('Calendario A'!F107="","",'Calendario A'!F107)</f>
        <v/>
      </c>
      <c r="G107" s="124"/>
      <c r="H107" s="124"/>
      <c r="I107" s="125"/>
      <c r="J107" s="202" t="str">
        <f>IF('Calendario A'!J107="","",'Calendario A'!J107)</f>
        <v/>
      </c>
      <c r="K107" s="201" t="s">
        <v>198</v>
      </c>
      <c r="L107" s="202" t="str">
        <f>IF('Calendario A'!L107="","",'Calendario A'!L107)</f>
        <v/>
      </c>
      <c r="M107" s="200"/>
      <c r="N107" s="200"/>
      <c r="O107" s="200"/>
      <c r="P107" s="200"/>
      <c r="Q107" s="200"/>
      <c r="R107" s="200"/>
    </row>
    <row r="108" spans="1:18" ht="15" customHeight="1" x14ac:dyDescent="0.25">
      <c r="A108" s="133"/>
      <c r="B108" s="136" t="str">
        <f>IF('Calendario A'!B108="","",'Calendario A'!B108)</f>
        <v/>
      </c>
      <c r="C108" s="124"/>
      <c r="D108" s="124"/>
      <c r="E108" s="124"/>
      <c r="F108" s="124"/>
      <c r="G108" s="124"/>
      <c r="H108" s="125"/>
      <c r="I108" s="45" t="str">
        <f>IF('Calendario A'!I108="","",'Calendario A'!I108)</f>
        <v/>
      </c>
      <c r="J108" s="133"/>
      <c r="K108" s="133"/>
      <c r="L108" s="133"/>
      <c r="M108" s="133"/>
      <c r="N108" s="133"/>
      <c r="O108" s="133"/>
      <c r="P108" s="133"/>
      <c r="Q108" s="133"/>
      <c r="R108" s="133"/>
    </row>
    <row r="110" spans="1:18" ht="20.100000000000001" customHeight="1" x14ac:dyDescent="0.25">
      <c r="A110" s="42" t="str">
        <f>IF('Calendario A'!A110="","",'Calendario A'!A110)</f>
        <v>7A</v>
      </c>
      <c r="B110" s="139" t="str">
        <f>IF('Calendario A'!B110="","",'Calendario A'!B110)</f>
        <v>GIORNATA VII - GIRONE A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5"/>
      <c r="M110" s="203" t="s">
        <v>492</v>
      </c>
      <c r="N110" s="124"/>
      <c r="O110" s="125"/>
      <c r="P110" s="203" t="s">
        <v>493</v>
      </c>
      <c r="Q110" s="124"/>
      <c r="R110" s="125"/>
    </row>
    <row r="111" spans="1:18" ht="14.1" customHeight="1" x14ac:dyDescent="0.25">
      <c r="A111" s="43" t="s">
        <v>193</v>
      </c>
      <c r="B111" s="134" t="s">
        <v>175</v>
      </c>
      <c r="C111" s="125"/>
      <c r="D111" s="134" t="s">
        <v>182</v>
      </c>
      <c r="E111" s="125"/>
      <c r="F111" s="43" t="s">
        <v>194</v>
      </c>
      <c r="G111" s="43" t="s">
        <v>195</v>
      </c>
      <c r="H111" s="134" t="s">
        <v>196</v>
      </c>
      <c r="I111" s="125"/>
      <c r="J111" s="134" t="s">
        <v>197</v>
      </c>
      <c r="K111" s="124"/>
      <c r="L111" s="125"/>
      <c r="M111" s="102" t="s">
        <v>494</v>
      </c>
      <c r="N111" s="102" t="s">
        <v>495</v>
      </c>
      <c r="O111" s="102" t="s">
        <v>496</v>
      </c>
      <c r="P111" s="102" t="s">
        <v>497</v>
      </c>
      <c r="Q111" s="102" t="s">
        <v>498</v>
      </c>
      <c r="R111" s="102" t="s">
        <v>499</v>
      </c>
    </row>
    <row r="112" spans="1:18" ht="21.95" customHeight="1" x14ac:dyDescent="0.25">
      <c r="A112" s="137">
        <f>IF('Calendario A'!A112="","",'Calendario A'!A112)</f>
        <v>31</v>
      </c>
      <c r="B112" s="44" t="str">
        <f>IF('Calendario A'!B112="","",'Calendario A'!B112)</f>
        <v/>
      </c>
      <c r="C112" s="45" t="str">
        <f>IF('Calendario A'!C112="","",'Calendario A'!C112)</f>
        <v/>
      </c>
      <c r="D112" s="44" t="str">
        <f>IF('Calendario A'!D112="","",'Calendario A'!D112)</f>
        <v/>
      </c>
      <c r="E112" s="45" t="str">
        <f>IF('Calendario A'!E112="","",'Calendario A'!E112)</f>
        <v/>
      </c>
      <c r="F112" s="138" t="str">
        <f>IF('Calendario A'!F112="","",'Calendario A'!F112)</f>
        <v/>
      </c>
      <c r="G112" s="124"/>
      <c r="H112" s="124"/>
      <c r="I112" s="125"/>
      <c r="J112" s="202" t="str">
        <f>IF('Calendario A'!J112="","",'Calendario A'!J112)</f>
        <v/>
      </c>
      <c r="K112" s="201" t="s">
        <v>198</v>
      </c>
      <c r="L112" s="202" t="str">
        <f>IF('Calendario A'!L112="","",'Calendario A'!L112)</f>
        <v/>
      </c>
      <c r="M112" s="200"/>
      <c r="N112" s="200"/>
      <c r="O112" s="200"/>
      <c r="P112" s="200"/>
      <c r="Q112" s="200"/>
      <c r="R112" s="200"/>
    </row>
    <row r="113" spans="1:18" ht="15" customHeight="1" x14ac:dyDescent="0.25">
      <c r="A113" s="133"/>
      <c r="B113" s="136" t="str">
        <f>IF('Calendario A'!B113="","",'Calendario A'!B113)</f>
        <v/>
      </c>
      <c r="C113" s="124"/>
      <c r="D113" s="124"/>
      <c r="E113" s="124"/>
      <c r="F113" s="124"/>
      <c r="G113" s="124"/>
      <c r="H113" s="125"/>
      <c r="I113" s="45" t="str">
        <f>IF('Calendario A'!I113="","",'Calendario A'!I113)</f>
        <v/>
      </c>
      <c r="J113" s="133"/>
      <c r="K113" s="133"/>
      <c r="L113" s="133"/>
      <c r="M113" s="133"/>
      <c r="N113" s="133"/>
      <c r="O113" s="133"/>
      <c r="P113" s="133"/>
      <c r="Q113" s="133"/>
      <c r="R113" s="133"/>
    </row>
    <row r="114" spans="1:18" ht="14.1" customHeight="1" x14ac:dyDescent="0.25">
      <c r="A114" s="43" t="s">
        <v>193</v>
      </c>
      <c r="B114" s="134" t="s">
        <v>175</v>
      </c>
      <c r="C114" s="125"/>
      <c r="D114" s="134" t="s">
        <v>182</v>
      </c>
      <c r="E114" s="125"/>
      <c r="F114" s="43" t="s">
        <v>194</v>
      </c>
      <c r="G114" s="43" t="s">
        <v>195</v>
      </c>
      <c r="H114" s="134" t="s">
        <v>196</v>
      </c>
      <c r="I114" s="125"/>
      <c r="J114" s="134" t="s">
        <v>197</v>
      </c>
      <c r="K114" s="124"/>
      <c r="L114" s="125"/>
      <c r="M114" s="102" t="s">
        <v>494</v>
      </c>
      <c r="N114" s="102" t="s">
        <v>495</v>
      </c>
      <c r="O114" s="102" t="s">
        <v>496</v>
      </c>
      <c r="P114" s="102" t="s">
        <v>497</v>
      </c>
      <c r="Q114" s="102" t="s">
        <v>498</v>
      </c>
      <c r="R114" s="102" t="s">
        <v>499</v>
      </c>
    </row>
    <row r="115" spans="1:18" ht="21.95" customHeight="1" x14ac:dyDescent="0.25">
      <c r="A115" s="137">
        <f>IF('Calendario A'!A115="","",'Calendario A'!A115)</f>
        <v>32</v>
      </c>
      <c r="B115" s="44" t="str">
        <f>IF('Calendario A'!B115="","",'Calendario A'!B115)</f>
        <v/>
      </c>
      <c r="C115" s="45" t="str">
        <f>IF('Calendario A'!C115="","",'Calendario A'!C115)</f>
        <v/>
      </c>
      <c r="D115" s="44" t="str">
        <f>IF('Calendario A'!D115="","",'Calendario A'!D115)</f>
        <v/>
      </c>
      <c r="E115" s="45" t="str">
        <f>IF('Calendario A'!E115="","",'Calendario A'!E115)</f>
        <v/>
      </c>
      <c r="F115" s="138" t="str">
        <f>IF('Calendario A'!F115="","",'Calendario A'!F115)</f>
        <v/>
      </c>
      <c r="G115" s="124"/>
      <c r="H115" s="124"/>
      <c r="I115" s="125"/>
      <c r="J115" s="202" t="str">
        <f>IF('Calendario A'!J115="","",'Calendario A'!J115)</f>
        <v/>
      </c>
      <c r="K115" s="201" t="s">
        <v>198</v>
      </c>
      <c r="L115" s="202" t="str">
        <f>IF('Calendario A'!L115="","",'Calendario A'!L115)</f>
        <v/>
      </c>
      <c r="M115" s="200"/>
      <c r="N115" s="200"/>
      <c r="O115" s="200"/>
      <c r="P115" s="200"/>
      <c r="Q115" s="200"/>
      <c r="R115" s="200"/>
    </row>
    <row r="116" spans="1:18" ht="15" customHeight="1" x14ac:dyDescent="0.25">
      <c r="A116" s="133"/>
      <c r="B116" s="136" t="str">
        <f>IF('Calendario A'!B116="","",'Calendario A'!B116)</f>
        <v/>
      </c>
      <c r="C116" s="124"/>
      <c r="D116" s="124"/>
      <c r="E116" s="124"/>
      <c r="F116" s="124"/>
      <c r="G116" s="124"/>
      <c r="H116" s="125"/>
      <c r="I116" s="45" t="str">
        <f>IF('Calendario A'!I116="","",'Calendario A'!I116)</f>
        <v/>
      </c>
      <c r="J116" s="133"/>
      <c r="K116" s="133"/>
      <c r="L116" s="133"/>
      <c r="M116" s="133"/>
      <c r="N116" s="133"/>
      <c r="O116" s="133"/>
      <c r="P116" s="133"/>
      <c r="Q116" s="133"/>
      <c r="R116" s="133"/>
    </row>
    <row r="117" spans="1:18" ht="14.1" customHeight="1" x14ac:dyDescent="0.25">
      <c r="A117" s="43" t="s">
        <v>193</v>
      </c>
      <c r="B117" s="134" t="s">
        <v>175</v>
      </c>
      <c r="C117" s="125"/>
      <c r="D117" s="134" t="s">
        <v>182</v>
      </c>
      <c r="E117" s="125"/>
      <c r="F117" s="43" t="s">
        <v>194</v>
      </c>
      <c r="G117" s="43" t="s">
        <v>195</v>
      </c>
      <c r="H117" s="134" t="s">
        <v>196</v>
      </c>
      <c r="I117" s="125"/>
      <c r="J117" s="134" t="s">
        <v>197</v>
      </c>
      <c r="K117" s="124"/>
      <c r="L117" s="125"/>
      <c r="M117" s="102" t="s">
        <v>494</v>
      </c>
      <c r="N117" s="102" t="s">
        <v>495</v>
      </c>
      <c r="O117" s="102" t="s">
        <v>496</v>
      </c>
      <c r="P117" s="102" t="s">
        <v>497</v>
      </c>
      <c r="Q117" s="102" t="s">
        <v>498</v>
      </c>
      <c r="R117" s="102" t="s">
        <v>499</v>
      </c>
    </row>
    <row r="118" spans="1:18" ht="21.95" customHeight="1" x14ac:dyDescent="0.25">
      <c r="A118" s="137">
        <f>IF('Calendario A'!A118="","",'Calendario A'!A118)</f>
        <v>33</v>
      </c>
      <c r="B118" s="44" t="str">
        <f>IF('Calendario A'!B118="","",'Calendario A'!B118)</f>
        <v/>
      </c>
      <c r="C118" s="45" t="str">
        <f>IF('Calendario A'!C118="","",'Calendario A'!C118)</f>
        <v/>
      </c>
      <c r="D118" s="44" t="str">
        <f>IF('Calendario A'!D118="","",'Calendario A'!D118)</f>
        <v/>
      </c>
      <c r="E118" s="45" t="str">
        <f>IF('Calendario A'!E118="","",'Calendario A'!E118)</f>
        <v/>
      </c>
      <c r="F118" s="138" t="str">
        <f>IF('Calendario A'!F118="","",'Calendario A'!F118)</f>
        <v/>
      </c>
      <c r="G118" s="124"/>
      <c r="H118" s="124"/>
      <c r="I118" s="125"/>
      <c r="J118" s="202" t="str">
        <f>IF('Calendario A'!J118="","",'Calendario A'!J118)</f>
        <v/>
      </c>
      <c r="K118" s="201" t="s">
        <v>198</v>
      </c>
      <c r="L118" s="202" t="str">
        <f>IF('Calendario A'!L118="","",'Calendario A'!L118)</f>
        <v/>
      </c>
      <c r="M118" s="200"/>
      <c r="N118" s="200"/>
      <c r="O118" s="200"/>
      <c r="P118" s="200"/>
      <c r="Q118" s="200"/>
      <c r="R118" s="200"/>
    </row>
    <row r="119" spans="1:18" ht="15" customHeight="1" x14ac:dyDescent="0.25">
      <c r="A119" s="133"/>
      <c r="B119" s="136" t="str">
        <f>IF('Calendario A'!B119="","",'Calendario A'!B119)</f>
        <v/>
      </c>
      <c r="C119" s="124"/>
      <c r="D119" s="124"/>
      <c r="E119" s="124"/>
      <c r="F119" s="124"/>
      <c r="G119" s="124"/>
      <c r="H119" s="125"/>
      <c r="I119" s="45" t="str">
        <f>IF('Calendario A'!I119="","",'Calendario A'!I119)</f>
        <v/>
      </c>
      <c r="J119" s="133"/>
      <c r="K119" s="133"/>
      <c r="L119" s="133"/>
      <c r="M119" s="133"/>
      <c r="N119" s="133"/>
      <c r="O119" s="133"/>
      <c r="P119" s="133"/>
      <c r="Q119" s="133"/>
      <c r="R119" s="133"/>
    </row>
    <row r="120" spans="1:18" ht="14.1" customHeight="1" x14ac:dyDescent="0.25">
      <c r="A120" s="43" t="s">
        <v>193</v>
      </c>
      <c r="B120" s="134" t="s">
        <v>175</v>
      </c>
      <c r="C120" s="125"/>
      <c r="D120" s="134" t="s">
        <v>182</v>
      </c>
      <c r="E120" s="125"/>
      <c r="F120" s="43" t="s">
        <v>194</v>
      </c>
      <c r="G120" s="43" t="s">
        <v>195</v>
      </c>
      <c r="H120" s="134" t="s">
        <v>196</v>
      </c>
      <c r="I120" s="125"/>
      <c r="J120" s="134" t="s">
        <v>197</v>
      </c>
      <c r="K120" s="124"/>
      <c r="L120" s="125"/>
      <c r="M120" s="102" t="s">
        <v>494</v>
      </c>
      <c r="N120" s="102" t="s">
        <v>495</v>
      </c>
      <c r="O120" s="102" t="s">
        <v>496</v>
      </c>
      <c r="P120" s="102" t="s">
        <v>497</v>
      </c>
      <c r="Q120" s="102" t="s">
        <v>498</v>
      </c>
      <c r="R120" s="102" t="s">
        <v>499</v>
      </c>
    </row>
    <row r="121" spans="1:18" ht="21.95" customHeight="1" x14ac:dyDescent="0.25">
      <c r="A121" s="137">
        <f>IF('Calendario A'!A121="","",'Calendario A'!A121)</f>
        <v>34</v>
      </c>
      <c r="B121" s="44" t="str">
        <f>IF('Calendario A'!B121="","",'Calendario A'!B121)</f>
        <v/>
      </c>
      <c r="C121" s="45" t="str">
        <f>IF('Calendario A'!C121="","",'Calendario A'!C121)</f>
        <v/>
      </c>
      <c r="D121" s="44" t="str">
        <f>IF('Calendario A'!D121="","",'Calendario A'!D121)</f>
        <v/>
      </c>
      <c r="E121" s="45" t="str">
        <f>IF('Calendario A'!E121="","",'Calendario A'!E121)</f>
        <v/>
      </c>
      <c r="F121" s="138" t="str">
        <f>IF('Calendario A'!F121="","",'Calendario A'!F121)</f>
        <v/>
      </c>
      <c r="G121" s="124"/>
      <c r="H121" s="124"/>
      <c r="I121" s="125"/>
      <c r="J121" s="202" t="str">
        <f>IF('Calendario A'!J121="","",'Calendario A'!J121)</f>
        <v/>
      </c>
      <c r="K121" s="201" t="s">
        <v>198</v>
      </c>
      <c r="L121" s="202" t="str">
        <f>IF('Calendario A'!L121="","",'Calendario A'!L121)</f>
        <v/>
      </c>
      <c r="M121" s="200"/>
      <c r="N121" s="200"/>
      <c r="O121" s="200"/>
      <c r="P121" s="200"/>
      <c r="Q121" s="200"/>
      <c r="R121" s="200"/>
    </row>
    <row r="122" spans="1:18" ht="15" customHeight="1" x14ac:dyDescent="0.25">
      <c r="A122" s="133"/>
      <c r="B122" s="136" t="str">
        <f>IF('Calendario A'!B122="","",'Calendario A'!B122)</f>
        <v/>
      </c>
      <c r="C122" s="124"/>
      <c r="D122" s="124"/>
      <c r="E122" s="124"/>
      <c r="F122" s="124"/>
      <c r="G122" s="124"/>
      <c r="H122" s="125"/>
      <c r="I122" s="45" t="str">
        <f>IF('Calendario A'!I122="","",'Calendario A'!I122)</f>
        <v/>
      </c>
      <c r="J122" s="133"/>
      <c r="K122" s="133"/>
      <c r="L122" s="133"/>
      <c r="M122" s="133"/>
      <c r="N122" s="133"/>
      <c r="O122" s="133"/>
      <c r="P122" s="133"/>
      <c r="Q122" s="133"/>
      <c r="R122" s="133"/>
    </row>
    <row r="123" spans="1:18" ht="14.1" customHeight="1" x14ac:dyDescent="0.25">
      <c r="A123" s="43" t="s">
        <v>193</v>
      </c>
      <c r="B123" s="134" t="s">
        <v>175</v>
      </c>
      <c r="C123" s="125"/>
      <c r="D123" s="134" t="s">
        <v>182</v>
      </c>
      <c r="E123" s="125"/>
      <c r="F123" s="43" t="s">
        <v>194</v>
      </c>
      <c r="G123" s="43" t="s">
        <v>195</v>
      </c>
      <c r="H123" s="134" t="s">
        <v>196</v>
      </c>
      <c r="I123" s="125"/>
      <c r="J123" s="134" t="s">
        <v>197</v>
      </c>
      <c r="K123" s="124"/>
      <c r="L123" s="125"/>
      <c r="M123" s="102" t="s">
        <v>494</v>
      </c>
      <c r="N123" s="102" t="s">
        <v>495</v>
      </c>
      <c r="O123" s="102" t="s">
        <v>496</v>
      </c>
      <c r="P123" s="102" t="s">
        <v>497</v>
      </c>
      <c r="Q123" s="102" t="s">
        <v>498</v>
      </c>
      <c r="R123" s="102" t="s">
        <v>499</v>
      </c>
    </row>
    <row r="124" spans="1:18" ht="21.95" customHeight="1" x14ac:dyDescent="0.25">
      <c r="A124" s="137">
        <f>IF('Calendario A'!A124="","",'Calendario A'!A124)</f>
        <v>35</v>
      </c>
      <c r="B124" s="44" t="str">
        <f>IF('Calendario A'!B124="","",'Calendario A'!B124)</f>
        <v/>
      </c>
      <c r="C124" s="45" t="str">
        <f>IF('Calendario A'!C124="","",'Calendario A'!C124)</f>
        <v/>
      </c>
      <c r="D124" s="44" t="str">
        <f>IF('Calendario A'!D124="","",'Calendario A'!D124)</f>
        <v/>
      </c>
      <c r="E124" s="45" t="str">
        <f>IF('Calendario A'!E124="","",'Calendario A'!E124)</f>
        <v/>
      </c>
      <c r="F124" s="138" t="str">
        <f>IF('Calendario A'!F124="","",'Calendario A'!F124)</f>
        <v/>
      </c>
      <c r="G124" s="124"/>
      <c r="H124" s="124"/>
      <c r="I124" s="125"/>
      <c r="J124" s="202" t="str">
        <f>IF('Calendario A'!J124="","",'Calendario A'!J124)</f>
        <v/>
      </c>
      <c r="K124" s="201" t="s">
        <v>198</v>
      </c>
      <c r="L124" s="202" t="str">
        <f>IF('Calendario A'!L124="","",'Calendario A'!L124)</f>
        <v/>
      </c>
      <c r="M124" s="200"/>
      <c r="N124" s="200"/>
      <c r="O124" s="200"/>
      <c r="P124" s="200"/>
      <c r="Q124" s="200"/>
      <c r="R124" s="200"/>
    </row>
    <row r="125" spans="1:18" ht="15" customHeight="1" x14ac:dyDescent="0.25">
      <c r="A125" s="133"/>
      <c r="B125" s="136" t="str">
        <f>IF('Calendario A'!B125="","",'Calendario A'!B125)</f>
        <v/>
      </c>
      <c r="C125" s="124"/>
      <c r="D125" s="124"/>
      <c r="E125" s="124"/>
      <c r="F125" s="124"/>
      <c r="G125" s="124"/>
      <c r="H125" s="125"/>
      <c r="I125" s="45" t="str">
        <f>IF('Calendario A'!I125="","",'Calendario A'!I125)</f>
        <v/>
      </c>
      <c r="J125" s="133"/>
      <c r="K125" s="133"/>
      <c r="L125" s="133"/>
      <c r="M125" s="133"/>
      <c r="N125" s="133"/>
      <c r="O125" s="133"/>
      <c r="P125" s="133"/>
      <c r="Q125" s="133"/>
      <c r="R125" s="133"/>
    </row>
    <row r="127" spans="1:18" ht="20.100000000000001" customHeight="1" x14ac:dyDescent="0.25">
      <c r="A127" s="42" t="str">
        <f>IF('Calendario A'!A127="","",'Calendario A'!A127)</f>
        <v>8A</v>
      </c>
      <c r="B127" s="139" t="str">
        <f>IF('Calendario A'!B127="","",'Calendario A'!B127)</f>
        <v>GIORNATA VIII - GIRONE A</v>
      </c>
      <c r="C127" s="124"/>
      <c r="D127" s="124"/>
      <c r="E127" s="124"/>
      <c r="F127" s="124"/>
      <c r="G127" s="124"/>
      <c r="H127" s="124"/>
      <c r="I127" s="124"/>
      <c r="J127" s="124"/>
      <c r="K127" s="124"/>
      <c r="L127" s="125"/>
      <c r="M127" s="203" t="s">
        <v>492</v>
      </c>
      <c r="N127" s="124"/>
      <c r="O127" s="125"/>
      <c r="P127" s="203" t="s">
        <v>493</v>
      </c>
      <c r="Q127" s="124"/>
      <c r="R127" s="125"/>
    </row>
    <row r="128" spans="1:18" ht="14.1" customHeight="1" x14ac:dyDescent="0.25">
      <c r="A128" s="43" t="s">
        <v>193</v>
      </c>
      <c r="B128" s="134" t="s">
        <v>175</v>
      </c>
      <c r="C128" s="125"/>
      <c r="D128" s="134" t="s">
        <v>182</v>
      </c>
      <c r="E128" s="125"/>
      <c r="F128" s="43" t="s">
        <v>194</v>
      </c>
      <c r="G128" s="43" t="s">
        <v>195</v>
      </c>
      <c r="H128" s="134" t="s">
        <v>196</v>
      </c>
      <c r="I128" s="125"/>
      <c r="J128" s="134" t="s">
        <v>197</v>
      </c>
      <c r="K128" s="124"/>
      <c r="L128" s="125"/>
      <c r="M128" s="102" t="s">
        <v>494</v>
      </c>
      <c r="N128" s="102" t="s">
        <v>495</v>
      </c>
      <c r="O128" s="102" t="s">
        <v>496</v>
      </c>
      <c r="P128" s="102" t="s">
        <v>497</v>
      </c>
      <c r="Q128" s="102" t="s">
        <v>498</v>
      </c>
      <c r="R128" s="102" t="s">
        <v>499</v>
      </c>
    </row>
    <row r="129" spans="1:18" ht="21.95" customHeight="1" x14ac:dyDescent="0.25">
      <c r="A129" s="137">
        <f>IF('Calendario A'!A129="","",'Calendario A'!A129)</f>
        <v>36</v>
      </c>
      <c r="B129" s="44" t="str">
        <f>IF('Calendario A'!B129="","",'Calendario A'!B129)</f>
        <v/>
      </c>
      <c r="C129" s="45" t="str">
        <f>IF('Calendario A'!C129="","",'Calendario A'!C129)</f>
        <v/>
      </c>
      <c r="D129" s="44" t="str">
        <f>IF('Calendario A'!D129="","",'Calendario A'!D129)</f>
        <v/>
      </c>
      <c r="E129" s="45" t="str">
        <f>IF('Calendario A'!E129="","",'Calendario A'!E129)</f>
        <v/>
      </c>
      <c r="F129" s="138" t="str">
        <f>IF('Calendario A'!F129="","",'Calendario A'!F129)</f>
        <v/>
      </c>
      <c r="G129" s="124"/>
      <c r="H129" s="124"/>
      <c r="I129" s="125"/>
      <c r="J129" s="202" t="str">
        <f>IF('Calendario A'!J129="","",'Calendario A'!J129)</f>
        <v/>
      </c>
      <c r="K129" s="201" t="s">
        <v>198</v>
      </c>
      <c r="L129" s="202" t="str">
        <f>IF('Calendario A'!L129="","",'Calendario A'!L129)</f>
        <v/>
      </c>
      <c r="M129" s="200"/>
      <c r="N129" s="200"/>
      <c r="O129" s="200"/>
      <c r="P129" s="200"/>
      <c r="Q129" s="200"/>
      <c r="R129" s="200"/>
    </row>
    <row r="130" spans="1:18" ht="15" customHeight="1" x14ac:dyDescent="0.25">
      <c r="A130" s="133"/>
      <c r="B130" s="136" t="str">
        <f>IF('Calendario A'!B130="","",'Calendario A'!B130)</f>
        <v/>
      </c>
      <c r="C130" s="124"/>
      <c r="D130" s="124"/>
      <c r="E130" s="124"/>
      <c r="F130" s="124"/>
      <c r="G130" s="124"/>
      <c r="H130" s="125"/>
      <c r="I130" s="45" t="str">
        <f>IF('Calendario A'!I130="","",'Calendario A'!I130)</f>
        <v/>
      </c>
      <c r="J130" s="133"/>
      <c r="K130" s="133"/>
      <c r="L130" s="133"/>
      <c r="M130" s="133"/>
      <c r="N130" s="133"/>
      <c r="O130" s="133"/>
      <c r="P130" s="133"/>
      <c r="Q130" s="133"/>
      <c r="R130" s="133"/>
    </row>
    <row r="131" spans="1:18" ht="14.1" customHeight="1" x14ac:dyDescent="0.25">
      <c r="A131" s="43" t="s">
        <v>193</v>
      </c>
      <c r="B131" s="134" t="s">
        <v>175</v>
      </c>
      <c r="C131" s="125"/>
      <c r="D131" s="134" t="s">
        <v>182</v>
      </c>
      <c r="E131" s="125"/>
      <c r="F131" s="43" t="s">
        <v>194</v>
      </c>
      <c r="G131" s="43" t="s">
        <v>195</v>
      </c>
      <c r="H131" s="134" t="s">
        <v>196</v>
      </c>
      <c r="I131" s="125"/>
      <c r="J131" s="134" t="s">
        <v>197</v>
      </c>
      <c r="K131" s="124"/>
      <c r="L131" s="125"/>
      <c r="M131" s="102" t="s">
        <v>494</v>
      </c>
      <c r="N131" s="102" t="s">
        <v>495</v>
      </c>
      <c r="O131" s="102" t="s">
        <v>496</v>
      </c>
      <c r="P131" s="102" t="s">
        <v>497</v>
      </c>
      <c r="Q131" s="102" t="s">
        <v>498</v>
      </c>
      <c r="R131" s="102" t="s">
        <v>499</v>
      </c>
    </row>
    <row r="132" spans="1:18" ht="21.95" customHeight="1" x14ac:dyDescent="0.25">
      <c r="A132" s="137">
        <f>IF('Calendario A'!A132="","",'Calendario A'!A132)</f>
        <v>37</v>
      </c>
      <c r="B132" s="44" t="str">
        <f>IF('Calendario A'!B132="","",'Calendario A'!B132)</f>
        <v/>
      </c>
      <c r="C132" s="45" t="str">
        <f>IF('Calendario A'!C132="","",'Calendario A'!C132)</f>
        <v/>
      </c>
      <c r="D132" s="44" t="str">
        <f>IF('Calendario A'!D132="","",'Calendario A'!D132)</f>
        <v/>
      </c>
      <c r="E132" s="45" t="str">
        <f>IF('Calendario A'!E132="","",'Calendario A'!E132)</f>
        <v/>
      </c>
      <c r="F132" s="138" t="str">
        <f>IF('Calendario A'!F132="","",'Calendario A'!F132)</f>
        <v/>
      </c>
      <c r="G132" s="124"/>
      <c r="H132" s="124"/>
      <c r="I132" s="125"/>
      <c r="J132" s="202" t="str">
        <f>IF('Calendario A'!J132="","",'Calendario A'!J132)</f>
        <v/>
      </c>
      <c r="K132" s="201" t="s">
        <v>198</v>
      </c>
      <c r="L132" s="202" t="str">
        <f>IF('Calendario A'!L132="","",'Calendario A'!L132)</f>
        <v/>
      </c>
      <c r="M132" s="200"/>
      <c r="N132" s="200"/>
      <c r="O132" s="200"/>
      <c r="P132" s="200"/>
      <c r="Q132" s="200"/>
      <c r="R132" s="200"/>
    </row>
    <row r="133" spans="1:18" ht="15" customHeight="1" x14ac:dyDescent="0.25">
      <c r="A133" s="133"/>
      <c r="B133" s="136" t="str">
        <f>IF('Calendario A'!B133="","",'Calendario A'!B133)</f>
        <v/>
      </c>
      <c r="C133" s="124"/>
      <c r="D133" s="124"/>
      <c r="E133" s="124"/>
      <c r="F133" s="124"/>
      <c r="G133" s="124"/>
      <c r="H133" s="125"/>
      <c r="I133" s="45" t="str">
        <f>IF('Calendario A'!I133="","",'Calendario A'!I133)</f>
        <v/>
      </c>
      <c r="J133" s="133"/>
      <c r="K133" s="133"/>
      <c r="L133" s="133"/>
      <c r="M133" s="133"/>
      <c r="N133" s="133"/>
      <c r="O133" s="133"/>
      <c r="P133" s="133"/>
      <c r="Q133" s="133"/>
      <c r="R133" s="133"/>
    </row>
    <row r="134" spans="1:18" ht="14.1" customHeight="1" x14ac:dyDescent="0.25">
      <c r="A134" s="43" t="s">
        <v>193</v>
      </c>
      <c r="B134" s="134" t="s">
        <v>175</v>
      </c>
      <c r="C134" s="125"/>
      <c r="D134" s="134" t="s">
        <v>182</v>
      </c>
      <c r="E134" s="125"/>
      <c r="F134" s="43" t="s">
        <v>194</v>
      </c>
      <c r="G134" s="43" t="s">
        <v>195</v>
      </c>
      <c r="H134" s="134" t="s">
        <v>196</v>
      </c>
      <c r="I134" s="125"/>
      <c r="J134" s="134" t="s">
        <v>197</v>
      </c>
      <c r="K134" s="124"/>
      <c r="L134" s="125"/>
      <c r="M134" s="102" t="s">
        <v>494</v>
      </c>
      <c r="N134" s="102" t="s">
        <v>495</v>
      </c>
      <c r="O134" s="102" t="s">
        <v>496</v>
      </c>
      <c r="P134" s="102" t="s">
        <v>497</v>
      </c>
      <c r="Q134" s="102" t="s">
        <v>498</v>
      </c>
      <c r="R134" s="102" t="s">
        <v>499</v>
      </c>
    </row>
    <row r="135" spans="1:18" ht="21.95" customHeight="1" x14ac:dyDescent="0.25">
      <c r="A135" s="137">
        <f>IF('Calendario A'!A135="","",'Calendario A'!A135)</f>
        <v>38</v>
      </c>
      <c r="B135" s="44" t="str">
        <f>IF('Calendario A'!B135="","",'Calendario A'!B135)</f>
        <v/>
      </c>
      <c r="C135" s="45" t="str">
        <f>IF('Calendario A'!C135="","",'Calendario A'!C135)</f>
        <v/>
      </c>
      <c r="D135" s="44" t="str">
        <f>IF('Calendario A'!D135="","",'Calendario A'!D135)</f>
        <v/>
      </c>
      <c r="E135" s="45" t="str">
        <f>IF('Calendario A'!E135="","",'Calendario A'!E135)</f>
        <v/>
      </c>
      <c r="F135" s="138" t="str">
        <f>IF('Calendario A'!F135="","",'Calendario A'!F135)</f>
        <v/>
      </c>
      <c r="G135" s="124"/>
      <c r="H135" s="124"/>
      <c r="I135" s="125"/>
      <c r="J135" s="202" t="str">
        <f>IF('Calendario A'!J135="","",'Calendario A'!J135)</f>
        <v/>
      </c>
      <c r="K135" s="201" t="s">
        <v>198</v>
      </c>
      <c r="L135" s="202" t="str">
        <f>IF('Calendario A'!L135="","",'Calendario A'!L135)</f>
        <v/>
      </c>
      <c r="M135" s="200"/>
      <c r="N135" s="200"/>
      <c r="O135" s="200"/>
      <c r="P135" s="200"/>
      <c r="Q135" s="200"/>
      <c r="R135" s="200"/>
    </row>
    <row r="136" spans="1:18" ht="15" customHeight="1" x14ac:dyDescent="0.25">
      <c r="A136" s="133"/>
      <c r="B136" s="136" t="str">
        <f>IF('Calendario A'!B136="","",'Calendario A'!B136)</f>
        <v/>
      </c>
      <c r="C136" s="124"/>
      <c r="D136" s="124"/>
      <c r="E136" s="124"/>
      <c r="F136" s="124"/>
      <c r="G136" s="124"/>
      <c r="H136" s="125"/>
      <c r="I136" s="45" t="str">
        <f>IF('Calendario A'!I136="","",'Calendario A'!I136)</f>
        <v/>
      </c>
      <c r="J136" s="133"/>
      <c r="K136" s="133"/>
      <c r="L136" s="133"/>
      <c r="M136" s="133"/>
      <c r="N136" s="133"/>
      <c r="O136" s="133"/>
      <c r="P136" s="133"/>
      <c r="Q136" s="133"/>
      <c r="R136" s="133"/>
    </row>
    <row r="137" spans="1:18" ht="14.1" customHeight="1" x14ac:dyDescent="0.25">
      <c r="A137" s="43" t="s">
        <v>193</v>
      </c>
      <c r="B137" s="134" t="s">
        <v>175</v>
      </c>
      <c r="C137" s="125"/>
      <c r="D137" s="134" t="s">
        <v>182</v>
      </c>
      <c r="E137" s="125"/>
      <c r="F137" s="43" t="s">
        <v>194</v>
      </c>
      <c r="G137" s="43" t="s">
        <v>195</v>
      </c>
      <c r="H137" s="134" t="s">
        <v>196</v>
      </c>
      <c r="I137" s="125"/>
      <c r="J137" s="134" t="s">
        <v>197</v>
      </c>
      <c r="K137" s="124"/>
      <c r="L137" s="125"/>
      <c r="M137" s="102" t="s">
        <v>494</v>
      </c>
      <c r="N137" s="102" t="s">
        <v>495</v>
      </c>
      <c r="O137" s="102" t="s">
        <v>496</v>
      </c>
      <c r="P137" s="102" t="s">
        <v>497</v>
      </c>
      <c r="Q137" s="102" t="s">
        <v>498</v>
      </c>
      <c r="R137" s="102" t="s">
        <v>499</v>
      </c>
    </row>
    <row r="138" spans="1:18" ht="21.95" customHeight="1" x14ac:dyDescent="0.25">
      <c r="A138" s="137">
        <f>IF('Calendario A'!A138="","",'Calendario A'!A138)</f>
        <v>39</v>
      </c>
      <c r="B138" s="44" t="str">
        <f>IF('Calendario A'!B138="","",'Calendario A'!B138)</f>
        <v/>
      </c>
      <c r="C138" s="45" t="str">
        <f>IF('Calendario A'!C138="","",'Calendario A'!C138)</f>
        <v/>
      </c>
      <c r="D138" s="44" t="str">
        <f>IF('Calendario A'!D138="","",'Calendario A'!D138)</f>
        <v/>
      </c>
      <c r="E138" s="45" t="str">
        <f>IF('Calendario A'!E138="","",'Calendario A'!E138)</f>
        <v/>
      </c>
      <c r="F138" s="138" t="str">
        <f>IF('Calendario A'!F138="","",'Calendario A'!F138)</f>
        <v/>
      </c>
      <c r="G138" s="124"/>
      <c r="H138" s="124"/>
      <c r="I138" s="125"/>
      <c r="J138" s="202" t="str">
        <f>IF('Calendario A'!J138="","",'Calendario A'!J138)</f>
        <v/>
      </c>
      <c r="K138" s="201" t="s">
        <v>198</v>
      </c>
      <c r="L138" s="202" t="str">
        <f>IF('Calendario A'!L138="","",'Calendario A'!L138)</f>
        <v/>
      </c>
      <c r="M138" s="200"/>
      <c r="N138" s="200"/>
      <c r="O138" s="200"/>
      <c r="P138" s="200"/>
      <c r="Q138" s="200"/>
      <c r="R138" s="200"/>
    </row>
    <row r="139" spans="1:18" ht="15" customHeight="1" x14ac:dyDescent="0.25">
      <c r="A139" s="133"/>
      <c r="B139" s="136" t="str">
        <f>IF('Calendario A'!B139="","",'Calendario A'!B139)</f>
        <v/>
      </c>
      <c r="C139" s="124"/>
      <c r="D139" s="124"/>
      <c r="E139" s="124"/>
      <c r="F139" s="124"/>
      <c r="G139" s="124"/>
      <c r="H139" s="125"/>
      <c r="I139" s="45" t="str">
        <f>IF('Calendario A'!I139="","",'Calendario A'!I139)</f>
        <v/>
      </c>
      <c r="J139" s="133"/>
      <c r="K139" s="133"/>
      <c r="L139" s="133"/>
      <c r="M139" s="133"/>
      <c r="N139" s="133"/>
      <c r="O139" s="133"/>
      <c r="P139" s="133"/>
      <c r="Q139" s="133"/>
      <c r="R139" s="133"/>
    </row>
    <row r="140" spans="1:18" ht="14.1" customHeight="1" x14ac:dyDescent="0.25">
      <c r="A140" s="43" t="s">
        <v>193</v>
      </c>
      <c r="B140" s="134" t="s">
        <v>175</v>
      </c>
      <c r="C140" s="125"/>
      <c r="D140" s="134" t="s">
        <v>182</v>
      </c>
      <c r="E140" s="125"/>
      <c r="F140" s="43" t="s">
        <v>194</v>
      </c>
      <c r="G140" s="43" t="s">
        <v>195</v>
      </c>
      <c r="H140" s="134" t="s">
        <v>196</v>
      </c>
      <c r="I140" s="125"/>
      <c r="J140" s="134" t="s">
        <v>197</v>
      </c>
      <c r="K140" s="124"/>
      <c r="L140" s="125"/>
      <c r="M140" s="102" t="s">
        <v>494</v>
      </c>
      <c r="N140" s="102" t="s">
        <v>495</v>
      </c>
      <c r="O140" s="102" t="s">
        <v>496</v>
      </c>
      <c r="P140" s="102" t="s">
        <v>497</v>
      </c>
      <c r="Q140" s="102" t="s">
        <v>498</v>
      </c>
      <c r="R140" s="102" t="s">
        <v>499</v>
      </c>
    </row>
    <row r="141" spans="1:18" ht="21.95" customHeight="1" x14ac:dyDescent="0.25">
      <c r="A141" s="137">
        <f>IF('Calendario A'!A141="","",'Calendario A'!A141)</f>
        <v>40</v>
      </c>
      <c r="B141" s="44" t="str">
        <f>IF('Calendario A'!B141="","",'Calendario A'!B141)</f>
        <v/>
      </c>
      <c r="C141" s="45" t="str">
        <f>IF('Calendario A'!C141="","",'Calendario A'!C141)</f>
        <v/>
      </c>
      <c r="D141" s="44" t="str">
        <f>IF('Calendario A'!D141="","",'Calendario A'!D141)</f>
        <v/>
      </c>
      <c r="E141" s="45" t="str">
        <f>IF('Calendario A'!E141="","",'Calendario A'!E141)</f>
        <v/>
      </c>
      <c r="F141" s="138" t="str">
        <f>IF('Calendario A'!F141="","",'Calendario A'!F141)</f>
        <v/>
      </c>
      <c r="G141" s="124"/>
      <c r="H141" s="124"/>
      <c r="I141" s="125"/>
      <c r="J141" s="202" t="str">
        <f>IF('Calendario A'!J141="","",'Calendario A'!J141)</f>
        <v/>
      </c>
      <c r="K141" s="201" t="s">
        <v>198</v>
      </c>
      <c r="L141" s="202" t="str">
        <f>IF('Calendario A'!L141="","",'Calendario A'!L141)</f>
        <v/>
      </c>
      <c r="M141" s="200"/>
      <c r="N141" s="200"/>
      <c r="O141" s="200"/>
      <c r="P141" s="200"/>
      <c r="Q141" s="200"/>
      <c r="R141" s="200"/>
    </row>
    <row r="142" spans="1:18" ht="15" customHeight="1" x14ac:dyDescent="0.25">
      <c r="A142" s="133"/>
      <c r="B142" s="136" t="str">
        <f>IF('Calendario A'!B142="","",'Calendario A'!B142)</f>
        <v/>
      </c>
      <c r="C142" s="124"/>
      <c r="D142" s="124"/>
      <c r="E142" s="124"/>
      <c r="F142" s="124"/>
      <c r="G142" s="124"/>
      <c r="H142" s="125"/>
      <c r="I142" s="45" t="str">
        <f>IF('Calendario A'!I142="","",'Calendario A'!I142)</f>
        <v/>
      </c>
      <c r="J142" s="133"/>
      <c r="K142" s="133"/>
      <c r="L142" s="133"/>
      <c r="M142" s="133"/>
      <c r="N142" s="133"/>
      <c r="O142" s="133"/>
      <c r="P142" s="133"/>
      <c r="Q142" s="133"/>
      <c r="R142" s="133"/>
    </row>
    <row r="144" spans="1:18" ht="20.100000000000001" customHeight="1" x14ac:dyDescent="0.25">
      <c r="A144" s="42" t="str">
        <f>IF('Calendario A'!A144="","",'Calendario A'!A144)</f>
        <v>9A</v>
      </c>
      <c r="B144" s="139" t="str">
        <f>IF('Calendario A'!B144="","",'Calendario A'!B144)</f>
        <v>GIORNATA IX - GIRONE A</v>
      </c>
      <c r="C144" s="124"/>
      <c r="D144" s="124"/>
      <c r="E144" s="124"/>
      <c r="F144" s="124"/>
      <c r="G144" s="124"/>
      <c r="H144" s="124"/>
      <c r="I144" s="124"/>
      <c r="J144" s="124"/>
      <c r="K144" s="124"/>
      <c r="L144" s="125"/>
      <c r="M144" s="203" t="s">
        <v>492</v>
      </c>
      <c r="N144" s="124"/>
      <c r="O144" s="125"/>
      <c r="P144" s="203" t="s">
        <v>493</v>
      </c>
      <c r="Q144" s="124"/>
      <c r="R144" s="125"/>
    </row>
    <row r="145" spans="1:18" ht="14.1" customHeight="1" x14ac:dyDescent="0.25">
      <c r="A145" s="43" t="s">
        <v>193</v>
      </c>
      <c r="B145" s="134" t="s">
        <v>175</v>
      </c>
      <c r="C145" s="125"/>
      <c r="D145" s="134" t="s">
        <v>182</v>
      </c>
      <c r="E145" s="125"/>
      <c r="F145" s="43" t="s">
        <v>194</v>
      </c>
      <c r="G145" s="43" t="s">
        <v>195</v>
      </c>
      <c r="H145" s="134" t="s">
        <v>196</v>
      </c>
      <c r="I145" s="125"/>
      <c r="J145" s="134" t="s">
        <v>197</v>
      </c>
      <c r="K145" s="124"/>
      <c r="L145" s="125"/>
      <c r="M145" s="102" t="s">
        <v>494</v>
      </c>
      <c r="N145" s="102" t="s">
        <v>495</v>
      </c>
      <c r="O145" s="102" t="s">
        <v>496</v>
      </c>
      <c r="P145" s="102" t="s">
        <v>497</v>
      </c>
      <c r="Q145" s="102" t="s">
        <v>498</v>
      </c>
      <c r="R145" s="102" t="s">
        <v>499</v>
      </c>
    </row>
    <row r="146" spans="1:18" ht="21.95" customHeight="1" x14ac:dyDescent="0.25">
      <c r="A146" s="137">
        <f>IF('Calendario A'!A146="","",'Calendario A'!A146)</f>
        <v>41</v>
      </c>
      <c r="B146" s="44" t="str">
        <f>IF('Calendario A'!B146="","",'Calendario A'!B146)</f>
        <v/>
      </c>
      <c r="C146" s="45" t="str">
        <f>IF('Calendario A'!C146="","",'Calendario A'!C146)</f>
        <v/>
      </c>
      <c r="D146" s="44" t="str">
        <f>IF('Calendario A'!D146="","",'Calendario A'!D146)</f>
        <v/>
      </c>
      <c r="E146" s="45" t="str">
        <f>IF('Calendario A'!E146="","",'Calendario A'!E146)</f>
        <v/>
      </c>
      <c r="F146" s="138" t="str">
        <f>IF('Calendario A'!F146="","",'Calendario A'!F146)</f>
        <v/>
      </c>
      <c r="G146" s="124"/>
      <c r="H146" s="124"/>
      <c r="I146" s="125"/>
      <c r="J146" s="202" t="str">
        <f>IF('Calendario A'!J146="","",'Calendario A'!J146)</f>
        <v/>
      </c>
      <c r="K146" s="201" t="s">
        <v>198</v>
      </c>
      <c r="L146" s="202" t="str">
        <f>IF('Calendario A'!L146="","",'Calendario A'!L146)</f>
        <v/>
      </c>
      <c r="M146" s="200"/>
      <c r="N146" s="200"/>
      <c r="O146" s="200"/>
      <c r="P146" s="200"/>
      <c r="Q146" s="200"/>
      <c r="R146" s="200"/>
    </row>
    <row r="147" spans="1:18" ht="15" customHeight="1" x14ac:dyDescent="0.25">
      <c r="A147" s="133"/>
      <c r="B147" s="136" t="str">
        <f>IF('Calendario A'!B147="","",'Calendario A'!B147)</f>
        <v/>
      </c>
      <c r="C147" s="124"/>
      <c r="D147" s="124"/>
      <c r="E147" s="124"/>
      <c r="F147" s="124"/>
      <c r="G147" s="124"/>
      <c r="H147" s="125"/>
      <c r="I147" s="45" t="str">
        <f>IF('Calendario A'!I147="","",'Calendario A'!I147)</f>
        <v/>
      </c>
      <c r="J147" s="133"/>
      <c r="K147" s="133"/>
      <c r="L147" s="133"/>
      <c r="M147" s="133"/>
      <c r="N147" s="133"/>
      <c r="O147" s="133"/>
      <c r="P147" s="133"/>
      <c r="Q147" s="133"/>
      <c r="R147" s="133"/>
    </row>
    <row r="148" spans="1:18" ht="14.1" customHeight="1" x14ac:dyDescent="0.25">
      <c r="A148" s="43" t="s">
        <v>193</v>
      </c>
      <c r="B148" s="134" t="s">
        <v>175</v>
      </c>
      <c r="C148" s="125"/>
      <c r="D148" s="134" t="s">
        <v>182</v>
      </c>
      <c r="E148" s="125"/>
      <c r="F148" s="43" t="s">
        <v>194</v>
      </c>
      <c r="G148" s="43" t="s">
        <v>195</v>
      </c>
      <c r="H148" s="134" t="s">
        <v>196</v>
      </c>
      <c r="I148" s="125"/>
      <c r="J148" s="134" t="s">
        <v>197</v>
      </c>
      <c r="K148" s="124"/>
      <c r="L148" s="125"/>
      <c r="M148" s="102" t="s">
        <v>494</v>
      </c>
      <c r="N148" s="102" t="s">
        <v>495</v>
      </c>
      <c r="O148" s="102" t="s">
        <v>496</v>
      </c>
      <c r="P148" s="102" t="s">
        <v>497</v>
      </c>
      <c r="Q148" s="102" t="s">
        <v>498</v>
      </c>
      <c r="R148" s="102" t="s">
        <v>499</v>
      </c>
    </row>
    <row r="149" spans="1:18" ht="21.95" customHeight="1" x14ac:dyDescent="0.25">
      <c r="A149" s="137">
        <f>IF('Calendario A'!A149="","",'Calendario A'!A149)</f>
        <v>42</v>
      </c>
      <c r="B149" s="44" t="str">
        <f>IF('Calendario A'!B149="","",'Calendario A'!B149)</f>
        <v/>
      </c>
      <c r="C149" s="45" t="str">
        <f>IF('Calendario A'!C149="","",'Calendario A'!C149)</f>
        <v/>
      </c>
      <c r="D149" s="44" t="str">
        <f>IF('Calendario A'!D149="","",'Calendario A'!D149)</f>
        <v/>
      </c>
      <c r="E149" s="45" t="str">
        <f>IF('Calendario A'!E149="","",'Calendario A'!E149)</f>
        <v/>
      </c>
      <c r="F149" s="138" t="str">
        <f>IF('Calendario A'!F149="","",'Calendario A'!F149)</f>
        <v/>
      </c>
      <c r="G149" s="124"/>
      <c r="H149" s="124"/>
      <c r="I149" s="125"/>
      <c r="J149" s="202" t="str">
        <f>IF('Calendario A'!J149="","",'Calendario A'!J149)</f>
        <v/>
      </c>
      <c r="K149" s="201" t="s">
        <v>198</v>
      </c>
      <c r="L149" s="202" t="str">
        <f>IF('Calendario A'!L149="","",'Calendario A'!L149)</f>
        <v/>
      </c>
      <c r="M149" s="200"/>
      <c r="N149" s="200"/>
      <c r="O149" s="200"/>
      <c r="P149" s="200"/>
      <c r="Q149" s="200"/>
      <c r="R149" s="200"/>
    </row>
    <row r="150" spans="1:18" ht="15" customHeight="1" x14ac:dyDescent="0.25">
      <c r="A150" s="133"/>
      <c r="B150" s="136" t="str">
        <f>IF('Calendario A'!B150="","",'Calendario A'!B150)</f>
        <v/>
      </c>
      <c r="C150" s="124"/>
      <c r="D150" s="124"/>
      <c r="E150" s="124"/>
      <c r="F150" s="124"/>
      <c r="G150" s="124"/>
      <c r="H150" s="125"/>
      <c r="I150" s="45" t="str">
        <f>IF('Calendario A'!I150="","",'Calendario A'!I150)</f>
        <v/>
      </c>
      <c r="J150" s="133"/>
      <c r="K150" s="133"/>
      <c r="L150" s="133"/>
      <c r="M150" s="133"/>
      <c r="N150" s="133"/>
      <c r="O150" s="133"/>
      <c r="P150" s="133"/>
      <c r="Q150" s="133"/>
      <c r="R150" s="133"/>
    </row>
    <row r="151" spans="1:18" ht="14.1" customHeight="1" x14ac:dyDescent="0.25">
      <c r="A151" s="43" t="s">
        <v>193</v>
      </c>
      <c r="B151" s="134" t="s">
        <v>175</v>
      </c>
      <c r="C151" s="125"/>
      <c r="D151" s="134" t="s">
        <v>182</v>
      </c>
      <c r="E151" s="125"/>
      <c r="F151" s="43" t="s">
        <v>194</v>
      </c>
      <c r="G151" s="43" t="s">
        <v>195</v>
      </c>
      <c r="H151" s="134" t="s">
        <v>196</v>
      </c>
      <c r="I151" s="125"/>
      <c r="J151" s="134" t="s">
        <v>197</v>
      </c>
      <c r="K151" s="124"/>
      <c r="L151" s="125"/>
      <c r="M151" s="102" t="s">
        <v>494</v>
      </c>
      <c r="N151" s="102" t="s">
        <v>495</v>
      </c>
      <c r="O151" s="102" t="s">
        <v>496</v>
      </c>
      <c r="P151" s="102" t="s">
        <v>497</v>
      </c>
      <c r="Q151" s="102" t="s">
        <v>498</v>
      </c>
      <c r="R151" s="102" t="s">
        <v>499</v>
      </c>
    </row>
    <row r="152" spans="1:18" ht="21.95" customHeight="1" x14ac:dyDescent="0.25">
      <c r="A152" s="137">
        <f>IF('Calendario A'!A152="","",'Calendario A'!A152)</f>
        <v>43</v>
      </c>
      <c r="B152" s="44" t="str">
        <f>IF('Calendario A'!B152="","",'Calendario A'!B152)</f>
        <v/>
      </c>
      <c r="C152" s="45" t="str">
        <f>IF('Calendario A'!C152="","",'Calendario A'!C152)</f>
        <v/>
      </c>
      <c r="D152" s="44" t="str">
        <f>IF('Calendario A'!D152="","",'Calendario A'!D152)</f>
        <v/>
      </c>
      <c r="E152" s="45" t="str">
        <f>IF('Calendario A'!E152="","",'Calendario A'!E152)</f>
        <v/>
      </c>
      <c r="F152" s="138" t="str">
        <f>IF('Calendario A'!F152="","",'Calendario A'!F152)</f>
        <v/>
      </c>
      <c r="G152" s="124"/>
      <c r="H152" s="124"/>
      <c r="I152" s="125"/>
      <c r="J152" s="202" t="str">
        <f>IF('Calendario A'!J152="","",'Calendario A'!J152)</f>
        <v/>
      </c>
      <c r="K152" s="201" t="s">
        <v>198</v>
      </c>
      <c r="L152" s="202" t="str">
        <f>IF('Calendario A'!L152="","",'Calendario A'!L152)</f>
        <v/>
      </c>
      <c r="M152" s="200"/>
      <c r="N152" s="200"/>
      <c r="O152" s="200"/>
      <c r="P152" s="200"/>
      <c r="Q152" s="200"/>
      <c r="R152" s="200"/>
    </row>
    <row r="153" spans="1:18" ht="15" customHeight="1" x14ac:dyDescent="0.25">
      <c r="A153" s="133"/>
      <c r="B153" s="136" t="str">
        <f>IF('Calendario A'!B153="","",'Calendario A'!B153)</f>
        <v/>
      </c>
      <c r="C153" s="124"/>
      <c r="D153" s="124"/>
      <c r="E153" s="124"/>
      <c r="F153" s="124"/>
      <c r="G153" s="124"/>
      <c r="H153" s="125"/>
      <c r="I153" s="45" t="str">
        <f>IF('Calendario A'!I153="","",'Calendario A'!I153)</f>
        <v/>
      </c>
      <c r="J153" s="133"/>
      <c r="K153" s="133"/>
      <c r="L153" s="133"/>
      <c r="M153" s="133"/>
      <c r="N153" s="133"/>
      <c r="O153" s="133"/>
      <c r="P153" s="133"/>
      <c r="Q153" s="133"/>
      <c r="R153" s="133"/>
    </row>
    <row r="154" spans="1:18" ht="14.1" customHeight="1" x14ac:dyDescent="0.25">
      <c r="A154" s="43" t="s">
        <v>193</v>
      </c>
      <c r="B154" s="134" t="s">
        <v>175</v>
      </c>
      <c r="C154" s="125"/>
      <c r="D154" s="134" t="s">
        <v>182</v>
      </c>
      <c r="E154" s="125"/>
      <c r="F154" s="43" t="s">
        <v>194</v>
      </c>
      <c r="G154" s="43" t="s">
        <v>195</v>
      </c>
      <c r="H154" s="134" t="s">
        <v>196</v>
      </c>
      <c r="I154" s="125"/>
      <c r="J154" s="134" t="s">
        <v>197</v>
      </c>
      <c r="K154" s="124"/>
      <c r="L154" s="125"/>
      <c r="M154" s="102" t="s">
        <v>494</v>
      </c>
      <c r="N154" s="102" t="s">
        <v>495</v>
      </c>
      <c r="O154" s="102" t="s">
        <v>496</v>
      </c>
      <c r="P154" s="102" t="s">
        <v>497</v>
      </c>
      <c r="Q154" s="102" t="s">
        <v>498</v>
      </c>
      <c r="R154" s="102" t="s">
        <v>499</v>
      </c>
    </row>
    <row r="155" spans="1:18" ht="21.95" customHeight="1" x14ac:dyDescent="0.25">
      <c r="A155" s="137">
        <f>IF('Calendario A'!A155="","",'Calendario A'!A155)</f>
        <v>44</v>
      </c>
      <c r="B155" s="44" t="str">
        <f>IF('Calendario A'!B155="","",'Calendario A'!B155)</f>
        <v/>
      </c>
      <c r="C155" s="45" t="str">
        <f>IF('Calendario A'!C155="","",'Calendario A'!C155)</f>
        <v/>
      </c>
      <c r="D155" s="44" t="str">
        <f>IF('Calendario A'!D155="","",'Calendario A'!D155)</f>
        <v/>
      </c>
      <c r="E155" s="45" t="str">
        <f>IF('Calendario A'!E155="","",'Calendario A'!E155)</f>
        <v/>
      </c>
      <c r="F155" s="138" t="str">
        <f>IF('Calendario A'!F155="","",'Calendario A'!F155)</f>
        <v/>
      </c>
      <c r="G155" s="124"/>
      <c r="H155" s="124"/>
      <c r="I155" s="125"/>
      <c r="J155" s="202" t="str">
        <f>IF('Calendario A'!J155="","",'Calendario A'!J155)</f>
        <v/>
      </c>
      <c r="K155" s="201" t="s">
        <v>198</v>
      </c>
      <c r="L155" s="202" t="str">
        <f>IF('Calendario A'!L155="","",'Calendario A'!L155)</f>
        <v/>
      </c>
      <c r="M155" s="200"/>
      <c r="N155" s="200"/>
      <c r="O155" s="200"/>
      <c r="P155" s="200"/>
      <c r="Q155" s="200"/>
      <c r="R155" s="200"/>
    </row>
    <row r="156" spans="1:18" ht="15" customHeight="1" x14ac:dyDescent="0.25">
      <c r="A156" s="133"/>
      <c r="B156" s="136" t="str">
        <f>IF('Calendario A'!B156="","",'Calendario A'!B156)</f>
        <v/>
      </c>
      <c r="C156" s="124"/>
      <c r="D156" s="124"/>
      <c r="E156" s="124"/>
      <c r="F156" s="124"/>
      <c r="G156" s="124"/>
      <c r="H156" s="125"/>
      <c r="I156" s="45" t="str">
        <f>IF('Calendario A'!I156="","",'Calendario A'!I156)</f>
        <v/>
      </c>
      <c r="J156" s="133"/>
      <c r="K156" s="133"/>
      <c r="L156" s="133"/>
      <c r="M156" s="133"/>
      <c r="N156" s="133"/>
      <c r="O156" s="133"/>
      <c r="P156" s="133"/>
      <c r="Q156" s="133"/>
      <c r="R156" s="133"/>
    </row>
    <row r="157" spans="1:18" ht="14.1" customHeight="1" x14ac:dyDescent="0.25">
      <c r="A157" s="43" t="s">
        <v>193</v>
      </c>
      <c r="B157" s="134" t="s">
        <v>175</v>
      </c>
      <c r="C157" s="125"/>
      <c r="D157" s="134" t="s">
        <v>182</v>
      </c>
      <c r="E157" s="125"/>
      <c r="F157" s="43" t="s">
        <v>194</v>
      </c>
      <c r="G157" s="43" t="s">
        <v>195</v>
      </c>
      <c r="H157" s="134" t="s">
        <v>196</v>
      </c>
      <c r="I157" s="125"/>
      <c r="J157" s="134" t="s">
        <v>197</v>
      </c>
      <c r="K157" s="124"/>
      <c r="L157" s="125"/>
      <c r="M157" s="102" t="s">
        <v>494</v>
      </c>
      <c r="N157" s="102" t="s">
        <v>495</v>
      </c>
      <c r="O157" s="102" t="s">
        <v>496</v>
      </c>
      <c r="P157" s="102" t="s">
        <v>497</v>
      </c>
      <c r="Q157" s="102" t="s">
        <v>498</v>
      </c>
      <c r="R157" s="102" t="s">
        <v>499</v>
      </c>
    </row>
    <row r="158" spans="1:18" ht="21.95" customHeight="1" x14ac:dyDescent="0.25">
      <c r="A158" s="137">
        <f>IF('Calendario A'!A158="","",'Calendario A'!A158)</f>
        <v>45</v>
      </c>
      <c r="B158" s="44" t="str">
        <f>IF('Calendario A'!B158="","",'Calendario A'!B158)</f>
        <v/>
      </c>
      <c r="C158" s="45" t="str">
        <f>IF('Calendario A'!C158="","",'Calendario A'!C158)</f>
        <v/>
      </c>
      <c r="D158" s="44" t="str">
        <f>IF('Calendario A'!D158="","",'Calendario A'!D158)</f>
        <v/>
      </c>
      <c r="E158" s="45" t="str">
        <f>IF('Calendario A'!E158="","",'Calendario A'!E158)</f>
        <v/>
      </c>
      <c r="F158" s="138" t="str">
        <f>IF('Calendario A'!F158="","",'Calendario A'!F158)</f>
        <v/>
      </c>
      <c r="G158" s="124"/>
      <c r="H158" s="124"/>
      <c r="I158" s="125"/>
      <c r="J158" s="202" t="str">
        <f>IF('Calendario A'!J158="","",'Calendario A'!J158)</f>
        <v/>
      </c>
      <c r="K158" s="201" t="s">
        <v>198</v>
      </c>
      <c r="L158" s="202" t="str">
        <f>IF('Calendario A'!L158="","",'Calendario A'!L158)</f>
        <v/>
      </c>
      <c r="M158" s="200"/>
      <c r="N158" s="200"/>
      <c r="O158" s="200"/>
      <c r="P158" s="200"/>
      <c r="Q158" s="200"/>
      <c r="R158" s="200"/>
    </row>
    <row r="159" spans="1:18" ht="15" customHeight="1" x14ac:dyDescent="0.25">
      <c r="A159" s="133"/>
      <c r="B159" s="136" t="str">
        <f>IF('Calendario A'!B159="","",'Calendario A'!B159)</f>
        <v/>
      </c>
      <c r="C159" s="124"/>
      <c r="D159" s="124"/>
      <c r="E159" s="124"/>
      <c r="F159" s="124"/>
      <c r="G159" s="124"/>
      <c r="H159" s="125"/>
      <c r="I159" s="45" t="str">
        <f>IF('Calendario A'!I159="","",'Calendario A'!I159)</f>
        <v/>
      </c>
      <c r="J159" s="133"/>
      <c r="K159" s="133"/>
      <c r="L159" s="133"/>
      <c r="M159" s="133"/>
      <c r="N159" s="133"/>
      <c r="O159" s="133"/>
      <c r="P159" s="133"/>
      <c r="Q159" s="133"/>
      <c r="R159" s="133"/>
    </row>
    <row r="178" spans="1:18" ht="20.100000000000001" customHeight="1" x14ac:dyDescent="0.25">
      <c r="A178" s="49" t="str">
        <f>IF('Calendario B'!A8="","",'Calendario B'!A8)</f>
        <v>1B</v>
      </c>
      <c r="B178" s="143" t="str">
        <f>IF('Calendario B'!B8="","",'Calendario B'!B8)</f>
        <v>GIORNATA I - GIRONE B</v>
      </c>
      <c r="C178" s="124"/>
      <c r="D178" s="124"/>
      <c r="E178" s="124"/>
      <c r="F178" s="124"/>
      <c r="G178" s="124"/>
      <c r="H178" s="124"/>
      <c r="I178" s="124"/>
      <c r="J178" s="124"/>
      <c r="K178" s="124"/>
      <c r="L178" s="125"/>
      <c r="M178" s="212" t="s">
        <v>492</v>
      </c>
      <c r="N178" s="124"/>
      <c r="O178" s="125"/>
      <c r="P178" s="212" t="s">
        <v>493</v>
      </c>
      <c r="Q178" s="124"/>
      <c r="R178" s="125"/>
    </row>
    <row r="179" spans="1:18" ht="14.1" customHeight="1" x14ac:dyDescent="0.25">
      <c r="A179" s="50" t="s">
        <v>193</v>
      </c>
      <c r="B179" s="141" t="s">
        <v>175</v>
      </c>
      <c r="C179" s="125"/>
      <c r="D179" s="141" t="s">
        <v>182</v>
      </c>
      <c r="E179" s="125"/>
      <c r="F179" s="50" t="s">
        <v>194</v>
      </c>
      <c r="G179" s="50" t="s">
        <v>195</v>
      </c>
      <c r="H179" s="141" t="s">
        <v>196</v>
      </c>
      <c r="I179" s="125"/>
      <c r="J179" s="141" t="s">
        <v>197</v>
      </c>
      <c r="K179" s="124"/>
      <c r="L179" s="125"/>
      <c r="M179" s="103" t="s">
        <v>494</v>
      </c>
      <c r="N179" s="103" t="s">
        <v>495</v>
      </c>
      <c r="O179" s="103" t="s">
        <v>496</v>
      </c>
      <c r="P179" s="103" t="s">
        <v>497</v>
      </c>
      <c r="Q179" s="103" t="s">
        <v>498</v>
      </c>
      <c r="R179" s="103" t="s">
        <v>499</v>
      </c>
    </row>
    <row r="180" spans="1:18" ht="21.95" customHeight="1" x14ac:dyDescent="0.25">
      <c r="A180" s="142">
        <f>IF('Calendario B'!A10="","",'Calendario B'!A10)</f>
        <v>46</v>
      </c>
      <c r="B180" s="44" t="str">
        <f>IF('Calendario B'!B10="","",'Calendario B'!B10)</f>
        <v/>
      </c>
      <c r="C180" s="45" t="str">
        <f>IF('Calendario B'!C10="","",'Calendario B'!C10)</f>
        <v/>
      </c>
      <c r="D180" s="44" t="str">
        <f>IF('Calendario B'!D10="","",'Calendario B'!D10)</f>
        <v/>
      </c>
      <c r="E180" s="45" t="str">
        <f>IF('Calendario B'!E10="","",'Calendario B'!E10)</f>
        <v/>
      </c>
      <c r="F180" s="138" t="str">
        <f>IF('Calendario B'!F10="","",'Calendario B'!F10)</f>
        <v/>
      </c>
      <c r="G180" s="124"/>
      <c r="H180" s="124"/>
      <c r="I180" s="125"/>
      <c r="J180" s="202" t="str">
        <f>IF('Calendario B'!J10="","",'Calendario B'!J10)</f>
        <v/>
      </c>
      <c r="K180" s="201" t="s">
        <v>198</v>
      </c>
      <c r="L180" s="202" t="str">
        <f>IF('Calendario B'!L10="","",'Calendario B'!L10)</f>
        <v/>
      </c>
      <c r="M180" s="200"/>
      <c r="N180" s="200"/>
      <c r="O180" s="200"/>
      <c r="P180" s="200"/>
      <c r="Q180" s="200"/>
      <c r="R180" s="200"/>
    </row>
    <row r="181" spans="1:18" ht="15" customHeight="1" x14ac:dyDescent="0.25">
      <c r="A181" s="133"/>
      <c r="B181" s="136" t="str">
        <f>IF('Calendario B'!B11="","",'Calendario B'!B11)</f>
        <v/>
      </c>
      <c r="C181" s="124"/>
      <c r="D181" s="124"/>
      <c r="E181" s="124"/>
      <c r="F181" s="124"/>
      <c r="G181" s="124"/>
      <c r="H181" s="125"/>
      <c r="I181" s="45" t="str">
        <f>IF('Calendario B'!I11="","",'Calendario B'!I11)</f>
        <v/>
      </c>
      <c r="J181" s="133"/>
      <c r="K181" s="133"/>
      <c r="L181" s="133"/>
      <c r="M181" s="133"/>
      <c r="N181" s="133"/>
      <c r="O181" s="133"/>
      <c r="P181" s="133"/>
      <c r="Q181" s="133"/>
      <c r="R181" s="133"/>
    </row>
    <row r="182" spans="1:18" ht="14.1" customHeight="1" x14ac:dyDescent="0.25">
      <c r="A182" s="50" t="s">
        <v>193</v>
      </c>
      <c r="B182" s="141" t="s">
        <v>175</v>
      </c>
      <c r="C182" s="125"/>
      <c r="D182" s="141" t="s">
        <v>182</v>
      </c>
      <c r="E182" s="125"/>
      <c r="F182" s="50" t="s">
        <v>194</v>
      </c>
      <c r="G182" s="50" t="s">
        <v>195</v>
      </c>
      <c r="H182" s="141" t="s">
        <v>196</v>
      </c>
      <c r="I182" s="125"/>
      <c r="J182" s="141" t="s">
        <v>197</v>
      </c>
      <c r="K182" s="124"/>
      <c r="L182" s="125"/>
      <c r="M182" s="103" t="s">
        <v>494</v>
      </c>
      <c r="N182" s="103" t="s">
        <v>495</v>
      </c>
      <c r="O182" s="103" t="s">
        <v>496</v>
      </c>
      <c r="P182" s="103" t="s">
        <v>497</v>
      </c>
      <c r="Q182" s="103" t="s">
        <v>498</v>
      </c>
      <c r="R182" s="103" t="s">
        <v>499</v>
      </c>
    </row>
    <row r="183" spans="1:18" ht="21.95" customHeight="1" x14ac:dyDescent="0.25">
      <c r="A183" s="142">
        <f>IF('Calendario B'!A13="","",'Calendario B'!A13)</f>
        <v>47</v>
      </c>
      <c r="B183" s="44" t="str">
        <f>IF('Calendario B'!B13="","",'Calendario B'!B13)</f>
        <v/>
      </c>
      <c r="C183" s="45" t="str">
        <f>IF('Calendario B'!C13="","",'Calendario B'!C13)</f>
        <v/>
      </c>
      <c r="D183" s="44" t="str">
        <f>IF('Calendario B'!D13="","",'Calendario B'!D13)</f>
        <v/>
      </c>
      <c r="E183" s="45" t="str">
        <f>IF('Calendario B'!E13="","",'Calendario B'!E13)</f>
        <v/>
      </c>
      <c r="F183" s="138" t="str">
        <f>IF('Calendario B'!F13="","",'Calendario B'!F13)</f>
        <v/>
      </c>
      <c r="G183" s="124"/>
      <c r="H183" s="124"/>
      <c r="I183" s="125"/>
      <c r="J183" s="202" t="str">
        <f>IF('Calendario B'!J13="","",'Calendario B'!J13)</f>
        <v/>
      </c>
      <c r="K183" s="201" t="s">
        <v>198</v>
      </c>
      <c r="L183" s="202" t="str">
        <f>IF('Calendario B'!L13="","",'Calendario B'!L13)</f>
        <v/>
      </c>
      <c r="M183" s="200"/>
      <c r="N183" s="200"/>
      <c r="O183" s="200"/>
      <c r="P183" s="200"/>
      <c r="Q183" s="200"/>
      <c r="R183" s="200"/>
    </row>
    <row r="184" spans="1:18" ht="15" customHeight="1" x14ac:dyDescent="0.25">
      <c r="A184" s="133"/>
      <c r="B184" s="136" t="str">
        <f>IF('Calendario B'!B14="","",'Calendario B'!B14)</f>
        <v/>
      </c>
      <c r="C184" s="124"/>
      <c r="D184" s="124"/>
      <c r="E184" s="124"/>
      <c r="F184" s="124"/>
      <c r="G184" s="124"/>
      <c r="H184" s="125"/>
      <c r="I184" s="45" t="str">
        <f>IF('Calendario B'!I14="","",'Calendario B'!I14)</f>
        <v/>
      </c>
      <c r="J184" s="133"/>
      <c r="K184" s="133"/>
      <c r="L184" s="133"/>
      <c r="M184" s="133"/>
      <c r="N184" s="133"/>
      <c r="O184" s="133"/>
      <c r="P184" s="133"/>
      <c r="Q184" s="133"/>
      <c r="R184" s="133"/>
    </row>
    <row r="185" spans="1:18" ht="14.1" customHeight="1" x14ac:dyDescent="0.25">
      <c r="A185" s="50" t="s">
        <v>193</v>
      </c>
      <c r="B185" s="141" t="s">
        <v>175</v>
      </c>
      <c r="C185" s="125"/>
      <c r="D185" s="141" t="s">
        <v>182</v>
      </c>
      <c r="E185" s="125"/>
      <c r="F185" s="50" t="s">
        <v>194</v>
      </c>
      <c r="G185" s="50" t="s">
        <v>195</v>
      </c>
      <c r="H185" s="141" t="s">
        <v>196</v>
      </c>
      <c r="I185" s="125"/>
      <c r="J185" s="141" t="s">
        <v>197</v>
      </c>
      <c r="K185" s="124"/>
      <c r="L185" s="125"/>
      <c r="M185" s="103" t="s">
        <v>494</v>
      </c>
      <c r="N185" s="103" t="s">
        <v>495</v>
      </c>
      <c r="O185" s="103" t="s">
        <v>496</v>
      </c>
      <c r="P185" s="103" t="s">
        <v>497</v>
      </c>
      <c r="Q185" s="103" t="s">
        <v>498</v>
      </c>
      <c r="R185" s="103" t="s">
        <v>499</v>
      </c>
    </row>
    <row r="186" spans="1:18" ht="21.95" customHeight="1" x14ac:dyDescent="0.25">
      <c r="A186" s="142">
        <f>IF('Calendario B'!A16="","",'Calendario B'!A16)</f>
        <v>48</v>
      </c>
      <c r="B186" s="44" t="str">
        <f>IF('Calendario B'!B16="","",'Calendario B'!B16)</f>
        <v/>
      </c>
      <c r="C186" s="45" t="str">
        <f>IF('Calendario B'!C16="","",'Calendario B'!C16)</f>
        <v/>
      </c>
      <c r="D186" s="44" t="str">
        <f>IF('Calendario B'!D16="","",'Calendario B'!D16)</f>
        <v/>
      </c>
      <c r="E186" s="45" t="str">
        <f>IF('Calendario B'!E16="","",'Calendario B'!E16)</f>
        <v/>
      </c>
      <c r="F186" s="138" t="str">
        <f>IF('Calendario B'!F16="","",'Calendario B'!F16)</f>
        <v/>
      </c>
      <c r="G186" s="124"/>
      <c r="H186" s="124"/>
      <c r="I186" s="125"/>
      <c r="J186" s="202" t="str">
        <f>IF('Calendario B'!J16="","",'Calendario B'!J16)</f>
        <v/>
      </c>
      <c r="K186" s="201" t="s">
        <v>198</v>
      </c>
      <c r="L186" s="202" t="str">
        <f>IF('Calendario B'!L16="","",'Calendario B'!L16)</f>
        <v/>
      </c>
      <c r="M186" s="200"/>
      <c r="N186" s="200"/>
      <c r="O186" s="200"/>
      <c r="P186" s="200"/>
      <c r="Q186" s="200"/>
      <c r="R186" s="200"/>
    </row>
    <row r="187" spans="1:18" ht="15" customHeight="1" x14ac:dyDescent="0.25">
      <c r="A187" s="133"/>
      <c r="B187" s="136" t="str">
        <f>IF('Calendario B'!B17="","",'Calendario B'!B17)</f>
        <v/>
      </c>
      <c r="C187" s="124"/>
      <c r="D187" s="124"/>
      <c r="E187" s="124"/>
      <c r="F187" s="124"/>
      <c r="G187" s="124"/>
      <c r="H187" s="125"/>
      <c r="I187" s="45" t="str">
        <f>IF('Calendario B'!I17="","",'Calendario B'!I17)</f>
        <v/>
      </c>
      <c r="J187" s="133"/>
      <c r="K187" s="133"/>
      <c r="L187" s="133"/>
      <c r="M187" s="133"/>
      <c r="N187" s="133"/>
      <c r="O187" s="133"/>
      <c r="P187" s="133"/>
      <c r="Q187" s="133"/>
      <c r="R187" s="133"/>
    </row>
    <row r="188" spans="1:18" ht="14.1" customHeight="1" x14ac:dyDescent="0.25">
      <c r="A188" s="50" t="s">
        <v>193</v>
      </c>
      <c r="B188" s="141" t="s">
        <v>175</v>
      </c>
      <c r="C188" s="125"/>
      <c r="D188" s="141" t="s">
        <v>182</v>
      </c>
      <c r="E188" s="125"/>
      <c r="F188" s="50" t="s">
        <v>194</v>
      </c>
      <c r="G188" s="50" t="s">
        <v>195</v>
      </c>
      <c r="H188" s="141" t="s">
        <v>196</v>
      </c>
      <c r="I188" s="125"/>
      <c r="J188" s="141" t="s">
        <v>197</v>
      </c>
      <c r="K188" s="124"/>
      <c r="L188" s="125"/>
      <c r="M188" s="103" t="s">
        <v>494</v>
      </c>
      <c r="N188" s="103" t="s">
        <v>495</v>
      </c>
      <c r="O188" s="103" t="s">
        <v>496</v>
      </c>
      <c r="P188" s="103" t="s">
        <v>497</v>
      </c>
      <c r="Q188" s="103" t="s">
        <v>498</v>
      </c>
      <c r="R188" s="103" t="s">
        <v>499</v>
      </c>
    </row>
    <row r="189" spans="1:18" ht="21.95" customHeight="1" x14ac:dyDescent="0.25">
      <c r="A189" s="142">
        <f>IF('Calendario B'!A19="","",'Calendario B'!A19)</f>
        <v>49</v>
      </c>
      <c r="B189" s="44" t="str">
        <f>IF('Calendario B'!B19="","",'Calendario B'!B19)</f>
        <v/>
      </c>
      <c r="C189" s="45" t="str">
        <f>IF('Calendario B'!C19="","",'Calendario B'!C19)</f>
        <v/>
      </c>
      <c r="D189" s="44" t="str">
        <f>IF('Calendario B'!D19="","",'Calendario B'!D19)</f>
        <v/>
      </c>
      <c r="E189" s="45" t="str">
        <f>IF('Calendario B'!E19="","",'Calendario B'!E19)</f>
        <v/>
      </c>
      <c r="F189" s="138" t="str">
        <f>IF('Calendario B'!F19="","",'Calendario B'!F19)</f>
        <v/>
      </c>
      <c r="G189" s="124"/>
      <c r="H189" s="124"/>
      <c r="I189" s="125"/>
      <c r="J189" s="202" t="str">
        <f>IF('Calendario B'!J19="","",'Calendario B'!J19)</f>
        <v/>
      </c>
      <c r="K189" s="201" t="s">
        <v>198</v>
      </c>
      <c r="L189" s="202" t="str">
        <f>IF('Calendario B'!L19="","",'Calendario B'!L19)</f>
        <v/>
      </c>
      <c r="M189" s="200"/>
      <c r="N189" s="200"/>
      <c r="O189" s="200"/>
      <c r="P189" s="200"/>
      <c r="Q189" s="200"/>
      <c r="R189" s="200"/>
    </row>
    <row r="190" spans="1:18" ht="15" customHeight="1" x14ac:dyDescent="0.25">
      <c r="A190" s="133"/>
      <c r="B190" s="136" t="str">
        <f>IF('Calendario B'!B20="","",'Calendario B'!B20)</f>
        <v/>
      </c>
      <c r="C190" s="124"/>
      <c r="D190" s="124"/>
      <c r="E190" s="124"/>
      <c r="F190" s="124"/>
      <c r="G190" s="124"/>
      <c r="H190" s="125"/>
      <c r="I190" s="45" t="str">
        <f>IF('Calendario B'!I20="","",'Calendario B'!I20)</f>
        <v/>
      </c>
      <c r="J190" s="133"/>
      <c r="K190" s="133"/>
      <c r="L190" s="133"/>
      <c r="M190" s="133"/>
      <c r="N190" s="133"/>
      <c r="O190" s="133"/>
      <c r="P190" s="133"/>
      <c r="Q190" s="133"/>
      <c r="R190" s="133"/>
    </row>
    <row r="191" spans="1:18" ht="14.1" customHeight="1" x14ac:dyDescent="0.25">
      <c r="A191" s="50" t="s">
        <v>193</v>
      </c>
      <c r="B191" s="141" t="s">
        <v>175</v>
      </c>
      <c r="C191" s="125"/>
      <c r="D191" s="141" t="s">
        <v>182</v>
      </c>
      <c r="E191" s="125"/>
      <c r="F191" s="50" t="s">
        <v>194</v>
      </c>
      <c r="G191" s="50" t="s">
        <v>195</v>
      </c>
      <c r="H191" s="141" t="s">
        <v>196</v>
      </c>
      <c r="I191" s="125"/>
      <c r="J191" s="141" t="s">
        <v>197</v>
      </c>
      <c r="K191" s="124"/>
      <c r="L191" s="125"/>
      <c r="M191" s="103" t="s">
        <v>494</v>
      </c>
      <c r="N191" s="103" t="s">
        <v>495</v>
      </c>
      <c r="O191" s="103" t="s">
        <v>496</v>
      </c>
      <c r="P191" s="103" t="s">
        <v>497</v>
      </c>
      <c r="Q191" s="103" t="s">
        <v>498</v>
      </c>
      <c r="R191" s="103" t="s">
        <v>499</v>
      </c>
    </row>
    <row r="192" spans="1:18" ht="21.95" customHeight="1" x14ac:dyDescent="0.25">
      <c r="A192" s="142">
        <f>IF('Calendario B'!A22="","",'Calendario B'!A22)</f>
        <v>50</v>
      </c>
      <c r="B192" s="44" t="str">
        <f>IF('Calendario B'!B22="","",'Calendario B'!B22)</f>
        <v/>
      </c>
      <c r="C192" s="45" t="str">
        <f>IF('Calendario B'!C22="","",'Calendario B'!C22)</f>
        <v/>
      </c>
      <c r="D192" s="44" t="str">
        <f>IF('Calendario B'!D22="","",'Calendario B'!D22)</f>
        <v/>
      </c>
      <c r="E192" s="45" t="str">
        <f>IF('Calendario B'!E22="","",'Calendario B'!E22)</f>
        <v/>
      </c>
      <c r="F192" s="138" t="str">
        <f>IF('Calendario B'!F22="","",'Calendario B'!F22)</f>
        <v/>
      </c>
      <c r="G192" s="124"/>
      <c r="H192" s="124"/>
      <c r="I192" s="125"/>
      <c r="J192" s="202" t="str">
        <f>IF('Calendario B'!J22="","",'Calendario B'!J22)</f>
        <v/>
      </c>
      <c r="K192" s="201" t="s">
        <v>198</v>
      </c>
      <c r="L192" s="202" t="str">
        <f>IF('Calendario B'!L22="","",'Calendario B'!L22)</f>
        <v/>
      </c>
      <c r="M192" s="200"/>
      <c r="N192" s="200"/>
      <c r="O192" s="200"/>
      <c r="P192" s="200"/>
      <c r="Q192" s="200"/>
      <c r="R192" s="200"/>
    </row>
    <row r="193" spans="1:18" ht="15" customHeight="1" x14ac:dyDescent="0.25">
      <c r="A193" s="133"/>
      <c r="B193" s="136" t="str">
        <f>IF('Calendario B'!B23="","",'Calendario B'!B23)</f>
        <v/>
      </c>
      <c r="C193" s="124"/>
      <c r="D193" s="124"/>
      <c r="E193" s="124"/>
      <c r="F193" s="124"/>
      <c r="G193" s="124"/>
      <c r="H193" s="125"/>
      <c r="I193" s="45" t="str">
        <f>IF('Calendario B'!I23="","",'Calendario B'!I23)</f>
        <v/>
      </c>
      <c r="J193" s="133"/>
      <c r="K193" s="133"/>
      <c r="L193" s="133"/>
      <c r="M193" s="133"/>
      <c r="N193" s="133"/>
      <c r="O193" s="133"/>
      <c r="P193" s="133"/>
      <c r="Q193" s="133"/>
      <c r="R193" s="133"/>
    </row>
    <row r="195" spans="1:18" ht="20.100000000000001" customHeight="1" x14ac:dyDescent="0.25">
      <c r="A195" s="49" t="str">
        <f>IF('Calendario B'!A25="","",'Calendario B'!A25)</f>
        <v>2B</v>
      </c>
      <c r="B195" s="143" t="str">
        <f>IF('Calendario B'!B25="","",'Calendario B'!B25)</f>
        <v>GIORNATA II - GIRONE B</v>
      </c>
      <c r="C195" s="124"/>
      <c r="D195" s="124"/>
      <c r="E195" s="124"/>
      <c r="F195" s="124"/>
      <c r="G195" s="124"/>
      <c r="H195" s="124"/>
      <c r="I195" s="124"/>
      <c r="J195" s="124"/>
      <c r="K195" s="124"/>
      <c r="L195" s="125"/>
      <c r="M195" s="212" t="s">
        <v>492</v>
      </c>
      <c r="N195" s="124"/>
      <c r="O195" s="125"/>
      <c r="P195" s="212" t="s">
        <v>493</v>
      </c>
      <c r="Q195" s="124"/>
      <c r="R195" s="125"/>
    </row>
    <row r="196" spans="1:18" ht="14.1" customHeight="1" x14ac:dyDescent="0.25">
      <c r="A196" s="50" t="s">
        <v>193</v>
      </c>
      <c r="B196" s="141" t="s">
        <v>175</v>
      </c>
      <c r="C196" s="125"/>
      <c r="D196" s="141" t="s">
        <v>182</v>
      </c>
      <c r="E196" s="125"/>
      <c r="F196" s="50" t="s">
        <v>194</v>
      </c>
      <c r="G196" s="50" t="s">
        <v>195</v>
      </c>
      <c r="H196" s="141" t="s">
        <v>196</v>
      </c>
      <c r="I196" s="125"/>
      <c r="J196" s="141" t="s">
        <v>197</v>
      </c>
      <c r="K196" s="124"/>
      <c r="L196" s="125"/>
      <c r="M196" s="103" t="s">
        <v>494</v>
      </c>
      <c r="N196" s="103" t="s">
        <v>495</v>
      </c>
      <c r="O196" s="103" t="s">
        <v>496</v>
      </c>
      <c r="P196" s="103" t="s">
        <v>497</v>
      </c>
      <c r="Q196" s="103" t="s">
        <v>498</v>
      </c>
      <c r="R196" s="103" t="s">
        <v>499</v>
      </c>
    </row>
    <row r="197" spans="1:18" ht="21.95" customHeight="1" x14ac:dyDescent="0.25">
      <c r="A197" s="142">
        <f>IF('Calendario B'!A27="","",'Calendario B'!A27)</f>
        <v>51</v>
      </c>
      <c r="B197" s="44" t="str">
        <f>IF('Calendario B'!B27="","",'Calendario B'!B27)</f>
        <v/>
      </c>
      <c r="C197" s="45" t="str">
        <f>IF('Calendario B'!C27="","",'Calendario B'!C27)</f>
        <v/>
      </c>
      <c r="D197" s="44" t="str">
        <f>IF('Calendario B'!D27="","",'Calendario B'!D27)</f>
        <v/>
      </c>
      <c r="E197" s="45" t="str">
        <f>IF('Calendario B'!E27="","",'Calendario B'!E27)</f>
        <v/>
      </c>
      <c r="F197" s="138" t="str">
        <f>IF('Calendario B'!F27="","",'Calendario B'!F27)</f>
        <v/>
      </c>
      <c r="G197" s="124"/>
      <c r="H197" s="124"/>
      <c r="I197" s="125"/>
      <c r="J197" s="202" t="str">
        <f>IF('Calendario B'!J27="","",'Calendario B'!J27)</f>
        <v/>
      </c>
      <c r="K197" s="201" t="s">
        <v>198</v>
      </c>
      <c r="L197" s="202" t="str">
        <f>IF('Calendario B'!L27="","",'Calendario B'!L27)</f>
        <v/>
      </c>
      <c r="M197" s="200"/>
      <c r="N197" s="200"/>
      <c r="O197" s="200"/>
      <c r="P197" s="200"/>
      <c r="Q197" s="200"/>
      <c r="R197" s="200"/>
    </row>
    <row r="198" spans="1:18" ht="15" customHeight="1" x14ac:dyDescent="0.25">
      <c r="A198" s="133"/>
      <c r="B198" s="136" t="str">
        <f>IF('Calendario B'!B28="","",'Calendario B'!B28)</f>
        <v/>
      </c>
      <c r="C198" s="124"/>
      <c r="D198" s="124"/>
      <c r="E198" s="124"/>
      <c r="F198" s="124"/>
      <c r="G198" s="124"/>
      <c r="H198" s="125"/>
      <c r="I198" s="45" t="str">
        <f>IF('Calendario B'!I28="","",'Calendario B'!I28)</f>
        <v/>
      </c>
      <c r="J198" s="133"/>
      <c r="K198" s="133"/>
      <c r="L198" s="133"/>
      <c r="M198" s="133"/>
      <c r="N198" s="133"/>
      <c r="O198" s="133"/>
      <c r="P198" s="133"/>
      <c r="Q198" s="133"/>
      <c r="R198" s="133"/>
    </row>
    <row r="199" spans="1:18" ht="14.1" customHeight="1" x14ac:dyDescent="0.25">
      <c r="A199" s="50" t="s">
        <v>193</v>
      </c>
      <c r="B199" s="141" t="s">
        <v>175</v>
      </c>
      <c r="C199" s="125"/>
      <c r="D199" s="141" t="s">
        <v>182</v>
      </c>
      <c r="E199" s="125"/>
      <c r="F199" s="50" t="s">
        <v>194</v>
      </c>
      <c r="G199" s="50" t="s">
        <v>195</v>
      </c>
      <c r="H199" s="141" t="s">
        <v>196</v>
      </c>
      <c r="I199" s="125"/>
      <c r="J199" s="141" t="s">
        <v>197</v>
      </c>
      <c r="K199" s="124"/>
      <c r="L199" s="125"/>
      <c r="M199" s="103" t="s">
        <v>494</v>
      </c>
      <c r="N199" s="103" t="s">
        <v>495</v>
      </c>
      <c r="O199" s="103" t="s">
        <v>496</v>
      </c>
      <c r="P199" s="103" t="s">
        <v>497</v>
      </c>
      <c r="Q199" s="103" t="s">
        <v>498</v>
      </c>
      <c r="R199" s="103" t="s">
        <v>499</v>
      </c>
    </row>
    <row r="200" spans="1:18" ht="21.95" customHeight="1" x14ac:dyDescent="0.25">
      <c r="A200" s="142">
        <f>IF('Calendario B'!A30="","",'Calendario B'!A30)</f>
        <v>52</v>
      </c>
      <c r="B200" s="44" t="str">
        <f>IF('Calendario B'!B30="","",'Calendario B'!B30)</f>
        <v/>
      </c>
      <c r="C200" s="45" t="str">
        <f>IF('Calendario B'!C30="","",'Calendario B'!C30)</f>
        <v/>
      </c>
      <c r="D200" s="44" t="str">
        <f>IF('Calendario B'!D30="","",'Calendario B'!D30)</f>
        <v/>
      </c>
      <c r="E200" s="45" t="str">
        <f>IF('Calendario B'!E30="","",'Calendario B'!E30)</f>
        <v/>
      </c>
      <c r="F200" s="138" t="str">
        <f>IF('Calendario B'!F30="","",'Calendario B'!F30)</f>
        <v/>
      </c>
      <c r="G200" s="124"/>
      <c r="H200" s="124"/>
      <c r="I200" s="125"/>
      <c r="J200" s="202" t="str">
        <f>IF('Calendario B'!J30="","",'Calendario B'!J30)</f>
        <v/>
      </c>
      <c r="K200" s="201" t="s">
        <v>198</v>
      </c>
      <c r="L200" s="202" t="str">
        <f>IF('Calendario B'!L30="","",'Calendario B'!L30)</f>
        <v/>
      </c>
      <c r="M200" s="200"/>
      <c r="N200" s="200"/>
      <c r="O200" s="200"/>
      <c r="P200" s="200"/>
      <c r="Q200" s="200"/>
      <c r="R200" s="200"/>
    </row>
    <row r="201" spans="1:18" ht="15" customHeight="1" x14ac:dyDescent="0.25">
      <c r="A201" s="133"/>
      <c r="B201" s="136" t="str">
        <f>IF('Calendario B'!B31="","",'Calendario B'!B31)</f>
        <v/>
      </c>
      <c r="C201" s="124"/>
      <c r="D201" s="124"/>
      <c r="E201" s="124"/>
      <c r="F201" s="124"/>
      <c r="G201" s="124"/>
      <c r="H201" s="125"/>
      <c r="I201" s="45" t="str">
        <f>IF('Calendario B'!I31="","",'Calendario B'!I31)</f>
        <v/>
      </c>
      <c r="J201" s="133"/>
      <c r="K201" s="133"/>
      <c r="L201" s="133"/>
      <c r="M201" s="133"/>
      <c r="N201" s="133"/>
      <c r="O201" s="133"/>
      <c r="P201" s="133"/>
      <c r="Q201" s="133"/>
      <c r="R201" s="133"/>
    </row>
    <row r="202" spans="1:18" ht="14.1" customHeight="1" x14ac:dyDescent="0.25">
      <c r="A202" s="50" t="s">
        <v>193</v>
      </c>
      <c r="B202" s="141" t="s">
        <v>175</v>
      </c>
      <c r="C202" s="125"/>
      <c r="D202" s="141" t="s">
        <v>182</v>
      </c>
      <c r="E202" s="125"/>
      <c r="F202" s="50" t="s">
        <v>194</v>
      </c>
      <c r="G202" s="50" t="s">
        <v>195</v>
      </c>
      <c r="H202" s="141" t="s">
        <v>196</v>
      </c>
      <c r="I202" s="125"/>
      <c r="J202" s="141" t="s">
        <v>197</v>
      </c>
      <c r="K202" s="124"/>
      <c r="L202" s="125"/>
      <c r="M202" s="103" t="s">
        <v>494</v>
      </c>
      <c r="N202" s="103" t="s">
        <v>495</v>
      </c>
      <c r="O202" s="103" t="s">
        <v>496</v>
      </c>
      <c r="P202" s="103" t="s">
        <v>497</v>
      </c>
      <c r="Q202" s="103" t="s">
        <v>498</v>
      </c>
      <c r="R202" s="103" t="s">
        <v>499</v>
      </c>
    </row>
    <row r="203" spans="1:18" ht="21.95" customHeight="1" x14ac:dyDescent="0.25">
      <c r="A203" s="142">
        <f>IF('Calendario B'!A33="","",'Calendario B'!A33)</f>
        <v>53</v>
      </c>
      <c r="B203" s="44" t="str">
        <f>IF('Calendario B'!B33="","",'Calendario B'!B33)</f>
        <v/>
      </c>
      <c r="C203" s="45" t="str">
        <f>IF('Calendario B'!C33="","",'Calendario B'!C33)</f>
        <v/>
      </c>
      <c r="D203" s="44" t="str">
        <f>IF('Calendario B'!D33="","",'Calendario B'!D33)</f>
        <v/>
      </c>
      <c r="E203" s="45" t="str">
        <f>IF('Calendario B'!E33="","",'Calendario B'!E33)</f>
        <v/>
      </c>
      <c r="F203" s="138" t="str">
        <f>IF('Calendario B'!F33="","",'Calendario B'!F33)</f>
        <v/>
      </c>
      <c r="G203" s="124"/>
      <c r="H203" s="124"/>
      <c r="I203" s="125"/>
      <c r="J203" s="202" t="str">
        <f>IF('Calendario B'!J33="","",'Calendario B'!J33)</f>
        <v/>
      </c>
      <c r="K203" s="201" t="s">
        <v>198</v>
      </c>
      <c r="L203" s="202" t="str">
        <f>IF('Calendario B'!L33="","",'Calendario B'!L33)</f>
        <v/>
      </c>
      <c r="M203" s="200"/>
      <c r="N203" s="200"/>
      <c r="O203" s="200"/>
      <c r="P203" s="200"/>
      <c r="Q203" s="200"/>
      <c r="R203" s="200"/>
    </row>
    <row r="204" spans="1:18" ht="15" customHeight="1" x14ac:dyDescent="0.25">
      <c r="A204" s="133"/>
      <c r="B204" s="136" t="str">
        <f>IF('Calendario B'!B34="","",'Calendario B'!B34)</f>
        <v/>
      </c>
      <c r="C204" s="124"/>
      <c r="D204" s="124"/>
      <c r="E204" s="124"/>
      <c r="F204" s="124"/>
      <c r="G204" s="124"/>
      <c r="H204" s="125"/>
      <c r="I204" s="45" t="str">
        <f>IF('Calendario B'!I34="","",'Calendario B'!I34)</f>
        <v/>
      </c>
      <c r="J204" s="133"/>
      <c r="K204" s="133"/>
      <c r="L204" s="133"/>
      <c r="M204" s="133"/>
      <c r="N204" s="133"/>
      <c r="O204" s="133"/>
      <c r="P204" s="133"/>
      <c r="Q204" s="133"/>
      <c r="R204" s="133"/>
    </row>
    <row r="205" spans="1:18" ht="14.1" customHeight="1" x14ac:dyDescent="0.25">
      <c r="A205" s="50" t="s">
        <v>193</v>
      </c>
      <c r="B205" s="141" t="s">
        <v>175</v>
      </c>
      <c r="C205" s="125"/>
      <c r="D205" s="141" t="s">
        <v>182</v>
      </c>
      <c r="E205" s="125"/>
      <c r="F205" s="50" t="s">
        <v>194</v>
      </c>
      <c r="G205" s="50" t="s">
        <v>195</v>
      </c>
      <c r="H205" s="141" t="s">
        <v>196</v>
      </c>
      <c r="I205" s="125"/>
      <c r="J205" s="141" t="s">
        <v>197</v>
      </c>
      <c r="K205" s="124"/>
      <c r="L205" s="125"/>
      <c r="M205" s="103" t="s">
        <v>494</v>
      </c>
      <c r="N205" s="103" t="s">
        <v>495</v>
      </c>
      <c r="O205" s="103" t="s">
        <v>496</v>
      </c>
      <c r="P205" s="103" t="s">
        <v>497</v>
      </c>
      <c r="Q205" s="103" t="s">
        <v>498</v>
      </c>
      <c r="R205" s="103" t="s">
        <v>499</v>
      </c>
    </row>
    <row r="206" spans="1:18" ht="21.95" customHeight="1" x14ac:dyDescent="0.25">
      <c r="A206" s="142">
        <f>IF('Calendario B'!A36="","",'Calendario B'!A36)</f>
        <v>54</v>
      </c>
      <c r="B206" s="44" t="str">
        <f>IF('Calendario B'!B36="","",'Calendario B'!B36)</f>
        <v/>
      </c>
      <c r="C206" s="45" t="str">
        <f>IF('Calendario B'!C36="","",'Calendario B'!C36)</f>
        <v/>
      </c>
      <c r="D206" s="44" t="str">
        <f>IF('Calendario B'!D36="","",'Calendario B'!D36)</f>
        <v/>
      </c>
      <c r="E206" s="45" t="str">
        <f>IF('Calendario B'!E36="","",'Calendario B'!E36)</f>
        <v/>
      </c>
      <c r="F206" s="138" t="str">
        <f>IF('Calendario B'!F36="","",'Calendario B'!F36)</f>
        <v/>
      </c>
      <c r="G206" s="124"/>
      <c r="H206" s="124"/>
      <c r="I206" s="125"/>
      <c r="J206" s="202" t="str">
        <f>IF('Calendario B'!J36="","",'Calendario B'!J36)</f>
        <v/>
      </c>
      <c r="K206" s="201" t="s">
        <v>198</v>
      </c>
      <c r="L206" s="202" t="str">
        <f>IF('Calendario B'!L36="","",'Calendario B'!L36)</f>
        <v/>
      </c>
      <c r="M206" s="200"/>
      <c r="N206" s="200"/>
      <c r="O206" s="200"/>
      <c r="P206" s="200"/>
      <c r="Q206" s="200"/>
      <c r="R206" s="200"/>
    </row>
    <row r="207" spans="1:18" ht="15" customHeight="1" x14ac:dyDescent="0.25">
      <c r="A207" s="133"/>
      <c r="B207" s="136" t="str">
        <f>IF('Calendario B'!B37="","",'Calendario B'!B37)</f>
        <v/>
      </c>
      <c r="C207" s="124"/>
      <c r="D207" s="124"/>
      <c r="E207" s="124"/>
      <c r="F207" s="124"/>
      <c r="G207" s="124"/>
      <c r="H207" s="125"/>
      <c r="I207" s="45" t="str">
        <f>IF('Calendario B'!I37="","",'Calendario B'!I37)</f>
        <v/>
      </c>
      <c r="J207" s="133"/>
      <c r="K207" s="133"/>
      <c r="L207" s="133"/>
      <c r="M207" s="133"/>
      <c r="N207" s="133"/>
      <c r="O207" s="133"/>
      <c r="P207" s="133"/>
      <c r="Q207" s="133"/>
      <c r="R207" s="133"/>
    </row>
    <row r="208" spans="1:18" ht="14.1" customHeight="1" x14ac:dyDescent="0.25">
      <c r="A208" s="50" t="s">
        <v>193</v>
      </c>
      <c r="B208" s="141" t="s">
        <v>175</v>
      </c>
      <c r="C208" s="125"/>
      <c r="D208" s="141" t="s">
        <v>182</v>
      </c>
      <c r="E208" s="125"/>
      <c r="F208" s="50" t="s">
        <v>194</v>
      </c>
      <c r="G208" s="50" t="s">
        <v>195</v>
      </c>
      <c r="H208" s="141" t="s">
        <v>196</v>
      </c>
      <c r="I208" s="125"/>
      <c r="J208" s="141" t="s">
        <v>197</v>
      </c>
      <c r="K208" s="124"/>
      <c r="L208" s="125"/>
      <c r="M208" s="103" t="s">
        <v>494</v>
      </c>
      <c r="N208" s="103" t="s">
        <v>495</v>
      </c>
      <c r="O208" s="103" t="s">
        <v>496</v>
      </c>
      <c r="P208" s="103" t="s">
        <v>497</v>
      </c>
      <c r="Q208" s="103" t="s">
        <v>498</v>
      </c>
      <c r="R208" s="103" t="s">
        <v>499</v>
      </c>
    </row>
    <row r="209" spans="1:18" ht="21.95" customHeight="1" x14ac:dyDescent="0.25">
      <c r="A209" s="142">
        <f>IF('Calendario B'!A39="","",'Calendario B'!A39)</f>
        <v>55</v>
      </c>
      <c r="B209" s="44" t="str">
        <f>IF('Calendario B'!B39="","",'Calendario B'!B39)</f>
        <v/>
      </c>
      <c r="C209" s="45" t="str">
        <f>IF('Calendario B'!C39="","",'Calendario B'!C39)</f>
        <v/>
      </c>
      <c r="D209" s="44" t="str">
        <f>IF('Calendario B'!D39="","",'Calendario B'!D39)</f>
        <v/>
      </c>
      <c r="E209" s="45" t="str">
        <f>IF('Calendario B'!E39="","",'Calendario B'!E39)</f>
        <v/>
      </c>
      <c r="F209" s="138" t="str">
        <f>IF('Calendario B'!F39="","",'Calendario B'!F39)</f>
        <v/>
      </c>
      <c r="G209" s="124"/>
      <c r="H209" s="124"/>
      <c r="I209" s="125"/>
      <c r="J209" s="202" t="str">
        <f>IF('Calendario B'!J39="","",'Calendario B'!J39)</f>
        <v/>
      </c>
      <c r="K209" s="201" t="s">
        <v>198</v>
      </c>
      <c r="L209" s="202" t="str">
        <f>IF('Calendario B'!L39="","",'Calendario B'!L39)</f>
        <v/>
      </c>
      <c r="M209" s="200"/>
      <c r="N209" s="200"/>
      <c r="O209" s="200"/>
      <c r="P209" s="200"/>
      <c r="Q209" s="200"/>
      <c r="R209" s="200"/>
    </row>
    <row r="210" spans="1:18" ht="15" customHeight="1" x14ac:dyDescent="0.25">
      <c r="A210" s="133"/>
      <c r="B210" s="136" t="str">
        <f>IF('Calendario B'!B40="","",'Calendario B'!B40)</f>
        <v/>
      </c>
      <c r="C210" s="124"/>
      <c r="D210" s="124"/>
      <c r="E210" s="124"/>
      <c r="F210" s="124"/>
      <c r="G210" s="124"/>
      <c r="H210" s="125"/>
      <c r="I210" s="45" t="str">
        <f>IF('Calendario B'!I40="","",'Calendario B'!I40)</f>
        <v/>
      </c>
      <c r="J210" s="133"/>
      <c r="K210" s="133"/>
      <c r="L210" s="133"/>
      <c r="M210" s="133"/>
      <c r="N210" s="133"/>
      <c r="O210" s="133"/>
      <c r="P210" s="133"/>
      <c r="Q210" s="133"/>
      <c r="R210" s="133"/>
    </row>
    <row r="212" spans="1:18" ht="20.100000000000001" customHeight="1" x14ac:dyDescent="0.25">
      <c r="A212" s="49" t="str">
        <f>IF('Calendario B'!A42="","",'Calendario B'!A42)</f>
        <v>3B</v>
      </c>
      <c r="B212" s="143" t="str">
        <f>IF('Calendario B'!B42="","",'Calendario B'!B42)</f>
        <v>GIORNATA III - GIRONE B</v>
      </c>
      <c r="C212" s="124"/>
      <c r="D212" s="124"/>
      <c r="E212" s="124"/>
      <c r="F212" s="124"/>
      <c r="G212" s="124"/>
      <c r="H212" s="124"/>
      <c r="I212" s="124"/>
      <c r="J212" s="124"/>
      <c r="K212" s="124"/>
      <c r="L212" s="125"/>
      <c r="M212" s="212" t="s">
        <v>492</v>
      </c>
      <c r="N212" s="124"/>
      <c r="O212" s="125"/>
      <c r="P212" s="212" t="s">
        <v>493</v>
      </c>
      <c r="Q212" s="124"/>
      <c r="R212" s="125"/>
    </row>
    <row r="213" spans="1:18" ht="14.1" customHeight="1" x14ac:dyDescent="0.25">
      <c r="A213" s="50" t="s">
        <v>193</v>
      </c>
      <c r="B213" s="141" t="s">
        <v>175</v>
      </c>
      <c r="C213" s="125"/>
      <c r="D213" s="141" t="s">
        <v>182</v>
      </c>
      <c r="E213" s="125"/>
      <c r="F213" s="50" t="s">
        <v>194</v>
      </c>
      <c r="G213" s="50" t="s">
        <v>195</v>
      </c>
      <c r="H213" s="141" t="s">
        <v>196</v>
      </c>
      <c r="I213" s="125"/>
      <c r="J213" s="141" t="s">
        <v>197</v>
      </c>
      <c r="K213" s="124"/>
      <c r="L213" s="125"/>
      <c r="M213" s="103" t="s">
        <v>494</v>
      </c>
      <c r="N213" s="103" t="s">
        <v>495</v>
      </c>
      <c r="O213" s="103" t="s">
        <v>496</v>
      </c>
      <c r="P213" s="103" t="s">
        <v>497</v>
      </c>
      <c r="Q213" s="103" t="s">
        <v>498</v>
      </c>
      <c r="R213" s="103" t="s">
        <v>499</v>
      </c>
    </row>
    <row r="214" spans="1:18" ht="21.95" customHeight="1" x14ac:dyDescent="0.25">
      <c r="A214" s="142">
        <f>IF('Calendario B'!A44="","",'Calendario B'!A44)</f>
        <v>56</v>
      </c>
      <c r="B214" s="44" t="str">
        <f>IF('Calendario B'!B44="","",'Calendario B'!B44)</f>
        <v/>
      </c>
      <c r="C214" s="45" t="str">
        <f>IF('Calendario B'!C44="","",'Calendario B'!C44)</f>
        <v/>
      </c>
      <c r="D214" s="44" t="str">
        <f>IF('Calendario B'!D44="","",'Calendario B'!D44)</f>
        <v/>
      </c>
      <c r="E214" s="45" t="str">
        <f>IF('Calendario B'!E44="","",'Calendario B'!E44)</f>
        <v/>
      </c>
      <c r="F214" s="138" t="str">
        <f>IF('Calendario B'!F44="","",'Calendario B'!F44)</f>
        <v/>
      </c>
      <c r="G214" s="124"/>
      <c r="H214" s="124"/>
      <c r="I214" s="125"/>
      <c r="J214" s="202" t="str">
        <f>IF('Calendario B'!J44="","",'Calendario B'!J44)</f>
        <v/>
      </c>
      <c r="K214" s="201" t="s">
        <v>198</v>
      </c>
      <c r="L214" s="202" t="str">
        <f>IF('Calendario B'!L44="","",'Calendario B'!L44)</f>
        <v/>
      </c>
      <c r="M214" s="200"/>
      <c r="N214" s="200"/>
      <c r="O214" s="200"/>
      <c r="P214" s="200"/>
      <c r="Q214" s="200"/>
      <c r="R214" s="200"/>
    </row>
    <row r="215" spans="1:18" ht="15" customHeight="1" x14ac:dyDescent="0.25">
      <c r="A215" s="133"/>
      <c r="B215" s="136" t="str">
        <f>IF('Calendario B'!B45="","",'Calendario B'!B45)</f>
        <v/>
      </c>
      <c r="C215" s="124"/>
      <c r="D215" s="124"/>
      <c r="E215" s="124"/>
      <c r="F215" s="124"/>
      <c r="G215" s="124"/>
      <c r="H215" s="125"/>
      <c r="I215" s="45" t="str">
        <f>IF('Calendario B'!I45="","",'Calendario B'!I45)</f>
        <v/>
      </c>
      <c r="J215" s="133"/>
      <c r="K215" s="133"/>
      <c r="L215" s="133"/>
      <c r="M215" s="133"/>
      <c r="N215" s="133"/>
      <c r="O215" s="133"/>
      <c r="P215" s="133"/>
      <c r="Q215" s="133"/>
      <c r="R215" s="133"/>
    </row>
    <row r="216" spans="1:18" ht="14.1" customHeight="1" x14ac:dyDescent="0.25">
      <c r="A216" s="50" t="s">
        <v>193</v>
      </c>
      <c r="B216" s="141" t="s">
        <v>175</v>
      </c>
      <c r="C216" s="125"/>
      <c r="D216" s="141" t="s">
        <v>182</v>
      </c>
      <c r="E216" s="125"/>
      <c r="F216" s="50" t="s">
        <v>194</v>
      </c>
      <c r="G216" s="50" t="s">
        <v>195</v>
      </c>
      <c r="H216" s="141" t="s">
        <v>196</v>
      </c>
      <c r="I216" s="125"/>
      <c r="J216" s="141" t="s">
        <v>197</v>
      </c>
      <c r="K216" s="124"/>
      <c r="L216" s="125"/>
      <c r="M216" s="103" t="s">
        <v>494</v>
      </c>
      <c r="N216" s="103" t="s">
        <v>495</v>
      </c>
      <c r="O216" s="103" t="s">
        <v>496</v>
      </c>
      <c r="P216" s="103" t="s">
        <v>497</v>
      </c>
      <c r="Q216" s="103" t="s">
        <v>498</v>
      </c>
      <c r="R216" s="103" t="s">
        <v>499</v>
      </c>
    </row>
    <row r="217" spans="1:18" ht="21.95" customHeight="1" x14ac:dyDescent="0.25">
      <c r="A217" s="142">
        <f>IF('Calendario B'!A47="","",'Calendario B'!A47)</f>
        <v>57</v>
      </c>
      <c r="B217" s="44" t="str">
        <f>IF('Calendario B'!B47="","",'Calendario B'!B47)</f>
        <v/>
      </c>
      <c r="C217" s="45" t="str">
        <f>IF('Calendario B'!C47="","",'Calendario B'!C47)</f>
        <v/>
      </c>
      <c r="D217" s="44" t="str">
        <f>IF('Calendario B'!D47="","",'Calendario B'!D47)</f>
        <v/>
      </c>
      <c r="E217" s="45" t="str">
        <f>IF('Calendario B'!E47="","",'Calendario B'!E47)</f>
        <v/>
      </c>
      <c r="F217" s="138" t="str">
        <f>IF('Calendario B'!F47="","",'Calendario B'!F47)</f>
        <v/>
      </c>
      <c r="G217" s="124"/>
      <c r="H217" s="124"/>
      <c r="I217" s="125"/>
      <c r="J217" s="202" t="str">
        <f>IF('Calendario B'!J47="","",'Calendario B'!J47)</f>
        <v/>
      </c>
      <c r="K217" s="201" t="s">
        <v>198</v>
      </c>
      <c r="L217" s="202" t="str">
        <f>IF('Calendario B'!L47="","",'Calendario B'!L47)</f>
        <v/>
      </c>
      <c r="M217" s="200"/>
      <c r="N217" s="200"/>
      <c r="O217" s="200"/>
      <c r="P217" s="200"/>
      <c r="Q217" s="200"/>
      <c r="R217" s="200"/>
    </row>
    <row r="218" spans="1:18" ht="15" customHeight="1" x14ac:dyDescent="0.25">
      <c r="A218" s="133"/>
      <c r="B218" s="136" t="str">
        <f>IF('Calendario B'!B48="","",'Calendario B'!B48)</f>
        <v/>
      </c>
      <c r="C218" s="124"/>
      <c r="D218" s="124"/>
      <c r="E218" s="124"/>
      <c r="F218" s="124"/>
      <c r="G218" s="124"/>
      <c r="H218" s="125"/>
      <c r="I218" s="45" t="str">
        <f>IF('Calendario B'!I48="","",'Calendario B'!I48)</f>
        <v/>
      </c>
      <c r="J218" s="133"/>
      <c r="K218" s="133"/>
      <c r="L218" s="133"/>
      <c r="M218" s="133"/>
      <c r="N218" s="133"/>
      <c r="O218" s="133"/>
      <c r="P218" s="133"/>
      <c r="Q218" s="133"/>
      <c r="R218" s="133"/>
    </row>
    <row r="219" spans="1:18" ht="14.1" customHeight="1" x14ac:dyDescent="0.25">
      <c r="A219" s="50" t="s">
        <v>193</v>
      </c>
      <c r="B219" s="141" t="s">
        <v>175</v>
      </c>
      <c r="C219" s="125"/>
      <c r="D219" s="141" t="s">
        <v>182</v>
      </c>
      <c r="E219" s="125"/>
      <c r="F219" s="50" t="s">
        <v>194</v>
      </c>
      <c r="G219" s="50" t="s">
        <v>195</v>
      </c>
      <c r="H219" s="141" t="s">
        <v>196</v>
      </c>
      <c r="I219" s="125"/>
      <c r="J219" s="141" t="s">
        <v>197</v>
      </c>
      <c r="K219" s="124"/>
      <c r="L219" s="125"/>
      <c r="M219" s="103" t="s">
        <v>494</v>
      </c>
      <c r="N219" s="103" t="s">
        <v>495</v>
      </c>
      <c r="O219" s="103" t="s">
        <v>496</v>
      </c>
      <c r="P219" s="103" t="s">
        <v>497</v>
      </c>
      <c r="Q219" s="103" t="s">
        <v>498</v>
      </c>
      <c r="R219" s="103" t="s">
        <v>499</v>
      </c>
    </row>
    <row r="220" spans="1:18" ht="21.95" customHeight="1" x14ac:dyDescent="0.25">
      <c r="A220" s="142">
        <f>IF('Calendario B'!A50="","",'Calendario B'!A50)</f>
        <v>58</v>
      </c>
      <c r="B220" s="44" t="str">
        <f>IF('Calendario B'!B50="","",'Calendario B'!B50)</f>
        <v/>
      </c>
      <c r="C220" s="45" t="str">
        <f>IF('Calendario B'!C50="","",'Calendario B'!C50)</f>
        <v/>
      </c>
      <c r="D220" s="44" t="str">
        <f>IF('Calendario B'!D50="","",'Calendario B'!D50)</f>
        <v/>
      </c>
      <c r="E220" s="45" t="str">
        <f>IF('Calendario B'!E50="","",'Calendario B'!E50)</f>
        <v/>
      </c>
      <c r="F220" s="138" t="str">
        <f>IF('Calendario B'!F50="","",'Calendario B'!F50)</f>
        <v/>
      </c>
      <c r="G220" s="124"/>
      <c r="H220" s="124"/>
      <c r="I220" s="125"/>
      <c r="J220" s="202" t="str">
        <f>IF('Calendario B'!J50="","",'Calendario B'!J50)</f>
        <v/>
      </c>
      <c r="K220" s="201" t="s">
        <v>198</v>
      </c>
      <c r="L220" s="202" t="str">
        <f>IF('Calendario B'!L50="","",'Calendario B'!L50)</f>
        <v/>
      </c>
      <c r="M220" s="200"/>
      <c r="N220" s="200"/>
      <c r="O220" s="200"/>
      <c r="P220" s="200"/>
      <c r="Q220" s="200"/>
      <c r="R220" s="200"/>
    </row>
    <row r="221" spans="1:18" ht="15" customHeight="1" x14ac:dyDescent="0.25">
      <c r="A221" s="133"/>
      <c r="B221" s="136" t="str">
        <f>IF('Calendario B'!B51="","",'Calendario B'!B51)</f>
        <v/>
      </c>
      <c r="C221" s="124"/>
      <c r="D221" s="124"/>
      <c r="E221" s="124"/>
      <c r="F221" s="124"/>
      <c r="G221" s="124"/>
      <c r="H221" s="125"/>
      <c r="I221" s="45" t="str">
        <f>IF('Calendario B'!I51="","",'Calendario B'!I51)</f>
        <v/>
      </c>
      <c r="J221" s="133"/>
      <c r="K221" s="133"/>
      <c r="L221" s="133"/>
      <c r="M221" s="133"/>
      <c r="N221" s="133"/>
      <c r="O221" s="133"/>
      <c r="P221" s="133"/>
      <c r="Q221" s="133"/>
      <c r="R221" s="133"/>
    </row>
    <row r="222" spans="1:18" ht="14.1" customHeight="1" x14ac:dyDescent="0.25">
      <c r="A222" s="50" t="s">
        <v>193</v>
      </c>
      <c r="B222" s="141" t="s">
        <v>175</v>
      </c>
      <c r="C222" s="125"/>
      <c r="D222" s="141" t="s">
        <v>182</v>
      </c>
      <c r="E222" s="125"/>
      <c r="F222" s="50" t="s">
        <v>194</v>
      </c>
      <c r="G222" s="50" t="s">
        <v>195</v>
      </c>
      <c r="H222" s="141" t="s">
        <v>196</v>
      </c>
      <c r="I222" s="125"/>
      <c r="J222" s="141" t="s">
        <v>197</v>
      </c>
      <c r="K222" s="124"/>
      <c r="L222" s="125"/>
      <c r="M222" s="103" t="s">
        <v>494</v>
      </c>
      <c r="N222" s="103" t="s">
        <v>495</v>
      </c>
      <c r="O222" s="103" t="s">
        <v>496</v>
      </c>
      <c r="P222" s="103" t="s">
        <v>497</v>
      </c>
      <c r="Q222" s="103" t="s">
        <v>498</v>
      </c>
      <c r="R222" s="103" t="s">
        <v>499</v>
      </c>
    </row>
    <row r="223" spans="1:18" ht="21.95" customHeight="1" x14ac:dyDescent="0.25">
      <c r="A223" s="142">
        <f>IF('Calendario B'!A53="","",'Calendario B'!A53)</f>
        <v>59</v>
      </c>
      <c r="B223" s="44" t="str">
        <f>IF('Calendario B'!B53="","",'Calendario B'!B53)</f>
        <v/>
      </c>
      <c r="C223" s="45" t="str">
        <f>IF('Calendario B'!C53="","",'Calendario B'!C53)</f>
        <v/>
      </c>
      <c r="D223" s="44" t="str">
        <f>IF('Calendario B'!D53="","",'Calendario B'!D53)</f>
        <v/>
      </c>
      <c r="E223" s="45" t="str">
        <f>IF('Calendario B'!E53="","",'Calendario B'!E53)</f>
        <v/>
      </c>
      <c r="F223" s="138" t="str">
        <f>IF('Calendario B'!F53="","",'Calendario B'!F53)</f>
        <v/>
      </c>
      <c r="G223" s="124"/>
      <c r="H223" s="124"/>
      <c r="I223" s="125"/>
      <c r="J223" s="202" t="str">
        <f>IF('Calendario B'!J53="","",'Calendario B'!J53)</f>
        <v/>
      </c>
      <c r="K223" s="201" t="s">
        <v>198</v>
      </c>
      <c r="L223" s="202" t="str">
        <f>IF('Calendario B'!L53="","",'Calendario B'!L53)</f>
        <v/>
      </c>
      <c r="M223" s="200"/>
      <c r="N223" s="200"/>
      <c r="O223" s="200"/>
      <c r="P223" s="200"/>
      <c r="Q223" s="200"/>
      <c r="R223" s="200"/>
    </row>
    <row r="224" spans="1:18" ht="15" customHeight="1" x14ac:dyDescent="0.25">
      <c r="A224" s="133"/>
      <c r="B224" s="136" t="str">
        <f>IF('Calendario B'!B54="","",'Calendario B'!B54)</f>
        <v/>
      </c>
      <c r="C224" s="124"/>
      <c r="D224" s="124"/>
      <c r="E224" s="124"/>
      <c r="F224" s="124"/>
      <c r="G224" s="124"/>
      <c r="H224" s="125"/>
      <c r="I224" s="45" t="str">
        <f>IF('Calendario B'!I54="","",'Calendario B'!I54)</f>
        <v/>
      </c>
      <c r="J224" s="133"/>
      <c r="K224" s="133"/>
      <c r="L224" s="133"/>
      <c r="M224" s="133"/>
      <c r="N224" s="133"/>
      <c r="O224" s="133"/>
      <c r="P224" s="133"/>
      <c r="Q224" s="133"/>
      <c r="R224" s="133"/>
    </row>
    <row r="225" spans="1:18" ht="14.1" customHeight="1" x14ac:dyDescent="0.25">
      <c r="A225" s="50" t="s">
        <v>193</v>
      </c>
      <c r="B225" s="141" t="s">
        <v>175</v>
      </c>
      <c r="C225" s="125"/>
      <c r="D225" s="141" t="s">
        <v>182</v>
      </c>
      <c r="E225" s="125"/>
      <c r="F225" s="50" t="s">
        <v>194</v>
      </c>
      <c r="G225" s="50" t="s">
        <v>195</v>
      </c>
      <c r="H225" s="141" t="s">
        <v>196</v>
      </c>
      <c r="I225" s="125"/>
      <c r="J225" s="141" t="s">
        <v>197</v>
      </c>
      <c r="K225" s="124"/>
      <c r="L225" s="125"/>
      <c r="M225" s="103" t="s">
        <v>494</v>
      </c>
      <c r="N225" s="103" t="s">
        <v>495</v>
      </c>
      <c r="O225" s="103" t="s">
        <v>496</v>
      </c>
      <c r="P225" s="103" t="s">
        <v>497</v>
      </c>
      <c r="Q225" s="103" t="s">
        <v>498</v>
      </c>
      <c r="R225" s="103" t="s">
        <v>499</v>
      </c>
    </row>
    <row r="226" spans="1:18" ht="21.95" customHeight="1" x14ac:dyDescent="0.25">
      <c r="A226" s="142">
        <f>IF('Calendario B'!A56="","",'Calendario B'!A56)</f>
        <v>60</v>
      </c>
      <c r="B226" s="44" t="str">
        <f>IF('Calendario B'!B56="","",'Calendario B'!B56)</f>
        <v/>
      </c>
      <c r="C226" s="45" t="str">
        <f>IF('Calendario B'!C56="","",'Calendario B'!C56)</f>
        <v/>
      </c>
      <c r="D226" s="44" t="str">
        <f>IF('Calendario B'!D56="","",'Calendario B'!D56)</f>
        <v/>
      </c>
      <c r="E226" s="45" t="str">
        <f>IF('Calendario B'!E56="","",'Calendario B'!E56)</f>
        <v/>
      </c>
      <c r="F226" s="138" t="str">
        <f>IF('Calendario B'!F56="","",'Calendario B'!F56)</f>
        <v/>
      </c>
      <c r="G226" s="124"/>
      <c r="H226" s="124"/>
      <c r="I226" s="125"/>
      <c r="J226" s="202" t="str">
        <f>IF('Calendario B'!J56="","",'Calendario B'!J56)</f>
        <v/>
      </c>
      <c r="K226" s="201" t="s">
        <v>198</v>
      </c>
      <c r="L226" s="202" t="str">
        <f>IF('Calendario B'!L56="","",'Calendario B'!L56)</f>
        <v/>
      </c>
      <c r="M226" s="200"/>
      <c r="N226" s="200"/>
      <c r="O226" s="200"/>
      <c r="P226" s="200"/>
      <c r="Q226" s="200"/>
      <c r="R226" s="200"/>
    </row>
    <row r="227" spans="1:18" ht="15" customHeight="1" x14ac:dyDescent="0.25">
      <c r="A227" s="133"/>
      <c r="B227" s="136" t="str">
        <f>IF('Calendario B'!B57="","",'Calendario B'!B57)</f>
        <v/>
      </c>
      <c r="C227" s="124"/>
      <c r="D227" s="124"/>
      <c r="E227" s="124"/>
      <c r="F227" s="124"/>
      <c r="G227" s="124"/>
      <c r="H227" s="125"/>
      <c r="I227" s="45" t="str">
        <f>IF('Calendario B'!I57="","",'Calendario B'!I57)</f>
        <v/>
      </c>
      <c r="J227" s="133"/>
      <c r="K227" s="133"/>
      <c r="L227" s="133"/>
      <c r="M227" s="133"/>
      <c r="N227" s="133"/>
      <c r="O227" s="133"/>
      <c r="P227" s="133"/>
      <c r="Q227" s="133"/>
      <c r="R227" s="133"/>
    </row>
    <row r="229" spans="1:18" ht="20.100000000000001" customHeight="1" x14ac:dyDescent="0.25">
      <c r="A229" s="49" t="str">
        <f>IF('Calendario B'!A59="","",'Calendario B'!A59)</f>
        <v>4B</v>
      </c>
      <c r="B229" s="143" t="str">
        <f>IF('Calendario B'!B59="","",'Calendario B'!B59)</f>
        <v>GIORNATA IV - GIRONE B</v>
      </c>
      <c r="C229" s="124"/>
      <c r="D229" s="124"/>
      <c r="E229" s="124"/>
      <c r="F229" s="124"/>
      <c r="G229" s="124"/>
      <c r="H229" s="124"/>
      <c r="I229" s="124"/>
      <c r="J229" s="124"/>
      <c r="K229" s="124"/>
      <c r="L229" s="125"/>
      <c r="M229" s="212" t="s">
        <v>492</v>
      </c>
      <c r="N229" s="124"/>
      <c r="O229" s="125"/>
      <c r="P229" s="212" t="s">
        <v>493</v>
      </c>
      <c r="Q229" s="124"/>
      <c r="R229" s="125"/>
    </row>
    <row r="230" spans="1:18" ht="14.1" customHeight="1" x14ac:dyDescent="0.25">
      <c r="A230" s="50" t="s">
        <v>193</v>
      </c>
      <c r="B230" s="141" t="s">
        <v>175</v>
      </c>
      <c r="C230" s="125"/>
      <c r="D230" s="141" t="s">
        <v>182</v>
      </c>
      <c r="E230" s="125"/>
      <c r="F230" s="50" t="s">
        <v>194</v>
      </c>
      <c r="G230" s="50" t="s">
        <v>195</v>
      </c>
      <c r="H230" s="141" t="s">
        <v>196</v>
      </c>
      <c r="I230" s="125"/>
      <c r="J230" s="141" t="s">
        <v>197</v>
      </c>
      <c r="K230" s="124"/>
      <c r="L230" s="125"/>
      <c r="M230" s="103" t="s">
        <v>494</v>
      </c>
      <c r="N230" s="103" t="s">
        <v>495</v>
      </c>
      <c r="O230" s="103" t="s">
        <v>496</v>
      </c>
      <c r="P230" s="103" t="s">
        <v>497</v>
      </c>
      <c r="Q230" s="103" t="s">
        <v>498</v>
      </c>
      <c r="R230" s="103" t="s">
        <v>499</v>
      </c>
    </row>
    <row r="231" spans="1:18" ht="21.95" customHeight="1" x14ac:dyDescent="0.25">
      <c r="A231" s="142">
        <f>IF('Calendario B'!A61="","",'Calendario B'!A61)</f>
        <v>61</v>
      </c>
      <c r="B231" s="44" t="str">
        <f>IF('Calendario B'!B61="","",'Calendario B'!B61)</f>
        <v/>
      </c>
      <c r="C231" s="45" t="str">
        <f>IF('Calendario B'!C61="","",'Calendario B'!C61)</f>
        <v/>
      </c>
      <c r="D231" s="44" t="str">
        <f>IF('Calendario B'!D61="","",'Calendario B'!D61)</f>
        <v/>
      </c>
      <c r="E231" s="45" t="str">
        <f>IF('Calendario B'!E61="","",'Calendario B'!E61)</f>
        <v/>
      </c>
      <c r="F231" s="138" t="str">
        <f>IF('Calendario B'!F61="","",'Calendario B'!F61)</f>
        <v/>
      </c>
      <c r="G231" s="124"/>
      <c r="H231" s="124"/>
      <c r="I231" s="125"/>
      <c r="J231" s="202" t="str">
        <f>IF('Calendario B'!J61="","",'Calendario B'!J61)</f>
        <v/>
      </c>
      <c r="K231" s="201" t="s">
        <v>198</v>
      </c>
      <c r="L231" s="202" t="str">
        <f>IF('Calendario B'!L61="","",'Calendario B'!L61)</f>
        <v/>
      </c>
      <c r="M231" s="200"/>
      <c r="N231" s="200"/>
      <c r="O231" s="200"/>
      <c r="P231" s="200"/>
      <c r="Q231" s="200"/>
      <c r="R231" s="200"/>
    </row>
    <row r="232" spans="1:18" ht="15" customHeight="1" x14ac:dyDescent="0.25">
      <c r="A232" s="133"/>
      <c r="B232" s="136" t="str">
        <f>IF('Calendario B'!B62="","",'Calendario B'!B62)</f>
        <v/>
      </c>
      <c r="C232" s="124"/>
      <c r="D232" s="124"/>
      <c r="E232" s="124"/>
      <c r="F232" s="124"/>
      <c r="G232" s="124"/>
      <c r="H232" s="125"/>
      <c r="I232" s="45" t="str">
        <f>IF('Calendario B'!I62="","",'Calendario B'!I62)</f>
        <v/>
      </c>
      <c r="J232" s="133"/>
      <c r="K232" s="133"/>
      <c r="L232" s="133"/>
      <c r="M232" s="133"/>
      <c r="N232" s="133"/>
      <c r="O232" s="133"/>
      <c r="P232" s="133"/>
      <c r="Q232" s="133"/>
      <c r="R232" s="133"/>
    </row>
    <row r="233" spans="1:18" ht="14.1" customHeight="1" x14ac:dyDescent="0.25">
      <c r="A233" s="50" t="s">
        <v>193</v>
      </c>
      <c r="B233" s="141" t="s">
        <v>175</v>
      </c>
      <c r="C233" s="125"/>
      <c r="D233" s="141" t="s">
        <v>182</v>
      </c>
      <c r="E233" s="125"/>
      <c r="F233" s="50" t="s">
        <v>194</v>
      </c>
      <c r="G233" s="50" t="s">
        <v>195</v>
      </c>
      <c r="H233" s="141" t="s">
        <v>196</v>
      </c>
      <c r="I233" s="125"/>
      <c r="J233" s="141" t="s">
        <v>197</v>
      </c>
      <c r="K233" s="124"/>
      <c r="L233" s="125"/>
      <c r="M233" s="103" t="s">
        <v>494</v>
      </c>
      <c r="N233" s="103" t="s">
        <v>495</v>
      </c>
      <c r="O233" s="103" t="s">
        <v>496</v>
      </c>
      <c r="P233" s="103" t="s">
        <v>497</v>
      </c>
      <c r="Q233" s="103" t="s">
        <v>498</v>
      </c>
      <c r="R233" s="103" t="s">
        <v>499</v>
      </c>
    </row>
    <row r="234" spans="1:18" ht="21.95" customHeight="1" x14ac:dyDescent="0.25">
      <c r="A234" s="142">
        <f>IF('Calendario B'!A64="","",'Calendario B'!A64)</f>
        <v>62</v>
      </c>
      <c r="B234" s="44" t="str">
        <f>IF('Calendario B'!B64="","",'Calendario B'!B64)</f>
        <v/>
      </c>
      <c r="C234" s="45" t="str">
        <f>IF('Calendario B'!C64="","",'Calendario B'!C64)</f>
        <v/>
      </c>
      <c r="D234" s="44" t="str">
        <f>IF('Calendario B'!D64="","",'Calendario B'!D64)</f>
        <v/>
      </c>
      <c r="E234" s="45" t="str">
        <f>IF('Calendario B'!E64="","",'Calendario B'!E64)</f>
        <v/>
      </c>
      <c r="F234" s="138" t="str">
        <f>IF('Calendario B'!F64="","",'Calendario B'!F64)</f>
        <v/>
      </c>
      <c r="G234" s="124"/>
      <c r="H234" s="124"/>
      <c r="I234" s="125"/>
      <c r="J234" s="202" t="str">
        <f>IF('Calendario B'!J64="","",'Calendario B'!J64)</f>
        <v/>
      </c>
      <c r="K234" s="201" t="s">
        <v>198</v>
      </c>
      <c r="L234" s="202" t="str">
        <f>IF('Calendario B'!L64="","",'Calendario B'!L64)</f>
        <v/>
      </c>
      <c r="M234" s="200"/>
      <c r="N234" s="200"/>
      <c r="O234" s="200"/>
      <c r="P234" s="200"/>
      <c r="Q234" s="200"/>
      <c r="R234" s="200"/>
    </row>
    <row r="235" spans="1:18" ht="15" customHeight="1" x14ac:dyDescent="0.25">
      <c r="A235" s="133"/>
      <c r="B235" s="136" t="str">
        <f>IF('Calendario B'!B65="","",'Calendario B'!B65)</f>
        <v/>
      </c>
      <c r="C235" s="124"/>
      <c r="D235" s="124"/>
      <c r="E235" s="124"/>
      <c r="F235" s="124"/>
      <c r="G235" s="124"/>
      <c r="H235" s="125"/>
      <c r="I235" s="45" t="str">
        <f>IF('Calendario B'!I65="","",'Calendario B'!I65)</f>
        <v/>
      </c>
      <c r="J235" s="133"/>
      <c r="K235" s="133"/>
      <c r="L235" s="133"/>
      <c r="M235" s="133"/>
      <c r="N235" s="133"/>
      <c r="O235" s="133"/>
      <c r="P235" s="133"/>
      <c r="Q235" s="133"/>
      <c r="R235" s="133"/>
    </row>
    <row r="236" spans="1:18" ht="14.1" customHeight="1" x14ac:dyDescent="0.25">
      <c r="A236" s="50" t="s">
        <v>193</v>
      </c>
      <c r="B236" s="141" t="s">
        <v>175</v>
      </c>
      <c r="C236" s="125"/>
      <c r="D236" s="141" t="s">
        <v>182</v>
      </c>
      <c r="E236" s="125"/>
      <c r="F236" s="50" t="s">
        <v>194</v>
      </c>
      <c r="G236" s="50" t="s">
        <v>195</v>
      </c>
      <c r="H236" s="141" t="s">
        <v>196</v>
      </c>
      <c r="I236" s="125"/>
      <c r="J236" s="141" t="s">
        <v>197</v>
      </c>
      <c r="K236" s="124"/>
      <c r="L236" s="125"/>
      <c r="M236" s="103" t="s">
        <v>494</v>
      </c>
      <c r="N236" s="103" t="s">
        <v>495</v>
      </c>
      <c r="O236" s="103" t="s">
        <v>496</v>
      </c>
      <c r="P236" s="103" t="s">
        <v>497</v>
      </c>
      <c r="Q236" s="103" t="s">
        <v>498</v>
      </c>
      <c r="R236" s="103" t="s">
        <v>499</v>
      </c>
    </row>
    <row r="237" spans="1:18" ht="21.95" customHeight="1" x14ac:dyDescent="0.25">
      <c r="A237" s="142">
        <f>IF('Calendario B'!A67="","",'Calendario B'!A67)</f>
        <v>63</v>
      </c>
      <c r="B237" s="44" t="str">
        <f>IF('Calendario B'!B67="","",'Calendario B'!B67)</f>
        <v/>
      </c>
      <c r="C237" s="45" t="str">
        <f>IF('Calendario B'!C67="","",'Calendario B'!C67)</f>
        <v/>
      </c>
      <c r="D237" s="44" t="str">
        <f>IF('Calendario B'!D67="","",'Calendario B'!D67)</f>
        <v/>
      </c>
      <c r="E237" s="45" t="str">
        <f>IF('Calendario B'!E67="","",'Calendario B'!E67)</f>
        <v/>
      </c>
      <c r="F237" s="138" t="str">
        <f>IF('Calendario B'!F67="","",'Calendario B'!F67)</f>
        <v/>
      </c>
      <c r="G237" s="124"/>
      <c r="H237" s="124"/>
      <c r="I237" s="125"/>
      <c r="J237" s="202" t="str">
        <f>IF('Calendario B'!J67="","",'Calendario B'!J67)</f>
        <v/>
      </c>
      <c r="K237" s="201" t="s">
        <v>198</v>
      </c>
      <c r="L237" s="202" t="str">
        <f>IF('Calendario B'!L67="","",'Calendario B'!L67)</f>
        <v/>
      </c>
      <c r="M237" s="200"/>
      <c r="N237" s="200"/>
      <c r="O237" s="200"/>
      <c r="P237" s="200"/>
      <c r="Q237" s="200"/>
      <c r="R237" s="200"/>
    </row>
    <row r="238" spans="1:18" ht="15" customHeight="1" x14ac:dyDescent="0.25">
      <c r="A238" s="133"/>
      <c r="B238" s="136" t="str">
        <f>IF('Calendario B'!B68="","",'Calendario B'!B68)</f>
        <v/>
      </c>
      <c r="C238" s="124"/>
      <c r="D238" s="124"/>
      <c r="E238" s="124"/>
      <c r="F238" s="124"/>
      <c r="G238" s="124"/>
      <c r="H238" s="125"/>
      <c r="I238" s="45" t="str">
        <f>IF('Calendario B'!I68="","",'Calendario B'!I68)</f>
        <v/>
      </c>
      <c r="J238" s="133"/>
      <c r="K238" s="133"/>
      <c r="L238" s="133"/>
      <c r="M238" s="133"/>
      <c r="N238" s="133"/>
      <c r="O238" s="133"/>
      <c r="P238" s="133"/>
      <c r="Q238" s="133"/>
      <c r="R238" s="133"/>
    </row>
    <row r="239" spans="1:18" ht="14.1" customHeight="1" x14ac:dyDescent="0.25">
      <c r="A239" s="50" t="s">
        <v>193</v>
      </c>
      <c r="B239" s="141" t="s">
        <v>175</v>
      </c>
      <c r="C239" s="125"/>
      <c r="D239" s="141" t="s">
        <v>182</v>
      </c>
      <c r="E239" s="125"/>
      <c r="F239" s="50" t="s">
        <v>194</v>
      </c>
      <c r="G239" s="50" t="s">
        <v>195</v>
      </c>
      <c r="H239" s="141" t="s">
        <v>196</v>
      </c>
      <c r="I239" s="125"/>
      <c r="J239" s="141" t="s">
        <v>197</v>
      </c>
      <c r="K239" s="124"/>
      <c r="L239" s="125"/>
      <c r="M239" s="103" t="s">
        <v>494</v>
      </c>
      <c r="N239" s="103" t="s">
        <v>495</v>
      </c>
      <c r="O239" s="103" t="s">
        <v>496</v>
      </c>
      <c r="P239" s="103" t="s">
        <v>497</v>
      </c>
      <c r="Q239" s="103" t="s">
        <v>498</v>
      </c>
      <c r="R239" s="103" t="s">
        <v>499</v>
      </c>
    </row>
    <row r="240" spans="1:18" ht="21.95" customHeight="1" x14ac:dyDescent="0.25">
      <c r="A240" s="142">
        <f>IF('Calendario B'!A70="","",'Calendario B'!A70)</f>
        <v>64</v>
      </c>
      <c r="B240" s="44" t="str">
        <f>IF('Calendario B'!B70="","",'Calendario B'!B70)</f>
        <v/>
      </c>
      <c r="C240" s="45" t="str">
        <f>IF('Calendario B'!C70="","",'Calendario B'!C70)</f>
        <v/>
      </c>
      <c r="D240" s="44" t="str">
        <f>IF('Calendario B'!D70="","",'Calendario B'!D70)</f>
        <v/>
      </c>
      <c r="E240" s="45" t="str">
        <f>IF('Calendario B'!E70="","",'Calendario B'!E70)</f>
        <v/>
      </c>
      <c r="F240" s="138" t="str">
        <f>IF('Calendario B'!F70="","",'Calendario B'!F70)</f>
        <v/>
      </c>
      <c r="G240" s="124"/>
      <c r="H240" s="124"/>
      <c r="I240" s="125"/>
      <c r="J240" s="202" t="str">
        <f>IF('Calendario B'!J70="","",'Calendario B'!J70)</f>
        <v/>
      </c>
      <c r="K240" s="201" t="s">
        <v>198</v>
      </c>
      <c r="L240" s="202" t="str">
        <f>IF('Calendario B'!L70="","",'Calendario B'!L70)</f>
        <v/>
      </c>
      <c r="M240" s="200"/>
      <c r="N240" s="200"/>
      <c r="O240" s="200"/>
      <c r="P240" s="200"/>
      <c r="Q240" s="200"/>
      <c r="R240" s="200"/>
    </row>
    <row r="241" spans="1:18" ht="15" customHeight="1" x14ac:dyDescent="0.25">
      <c r="A241" s="133"/>
      <c r="B241" s="136" t="str">
        <f>IF('Calendario B'!B71="","",'Calendario B'!B71)</f>
        <v/>
      </c>
      <c r="C241" s="124"/>
      <c r="D241" s="124"/>
      <c r="E241" s="124"/>
      <c r="F241" s="124"/>
      <c r="G241" s="124"/>
      <c r="H241" s="125"/>
      <c r="I241" s="45" t="str">
        <f>IF('Calendario B'!I71="","",'Calendario B'!I71)</f>
        <v/>
      </c>
      <c r="J241" s="133"/>
      <c r="K241" s="133"/>
      <c r="L241" s="133"/>
      <c r="M241" s="133"/>
      <c r="N241" s="133"/>
      <c r="O241" s="133"/>
      <c r="P241" s="133"/>
      <c r="Q241" s="133"/>
      <c r="R241" s="133"/>
    </row>
    <row r="242" spans="1:18" ht="14.1" customHeight="1" x14ac:dyDescent="0.25">
      <c r="A242" s="50" t="s">
        <v>193</v>
      </c>
      <c r="B242" s="141" t="s">
        <v>175</v>
      </c>
      <c r="C242" s="125"/>
      <c r="D242" s="141" t="s">
        <v>182</v>
      </c>
      <c r="E242" s="125"/>
      <c r="F242" s="50" t="s">
        <v>194</v>
      </c>
      <c r="G242" s="50" t="s">
        <v>195</v>
      </c>
      <c r="H242" s="141" t="s">
        <v>196</v>
      </c>
      <c r="I242" s="125"/>
      <c r="J242" s="141" t="s">
        <v>197</v>
      </c>
      <c r="K242" s="124"/>
      <c r="L242" s="125"/>
      <c r="M242" s="103" t="s">
        <v>494</v>
      </c>
      <c r="N242" s="103" t="s">
        <v>495</v>
      </c>
      <c r="O242" s="103" t="s">
        <v>496</v>
      </c>
      <c r="P242" s="103" t="s">
        <v>497</v>
      </c>
      <c r="Q242" s="103" t="s">
        <v>498</v>
      </c>
      <c r="R242" s="103" t="s">
        <v>499</v>
      </c>
    </row>
    <row r="243" spans="1:18" ht="21.95" customHeight="1" x14ac:dyDescent="0.25">
      <c r="A243" s="142">
        <f>IF('Calendario B'!A73="","",'Calendario B'!A73)</f>
        <v>65</v>
      </c>
      <c r="B243" s="44" t="str">
        <f>IF('Calendario B'!B73="","",'Calendario B'!B73)</f>
        <v/>
      </c>
      <c r="C243" s="45" t="str">
        <f>IF('Calendario B'!C73="","",'Calendario B'!C73)</f>
        <v/>
      </c>
      <c r="D243" s="44" t="str">
        <f>IF('Calendario B'!D73="","",'Calendario B'!D73)</f>
        <v/>
      </c>
      <c r="E243" s="45" t="str">
        <f>IF('Calendario B'!E73="","",'Calendario B'!E73)</f>
        <v/>
      </c>
      <c r="F243" s="138" t="str">
        <f>IF('Calendario B'!F73="","",'Calendario B'!F73)</f>
        <v/>
      </c>
      <c r="G243" s="124"/>
      <c r="H243" s="124"/>
      <c r="I243" s="125"/>
      <c r="J243" s="202" t="str">
        <f>IF('Calendario B'!J73="","",'Calendario B'!J73)</f>
        <v/>
      </c>
      <c r="K243" s="201" t="s">
        <v>198</v>
      </c>
      <c r="L243" s="202" t="str">
        <f>IF('Calendario B'!L73="","",'Calendario B'!L73)</f>
        <v/>
      </c>
      <c r="M243" s="200"/>
      <c r="N243" s="200"/>
      <c r="O243" s="200"/>
      <c r="P243" s="200"/>
      <c r="Q243" s="200"/>
      <c r="R243" s="200"/>
    </row>
    <row r="244" spans="1:18" ht="15" customHeight="1" x14ac:dyDescent="0.25">
      <c r="A244" s="133"/>
      <c r="B244" s="136" t="str">
        <f>IF('Calendario B'!B74="","",'Calendario B'!B74)</f>
        <v/>
      </c>
      <c r="C244" s="124"/>
      <c r="D244" s="124"/>
      <c r="E244" s="124"/>
      <c r="F244" s="124"/>
      <c r="G244" s="124"/>
      <c r="H244" s="125"/>
      <c r="I244" s="45" t="str">
        <f>IF('Calendario B'!I74="","",'Calendario B'!I74)</f>
        <v/>
      </c>
      <c r="J244" s="133"/>
      <c r="K244" s="133"/>
      <c r="L244" s="133"/>
      <c r="M244" s="133"/>
      <c r="N244" s="133"/>
      <c r="O244" s="133"/>
      <c r="P244" s="133"/>
      <c r="Q244" s="133"/>
      <c r="R244" s="133"/>
    </row>
    <row r="246" spans="1:18" ht="20.100000000000001" customHeight="1" x14ac:dyDescent="0.25">
      <c r="A246" s="49" t="str">
        <f>IF('Calendario B'!A76="","",'Calendario B'!A76)</f>
        <v>5B</v>
      </c>
      <c r="B246" s="143" t="str">
        <f>IF('Calendario B'!B76="","",'Calendario B'!B76)</f>
        <v>GIORNATA V - GIRONE B</v>
      </c>
      <c r="C246" s="124"/>
      <c r="D246" s="124"/>
      <c r="E246" s="124"/>
      <c r="F246" s="124"/>
      <c r="G246" s="124"/>
      <c r="H246" s="124"/>
      <c r="I246" s="124"/>
      <c r="J246" s="124"/>
      <c r="K246" s="124"/>
      <c r="L246" s="125"/>
      <c r="M246" s="212" t="s">
        <v>492</v>
      </c>
      <c r="N246" s="124"/>
      <c r="O246" s="125"/>
      <c r="P246" s="212" t="s">
        <v>493</v>
      </c>
      <c r="Q246" s="124"/>
      <c r="R246" s="125"/>
    </row>
    <row r="247" spans="1:18" ht="14.1" customHeight="1" x14ac:dyDescent="0.25">
      <c r="A247" s="50" t="s">
        <v>193</v>
      </c>
      <c r="B247" s="141" t="s">
        <v>175</v>
      </c>
      <c r="C247" s="125"/>
      <c r="D247" s="141" t="s">
        <v>182</v>
      </c>
      <c r="E247" s="125"/>
      <c r="F247" s="50" t="s">
        <v>194</v>
      </c>
      <c r="G247" s="50" t="s">
        <v>195</v>
      </c>
      <c r="H247" s="141" t="s">
        <v>196</v>
      </c>
      <c r="I247" s="125"/>
      <c r="J247" s="141" t="s">
        <v>197</v>
      </c>
      <c r="K247" s="124"/>
      <c r="L247" s="125"/>
      <c r="M247" s="103" t="s">
        <v>494</v>
      </c>
      <c r="N247" s="103" t="s">
        <v>495</v>
      </c>
      <c r="O247" s="103" t="s">
        <v>496</v>
      </c>
      <c r="P247" s="103" t="s">
        <v>497</v>
      </c>
      <c r="Q247" s="103" t="s">
        <v>498</v>
      </c>
      <c r="R247" s="103" t="s">
        <v>499</v>
      </c>
    </row>
    <row r="248" spans="1:18" ht="21.95" customHeight="1" x14ac:dyDescent="0.25">
      <c r="A248" s="142">
        <f>IF('Calendario B'!A78="","",'Calendario B'!A78)</f>
        <v>66</v>
      </c>
      <c r="B248" s="44" t="str">
        <f>IF('Calendario B'!B78="","",'Calendario B'!B78)</f>
        <v/>
      </c>
      <c r="C248" s="45" t="str">
        <f>IF('Calendario B'!C78="","",'Calendario B'!C78)</f>
        <v/>
      </c>
      <c r="D248" s="44" t="str">
        <f>IF('Calendario B'!D78="","",'Calendario B'!D78)</f>
        <v/>
      </c>
      <c r="E248" s="45" t="str">
        <f>IF('Calendario B'!E78="","",'Calendario B'!E78)</f>
        <v/>
      </c>
      <c r="F248" s="138" t="str">
        <f>IF('Calendario B'!F78="","",'Calendario B'!F78)</f>
        <v/>
      </c>
      <c r="G248" s="124"/>
      <c r="H248" s="124"/>
      <c r="I248" s="125"/>
      <c r="J248" s="202" t="str">
        <f>IF('Calendario B'!J78="","",'Calendario B'!J78)</f>
        <v/>
      </c>
      <c r="K248" s="201" t="s">
        <v>198</v>
      </c>
      <c r="L248" s="202" t="str">
        <f>IF('Calendario B'!L78="","",'Calendario B'!L78)</f>
        <v/>
      </c>
      <c r="M248" s="200"/>
      <c r="N248" s="200"/>
      <c r="O248" s="200"/>
      <c r="P248" s="200"/>
      <c r="Q248" s="200"/>
      <c r="R248" s="200"/>
    </row>
    <row r="249" spans="1:18" ht="15" customHeight="1" x14ac:dyDescent="0.25">
      <c r="A249" s="133"/>
      <c r="B249" s="136" t="str">
        <f>IF('Calendario B'!B79="","",'Calendario B'!B79)</f>
        <v/>
      </c>
      <c r="C249" s="124"/>
      <c r="D249" s="124"/>
      <c r="E249" s="124"/>
      <c r="F249" s="124"/>
      <c r="G249" s="124"/>
      <c r="H249" s="125"/>
      <c r="I249" s="45" t="str">
        <f>IF('Calendario B'!I79="","",'Calendario B'!I79)</f>
        <v/>
      </c>
      <c r="J249" s="133"/>
      <c r="K249" s="133"/>
      <c r="L249" s="133"/>
      <c r="M249" s="133"/>
      <c r="N249" s="133"/>
      <c r="O249" s="133"/>
      <c r="P249" s="133"/>
      <c r="Q249" s="133"/>
      <c r="R249" s="133"/>
    </row>
    <row r="250" spans="1:18" ht="14.1" customHeight="1" x14ac:dyDescent="0.25">
      <c r="A250" s="50" t="s">
        <v>193</v>
      </c>
      <c r="B250" s="141" t="s">
        <v>175</v>
      </c>
      <c r="C250" s="125"/>
      <c r="D250" s="141" t="s">
        <v>182</v>
      </c>
      <c r="E250" s="125"/>
      <c r="F250" s="50" t="s">
        <v>194</v>
      </c>
      <c r="G250" s="50" t="s">
        <v>195</v>
      </c>
      <c r="H250" s="141" t="s">
        <v>196</v>
      </c>
      <c r="I250" s="125"/>
      <c r="J250" s="141" t="s">
        <v>197</v>
      </c>
      <c r="K250" s="124"/>
      <c r="L250" s="125"/>
      <c r="M250" s="103" t="s">
        <v>494</v>
      </c>
      <c r="N250" s="103" t="s">
        <v>495</v>
      </c>
      <c r="O250" s="103" t="s">
        <v>496</v>
      </c>
      <c r="P250" s="103" t="s">
        <v>497</v>
      </c>
      <c r="Q250" s="103" t="s">
        <v>498</v>
      </c>
      <c r="R250" s="103" t="s">
        <v>499</v>
      </c>
    </row>
    <row r="251" spans="1:18" ht="21.95" customHeight="1" x14ac:dyDescent="0.25">
      <c r="A251" s="142">
        <f>IF('Calendario B'!A81="","",'Calendario B'!A81)</f>
        <v>67</v>
      </c>
      <c r="B251" s="44" t="str">
        <f>IF('Calendario B'!B81="","",'Calendario B'!B81)</f>
        <v/>
      </c>
      <c r="C251" s="45" t="str">
        <f>IF('Calendario B'!C81="","",'Calendario B'!C81)</f>
        <v/>
      </c>
      <c r="D251" s="44" t="str">
        <f>IF('Calendario B'!D81="","",'Calendario B'!D81)</f>
        <v/>
      </c>
      <c r="E251" s="45" t="str">
        <f>IF('Calendario B'!E81="","",'Calendario B'!E81)</f>
        <v/>
      </c>
      <c r="F251" s="138" t="str">
        <f>IF('Calendario B'!F81="","",'Calendario B'!F81)</f>
        <v/>
      </c>
      <c r="G251" s="124"/>
      <c r="H251" s="124"/>
      <c r="I251" s="125"/>
      <c r="J251" s="202" t="str">
        <f>IF('Calendario B'!J81="","",'Calendario B'!J81)</f>
        <v/>
      </c>
      <c r="K251" s="201" t="s">
        <v>198</v>
      </c>
      <c r="L251" s="202" t="str">
        <f>IF('Calendario B'!L81="","",'Calendario B'!L81)</f>
        <v/>
      </c>
      <c r="M251" s="200"/>
      <c r="N251" s="200"/>
      <c r="O251" s="200"/>
      <c r="P251" s="200"/>
      <c r="Q251" s="200"/>
      <c r="R251" s="200"/>
    </row>
    <row r="252" spans="1:18" ht="15" customHeight="1" x14ac:dyDescent="0.25">
      <c r="A252" s="133"/>
      <c r="B252" s="136" t="str">
        <f>IF('Calendario B'!B82="","",'Calendario B'!B82)</f>
        <v/>
      </c>
      <c r="C252" s="124"/>
      <c r="D252" s="124"/>
      <c r="E252" s="124"/>
      <c r="F252" s="124"/>
      <c r="G252" s="124"/>
      <c r="H252" s="125"/>
      <c r="I252" s="45" t="str">
        <f>IF('Calendario B'!I82="","",'Calendario B'!I82)</f>
        <v/>
      </c>
      <c r="J252" s="133"/>
      <c r="K252" s="133"/>
      <c r="L252" s="133"/>
      <c r="M252" s="133"/>
      <c r="N252" s="133"/>
      <c r="O252" s="133"/>
      <c r="P252" s="133"/>
      <c r="Q252" s="133"/>
      <c r="R252" s="133"/>
    </row>
    <row r="253" spans="1:18" ht="14.1" customHeight="1" x14ac:dyDescent="0.25">
      <c r="A253" s="50" t="s">
        <v>193</v>
      </c>
      <c r="B253" s="141" t="s">
        <v>175</v>
      </c>
      <c r="C253" s="125"/>
      <c r="D253" s="141" t="s">
        <v>182</v>
      </c>
      <c r="E253" s="125"/>
      <c r="F253" s="50" t="s">
        <v>194</v>
      </c>
      <c r="G253" s="50" t="s">
        <v>195</v>
      </c>
      <c r="H253" s="141" t="s">
        <v>196</v>
      </c>
      <c r="I253" s="125"/>
      <c r="J253" s="141" t="s">
        <v>197</v>
      </c>
      <c r="K253" s="124"/>
      <c r="L253" s="125"/>
      <c r="M253" s="103" t="s">
        <v>494</v>
      </c>
      <c r="N253" s="103" t="s">
        <v>495</v>
      </c>
      <c r="O253" s="103" t="s">
        <v>496</v>
      </c>
      <c r="P253" s="103" t="s">
        <v>497</v>
      </c>
      <c r="Q253" s="103" t="s">
        <v>498</v>
      </c>
      <c r="R253" s="103" t="s">
        <v>499</v>
      </c>
    </row>
    <row r="254" spans="1:18" ht="21.95" customHeight="1" x14ac:dyDescent="0.25">
      <c r="A254" s="142">
        <f>IF('Calendario B'!A84="","",'Calendario B'!A84)</f>
        <v>68</v>
      </c>
      <c r="B254" s="44" t="str">
        <f>IF('Calendario B'!B84="","",'Calendario B'!B84)</f>
        <v/>
      </c>
      <c r="C254" s="45" t="str">
        <f>IF('Calendario B'!C84="","",'Calendario B'!C84)</f>
        <v/>
      </c>
      <c r="D254" s="44" t="str">
        <f>IF('Calendario B'!D84="","",'Calendario B'!D84)</f>
        <v/>
      </c>
      <c r="E254" s="45" t="str">
        <f>IF('Calendario B'!E84="","",'Calendario B'!E84)</f>
        <v/>
      </c>
      <c r="F254" s="138" t="str">
        <f>IF('Calendario B'!F84="","",'Calendario B'!F84)</f>
        <v/>
      </c>
      <c r="G254" s="124"/>
      <c r="H254" s="124"/>
      <c r="I254" s="125"/>
      <c r="J254" s="202" t="str">
        <f>IF('Calendario B'!J84="","",'Calendario B'!J84)</f>
        <v/>
      </c>
      <c r="K254" s="201" t="s">
        <v>198</v>
      </c>
      <c r="L254" s="202" t="str">
        <f>IF('Calendario B'!L84="","",'Calendario B'!L84)</f>
        <v/>
      </c>
      <c r="M254" s="200"/>
      <c r="N254" s="200"/>
      <c r="O254" s="200"/>
      <c r="P254" s="200"/>
      <c r="Q254" s="200"/>
      <c r="R254" s="200"/>
    </row>
    <row r="255" spans="1:18" ht="15" customHeight="1" x14ac:dyDescent="0.25">
      <c r="A255" s="133"/>
      <c r="B255" s="136" t="str">
        <f>IF('Calendario B'!B85="","",'Calendario B'!B85)</f>
        <v/>
      </c>
      <c r="C255" s="124"/>
      <c r="D255" s="124"/>
      <c r="E255" s="124"/>
      <c r="F255" s="124"/>
      <c r="G255" s="124"/>
      <c r="H255" s="125"/>
      <c r="I255" s="45" t="str">
        <f>IF('Calendario B'!I85="","",'Calendario B'!I85)</f>
        <v/>
      </c>
      <c r="J255" s="133"/>
      <c r="K255" s="133"/>
      <c r="L255" s="133"/>
      <c r="M255" s="133"/>
      <c r="N255" s="133"/>
      <c r="O255" s="133"/>
      <c r="P255" s="133"/>
      <c r="Q255" s="133"/>
      <c r="R255" s="133"/>
    </row>
    <row r="256" spans="1:18" ht="14.1" customHeight="1" x14ac:dyDescent="0.25">
      <c r="A256" s="50" t="s">
        <v>193</v>
      </c>
      <c r="B256" s="141" t="s">
        <v>175</v>
      </c>
      <c r="C256" s="125"/>
      <c r="D256" s="141" t="s">
        <v>182</v>
      </c>
      <c r="E256" s="125"/>
      <c r="F256" s="50" t="s">
        <v>194</v>
      </c>
      <c r="G256" s="50" t="s">
        <v>195</v>
      </c>
      <c r="H256" s="141" t="s">
        <v>196</v>
      </c>
      <c r="I256" s="125"/>
      <c r="J256" s="141" t="s">
        <v>197</v>
      </c>
      <c r="K256" s="124"/>
      <c r="L256" s="125"/>
      <c r="M256" s="103" t="s">
        <v>494</v>
      </c>
      <c r="N256" s="103" t="s">
        <v>495</v>
      </c>
      <c r="O256" s="103" t="s">
        <v>496</v>
      </c>
      <c r="P256" s="103" t="s">
        <v>497</v>
      </c>
      <c r="Q256" s="103" t="s">
        <v>498</v>
      </c>
      <c r="R256" s="103" t="s">
        <v>499</v>
      </c>
    </row>
    <row r="257" spans="1:18" ht="21.95" customHeight="1" x14ac:dyDescent="0.25">
      <c r="A257" s="142">
        <f>IF('Calendario B'!A87="","",'Calendario B'!A87)</f>
        <v>69</v>
      </c>
      <c r="B257" s="44" t="str">
        <f>IF('Calendario B'!B87="","",'Calendario B'!B87)</f>
        <v/>
      </c>
      <c r="C257" s="45" t="str">
        <f>IF('Calendario B'!C87="","",'Calendario B'!C87)</f>
        <v/>
      </c>
      <c r="D257" s="44" t="str">
        <f>IF('Calendario B'!D87="","",'Calendario B'!D87)</f>
        <v/>
      </c>
      <c r="E257" s="45" t="str">
        <f>IF('Calendario B'!E87="","",'Calendario B'!E87)</f>
        <v/>
      </c>
      <c r="F257" s="138" t="str">
        <f>IF('Calendario B'!F87="","",'Calendario B'!F87)</f>
        <v/>
      </c>
      <c r="G257" s="124"/>
      <c r="H257" s="124"/>
      <c r="I257" s="125"/>
      <c r="J257" s="202" t="str">
        <f>IF('Calendario B'!J87="","",'Calendario B'!J87)</f>
        <v/>
      </c>
      <c r="K257" s="201" t="s">
        <v>198</v>
      </c>
      <c r="L257" s="202" t="str">
        <f>IF('Calendario B'!L87="","",'Calendario B'!L87)</f>
        <v/>
      </c>
      <c r="M257" s="200"/>
      <c r="N257" s="200"/>
      <c r="O257" s="200"/>
      <c r="P257" s="200"/>
      <c r="Q257" s="200"/>
      <c r="R257" s="200"/>
    </row>
    <row r="258" spans="1:18" ht="15" customHeight="1" x14ac:dyDescent="0.25">
      <c r="A258" s="133"/>
      <c r="B258" s="136" t="str">
        <f>IF('Calendario B'!B88="","",'Calendario B'!B88)</f>
        <v/>
      </c>
      <c r="C258" s="124"/>
      <c r="D258" s="124"/>
      <c r="E258" s="124"/>
      <c r="F258" s="124"/>
      <c r="G258" s="124"/>
      <c r="H258" s="125"/>
      <c r="I258" s="45" t="str">
        <f>IF('Calendario B'!I88="","",'Calendario B'!I88)</f>
        <v/>
      </c>
      <c r="J258" s="133"/>
      <c r="K258" s="133"/>
      <c r="L258" s="133"/>
      <c r="M258" s="133"/>
      <c r="N258" s="133"/>
      <c r="O258" s="133"/>
      <c r="P258" s="133"/>
      <c r="Q258" s="133"/>
      <c r="R258" s="133"/>
    </row>
    <row r="259" spans="1:18" ht="14.1" customHeight="1" x14ac:dyDescent="0.25">
      <c r="A259" s="50" t="s">
        <v>193</v>
      </c>
      <c r="B259" s="141" t="s">
        <v>175</v>
      </c>
      <c r="C259" s="125"/>
      <c r="D259" s="141" t="s">
        <v>182</v>
      </c>
      <c r="E259" s="125"/>
      <c r="F259" s="50" t="s">
        <v>194</v>
      </c>
      <c r="G259" s="50" t="s">
        <v>195</v>
      </c>
      <c r="H259" s="141" t="s">
        <v>196</v>
      </c>
      <c r="I259" s="125"/>
      <c r="J259" s="141" t="s">
        <v>197</v>
      </c>
      <c r="K259" s="124"/>
      <c r="L259" s="125"/>
      <c r="M259" s="103" t="s">
        <v>494</v>
      </c>
      <c r="N259" s="103" t="s">
        <v>495</v>
      </c>
      <c r="O259" s="103" t="s">
        <v>496</v>
      </c>
      <c r="P259" s="103" t="s">
        <v>497</v>
      </c>
      <c r="Q259" s="103" t="s">
        <v>498</v>
      </c>
      <c r="R259" s="103" t="s">
        <v>499</v>
      </c>
    </row>
    <row r="260" spans="1:18" ht="21.95" customHeight="1" x14ac:dyDescent="0.25">
      <c r="A260" s="142">
        <f>IF('Calendario B'!A90="","",'Calendario B'!A90)</f>
        <v>70</v>
      </c>
      <c r="B260" s="44" t="str">
        <f>IF('Calendario B'!B90="","",'Calendario B'!B90)</f>
        <v/>
      </c>
      <c r="C260" s="45" t="str">
        <f>IF('Calendario B'!C90="","",'Calendario B'!C90)</f>
        <v/>
      </c>
      <c r="D260" s="44" t="str">
        <f>IF('Calendario B'!D90="","",'Calendario B'!D90)</f>
        <v/>
      </c>
      <c r="E260" s="45" t="str">
        <f>IF('Calendario B'!E90="","",'Calendario B'!E90)</f>
        <v/>
      </c>
      <c r="F260" s="138" t="str">
        <f>IF('Calendario B'!F90="","",'Calendario B'!F90)</f>
        <v/>
      </c>
      <c r="G260" s="124"/>
      <c r="H260" s="124"/>
      <c r="I260" s="125"/>
      <c r="J260" s="202" t="str">
        <f>IF('Calendario B'!J90="","",'Calendario B'!J90)</f>
        <v/>
      </c>
      <c r="K260" s="201" t="s">
        <v>198</v>
      </c>
      <c r="L260" s="202" t="str">
        <f>IF('Calendario B'!L90="","",'Calendario B'!L90)</f>
        <v/>
      </c>
      <c r="M260" s="200"/>
      <c r="N260" s="200"/>
      <c r="O260" s="200"/>
      <c r="P260" s="200"/>
      <c r="Q260" s="200"/>
      <c r="R260" s="200"/>
    </row>
    <row r="261" spans="1:18" ht="15" customHeight="1" x14ac:dyDescent="0.25">
      <c r="A261" s="133"/>
      <c r="B261" s="136" t="str">
        <f>IF('Calendario B'!B91="","",'Calendario B'!B91)</f>
        <v/>
      </c>
      <c r="C261" s="124"/>
      <c r="D261" s="124"/>
      <c r="E261" s="124"/>
      <c r="F261" s="124"/>
      <c r="G261" s="124"/>
      <c r="H261" s="125"/>
      <c r="I261" s="45" t="str">
        <f>IF('Calendario B'!I91="","",'Calendario B'!I91)</f>
        <v/>
      </c>
      <c r="J261" s="133"/>
      <c r="K261" s="133"/>
      <c r="L261" s="133"/>
      <c r="M261" s="133"/>
      <c r="N261" s="133"/>
      <c r="O261" s="133"/>
      <c r="P261" s="133"/>
      <c r="Q261" s="133"/>
      <c r="R261" s="133"/>
    </row>
    <row r="263" spans="1:18" ht="20.100000000000001" customHeight="1" x14ac:dyDescent="0.25">
      <c r="A263" s="49" t="str">
        <f>IF('Calendario B'!A93="","",'Calendario B'!A93)</f>
        <v>6B</v>
      </c>
      <c r="B263" s="143" t="str">
        <f>IF('Calendario B'!B93="","",'Calendario B'!B93)</f>
        <v>GIORNATA VI - GIRONE B</v>
      </c>
      <c r="C263" s="124"/>
      <c r="D263" s="124"/>
      <c r="E263" s="124"/>
      <c r="F263" s="124"/>
      <c r="G263" s="124"/>
      <c r="H263" s="124"/>
      <c r="I263" s="124"/>
      <c r="J263" s="124"/>
      <c r="K263" s="124"/>
      <c r="L263" s="125"/>
      <c r="M263" s="212" t="s">
        <v>492</v>
      </c>
      <c r="N263" s="124"/>
      <c r="O263" s="125"/>
      <c r="P263" s="212" t="s">
        <v>493</v>
      </c>
      <c r="Q263" s="124"/>
      <c r="R263" s="125"/>
    </row>
    <row r="264" spans="1:18" ht="14.1" customHeight="1" x14ac:dyDescent="0.25">
      <c r="A264" s="50" t="s">
        <v>193</v>
      </c>
      <c r="B264" s="141" t="s">
        <v>175</v>
      </c>
      <c r="C264" s="125"/>
      <c r="D264" s="141" t="s">
        <v>182</v>
      </c>
      <c r="E264" s="125"/>
      <c r="F264" s="50" t="s">
        <v>194</v>
      </c>
      <c r="G264" s="50" t="s">
        <v>195</v>
      </c>
      <c r="H264" s="141" t="s">
        <v>196</v>
      </c>
      <c r="I264" s="125"/>
      <c r="J264" s="141" t="s">
        <v>197</v>
      </c>
      <c r="K264" s="124"/>
      <c r="L264" s="125"/>
      <c r="M264" s="103" t="s">
        <v>494</v>
      </c>
      <c r="N264" s="103" t="s">
        <v>495</v>
      </c>
      <c r="O264" s="103" t="s">
        <v>496</v>
      </c>
      <c r="P264" s="103" t="s">
        <v>497</v>
      </c>
      <c r="Q264" s="103" t="s">
        <v>498</v>
      </c>
      <c r="R264" s="103" t="s">
        <v>499</v>
      </c>
    </row>
    <row r="265" spans="1:18" ht="21.95" customHeight="1" x14ac:dyDescent="0.25">
      <c r="A265" s="142">
        <f>IF('Calendario B'!A95="","",'Calendario B'!A95)</f>
        <v>71</v>
      </c>
      <c r="B265" s="44" t="str">
        <f>IF('Calendario B'!B95="","",'Calendario B'!B95)</f>
        <v/>
      </c>
      <c r="C265" s="45" t="str">
        <f>IF('Calendario B'!C95="","",'Calendario B'!C95)</f>
        <v/>
      </c>
      <c r="D265" s="44" t="str">
        <f>IF('Calendario B'!D95="","",'Calendario B'!D95)</f>
        <v/>
      </c>
      <c r="E265" s="45" t="str">
        <f>IF('Calendario B'!E95="","",'Calendario B'!E95)</f>
        <v/>
      </c>
      <c r="F265" s="138" t="str">
        <f>IF('Calendario B'!F95="","",'Calendario B'!F95)</f>
        <v/>
      </c>
      <c r="G265" s="124"/>
      <c r="H265" s="124"/>
      <c r="I265" s="125"/>
      <c r="J265" s="202" t="str">
        <f>IF('Calendario B'!J95="","",'Calendario B'!J95)</f>
        <v/>
      </c>
      <c r="K265" s="201" t="s">
        <v>198</v>
      </c>
      <c r="L265" s="202" t="str">
        <f>IF('Calendario B'!L95="","",'Calendario B'!L95)</f>
        <v/>
      </c>
      <c r="M265" s="200"/>
      <c r="N265" s="200"/>
      <c r="O265" s="200"/>
      <c r="P265" s="200"/>
      <c r="Q265" s="200"/>
      <c r="R265" s="200"/>
    </row>
    <row r="266" spans="1:18" ht="15" customHeight="1" x14ac:dyDescent="0.25">
      <c r="A266" s="133"/>
      <c r="B266" s="136" t="str">
        <f>IF('Calendario B'!B96="","",'Calendario B'!B96)</f>
        <v/>
      </c>
      <c r="C266" s="124"/>
      <c r="D266" s="124"/>
      <c r="E266" s="124"/>
      <c r="F266" s="124"/>
      <c r="G266" s="124"/>
      <c r="H266" s="125"/>
      <c r="I266" s="45" t="str">
        <f>IF('Calendario B'!I96="","",'Calendario B'!I96)</f>
        <v/>
      </c>
      <c r="J266" s="133"/>
      <c r="K266" s="133"/>
      <c r="L266" s="133"/>
      <c r="M266" s="133"/>
      <c r="N266" s="133"/>
      <c r="O266" s="133"/>
      <c r="P266" s="133"/>
      <c r="Q266" s="133"/>
      <c r="R266" s="133"/>
    </row>
    <row r="267" spans="1:18" ht="14.1" customHeight="1" x14ac:dyDescent="0.25">
      <c r="A267" s="50" t="s">
        <v>193</v>
      </c>
      <c r="B267" s="141" t="s">
        <v>175</v>
      </c>
      <c r="C267" s="125"/>
      <c r="D267" s="141" t="s">
        <v>182</v>
      </c>
      <c r="E267" s="125"/>
      <c r="F267" s="50" t="s">
        <v>194</v>
      </c>
      <c r="G267" s="50" t="s">
        <v>195</v>
      </c>
      <c r="H267" s="141" t="s">
        <v>196</v>
      </c>
      <c r="I267" s="125"/>
      <c r="J267" s="141" t="s">
        <v>197</v>
      </c>
      <c r="K267" s="124"/>
      <c r="L267" s="125"/>
      <c r="M267" s="103" t="s">
        <v>494</v>
      </c>
      <c r="N267" s="103" t="s">
        <v>495</v>
      </c>
      <c r="O267" s="103" t="s">
        <v>496</v>
      </c>
      <c r="P267" s="103" t="s">
        <v>497</v>
      </c>
      <c r="Q267" s="103" t="s">
        <v>498</v>
      </c>
      <c r="R267" s="103" t="s">
        <v>499</v>
      </c>
    </row>
    <row r="268" spans="1:18" ht="21.95" customHeight="1" x14ac:dyDescent="0.25">
      <c r="A268" s="142">
        <f>IF('Calendario B'!A98="","",'Calendario B'!A98)</f>
        <v>72</v>
      </c>
      <c r="B268" s="44" t="str">
        <f>IF('Calendario B'!B98="","",'Calendario B'!B98)</f>
        <v/>
      </c>
      <c r="C268" s="45" t="str">
        <f>IF('Calendario B'!C98="","",'Calendario B'!C98)</f>
        <v/>
      </c>
      <c r="D268" s="44" t="str">
        <f>IF('Calendario B'!D98="","",'Calendario B'!D98)</f>
        <v/>
      </c>
      <c r="E268" s="45" t="str">
        <f>IF('Calendario B'!E98="","",'Calendario B'!E98)</f>
        <v/>
      </c>
      <c r="F268" s="138" t="str">
        <f>IF('Calendario B'!F98="","",'Calendario B'!F98)</f>
        <v/>
      </c>
      <c r="G268" s="124"/>
      <c r="H268" s="124"/>
      <c r="I268" s="125"/>
      <c r="J268" s="202" t="str">
        <f>IF('Calendario B'!J98="","",'Calendario B'!J98)</f>
        <v/>
      </c>
      <c r="K268" s="201" t="s">
        <v>198</v>
      </c>
      <c r="L268" s="202" t="str">
        <f>IF('Calendario B'!L98="","",'Calendario B'!L98)</f>
        <v/>
      </c>
      <c r="M268" s="200"/>
      <c r="N268" s="200"/>
      <c r="O268" s="200"/>
      <c r="P268" s="200"/>
      <c r="Q268" s="200"/>
      <c r="R268" s="200"/>
    </row>
    <row r="269" spans="1:18" ht="15" customHeight="1" x14ac:dyDescent="0.25">
      <c r="A269" s="133"/>
      <c r="B269" s="136" t="str">
        <f>IF('Calendario B'!B99="","",'Calendario B'!B99)</f>
        <v/>
      </c>
      <c r="C269" s="124"/>
      <c r="D269" s="124"/>
      <c r="E269" s="124"/>
      <c r="F269" s="124"/>
      <c r="G269" s="124"/>
      <c r="H269" s="125"/>
      <c r="I269" s="45" t="str">
        <f>IF('Calendario B'!I99="","",'Calendario B'!I99)</f>
        <v/>
      </c>
      <c r="J269" s="133"/>
      <c r="K269" s="133"/>
      <c r="L269" s="133"/>
      <c r="M269" s="133"/>
      <c r="N269" s="133"/>
      <c r="O269" s="133"/>
      <c r="P269" s="133"/>
      <c r="Q269" s="133"/>
      <c r="R269" s="133"/>
    </row>
    <row r="270" spans="1:18" ht="14.1" customHeight="1" x14ac:dyDescent="0.25">
      <c r="A270" s="50" t="s">
        <v>193</v>
      </c>
      <c r="B270" s="141" t="s">
        <v>175</v>
      </c>
      <c r="C270" s="125"/>
      <c r="D270" s="141" t="s">
        <v>182</v>
      </c>
      <c r="E270" s="125"/>
      <c r="F270" s="50" t="s">
        <v>194</v>
      </c>
      <c r="G270" s="50" t="s">
        <v>195</v>
      </c>
      <c r="H270" s="141" t="s">
        <v>196</v>
      </c>
      <c r="I270" s="125"/>
      <c r="J270" s="141" t="s">
        <v>197</v>
      </c>
      <c r="K270" s="124"/>
      <c r="L270" s="125"/>
      <c r="M270" s="103" t="s">
        <v>494</v>
      </c>
      <c r="N270" s="103" t="s">
        <v>495</v>
      </c>
      <c r="O270" s="103" t="s">
        <v>496</v>
      </c>
      <c r="P270" s="103" t="s">
        <v>497</v>
      </c>
      <c r="Q270" s="103" t="s">
        <v>498</v>
      </c>
      <c r="R270" s="103" t="s">
        <v>499</v>
      </c>
    </row>
    <row r="271" spans="1:18" ht="21.95" customHeight="1" x14ac:dyDescent="0.25">
      <c r="A271" s="142">
        <f>IF('Calendario B'!A101="","",'Calendario B'!A101)</f>
        <v>73</v>
      </c>
      <c r="B271" s="44" t="str">
        <f>IF('Calendario B'!B101="","",'Calendario B'!B101)</f>
        <v/>
      </c>
      <c r="C271" s="45" t="str">
        <f>IF('Calendario B'!C101="","",'Calendario B'!C101)</f>
        <v/>
      </c>
      <c r="D271" s="44" t="str">
        <f>IF('Calendario B'!D101="","",'Calendario B'!D101)</f>
        <v/>
      </c>
      <c r="E271" s="45" t="str">
        <f>IF('Calendario B'!E101="","",'Calendario B'!E101)</f>
        <v/>
      </c>
      <c r="F271" s="138" t="str">
        <f>IF('Calendario B'!F101="","",'Calendario B'!F101)</f>
        <v/>
      </c>
      <c r="G271" s="124"/>
      <c r="H271" s="124"/>
      <c r="I271" s="125"/>
      <c r="J271" s="202" t="str">
        <f>IF('Calendario B'!J101="","",'Calendario B'!J101)</f>
        <v/>
      </c>
      <c r="K271" s="201" t="s">
        <v>198</v>
      </c>
      <c r="L271" s="202" t="str">
        <f>IF('Calendario B'!L101="","",'Calendario B'!L101)</f>
        <v/>
      </c>
      <c r="M271" s="200"/>
      <c r="N271" s="200"/>
      <c r="O271" s="200"/>
      <c r="P271" s="200"/>
      <c r="Q271" s="200"/>
      <c r="R271" s="200"/>
    </row>
    <row r="272" spans="1:18" ht="15" customHeight="1" x14ac:dyDescent="0.25">
      <c r="A272" s="133"/>
      <c r="B272" s="136" t="str">
        <f>IF('Calendario B'!B102="","",'Calendario B'!B102)</f>
        <v/>
      </c>
      <c r="C272" s="124"/>
      <c r="D272" s="124"/>
      <c r="E272" s="124"/>
      <c r="F272" s="124"/>
      <c r="G272" s="124"/>
      <c r="H272" s="125"/>
      <c r="I272" s="45" t="str">
        <f>IF('Calendario B'!I102="","",'Calendario B'!I102)</f>
        <v/>
      </c>
      <c r="J272" s="133"/>
      <c r="K272" s="133"/>
      <c r="L272" s="133"/>
      <c r="M272" s="133"/>
      <c r="N272" s="133"/>
      <c r="O272" s="133"/>
      <c r="P272" s="133"/>
      <c r="Q272" s="133"/>
      <c r="R272" s="133"/>
    </row>
    <row r="273" spans="1:18" ht="14.1" customHeight="1" x14ac:dyDescent="0.25">
      <c r="A273" s="50" t="s">
        <v>193</v>
      </c>
      <c r="B273" s="141" t="s">
        <v>175</v>
      </c>
      <c r="C273" s="125"/>
      <c r="D273" s="141" t="s">
        <v>182</v>
      </c>
      <c r="E273" s="125"/>
      <c r="F273" s="50" t="s">
        <v>194</v>
      </c>
      <c r="G273" s="50" t="s">
        <v>195</v>
      </c>
      <c r="H273" s="141" t="s">
        <v>196</v>
      </c>
      <c r="I273" s="125"/>
      <c r="J273" s="141" t="s">
        <v>197</v>
      </c>
      <c r="K273" s="124"/>
      <c r="L273" s="125"/>
      <c r="M273" s="103" t="s">
        <v>494</v>
      </c>
      <c r="N273" s="103" t="s">
        <v>495</v>
      </c>
      <c r="O273" s="103" t="s">
        <v>496</v>
      </c>
      <c r="P273" s="103" t="s">
        <v>497</v>
      </c>
      <c r="Q273" s="103" t="s">
        <v>498</v>
      </c>
      <c r="R273" s="103" t="s">
        <v>499</v>
      </c>
    </row>
    <row r="274" spans="1:18" ht="21.95" customHeight="1" x14ac:dyDescent="0.25">
      <c r="A274" s="142">
        <f>IF('Calendario B'!A104="","",'Calendario B'!A104)</f>
        <v>74</v>
      </c>
      <c r="B274" s="44" t="str">
        <f>IF('Calendario B'!B104="","",'Calendario B'!B104)</f>
        <v/>
      </c>
      <c r="C274" s="45" t="str">
        <f>IF('Calendario B'!C104="","",'Calendario B'!C104)</f>
        <v/>
      </c>
      <c r="D274" s="44" t="str">
        <f>IF('Calendario B'!D104="","",'Calendario B'!D104)</f>
        <v/>
      </c>
      <c r="E274" s="45" t="str">
        <f>IF('Calendario B'!E104="","",'Calendario B'!E104)</f>
        <v/>
      </c>
      <c r="F274" s="138" t="str">
        <f>IF('Calendario B'!F104="","",'Calendario B'!F104)</f>
        <v/>
      </c>
      <c r="G274" s="124"/>
      <c r="H274" s="124"/>
      <c r="I274" s="125"/>
      <c r="J274" s="202" t="str">
        <f>IF('Calendario B'!J104="","",'Calendario B'!J104)</f>
        <v/>
      </c>
      <c r="K274" s="201" t="s">
        <v>198</v>
      </c>
      <c r="L274" s="202" t="str">
        <f>IF('Calendario B'!L104="","",'Calendario B'!L104)</f>
        <v/>
      </c>
      <c r="M274" s="200"/>
      <c r="N274" s="200"/>
      <c r="O274" s="200"/>
      <c r="P274" s="200"/>
      <c r="Q274" s="200"/>
      <c r="R274" s="200"/>
    </row>
    <row r="275" spans="1:18" ht="15" customHeight="1" x14ac:dyDescent="0.25">
      <c r="A275" s="133"/>
      <c r="B275" s="136" t="str">
        <f>IF('Calendario B'!B105="","",'Calendario B'!B105)</f>
        <v/>
      </c>
      <c r="C275" s="124"/>
      <c r="D275" s="124"/>
      <c r="E275" s="124"/>
      <c r="F275" s="124"/>
      <c r="G275" s="124"/>
      <c r="H275" s="125"/>
      <c r="I275" s="45" t="str">
        <f>IF('Calendario B'!I105="","",'Calendario B'!I105)</f>
        <v/>
      </c>
      <c r="J275" s="133"/>
      <c r="K275" s="133"/>
      <c r="L275" s="133"/>
      <c r="M275" s="133"/>
      <c r="N275" s="133"/>
      <c r="O275" s="133"/>
      <c r="P275" s="133"/>
      <c r="Q275" s="133"/>
      <c r="R275" s="133"/>
    </row>
    <row r="276" spans="1:18" ht="14.1" customHeight="1" x14ac:dyDescent="0.25">
      <c r="A276" s="50" t="s">
        <v>193</v>
      </c>
      <c r="B276" s="141" t="s">
        <v>175</v>
      </c>
      <c r="C276" s="125"/>
      <c r="D276" s="141" t="s">
        <v>182</v>
      </c>
      <c r="E276" s="125"/>
      <c r="F276" s="50" t="s">
        <v>194</v>
      </c>
      <c r="G276" s="50" t="s">
        <v>195</v>
      </c>
      <c r="H276" s="141" t="s">
        <v>196</v>
      </c>
      <c r="I276" s="125"/>
      <c r="J276" s="141" t="s">
        <v>197</v>
      </c>
      <c r="K276" s="124"/>
      <c r="L276" s="125"/>
      <c r="M276" s="103" t="s">
        <v>494</v>
      </c>
      <c r="N276" s="103" t="s">
        <v>495</v>
      </c>
      <c r="O276" s="103" t="s">
        <v>496</v>
      </c>
      <c r="P276" s="103" t="s">
        <v>497</v>
      </c>
      <c r="Q276" s="103" t="s">
        <v>498</v>
      </c>
      <c r="R276" s="103" t="s">
        <v>499</v>
      </c>
    </row>
    <row r="277" spans="1:18" ht="21.95" customHeight="1" x14ac:dyDescent="0.25">
      <c r="A277" s="142">
        <f>IF('Calendario B'!A107="","",'Calendario B'!A107)</f>
        <v>75</v>
      </c>
      <c r="B277" s="44" t="str">
        <f>IF('Calendario B'!B107="","",'Calendario B'!B107)</f>
        <v/>
      </c>
      <c r="C277" s="45" t="str">
        <f>IF('Calendario B'!C107="","",'Calendario B'!C107)</f>
        <v/>
      </c>
      <c r="D277" s="44" t="str">
        <f>IF('Calendario B'!D107="","",'Calendario B'!D107)</f>
        <v/>
      </c>
      <c r="E277" s="45" t="str">
        <f>IF('Calendario B'!E107="","",'Calendario B'!E107)</f>
        <v/>
      </c>
      <c r="F277" s="138" t="str">
        <f>IF('Calendario B'!F107="","",'Calendario B'!F107)</f>
        <v/>
      </c>
      <c r="G277" s="124"/>
      <c r="H277" s="124"/>
      <c r="I277" s="125"/>
      <c r="J277" s="202" t="str">
        <f>IF('Calendario B'!J107="","",'Calendario B'!J107)</f>
        <v/>
      </c>
      <c r="K277" s="201" t="s">
        <v>198</v>
      </c>
      <c r="L277" s="202" t="str">
        <f>IF('Calendario B'!L107="","",'Calendario B'!L107)</f>
        <v/>
      </c>
      <c r="M277" s="200"/>
      <c r="N277" s="200"/>
      <c r="O277" s="200"/>
      <c r="P277" s="200"/>
      <c r="Q277" s="200"/>
      <c r="R277" s="200"/>
    </row>
    <row r="278" spans="1:18" ht="15" customHeight="1" x14ac:dyDescent="0.25">
      <c r="A278" s="133"/>
      <c r="B278" s="136" t="str">
        <f>IF('Calendario B'!B108="","",'Calendario B'!B108)</f>
        <v/>
      </c>
      <c r="C278" s="124"/>
      <c r="D278" s="124"/>
      <c r="E278" s="124"/>
      <c r="F278" s="124"/>
      <c r="G278" s="124"/>
      <c r="H278" s="125"/>
      <c r="I278" s="45" t="str">
        <f>IF('Calendario B'!I108="","",'Calendario B'!I108)</f>
        <v/>
      </c>
      <c r="J278" s="133"/>
      <c r="K278" s="133"/>
      <c r="L278" s="133"/>
      <c r="M278" s="133"/>
      <c r="N278" s="133"/>
      <c r="O278" s="133"/>
      <c r="P278" s="133"/>
      <c r="Q278" s="133"/>
      <c r="R278" s="133"/>
    </row>
    <row r="280" spans="1:18" ht="20.100000000000001" customHeight="1" x14ac:dyDescent="0.25">
      <c r="A280" s="49" t="str">
        <f>IF('Calendario B'!A110="","",'Calendario B'!A110)</f>
        <v>7B</v>
      </c>
      <c r="B280" s="143" t="str">
        <f>IF('Calendario B'!B110="","",'Calendario B'!B110)</f>
        <v>GIORNATA VII - GIRONE B</v>
      </c>
      <c r="C280" s="124"/>
      <c r="D280" s="124"/>
      <c r="E280" s="124"/>
      <c r="F280" s="124"/>
      <c r="G280" s="124"/>
      <c r="H280" s="124"/>
      <c r="I280" s="124"/>
      <c r="J280" s="124"/>
      <c r="K280" s="124"/>
      <c r="L280" s="125"/>
      <c r="M280" s="212" t="s">
        <v>492</v>
      </c>
      <c r="N280" s="124"/>
      <c r="O280" s="125"/>
      <c r="P280" s="212" t="s">
        <v>493</v>
      </c>
      <c r="Q280" s="124"/>
      <c r="R280" s="125"/>
    </row>
    <row r="281" spans="1:18" ht="14.1" customHeight="1" x14ac:dyDescent="0.25">
      <c r="A281" s="50" t="s">
        <v>193</v>
      </c>
      <c r="B281" s="141" t="s">
        <v>175</v>
      </c>
      <c r="C281" s="125"/>
      <c r="D281" s="141" t="s">
        <v>182</v>
      </c>
      <c r="E281" s="125"/>
      <c r="F281" s="50" t="s">
        <v>194</v>
      </c>
      <c r="G281" s="50" t="s">
        <v>195</v>
      </c>
      <c r="H281" s="141" t="s">
        <v>196</v>
      </c>
      <c r="I281" s="125"/>
      <c r="J281" s="141" t="s">
        <v>197</v>
      </c>
      <c r="K281" s="124"/>
      <c r="L281" s="125"/>
      <c r="M281" s="103" t="s">
        <v>494</v>
      </c>
      <c r="N281" s="103" t="s">
        <v>495</v>
      </c>
      <c r="O281" s="103" t="s">
        <v>496</v>
      </c>
      <c r="P281" s="103" t="s">
        <v>497</v>
      </c>
      <c r="Q281" s="103" t="s">
        <v>498</v>
      </c>
      <c r="R281" s="103" t="s">
        <v>499</v>
      </c>
    </row>
    <row r="282" spans="1:18" ht="21.95" customHeight="1" x14ac:dyDescent="0.25">
      <c r="A282" s="142">
        <f>IF('Calendario B'!A112="","",'Calendario B'!A112)</f>
        <v>76</v>
      </c>
      <c r="B282" s="44" t="str">
        <f>IF('Calendario B'!B112="","",'Calendario B'!B112)</f>
        <v/>
      </c>
      <c r="C282" s="45" t="str">
        <f>IF('Calendario B'!C112="","",'Calendario B'!C112)</f>
        <v/>
      </c>
      <c r="D282" s="44" t="str">
        <f>IF('Calendario B'!D112="","",'Calendario B'!D112)</f>
        <v/>
      </c>
      <c r="E282" s="45" t="str">
        <f>IF('Calendario B'!E112="","",'Calendario B'!E112)</f>
        <v/>
      </c>
      <c r="F282" s="138" t="str">
        <f>IF('Calendario B'!F112="","",'Calendario B'!F112)</f>
        <v/>
      </c>
      <c r="G282" s="124"/>
      <c r="H282" s="124"/>
      <c r="I282" s="125"/>
      <c r="J282" s="202" t="str">
        <f>IF('Calendario B'!J112="","",'Calendario B'!J112)</f>
        <v/>
      </c>
      <c r="K282" s="201" t="s">
        <v>198</v>
      </c>
      <c r="L282" s="202" t="str">
        <f>IF('Calendario B'!L112="","",'Calendario B'!L112)</f>
        <v/>
      </c>
      <c r="M282" s="200"/>
      <c r="N282" s="200"/>
      <c r="O282" s="200"/>
      <c r="P282" s="200"/>
      <c r="Q282" s="200"/>
      <c r="R282" s="200"/>
    </row>
    <row r="283" spans="1:18" ht="15" customHeight="1" x14ac:dyDescent="0.25">
      <c r="A283" s="133"/>
      <c r="B283" s="136" t="str">
        <f>IF('Calendario B'!B113="","",'Calendario B'!B113)</f>
        <v/>
      </c>
      <c r="C283" s="124"/>
      <c r="D283" s="124"/>
      <c r="E283" s="124"/>
      <c r="F283" s="124"/>
      <c r="G283" s="124"/>
      <c r="H283" s="125"/>
      <c r="I283" s="45" t="str">
        <f>IF('Calendario B'!I113="","",'Calendario B'!I113)</f>
        <v/>
      </c>
      <c r="J283" s="133"/>
      <c r="K283" s="133"/>
      <c r="L283" s="133"/>
      <c r="M283" s="133"/>
      <c r="N283" s="133"/>
      <c r="O283" s="133"/>
      <c r="P283" s="133"/>
      <c r="Q283" s="133"/>
      <c r="R283" s="133"/>
    </row>
    <row r="284" spans="1:18" ht="14.1" customHeight="1" x14ac:dyDescent="0.25">
      <c r="A284" s="50" t="s">
        <v>193</v>
      </c>
      <c r="B284" s="141" t="s">
        <v>175</v>
      </c>
      <c r="C284" s="125"/>
      <c r="D284" s="141" t="s">
        <v>182</v>
      </c>
      <c r="E284" s="125"/>
      <c r="F284" s="50" t="s">
        <v>194</v>
      </c>
      <c r="G284" s="50" t="s">
        <v>195</v>
      </c>
      <c r="H284" s="141" t="s">
        <v>196</v>
      </c>
      <c r="I284" s="125"/>
      <c r="J284" s="141" t="s">
        <v>197</v>
      </c>
      <c r="K284" s="124"/>
      <c r="L284" s="125"/>
      <c r="M284" s="103" t="s">
        <v>494</v>
      </c>
      <c r="N284" s="103" t="s">
        <v>495</v>
      </c>
      <c r="O284" s="103" t="s">
        <v>496</v>
      </c>
      <c r="P284" s="103" t="s">
        <v>497</v>
      </c>
      <c r="Q284" s="103" t="s">
        <v>498</v>
      </c>
      <c r="R284" s="103" t="s">
        <v>499</v>
      </c>
    </row>
    <row r="285" spans="1:18" ht="21.95" customHeight="1" x14ac:dyDescent="0.25">
      <c r="A285" s="142">
        <f>IF('Calendario B'!A115="","",'Calendario B'!A115)</f>
        <v>77</v>
      </c>
      <c r="B285" s="44" t="str">
        <f>IF('Calendario B'!B115="","",'Calendario B'!B115)</f>
        <v/>
      </c>
      <c r="C285" s="45" t="str">
        <f>IF('Calendario B'!C115="","",'Calendario B'!C115)</f>
        <v/>
      </c>
      <c r="D285" s="44" t="str">
        <f>IF('Calendario B'!D115="","",'Calendario B'!D115)</f>
        <v/>
      </c>
      <c r="E285" s="45" t="str">
        <f>IF('Calendario B'!E115="","",'Calendario B'!E115)</f>
        <v/>
      </c>
      <c r="F285" s="138" t="str">
        <f>IF('Calendario B'!F115="","",'Calendario B'!F115)</f>
        <v/>
      </c>
      <c r="G285" s="124"/>
      <c r="H285" s="124"/>
      <c r="I285" s="125"/>
      <c r="J285" s="202" t="str">
        <f>IF('Calendario B'!J115="","",'Calendario B'!J115)</f>
        <v/>
      </c>
      <c r="K285" s="201" t="s">
        <v>198</v>
      </c>
      <c r="L285" s="202" t="str">
        <f>IF('Calendario B'!L115="","",'Calendario B'!L115)</f>
        <v/>
      </c>
      <c r="M285" s="200"/>
      <c r="N285" s="200"/>
      <c r="O285" s="200"/>
      <c r="P285" s="200"/>
      <c r="Q285" s="200"/>
      <c r="R285" s="200"/>
    </row>
    <row r="286" spans="1:18" ht="15" customHeight="1" x14ac:dyDescent="0.25">
      <c r="A286" s="133"/>
      <c r="B286" s="136" t="str">
        <f>IF('Calendario B'!B116="","",'Calendario B'!B116)</f>
        <v/>
      </c>
      <c r="C286" s="124"/>
      <c r="D286" s="124"/>
      <c r="E286" s="124"/>
      <c r="F286" s="124"/>
      <c r="G286" s="124"/>
      <c r="H286" s="125"/>
      <c r="I286" s="45" t="str">
        <f>IF('Calendario B'!I116="","",'Calendario B'!I116)</f>
        <v/>
      </c>
      <c r="J286" s="133"/>
      <c r="K286" s="133"/>
      <c r="L286" s="133"/>
      <c r="M286" s="133"/>
      <c r="N286" s="133"/>
      <c r="O286" s="133"/>
      <c r="P286" s="133"/>
      <c r="Q286" s="133"/>
      <c r="R286" s="133"/>
    </row>
    <row r="287" spans="1:18" ht="14.1" customHeight="1" x14ac:dyDescent="0.25">
      <c r="A287" s="50" t="s">
        <v>193</v>
      </c>
      <c r="B287" s="141" t="s">
        <v>175</v>
      </c>
      <c r="C287" s="125"/>
      <c r="D287" s="141" t="s">
        <v>182</v>
      </c>
      <c r="E287" s="125"/>
      <c r="F287" s="50" t="s">
        <v>194</v>
      </c>
      <c r="G287" s="50" t="s">
        <v>195</v>
      </c>
      <c r="H287" s="141" t="s">
        <v>196</v>
      </c>
      <c r="I287" s="125"/>
      <c r="J287" s="141" t="s">
        <v>197</v>
      </c>
      <c r="K287" s="124"/>
      <c r="L287" s="125"/>
      <c r="M287" s="103" t="s">
        <v>494</v>
      </c>
      <c r="N287" s="103" t="s">
        <v>495</v>
      </c>
      <c r="O287" s="103" t="s">
        <v>496</v>
      </c>
      <c r="P287" s="103" t="s">
        <v>497</v>
      </c>
      <c r="Q287" s="103" t="s">
        <v>498</v>
      </c>
      <c r="R287" s="103" t="s">
        <v>499</v>
      </c>
    </row>
    <row r="288" spans="1:18" ht="21.95" customHeight="1" x14ac:dyDescent="0.25">
      <c r="A288" s="142">
        <f>IF('Calendario B'!A118="","",'Calendario B'!A118)</f>
        <v>78</v>
      </c>
      <c r="B288" s="44" t="str">
        <f>IF('Calendario B'!B118="","",'Calendario B'!B118)</f>
        <v/>
      </c>
      <c r="C288" s="45" t="str">
        <f>IF('Calendario B'!C118="","",'Calendario B'!C118)</f>
        <v/>
      </c>
      <c r="D288" s="44" t="str">
        <f>IF('Calendario B'!D118="","",'Calendario B'!D118)</f>
        <v/>
      </c>
      <c r="E288" s="45" t="str">
        <f>IF('Calendario B'!E118="","",'Calendario B'!E118)</f>
        <v/>
      </c>
      <c r="F288" s="138" t="str">
        <f>IF('Calendario B'!F118="","",'Calendario B'!F118)</f>
        <v/>
      </c>
      <c r="G288" s="124"/>
      <c r="H288" s="124"/>
      <c r="I288" s="125"/>
      <c r="J288" s="202" t="str">
        <f>IF('Calendario B'!J118="","",'Calendario B'!J118)</f>
        <v/>
      </c>
      <c r="K288" s="201" t="s">
        <v>198</v>
      </c>
      <c r="L288" s="202" t="str">
        <f>IF('Calendario B'!L118="","",'Calendario B'!L118)</f>
        <v/>
      </c>
      <c r="M288" s="200"/>
      <c r="N288" s="200"/>
      <c r="O288" s="200"/>
      <c r="P288" s="200"/>
      <c r="Q288" s="200"/>
      <c r="R288" s="200"/>
    </row>
    <row r="289" spans="1:18" ht="15" customHeight="1" x14ac:dyDescent="0.25">
      <c r="A289" s="133"/>
      <c r="B289" s="136" t="str">
        <f>IF('Calendario B'!B119="","",'Calendario B'!B119)</f>
        <v/>
      </c>
      <c r="C289" s="124"/>
      <c r="D289" s="124"/>
      <c r="E289" s="124"/>
      <c r="F289" s="124"/>
      <c r="G289" s="124"/>
      <c r="H289" s="125"/>
      <c r="I289" s="45" t="str">
        <f>IF('Calendario B'!I119="","",'Calendario B'!I119)</f>
        <v/>
      </c>
      <c r="J289" s="133"/>
      <c r="K289" s="133"/>
      <c r="L289" s="133"/>
      <c r="M289" s="133"/>
      <c r="N289" s="133"/>
      <c r="O289" s="133"/>
      <c r="P289" s="133"/>
      <c r="Q289" s="133"/>
      <c r="R289" s="133"/>
    </row>
    <row r="290" spans="1:18" ht="14.1" customHeight="1" x14ac:dyDescent="0.25">
      <c r="A290" s="50" t="s">
        <v>193</v>
      </c>
      <c r="B290" s="141" t="s">
        <v>175</v>
      </c>
      <c r="C290" s="125"/>
      <c r="D290" s="141" t="s">
        <v>182</v>
      </c>
      <c r="E290" s="125"/>
      <c r="F290" s="50" t="s">
        <v>194</v>
      </c>
      <c r="G290" s="50" t="s">
        <v>195</v>
      </c>
      <c r="H290" s="141" t="s">
        <v>196</v>
      </c>
      <c r="I290" s="125"/>
      <c r="J290" s="141" t="s">
        <v>197</v>
      </c>
      <c r="K290" s="124"/>
      <c r="L290" s="125"/>
      <c r="M290" s="103" t="s">
        <v>494</v>
      </c>
      <c r="N290" s="103" t="s">
        <v>495</v>
      </c>
      <c r="O290" s="103" t="s">
        <v>496</v>
      </c>
      <c r="P290" s="103" t="s">
        <v>497</v>
      </c>
      <c r="Q290" s="103" t="s">
        <v>498</v>
      </c>
      <c r="R290" s="103" t="s">
        <v>499</v>
      </c>
    </row>
    <row r="291" spans="1:18" ht="21.95" customHeight="1" x14ac:dyDescent="0.25">
      <c r="A291" s="142">
        <f>IF('Calendario B'!A121="","",'Calendario B'!A121)</f>
        <v>79</v>
      </c>
      <c r="B291" s="44" t="str">
        <f>IF('Calendario B'!B121="","",'Calendario B'!B121)</f>
        <v/>
      </c>
      <c r="C291" s="45" t="str">
        <f>IF('Calendario B'!C121="","",'Calendario B'!C121)</f>
        <v/>
      </c>
      <c r="D291" s="44" t="str">
        <f>IF('Calendario B'!D121="","",'Calendario B'!D121)</f>
        <v/>
      </c>
      <c r="E291" s="45" t="str">
        <f>IF('Calendario B'!E121="","",'Calendario B'!E121)</f>
        <v/>
      </c>
      <c r="F291" s="138" t="str">
        <f>IF('Calendario B'!F121="","",'Calendario B'!F121)</f>
        <v/>
      </c>
      <c r="G291" s="124"/>
      <c r="H291" s="124"/>
      <c r="I291" s="125"/>
      <c r="J291" s="202" t="str">
        <f>IF('Calendario B'!J121="","",'Calendario B'!J121)</f>
        <v/>
      </c>
      <c r="K291" s="201" t="s">
        <v>198</v>
      </c>
      <c r="L291" s="202" t="str">
        <f>IF('Calendario B'!L121="","",'Calendario B'!L121)</f>
        <v/>
      </c>
      <c r="M291" s="200"/>
      <c r="N291" s="200"/>
      <c r="O291" s="200"/>
      <c r="P291" s="200"/>
      <c r="Q291" s="200"/>
      <c r="R291" s="200"/>
    </row>
    <row r="292" spans="1:18" ht="15" customHeight="1" x14ac:dyDescent="0.25">
      <c r="A292" s="133"/>
      <c r="B292" s="136" t="str">
        <f>IF('Calendario B'!B122="","",'Calendario B'!B122)</f>
        <v/>
      </c>
      <c r="C292" s="124"/>
      <c r="D292" s="124"/>
      <c r="E292" s="124"/>
      <c r="F292" s="124"/>
      <c r="G292" s="124"/>
      <c r="H292" s="125"/>
      <c r="I292" s="45" t="str">
        <f>IF('Calendario B'!I122="","",'Calendario B'!I122)</f>
        <v/>
      </c>
      <c r="J292" s="133"/>
      <c r="K292" s="133"/>
      <c r="L292" s="133"/>
      <c r="M292" s="133"/>
      <c r="N292" s="133"/>
      <c r="O292" s="133"/>
      <c r="P292" s="133"/>
      <c r="Q292" s="133"/>
      <c r="R292" s="133"/>
    </row>
    <row r="293" spans="1:18" ht="14.1" customHeight="1" x14ac:dyDescent="0.25">
      <c r="A293" s="50" t="s">
        <v>193</v>
      </c>
      <c r="B293" s="141" t="s">
        <v>175</v>
      </c>
      <c r="C293" s="125"/>
      <c r="D293" s="141" t="s">
        <v>182</v>
      </c>
      <c r="E293" s="125"/>
      <c r="F293" s="50" t="s">
        <v>194</v>
      </c>
      <c r="G293" s="50" t="s">
        <v>195</v>
      </c>
      <c r="H293" s="141" t="s">
        <v>196</v>
      </c>
      <c r="I293" s="125"/>
      <c r="J293" s="141" t="s">
        <v>197</v>
      </c>
      <c r="K293" s="124"/>
      <c r="L293" s="125"/>
      <c r="M293" s="103" t="s">
        <v>494</v>
      </c>
      <c r="N293" s="103" t="s">
        <v>495</v>
      </c>
      <c r="O293" s="103" t="s">
        <v>496</v>
      </c>
      <c r="P293" s="103" t="s">
        <v>497</v>
      </c>
      <c r="Q293" s="103" t="s">
        <v>498</v>
      </c>
      <c r="R293" s="103" t="s">
        <v>499</v>
      </c>
    </row>
    <row r="294" spans="1:18" ht="21.95" customHeight="1" x14ac:dyDescent="0.25">
      <c r="A294" s="142">
        <f>IF('Calendario B'!A124="","",'Calendario B'!A124)</f>
        <v>80</v>
      </c>
      <c r="B294" s="44" t="str">
        <f>IF('Calendario B'!B124="","",'Calendario B'!B124)</f>
        <v/>
      </c>
      <c r="C294" s="45" t="str">
        <f>IF('Calendario B'!C124="","",'Calendario B'!C124)</f>
        <v/>
      </c>
      <c r="D294" s="44" t="str">
        <f>IF('Calendario B'!D124="","",'Calendario B'!D124)</f>
        <v/>
      </c>
      <c r="E294" s="45" t="str">
        <f>IF('Calendario B'!E124="","",'Calendario B'!E124)</f>
        <v/>
      </c>
      <c r="F294" s="138" t="str">
        <f>IF('Calendario B'!F124="","",'Calendario B'!F124)</f>
        <v/>
      </c>
      <c r="G294" s="124"/>
      <c r="H294" s="124"/>
      <c r="I294" s="125"/>
      <c r="J294" s="202" t="str">
        <f>IF('Calendario B'!J124="","",'Calendario B'!J124)</f>
        <v/>
      </c>
      <c r="K294" s="201" t="s">
        <v>198</v>
      </c>
      <c r="L294" s="202" t="str">
        <f>IF('Calendario B'!L124="","",'Calendario B'!L124)</f>
        <v/>
      </c>
      <c r="M294" s="200"/>
      <c r="N294" s="200"/>
      <c r="O294" s="200"/>
      <c r="P294" s="200"/>
      <c r="Q294" s="200"/>
      <c r="R294" s="200"/>
    </row>
    <row r="295" spans="1:18" ht="15" customHeight="1" x14ac:dyDescent="0.25">
      <c r="A295" s="133"/>
      <c r="B295" s="136" t="str">
        <f>IF('Calendario B'!B125="","",'Calendario B'!B125)</f>
        <v/>
      </c>
      <c r="C295" s="124"/>
      <c r="D295" s="124"/>
      <c r="E295" s="124"/>
      <c r="F295" s="124"/>
      <c r="G295" s="124"/>
      <c r="H295" s="125"/>
      <c r="I295" s="45" t="str">
        <f>IF('Calendario B'!I125="","",'Calendario B'!I125)</f>
        <v/>
      </c>
      <c r="J295" s="133"/>
      <c r="K295" s="133"/>
      <c r="L295" s="133"/>
      <c r="M295" s="133"/>
      <c r="N295" s="133"/>
      <c r="O295" s="133"/>
      <c r="P295" s="133"/>
      <c r="Q295" s="133"/>
      <c r="R295" s="133"/>
    </row>
    <row r="297" spans="1:18" ht="20.100000000000001" customHeight="1" x14ac:dyDescent="0.25">
      <c r="A297" s="49" t="str">
        <f>IF('Calendario B'!A127="","",'Calendario B'!A127)</f>
        <v>8B</v>
      </c>
      <c r="B297" s="143" t="str">
        <f>IF('Calendario B'!B127="","",'Calendario B'!B127)</f>
        <v>GIORNATA VIII - GIRONE B</v>
      </c>
      <c r="C297" s="124"/>
      <c r="D297" s="124"/>
      <c r="E297" s="124"/>
      <c r="F297" s="124"/>
      <c r="G297" s="124"/>
      <c r="H297" s="124"/>
      <c r="I297" s="124"/>
      <c r="J297" s="124"/>
      <c r="K297" s="124"/>
      <c r="L297" s="125"/>
      <c r="M297" s="212" t="s">
        <v>492</v>
      </c>
      <c r="N297" s="124"/>
      <c r="O297" s="125"/>
      <c r="P297" s="212" t="s">
        <v>493</v>
      </c>
      <c r="Q297" s="124"/>
      <c r="R297" s="125"/>
    </row>
    <row r="298" spans="1:18" ht="14.1" customHeight="1" x14ac:dyDescent="0.25">
      <c r="A298" s="50" t="s">
        <v>193</v>
      </c>
      <c r="B298" s="141" t="s">
        <v>175</v>
      </c>
      <c r="C298" s="125"/>
      <c r="D298" s="141" t="s">
        <v>182</v>
      </c>
      <c r="E298" s="125"/>
      <c r="F298" s="50" t="s">
        <v>194</v>
      </c>
      <c r="G298" s="50" t="s">
        <v>195</v>
      </c>
      <c r="H298" s="141" t="s">
        <v>196</v>
      </c>
      <c r="I298" s="125"/>
      <c r="J298" s="141" t="s">
        <v>197</v>
      </c>
      <c r="K298" s="124"/>
      <c r="L298" s="125"/>
      <c r="M298" s="103" t="s">
        <v>494</v>
      </c>
      <c r="N298" s="103" t="s">
        <v>495</v>
      </c>
      <c r="O298" s="103" t="s">
        <v>496</v>
      </c>
      <c r="P298" s="103" t="s">
        <v>497</v>
      </c>
      <c r="Q298" s="103" t="s">
        <v>498</v>
      </c>
      <c r="R298" s="103" t="s">
        <v>499</v>
      </c>
    </row>
    <row r="299" spans="1:18" ht="21.95" customHeight="1" x14ac:dyDescent="0.25">
      <c r="A299" s="142">
        <f>IF('Calendario B'!A129="","",'Calendario B'!A129)</f>
        <v>81</v>
      </c>
      <c r="B299" s="44" t="str">
        <f>IF('Calendario B'!B129="","",'Calendario B'!B129)</f>
        <v/>
      </c>
      <c r="C299" s="45" t="str">
        <f>IF('Calendario B'!C129="","",'Calendario B'!C129)</f>
        <v/>
      </c>
      <c r="D299" s="44" t="str">
        <f>IF('Calendario B'!D129="","",'Calendario B'!D129)</f>
        <v/>
      </c>
      <c r="E299" s="45" t="str">
        <f>IF('Calendario B'!E129="","",'Calendario B'!E129)</f>
        <v/>
      </c>
      <c r="F299" s="138" t="str">
        <f>IF('Calendario B'!F129="","",'Calendario B'!F129)</f>
        <v/>
      </c>
      <c r="G299" s="124"/>
      <c r="H299" s="124"/>
      <c r="I299" s="125"/>
      <c r="J299" s="202" t="str">
        <f>IF('Calendario B'!J129="","",'Calendario B'!J129)</f>
        <v/>
      </c>
      <c r="K299" s="201" t="s">
        <v>198</v>
      </c>
      <c r="L299" s="202" t="str">
        <f>IF('Calendario B'!L129="","",'Calendario B'!L129)</f>
        <v/>
      </c>
      <c r="M299" s="200"/>
      <c r="N299" s="200"/>
      <c r="O299" s="200"/>
      <c r="P299" s="200"/>
      <c r="Q299" s="200"/>
      <c r="R299" s="200"/>
    </row>
    <row r="300" spans="1:18" ht="15" customHeight="1" x14ac:dyDescent="0.25">
      <c r="A300" s="133"/>
      <c r="B300" s="136" t="str">
        <f>IF('Calendario B'!B130="","",'Calendario B'!B130)</f>
        <v/>
      </c>
      <c r="C300" s="124"/>
      <c r="D300" s="124"/>
      <c r="E300" s="124"/>
      <c r="F300" s="124"/>
      <c r="G300" s="124"/>
      <c r="H300" s="125"/>
      <c r="I300" s="45" t="str">
        <f>IF('Calendario B'!I130="","",'Calendario B'!I130)</f>
        <v/>
      </c>
      <c r="J300" s="133"/>
      <c r="K300" s="133"/>
      <c r="L300" s="133"/>
      <c r="M300" s="133"/>
      <c r="N300" s="133"/>
      <c r="O300" s="133"/>
      <c r="P300" s="133"/>
      <c r="Q300" s="133"/>
      <c r="R300" s="133"/>
    </row>
    <row r="301" spans="1:18" ht="14.1" customHeight="1" x14ac:dyDescent="0.25">
      <c r="A301" s="50" t="s">
        <v>193</v>
      </c>
      <c r="B301" s="141" t="s">
        <v>175</v>
      </c>
      <c r="C301" s="125"/>
      <c r="D301" s="141" t="s">
        <v>182</v>
      </c>
      <c r="E301" s="125"/>
      <c r="F301" s="50" t="s">
        <v>194</v>
      </c>
      <c r="G301" s="50" t="s">
        <v>195</v>
      </c>
      <c r="H301" s="141" t="s">
        <v>196</v>
      </c>
      <c r="I301" s="125"/>
      <c r="J301" s="141" t="s">
        <v>197</v>
      </c>
      <c r="K301" s="124"/>
      <c r="L301" s="125"/>
      <c r="M301" s="103" t="s">
        <v>494</v>
      </c>
      <c r="N301" s="103" t="s">
        <v>495</v>
      </c>
      <c r="O301" s="103" t="s">
        <v>496</v>
      </c>
      <c r="P301" s="103" t="s">
        <v>497</v>
      </c>
      <c r="Q301" s="103" t="s">
        <v>498</v>
      </c>
      <c r="R301" s="103" t="s">
        <v>499</v>
      </c>
    </row>
    <row r="302" spans="1:18" ht="21.95" customHeight="1" x14ac:dyDescent="0.25">
      <c r="A302" s="142">
        <f>IF('Calendario B'!A132="","",'Calendario B'!A132)</f>
        <v>82</v>
      </c>
      <c r="B302" s="44" t="str">
        <f>IF('Calendario B'!B132="","",'Calendario B'!B132)</f>
        <v/>
      </c>
      <c r="C302" s="45" t="str">
        <f>IF('Calendario B'!C132="","",'Calendario B'!C132)</f>
        <v/>
      </c>
      <c r="D302" s="44" t="str">
        <f>IF('Calendario B'!D132="","",'Calendario B'!D132)</f>
        <v/>
      </c>
      <c r="E302" s="45" t="str">
        <f>IF('Calendario B'!E132="","",'Calendario B'!E132)</f>
        <v/>
      </c>
      <c r="F302" s="138" t="str">
        <f>IF('Calendario B'!F132="","",'Calendario B'!F132)</f>
        <v/>
      </c>
      <c r="G302" s="124"/>
      <c r="H302" s="124"/>
      <c r="I302" s="125"/>
      <c r="J302" s="202" t="str">
        <f>IF('Calendario B'!J132="","",'Calendario B'!J132)</f>
        <v/>
      </c>
      <c r="K302" s="201" t="s">
        <v>198</v>
      </c>
      <c r="L302" s="202" t="str">
        <f>IF('Calendario B'!L132="","",'Calendario B'!L132)</f>
        <v/>
      </c>
      <c r="M302" s="200"/>
      <c r="N302" s="200"/>
      <c r="O302" s="200"/>
      <c r="P302" s="200"/>
      <c r="Q302" s="200"/>
      <c r="R302" s="200"/>
    </row>
    <row r="303" spans="1:18" ht="15" customHeight="1" x14ac:dyDescent="0.25">
      <c r="A303" s="133"/>
      <c r="B303" s="136" t="str">
        <f>IF('Calendario B'!B133="","",'Calendario B'!B133)</f>
        <v/>
      </c>
      <c r="C303" s="124"/>
      <c r="D303" s="124"/>
      <c r="E303" s="124"/>
      <c r="F303" s="124"/>
      <c r="G303" s="124"/>
      <c r="H303" s="125"/>
      <c r="I303" s="45" t="str">
        <f>IF('Calendario B'!I133="","",'Calendario B'!I133)</f>
        <v/>
      </c>
      <c r="J303" s="133"/>
      <c r="K303" s="133"/>
      <c r="L303" s="133"/>
      <c r="M303" s="133"/>
      <c r="N303" s="133"/>
      <c r="O303" s="133"/>
      <c r="P303" s="133"/>
      <c r="Q303" s="133"/>
      <c r="R303" s="133"/>
    </row>
    <row r="304" spans="1:18" ht="14.1" customHeight="1" x14ac:dyDescent="0.25">
      <c r="A304" s="50" t="s">
        <v>193</v>
      </c>
      <c r="B304" s="141" t="s">
        <v>175</v>
      </c>
      <c r="C304" s="125"/>
      <c r="D304" s="141" t="s">
        <v>182</v>
      </c>
      <c r="E304" s="125"/>
      <c r="F304" s="50" t="s">
        <v>194</v>
      </c>
      <c r="G304" s="50" t="s">
        <v>195</v>
      </c>
      <c r="H304" s="141" t="s">
        <v>196</v>
      </c>
      <c r="I304" s="125"/>
      <c r="J304" s="141" t="s">
        <v>197</v>
      </c>
      <c r="K304" s="124"/>
      <c r="L304" s="125"/>
      <c r="M304" s="103" t="s">
        <v>494</v>
      </c>
      <c r="N304" s="103" t="s">
        <v>495</v>
      </c>
      <c r="O304" s="103" t="s">
        <v>496</v>
      </c>
      <c r="P304" s="103" t="s">
        <v>497</v>
      </c>
      <c r="Q304" s="103" t="s">
        <v>498</v>
      </c>
      <c r="R304" s="103" t="s">
        <v>499</v>
      </c>
    </row>
    <row r="305" spans="1:18" ht="21.95" customHeight="1" x14ac:dyDescent="0.25">
      <c r="A305" s="142">
        <f>IF('Calendario B'!A135="","",'Calendario B'!A135)</f>
        <v>83</v>
      </c>
      <c r="B305" s="44" t="str">
        <f>IF('Calendario B'!B135="","",'Calendario B'!B135)</f>
        <v/>
      </c>
      <c r="C305" s="45" t="str">
        <f>IF('Calendario B'!C135="","",'Calendario B'!C135)</f>
        <v/>
      </c>
      <c r="D305" s="44" t="str">
        <f>IF('Calendario B'!D135="","",'Calendario B'!D135)</f>
        <v/>
      </c>
      <c r="E305" s="45" t="str">
        <f>IF('Calendario B'!E135="","",'Calendario B'!E135)</f>
        <v/>
      </c>
      <c r="F305" s="138" t="str">
        <f>IF('Calendario B'!F135="","",'Calendario B'!F135)</f>
        <v/>
      </c>
      <c r="G305" s="124"/>
      <c r="H305" s="124"/>
      <c r="I305" s="125"/>
      <c r="J305" s="202" t="str">
        <f>IF('Calendario B'!J135="","",'Calendario B'!J135)</f>
        <v/>
      </c>
      <c r="K305" s="201" t="s">
        <v>198</v>
      </c>
      <c r="L305" s="202" t="str">
        <f>IF('Calendario B'!L135="","",'Calendario B'!L135)</f>
        <v/>
      </c>
      <c r="M305" s="200"/>
      <c r="N305" s="200"/>
      <c r="O305" s="200"/>
      <c r="P305" s="200"/>
      <c r="Q305" s="200"/>
      <c r="R305" s="200"/>
    </row>
    <row r="306" spans="1:18" ht="15" customHeight="1" x14ac:dyDescent="0.25">
      <c r="A306" s="133"/>
      <c r="B306" s="136" t="str">
        <f>IF('Calendario B'!B136="","",'Calendario B'!B136)</f>
        <v/>
      </c>
      <c r="C306" s="124"/>
      <c r="D306" s="124"/>
      <c r="E306" s="124"/>
      <c r="F306" s="124"/>
      <c r="G306" s="124"/>
      <c r="H306" s="125"/>
      <c r="I306" s="45" t="str">
        <f>IF('Calendario B'!I136="","",'Calendario B'!I136)</f>
        <v/>
      </c>
      <c r="J306" s="133"/>
      <c r="K306" s="133"/>
      <c r="L306" s="133"/>
      <c r="M306" s="133"/>
      <c r="N306" s="133"/>
      <c r="O306" s="133"/>
      <c r="P306" s="133"/>
      <c r="Q306" s="133"/>
      <c r="R306" s="133"/>
    </row>
    <row r="307" spans="1:18" ht="14.1" customHeight="1" x14ac:dyDescent="0.25">
      <c r="A307" s="50" t="s">
        <v>193</v>
      </c>
      <c r="B307" s="141" t="s">
        <v>175</v>
      </c>
      <c r="C307" s="125"/>
      <c r="D307" s="141" t="s">
        <v>182</v>
      </c>
      <c r="E307" s="125"/>
      <c r="F307" s="50" t="s">
        <v>194</v>
      </c>
      <c r="G307" s="50" t="s">
        <v>195</v>
      </c>
      <c r="H307" s="141" t="s">
        <v>196</v>
      </c>
      <c r="I307" s="125"/>
      <c r="J307" s="141" t="s">
        <v>197</v>
      </c>
      <c r="K307" s="124"/>
      <c r="L307" s="125"/>
      <c r="M307" s="103" t="s">
        <v>494</v>
      </c>
      <c r="N307" s="103" t="s">
        <v>495</v>
      </c>
      <c r="O307" s="103" t="s">
        <v>496</v>
      </c>
      <c r="P307" s="103" t="s">
        <v>497</v>
      </c>
      <c r="Q307" s="103" t="s">
        <v>498</v>
      </c>
      <c r="R307" s="103" t="s">
        <v>499</v>
      </c>
    </row>
    <row r="308" spans="1:18" ht="21.95" customHeight="1" x14ac:dyDescent="0.25">
      <c r="A308" s="142">
        <f>IF('Calendario B'!A138="","",'Calendario B'!A138)</f>
        <v>84</v>
      </c>
      <c r="B308" s="44" t="str">
        <f>IF('Calendario B'!B138="","",'Calendario B'!B138)</f>
        <v/>
      </c>
      <c r="C308" s="45" t="str">
        <f>IF('Calendario B'!C138="","",'Calendario B'!C138)</f>
        <v/>
      </c>
      <c r="D308" s="44" t="str">
        <f>IF('Calendario B'!D138="","",'Calendario B'!D138)</f>
        <v/>
      </c>
      <c r="E308" s="45" t="str">
        <f>IF('Calendario B'!E138="","",'Calendario B'!E138)</f>
        <v/>
      </c>
      <c r="F308" s="138" t="str">
        <f>IF('Calendario B'!F138="","",'Calendario B'!F138)</f>
        <v/>
      </c>
      <c r="G308" s="124"/>
      <c r="H308" s="124"/>
      <c r="I308" s="125"/>
      <c r="J308" s="202" t="str">
        <f>IF('Calendario B'!J138="","",'Calendario B'!J138)</f>
        <v/>
      </c>
      <c r="K308" s="201" t="s">
        <v>198</v>
      </c>
      <c r="L308" s="202" t="str">
        <f>IF('Calendario B'!L138="","",'Calendario B'!L138)</f>
        <v/>
      </c>
      <c r="M308" s="200"/>
      <c r="N308" s="200"/>
      <c r="O308" s="200"/>
      <c r="P308" s="200"/>
      <c r="Q308" s="200"/>
      <c r="R308" s="200"/>
    </row>
    <row r="309" spans="1:18" ht="15" customHeight="1" x14ac:dyDescent="0.25">
      <c r="A309" s="133"/>
      <c r="B309" s="136" t="str">
        <f>IF('Calendario B'!B139="","",'Calendario B'!B139)</f>
        <v/>
      </c>
      <c r="C309" s="124"/>
      <c r="D309" s="124"/>
      <c r="E309" s="124"/>
      <c r="F309" s="124"/>
      <c r="G309" s="124"/>
      <c r="H309" s="125"/>
      <c r="I309" s="45" t="str">
        <f>IF('Calendario B'!I139="","",'Calendario B'!I139)</f>
        <v/>
      </c>
      <c r="J309" s="133"/>
      <c r="K309" s="133"/>
      <c r="L309" s="133"/>
      <c r="M309" s="133"/>
      <c r="N309" s="133"/>
      <c r="O309" s="133"/>
      <c r="P309" s="133"/>
      <c r="Q309" s="133"/>
      <c r="R309" s="133"/>
    </row>
    <row r="310" spans="1:18" ht="14.1" customHeight="1" x14ac:dyDescent="0.25">
      <c r="A310" s="50" t="s">
        <v>193</v>
      </c>
      <c r="B310" s="141" t="s">
        <v>175</v>
      </c>
      <c r="C310" s="125"/>
      <c r="D310" s="141" t="s">
        <v>182</v>
      </c>
      <c r="E310" s="125"/>
      <c r="F310" s="50" t="s">
        <v>194</v>
      </c>
      <c r="G310" s="50" t="s">
        <v>195</v>
      </c>
      <c r="H310" s="141" t="s">
        <v>196</v>
      </c>
      <c r="I310" s="125"/>
      <c r="J310" s="141" t="s">
        <v>197</v>
      </c>
      <c r="K310" s="124"/>
      <c r="L310" s="125"/>
      <c r="M310" s="103" t="s">
        <v>494</v>
      </c>
      <c r="N310" s="103" t="s">
        <v>495</v>
      </c>
      <c r="O310" s="103" t="s">
        <v>496</v>
      </c>
      <c r="P310" s="103" t="s">
        <v>497</v>
      </c>
      <c r="Q310" s="103" t="s">
        <v>498</v>
      </c>
      <c r="R310" s="103" t="s">
        <v>499</v>
      </c>
    </row>
    <row r="311" spans="1:18" ht="21.95" customHeight="1" x14ac:dyDescent="0.25">
      <c r="A311" s="142">
        <f>IF('Calendario B'!A141="","",'Calendario B'!A141)</f>
        <v>85</v>
      </c>
      <c r="B311" s="44" t="str">
        <f>IF('Calendario B'!B141="","",'Calendario B'!B141)</f>
        <v/>
      </c>
      <c r="C311" s="45" t="str">
        <f>IF('Calendario B'!C141="","",'Calendario B'!C141)</f>
        <v/>
      </c>
      <c r="D311" s="44" t="str">
        <f>IF('Calendario B'!D141="","",'Calendario B'!D141)</f>
        <v/>
      </c>
      <c r="E311" s="45" t="str">
        <f>IF('Calendario B'!E141="","",'Calendario B'!E141)</f>
        <v/>
      </c>
      <c r="F311" s="138" t="str">
        <f>IF('Calendario B'!F141="","",'Calendario B'!F141)</f>
        <v/>
      </c>
      <c r="G311" s="124"/>
      <c r="H311" s="124"/>
      <c r="I311" s="125"/>
      <c r="J311" s="202" t="str">
        <f>IF('Calendario B'!J141="","",'Calendario B'!J141)</f>
        <v/>
      </c>
      <c r="K311" s="201" t="s">
        <v>198</v>
      </c>
      <c r="L311" s="202" t="str">
        <f>IF('Calendario B'!L141="","",'Calendario B'!L141)</f>
        <v/>
      </c>
      <c r="M311" s="200"/>
      <c r="N311" s="200"/>
      <c r="O311" s="200"/>
      <c r="P311" s="200"/>
      <c r="Q311" s="200"/>
      <c r="R311" s="200"/>
    </row>
    <row r="312" spans="1:18" ht="15" customHeight="1" x14ac:dyDescent="0.25">
      <c r="A312" s="133"/>
      <c r="B312" s="136" t="str">
        <f>IF('Calendario B'!B142="","",'Calendario B'!B142)</f>
        <v/>
      </c>
      <c r="C312" s="124"/>
      <c r="D312" s="124"/>
      <c r="E312" s="124"/>
      <c r="F312" s="124"/>
      <c r="G312" s="124"/>
      <c r="H312" s="125"/>
      <c r="I312" s="45" t="str">
        <f>IF('Calendario B'!I142="","",'Calendario B'!I142)</f>
        <v/>
      </c>
      <c r="J312" s="133"/>
      <c r="K312" s="133"/>
      <c r="L312" s="133"/>
      <c r="M312" s="133"/>
      <c r="N312" s="133"/>
      <c r="O312" s="133"/>
      <c r="P312" s="133"/>
      <c r="Q312" s="133"/>
      <c r="R312" s="133"/>
    </row>
    <row r="314" spans="1:18" ht="20.100000000000001" customHeight="1" x14ac:dyDescent="0.25">
      <c r="A314" s="49" t="str">
        <f>IF('Calendario B'!A144="","",'Calendario B'!A144)</f>
        <v>9B</v>
      </c>
      <c r="B314" s="143" t="str">
        <f>IF('Calendario B'!B144="","",'Calendario B'!B144)</f>
        <v>GIORNATA IX - GIRONE B</v>
      </c>
      <c r="C314" s="124"/>
      <c r="D314" s="124"/>
      <c r="E314" s="124"/>
      <c r="F314" s="124"/>
      <c r="G314" s="124"/>
      <c r="H314" s="124"/>
      <c r="I314" s="124"/>
      <c r="J314" s="124"/>
      <c r="K314" s="124"/>
      <c r="L314" s="125"/>
      <c r="M314" s="212" t="s">
        <v>492</v>
      </c>
      <c r="N314" s="124"/>
      <c r="O314" s="125"/>
      <c r="P314" s="212" t="s">
        <v>493</v>
      </c>
      <c r="Q314" s="124"/>
      <c r="R314" s="125"/>
    </row>
    <row r="315" spans="1:18" ht="14.1" customHeight="1" x14ac:dyDescent="0.25">
      <c r="A315" s="50" t="s">
        <v>193</v>
      </c>
      <c r="B315" s="141" t="s">
        <v>175</v>
      </c>
      <c r="C315" s="125"/>
      <c r="D315" s="141" t="s">
        <v>182</v>
      </c>
      <c r="E315" s="125"/>
      <c r="F315" s="50" t="s">
        <v>194</v>
      </c>
      <c r="G315" s="50" t="s">
        <v>195</v>
      </c>
      <c r="H315" s="141" t="s">
        <v>196</v>
      </c>
      <c r="I315" s="125"/>
      <c r="J315" s="141" t="s">
        <v>197</v>
      </c>
      <c r="K315" s="124"/>
      <c r="L315" s="125"/>
      <c r="M315" s="103" t="s">
        <v>494</v>
      </c>
      <c r="N315" s="103" t="s">
        <v>495</v>
      </c>
      <c r="O315" s="103" t="s">
        <v>496</v>
      </c>
      <c r="P315" s="103" t="s">
        <v>497</v>
      </c>
      <c r="Q315" s="103" t="s">
        <v>498</v>
      </c>
      <c r="R315" s="103" t="s">
        <v>499</v>
      </c>
    </row>
    <row r="316" spans="1:18" ht="21.95" customHeight="1" x14ac:dyDescent="0.25">
      <c r="A316" s="142">
        <f>IF('Calendario B'!A146="","",'Calendario B'!A146)</f>
        <v>86</v>
      </c>
      <c r="B316" s="44" t="str">
        <f>IF('Calendario B'!B146="","",'Calendario B'!B146)</f>
        <v/>
      </c>
      <c r="C316" s="45" t="str">
        <f>IF('Calendario B'!C146="","",'Calendario B'!C146)</f>
        <v/>
      </c>
      <c r="D316" s="44" t="str">
        <f>IF('Calendario B'!D146="","",'Calendario B'!D146)</f>
        <v/>
      </c>
      <c r="E316" s="45" t="str">
        <f>IF('Calendario B'!E146="","",'Calendario B'!E146)</f>
        <v/>
      </c>
      <c r="F316" s="138" t="str">
        <f>IF('Calendario B'!F146="","",'Calendario B'!F146)</f>
        <v/>
      </c>
      <c r="G316" s="124"/>
      <c r="H316" s="124"/>
      <c r="I316" s="125"/>
      <c r="J316" s="202" t="str">
        <f>IF('Calendario B'!J146="","",'Calendario B'!J146)</f>
        <v/>
      </c>
      <c r="K316" s="201" t="s">
        <v>198</v>
      </c>
      <c r="L316" s="202" t="str">
        <f>IF('Calendario B'!L146="","",'Calendario B'!L146)</f>
        <v/>
      </c>
      <c r="M316" s="200"/>
      <c r="N316" s="200"/>
      <c r="O316" s="200"/>
      <c r="P316" s="200"/>
      <c r="Q316" s="200"/>
      <c r="R316" s="200"/>
    </row>
    <row r="317" spans="1:18" ht="15" customHeight="1" x14ac:dyDescent="0.25">
      <c r="A317" s="133"/>
      <c r="B317" s="136" t="str">
        <f>IF('Calendario B'!B147="","",'Calendario B'!B147)</f>
        <v/>
      </c>
      <c r="C317" s="124"/>
      <c r="D317" s="124"/>
      <c r="E317" s="124"/>
      <c r="F317" s="124"/>
      <c r="G317" s="124"/>
      <c r="H317" s="125"/>
      <c r="I317" s="45" t="str">
        <f>IF('Calendario B'!I147="","",'Calendario B'!I147)</f>
        <v/>
      </c>
      <c r="J317" s="133"/>
      <c r="K317" s="133"/>
      <c r="L317" s="133"/>
      <c r="M317" s="133"/>
      <c r="N317" s="133"/>
      <c r="O317" s="133"/>
      <c r="P317" s="133"/>
      <c r="Q317" s="133"/>
      <c r="R317" s="133"/>
    </row>
    <row r="318" spans="1:18" ht="14.1" customHeight="1" x14ac:dyDescent="0.25">
      <c r="A318" s="50" t="s">
        <v>193</v>
      </c>
      <c r="B318" s="141" t="s">
        <v>175</v>
      </c>
      <c r="C318" s="125"/>
      <c r="D318" s="141" t="s">
        <v>182</v>
      </c>
      <c r="E318" s="125"/>
      <c r="F318" s="50" t="s">
        <v>194</v>
      </c>
      <c r="G318" s="50" t="s">
        <v>195</v>
      </c>
      <c r="H318" s="141" t="s">
        <v>196</v>
      </c>
      <c r="I318" s="125"/>
      <c r="J318" s="141" t="s">
        <v>197</v>
      </c>
      <c r="K318" s="124"/>
      <c r="L318" s="125"/>
      <c r="M318" s="103" t="s">
        <v>494</v>
      </c>
      <c r="N318" s="103" t="s">
        <v>495</v>
      </c>
      <c r="O318" s="103" t="s">
        <v>496</v>
      </c>
      <c r="P318" s="103" t="s">
        <v>497</v>
      </c>
      <c r="Q318" s="103" t="s">
        <v>498</v>
      </c>
      <c r="R318" s="103" t="s">
        <v>499</v>
      </c>
    </row>
    <row r="319" spans="1:18" ht="21.95" customHeight="1" x14ac:dyDescent="0.25">
      <c r="A319" s="142">
        <f>IF('Calendario B'!A149="","",'Calendario B'!A149)</f>
        <v>87</v>
      </c>
      <c r="B319" s="44" t="str">
        <f>IF('Calendario B'!B149="","",'Calendario B'!B149)</f>
        <v/>
      </c>
      <c r="C319" s="45" t="str">
        <f>IF('Calendario B'!C149="","",'Calendario B'!C149)</f>
        <v/>
      </c>
      <c r="D319" s="44" t="str">
        <f>IF('Calendario B'!D149="","",'Calendario B'!D149)</f>
        <v/>
      </c>
      <c r="E319" s="45" t="str">
        <f>IF('Calendario B'!E149="","",'Calendario B'!E149)</f>
        <v/>
      </c>
      <c r="F319" s="138" t="str">
        <f>IF('Calendario B'!F149="","",'Calendario B'!F149)</f>
        <v/>
      </c>
      <c r="G319" s="124"/>
      <c r="H319" s="124"/>
      <c r="I319" s="125"/>
      <c r="J319" s="202" t="str">
        <f>IF('Calendario B'!J149="","",'Calendario B'!J149)</f>
        <v/>
      </c>
      <c r="K319" s="201" t="s">
        <v>198</v>
      </c>
      <c r="L319" s="202" t="str">
        <f>IF('Calendario B'!L149="","",'Calendario B'!L149)</f>
        <v/>
      </c>
      <c r="M319" s="200"/>
      <c r="N319" s="200"/>
      <c r="O319" s="200"/>
      <c r="P319" s="200"/>
      <c r="Q319" s="200"/>
      <c r="R319" s="200"/>
    </row>
    <row r="320" spans="1:18" ht="15" customHeight="1" x14ac:dyDescent="0.25">
      <c r="A320" s="133"/>
      <c r="B320" s="136" t="str">
        <f>IF('Calendario B'!B150="","",'Calendario B'!B150)</f>
        <v/>
      </c>
      <c r="C320" s="124"/>
      <c r="D320" s="124"/>
      <c r="E320" s="124"/>
      <c r="F320" s="124"/>
      <c r="G320" s="124"/>
      <c r="H320" s="125"/>
      <c r="I320" s="45" t="str">
        <f>IF('Calendario B'!I150="","",'Calendario B'!I150)</f>
        <v/>
      </c>
      <c r="J320" s="133"/>
      <c r="K320" s="133"/>
      <c r="L320" s="133"/>
      <c r="M320" s="133"/>
      <c r="N320" s="133"/>
      <c r="O320" s="133"/>
      <c r="P320" s="133"/>
      <c r="Q320" s="133"/>
      <c r="R320" s="133"/>
    </row>
    <row r="321" spans="1:18" ht="14.1" customHeight="1" x14ac:dyDescent="0.25">
      <c r="A321" s="50" t="s">
        <v>193</v>
      </c>
      <c r="B321" s="141" t="s">
        <v>175</v>
      </c>
      <c r="C321" s="125"/>
      <c r="D321" s="141" t="s">
        <v>182</v>
      </c>
      <c r="E321" s="125"/>
      <c r="F321" s="50" t="s">
        <v>194</v>
      </c>
      <c r="G321" s="50" t="s">
        <v>195</v>
      </c>
      <c r="H321" s="141" t="s">
        <v>196</v>
      </c>
      <c r="I321" s="125"/>
      <c r="J321" s="141" t="s">
        <v>197</v>
      </c>
      <c r="K321" s="124"/>
      <c r="L321" s="125"/>
      <c r="M321" s="103" t="s">
        <v>494</v>
      </c>
      <c r="N321" s="103" t="s">
        <v>495</v>
      </c>
      <c r="O321" s="103" t="s">
        <v>496</v>
      </c>
      <c r="P321" s="103" t="s">
        <v>497</v>
      </c>
      <c r="Q321" s="103" t="s">
        <v>498</v>
      </c>
      <c r="R321" s="103" t="s">
        <v>499</v>
      </c>
    </row>
    <row r="322" spans="1:18" ht="21.95" customHeight="1" x14ac:dyDescent="0.25">
      <c r="A322" s="142">
        <f>IF('Calendario B'!A152="","",'Calendario B'!A152)</f>
        <v>88</v>
      </c>
      <c r="B322" s="44" t="str">
        <f>IF('Calendario B'!B152="","",'Calendario B'!B152)</f>
        <v/>
      </c>
      <c r="C322" s="45" t="str">
        <f>IF('Calendario B'!C152="","",'Calendario B'!C152)</f>
        <v/>
      </c>
      <c r="D322" s="44" t="str">
        <f>IF('Calendario B'!D152="","",'Calendario B'!D152)</f>
        <v/>
      </c>
      <c r="E322" s="45" t="str">
        <f>IF('Calendario B'!E152="","",'Calendario B'!E152)</f>
        <v/>
      </c>
      <c r="F322" s="138" t="str">
        <f>IF('Calendario B'!F152="","",'Calendario B'!F152)</f>
        <v/>
      </c>
      <c r="G322" s="124"/>
      <c r="H322" s="124"/>
      <c r="I322" s="125"/>
      <c r="J322" s="202" t="str">
        <f>IF('Calendario B'!J152="","",'Calendario B'!J152)</f>
        <v/>
      </c>
      <c r="K322" s="201" t="s">
        <v>198</v>
      </c>
      <c r="L322" s="202" t="str">
        <f>IF('Calendario B'!L152="","",'Calendario B'!L152)</f>
        <v/>
      </c>
      <c r="M322" s="200"/>
      <c r="N322" s="200"/>
      <c r="O322" s="200"/>
      <c r="P322" s="200"/>
      <c r="Q322" s="200"/>
      <c r="R322" s="200"/>
    </row>
    <row r="323" spans="1:18" ht="15" customHeight="1" x14ac:dyDescent="0.25">
      <c r="A323" s="133"/>
      <c r="B323" s="136" t="str">
        <f>IF('Calendario B'!B153="","",'Calendario B'!B153)</f>
        <v/>
      </c>
      <c r="C323" s="124"/>
      <c r="D323" s="124"/>
      <c r="E323" s="124"/>
      <c r="F323" s="124"/>
      <c r="G323" s="124"/>
      <c r="H323" s="125"/>
      <c r="I323" s="45" t="str">
        <f>IF('Calendario B'!I153="","",'Calendario B'!I153)</f>
        <v/>
      </c>
      <c r="J323" s="133"/>
      <c r="K323" s="133"/>
      <c r="L323" s="133"/>
      <c r="M323" s="133"/>
      <c r="N323" s="133"/>
      <c r="O323" s="133"/>
      <c r="P323" s="133"/>
      <c r="Q323" s="133"/>
      <c r="R323" s="133"/>
    </row>
    <row r="324" spans="1:18" ht="14.1" customHeight="1" x14ac:dyDescent="0.25">
      <c r="A324" s="50" t="s">
        <v>193</v>
      </c>
      <c r="B324" s="141" t="s">
        <v>175</v>
      </c>
      <c r="C324" s="125"/>
      <c r="D324" s="141" t="s">
        <v>182</v>
      </c>
      <c r="E324" s="125"/>
      <c r="F324" s="50" t="s">
        <v>194</v>
      </c>
      <c r="G324" s="50" t="s">
        <v>195</v>
      </c>
      <c r="H324" s="141" t="s">
        <v>196</v>
      </c>
      <c r="I324" s="125"/>
      <c r="J324" s="141" t="s">
        <v>197</v>
      </c>
      <c r="K324" s="124"/>
      <c r="L324" s="125"/>
      <c r="M324" s="103" t="s">
        <v>494</v>
      </c>
      <c r="N324" s="103" t="s">
        <v>495</v>
      </c>
      <c r="O324" s="103" t="s">
        <v>496</v>
      </c>
      <c r="P324" s="103" t="s">
        <v>497</v>
      </c>
      <c r="Q324" s="103" t="s">
        <v>498</v>
      </c>
      <c r="R324" s="103" t="s">
        <v>499</v>
      </c>
    </row>
    <row r="325" spans="1:18" ht="21.95" customHeight="1" x14ac:dyDescent="0.25">
      <c r="A325" s="142">
        <f>IF('Calendario B'!A155="","",'Calendario B'!A155)</f>
        <v>89</v>
      </c>
      <c r="B325" s="44" t="str">
        <f>IF('Calendario B'!B155="","",'Calendario B'!B155)</f>
        <v/>
      </c>
      <c r="C325" s="45" t="str">
        <f>IF('Calendario B'!C155="","",'Calendario B'!C155)</f>
        <v/>
      </c>
      <c r="D325" s="44" t="str">
        <f>IF('Calendario B'!D155="","",'Calendario B'!D155)</f>
        <v/>
      </c>
      <c r="E325" s="45" t="str">
        <f>IF('Calendario B'!E155="","",'Calendario B'!E155)</f>
        <v/>
      </c>
      <c r="F325" s="138" t="str">
        <f>IF('Calendario B'!F155="","",'Calendario B'!F155)</f>
        <v/>
      </c>
      <c r="G325" s="124"/>
      <c r="H325" s="124"/>
      <c r="I325" s="125"/>
      <c r="J325" s="202" t="str">
        <f>IF('Calendario B'!J155="","",'Calendario B'!J155)</f>
        <v/>
      </c>
      <c r="K325" s="201" t="s">
        <v>198</v>
      </c>
      <c r="L325" s="202" t="str">
        <f>IF('Calendario B'!L155="","",'Calendario B'!L155)</f>
        <v/>
      </c>
      <c r="M325" s="200"/>
      <c r="N325" s="200"/>
      <c r="O325" s="200"/>
      <c r="P325" s="200"/>
      <c r="Q325" s="200"/>
      <c r="R325" s="200"/>
    </row>
    <row r="326" spans="1:18" ht="15" customHeight="1" x14ac:dyDescent="0.25">
      <c r="A326" s="133"/>
      <c r="B326" s="136" t="str">
        <f>IF('Calendario B'!B156="","",'Calendario B'!B156)</f>
        <v/>
      </c>
      <c r="C326" s="124"/>
      <c r="D326" s="124"/>
      <c r="E326" s="124"/>
      <c r="F326" s="124"/>
      <c r="G326" s="124"/>
      <c r="H326" s="125"/>
      <c r="I326" s="45" t="str">
        <f>IF('Calendario B'!I156="","",'Calendario B'!I156)</f>
        <v/>
      </c>
      <c r="J326" s="133"/>
      <c r="K326" s="133"/>
      <c r="L326" s="133"/>
      <c r="M326" s="133"/>
      <c r="N326" s="133"/>
      <c r="O326" s="133"/>
      <c r="P326" s="133"/>
      <c r="Q326" s="133"/>
      <c r="R326" s="133"/>
    </row>
    <row r="327" spans="1:18" ht="14.1" customHeight="1" x14ac:dyDescent="0.25">
      <c r="A327" s="50" t="s">
        <v>193</v>
      </c>
      <c r="B327" s="141" t="s">
        <v>175</v>
      </c>
      <c r="C327" s="125"/>
      <c r="D327" s="141" t="s">
        <v>182</v>
      </c>
      <c r="E327" s="125"/>
      <c r="F327" s="50" t="s">
        <v>194</v>
      </c>
      <c r="G327" s="50" t="s">
        <v>195</v>
      </c>
      <c r="H327" s="141" t="s">
        <v>196</v>
      </c>
      <c r="I327" s="125"/>
      <c r="J327" s="141" t="s">
        <v>197</v>
      </c>
      <c r="K327" s="124"/>
      <c r="L327" s="125"/>
      <c r="M327" s="103" t="s">
        <v>494</v>
      </c>
      <c r="N327" s="103" t="s">
        <v>495</v>
      </c>
      <c r="O327" s="103" t="s">
        <v>496</v>
      </c>
      <c r="P327" s="103" t="s">
        <v>497</v>
      </c>
      <c r="Q327" s="103" t="s">
        <v>498</v>
      </c>
      <c r="R327" s="103" t="s">
        <v>499</v>
      </c>
    </row>
    <row r="328" spans="1:18" ht="21.95" customHeight="1" x14ac:dyDescent="0.25">
      <c r="A328" s="142">
        <f>IF('Calendario B'!A158="","",'Calendario B'!A158)</f>
        <v>90</v>
      </c>
      <c r="B328" s="44" t="str">
        <f>IF('Calendario B'!B158="","",'Calendario B'!B158)</f>
        <v/>
      </c>
      <c r="C328" s="45" t="str">
        <f>IF('Calendario B'!C158="","",'Calendario B'!C158)</f>
        <v/>
      </c>
      <c r="D328" s="44" t="str">
        <f>IF('Calendario B'!D158="","",'Calendario B'!D158)</f>
        <v/>
      </c>
      <c r="E328" s="45" t="str">
        <f>IF('Calendario B'!E158="","",'Calendario B'!E158)</f>
        <v/>
      </c>
      <c r="F328" s="138" t="str">
        <f>IF('Calendario B'!F158="","",'Calendario B'!F158)</f>
        <v/>
      </c>
      <c r="G328" s="124"/>
      <c r="H328" s="124"/>
      <c r="I328" s="125"/>
      <c r="J328" s="202" t="str">
        <f>IF('Calendario B'!J158="","",'Calendario B'!J158)</f>
        <v/>
      </c>
      <c r="K328" s="201" t="s">
        <v>198</v>
      </c>
      <c r="L328" s="202" t="str">
        <f>IF('Calendario B'!L158="","",'Calendario B'!L158)</f>
        <v/>
      </c>
      <c r="M328" s="200"/>
      <c r="N328" s="200"/>
      <c r="O328" s="200"/>
      <c r="P328" s="200"/>
      <c r="Q328" s="200"/>
      <c r="R328" s="200"/>
    </row>
    <row r="329" spans="1:18" ht="15" customHeight="1" x14ac:dyDescent="0.25">
      <c r="A329" s="133"/>
      <c r="B329" s="136" t="str">
        <f>IF('Calendario B'!B159="","",'Calendario B'!B159)</f>
        <v/>
      </c>
      <c r="C329" s="124"/>
      <c r="D329" s="124"/>
      <c r="E329" s="124"/>
      <c r="F329" s="124"/>
      <c r="G329" s="124"/>
      <c r="H329" s="125"/>
      <c r="I329" s="45" t="str">
        <f>IF('Calendario B'!I159="","",'Calendario B'!I159)</f>
        <v/>
      </c>
      <c r="J329" s="133"/>
      <c r="K329" s="133"/>
      <c r="L329" s="133"/>
      <c r="M329" s="133"/>
      <c r="N329" s="133"/>
      <c r="O329" s="133"/>
      <c r="P329" s="133"/>
      <c r="Q329" s="133"/>
      <c r="R329" s="133"/>
    </row>
    <row r="348" spans="1:18" ht="20.100000000000001" customHeight="1" x14ac:dyDescent="0.25">
      <c r="A348" s="51" t="str">
        <f>IF('Calendario C'!A8="","",'Calendario C'!A8)</f>
        <v>1C</v>
      </c>
      <c r="B348" s="147" t="str">
        <f>IF('Calendario C'!B8="","",'Calendario C'!B8)</f>
        <v>GIORNATA I - GIRONE C</v>
      </c>
      <c r="C348" s="124"/>
      <c r="D348" s="124"/>
      <c r="E348" s="124"/>
      <c r="F348" s="124"/>
      <c r="G348" s="124"/>
      <c r="H348" s="124"/>
      <c r="I348" s="124"/>
      <c r="J348" s="124"/>
      <c r="K348" s="124"/>
      <c r="L348" s="125"/>
      <c r="M348" s="207" t="s">
        <v>492</v>
      </c>
      <c r="N348" s="124"/>
      <c r="O348" s="125"/>
      <c r="P348" s="207" t="s">
        <v>493</v>
      </c>
      <c r="Q348" s="124"/>
      <c r="R348" s="125"/>
    </row>
    <row r="349" spans="1:18" ht="14.1" customHeight="1" x14ac:dyDescent="0.25">
      <c r="A349" s="52" t="s">
        <v>193</v>
      </c>
      <c r="B349" s="145" t="s">
        <v>175</v>
      </c>
      <c r="C349" s="125"/>
      <c r="D349" s="145" t="s">
        <v>182</v>
      </c>
      <c r="E349" s="125"/>
      <c r="F349" s="52" t="s">
        <v>194</v>
      </c>
      <c r="G349" s="52" t="s">
        <v>195</v>
      </c>
      <c r="H349" s="145" t="s">
        <v>196</v>
      </c>
      <c r="I349" s="125"/>
      <c r="J349" s="145" t="s">
        <v>197</v>
      </c>
      <c r="K349" s="124"/>
      <c r="L349" s="125"/>
      <c r="M349" s="104" t="s">
        <v>494</v>
      </c>
      <c r="N349" s="104" t="s">
        <v>495</v>
      </c>
      <c r="O349" s="104" t="s">
        <v>496</v>
      </c>
      <c r="P349" s="104" t="s">
        <v>497</v>
      </c>
      <c r="Q349" s="104" t="s">
        <v>498</v>
      </c>
      <c r="R349" s="104" t="s">
        <v>499</v>
      </c>
    </row>
    <row r="350" spans="1:18" ht="21.95" customHeight="1" x14ac:dyDescent="0.25">
      <c r="A350" s="146">
        <f>IF('Calendario C'!A10="","",'Calendario C'!A10)</f>
        <v>91</v>
      </c>
      <c r="B350" s="44" t="str">
        <f>IF('Calendario C'!B10="","",'Calendario C'!B10)</f>
        <v/>
      </c>
      <c r="C350" s="45" t="str">
        <f>IF('Calendario C'!C10="","",'Calendario C'!C10)</f>
        <v/>
      </c>
      <c r="D350" s="44" t="str">
        <f>IF('Calendario C'!D10="","",'Calendario C'!D10)</f>
        <v/>
      </c>
      <c r="E350" s="45" t="str">
        <f>IF('Calendario C'!E10="","",'Calendario C'!E10)</f>
        <v/>
      </c>
      <c r="F350" s="138" t="str">
        <f>IF('Calendario C'!F10="","",'Calendario C'!F10)</f>
        <v/>
      </c>
      <c r="G350" s="124"/>
      <c r="H350" s="124"/>
      <c r="I350" s="125"/>
      <c r="J350" s="202" t="str">
        <f>IF('Calendario C'!J10="","",'Calendario C'!J10)</f>
        <v/>
      </c>
      <c r="K350" s="201" t="s">
        <v>198</v>
      </c>
      <c r="L350" s="202" t="str">
        <f>IF('Calendario C'!L10="","",'Calendario C'!L10)</f>
        <v/>
      </c>
      <c r="M350" s="200"/>
      <c r="N350" s="200"/>
      <c r="O350" s="200"/>
      <c r="P350" s="200"/>
      <c r="Q350" s="200"/>
      <c r="R350" s="200"/>
    </row>
    <row r="351" spans="1:18" ht="15" customHeight="1" x14ac:dyDescent="0.25">
      <c r="A351" s="133"/>
      <c r="B351" s="136" t="str">
        <f>IF('Calendario C'!B11="","",'Calendario C'!B11)</f>
        <v/>
      </c>
      <c r="C351" s="124"/>
      <c r="D351" s="124"/>
      <c r="E351" s="124"/>
      <c r="F351" s="124"/>
      <c r="G351" s="124"/>
      <c r="H351" s="125"/>
      <c r="I351" s="45" t="str">
        <f>IF('Calendario C'!I11="","",'Calendario C'!I11)</f>
        <v/>
      </c>
      <c r="J351" s="133"/>
      <c r="K351" s="133"/>
      <c r="L351" s="133"/>
      <c r="M351" s="133"/>
      <c r="N351" s="133"/>
      <c r="O351" s="133"/>
      <c r="P351" s="133"/>
      <c r="Q351" s="133"/>
      <c r="R351" s="133"/>
    </row>
    <row r="352" spans="1:18" ht="14.1" customHeight="1" x14ac:dyDescent="0.25">
      <c r="A352" s="52" t="s">
        <v>193</v>
      </c>
      <c r="B352" s="145" t="s">
        <v>175</v>
      </c>
      <c r="C352" s="125"/>
      <c r="D352" s="145" t="s">
        <v>182</v>
      </c>
      <c r="E352" s="125"/>
      <c r="F352" s="52" t="s">
        <v>194</v>
      </c>
      <c r="G352" s="52" t="s">
        <v>195</v>
      </c>
      <c r="H352" s="145" t="s">
        <v>196</v>
      </c>
      <c r="I352" s="125"/>
      <c r="J352" s="145" t="s">
        <v>197</v>
      </c>
      <c r="K352" s="124"/>
      <c r="L352" s="125"/>
      <c r="M352" s="104" t="s">
        <v>494</v>
      </c>
      <c r="N352" s="104" t="s">
        <v>495</v>
      </c>
      <c r="O352" s="104" t="s">
        <v>496</v>
      </c>
      <c r="P352" s="104" t="s">
        <v>497</v>
      </c>
      <c r="Q352" s="104" t="s">
        <v>498</v>
      </c>
      <c r="R352" s="104" t="s">
        <v>499</v>
      </c>
    </row>
    <row r="353" spans="1:18" ht="21.95" customHeight="1" x14ac:dyDescent="0.25">
      <c r="A353" s="146">
        <f>IF('Calendario C'!A13="","",'Calendario C'!A13)</f>
        <v>92</v>
      </c>
      <c r="B353" s="44" t="str">
        <f>IF('Calendario C'!B13="","",'Calendario C'!B13)</f>
        <v/>
      </c>
      <c r="C353" s="45" t="str">
        <f>IF('Calendario C'!C13="","",'Calendario C'!C13)</f>
        <v/>
      </c>
      <c r="D353" s="44" t="str">
        <f>IF('Calendario C'!D13="","",'Calendario C'!D13)</f>
        <v/>
      </c>
      <c r="E353" s="45" t="str">
        <f>IF('Calendario C'!E13="","",'Calendario C'!E13)</f>
        <v/>
      </c>
      <c r="F353" s="138" t="str">
        <f>IF('Calendario C'!F13="","",'Calendario C'!F13)</f>
        <v/>
      </c>
      <c r="G353" s="124"/>
      <c r="H353" s="124"/>
      <c r="I353" s="125"/>
      <c r="J353" s="202" t="str">
        <f>IF('Calendario C'!J13="","",'Calendario C'!J13)</f>
        <v/>
      </c>
      <c r="K353" s="201" t="s">
        <v>198</v>
      </c>
      <c r="L353" s="202" t="str">
        <f>IF('Calendario C'!L13="","",'Calendario C'!L13)</f>
        <v/>
      </c>
      <c r="M353" s="200"/>
      <c r="N353" s="200"/>
      <c r="O353" s="200"/>
      <c r="P353" s="200"/>
      <c r="Q353" s="200"/>
      <c r="R353" s="200"/>
    </row>
    <row r="354" spans="1:18" ht="15" customHeight="1" x14ac:dyDescent="0.25">
      <c r="A354" s="133"/>
      <c r="B354" s="136" t="str">
        <f>IF('Calendario C'!B14="","",'Calendario C'!B14)</f>
        <v/>
      </c>
      <c r="C354" s="124"/>
      <c r="D354" s="124"/>
      <c r="E354" s="124"/>
      <c r="F354" s="124"/>
      <c r="G354" s="124"/>
      <c r="H354" s="125"/>
      <c r="I354" s="45" t="str">
        <f>IF('Calendario C'!I14="","",'Calendario C'!I14)</f>
        <v/>
      </c>
      <c r="J354" s="133"/>
      <c r="K354" s="133"/>
      <c r="L354" s="133"/>
      <c r="M354" s="133"/>
      <c r="N354" s="133"/>
      <c r="O354" s="133"/>
      <c r="P354" s="133"/>
      <c r="Q354" s="133"/>
      <c r="R354" s="133"/>
    </row>
    <row r="355" spans="1:18" ht="14.1" customHeight="1" x14ac:dyDescent="0.25">
      <c r="A355" s="52" t="s">
        <v>193</v>
      </c>
      <c r="B355" s="145" t="s">
        <v>175</v>
      </c>
      <c r="C355" s="125"/>
      <c r="D355" s="145" t="s">
        <v>182</v>
      </c>
      <c r="E355" s="125"/>
      <c r="F355" s="52" t="s">
        <v>194</v>
      </c>
      <c r="G355" s="52" t="s">
        <v>195</v>
      </c>
      <c r="H355" s="145" t="s">
        <v>196</v>
      </c>
      <c r="I355" s="125"/>
      <c r="J355" s="145" t="s">
        <v>197</v>
      </c>
      <c r="K355" s="124"/>
      <c r="L355" s="125"/>
      <c r="M355" s="104" t="s">
        <v>494</v>
      </c>
      <c r="N355" s="104" t="s">
        <v>495</v>
      </c>
      <c r="O355" s="104" t="s">
        <v>496</v>
      </c>
      <c r="P355" s="104" t="s">
        <v>497</v>
      </c>
      <c r="Q355" s="104" t="s">
        <v>498</v>
      </c>
      <c r="R355" s="104" t="s">
        <v>499</v>
      </c>
    </row>
    <row r="356" spans="1:18" ht="21.95" customHeight="1" x14ac:dyDescent="0.25">
      <c r="A356" s="146">
        <f>IF('Calendario C'!A16="","",'Calendario C'!A16)</f>
        <v>93</v>
      </c>
      <c r="B356" s="44" t="str">
        <f>IF('Calendario C'!B16="","",'Calendario C'!B16)</f>
        <v/>
      </c>
      <c r="C356" s="45" t="str">
        <f>IF('Calendario C'!C16="","",'Calendario C'!C16)</f>
        <v/>
      </c>
      <c r="D356" s="44" t="str">
        <f>IF('Calendario C'!D16="","",'Calendario C'!D16)</f>
        <v/>
      </c>
      <c r="E356" s="45" t="str">
        <f>IF('Calendario C'!E16="","",'Calendario C'!E16)</f>
        <v/>
      </c>
      <c r="F356" s="138" t="str">
        <f>IF('Calendario C'!F16="","",'Calendario C'!F16)</f>
        <v/>
      </c>
      <c r="G356" s="124"/>
      <c r="H356" s="124"/>
      <c r="I356" s="125"/>
      <c r="J356" s="202" t="str">
        <f>IF('Calendario C'!J16="","",'Calendario C'!J16)</f>
        <v/>
      </c>
      <c r="K356" s="201" t="s">
        <v>198</v>
      </c>
      <c r="L356" s="202" t="str">
        <f>IF('Calendario C'!L16="","",'Calendario C'!L16)</f>
        <v/>
      </c>
      <c r="M356" s="200"/>
      <c r="N356" s="200"/>
      <c r="O356" s="200"/>
      <c r="P356" s="200"/>
      <c r="Q356" s="200"/>
      <c r="R356" s="200"/>
    </row>
    <row r="357" spans="1:18" ht="15" customHeight="1" x14ac:dyDescent="0.25">
      <c r="A357" s="133"/>
      <c r="B357" s="136" t="str">
        <f>IF('Calendario C'!B17="","",'Calendario C'!B17)</f>
        <v/>
      </c>
      <c r="C357" s="124"/>
      <c r="D357" s="124"/>
      <c r="E357" s="124"/>
      <c r="F357" s="124"/>
      <c r="G357" s="124"/>
      <c r="H357" s="125"/>
      <c r="I357" s="45" t="str">
        <f>IF('Calendario C'!I17="","",'Calendario C'!I17)</f>
        <v/>
      </c>
      <c r="J357" s="133"/>
      <c r="K357" s="133"/>
      <c r="L357" s="133"/>
      <c r="M357" s="133"/>
      <c r="N357" s="133"/>
      <c r="O357" s="133"/>
      <c r="P357" s="133"/>
      <c r="Q357" s="133"/>
      <c r="R357" s="133"/>
    </row>
    <row r="358" spans="1:18" ht="14.1" customHeight="1" x14ac:dyDescent="0.25">
      <c r="A358" s="52" t="s">
        <v>193</v>
      </c>
      <c r="B358" s="145" t="s">
        <v>175</v>
      </c>
      <c r="C358" s="125"/>
      <c r="D358" s="145" t="s">
        <v>182</v>
      </c>
      <c r="E358" s="125"/>
      <c r="F358" s="52" t="s">
        <v>194</v>
      </c>
      <c r="G358" s="52" t="s">
        <v>195</v>
      </c>
      <c r="H358" s="145" t="s">
        <v>196</v>
      </c>
      <c r="I358" s="125"/>
      <c r="J358" s="145" t="s">
        <v>197</v>
      </c>
      <c r="K358" s="124"/>
      <c r="L358" s="125"/>
      <c r="M358" s="104" t="s">
        <v>494</v>
      </c>
      <c r="N358" s="104" t="s">
        <v>495</v>
      </c>
      <c r="O358" s="104" t="s">
        <v>496</v>
      </c>
      <c r="P358" s="104" t="s">
        <v>497</v>
      </c>
      <c r="Q358" s="104" t="s">
        <v>498</v>
      </c>
      <c r="R358" s="104" t="s">
        <v>499</v>
      </c>
    </row>
    <row r="359" spans="1:18" ht="21.95" customHeight="1" x14ac:dyDescent="0.25">
      <c r="A359" s="146">
        <f>IF('Calendario C'!A19="","",'Calendario C'!A19)</f>
        <v>94</v>
      </c>
      <c r="B359" s="44" t="str">
        <f>IF('Calendario C'!B19="","",'Calendario C'!B19)</f>
        <v/>
      </c>
      <c r="C359" s="45" t="str">
        <f>IF('Calendario C'!C19="","",'Calendario C'!C19)</f>
        <v/>
      </c>
      <c r="D359" s="44" t="str">
        <f>IF('Calendario C'!D19="","",'Calendario C'!D19)</f>
        <v/>
      </c>
      <c r="E359" s="45" t="str">
        <f>IF('Calendario C'!E19="","",'Calendario C'!E19)</f>
        <v/>
      </c>
      <c r="F359" s="138" t="str">
        <f>IF('Calendario C'!F19="","",'Calendario C'!F19)</f>
        <v/>
      </c>
      <c r="G359" s="124"/>
      <c r="H359" s="124"/>
      <c r="I359" s="125"/>
      <c r="J359" s="202" t="str">
        <f>IF('Calendario C'!J19="","",'Calendario C'!J19)</f>
        <v/>
      </c>
      <c r="K359" s="201" t="s">
        <v>198</v>
      </c>
      <c r="L359" s="202" t="str">
        <f>IF('Calendario C'!L19="","",'Calendario C'!L19)</f>
        <v/>
      </c>
      <c r="M359" s="200"/>
      <c r="N359" s="200"/>
      <c r="O359" s="200"/>
      <c r="P359" s="200"/>
      <c r="Q359" s="200"/>
      <c r="R359" s="200"/>
    </row>
    <row r="360" spans="1:18" ht="15" customHeight="1" x14ac:dyDescent="0.25">
      <c r="A360" s="133"/>
      <c r="B360" s="136" t="str">
        <f>IF('Calendario C'!B20="","",'Calendario C'!B20)</f>
        <v/>
      </c>
      <c r="C360" s="124"/>
      <c r="D360" s="124"/>
      <c r="E360" s="124"/>
      <c r="F360" s="124"/>
      <c r="G360" s="124"/>
      <c r="H360" s="125"/>
      <c r="I360" s="45" t="str">
        <f>IF('Calendario C'!I20="","",'Calendario C'!I20)</f>
        <v/>
      </c>
      <c r="J360" s="133"/>
      <c r="K360" s="133"/>
      <c r="L360" s="133"/>
      <c r="M360" s="133"/>
      <c r="N360" s="133"/>
      <c r="O360" s="133"/>
      <c r="P360" s="133"/>
      <c r="Q360" s="133"/>
      <c r="R360" s="133"/>
    </row>
    <row r="361" spans="1:18" ht="14.1" customHeight="1" x14ac:dyDescent="0.25">
      <c r="A361" s="52" t="s">
        <v>193</v>
      </c>
      <c r="B361" s="145" t="s">
        <v>175</v>
      </c>
      <c r="C361" s="125"/>
      <c r="D361" s="145" t="s">
        <v>182</v>
      </c>
      <c r="E361" s="125"/>
      <c r="F361" s="52" t="s">
        <v>194</v>
      </c>
      <c r="G361" s="52" t="s">
        <v>195</v>
      </c>
      <c r="H361" s="145" t="s">
        <v>196</v>
      </c>
      <c r="I361" s="125"/>
      <c r="J361" s="145" t="s">
        <v>197</v>
      </c>
      <c r="K361" s="124"/>
      <c r="L361" s="125"/>
      <c r="M361" s="104" t="s">
        <v>494</v>
      </c>
      <c r="N361" s="104" t="s">
        <v>495</v>
      </c>
      <c r="O361" s="104" t="s">
        <v>496</v>
      </c>
      <c r="P361" s="104" t="s">
        <v>497</v>
      </c>
      <c r="Q361" s="104" t="s">
        <v>498</v>
      </c>
      <c r="R361" s="104" t="s">
        <v>499</v>
      </c>
    </row>
    <row r="362" spans="1:18" ht="21.95" customHeight="1" x14ac:dyDescent="0.25">
      <c r="A362" s="146">
        <f>IF('Calendario C'!A22="","",'Calendario C'!A22)</f>
        <v>95</v>
      </c>
      <c r="B362" s="44" t="str">
        <f>IF('Calendario C'!B22="","",'Calendario C'!B22)</f>
        <v/>
      </c>
      <c r="C362" s="45" t="str">
        <f>IF('Calendario C'!C22="","",'Calendario C'!C22)</f>
        <v/>
      </c>
      <c r="D362" s="44" t="str">
        <f>IF('Calendario C'!D22="","",'Calendario C'!D22)</f>
        <v/>
      </c>
      <c r="E362" s="45" t="str">
        <f>IF('Calendario C'!E22="","",'Calendario C'!E22)</f>
        <v/>
      </c>
      <c r="F362" s="138" t="str">
        <f>IF('Calendario C'!F22="","",'Calendario C'!F22)</f>
        <v/>
      </c>
      <c r="G362" s="124"/>
      <c r="H362" s="124"/>
      <c r="I362" s="125"/>
      <c r="J362" s="202" t="str">
        <f>IF('Calendario C'!J22="","",'Calendario C'!J22)</f>
        <v/>
      </c>
      <c r="K362" s="201" t="s">
        <v>198</v>
      </c>
      <c r="L362" s="202" t="str">
        <f>IF('Calendario C'!L22="","",'Calendario C'!L22)</f>
        <v/>
      </c>
      <c r="M362" s="200"/>
      <c r="N362" s="200"/>
      <c r="O362" s="200"/>
      <c r="P362" s="200"/>
      <c r="Q362" s="200"/>
      <c r="R362" s="200"/>
    </row>
    <row r="363" spans="1:18" ht="15" customHeight="1" x14ac:dyDescent="0.25">
      <c r="A363" s="133"/>
      <c r="B363" s="136" t="str">
        <f>IF('Calendario C'!B23="","",'Calendario C'!B23)</f>
        <v/>
      </c>
      <c r="C363" s="124"/>
      <c r="D363" s="124"/>
      <c r="E363" s="124"/>
      <c r="F363" s="124"/>
      <c r="G363" s="124"/>
      <c r="H363" s="125"/>
      <c r="I363" s="45" t="str">
        <f>IF('Calendario C'!I23="","",'Calendario C'!I23)</f>
        <v/>
      </c>
      <c r="J363" s="133"/>
      <c r="K363" s="133"/>
      <c r="L363" s="133"/>
      <c r="M363" s="133"/>
      <c r="N363" s="133"/>
      <c r="O363" s="133"/>
      <c r="P363" s="133"/>
      <c r="Q363" s="133"/>
      <c r="R363" s="133"/>
    </row>
    <row r="365" spans="1:18" ht="20.100000000000001" customHeight="1" x14ac:dyDescent="0.25">
      <c r="A365" s="51" t="str">
        <f>IF('Calendario C'!A25="","",'Calendario C'!A25)</f>
        <v>2C</v>
      </c>
      <c r="B365" s="147" t="str">
        <f>IF('Calendario C'!B25="","",'Calendario C'!B25)</f>
        <v>GIORNATA II - GIRONE C</v>
      </c>
      <c r="C365" s="124"/>
      <c r="D365" s="124"/>
      <c r="E365" s="124"/>
      <c r="F365" s="124"/>
      <c r="G365" s="124"/>
      <c r="H365" s="124"/>
      <c r="I365" s="124"/>
      <c r="J365" s="124"/>
      <c r="K365" s="124"/>
      <c r="L365" s="125"/>
      <c r="M365" s="207" t="s">
        <v>492</v>
      </c>
      <c r="N365" s="124"/>
      <c r="O365" s="125"/>
      <c r="P365" s="207" t="s">
        <v>493</v>
      </c>
      <c r="Q365" s="124"/>
      <c r="R365" s="125"/>
    </row>
    <row r="366" spans="1:18" ht="14.1" customHeight="1" x14ac:dyDescent="0.25">
      <c r="A366" s="52" t="s">
        <v>193</v>
      </c>
      <c r="B366" s="145" t="s">
        <v>175</v>
      </c>
      <c r="C366" s="125"/>
      <c r="D366" s="145" t="s">
        <v>182</v>
      </c>
      <c r="E366" s="125"/>
      <c r="F366" s="52" t="s">
        <v>194</v>
      </c>
      <c r="G366" s="52" t="s">
        <v>195</v>
      </c>
      <c r="H366" s="145" t="s">
        <v>196</v>
      </c>
      <c r="I366" s="125"/>
      <c r="J366" s="145" t="s">
        <v>197</v>
      </c>
      <c r="K366" s="124"/>
      <c r="L366" s="125"/>
      <c r="M366" s="104" t="s">
        <v>494</v>
      </c>
      <c r="N366" s="104" t="s">
        <v>495</v>
      </c>
      <c r="O366" s="104" t="s">
        <v>496</v>
      </c>
      <c r="P366" s="104" t="s">
        <v>497</v>
      </c>
      <c r="Q366" s="104" t="s">
        <v>498</v>
      </c>
      <c r="R366" s="104" t="s">
        <v>499</v>
      </c>
    </row>
    <row r="367" spans="1:18" ht="21.95" customHeight="1" x14ac:dyDescent="0.25">
      <c r="A367" s="146">
        <f>IF('Calendario C'!A27="","",'Calendario C'!A27)</f>
        <v>96</v>
      </c>
      <c r="B367" s="44" t="str">
        <f>IF('Calendario C'!B27="","",'Calendario C'!B27)</f>
        <v/>
      </c>
      <c r="C367" s="45" t="str">
        <f>IF('Calendario C'!C27="","",'Calendario C'!C27)</f>
        <v/>
      </c>
      <c r="D367" s="44" t="str">
        <f>IF('Calendario C'!D27="","",'Calendario C'!D27)</f>
        <v/>
      </c>
      <c r="E367" s="45" t="str">
        <f>IF('Calendario C'!E27="","",'Calendario C'!E27)</f>
        <v/>
      </c>
      <c r="F367" s="138" t="str">
        <f>IF('Calendario C'!F27="","",'Calendario C'!F27)</f>
        <v/>
      </c>
      <c r="G367" s="124"/>
      <c r="H367" s="124"/>
      <c r="I367" s="125"/>
      <c r="J367" s="202" t="str">
        <f>IF('Calendario C'!J27="","",'Calendario C'!J27)</f>
        <v/>
      </c>
      <c r="K367" s="201" t="s">
        <v>198</v>
      </c>
      <c r="L367" s="202" t="str">
        <f>IF('Calendario C'!L27="","",'Calendario C'!L27)</f>
        <v/>
      </c>
      <c r="M367" s="200"/>
      <c r="N367" s="200"/>
      <c r="O367" s="200"/>
      <c r="P367" s="200"/>
      <c r="Q367" s="200"/>
      <c r="R367" s="200"/>
    </row>
    <row r="368" spans="1:18" ht="15" customHeight="1" x14ac:dyDescent="0.25">
      <c r="A368" s="133"/>
      <c r="B368" s="136" t="str">
        <f>IF('Calendario C'!B28="","",'Calendario C'!B28)</f>
        <v/>
      </c>
      <c r="C368" s="124"/>
      <c r="D368" s="124"/>
      <c r="E368" s="124"/>
      <c r="F368" s="124"/>
      <c r="G368" s="124"/>
      <c r="H368" s="125"/>
      <c r="I368" s="45" t="str">
        <f>IF('Calendario C'!I28="","",'Calendario C'!I28)</f>
        <v/>
      </c>
      <c r="J368" s="133"/>
      <c r="K368" s="133"/>
      <c r="L368" s="133"/>
      <c r="M368" s="133"/>
      <c r="N368" s="133"/>
      <c r="O368" s="133"/>
      <c r="P368" s="133"/>
      <c r="Q368" s="133"/>
      <c r="R368" s="133"/>
    </row>
    <row r="369" spans="1:18" ht="14.1" customHeight="1" x14ac:dyDescent="0.25">
      <c r="A369" s="52" t="s">
        <v>193</v>
      </c>
      <c r="B369" s="145" t="s">
        <v>175</v>
      </c>
      <c r="C369" s="125"/>
      <c r="D369" s="145" t="s">
        <v>182</v>
      </c>
      <c r="E369" s="125"/>
      <c r="F369" s="52" t="s">
        <v>194</v>
      </c>
      <c r="G369" s="52" t="s">
        <v>195</v>
      </c>
      <c r="H369" s="145" t="s">
        <v>196</v>
      </c>
      <c r="I369" s="125"/>
      <c r="J369" s="145" t="s">
        <v>197</v>
      </c>
      <c r="K369" s="124"/>
      <c r="L369" s="125"/>
      <c r="M369" s="104" t="s">
        <v>494</v>
      </c>
      <c r="N369" s="104" t="s">
        <v>495</v>
      </c>
      <c r="O369" s="104" t="s">
        <v>496</v>
      </c>
      <c r="P369" s="104" t="s">
        <v>497</v>
      </c>
      <c r="Q369" s="104" t="s">
        <v>498</v>
      </c>
      <c r="R369" s="104" t="s">
        <v>499</v>
      </c>
    </row>
    <row r="370" spans="1:18" ht="21.95" customHeight="1" x14ac:dyDescent="0.25">
      <c r="A370" s="146">
        <f>IF('Calendario C'!A30="","",'Calendario C'!A30)</f>
        <v>97</v>
      </c>
      <c r="B370" s="44" t="str">
        <f>IF('Calendario C'!B30="","",'Calendario C'!B30)</f>
        <v/>
      </c>
      <c r="C370" s="45" t="str">
        <f>IF('Calendario C'!C30="","",'Calendario C'!C30)</f>
        <v/>
      </c>
      <c r="D370" s="44" t="str">
        <f>IF('Calendario C'!D30="","",'Calendario C'!D30)</f>
        <v/>
      </c>
      <c r="E370" s="45" t="str">
        <f>IF('Calendario C'!E30="","",'Calendario C'!E30)</f>
        <v/>
      </c>
      <c r="F370" s="138" t="str">
        <f>IF('Calendario C'!F30="","",'Calendario C'!F30)</f>
        <v/>
      </c>
      <c r="G370" s="124"/>
      <c r="H370" s="124"/>
      <c r="I370" s="125"/>
      <c r="J370" s="202" t="str">
        <f>IF('Calendario C'!J30="","",'Calendario C'!J30)</f>
        <v/>
      </c>
      <c r="K370" s="201" t="s">
        <v>198</v>
      </c>
      <c r="L370" s="202" t="str">
        <f>IF('Calendario C'!L30="","",'Calendario C'!L30)</f>
        <v/>
      </c>
      <c r="M370" s="200"/>
      <c r="N370" s="200"/>
      <c r="O370" s="200"/>
      <c r="P370" s="200"/>
      <c r="Q370" s="200"/>
      <c r="R370" s="200"/>
    </row>
    <row r="371" spans="1:18" ht="15" customHeight="1" x14ac:dyDescent="0.25">
      <c r="A371" s="133"/>
      <c r="B371" s="136" t="str">
        <f>IF('Calendario C'!B31="","",'Calendario C'!B31)</f>
        <v/>
      </c>
      <c r="C371" s="124"/>
      <c r="D371" s="124"/>
      <c r="E371" s="124"/>
      <c r="F371" s="124"/>
      <c r="G371" s="124"/>
      <c r="H371" s="125"/>
      <c r="I371" s="45" t="str">
        <f>IF('Calendario C'!I31="","",'Calendario C'!I31)</f>
        <v/>
      </c>
      <c r="J371" s="133"/>
      <c r="K371" s="133"/>
      <c r="L371" s="133"/>
      <c r="M371" s="133"/>
      <c r="N371" s="133"/>
      <c r="O371" s="133"/>
      <c r="P371" s="133"/>
      <c r="Q371" s="133"/>
      <c r="R371" s="133"/>
    </row>
    <row r="372" spans="1:18" ht="14.1" customHeight="1" x14ac:dyDescent="0.25">
      <c r="A372" s="52" t="s">
        <v>193</v>
      </c>
      <c r="B372" s="145" t="s">
        <v>175</v>
      </c>
      <c r="C372" s="125"/>
      <c r="D372" s="145" t="s">
        <v>182</v>
      </c>
      <c r="E372" s="125"/>
      <c r="F372" s="52" t="s">
        <v>194</v>
      </c>
      <c r="G372" s="52" t="s">
        <v>195</v>
      </c>
      <c r="H372" s="145" t="s">
        <v>196</v>
      </c>
      <c r="I372" s="125"/>
      <c r="J372" s="145" t="s">
        <v>197</v>
      </c>
      <c r="K372" s="124"/>
      <c r="L372" s="125"/>
      <c r="M372" s="104" t="s">
        <v>494</v>
      </c>
      <c r="N372" s="104" t="s">
        <v>495</v>
      </c>
      <c r="O372" s="104" t="s">
        <v>496</v>
      </c>
      <c r="P372" s="104" t="s">
        <v>497</v>
      </c>
      <c r="Q372" s="104" t="s">
        <v>498</v>
      </c>
      <c r="R372" s="104" t="s">
        <v>499</v>
      </c>
    </row>
    <row r="373" spans="1:18" ht="21.95" customHeight="1" x14ac:dyDescent="0.25">
      <c r="A373" s="146">
        <f>IF('Calendario C'!A33="","",'Calendario C'!A33)</f>
        <v>98</v>
      </c>
      <c r="B373" s="44" t="str">
        <f>IF('Calendario C'!B33="","",'Calendario C'!B33)</f>
        <v/>
      </c>
      <c r="C373" s="45" t="str">
        <f>IF('Calendario C'!C33="","",'Calendario C'!C33)</f>
        <v/>
      </c>
      <c r="D373" s="44" t="str">
        <f>IF('Calendario C'!D33="","",'Calendario C'!D33)</f>
        <v/>
      </c>
      <c r="E373" s="45" t="str">
        <f>IF('Calendario C'!E33="","",'Calendario C'!E33)</f>
        <v/>
      </c>
      <c r="F373" s="138" t="str">
        <f>IF('Calendario C'!F33="","",'Calendario C'!F33)</f>
        <v/>
      </c>
      <c r="G373" s="124"/>
      <c r="H373" s="124"/>
      <c r="I373" s="125"/>
      <c r="J373" s="202" t="str">
        <f>IF('Calendario C'!J33="","",'Calendario C'!J33)</f>
        <v/>
      </c>
      <c r="K373" s="201" t="s">
        <v>198</v>
      </c>
      <c r="L373" s="202" t="str">
        <f>IF('Calendario C'!L33="","",'Calendario C'!L33)</f>
        <v/>
      </c>
      <c r="M373" s="200"/>
      <c r="N373" s="200"/>
      <c r="O373" s="200"/>
      <c r="P373" s="200"/>
      <c r="Q373" s="200"/>
      <c r="R373" s="200"/>
    </row>
    <row r="374" spans="1:18" ht="15" customHeight="1" x14ac:dyDescent="0.25">
      <c r="A374" s="133"/>
      <c r="B374" s="136" t="str">
        <f>IF('Calendario C'!B34="","",'Calendario C'!B34)</f>
        <v/>
      </c>
      <c r="C374" s="124"/>
      <c r="D374" s="124"/>
      <c r="E374" s="124"/>
      <c r="F374" s="124"/>
      <c r="G374" s="124"/>
      <c r="H374" s="125"/>
      <c r="I374" s="45" t="str">
        <f>IF('Calendario C'!I34="","",'Calendario C'!I34)</f>
        <v/>
      </c>
      <c r="J374" s="133"/>
      <c r="K374" s="133"/>
      <c r="L374" s="133"/>
      <c r="M374" s="133"/>
      <c r="N374" s="133"/>
      <c r="O374" s="133"/>
      <c r="P374" s="133"/>
      <c r="Q374" s="133"/>
      <c r="R374" s="133"/>
    </row>
    <row r="375" spans="1:18" ht="14.1" customHeight="1" x14ac:dyDescent="0.25">
      <c r="A375" s="52" t="s">
        <v>193</v>
      </c>
      <c r="B375" s="145" t="s">
        <v>175</v>
      </c>
      <c r="C375" s="125"/>
      <c r="D375" s="145" t="s">
        <v>182</v>
      </c>
      <c r="E375" s="125"/>
      <c r="F375" s="52" t="s">
        <v>194</v>
      </c>
      <c r="G375" s="52" t="s">
        <v>195</v>
      </c>
      <c r="H375" s="145" t="s">
        <v>196</v>
      </c>
      <c r="I375" s="125"/>
      <c r="J375" s="145" t="s">
        <v>197</v>
      </c>
      <c r="K375" s="124"/>
      <c r="L375" s="125"/>
      <c r="M375" s="104" t="s">
        <v>494</v>
      </c>
      <c r="N375" s="104" t="s">
        <v>495</v>
      </c>
      <c r="O375" s="104" t="s">
        <v>496</v>
      </c>
      <c r="P375" s="104" t="s">
        <v>497</v>
      </c>
      <c r="Q375" s="104" t="s">
        <v>498</v>
      </c>
      <c r="R375" s="104" t="s">
        <v>499</v>
      </c>
    </row>
    <row r="376" spans="1:18" ht="21.95" customHeight="1" x14ac:dyDescent="0.25">
      <c r="A376" s="146">
        <f>IF('Calendario C'!A36="","",'Calendario C'!A36)</f>
        <v>99</v>
      </c>
      <c r="B376" s="44" t="str">
        <f>IF('Calendario C'!B36="","",'Calendario C'!B36)</f>
        <v/>
      </c>
      <c r="C376" s="45" t="str">
        <f>IF('Calendario C'!C36="","",'Calendario C'!C36)</f>
        <v/>
      </c>
      <c r="D376" s="44" t="str">
        <f>IF('Calendario C'!D36="","",'Calendario C'!D36)</f>
        <v/>
      </c>
      <c r="E376" s="45" t="str">
        <f>IF('Calendario C'!E36="","",'Calendario C'!E36)</f>
        <v/>
      </c>
      <c r="F376" s="138" t="str">
        <f>IF('Calendario C'!F36="","",'Calendario C'!F36)</f>
        <v/>
      </c>
      <c r="G376" s="124"/>
      <c r="H376" s="124"/>
      <c r="I376" s="125"/>
      <c r="J376" s="202" t="str">
        <f>IF('Calendario C'!J36="","",'Calendario C'!J36)</f>
        <v/>
      </c>
      <c r="K376" s="201" t="s">
        <v>198</v>
      </c>
      <c r="L376" s="202" t="str">
        <f>IF('Calendario C'!L36="","",'Calendario C'!L36)</f>
        <v/>
      </c>
      <c r="M376" s="200"/>
      <c r="N376" s="200"/>
      <c r="O376" s="200"/>
      <c r="P376" s="200"/>
      <c r="Q376" s="200"/>
      <c r="R376" s="200"/>
    </row>
    <row r="377" spans="1:18" ht="15" customHeight="1" x14ac:dyDescent="0.25">
      <c r="A377" s="133"/>
      <c r="B377" s="136" t="str">
        <f>IF('Calendario C'!B37="","",'Calendario C'!B37)</f>
        <v/>
      </c>
      <c r="C377" s="124"/>
      <c r="D377" s="124"/>
      <c r="E377" s="124"/>
      <c r="F377" s="124"/>
      <c r="G377" s="124"/>
      <c r="H377" s="125"/>
      <c r="I377" s="45" t="str">
        <f>IF('Calendario C'!I37="","",'Calendario C'!I37)</f>
        <v/>
      </c>
      <c r="J377" s="133"/>
      <c r="K377" s="133"/>
      <c r="L377" s="133"/>
      <c r="M377" s="133"/>
      <c r="N377" s="133"/>
      <c r="O377" s="133"/>
      <c r="P377" s="133"/>
      <c r="Q377" s="133"/>
      <c r="R377" s="133"/>
    </row>
    <row r="378" spans="1:18" ht="14.1" customHeight="1" x14ac:dyDescent="0.25">
      <c r="A378" s="52" t="s">
        <v>193</v>
      </c>
      <c r="B378" s="145" t="s">
        <v>175</v>
      </c>
      <c r="C378" s="125"/>
      <c r="D378" s="145" t="s">
        <v>182</v>
      </c>
      <c r="E378" s="125"/>
      <c r="F378" s="52" t="s">
        <v>194</v>
      </c>
      <c r="G378" s="52" t="s">
        <v>195</v>
      </c>
      <c r="H378" s="145" t="s">
        <v>196</v>
      </c>
      <c r="I378" s="125"/>
      <c r="J378" s="145" t="s">
        <v>197</v>
      </c>
      <c r="K378" s="124"/>
      <c r="L378" s="125"/>
      <c r="M378" s="104" t="s">
        <v>494</v>
      </c>
      <c r="N378" s="104" t="s">
        <v>495</v>
      </c>
      <c r="O378" s="104" t="s">
        <v>496</v>
      </c>
      <c r="P378" s="104" t="s">
        <v>497</v>
      </c>
      <c r="Q378" s="104" t="s">
        <v>498</v>
      </c>
      <c r="R378" s="104" t="s">
        <v>499</v>
      </c>
    </row>
    <row r="379" spans="1:18" ht="21.95" customHeight="1" x14ac:dyDescent="0.25">
      <c r="A379" s="146">
        <f>IF('Calendario C'!A39="","",'Calendario C'!A39)</f>
        <v>100</v>
      </c>
      <c r="B379" s="44" t="str">
        <f>IF('Calendario C'!B39="","",'Calendario C'!B39)</f>
        <v/>
      </c>
      <c r="C379" s="45" t="str">
        <f>IF('Calendario C'!C39="","",'Calendario C'!C39)</f>
        <v/>
      </c>
      <c r="D379" s="44" t="str">
        <f>IF('Calendario C'!D39="","",'Calendario C'!D39)</f>
        <v/>
      </c>
      <c r="E379" s="45" t="str">
        <f>IF('Calendario C'!E39="","",'Calendario C'!E39)</f>
        <v/>
      </c>
      <c r="F379" s="138" t="str">
        <f>IF('Calendario C'!F39="","",'Calendario C'!F39)</f>
        <v/>
      </c>
      <c r="G379" s="124"/>
      <c r="H379" s="124"/>
      <c r="I379" s="125"/>
      <c r="J379" s="202" t="str">
        <f>IF('Calendario C'!J39="","",'Calendario C'!J39)</f>
        <v/>
      </c>
      <c r="K379" s="201" t="s">
        <v>198</v>
      </c>
      <c r="L379" s="202" t="str">
        <f>IF('Calendario C'!L39="","",'Calendario C'!L39)</f>
        <v/>
      </c>
      <c r="M379" s="200"/>
      <c r="N379" s="200"/>
      <c r="O379" s="200"/>
      <c r="P379" s="200"/>
      <c r="Q379" s="200"/>
      <c r="R379" s="200"/>
    </row>
    <row r="380" spans="1:18" ht="15" customHeight="1" x14ac:dyDescent="0.25">
      <c r="A380" s="133"/>
      <c r="B380" s="136" t="str">
        <f>IF('Calendario C'!B40="","",'Calendario C'!B40)</f>
        <v/>
      </c>
      <c r="C380" s="124"/>
      <c r="D380" s="124"/>
      <c r="E380" s="124"/>
      <c r="F380" s="124"/>
      <c r="G380" s="124"/>
      <c r="H380" s="125"/>
      <c r="I380" s="45" t="str">
        <f>IF('Calendario C'!I40="","",'Calendario C'!I40)</f>
        <v/>
      </c>
      <c r="J380" s="133"/>
      <c r="K380" s="133"/>
      <c r="L380" s="133"/>
      <c r="M380" s="133"/>
      <c r="N380" s="133"/>
      <c r="O380" s="133"/>
      <c r="P380" s="133"/>
      <c r="Q380" s="133"/>
      <c r="R380" s="133"/>
    </row>
    <row r="382" spans="1:18" ht="20.100000000000001" customHeight="1" x14ac:dyDescent="0.25">
      <c r="A382" s="51" t="str">
        <f>IF('Calendario C'!A42="","",'Calendario C'!A42)</f>
        <v>3C</v>
      </c>
      <c r="B382" s="147" t="str">
        <f>IF('Calendario C'!B42="","",'Calendario C'!B42)</f>
        <v>GIORNATA III - GIRONE C</v>
      </c>
      <c r="C382" s="124"/>
      <c r="D382" s="124"/>
      <c r="E382" s="124"/>
      <c r="F382" s="124"/>
      <c r="G382" s="124"/>
      <c r="H382" s="124"/>
      <c r="I382" s="124"/>
      <c r="J382" s="124"/>
      <c r="K382" s="124"/>
      <c r="L382" s="125"/>
      <c r="M382" s="207" t="s">
        <v>492</v>
      </c>
      <c r="N382" s="124"/>
      <c r="O382" s="125"/>
      <c r="P382" s="207" t="s">
        <v>493</v>
      </c>
      <c r="Q382" s="124"/>
      <c r="R382" s="125"/>
    </row>
    <row r="383" spans="1:18" ht="14.1" customHeight="1" x14ac:dyDescent="0.25">
      <c r="A383" s="52" t="s">
        <v>193</v>
      </c>
      <c r="B383" s="145" t="s">
        <v>175</v>
      </c>
      <c r="C383" s="125"/>
      <c r="D383" s="145" t="s">
        <v>182</v>
      </c>
      <c r="E383" s="125"/>
      <c r="F383" s="52" t="s">
        <v>194</v>
      </c>
      <c r="G383" s="52" t="s">
        <v>195</v>
      </c>
      <c r="H383" s="145" t="s">
        <v>196</v>
      </c>
      <c r="I383" s="125"/>
      <c r="J383" s="145" t="s">
        <v>197</v>
      </c>
      <c r="K383" s="124"/>
      <c r="L383" s="125"/>
      <c r="M383" s="104" t="s">
        <v>494</v>
      </c>
      <c r="N383" s="104" t="s">
        <v>495</v>
      </c>
      <c r="O383" s="104" t="s">
        <v>496</v>
      </c>
      <c r="P383" s="104" t="s">
        <v>497</v>
      </c>
      <c r="Q383" s="104" t="s">
        <v>498</v>
      </c>
      <c r="R383" s="104" t="s">
        <v>499</v>
      </c>
    </row>
    <row r="384" spans="1:18" ht="21.95" customHeight="1" x14ac:dyDescent="0.25">
      <c r="A384" s="146">
        <f>IF('Calendario C'!A44="","",'Calendario C'!A44)</f>
        <v>101</v>
      </c>
      <c r="B384" s="44" t="str">
        <f>IF('Calendario C'!B44="","",'Calendario C'!B44)</f>
        <v/>
      </c>
      <c r="C384" s="45" t="str">
        <f>IF('Calendario C'!C44="","",'Calendario C'!C44)</f>
        <v/>
      </c>
      <c r="D384" s="44" t="str">
        <f>IF('Calendario C'!D44="","",'Calendario C'!D44)</f>
        <v/>
      </c>
      <c r="E384" s="45" t="str">
        <f>IF('Calendario C'!E44="","",'Calendario C'!E44)</f>
        <v/>
      </c>
      <c r="F384" s="138" t="str">
        <f>IF('Calendario C'!F44="","",'Calendario C'!F44)</f>
        <v/>
      </c>
      <c r="G384" s="124"/>
      <c r="H384" s="124"/>
      <c r="I384" s="125"/>
      <c r="J384" s="202" t="str">
        <f>IF('Calendario C'!J44="","",'Calendario C'!J44)</f>
        <v/>
      </c>
      <c r="K384" s="201" t="s">
        <v>198</v>
      </c>
      <c r="L384" s="202" t="str">
        <f>IF('Calendario C'!L44="","",'Calendario C'!L44)</f>
        <v/>
      </c>
      <c r="M384" s="200"/>
      <c r="N384" s="200"/>
      <c r="O384" s="200"/>
      <c r="P384" s="200"/>
      <c r="Q384" s="200"/>
      <c r="R384" s="200"/>
    </row>
    <row r="385" spans="1:18" ht="15" customHeight="1" x14ac:dyDescent="0.25">
      <c r="A385" s="133"/>
      <c r="B385" s="136" t="str">
        <f>IF('Calendario C'!B45="","",'Calendario C'!B45)</f>
        <v/>
      </c>
      <c r="C385" s="124"/>
      <c r="D385" s="124"/>
      <c r="E385" s="124"/>
      <c r="F385" s="124"/>
      <c r="G385" s="124"/>
      <c r="H385" s="125"/>
      <c r="I385" s="45" t="str">
        <f>IF('Calendario C'!I45="","",'Calendario C'!I45)</f>
        <v/>
      </c>
      <c r="J385" s="133"/>
      <c r="K385" s="133"/>
      <c r="L385" s="133"/>
      <c r="M385" s="133"/>
      <c r="N385" s="133"/>
      <c r="O385" s="133"/>
      <c r="P385" s="133"/>
      <c r="Q385" s="133"/>
      <c r="R385" s="133"/>
    </row>
    <row r="386" spans="1:18" ht="14.1" customHeight="1" x14ac:dyDescent="0.25">
      <c r="A386" s="52" t="s">
        <v>193</v>
      </c>
      <c r="B386" s="145" t="s">
        <v>175</v>
      </c>
      <c r="C386" s="125"/>
      <c r="D386" s="145" t="s">
        <v>182</v>
      </c>
      <c r="E386" s="125"/>
      <c r="F386" s="52" t="s">
        <v>194</v>
      </c>
      <c r="G386" s="52" t="s">
        <v>195</v>
      </c>
      <c r="H386" s="145" t="s">
        <v>196</v>
      </c>
      <c r="I386" s="125"/>
      <c r="J386" s="145" t="s">
        <v>197</v>
      </c>
      <c r="K386" s="124"/>
      <c r="L386" s="125"/>
      <c r="M386" s="104" t="s">
        <v>494</v>
      </c>
      <c r="N386" s="104" t="s">
        <v>495</v>
      </c>
      <c r="O386" s="104" t="s">
        <v>496</v>
      </c>
      <c r="P386" s="104" t="s">
        <v>497</v>
      </c>
      <c r="Q386" s="104" t="s">
        <v>498</v>
      </c>
      <c r="R386" s="104" t="s">
        <v>499</v>
      </c>
    </row>
    <row r="387" spans="1:18" ht="21.95" customHeight="1" x14ac:dyDescent="0.25">
      <c r="A387" s="146">
        <f>IF('Calendario C'!A47="","",'Calendario C'!A47)</f>
        <v>102</v>
      </c>
      <c r="B387" s="44" t="str">
        <f>IF('Calendario C'!B47="","",'Calendario C'!B47)</f>
        <v/>
      </c>
      <c r="C387" s="45" t="str">
        <f>IF('Calendario C'!C47="","",'Calendario C'!C47)</f>
        <v/>
      </c>
      <c r="D387" s="44" t="str">
        <f>IF('Calendario C'!D47="","",'Calendario C'!D47)</f>
        <v/>
      </c>
      <c r="E387" s="45" t="str">
        <f>IF('Calendario C'!E47="","",'Calendario C'!E47)</f>
        <v/>
      </c>
      <c r="F387" s="138" t="str">
        <f>IF('Calendario C'!F47="","",'Calendario C'!F47)</f>
        <v/>
      </c>
      <c r="G387" s="124"/>
      <c r="H387" s="124"/>
      <c r="I387" s="125"/>
      <c r="J387" s="202" t="str">
        <f>IF('Calendario C'!J47="","",'Calendario C'!J47)</f>
        <v/>
      </c>
      <c r="K387" s="201" t="s">
        <v>198</v>
      </c>
      <c r="L387" s="202" t="str">
        <f>IF('Calendario C'!L47="","",'Calendario C'!L47)</f>
        <v/>
      </c>
      <c r="M387" s="200"/>
      <c r="N387" s="200"/>
      <c r="O387" s="200"/>
      <c r="P387" s="200"/>
      <c r="Q387" s="200"/>
      <c r="R387" s="200"/>
    </row>
    <row r="388" spans="1:18" ht="15" customHeight="1" x14ac:dyDescent="0.25">
      <c r="A388" s="133"/>
      <c r="B388" s="136" t="str">
        <f>IF('Calendario C'!B48="","",'Calendario C'!B48)</f>
        <v/>
      </c>
      <c r="C388" s="124"/>
      <c r="D388" s="124"/>
      <c r="E388" s="124"/>
      <c r="F388" s="124"/>
      <c r="G388" s="124"/>
      <c r="H388" s="125"/>
      <c r="I388" s="45" t="str">
        <f>IF('Calendario C'!I48="","",'Calendario C'!I48)</f>
        <v/>
      </c>
      <c r="J388" s="133"/>
      <c r="K388" s="133"/>
      <c r="L388" s="133"/>
      <c r="M388" s="133"/>
      <c r="N388" s="133"/>
      <c r="O388" s="133"/>
      <c r="P388" s="133"/>
      <c r="Q388" s="133"/>
      <c r="R388" s="133"/>
    </row>
    <row r="389" spans="1:18" ht="14.1" customHeight="1" x14ac:dyDescent="0.25">
      <c r="A389" s="52" t="s">
        <v>193</v>
      </c>
      <c r="B389" s="145" t="s">
        <v>175</v>
      </c>
      <c r="C389" s="125"/>
      <c r="D389" s="145" t="s">
        <v>182</v>
      </c>
      <c r="E389" s="125"/>
      <c r="F389" s="52" t="s">
        <v>194</v>
      </c>
      <c r="G389" s="52" t="s">
        <v>195</v>
      </c>
      <c r="H389" s="145" t="s">
        <v>196</v>
      </c>
      <c r="I389" s="125"/>
      <c r="J389" s="145" t="s">
        <v>197</v>
      </c>
      <c r="K389" s="124"/>
      <c r="L389" s="125"/>
      <c r="M389" s="104" t="s">
        <v>494</v>
      </c>
      <c r="N389" s="104" t="s">
        <v>495</v>
      </c>
      <c r="O389" s="104" t="s">
        <v>496</v>
      </c>
      <c r="P389" s="104" t="s">
        <v>497</v>
      </c>
      <c r="Q389" s="104" t="s">
        <v>498</v>
      </c>
      <c r="R389" s="104" t="s">
        <v>499</v>
      </c>
    </row>
    <row r="390" spans="1:18" ht="21.95" customHeight="1" x14ac:dyDescent="0.25">
      <c r="A390" s="146">
        <f>IF('Calendario C'!A50="","",'Calendario C'!A50)</f>
        <v>103</v>
      </c>
      <c r="B390" s="44" t="str">
        <f>IF('Calendario C'!B50="","",'Calendario C'!B50)</f>
        <v/>
      </c>
      <c r="C390" s="45" t="str">
        <f>IF('Calendario C'!C50="","",'Calendario C'!C50)</f>
        <v/>
      </c>
      <c r="D390" s="44" t="str">
        <f>IF('Calendario C'!D50="","",'Calendario C'!D50)</f>
        <v/>
      </c>
      <c r="E390" s="45" t="str">
        <f>IF('Calendario C'!E50="","",'Calendario C'!E50)</f>
        <v/>
      </c>
      <c r="F390" s="138" t="str">
        <f>IF('Calendario C'!F50="","",'Calendario C'!F50)</f>
        <v/>
      </c>
      <c r="G390" s="124"/>
      <c r="H390" s="124"/>
      <c r="I390" s="125"/>
      <c r="J390" s="202" t="str">
        <f>IF('Calendario C'!J50="","",'Calendario C'!J50)</f>
        <v/>
      </c>
      <c r="K390" s="201" t="s">
        <v>198</v>
      </c>
      <c r="L390" s="202" t="str">
        <f>IF('Calendario C'!L50="","",'Calendario C'!L50)</f>
        <v/>
      </c>
      <c r="M390" s="200"/>
      <c r="N390" s="200"/>
      <c r="O390" s="200"/>
      <c r="P390" s="200"/>
      <c r="Q390" s="200"/>
      <c r="R390" s="200"/>
    </row>
    <row r="391" spans="1:18" ht="15" customHeight="1" x14ac:dyDescent="0.25">
      <c r="A391" s="133"/>
      <c r="B391" s="136" t="str">
        <f>IF('Calendario C'!B51="","",'Calendario C'!B51)</f>
        <v/>
      </c>
      <c r="C391" s="124"/>
      <c r="D391" s="124"/>
      <c r="E391" s="124"/>
      <c r="F391" s="124"/>
      <c r="G391" s="124"/>
      <c r="H391" s="125"/>
      <c r="I391" s="45" t="str">
        <f>IF('Calendario C'!I51="","",'Calendario C'!I51)</f>
        <v/>
      </c>
      <c r="J391" s="133"/>
      <c r="K391" s="133"/>
      <c r="L391" s="133"/>
      <c r="M391" s="133"/>
      <c r="N391" s="133"/>
      <c r="O391" s="133"/>
      <c r="P391" s="133"/>
      <c r="Q391" s="133"/>
      <c r="R391" s="133"/>
    </row>
    <row r="392" spans="1:18" ht="14.1" customHeight="1" x14ac:dyDescent="0.25">
      <c r="A392" s="52" t="s">
        <v>193</v>
      </c>
      <c r="B392" s="145" t="s">
        <v>175</v>
      </c>
      <c r="C392" s="125"/>
      <c r="D392" s="145" t="s">
        <v>182</v>
      </c>
      <c r="E392" s="125"/>
      <c r="F392" s="52" t="s">
        <v>194</v>
      </c>
      <c r="G392" s="52" t="s">
        <v>195</v>
      </c>
      <c r="H392" s="145" t="s">
        <v>196</v>
      </c>
      <c r="I392" s="125"/>
      <c r="J392" s="145" t="s">
        <v>197</v>
      </c>
      <c r="K392" s="124"/>
      <c r="L392" s="125"/>
      <c r="M392" s="104" t="s">
        <v>494</v>
      </c>
      <c r="N392" s="104" t="s">
        <v>495</v>
      </c>
      <c r="O392" s="104" t="s">
        <v>496</v>
      </c>
      <c r="P392" s="104" t="s">
        <v>497</v>
      </c>
      <c r="Q392" s="104" t="s">
        <v>498</v>
      </c>
      <c r="R392" s="104" t="s">
        <v>499</v>
      </c>
    </row>
    <row r="393" spans="1:18" ht="21.95" customHeight="1" x14ac:dyDescent="0.25">
      <c r="A393" s="146">
        <f>IF('Calendario C'!A53="","",'Calendario C'!A53)</f>
        <v>104</v>
      </c>
      <c r="B393" s="44" t="str">
        <f>IF('Calendario C'!B53="","",'Calendario C'!B53)</f>
        <v/>
      </c>
      <c r="C393" s="45" t="str">
        <f>IF('Calendario C'!C53="","",'Calendario C'!C53)</f>
        <v/>
      </c>
      <c r="D393" s="44" t="str">
        <f>IF('Calendario C'!D53="","",'Calendario C'!D53)</f>
        <v/>
      </c>
      <c r="E393" s="45" t="str">
        <f>IF('Calendario C'!E53="","",'Calendario C'!E53)</f>
        <v/>
      </c>
      <c r="F393" s="138" t="str">
        <f>IF('Calendario C'!F53="","",'Calendario C'!F53)</f>
        <v/>
      </c>
      <c r="G393" s="124"/>
      <c r="H393" s="124"/>
      <c r="I393" s="125"/>
      <c r="J393" s="202" t="str">
        <f>IF('Calendario C'!J53="","",'Calendario C'!J53)</f>
        <v/>
      </c>
      <c r="K393" s="201" t="s">
        <v>198</v>
      </c>
      <c r="L393" s="202" t="str">
        <f>IF('Calendario C'!L53="","",'Calendario C'!L53)</f>
        <v/>
      </c>
      <c r="M393" s="200"/>
      <c r="N393" s="200"/>
      <c r="O393" s="200"/>
      <c r="P393" s="200"/>
      <c r="Q393" s="200"/>
      <c r="R393" s="200"/>
    </row>
    <row r="394" spans="1:18" ht="15" customHeight="1" x14ac:dyDescent="0.25">
      <c r="A394" s="133"/>
      <c r="B394" s="136" t="str">
        <f>IF('Calendario C'!B54="","",'Calendario C'!B54)</f>
        <v/>
      </c>
      <c r="C394" s="124"/>
      <c r="D394" s="124"/>
      <c r="E394" s="124"/>
      <c r="F394" s="124"/>
      <c r="G394" s="124"/>
      <c r="H394" s="125"/>
      <c r="I394" s="45" t="str">
        <f>IF('Calendario C'!I54="","",'Calendario C'!I54)</f>
        <v/>
      </c>
      <c r="J394" s="133"/>
      <c r="K394" s="133"/>
      <c r="L394" s="133"/>
      <c r="M394" s="133"/>
      <c r="N394" s="133"/>
      <c r="O394" s="133"/>
      <c r="P394" s="133"/>
      <c r="Q394" s="133"/>
      <c r="R394" s="133"/>
    </row>
    <row r="395" spans="1:18" ht="14.1" customHeight="1" x14ac:dyDescent="0.25">
      <c r="A395" s="52" t="s">
        <v>193</v>
      </c>
      <c r="B395" s="145" t="s">
        <v>175</v>
      </c>
      <c r="C395" s="125"/>
      <c r="D395" s="145" t="s">
        <v>182</v>
      </c>
      <c r="E395" s="125"/>
      <c r="F395" s="52" t="s">
        <v>194</v>
      </c>
      <c r="G395" s="52" t="s">
        <v>195</v>
      </c>
      <c r="H395" s="145" t="s">
        <v>196</v>
      </c>
      <c r="I395" s="125"/>
      <c r="J395" s="145" t="s">
        <v>197</v>
      </c>
      <c r="K395" s="124"/>
      <c r="L395" s="125"/>
      <c r="M395" s="104" t="s">
        <v>494</v>
      </c>
      <c r="N395" s="104" t="s">
        <v>495</v>
      </c>
      <c r="O395" s="104" t="s">
        <v>496</v>
      </c>
      <c r="P395" s="104" t="s">
        <v>497</v>
      </c>
      <c r="Q395" s="104" t="s">
        <v>498</v>
      </c>
      <c r="R395" s="104" t="s">
        <v>499</v>
      </c>
    </row>
    <row r="396" spans="1:18" ht="21.95" customHeight="1" x14ac:dyDescent="0.25">
      <c r="A396" s="146">
        <f>IF('Calendario C'!A56="","",'Calendario C'!A56)</f>
        <v>105</v>
      </c>
      <c r="B396" s="44" t="str">
        <f>IF('Calendario C'!B56="","",'Calendario C'!B56)</f>
        <v/>
      </c>
      <c r="C396" s="45" t="str">
        <f>IF('Calendario C'!C56="","",'Calendario C'!C56)</f>
        <v/>
      </c>
      <c r="D396" s="44" t="str">
        <f>IF('Calendario C'!D56="","",'Calendario C'!D56)</f>
        <v/>
      </c>
      <c r="E396" s="45" t="str">
        <f>IF('Calendario C'!E56="","",'Calendario C'!E56)</f>
        <v/>
      </c>
      <c r="F396" s="138" t="str">
        <f>IF('Calendario C'!F56="","",'Calendario C'!F56)</f>
        <v/>
      </c>
      <c r="G396" s="124"/>
      <c r="H396" s="124"/>
      <c r="I396" s="125"/>
      <c r="J396" s="202" t="str">
        <f>IF('Calendario C'!J56="","",'Calendario C'!J56)</f>
        <v/>
      </c>
      <c r="K396" s="201" t="s">
        <v>198</v>
      </c>
      <c r="L396" s="202" t="str">
        <f>IF('Calendario C'!L56="","",'Calendario C'!L56)</f>
        <v/>
      </c>
      <c r="M396" s="200"/>
      <c r="N396" s="200"/>
      <c r="O396" s="200"/>
      <c r="P396" s="200"/>
      <c r="Q396" s="200"/>
      <c r="R396" s="200"/>
    </row>
    <row r="397" spans="1:18" ht="15" customHeight="1" x14ac:dyDescent="0.25">
      <c r="A397" s="133"/>
      <c r="B397" s="136" t="str">
        <f>IF('Calendario C'!B57="","",'Calendario C'!B57)</f>
        <v/>
      </c>
      <c r="C397" s="124"/>
      <c r="D397" s="124"/>
      <c r="E397" s="124"/>
      <c r="F397" s="124"/>
      <c r="G397" s="124"/>
      <c r="H397" s="125"/>
      <c r="I397" s="45" t="str">
        <f>IF('Calendario C'!I57="","",'Calendario C'!I57)</f>
        <v/>
      </c>
      <c r="J397" s="133"/>
      <c r="K397" s="133"/>
      <c r="L397" s="133"/>
      <c r="M397" s="133"/>
      <c r="N397" s="133"/>
      <c r="O397" s="133"/>
      <c r="P397" s="133"/>
      <c r="Q397" s="133"/>
      <c r="R397" s="133"/>
    </row>
    <row r="399" spans="1:18" ht="20.100000000000001" customHeight="1" x14ac:dyDescent="0.25">
      <c r="A399" s="51" t="str">
        <f>IF('Calendario C'!A59="","",'Calendario C'!A59)</f>
        <v>4C</v>
      </c>
      <c r="B399" s="147" t="str">
        <f>IF('Calendario C'!B59="","",'Calendario C'!B59)</f>
        <v>GIORNATA IV - GIRONE C</v>
      </c>
      <c r="C399" s="124"/>
      <c r="D399" s="124"/>
      <c r="E399" s="124"/>
      <c r="F399" s="124"/>
      <c r="G399" s="124"/>
      <c r="H399" s="124"/>
      <c r="I399" s="124"/>
      <c r="J399" s="124"/>
      <c r="K399" s="124"/>
      <c r="L399" s="125"/>
      <c r="M399" s="207" t="s">
        <v>492</v>
      </c>
      <c r="N399" s="124"/>
      <c r="O399" s="125"/>
      <c r="P399" s="207" t="s">
        <v>493</v>
      </c>
      <c r="Q399" s="124"/>
      <c r="R399" s="125"/>
    </row>
    <row r="400" spans="1:18" ht="14.1" customHeight="1" x14ac:dyDescent="0.25">
      <c r="A400" s="52" t="s">
        <v>193</v>
      </c>
      <c r="B400" s="145" t="s">
        <v>175</v>
      </c>
      <c r="C400" s="125"/>
      <c r="D400" s="145" t="s">
        <v>182</v>
      </c>
      <c r="E400" s="125"/>
      <c r="F400" s="52" t="s">
        <v>194</v>
      </c>
      <c r="G400" s="52" t="s">
        <v>195</v>
      </c>
      <c r="H400" s="145" t="s">
        <v>196</v>
      </c>
      <c r="I400" s="125"/>
      <c r="J400" s="145" t="s">
        <v>197</v>
      </c>
      <c r="K400" s="124"/>
      <c r="L400" s="125"/>
      <c r="M400" s="104" t="s">
        <v>494</v>
      </c>
      <c r="N400" s="104" t="s">
        <v>495</v>
      </c>
      <c r="O400" s="104" t="s">
        <v>496</v>
      </c>
      <c r="P400" s="104" t="s">
        <v>497</v>
      </c>
      <c r="Q400" s="104" t="s">
        <v>498</v>
      </c>
      <c r="R400" s="104" t="s">
        <v>499</v>
      </c>
    </row>
    <row r="401" spans="1:18" ht="21.95" customHeight="1" x14ac:dyDescent="0.25">
      <c r="A401" s="146">
        <f>IF('Calendario C'!A61="","",'Calendario C'!A61)</f>
        <v>106</v>
      </c>
      <c r="B401" s="44" t="str">
        <f>IF('Calendario C'!B61="","",'Calendario C'!B61)</f>
        <v/>
      </c>
      <c r="C401" s="45" t="str">
        <f>IF('Calendario C'!C61="","",'Calendario C'!C61)</f>
        <v/>
      </c>
      <c r="D401" s="44" t="str">
        <f>IF('Calendario C'!D61="","",'Calendario C'!D61)</f>
        <v/>
      </c>
      <c r="E401" s="45" t="str">
        <f>IF('Calendario C'!E61="","",'Calendario C'!E61)</f>
        <v/>
      </c>
      <c r="F401" s="138" t="str">
        <f>IF('Calendario C'!F61="","",'Calendario C'!F61)</f>
        <v/>
      </c>
      <c r="G401" s="124"/>
      <c r="H401" s="124"/>
      <c r="I401" s="125"/>
      <c r="J401" s="202" t="str">
        <f>IF('Calendario C'!J61="","",'Calendario C'!J61)</f>
        <v/>
      </c>
      <c r="K401" s="201" t="s">
        <v>198</v>
      </c>
      <c r="L401" s="202" t="str">
        <f>IF('Calendario C'!L61="","",'Calendario C'!L61)</f>
        <v/>
      </c>
      <c r="M401" s="200"/>
      <c r="N401" s="200"/>
      <c r="O401" s="200"/>
      <c r="P401" s="200"/>
      <c r="Q401" s="200"/>
      <c r="R401" s="200"/>
    </row>
    <row r="402" spans="1:18" ht="15" customHeight="1" x14ac:dyDescent="0.25">
      <c r="A402" s="133"/>
      <c r="B402" s="136" t="str">
        <f>IF('Calendario C'!B62="","",'Calendario C'!B62)</f>
        <v/>
      </c>
      <c r="C402" s="124"/>
      <c r="D402" s="124"/>
      <c r="E402" s="124"/>
      <c r="F402" s="124"/>
      <c r="G402" s="124"/>
      <c r="H402" s="125"/>
      <c r="I402" s="45" t="str">
        <f>IF('Calendario C'!I62="","",'Calendario C'!I62)</f>
        <v/>
      </c>
      <c r="J402" s="133"/>
      <c r="K402" s="133"/>
      <c r="L402" s="133"/>
      <c r="M402" s="133"/>
      <c r="N402" s="133"/>
      <c r="O402" s="133"/>
      <c r="P402" s="133"/>
      <c r="Q402" s="133"/>
      <c r="R402" s="133"/>
    </row>
    <row r="403" spans="1:18" ht="14.1" customHeight="1" x14ac:dyDescent="0.25">
      <c r="A403" s="52" t="s">
        <v>193</v>
      </c>
      <c r="B403" s="145" t="s">
        <v>175</v>
      </c>
      <c r="C403" s="125"/>
      <c r="D403" s="145" t="s">
        <v>182</v>
      </c>
      <c r="E403" s="125"/>
      <c r="F403" s="52" t="s">
        <v>194</v>
      </c>
      <c r="G403" s="52" t="s">
        <v>195</v>
      </c>
      <c r="H403" s="145" t="s">
        <v>196</v>
      </c>
      <c r="I403" s="125"/>
      <c r="J403" s="145" t="s">
        <v>197</v>
      </c>
      <c r="K403" s="124"/>
      <c r="L403" s="125"/>
      <c r="M403" s="104" t="s">
        <v>494</v>
      </c>
      <c r="N403" s="104" t="s">
        <v>495</v>
      </c>
      <c r="O403" s="104" t="s">
        <v>496</v>
      </c>
      <c r="P403" s="104" t="s">
        <v>497</v>
      </c>
      <c r="Q403" s="104" t="s">
        <v>498</v>
      </c>
      <c r="R403" s="104" t="s">
        <v>499</v>
      </c>
    </row>
    <row r="404" spans="1:18" ht="21.95" customHeight="1" x14ac:dyDescent="0.25">
      <c r="A404" s="146">
        <f>IF('Calendario C'!A64="","",'Calendario C'!A64)</f>
        <v>107</v>
      </c>
      <c r="B404" s="44" t="str">
        <f>IF('Calendario C'!B64="","",'Calendario C'!B64)</f>
        <v/>
      </c>
      <c r="C404" s="45" t="str">
        <f>IF('Calendario C'!C64="","",'Calendario C'!C64)</f>
        <v/>
      </c>
      <c r="D404" s="44" t="str">
        <f>IF('Calendario C'!D64="","",'Calendario C'!D64)</f>
        <v/>
      </c>
      <c r="E404" s="45" t="str">
        <f>IF('Calendario C'!E64="","",'Calendario C'!E64)</f>
        <v/>
      </c>
      <c r="F404" s="138" t="str">
        <f>IF('Calendario C'!F64="","",'Calendario C'!F64)</f>
        <v/>
      </c>
      <c r="G404" s="124"/>
      <c r="H404" s="124"/>
      <c r="I404" s="125"/>
      <c r="J404" s="202" t="str">
        <f>IF('Calendario C'!J64="","",'Calendario C'!J64)</f>
        <v/>
      </c>
      <c r="K404" s="201" t="s">
        <v>198</v>
      </c>
      <c r="L404" s="202" t="str">
        <f>IF('Calendario C'!L64="","",'Calendario C'!L64)</f>
        <v/>
      </c>
      <c r="M404" s="200"/>
      <c r="N404" s="200"/>
      <c r="O404" s="200"/>
      <c r="P404" s="200"/>
      <c r="Q404" s="200"/>
      <c r="R404" s="200"/>
    </row>
    <row r="405" spans="1:18" ht="15" customHeight="1" x14ac:dyDescent="0.25">
      <c r="A405" s="133"/>
      <c r="B405" s="136" t="str">
        <f>IF('Calendario C'!B65="","",'Calendario C'!B65)</f>
        <v/>
      </c>
      <c r="C405" s="124"/>
      <c r="D405" s="124"/>
      <c r="E405" s="124"/>
      <c r="F405" s="124"/>
      <c r="G405" s="124"/>
      <c r="H405" s="125"/>
      <c r="I405" s="45" t="str">
        <f>IF('Calendario C'!I65="","",'Calendario C'!I65)</f>
        <v/>
      </c>
      <c r="J405" s="133"/>
      <c r="K405" s="133"/>
      <c r="L405" s="133"/>
      <c r="M405" s="133"/>
      <c r="N405" s="133"/>
      <c r="O405" s="133"/>
      <c r="P405" s="133"/>
      <c r="Q405" s="133"/>
      <c r="R405" s="133"/>
    </row>
    <row r="406" spans="1:18" ht="14.1" customHeight="1" x14ac:dyDescent="0.25">
      <c r="A406" s="52" t="s">
        <v>193</v>
      </c>
      <c r="B406" s="145" t="s">
        <v>175</v>
      </c>
      <c r="C406" s="125"/>
      <c r="D406" s="145" t="s">
        <v>182</v>
      </c>
      <c r="E406" s="125"/>
      <c r="F406" s="52" t="s">
        <v>194</v>
      </c>
      <c r="G406" s="52" t="s">
        <v>195</v>
      </c>
      <c r="H406" s="145" t="s">
        <v>196</v>
      </c>
      <c r="I406" s="125"/>
      <c r="J406" s="145" t="s">
        <v>197</v>
      </c>
      <c r="K406" s="124"/>
      <c r="L406" s="125"/>
      <c r="M406" s="104" t="s">
        <v>494</v>
      </c>
      <c r="N406" s="104" t="s">
        <v>495</v>
      </c>
      <c r="O406" s="104" t="s">
        <v>496</v>
      </c>
      <c r="P406" s="104" t="s">
        <v>497</v>
      </c>
      <c r="Q406" s="104" t="s">
        <v>498</v>
      </c>
      <c r="R406" s="104" t="s">
        <v>499</v>
      </c>
    </row>
    <row r="407" spans="1:18" ht="21.95" customHeight="1" x14ac:dyDescent="0.25">
      <c r="A407" s="146">
        <f>IF('Calendario C'!A67="","",'Calendario C'!A67)</f>
        <v>108</v>
      </c>
      <c r="B407" s="44" t="str">
        <f>IF('Calendario C'!B67="","",'Calendario C'!B67)</f>
        <v/>
      </c>
      <c r="C407" s="45" t="str">
        <f>IF('Calendario C'!C67="","",'Calendario C'!C67)</f>
        <v/>
      </c>
      <c r="D407" s="44" t="str">
        <f>IF('Calendario C'!D67="","",'Calendario C'!D67)</f>
        <v/>
      </c>
      <c r="E407" s="45" t="str">
        <f>IF('Calendario C'!E67="","",'Calendario C'!E67)</f>
        <v/>
      </c>
      <c r="F407" s="138" t="str">
        <f>IF('Calendario C'!F67="","",'Calendario C'!F67)</f>
        <v/>
      </c>
      <c r="G407" s="124"/>
      <c r="H407" s="124"/>
      <c r="I407" s="125"/>
      <c r="J407" s="202" t="str">
        <f>IF('Calendario C'!J67="","",'Calendario C'!J67)</f>
        <v/>
      </c>
      <c r="K407" s="201" t="s">
        <v>198</v>
      </c>
      <c r="L407" s="202" t="str">
        <f>IF('Calendario C'!L67="","",'Calendario C'!L67)</f>
        <v/>
      </c>
      <c r="M407" s="200"/>
      <c r="N407" s="200"/>
      <c r="O407" s="200"/>
      <c r="P407" s="200"/>
      <c r="Q407" s="200"/>
      <c r="R407" s="200"/>
    </row>
    <row r="408" spans="1:18" ht="15" customHeight="1" x14ac:dyDescent="0.25">
      <c r="A408" s="133"/>
      <c r="B408" s="136" t="str">
        <f>IF('Calendario C'!B68="","",'Calendario C'!B68)</f>
        <v/>
      </c>
      <c r="C408" s="124"/>
      <c r="D408" s="124"/>
      <c r="E408" s="124"/>
      <c r="F408" s="124"/>
      <c r="G408" s="124"/>
      <c r="H408" s="125"/>
      <c r="I408" s="45" t="str">
        <f>IF('Calendario C'!I68="","",'Calendario C'!I68)</f>
        <v/>
      </c>
      <c r="J408" s="133"/>
      <c r="K408" s="133"/>
      <c r="L408" s="133"/>
      <c r="M408" s="133"/>
      <c r="N408" s="133"/>
      <c r="O408" s="133"/>
      <c r="P408" s="133"/>
      <c r="Q408" s="133"/>
      <c r="R408" s="133"/>
    </row>
    <row r="409" spans="1:18" ht="14.1" customHeight="1" x14ac:dyDescent="0.25">
      <c r="A409" s="52" t="s">
        <v>193</v>
      </c>
      <c r="B409" s="145" t="s">
        <v>175</v>
      </c>
      <c r="C409" s="125"/>
      <c r="D409" s="145" t="s">
        <v>182</v>
      </c>
      <c r="E409" s="125"/>
      <c r="F409" s="52" t="s">
        <v>194</v>
      </c>
      <c r="G409" s="52" t="s">
        <v>195</v>
      </c>
      <c r="H409" s="145" t="s">
        <v>196</v>
      </c>
      <c r="I409" s="125"/>
      <c r="J409" s="145" t="s">
        <v>197</v>
      </c>
      <c r="K409" s="124"/>
      <c r="L409" s="125"/>
      <c r="M409" s="104" t="s">
        <v>494</v>
      </c>
      <c r="N409" s="104" t="s">
        <v>495</v>
      </c>
      <c r="O409" s="104" t="s">
        <v>496</v>
      </c>
      <c r="P409" s="104" t="s">
        <v>497</v>
      </c>
      <c r="Q409" s="104" t="s">
        <v>498</v>
      </c>
      <c r="R409" s="104" t="s">
        <v>499</v>
      </c>
    </row>
    <row r="410" spans="1:18" ht="21.95" customHeight="1" x14ac:dyDescent="0.25">
      <c r="A410" s="146">
        <f>IF('Calendario C'!A70="","",'Calendario C'!A70)</f>
        <v>109</v>
      </c>
      <c r="B410" s="44" t="str">
        <f>IF('Calendario C'!B70="","",'Calendario C'!B70)</f>
        <v/>
      </c>
      <c r="C410" s="45" t="str">
        <f>IF('Calendario C'!C70="","",'Calendario C'!C70)</f>
        <v/>
      </c>
      <c r="D410" s="44" t="str">
        <f>IF('Calendario C'!D70="","",'Calendario C'!D70)</f>
        <v/>
      </c>
      <c r="E410" s="45" t="str">
        <f>IF('Calendario C'!E70="","",'Calendario C'!E70)</f>
        <v/>
      </c>
      <c r="F410" s="138" t="str">
        <f>IF('Calendario C'!F70="","",'Calendario C'!F70)</f>
        <v/>
      </c>
      <c r="G410" s="124"/>
      <c r="H410" s="124"/>
      <c r="I410" s="125"/>
      <c r="J410" s="202" t="str">
        <f>IF('Calendario C'!J70="","",'Calendario C'!J70)</f>
        <v/>
      </c>
      <c r="K410" s="201" t="s">
        <v>198</v>
      </c>
      <c r="L410" s="202" t="str">
        <f>IF('Calendario C'!L70="","",'Calendario C'!L70)</f>
        <v/>
      </c>
      <c r="M410" s="200"/>
      <c r="N410" s="200"/>
      <c r="O410" s="200"/>
      <c r="P410" s="200"/>
      <c r="Q410" s="200"/>
      <c r="R410" s="200"/>
    </row>
    <row r="411" spans="1:18" ht="15" customHeight="1" x14ac:dyDescent="0.25">
      <c r="A411" s="133"/>
      <c r="B411" s="136" t="str">
        <f>IF('Calendario C'!B71="","",'Calendario C'!B71)</f>
        <v/>
      </c>
      <c r="C411" s="124"/>
      <c r="D411" s="124"/>
      <c r="E411" s="124"/>
      <c r="F411" s="124"/>
      <c r="G411" s="124"/>
      <c r="H411" s="125"/>
      <c r="I411" s="45" t="str">
        <f>IF('Calendario C'!I71="","",'Calendario C'!I71)</f>
        <v/>
      </c>
      <c r="J411" s="133"/>
      <c r="K411" s="133"/>
      <c r="L411" s="133"/>
      <c r="M411" s="133"/>
      <c r="N411" s="133"/>
      <c r="O411" s="133"/>
      <c r="P411" s="133"/>
      <c r="Q411" s="133"/>
      <c r="R411" s="133"/>
    </row>
    <row r="412" spans="1:18" ht="14.1" customHeight="1" x14ac:dyDescent="0.25">
      <c r="A412" s="52" t="s">
        <v>193</v>
      </c>
      <c r="B412" s="145" t="s">
        <v>175</v>
      </c>
      <c r="C412" s="125"/>
      <c r="D412" s="145" t="s">
        <v>182</v>
      </c>
      <c r="E412" s="125"/>
      <c r="F412" s="52" t="s">
        <v>194</v>
      </c>
      <c r="G412" s="52" t="s">
        <v>195</v>
      </c>
      <c r="H412" s="145" t="s">
        <v>196</v>
      </c>
      <c r="I412" s="125"/>
      <c r="J412" s="145" t="s">
        <v>197</v>
      </c>
      <c r="K412" s="124"/>
      <c r="L412" s="125"/>
      <c r="M412" s="104" t="s">
        <v>494</v>
      </c>
      <c r="N412" s="104" t="s">
        <v>495</v>
      </c>
      <c r="O412" s="104" t="s">
        <v>496</v>
      </c>
      <c r="P412" s="104" t="s">
        <v>497</v>
      </c>
      <c r="Q412" s="104" t="s">
        <v>498</v>
      </c>
      <c r="R412" s="104" t="s">
        <v>499</v>
      </c>
    </row>
    <row r="413" spans="1:18" ht="21.95" customHeight="1" x14ac:dyDescent="0.25">
      <c r="A413" s="146">
        <f>IF('Calendario C'!A73="","",'Calendario C'!A73)</f>
        <v>110</v>
      </c>
      <c r="B413" s="44" t="str">
        <f>IF('Calendario C'!B73="","",'Calendario C'!B73)</f>
        <v/>
      </c>
      <c r="C413" s="45" t="str">
        <f>IF('Calendario C'!C73="","",'Calendario C'!C73)</f>
        <v/>
      </c>
      <c r="D413" s="44" t="str">
        <f>IF('Calendario C'!D73="","",'Calendario C'!D73)</f>
        <v/>
      </c>
      <c r="E413" s="45" t="str">
        <f>IF('Calendario C'!E73="","",'Calendario C'!E73)</f>
        <v/>
      </c>
      <c r="F413" s="138" t="str">
        <f>IF('Calendario C'!F73="","",'Calendario C'!F73)</f>
        <v/>
      </c>
      <c r="G413" s="124"/>
      <c r="H413" s="124"/>
      <c r="I413" s="125"/>
      <c r="J413" s="202" t="str">
        <f>IF('Calendario C'!J73="","",'Calendario C'!J73)</f>
        <v/>
      </c>
      <c r="K413" s="201" t="s">
        <v>198</v>
      </c>
      <c r="L413" s="202" t="str">
        <f>IF('Calendario C'!L73="","",'Calendario C'!L73)</f>
        <v/>
      </c>
      <c r="M413" s="200"/>
      <c r="N413" s="200"/>
      <c r="O413" s="200"/>
      <c r="P413" s="200"/>
      <c r="Q413" s="200"/>
      <c r="R413" s="200"/>
    </row>
    <row r="414" spans="1:18" ht="15" customHeight="1" x14ac:dyDescent="0.25">
      <c r="A414" s="133"/>
      <c r="B414" s="136" t="str">
        <f>IF('Calendario C'!B74="","",'Calendario C'!B74)</f>
        <v/>
      </c>
      <c r="C414" s="124"/>
      <c r="D414" s="124"/>
      <c r="E414" s="124"/>
      <c r="F414" s="124"/>
      <c r="G414" s="124"/>
      <c r="H414" s="125"/>
      <c r="I414" s="45" t="str">
        <f>IF('Calendario C'!I74="","",'Calendario C'!I74)</f>
        <v/>
      </c>
      <c r="J414" s="133"/>
      <c r="K414" s="133"/>
      <c r="L414" s="133"/>
      <c r="M414" s="133"/>
      <c r="N414" s="133"/>
      <c r="O414" s="133"/>
      <c r="P414" s="133"/>
      <c r="Q414" s="133"/>
      <c r="R414" s="133"/>
    </row>
    <row r="416" spans="1:18" ht="20.100000000000001" customHeight="1" x14ac:dyDescent="0.25">
      <c r="A416" s="51" t="str">
        <f>IF('Calendario C'!A76="","",'Calendario C'!A76)</f>
        <v>5C</v>
      </c>
      <c r="B416" s="147" t="str">
        <f>IF('Calendario C'!B76="","",'Calendario C'!B76)</f>
        <v>GIORNATA V - GIRONE C</v>
      </c>
      <c r="C416" s="124"/>
      <c r="D416" s="124"/>
      <c r="E416" s="124"/>
      <c r="F416" s="124"/>
      <c r="G416" s="124"/>
      <c r="H416" s="124"/>
      <c r="I416" s="124"/>
      <c r="J416" s="124"/>
      <c r="K416" s="124"/>
      <c r="L416" s="125"/>
      <c r="M416" s="207" t="s">
        <v>492</v>
      </c>
      <c r="N416" s="124"/>
      <c r="O416" s="125"/>
      <c r="P416" s="207" t="s">
        <v>493</v>
      </c>
      <c r="Q416" s="124"/>
      <c r="R416" s="125"/>
    </row>
    <row r="417" spans="1:18" ht="14.1" customHeight="1" x14ac:dyDescent="0.25">
      <c r="A417" s="52" t="s">
        <v>193</v>
      </c>
      <c r="B417" s="145" t="s">
        <v>175</v>
      </c>
      <c r="C417" s="125"/>
      <c r="D417" s="145" t="s">
        <v>182</v>
      </c>
      <c r="E417" s="125"/>
      <c r="F417" s="52" t="s">
        <v>194</v>
      </c>
      <c r="G417" s="52" t="s">
        <v>195</v>
      </c>
      <c r="H417" s="145" t="s">
        <v>196</v>
      </c>
      <c r="I417" s="125"/>
      <c r="J417" s="145" t="s">
        <v>197</v>
      </c>
      <c r="K417" s="124"/>
      <c r="L417" s="125"/>
      <c r="M417" s="104" t="s">
        <v>494</v>
      </c>
      <c r="N417" s="104" t="s">
        <v>495</v>
      </c>
      <c r="O417" s="104" t="s">
        <v>496</v>
      </c>
      <c r="P417" s="104" t="s">
        <v>497</v>
      </c>
      <c r="Q417" s="104" t="s">
        <v>498</v>
      </c>
      <c r="R417" s="104" t="s">
        <v>499</v>
      </c>
    </row>
    <row r="418" spans="1:18" ht="21.95" customHeight="1" x14ac:dyDescent="0.25">
      <c r="A418" s="146">
        <f>IF('Calendario C'!A78="","",'Calendario C'!A78)</f>
        <v>111</v>
      </c>
      <c r="B418" s="44" t="str">
        <f>IF('Calendario C'!B78="","",'Calendario C'!B78)</f>
        <v/>
      </c>
      <c r="C418" s="45" t="str">
        <f>IF('Calendario C'!C78="","",'Calendario C'!C78)</f>
        <v/>
      </c>
      <c r="D418" s="44" t="str">
        <f>IF('Calendario C'!D78="","",'Calendario C'!D78)</f>
        <v/>
      </c>
      <c r="E418" s="45" t="str">
        <f>IF('Calendario C'!E78="","",'Calendario C'!E78)</f>
        <v/>
      </c>
      <c r="F418" s="138" t="str">
        <f>IF('Calendario C'!F78="","",'Calendario C'!F78)</f>
        <v/>
      </c>
      <c r="G418" s="124"/>
      <c r="H418" s="124"/>
      <c r="I418" s="125"/>
      <c r="J418" s="202" t="str">
        <f>IF('Calendario C'!J78="","",'Calendario C'!J78)</f>
        <v/>
      </c>
      <c r="K418" s="201" t="s">
        <v>198</v>
      </c>
      <c r="L418" s="202" t="str">
        <f>IF('Calendario C'!L78="","",'Calendario C'!L78)</f>
        <v/>
      </c>
      <c r="M418" s="200"/>
      <c r="N418" s="200"/>
      <c r="O418" s="200"/>
      <c r="P418" s="200"/>
      <c r="Q418" s="200"/>
      <c r="R418" s="200"/>
    </row>
    <row r="419" spans="1:18" ht="15" customHeight="1" x14ac:dyDescent="0.25">
      <c r="A419" s="133"/>
      <c r="B419" s="136" t="str">
        <f>IF('Calendario C'!B79="","",'Calendario C'!B79)</f>
        <v/>
      </c>
      <c r="C419" s="124"/>
      <c r="D419" s="124"/>
      <c r="E419" s="124"/>
      <c r="F419" s="124"/>
      <c r="G419" s="124"/>
      <c r="H419" s="125"/>
      <c r="I419" s="45" t="str">
        <f>IF('Calendario C'!I79="","",'Calendario C'!I79)</f>
        <v/>
      </c>
      <c r="J419" s="133"/>
      <c r="K419" s="133"/>
      <c r="L419" s="133"/>
      <c r="M419" s="133"/>
      <c r="N419" s="133"/>
      <c r="O419" s="133"/>
      <c r="P419" s="133"/>
      <c r="Q419" s="133"/>
      <c r="R419" s="133"/>
    </row>
    <row r="420" spans="1:18" ht="14.1" customHeight="1" x14ac:dyDescent="0.25">
      <c r="A420" s="52" t="s">
        <v>193</v>
      </c>
      <c r="B420" s="145" t="s">
        <v>175</v>
      </c>
      <c r="C420" s="125"/>
      <c r="D420" s="145" t="s">
        <v>182</v>
      </c>
      <c r="E420" s="125"/>
      <c r="F420" s="52" t="s">
        <v>194</v>
      </c>
      <c r="G420" s="52" t="s">
        <v>195</v>
      </c>
      <c r="H420" s="145" t="s">
        <v>196</v>
      </c>
      <c r="I420" s="125"/>
      <c r="J420" s="145" t="s">
        <v>197</v>
      </c>
      <c r="K420" s="124"/>
      <c r="L420" s="125"/>
      <c r="M420" s="104" t="s">
        <v>494</v>
      </c>
      <c r="N420" s="104" t="s">
        <v>495</v>
      </c>
      <c r="O420" s="104" t="s">
        <v>496</v>
      </c>
      <c r="P420" s="104" t="s">
        <v>497</v>
      </c>
      <c r="Q420" s="104" t="s">
        <v>498</v>
      </c>
      <c r="R420" s="104" t="s">
        <v>499</v>
      </c>
    </row>
    <row r="421" spans="1:18" ht="21.95" customHeight="1" x14ac:dyDescent="0.25">
      <c r="A421" s="146">
        <f>IF('Calendario C'!A81="","",'Calendario C'!A81)</f>
        <v>112</v>
      </c>
      <c r="B421" s="44" t="str">
        <f>IF('Calendario C'!B81="","",'Calendario C'!B81)</f>
        <v/>
      </c>
      <c r="C421" s="45" t="str">
        <f>IF('Calendario C'!C81="","",'Calendario C'!C81)</f>
        <v/>
      </c>
      <c r="D421" s="44" t="str">
        <f>IF('Calendario C'!D81="","",'Calendario C'!D81)</f>
        <v/>
      </c>
      <c r="E421" s="45" t="str">
        <f>IF('Calendario C'!E81="","",'Calendario C'!E81)</f>
        <v/>
      </c>
      <c r="F421" s="138" t="str">
        <f>IF('Calendario C'!F81="","",'Calendario C'!F81)</f>
        <v/>
      </c>
      <c r="G421" s="124"/>
      <c r="H421" s="124"/>
      <c r="I421" s="125"/>
      <c r="J421" s="202" t="str">
        <f>IF('Calendario C'!J81="","",'Calendario C'!J81)</f>
        <v/>
      </c>
      <c r="K421" s="201" t="s">
        <v>198</v>
      </c>
      <c r="L421" s="202" t="str">
        <f>IF('Calendario C'!L81="","",'Calendario C'!L81)</f>
        <v/>
      </c>
      <c r="M421" s="200"/>
      <c r="N421" s="200"/>
      <c r="O421" s="200"/>
      <c r="P421" s="200"/>
      <c r="Q421" s="200"/>
      <c r="R421" s="200"/>
    </row>
    <row r="422" spans="1:18" ht="15" customHeight="1" x14ac:dyDescent="0.25">
      <c r="A422" s="133"/>
      <c r="B422" s="136" t="str">
        <f>IF('Calendario C'!B82="","",'Calendario C'!B82)</f>
        <v/>
      </c>
      <c r="C422" s="124"/>
      <c r="D422" s="124"/>
      <c r="E422" s="124"/>
      <c r="F422" s="124"/>
      <c r="G422" s="124"/>
      <c r="H422" s="125"/>
      <c r="I422" s="45" t="str">
        <f>IF('Calendario C'!I82="","",'Calendario C'!I82)</f>
        <v/>
      </c>
      <c r="J422" s="133"/>
      <c r="K422" s="133"/>
      <c r="L422" s="133"/>
      <c r="M422" s="133"/>
      <c r="N422" s="133"/>
      <c r="O422" s="133"/>
      <c r="P422" s="133"/>
      <c r="Q422" s="133"/>
      <c r="R422" s="133"/>
    </row>
    <row r="423" spans="1:18" ht="14.1" customHeight="1" x14ac:dyDescent="0.25">
      <c r="A423" s="52" t="s">
        <v>193</v>
      </c>
      <c r="B423" s="145" t="s">
        <v>175</v>
      </c>
      <c r="C423" s="125"/>
      <c r="D423" s="145" t="s">
        <v>182</v>
      </c>
      <c r="E423" s="125"/>
      <c r="F423" s="52" t="s">
        <v>194</v>
      </c>
      <c r="G423" s="52" t="s">
        <v>195</v>
      </c>
      <c r="H423" s="145" t="s">
        <v>196</v>
      </c>
      <c r="I423" s="125"/>
      <c r="J423" s="145" t="s">
        <v>197</v>
      </c>
      <c r="K423" s="124"/>
      <c r="L423" s="125"/>
      <c r="M423" s="104" t="s">
        <v>494</v>
      </c>
      <c r="N423" s="104" t="s">
        <v>495</v>
      </c>
      <c r="O423" s="104" t="s">
        <v>496</v>
      </c>
      <c r="P423" s="104" t="s">
        <v>497</v>
      </c>
      <c r="Q423" s="104" t="s">
        <v>498</v>
      </c>
      <c r="R423" s="104" t="s">
        <v>499</v>
      </c>
    </row>
    <row r="424" spans="1:18" ht="21.95" customHeight="1" x14ac:dyDescent="0.25">
      <c r="A424" s="146">
        <f>IF('Calendario C'!A84="","",'Calendario C'!A84)</f>
        <v>113</v>
      </c>
      <c r="B424" s="44" t="str">
        <f>IF('Calendario C'!B84="","",'Calendario C'!B84)</f>
        <v/>
      </c>
      <c r="C424" s="45" t="str">
        <f>IF('Calendario C'!C84="","",'Calendario C'!C84)</f>
        <v/>
      </c>
      <c r="D424" s="44" t="str">
        <f>IF('Calendario C'!D84="","",'Calendario C'!D84)</f>
        <v/>
      </c>
      <c r="E424" s="45" t="str">
        <f>IF('Calendario C'!E84="","",'Calendario C'!E84)</f>
        <v/>
      </c>
      <c r="F424" s="138" t="str">
        <f>IF('Calendario C'!F84="","",'Calendario C'!F84)</f>
        <v/>
      </c>
      <c r="G424" s="124"/>
      <c r="H424" s="124"/>
      <c r="I424" s="125"/>
      <c r="J424" s="202" t="str">
        <f>IF('Calendario C'!J84="","",'Calendario C'!J84)</f>
        <v/>
      </c>
      <c r="K424" s="201" t="s">
        <v>198</v>
      </c>
      <c r="L424" s="202" t="str">
        <f>IF('Calendario C'!L84="","",'Calendario C'!L84)</f>
        <v/>
      </c>
      <c r="M424" s="200"/>
      <c r="N424" s="200"/>
      <c r="O424" s="200"/>
      <c r="P424" s="200"/>
      <c r="Q424" s="200"/>
      <c r="R424" s="200"/>
    </row>
    <row r="425" spans="1:18" ht="15" customHeight="1" x14ac:dyDescent="0.25">
      <c r="A425" s="133"/>
      <c r="B425" s="136" t="str">
        <f>IF('Calendario C'!B85="","",'Calendario C'!B85)</f>
        <v/>
      </c>
      <c r="C425" s="124"/>
      <c r="D425" s="124"/>
      <c r="E425" s="124"/>
      <c r="F425" s="124"/>
      <c r="G425" s="124"/>
      <c r="H425" s="125"/>
      <c r="I425" s="45" t="str">
        <f>IF('Calendario C'!I85="","",'Calendario C'!I85)</f>
        <v/>
      </c>
      <c r="J425" s="133"/>
      <c r="K425" s="133"/>
      <c r="L425" s="133"/>
      <c r="M425" s="133"/>
      <c r="N425" s="133"/>
      <c r="O425" s="133"/>
      <c r="P425" s="133"/>
      <c r="Q425" s="133"/>
      <c r="R425" s="133"/>
    </row>
    <row r="426" spans="1:18" ht="14.1" customHeight="1" x14ac:dyDescent="0.25">
      <c r="A426" s="52" t="s">
        <v>193</v>
      </c>
      <c r="B426" s="145" t="s">
        <v>175</v>
      </c>
      <c r="C426" s="125"/>
      <c r="D426" s="145" t="s">
        <v>182</v>
      </c>
      <c r="E426" s="125"/>
      <c r="F426" s="52" t="s">
        <v>194</v>
      </c>
      <c r="G426" s="52" t="s">
        <v>195</v>
      </c>
      <c r="H426" s="145" t="s">
        <v>196</v>
      </c>
      <c r="I426" s="125"/>
      <c r="J426" s="145" t="s">
        <v>197</v>
      </c>
      <c r="K426" s="124"/>
      <c r="L426" s="125"/>
      <c r="M426" s="104" t="s">
        <v>494</v>
      </c>
      <c r="N426" s="104" t="s">
        <v>495</v>
      </c>
      <c r="O426" s="104" t="s">
        <v>496</v>
      </c>
      <c r="P426" s="104" t="s">
        <v>497</v>
      </c>
      <c r="Q426" s="104" t="s">
        <v>498</v>
      </c>
      <c r="R426" s="104" t="s">
        <v>499</v>
      </c>
    </row>
    <row r="427" spans="1:18" ht="21.95" customHeight="1" x14ac:dyDescent="0.25">
      <c r="A427" s="146">
        <f>IF('Calendario C'!A87="","",'Calendario C'!A87)</f>
        <v>114</v>
      </c>
      <c r="B427" s="44" t="str">
        <f>IF('Calendario C'!B87="","",'Calendario C'!B87)</f>
        <v/>
      </c>
      <c r="C427" s="45" t="str">
        <f>IF('Calendario C'!C87="","",'Calendario C'!C87)</f>
        <v/>
      </c>
      <c r="D427" s="44" t="str">
        <f>IF('Calendario C'!D87="","",'Calendario C'!D87)</f>
        <v/>
      </c>
      <c r="E427" s="45" t="str">
        <f>IF('Calendario C'!E87="","",'Calendario C'!E87)</f>
        <v/>
      </c>
      <c r="F427" s="138" t="str">
        <f>IF('Calendario C'!F87="","",'Calendario C'!F87)</f>
        <v/>
      </c>
      <c r="G427" s="124"/>
      <c r="H427" s="124"/>
      <c r="I427" s="125"/>
      <c r="J427" s="202" t="str">
        <f>IF('Calendario C'!J87="","",'Calendario C'!J87)</f>
        <v/>
      </c>
      <c r="K427" s="201" t="s">
        <v>198</v>
      </c>
      <c r="L427" s="202" t="str">
        <f>IF('Calendario C'!L87="","",'Calendario C'!L87)</f>
        <v/>
      </c>
      <c r="M427" s="200"/>
      <c r="N427" s="200"/>
      <c r="O427" s="200"/>
      <c r="P427" s="200"/>
      <c r="Q427" s="200"/>
      <c r="R427" s="200"/>
    </row>
    <row r="428" spans="1:18" ht="15" customHeight="1" x14ac:dyDescent="0.25">
      <c r="A428" s="133"/>
      <c r="B428" s="136" t="str">
        <f>IF('Calendario C'!B88="","",'Calendario C'!B88)</f>
        <v/>
      </c>
      <c r="C428" s="124"/>
      <c r="D428" s="124"/>
      <c r="E428" s="124"/>
      <c r="F428" s="124"/>
      <c r="G428" s="124"/>
      <c r="H428" s="125"/>
      <c r="I428" s="45" t="str">
        <f>IF('Calendario C'!I88="","",'Calendario C'!I88)</f>
        <v/>
      </c>
      <c r="J428" s="133"/>
      <c r="K428" s="133"/>
      <c r="L428" s="133"/>
      <c r="M428" s="133"/>
      <c r="N428" s="133"/>
      <c r="O428" s="133"/>
      <c r="P428" s="133"/>
      <c r="Q428" s="133"/>
      <c r="R428" s="133"/>
    </row>
    <row r="429" spans="1:18" ht="14.1" customHeight="1" x14ac:dyDescent="0.25">
      <c r="A429" s="52" t="s">
        <v>193</v>
      </c>
      <c r="B429" s="145" t="s">
        <v>175</v>
      </c>
      <c r="C429" s="125"/>
      <c r="D429" s="145" t="s">
        <v>182</v>
      </c>
      <c r="E429" s="125"/>
      <c r="F429" s="52" t="s">
        <v>194</v>
      </c>
      <c r="G429" s="52" t="s">
        <v>195</v>
      </c>
      <c r="H429" s="145" t="s">
        <v>196</v>
      </c>
      <c r="I429" s="125"/>
      <c r="J429" s="145" t="s">
        <v>197</v>
      </c>
      <c r="K429" s="124"/>
      <c r="L429" s="125"/>
      <c r="M429" s="104" t="s">
        <v>494</v>
      </c>
      <c r="N429" s="104" t="s">
        <v>495</v>
      </c>
      <c r="O429" s="104" t="s">
        <v>496</v>
      </c>
      <c r="P429" s="104" t="s">
        <v>497</v>
      </c>
      <c r="Q429" s="104" t="s">
        <v>498</v>
      </c>
      <c r="R429" s="104" t="s">
        <v>499</v>
      </c>
    </row>
    <row r="430" spans="1:18" ht="21.95" customHeight="1" x14ac:dyDescent="0.25">
      <c r="A430" s="146">
        <f>IF('Calendario C'!A90="","",'Calendario C'!A90)</f>
        <v>115</v>
      </c>
      <c r="B430" s="44" t="str">
        <f>IF('Calendario C'!B90="","",'Calendario C'!B90)</f>
        <v/>
      </c>
      <c r="C430" s="45" t="str">
        <f>IF('Calendario C'!C90="","",'Calendario C'!C90)</f>
        <v/>
      </c>
      <c r="D430" s="44" t="str">
        <f>IF('Calendario C'!D90="","",'Calendario C'!D90)</f>
        <v/>
      </c>
      <c r="E430" s="45" t="str">
        <f>IF('Calendario C'!E90="","",'Calendario C'!E90)</f>
        <v/>
      </c>
      <c r="F430" s="138" t="str">
        <f>IF('Calendario C'!F90="","",'Calendario C'!F90)</f>
        <v/>
      </c>
      <c r="G430" s="124"/>
      <c r="H430" s="124"/>
      <c r="I430" s="125"/>
      <c r="J430" s="202" t="str">
        <f>IF('Calendario C'!J90="","",'Calendario C'!J90)</f>
        <v/>
      </c>
      <c r="K430" s="201" t="s">
        <v>198</v>
      </c>
      <c r="L430" s="202" t="str">
        <f>IF('Calendario C'!L90="","",'Calendario C'!L90)</f>
        <v/>
      </c>
      <c r="M430" s="200"/>
      <c r="N430" s="200"/>
      <c r="O430" s="200"/>
      <c r="P430" s="200"/>
      <c r="Q430" s="200"/>
      <c r="R430" s="200"/>
    </row>
    <row r="431" spans="1:18" ht="15" customHeight="1" x14ac:dyDescent="0.25">
      <c r="A431" s="133"/>
      <c r="B431" s="136" t="str">
        <f>IF('Calendario C'!B91="","",'Calendario C'!B91)</f>
        <v/>
      </c>
      <c r="C431" s="124"/>
      <c r="D431" s="124"/>
      <c r="E431" s="124"/>
      <c r="F431" s="124"/>
      <c r="G431" s="124"/>
      <c r="H431" s="125"/>
      <c r="I431" s="45" t="str">
        <f>IF('Calendario C'!I91="","",'Calendario C'!I91)</f>
        <v/>
      </c>
      <c r="J431" s="133"/>
      <c r="K431" s="133"/>
      <c r="L431" s="133"/>
      <c r="M431" s="133"/>
      <c r="N431" s="133"/>
      <c r="O431" s="133"/>
      <c r="P431" s="133"/>
      <c r="Q431" s="133"/>
      <c r="R431" s="133"/>
    </row>
    <row r="433" spans="1:18" ht="20.100000000000001" customHeight="1" x14ac:dyDescent="0.25">
      <c r="A433" s="51" t="str">
        <f>IF('Calendario C'!A93="","",'Calendario C'!A93)</f>
        <v>6C</v>
      </c>
      <c r="B433" s="147" t="str">
        <f>IF('Calendario C'!B93="","",'Calendario C'!B93)</f>
        <v>GIORNATA VI - GIRONE C</v>
      </c>
      <c r="C433" s="124"/>
      <c r="D433" s="124"/>
      <c r="E433" s="124"/>
      <c r="F433" s="124"/>
      <c r="G433" s="124"/>
      <c r="H433" s="124"/>
      <c r="I433" s="124"/>
      <c r="J433" s="124"/>
      <c r="K433" s="124"/>
      <c r="L433" s="125"/>
      <c r="M433" s="207" t="s">
        <v>492</v>
      </c>
      <c r="N433" s="124"/>
      <c r="O433" s="125"/>
      <c r="P433" s="207" t="s">
        <v>493</v>
      </c>
      <c r="Q433" s="124"/>
      <c r="R433" s="125"/>
    </row>
    <row r="434" spans="1:18" ht="14.1" customHeight="1" x14ac:dyDescent="0.25">
      <c r="A434" s="52" t="s">
        <v>193</v>
      </c>
      <c r="B434" s="145" t="s">
        <v>175</v>
      </c>
      <c r="C434" s="125"/>
      <c r="D434" s="145" t="s">
        <v>182</v>
      </c>
      <c r="E434" s="125"/>
      <c r="F434" s="52" t="s">
        <v>194</v>
      </c>
      <c r="G434" s="52" t="s">
        <v>195</v>
      </c>
      <c r="H434" s="145" t="s">
        <v>196</v>
      </c>
      <c r="I434" s="125"/>
      <c r="J434" s="145" t="s">
        <v>197</v>
      </c>
      <c r="K434" s="124"/>
      <c r="L434" s="125"/>
      <c r="M434" s="104" t="s">
        <v>494</v>
      </c>
      <c r="N434" s="104" t="s">
        <v>495</v>
      </c>
      <c r="O434" s="104" t="s">
        <v>496</v>
      </c>
      <c r="P434" s="104" t="s">
        <v>497</v>
      </c>
      <c r="Q434" s="104" t="s">
        <v>498</v>
      </c>
      <c r="R434" s="104" t="s">
        <v>499</v>
      </c>
    </row>
    <row r="435" spans="1:18" ht="21.95" customHeight="1" x14ac:dyDescent="0.25">
      <c r="A435" s="146">
        <f>IF('Calendario C'!A95="","",'Calendario C'!A95)</f>
        <v>116</v>
      </c>
      <c r="B435" s="44" t="str">
        <f>IF('Calendario C'!B95="","",'Calendario C'!B95)</f>
        <v/>
      </c>
      <c r="C435" s="45" t="str">
        <f>IF('Calendario C'!C95="","",'Calendario C'!C95)</f>
        <v/>
      </c>
      <c r="D435" s="44" t="str">
        <f>IF('Calendario C'!D95="","",'Calendario C'!D95)</f>
        <v/>
      </c>
      <c r="E435" s="45" t="str">
        <f>IF('Calendario C'!E95="","",'Calendario C'!E95)</f>
        <v/>
      </c>
      <c r="F435" s="138" t="str">
        <f>IF('Calendario C'!F95="","",'Calendario C'!F95)</f>
        <v/>
      </c>
      <c r="G435" s="124"/>
      <c r="H435" s="124"/>
      <c r="I435" s="125"/>
      <c r="J435" s="202" t="str">
        <f>IF('Calendario C'!J95="","",'Calendario C'!J95)</f>
        <v/>
      </c>
      <c r="K435" s="201" t="s">
        <v>198</v>
      </c>
      <c r="L435" s="202" t="str">
        <f>IF('Calendario C'!L95="","",'Calendario C'!L95)</f>
        <v/>
      </c>
      <c r="M435" s="200"/>
      <c r="N435" s="200"/>
      <c r="O435" s="200"/>
      <c r="P435" s="200"/>
      <c r="Q435" s="200"/>
      <c r="R435" s="200"/>
    </row>
    <row r="436" spans="1:18" ht="15" customHeight="1" x14ac:dyDescent="0.25">
      <c r="A436" s="133"/>
      <c r="B436" s="136" t="str">
        <f>IF('Calendario C'!B96="","",'Calendario C'!B96)</f>
        <v/>
      </c>
      <c r="C436" s="124"/>
      <c r="D436" s="124"/>
      <c r="E436" s="124"/>
      <c r="F436" s="124"/>
      <c r="G436" s="124"/>
      <c r="H436" s="125"/>
      <c r="I436" s="45" t="str">
        <f>IF('Calendario C'!I96="","",'Calendario C'!I96)</f>
        <v/>
      </c>
      <c r="J436" s="133"/>
      <c r="K436" s="133"/>
      <c r="L436" s="133"/>
      <c r="M436" s="133"/>
      <c r="N436" s="133"/>
      <c r="O436" s="133"/>
      <c r="P436" s="133"/>
      <c r="Q436" s="133"/>
      <c r="R436" s="133"/>
    </row>
    <row r="437" spans="1:18" ht="14.1" customHeight="1" x14ac:dyDescent="0.25">
      <c r="A437" s="52" t="s">
        <v>193</v>
      </c>
      <c r="B437" s="145" t="s">
        <v>175</v>
      </c>
      <c r="C437" s="125"/>
      <c r="D437" s="145" t="s">
        <v>182</v>
      </c>
      <c r="E437" s="125"/>
      <c r="F437" s="52" t="s">
        <v>194</v>
      </c>
      <c r="G437" s="52" t="s">
        <v>195</v>
      </c>
      <c r="H437" s="145" t="s">
        <v>196</v>
      </c>
      <c r="I437" s="125"/>
      <c r="J437" s="145" t="s">
        <v>197</v>
      </c>
      <c r="K437" s="124"/>
      <c r="L437" s="125"/>
      <c r="M437" s="104" t="s">
        <v>494</v>
      </c>
      <c r="N437" s="104" t="s">
        <v>495</v>
      </c>
      <c r="O437" s="104" t="s">
        <v>496</v>
      </c>
      <c r="P437" s="104" t="s">
        <v>497</v>
      </c>
      <c r="Q437" s="104" t="s">
        <v>498</v>
      </c>
      <c r="R437" s="104" t="s">
        <v>499</v>
      </c>
    </row>
    <row r="438" spans="1:18" ht="21.95" customHeight="1" x14ac:dyDescent="0.25">
      <c r="A438" s="146">
        <f>IF('Calendario C'!A98="","",'Calendario C'!A98)</f>
        <v>117</v>
      </c>
      <c r="B438" s="44" t="str">
        <f>IF('Calendario C'!B98="","",'Calendario C'!B98)</f>
        <v/>
      </c>
      <c r="C438" s="45" t="str">
        <f>IF('Calendario C'!C98="","",'Calendario C'!C98)</f>
        <v/>
      </c>
      <c r="D438" s="44" t="str">
        <f>IF('Calendario C'!D98="","",'Calendario C'!D98)</f>
        <v/>
      </c>
      <c r="E438" s="45" t="str">
        <f>IF('Calendario C'!E98="","",'Calendario C'!E98)</f>
        <v/>
      </c>
      <c r="F438" s="138" t="str">
        <f>IF('Calendario C'!F98="","",'Calendario C'!F98)</f>
        <v/>
      </c>
      <c r="G438" s="124"/>
      <c r="H438" s="124"/>
      <c r="I438" s="125"/>
      <c r="J438" s="202" t="str">
        <f>IF('Calendario C'!J98="","",'Calendario C'!J98)</f>
        <v/>
      </c>
      <c r="K438" s="201" t="s">
        <v>198</v>
      </c>
      <c r="L438" s="202" t="str">
        <f>IF('Calendario C'!L98="","",'Calendario C'!L98)</f>
        <v/>
      </c>
      <c r="M438" s="200"/>
      <c r="N438" s="200"/>
      <c r="O438" s="200"/>
      <c r="P438" s="200"/>
      <c r="Q438" s="200"/>
      <c r="R438" s="200"/>
    </row>
    <row r="439" spans="1:18" ht="15" customHeight="1" x14ac:dyDescent="0.25">
      <c r="A439" s="133"/>
      <c r="B439" s="136" t="str">
        <f>IF('Calendario C'!B99="","",'Calendario C'!B99)</f>
        <v/>
      </c>
      <c r="C439" s="124"/>
      <c r="D439" s="124"/>
      <c r="E439" s="124"/>
      <c r="F439" s="124"/>
      <c r="G439" s="124"/>
      <c r="H439" s="125"/>
      <c r="I439" s="45" t="str">
        <f>IF('Calendario C'!I99="","",'Calendario C'!I99)</f>
        <v/>
      </c>
      <c r="J439" s="133"/>
      <c r="K439" s="133"/>
      <c r="L439" s="133"/>
      <c r="M439" s="133"/>
      <c r="N439" s="133"/>
      <c r="O439" s="133"/>
      <c r="P439" s="133"/>
      <c r="Q439" s="133"/>
      <c r="R439" s="133"/>
    </row>
    <row r="440" spans="1:18" ht="14.1" customHeight="1" x14ac:dyDescent="0.25">
      <c r="A440" s="52" t="s">
        <v>193</v>
      </c>
      <c r="B440" s="145" t="s">
        <v>175</v>
      </c>
      <c r="C440" s="125"/>
      <c r="D440" s="145" t="s">
        <v>182</v>
      </c>
      <c r="E440" s="125"/>
      <c r="F440" s="52" t="s">
        <v>194</v>
      </c>
      <c r="G440" s="52" t="s">
        <v>195</v>
      </c>
      <c r="H440" s="145" t="s">
        <v>196</v>
      </c>
      <c r="I440" s="125"/>
      <c r="J440" s="145" t="s">
        <v>197</v>
      </c>
      <c r="K440" s="124"/>
      <c r="L440" s="125"/>
      <c r="M440" s="104" t="s">
        <v>494</v>
      </c>
      <c r="N440" s="104" t="s">
        <v>495</v>
      </c>
      <c r="O440" s="104" t="s">
        <v>496</v>
      </c>
      <c r="P440" s="104" t="s">
        <v>497</v>
      </c>
      <c r="Q440" s="104" t="s">
        <v>498</v>
      </c>
      <c r="R440" s="104" t="s">
        <v>499</v>
      </c>
    </row>
    <row r="441" spans="1:18" ht="21.95" customHeight="1" x14ac:dyDescent="0.25">
      <c r="A441" s="146">
        <f>IF('Calendario C'!A101="","",'Calendario C'!A101)</f>
        <v>118</v>
      </c>
      <c r="B441" s="44" t="str">
        <f>IF('Calendario C'!B101="","",'Calendario C'!B101)</f>
        <v/>
      </c>
      <c r="C441" s="45" t="str">
        <f>IF('Calendario C'!C101="","",'Calendario C'!C101)</f>
        <v/>
      </c>
      <c r="D441" s="44" t="str">
        <f>IF('Calendario C'!D101="","",'Calendario C'!D101)</f>
        <v/>
      </c>
      <c r="E441" s="45" t="str">
        <f>IF('Calendario C'!E101="","",'Calendario C'!E101)</f>
        <v/>
      </c>
      <c r="F441" s="138" t="str">
        <f>IF('Calendario C'!F101="","",'Calendario C'!F101)</f>
        <v/>
      </c>
      <c r="G441" s="124"/>
      <c r="H441" s="124"/>
      <c r="I441" s="125"/>
      <c r="J441" s="202" t="str">
        <f>IF('Calendario C'!J101="","",'Calendario C'!J101)</f>
        <v/>
      </c>
      <c r="K441" s="201" t="s">
        <v>198</v>
      </c>
      <c r="L441" s="202" t="str">
        <f>IF('Calendario C'!L101="","",'Calendario C'!L101)</f>
        <v/>
      </c>
      <c r="M441" s="200"/>
      <c r="N441" s="200"/>
      <c r="O441" s="200"/>
      <c r="P441" s="200"/>
      <c r="Q441" s="200"/>
      <c r="R441" s="200"/>
    </row>
    <row r="442" spans="1:18" ht="15" customHeight="1" x14ac:dyDescent="0.25">
      <c r="A442" s="133"/>
      <c r="B442" s="136" t="str">
        <f>IF('Calendario C'!B102="","",'Calendario C'!B102)</f>
        <v/>
      </c>
      <c r="C442" s="124"/>
      <c r="D442" s="124"/>
      <c r="E442" s="124"/>
      <c r="F442" s="124"/>
      <c r="G442" s="124"/>
      <c r="H442" s="125"/>
      <c r="I442" s="45" t="str">
        <f>IF('Calendario C'!I102="","",'Calendario C'!I102)</f>
        <v/>
      </c>
      <c r="J442" s="133"/>
      <c r="K442" s="133"/>
      <c r="L442" s="133"/>
      <c r="M442" s="133"/>
      <c r="N442" s="133"/>
      <c r="O442" s="133"/>
      <c r="P442" s="133"/>
      <c r="Q442" s="133"/>
      <c r="R442" s="133"/>
    </row>
    <row r="443" spans="1:18" ht="14.1" customHeight="1" x14ac:dyDescent="0.25">
      <c r="A443" s="52" t="s">
        <v>193</v>
      </c>
      <c r="B443" s="145" t="s">
        <v>175</v>
      </c>
      <c r="C443" s="125"/>
      <c r="D443" s="145" t="s">
        <v>182</v>
      </c>
      <c r="E443" s="125"/>
      <c r="F443" s="52" t="s">
        <v>194</v>
      </c>
      <c r="G443" s="52" t="s">
        <v>195</v>
      </c>
      <c r="H443" s="145" t="s">
        <v>196</v>
      </c>
      <c r="I443" s="125"/>
      <c r="J443" s="145" t="s">
        <v>197</v>
      </c>
      <c r="K443" s="124"/>
      <c r="L443" s="125"/>
      <c r="M443" s="104" t="s">
        <v>494</v>
      </c>
      <c r="N443" s="104" t="s">
        <v>495</v>
      </c>
      <c r="O443" s="104" t="s">
        <v>496</v>
      </c>
      <c r="P443" s="104" t="s">
        <v>497</v>
      </c>
      <c r="Q443" s="104" t="s">
        <v>498</v>
      </c>
      <c r="R443" s="104" t="s">
        <v>499</v>
      </c>
    </row>
    <row r="444" spans="1:18" ht="21.95" customHeight="1" x14ac:dyDescent="0.25">
      <c r="A444" s="146">
        <f>IF('Calendario C'!A104="","",'Calendario C'!A104)</f>
        <v>119</v>
      </c>
      <c r="B444" s="44" t="str">
        <f>IF('Calendario C'!B104="","",'Calendario C'!B104)</f>
        <v/>
      </c>
      <c r="C444" s="45" t="str">
        <f>IF('Calendario C'!C104="","",'Calendario C'!C104)</f>
        <v/>
      </c>
      <c r="D444" s="44" t="str">
        <f>IF('Calendario C'!D104="","",'Calendario C'!D104)</f>
        <v/>
      </c>
      <c r="E444" s="45" t="str">
        <f>IF('Calendario C'!E104="","",'Calendario C'!E104)</f>
        <v/>
      </c>
      <c r="F444" s="138" t="str">
        <f>IF('Calendario C'!F104="","",'Calendario C'!F104)</f>
        <v/>
      </c>
      <c r="G444" s="124"/>
      <c r="H444" s="124"/>
      <c r="I444" s="125"/>
      <c r="J444" s="202" t="str">
        <f>IF('Calendario C'!J104="","",'Calendario C'!J104)</f>
        <v/>
      </c>
      <c r="K444" s="201" t="s">
        <v>198</v>
      </c>
      <c r="L444" s="202" t="str">
        <f>IF('Calendario C'!L104="","",'Calendario C'!L104)</f>
        <v/>
      </c>
      <c r="M444" s="200"/>
      <c r="N444" s="200"/>
      <c r="O444" s="200"/>
      <c r="P444" s="200"/>
      <c r="Q444" s="200"/>
      <c r="R444" s="200"/>
    </row>
    <row r="445" spans="1:18" ht="15" customHeight="1" x14ac:dyDescent="0.25">
      <c r="A445" s="133"/>
      <c r="B445" s="136" t="str">
        <f>IF('Calendario C'!B105="","",'Calendario C'!B105)</f>
        <v/>
      </c>
      <c r="C445" s="124"/>
      <c r="D445" s="124"/>
      <c r="E445" s="124"/>
      <c r="F445" s="124"/>
      <c r="G445" s="124"/>
      <c r="H445" s="125"/>
      <c r="I445" s="45" t="str">
        <f>IF('Calendario C'!I105="","",'Calendario C'!I105)</f>
        <v/>
      </c>
      <c r="J445" s="133"/>
      <c r="K445" s="133"/>
      <c r="L445" s="133"/>
      <c r="M445" s="133"/>
      <c r="N445" s="133"/>
      <c r="O445" s="133"/>
      <c r="P445" s="133"/>
      <c r="Q445" s="133"/>
      <c r="R445" s="133"/>
    </row>
    <row r="446" spans="1:18" ht="14.1" customHeight="1" x14ac:dyDescent="0.25">
      <c r="A446" s="52" t="s">
        <v>193</v>
      </c>
      <c r="B446" s="145" t="s">
        <v>175</v>
      </c>
      <c r="C446" s="125"/>
      <c r="D446" s="145" t="s">
        <v>182</v>
      </c>
      <c r="E446" s="125"/>
      <c r="F446" s="52" t="s">
        <v>194</v>
      </c>
      <c r="G446" s="52" t="s">
        <v>195</v>
      </c>
      <c r="H446" s="145" t="s">
        <v>196</v>
      </c>
      <c r="I446" s="125"/>
      <c r="J446" s="145" t="s">
        <v>197</v>
      </c>
      <c r="K446" s="124"/>
      <c r="L446" s="125"/>
      <c r="M446" s="104" t="s">
        <v>494</v>
      </c>
      <c r="N446" s="104" t="s">
        <v>495</v>
      </c>
      <c r="O446" s="104" t="s">
        <v>496</v>
      </c>
      <c r="P446" s="104" t="s">
        <v>497</v>
      </c>
      <c r="Q446" s="104" t="s">
        <v>498</v>
      </c>
      <c r="R446" s="104" t="s">
        <v>499</v>
      </c>
    </row>
    <row r="447" spans="1:18" ht="21.95" customHeight="1" x14ac:dyDescent="0.25">
      <c r="A447" s="146">
        <f>IF('Calendario C'!A107="","",'Calendario C'!A107)</f>
        <v>120</v>
      </c>
      <c r="B447" s="44" t="str">
        <f>IF('Calendario C'!B107="","",'Calendario C'!B107)</f>
        <v/>
      </c>
      <c r="C447" s="45" t="str">
        <f>IF('Calendario C'!C107="","",'Calendario C'!C107)</f>
        <v/>
      </c>
      <c r="D447" s="44" t="str">
        <f>IF('Calendario C'!D107="","",'Calendario C'!D107)</f>
        <v/>
      </c>
      <c r="E447" s="45" t="str">
        <f>IF('Calendario C'!E107="","",'Calendario C'!E107)</f>
        <v/>
      </c>
      <c r="F447" s="138" t="str">
        <f>IF('Calendario C'!F107="","",'Calendario C'!F107)</f>
        <v/>
      </c>
      <c r="G447" s="124"/>
      <c r="H447" s="124"/>
      <c r="I447" s="125"/>
      <c r="J447" s="202" t="str">
        <f>IF('Calendario C'!J107="","",'Calendario C'!J107)</f>
        <v/>
      </c>
      <c r="K447" s="201" t="s">
        <v>198</v>
      </c>
      <c r="L447" s="202" t="str">
        <f>IF('Calendario C'!L107="","",'Calendario C'!L107)</f>
        <v/>
      </c>
      <c r="M447" s="200"/>
      <c r="N447" s="200"/>
      <c r="O447" s="200"/>
      <c r="P447" s="200"/>
      <c r="Q447" s="200"/>
      <c r="R447" s="200"/>
    </row>
    <row r="448" spans="1:18" ht="15" customHeight="1" x14ac:dyDescent="0.25">
      <c r="A448" s="133"/>
      <c r="B448" s="136" t="str">
        <f>IF('Calendario C'!B108="","",'Calendario C'!B108)</f>
        <v/>
      </c>
      <c r="C448" s="124"/>
      <c r="D448" s="124"/>
      <c r="E448" s="124"/>
      <c r="F448" s="124"/>
      <c r="G448" s="124"/>
      <c r="H448" s="125"/>
      <c r="I448" s="45" t="str">
        <f>IF('Calendario C'!I108="","",'Calendario C'!I108)</f>
        <v/>
      </c>
      <c r="J448" s="133"/>
      <c r="K448" s="133"/>
      <c r="L448" s="133"/>
      <c r="M448" s="133"/>
      <c r="N448" s="133"/>
      <c r="O448" s="133"/>
      <c r="P448" s="133"/>
      <c r="Q448" s="133"/>
      <c r="R448" s="133"/>
    </row>
    <row r="450" spans="1:18" ht="20.100000000000001" customHeight="1" x14ac:dyDescent="0.25">
      <c r="A450" s="51" t="str">
        <f>IF('Calendario C'!A110="","",'Calendario C'!A110)</f>
        <v>7C</v>
      </c>
      <c r="B450" s="147" t="str">
        <f>IF('Calendario C'!B110="","",'Calendario C'!B110)</f>
        <v>GIORNATA VII - GIRONE C</v>
      </c>
      <c r="C450" s="124"/>
      <c r="D450" s="124"/>
      <c r="E450" s="124"/>
      <c r="F450" s="124"/>
      <c r="G450" s="124"/>
      <c r="H450" s="124"/>
      <c r="I450" s="124"/>
      <c r="J450" s="124"/>
      <c r="K450" s="124"/>
      <c r="L450" s="125"/>
      <c r="M450" s="207" t="s">
        <v>492</v>
      </c>
      <c r="N450" s="124"/>
      <c r="O450" s="125"/>
      <c r="P450" s="207" t="s">
        <v>493</v>
      </c>
      <c r="Q450" s="124"/>
      <c r="R450" s="125"/>
    </row>
    <row r="451" spans="1:18" ht="14.1" customHeight="1" x14ac:dyDescent="0.25">
      <c r="A451" s="52" t="s">
        <v>193</v>
      </c>
      <c r="B451" s="145" t="s">
        <v>175</v>
      </c>
      <c r="C451" s="125"/>
      <c r="D451" s="145" t="s">
        <v>182</v>
      </c>
      <c r="E451" s="125"/>
      <c r="F451" s="52" t="s">
        <v>194</v>
      </c>
      <c r="G451" s="52" t="s">
        <v>195</v>
      </c>
      <c r="H451" s="145" t="s">
        <v>196</v>
      </c>
      <c r="I451" s="125"/>
      <c r="J451" s="145" t="s">
        <v>197</v>
      </c>
      <c r="K451" s="124"/>
      <c r="L451" s="125"/>
      <c r="M451" s="104" t="s">
        <v>494</v>
      </c>
      <c r="N451" s="104" t="s">
        <v>495</v>
      </c>
      <c r="O451" s="104" t="s">
        <v>496</v>
      </c>
      <c r="P451" s="104" t="s">
        <v>497</v>
      </c>
      <c r="Q451" s="104" t="s">
        <v>498</v>
      </c>
      <c r="R451" s="104" t="s">
        <v>499</v>
      </c>
    </row>
    <row r="452" spans="1:18" ht="21.95" customHeight="1" x14ac:dyDescent="0.25">
      <c r="A452" s="146">
        <f>IF('Calendario C'!A112="","",'Calendario C'!A112)</f>
        <v>121</v>
      </c>
      <c r="B452" s="44" t="str">
        <f>IF('Calendario C'!B112="","",'Calendario C'!B112)</f>
        <v/>
      </c>
      <c r="C452" s="45" t="str">
        <f>IF('Calendario C'!C112="","",'Calendario C'!C112)</f>
        <v/>
      </c>
      <c r="D452" s="44" t="str">
        <f>IF('Calendario C'!D112="","",'Calendario C'!D112)</f>
        <v/>
      </c>
      <c r="E452" s="45" t="str">
        <f>IF('Calendario C'!E112="","",'Calendario C'!E112)</f>
        <v/>
      </c>
      <c r="F452" s="138" t="str">
        <f>IF('Calendario C'!F112="","",'Calendario C'!F112)</f>
        <v/>
      </c>
      <c r="G452" s="124"/>
      <c r="H452" s="124"/>
      <c r="I452" s="125"/>
      <c r="J452" s="202" t="str">
        <f>IF('Calendario C'!J112="","",'Calendario C'!J112)</f>
        <v/>
      </c>
      <c r="K452" s="201" t="s">
        <v>198</v>
      </c>
      <c r="L452" s="202" t="str">
        <f>IF('Calendario C'!L112="","",'Calendario C'!L112)</f>
        <v/>
      </c>
      <c r="M452" s="200"/>
      <c r="N452" s="200"/>
      <c r="O452" s="200"/>
      <c r="P452" s="200"/>
      <c r="Q452" s="200"/>
      <c r="R452" s="200"/>
    </row>
    <row r="453" spans="1:18" ht="15" customHeight="1" x14ac:dyDescent="0.25">
      <c r="A453" s="133"/>
      <c r="B453" s="136" t="str">
        <f>IF('Calendario C'!B113="","",'Calendario C'!B113)</f>
        <v/>
      </c>
      <c r="C453" s="124"/>
      <c r="D453" s="124"/>
      <c r="E453" s="124"/>
      <c r="F453" s="124"/>
      <c r="G453" s="124"/>
      <c r="H453" s="125"/>
      <c r="I453" s="45" t="str">
        <f>IF('Calendario C'!I113="","",'Calendario C'!I113)</f>
        <v/>
      </c>
      <c r="J453" s="133"/>
      <c r="K453" s="133"/>
      <c r="L453" s="133"/>
      <c r="M453" s="133"/>
      <c r="N453" s="133"/>
      <c r="O453" s="133"/>
      <c r="P453" s="133"/>
      <c r="Q453" s="133"/>
      <c r="R453" s="133"/>
    </row>
    <row r="454" spans="1:18" ht="14.1" customHeight="1" x14ac:dyDescent="0.25">
      <c r="A454" s="52" t="s">
        <v>193</v>
      </c>
      <c r="B454" s="145" t="s">
        <v>175</v>
      </c>
      <c r="C454" s="125"/>
      <c r="D454" s="145" t="s">
        <v>182</v>
      </c>
      <c r="E454" s="125"/>
      <c r="F454" s="52" t="s">
        <v>194</v>
      </c>
      <c r="G454" s="52" t="s">
        <v>195</v>
      </c>
      <c r="H454" s="145" t="s">
        <v>196</v>
      </c>
      <c r="I454" s="125"/>
      <c r="J454" s="145" t="s">
        <v>197</v>
      </c>
      <c r="K454" s="124"/>
      <c r="L454" s="125"/>
      <c r="M454" s="104" t="s">
        <v>494</v>
      </c>
      <c r="N454" s="104" t="s">
        <v>495</v>
      </c>
      <c r="O454" s="104" t="s">
        <v>496</v>
      </c>
      <c r="P454" s="104" t="s">
        <v>497</v>
      </c>
      <c r="Q454" s="104" t="s">
        <v>498</v>
      </c>
      <c r="R454" s="104" t="s">
        <v>499</v>
      </c>
    </row>
    <row r="455" spans="1:18" ht="21.95" customHeight="1" x14ac:dyDescent="0.25">
      <c r="A455" s="146">
        <f>IF('Calendario C'!A115="","",'Calendario C'!A115)</f>
        <v>122</v>
      </c>
      <c r="B455" s="44" t="str">
        <f>IF('Calendario C'!B115="","",'Calendario C'!B115)</f>
        <v/>
      </c>
      <c r="C455" s="45" t="str">
        <f>IF('Calendario C'!C115="","",'Calendario C'!C115)</f>
        <v/>
      </c>
      <c r="D455" s="44" t="str">
        <f>IF('Calendario C'!D115="","",'Calendario C'!D115)</f>
        <v/>
      </c>
      <c r="E455" s="45" t="str">
        <f>IF('Calendario C'!E115="","",'Calendario C'!E115)</f>
        <v/>
      </c>
      <c r="F455" s="138" t="str">
        <f>IF('Calendario C'!F115="","",'Calendario C'!F115)</f>
        <v/>
      </c>
      <c r="G455" s="124"/>
      <c r="H455" s="124"/>
      <c r="I455" s="125"/>
      <c r="J455" s="202" t="str">
        <f>IF('Calendario C'!J115="","",'Calendario C'!J115)</f>
        <v/>
      </c>
      <c r="K455" s="201" t="s">
        <v>198</v>
      </c>
      <c r="L455" s="202" t="str">
        <f>IF('Calendario C'!L115="","",'Calendario C'!L115)</f>
        <v/>
      </c>
      <c r="M455" s="200"/>
      <c r="N455" s="200"/>
      <c r="O455" s="200"/>
      <c r="P455" s="200"/>
      <c r="Q455" s="200"/>
      <c r="R455" s="200"/>
    </row>
    <row r="456" spans="1:18" ht="15" customHeight="1" x14ac:dyDescent="0.25">
      <c r="A456" s="133"/>
      <c r="B456" s="136" t="str">
        <f>IF('Calendario C'!B116="","",'Calendario C'!B116)</f>
        <v/>
      </c>
      <c r="C456" s="124"/>
      <c r="D456" s="124"/>
      <c r="E456" s="124"/>
      <c r="F456" s="124"/>
      <c r="G456" s="124"/>
      <c r="H456" s="125"/>
      <c r="I456" s="45" t="str">
        <f>IF('Calendario C'!I116="","",'Calendario C'!I116)</f>
        <v/>
      </c>
      <c r="J456" s="133"/>
      <c r="K456" s="133"/>
      <c r="L456" s="133"/>
      <c r="M456" s="133"/>
      <c r="N456" s="133"/>
      <c r="O456" s="133"/>
      <c r="P456" s="133"/>
      <c r="Q456" s="133"/>
      <c r="R456" s="133"/>
    </row>
    <row r="457" spans="1:18" ht="14.1" customHeight="1" x14ac:dyDescent="0.25">
      <c r="A457" s="52" t="s">
        <v>193</v>
      </c>
      <c r="B457" s="145" t="s">
        <v>175</v>
      </c>
      <c r="C457" s="125"/>
      <c r="D457" s="145" t="s">
        <v>182</v>
      </c>
      <c r="E457" s="125"/>
      <c r="F457" s="52" t="s">
        <v>194</v>
      </c>
      <c r="G457" s="52" t="s">
        <v>195</v>
      </c>
      <c r="H457" s="145" t="s">
        <v>196</v>
      </c>
      <c r="I457" s="125"/>
      <c r="J457" s="145" t="s">
        <v>197</v>
      </c>
      <c r="K457" s="124"/>
      <c r="L457" s="125"/>
      <c r="M457" s="104" t="s">
        <v>494</v>
      </c>
      <c r="N457" s="104" t="s">
        <v>495</v>
      </c>
      <c r="O457" s="104" t="s">
        <v>496</v>
      </c>
      <c r="P457" s="104" t="s">
        <v>497</v>
      </c>
      <c r="Q457" s="104" t="s">
        <v>498</v>
      </c>
      <c r="R457" s="104" t="s">
        <v>499</v>
      </c>
    </row>
    <row r="458" spans="1:18" ht="21.95" customHeight="1" x14ac:dyDescent="0.25">
      <c r="A458" s="146">
        <f>IF('Calendario C'!A118="","",'Calendario C'!A118)</f>
        <v>123</v>
      </c>
      <c r="B458" s="44" t="str">
        <f>IF('Calendario C'!B118="","",'Calendario C'!B118)</f>
        <v/>
      </c>
      <c r="C458" s="45" t="str">
        <f>IF('Calendario C'!C118="","",'Calendario C'!C118)</f>
        <v/>
      </c>
      <c r="D458" s="44" t="str">
        <f>IF('Calendario C'!D118="","",'Calendario C'!D118)</f>
        <v/>
      </c>
      <c r="E458" s="45" t="str">
        <f>IF('Calendario C'!E118="","",'Calendario C'!E118)</f>
        <v/>
      </c>
      <c r="F458" s="138" t="str">
        <f>IF('Calendario C'!F118="","",'Calendario C'!F118)</f>
        <v/>
      </c>
      <c r="G458" s="124"/>
      <c r="H458" s="124"/>
      <c r="I458" s="125"/>
      <c r="J458" s="202" t="str">
        <f>IF('Calendario C'!J118="","",'Calendario C'!J118)</f>
        <v/>
      </c>
      <c r="K458" s="201" t="s">
        <v>198</v>
      </c>
      <c r="L458" s="202" t="str">
        <f>IF('Calendario C'!L118="","",'Calendario C'!L118)</f>
        <v/>
      </c>
      <c r="M458" s="200"/>
      <c r="N458" s="200"/>
      <c r="O458" s="200"/>
      <c r="P458" s="200"/>
      <c r="Q458" s="200"/>
      <c r="R458" s="200"/>
    </row>
    <row r="459" spans="1:18" ht="15" customHeight="1" x14ac:dyDescent="0.25">
      <c r="A459" s="133"/>
      <c r="B459" s="136" t="str">
        <f>IF('Calendario C'!B119="","",'Calendario C'!B119)</f>
        <v/>
      </c>
      <c r="C459" s="124"/>
      <c r="D459" s="124"/>
      <c r="E459" s="124"/>
      <c r="F459" s="124"/>
      <c r="G459" s="124"/>
      <c r="H459" s="125"/>
      <c r="I459" s="45" t="str">
        <f>IF('Calendario C'!I119="","",'Calendario C'!I119)</f>
        <v/>
      </c>
      <c r="J459" s="133"/>
      <c r="K459" s="133"/>
      <c r="L459" s="133"/>
      <c r="M459" s="133"/>
      <c r="N459" s="133"/>
      <c r="O459" s="133"/>
      <c r="P459" s="133"/>
      <c r="Q459" s="133"/>
      <c r="R459" s="133"/>
    </row>
    <row r="460" spans="1:18" ht="14.1" customHeight="1" x14ac:dyDescent="0.25">
      <c r="A460" s="52" t="s">
        <v>193</v>
      </c>
      <c r="B460" s="145" t="s">
        <v>175</v>
      </c>
      <c r="C460" s="125"/>
      <c r="D460" s="145" t="s">
        <v>182</v>
      </c>
      <c r="E460" s="125"/>
      <c r="F460" s="52" t="s">
        <v>194</v>
      </c>
      <c r="G460" s="52" t="s">
        <v>195</v>
      </c>
      <c r="H460" s="145" t="s">
        <v>196</v>
      </c>
      <c r="I460" s="125"/>
      <c r="J460" s="145" t="s">
        <v>197</v>
      </c>
      <c r="K460" s="124"/>
      <c r="L460" s="125"/>
      <c r="M460" s="104" t="s">
        <v>494</v>
      </c>
      <c r="N460" s="104" t="s">
        <v>495</v>
      </c>
      <c r="O460" s="104" t="s">
        <v>496</v>
      </c>
      <c r="P460" s="104" t="s">
        <v>497</v>
      </c>
      <c r="Q460" s="104" t="s">
        <v>498</v>
      </c>
      <c r="R460" s="104" t="s">
        <v>499</v>
      </c>
    </row>
    <row r="461" spans="1:18" ht="21.95" customHeight="1" x14ac:dyDescent="0.25">
      <c r="A461" s="146">
        <f>IF('Calendario C'!A121="","",'Calendario C'!A121)</f>
        <v>124</v>
      </c>
      <c r="B461" s="44" t="str">
        <f>IF('Calendario C'!B121="","",'Calendario C'!B121)</f>
        <v/>
      </c>
      <c r="C461" s="45" t="str">
        <f>IF('Calendario C'!C121="","",'Calendario C'!C121)</f>
        <v/>
      </c>
      <c r="D461" s="44" t="str">
        <f>IF('Calendario C'!D121="","",'Calendario C'!D121)</f>
        <v/>
      </c>
      <c r="E461" s="45" t="str">
        <f>IF('Calendario C'!E121="","",'Calendario C'!E121)</f>
        <v/>
      </c>
      <c r="F461" s="138" t="str">
        <f>IF('Calendario C'!F121="","",'Calendario C'!F121)</f>
        <v/>
      </c>
      <c r="G461" s="124"/>
      <c r="H461" s="124"/>
      <c r="I461" s="125"/>
      <c r="J461" s="202" t="str">
        <f>IF('Calendario C'!J121="","",'Calendario C'!J121)</f>
        <v/>
      </c>
      <c r="K461" s="201" t="s">
        <v>198</v>
      </c>
      <c r="L461" s="202" t="str">
        <f>IF('Calendario C'!L121="","",'Calendario C'!L121)</f>
        <v/>
      </c>
      <c r="M461" s="200"/>
      <c r="N461" s="200"/>
      <c r="O461" s="200"/>
      <c r="P461" s="200"/>
      <c r="Q461" s="200"/>
      <c r="R461" s="200"/>
    </row>
    <row r="462" spans="1:18" ht="15" customHeight="1" x14ac:dyDescent="0.25">
      <c r="A462" s="133"/>
      <c r="B462" s="136" t="str">
        <f>IF('Calendario C'!B122="","",'Calendario C'!B122)</f>
        <v/>
      </c>
      <c r="C462" s="124"/>
      <c r="D462" s="124"/>
      <c r="E462" s="124"/>
      <c r="F462" s="124"/>
      <c r="G462" s="124"/>
      <c r="H462" s="125"/>
      <c r="I462" s="45" t="str">
        <f>IF('Calendario C'!I122="","",'Calendario C'!I122)</f>
        <v/>
      </c>
      <c r="J462" s="133"/>
      <c r="K462" s="133"/>
      <c r="L462" s="133"/>
      <c r="M462" s="133"/>
      <c r="N462" s="133"/>
      <c r="O462" s="133"/>
      <c r="P462" s="133"/>
      <c r="Q462" s="133"/>
      <c r="R462" s="133"/>
    </row>
    <row r="463" spans="1:18" ht="14.1" customHeight="1" x14ac:dyDescent="0.25">
      <c r="A463" s="52" t="s">
        <v>193</v>
      </c>
      <c r="B463" s="145" t="s">
        <v>175</v>
      </c>
      <c r="C463" s="125"/>
      <c r="D463" s="145" t="s">
        <v>182</v>
      </c>
      <c r="E463" s="125"/>
      <c r="F463" s="52" t="s">
        <v>194</v>
      </c>
      <c r="G463" s="52" t="s">
        <v>195</v>
      </c>
      <c r="H463" s="145" t="s">
        <v>196</v>
      </c>
      <c r="I463" s="125"/>
      <c r="J463" s="145" t="s">
        <v>197</v>
      </c>
      <c r="K463" s="124"/>
      <c r="L463" s="125"/>
      <c r="M463" s="104" t="s">
        <v>494</v>
      </c>
      <c r="N463" s="104" t="s">
        <v>495</v>
      </c>
      <c r="O463" s="104" t="s">
        <v>496</v>
      </c>
      <c r="P463" s="104" t="s">
        <v>497</v>
      </c>
      <c r="Q463" s="104" t="s">
        <v>498</v>
      </c>
      <c r="R463" s="104" t="s">
        <v>499</v>
      </c>
    </row>
    <row r="464" spans="1:18" ht="21.95" customHeight="1" x14ac:dyDescent="0.25">
      <c r="A464" s="146">
        <f>IF('Calendario C'!A124="","",'Calendario C'!A124)</f>
        <v>125</v>
      </c>
      <c r="B464" s="44" t="str">
        <f>IF('Calendario C'!B124="","",'Calendario C'!B124)</f>
        <v/>
      </c>
      <c r="C464" s="45" t="str">
        <f>IF('Calendario C'!C124="","",'Calendario C'!C124)</f>
        <v/>
      </c>
      <c r="D464" s="44" t="str">
        <f>IF('Calendario C'!D124="","",'Calendario C'!D124)</f>
        <v/>
      </c>
      <c r="E464" s="45" t="str">
        <f>IF('Calendario C'!E124="","",'Calendario C'!E124)</f>
        <v/>
      </c>
      <c r="F464" s="138" t="str">
        <f>IF('Calendario C'!F124="","",'Calendario C'!F124)</f>
        <v/>
      </c>
      <c r="G464" s="124"/>
      <c r="H464" s="124"/>
      <c r="I464" s="125"/>
      <c r="J464" s="202" t="str">
        <f>IF('Calendario C'!J124="","",'Calendario C'!J124)</f>
        <v/>
      </c>
      <c r="K464" s="201" t="s">
        <v>198</v>
      </c>
      <c r="L464" s="202" t="str">
        <f>IF('Calendario C'!L124="","",'Calendario C'!L124)</f>
        <v/>
      </c>
      <c r="M464" s="200"/>
      <c r="N464" s="200"/>
      <c r="O464" s="200"/>
      <c r="P464" s="200"/>
      <c r="Q464" s="200"/>
      <c r="R464" s="200"/>
    </row>
    <row r="465" spans="1:18" ht="15" customHeight="1" x14ac:dyDescent="0.25">
      <c r="A465" s="133"/>
      <c r="B465" s="136" t="str">
        <f>IF('Calendario C'!B125="","",'Calendario C'!B125)</f>
        <v/>
      </c>
      <c r="C465" s="124"/>
      <c r="D465" s="124"/>
      <c r="E465" s="124"/>
      <c r="F465" s="124"/>
      <c r="G465" s="124"/>
      <c r="H465" s="125"/>
      <c r="I465" s="45" t="str">
        <f>IF('Calendario C'!I125="","",'Calendario C'!I125)</f>
        <v/>
      </c>
      <c r="J465" s="133"/>
      <c r="K465" s="133"/>
      <c r="L465" s="133"/>
      <c r="M465" s="133"/>
      <c r="N465" s="133"/>
      <c r="O465" s="133"/>
      <c r="P465" s="133"/>
      <c r="Q465" s="133"/>
      <c r="R465" s="133"/>
    </row>
    <row r="467" spans="1:18" ht="20.100000000000001" customHeight="1" x14ac:dyDescent="0.25">
      <c r="A467" s="51" t="str">
        <f>IF('Calendario C'!A127="","",'Calendario C'!A127)</f>
        <v>8C</v>
      </c>
      <c r="B467" s="147" t="str">
        <f>IF('Calendario C'!B127="","",'Calendario C'!B127)</f>
        <v>GIORNATA VIII - GIRONE C</v>
      </c>
      <c r="C467" s="124"/>
      <c r="D467" s="124"/>
      <c r="E467" s="124"/>
      <c r="F467" s="124"/>
      <c r="G467" s="124"/>
      <c r="H467" s="124"/>
      <c r="I467" s="124"/>
      <c r="J467" s="124"/>
      <c r="K467" s="124"/>
      <c r="L467" s="125"/>
      <c r="M467" s="207" t="s">
        <v>492</v>
      </c>
      <c r="N467" s="124"/>
      <c r="O467" s="125"/>
      <c r="P467" s="207" t="s">
        <v>493</v>
      </c>
      <c r="Q467" s="124"/>
      <c r="R467" s="125"/>
    </row>
    <row r="468" spans="1:18" ht="14.1" customHeight="1" x14ac:dyDescent="0.25">
      <c r="A468" s="52" t="s">
        <v>193</v>
      </c>
      <c r="B468" s="145" t="s">
        <v>175</v>
      </c>
      <c r="C468" s="125"/>
      <c r="D468" s="145" t="s">
        <v>182</v>
      </c>
      <c r="E468" s="125"/>
      <c r="F468" s="52" t="s">
        <v>194</v>
      </c>
      <c r="G468" s="52" t="s">
        <v>195</v>
      </c>
      <c r="H468" s="145" t="s">
        <v>196</v>
      </c>
      <c r="I468" s="125"/>
      <c r="J468" s="145" t="s">
        <v>197</v>
      </c>
      <c r="K468" s="124"/>
      <c r="L468" s="125"/>
      <c r="M468" s="104" t="s">
        <v>494</v>
      </c>
      <c r="N468" s="104" t="s">
        <v>495</v>
      </c>
      <c r="O468" s="104" t="s">
        <v>496</v>
      </c>
      <c r="P468" s="104" t="s">
        <v>497</v>
      </c>
      <c r="Q468" s="104" t="s">
        <v>498</v>
      </c>
      <c r="R468" s="104" t="s">
        <v>499</v>
      </c>
    </row>
    <row r="469" spans="1:18" ht="21.95" customHeight="1" x14ac:dyDescent="0.25">
      <c r="A469" s="146">
        <f>IF('Calendario C'!A129="","",'Calendario C'!A129)</f>
        <v>126</v>
      </c>
      <c r="B469" s="44" t="str">
        <f>IF('Calendario C'!B129="","",'Calendario C'!B129)</f>
        <v/>
      </c>
      <c r="C469" s="45" t="str">
        <f>IF('Calendario C'!C129="","",'Calendario C'!C129)</f>
        <v/>
      </c>
      <c r="D469" s="44" t="str">
        <f>IF('Calendario C'!D129="","",'Calendario C'!D129)</f>
        <v/>
      </c>
      <c r="E469" s="45" t="str">
        <f>IF('Calendario C'!E129="","",'Calendario C'!E129)</f>
        <v/>
      </c>
      <c r="F469" s="138" t="str">
        <f>IF('Calendario C'!F129="","",'Calendario C'!F129)</f>
        <v/>
      </c>
      <c r="G469" s="124"/>
      <c r="H469" s="124"/>
      <c r="I469" s="125"/>
      <c r="J469" s="202" t="str">
        <f>IF('Calendario C'!J129="","",'Calendario C'!J129)</f>
        <v/>
      </c>
      <c r="K469" s="201" t="s">
        <v>198</v>
      </c>
      <c r="L469" s="202" t="str">
        <f>IF('Calendario C'!L129="","",'Calendario C'!L129)</f>
        <v/>
      </c>
      <c r="M469" s="200"/>
      <c r="N469" s="200"/>
      <c r="O469" s="200"/>
      <c r="P469" s="200"/>
      <c r="Q469" s="200"/>
      <c r="R469" s="200"/>
    </row>
    <row r="470" spans="1:18" ht="15" customHeight="1" x14ac:dyDescent="0.25">
      <c r="A470" s="133"/>
      <c r="B470" s="136" t="str">
        <f>IF('Calendario C'!B130="","",'Calendario C'!B130)</f>
        <v/>
      </c>
      <c r="C470" s="124"/>
      <c r="D470" s="124"/>
      <c r="E470" s="124"/>
      <c r="F470" s="124"/>
      <c r="G470" s="124"/>
      <c r="H470" s="125"/>
      <c r="I470" s="45" t="str">
        <f>IF('Calendario C'!I130="","",'Calendario C'!I130)</f>
        <v/>
      </c>
      <c r="J470" s="133"/>
      <c r="K470" s="133"/>
      <c r="L470" s="133"/>
      <c r="M470" s="133"/>
      <c r="N470" s="133"/>
      <c r="O470" s="133"/>
      <c r="P470" s="133"/>
      <c r="Q470" s="133"/>
      <c r="R470" s="133"/>
    </row>
    <row r="471" spans="1:18" ht="14.1" customHeight="1" x14ac:dyDescent="0.25">
      <c r="A471" s="52" t="s">
        <v>193</v>
      </c>
      <c r="B471" s="145" t="s">
        <v>175</v>
      </c>
      <c r="C471" s="125"/>
      <c r="D471" s="145" t="s">
        <v>182</v>
      </c>
      <c r="E471" s="125"/>
      <c r="F471" s="52" t="s">
        <v>194</v>
      </c>
      <c r="G471" s="52" t="s">
        <v>195</v>
      </c>
      <c r="H471" s="145" t="s">
        <v>196</v>
      </c>
      <c r="I471" s="125"/>
      <c r="J471" s="145" t="s">
        <v>197</v>
      </c>
      <c r="K471" s="124"/>
      <c r="L471" s="125"/>
      <c r="M471" s="104" t="s">
        <v>494</v>
      </c>
      <c r="N471" s="104" t="s">
        <v>495</v>
      </c>
      <c r="O471" s="104" t="s">
        <v>496</v>
      </c>
      <c r="P471" s="104" t="s">
        <v>497</v>
      </c>
      <c r="Q471" s="104" t="s">
        <v>498</v>
      </c>
      <c r="R471" s="104" t="s">
        <v>499</v>
      </c>
    </row>
    <row r="472" spans="1:18" ht="21.95" customHeight="1" x14ac:dyDescent="0.25">
      <c r="A472" s="146">
        <f>IF('Calendario C'!A132="","",'Calendario C'!A132)</f>
        <v>127</v>
      </c>
      <c r="B472" s="44" t="str">
        <f>IF('Calendario C'!B132="","",'Calendario C'!B132)</f>
        <v/>
      </c>
      <c r="C472" s="45" t="str">
        <f>IF('Calendario C'!C132="","",'Calendario C'!C132)</f>
        <v/>
      </c>
      <c r="D472" s="44" t="str">
        <f>IF('Calendario C'!D132="","",'Calendario C'!D132)</f>
        <v/>
      </c>
      <c r="E472" s="45" t="str">
        <f>IF('Calendario C'!E132="","",'Calendario C'!E132)</f>
        <v/>
      </c>
      <c r="F472" s="138" t="str">
        <f>IF('Calendario C'!F132="","",'Calendario C'!F132)</f>
        <v/>
      </c>
      <c r="G472" s="124"/>
      <c r="H472" s="124"/>
      <c r="I472" s="125"/>
      <c r="J472" s="202" t="str">
        <f>IF('Calendario C'!J132="","",'Calendario C'!J132)</f>
        <v/>
      </c>
      <c r="K472" s="201" t="s">
        <v>198</v>
      </c>
      <c r="L472" s="202" t="str">
        <f>IF('Calendario C'!L132="","",'Calendario C'!L132)</f>
        <v/>
      </c>
      <c r="M472" s="200"/>
      <c r="N472" s="200"/>
      <c r="O472" s="200"/>
      <c r="P472" s="200"/>
      <c r="Q472" s="200"/>
      <c r="R472" s="200"/>
    </row>
    <row r="473" spans="1:18" ht="15" customHeight="1" x14ac:dyDescent="0.25">
      <c r="A473" s="133"/>
      <c r="B473" s="136" t="str">
        <f>IF('Calendario C'!B133="","",'Calendario C'!B133)</f>
        <v/>
      </c>
      <c r="C473" s="124"/>
      <c r="D473" s="124"/>
      <c r="E473" s="124"/>
      <c r="F473" s="124"/>
      <c r="G473" s="124"/>
      <c r="H473" s="125"/>
      <c r="I473" s="45" t="str">
        <f>IF('Calendario C'!I133="","",'Calendario C'!I133)</f>
        <v/>
      </c>
      <c r="J473" s="133"/>
      <c r="K473" s="133"/>
      <c r="L473" s="133"/>
      <c r="M473" s="133"/>
      <c r="N473" s="133"/>
      <c r="O473" s="133"/>
      <c r="P473" s="133"/>
      <c r="Q473" s="133"/>
      <c r="R473" s="133"/>
    </row>
    <row r="474" spans="1:18" ht="14.1" customHeight="1" x14ac:dyDescent="0.25">
      <c r="A474" s="52" t="s">
        <v>193</v>
      </c>
      <c r="B474" s="145" t="s">
        <v>175</v>
      </c>
      <c r="C474" s="125"/>
      <c r="D474" s="145" t="s">
        <v>182</v>
      </c>
      <c r="E474" s="125"/>
      <c r="F474" s="52" t="s">
        <v>194</v>
      </c>
      <c r="G474" s="52" t="s">
        <v>195</v>
      </c>
      <c r="H474" s="145" t="s">
        <v>196</v>
      </c>
      <c r="I474" s="125"/>
      <c r="J474" s="145" t="s">
        <v>197</v>
      </c>
      <c r="K474" s="124"/>
      <c r="L474" s="125"/>
      <c r="M474" s="104" t="s">
        <v>494</v>
      </c>
      <c r="N474" s="104" t="s">
        <v>495</v>
      </c>
      <c r="O474" s="104" t="s">
        <v>496</v>
      </c>
      <c r="P474" s="104" t="s">
        <v>497</v>
      </c>
      <c r="Q474" s="104" t="s">
        <v>498</v>
      </c>
      <c r="R474" s="104" t="s">
        <v>499</v>
      </c>
    </row>
    <row r="475" spans="1:18" ht="21.95" customHeight="1" x14ac:dyDescent="0.25">
      <c r="A475" s="146">
        <f>IF('Calendario C'!A135="","",'Calendario C'!A135)</f>
        <v>128</v>
      </c>
      <c r="B475" s="44" t="str">
        <f>IF('Calendario C'!B135="","",'Calendario C'!B135)</f>
        <v/>
      </c>
      <c r="C475" s="45" t="str">
        <f>IF('Calendario C'!C135="","",'Calendario C'!C135)</f>
        <v/>
      </c>
      <c r="D475" s="44" t="str">
        <f>IF('Calendario C'!D135="","",'Calendario C'!D135)</f>
        <v/>
      </c>
      <c r="E475" s="45" t="str">
        <f>IF('Calendario C'!E135="","",'Calendario C'!E135)</f>
        <v/>
      </c>
      <c r="F475" s="138" t="str">
        <f>IF('Calendario C'!F135="","",'Calendario C'!F135)</f>
        <v/>
      </c>
      <c r="G475" s="124"/>
      <c r="H475" s="124"/>
      <c r="I475" s="125"/>
      <c r="J475" s="202" t="str">
        <f>IF('Calendario C'!J135="","",'Calendario C'!J135)</f>
        <v/>
      </c>
      <c r="K475" s="201" t="s">
        <v>198</v>
      </c>
      <c r="L475" s="202" t="str">
        <f>IF('Calendario C'!L135="","",'Calendario C'!L135)</f>
        <v/>
      </c>
      <c r="M475" s="200"/>
      <c r="N475" s="200"/>
      <c r="O475" s="200"/>
      <c r="P475" s="200"/>
      <c r="Q475" s="200"/>
      <c r="R475" s="200"/>
    </row>
    <row r="476" spans="1:18" ht="15" customHeight="1" x14ac:dyDescent="0.25">
      <c r="A476" s="133"/>
      <c r="B476" s="136" t="str">
        <f>IF('Calendario C'!B136="","",'Calendario C'!B136)</f>
        <v/>
      </c>
      <c r="C476" s="124"/>
      <c r="D476" s="124"/>
      <c r="E476" s="124"/>
      <c r="F476" s="124"/>
      <c r="G476" s="124"/>
      <c r="H476" s="125"/>
      <c r="I476" s="45" t="str">
        <f>IF('Calendario C'!I136="","",'Calendario C'!I136)</f>
        <v/>
      </c>
      <c r="J476" s="133"/>
      <c r="K476" s="133"/>
      <c r="L476" s="133"/>
      <c r="M476" s="133"/>
      <c r="N476" s="133"/>
      <c r="O476" s="133"/>
      <c r="P476" s="133"/>
      <c r="Q476" s="133"/>
      <c r="R476" s="133"/>
    </row>
    <row r="477" spans="1:18" ht="14.1" customHeight="1" x14ac:dyDescent="0.25">
      <c r="A477" s="52" t="s">
        <v>193</v>
      </c>
      <c r="B477" s="145" t="s">
        <v>175</v>
      </c>
      <c r="C477" s="125"/>
      <c r="D477" s="145" t="s">
        <v>182</v>
      </c>
      <c r="E477" s="125"/>
      <c r="F477" s="52" t="s">
        <v>194</v>
      </c>
      <c r="G477" s="52" t="s">
        <v>195</v>
      </c>
      <c r="H477" s="145" t="s">
        <v>196</v>
      </c>
      <c r="I477" s="125"/>
      <c r="J477" s="145" t="s">
        <v>197</v>
      </c>
      <c r="K477" s="124"/>
      <c r="L477" s="125"/>
      <c r="M477" s="104" t="s">
        <v>494</v>
      </c>
      <c r="N477" s="104" t="s">
        <v>495</v>
      </c>
      <c r="O477" s="104" t="s">
        <v>496</v>
      </c>
      <c r="P477" s="104" t="s">
        <v>497</v>
      </c>
      <c r="Q477" s="104" t="s">
        <v>498</v>
      </c>
      <c r="R477" s="104" t="s">
        <v>499</v>
      </c>
    </row>
    <row r="478" spans="1:18" ht="21.95" customHeight="1" x14ac:dyDescent="0.25">
      <c r="A478" s="146">
        <f>IF('Calendario C'!A138="","",'Calendario C'!A138)</f>
        <v>129</v>
      </c>
      <c r="B478" s="44" t="str">
        <f>IF('Calendario C'!B138="","",'Calendario C'!B138)</f>
        <v/>
      </c>
      <c r="C478" s="45" t="str">
        <f>IF('Calendario C'!C138="","",'Calendario C'!C138)</f>
        <v/>
      </c>
      <c r="D478" s="44" t="str">
        <f>IF('Calendario C'!D138="","",'Calendario C'!D138)</f>
        <v/>
      </c>
      <c r="E478" s="45" t="str">
        <f>IF('Calendario C'!E138="","",'Calendario C'!E138)</f>
        <v/>
      </c>
      <c r="F478" s="138" t="str">
        <f>IF('Calendario C'!F138="","",'Calendario C'!F138)</f>
        <v/>
      </c>
      <c r="G478" s="124"/>
      <c r="H478" s="124"/>
      <c r="I478" s="125"/>
      <c r="J478" s="202" t="str">
        <f>IF('Calendario C'!J138="","",'Calendario C'!J138)</f>
        <v/>
      </c>
      <c r="K478" s="201" t="s">
        <v>198</v>
      </c>
      <c r="L478" s="202" t="str">
        <f>IF('Calendario C'!L138="","",'Calendario C'!L138)</f>
        <v/>
      </c>
      <c r="M478" s="200"/>
      <c r="N478" s="200"/>
      <c r="O478" s="200"/>
      <c r="P478" s="200"/>
      <c r="Q478" s="200"/>
      <c r="R478" s="200"/>
    </row>
    <row r="479" spans="1:18" ht="15" customHeight="1" x14ac:dyDescent="0.25">
      <c r="A479" s="133"/>
      <c r="B479" s="136" t="str">
        <f>IF('Calendario C'!B139="","",'Calendario C'!B139)</f>
        <v/>
      </c>
      <c r="C479" s="124"/>
      <c r="D479" s="124"/>
      <c r="E479" s="124"/>
      <c r="F479" s="124"/>
      <c r="G479" s="124"/>
      <c r="H479" s="125"/>
      <c r="I479" s="45" t="str">
        <f>IF('Calendario C'!I139="","",'Calendario C'!I139)</f>
        <v/>
      </c>
      <c r="J479" s="133"/>
      <c r="K479" s="133"/>
      <c r="L479" s="133"/>
      <c r="M479" s="133"/>
      <c r="N479" s="133"/>
      <c r="O479" s="133"/>
      <c r="P479" s="133"/>
      <c r="Q479" s="133"/>
      <c r="R479" s="133"/>
    </row>
    <row r="480" spans="1:18" ht="14.1" customHeight="1" x14ac:dyDescent="0.25">
      <c r="A480" s="52" t="s">
        <v>193</v>
      </c>
      <c r="B480" s="145" t="s">
        <v>175</v>
      </c>
      <c r="C480" s="125"/>
      <c r="D480" s="145" t="s">
        <v>182</v>
      </c>
      <c r="E480" s="125"/>
      <c r="F480" s="52" t="s">
        <v>194</v>
      </c>
      <c r="G480" s="52" t="s">
        <v>195</v>
      </c>
      <c r="H480" s="145" t="s">
        <v>196</v>
      </c>
      <c r="I480" s="125"/>
      <c r="J480" s="145" t="s">
        <v>197</v>
      </c>
      <c r="K480" s="124"/>
      <c r="L480" s="125"/>
      <c r="M480" s="104" t="s">
        <v>494</v>
      </c>
      <c r="N480" s="104" t="s">
        <v>495</v>
      </c>
      <c r="O480" s="104" t="s">
        <v>496</v>
      </c>
      <c r="P480" s="104" t="s">
        <v>497</v>
      </c>
      <c r="Q480" s="104" t="s">
        <v>498</v>
      </c>
      <c r="R480" s="104" t="s">
        <v>499</v>
      </c>
    </row>
    <row r="481" spans="1:18" ht="21.95" customHeight="1" x14ac:dyDescent="0.25">
      <c r="A481" s="146">
        <f>IF('Calendario C'!A141="","",'Calendario C'!A141)</f>
        <v>130</v>
      </c>
      <c r="B481" s="44" t="str">
        <f>IF('Calendario C'!B141="","",'Calendario C'!B141)</f>
        <v/>
      </c>
      <c r="C481" s="45" t="str">
        <f>IF('Calendario C'!C141="","",'Calendario C'!C141)</f>
        <v/>
      </c>
      <c r="D481" s="44" t="str">
        <f>IF('Calendario C'!D141="","",'Calendario C'!D141)</f>
        <v/>
      </c>
      <c r="E481" s="45" t="str">
        <f>IF('Calendario C'!E141="","",'Calendario C'!E141)</f>
        <v/>
      </c>
      <c r="F481" s="138" t="str">
        <f>IF('Calendario C'!F141="","",'Calendario C'!F141)</f>
        <v/>
      </c>
      <c r="G481" s="124"/>
      <c r="H481" s="124"/>
      <c r="I481" s="125"/>
      <c r="J481" s="202" t="str">
        <f>IF('Calendario C'!J141="","",'Calendario C'!J141)</f>
        <v/>
      </c>
      <c r="K481" s="201" t="s">
        <v>198</v>
      </c>
      <c r="L481" s="202" t="str">
        <f>IF('Calendario C'!L141="","",'Calendario C'!L141)</f>
        <v/>
      </c>
      <c r="M481" s="200"/>
      <c r="N481" s="200"/>
      <c r="O481" s="200"/>
      <c r="P481" s="200"/>
      <c r="Q481" s="200"/>
      <c r="R481" s="200"/>
    </row>
    <row r="482" spans="1:18" ht="15" customHeight="1" x14ac:dyDescent="0.25">
      <c r="A482" s="133"/>
      <c r="B482" s="136" t="str">
        <f>IF('Calendario C'!B142="","",'Calendario C'!B142)</f>
        <v/>
      </c>
      <c r="C482" s="124"/>
      <c r="D482" s="124"/>
      <c r="E482" s="124"/>
      <c r="F482" s="124"/>
      <c r="G482" s="124"/>
      <c r="H482" s="125"/>
      <c r="I482" s="45" t="str">
        <f>IF('Calendario C'!I142="","",'Calendario C'!I142)</f>
        <v/>
      </c>
      <c r="J482" s="133"/>
      <c r="K482" s="133"/>
      <c r="L482" s="133"/>
      <c r="M482" s="133"/>
      <c r="N482" s="133"/>
      <c r="O482" s="133"/>
      <c r="P482" s="133"/>
      <c r="Q482" s="133"/>
      <c r="R482" s="133"/>
    </row>
    <row r="484" spans="1:18" ht="20.100000000000001" customHeight="1" x14ac:dyDescent="0.25">
      <c r="A484" s="51" t="str">
        <f>IF('Calendario C'!A144="","",'Calendario C'!A144)</f>
        <v>9C</v>
      </c>
      <c r="B484" s="147" t="str">
        <f>IF('Calendario C'!B144="","",'Calendario C'!B144)</f>
        <v>GIORNATA IX - GIRONE C</v>
      </c>
      <c r="C484" s="124"/>
      <c r="D484" s="124"/>
      <c r="E484" s="124"/>
      <c r="F484" s="124"/>
      <c r="G484" s="124"/>
      <c r="H484" s="124"/>
      <c r="I484" s="124"/>
      <c r="J484" s="124"/>
      <c r="K484" s="124"/>
      <c r="L484" s="125"/>
      <c r="M484" s="207" t="s">
        <v>492</v>
      </c>
      <c r="N484" s="124"/>
      <c r="O484" s="125"/>
      <c r="P484" s="207" t="s">
        <v>493</v>
      </c>
      <c r="Q484" s="124"/>
      <c r="R484" s="125"/>
    </row>
    <row r="485" spans="1:18" ht="14.1" customHeight="1" x14ac:dyDescent="0.25">
      <c r="A485" s="52" t="s">
        <v>193</v>
      </c>
      <c r="B485" s="145" t="s">
        <v>175</v>
      </c>
      <c r="C485" s="125"/>
      <c r="D485" s="145" t="s">
        <v>182</v>
      </c>
      <c r="E485" s="125"/>
      <c r="F485" s="52" t="s">
        <v>194</v>
      </c>
      <c r="G485" s="52" t="s">
        <v>195</v>
      </c>
      <c r="H485" s="145" t="s">
        <v>196</v>
      </c>
      <c r="I485" s="125"/>
      <c r="J485" s="145" t="s">
        <v>197</v>
      </c>
      <c r="K485" s="124"/>
      <c r="L485" s="125"/>
      <c r="M485" s="104" t="s">
        <v>494</v>
      </c>
      <c r="N485" s="104" t="s">
        <v>495</v>
      </c>
      <c r="O485" s="104" t="s">
        <v>496</v>
      </c>
      <c r="P485" s="104" t="s">
        <v>497</v>
      </c>
      <c r="Q485" s="104" t="s">
        <v>498</v>
      </c>
      <c r="R485" s="104" t="s">
        <v>499</v>
      </c>
    </row>
    <row r="486" spans="1:18" ht="21.95" customHeight="1" x14ac:dyDescent="0.25">
      <c r="A486" s="146">
        <f>IF('Calendario C'!A146="","",'Calendario C'!A146)</f>
        <v>131</v>
      </c>
      <c r="B486" s="44" t="str">
        <f>IF('Calendario C'!B146="","",'Calendario C'!B146)</f>
        <v/>
      </c>
      <c r="C486" s="45" t="str">
        <f>IF('Calendario C'!C146="","",'Calendario C'!C146)</f>
        <v/>
      </c>
      <c r="D486" s="44" t="str">
        <f>IF('Calendario C'!D146="","",'Calendario C'!D146)</f>
        <v/>
      </c>
      <c r="E486" s="45" t="str">
        <f>IF('Calendario C'!E146="","",'Calendario C'!E146)</f>
        <v/>
      </c>
      <c r="F486" s="138" t="str">
        <f>IF('Calendario C'!F146="","",'Calendario C'!F146)</f>
        <v/>
      </c>
      <c r="G486" s="124"/>
      <c r="H486" s="124"/>
      <c r="I486" s="125"/>
      <c r="J486" s="202" t="str">
        <f>IF('Calendario C'!J146="","",'Calendario C'!J146)</f>
        <v/>
      </c>
      <c r="K486" s="201" t="s">
        <v>198</v>
      </c>
      <c r="L486" s="202" t="str">
        <f>IF('Calendario C'!L146="","",'Calendario C'!L146)</f>
        <v/>
      </c>
      <c r="M486" s="200"/>
      <c r="N486" s="200"/>
      <c r="O486" s="200"/>
      <c r="P486" s="200"/>
      <c r="Q486" s="200"/>
      <c r="R486" s="200"/>
    </row>
    <row r="487" spans="1:18" ht="15" customHeight="1" x14ac:dyDescent="0.25">
      <c r="A487" s="133"/>
      <c r="B487" s="136" t="str">
        <f>IF('Calendario C'!B147="","",'Calendario C'!B147)</f>
        <v/>
      </c>
      <c r="C487" s="124"/>
      <c r="D487" s="124"/>
      <c r="E487" s="124"/>
      <c r="F487" s="124"/>
      <c r="G487" s="124"/>
      <c r="H487" s="125"/>
      <c r="I487" s="45" t="str">
        <f>IF('Calendario C'!I147="","",'Calendario C'!I147)</f>
        <v/>
      </c>
      <c r="J487" s="133"/>
      <c r="K487" s="133"/>
      <c r="L487" s="133"/>
      <c r="M487" s="133"/>
      <c r="N487" s="133"/>
      <c r="O487" s="133"/>
      <c r="P487" s="133"/>
      <c r="Q487" s="133"/>
      <c r="R487" s="133"/>
    </row>
    <row r="488" spans="1:18" ht="14.1" customHeight="1" x14ac:dyDescent="0.25">
      <c r="A488" s="52" t="s">
        <v>193</v>
      </c>
      <c r="B488" s="145" t="s">
        <v>175</v>
      </c>
      <c r="C488" s="125"/>
      <c r="D488" s="145" t="s">
        <v>182</v>
      </c>
      <c r="E488" s="125"/>
      <c r="F488" s="52" t="s">
        <v>194</v>
      </c>
      <c r="G488" s="52" t="s">
        <v>195</v>
      </c>
      <c r="H488" s="145" t="s">
        <v>196</v>
      </c>
      <c r="I488" s="125"/>
      <c r="J488" s="145" t="s">
        <v>197</v>
      </c>
      <c r="K488" s="124"/>
      <c r="L488" s="125"/>
      <c r="M488" s="104" t="s">
        <v>494</v>
      </c>
      <c r="N488" s="104" t="s">
        <v>495</v>
      </c>
      <c r="O488" s="104" t="s">
        <v>496</v>
      </c>
      <c r="P488" s="104" t="s">
        <v>497</v>
      </c>
      <c r="Q488" s="104" t="s">
        <v>498</v>
      </c>
      <c r="R488" s="104" t="s">
        <v>499</v>
      </c>
    </row>
    <row r="489" spans="1:18" ht="21.95" customHeight="1" x14ac:dyDescent="0.25">
      <c r="A489" s="146">
        <f>IF('Calendario C'!A149="","",'Calendario C'!A149)</f>
        <v>132</v>
      </c>
      <c r="B489" s="44" t="str">
        <f>IF('Calendario C'!B149="","",'Calendario C'!B149)</f>
        <v/>
      </c>
      <c r="C489" s="45" t="str">
        <f>IF('Calendario C'!C149="","",'Calendario C'!C149)</f>
        <v/>
      </c>
      <c r="D489" s="44" t="str">
        <f>IF('Calendario C'!D149="","",'Calendario C'!D149)</f>
        <v/>
      </c>
      <c r="E489" s="45" t="str">
        <f>IF('Calendario C'!E149="","",'Calendario C'!E149)</f>
        <v/>
      </c>
      <c r="F489" s="138" t="str">
        <f>IF('Calendario C'!F149="","",'Calendario C'!F149)</f>
        <v/>
      </c>
      <c r="G489" s="124"/>
      <c r="H489" s="124"/>
      <c r="I489" s="125"/>
      <c r="J489" s="202" t="str">
        <f>IF('Calendario C'!J149="","",'Calendario C'!J149)</f>
        <v/>
      </c>
      <c r="K489" s="201" t="s">
        <v>198</v>
      </c>
      <c r="L489" s="202" t="str">
        <f>IF('Calendario C'!L149="","",'Calendario C'!L149)</f>
        <v/>
      </c>
      <c r="M489" s="200"/>
      <c r="N489" s="200"/>
      <c r="O489" s="200"/>
      <c r="P489" s="200"/>
      <c r="Q489" s="200"/>
      <c r="R489" s="200"/>
    </row>
    <row r="490" spans="1:18" ht="15" customHeight="1" x14ac:dyDescent="0.25">
      <c r="A490" s="133"/>
      <c r="B490" s="136" t="str">
        <f>IF('Calendario C'!B150="","",'Calendario C'!B150)</f>
        <v/>
      </c>
      <c r="C490" s="124"/>
      <c r="D490" s="124"/>
      <c r="E490" s="124"/>
      <c r="F490" s="124"/>
      <c r="G490" s="124"/>
      <c r="H490" s="125"/>
      <c r="I490" s="45" t="str">
        <f>IF('Calendario C'!I150="","",'Calendario C'!I150)</f>
        <v/>
      </c>
      <c r="J490" s="133"/>
      <c r="K490" s="133"/>
      <c r="L490" s="133"/>
      <c r="M490" s="133"/>
      <c r="N490" s="133"/>
      <c r="O490" s="133"/>
      <c r="P490" s="133"/>
      <c r="Q490" s="133"/>
      <c r="R490" s="133"/>
    </row>
    <row r="491" spans="1:18" ht="14.1" customHeight="1" x14ac:dyDescent="0.25">
      <c r="A491" s="52" t="s">
        <v>193</v>
      </c>
      <c r="B491" s="145" t="s">
        <v>175</v>
      </c>
      <c r="C491" s="125"/>
      <c r="D491" s="145" t="s">
        <v>182</v>
      </c>
      <c r="E491" s="125"/>
      <c r="F491" s="52" t="s">
        <v>194</v>
      </c>
      <c r="G491" s="52" t="s">
        <v>195</v>
      </c>
      <c r="H491" s="145" t="s">
        <v>196</v>
      </c>
      <c r="I491" s="125"/>
      <c r="J491" s="145" t="s">
        <v>197</v>
      </c>
      <c r="K491" s="124"/>
      <c r="L491" s="125"/>
      <c r="M491" s="104" t="s">
        <v>494</v>
      </c>
      <c r="N491" s="104" t="s">
        <v>495</v>
      </c>
      <c r="O491" s="104" t="s">
        <v>496</v>
      </c>
      <c r="P491" s="104" t="s">
        <v>497</v>
      </c>
      <c r="Q491" s="104" t="s">
        <v>498</v>
      </c>
      <c r="R491" s="104" t="s">
        <v>499</v>
      </c>
    </row>
    <row r="492" spans="1:18" ht="21.95" customHeight="1" x14ac:dyDescent="0.25">
      <c r="A492" s="146">
        <f>IF('Calendario C'!A152="","",'Calendario C'!A152)</f>
        <v>133</v>
      </c>
      <c r="B492" s="44" t="str">
        <f>IF('Calendario C'!B152="","",'Calendario C'!B152)</f>
        <v/>
      </c>
      <c r="C492" s="45" t="str">
        <f>IF('Calendario C'!C152="","",'Calendario C'!C152)</f>
        <v/>
      </c>
      <c r="D492" s="44" t="str">
        <f>IF('Calendario C'!D152="","",'Calendario C'!D152)</f>
        <v/>
      </c>
      <c r="E492" s="45" t="str">
        <f>IF('Calendario C'!E152="","",'Calendario C'!E152)</f>
        <v/>
      </c>
      <c r="F492" s="138" t="str">
        <f>IF('Calendario C'!F152="","",'Calendario C'!F152)</f>
        <v/>
      </c>
      <c r="G492" s="124"/>
      <c r="H492" s="124"/>
      <c r="I492" s="125"/>
      <c r="J492" s="202" t="str">
        <f>IF('Calendario C'!J152="","",'Calendario C'!J152)</f>
        <v/>
      </c>
      <c r="K492" s="201" t="s">
        <v>198</v>
      </c>
      <c r="L492" s="202" t="str">
        <f>IF('Calendario C'!L152="","",'Calendario C'!L152)</f>
        <v/>
      </c>
      <c r="M492" s="200"/>
      <c r="N492" s="200"/>
      <c r="O492" s="200"/>
      <c r="P492" s="200"/>
      <c r="Q492" s="200"/>
      <c r="R492" s="200"/>
    </row>
    <row r="493" spans="1:18" ht="15" customHeight="1" x14ac:dyDescent="0.25">
      <c r="A493" s="133"/>
      <c r="B493" s="136" t="str">
        <f>IF('Calendario C'!B153="","",'Calendario C'!B153)</f>
        <v/>
      </c>
      <c r="C493" s="124"/>
      <c r="D493" s="124"/>
      <c r="E493" s="124"/>
      <c r="F493" s="124"/>
      <c r="G493" s="124"/>
      <c r="H493" s="125"/>
      <c r="I493" s="45" t="str">
        <f>IF('Calendario C'!I153="","",'Calendario C'!I153)</f>
        <v/>
      </c>
      <c r="J493" s="133"/>
      <c r="K493" s="133"/>
      <c r="L493" s="133"/>
      <c r="M493" s="133"/>
      <c r="N493" s="133"/>
      <c r="O493" s="133"/>
      <c r="P493" s="133"/>
      <c r="Q493" s="133"/>
      <c r="R493" s="133"/>
    </row>
    <row r="494" spans="1:18" ht="14.1" customHeight="1" x14ac:dyDescent="0.25">
      <c r="A494" s="52" t="s">
        <v>193</v>
      </c>
      <c r="B494" s="145" t="s">
        <v>175</v>
      </c>
      <c r="C494" s="125"/>
      <c r="D494" s="145" t="s">
        <v>182</v>
      </c>
      <c r="E494" s="125"/>
      <c r="F494" s="52" t="s">
        <v>194</v>
      </c>
      <c r="G494" s="52" t="s">
        <v>195</v>
      </c>
      <c r="H494" s="145" t="s">
        <v>196</v>
      </c>
      <c r="I494" s="125"/>
      <c r="J494" s="145" t="s">
        <v>197</v>
      </c>
      <c r="K494" s="124"/>
      <c r="L494" s="125"/>
      <c r="M494" s="104" t="s">
        <v>494</v>
      </c>
      <c r="N494" s="104" t="s">
        <v>495</v>
      </c>
      <c r="O494" s="104" t="s">
        <v>496</v>
      </c>
      <c r="P494" s="104" t="s">
        <v>497</v>
      </c>
      <c r="Q494" s="104" t="s">
        <v>498</v>
      </c>
      <c r="R494" s="104" t="s">
        <v>499</v>
      </c>
    </row>
    <row r="495" spans="1:18" ht="21.95" customHeight="1" x14ac:dyDescent="0.25">
      <c r="A495" s="146">
        <f>IF('Calendario C'!A155="","",'Calendario C'!A155)</f>
        <v>134</v>
      </c>
      <c r="B495" s="44" t="str">
        <f>IF('Calendario C'!B155="","",'Calendario C'!B155)</f>
        <v/>
      </c>
      <c r="C495" s="45" t="str">
        <f>IF('Calendario C'!C155="","",'Calendario C'!C155)</f>
        <v/>
      </c>
      <c r="D495" s="44" t="str">
        <f>IF('Calendario C'!D155="","",'Calendario C'!D155)</f>
        <v/>
      </c>
      <c r="E495" s="45" t="str">
        <f>IF('Calendario C'!E155="","",'Calendario C'!E155)</f>
        <v/>
      </c>
      <c r="F495" s="138" t="str">
        <f>IF('Calendario C'!F155="","",'Calendario C'!F155)</f>
        <v/>
      </c>
      <c r="G495" s="124"/>
      <c r="H495" s="124"/>
      <c r="I495" s="125"/>
      <c r="J495" s="202" t="str">
        <f>IF('Calendario C'!J155="","",'Calendario C'!J155)</f>
        <v/>
      </c>
      <c r="K495" s="201" t="s">
        <v>198</v>
      </c>
      <c r="L495" s="202" t="str">
        <f>IF('Calendario C'!L155="","",'Calendario C'!L155)</f>
        <v/>
      </c>
      <c r="M495" s="200"/>
      <c r="N495" s="200"/>
      <c r="O495" s="200"/>
      <c r="P495" s="200"/>
      <c r="Q495" s="200"/>
      <c r="R495" s="200"/>
    </row>
    <row r="496" spans="1:18" ht="15" customHeight="1" x14ac:dyDescent="0.25">
      <c r="A496" s="133"/>
      <c r="B496" s="136" t="str">
        <f>IF('Calendario C'!B156="","",'Calendario C'!B156)</f>
        <v/>
      </c>
      <c r="C496" s="124"/>
      <c r="D496" s="124"/>
      <c r="E496" s="124"/>
      <c r="F496" s="124"/>
      <c r="G496" s="124"/>
      <c r="H496" s="125"/>
      <c r="I496" s="45" t="str">
        <f>IF('Calendario C'!I156="","",'Calendario C'!I156)</f>
        <v/>
      </c>
      <c r="J496" s="133"/>
      <c r="K496" s="133"/>
      <c r="L496" s="133"/>
      <c r="M496" s="133"/>
      <c r="N496" s="133"/>
      <c r="O496" s="133"/>
      <c r="P496" s="133"/>
      <c r="Q496" s="133"/>
      <c r="R496" s="133"/>
    </row>
    <row r="497" spans="1:18" ht="14.1" customHeight="1" x14ac:dyDescent="0.25">
      <c r="A497" s="52" t="s">
        <v>193</v>
      </c>
      <c r="B497" s="145" t="s">
        <v>175</v>
      </c>
      <c r="C497" s="125"/>
      <c r="D497" s="145" t="s">
        <v>182</v>
      </c>
      <c r="E497" s="125"/>
      <c r="F497" s="52" t="s">
        <v>194</v>
      </c>
      <c r="G497" s="52" t="s">
        <v>195</v>
      </c>
      <c r="H497" s="145" t="s">
        <v>196</v>
      </c>
      <c r="I497" s="125"/>
      <c r="J497" s="145" t="s">
        <v>197</v>
      </c>
      <c r="K497" s="124"/>
      <c r="L497" s="125"/>
      <c r="M497" s="104" t="s">
        <v>494</v>
      </c>
      <c r="N497" s="104" t="s">
        <v>495</v>
      </c>
      <c r="O497" s="104" t="s">
        <v>496</v>
      </c>
      <c r="P497" s="104" t="s">
        <v>497</v>
      </c>
      <c r="Q497" s="104" t="s">
        <v>498</v>
      </c>
      <c r="R497" s="104" t="s">
        <v>499</v>
      </c>
    </row>
    <row r="498" spans="1:18" ht="21.95" customHeight="1" x14ac:dyDescent="0.25">
      <c r="A498" s="146">
        <f>IF('Calendario C'!A158="","",'Calendario C'!A158)</f>
        <v>135</v>
      </c>
      <c r="B498" s="44" t="str">
        <f>IF('Calendario C'!B158="","",'Calendario C'!B158)</f>
        <v/>
      </c>
      <c r="C498" s="45" t="str">
        <f>IF('Calendario C'!C158="","",'Calendario C'!C158)</f>
        <v/>
      </c>
      <c r="D498" s="44" t="str">
        <f>IF('Calendario C'!D158="","",'Calendario C'!D158)</f>
        <v/>
      </c>
      <c r="E498" s="45" t="str">
        <f>IF('Calendario C'!E158="","",'Calendario C'!E158)</f>
        <v/>
      </c>
      <c r="F498" s="138" t="str">
        <f>IF('Calendario C'!F158="","",'Calendario C'!F158)</f>
        <v/>
      </c>
      <c r="G498" s="124"/>
      <c r="H498" s="124"/>
      <c r="I498" s="125"/>
      <c r="J498" s="202" t="str">
        <f>IF('Calendario C'!J158="","",'Calendario C'!J158)</f>
        <v/>
      </c>
      <c r="K498" s="201" t="s">
        <v>198</v>
      </c>
      <c r="L498" s="202" t="str">
        <f>IF('Calendario C'!L158="","",'Calendario C'!L158)</f>
        <v/>
      </c>
      <c r="M498" s="200"/>
      <c r="N498" s="200"/>
      <c r="O498" s="200"/>
      <c r="P498" s="200"/>
      <c r="Q498" s="200"/>
      <c r="R498" s="200"/>
    </row>
    <row r="499" spans="1:18" ht="15" customHeight="1" x14ac:dyDescent="0.25">
      <c r="A499" s="133"/>
      <c r="B499" s="136" t="str">
        <f>IF('Calendario C'!B159="","",'Calendario C'!B159)</f>
        <v/>
      </c>
      <c r="C499" s="124"/>
      <c r="D499" s="124"/>
      <c r="E499" s="124"/>
      <c r="F499" s="124"/>
      <c r="G499" s="124"/>
      <c r="H499" s="125"/>
      <c r="I499" s="45" t="str">
        <f>IF('Calendario C'!I159="","",'Calendario C'!I159)</f>
        <v/>
      </c>
      <c r="J499" s="133"/>
      <c r="K499" s="133"/>
      <c r="L499" s="133"/>
      <c r="M499" s="133"/>
      <c r="N499" s="133"/>
      <c r="O499" s="133"/>
      <c r="P499" s="133"/>
      <c r="Q499" s="133"/>
      <c r="R499" s="133"/>
    </row>
    <row r="518" spans="1:18" ht="20.100000000000001" customHeight="1" x14ac:dyDescent="0.25">
      <c r="A518" s="53" t="str">
        <f>IF('Calendario D'!A8="","",'Calendario D'!A8)</f>
        <v>1D</v>
      </c>
      <c r="B518" s="151" t="str">
        <f>IF('Calendario D'!B8="","",'Calendario D'!B8)</f>
        <v>GIORNATA I - GIRONE D</v>
      </c>
      <c r="C518" s="124"/>
      <c r="D518" s="124"/>
      <c r="E518" s="124"/>
      <c r="F518" s="124"/>
      <c r="G518" s="124"/>
      <c r="H518" s="124"/>
      <c r="I518" s="124"/>
      <c r="J518" s="124"/>
      <c r="K518" s="124"/>
      <c r="L518" s="125"/>
      <c r="M518" s="208" t="s">
        <v>492</v>
      </c>
      <c r="N518" s="124"/>
      <c r="O518" s="125"/>
      <c r="P518" s="208" t="s">
        <v>493</v>
      </c>
      <c r="Q518" s="124"/>
      <c r="R518" s="125"/>
    </row>
    <row r="519" spans="1:18" ht="14.1" customHeight="1" x14ac:dyDescent="0.25">
      <c r="A519" s="54" t="s">
        <v>193</v>
      </c>
      <c r="B519" s="149" t="s">
        <v>175</v>
      </c>
      <c r="C519" s="125"/>
      <c r="D519" s="149" t="s">
        <v>182</v>
      </c>
      <c r="E519" s="125"/>
      <c r="F519" s="54" t="s">
        <v>194</v>
      </c>
      <c r="G519" s="54" t="s">
        <v>195</v>
      </c>
      <c r="H519" s="149" t="s">
        <v>196</v>
      </c>
      <c r="I519" s="125"/>
      <c r="J519" s="149" t="s">
        <v>197</v>
      </c>
      <c r="K519" s="124"/>
      <c r="L519" s="125"/>
      <c r="M519" s="105" t="s">
        <v>494</v>
      </c>
      <c r="N519" s="105" t="s">
        <v>495</v>
      </c>
      <c r="O519" s="105" t="s">
        <v>496</v>
      </c>
      <c r="P519" s="105" t="s">
        <v>497</v>
      </c>
      <c r="Q519" s="105" t="s">
        <v>498</v>
      </c>
      <c r="R519" s="105" t="s">
        <v>499</v>
      </c>
    </row>
    <row r="520" spans="1:18" ht="21.95" customHeight="1" x14ac:dyDescent="0.25">
      <c r="A520" s="150">
        <f>IF('Calendario D'!A10="","",'Calendario D'!A10)</f>
        <v>136</v>
      </c>
      <c r="B520" s="44" t="str">
        <f>IF('Calendario D'!B10="","",'Calendario D'!B10)</f>
        <v/>
      </c>
      <c r="C520" s="45" t="str">
        <f>IF('Calendario D'!C10="","",'Calendario D'!C10)</f>
        <v/>
      </c>
      <c r="D520" s="44" t="str">
        <f>IF('Calendario D'!D10="","",'Calendario D'!D10)</f>
        <v/>
      </c>
      <c r="E520" s="45" t="str">
        <f>IF('Calendario D'!E10="","",'Calendario D'!E10)</f>
        <v/>
      </c>
      <c r="F520" s="138" t="str">
        <f>IF('Calendario D'!F10="","",'Calendario D'!F10)</f>
        <v/>
      </c>
      <c r="G520" s="124"/>
      <c r="H520" s="124"/>
      <c r="I520" s="125"/>
      <c r="J520" s="202" t="str">
        <f>IF('Calendario D'!J10="","",'Calendario D'!J10)</f>
        <v/>
      </c>
      <c r="K520" s="201" t="s">
        <v>198</v>
      </c>
      <c r="L520" s="202" t="str">
        <f>IF('Calendario D'!L10="","",'Calendario D'!L10)</f>
        <v/>
      </c>
      <c r="M520" s="200"/>
      <c r="N520" s="200"/>
      <c r="O520" s="200"/>
      <c r="P520" s="200"/>
      <c r="Q520" s="200"/>
      <c r="R520" s="200"/>
    </row>
    <row r="521" spans="1:18" ht="15" customHeight="1" x14ac:dyDescent="0.25">
      <c r="A521" s="133"/>
      <c r="B521" s="136" t="str">
        <f>IF('Calendario D'!B11="","",'Calendario D'!B11)</f>
        <v/>
      </c>
      <c r="C521" s="124"/>
      <c r="D521" s="124"/>
      <c r="E521" s="124"/>
      <c r="F521" s="124"/>
      <c r="G521" s="124"/>
      <c r="H521" s="125"/>
      <c r="I521" s="45" t="str">
        <f>IF('Calendario D'!I11="","",'Calendario D'!I11)</f>
        <v/>
      </c>
      <c r="J521" s="133"/>
      <c r="K521" s="133"/>
      <c r="L521" s="133"/>
      <c r="M521" s="133"/>
      <c r="N521" s="133"/>
      <c r="O521" s="133"/>
      <c r="P521" s="133"/>
      <c r="Q521" s="133"/>
      <c r="R521" s="133"/>
    </row>
    <row r="522" spans="1:18" ht="14.1" customHeight="1" x14ac:dyDescent="0.25">
      <c r="A522" s="54" t="s">
        <v>193</v>
      </c>
      <c r="B522" s="149" t="s">
        <v>175</v>
      </c>
      <c r="C522" s="125"/>
      <c r="D522" s="149" t="s">
        <v>182</v>
      </c>
      <c r="E522" s="125"/>
      <c r="F522" s="54" t="s">
        <v>194</v>
      </c>
      <c r="G522" s="54" t="s">
        <v>195</v>
      </c>
      <c r="H522" s="149" t="s">
        <v>196</v>
      </c>
      <c r="I522" s="125"/>
      <c r="J522" s="149" t="s">
        <v>197</v>
      </c>
      <c r="K522" s="124"/>
      <c r="L522" s="125"/>
      <c r="M522" s="105" t="s">
        <v>494</v>
      </c>
      <c r="N522" s="105" t="s">
        <v>495</v>
      </c>
      <c r="O522" s="105" t="s">
        <v>496</v>
      </c>
      <c r="P522" s="105" t="s">
        <v>497</v>
      </c>
      <c r="Q522" s="105" t="s">
        <v>498</v>
      </c>
      <c r="R522" s="105" t="s">
        <v>499</v>
      </c>
    </row>
    <row r="523" spans="1:18" ht="21.95" customHeight="1" x14ac:dyDescent="0.25">
      <c r="A523" s="150">
        <f>IF('Calendario D'!A13="","",'Calendario D'!A13)</f>
        <v>137</v>
      </c>
      <c r="B523" s="44" t="str">
        <f>IF('Calendario D'!B13="","",'Calendario D'!B13)</f>
        <v/>
      </c>
      <c r="C523" s="45" t="str">
        <f>IF('Calendario D'!C13="","",'Calendario D'!C13)</f>
        <v/>
      </c>
      <c r="D523" s="44" t="str">
        <f>IF('Calendario D'!D13="","",'Calendario D'!D13)</f>
        <v/>
      </c>
      <c r="E523" s="45" t="str">
        <f>IF('Calendario D'!E13="","",'Calendario D'!E13)</f>
        <v/>
      </c>
      <c r="F523" s="138" t="str">
        <f>IF('Calendario D'!F13="","",'Calendario D'!F13)</f>
        <v/>
      </c>
      <c r="G523" s="124"/>
      <c r="H523" s="124"/>
      <c r="I523" s="125"/>
      <c r="J523" s="202" t="str">
        <f>IF('Calendario D'!J13="","",'Calendario D'!J13)</f>
        <v/>
      </c>
      <c r="K523" s="201" t="s">
        <v>198</v>
      </c>
      <c r="L523" s="202" t="str">
        <f>IF('Calendario D'!L13="","",'Calendario D'!L13)</f>
        <v/>
      </c>
      <c r="M523" s="200"/>
      <c r="N523" s="200"/>
      <c r="O523" s="200"/>
      <c r="P523" s="200"/>
      <c r="Q523" s="200"/>
      <c r="R523" s="200"/>
    </row>
    <row r="524" spans="1:18" ht="15" customHeight="1" x14ac:dyDescent="0.25">
      <c r="A524" s="133"/>
      <c r="B524" s="136" t="str">
        <f>IF('Calendario D'!B14="","",'Calendario D'!B14)</f>
        <v/>
      </c>
      <c r="C524" s="124"/>
      <c r="D524" s="124"/>
      <c r="E524" s="124"/>
      <c r="F524" s="124"/>
      <c r="G524" s="124"/>
      <c r="H524" s="125"/>
      <c r="I524" s="45" t="str">
        <f>IF('Calendario D'!I14="","",'Calendario D'!I14)</f>
        <v/>
      </c>
      <c r="J524" s="133"/>
      <c r="K524" s="133"/>
      <c r="L524" s="133"/>
      <c r="M524" s="133"/>
      <c r="N524" s="133"/>
      <c r="O524" s="133"/>
      <c r="P524" s="133"/>
      <c r="Q524" s="133"/>
      <c r="R524" s="133"/>
    </row>
    <row r="525" spans="1:18" ht="14.1" customHeight="1" x14ac:dyDescent="0.25">
      <c r="A525" s="54" t="s">
        <v>193</v>
      </c>
      <c r="B525" s="149" t="s">
        <v>175</v>
      </c>
      <c r="C525" s="125"/>
      <c r="D525" s="149" t="s">
        <v>182</v>
      </c>
      <c r="E525" s="125"/>
      <c r="F525" s="54" t="s">
        <v>194</v>
      </c>
      <c r="G525" s="54" t="s">
        <v>195</v>
      </c>
      <c r="H525" s="149" t="s">
        <v>196</v>
      </c>
      <c r="I525" s="125"/>
      <c r="J525" s="149" t="s">
        <v>197</v>
      </c>
      <c r="K525" s="124"/>
      <c r="L525" s="125"/>
      <c r="M525" s="105" t="s">
        <v>494</v>
      </c>
      <c r="N525" s="105" t="s">
        <v>495</v>
      </c>
      <c r="O525" s="105" t="s">
        <v>496</v>
      </c>
      <c r="P525" s="105" t="s">
        <v>497</v>
      </c>
      <c r="Q525" s="105" t="s">
        <v>498</v>
      </c>
      <c r="R525" s="105" t="s">
        <v>499</v>
      </c>
    </row>
    <row r="526" spans="1:18" ht="21.95" customHeight="1" x14ac:dyDescent="0.25">
      <c r="A526" s="150">
        <f>IF('Calendario D'!A16="","",'Calendario D'!A16)</f>
        <v>138</v>
      </c>
      <c r="B526" s="44" t="str">
        <f>IF('Calendario D'!B16="","",'Calendario D'!B16)</f>
        <v/>
      </c>
      <c r="C526" s="45" t="str">
        <f>IF('Calendario D'!C16="","",'Calendario D'!C16)</f>
        <v/>
      </c>
      <c r="D526" s="44" t="str">
        <f>IF('Calendario D'!D16="","",'Calendario D'!D16)</f>
        <v/>
      </c>
      <c r="E526" s="45" t="str">
        <f>IF('Calendario D'!E16="","",'Calendario D'!E16)</f>
        <v/>
      </c>
      <c r="F526" s="138" t="str">
        <f>IF('Calendario D'!F16="","",'Calendario D'!F16)</f>
        <v/>
      </c>
      <c r="G526" s="124"/>
      <c r="H526" s="124"/>
      <c r="I526" s="125"/>
      <c r="J526" s="202" t="str">
        <f>IF('Calendario D'!J16="","",'Calendario D'!J16)</f>
        <v/>
      </c>
      <c r="K526" s="201" t="s">
        <v>198</v>
      </c>
      <c r="L526" s="202" t="str">
        <f>IF('Calendario D'!L16="","",'Calendario D'!L16)</f>
        <v/>
      </c>
      <c r="M526" s="200"/>
      <c r="N526" s="200"/>
      <c r="O526" s="200"/>
      <c r="P526" s="200"/>
      <c r="Q526" s="200"/>
      <c r="R526" s="200"/>
    </row>
    <row r="527" spans="1:18" ht="15" customHeight="1" x14ac:dyDescent="0.25">
      <c r="A527" s="133"/>
      <c r="B527" s="136" t="str">
        <f>IF('Calendario D'!B17="","",'Calendario D'!B17)</f>
        <v/>
      </c>
      <c r="C527" s="124"/>
      <c r="D527" s="124"/>
      <c r="E527" s="124"/>
      <c r="F527" s="124"/>
      <c r="G527" s="124"/>
      <c r="H527" s="125"/>
      <c r="I527" s="45" t="str">
        <f>IF('Calendario D'!I17="","",'Calendario D'!I17)</f>
        <v/>
      </c>
      <c r="J527" s="133"/>
      <c r="K527" s="133"/>
      <c r="L527" s="133"/>
      <c r="M527" s="133"/>
      <c r="N527" s="133"/>
      <c r="O527" s="133"/>
      <c r="P527" s="133"/>
      <c r="Q527" s="133"/>
      <c r="R527" s="133"/>
    </row>
    <row r="528" spans="1:18" ht="14.1" customHeight="1" x14ac:dyDescent="0.25">
      <c r="A528" s="54" t="s">
        <v>193</v>
      </c>
      <c r="B528" s="149" t="s">
        <v>175</v>
      </c>
      <c r="C528" s="125"/>
      <c r="D528" s="149" t="s">
        <v>182</v>
      </c>
      <c r="E528" s="125"/>
      <c r="F528" s="54" t="s">
        <v>194</v>
      </c>
      <c r="G528" s="54" t="s">
        <v>195</v>
      </c>
      <c r="H528" s="149" t="s">
        <v>196</v>
      </c>
      <c r="I528" s="125"/>
      <c r="J528" s="149" t="s">
        <v>197</v>
      </c>
      <c r="K528" s="124"/>
      <c r="L528" s="125"/>
      <c r="M528" s="105" t="s">
        <v>494</v>
      </c>
      <c r="N528" s="105" t="s">
        <v>495</v>
      </c>
      <c r="O528" s="105" t="s">
        <v>496</v>
      </c>
      <c r="P528" s="105" t="s">
        <v>497</v>
      </c>
      <c r="Q528" s="105" t="s">
        <v>498</v>
      </c>
      <c r="R528" s="105" t="s">
        <v>499</v>
      </c>
    </row>
    <row r="529" spans="1:18" ht="21.95" customHeight="1" x14ac:dyDescent="0.25">
      <c r="A529" s="150">
        <f>IF('Calendario D'!A19="","",'Calendario D'!A19)</f>
        <v>139</v>
      </c>
      <c r="B529" s="44" t="str">
        <f>IF('Calendario D'!B19="","",'Calendario D'!B19)</f>
        <v/>
      </c>
      <c r="C529" s="45" t="str">
        <f>IF('Calendario D'!C19="","",'Calendario D'!C19)</f>
        <v/>
      </c>
      <c r="D529" s="44" t="str">
        <f>IF('Calendario D'!D19="","",'Calendario D'!D19)</f>
        <v/>
      </c>
      <c r="E529" s="45" t="str">
        <f>IF('Calendario D'!E19="","",'Calendario D'!E19)</f>
        <v/>
      </c>
      <c r="F529" s="138" t="str">
        <f>IF('Calendario D'!F19="","",'Calendario D'!F19)</f>
        <v/>
      </c>
      <c r="G529" s="124"/>
      <c r="H529" s="124"/>
      <c r="I529" s="125"/>
      <c r="J529" s="202" t="str">
        <f>IF('Calendario D'!J19="","",'Calendario D'!J19)</f>
        <v/>
      </c>
      <c r="K529" s="201" t="s">
        <v>198</v>
      </c>
      <c r="L529" s="202" t="str">
        <f>IF('Calendario D'!L19="","",'Calendario D'!L19)</f>
        <v/>
      </c>
      <c r="M529" s="200"/>
      <c r="N529" s="200"/>
      <c r="O529" s="200"/>
      <c r="P529" s="200"/>
      <c r="Q529" s="200"/>
      <c r="R529" s="200"/>
    </row>
    <row r="530" spans="1:18" ht="15" customHeight="1" x14ac:dyDescent="0.25">
      <c r="A530" s="133"/>
      <c r="B530" s="136" t="str">
        <f>IF('Calendario D'!B20="","",'Calendario D'!B20)</f>
        <v/>
      </c>
      <c r="C530" s="124"/>
      <c r="D530" s="124"/>
      <c r="E530" s="124"/>
      <c r="F530" s="124"/>
      <c r="G530" s="124"/>
      <c r="H530" s="125"/>
      <c r="I530" s="45" t="str">
        <f>IF('Calendario D'!I20="","",'Calendario D'!I20)</f>
        <v/>
      </c>
      <c r="J530" s="133"/>
      <c r="K530" s="133"/>
      <c r="L530" s="133"/>
      <c r="M530" s="133"/>
      <c r="N530" s="133"/>
      <c r="O530" s="133"/>
      <c r="P530" s="133"/>
      <c r="Q530" s="133"/>
      <c r="R530" s="133"/>
    </row>
    <row r="531" spans="1:18" ht="14.1" customHeight="1" x14ac:dyDescent="0.25">
      <c r="A531" s="54" t="s">
        <v>193</v>
      </c>
      <c r="B531" s="149" t="s">
        <v>175</v>
      </c>
      <c r="C531" s="125"/>
      <c r="D531" s="149" t="s">
        <v>182</v>
      </c>
      <c r="E531" s="125"/>
      <c r="F531" s="54" t="s">
        <v>194</v>
      </c>
      <c r="G531" s="54" t="s">
        <v>195</v>
      </c>
      <c r="H531" s="149" t="s">
        <v>196</v>
      </c>
      <c r="I531" s="125"/>
      <c r="J531" s="149" t="s">
        <v>197</v>
      </c>
      <c r="K531" s="124"/>
      <c r="L531" s="125"/>
      <c r="M531" s="105" t="s">
        <v>494</v>
      </c>
      <c r="N531" s="105" t="s">
        <v>495</v>
      </c>
      <c r="O531" s="105" t="s">
        <v>496</v>
      </c>
      <c r="P531" s="105" t="s">
        <v>497</v>
      </c>
      <c r="Q531" s="105" t="s">
        <v>498</v>
      </c>
      <c r="R531" s="105" t="s">
        <v>499</v>
      </c>
    </row>
    <row r="532" spans="1:18" ht="21.95" customHeight="1" x14ac:dyDescent="0.25">
      <c r="A532" s="150">
        <f>IF('Calendario D'!A22="","",'Calendario D'!A22)</f>
        <v>140</v>
      </c>
      <c r="B532" s="44" t="str">
        <f>IF('Calendario D'!B22="","",'Calendario D'!B22)</f>
        <v/>
      </c>
      <c r="C532" s="45" t="str">
        <f>IF('Calendario D'!C22="","",'Calendario D'!C22)</f>
        <v/>
      </c>
      <c r="D532" s="44" t="str">
        <f>IF('Calendario D'!D22="","",'Calendario D'!D22)</f>
        <v/>
      </c>
      <c r="E532" s="45" t="str">
        <f>IF('Calendario D'!E22="","",'Calendario D'!E22)</f>
        <v/>
      </c>
      <c r="F532" s="138" t="str">
        <f>IF('Calendario D'!F22="","",'Calendario D'!F22)</f>
        <v/>
      </c>
      <c r="G532" s="124"/>
      <c r="H532" s="124"/>
      <c r="I532" s="125"/>
      <c r="J532" s="202" t="str">
        <f>IF('Calendario D'!J22="","",'Calendario D'!J22)</f>
        <v/>
      </c>
      <c r="K532" s="201" t="s">
        <v>198</v>
      </c>
      <c r="L532" s="202" t="str">
        <f>IF('Calendario D'!L22="","",'Calendario D'!L22)</f>
        <v/>
      </c>
      <c r="M532" s="200"/>
      <c r="N532" s="200"/>
      <c r="O532" s="200"/>
      <c r="P532" s="200"/>
      <c r="Q532" s="200"/>
      <c r="R532" s="200"/>
    </row>
    <row r="533" spans="1:18" ht="15" customHeight="1" x14ac:dyDescent="0.25">
      <c r="A533" s="133"/>
      <c r="B533" s="136" t="str">
        <f>IF('Calendario D'!B23="","",'Calendario D'!B23)</f>
        <v/>
      </c>
      <c r="C533" s="124"/>
      <c r="D533" s="124"/>
      <c r="E533" s="124"/>
      <c r="F533" s="124"/>
      <c r="G533" s="124"/>
      <c r="H533" s="125"/>
      <c r="I533" s="45" t="str">
        <f>IF('Calendario D'!I23="","",'Calendario D'!I23)</f>
        <v/>
      </c>
      <c r="J533" s="133"/>
      <c r="K533" s="133"/>
      <c r="L533" s="133"/>
      <c r="M533" s="133"/>
      <c r="N533" s="133"/>
      <c r="O533" s="133"/>
      <c r="P533" s="133"/>
      <c r="Q533" s="133"/>
      <c r="R533" s="133"/>
    </row>
    <row r="535" spans="1:18" ht="20.100000000000001" customHeight="1" x14ac:dyDescent="0.25">
      <c r="A535" s="53" t="str">
        <f>IF('Calendario D'!A25="","",'Calendario D'!A25)</f>
        <v>2D</v>
      </c>
      <c r="B535" s="151" t="str">
        <f>IF('Calendario D'!B25="","",'Calendario D'!B25)</f>
        <v>GIORNATA II - GIRONE D</v>
      </c>
      <c r="C535" s="124"/>
      <c r="D535" s="124"/>
      <c r="E535" s="124"/>
      <c r="F535" s="124"/>
      <c r="G535" s="124"/>
      <c r="H535" s="124"/>
      <c r="I535" s="124"/>
      <c r="J535" s="124"/>
      <c r="K535" s="124"/>
      <c r="L535" s="125"/>
      <c r="M535" s="208" t="s">
        <v>492</v>
      </c>
      <c r="N535" s="124"/>
      <c r="O535" s="125"/>
      <c r="P535" s="208" t="s">
        <v>493</v>
      </c>
      <c r="Q535" s="124"/>
      <c r="R535" s="125"/>
    </row>
    <row r="536" spans="1:18" ht="14.1" customHeight="1" x14ac:dyDescent="0.25">
      <c r="A536" s="54" t="s">
        <v>193</v>
      </c>
      <c r="B536" s="149" t="s">
        <v>175</v>
      </c>
      <c r="C536" s="125"/>
      <c r="D536" s="149" t="s">
        <v>182</v>
      </c>
      <c r="E536" s="125"/>
      <c r="F536" s="54" t="s">
        <v>194</v>
      </c>
      <c r="G536" s="54" t="s">
        <v>195</v>
      </c>
      <c r="H536" s="149" t="s">
        <v>196</v>
      </c>
      <c r="I536" s="125"/>
      <c r="J536" s="149" t="s">
        <v>197</v>
      </c>
      <c r="K536" s="124"/>
      <c r="L536" s="125"/>
      <c r="M536" s="105" t="s">
        <v>494</v>
      </c>
      <c r="N536" s="105" t="s">
        <v>495</v>
      </c>
      <c r="O536" s="105" t="s">
        <v>496</v>
      </c>
      <c r="P536" s="105" t="s">
        <v>497</v>
      </c>
      <c r="Q536" s="105" t="s">
        <v>498</v>
      </c>
      <c r="R536" s="105" t="s">
        <v>499</v>
      </c>
    </row>
    <row r="537" spans="1:18" ht="21.95" customHeight="1" x14ac:dyDescent="0.25">
      <c r="A537" s="150">
        <f>IF('Calendario D'!A27="","",'Calendario D'!A27)</f>
        <v>141</v>
      </c>
      <c r="B537" s="44" t="str">
        <f>IF('Calendario D'!B27="","",'Calendario D'!B27)</f>
        <v/>
      </c>
      <c r="C537" s="45" t="str">
        <f>IF('Calendario D'!C27="","",'Calendario D'!C27)</f>
        <v/>
      </c>
      <c r="D537" s="44" t="str">
        <f>IF('Calendario D'!D27="","",'Calendario D'!D27)</f>
        <v/>
      </c>
      <c r="E537" s="45" t="str">
        <f>IF('Calendario D'!E27="","",'Calendario D'!E27)</f>
        <v/>
      </c>
      <c r="F537" s="138" t="str">
        <f>IF('Calendario D'!F27="","",'Calendario D'!F27)</f>
        <v/>
      </c>
      <c r="G537" s="124"/>
      <c r="H537" s="124"/>
      <c r="I537" s="125"/>
      <c r="J537" s="202" t="str">
        <f>IF('Calendario D'!J27="","",'Calendario D'!J27)</f>
        <v/>
      </c>
      <c r="K537" s="201" t="s">
        <v>198</v>
      </c>
      <c r="L537" s="202" t="str">
        <f>IF('Calendario D'!L27="","",'Calendario D'!L27)</f>
        <v/>
      </c>
      <c r="M537" s="200"/>
      <c r="N537" s="200"/>
      <c r="O537" s="200"/>
      <c r="P537" s="200"/>
      <c r="Q537" s="200"/>
      <c r="R537" s="200"/>
    </row>
    <row r="538" spans="1:18" ht="15" customHeight="1" x14ac:dyDescent="0.25">
      <c r="A538" s="133"/>
      <c r="B538" s="136" t="str">
        <f>IF('Calendario D'!B28="","",'Calendario D'!B28)</f>
        <v/>
      </c>
      <c r="C538" s="124"/>
      <c r="D538" s="124"/>
      <c r="E538" s="124"/>
      <c r="F538" s="124"/>
      <c r="G538" s="124"/>
      <c r="H538" s="125"/>
      <c r="I538" s="45" t="str">
        <f>IF('Calendario D'!I28="","",'Calendario D'!I28)</f>
        <v/>
      </c>
      <c r="J538" s="133"/>
      <c r="K538" s="133"/>
      <c r="L538" s="133"/>
      <c r="M538" s="133"/>
      <c r="N538" s="133"/>
      <c r="O538" s="133"/>
      <c r="P538" s="133"/>
      <c r="Q538" s="133"/>
      <c r="R538" s="133"/>
    </row>
    <row r="539" spans="1:18" ht="14.1" customHeight="1" x14ac:dyDescent="0.25">
      <c r="A539" s="54" t="s">
        <v>193</v>
      </c>
      <c r="B539" s="149" t="s">
        <v>175</v>
      </c>
      <c r="C539" s="125"/>
      <c r="D539" s="149" t="s">
        <v>182</v>
      </c>
      <c r="E539" s="125"/>
      <c r="F539" s="54" t="s">
        <v>194</v>
      </c>
      <c r="G539" s="54" t="s">
        <v>195</v>
      </c>
      <c r="H539" s="149" t="s">
        <v>196</v>
      </c>
      <c r="I539" s="125"/>
      <c r="J539" s="149" t="s">
        <v>197</v>
      </c>
      <c r="K539" s="124"/>
      <c r="L539" s="125"/>
      <c r="M539" s="105" t="s">
        <v>494</v>
      </c>
      <c r="N539" s="105" t="s">
        <v>495</v>
      </c>
      <c r="O539" s="105" t="s">
        <v>496</v>
      </c>
      <c r="P539" s="105" t="s">
        <v>497</v>
      </c>
      <c r="Q539" s="105" t="s">
        <v>498</v>
      </c>
      <c r="R539" s="105" t="s">
        <v>499</v>
      </c>
    </row>
    <row r="540" spans="1:18" ht="21.95" customHeight="1" x14ac:dyDescent="0.25">
      <c r="A540" s="150">
        <f>IF('Calendario D'!A30="","",'Calendario D'!A30)</f>
        <v>142</v>
      </c>
      <c r="B540" s="44" t="str">
        <f>IF('Calendario D'!B30="","",'Calendario D'!B30)</f>
        <v/>
      </c>
      <c r="C540" s="45" t="str">
        <f>IF('Calendario D'!C30="","",'Calendario D'!C30)</f>
        <v/>
      </c>
      <c r="D540" s="44" t="str">
        <f>IF('Calendario D'!D30="","",'Calendario D'!D30)</f>
        <v/>
      </c>
      <c r="E540" s="45" t="str">
        <f>IF('Calendario D'!E30="","",'Calendario D'!E30)</f>
        <v/>
      </c>
      <c r="F540" s="138" t="str">
        <f>IF('Calendario D'!F30="","",'Calendario D'!F30)</f>
        <v/>
      </c>
      <c r="G540" s="124"/>
      <c r="H540" s="124"/>
      <c r="I540" s="125"/>
      <c r="J540" s="202" t="str">
        <f>IF('Calendario D'!J30="","",'Calendario D'!J30)</f>
        <v/>
      </c>
      <c r="K540" s="201" t="s">
        <v>198</v>
      </c>
      <c r="L540" s="202" t="str">
        <f>IF('Calendario D'!L30="","",'Calendario D'!L30)</f>
        <v/>
      </c>
      <c r="M540" s="200"/>
      <c r="N540" s="200"/>
      <c r="O540" s="200"/>
      <c r="P540" s="200"/>
      <c r="Q540" s="200"/>
      <c r="R540" s="200"/>
    </row>
    <row r="541" spans="1:18" ht="15" customHeight="1" x14ac:dyDescent="0.25">
      <c r="A541" s="133"/>
      <c r="B541" s="136" t="str">
        <f>IF('Calendario D'!B31="","",'Calendario D'!B31)</f>
        <v/>
      </c>
      <c r="C541" s="124"/>
      <c r="D541" s="124"/>
      <c r="E541" s="124"/>
      <c r="F541" s="124"/>
      <c r="G541" s="124"/>
      <c r="H541" s="125"/>
      <c r="I541" s="45" t="str">
        <f>IF('Calendario D'!I31="","",'Calendario D'!I31)</f>
        <v/>
      </c>
      <c r="J541" s="133"/>
      <c r="K541" s="133"/>
      <c r="L541" s="133"/>
      <c r="M541" s="133"/>
      <c r="N541" s="133"/>
      <c r="O541" s="133"/>
      <c r="P541" s="133"/>
      <c r="Q541" s="133"/>
      <c r="R541" s="133"/>
    </row>
    <row r="542" spans="1:18" ht="14.1" customHeight="1" x14ac:dyDescent="0.25">
      <c r="A542" s="54" t="s">
        <v>193</v>
      </c>
      <c r="B542" s="149" t="s">
        <v>175</v>
      </c>
      <c r="C542" s="125"/>
      <c r="D542" s="149" t="s">
        <v>182</v>
      </c>
      <c r="E542" s="125"/>
      <c r="F542" s="54" t="s">
        <v>194</v>
      </c>
      <c r="G542" s="54" t="s">
        <v>195</v>
      </c>
      <c r="H542" s="149" t="s">
        <v>196</v>
      </c>
      <c r="I542" s="125"/>
      <c r="J542" s="149" t="s">
        <v>197</v>
      </c>
      <c r="K542" s="124"/>
      <c r="L542" s="125"/>
      <c r="M542" s="105" t="s">
        <v>494</v>
      </c>
      <c r="N542" s="105" t="s">
        <v>495</v>
      </c>
      <c r="O542" s="105" t="s">
        <v>496</v>
      </c>
      <c r="P542" s="105" t="s">
        <v>497</v>
      </c>
      <c r="Q542" s="105" t="s">
        <v>498</v>
      </c>
      <c r="R542" s="105" t="s">
        <v>499</v>
      </c>
    </row>
    <row r="543" spans="1:18" ht="21.95" customHeight="1" x14ac:dyDescent="0.25">
      <c r="A543" s="150">
        <f>IF('Calendario D'!A33="","",'Calendario D'!A33)</f>
        <v>143</v>
      </c>
      <c r="B543" s="44" t="str">
        <f>IF('Calendario D'!B33="","",'Calendario D'!B33)</f>
        <v/>
      </c>
      <c r="C543" s="45" t="str">
        <f>IF('Calendario D'!C33="","",'Calendario D'!C33)</f>
        <v/>
      </c>
      <c r="D543" s="44" t="str">
        <f>IF('Calendario D'!D33="","",'Calendario D'!D33)</f>
        <v/>
      </c>
      <c r="E543" s="45" t="str">
        <f>IF('Calendario D'!E33="","",'Calendario D'!E33)</f>
        <v/>
      </c>
      <c r="F543" s="138" t="str">
        <f>IF('Calendario D'!F33="","",'Calendario D'!F33)</f>
        <v/>
      </c>
      <c r="G543" s="124"/>
      <c r="H543" s="124"/>
      <c r="I543" s="125"/>
      <c r="J543" s="202" t="str">
        <f>IF('Calendario D'!J33="","",'Calendario D'!J33)</f>
        <v/>
      </c>
      <c r="K543" s="201" t="s">
        <v>198</v>
      </c>
      <c r="L543" s="202" t="str">
        <f>IF('Calendario D'!L33="","",'Calendario D'!L33)</f>
        <v/>
      </c>
      <c r="M543" s="200"/>
      <c r="N543" s="200"/>
      <c r="O543" s="200"/>
      <c r="P543" s="200"/>
      <c r="Q543" s="200"/>
      <c r="R543" s="200"/>
    </row>
    <row r="544" spans="1:18" ht="15" customHeight="1" x14ac:dyDescent="0.25">
      <c r="A544" s="133"/>
      <c r="B544" s="136" t="str">
        <f>IF('Calendario D'!B34="","",'Calendario D'!B34)</f>
        <v/>
      </c>
      <c r="C544" s="124"/>
      <c r="D544" s="124"/>
      <c r="E544" s="124"/>
      <c r="F544" s="124"/>
      <c r="G544" s="124"/>
      <c r="H544" s="125"/>
      <c r="I544" s="45" t="str">
        <f>IF('Calendario D'!I34="","",'Calendario D'!I34)</f>
        <v/>
      </c>
      <c r="J544" s="133"/>
      <c r="K544" s="133"/>
      <c r="L544" s="133"/>
      <c r="M544" s="133"/>
      <c r="N544" s="133"/>
      <c r="O544" s="133"/>
      <c r="P544" s="133"/>
      <c r="Q544" s="133"/>
      <c r="R544" s="133"/>
    </row>
    <row r="545" spans="1:18" ht="14.1" customHeight="1" x14ac:dyDescent="0.25">
      <c r="A545" s="54" t="s">
        <v>193</v>
      </c>
      <c r="B545" s="149" t="s">
        <v>175</v>
      </c>
      <c r="C545" s="125"/>
      <c r="D545" s="149" t="s">
        <v>182</v>
      </c>
      <c r="E545" s="125"/>
      <c r="F545" s="54" t="s">
        <v>194</v>
      </c>
      <c r="G545" s="54" t="s">
        <v>195</v>
      </c>
      <c r="H545" s="149" t="s">
        <v>196</v>
      </c>
      <c r="I545" s="125"/>
      <c r="J545" s="149" t="s">
        <v>197</v>
      </c>
      <c r="K545" s="124"/>
      <c r="L545" s="125"/>
      <c r="M545" s="105" t="s">
        <v>494</v>
      </c>
      <c r="N545" s="105" t="s">
        <v>495</v>
      </c>
      <c r="O545" s="105" t="s">
        <v>496</v>
      </c>
      <c r="P545" s="105" t="s">
        <v>497</v>
      </c>
      <c r="Q545" s="105" t="s">
        <v>498</v>
      </c>
      <c r="R545" s="105" t="s">
        <v>499</v>
      </c>
    </row>
    <row r="546" spans="1:18" ht="21.95" customHeight="1" x14ac:dyDescent="0.25">
      <c r="A546" s="150">
        <f>IF('Calendario D'!A36="","",'Calendario D'!A36)</f>
        <v>144</v>
      </c>
      <c r="B546" s="44" t="str">
        <f>IF('Calendario D'!B36="","",'Calendario D'!B36)</f>
        <v/>
      </c>
      <c r="C546" s="45" t="str">
        <f>IF('Calendario D'!C36="","",'Calendario D'!C36)</f>
        <v/>
      </c>
      <c r="D546" s="44" t="str">
        <f>IF('Calendario D'!D36="","",'Calendario D'!D36)</f>
        <v/>
      </c>
      <c r="E546" s="45" t="str">
        <f>IF('Calendario D'!E36="","",'Calendario D'!E36)</f>
        <v/>
      </c>
      <c r="F546" s="138" t="str">
        <f>IF('Calendario D'!F36="","",'Calendario D'!F36)</f>
        <v/>
      </c>
      <c r="G546" s="124"/>
      <c r="H546" s="124"/>
      <c r="I546" s="125"/>
      <c r="J546" s="202" t="str">
        <f>IF('Calendario D'!J36="","",'Calendario D'!J36)</f>
        <v/>
      </c>
      <c r="K546" s="201" t="s">
        <v>198</v>
      </c>
      <c r="L546" s="202" t="str">
        <f>IF('Calendario D'!L36="","",'Calendario D'!L36)</f>
        <v/>
      </c>
      <c r="M546" s="200"/>
      <c r="N546" s="200"/>
      <c r="O546" s="200"/>
      <c r="P546" s="200"/>
      <c r="Q546" s="200"/>
      <c r="R546" s="200"/>
    </row>
    <row r="547" spans="1:18" ht="15" customHeight="1" x14ac:dyDescent="0.25">
      <c r="A547" s="133"/>
      <c r="B547" s="136" t="str">
        <f>IF('Calendario D'!B37="","",'Calendario D'!B37)</f>
        <v/>
      </c>
      <c r="C547" s="124"/>
      <c r="D547" s="124"/>
      <c r="E547" s="124"/>
      <c r="F547" s="124"/>
      <c r="G547" s="124"/>
      <c r="H547" s="125"/>
      <c r="I547" s="45" t="str">
        <f>IF('Calendario D'!I37="","",'Calendario D'!I37)</f>
        <v/>
      </c>
      <c r="J547" s="133"/>
      <c r="K547" s="133"/>
      <c r="L547" s="133"/>
      <c r="M547" s="133"/>
      <c r="N547" s="133"/>
      <c r="O547" s="133"/>
      <c r="P547" s="133"/>
      <c r="Q547" s="133"/>
      <c r="R547" s="133"/>
    </row>
    <row r="548" spans="1:18" ht="14.1" customHeight="1" x14ac:dyDescent="0.25">
      <c r="A548" s="54" t="s">
        <v>193</v>
      </c>
      <c r="B548" s="149" t="s">
        <v>175</v>
      </c>
      <c r="C548" s="125"/>
      <c r="D548" s="149" t="s">
        <v>182</v>
      </c>
      <c r="E548" s="125"/>
      <c r="F548" s="54" t="s">
        <v>194</v>
      </c>
      <c r="G548" s="54" t="s">
        <v>195</v>
      </c>
      <c r="H548" s="149" t="s">
        <v>196</v>
      </c>
      <c r="I548" s="125"/>
      <c r="J548" s="149" t="s">
        <v>197</v>
      </c>
      <c r="K548" s="124"/>
      <c r="L548" s="125"/>
      <c r="M548" s="105" t="s">
        <v>494</v>
      </c>
      <c r="N548" s="105" t="s">
        <v>495</v>
      </c>
      <c r="O548" s="105" t="s">
        <v>496</v>
      </c>
      <c r="P548" s="105" t="s">
        <v>497</v>
      </c>
      <c r="Q548" s="105" t="s">
        <v>498</v>
      </c>
      <c r="R548" s="105" t="s">
        <v>499</v>
      </c>
    </row>
    <row r="549" spans="1:18" ht="21.95" customHeight="1" x14ac:dyDescent="0.25">
      <c r="A549" s="150">
        <f>IF('Calendario D'!A39="","",'Calendario D'!A39)</f>
        <v>145</v>
      </c>
      <c r="B549" s="44" t="str">
        <f>IF('Calendario D'!B39="","",'Calendario D'!B39)</f>
        <v/>
      </c>
      <c r="C549" s="45" t="str">
        <f>IF('Calendario D'!C39="","",'Calendario D'!C39)</f>
        <v/>
      </c>
      <c r="D549" s="44" t="str">
        <f>IF('Calendario D'!D39="","",'Calendario D'!D39)</f>
        <v/>
      </c>
      <c r="E549" s="45" t="str">
        <f>IF('Calendario D'!E39="","",'Calendario D'!E39)</f>
        <v/>
      </c>
      <c r="F549" s="138" t="str">
        <f>IF('Calendario D'!F39="","",'Calendario D'!F39)</f>
        <v/>
      </c>
      <c r="G549" s="124"/>
      <c r="H549" s="124"/>
      <c r="I549" s="125"/>
      <c r="J549" s="202" t="str">
        <f>IF('Calendario D'!J39="","",'Calendario D'!J39)</f>
        <v/>
      </c>
      <c r="K549" s="201" t="s">
        <v>198</v>
      </c>
      <c r="L549" s="202" t="str">
        <f>IF('Calendario D'!L39="","",'Calendario D'!L39)</f>
        <v/>
      </c>
      <c r="M549" s="200"/>
      <c r="N549" s="200"/>
      <c r="O549" s="200"/>
      <c r="P549" s="200"/>
      <c r="Q549" s="200"/>
      <c r="R549" s="200"/>
    </row>
    <row r="550" spans="1:18" ht="15" customHeight="1" x14ac:dyDescent="0.25">
      <c r="A550" s="133"/>
      <c r="B550" s="136" t="str">
        <f>IF('Calendario D'!B40="","",'Calendario D'!B40)</f>
        <v/>
      </c>
      <c r="C550" s="124"/>
      <c r="D550" s="124"/>
      <c r="E550" s="124"/>
      <c r="F550" s="124"/>
      <c r="G550" s="124"/>
      <c r="H550" s="125"/>
      <c r="I550" s="45" t="str">
        <f>IF('Calendario D'!I40="","",'Calendario D'!I40)</f>
        <v/>
      </c>
      <c r="J550" s="133"/>
      <c r="K550" s="133"/>
      <c r="L550" s="133"/>
      <c r="M550" s="133"/>
      <c r="N550" s="133"/>
      <c r="O550" s="133"/>
      <c r="P550" s="133"/>
      <c r="Q550" s="133"/>
      <c r="R550" s="133"/>
    </row>
    <row r="552" spans="1:18" ht="20.100000000000001" customHeight="1" x14ac:dyDescent="0.25">
      <c r="A552" s="53" t="str">
        <f>IF('Calendario D'!A42="","",'Calendario D'!A42)</f>
        <v>3D</v>
      </c>
      <c r="B552" s="151" t="str">
        <f>IF('Calendario D'!B42="","",'Calendario D'!B42)</f>
        <v>GIORNATA III - GIRONE D</v>
      </c>
      <c r="C552" s="124"/>
      <c r="D552" s="124"/>
      <c r="E552" s="124"/>
      <c r="F552" s="124"/>
      <c r="G552" s="124"/>
      <c r="H552" s="124"/>
      <c r="I552" s="124"/>
      <c r="J552" s="124"/>
      <c r="K552" s="124"/>
      <c r="L552" s="125"/>
      <c r="M552" s="208" t="s">
        <v>492</v>
      </c>
      <c r="N552" s="124"/>
      <c r="O552" s="125"/>
      <c r="P552" s="208" t="s">
        <v>493</v>
      </c>
      <c r="Q552" s="124"/>
      <c r="R552" s="125"/>
    </row>
    <row r="553" spans="1:18" ht="14.1" customHeight="1" x14ac:dyDescent="0.25">
      <c r="A553" s="54" t="s">
        <v>193</v>
      </c>
      <c r="B553" s="149" t="s">
        <v>175</v>
      </c>
      <c r="C553" s="125"/>
      <c r="D553" s="149" t="s">
        <v>182</v>
      </c>
      <c r="E553" s="125"/>
      <c r="F553" s="54" t="s">
        <v>194</v>
      </c>
      <c r="G553" s="54" t="s">
        <v>195</v>
      </c>
      <c r="H553" s="149" t="s">
        <v>196</v>
      </c>
      <c r="I553" s="125"/>
      <c r="J553" s="149" t="s">
        <v>197</v>
      </c>
      <c r="K553" s="124"/>
      <c r="L553" s="125"/>
      <c r="M553" s="105" t="s">
        <v>494</v>
      </c>
      <c r="N553" s="105" t="s">
        <v>495</v>
      </c>
      <c r="O553" s="105" t="s">
        <v>496</v>
      </c>
      <c r="P553" s="105" t="s">
        <v>497</v>
      </c>
      <c r="Q553" s="105" t="s">
        <v>498</v>
      </c>
      <c r="R553" s="105" t="s">
        <v>499</v>
      </c>
    </row>
    <row r="554" spans="1:18" ht="21.95" customHeight="1" x14ac:dyDescent="0.25">
      <c r="A554" s="150">
        <f>IF('Calendario D'!A44="","",'Calendario D'!A44)</f>
        <v>146</v>
      </c>
      <c r="B554" s="44" t="str">
        <f>IF('Calendario D'!B44="","",'Calendario D'!B44)</f>
        <v/>
      </c>
      <c r="C554" s="45" t="str">
        <f>IF('Calendario D'!C44="","",'Calendario D'!C44)</f>
        <v/>
      </c>
      <c r="D554" s="44" t="str">
        <f>IF('Calendario D'!D44="","",'Calendario D'!D44)</f>
        <v/>
      </c>
      <c r="E554" s="45" t="str">
        <f>IF('Calendario D'!E44="","",'Calendario D'!E44)</f>
        <v/>
      </c>
      <c r="F554" s="138" t="str">
        <f>IF('Calendario D'!F44="","",'Calendario D'!F44)</f>
        <v/>
      </c>
      <c r="G554" s="124"/>
      <c r="H554" s="124"/>
      <c r="I554" s="125"/>
      <c r="J554" s="202" t="str">
        <f>IF('Calendario D'!J44="","",'Calendario D'!J44)</f>
        <v/>
      </c>
      <c r="K554" s="201" t="s">
        <v>198</v>
      </c>
      <c r="L554" s="202" t="str">
        <f>IF('Calendario D'!L44="","",'Calendario D'!L44)</f>
        <v/>
      </c>
      <c r="M554" s="200"/>
      <c r="N554" s="200"/>
      <c r="O554" s="200"/>
      <c r="P554" s="200"/>
      <c r="Q554" s="200"/>
      <c r="R554" s="200"/>
    </row>
    <row r="555" spans="1:18" ht="15" customHeight="1" x14ac:dyDescent="0.25">
      <c r="A555" s="133"/>
      <c r="B555" s="136" t="str">
        <f>IF('Calendario D'!B45="","",'Calendario D'!B45)</f>
        <v/>
      </c>
      <c r="C555" s="124"/>
      <c r="D555" s="124"/>
      <c r="E555" s="124"/>
      <c r="F555" s="124"/>
      <c r="G555" s="124"/>
      <c r="H555" s="125"/>
      <c r="I555" s="45" t="str">
        <f>IF('Calendario D'!I45="","",'Calendario D'!I45)</f>
        <v/>
      </c>
      <c r="J555" s="133"/>
      <c r="K555" s="133"/>
      <c r="L555" s="133"/>
      <c r="M555" s="133"/>
      <c r="N555" s="133"/>
      <c r="O555" s="133"/>
      <c r="P555" s="133"/>
      <c r="Q555" s="133"/>
      <c r="R555" s="133"/>
    </row>
    <row r="556" spans="1:18" ht="14.1" customHeight="1" x14ac:dyDescent="0.25">
      <c r="A556" s="54" t="s">
        <v>193</v>
      </c>
      <c r="B556" s="149" t="s">
        <v>175</v>
      </c>
      <c r="C556" s="125"/>
      <c r="D556" s="149" t="s">
        <v>182</v>
      </c>
      <c r="E556" s="125"/>
      <c r="F556" s="54" t="s">
        <v>194</v>
      </c>
      <c r="G556" s="54" t="s">
        <v>195</v>
      </c>
      <c r="H556" s="149" t="s">
        <v>196</v>
      </c>
      <c r="I556" s="125"/>
      <c r="J556" s="149" t="s">
        <v>197</v>
      </c>
      <c r="K556" s="124"/>
      <c r="L556" s="125"/>
      <c r="M556" s="105" t="s">
        <v>494</v>
      </c>
      <c r="N556" s="105" t="s">
        <v>495</v>
      </c>
      <c r="O556" s="105" t="s">
        <v>496</v>
      </c>
      <c r="P556" s="105" t="s">
        <v>497</v>
      </c>
      <c r="Q556" s="105" t="s">
        <v>498</v>
      </c>
      <c r="R556" s="105" t="s">
        <v>499</v>
      </c>
    </row>
    <row r="557" spans="1:18" ht="21.95" customHeight="1" x14ac:dyDescent="0.25">
      <c r="A557" s="150">
        <f>IF('Calendario D'!A47="","",'Calendario D'!A47)</f>
        <v>147</v>
      </c>
      <c r="B557" s="44" t="str">
        <f>IF('Calendario D'!B47="","",'Calendario D'!B47)</f>
        <v/>
      </c>
      <c r="C557" s="45" t="str">
        <f>IF('Calendario D'!C47="","",'Calendario D'!C47)</f>
        <v/>
      </c>
      <c r="D557" s="44" t="str">
        <f>IF('Calendario D'!D47="","",'Calendario D'!D47)</f>
        <v/>
      </c>
      <c r="E557" s="45" t="str">
        <f>IF('Calendario D'!E47="","",'Calendario D'!E47)</f>
        <v/>
      </c>
      <c r="F557" s="138" t="str">
        <f>IF('Calendario D'!F47="","",'Calendario D'!F47)</f>
        <v/>
      </c>
      <c r="G557" s="124"/>
      <c r="H557" s="124"/>
      <c r="I557" s="125"/>
      <c r="J557" s="202" t="str">
        <f>IF('Calendario D'!J47="","",'Calendario D'!J47)</f>
        <v/>
      </c>
      <c r="K557" s="201" t="s">
        <v>198</v>
      </c>
      <c r="L557" s="202" t="str">
        <f>IF('Calendario D'!L47="","",'Calendario D'!L47)</f>
        <v/>
      </c>
      <c r="M557" s="200"/>
      <c r="N557" s="200"/>
      <c r="O557" s="200"/>
      <c r="P557" s="200"/>
      <c r="Q557" s="200"/>
      <c r="R557" s="200"/>
    </row>
    <row r="558" spans="1:18" ht="15" customHeight="1" x14ac:dyDescent="0.25">
      <c r="A558" s="133"/>
      <c r="B558" s="136" t="str">
        <f>IF('Calendario D'!B48="","",'Calendario D'!B48)</f>
        <v/>
      </c>
      <c r="C558" s="124"/>
      <c r="D558" s="124"/>
      <c r="E558" s="124"/>
      <c r="F558" s="124"/>
      <c r="G558" s="124"/>
      <c r="H558" s="125"/>
      <c r="I558" s="45" t="str">
        <f>IF('Calendario D'!I48="","",'Calendario D'!I48)</f>
        <v/>
      </c>
      <c r="J558" s="133"/>
      <c r="K558" s="133"/>
      <c r="L558" s="133"/>
      <c r="M558" s="133"/>
      <c r="N558" s="133"/>
      <c r="O558" s="133"/>
      <c r="P558" s="133"/>
      <c r="Q558" s="133"/>
      <c r="R558" s="133"/>
    </row>
    <row r="559" spans="1:18" ht="14.1" customHeight="1" x14ac:dyDescent="0.25">
      <c r="A559" s="54" t="s">
        <v>193</v>
      </c>
      <c r="B559" s="149" t="s">
        <v>175</v>
      </c>
      <c r="C559" s="125"/>
      <c r="D559" s="149" t="s">
        <v>182</v>
      </c>
      <c r="E559" s="125"/>
      <c r="F559" s="54" t="s">
        <v>194</v>
      </c>
      <c r="G559" s="54" t="s">
        <v>195</v>
      </c>
      <c r="H559" s="149" t="s">
        <v>196</v>
      </c>
      <c r="I559" s="125"/>
      <c r="J559" s="149" t="s">
        <v>197</v>
      </c>
      <c r="K559" s="124"/>
      <c r="L559" s="125"/>
      <c r="M559" s="105" t="s">
        <v>494</v>
      </c>
      <c r="N559" s="105" t="s">
        <v>495</v>
      </c>
      <c r="O559" s="105" t="s">
        <v>496</v>
      </c>
      <c r="P559" s="105" t="s">
        <v>497</v>
      </c>
      <c r="Q559" s="105" t="s">
        <v>498</v>
      </c>
      <c r="R559" s="105" t="s">
        <v>499</v>
      </c>
    </row>
    <row r="560" spans="1:18" ht="21.95" customHeight="1" x14ac:dyDescent="0.25">
      <c r="A560" s="150">
        <f>IF('Calendario D'!A50="","",'Calendario D'!A50)</f>
        <v>148</v>
      </c>
      <c r="B560" s="44" t="str">
        <f>IF('Calendario D'!B50="","",'Calendario D'!B50)</f>
        <v/>
      </c>
      <c r="C560" s="45" t="str">
        <f>IF('Calendario D'!C50="","",'Calendario D'!C50)</f>
        <v/>
      </c>
      <c r="D560" s="44" t="str">
        <f>IF('Calendario D'!D50="","",'Calendario D'!D50)</f>
        <v/>
      </c>
      <c r="E560" s="45" t="str">
        <f>IF('Calendario D'!E50="","",'Calendario D'!E50)</f>
        <v/>
      </c>
      <c r="F560" s="138" t="str">
        <f>IF('Calendario D'!F50="","",'Calendario D'!F50)</f>
        <v/>
      </c>
      <c r="G560" s="124"/>
      <c r="H560" s="124"/>
      <c r="I560" s="125"/>
      <c r="J560" s="202" t="str">
        <f>IF('Calendario D'!J50="","",'Calendario D'!J50)</f>
        <v/>
      </c>
      <c r="K560" s="201" t="s">
        <v>198</v>
      </c>
      <c r="L560" s="202" t="str">
        <f>IF('Calendario D'!L50="","",'Calendario D'!L50)</f>
        <v/>
      </c>
      <c r="M560" s="200"/>
      <c r="N560" s="200"/>
      <c r="O560" s="200"/>
      <c r="P560" s="200"/>
      <c r="Q560" s="200"/>
      <c r="R560" s="200"/>
    </row>
    <row r="561" spans="1:18" ht="15" customHeight="1" x14ac:dyDescent="0.25">
      <c r="A561" s="133"/>
      <c r="B561" s="136" t="str">
        <f>IF('Calendario D'!B51="","",'Calendario D'!B51)</f>
        <v/>
      </c>
      <c r="C561" s="124"/>
      <c r="D561" s="124"/>
      <c r="E561" s="124"/>
      <c r="F561" s="124"/>
      <c r="G561" s="124"/>
      <c r="H561" s="125"/>
      <c r="I561" s="45" t="str">
        <f>IF('Calendario D'!I51="","",'Calendario D'!I51)</f>
        <v/>
      </c>
      <c r="J561" s="133"/>
      <c r="K561" s="133"/>
      <c r="L561" s="133"/>
      <c r="M561" s="133"/>
      <c r="N561" s="133"/>
      <c r="O561" s="133"/>
      <c r="P561" s="133"/>
      <c r="Q561" s="133"/>
      <c r="R561" s="133"/>
    </row>
    <row r="562" spans="1:18" ht="14.1" customHeight="1" x14ac:dyDescent="0.25">
      <c r="A562" s="54" t="s">
        <v>193</v>
      </c>
      <c r="B562" s="149" t="s">
        <v>175</v>
      </c>
      <c r="C562" s="125"/>
      <c r="D562" s="149" t="s">
        <v>182</v>
      </c>
      <c r="E562" s="125"/>
      <c r="F562" s="54" t="s">
        <v>194</v>
      </c>
      <c r="G562" s="54" t="s">
        <v>195</v>
      </c>
      <c r="H562" s="149" t="s">
        <v>196</v>
      </c>
      <c r="I562" s="125"/>
      <c r="J562" s="149" t="s">
        <v>197</v>
      </c>
      <c r="K562" s="124"/>
      <c r="L562" s="125"/>
      <c r="M562" s="105" t="s">
        <v>494</v>
      </c>
      <c r="N562" s="105" t="s">
        <v>495</v>
      </c>
      <c r="O562" s="105" t="s">
        <v>496</v>
      </c>
      <c r="P562" s="105" t="s">
        <v>497</v>
      </c>
      <c r="Q562" s="105" t="s">
        <v>498</v>
      </c>
      <c r="R562" s="105" t="s">
        <v>499</v>
      </c>
    </row>
    <row r="563" spans="1:18" ht="21.95" customHeight="1" x14ac:dyDescent="0.25">
      <c r="A563" s="150">
        <f>IF('Calendario D'!A53="","",'Calendario D'!A53)</f>
        <v>149</v>
      </c>
      <c r="B563" s="44" t="str">
        <f>IF('Calendario D'!B53="","",'Calendario D'!B53)</f>
        <v/>
      </c>
      <c r="C563" s="45" t="str">
        <f>IF('Calendario D'!C53="","",'Calendario D'!C53)</f>
        <v/>
      </c>
      <c r="D563" s="44" t="str">
        <f>IF('Calendario D'!D53="","",'Calendario D'!D53)</f>
        <v/>
      </c>
      <c r="E563" s="45" t="str">
        <f>IF('Calendario D'!E53="","",'Calendario D'!E53)</f>
        <v/>
      </c>
      <c r="F563" s="138" t="str">
        <f>IF('Calendario D'!F53="","",'Calendario D'!F53)</f>
        <v/>
      </c>
      <c r="G563" s="124"/>
      <c r="H563" s="124"/>
      <c r="I563" s="125"/>
      <c r="J563" s="202" t="str">
        <f>IF('Calendario D'!J53="","",'Calendario D'!J53)</f>
        <v/>
      </c>
      <c r="K563" s="201" t="s">
        <v>198</v>
      </c>
      <c r="L563" s="202" t="str">
        <f>IF('Calendario D'!L53="","",'Calendario D'!L53)</f>
        <v/>
      </c>
      <c r="M563" s="200"/>
      <c r="N563" s="200"/>
      <c r="O563" s="200"/>
      <c r="P563" s="200"/>
      <c r="Q563" s="200"/>
      <c r="R563" s="200"/>
    </row>
    <row r="564" spans="1:18" ht="15" customHeight="1" x14ac:dyDescent="0.25">
      <c r="A564" s="133"/>
      <c r="B564" s="136" t="str">
        <f>IF('Calendario D'!B54="","",'Calendario D'!B54)</f>
        <v/>
      </c>
      <c r="C564" s="124"/>
      <c r="D564" s="124"/>
      <c r="E564" s="124"/>
      <c r="F564" s="124"/>
      <c r="G564" s="124"/>
      <c r="H564" s="125"/>
      <c r="I564" s="45" t="str">
        <f>IF('Calendario D'!I54="","",'Calendario D'!I54)</f>
        <v/>
      </c>
      <c r="J564" s="133"/>
      <c r="K564" s="133"/>
      <c r="L564" s="133"/>
      <c r="M564" s="133"/>
      <c r="N564" s="133"/>
      <c r="O564" s="133"/>
      <c r="P564" s="133"/>
      <c r="Q564" s="133"/>
      <c r="R564" s="133"/>
    </row>
    <row r="565" spans="1:18" ht="14.1" customHeight="1" x14ac:dyDescent="0.25">
      <c r="A565" s="54" t="s">
        <v>193</v>
      </c>
      <c r="B565" s="149" t="s">
        <v>175</v>
      </c>
      <c r="C565" s="125"/>
      <c r="D565" s="149" t="s">
        <v>182</v>
      </c>
      <c r="E565" s="125"/>
      <c r="F565" s="54" t="s">
        <v>194</v>
      </c>
      <c r="G565" s="54" t="s">
        <v>195</v>
      </c>
      <c r="H565" s="149" t="s">
        <v>196</v>
      </c>
      <c r="I565" s="125"/>
      <c r="J565" s="149" t="s">
        <v>197</v>
      </c>
      <c r="K565" s="124"/>
      <c r="L565" s="125"/>
      <c r="M565" s="105" t="s">
        <v>494</v>
      </c>
      <c r="N565" s="105" t="s">
        <v>495</v>
      </c>
      <c r="O565" s="105" t="s">
        <v>496</v>
      </c>
      <c r="P565" s="105" t="s">
        <v>497</v>
      </c>
      <c r="Q565" s="105" t="s">
        <v>498</v>
      </c>
      <c r="R565" s="105" t="s">
        <v>499</v>
      </c>
    </row>
    <row r="566" spans="1:18" ht="21.95" customHeight="1" x14ac:dyDescent="0.25">
      <c r="A566" s="150">
        <f>IF('Calendario D'!A56="","",'Calendario D'!A56)</f>
        <v>150</v>
      </c>
      <c r="B566" s="44" t="str">
        <f>IF('Calendario D'!B56="","",'Calendario D'!B56)</f>
        <v/>
      </c>
      <c r="C566" s="45" t="str">
        <f>IF('Calendario D'!C56="","",'Calendario D'!C56)</f>
        <v/>
      </c>
      <c r="D566" s="44" t="str">
        <f>IF('Calendario D'!D56="","",'Calendario D'!D56)</f>
        <v/>
      </c>
      <c r="E566" s="45" t="str">
        <f>IF('Calendario D'!E56="","",'Calendario D'!E56)</f>
        <v/>
      </c>
      <c r="F566" s="138" t="str">
        <f>IF('Calendario D'!F56="","",'Calendario D'!F56)</f>
        <v/>
      </c>
      <c r="G566" s="124"/>
      <c r="H566" s="124"/>
      <c r="I566" s="125"/>
      <c r="J566" s="202" t="str">
        <f>IF('Calendario D'!J56="","",'Calendario D'!J56)</f>
        <v/>
      </c>
      <c r="K566" s="201" t="s">
        <v>198</v>
      </c>
      <c r="L566" s="202" t="str">
        <f>IF('Calendario D'!L56="","",'Calendario D'!L56)</f>
        <v/>
      </c>
      <c r="M566" s="200"/>
      <c r="N566" s="200"/>
      <c r="O566" s="200"/>
      <c r="P566" s="200"/>
      <c r="Q566" s="200"/>
      <c r="R566" s="200"/>
    </row>
    <row r="567" spans="1:18" ht="15" customHeight="1" x14ac:dyDescent="0.25">
      <c r="A567" s="133"/>
      <c r="B567" s="136" t="str">
        <f>IF('Calendario D'!B57="","",'Calendario D'!B57)</f>
        <v/>
      </c>
      <c r="C567" s="124"/>
      <c r="D567" s="124"/>
      <c r="E567" s="124"/>
      <c r="F567" s="124"/>
      <c r="G567" s="124"/>
      <c r="H567" s="125"/>
      <c r="I567" s="45" t="str">
        <f>IF('Calendario D'!I57="","",'Calendario D'!I57)</f>
        <v/>
      </c>
      <c r="J567" s="133"/>
      <c r="K567" s="133"/>
      <c r="L567" s="133"/>
      <c r="M567" s="133"/>
      <c r="N567" s="133"/>
      <c r="O567" s="133"/>
      <c r="P567" s="133"/>
      <c r="Q567" s="133"/>
      <c r="R567" s="133"/>
    </row>
    <row r="569" spans="1:18" ht="20.100000000000001" customHeight="1" x14ac:dyDescent="0.25">
      <c r="A569" s="53" t="str">
        <f>IF('Calendario D'!A59="","",'Calendario D'!A59)</f>
        <v>4D</v>
      </c>
      <c r="B569" s="151" t="str">
        <f>IF('Calendario D'!B59="","",'Calendario D'!B59)</f>
        <v>GIORNATA IV - GIRONE D</v>
      </c>
      <c r="C569" s="124"/>
      <c r="D569" s="124"/>
      <c r="E569" s="124"/>
      <c r="F569" s="124"/>
      <c r="G569" s="124"/>
      <c r="H569" s="124"/>
      <c r="I569" s="124"/>
      <c r="J569" s="124"/>
      <c r="K569" s="124"/>
      <c r="L569" s="125"/>
      <c r="M569" s="208" t="s">
        <v>492</v>
      </c>
      <c r="N569" s="124"/>
      <c r="O569" s="125"/>
      <c r="P569" s="208" t="s">
        <v>493</v>
      </c>
      <c r="Q569" s="124"/>
      <c r="R569" s="125"/>
    </row>
    <row r="570" spans="1:18" ht="14.1" customHeight="1" x14ac:dyDescent="0.25">
      <c r="A570" s="54" t="s">
        <v>193</v>
      </c>
      <c r="B570" s="149" t="s">
        <v>175</v>
      </c>
      <c r="C570" s="125"/>
      <c r="D570" s="149" t="s">
        <v>182</v>
      </c>
      <c r="E570" s="125"/>
      <c r="F570" s="54" t="s">
        <v>194</v>
      </c>
      <c r="G570" s="54" t="s">
        <v>195</v>
      </c>
      <c r="H570" s="149" t="s">
        <v>196</v>
      </c>
      <c r="I570" s="125"/>
      <c r="J570" s="149" t="s">
        <v>197</v>
      </c>
      <c r="K570" s="124"/>
      <c r="L570" s="125"/>
      <c r="M570" s="105" t="s">
        <v>494</v>
      </c>
      <c r="N570" s="105" t="s">
        <v>495</v>
      </c>
      <c r="O570" s="105" t="s">
        <v>496</v>
      </c>
      <c r="P570" s="105" t="s">
        <v>497</v>
      </c>
      <c r="Q570" s="105" t="s">
        <v>498</v>
      </c>
      <c r="R570" s="105" t="s">
        <v>499</v>
      </c>
    </row>
    <row r="571" spans="1:18" ht="21.95" customHeight="1" x14ac:dyDescent="0.25">
      <c r="A571" s="150">
        <f>IF('Calendario D'!A61="","",'Calendario D'!A61)</f>
        <v>151</v>
      </c>
      <c r="B571" s="44" t="str">
        <f>IF('Calendario D'!B61="","",'Calendario D'!B61)</f>
        <v/>
      </c>
      <c r="C571" s="45" t="str">
        <f>IF('Calendario D'!C61="","",'Calendario D'!C61)</f>
        <v/>
      </c>
      <c r="D571" s="44" t="str">
        <f>IF('Calendario D'!D61="","",'Calendario D'!D61)</f>
        <v/>
      </c>
      <c r="E571" s="45" t="str">
        <f>IF('Calendario D'!E61="","",'Calendario D'!E61)</f>
        <v/>
      </c>
      <c r="F571" s="138" t="str">
        <f>IF('Calendario D'!F61="","",'Calendario D'!F61)</f>
        <v/>
      </c>
      <c r="G571" s="124"/>
      <c r="H571" s="124"/>
      <c r="I571" s="125"/>
      <c r="J571" s="202" t="str">
        <f>IF('Calendario D'!J61="","",'Calendario D'!J61)</f>
        <v/>
      </c>
      <c r="K571" s="201" t="s">
        <v>198</v>
      </c>
      <c r="L571" s="202" t="str">
        <f>IF('Calendario D'!L61="","",'Calendario D'!L61)</f>
        <v/>
      </c>
      <c r="M571" s="200"/>
      <c r="N571" s="200"/>
      <c r="O571" s="200"/>
      <c r="P571" s="200"/>
      <c r="Q571" s="200"/>
      <c r="R571" s="200"/>
    </row>
    <row r="572" spans="1:18" ht="15" customHeight="1" x14ac:dyDescent="0.25">
      <c r="A572" s="133"/>
      <c r="B572" s="136" t="str">
        <f>IF('Calendario D'!B62="","",'Calendario D'!B62)</f>
        <v/>
      </c>
      <c r="C572" s="124"/>
      <c r="D572" s="124"/>
      <c r="E572" s="124"/>
      <c r="F572" s="124"/>
      <c r="G572" s="124"/>
      <c r="H572" s="125"/>
      <c r="I572" s="45" t="str">
        <f>IF('Calendario D'!I62="","",'Calendario D'!I62)</f>
        <v/>
      </c>
      <c r="J572" s="133"/>
      <c r="K572" s="133"/>
      <c r="L572" s="133"/>
      <c r="M572" s="133"/>
      <c r="N572" s="133"/>
      <c r="O572" s="133"/>
      <c r="P572" s="133"/>
      <c r="Q572" s="133"/>
      <c r="R572" s="133"/>
    </row>
    <row r="573" spans="1:18" ht="14.1" customHeight="1" x14ac:dyDescent="0.25">
      <c r="A573" s="54" t="s">
        <v>193</v>
      </c>
      <c r="B573" s="149" t="s">
        <v>175</v>
      </c>
      <c r="C573" s="125"/>
      <c r="D573" s="149" t="s">
        <v>182</v>
      </c>
      <c r="E573" s="125"/>
      <c r="F573" s="54" t="s">
        <v>194</v>
      </c>
      <c r="G573" s="54" t="s">
        <v>195</v>
      </c>
      <c r="H573" s="149" t="s">
        <v>196</v>
      </c>
      <c r="I573" s="125"/>
      <c r="J573" s="149" t="s">
        <v>197</v>
      </c>
      <c r="K573" s="124"/>
      <c r="L573" s="125"/>
      <c r="M573" s="105" t="s">
        <v>494</v>
      </c>
      <c r="N573" s="105" t="s">
        <v>495</v>
      </c>
      <c r="O573" s="105" t="s">
        <v>496</v>
      </c>
      <c r="P573" s="105" t="s">
        <v>497</v>
      </c>
      <c r="Q573" s="105" t="s">
        <v>498</v>
      </c>
      <c r="R573" s="105" t="s">
        <v>499</v>
      </c>
    </row>
    <row r="574" spans="1:18" ht="21.95" customHeight="1" x14ac:dyDescent="0.25">
      <c r="A574" s="150">
        <f>IF('Calendario D'!A64="","",'Calendario D'!A64)</f>
        <v>152</v>
      </c>
      <c r="B574" s="44" t="str">
        <f>IF('Calendario D'!B64="","",'Calendario D'!B64)</f>
        <v/>
      </c>
      <c r="C574" s="45" t="str">
        <f>IF('Calendario D'!C64="","",'Calendario D'!C64)</f>
        <v/>
      </c>
      <c r="D574" s="44" t="str">
        <f>IF('Calendario D'!D64="","",'Calendario D'!D64)</f>
        <v/>
      </c>
      <c r="E574" s="45" t="str">
        <f>IF('Calendario D'!E64="","",'Calendario D'!E64)</f>
        <v/>
      </c>
      <c r="F574" s="138" t="str">
        <f>IF('Calendario D'!F64="","",'Calendario D'!F64)</f>
        <v/>
      </c>
      <c r="G574" s="124"/>
      <c r="H574" s="124"/>
      <c r="I574" s="125"/>
      <c r="J574" s="202" t="str">
        <f>IF('Calendario D'!J64="","",'Calendario D'!J64)</f>
        <v/>
      </c>
      <c r="K574" s="201" t="s">
        <v>198</v>
      </c>
      <c r="L574" s="202" t="str">
        <f>IF('Calendario D'!L64="","",'Calendario D'!L64)</f>
        <v/>
      </c>
      <c r="M574" s="200"/>
      <c r="N574" s="200"/>
      <c r="O574" s="200"/>
      <c r="P574" s="200"/>
      <c r="Q574" s="200"/>
      <c r="R574" s="200"/>
    </row>
    <row r="575" spans="1:18" ht="15" customHeight="1" x14ac:dyDescent="0.25">
      <c r="A575" s="133"/>
      <c r="B575" s="136" t="str">
        <f>IF('Calendario D'!B65="","",'Calendario D'!B65)</f>
        <v/>
      </c>
      <c r="C575" s="124"/>
      <c r="D575" s="124"/>
      <c r="E575" s="124"/>
      <c r="F575" s="124"/>
      <c r="G575" s="124"/>
      <c r="H575" s="125"/>
      <c r="I575" s="45" t="str">
        <f>IF('Calendario D'!I65="","",'Calendario D'!I65)</f>
        <v/>
      </c>
      <c r="J575" s="133"/>
      <c r="K575" s="133"/>
      <c r="L575" s="133"/>
      <c r="M575" s="133"/>
      <c r="N575" s="133"/>
      <c r="O575" s="133"/>
      <c r="P575" s="133"/>
      <c r="Q575" s="133"/>
      <c r="R575" s="133"/>
    </row>
    <row r="576" spans="1:18" ht="14.1" customHeight="1" x14ac:dyDescent="0.25">
      <c r="A576" s="54" t="s">
        <v>193</v>
      </c>
      <c r="B576" s="149" t="s">
        <v>175</v>
      </c>
      <c r="C576" s="125"/>
      <c r="D576" s="149" t="s">
        <v>182</v>
      </c>
      <c r="E576" s="125"/>
      <c r="F576" s="54" t="s">
        <v>194</v>
      </c>
      <c r="G576" s="54" t="s">
        <v>195</v>
      </c>
      <c r="H576" s="149" t="s">
        <v>196</v>
      </c>
      <c r="I576" s="125"/>
      <c r="J576" s="149" t="s">
        <v>197</v>
      </c>
      <c r="K576" s="124"/>
      <c r="L576" s="125"/>
      <c r="M576" s="105" t="s">
        <v>494</v>
      </c>
      <c r="N576" s="105" t="s">
        <v>495</v>
      </c>
      <c r="O576" s="105" t="s">
        <v>496</v>
      </c>
      <c r="P576" s="105" t="s">
        <v>497</v>
      </c>
      <c r="Q576" s="105" t="s">
        <v>498</v>
      </c>
      <c r="R576" s="105" t="s">
        <v>499</v>
      </c>
    </row>
    <row r="577" spans="1:18" ht="21.95" customHeight="1" x14ac:dyDescent="0.25">
      <c r="A577" s="150">
        <f>IF('Calendario D'!A67="","",'Calendario D'!A67)</f>
        <v>153</v>
      </c>
      <c r="B577" s="44" t="str">
        <f>IF('Calendario D'!B67="","",'Calendario D'!B67)</f>
        <v/>
      </c>
      <c r="C577" s="45" t="str">
        <f>IF('Calendario D'!C67="","",'Calendario D'!C67)</f>
        <v/>
      </c>
      <c r="D577" s="44" t="str">
        <f>IF('Calendario D'!D67="","",'Calendario D'!D67)</f>
        <v/>
      </c>
      <c r="E577" s="45" t="str">
        <f>IF('Calendario D'!E67="","",'Calendario D'!E67)</f>
        <v/>
      </c>
      <c r="F577" s="138" t="str">
        <f>IF('Calendario D'!F67="","",'Calendario D'!F67)</f>
        <v/>
      </c>
      <c r="G577" s="124"/>
      <c r="H577" s="124"/>
      <c r="I577" s="125"/>
      <c r="J577" s="202" t="str">
        <f>IF('Calendario D'!J67="","",'Calendario D'!J67)</f>
        <v/>
      </c>
      <c r="K577" s="201" t="s">
        <v>198</v>
      </c>
      <c r="L577" s="202" t="str">
        <f>IF('Calendario D'!L67="","",'Calendario D'!L67)</f>
        <v/>
      </c>
      <c r="M577" s="200"/>
      <c r="N577" s="200"/>
      <c r="O577" s="200"/>
      <c r="P577" s="200"/>
      <c r="Q577" s="200"/>
      <c r="R577" s="200"/>
    </row>
    <row r="578" spans="1:18" ht="15" customHeight="1" x14ac:dyDescent="0.25">
      <c r="A578" s="133"/>
      <c r="B578" s="136" t="str">
        <f>IF('Calendario D'!B68="","",'Calendario D'!B68)</f>
        <v/>
      </c>
      <c r="C578" s="124"/>
      <c r="D578" s="124"/>
      <c r="E578" s="124"/>
      <c r="F578" s="124"/>
      <c r="G578" s="124"/>
      <c r="H578" s="125"/>
      <c r="I578" s="45" t="str">
        <f>IF('Calendario D'!I68="","",'Calendario D'!I68)</f>
        <v/>
      </c>
      <c r="J578" s="133"/>
      <c r="K578" s="133"/>
      <c r="L578" s="133"/>
      <c r="M578" s="133"/>
      <c r="N578" s="133"/>
      <c r="O578" s="133"/>
      <c r="P578" s="133"/>
      <c r="Q578" s="133"/>
      <c r="R578" s="133"/>
    </row>
    <row r="579" spans="1:18" ht="14.1" customHeight="1" x14ac:dyDescent="0.25">
      <c r="A579" s="54" t="s">
        <v>193</v>
      </c>
      <c r="B579" s="149" t="s">
        <v>175</v>
      </c>
      <c r="C579" s="125"/>
      <c r="D579" s="149" t="s">
        <v>182</v>
      </c>
      <c r="E579" s="125"/>
      <c r="F579" s="54" t="s">
        <v>194</v>
      </c>
      <c r="G579" s="54" t="s">
        <v>195</v>
      </c>
      <c r="H579" s="149" t="s">
        <v>196</v>
      </c>
      <c r="I579" s="125"/>
      <c r="J579" s="149" t="s">
        <v>197</v>
      </c>
      <c r="K579" s="124"/>
      <c r="L579" s="125"/>
      <c r="M579" s="105" t="s">
        <v>494</v>
      </c>
      <c r="N579" s="105" t="s">
        <v>495</v>
      </c>
      <c r="O579" s="105" t="s">
        <v>496</v>
      </c>
      <c r="P579" s="105" t="s">
        <v>497</v>
      </c>
      <c r="Q579" s="105" t="s">
        <v>498</v>
      </c>
      <c r="R579" s="105" t="s">
        <v>499</v>
      </c>
    </row>
    <row r="580" spans="1:18" ht="21.95" customHeight="1" x14ac:dyDescent="0.25">
      <c r="A580" s="150">
        <f>IF('Calendario D'!A70="","",'Calendario D'!A70)</f>
        <v>154</v>
      </c>
      <c r="B580" s="44" t="str">
        <f>IF('Calendario D'!B70="","",'Calendario D'!B70)</f>
        <v/>
      </c>
      <c r="C580" s="45" t="str">
        <f>IF('Calendario D'!C70="","",'Calendario D'!C70)</f>
        <v/>
      </c>
      <c r="D580" s="44" t="str">
        <f>IF('Calendario D'!D70="","",'Calendario D'!D70)</f>
        <v/>
      </c>
      <c r="E580" s="45" t="str">
        <f>IF('Calendario D'!E70="","",'Calendario D'!E70)</f>
        <v/>
      </c>
      <c r="F580" s="138" t="str">
        <f>IF('Calendario D'!F70="","",'Calendario D'!F70)</f>
        <v/>
      </c>
      <c r="G580" s="124"/>
      <c r="H580" s="124"/>
      <c r="I580" s="125"/>
      <c r="J580" s="202" t="str">
        <f>IF('Calendario D'!J70="","",'Calendario D'!J70)</f>
        <v/>
      </c>
      <c r="K580" s="201" t="s">
        <v>198</v>
      </c>
      <c r="L580" s="202" t="str">
        <f>IF('Calendario D'!L70="","",'Calendario D'!L70)</f>
        <v/>
      </c>
      <c r="M580" s="200"/>
      <c r="N580" s="200"/>
      <c r="O580" s="200"/>
      <c r="P580" s="200"/>
      <c r="Q580" s="200"/>
      <c r="R580" s="200"/>
    </row>
    <row r="581" spans="1:18" ht="15" customHeight="1" x14ac:dyDescent="0.25">
      <c r="A581" s="133"/>
      <c r="B581" s="136" t="str">
        <f>IF('Calendario D'!B71="","",'Calendario D'!B71)</f>
        <v/>
      </c>
      <c r="C581" s="124"/>
      <c r="D581" s="124"/>
      <c r="E581" s="124"/>
      <c r="F581" s="124"/>
      <c r="G581" s="124"/>
      <c r="H581" s="125"/>
      <c r="I581" s="45" t="str">
        <f>IF('Calendario D'!I71="","",'Calendario D'!I71)</f>
        <v/>
      </c>
      <c r="J581" s="133"/>
      <c r="K581" s="133"/>
      <c r="L581" s="133"/>
      <c r="M581" s="133"/>
      <c r="N581" s="133"/>
      <c r="O581" s="133"/>
      <c r="P581" s="133"/>
      <c r="Q581" s="133"/>
      <c r="R581" s="133"/>
    </row>
    <row r="582" spans="1:18" ht="14.1" customHeight="1" x14ac:dyDescent="0.25">
      <c r="A582" s="54" t="s">
        <v>193</v>
      </c>
      <c r="B582" s="149" t="s">
        <v>175</v>
      </c>
      <c r="C582" s="125"/>
      <c r="D582" s="149" t="s">
        <v>182</v>
      </c>
      <c r="E582" s="125"/>
      <c r="F582" s="54" t="s">
        <v>194</v>
      </c>
      <c r="G582" s="54" t="s">
        <v>195</v>
      </c>
      <c r="H582" s="149" t="s">
        <v>196</v>
      </c>
      <c r="I582" s="125"/>
      <c r="J582" s="149" t="s">
        <v>197</v>
      </c>
      <c r="K582" s="124"/>
      <c r="L582" s="125"/>
      <c r="M582" s="105" t="s">
        <v>494</v>
      </c>
      <c r="N582" s="105" t="s">
        <v>495</v>
      </c>
      <c r="O582" s="105" t="s">
        <v>496</v>
      </c>
      <c r="P582" s="105" t="s">
        <v>497</v>
      </c>
      <c r="Q582" s="105" t="s">
        <v>498</v>
      </c>
      <c r="R582" s="105" t="s">
        <v>499</v>
      </c>
    </row>
    <row r="583" spans="1:18" ht="21.95" customHeight="1" x14ac:dyDescent="0.25">
      <c r="A583" s="150">
        <f>IF('Calendario D'!A73="","",'Calendario D'!A73)</f>
        <v>155</v>
      </c>
      <c r="B583" s="44" t="str">
        <f>IF('Calendario D'!B73="","",'Calendario D'!B73)</f>
        <v/>
      </c>
      <c r="C583" s="45" t="str">
        <f>IF('Calendario D'!C73="","",'Calendario D'!C73)</f>
        <v/>
      </c>
      <c r="D583" s="44" t="str">
        <f>IF('Calendario D'!D73="","",'Calendario D'!D73)</f>
        <v/>
      </c>
      <c r="E583" s="45" t="str">
        <f>IF('Calendario D'!E73="","",'Calendario D'!E73)</f>
        <v/>
      </c>
      <c r="F583" s="138" t="str">
        <f>IF('Calendario D'!F73="","",'Calendario D'!F73)</f>
        <v/>
      </c>
      <c r="G583" s="124"/>
      <c r="H583" s="124"/>
      <c r="I583" s="125"/>
      <c r="J583" s="202" t="str">
        <f>IF('Calendario D'!J73="","",'Calendario D'!J73)</f>
        <v/>
      </c>
      <c r="K583" s="201" t="s">
        <v>198</v>
      </c>
      <c r="L583" s="202" t="str">
        <f>IF('Calendario D'!L73="","",'Calendario D'!L73)</f>
        <v/>
      </c>
      <c r="M583" s="200"/>
      <c r="N583" s="200"/>
      <c r="O583" s="200"/>
      <c r="P583" s="200"/>
      <c r="Q583" s="200"/>
      <c r="R583" s="200"/>
    </row>
    <row r="584" spans="1:18" ht="15" customHeight="1" x14ac:dyDescent="0.25">
      <c r="A584" s="133"/>
      <c r="B584" s="136" t="str">
        <f>IF('Calendario D'!B74="","",'Calendario D'!B74)</f>
        <v/>
      </c>
      <c r="C584" s="124"/>
      <c r="D584" s="124"/>
      <c r="E584" s="124"/>
      <c r="F584" s="124"/>
      <c r="G584" s="124"/>
      <c r="H584" s="125"/>
      <c r="I584" s="45" t="str">
        <f>IF('Calendario D'!I74="","",'Calendario D'!I74)</f>
        <v/>
      </c>
      <c r="J584" s="133"/>
      <c r="K584" s="133"/>
      <c r="L584" s="133"/>
      <c r="M584" s="133"/>
      <c r="N584" s="133"/>
      <c r="O584" s="133"/>
      <c r="P584" s="133"/>
      <c r="Q584" s="133"/>
      <c r="R584" s="133"/>
    </row>
    <row r="586" spans="1:18" ht="20.100000000000001" customHeight="1" x14ac:dyDescent="0.25">
      <c r="A586" s="53" t="str">
        <f>IF('Calendario D'!A76="","",'Calendario D'!A76)</f>
        <v>5D</v>
      </c>
      <c r="B586" s="151" t="str">
        <f>IF('Calendario D'!B76="","",'Calendario D'!B76)</f>
        <v>GIORNATA V - GIRONE D</v>
      </c>
      <c r="C586" s="124"/>
      <c r="D586" s="124"/>
      <c r="E586" s="124"/>
      <c r="F586" s="124"/>
      <c r="G586" s="124"/>
      <c r="H586" s="124"/>
      <c r="I586" s="124"/>
      <c r="J586" s="124"/>
      <c r="K586" s="124"/>
      <c r="L586" s="125"/>
      <c r="M586" s="208" t="s">
        <v>492</v>
      </c>
      <c r="N586" s="124"/>
      <c r="O586" s="125"/>
      <c r="P586" s="208" t="s">
        <v>493</v>
      </c>
      <c r="Q586" s="124"/>
      <c r="R586" s="125"/>
    </row>
    <row r="587" spans="1:18" ht="14.1" customHeight="1" x14ac:dyDescent="0.25">
      <c r="A587" s="54" t="s">
        <v>193</v>
      </c>
      <c r="B587" s="149" t="s">
        <v>175</v>
      </c>
      <c r="C587" s="125"/>
      <c r="D587" s="149" t="s">
        <v>182</v>
      </c>
      <c r="E587" s="125"/>
      <c r="F587" s="54" t="s">
        <v>194</v>
      </c>
      <c r="G587" s="54" t="s">
        <v>195</v>
      </c>
      <c r="H587" s="149" t="s">
        <v>196</v>
      </c>
      <c r="I587" s="125"/>
      <c r="J587" s="149" t="s">
        <v>197</v>
      </c>
      <c r="K587" s="124"/>
      <c r="L587" s="125"/>
      <c r="M587" s="105" t="s">
        <v>494</v>
      </c>
      <c r="N587" s="105" t="s">
        <v>495</v>
      </c>
      <c r="O587" s="105" t="s">
        <v>496</v>
      </c>
      <c r="P587" s="105" t="s">
        <v>497</v>
      </c>
      <c r="Q587" s="105" t="s">
        <v>498</v>
      </c>
      <c r="R587" s="105" t="s">
        <v>499</v>
      </c>
    </row>
    <row r="588" spans="1:18" ht="21.95" customHeight="1" x14ac:dyDescent="0.25">
      <c r="A588" s="150">
        <f>IF('Calendario D'!A78="","",'Calendario D'!A78)</f>
        <v>156</v>
      </c>
      <c r="B588" s="44" t="str">
        <f>IF('Calendario D'!B78="","",'Calendario D'!B78)</f>
        <v/>
      </c>
      <c r="C588" s="45" t="str">
        <f>IF('Calendario D'!C78="","",'Calendario D'!C78)</f>
        <v/>
      </c>
      <c r="D588" s="44" t="str">
        <f>IF('Calendario D'!D78="","",'Calendario D'!D78)</f>
        <v/>
      </c>
      <c r="E588" s="45" t="str">
        <f>IF('Calendario D'!E78="","",'Calendario D'!E78)</f>
        <v/>
      </c>
      <c r="F588" s="138" t="str">
        <f>IF('Calendario D'!F78="","",'Calendario D'!F78)</f>
        <v/>
      </c>
      <c r="G588" s="124"/>
      <c r="H588" s="124"/>
      <c r="I588" s="125"/>
      <c r="J588" s="202" t="str">
        <f>IF('Calendario D'!J78="","",'Calendario D'!J78)</f>
        <v/>
      </c>
      <c r="K588" s="201" t="s">
        <v>198</v>
      </c>
      <c r="L588" s="202" t="str">
        <f>IF('Calendario D'!L78="","",'Calendario D'!L78)</f>
        <v/>
      </c>
      <c r="M588" s="200"/>
      <c r="N588" s="200"/>
      <c r="O588" s="200"/>
      <c r="P588" s="200"/>
      <c r="Q588" s="200"/>
      <c r="R588" s="200"/>
    </row>
    <row r="589" spans="1:18" ht="15" customHeight="1" x14ac:dyDescent="0.25">
      <c r="A589" s="133"/>
      <c r="B589" s="136" t="str">
        <f>IF('Calendario D'!B79="","",'Calendario D'!B79)</f>
        <v/>
      </c>
      <c r="C589" s="124"/>
      <c r="D589" s="124"/>
      <c r="E589" s="124"/>
      <c r="F589" s="124"/>
      <c r="G589" s="124"/>
      <c r="H589" s="125"/>
      <c r="I589" s="45" t="str">
        <f>IF('Calendario D'!I79="","",'Calendario D'!I79)</f>
        <v/>
      </c>
      <c r="J589" s="133"/>
      <c r="K589" s="133"/>
      <c r="L589" s="133"/>
      <c r="M589" s="133"/>
      <c r="N589" s="133"/>
      <c r="O589" s="133"/>
      <c r="P589" s="133"/>
      <c r="Q589" s="133"/>
      <c r="R589" s="133"/>
    </row>
    <row r="590" spans="1:18" ht="14.1" customHeight="1" x14ac:dyDescent="0.25">
      <c r="A590" s="54" t="s">
        <v>193</v>
      </c>
      <c r="B590" s="149" t="s">
        <v>175</v>
      </c>
      <c r="C590" s="125"/>
      <c r="D590" s="149" t="s">
        <v>182</v>
      </c>
      <c r="E590" s="125"/>
      <c r="F590" s="54" t="s">
        <v>194</v>
      </c>
      <c r="G590" s="54" t="s">
        <v>195</v>
      </c>
      <c r="H590" s="149" t="s">
        <v>196</v>
      </c>
      <c r="I590" s="125"/>
      <c r="J590" s="149" t="s">
        <v>197</v>
      </c>
      <c r="K590" s="124"/>
      <c r="L590" s="125"/>
      <c r="M590" s="105" t="s">
        <v>494</v>
      </c>
      <c r="N590" s="105" t="s">
        <v>495</v>
      </c>
      <c r="O590" s="105" t="s">
        <v>496</v>
      </c>
      <c r="P590" s="105" t="s">
        <v>497</v>
      </c>
      <c r="Q590" s="105" t="s">
        <v>498</v>
      </c>
      <c r="R590" s="105" t="s">
        <v>499</v>
      </c>
    </row>
    <row r="591" spans="1:18" ht="21.95" customHeight="1" x14ac:dyDescent="0.25">
      <c r="A591" s="150">
        <f>IF('Calendario D'!A81="","",'Calendario D'!A81)</f>
        <v>157</v>
      </c>
      <c r="B591" s="44" t="str">
        <f>IF('Calendario D'!B81="","",'Calendario D'!B81)</f>
        <v/>
      </c>
      <c r="C591" s="45" t="str">
        <f>IF('Calendario D'!C81="","",'Calendario D'!C81)</f>
        <v/>
      </c>
      <c r="D591" s="44" t="str">
        <f>IF('Calendario D'!D81="","",'Calendario D'!D81)</f>
        <v/>
      </c>
      <c r="E591" s="45" t="str">
        <f>IF('Calendario D'!E81="","",'Calendario D'!E81)</f>
        <v/>
      </c>
      <c r="F591" s="138" t="str">
        <f>IF('Calendario D'!F81="","",'Calendario D'!F81)</f>
        <v/>
      </c>
      <c r="G591" s="124"/>
      <c r="H591" s="124"/>
      <c r="I591" s="125"/>
      <c r="J591" s="202" t="str">
        <f>IF('Calendario D'!J81="","",'Calendario D'!J81)</f>
        <v/>
      </c>
      <c r="K591" s="201" t="s">
        <v>198</v>
      </c>
      <c r="L591" s="202" t="str">
        <f>IF('Calendario D'!L81="","",'Calendario D'!L81)</f>
        <v/>
      </c>
      <c r="M591" s="200"/>
      <c r="N591" s="200"/>
      <c r="O591" s="200"/>
      <c r="P591" s="200"/>
      <c r="Q591" s="200"/>
      <c r="R591" s="200"/>
    </row>
    <row r="592" spans="1:18" ht="15" customHeight="1" x14ac:dyDescent="0.25">
      <c r="A592" s="133"/>
      <c r="B592" s="136" t="str">
        <f>IF('Calendario D'!B82="","",'Calendario D'!B82)</f>
        <v/>
      </c>
      <c r="C592" s="124"/>
      <c r="D592" s="124"/>
      <c r="E592" s="124"/>
      <c r="F592" s="124"/>
      <c r="G592" s="124"/>
      <c r="H592" s="125"/>
      <c r="I592" s="45" t="str">
        <f>IF('Calendario D'!I82="","",'Calendario D'!I82)</f>
        <v/>
      </c>
      <c r="J592" s="133"/>
      <c r="K592" s="133"/>
      <c r="L592" s="133"/>
      <c r="M592" s="133"/>
      <c r="N592" s="133"/>
      <c r="O592" s="133"/>
      <c r="P592" s="133"/>
      <c r="Q592" s="133"/>
      <c r="R592" s="133"/>
    </row>
    <row r="593" spans="1:18" ht="14.1" customHeight="1" x14ac:dyDescent="0.25">
      <c r="A593" s="54" t="s">
        <v>193</v>
      </c>
      <c r="B593" s="149" t="s">
        <v>175</v>
      </c>
      <c r="C593" s="125"/>
      <c r="D593" s="149" t="s">
        <v>182</v>
      </c>
      <c r="E593" s="125"/>
      <c r="F593" s="54" t="s">
        <v>194</v>
      </c>
      <c r="G593" s="54" t="s">
        <v>195</v>
      </c>
      <c r="H593" s="149" t="s">
        <v>196</v>
      </c>
      <c r="I593" s="125"/>
      <c r="J593" s="149" t="s">
        <v>197</v>
      </c>
      <c r="K593" s="124"/>
      <c r="L593" s="125"/>
      <c r="M593" s="105" t="s">
        <v>494</v>
      </c>
      <c r="N593" s="105" t="s">
        <v>495</v>
      </c>
      <c r="O593" s="105" t="s">
        <v>496</v>
      </c>
      <c r="P593" s="105" t="s">
        <v>497</v>
      </c>
      <c r="Q593" s="105" t="s">
        <v>498</v>
      </c>
      <c r="R593" s="105" t="s">
        <v>499</v>
      </c>
    </row>
    <row r="594" spans="1:18" ht="21.95" customHeight="1" x14ac:dyDescent="0.25">
      <c r="A594" s="150">
        <f>IF('Calendario D'!A84="","",'Calendario D'!A84)</f>
        <v>158</v>
      </c>
      <c r="B594" s="44" t="str">
        <f>IF('Calendario D'!B84="","",'Calendario D'!B84)</f>
        <v/>
      </c>
      <c r="C594" s="45" t="str">
        <f>IF('Calendario D'!C84="","",'Calendario D'!C84)</f>
        <v/>
      </c>
      <c r="D594" s="44" t="str">
        <f>IF('Calendario D'!D84="","",'Calendario D'!D84)</f>
        <v/>
      </c>
      <c r="E594" s="45" t="str">
        <f>IF('Calendario D'!E84="","",'Calendario D'!E84)</f>
        <v/>
      </c>
      <c r="F594" s="138" t="str">
        <f>IF('Calendario D'!F84="","",'Calendario D'!F84)</f>
        <v/>
      </c>
      <c r="G594" s="124"/>
      <c r="H594" s="124"/>
      <c r="I594" s="125"/>
      <c r="J594" s="202" t="str">
        <f>IF('Calendario D'!J84="","",'Calendario D'!J84)</f>
        <v/>
      </c>
      <c r="K594" s="201" t="s">
        <v>198</v>
      </c>
      <c r="L594" s="202" t="str">
        <f>IF('Calendario D'!L84="","",'Calendario D'!L84)</f>
        <v/>
      </c>
      <c r="M594" s="200"/>
      <c r="N594" s="200"/>
      <c r="O594" s="200"/>
      <c r="P594" s="200"/>
      <c r="Q594" s="200"/>
      <c r="R594" s="200"/>
    </row>
    <row r="595" spans="1:18" ht="15" customHeight="1" x14ac:dyDescent="0.25">
      <c r="A595" s="133"/>
      <c r="B595" s="136" t="str">
        <f>IF('Calendario D'!B85="","",'Calendario D'!B85)</f>
        <v/>
      </c>
      <c r="C595" s="124"/>
      <c r="D595" s="124"/>
      <c r="E595" s="124"/>
      <c r="F595" s="124"/>
      <c r="G595" s="124"/>
      <c r="H595" s="125"/>
      <c r="I595" s="45" t="str">
        <f>IF('Calendario D'!I85="","",'Calendario D'!I85)</f>
        <v/>
      </c>
      <c r="J595" s="133"/>
      <c r="K595" s="133"/>
      <c r="L595" s="133"/>
      <c r="M595" s="133"/>
      <c r="N595" s="133"/>
      <c r="O595" s="133"/>
      <c r="P595" s="133"/>
      <c r="Q595" s="133"/>
      <c r="R595" s="133"/>
    </row>
    <row r="596" spans="1:18" ht="14.1" customHeight="1" x14ac:dyDescent="0.25">
      <c r="A596" s="54" t="s">
        <v>193</v>
      </c>
      <c r="B596" s="149" t="s">
        <v>175</v>
      </c>
      <c r="C596" s="125"/>
      <c r="D596" s="149" t="s">
        <v>182</v>
      </c>
      <c r="E596" s="125"/>
      <c r="F596" s="54" t="s">
        <v>194</v>
      </c>
      <c r="G596" s="54" t="s">
        <v>195</v>
      </c>
      <c r="H596" s="149" t="s">
        <v>196</v>
      </c>
      <c r="I596" s="125"/>
      <c r="J596" s="149" t="s">
        <v>197</v>
      </c>
      <c r="K596" s="124"/>
      <c r="L596" s="125"/>
      <c r="M596" s="105" t="s">
        <v>494</v>
      </c>
      <c r="N596" s="105" t="s">
        <v>495</v>
      </c>
      <c r="O596" s="105" t="s">
        <v>496</v>
      </c>
      <c r="P596" s="105" t="s">
        <v>497</v>
      </c>
      <c r="Q596" s="105" t="s">
        <v>498</v>
      </c>
      <c r="R596" s="105" t="s">
        <v>499</v>
      </c>
    </row>
    <row r="597" spans="1:18" ht="21.95" customHeight="1" x14ac:dyDescent="0.25">
      <c r="A597" s="150">
        <f>IF('Calendario D'!A87="","",'Calendario D'!A87)</f>
        <v>159</v>
      </c>
      <c r="B597" s="44" t="str">
        <f>IF('Calendario D'!B87="","",'Calendario D'!B87)</f>
        <v/>
      </c>
      <c r="C597" s="45" t="str">
        <f>IF('Calendario D'!C87="","",'Calendario D'!C87)</f>
        <v/>
      </c>
      <c r="D597" s="44" t="str">
        <f>IF('Calendario D'!D87="","",'Calendario D'!D87)</f>
        <v/>
      </c>
      <c r="E597" s="45" t="str">
        <f>IF('Calendario D'!E87="","",'Calendario D'!E87)</f>
        <v/>
      </c>
      <c r="F597" s="138" t="str">
        <f>IF('Calendario D'!F87="","",'Calendario D'!F87)</f>
        <v/>
      </c>
      <c r="G597" s="124"/>
      <c r="H597" s="124"/>
      <c r="I597" s="125"/>
      <c r="J597" s="202" t="str">
        <f>IF('Calendario D'!J87="","",'Calendario D'!J87)</f>
        <v/>
      </c>
      <c r="K597" s="201" t="s">
        <v>198</v>
      </c>
      <c r="L597" s="202" t="str">
        <f>IF('Calendario D'!L87="","",'Calendario D'!L87)</f>
        <v/>
      </c>
      <c r="M597" s="200"/>
      <c r="N597" s="200"/>
      <c r="O597" s="200"/>
      <c r="P597" s="200"/>
      <c r="Q597" s="200"/>
      <c r="R597" s="200"/>
    </row>
    <row r="598" spans="1:18" ht="15" customHeight="1" x14ac:dyDescent="0.25">
      <c r="A598" s="133"/>
      <c r="B598" s="136" t="str">
        <f>IF('Calendario D'!B88="","",'Calendario D'!B88)</f>
        <v/>
      </c>
      <c r="C598" s="124"/>
      <c r="D598" s="124"/>
      <c r="E598" s="124"/>
      <c r="F598" s="124"/>
      <c r="G598" s="124"/>
      <c r="H598" s="125"/>
      <c r="I598" s="45" t="str">
        <f>IF('Calendario D'!I88="","",'Calendario D'!I88)</f>
        <v/>
      </c>
      <c r="J598" s="133"/>
      <c r="K598" s="133"/>
      <c r="L598" s="133"/>
      <c r="M598" s="133"/>
      <c r="N598" s="133"/>
      <c r="O598" s="133"/>
      <c r="P598" s="133"/>
      <c r="Q598" s="133"/>
      <c r="R598" s="133"/>
    </row>
    <row r="599" spans="1:18" ht="14.1" customHeight="1" x14ac:dyDescent="0.25">
      <c r="A599" s="54" t="s">
        <v>193</v>
      </c>
      <c r="B599" s="149" t="s">
        <v>175</v>
      </c>
      <c r="C599" s="125"/>
      <c r="D599" s="149" t="s">
        <v>182</v>
      </c>
      <c r="E599" s="125"/>
      <c r="F599" s="54" t="s">
        <v>194</v>
      </c>
      <c r="G599" s="54" t="s">
        <v>195</v>
      </c>
      <c r="H599" s="149" t="s">
        <v>196</v>
      </c>
      <c r="I599" s="125"/>
      <c r="J599" s="149" t="s">
        <v>197</v>
      </c>
      <c r="K599" s="124"/>
      <c r="L599" s="125"/>
      <c r="M599" s="105" t="s">
        <v>494</v>
      </c>
      <c r="N599" s="105" t="s">
        <v>495</v>
      </c>
      <c r="O599" s="105" t="s">
        <v>496</v>
      </c>
      <c r="P599" s="105" t="s">
        <v>497</v>
      </c>
      <c r="Q599" s="105" t="s">
        <v>498</v>
      </c>
      <c r="R599" s="105" t="s">
        <v>499</v>
      </c>
    </row>
    <row r="600" spans="1:18" ht="21.95" customHeight="1" x14ac:dyDescent="0.25">
      <c r="A600" s="150">
        <f>IF('Calendario D'!A90="","",'Calendario D'!A90)</f>
        <v>160</v>
      </c>
      <c r="B600" s="44" t="str">
        <f>IF('Calendario D'!B90="","",'Calendario D'!B90)</f>
        <v/>
      </c>
      <c r="C600" s="45" t="str">
        <f>IF('Calendario D'!C90="","",'Calendario D'!C90)</f>
        <v/>
      </c>
      <c r="D600" s="44" t="str">
        <f>IF('Calendario D'!D90="","",'Calendario D'!D90)</f>
        <v/>
      </c>
      <c r="E600" s="45" t="str">
        <f>IF('Calendario D'!E90="","",'Calendario D'!E90)</f>
        <v/>
      </c>
      <c r="F600" s="138" t="str">
        <f>IF('Calendario D'!F90="","",'Calendario D'!F90)</f>
        <v/>
      </c>
      <c r="G600" s="124"/>
      <c r="H600" s="124"/>
      <c r="I600" s="125"/>
      <c r="J600" s="202" t="str">
        <f>IF('Calendario D'!J90="","",'Calendario D'!J90)</f>
        <v/>
      </c>
      <c r="K600" s="201" t="s">
        <v>198</v>
      </c>
      <c r="L600" s="202" t="str">
        <f>IF('Calendario D'!L90="","",'Calendario D'!L90)</f>
        <v/>
      </c>
      <c r="M600" s="200"/>
      <c r="N600" s="200"/>
      <c r="O600" s="200"/>
      <c r="P600" s="200"/>
      <c r="Q600" s="200"/>
      <c r="R600" s="200"/>
    </row>
    <row r="601" spans="1:18" ht="15" customHeight="1" x14ac:dyDescent="0.25">
      <c r="A601" s="133"/>
      <c r="B601" s="136" t="str">
        <f>IF('Calendario D'!B91="","",'Calendario D'!B91)</f>
        <v/>
      </c>
      <c r="C601" s="124"/>
      <c r="D601" s="124"/>
      <c r="E601" s="124"/>
      <c r="F601" s="124"/>
      <c r="G601" s="124"/>
      <c r="H601" s="125"/>
      <c r="I601" s="45" t="str">
        <f>IF('Calendario D'!I91="","",'Calendario D'!I91)</f>
        <v/>
      </c>
      <c r="J601" s="133"/>
      <c r="K601" s="133"/>
      <c r="L601" s="133"/>
      <c r="M601" s="133"/>
      <c r="N601" s="133"/>
      <c r="O601" s="133"/>
      <c r="P601" s="133"/>
      <c r="Q601" s="133"/>
      <c r="R601" s="133"/>
    </row>
    <row r="603" spans="1:18" ht="20.100000000000001" customHeight="1" x14ac:dyDescent="0.25">
      <c r="A603" s="53" t="str">
        <f>IF('Calendario D'!A93="","",'Calendario D'!A93)</f>
        <v>6D</v>
      </c>
      <c r="B603" s="151" t="str">
        <f>IF('Calendario D'!B93="","",'Calendario D'!B93)</f>
        <v>GIORNATA VI - GIRONE D</v>
      </c>
      <c r="C603" s="124"/>
      <c r="D603" s="124"/>
      <c r="E603" s="124"/>
      <c r="F603" s="124"/>
      <c r="G603" s="124"/>
      <c r="H603" s="124"/>
      <c r="I603" s="124"/>
      <c r="J603" s="124"/>
      <c r="K603" s="124"/>
      <c r="L603" s="125"/>
      <c r="M603" s="208" t="s">
        <v>492</v>
      </c>
      <c r="N603" s="124"/>
      <c r="O603" s="125"/>
      <c r="P603" s="208" t="s">
        <v>493</v>
      </c>
      <c r="Q603" s="124"/>
      <c r="R603" s="125"/>
    </row>
    <row r="604" spans="1:18" ht="14.1" customHeight="1" x14ac:dyDescent="0.25">
      <c r="A604" s="54" t="s">
        <v>193</v>
      </c>
      <c r="B604" s="149" t="s">
        <v>175</v>
      </c>
      <c r="C604" s="125"/>
      <c r="D604" s="149" t="s">
        <v>182</v>
      </c>
      <c r="E604" s="125"/>
      <c r="F604" s="54" t="s">
        <v>194</v>
      </c>
      <c r="G604" s="54" t="s">
        <v>195</v>
      </c>
      <c r="H604" s="149" t="s">
        <v>196</v>
      </c>
      <c r="I604" s="125"/>
      <c r="J604" s="149" t="s">
        <v>197</v>
      </c>
      <c r="K604" s="124"/>
      <c r="L604" s="125"/>
      <c r="M604" s="105" t="s">
        <v>494</v>
      </c>
      <c r="N604" s="105" t="s">
        <v>495</v>
      </c>
      <c r="O604" s="105" t="s">
        <v>496</v>
      </c>
      <c r="P604" s="105" t="s">
        <v>497</v>
      </c>
      <c r="Q604" s="105" t="s">
        <v>498</v>
      </c>
      <c r="R604" s="105" t="s">
        <v>499</v>
      </c>
    </row>
    <row r="605" spans="1:18" ht="21.95" customHeight="1" x14ac:dyDescent="0.25">
      <c r="A605" s="150">
        <f>IF('Calendario D'!A95="","",'Calendario D'!A95)</f>
        <v>161</v>
      </c>
      <c r="B605" s="44" t="str">
        <f>IF('Calendario D'!B95="","",'Calendario D'!B95)</f>
        <v/>
      </c>
      <c r="C605" s="45" t="str">
        <f>IF('Calendario D'!C95="","",'Calendario D'!C95)</f>
        <v/>
      </c>
      <c r="D605" s="44" t="str">
        <f>IF('Calendario D'!D95="","",'Calendario D'!D95)</f>
        <v/>
      </c>
      <c r="E605" s="45" t="str">
        <f>IF('Calendario D'!E95="","",'Calendario D'!E95)</f>
        <v/>
      </c>
      <c r="F605" s="138" t="str">
        <f>IF('Calendario D'!F95="","",'Calendario D'!F95)</f>
        <v/>
      </c>
      <c r="G605" s="124"/>
      <c r="H605" s="124"/>
      <c r="I605" s="125"/>
      <c r="J605" s="202" t="str">
        <f>IF('Calendario D'!J95="","",'Calendario D'!J95)</f>
        <v/>
      </c>
      <c r="K605" s="201" t="s">
        <v>198</v>
      </c>
      <c r="L605" s="202" t="str">
        <f>IF('Calendario D'!L95="","",'Calendario D'!L95)</f>
        <v/>
      </c>
      <c r="M605" s="200"/>
      <c r="N605" s="200"/>
      <c r="O605" s="200"/>
      <c r="P605" s="200"/>
      <c r="Q605" s="200"/>
      <c r="R605" s="200"/>
    </row>
    <row r="606" spans="1:18" ht="15" customHeight="1" x14ac:dyDescent="0.25">
      <c r="A606" s="133"/>
      <c r="B606" s="136" t="str">
        <f>IF('Calendario D'!B96="","",'Calendario D'!B96)</f>
        <v/>
      </c>
      <c r="C606" s="124"/>
      <c r="D606" s="124"/>
      <c r="E606" s="124"/>
      <c r="F606" s="124"/>
      <c r="G606" s="124"/>
      <c r="H606" s="125"/>
      <c r="I606" s="45" t="str">
        <f>IF('Calendario D'!I96="","",'Calendario D'!I96)</f>
        <v/>
      </c>
      <c r="J606" s="133"/>
      <c r="K606" s="133"/>
      <c r="L606" s="133"/>
      <c r="M606" s="133"/>
      <c r="N606" s="133"/>
      <c r="O606" s="133"/>
      <c r="P606" s="133"/>
      <c r="Q606" s="133"/>
      <c r="R606" s="133"/>
    </row>
    <row r="607" spans="1:18" ht="14.1" customHeight="1" x14ac:dyDescent="0.25">
      <c r="A607" s="54" t="s">
        <v>193</v>
      </c>
      <c r="B607" s="149" t="s">
        <v>175</v>
      </c>
      <c r="C607" s="125"/>
      <c r="D607" s="149" t="s">
        <v>182</v>
      </c>
      <c r="E607" s="125"/>
      <c r="F607" s="54" t="s">
        <v>194</v>
      </c>
      <c r="G607" s="54" t="s">
        <v>195</v>
      </c>
      <c r="H607" s="149" t="s">
        <v>196</v>
      </c>
      <c r="I607" s="125"/>
      <c r="J607" s="149" t="s">
        <v>197</v>
      </c>
      <c r="K607" s="124"/>
      <c r="L607" s="125"/>
      <c r="M607" s="105" t="s">
        <v>494</v>
      </c>
      <c r="N607" s="105" t="s">
        <v>495</v>
      </c>
      <c r="O607" s="105" t="s">
        <v>496</v>
      </c>
      <c r="P607" s="105" t="s">
        <v>497</v>
      </c>
      <c r="Q607" s="105" t="s">
        <v>498</v>
      </c>
      <c r="R607" s="105" t="s">
        <v>499</v>
      </c>
    </row>
    <row r="608" spans="1:18" ht="21.95" customHeight="1" x14ac:dyDescent="0.25">
      <c r="A608" s="150">
        <f>IF('Calendario D'!A98="","",'Calendario D'!A98)</f>
        <v>162</v>
      </c>
      <c r="B608" s="44" t="str">
        <f>IF('Calendario D'!B98="","",'Calendario D'!B98)</f>
        <v/>
      </c>
      <c r="C608" s="45" t="str">
        <f>IF('Calendario D'!C98="","",'Calendario D'!C98)</f>
        <v/>
      </c>
      <c r="D608" s="44" t="str">
        <f>IF('Calendario D'!D98="","",'Calendario D'!D98)</f>
        <v/>
      </c>
      <c r="E608" s="45" t="str">
        <f>IF('Calendario D'!E98="","",'Calendario D'!E98)</f>
        <v/>
      </c>
      <c r="F608" s="138" t="str">
        <f>IF('Calendario D'!F98="","",'Calendario D'!F98)</f>
        <v/>
      </c>
      <c r="G608" s="124"/>
      <c r="H608" s="124"/>
      <c r="I608" s="125"/>
      <c r="J608" s="202" t="str">
        <f>IF('Calendario D'!J98="","",'Calendario D'!J98)</f>
        <v/>
      </c>
      <c r="K608" s="201" t="s">
        <v>198</v>
      </c>
      <c r="L608" s="202" t="str">
        <f>IF('Calendario D'!L98="","",'Calendario D'!L98)</f>
        <v/>
      </c>
      <c r="M608" s="200"/>
      <c r="N608" s="200"/>
      <c r="O608" s="200"/>
      <c r="P608" s="200"/>
      <c r="Q608" s="200"/>
      <c r="R608" s="200"/>
    </row>
    <row r="609" spans="1:18" ht="15" customHeight="1" x14ac:dyDescent="0.25">
      <c r="A609" s="133"/>
      <c r="B609" s="136" t="str">
        <f>IF('Calendario D'!B99="","",'Calendario D'!B99)</f>
        <v/>
      </c>
      <c r="C609" s="124"/>
      <c r="D609" s="124"/>
      <c r="E609" s="124"/>
      <c r="F609" s="124"/>
      <c r="G609" s="124"/>
      <c r="H609" s="125"/>
      <c r="I609" s="45" t="str">
        <f>IF('Calendario D'!I99="","",'Calendario D'!I99)</f>
        <v/>
      </c>
      <c r="J609" s="133"/>
      <c r="K609" s="133"/>
      <c r="L609" s="133"/>
      <c r="M609" s="133"/>
      <c r="N609" s="133"/>
      <c r="O609" s="133"/>
      <c r="P609" s="133"/>
      <c r="Q609" s="133"/>
      <c r="R609" s="133"/>
    </row>
    <row r="610" spans="1:18" ht="14.1" customHeight="1" x14ac:dyDescent="0.25">
      <c r="A610" s="54" t="s">
        <v>193</v>
      </c>
      <c r="B610" s="149" t="s">
        <v>175</v>
      </c>
      <c r="C610" s="125"/>
      <c r="D610" s="149" t="s">
        <v>182</v>
      </c>
      <c r="E610" s="125"/>
      <c r="F610" s="54" t="s">
        <v>194</v>
      </c>
      <c r="G610" s="54" t="s">
        <v>195</v>
      </c>
      <c r="H610" s="149" t="s">
        <v>196</v>
      </c>
      <c r="I610" s="125"/>
      <c r="J610" s="149" t="s">
        <v>197</v>
      </c>
      <c r="K610" s="124"/>
      <c r="L610" s="125"/>
      <c r="M610" s="105" t="s">
        <v>494</v>
      </c>
      <c r="N610" s="105" t="s">
        <v>495</v>
      </c>
      <c r="O610" s="105" t="s">
        <v>496</v>
      </c>
      <c r="P610" s="105" t="s">
        <v>497</v>
      </c>
      <c r="Q610" s="105" t="s">
        <v>498</v>
      </c>
      <c r="R610" s="105" t="s">
        <v>499</v>
      </c>
    </row>
    <row r="611" spans="1:18" ht="21.95" customHeight="1" x14ac:dyDescent="0.25">
      <c r="A611" s="150">
        <f>IF('Calendario D'!A101="","",'Calendario D'!A101)</f>
        <v>163</v>
      </c>
      <c r="B611" s="44" t="str">
        <f>IF('Calendario D'!B101="","",'Calendario D'!B101)</f>
        <v/>
      </c>
      <c r="C611" s="45" t="str">
        <f>IF('Calendario D'!C101="","",'Calendario D'!C101)</f>
        <v/>
      </c>
      <c r="D611" s="44" t="str">
        <f>IF('Calendario D'!D101="","",'Calendario D'!D101)</f>
        <v/>
      </c>
      <c r="E611" s="45" t="str">
        <f>IF('Calendario D'!E101="","",'Calendario D'!E101)</f>
        <v/>
      </c>
      <c r="F611" s="138" t="str">
        <f>IF('Calendario D'!F101="","",'Calendario D'!F101)</f>
        <v/>
      </c>
      <c r="G611" s="124"/>
      <c r="H611" s="124"/>
      <c r="I611" s="125"/>
      <c r="J611" s="202" t="str">
        <f>IF('Calendario D'!J101="","",'Calendario D'!J101)</f>
        <v/>
      </c>
      <c r="K611" s="201" t="s">
        <v>198</v>
      </c>
      <c r="L611" s="202" t="str">
        <f>IF('Calendario D'!L101="","",'Calendario D'!L101)</f>
        <v/>
      </c>
      <c r="M611" s="200"/>
      <c r="N611" s="200"/>
      <c r="O611" s="200"/>
      <c r="P611" s="200"/>
      <c r="Q611" s="200"/>
      <c r="R611" s="200"/>
    </row>
    <row r="612" spans="1:18" ht="15" customHeight="1" x14ac:dyDescent="0.25">
      <c r="A612" s="133"/>
      <c r="B612" s="136" t="str">
        <f>IF('Calendario D'!B102="","",'Calendario D'!B102)</f>
        <v/>
      </c>
      <c r="C612" s="124"/>
      <c r="D612" s="124"/>
      <c r="E612" s="124"/>
      <c r="F612" s="124"/>
      <c r="G612" s="124"/>
      <c r="H612" s="125"/>
      <c r="I612" s="45" t="str">
        <f>IF('Calendario D'!I102="","",'Calendario D'!I102)</f>
        <v/>
      </c>
      <c r="J612" s="133"/>
      <c r="K612" s="133"/>
      <c r="L612" s="133"/>
      <c r="M612" s="133"/>
      <c r="N612" s="133"/>
      <c r="O612" s="133"/>
      <c r="P612" s="133"/>
      <c r="Q612" s="133"/>
      <c r="R612" s="133"/>
    </row>
    <row r="613" spans="1:18" ht="14.1" customHeight="1" x14ac:dyDescent="0.25">
      <c r="A613" s="54" t="s">
        <v>193</v>
      </c>
      <c r="B613" s="149" t="s">
        <v>175</v>
      </c>
      <c r="C613" s="125"/>
      <c r="D613" s="149" t="s">
        <v>182</v>
      </c>
      <c r="E613" s="125"/>
      <c r="F613" s="54" t="s">
        <v>194</v>
      </c>
      <c r="G613" s="54" t="s">
        <v>195</v>
      </c>
      <c r="H613" s="149" t="s">
        <v>196</v>
      </c>
      <c r="I613" s="125"/>
      <c r="J613" s="149" t="s">
        <v>197</v>
      </c>
      <c r="K613" s="124"/>
      <c r="L613" s="125"/>
      <c r="M613" s="105" t="s">
        <v>494</v>
      </c>
      <c r="N613" s="105" t="s">
        <v>495</v>
      </c>
      <c r="O613" s="105" t="s">
        <v>496</v>
      </c>
      <c r="P613" s="105" t="s">
        <v>497</v>
      </c>
      <c r="Q613" s="105" t="s">
        <v>498</v>
      </c>
      <c r="R613" s="105" t="s">
        <v>499</v>
      </c>
    </row>
    <row r="614" spans="1:18" ht="21.95" customHeight="1" x14ac:dyDescent="0.25">
      <c r="A614" s="150">
        <f>IF('Calendario D'!A104="","",'Calendario D'!A104)</f>
        <v>164</v>
      </c>
      <c r="B614" s="44" t="str">
        <f>IF('Calendario D'!B104="","",'Calendario D'!B104)</f>
        <v/>
      </c>
      <c r="C614" s="45" t="str">
        <f>IF('Calendario D'!C104="","",'Calendario D'!C104)</f>
        <v/>
      </c>
      <c r="D614" s="44" t="str">
        <f>IF('Calendario D'!D104="","",'Calendario D'!D104)</f>
        <v/>
      </c>
      <c r="E614" s="45" t="str">
        <f>IF('Calendario D'!E104="","",'Calendario D'!E104)</f>
        <v/>
      </c>
      <c r="F614" s="138" t="str">
        <f>IF('Calendario D'!F104="","",'Calendario D'!F104)</f>
        <v/>
      </c>
      <c r="G614" s="124"/>
      <c r="H614" s="124"/>
      <c r="I614" s="125"/>
      <c r="J614" s="202" t="str">
        <f>IF('Calendario D'!J104="","",'Calendario D'!J104)</f>
        <v/>
      </c>
      <c r="K614" s="201" t="s">
        <v>198</v>
      </c>
      <c r="L614" s="202" t="str">
        <f>IF('Calendario D'!L104="","",'Calendario D'!L104)</f>
        <v/>
      </c>
      <c r="M614" s="200"/>
      <c r="N614" s="200"/>
      <c r="O614" s="200"/>
      <c r="P614" s="200"/>
      <c r="Q614" s="200"/>
      <c r="R614" s="200"/>
    </row>
    <row r="615" spans="1:18" ht="15" customHeight="1" x14ac:dyDescent="0.25">
      <c r="A615" s="133"/>
      <c r="B615" s="136" t="str">
        <f>IF('Calendario D'!B105="","",'Calendario D'!B105)</f>
        <v/>
      </c>
      <c r="C615" s="124"/>
      <c r="D615" s="124"/>
      <c r="E615" s="124"/>
      <c r="F615" s="124"/>
      <c r="G615" s="124"/>
      <c r="H615" s="125"/>
      <c r="I615" s="45" t="str">
        <f>IF('Calendario D'!I105="","",'Calendario D'!I105)</f>
        <v/>
      </c>
      <c r="J615" s="133"/>
      <c r="K615" s="133"/>
      <c r="L615" s="133"/>
      <c r="M615" s="133"/>
      <c r="N615" s="133"/>
      <c r="O615" s="133"/>
      <c r="P615" s="133"/>
      <c r="Q615" s="133"/>
      <c r="R615" s="133"/>
    </row>
    <row r="616" spans="1:18" ht="14.1" customHeight="1" x14ac:dyDescent="0.25">
      <c r="A616" s="54" t="s">
        <v>193</v>
      </c>
      <c r="B616" s="149" t="s">
        <v>175</v>
      </c>
      <c r="C616" s="125"/>
      <c r="D616" s="149" t="s">
        <v>182</v>
      </c>
      <c r="E616" s="125"/>
      <c r="F616" s="54" t="s">
        <v>194</v>
      </c>
      <c r="G616" s="54" t="s">
        <v>195</v>
      </c>
      <c r="H616" s="149" t="s">
        <v>196</v>
      </c>
      <c r="I616" s="125"/>
      <c r="J616" s="149" t="s">
        <v>197</v>
      </c>
      <c r="K616" s="124"/>
      <c r="L616" s="125"/>
      <c r="M616" s="105" t="s">
        <v>494</v>
      </c>
      <c r="N616" s="105" t="s">
        <v>495</v>
      </c>
      <c r="O616" s="105" t="s">
        <v>496</v>
      </c>
      <c r="P616" s="105" t="s">
        <v>497</v>
      </c>
      <c r="Q616" s="105" t="s">
        <v>498</v>
      </c>
      <c r="R616" s="105" t="s">
        <v>499</v>
      </c>
    </row>
    <row r="617" spans="1:18" ht="21.95" customHeight="1" x14ac:dyDescent="0.25">
      <c r="A617" s="150">
        <f>IF('Calendario D'!A107="","",'Calendario D'!A107)</f>
        <v>165</v>
      </c>
      <c r="B617" s="44" t="str">
        <f>IF('Calendario D'!B107="","",'Calendario D'!B107)</f>
        <v/>
      </c>
      <c r="C617" s="45" t="str">
        <f>IF('Calendario D'!C107="","",'Calendario D'!C107)</f>
        <v/>
      </c>
      <c r="D617" s="44" t="str">
        <f>IF('Calendario D'!D107="","",'Calendario D'!D107)</f>
        <v/>
      </c>
      <c r="E617" s="45" t="str">
        <f>IF('Calendario D'!E107="","",'Calendario D'!E107)</f>
        <v/>
      </c>
      <c r="F617" s="138" t="str">
        <f>IF('Calendario D'!F107="","",'Calendario D'!F107)</f>
        <v/>
      </c>
      <c r="G617" s="124"/>
      <c r="H617" s="124"/>
      <c r="I617" s="125"/>
      <c r="J617" s="202" t="str">
        <f>IF('Calendario D'!J107="","",'Calendario D'!J107)</f>
        <v/>
      </c>
      <c r="K617" s="201" t="s">
        <v>198</v>
      </c>
      <c r="L617" s="202" t="str">
        <f>IF('Calendario D'!L107="","",'Calendario D'!L107)</f>
        <v/>
      </c>
      <c r="M617" s="200"/>
      <c r="N617" s="200"/>
      <c r="O617" s="200"/>
      <c r="P617" s="200"/>
      <c r="Q617" s="200"/>
      <c r="R617" s="200"/>
    </row>
    <row r="618" spans="1:18" ht="15" customHeight="1" x14ac:dyDescent="0.25">
      <c r="A618" s="133"/>
      <c r="B618" s="136" t="str">
        <f>IF('Calendario D'!B108="","",'Calendario D'!B108)</f>
        <v/>
      </c>
      <c r="C618" s="124"/>
      <c r="D618" s="124"/>
      <c r="E618" s="124"/>
      <c r="F618" s="124"/>
      <c r="G618" s="124"/>
      <c r="H618" s="125"/>
      <c r="I618" s="45" t="str">
        <f>IF('Calendario D'!I108="","",'Calendario D'!I108)</f>
        <v/>
      </c>
      <c r="J618" s="133"/>
      <c r="K618" s="133"/>
      <c r="L618" s="133"/>
      <c r="M618" s="133"/>
      <c r="N618" s="133"/>
      <c r="O618" s="133"/>
      <c r="P618" s="133"/>
      <c r="Q618" s="133"/>
      <c r="R618" s="133"/>
    </row>
    <row r="620" spans="1:18" ht="20.100000000000001" customHeight="1" x14ac:dyDescent="0.25">
      <c r="A620" s="53" t="str">
        <f>IF('Calendario D'!A110="","",'Calendario D'!A110)</f>
        <v>7D</v>
      </c>
      <c r="B620" s="151" t="str">
        <f>IF('Calendario D'!B110="","",'Calendario D'!B110)</f>
        <v>GIORNATA VII - GIRONE D</v>
      </c>
      <c r="C620" s="124"/>
      <c r="D620" s="124"/>
      <c r="E620" s="124"/>
      <c r="F620" s="124"/>
      <c r="G620" s="124"/>
      <c r="H620" s="124"/>
      <c r="I620" s="124"/>
      <c r="J620" s="124"/>
      <c r="K620" s="124"/>
      <c r="L620" s="125"/>
      <c r="M620" s="208" t="s">
        <v>492</v>
      </c>
      <c r="N620" s="124"/>
      <c r="O620" s="125"/>
      <c r="P620" s="208" t="s">
        <v>493</v>
      </c>
      <c r="Q620" s="124"/>
      <c r="R620" s="125"/>
    </row>
    <row r="621" spans="1:18" ht="14.1" customHeight="1" x14ac:dyDescent="0.25">
      <c r="A621" s="54" t="s">
        <v>193</v>
      </c>
      <c r="B621" s="149" t="s">
        <v>175</v>
      </c>
      <c r="C621" s="125"/>
      <c r="D621" s="149" t="s">
        <v>182</v>
      </c>
      <c r="E621" s="125"/>
      <c r="F621" s="54" t="s">
        <v>194</v>
      </c>
      <c r="G621" s="54" t="s">
        <v>195</v>
      </c>
      <c r="H621" s="149" t="s">
        <v>196</v>
      </c>
      <c r="I621" s="125"/>
      <c r="J621" s="149" t="s">
        <v>197</v>
      </c>
      <c r="K621" s="124"/>
      <c r="L621" s="125"/>
      <c r="M621" s="105" t="s">
        <v>494</v>
      </c>
      <c r="N621" s="105" t="s">
        <v>495</v>
      </c>
      <c r="O621" s="105" t="s">
        <v>496</v>
      </c>
      <c r="P621" s="105" t="s">
        <v>497</v>
      </c>
      <c r="Q621" s="105" t="s">
        <v>498</v>
      </c>
      <c r="R621" s="105" t="s">
        <v>499</v>
      </c>
    </row>
    <row r="622" spans="1:18" ht="21.95" customHeight="1" x14ac:dyDescent="0.25">
      <c r="A622" s="150">
        <f>IF('Calendario D'!A112="","",'Calendario D'!A112)</f>
        <v>166</v>
      </c>
      <c r="B622" s="44" t="str">
        <f>IF('Calendario D'!B112="","",'Calendario D'!B112)</f>
        <v/>
      </c>
      <c r="C622" s="45" t="str">
        <f>IF('Calendario D'!C112="","",'Calendario D'!C112)</f>
        <v/>
      </c>
      <c r="D622" s="44" t="str">
        <f>IF('Calendario D'!D112="","",'Calendario D'!D112)</f>
        <v/>
      </c>
      <c r="E622" s="45" t="str">
        <f>IF('Calendario D'!E112="","",'Calendario D'!E112)</f>
        <v/>
      </c>
      <c r="F622" s="138" t="str">
        <f>IF('Calendario D'!F112="","",'Calendario D'!F112)</f>
        <v/>
      </c>
      <c r="G622" s="124"/>
      <c r="H622" s="124"/>
      <c r="I622" s="125"/>
      <c r="J622" s="202" t="str">
        <f>IF('Calendario D'!J112="","",'Calendario D'!J112)</f>
        <v/>
      </c>
      <c r="K622" s="201" t="s">
        <v>198</v>
      </c>
      <c r="L622" s="202" t="str">
        <f>IF('Calendario D'!L112="","",'Calendario D'!L112)</f>
        <v/>
      </c>
      <c r="M622" s="200"/>
      <c r="N622" s="200"/>
      <c r="O622" s="200"/>
      <c r="P622" s="200"/>
      <c r="Q622" s="200"/>
      <c r="R622" s="200"/>
    </row>
    <row r="623" spans="1:18" ht="15" customHeight="1" x14ac:dyDescent="0.25">
      <c r="A623" s="133"/>
      <c r="B623" s="136" t="str">
        <f>IF('Calendario D'!B113="","",'Calendario D'!B113)</f>
        <v/>
      </c>
      <c r="C623" s="124"/>
      <c r="D623" s="124"/>
      <c r="E623" s="124"/>
      <c r="F623" s="124"/>
      <c r="G623" s="124"/>
      <c r="H623" s="125"/>
      <c r="I623" s="45" t="str">
        <f>IF('Calendario D'!I113="","",'Calendario D'!I113)</f>
        <v/>
      </c>
      <c r="J623" s="133"/>
      <c r="K623" s="133"/>
      <c r="L623" s="133"/>
      <c r="M623" s="133"/>
      <c r="N623" s="133"/>
      <c r="O623" s="133"/>
      <c r="P623" s="133"/>
      <c r="Q623" s="133"/>
      <c r="R623" s="133"/>
    </row>
    <row r="624" spans="1:18" ht="14.1" customHeight="1" x14ac:dyDescent="0.25">
      <c r="A624" s="54" t="s">
        <v>193</v>
      </c>
      <c r="B624" s="149" t="s">
        <v>175</v>
      </c>
      <c r="C624" s="125"/>
      <c r="D624" s="149" t="s">
        <v>182</v>
      </c>
      <c r="E624" s="125"/>
      <c r="F624" s="54" t="s">
        <v>194</v>
      </c>
      <c r="G624" s="54" t="s">
        <v>195</v>
      </c>
      <c r="H624" s="149" t="s">
        <v>196</v>
      </c>
      <c r="I624" s="125"/>
      <c r="J624" s="149" t="s">
        <v>197</v>
      </c>
      <c r="K624" s="124"/>
      <c r="L624" s="125"/>
      <c r="M624" s="105" t="s">
        <v>494</v>
      </c>
      <c r="N624" s="105" t="s">
        <v>495</v>
      </c>
      <c r="O624" s="105" t="s">
        <v>496</v>
      </c>
      <c r="P624" s="105" t="s">
        <v>497</v>
      </c>
      <c r="Q624" s="105" t="s">
        <v>498</v>
      </c>
      <c r="R624" s="105" t="s">
        <v>499</v>
      </c>
    </row>
    <row r="625" spans="1:18" ht="21.95" customHeight="1" x14ac:dyDescent="0.25">
      <c r="A625" s="150">
        <f>IF('Calendario D'!A115="","",'Calendario D'!A115)</f>
        <v>167</v>
      </c>
      <c r="B625" s="44" t="str">
        <f>IF('Calendario D'!B115="","",'Calendario D'!B115)</f>
        <v/>
      </c>
      <c r="C625" s="45" t="str">
        <f>IF('Calendario D'!C115="","",'Calendario D'!C115)</f>
        <v/>
      </c>
      <c r="D625" s="44" t="str">
        <f>IF('Calendario D'!D115="","",'Calendario D'!D115)</f>
        <v/>
      </c>
      <c r="E625" s="45" t="str">
        <f>IF('Calendario D'!E115="","",'Calendario D'!E115)</f>
        <v/>
      </c>
      <c r="F625" s="138" t="str">
        <f>IF('Calendario D'!F115="","",'Calendario D'!F115)</f>
        <v/>
      </c>
      <c r="G625" s="124"/>
      <c r="H625" s="124"/>
      <c r="I625" s="125"/>
      <c r="J625" s="202" t="str">
        <f>IF('Calendario D'!J115="","",'Calendario D'!J115)</f>
        <v/>
      </c>
      <c r="K625" s="201" t="s">
        <v>198</v>
      </c>
      <c r="L625" s="202" t="str">
        <f>IF('Calendario D'!L115="","",'Calendario D'!L115)</f>
        <v/>
      </c>
      <c r="M625" s="200"/>
      <c r="N625" s="200"/>
      <c r="O625" s="200"/>
      <c r="P625" s="200"/>
      <c r="Q625" s="200"/>
      <c r="R625" s="200"/>
    </row>
    <row r="626" spans="1:18" ht="15" customHeight="1" x14ac:dyDescent="0.25">
      <c r="A626" s="133"/>
      <c r="B626" s="136" t="str">
        <f>IF('Calendario D'!B116="","",'Calendario D'!B116)</f>
        <v/>
      </c>
      <c r="C626" s="124"/>
      <c r="D626" s="124"/>
      <c r="E626" s="124"/>
      <c r="F626" s="124"/>
      <c r="G626" s="124"/>
      <c r="H626" s="125"/>
      <c r="I626" s="45" t="str">
        <f>IF('Calendario D'!I116="","",'Calendario D'!I116)</f>
        <v/>
      </c>
      <c r="J626" s="133"/>
      <c r="K626" s="133"/>
      <c r="L626" s="133"/>
      <c r="M626" s="133"/>
      <c r="N626" s="133"/>
      <c r="O626" s="133"/>
      <c r="P626" s="133"/>
      <c r="Q626" s="133"/>
      <c r="R626" s="133"/>
    </row>
    <row r="627" spans="1:18" ht="14.1" customHeight="1" x14ac:dyDescent="0.25">
      <c r="A627" s="54" t="s">
        <v>193</v>
      </c>
      <c r="B627" s="149" t="s">
        <v>175</v>
      </c>
      <c r="C627" s="125"/>
      <c r="D627" s="149" t="s">
        <v>182</v>
      </c>
      <c r="E627" s="125"/>
      <c r="F627" s="54" t="s">
        <v>194</v>
      </c>
      <c r="G627" s="54" t="s">
        <v>195</v>
      </c>
      <c r="H627" s="149" t="s">
        <v>196</v>
      </c>
      <c r="I627" s="125"/>
      <c r="J627" s="149" t="s">
        <v>197</v>
      </c>
      <c r="K627" s="124"/>
      <c r="L627" s="125"/>
      <c r="M627" s="105" t="s">
        <v>494</v>
      </c>
      <c r="N627" s="105" t="s">
        <v>495</v>
      </c>
      <c r="O627" s="105" t="s">
        <v>496</v>
      </c>
      <c r="P627" s="105" t="s">
        <v>497</v>
      </c>
      <c r="Q627" s="105" t="s">
        <v>498</v>
      </c>
      <c r="R627" s="105" t="s">
        <v>499</v>
      </c>
    </row>
    <row r="628" spans="1:18" ht="21.95" customHeight="1" x14ac:dyDescent="0.25">
      <c r="A628" s="150">
        <f>IF('Calendario D'!A118="","",'Calendario D'!A118)</f>
        <v>168</v>
      </c>
      <c r="B628" s="44" t="str">
        <f>IF('Calendario D'!B118="","",'Calendario D'!B118)</f>
        <v/>
      </c>
      <c r="C628" s="45" t="str">
        <f>IF('Calendario D'!C118="","",'Calendario D'!C118)</f>
        <v/>
      </c>
      <c r="D628" s="44" t="str">
        <f>IF('Calendario D'!D118="","",'Calendario D'!D118)</f>
        <v/>
      </c>
      <c r="E628" s="45" t="str">
        <f>IF('Calendario D'!E118="","",'Calendario D'!E118)</f>
        <v/>
      </c>
      <c r="F628" s="138" t="str">
        <f>IF('Calendario D'!F118="","",'Calendario D'!F118)</f>
        <v/>
      </c>
      <c r="G628" s="124"/>
      <c r="H628" s="124"/>
      <c r="I628" s="125"/>
      <c r="J628" s="202" t="str">
        <f>IF('Calendario D'!J118="","",'Calendario D'!J118)</f>
        <v/>
      </c>
      <c r="K628" s="201" t="s">
        <v>198</v>
      </c>
      <c r="L628" s="202" t="str">
        <f>IF('Calendario D'!L118="","",'Calendario D'!L118)</f>
        <v/>
      </c>
      <c r="M628" s="200"/>
      <c r="N628" s="200"/>
      <c r="O628" s="200"/>
      <c r="P628" s="200"/>
      <c r="Q628" s="200"/>
      <c r="R628" s="200"/>
    </row>
    <row r="629" spans="1:18" ht="15" customHeight="1" x14ac:dyDescent="0.25">
      <c r="A629" s="133"/>
      <c r="B629" s="136" t="str">
        <f>IF('Calendario D'!B119="","",'Calendario D'!B119)</f>
        <v/>
      </c>
      <c r="C629" s="124"/>
      <c r="D629" s="124"/>
      <c r="E629" s="124"/>
      <c r="F629" s="124"/>
      <c r="G629" s="124"/>
      <c r="H629" s="125"/>
      <c r="I629" s="45" t="str">
        <f>IF('Calendario D'!I119="","",'Calendario D'!I119)</f>
        <v/>
      </c>
      <c r="J629" s="133"/>
      <c r="K629" s="133"/>
      <c r="L629" s="133"/>
      <c r="M629" s="133"/>
      <c r="N629" s="133"/>
      <c r="O629" s="133"/>
      <c r="P629" s="133"/>
      <c r="Q629" s="133"/>
      <c r="R629" s="133"/>
    </row>
    <row r="630" spans="1:18" ht="14.1" customHeight="1" x14ac:dyDescent="0.25">
      <c r="A630" s="54" t="s">
        <v>193</v>
      </c>
      <c r="B630" s="149" t="s">
        <v>175</v>
      </c>
      <c r="C630" s="125"/>
      <c r="D630" s="149" t="s">
        <v>182</v>
      </c>
      <c r="E630" s="125"/>
      <c r="F630" s="54" t="s">
        <v>194</v>
      </c>
      <c r="G630" s="54" t="s">
        <v>195</v>
      </c>
      <c r="H630" s="149" t="s">
        <v>196</v>
      </c>
      <c r="I630" s="125"/>
      <c r="J630" s="149" t="s">
        <v>197</v>
      </c>
      <c r="K630" s="124"/>
      <c r="L630" s="125"/>
      <c r="M630" s="105" t="s">
        <v>494</v>
      </c>
      <c r="N630" s="105" t="s">
        <v>495</v>
      </c>
      <c r="O630" s="105" t="s">
        <v>496</v>
      </c>
      <c r="P630" s="105" t="s">
        <v>497</v>
      </c>
      <c r="Q630" s="105" t="s">
        <v>498</v>
      </c>
      <c r="R630" s="105" t="s">
        <v>499</v>
      </c>
    </row>
    <row r="631" spans="1:18" ht="21.95" customHeight="1" x14ac:dyDescent="0.25">
      <c r="A631" s="150">
        <f>IF('Calendario D'!A121="","",'Calendario D'!A121)</f>
        <v>169</v>
      </c>
      <c r="B631" s="44" t="str">
        <f>IF('Calendario D'!B121="","",'Calendario D'!B121)</f>
        <v/>
      </c>
      <c r="C631" s="45" t="str">
        <f>IF('Calendario D'!C121="","",'Calendario D'!C121)</f>
        <v/>
      </c>
      <c r="D631" s="44" t="str">
        <f>IF('Calendario D'!D121="","",'Calendario D'!D121)</f>
        <v/>
      </c>
      <c r="E631" s="45" t="str">
        <f>IF('Calendario D'!E121="","",'Calendario D'!E121)</f>
        <v/>
      </c>
      <c r="F631" s="138" t="str">
        <f>IF('Calendario D'!F121="","",'Calendario D'!F121)</f>
        <v/>
      </c>
      <c r="G631" s="124"/>
      <c r="H631" s="124"/>
      <c r="I631" s="125"/>
      <c r="J631" s="202" t="str">
        <f>IF('Calendario D'!J121="","",'Calendario D'!J121)</f>
        <v/>
      </c>
      <c r="K631" s="201" t="s">
        <v>198</v>
      </c>
      <c r="L631" s="202" t="str">
        <f>IF('Calendario D'!L121="","",'Calendario D'!L121)</f>
        <v/>
      </c>
      <c r="M631" s="200"/>
      <c r="N631" s="200"/>
      <c r="O631" s="200"/>
      <c r="P631" s="200"/>
      <c r="Q631" s="200"/>
      <c r="R631" s="200"/>
    </row>
    <row r="632" spans="1:18" ht="15" customHeight="1" x14ac:dyDescent="0.25">
      <c r="A632" s="133"/>
      <c r="B632" s="136" t="str">
        <f>IF('Calendario D'!B122="","",'Calendario D'!B122)</f>
        <v/>
      </c>
      <c r="C632" s="124"/>
      <c r="D632" s="124"/>
      <c r="E632" s="124"/>
      <c r="F632" s="124"/>
      <c r="G632" s="124"/>
      <c r="H632" s="125"/>
      <c r="I632" s="45" t="str">
        <f>IF('Calendario D'!I122="","",'Calendario D'!I122)</f>
        <v/>
      </c>
      <c r="J632" s="133"/>
      <c r="K632" s="133"/>
      <c r="L632" s="133"/>
      <c r="M632" s="133"/>
      <c r="N632" s="133"/>
      <c r="O632" s="133"/>
      <c r="P632" s="133"/>
      <c r="Q632" s="133"/>
      <c r="R632" s="133"/>
    </row>
    <row r="633" spans="1:18" ht="14.1" customHeight="1" x14ac:dyDescent="0.25">
      <c r="A633" s="54" t="s">
        <v>193</v>
      </c>
      <c r="B633" s="149" t="s">
        <v>175</v>
      </c>
      <c r="C633" s="125"/>
      <c r="D633" s="149" t="s">
        <v>182</v>
      </c>
      <c r="E633" s="125"/>
      <c r="F633" s="54" t="s">
        <v>194</v>
      </c>
      <c r="G633" s="54" t="s">
        <v>195</v>
      </c>
      <c r="H633" s="149" t="s">
        <v>196</v>
      </c>
      <c r="I633" s="125"/>
      <c r="J633" s="149" t="s">
        <v>197</v>
      </c>
      <c r="K633" s="124"/>
      <c r="L633" s="125"/>
      <c r="M633" s="105" t="s">
        <v>494</v>
      </c>
      <c r="N633" s="105" t="s">
        <v>495</v>
      </c>
      <c r="O633" s="105" t="s">
        <v>496</v>
      </c>
      <c r="P633" s="105" t="s">
        <v>497</v>
      </c>
      <c r="Q633" s="105" t="s">
        <v>498</v>
      </c>
      <c r="R633" s="105" t="s">
        <v>499</v>
      </c>
    </row>
    <row r="634" spans="1:18" ht="21.95" customHeight="1" x14ac:dyDescent="0.25">
      <c r="A634" s="150">
        <f>IF('Calendario D'!A124="","",'Calendario D'!A124)</f>
        <v>170</v>
      </c>
      <c r="B634" s="44" t="str">
        <f>IF('Calendario D'!B124="","",'Calendario D'!B124)</f>
        <v/>
      </c>
      <c r="C634" s="45" t="str">
        <f>IF('Calendario D'!C124="","",'Calendario D'!C124)</f>
        <v/>
      </c>
      <c r="D634" s="44" t="str">
        <f>IF('Calendario D'!D124="","",'Calendario D'!D124)</f>
        <v/>
      </c>
      <c r="E634" s="45" t="str">
        <f>IF('Calendario D'!E124="","",'Calendario D'!E124)</f>
        <v/>
      </c>
      <c r="F634" s="138" t="str">
        <f>IF('Calendario D'!F124="","",'Calendario D'!F124)</f>
        <v/>
      </c>
      <c r="G634" s="124"/>
      <c r="H634" s="124"/>
      <c r="I634" s="125"/>
      <c r="J634" s="202" t="str">
        <f>IF('Calendario D'!J124="","",'Calendario D'!J124)</f>
        <v/>
      </c>
      <c r="K634" s="201" t="s">
        <v>198</v>
      </c>
      <c r="L634" s="202" t="str">
        <f>IF('Calendario D'!L124="","",'Calendario D'!L124)</f>
        <v/>
      </c>
      <c r="M634" s="200"/>
      <c r="N634" s="200"/>
      <c r="O634" s="200"/>
      <c r="P634" s="200"/>
      <c r="Q634" s="200"/>
      <c r="R634" s="200"/>
    </row>
    <row r="635" spans="1:18" ht="15" customHeight="1" x14ac:dyDescent="0.25">
      <c r="A635" s="133"/>
      <c r="B635" s="136" t="str">
        <f>IF('Calendario D'!B125="","",'Calendario D'!B125)</f>
        <v/>
      </c>
      <c r="C635" s="124"/>
      <c r="D635" s="124"/>
      <c r="E635" s="124"/>
      <c r="F635" s="124"/>
      <c r="G635" s="124"/>
      <c r="H635" s="125"/>
      <c r="I635" s="45" t="str">
        <f>IF('Calendario D'!I125="","",'Calendario D'!I125)</f>
        <v/>
      </c>
      <c r="J635" s="133"/>
      <c r="K635" s="133"/>
      <c r="L635" s="133"/>
      <c r="M635" s="133"/>
      <c r="N635" s="133"/>
      <c r="O635" s="133"/>
      <c r="P635" s="133"/>
      <c r="Q635" s="133"/>
      <c r="R635" s="133"/>
    </row>
    <row r="637" spans="1:18" ht="20.100000000000001" customHeight="1" x14ac:dyDescent="0.25">
      <c r="A637" s="53" t="str">
        <f>IF('Calendario D'!A127="","",'Calendario D'!A127)</f>
        <v>8D</v>
      </c>
      <c r="B637" s="151" t="str">
        <f>IF('Calendario D'!B127="","",'Calendario D'!B127)</f>
        <v>GIORNATA VIII - GIRONE D</v>
      </c>
      <c r="C637" s="124"/>
      <c r="D637" s="124"/>
      <c r="E637" s="124"/>
      <c r="F637" s="124"/>
      <c r="G637" s="124"/>
      <c r="H637" s="124"/>
      <c r="I637" s="124"/>
      <c r="J637" s="124"/>
      <c r="K637" s="124"/>
      <c r="L637" s="125"/>
      <c r="M637" s="208" t="s">
        <v>492</v>
      </c>
      <c r="N637" s="124"/>
      <c r="O637" s="125"/>
      <c r="P637" s="208" t="s">
        <v>493</v>
      </c>
      <c r="Q637" s="124"/>
      <c r="R637" s="125"/>
    </row>
    <row r="638" spans="1:18" ht="14.1" customHeight="1" x14ac:dyDescent="0.25">
      <c r="A638" s="54" t="s">
        <v>193</v>
      </c>
      <c r="B638" s="149" t="s">
        <v>175</v>
      </c>
      <c r="C638" s="125"/>
      <c r="D638" s="149" t="s">
        <v>182</v>
      </c>
      <c r="E638" s="125"/>
      <c r="F638" s="54" t="s">
        <v>194</v>
      </c>
      <c r="G638" s="54" t="s">
        <v>195</v>
      </c>
      <c r="H638" s="149" t="s">
        <v>196</v>
      </c>
      <c r="I638" s="125"/>
      <c r="J638" s="149" t="s">
        <v>197</v>
      </c>
      <c r="K638" s="124"/>
      <c r="L638" s="125"/>
      <c r="M638" s="105" t="s">
        <v>494</v>
      </c>
      <c r="N638" s="105" t="s">
        <v>495</v>
      </c>
      <c r="O638" s="105" t="s">
        <v>496</v>
      </c>
      <c r="P638" s="105" t="s">
        <v>497</v>
      </c>
      <c r="Q638" s="105" t="s">
        <v>498</v>
      </c>
      <c r="R638" s="105" t="s">
        <v>499</v>
      </c>
    </row>
    <row r="639" spans="1:18" ht="21.95" customHeight="1" x14ac:dyDescent="0.25">
      <c r="A639" s="150">
        <f>IF('Calendario D'!A129="","",'Calendario D'!A129)</f>
        <v>171</v>
      </c>
      <c r="B639" s="44" t="str">
        <f>IF('Calendario D'!B129="","",'Calendario D'!B129)</f>
        <v/>
      </c>
      <c r="C639" s="45" t="str">
        <f>IF('Calendario D'!C129="","",'Calendario D'!C129)</f>
        <v/>
      </c>
      <c r="D639" s="44" t="str">
        <f>IF('Calendario D'!D129="","",'Calendario D'!D129)</f>
        <v/>
      </c>
      <c r="E639" s="45" t="str">
        <f>IF('Calendario D'!E129="","",'Calendario D'!E129)</f>
        <v/>
      </c>
      <c r="F639" s="138" t="str">
        <f>IF('Calendario D'!F129="","",'Calendario D'!F129)</f>
        <v/>
      </c>
      <c r="G639" s="124"/>
      <c r="H639" s="124"/>
      <c r="I639" s="125"/>
      <c r="J639" s="202" t="str">
        <f>IF('Calendario D'!J129="","",'Calendario D'!J129)</f>
        <v/>
      </c>
      <c r="K639" s="201" t="s">
        <v>198</v>
      </c>
      <c r="L639" s="202" t="str">
        <f>IF('Calendario D'!L129="","",'Calendario D'!L129)</f>
        <v/>
      </c>
      <c r="M639" s="200"/>
      <c r="N639" s="200"/>
      <c r="O639" s="200"/>
      <c r="P639" s="200"/>
      <c r="Q639" s="200"/>
      <c r="R639" s="200"/>
    </row>
    <row r="640" spans="1:18" ht="15" customHeight="1" x14ac:dyDescent="0.25">
      <c r="A640" s="133"/>
      <c r="B640" s="136" t="str">
        <f>IF('Calendario D'!B130="","",'Calendario D'!B130)</f>
        <v/>
      </c>
      <c r="C640" s="124"/>
      <c r="D640" s="124"/>
      <c r="E640" s="124"/>
      <c r="F640" s="124"/>
      <c r="G640" s="124"/>
      <c r="H640" s="125"/>
      <c r="I640" s="45" t="str">
        <f>IF('Calendario D'!I130="","",'Calendario D'!I130)</f>
        <v/>
      </c>
      <c r="J640" s="133"/>
      <c r="K640" s="133"/>
      <c r="L640" s="133"/>
      <c r="M640" s="133"/>
      <c r="N640" s="133"/>
      <c r="O640" s="133"/>
      <c r="P640" s="133"/>
      <c r="Q640" s="133"/>
      <c r="R640" s="133"/>
    </row>
    <row r="641" spans="1:18" ht="14.1" customHeight="1" x14ac:dyDescent="0.25">
      <c r="A641" s="54" t="s">
        <v>193</v>
      </c>
      <c r="B641" s="149" t="s">
        <v>175</v>
      </c>
      <c r="C641" s="125"/>
      <c r="D641" s="149" t="s">
        <v>182</v>
      </c>
      <c r="E641" s="125"/>
      <c r="F641" s="54" t="s">
        <v>194</v>
      </c>
      <c r="G641" s="54" t="s">
        <v>195</v>
      </c>
      <c r="H641" s="149" t="s">
        <v>196</v>
      </c>
      <c r="I641" s="125"/>
      <c r="J641" s="149" t="s">
        <v>197</v>
      </c>
      <c r="K641" s="124"/>
      <c r="L641" s="125"/>
      <c r="M641" s="105" t="s">
        <v>494</v>
      </c>
      <c r="N641" s="105" t="s">
        <v>495</v>
      </c>
      <c r="O641" s="105" t="s">
        <v>496</v>
      </c>
      <c r="P641" s="105" t="s">
        <v>497</v>
      </c>
      <c r="Q641" s="105" t="s">
        <v>498</v>
      </c>
      <c r="R641" s="105" t="s">
        <v>499</v>
      </c>
    </row>
    <row r="642" spans="1:18" ht="21.95" customHeight="1" x14ac:dyDescent="0.25">
      <c r="A642" s="150">
        <f>IF('Calendario D'!A132="","",'Calendario D'!A132)</f>
        <v>172</v>
      </c>
      <c r="B642" s="44" t="str">
        <f>IF('Calendario D'!B132="","",'Calendario D'!B132)</f>
        <v/>
      </c>
      <c r="C642" s="45" t="str">
        <f>IF('Calendario D'!C132="","",'Calendario D'!C132)</f>
        <v/>
      </c>
      <c r="D642" s="44" t="str">
        <f>IF('Calendario D'!D132="","",'Calendario D'!D132)</f>
        <v/>
      </c>
      <c r="E642" s="45" t="str">
        <f>IF('Calendario D'!E132="","",'Calendario D'!E132)</f>
        <v/>
      </c>
      <c r="F642" s="138" t="str">
        <f>IF('Calendario D'!F132="","",'Calendario D'!F132)</f>
        <v/>
      </c>
      <c r="G642" s="124"/>
      <c r="H642" s="124"/>
      <c r="I642" s="125"/>
      <c r="J642" s="202" t="str">
        <f>IF('Calendario D'!J132="","",'Calendario D'!J132)</f>
        <v/>
      </c>
      <c r="K642" s="201" t="s">
        <v>198</v>
      </c>
      <c r="L642" s="202" t="str">
        <f>IF('Calendario D'!L132="","",'Calendario D'!L132)</f>
        <v/>
      </c>
      <c r="M642" s="200"/>
      <c r="N642" s="200"/>
      <c r="O642" s="200"/>
      <c r="P642" s="200"/>
      <c r="Q642" s="200"/>
      <c r="R642" s="200"/>
    </row>
    <row r="643" spans="1:18" ht="15" customHeight="1" x14ac:dyDescent="0.25">
      <c r="A643" s="133"/>
      <c r="B643" s="136" t="str">
        <f>IF('Calendario D'!B133="","",'Calendario D'!B133)</f>
        <v/>
      </c>
      <c r="C643" s="124"/>
      <c r="D643" s="124"/>
      <c r="E643" s="124"/>
      <c r="F643" s="124"/>
      <c r="G643" s="124"/>
      <c r="H643" s="125"/>
      <c r="I643" s="45" t="str">
        <f>IF('Calendario D'!I133="","",'Calendario D'!I133)</f>
        <v/>
      </c>
      <c r="J643" s="133"/>
      <c r="K643" s="133"/>
      <c r="L643" s="133"/>
      <c r="M643" s="133"/>
      <c r="N643" s="133"/>
      <c r="O643" s="133"/>
      <c r="P643" s="133"/>
      <c r="Q643" s="133"/>
      <c r="R643" s="133"/>
    </row>
    <row r="644" spans="1:18" ht="14.1" customHeight="1" x14ac:dyDescent="0.25">
      <c r="A644" s="54" t="s">
        <v>193</v>
      </c>
      <c r="B644" s="149" t="s">
        <v>175</v>
      </c>
      <c r="C644" s="125"/>
      <c r="D644" s="149" t="s">
        <v>182</v>
      </c>
      <c r="E644" s="125"/>
      <c r="F644" s="54" t="s">
        <v>194</v>
      </c>
      <c r="G644" s="54" t="s">
        <v>195</v>
      </c>
      <c r="H644" s="149" t="s">
        <v>196</v>
      </c>
      <c r="I644" s="125"/>
      <c r="J644" s="149" t="s">
        <v>197</v>
      </c>
      <c r="K644" s="124"/>
      <c r="L644" s="125"/>
      <c r="M644" s="105" t="s">
        <v>494</v>
      </c>
      <c r="N644" s="105" t="s">
        <v>495</v>
      </c>
      <c r="O644" s="105" t="s">
        <v>496</v>
      </c>
      <c r="P644" s="105" t="s">
        <v>497</v>
      </c>
      <c r="Q644" s="105" t="s">
        <v>498</v>
      </c>
      <c r="R644" s="105" t="s">
        <v>499</v>
      </c>
    </row>
    <row r="645" spans="1:18" ht="21.95" customHeight="1" x14ac:dyDescent="0.25">
      <c r="A645" s="150">
        <f>IF('Calendario D'!A135="","",'Calendario D'!A135)</f>
        <v>173</v>
      </c>
      <c r="B645" s="44" t="str">
        <f>IF('Calendario D'!B135="","",'Calendario D'!B135)</f>
        <v/>
      </c>
      <c r="C645" s="45" t="str">
        <f>IF('Calendario D'!C135="","",'Calendario D'!C135)</f>
        <v/>
      </c>
      <c r="D645" s="44" t="str">
        <f>IF('Calendario D'!D135="","",'Calendario D'!D135)</f>
        <v/>
      </c>
      <c r="E645" s="45" t="str">
        <f>IF('Calendario D'!E135="","",'Calendario D'!E135)</f>
        <v/>
      </c>
      <c r="F645" s="138" t="str">
        <f>IF('Calendario D'!F135="","",'Calendario D'!F135)</f>
        <v/>
      </c>
      <c r="G645" s="124"/>
      <c r="H645" s="124"/>
      <c r="I645" s="125"/>
      <c r="J645" s="202" t="str">
        <f>IF('Calendario D'!J135="","",'Calendario D'!J135)</f>
        <v/>
      </c>
      <c r="K645" s="201" t="s">
        <v>198</v>
      </c>
      <c r="L645" s="202" t="str">
        <f>IF('Calendario D'!L135="","",'Calendario D'!L135)</f>
        <v/>
      </c>
      <c r="M645" s="200"/>
      <c r="N645" s="200"/>
      <c r="O645" s="200"/>
      <c r="P645" s="200"/>
      <c r="Q645" s="200"/>
      <c r="R645" s="200"/>
    </row>
    <row r="646" spans="1:18" ht="15" customHeight="1" x14ac:dyDescent="0.25">
      <c r="A646" s="133"/>
      <c r="B646" s="136" t="str">
        <f>IF('Calendario D'!B136="","",'Calendario D'!B136)</f>
        <v/>
      </c>
      <c r="C646" s="124"/>
      <c r="D646" s="124"/>
      <c r="E646" s="124"/>
      <c r="F646" s="124"/>
      <c r="G646" s="124"/>
      <c r="H646" s="125"/>
      <c r="I646" s="45" t="str">
        <f>IF('Calendario D'!I136="","",'Calendario D'!I136)</f>
        <v/>
      </c>
      <c r="J646" s="133"/>
      <c r="K646" s="133"/>
      <c r="L646" s="133"/>
      <c r="M646" s="133"/>
      <c r="N646" s="133"/>
      <c r="O646" s="133"/>
      <c r="P646" s="133"/>
      <c r="Q646" s="133"/>
      <c r="R646" s="133"/>
    </row>
    <row r="647" spans="1:18" ht="14.1" customHeight="1" x14ac:dyDescent="0.25">
      <c r="A647" s="54" t="s">
        <v>193</v>
      </c>
      <c r="B647" s="149" t="s">
        <v>175</v>
      </c>
      <c r="C647" s="125"/>
      <c r="D647" s="149" t="s">
        <v>182</v>
      </c>
      <c r="E647" s="125"/>
      <c r="F647" s="54" t="s">
        <v>194</v>
      </c>
      <c r="G647" s="54" t="s">
        <v>195</v>
      </c>
      <c r="H647" s="149" t="s">
        <v>196</v>
      </c>
      <c r="I647" s="125"/>
      <c r="J647" s="149" t="s">
        <v>197</v>
      </c>
      <c r="K647" s="124"/>
      <c r="L647" s="125"/>
      <c r="M647" s="105" t="s">
        <v>494</v>
      </c>
      <c r="N647" s="105" t="s">
        <v>495</v>
      </c>
      <c r="O647" s="105" t="s">
        <v>496</v>
      </c>
      <c r="P647" s="105" t="s">
        <v>497</v>
      </c>
      <c r="Q647" s="105" t="s">
        <v>498</v>
      </c>
      <c r="R647" s="105" t="s">
        <v>499</v>
      </c>
    </row>
    <row r="648" spans="1:18" ht="21.95" customHeight="1" x14ac:dyDescent="0.25">
      <c r="A648" s="150">
        <f>IF('Calendario D'!A138="","",'Calendario D'!A138)</f>
        <v>174</v>
      </c>
      <c r="B648" s="44" t="str">
        <f>IF('Calendario D'!B138="","",'Calendario D'!B138)</f>
        <v/>
      </c>
      <c r="C648" s="45" t="str">
        <f>IF('Calendario D'!C138="","",'Calendario D'!C138)</f>
        <v/>
      </c>
      <c r="D648" s="44" t="str">
        <f>IF('Calendario D'!D138="","",'Calendario D'!D138)</f>
        <v/>
      </c>
      <c r="E648" s="45" t="str">
        <f>IF('Calendario D'!E138="","",'Calendario D'!E138)</f>
        <v/>
      </c>
      <c r="F648" s="138" t="str">
        <f>IF('Calendario D'!F138="","",'Calendario D'!F138)</f>
        <v/>
      </c>
      <c r="G648" s="124"/>
      <c r="H648" s="124"/>
      <c r="I648" s="125"/>
      <c r="J648" s="202" t="str">
        <f>IF('Calendario D'!J138="","",'Calendario D'!J138)</f>
        <v/>
      </c>
      <c r="K648" s="201" t="s">
        <v>198</v>
      </c>
      <c r="L648" s="202" t="str">
        <f>IF('Calendario D'!L138="","",'Calendario D'!L138)</f>
        <v/>
      </c>
      <c r="M648" s="200"/>
      <c r="N648" s="200"/>
      <c r="O648" s="200"/>
      <c r="P648" s="200"/>
      <c r="Q648" s="200"/>
      <c r="R648" s="200"/>
    </row>
    <row r="649" spans="1:18" ht="15" customHeight="1" x14ac:dyDescent="0.25">
      <c r="A649" s="133"/>
      <c r="B649" s="136" t="str">
        <f>IF('Calendario D'!B139="","",'Calendario D'!B139)</f>
        <v/>
      </c>
      <c r="C649" s="124"/>
      <c r="D649" s="124"/>
      <c r="E649" s="124"/>
      <c r="F649" s="124"/>
      <c r="G649" s="124"/>
      <c r="H649" s="125"/>
      <c r="I649" s="45" t="str">
        <f>IF('Calendario D'!I139="","",'Calendario D'!I139)</f>
        <v/>
      </c>
      <c r="J649" s="133"/>
      <c r="K649" s="133"/>
      <c r="L649" s="133"/>
      <c r="M649" s="133"/>
      <c r="N649" s="133"/>
      <c r="O649" s="133"/>
      <c r="P649" s="133"/>
      <c r="Q649" s="133"/>
      <c r="R649" s="133"/>
    </row>
    <row r="650" spans="1:18" ht="14.1" customHeight="1" x14ac:dyDescent="0.25">
      <c r="A650" s="54" t="s">
        <v>193</v>
      </c>
      <c r="B650" s="149" t="s">
        <v>175</v>
      </c>
      <c r="C650" s="125"/>
      <c r="D650" s="149" t="s">
        <v>182</v>
      </c>
      <c r="E650" s="125"/>
      <c r="F650" s="54" t="s">
        <v>194</v>
      </c>
      <c r="G650" s="54" t="s">
        <v>195</v>
      </c>
      <c r="H650" s="149" t="s">
        <v>196</v>
      </c>
      <c r="I650" s="125"/>
      <c r="J650" s="149" t="s">
        <v>197</v>
      </c>
      <c r="K650" s="124"/>
      <c r="L650" s="125"/>
      <c r="M650" s="105" t="s">
        <v>494</v>
      </c>
      <c r="N650" s="105" t="s">
        <v>495</v>
      </c>
      <c r="O650" s="105" t="s">
        <v>496</v>
      </c>
      <c r="P650" s="105" t="s">
        <v>497</v>
      </c>
      <c r="Q650" s="105" t="s">
        <v>498</v>
      </c>
      <c r="R650" s="105" t="s">
        <v>499</v>
      </c>
    </row>
    <row r="651" spans="1:18" ht="21.95" customHeight="1" x14ac:dyDescent="0.25">
      <c r="A651" s="150">
        <f>IF('Calendario D'!A141="","",'Calendario D'!A141)</f>
        <v>175</v>
      </c>
      <c r="B651" s="44" t="str">
        <f>IF('Calendario D'!B141="","",'Calendario D'!B141)</f>
        <v/>
      </c>
      <c r="C651" s="45" t="str">
        <f>IF('Calendario D'!C141="","",'Calendario D'!C141)</f>
        <v/>
      </c>
      <c r="D651" s="44" t="str">
        <f>IF('Calendario D'!D141="","",'Calendario D'!D141)</f>
        <v/>
      </c>
      <c r="E651" s="45" t="str">
        <f>IF('Calendario D'!E141="","",'Calendario D'!E141)</f>
        <v/>
      </c>
      <c r="F651" s="138" t="str">
        <f>IF('Calendario D'!F141="","",'Calendario D'!F141)</f>
        <v/>
      </c>
      <c r="G651" s="124"/>
      <c r="H651" s="124"/>
      <c r="I651" s="125"/>
      <c r="J651" s="202" t="str">
        <f>IF('Calendario D'!J141="","",'Calendario D'!J141)</f>
        <v/>
      </c>
      <c r="K651" s="201" t="s">
        <v>198</v>
      </c>
      <c r="L651" s="202" t="str">
        <f>IF('Calendario D'!L141="","",'Calendario D'!L141)</f>
        <v/>
      </c>
      <c r="M651" s="200"/>
      <c r="N651" s="200"/>
      <c r="O651" s="200"/>
      <c r="P651" s="200"/>
      <c r="Q651" s="200"/>
      <c r="R651" s="200"/>
    </row>
    <row r="652" spans="1:18" ht="15" customHeight="1" x14ac:dyDescent="0.25">
      <c r="A652" s="133"/>
      <c r="B652" s="136" t="str">
        <f>IF('Calendario D'!B142="","",'Calendario D'!B142)</f>
        <v/>
      </c>
      <c r="C652" s="124"/>
      <c r="D652" s="124"/>
      <c r="E652" s="124"/>
      <c r="F652" s="124"/>
      <c r="G652" s="124"/>
      <c r="H652" s="125"/>
      <c r="I652" s="45" t="str">
        <f>IF('Calendario D'!I142="","",'Calendario D'!I142)</f>
        <v/>
      </c>
      <c r="J652" s="133"/>
      <c r="K652" s="133"/>
      <c r="L652" s="133"/>
      <c r="M652" s="133"/>
      <c r="N652" s="133"/>
      <c r="O652" s="133"/>
      <c r="P652" s="133"/>
      <c r="Q652" s="133"/>
      <c r="R652" s="133"/>
    </row>
    <row r="654" spans="1:18" ht="20.100000000000001" customHeight="1" x14ac:dyDescent="0.25">
      <c r="A654" s="53" t="str">
        <f>IF('Calendario D'!A144="","",'Calendario D'!A144)</f>
        <v>9D</v>
      </c>
      <c r="B654" s="151" t="str">
        <f>IF('Calendario D'!B144="","",'Calendario D'!B144)</f>
        <v>GIORNATA IX - GIRONE D</v>
      </c>
      <c r="C654" s="124"/>
      <c r="D654" s="124"/>
      <c r="E654" s="124"/>
      <c r="F654" s="124"/>
      <c r="G654" s="124"/>
      <c r="H654" s="124"/>
      <c r="I654" s="124"/>
      <c r="J654" s="124"/>
      <c r="K654" s="124"/>
      <c r="L654" s="125"/>
      <c r="M654" s="208" t="s">
        <v>492</v>
      </c>
      <c r="N654" s="124"/>
      <c r="O654" s="125"/>
      <c r="P654" s="208" t="s">
        <v>493</v>
      </c>
      <c r="Q654" s="124"/>
      <c r="R654" s="125"/>
    </row>
    <row r="655" spans="1:18" ht="14.1" customHeight="1" x14ac:dyDescent="0.25">
      <c r="A655" s="54" t="s">
        <v>193</v>
      </c>
      <c r="B655" s="149" t="s">
        <v>175</v>
      </c>
      <c r="C655" s="125"/>
      <c r="D655" s="149" t="s">
        <v>182</v>
      </c>
      <c r="E655" s="125"/>
      <c r="F655" s="54" t="s">
        <v>194</v>
      </c>
      <c r="G655" s="54" t="s">
        <v>195</v>
      </c>
      <c r="H655" s="149" t="s">
        <v>196</v>
      </c>
      <c r="I655" s="125"/>
      <c r="J655" s="149" t="s">
        <v>197</v>
      </c>
      <c r="K655" s="124"/>
      <c r="L655" s="125"/>
      <c r="M655" s="105" t="s">
        <v>494</v>
      </c>
      <c r="N655" s="105" t="s">
        <v>495</v>
      </c>
      <c r="O655" s="105" t="s">
        <v>496</v>
      </c>
      <c r="P655" s="105" t="s">
        <v>497</v>
      </c>
      <c r="Q655" s="105" t="s">
        <v>498</v>
      </c>
      <c r="R655" s="105" t="s">
        <v>499</v>
      </c>
    </row>
    <row r="656" spans="1:18" ht="21.95" customHeight="1" x14ac:dyDescent="0.25">
      <c r="A656" s="150">
        <f>IF('Calendario D'!A146="","",'Calendario D'!A146)</f>
        <v>176</v>
      </c>
      <c r="B656" s="44" t="str">
        <f>IF('Calendario D'!B146="","",'Calendario D'!B146)</f>
        <v/>
      </c>
      <c r="C656" s="45" t="str">
        <f>IF('Calendario D'!C146="","",'Calendario D'!C146)</f>
        <v/>
      </c>
      <c r="D656" s="44" t="str">
        <f>IF('Calendario D'!D146="","",'Calendario D'!D146)</f>
        <v/>
      </c>
      <c r="E656" s="45" t="str">
        <f>IF('Calendario D'!E146="","",'Calendario D'!E146)</f>
        <v/>
      </c>
      <c r="F656" s="138" t="str">
        <f>IF('Calendario D'!F146="","",'Calendario D'!F146)</f>
        <v/>
      </c>
      <c r="G656" s="124"/>
      <c r="H656" s="124"/>
      <c r="I656" s="125"/>
      <c r="J656" s="202" t="str">
        <f>IF('Calendario D'!J146="","",'Calendario D'!J146)</f>
        <v/>
      </c>
      <c r="K656" s="201" t="s">
        <v>198</v>
      </c>
      <c r="L656" s="202" t="str">
        <f>IF('Calendario D'!L146="","",'Calendario D'!L146)</f>
        <v/>
      </c>
      <c r="M656" s="200"/>
      <c r="N656" s="200"/>
      <c r="O656" s="200"/>
      <c r="P656" s="200"/>
      <c r="Q656" s="200"/>
      <c r="R656" s="200"/>
    </row>
    <row r="657" spans="1:18" ht="15" customHeight="1" x14ac:dyDescent="0.25">
      <c r="A657" s="133"/>
      <c r="B657" s="136" t="str">
        <f>IF('Calendario D'!B147="","",'Calendario D'!B147)</f>
        <v/>
      </c>
      <c r="C657" s="124"/>
      <c r="D657" s="124"/>
      <c r="E657" s="124"/>
      <c r="F657" s="124"/>
      <c r="G657" s="124"/>
      <c r="H657" s="125"/>
      <c r="I657" s="45" t="str">
        <f>IF('Calendario D'!I147="","",'Calendario D'!I147)</f>
        <v/>
      </c>
      <c r="J657" s="133"/>
      <c r="K657" s="133"/>
      <c r="L657" s="133"/>
      <c r="M657" s="133"/>
      <c r="N657" s="133"/>
      <c r="O657" s="133"/>
      <c r="P657" s="133"/>
      <c r="Q657" s="133"/>
      <c r="R657" s="133"/>
    </row>
    <row r="658" spans="1:18" ht="14.1" customHeight="1" x14ac:dyDescent="0.25">
      <c r="A658" s="54" t="s">
        <v>193</v>
      </c>
      <c r="B658" s="149" t="s">
        <v>175</v>
      </c>
      <c r="C658" s="125"/>
      <c r="D658" s="149" t="s">
        <v>182</v>
      </c>
      <c r="E658" s="125"/>
      <c r="F658" s="54" t="s">
        <v>194</v>
      </c>
      <c r="G658" s="54" t="s">
        <v>195</v>
      </c>
      <c r="H658" s="149" t="s">
        <v>196</v>
      </c>
      <c r="I658" s="125"/>
      <c r="J658" s="149" t="s">
        <v>197</v>
      </c>
      <c r="K658" s="124"/>
      <c r="L658" s="125"/>
      <c r="M658" s="105" t="s">
        <v>494</v>
      </c>
      <c r="N658" s="105" t="s">
        <v>495</v>
      </c>
      <c r="O658" s="105" t="s">
        <v>496</v>
      </c>
      <c r="P658" s="105" t="s">
        <v>497</v>
      </c>
      <c r="Q658" s="105" t="s">
        <v>498</v>
      </c>
      <c r="R658" s="105" t="s">
        <v>499</v>
      </c>
    </row>
    <row r="659" spans="1:18" ht="21.95" customHeight="1" x14ac:dyDescent="0.25">
      <c r="A659" s="150">
        <f>IF('Calendario D'!A149="","",'Calendario D'!A149)</f>
        <v>177</v>
      </c>
      <c r="B659" s="44" t="str">
        <f>IF('Calendario D'!B149="","",'Calendario D'!B149)</f>
        <v/>
      </c>
      <c r="C659" s="45" t="str">
        <f>IF('Calendario D'!C149="","",'Calendario D'!C149)</f>
        <v/>
      </c>
      <c r="D659" s="44" t="str">
        <f>IF('Calendario D'!D149="","",'Calendario D'!D149)</f>
        <v/>
      </c>
      <c r="E659" s="45" t="str">
        <f>IF('Calendario D'!E149="","",'Calendario D'!E149)</f>
        <v/>
      </c>
      <c r="F659" s="138" t="str">
        <f>IF('Calendario D'!F149="","",'Calendario D'!F149)</f>
        <v/>
      </c>
      <c r="G659" s="124"/>
      <c r="H659" s="124"/>
      <c r="I659" s="125"/>
      <c r="J659" s="202" t="str">
        <f>IF('Calendario D'!J149="","",'Calendario D'!J149)</f>
        <v/>
      </c>
      <c r="K659" s="201" t="s">
        <v>198</v>
      </c>
      <c r="L659" s="202" t="str">
        <f>IF('Calendario D'!L149="","",'Calendario D'!L149)</f>
        <v/>
      </c>
      <c r="M659" s="200"/>
      <c r="N659" s="200"/>
      <c r="O659" s="200"/>
      <c r="P659" s="200"/>
      <c r="Q659" s="200"/>
      <c r="R659" s="200"/>
    </row>
    <row r="660" spans="1:18" ht="15" customHeight="1" x14ac:dyDescent="0.25">
      <c r="A660" s="133"/>
      <c r="B660" s="136" t="str">
        <f>IF('Calendario D'!B150="","",'Calendario D'!B150)</f>
        <v/>
      </c>
      <c r="C660" s="124"/>
      <c r="D660" s="124"/>
      <c r="E660" s="124"/>
      <c r="F660" s="124"/>
      <c r="G660" s="124"/>
      <c r="H660" s="125"/>
      <c r="I660" s="45" t="str">
        <f>IF('Calendario D'!I150="","",'Calendario D'!I150)</f>
        <v/>
      </c>
      <c r="J660" s="133"/>
      <c r="K660" s="133"/>
      <c r="L660" s="133"/>
      <c r="M660" s="133"/>
      <c r="N660" s="133"/>
      <c r="O660" s="133"/>
      <c r="P660" s="133"/>
      <c r="Q660" s="133"/>
      <c r="R660" s="133"/>
    </row>
    <row r="661" spans="1:18" ht="14.1" customHeight="1" x14ac:dyDescent="0.25">
      <c r="A661" s="54" t="s">
        <v>193</v>
      </c>
      <c r="B661" s="149" t="s">
        <v>175</v>
      </c>
      <c r="C661" s="125"/>
      <c r="D661" s="149" t="s">
        <v>182</v>
      </c>
      <c r="E661" s="125"/>
      <c r="F661" s="54" t="s">
        <v>194</v>
      </c>
      <c r="G661" s="54" t="s">
        <v>195</v>
      </c>
      <c r="H661" s="149" t="s">
        <v>196</v>
      </c>
      <c r="I661" s="125"/>
      <c r="J661" s="149" t="s">
        <v>197</v>
      </c>
      <c r="K661" s="124"/>
      <c r="L661" s="125"/>
      <c r="M661" s="105" t="s">
        <v>494</v>
      </c>
      <c r="N661" s="105" t="s">
        <v>495</v>
      </c>
      <c r="O661" s="105" t="s">
        <v>496</v>
      </c>
      <c r="P661" s="105" t="s">
        <v>497</v>
      </c>
      <c r="Q661" s="105" t="s">
        <v>498</v>
      </c>
      <c r="R661" s="105" t="s">
        <v>499</v>
      </c>
    </row>
    <row r="662" spans="1:18" ht="21.95" customHeight="1" x14ac:dyDescent="0.25">
      <c r="A662" s="150">
        <f>IF('Calendario D'!A152="","",'Calendario D'!A152)</f>
        <v>178</v>
      </c>
      <c r="B662" s="44" t="str">
        <f>IF('Calendario D'!B152="","",'Calendario D'!B152)</f>
        <v/>
      </c>
      <c r="C662" s="45" t="str">
        <f>IF('Calendario D'!C152="","",'Calendario D'!C152)</f>
        <v/>
      </c>
      <c r="D662" s="44" t="str">
        <f>IF('Calendario D'!D152="","",'Calendario D'!D152)</f>
        <v/>
      </c>
      <c r="E662" s="45" t="str">
        <f>IF('Calendario D'!E152="","",'Calendario D'!E152)</f>
        <v/>
      </c>
      <c r="F662" s="138" t="str">
        <f>IF('Calendario D'!F152="","",'Calendario D'!F152)</f>
        <v/>
      </c>
      <c r="G662" s="124"/>
      <c r="H662" s="124"/>
      <c r="I662" s="125"/>
      <c r="J662" s="202" t="str">
        <f>IF('Calendario D'!J152="","",'Calendario D'!J152)</f>
        <v/>
      </c>
      <c r="K662" s="201" t="s">
        <v>198</v>
      </c>
      <c r="L662" s="202" t="str">
        <f>IF('Calendario D'!L152="","",'Calendario D'!L152)</f>
        <v/>
      </c>
      <c r="M662" s="200"/>
      <c r="N662" s="200"/>
      <c r="O662" s="200"/>
      <c r="P662" s="200"/>
      <c r="Q662" s="200"/>
      <c r="R662" s="200"/>
    </row>
    <row r="663" spans="1:18" ht="15" customHeight="1" x14ac:dyDescent="0.25">
      <c r="A663" s="133"/>
      <c r="B663" s="136" t="str">
        <f>IF('Calendario D'!B153="","",'Calendario D'!B153)</f>
        <v/>
      </c>
      <c r="C663" s="124"/>
      <c r="D663" s="124"/>
      <c r="E663" s="124"/>
      <c r="F663" s="124"/>
      <c r="G663" s="124"/>
      <c r="H663" s="125"/>
      <c r="I663" s="45" t="str">
        <f>IF('Calendario D'!I153="","",'Calendario D'!I153)</f>
        <v/>
      </c>
      <c r="J663" s="133"/>
      <c r="K663" s="133"/>
      <c r="L663" s="133"/>
      <c r="M663" s="133"/>
      <c r="N663" s="133"/>
      <c r="O663" s="133"/>
      <c r="P663" s="133"/>
      <c r="Q663" s="133"/>
      <c r="R663" s="133"/>
    </row>
    <row r="664" spans="1:18" ht="14.1" customHeight="1" x14ac:dyDescent="0.25">
      <c r="A664" s="54" t="s">
        <v>193</v>
      </c>
      <c r="B664" s="149" t="s">
        <v>175</v>
      </c>
      <c r="C664" s="125"/>
      <c r="D664" s="149" t="s">
        <v>182</v>
      </c>
      <c r="E664" s="125"/>
      <c r="F664" s="54" t="s">
        <v>194</v>
      </c>
      <c r="G664" s="54" t="s">
        <v>195</v>
      </c>
      <c r="H664" s="149" t="s">
        <v>196</v>
      </c>
      <c r="I664" s="125"/>
      <c r="J664" s="149" t="s">
        <v>197</v>
      </c>
      <c r="K664" s="124"/>
      <c r="L664" s="125"/>
      <c r="M664" s="105" t="s">
        <v>494</v>
      </c>
      <c r="N664" s="105" t="s">
        <v>495</v>
      </c>
      <c r="O664" s="105" t="s">
        <v>496</v>
      </c>
      <c r="P664" s="105" t="s">
        <v>497</v>
      </c>
      <c r="Q664" s="105" t="s">
        <v>498</v>
      </c>
      <c r="R664" s="105" t="s">
        <v>499</v>
      </c>
    </row>
    <row r="665" spans="1:18" ht="21.95" customHeight="1" x14ac:dyDescent="0.25">
      <c r="A665" s="150">
        <f>IF('Calendario D'!A155="","",'Calendario D'!A155)</f>
        <v>179</v>
      </c>
      <c r="B665" s="44" t="str">
        <f>IF('Calendario D'!B155="","",'Calendario D'!B155)</f>
        <v/>
      </c>
      <c r="C665" s="45" t="str">
        <f>IF('Calendario D'!C155="","",'Calendario D'!C155)</f>
        <v/>
      </c>
      <c r="D665" s="44" t="str">
        <f>IF('Calendario D'!D155="","",'Calendario D'!D155)</f>
        <v/>
      </c>
      <c r="E665" s="45" t="str">
        <f>IF('Calendario D'!E155="","",'Calendario D'!E155)</f>
        <v/>
      </c>
      <c r="F665" s="138" t="str">
        <f>IF('Calendario D'!F155="","",'Calendario D'!F155)</f>
        <v/>
      </c>
      <c r="G665" s="124"/>
      <c r="H665" s="124"/>
      <c r="I665" s="125"/>
      <c r="J665" s="202" t="str">
        <f>IF('Calendario D'!J155="","",'Calendario D'!J155)</f>
        <v/>
      </c>
      <c r="K665" s="201" t="s">
        <v>198</v>
      </c>
      <c r="L665" s="202" t="str">
        <f>IF('Calendario D'!L155="","",'Calendario D'!L155)</f>
        <v/>
      </c>
      <c r="M665" s="200"/>
      <c r="N665" s="200"/>
      <c r="O665" s="200"/>
      <c r="P665" s="200"/>
      <c r="Q665" s="200"/>
      <c r="R665" s="200"/>
    </row>
    <row r="666" spans="1:18" ht="15" customHeight="1" x14ac:dyDescent="0.25">
      <c r="A666" s="133"/>
      <c r="B666" s="136" t="str">
        <f>IF('Calendario D'!B156="","",'Calendario D'!B156)</f>
        <v/>
      </c>
      <c r="C666" s="124"/>
      <c r="D666" s="124"/>
      <c r="E666" s="124"/>
      <c r="F666" s="124"/>
      <c r="G666" s="124"/>
      <c r="H666" s="125"/>
      <c r="I666" s="45" t="str">
        <f>IF('Calendario D'!I156="","",'Calendario D'!I156)</f>
        <v/>
      </c>
      <c r="J666" s="133"/>
      <c r="K666" s="133"/>
      <c r="L666" s="133"/>
      <c r="M666" s="133"/>
      <c r="N666" s="133"/>
      <c r="O666" s="133"/>
      <c r="P666" s="133"/>
      <c r="Q666" s="133"/>
      <c r="R666" s="133"/>
    </row>
    <row r="667" spans="1:18" ht="14.1" customHeight="1" x14ac:dyDescent="0.25">
      <c r="A667" s="54" t="s">
        <v>193</v>
      </c>
      <c r="B667" s="149" t="s">
        <v>175</v>
      </c>
      <c r="C667" s="125"/>
      <c r="D667" s="149" t="s">
        <v>182</v>
      </c>
      <c r="E667" s="125"/>
      <c r="F667" s="54" t="s">
        <v>194</v>
      </c>
      <c r="G667" s="54" t="s">
        <v>195</v>
      </c>
      <c r="H667" s="149" t="s">
        <v>196</v>
      </c>
      <c r="I667" s="125"/>
      <c r="J667" s="149" t="s">
        <v>197</v>
      </c>
      <c r="K667" s="124"/>
      <c r="L667" s="125"/>
      <c r="M667" s="105" t="s">
        <v>494</v>
      </c>
      <c r="N667" s="105" t="s">
        <v>495</v>
      </c>
      <c r="O667" s="105" t="s">
        <v>496</v>
      </c>
      <c r="P667" s="105" t="s">
        <v>497</v>
      </c>
      <c r="Q667" s="105" t="s">
        <v>498</v>
      </c>
      <c r="R667" s="105" t="s">
        <v>499</v>
      </c>
    </row>
    <row r="668" spans="1:18" ht="21.95" customHeight="1" x14ac:dyDescent="0.25">
      <c r="A668" s="150">
        <f>IF('Calendario D'!A158="","",'Calendario D'!A158)</f>
        <v>180</v>
      </c>
      <c r="B668" s="44" t="str">
        <f>IF('Calendario D'!B158="","",'Calendario D'!B158)</f>
        <v/>
      </c>
      <c r="C668" s="45" t="str">
        <f>IF('Calendario D'!C158="","",'Calendario D'!C158)</f>
        <v/>
      </c>
      <c r="D668" s="44" t="str">
        <f>IF('Calendario D'!D158="","",'Calendario D'!D158)</f>
        <v/>
      </c>
      <c r="E668" s="45" t="str">
        <f>IF('Calendario D'!E158="","",'Calendario D'!E158)</f>
        <v/>
      </c>
      <c r="F668" s="138" t="str">
        <f>IF('Calendario D'!F158="","",'Calendario D'!F158)</f>
        <v/>
      </c>
      <c r="G668" s="124"/>
      <c r="H668" s="124"/>
      <c r="I668" s="125"/>
      <c r="J668" s="202" t="str">
        <f>IF('Calendario D'!J158="","",'Calendario D'!J158)</f>
        <v/>
      </c>
      <c r="K668" s="201" t="s">
        <v>198</v>
      </c>
      <c r="L668" s="202" t="str">
        <f>IF('Calendario D'!L158="","",'Calendario D'!L158)</f>
        <v/>
      </c>
      <c r="M668" s="200"/>
      <c r="N668" s="200"/>
      <c r="O668" s="200"/>
      <c r="P668" s="200"/>
      <c r="Q668" s="200"/>
      <c r="R668" s="200"/>
    </row>
    <row r="669" spans="1:18" ht="15" customHeight="1" x14ac:dyDescent="0.25">
      <c r="A669" s="133"/>
      <c r="B669" s="136" t="str">
        <f>IF('Calendario D'!B159="","",'Calendario D'!B159)</f>
        <v/>
      </c>
      <c r="C669" s="124"/>
      <c r="D669" s="124"/>
      <c r="E669" s="124"/>
      <c r="F669" s="124"/>
      <c r="G669" s="124"/>
      <c r="H669" s="125"/>
      <c r="I669" s="45" t="str">
        <f>IF('Calendario D'!I159="","",'Calendario D'!I159)</f>
        <v/>
      </c>
      <c r="J669" s="133"/>
      <c r="K669" s="133"/>
      <c r="L669" s="133"/>
      <c r="M669" s="133"/>
      <c r="N669" s="133"/>
      <c r="O669" s="133"/>
      <c r="P669" s="133"/>
      <c r="Q669" s="133"/>
      <c r="R669" s="133"/>
    </row>
    <row r="688" spans="1:18" ht="20.100000000000001" customHeight="1" x14ac:dyDescent="0.25">
      <c r="A688" s="55" t="str">
        <f>IF('Calendario E'!A8="","",'Calendario E'!A8)</f>
        <v>1E</v>
      </c>
      <c r="B688" s="155" t="str">
        <f>IF('Calendario E'!B8="","",'Calendario E'!B8)</f>
        <v>GIORNATA I - GIRONE E</v>
      </c>
      <c r="C688" s="124"/>
      <c r="D688" s="124"/>
      <c r="E688" s="124"/>
      <c r="F688" s="124"/>
      <c r="G688" s="124"/>
      <c r="H688" s="124"/>
      <c r="I688" s="124"/>
      <c r="J688" s="124"/>
      <c r="K688" s="124"/>
      <c r="L688" s="125"/>
      <c r="M688" s="213" t="s">
        <v>492</v>
      </c>
      <c r="N688" s="124"/>
      <c r="O688" s="125"/>
      <c r="P688" s="213" t="s">
        <v>493</v>
      </c>
      <c r="Q688" s="124"/>
      <c r="R688" s="125"/>
    </row>
    <row r="689" spans="1:18" ht="14.1" customHeight="1" x14ac:dyDescent="0.25">
      <c r="A689" s="56" t="s">
        <v>193</v>
      </c>
      <c r="B689" s="153" t="s">
        <v>175</v>
      </c>
      <c r="C689" s="125"/>
      <c r="D689" s="153" t="s">
        <v>182</v>
      </c>
      <c r="E689" s="125"/>
      <c r="F689" s="56" t="s">
        <v>194</v>
      </c>
      <c r="G689" s="56" t="s">
        <v>195</v>
      </c>
      <c r="H689" s="153" t="s">
        <v>196</v>
      </c>
      <c r="I689" s="125"/>
      <c r="J689" s="153" t="s">
        <v>197</v>
      </c>
      <c r="K689" s="124"/>
      <c r="L689" s="125"/>
      <c r="M689" s="106" t="s">
        <v>494</v>
      </c>
      <c r="N689" s="106" t="s">
        <v>495</v>
      </c>
      <c r="O689" s="106" t="s">
        <v>496</v>
      </c>
      <c r="P689" s="106" t="s">
        <v>497</v>
      </c>
      <c r="Q689" s="106" t="s">
        <v>498</v>
      </c>
      <c r="R689" s="106" t="s">
        <v>499</v>
      </c>
    </row>
    <row r="690" spans="1:18" ht="21.95" customHeight="1" x14ac:dyDescent="0.25">
      <c r="A690" s="154">
        <f>IF('Calendario E'!A10="","",'Calendario E'!A10)</f>
        <v>181</v>
      </c>
      <c r="B690" s="44" t="str">
        <f>IF('Calendario E'!B10="","",'Calendario E'!B10)</f>
        <v/>
      </c>
      <c r="C690" s="45" t="str">
        <f>IF('Calendario E'!C10="","",'Calendario E'!C10)</f>
        <v/>
      </c>
      <c r="D690" s="44" t="str">
        <f>IF('Calendario E'!D10="","",'Calendario E'!D10)</f>
        <v/>
      </c>
      <c r="E690" s="45" t="str">
        <f>IF('Calendario E'!E10="","",'Calendario E'!E10)</f>
        <v/>
      </c>
      <c r="F690" s="138" t="str">
        <f>IF('Calendario E'!F10="","",'Calendario E'!F10)</f>
        <v/>
      </c>
      <c r="G690" s="124"/>
      <c r="H690" s="124"/>
      <c r="I690" s="125"/>
      <c r="J690" s="202" t="str">
        <f>IF('Calendario E'!J10="","",'Calendario E'!J10)</f>
        <v/>
      </c>
      <c r="K690" s="201" t="s">
        <v>198</v>
      </c>
      <c r="L690" s="202" t="str">
        <f>IF('Calendario E'!L10="","",'Calendario E'!L10)</f>
        <v/>
      </c>
      <c r="M690" s="200"/>
      <c r="N690" s="200"/>
      <c r="O690" s="200"/>
      <c r="P690" s="200"/>
      <c r="Q690" s="200"/>
      <c r="R690" s="200"/>
    </row>
    <row r="691" spans="1:18" ht="15" customHeight="1" x14ac:dyDescent="0.25">
      <c r="A691" s="133"/>
      <c r="B691" s="136" t="str">
        <f>IF('Calendario E'!B11="","",'Calendario E'!B11)</f>
        <v/>
      </c>
      <c r="C691" s="124"/>
      <c r="D691" s="124"/>
      <c r="E691" s="124"/>
      <c r="F691" s="124"/>
      <c r="G691" s="124"/>
      <c r="H691" s="125"/>
      <c r="I691" s="45" t="str">
        <f>IF('Calendario E'!I11="","",'Calendario E'!I11)</f>
        <v/>
      </c>
      <c r="J691" s="133"/>
      <c r="K691" s="133"/>
      <c r="L691" s="133"/>
      <c r="M691" s="133"/>
      <c r="N691" s="133"/>
      <c r="O691" s="133"/>
      <c r="P691" s="133"/>
      <c r="Q691" s="133"/>
      <c r="R691" s="133"/>
    </row>
    <row r="692" spans="1:18" ht="14.1" customHeight="1" x14ac:dyDescent="0.25">
      <c r="A692" s="56" t="s">
        <v>193</v>
      </c>
      <c r="B692" s="153" t="s">
        <v>175</v>
      </c>
      <c r="C692" s="125"/>
      <c r="D692" s="153" t="s">
        <v>182</v>
      </c>
      <c r="E692" s="125"/>
      <c r="F692" s="56" t="s">
        <v>194</v>
      </c>
      <c r="G692" s="56" t="s">
        <v>195</v>
      </c>
      <c r="H692" s="153" t="s">
        <v>196</v>
      </c>
      <c r="I692" s="125"/>
      <c r="J692" s="153" t="s">
        <v>197</v>
      </c>
      <c r="K692" s="124"/>
      <c r="L692" s="125"/>
      <c r="M692" s="106" t="s">
        <v>494</v>
      </c>
      <c r="N692" s="106" t="s">
        <v>495</v>
      </c>
      <c r="O692" s="106" t="s">
        <v>496</v>
      </c>
      <c r="P692" s="106" t="s">
        <v>497</v>
      </c>
      <c r="Q692" s="106" t="s">
        <v>498</v>
      </c>
      <c r="R692" s="106" t="s">
        <v>499</v>
      </c>
    </row>
    <row r="693" spans="1:18" ht="21.95" customHeight="1" x14ac:dyDescent="0.25">
      <c r="A693" s="154">
        <f>IF('Calendario E'!A13="","",'Calendario E'!A13)</f>
        <v>182</v>
      </c>
      <c r="B693" s="44" t="str">
        <f>IF('Calendario E'!B13="","",'Calendario E'!B13)</f>
        <v/>
      </c>
      <c r="C693" s="45" t="str">
        <f>IF('Calendario E'!C13="","",'Calendario E'!C13)</f>
        <v/>
      </c>
      <c r="D693" s="44" t="str">
        <f>IF('Calendario E'!D13="","",'Calendario E'!D13)</f>
        <v/>
      </c>
      <c r="E693" s="45" t="str">
        <f>IF('Calendario E'!E13="","",'Calendario E'!E13)</f>
        <v/>
      </c>
      <c r="F693" s="138" t="str">
        <f>IF('Calendario E'!F13="","",'Calendario E'!F13)</f>
        <v/>
      </c>
      <c r="G693" s="124"/>
      <c r="H693" s="124"/>
      <c r="I693" s="125"/>
      <c r="J693" s="202" t="str">
        <f>IF('Calendario E'!J13="","",'Calendario E'!J13)</f>
        <v/>
      </c>
      <c r="K693" s="201" t="s">
        <v>198</v>
      </c>
      <c r="L693" s="202" t="str">
        <f>IF('Calendario E'!L13="","",'Calendario E'!L13)</f>
        <v/>
      </c>
      <c r="M693" s="200"/>
      <c r="N693" s="200"/>
      <c r="O693" s="200"/>
      <c r="P693" s="200"/>
      <c r="Q693" s="200"/>
      <c r="R693" s="200"/>
    </row>
    <row r="694" spans="1:18" ht="15" customHeight="1" x14ac:dyDescent="0.25">
      <c r="A694" s="133"/>
      <c r="B694" s="136" t="str">
        <f>IF('Calendario E'!B14="","",'Calendario E'!B14)</f>
        <v/>
      </c>
      <c r="C694" s="124"/>
      <c r="D694" s="124"/>
      <c r="E694" s="124"/>
      <c r="F694" s="124"/>
      <c r="G694" s="124"/>
      <c r="H694" s="125"/>
      <c r="I694" s="45" t="str">
        <f>IF('Calendario E'!I14="","",'Calendario E'!I14)</f>
        <v/>
      </c>
      <c r="J694" s="133"/>
      <c r="K694" s="133"/>
      <c r="L694" s="133"/>
      <c r="M694" s="133"/>
      <c r="N694" s="133"/>
      <c r="O694" s="133"/>
      <c r="P694" s="133"/>
      <c r="Q694" s="133"/>
      <c r="R694" s="133"/>
    </row>
    <row r="695" spans="1:18" ht="14.1" customHeight="1" x14ac:dyDescent="0.25">
      <c r="A695" s="56" t="s">
        <v>193</v>
      </c>
      <c r="B695" s="153" t="s">
        <v>175</v>
      </c>
      <c r="C695" s="125"/>
      <c r="D695" s="153" t="s">
        <v>182</v>
      </c>
      <c r="E695" s="125"/>
      <c r="F695" s="56" t="s">
        <v>194</v>
      </c>
      <c r="G695" s="56" t="s">
        <v>195</v>
      </c>
      <c r="H695" s="153" t="s">
        <v>196</v>
      </c>
      <c r="I695" s="125"/>
      <c r="J695" s="153" t="s">
        <v>197</v>
      </c>
      <c r="K695" s="124"/>
      <c r="L695" s="125"/>
      <c r="M695" s="106" t="s">
        <v>494</v>
      </c>
      <c r="N695" s="106" t="s">
        <v>495</v>
      </c>
      <c r="O695" s="106" t="s">
        <v>496</v>
      </c>
      <c r="P695" s="106" t="s">
        <v>497</v>
      </c>
      <c r="Q695" s="106" t="s">
        <v>498</v>
      </c>
      <c r="R695" s="106" t="s">
        <v>499</v>
      </c>
    </row>
    <row r="696" spans="1:18" ht="21.95" customHeight="1" x14ac:dyDescent="0.25">
      <c r="A696" s="154">
        <f>IF('Calendario E'!A16="","",'Calendario E'!A16)</f>
        <v>183</v>
      </c>
      <c r="B696" s="44" t="str">
        <f>IF('Calendario E'!B16="","",'Calendario E'!B16)</f>
        <v/>
      </c>
      <c r="C696" s="45" t="str">
        <f>IF('Calendario E'!C16="","",'Calendario E'!C16)</f>
        <v/>
      </c>
      <c r="D696" s="44" t="str">
        <f>IF('Calendario E'!D16="","",'Calendario E'!D16)</f>
        <v/>
      </c>
      <c r="E696" s="45" t="str">
        <f>IF('Calendario E'!E16="","",'Calendario E'!E16)</f>
        <v/>
      </c>
      <c r="F696" s="138" t="str">
        <f>IF('Calendario E'!F16="","",'Calendario E'!F16)</f>
        <v/>
      </c>
      <c r="G696" s="124"/>
      <c r="H696" s="124"/>
      <c r="I696" s="125"/>
      <c r="J696" s="202" t="str">
        <f>IF('Calendario E'!J16="","",'Calendario E'!J16)</f>
        <v/>
      </c>
      <c r="K696" s="201" t="s">
        <v>198</v>
      </c>
      <c r="L696" s="202" t="str">
        <f>IF('Calendario E'!L16="","",'Calendario E'!L16)</f>
        <v/>
      </c>
      <c r="M696" s="200"/>
      <c r="N696" s="200"/>
      <c r="O696" s="200"/>
      <c r="P696" s="200"/>
      <c r="Q696" s="200"/>
      <c r="R696" s="200"/>
    </row>
    <row r="697" spans="1:18" ht="15" customHeight="1" x14ac:dyDescent="0.25">
      <c r="A697" s="133"/>
      <c r="B697" s="136" t="str">
        <f>IF('Calendario E'!B17="","",'Calendario E'!B17)</f>
        <v/>
      </c>
      <c r="C697" s="124"/>
      <c r="D697" s="124"/>
      <c r="E697" s="124"/>
      <c r="F697" s="124"/>
      <c r="G697" s="124"/>
      <c r="H697" s="125"/>
      <c r="I697" s="45" t="str">
        <f>IF('Calendario E'!I17="","",'Calendario E'!I17)</f>
        <v/>
      </c>
      <c r="J697" s="133"/>
      <c r="K697" s="133"/>
      <c r="L697" s="133"/>
      <c r="M697" s="133"/>
      <c r="N697" s="133"/>
      <c r="O697" s="133"/>
      <c r="P697" s="133"/>
      <c r="Q697" s="133"/>
      <c r="R697" s="133"/>
    </row>
    <row r="698" spans="1:18" ht="14.1" customHeight="1" x14ac:dyDescent="0.25">
      <c r="A698" s="56" t="s">
        <v>193</v>
      </c>
      <c r="B698" s="153" t="s">
        <v>175</v>
      </c>
      <c r="C698" s="125"/>
      <c r="D698" s="153" t="s">
        <v>182</v>
      </c>
      <c r="E698" s="125"/>
      <c r="F698" s="56" t="s">
        <v>194</v>
      </c>
      <c r="G698" s="56" t="s">
        <v>195</v>
      </c>
      <c r="H698" s="153" t="s">
        <v>196</v>
      </c>
      <c r="I698" s="125"/>
      <c r="J698" s="153" t="s">
        <v>197</v>
      </c>
      <c r="K698" s="124"/>
      <c r="L698" s="125"/>
      <c r="M698" s="106" t="s">
        <v>494</v>
      </c>
      <c r="N698" s="106" t="s">
        <v>495</v>
      </c>
      <c r="O698" s="106" t="s">
        <v>496</v>
      </c>
      <c r="P698" s="106" t="s">
        <v>497</v>
      </c>
      <c r="Q698" s="106" t="s">
        <v>498</v>
      </c>
      <c r="R698" s="106" t="s">
        <v>499</v>
      </c>
    </row>
    <row r="699" spans="1:18" ht="21.95" customHeight="1" x14ac:dyDescent="0.25">
      <c r="A699" s="154">
        <f>IF('Calendario E'!A19="","",'Calendario E'!A19)</f>
        <v>184</v>
      </c>
      <c r="B699" s="44" t="str">
        <f>IF('Calendario E'!B19="","",'Calendario E'!B19)</f>
        <v/>
      </c>
      <c r="C699" s="45" t="str">
        <f>IF('Calendario E'!C19="","",'Calendario E'!C19)</f>
        <v/>
      </c>
      <c r="D699" s="44" t="str">
        <f>IF('Calendario E'!D19="","",'Calendario E'!D19)</f>
        <v/>
      </c>
      <c r="E699" s="45" t="str">
        <f>IF('Calendario E'!E19="","",'Calendario E'!E19)</f>
        <v/>
      </c>
      <c r="F699" s="138" t="str">
        <f>IF('Calendario E'!F19="","",'Calendario E'!F19)</f>
        <v/>
      </c>
      <c r="G699" s="124"/>
      <c r="H699" s="124"/>
      <c r="I699" s="125"/>
      <c r="J699" s="202" t="str">
        <f>IF('Calendario E'!J19="","",'Calendario E'!J19)</f>
        <v/>
      </c>
      <c r="K699" s="201" t="s">
        <v>198</v>
      </c>
      <c r="L699" s="202" t="str">
        <f>IF('Calendario E'!L19="","",'Calendario E'!L19)</f>
        <v/>
      </c>
      <c r="M699" s="200"/>
      <c r="N699" s="200"/>
      <c r="O699" s="200"/>
      <c r="P699" s="200"/>
      <c r="Q699" s="200"/>
      <c r="R699" s="200"/>
    </row>
    <row r="700" spans="1:18" ht="15" customHeight="1" x14ac:dyDescent="0.25">
      <c r="A700" s="133"/>
      <c r="B700" s="136" t="str">
        <f>IF('Calendario E'!B20="","",'Calendario E'!B20)</f>
        <v/>
      </c>
      <c r="C700" s="124"/>
      <c r="D700" s="124"/>
      <c r="E700" s="124"/>
      <c r="F700" s="124"/>
      <c r="G700" s="124"/>
      <c r="H700" s="125"/>
      <c r="I700" s="45" t="str">
        <f>IF('Calendario E'!I20="","",'Calendario E'!I20)</f>
        <v/>
      </c>
      <c r="J700" s="133"/>
      <c r="K700" s="133"/>
      <c r="L700" s="133"/>
      <c r="M700" s="133"/>
      <c r="N700" s="133"/>
      <c r="O700" s="133"/>
      <c r="P700" s="133"/>
      <c r="Q700" s="133"/>
      <c r="R700" s="133"/>
    </row>
    <row r="701" spans="1:18" ht="14.1" customHeight="1" x14ac:dyDescent="0.25">
      <c r="A701" s="56" t="s">
        <v>193</v>
      </c>
      <c r="B701" s="153" t="s">
        <v>175</v>
      </c>
      <c r="C701" s="125"/>
      <c r="D701" s="153" t="s">
        <v>182</v>
      </c>
      <c r="E701" s="125"/>
      <c r="F701" s="56" t="s">
        <v>194</v>
      </c>
      <c r="G701" s="56" t="s">
        <v>195</v>
      </c>
      <c r="H701" s="153" t="s">
        <v>196</v>
      </c>
      <c r="I701" s="125"/>
      <c r="J701" s="153" t="s">
        <v>197</v>
      </c>
      <c r="K701" s="124"/>
      <c r="L701" s="125"/>
      <c r="M701" s="106" t="s">
        <v>494</v>
      </c>
      <c r="N701" s="106" t="s">
        <v>495</v>
      </c>
      <c r="O701" s="106" t="s">
        <v>496</v>
      </c>
      <c r="P701" s="106" t="s">
        <v>497</v>
      </c>
      <c r="Q701" s="106" t="s">
        <v>498</v>
      </c>
      <c r="R701" s="106" t="s">
        <v>499</v>
      </c>
    </row>
    <row r="702" spans="1:18" ht="21.95" customHeight="1" x14ac:dyDescent="0.25">
      <c r="A702" s="154">
        <f>IF('Calendario E'!A22="","",'Calendario E'!A22)</f>
        <v>185</v>
      </c>
      <c r="B702" s="44" t="str">
        <f>IF('Calendario E'!B22="","",'Calendario E'!B22)</f>
        <v/>
      </c>
      <c r="C702" s="45" t="str">
        <f>IF('Calendario E'!C22="","",'Calendario E'!C22)</f>
        <v/>
      </c>
      <c r="D702" s="44" t="str">
        <f>IF('Calendario E'!D22="","",'Calendario E'!D22)</f>
        <v/>
      </c>
      <c r="E702" s="45" t="str">
        <f>IF('Calendario E'!E22="","",'Calendario E'!E22)</f>
        <v/>
      </c>
      <c r="F702" s="138" t="str">
        <f>IF('Calendario E'!F22="","",'Calendario E'!F22)</f>
        <v/>
      </c>
      <c r="G702" s="124"/>
      <c r="H702" s="124"/>
      <c r="I702" s="125"/>
      <c r="J702" s="202" t="str">
        <f>IF('Calendario E'!J22="","",'Calendario E'!J22)</f>
        <v/>
      </c>
      <c r="K702" s="201" t="s">
        <v>198</v>
      </c>
      <c r="L702" s="202" t="str">
        <f>IF('Calendario E'!L22="","",'Calendario E'!L22)</f>
        <v/>
      </c>
      <c r="M702" s="200"/>
      <c r="N702" s="200"/>
      <c r="O702" s="200"/>
      <c r="P702" s="200"/>
      <c r="Q702" s="200"/>
      <c r="R702" s="200"/>
    </row>
    <row r="703" spans="1:18" ht="15" customHeight="1" x14ac:dyDescent="0.25">
      <c r="A703" s="133"/>
      <c r="B703" s="136" t="str">
        <f>IF('Calendario E'!B23="","",'Calendario E'!B23)</f>
        <v/>
      </c>
      <c r="C703" s="124"/>
      <c r="D703" s="124"/>
      <c r="E703" s="124"/>
      <c r="F703" s="124"/>
      <c r="G703" s="124"/>
      <c r="H703" s="125"/>
      <c r="I703" s="45" t="str">
        <f>IF('Calendario E'!I23="","",'Calendario E'!I23)</f>
        <v/>
      </c>
      <c r="J703" s="133"/>
      <c r="K703" s="133"/>
      <c r="L703" s="133"/>
      <c r="M703" s="133"/>
      <c r="N703" s="133"/>
      <c r="O703" s="133"/>
      <c r="P703" s="133"/>
      <c r="Q703" s="133"/>
      <c r="R703" s="133"/>
    </row>
    <row r="705" spans="1:18" ht="20.100000000000001" customHeight="1" x14ac:dyDescent="0.25">
      <c r="A705" s="55" t="str">
        <f>IF('Calendario E'!A25="","",'Calendario E'!A25)</f>
        <v>2E</v>
      </c>
      <c r="B705" s="155" t="str">
        <f>IF('Calendario E'!B25="","",'Calendario E'!B25)</f>
        <v>GIORNATA II - GIRONE E</v>
      </c>
      <c r="C705" s="124"/>
      <c r="D705" s="124"/>
      <c r="E705" s="124"/>
      <c r="F705" s="124"/>
      <c r="G705" s="124"/>
      <c r="H705" s="124"/>
      <c r="I705" s="124"/>
      <c r="J705" s="124"/>
      <c r="K705" s="124"/>
      <c r="L705" s="125"/>
      <c r="M705" s="213" t="s">
        <v>492</v>
      </c>
      <c r="N705" s="124"/>
      <c r="O705" s="125"/>
      <c r="P705" s="213" t="s">
        <v>493</v>
      </c>
      <c r="Q705" s="124"/>
      <c r="R705" s="125"/>
    </row>
    <row r="706" spans="1:18" ht="14.1" customHeight="1" x14ac:dyDescent="0.25">
      <c r="A706" s="56" t="s">
        <v>193</v>
      </c>
      <c r="B706" s="153" t="s">
        <v>175</v>
      </c>
      <c r="C706" s="125"/>
      <c r="D706" s="153" t="s">
        <v>182</v>
      </c>
      <c r="E706" s="125"/>
      <c r="F706" s="56" t="s">
        <v>194</v>
      </c>
      <c r="G706" s="56" t="s">
        <v>195</v>
      </c>
      <c r="H706" s="153" t="s">
        <v>196</v>
      </c>
      <c r="I706" s="125"/>
      <c r="J706" s="153" t="s">
        <v>197</v>
      </c>
      <c r="K706" s="124"/>
      <c r="L706" s="125"/>
      <c r="M706" s="106" t="s">
        <v>494</v>
      </c>
      <c r="N706" s="106" t="s">
        <v>495</v>
      </c>
      <c r="O706" s="106" t="s">
        <v>496</v>
      </c>
      <c r="P706" s="106" t="s">
        <v>497</v>
      </c>
      <c r="Q706" s="106" t="s">
        <v>498</v>
      </c>
      <c r="R706" s="106" t="s">
        <v>499</v>
      </c>
    </row>
    <row r="707" spans="1:18" ht="21.95" customHeight="1" x14ac:dyDescent="0.25">
      <c r="A707" s="154">
        <f>IF('Calendario E'!A27="","",'Calendario E'!A27)</f>
        <v>186</v>
      </c>
      <c r="B707" s="44" t="str">
        <f>IF('Calendario E'!B27="","",'Calendario E'!B27)</f>
        <v/>
      </c>
      <c r="C707" s="45" t="str">
        <f>IF('Calendario E'!C27="","",'Calendario E'!C27)</f>
        <v/>
      </c>
      <c r="D707" s="44" t="str">
        <f>IF('Calendario E'!D27="","",'Calendario E'!D27)</f>
        <v/>
      </c>
      <c r="E707" s="45" t="str">
        <f>IF('Calendario E'!E27="","",'Calendario E'!E27)</f>
        <v/>
      </c>
      <c r="F707" s="138" t="str">
        <f>IF('Calendario E'!F27="","",'Calendario E'!F27)</f>
        <v/>
      </c>
      <c r="G707" s="124"/>
      <c r="H707" s="124"/>
      <c r="I707" s="125"/>
      <c r="J707" s="202" t="str">
        <f>IF('Calendario E'!J27="","",'Calendario E'!J27)</f>
        <v/>
      </c>
      <c r="K707" s="201" t="s">
        <v>198</v>
      </c>
      <c r="L707" s="202" t="str">
        <f>IF('Calendario E'!L27="","",'Calendario E'!L27)</f>
        <v/>
      </c>
      <c r="M707" s="200"/>
      <c r="N707" s="200"/>
      <c r="O707" s="200"/>
      <c r="P707" s="200"/>
      <c r="Q707" s="200"/>
      <c r="R707" s="200"/>
    </row>
    <row r="708" spans="1:18" ht="15" customHeight="1" x14ac:dyDescent="0.25">
      <c r="A708" s="133"/>
      <c r="B708" s="136" t="str">
        <f>IF('Calendario E'!B28="","",'Calendario E'!B28)</f>
        <v/>
      </c>
      <c r="C708" s="124"/>
      <c r="D708" s="124"/>
      <c r="E708" s="124"/>
      <c r="F708" s="124"/>
      <c r="G708" s="124"/>
      <c r="H708" s="125"/>
      <c r="I708" s="45" t="str">
        <f>IF('Calendario E'!I28="","",'Calendario E'!I28)</f>
        <v/>
      </c>
      <c r="J708" s="133"/>
      <c r="K708" s="133"/>
      <c r="L708" s="133"/>
      <c r="M708" s="133"/>
      <c r="N708" s="133"/>
      <c r="O708" s="133"/>
      <c r="P708" s="133"/>
      <c r="Q708" s="133"/>
      <c r="R708" s="133"/>
    </row>
    <row r="709" spans="1:18" ht="14.1" customHeight="1" x14ac:dyDescent="0.25">
      <c r="A709" s="56" t="s">
        <v>193</v>
      </c>
      <c r="B709" s="153" t="s">
        <v>175</v>
      </c>
      <c r="C709" s="125"/>
      <c r="D709" s="153" t="s">
        <v>182</v>
      </c>
      <c r="E709" s="125"/>
      <c r="F709" s="56" t="s">
        <v>194</v>
      </c>
      <c r="G709" s="56" t="s">
        <v>195</v>
      </c>
      <c r="H709" s="153" t="s">
        <v>196</v>
      </c>
      <c r="I709" s="125"/>
      <c r="J709" s="153" t="s">
        <v>197</v>
      </c>
      <c r="K709" s="124"/>
      <c r="L709" s="125"/>
      <c r="M709" s="106" t="s">
        <v>494</v>
      </c>
      <c r="N709" s="106" t="s">
        <v>495</v>
      </c>
      <c r="O709" s="106" t="s">
        <v>496</v>
      </c>
      <c r="P709" s="106" t="s">
        <v>497</v>
      </c>
      <c r="Q709" s="106" t="s">
        <v>498</v>
      </c>
      <c r="R709" s="106" t="s">
        <v>499</v>
      </c>
    </row>
    <row r="710" spans="1:18" ht="21.95" customHeight="1" x14ac:dyDescent="0.25">
      <c r="A710" s="154">
        <f>IF('Calendario E'!A30="","",'Calendario E'!A30)</f>
        <v>187</v>
      </c>
      <c r="B710" s="44" t="str">
        <f>IF('Calendario E'!B30="","",'Calendario E'!B30)</f>
        <v/>
      </c>
      <c r="C710" s="45" t="str">
        <f>IF('Calendario E'!C30="","",'Calendario E'!C30)</f>
        <v/>
      </c>
      <c r="D710" s="44" t="str">
        <f>IF('Calendario E'!D30="","",'Calendario E'!D30)</f>
        <v/>
      </c>
      <c r="E710" s="45" t="str">
        <f>IF('Calendario E'!E30="","",'Calendario E'!E30)</f>
        <v/>
      </c>
      <c r="F710" s="138" t="str">
        <f>IF('Calendario E'!F30="","",'Calendario E'!F30)</f>
        <v/>
      </c>
      <c r="G710" s="124"/>
      <c r="H710" s="124"/>
      <c r="I710" s="125"/>
      <c r="J710" s="202" t="str">
        <f>IF('Calendario E'!J30="","",'Calendario E'!J30)</f>
        <v/>
      </c>
      <c r="K710" s="201" t="s">
        <v>198</v>
      </c>
      <c r="L710" s="202" t="str">
        <f>IF('Calendario E'!L30="","",'Calendario E'!L30)</f>
        <v/>
      </c>
      <c r="M710" s="200"/>
      <c r="N710" s="200"/>
      <c r="O710" s="200"/>
      <c r="P710" s="200"/>
      <c r="Q710" s="200"/>
      <c r="R710" s="200"/>
    </row>
    <row r="711" spans="1:18" ht="15" customHeight="1" x14ac:dyDescent="0.25">
      <c r="A711" s="133"/>
      <c r="B711" s="136" t="str">
        <f>IF('Calendario E'!B31="","",'Calendario E'!B31)</f>
        <v/>
      </c>
      <c r="C711" s="124"/>
      <c r="D711" s="124"/>
      <c r="E711" s="124"/>
      <c r="F711" s="124"/>
      <c r="G711" s="124"/>
      <c r="H711" s="125"/>
      <c r="I711" s="45" t="str">
        <f>IF('Calendario E'!I31="","",'Calendario E'!I31)</f>
        <v/>
      </c>
      <c r="J711" s="133"/>
      <c r="K711" s="133"/>
      <c r="L711" s="133"/>
      <c r="M711" s="133"/>
      <c r="N711" s="133"/>
      <c r="O711" s="133"/>
      <c r="P711" s="133"/>
      <c r="Q711" s="133"/>
      <c r="R711" s="133"/>
    </row>
    <row r="712" spans="1:18" ht="14.1" customHeight="1" x14ac:dyDescent="0.25">
      <c r="A712" s="56" t="s">
        <v>193</v>
      </c>
      <c r="B712" s="153" t="s">
        <v>175</v>
      </c>
      <c r="C712" s="125"/>
      <c r="D712" s="153" t="s">
        <v>182</v>
      </c>
      <c r="E712" s="125"/>
      <c r="F712" s="56" t="s">
        <v>194</v>
      </c>
      <c r="G712" s="56" t="s">
        <v>195</v>
      </c>
      <c r="H712" s="153" t="s">
        <v>196</v>
      </c>
      <c r="I712" s="125"/>
      <c r="J712" s="153" t="s">
        <v>197</v>
      </c>
      <c r="K712" s="124"/>
      <c r="L712" s="125"/>
      <c r="M712" s="106" t="s">
        <v>494</v>
      </c>
      <c r="N712" s="106" t="s">
        <v>495</v>
      </c>
      <c r="O712" s="106" t="s">
        <v>496</v>
      </c>
      <c r="P712" s="106" t="s">
        <v>497</v>
      </c>
      <c r="Q712" s="106" t="s">
        <v>498</v>
      </c>
      <c r="R712" s="106" t="s">
        <v>499</v>
      </c>
    </row>
    <row r="713" spans="1:18" ht="21.95" customHeight="1" x14ac:dyDescent="0.25">
      <c r="A713" s="154">
        <f>IF('Calendario E'!A33="","",'Calendario E'!A33)</f>
        <v>188</v>
      </c>
      <c r="B713" s="44" t="str">
        <f>IF('Calendario E'!B33="","",'Calendario E'!B33)</f>
        <v/>
      </c>
      <c r="C713" s="45" t="str">
        <f>IF('Calendario E'!C33="","",'Calendario E'!C33)</f>
        <v/>
      </c>
      <c r="D713" s="44" t="str">
        <f>IF('Calendario E'!D33="","",'Calendario E'!D33)</f>
        <v/>
      </c>
      <c r="E713" s="45" t="str">
        <f>IF('Calendario E'!E33="","",'Calendario E'!E33)</f>
        <v/>
      </c>
      <c r="F713" s="138" t="str">
        <f>IF('Calendario E'!F33="","",'Calendario E'!F33)</f>
        <v/>
      </c>
      <c r="G713" s="124"/>
      <c r="H713" s="124"/>
      <c r="I713" s="125"/>
      <c r="J713" s="202" t="str">
        <f>IF('Calendario E'!J33="","",'Calendario E'!J33)</f>
        <v/>
      </c>
      <c r="K713" s="201" t="s">
        <v>198</v>
      </c>
      <c r="L713" s="202" t="str">
        <f>IF('Calendario E'!L33="","",'Calendario E'!L33)</f>
        <v/>
      </c>
      <c r="M713" s="200"/>
      <c r="N713" s="200"/>
      <c r="O713" s="200"/>
      <c r="P713" s="200"/>
      <c r="Q713" s="200"/>
      <c r="R713" s="200"/>
    </row>
    <row r="714" spans="1:18" ht="15" customHeight="1" x14ac:dyDescent="0.25">
      <c r="A714" s="133"/>
      <c r="B714" s="136" t="str">
        <f>IF('Calendario E'!B34="","",'Calendario E'!B34)</f>
        <v/>
      </c>
      <c r="C714" s="124"/>
      <c r="D714" s="124"/>
      <c r="E714" s="124"/>
      <c r="F714" s="124"/>
      <c r="G714" s="124"/>
      <c r="H714" s="125"/>
      <c r="I714" s="45" t="str">
        <f>IF('Calendario E'!I34="","",'Calendario E'!I34)</f>
        <v/>
      </c>
      <c r="J714" s="133"/>
      <c r="K714" s="133"/>
      <c r="L714" s="133"/>
      <c r="M714" s="133"/>
      <c r="N714" s="133"/>
      <c r="O714" s="133"/>
      <c r="P714" s="133"/>
      <c r="Q714" s="133"/>
      <c r="R714" s="133"/>
    </row>
    <row r="715" spans="1:18" ht="14.1" customHeight="1" x14ac:dyDescent="0.25">
      <c r="A715" s="56" t="s">
        <v>193</v>
      </c>
      <c r="B715" s="153" t="s">
        <v>175</v>
      </c>
      <c r="C715" s="125"/>
      <c r="D715" s="153" t="s">
        <v>182</v>
      </c>
      <c r="E715" s="125"/>
      <c r="F715" s="56" t="s">
        <v>194</v>
      </c>
      <c r="G715" s="56" t="s">
        <v>195</v>
      </c>
      <c r="H715" s="153" t="s">
        <v>196</v>
      </c>
      <c r="I715" s="125"/>
      <c r="J715" s="153" t="s">
        <v>197</v>
      </c>
      <c r="K715" s="124"/>
      <c r="L715" s="125"/>
      <c r="M715" s="106" t="s">
        <v>494</v>
      </c>
      <c r="N715" s="106" t="s">
        <v>495</v>
      </c>
      <c r="O715" s="106" t="s">
        <v>496</v>
      </c>
      <c r="P715" s="106" t="s">
        <v>497</v>
      </c>
      <c r="Q715" s="106" t="s">
        <v>498</v>
      </c>
      <c r="R715" s="106" t="s">
        <v>499</v>
      </c>
    </row>
    <row r="716" spans="1:18" ht="21.95" customHeight="1" x14ac:dyDescent="0.25">
      <c r="A716" s="154">
        <f>IF('Calendario E'!A36="","",'Calendario E'!A36)</f>
        <v>189</v>
      </c>
      <c r="B716" s="44" t="str">
        <f>IF('Calendario E'!B36="","",'Calendario E'!B36)</f>
        <v/>
      </c>
      <c r="C716" s="45" t="str">
        <f>IF('Calendario E'!C36="","",'Calendario E'!C36)</f>
        <v/>
      </c>
      <c r="D716" s="44" t="str">
        <f>IF('Calendario E'!D36="","",'Calendario E'!D36)</f>
        <v/>
      </c>
      <c r="E716" s="45" t="str">
        <f>IF('Calendario E'!E36="","",'Calendario E'!E36)</f>
        <v/>
      </c>
      <c r="F716" s="138" t="str">
        <f>IF('Calendario E'!F36="","",'Calendario E'!F36)</f>
        <v/>
      </c>
      <c r="G716" s="124"/>
      <c r="H716" s="124"/>
      <c r="I716" s="125"/>
      <c r="J716" s="202" t="str">
        <f>IF('Calendario E'!J36="","",'Calendario E'!J36)</f>
        <v/>
      </c>
      <c r="K716" s="201" t="s">
        <v>198</v>
      </c>
      <c r="L716" s="202" t="str">
        <f>IF('Calendario E'!L36="","",'Calendario E'!L36)</f>
        <v/>
      </c>
      <c r="M716" s="200"/>
      <c r="N716" s="200"/>
      <c r="O716" s="200"/>
      <c r="P716" s="200"/>
      <c r="Q716" s="200"/>
      <c r="R716" s="200"/>
    </row>
    <row r="717" spans="1:18" ht="15" customHeight="1" x14ac:dyDescent="0.25">
      <c r="A717" s="133"/>
      <c r="B717" s="136" t="str">
        <f>IF('Calendario E'!B37="","",'Calendario E'!B37)</f>
        <v/>
      </c>
      <c r="C717" s="124"/>
      <c r="D717" s="124"/>
      <c r="E717" s="124"/>
      <c r="F717" s="124"/>
      <c r="G717" s="124"/>
      <c r="H717" s="125"/>
      <c r="I717" s="45" t="str">
        <f>IF('Calendario E'!I37="","",'Calendario E'!I37)</f>
        <v/>
      </c>
      <c r="J717" s="133"/>
      <c r="K717" s="133"/>
      <c r="L717" s="133"/>
      <c r="M717" s="133"/>
      <c r="N717" s="133"/>
      <c r="O717" s="133"/>
      <c r="P717" s="133"/>
      <c r="Q717" s="133"/>
      <c r="R717" s="133"/>
    </row>
    <row r="718" spans="1:18" ht="14.1" customHeight="1" x14ac:dyDescent="0.25">
      <c r="A718" s="56" t="s">
        <v>193</v>
      </c>
      <c r="B718" s="153" t="s">
        <v>175</v>
      </c>
      <c r="C718" s="125"/>
      <c r="D718" s="153" t="s">
        <v>182</v>
      </c>
      <c r="E718" s="125"/>
      <c r="F718" s="56" t="s">
        <v>194</v>
      </c>
      <c r="G718" s="56" t="s">
        <v>195</v>
      </c>
      <c r="H718" s="153" t="s">
        <v>196</v>
      </c>
      <c r="I718" s="125"/>
      <c r="J718" s="153" t="s">
        <v>197</v>
      </c>
      <c r="K718" s="124"/>
      <c r="L718" s="125"/>
      <c r="M718" s="106" t="s">
        <v>494</v>
      </c>
      <c r="N718" s="106" t="s">
        <v>495</v>
      </c>
      <c r="O718" s="106" t="s">
        <v>496</v>
      </c>
      <c r="P718" s="106" t="s">
        <v>497</v>
      </c>
      <c r="Q718" s="106" t="s">
        <v>498</v>
      </c>
      <c r="R718" s="106" t="s">
        <v>499</v>
      </c>
    </row>
    <row r="719" spans="1:18" ht="21.95" customHeight="1" x14ac:dyDescent="0.25">
      <c r="A719" s="154">
        <f>IF('Calendario E'!A39="","",'Calendario E'!A39)</f>
        <v>190</v>
      </c>
      <c r="B719" s="44" t="str">
        <f>IF('Calendario E'!B39="","",'Calendario E'!B39)</f>
        <v/>
      </c>
      <c r="C719" s="45" t="str">
        <f>IF('Calendario E'!C39="","",'Calendario E'!C39)</f>
        <v/>
      </c>
      <c r="D719" s="44" t="str">
        <f>IF('Calendario E'!D39="","",'Calendario E'!D39)</f>
        <v/>
      </c>
      <c r="E719" s="45" t="str">
        <f>IF('Calendario E'!E39="","",'Calendario E'!E39)</f>
        <v/>
      </c>
      <c r="F719" s="138" t="str">
        <f>IF('Calendario E'!F39="","",'Calendario E'!F39)</f>
        <v/>
      </c>
      <c r="G719" s="124"/>
      <c r="H719" s="124"/>
      <c r="I719" s="125"/>
      <c r="J719" s="202" t="str">
        <f>IF('Calendario E'!J39="","",'Calendario E'!J39)</f>
        <v/>
      </c>
      <c r="K719" s="201" t="s">
        <v>198</v>
      </c>
      <c r="L719" s="202" t="str">
        <f>IF('Calendario E'!L39="","",'Calendario E'!L39)</f>
        <v/>
      </c>
      <c r="M719" s="200"/>
      <c r="N719" s="200"/>
      <c r="O719" s="200"/>
      <c r="P719" s="200"/>
      <c r="Q719" s="200"/>
      <c r="R719" s="200"/>
    </row>
    <row r="720" spans="1:18" ht="15" customHeight="1" x14ac:dyDescent="0.25">
      <c r="A720" s="133"/>
      <c r="B720" s="136" t="str">
        <f>IF('Calendario E'!B40="","",'Calendario E'!B40)</f>
        <v/>
      </c>
      <c r="C720" s="124"/>
      <c r="D720" s="124"/>
      <c r="E720" s="124"/>
      <c r="F720" s="124"/>
      <c r="G720" s="124"/>
      <c r="H720" s="125"/>
      <c r="I720" s="45" t="str">
        <f>IF('Calendario E'!I40="","",'Calendario E'!I40)</f>
        <v/>
      </c>
      <c r="J720" s="133"/>
      <c r="K720" s="133"/>
      <c r="L720" s="133"/>
      <c r="M720" s="133"/>
      <c r="N720" s="133"/>
      <c r="O720" s="133"/>
      <c r="P720" s="133"/>
      <c r="Q720" s="133"/>
      <c r="R720" s="133"/>
    </row>
    <row r="722" spans="1:18" ht="20.100000000000001" customHeight="1" x14ac:dyDescent="0.25">
      <c r="A722" s="55" t="str">
        <f>IF('Calendario E'!A42="","",'Calendario E'!A42)</f>
        <v>3E</v>
      </c>
      <c r="B722" s="155" t="str">
        <f>IF('Calendario E'!B42="","",'Calendario E'!B42)</f>
        <v>GIORNATA III - GIRONE E</v>
      </c>
      <c r="C722" s="124"/>
      <c r="D722" s="124"/>
      <c r="E722" s="124"/>
      <c r="F722" s="124"/>
      <c r="G722" s="124"/>
      <c r="H722" s="124"/>
      <c r="I722" s="124"/>
      <c r="J722" s="124"/>
      <c r="K722" s="124"/>
      <c r="L722" s="125"/>
      <c r="M722" s="213" t="s">
        <v>492</v>
      </c>
      <c r="N722" s="124"/>
      <c r="O722" s="125"/>
      <c r="P722" s="213" t="s">
        <v>493</v>
      </c>
      <c r="Q722" s="124"/>
      <c r="R722" s="125"/>
    </row>
    <row r="723" spans="1:18" ht="14.1" customHeight="1" x14ac:dyDescent="0.25">
      <c r="A723" s="56" t="s">
        <v>193</v>
      </c>
      <c r="B723" s="153" t="s">
        <v>175</v>
      </c>
      <c r="C723" s="125"/>
      <c r="D723" s="153" t="s">
        <v>182</v>
      </c>
      <c r="E723" s="125"/>
      <c r="F723" s="56" t="s">
        <v>194</v>
      </c>
      <c r="G723" s="56" t="s">
        <v>195</v>
      </c>
      <c r="H723" s="153" t="s">
        <v>196</v>
      </c>
      <c r="I723" s="125"/>
      <c r="J723" s="153" t="s">
        <v>197</v>
      </c>
      <c r="K723" s="124"/>
      <c r="L723" s="125"/>
      <c r="M723" s="106" t="s">
        <v>494</v>
      </c>
      <c r="N723" s="106" t="s">
        <v>495</v>
      </c>
      <c r="O723" s="106" t="s">
        <v>496</v>
      </c>
      <c r="P723" s="106" t="s">
        <v>497</v>
      </c>
      <c r="Q723" s="106" t="s">
        <v>498</v>
      </c>
      <c r="R723" s="106" t="s">
        <v>499</v>
      </c>
    </row>
    <row r="724" spans="1:18" ht="21.95" customHeight="1" x14ac:dyDescent="0.25">
      <c r="A724" s="154">
        <f>IF('Calendario E'!A44="","",'Calendario E'!A44)</f>
        <v>191</v>
      </c>
      <c r="B724" s="44" t="str">
        <f>IF('Calendario E'!B44="","",'Calendario E'!B44)</f>
        <v/>
      </c>
      <c r="C724" s="45" t="str">
        <f>IF('Calendario E'!C44="","",'Calendario E'!C44)</f>
        <v/>
      </c>
      <c r="D724" s="44" t="str">
        <f>IF('Calendario E'!D44="","",'Calendario E'!D44)</f>
        <v/>
      </c>
      <c r="E724" s="45" t="str">
        <f>IF('Calendario E'!E44="","",'Calendario E'!E44)</f>
        <v/>
      </c>
      <c r="F724" s="138" t="str">
        <f>IF('Calendario E'!F44="","",'Calendario E'!F44)</f>
        <v/>
      </c>
      <c r="G724" s="124"/>
      <c r="H724" s="124"/>
      <c r="I724" s="125"/>
      <c r="J724" s="202" t="str">
        <f>IF('Calendario E'!J44="","",'Calendario E'!J44)</f>
        <v/>
      </c>
      <c r="K724" s="201" t="s">
        <v>198</v>
      </c>
      <c r="L724" s="202" t="str">
        <f>IF('Calendario E'!L44="","",'Calendario E'!L44)</f>
        <v/>
      </c>
      <c r="M724" s="200"/>
      <c r="N724" s="200"/>
      <c r="O724" s="200"/>
      <c r="P724" s="200"/>
      <c r="Q724" s="200"/>
      <c r="R724" s="200"/>
    </row>
    <row r="725" spans="1:18" ht="15" customHeight="1" x14ac:dyDescent="0.25">
      <c r="A725" s="133"/>
      <c r="B725" s="136" t="str">
        <f>IF('Calendario E'!B45="","",'Calendario E'!B45)</f>
        <v/>
      </c>
      <c r="C725" s="124"/>
      <c r="D725" s="124"/>
      <c r="E725" s="124"/>
      <c r="F725" s="124"/>
      <c r="G725" s="124"/>
      <c r="H725" s="125"/>
      <c r="I725" s="45" t="str">
        <f>IF('Calendario E'!I45="","",'Calendario E'!I45)</f>
        <v/>
      </c>
      <c r="J725" s="133"/>
      <c r="K725" s="133"/>
      <c r="L725" s="133"/>
      <c r="M725" s="133"/>
      <c r="N725" s="133"/>
      <c r="O725" s="133"/>
      <c r="P725" s="133"/>
      <c r="Q725" s="133"/>
      <c r="R725" s="133"/>
    </row>
    <row r="726" spans="1:18" ht="14.1" customHeight="1" x14ac:dyDescent="0.25">
      <c r="A726" s="56" t="s">
        <v>193</v>
      </c>
      <c r="B726" s="153" t="s">
        <v>175</v>
      </c>
      <c r="C726" s="125"/>
      <c r="D726" s="153" t="s">
        <v>182</v>
      </c>
      <c r="E726" s="125"/>
      <c r="F726" s="56" t="s">
        <v>194</v>
      </c>
      <c r="G726" s="56" t="s">
        <v>195</v>
      </c>
      <c r="H726" s="153" t="s">
        <v>196</v>
      </c>
      <c r="I726" s="125"/>
      <c r="J726" s="153" t="s">
        <v>197</v>
      </c>
      <c r="K726" s="124"/>
      <c r="L726" s="125"/>
      <c r="M726" s="106" t="s">
        <v>494</v>
      </c>
      <c r="N726" s="106" t="s">
        <v>495</v>
      </c>
      <c r="O726" s="106" t="s">
        <v>496</v>
      </c>
      <c r="P726" s="106" t="s">
        <v>497</v>
      </c>
      <c r="Q726" s="106" t="s">
        <v>498</v>
      </c>
      <c r="R726" s="106" t="s">
        <v>499</v>
      </c>
    </row>
    <row r="727" spans="1:18" ht="21.95" customHeight="1" x14ac:dyDescent="0.25">
      <c r="A727" s="154">
        <f>IF('Calendario E'!A47="","",'Calendario E'!A47)</f>
        <v>192</v>
      </c>
      <c r="B727" s="44" t="str">
        <f>IF('Calendario E'!B47="","",'Calendario E'!B47)</f>
        <v/>
      </c>
      <c r="C727" s="45" t="str">
        <f>IF('Calendario E'!C47="","",'Calendario E'!C47)</f>
        <v/>
      </c>
      <c r="D727" s="44" t="str">
        <f>IF('Calendario E'!D47="","",'Calendario E'!D47)</f>
        <v/>
      </c>
      <c r="E727" s="45" t="str">
        <f>IF('Calendario E'!E47="","",'Calendario E'!E47)</f>
        <v/>
      </c>
      <c r="F727" s="138" t="str">
        <f>IF('Calendario E'!F47="","",'Calendario E'!F47)</f>
        <v/>
      </c>
      <c r="G727" s="124"/>
      <c r="H727" s="124"/>
      <c r="I727" s="125"/>
      <c r="J727" s="202" t="str">
        <f>IF('Calendario E'!J47="","",'Calendario E'!J47)</f>
        <v/>
      </c>
      <c r="K727" s="201" t="s">
        <v>198</v>
      </c>
      <c r="L727" s="202" t="str">
        <f>IF('Calendario E'!L47="","",'Calendario E'!L47)</f>
        <v/>
      </c>
      <c r="M727" s="200"/>
      <c r="N727" s="200"/>
      <c r="O727" s="200"/>
      <c r="P727" s="200"/>
      <c r="Q727" s="200"/>
      <c r="R727" s="200"/>
    </row>
    <row r="728" spans="1:18" ht="15" customHeight="1" x14ac:dyDescent="0.25">
      <c r="A728" s="133"/>
      <c r="B728" s="136" t="str">
        <f>IF('Calendario E'!B48="","",'Calendario E'!B48)</f>
        <v/>
      </c>
      <c r="C728" s="124"/>
      <c r="D728" s="124"/>
      <c r="E728" s="124"/>
      <c r="F728" s="124"/>
      <c r="G728" s="124"/>
      <c r="H728" s="125"/>
      <c r="I728" s="45" t="str">
        <f>IF('Calendario E'!I48="","",'Calendario E'!I48)</f>
        <v/>
      </c>
      <c r="J728" s="133"/>
      <c r="K728" s="133"/>
      <c r="L728" s="133"/>
      <c r="M728" s="133"/>
      <c r="N728" s="133"/>
      <c r="O728" s="133"/>
      <c r="P728" s="133"/>
      <c r="Q728" s="133"/>
      <c r="R728" s="133"/>
    </row>
    <row r="729" spans="1:18" ht="14.1" customHeight="1" x14ac:dyDescent="0.25">
      <c r="A729" s="56" t="s">
        <v>193</v>
      </c>
      <c r="B729" s="153" t="s">
        <v>175</v>
      </c>
      <c r="C729" s="125"/>
      <c r="D729" s="153" t="s">
        <v>182</v>
      </c>
      <c r="E729" s="125"/>
      <c r="F729" s="56" t="s">
        <v>194</v>
      </c>
      <c r="G729" s="56" t="s">
        <v>195</v>
      </c>
      <c r="H729" s="153" t="s">
        <v>196</v>
      </c>
      <c r="I729" s="125"/>
      <c r="J729" s="153" t="s">
        <v>197</v>
      </c>
      <c r="K729" s="124"/>
      <c r="L729" s="125"/>
      <c r="M729" s="106" t="s">
        <v>494</v>
      </c>
      <c r="N729" s="106" t="s">
        <v>495</v>
      </c>
      <c r="O729" s="106" t="s">
        <v>496</v>
      </c>
      <c r="P729" s="106" t="s">
        <v>497</v>
      </c>
      <c r="Q729" s="106" t="s">
        <v>498</v>
      </c>
      <c r="R729" s="106" t="s">
        <v>499</v>
      </c>
    </row>
    <row r="730" spans="1:18" ht="21.95" customHeight="1" x14ac:dyDescent="0.25">
      <c r="A730" s="154">
        <f>IF('Calendario E'!A50="","",'Calendario E'!A50)</f>
        <v>193</v>
      </c>
      <c r="B730" s="44" t="str">
        <f>IF('Calendario E'!B50="","",'Calendario E'!B50)</f>
        <v/>
      </c>
      <c r="C730" s="45" t="str">
        <f>IF('Calendario E'!C50="","",'Calendario E'!C50)</f>
        <v/>
      </c>
      <c r="D730" s="44" t="str">
        <f>IF('Calendario E'!D50="","",'Calendario E'!D50)</f>
        <v/>
      </c>
      <c r="E730" s="45" t="str">
        <f>IF('Calendario E'!E50="","",'Calendario E'!E50)</f>
        <v/>
      </c>
      <c r="F730" s="138" t="str">
        <f>IF('Calendario E'!F50="","",'Calendario E'!F50)</f>
        <v/>
      </c>
      <c r="G730" s="124"/>
      <c r="H730" s="124"/>
      <c r="I730" s="125"/>
      <c r="J730" s="202" t="str">
        <f>IF('Calendario E'!J50="","",'Calendario E'!J50)</f>
        <v/>
      </c>
      <c r="K730" s="201" t="s">
        <v>198</v>
      </c>
      <c r="L730" s="202" t="str">
        <f>IF('Calendario E'!L50="","",'Calendario E'!L50)</f>
        <v/>
      </c>
      <c r="M730" s="200"/>
      <c r="N730" s="200"/>
      <c r="O730" s="200"/>
      <c r="P730" s="200"/>
      <c r="Q730" s="200"/>
      <c r="R730" s="200"/>
    </row>
    <row r="731" spans="1:18" ht="15" customHeight="1" x14ac:dyDescent="0.25">
      <c r="A731" s="133"/>
      <c r="B731" s="136" t="str">
        <f>IF('Calendario E'!B51="","",'Calendario E'!B51)</f>
        <v/>
      </c>
      <c r="C731" s="124"/>
      <c r="D731" s="124"/>
      <c r="E731" s="124"/>
      <c r="F731" s="124"/>
      <c r="G731" s="124"/>
      <c r="H731" s="125"/>
      <c r="I731" s="45" t="str">
        <f>IF('Calendario E'!I51="","",'Calendario E'!I51)</f>
        <v/>
      </c>
      <c r="J731" s="133"/>
      <c r="K731" s="133"/>
      <c r="L731" s="133"/>
      <c r="M731" s="133"/>
      <c r="N731" s="133"/>
      <c r="O731" s="133"/>
      <c r="P731" s="133"/>
      <c r="Q731" s="133"/>
      <c r="R731" s="133"/>
    </row>
    <row r="732" spans="1:18" ht="14.1" customHeight="1" x14ac:dyDescent="0.25">
      <c r="A732" s="56" t="s">
        <v>193</v>
      </c>
      <c r="B732" s="153" t="s">
        <v>175</v>
      </c>
      <c r="C732" s="125"/>
      <c r="D732" s="153" t="s">
        <v>182</v>
      </c>
      <c r="E732" s="125"/>
      <c r="F732" s="56" t="s">
        <v>194</v>
      </c>
      <c r="G732" s="56" t="s">
        <v>195</v>
      </c>
      <c r="H732" s="153" t="s">
        <v>196</v>
      </c>
      <c r="I732" s="125"/>
      <c r="J732" s="153" t="s">
        <v>197</v>
      </c>
      <c r="K732" s="124"/>
      <c r="L732" s="125"/>
      <c r="M732" s="106" t="s">
        <v>494</v>
      </c>
      <c r="N732" s="106" t="s">
        <v>495</v>
      </c>
      <c r="O732" s="106" t="s">
        <v>496</v>
      </c>
      <c r="P732" s="106" t="s">
        <v>497</v>
      </c>
      <c r="Q732" s="106" t="s">
        <v>498</v>
      </c>
      <c r="R732" s="106" t="s">
        <v>499</v>
      </c>
    </row>
    <row r="733" spans="1:18" ht="21.95" customHeight="1" x14ac:dyDescent="0.25">
      <c r="A733" s="154">
        <f>IF('Calendario E'!A53="","",'Calendario E'!A53)</f>
        <v>194</v>
      </c>
      <c r="B733" s="44" t="str">
        <f>IF('Calendario E'!B53="","",'Calendario E'!B53)</f>
        <v/>
      </c>
      <c r="C733" s="45" t="str">
        <f>IF('Calendario E'!C53="","",'Calendario E'!C53)</f>
        <v/>
      </c>
      <c r="D733" s="44" t="str">
        <f>IF('Calendario E'!D53="","",'Calendario E'!D53)</f>
        <v/>
      </c>
      <c r="E733" s="45" t="str">
        <f>IF('Calendario E'!E53="","",'Calendario E'!E53)</f>
        <v/>
      </c>
      <c r="F733" s="138" t="str">
        <f>IF('Calendario E'!F53="","",'Calendario E'!F53)</f>
        <v/>
      </c>
      <c r="G733" s="124"/>
      <c r="H733" s="124"/>
      <c r="I733" s="125"/>
      <c r="J733" s="202" t="str">
        <f>IF('Calendario E'!J53="","",'Calendario E'!J53)</f>
        <v/>
      </c>
      <c r="K733" s="201" t="s">
        <v>198</v>
      </c>
      <c r="L733" s="202" t="str">
        <f>IF('Calendario E'!L53="","",'Calendario E'!L53)</f>
        <v/>
      </c>
      <c r="M733" s="200"/>
      <c r="N733" s="200"/>
      <c r="O733" s="200"/>
      <c r="P733" s="200"/>
      <c r="Q733" s="200"/>
      <c r="R733" s="200"/>
    </row>
    <row r="734" spans="1:18" ht="15" customHeight="1" x14ac:dyDescent="0.25">
      <c r="A734" s="133"/>
      <c r="B734" s="136" t="str">
        <f>IF('Calendario E'!B54="","",'Calendario E'!B54)</f>
        <v/>
      </c>
      <c r="C734" s="124"/>
      <c r="D734" s="124"/>
      <c r="E734" s="124"/>
      <c r="F734" s="124"/>
      <c r="G734" s="124"/>
      <c r="H734" s="125"/>
      <c r="I734" s="45" t="str">
        <f>IF('Calendario E'!I54="","",'Calendario E'!I54)</f>
        <v/>
      </c>
      <c r="J734" s="133"/>
      <c r="K734" s="133"/>
      <c r="L734" s="133"/>
      <c r="M734" s="133"/>
      <c r="N734" s="133"/>
      <c r="O734" s="133"/>
      <c r="P734" s="133"/>
      <c r="Q734" s="133"/>
      <c r="R734" s="133"/>
    </row>
    <row r="735" spans="1:18" ht="14.1" customHeight="1" x14ac:dyDescent="0.25">
      <c r="A735" s="56" t="s">
        <v>193</v>
      </c>
      <c r="B735" s="153" t="s">
        <v>175</v>
      </c>
      <c r="C735" s="125"/>
      <c r="D735" s="153" t="s">
        <v>182</v>
      </c>
      <c r="E735" s="125"/>
      <c r="F735" s="56" t="s">
        <v>194</v>
      </c>
      <c r="G735" s="56" t="s">
        <v>195</v>
      </c>
      <c r="H735" s="153" t="s">
        <v>196</v>
      </c>
      <c r="I735" s="125"/>
      <c r="J735" s="153" t="s">
        <v>197</v>
      </c>
      <c r="K735" s="124"/>
      <c r="L735" s="125"/>
      <c r="M735" s="106" t="s">
        <v>494</v>
      </c>
      <c r="N735" s="106" t="s">
        <v>495</v>
      </c>
      <c r="O735" s="106" t="s">
        <v>496</v>
      </c>
      <c r="P735" s="106" t="s">
        <v>497</v>
      </c>
      <c r="Q735" s="106" t="s">
        <v>498</v>
      </c>
      <c r="R735" s="106" t="s">
        <v>499</v>
      </c>
    </row>
    <row r="736" spans="1:18" ht="21.95" customHeight="1" x14ac:dyDescent="0.25">
      <c r="A736" s="154">
        <f>IF('Calendario E'!A56="","",'Calendario E'!A56)</f>
        <v>195</v>
      </c>
      <c r="B736" s="44" t="str">
        <f>IF('Calendario E'!B56="","",'Calendario E'!B56)</f>
        <v/>
      </c>
      <c r="C736" s="45" t="str">
        <f>IF('Calendario E'!C56="","",'Calendario E'!C56)</f>
        <v/>
      </c>
      <c r="D736" s="44" t="str">
        <f>IF('Calendario E'!D56="","",'Calendario E'!D56)</f>
        <v/>
      </c>
      <c r="E736" s="45" t="str">
        <f>IF('Calendario E'!E56="","",'Calendario E'!E56)</f>
        <v/>
      </c>
      <c r="F736" s="138" t="str">
        <f>IF('Calendario E'!F56="","",'Calendario E'!F56)</f>
        <v/>
      </c>
      <c r="G736" s="124"/>
      <c r="H736" s="124"/>
      <c r="I736" s="125"/>
      <c r="J736" s="202" t="str">
        <f>IF('Calendario E'!J56="","",'Calendario E'!J56)</f>
        <v/>
      </c>
      <c r="K736" s="201" t="s">
        <v>198</v>
      </c>
      <c r="L736" s="202" t="str">
        <f>IF('Calendario E'!L56="","",'Calendario E'!L56)</f>
        <v/>
      </c>
      <c r="M736" s="200"/>
      <c r="N736" s="200"/>
      <c r="O736" s="200"/>
      <c r="P736" s="200"/>
      <c r="Q736" s="200"/>
      <c r="R736" s="200"/>
    </row>
    <row r="737" spans="1:18" ht="15" customHeight="1" x14ac:dyDescent="0.25">
      <c r="A737" s="133"/>
      <c r="B737" s="136" t="str">
        <f>IF('Calendario E'!B57="","",'Calendario E'!B57)</f>
        <v/>
      </c>
      <c r="C737" s="124"/>
      <c r="D737" s="124"/>
      <c r="E737" s="124"/>
      <c r="F737" s="124"/>
      <c r="G737" s="124"/>
      <c r="H737" s="125"/>
      <c r="I737" s="45" t="str">
        <f>IF('Calendario E'!I57="","",'Calendario E'!I57)</f>
        <v/>
      </c>
      <c r="J737" s="133"/>
      <c r="K737" s="133"/>
      <c r="L737" s="133"/>
      <c r="M737" s="133"/>
      <c r="N737" s="133"/>
      <c r="O737" s="133"/>
      <c r="P737" s="133"/>
      <c r="Q737" s="133"/>
      <c r="R737" s="133"/>
    </row>
    <row r="739" spans="1:18" ht="20.100000000000001" customHeight="1" x14ac:dyDescent="0.25">
      <c r="A739" s="55" t="str">
        <f>IF('Calendario E'!A59="","",'Calendario E'!A59)</f>
        <v>4E</v>
      </c>
      <c r="B739" s="155" t="str">
        <f>IF('Calendario E'!B59="","",'Calendario E'!B59)</f>
        <v>GIORNATA IV - GIRONE E</v>
      </c>
      <c r="C739" s="124"/>
      <c r="D739" s="124"/>
      <c r="E739" s="124"/>
      <c r="F739" s="124"/>
      <c r="G739" s="124"/>
      <c r="H739" s="124"/>
      <c r="I739" s="124"/>
      <c r="J739" s="124"/>
      <c r="K739" s="124"/>
      <c r="L739" s="125"/>
      <c r="M739" s="213" t="s">
        <v>492</v>
      </c>
      <c r="N739" s="124"/>
      <c r="O739" s="125"/>
      <c r="P739" s="213" t="s">
        <v>493</v>
      </c>
      <c r="Q739" s="124"/>
      <c r="R739" s="125"/>
    </row>
    <row r="740" spans="1:18" ht="14.1" customHeight="1" x14ac:dyDescent="0.25">
      <c r="A740" s="56" t="s">
        <v>193</v>
      </c>
      <c r="B740" s="153" t="s">
        <v>175</v>
      </c>
      <c r="C740" s="125"/>
      <c r="D740" s="153" t="s">
        <v>182</v>
      </c>
      <c r="E740" s="125"/>
      <c r="F740" s="56" t="s">
        <v>194</v>
      </c>
      <c r="G740" s="56" t="s">
        <v>195</v>
      </c>
      <c r="H740" s="153" t="s">
        <v>196</v>
      </c>
      <c r="I740" s="125"/>
      <c r="J740" s="153" t="s">
        <v>197</v>
      </c>
      <c r="K740" s="124"/>
      <c r="L740" s="125"/>
      <c r="M740" s="106" t="s">
        <v>494</v>
      </c>
      <c r="N740" s="106" t="s">
        <v>495</v>
      </c>
      <c r="O740" s="106" t="s">
        <v>496</v>
      </c>
      <c r="P740" s="106" t="s">
        <v>497</v>
      </c>
      <c r="Q740" s="106" t="s">
        <v>498</v>
      </c>
      <c r="R740" s="106" t="s">
        <v>499</v>
      </c>
    </row>
    <row r="741" spans="1:18" ht="21.95" customHeight="1" x14ac:dyDescent="0.25">
      <c r="A741" s="154">
        <f>IF('Calendario E'!A61="","",'Calendario E'!A61)</f>
        <v>196</v>
      </c>
      <c r="B741" s="44" t="str">
        <f>IF('Calendario E'!B61="","",'Calendario E'!B61)</f>
        <v/>
      </c>
      <c r="C741" s="45" t="str">
        <f>IF('Calendario E'!C61="","",'Calendario E'!C61)</f>
        <v/>
      </c>
      <c r="D741" s="44" t="str">
        <f>IF('Calendario E'!D61="","",'Calendario E'!D61)</f>
        <v/>
      </c>
      <c r="E741" s="45" t="str">
        <f>IF('Calendario E'!E61="","",'Calendario E'!E61)</f>
        <v/>
      </c>
      <c r="F741" s="138" t="str">
        <f>IF('Calendario E'!F61="","",'Calendario E'!F61)</f>
        <v/>
      </c>
      <c r="G741" s="124"/>
      <c r="H741" s="124"/>
      <c r="I741" s="125"/>
      <c r="J741" s="202" t="str">
        <f>IF('Calendario E'!J61="","",'Calendario E'!J61)</f>
        <v/>
      </c>
      <c r="K741" s="201" t="s">
        <v>198</v>
      </c>
      <c r="L741" s="202" t="str">
        <f>IF('Calendario E'!L61="","",'Calendario E'!L61)</f>
        <v/>
      </c>
      <c r="M741" s="200"/>
      <c r="N741" s="200"/>
      <c r="O741" s="200"/>
      <c r="P741" s="200"/>
      <c r="Q741" s="200"/>
      <c r="R741" s="200"/>
    </row>
    <row r="742" spans="1:18" ht="15" customHeight="1" x14ac:dyDescent="0.25">
      <c r="A742" s="133"/>
      <c r="B742" s="136" t="str">
        <f>IF('Calendario E'!B62="","",'Calendario E'!B62)</f>
        <v/>
      </c>
      <c r="C742" s="124"/>
      <c r="D742" s="124"/>
      <c r="E742" s="124"/>
      <c r="F742" s="124"/>
      <c r="G742" s="124"/>
      <c r="H742" s="125"/>
      <c r="I742" s="45" t="str">
        <f>IF('Calendario E'!I62="","",'Calendario E'!I62)</f>
        <v/>
      </c>
      <c r="J742" s="133"/>
      <c r="K742" s="133"/>
      <c r="L742" s="133"/>
      <c r="M742" s="133"/>
      <c r="N742" s="133"/>
      <c r="O742" s="133"/>
      <c r="P742" s="133"/>
      <c r="Q742" s="133"/>
      <c r="R742" s="133"/>
    </row>
    <row r="743" spans="1:18" ht="14.1" customHeight="1" x14ac:dyDescent="0.25">
      <c r="A743" s="56" t="s">
        <v>193</v>
      </c>
      <c r="B743" s="153" t="s">
        <v>175</v>
      </c>
      <c r="C743" s="125"/>
      <c r="D743" s="153" t="s">
        <v>182</v>
      </c>
      <c r="E743" s="125"/>
      <c r="F743" s="56" t="s">
        <v>194</v>
      </c>
      <c r="G743" s="56" t="s">
        <v>195</v>
      </c>
      <c r="H743" s="153" t="s">
        <v>196</v>
      </c>
      <c r="I743" s="125"/>
      <c r="J743" s="153" t="s">
        <v>197</v>
      </c>
      <c r="K743" s="124"/>
      <c r="L743" s="125"/>
      <c r="M743" s="106" t="s">
        <v>494</v>
      </c>
      <c r="N743" s="106" t="s">
        <v>495</v>
      </c>
      <c r="O743" s="106" t="s">
        <v>496</v>
      </c>
      <c r="P743" s="106" t="s">
        <v>497</v>
      </c>
      <c r="Q743" s="106" t="s">
        <v>498</v>
      </c>
      <c r="R743" s="106" t="s">
        <v>499</v>
      </c>
    </row>
    <row r="744" spans="1:18" ht="21.95" customHeight="1" x14ac:dyDescent="0.25">
      <c r="A744" s="154">
        <f>IF('Calendario E'!A64="","",'Calendario E'!A64)</f>
        <v>197</v>
      </c>
      <c r="B744" s="44" t="str">
        <f>IF('Calendario E'!B64="","",'Calendario E'!B64)</f>
        <v/>
      </c>
      <c r="C744" s="45" t="str">
        <f>IF('Calendario E'!C64="","",'Calendario E'!C64)</f>
        <v/>
      </c>
      <c r="D744" s="44" t="str">
        <f>IF('Calendario E'!D64="","",'Calendario E'!D64)</f>
        <v/>
      </c>
      <c r="E744" s="45" t="str">
        <f>IF('Calendario E'!E64="","",'Calendario E'!E64)</f>
        <v/>
      </c>
      <c r="F744" s="138" t="str">
        <f>IF('Calendario E'!F64="","",'Calendario E'!F64)</f>
        <v/>
      </c>
      <c r="G744" s="124"/>
      <c r="H744" s="124"/>
      <c r="I744" s="125"/>
      <c r="J744" s="202" t="str">
        <f>IF('Calendario E'!J64="","",'Calendario E'!J64)</f>
        <v/>
      </c>
      <c r="K744" s="201" t="s">
        <v>198</v>
      </c>
      <c r="L744" s="202" t="str">
        <f>IF('Calendario E'!L64="","",'Calendario E'!L64)</f>
        <v/>
      </c>
      <c r="M744" s="200"/>
      <c r="N744" s="200"/>
      <c r="O744" s="200"/>
      <c r="P744" s="200"/>
      <c r="Q744" s="200"/>
      <c r="R744" s="200"/>
    </row>
    <row r="745" spans="1:18" ht="15" customHeight="1" x14ac:dyDescent="0.25">
      <c r="A745" s="133"/>
      <c r="B745" s="136" t="str">
        <f>IF('Calendario E'!B65="","",'Calendario E'!B65)</f>
        <v/>
      </c>
      <c r="C745" s="124"/>
      <c r="D745" s="124"/>
      <c r="E745" s="124"/>
      <c r="F745" s="124"/>
      <c r="G745" s="124"/>
      <c r="H745" s="125"/>
      <c r="I745" s="45" t="str">
        <f>IF('Calendario E'!I65="","",'Calendario E'!I65)</f>
        <v/>
      </c>
      <c r="J745" s="133"/>
      <c r="K745" s="133"/>
      <c r="L745" s="133"/>
      <c r="M745" s="133"/>
      <c r="N745" s="133"/>
      <c r="O745" s="133"/>
      <c r="P745" s="133"/>
      <c r="Q745" s="133"/>
      <c r="R745" s="133"/>
    </row>
    <row r="746" spans="1:18" ht="14.1" customHeight="1" x14ac:dyDescent="0.25">
      <c r="A746" s="56" t="s">
        <v>193</v>
      </c>
      <c r="B746" s="153" t="s">
        <v>175</v>
      </c>
      <c r="C746" s="125"/>
      <c r="D746" s="153" t="s">
        <v>182</v>
      </c>
      <c r="E746" s="125"/>
      <c r="F746" s="56" t="s">
        <v>194</v>
      </c>
      <c r="G746" s="56" t="s">
        <v>195</v>
      </c>
      <c r="H746" s="153" t="s">
        <v>196</v>
      </c>
      <c r="I746" s="125"/>
      <c r="J746" s="153" t="s">
        <v>197</v>
      </c>
      <c r="K746" s="124"/>
      <c r="L746" s="125"/>
      <c r="M746" s="106" t="s">
        <v>494</v>
      </c>
      <c r="N746" s="106" t="s">
        <v>495</v>
      </c>
      <c r="O746" s="106" t="s">
        <v>496</v>
      </c>
      <c r="P746" s="106" t="s">
        <v>497</v>
      </c>
      <c r="Q746" s="106" t="s">
        <v>498</v>
      </c>
      <c r="R746" s="106" t="s">
        <v>499</v>
      </c>
    </row>
    <row r="747" spans="1:18" ht="21.95" customHeight="1" x14ac:dyDescent="0.25">
      <c r="A747" s="154">
        <f>IF('Calendario E'!A67="","",'Calendario E'!A67)</f>
        <v>198</v>
      </c>
      <c r="B747" s="44" t="str">
        <f>IF('Calendario E'!B67="","",'Calendario E'!B67)</f>
        <v/>
      </c>
      <c r="C747" s="45" t="str">
        <f>IF('Calendario E'!C67="","",'Calendario E'!C67)</f>
        <v/>
      </c>
      <c r="D747" s="44" t="str">
        <f>IF('Calendario E'!D67="","",'Calendario E'!D67)</f>
        <v/>
      </c>
      <c r="E747" s="45" t="str">
        <f>IF('Calendario E'!E67="","",'Calendario E'!E67)</f>
        <v/>
      </c>
      <c r="F747" s="138" t="str">
        <f>IF('Calendario E'!F67="","",'Calendario E'!F67)</f>
        <v/>
      </c>
      <c r="G747" s="124"/>
      <c r="H747" s="124"/>
      <c r="I747" s="125"/>
      <c r="J747" s="202" t="str">
        <f>IF('Calendario E'!J67="","",'Calendario E'!J67)</f>
        <v/>
      </c>
      <c r="K747" s="201" t="s">
        <v>198</v>
      </c>
      <c r="L747" s="202" t="str">
        <f>IF('Calendario E'!L67="","",'Calendario E'!L67)</f>
        <v/>
      </c>
      <c r="M747" s="200"/>
      <c r="N747" s="200"/>
      <c r="O747" s="200"/>
      <c r="P747" s="200"/>
      <c r="Q747" s="200"/>
      <c r="R747" s="200"/>
    </row>
    <row r="748" spans="1:18" ht="15" customHeight="1" x14ac:dyDescent="0.25">
      <c r="A748" s="133"/>
      <c r="B748" s="136" t="str">
        <f>IF('Calendario E'!B68="","",'Calendario E'!B68)</f>
        <v/>
      </c>
      <c r="C748" s="124"/>
      <c r="D748" s="124"/>
      <c r="E748" s="124"/>
      <c r="F748" s="124"/>
      <c r="G748" s="124"/>
      <c r="H748" s="125"/>
      <c r="I748" s="45" t="str">
        <f>IF('Calendario E'!I68="","",'Calendario E'!I68)</f>
        <v/>
      </c>
      <c r="J748" s="133"/>
      <c r="K748" s="133"/>
      <c r="L748" s="133"/>
      <c r="M748" s="133"/>
      <c r="N748" s="133"/>
      <c r="O748" s="133"/>
      <c r="P748" s="133"/>
      <c r="Q748" s="133"/>
      <c r="R748" s="133"/>
    </row>
    <row r="749" spans="1:18" ht="14.1" customHeight="1" x14ac:dyDescent="0.25">
      <c r="A749" s="56" t="s">
        <v>193</v>
      </c>
      <c r="B749" s="153" t="s">
        <v>175</v>
      </c>
      <c r="C749" s="125"/>
      <c r="D749" s="153" t="s">
        <v>182</v>
      </c>
      <c r="E749" s="125"/>
      <c r="F749" s="56" t="s">
        <v>194</v>
      </c>
      <c r="G749" s="56" t="s">
        <v>195</v>
      </c>
      <c r="H749" s="153" t="s">
        <v>196</v>
      </c>
      <c r="I749" s="125"/>
      <c r="J749" s="153" t="s">
        <v>197</v>
      </c>
      <c r="K749" s="124"/>
      <c r="L749" s="125"/>
      <c r="M749" s="106" t="s">
        <v>494</v>
      </c>
      <c r="N749" s="106" t="s">
        <v>495</v>
      </c>
      <c r="O749" s="106" t="s">
        <v>496</v>
      </c>
      <c r="P749" s="106" t="s">
        <v>497</v>
      </c>
      <c r="Q749" s="106" t="s">
        <v>498</v>
      </c>
      <c r="R749" s="106" t="s">
        <v>499</v>
      </c>
    </row>
    <row r="750" spans="1:18" ht="21.95" customHeight="1" x14ac:dyDescent="0.25">
      <c r="A750" s="154">
        <f>IF('Calendario E'!A70="","",'Calendario E'!A70)</f>
        <v>199</v>
      </c>
      <c r="B750" s="44" t="str">
        <f>IF('Calendario E'!B70="","",'Calendario E'!B70)</f>
        <v/>
      </c>
      <c r="C750" s="45" t="str">
        <f>IF('Calendario E'!C70="","",'Calendario E'!C70)</f>
        <v/>
      </c>
      <c r="D750" s="44" t="str">
        <f>IF('Calendario E'!D70="","",'Calendario E'!D70)</f>
        <v/>
      </c>
      <c r="E750" s="45" t="str">
        <f>IF('Calendario E'!E70="","",'Calendario E'!E70)</f>
        <v/>
      </c>
      <c r="F750" s="138" t="str">
        <f>IF('Calendario E'!F70="","",'Calendario E'!F70)</f>
        <v/>
      </c>
      <c r="G750" s="124"/>
      <c r="H750" s="124"/>
      <c r="I750" s="125"/>
      <c r="J750" s="202" t="str">
        <f>IF('Calendario E'!J70="","",'Calendario E'!J70)</f>
        <v/>
      </c>
      <c r="K750" s="201" t="s">
        <v>198</v>
      </c>
      <c r="L750" s="202" t="str">
        <f>IF('Calendario E'!L70="","",'Calendario E'!L70)</f>
        <v/>
      </c>
      <c r="M750" s="200"/>
      <c r="N750" s="200"/>
      <c r="O750" s="200"/>
      <c r="P750" s="200"/>
      <c r="Q750" s="200"/>
      <c r="R750" s="200"/>
    </row>
    <row r="751" spans="1:18" ht="15" customHeight="1" x14ac:dyDescent="0.25">
      <c r="A751" s="133"/>
      <c r="B751" s="136" t="str">
        <f>IF('Calendario E'!B71="","",'Calendario E'!B71)</f>
        <v/>
      </c>
      <c r="C751" s="124"/>
      <c r="D751" s="124"/>
      <c r="E751" s="124"/>
      <c r="F751" s="124"/>
      <c r="G751" s="124"/>
      <c r="H751" s="125"/>
      <c r="I751" s="45" t="str">
        <f>IF('Calendario E'!I71="","",'Calendario E'!I71)</f>
        <v/>
      </c>
      <c r="J751" s="133"/>
      <c r="K751" s="133"/>
      <c r="L751" s="133"/>
      <c r="M751" s="133"/>
      <c r="N751" s="133"/>
      <c r="O751" s="133"/>
      <c r="P751" s="133"/>
      <c r="Q751" s="133"/>
      <c r="R751" s="133"/>
    </row>
    <row r="752" spans="1:18" ht="14.1" customHeight="1" x14ac:dyDescent="0.25">
      <c r="A752" s="56" t="s">
        <v>193</v>
      </c>
      <c r="B752" s="153" t="s">
        <v>175</v>
      </c>
      <c r="C752" s="125"/>
      <c r="D752" s="153" t="s">
        <v>182</v>
      </c>
      <c r="E752" s="125"/>
      <c r="F752" s="56" t="s">
        <v>194</v>
      </c>
      <c r="G752" s="56" t="s">
        <v>195</v>
      </c>
      <c r="H752" s="153" t="s">
        <v>196</v>
      </c>
      <c r="I752" s="125"/>
      <c r="J752" s="153" t="s">
        <v>197</v>
      </c>
      <c r="K752" s="124"/>
      <c r="L752" s="125"/>
      <c r="M752" s="106" t="s">
        <v>494</v>
      </c>
      <c r="N752" s="106" t="s">
        <v>495</v>
      </c>
      <c r="O752" s="106" t="s">
        <v>496</v>
      </c>
      <c r="P752" s="106" t="s">
        <v>497</v>
      </c>
      <c r="Q752" s="106" t="s">
        <v>498</v>
      </c>
      <c r="R752" s="106" t="s">
        <v>499</v>
      </c>
    </row>
    <row r="753" spans="1:18" ht="21.95" customHeight="1" x14ac:dyDescent="0.25">
      <c r="A753" s="154">
        <f>IF('Calendario E'!A73="","",'Calendario E'!A73)</f>
        <v>200</v>
      </c>
      <c r="B753" s="44" t="str">
        <f>IF('Calendario E'!B73="","",'Calendario E'!B73)</f>
        <v/>
      </c>
      <c r="C753" s="45" t="str">
        <f>IF('Calendario E'!C73="","",'Calendario E'!C73)</f>
        <v/>
      </c>
      <c r="D753" s="44" t="str">
        <f>IF('Calendario E'!D73="","",'Calendario E'!D73)</f>
        <v/>
      </c>
      <c r="E753" s="45" t="str">
        <f>IF('Calendario E'!E73="","",'Calendario E'!E73)</f>
        <v/>
      </c>
      <c r="F753" s="138" t="str">
        <f>IF('Calendario E'!F73="","",'Calendario E'!F73)</f>
        <v/>
      </c>
      <c r="G753" s="124"/>
      <c r="H753" s="124"/>
      <c r="I753" s="125"/>
      <c r="J753" s="202" t="str">
        <f>IF('Calendario E'!J73="","",'Calendario E'!J73)</f>
        <v/>
      </c>
      <c r="K753" s="201" t="s">
        <v>198</v>
      </c>
      <c r="L753" s="202" t="str">
        <f>IF('Calendario E'!L73="","",'Calendario E'!L73)</f>
        <v/>
      </c>
      <c r="M753" s="200"/>
      <c r="N753" s="200"/>
      <c r="O753" s="200"/>
      <c r="P753" s="200"/>
      <c r="Q753" s="200"/>
      <c r="R753" s="200"/>
    </row>
    <row r="754" spans="1:18" ht="15" customHeight="1" x14ac:dyDescent="0.25">
      <c r="A754" s="133"/>
      <c r="B754" s="136" t="str">
        <f>IF('Calendario E'!B74="","",'Calendario E'!B74)</f>
        <v/>
      </c>
      <c r="C754" s="124"/>
      <c r="D754" s="124"/>
      <c r="E754" s="124"/>
      <c r="F754" s="124"/>
      <c r="G754" s="124"/>
      <c r="H754" s="125"/>
      <c r="I754" s="45" t="str">
        <f>IF('Calendario E'!I74="","",'Calendario E'!I74)</f>
        <v/>
      </c>
      <c r="J754" s="133"/>
      <c r="K754" s="133"/>
      <c r="L754" s="133"/>
      <c r="M754" s="133"/>
      <c r="N754" s="133"/>
      <c r="O754" s="133"/>
      <c r="P754" s="133"/>
      <c r="Q754" s="133"/>
      <c r="R754" s="133"/>
    </row>
    <row r="756" spans="1:18" ht="20.100000000000001" customHeight="1" x14ac:dyDescent="0.25">
      <c r="A756" s="55" t="str">
        <f>IF('Calendario E'!A76="","",'Calendario E'!A76)</f>
        <v>5E</v>
      </c>
      <c r="B756" s="155" t="str">
        <f>IF('Calendario E'!B76="","",'Calendario E'!B76)</f>
        <v>GIORNATA V - GIRONE E</v>
      </c>
      <c r="C756" s="124"/>
      <c r="D756" s="124"/>
      <c r="E756" s="124"/>
      <c r="F756" s="124"/>
      <c r="G756" s="124"/>
      <c r="H756" s="124"/>
      <c r="I756" s="124"/>
      <c r="J756" s="124"/>
      <c r="K756" s="124"/>
      <c r="L756" s="125"/>
      <c r="M756" s="213" t="s">
        <v>492</v>
      </c>
      <c r="N756" s="124"/>
      <c r="O756" s="125"/>
      <c r="P756" s="213" t="s">
        <v>493</v>
      </c>
      <c r="Q756" s="124"/>
      <c r="R756" s="125"/>
    </row>
    <row r="757" spans="1:18" ht="14.1" customHeight="1" x14ac:dyDescent="0.25">
      <c r="A757" s="56" t="s">
        <v>193</v>
      </c>
      <c r="B757" s="153" t="s">
        <v>175</v>
      </c>
      <c r="C757" s="125"/>
      <c r="D757" s="153" t="s">
        <v>182</v>
      </c>
      <c r="E757" s="125"/>
      <c r="F757" s="56" t="s">
        <v>194</v>
      </c>
      <c r="G757" s="56" t="s">
        <v>195</v>
      </c>
      <c r="H757" s="153" t="s">
        <v>196</v>
      </c>
      <c r="I757" s="125"/>
      <c r="J757" s="153" t="s">
        <v>197</v>
      </c>
      <c r="K757" s="124"/>
      <c r="L757" s="125"/>
      <c r="M757" s="106" t="s">
        <v>494</v>
      </c>
      <c r="N757" s="106" t="s">
        <v>495</v>
      </c>
      <c r="O757" s="106" t="s">
        <v>496</v>
      </c>
      <c r="P757" s="106" t="s">
        <v>497</v>
      </c>
      <c r="Q757" s="106" t="s">
        <v>498</v>
      </c>
      <c r="R757" s="106" t="s">
        <v>499</v>
      </c>
    </row>
    <row r="758" spans="1:18" ht="21.95" customHeight="1" x14ac:dyDescent="0.25">
      <c r="A758" s="154">
        <f>IF('Calendario E'!A78="","",'Calendario E'!A78)</f>
        <v>201</v>
      </c>
      <c r="B758" s="44" t="str">
        <f>IF('Calendario E'!B78="","",'Calendario E'!B78)</f>
        <v/>
      </c>
      <c r="C758" s="45" t="str">
        <f>IF('Calendario E'!C78="","",'Calendario E'!C78)</f>
        <v/>
      </c>
      <c r="D758" s="44" t="str">
        <f>IF('Calendario E'!D78="","",'Calendario E'!D78)</f>
        <v/>
      </c>
      <c r="E758" s="45" t="str">
        <f>IF('Calendario E'!E78="","",'Calendario E'!E78)</f>
        <v/>
      </c>
      <c r="F758" s="138" t="str">
        <f>IF('Calendario E'!F78="","",'Calendario E'!F78)</f>
        <v/>
      </c>
      <c r="G758" s="124"/>
      <c r="H758" s="124"/>
      <c r="I758" s="125"/>
      <c r="J758" s="202" t="str">
        <f>IF('Calendario E'!J78="","",'Calendario E'!J78)</f>
        <v/>
      </c>
      <c r="K758" s="201" t="s">
        <v>198</v>
      </c>
      <c r="L758" s="202" t="str">
        <f>IF('Calendario E'!L78="","",'Calendario E'!L78)</f>
        <v/>
      </c>
      <c r="M758" s="200"/>
      <c r="N758" s="200"/>
      <c r="O758" s="200"/>
      <c r="P758" s="200"/>
      <c r="Q758" s="200"/>
      <c r="R758" s="200"/>
    </row>
    <row r="759" spans="1:18" ht="15" customHeight="1" x14ac:dyDescent="0.25">
      <c r="A759" s="133"/>
      <c r="B759" s="136" t="str">
        <f>IF('Calendario E'!B79="","",'Calendario E'!B79)</f>
        <v/>
      </c>
      <c r="C759" s="124"/>
      <c r="D759" s="124"/>
      <c r="E759" s="124"/>
      <c r="F759" s="124"/>
      <c r="G759" s="124"/>
      <c r="H759" s="125"/>
      <c r="I759" s="45" t="str">
        <f>IF('Calendario E'!I79="","",'Calendario E'!I79)</f>
        <v/>
      </c>
      <c r="J759" s="133"/>
      <c r="K759" s="133"/>
      <c r="L759" s="133"/>
      <c r="M759" s="133"/>
      <c r="N759" s="133"/>
      <c r="O759" s="133"/>
      <c r="P759" s="133"/>
      <c r="Q759" s="133"/>
      <c r="R759" s="133"/>
    </row>
    <row r="760" spans="1:18" ht="14.1" customHeight="1" x14ac:dyDescent="0.25">
      <c r="A760" s="56" t="s">
        <v>193</v>
      </c>
      <c r="B760" s="153" t="s">
        <v>175</v>
      </c>
      <c r="C760" s="125"/>
      <c r="D760" s="153" t="s">
        <v>182</v>
      </c>
      <c r="E760" s="125"/>
      <c r="F760" s="56" t="s">
        <v>194</v>
      </c>
      <c r="G760" s="56" t="s">
        <v>195</v>
      </c>
      <c r="H760" s="153" t="s">
        <v>196</v>
      </c>
      <c r="I760" s="125"/>
      <c r="J760" s="153" t="s">
        <v>197</v>
      </c>
      <c r="K760" s="124"/>
      <c r="L760" s="125"/>
      <c r="M760" s="106" t="s">
        <v>494</v>
      </c>
      <c r="N760" s="106" t="s">
        <v>495</v>
      </c>
      <c r="O760" s="106" t="s">
        <v>496</v>
      </c>
      <c r="P760" s="106" t="s">
        <v>497</v>
      </c>
      <c r="Q760" s="106" t="s">
        <v>498</v>
      </c>
      <c r="R760" s="106" t="s">
        <v>499</v>
      </c>
    </row>
    <row r="761" spans="1:18" ht="21.95" customHeight="1" x14ac:dyDescent="0.25">
      <c r="A761" s="154">
        <f>IF('Calendario E'!A81="","",'Calendario E'!A81)</f>
        <v>202</v>
      </c>
      <c r="B761" s="44" t="str">
        <f>IF('Calendario E'!B81="","",'Calendario E'!B81)</f>
        <v/>
      </c>
      <c r="C761" s="45" t="str">
        <f>IF('Calendario E'!C81="","",'Calendario E'!C81)</f>
        <v/>
      </c>
      <c r="D761" s="44" t="str">
        <f>IF('Calendario E'!D81="","",'Calendario E'!D81)</f>
        <v/>
      </c>
      <c r="E761" s="45" t="str">
        <f>IF('Calendario E'!E81="","",'Calendario E'!E81)</f>
        <v/>
      </c>
      <c r="F761" s="138" t="str">
        <f>IF('Calendario E'!F81="","",'Calendario E'!F81)</f>
        <v/>
      </c>
      <c r="G761" s="124"/>
      <c r="H761" s="124"/>
      <c r="I761" s="125"/>
      <c r="J761" s="202" t="str">
        <f>IF('Calendario E'!J81="","",'Calendario E'!J81)</f>
        <v/>
      </c>
      <c r="K761" s="201" t="s">
        <v>198</v>
      </c>
      <c r="L761" s="202" t="str">
        <f>IF('Calendario E'!L81="","",'Calendario E'!L81)</f>
        <v/>
      </c>
      <c r="M761" s="200"/>
      <c r="N761" s="200"/>
      <c r="O761" s="200"/>
      <c r="P761" s="200"/>
      <c r="Q761" s="200"/>
      <c r="R761" s="200"/>
    </row>
    <row r="762" spans="1:18" ht="15" customHeight="1" x14ac:dyDescent="0.25">
      <c r="A762" s="133"/>
      <c r="B762" s="136" t="str">
        <f>IF('Calendario E'!B82="","",'Calendario E'!B82)</f>
        <v/>
      </c>
      <c r="C762" s="124"/>
      <c r="D762" s="124"/>
      <c r="E762" s="124"/>
      <c r="F762" s="124"/>
      <c r="G762" s="124"/>
      <c r="H762" s="125"/>
      <c r="I762" s="45" t="str">
        <f>IF('Calendario E'!I82="","",'Calendario E'!I82)</f>
        <v/>
      </c>
      <c r="J762" s="133"/>
      <c r="K762" s="133"/>
      <c r="L762" s="133"/>
      <c r="M762" s="133"/>
      <c r="N762" s="133"/>
      <c r="O762" s="133"/>
      <c r="P762" s="133"/>
      <c r="Q762" s="133"/>
      <c r="R762" s="133"/>
    </row>
    <row r="763" spans="1:18" ht="14.1" customHeight="1" x14ac:dyDescent="0.25">
      <c r="A763" s="56" t="s">
        <v>193</v>
      </c>
      <c r="B763" s="153" t="s">
        <v>175</v>
      </c>
      <c r="C763" s="125"/>
      <c r="D763" s="153" t="s">
        <v>182</v>
      </c>
      <c r="E763" s="125"/>
      <c r="F763" s="56" t="s">
        <v>194</v>
      </c>
      <c r="G763" s="56" t="s">
        <v>195</v>
      </c>
      <c r="H763" s="153" t="s">
        <v>196</v>
      </c>
      <c r="I763" s="125"/>
      <c r="J763" s="153" t="s">
        <v>197</v>
      </c>
      <c r="K763" s="124"/>
      <c r="L763" s="125"/>
      <c r="M763" s="106" t="s">
        <v>494</v>
      </c>
      <c r="N763" s="106" t="s">
        <v>495</v>
      </c>
      <c r="O763" s="106" t="s">
        <v>496</v>
      </c>
      <c r="P763" s="106" t="s">
        <v>497</v>
      </c>
      <c r="Q763" s="106" t="s">
        <v>498</v>
      </c>
      <c r="R763" s="106" t="s">
        <v>499</v>
      </c>
    </row>
    <row r="764" spans="1:18" ht="21.95" customHeight="1" x14ac:dyDescent="0.25">
      <c r="A764" s="154">
        <f>IF('Calendario E'!A84="","",'Calendario E'!A84)</f>
        <v>203</v>
      </c>
      <c r="B764" s="44" t="str">
        <f>IF('Calendario E'!B84="","",'Calendario E'!B84)</f>
        <v/>
      </c>
      <c r="C764" s="45" t="str">
        <f>IF('Calendario E'!C84="","",'Calendario E'!C84)</f>
        <v/>
      </c>
      <c r="D764" s="44" t="str">
        <f>IF('Calendario E'!D84="","",'Calendario E'!D84)</f>
        <v/>
      </c>
      <c r="E764" s="45" t="str">
        <f>IF('Calendario E'!E84="","",'Calendario E'!E84)</f>
        <v/>
      </c>
      <c r="F764" s="138" t="str">
        <f>IF('Calendario E'!F84="","",'Calendario E'!F84)</f>
        <v/>
      </c>
      <c r="G764" s="124"/>
      <c r="H764" s="124"/>
      <c r="I764" s="125"/>
      <c r="J764" s="202" t="str">
        <f>IF('Calendario E'!J84="","",'Calendario E'!J84)</f>
        <v/>
      </c>
      <c r="K764" s="201" t="s">
        <v>198</v>
      </c>
      <c r="L764" s="202" t="str">
        <f>IF('Calendario E'!L84="","",'Calendario E'!L84)</f>
        <v/>
      </c>
      <c r="M764" s="200"/>
      <c r="N764" s="200"/>
      <c r="O764" s="200"/>
      <c r="P764" s="200"/>
      <c r="Q764" s="200"/>
      <c r="R764" s="200"/>
    </row>
    <row r="765" spans="1:18" ht="15" customHeight="1" x14ac:dyDescent="0.25">
      <c r="A765" s="133"/>
      <c r="B765" s="136" t="str">
        <f>IF('Calendario E'!B85="","",'Calendario E'!B85)</f>
        <v/>
      </c>
      <c r="C765" s="124"/>
      <c r="D765" s="124"/>
      <c r="E765" s="124"/>
      <c r="F765" s="124"/>
      <c r="G765" s="124"/>
      <c r="H765" s="125"/>
      <c r="I765" s="45" t="str">
        <f>IF('Calendario E'!I85="","",'Calendario E'!I85)</f>
        <v/>
      </c>
      <c r="J765" s="133"/>
      <c r="K765" s="133"/>
      <c r="L765" s="133"/>
      <c r="M765" s="133"/>
      <c r="N765" s="133"/>
      <c r="O765" s="133"/>
      <c r="P765" s="133"/>
      <c r="Q765" s="133"/>
      <c r="R765" s="133"/>
    </row>
    <row r="766" spans="1:18" ht="14.1" customHeight="1" x14ac:dyDescent="0.25">
      <c r="A766" s="56" t="s">
        <v>193</v>
      </c>
      <c r="B766" s="153" t="s">
        <v>175</v>
      </c>
      <c r="C766" s="125"/>
      <c r="D766" s="153" t="s">
        <v>182</v>
      </c>
      <c r="E766" s="125"/>
      <c r="F766" s="56" t="s">
        <v>194</v>
      </c>
      <c r="G766" s="56" t="s">
        <v>195</v>
      </c>
      <c r="H766" s="153" t="s">
        <v>196</v>
      </c>
      <c r="I766" s="125"/>
      <c r="J766" s="153" t="s">
        <v>197</v>
      </c>
      <c r="K766" s="124"/>
      <c r="L766" s="125"/>
      <c r="M766" s="106" t="s">
        <v>494</v>
      </c>
      <c r="N766" s="106" t="s">
        <v>495</v>
      </c>
      <c r="O766" s="106" t="s">
        <v>496</v>
      </c>
      <c r="P766" s="106" t="s">
        <v>497</v>
      </c>
      <c r="Q766" s="106" t="s">
        <v>498</v>
      </c>
      <c r="R766" s="106" t="s">
        <v>499</v>
      </c>
    </row>
    <row r="767" spans="1:18" ht="21.95" customHeight="1" x14ac:dyDescent="0.25">
      <c r="A767" s="154">
        <f>IF('Calendario E'!A87="","",'Calendario E'!A87)</f>
        <v>204</v>
      </c>
      <c r="B767" s="44" t="str">
        <f>IF('Calendario E'!B87="","",'Calendario E'!B87)</f>
        <v/>
      </c>
      <c r="C767" s="45" t="str">
        <f>IF('Calendario E'!C87="","",'Calendario E'!C87)</f>
        <v/>
      </c>
      <c r="D767" s="44" t="str">
        <f>IF('Calendario E'!D87="","",'Calendario E'!D87)</f>
        <v/>
      </c>
      <c r="E767" s="45" t="str">
        <f>IF('Calendario E'!E87="","",'Calendario E'!E87)</f>
        <v/>
      </c>
      <c r="F767" s="138" t="str">
        <f>IF('Calendario E'!F87="","",'Calendario E'!F87)</f>
        <v/>
      </c>
      <c r="G767" s="124"/>
      <c r="H767" s="124"/>
      <c r="I767" s="125"/>
      <c r="J767" s="202" t="str">
        <f>IF('Calendario E'!J87="","",'Calendario E'!J87)</f>
        <v/>
      </c>
      <c r="K767" s="201" t="s">
        <v>198</v>
      </c>
      <c r="L767" s="202" t="str">
        <f>IF('Calendario E'!L87="","",'Calendario E'!L87)</f>
        <v/>
      </c>
      <c r="M767" s="200"/>
      <c r="N767" s="200"/>
      <c r="O767" s="200"/>
      <c r="P767" s="200"/>
      <c r="Q767" s="200"/>
      <c r="R767" s="200"/>
    </row>
    <row r="768" spans="1:18" ht="15" customHeight="1" x14ac:dyDescent="0.25">
      <c r="A768" s="133"/>
      <c r="B768" s="136" t="str">
        <f>IF('Calendario E'!B88="","",'Calendario E'!B88)</f>
        <v/>
      </c>
      <c r="C768" s="124"/>
      <c r="D768" s="124"/>
      <c r="E768" s="124"/>
      <c r="F768" s="124"/>
      <c r="G768" s="124"/>
      <c r="H768" s="125"/>
      <c r="I768" s="45" t="str">
        <f>IF('Calendario E'!I88="","",'Calendario E'!I88)</f>
        <v/>
      </c>
      <c r="J768" s="133"/>
      <c r="K768" s="133"/>
      <c r="L768" s="133"/>
      <c r="M768" s="133"/>
      <c r="N768" s="133"/>
      <c r="O768" s="133"/>
      <c r="P768" s="133"/>
      <c r="Q768" s="133"/>
      <c r="R768" s="133"/>
    </row>
    <row r="769" spans="1:18" ht="14.1" customHeight="1" x14ac:dyDescent="0.25">
      <c r="A769" s="56" t="s">
        <v>193</v>
      </c>
      <c r="B769" s="153" t="s">
        <v>175</v>
      </c>
      <c r="C769" s="125"/>
      <c r="D769" s="153" t="s">
        <v>182</v>
      </c>
      <c r="E769" s="125"/>
      <c r="F769" s="56" t="s">
        <v>194</v>
      </c>
      <c r="G769" s="56" t="s">
        <v>195</v>
      </c>
      <c r="H769" s="153" t="s">
        <v>196</v>
      </c>
      <c r="I769" s="125"/>
      <c r="J769" s="153" t="s">
        <v>197</v>
      </c>
      <c r="K769" s="124"/>
      <c r="L769" s="125"/>
      <c r="M769" s="106" t="s">
        <v>494</v>
      </c>
      <c r="N769" s="106" t="s">
        <v>495</v>
      </c>
      <c r="O769" s="106" t="s">
        <v>496</v>
      </c>
      <c r="P769" s="106" t="s">
        <v>497</v>
      </c>
      <c r="Q769" s="106" t="s">
        <v>498</v>
      </c>
      <c r="R769" s="106" t="s">
        <v>499</v>
      </c>
    </row>
    <row r="770" spans="1:18" ht="21.95" customHeight="1" x14ac:dyDescent="0.25">
      <c r="A770" s="154">
        <f>IF('Calendario E'!A90="","",'Calendario E'!A90)</f>
        <v>205</v>
      </c>
      <c r="B770" s="44" t="str">
        <f>IF('Calendario E'!B90="","",'Calendario E'!B90)</f>
        <v/>
      </c>
      <c r="C770" s="45" t="str">
        <f>IF('Calendario E'!C90="","",'Calendario E'!C90)</f>
        <v/>
      </c>
      <c r="D770" s="44" t="str">
        <f>IF('Calendario E'!D90="","",'Calendario E'!D90)</f>
        <v/>
      </c>
      <c r="E770" s="45" t="str">
        <f>IF('Calendario E'!E90="","",'Calendario E'!E90)</f>
        <v/>
      </c>
      <c r="F770" s="138" t="str">
        <f>IF('Calendario E'!F90="","",'Calendario E'!F90)</f>
        <v/>
      </c>
      <c r="G770" s="124"/>
      <c r="H770" s="124"/>
      <c r="I770" s="125"/>
      <c r="J770" s="202" t="str">
        <f>IF('Calendario E'!J90="","",'Calendario E'!J90)</f>
        <v/>
      </c>
      <c r="K770" s="201" t="s">
        <v>198</v>
      </c>
      <c r="L770" s="202" t="str">
        <f>IF('Calendario E'!L90="","",'Calendario E'!L90)</f>
        <v/>
      </c>
      <c r="M770" s="200"/>
      <c r="N770" s="200"/>
      <c r="O770" s="200"/>
      <c r="P770" s="200"/>
      <c r="Q770" s="200"/>
      <c r="R770" s="200"/>
    </row>
    <row r="771" spans="1:18" ht="15" customHeight="1" x14ac:dyDescent="0.25">
      <c r="A771" s="133"/>
      <c r="B771" s="136" t="str">
        <f>IF('Calendario E'!B91="","",'Calendario E'!B91)</f>
        <v/>
      </c>
      <c r="C771" s="124"/>
      <c r="D771" s="124"/>
      <c r="E771" s="124"/>
      <c r="F771" s="124"/>
      <c r="G771" s="124"/>
      <c r="H771" s="125"/>
      <c r="I771" s="45" t="str">
        <f>IF('Calendario E'!I91="","",'Calendario E'!I91)</f>
        <v/>
      </c>
      <c r="J771" s="133"/>
      <c r="K771" s="133"/>
      <c r="L771" s="133"/>
      <c r="M771" s="133"/>
      <c r="N771" s="133"/>
      <c r="O771" s="133"/>
      <c r="P771" s="133"/>
      <c r="Q771" s="133"/>
      <c r="R771" s="133"/>
    </row>
    <row r="773" spans="1:18" ht="20.100000000000001" customHeight="1" x14ac:dyDescent="0.25">
      <c r="A773" s="55" t="str">
        <f>IF('Calendario E'!A93="","",'Calendario E'!A93)</f>
        <v>6E</v>
      </c>
      <c r="B773" s="155" t="str">
        <f>IF('Calendario E'!B93="","",'Calendario E'!B93)</f>
        <v>GIORNATA VI - GIRONE E</v>
      </c>
      <c r="C773" s="124"/>
      <c r="D773" s="124"/>
      <c r="E773" s="124"/>
      <c r="F773" s="124"/>
      <c r="G773" s="124"/>
      <c r="H773" s="124"/>
      <c r="I773" s="124"/>
      <c r="J773" s="124"/>
      <c r="K773" s="124"/>
      <c r="L773" s="125"/>
      <c r="M773" s="213" t="s">
        <v>492</v>
      </c>
      <c r="N773" s="124"/>
      <c r="O773" s="125"/>
      <c r="P773" s="213" t="s">
        <v>493</v>
      </c>
      <c r="Q773" s="124"/>
      <c r="R773" s="125"/>
    </row>
    <row r="774" spans="1:18" ht="14.1" customHeight="1" x14ac:dyDescent="0.25">
      <c r="A774" s="56" t="s">
        <v>193</v>
      </c>
      <c r="B774" s="153" t="s">
        <v>175</v>
      </c>
      <c r="C774" s="125"/>
      <c r="D774" s="153" t="s">
        <v>182</v>
      </c>
      <c r="E774" s="125"/>
      <c r="F774" s="56" t="s">
        <v>194</v>
      </c>
      <c r="G774" s="56" t="s">
        <v>195</v>
      </c>
      <c r="H774" s="153" t="s">
        <v>196</v>
      </c>
      <c r="I774" s="125"/>
      <c r="J774" s="153" t="s">
        <v>197</v>
      </c>
      <c r="K774" s="124"/>
      <c r="L774" s="125"/>
      <c r="M774" s="106" t="s">
        <v>494</v>
      </c>
      <c r="N774" s="106" t="s">
        <v>495</v>
      </c>
      <c r="O774" s="106" t="s">
        <v>496</v>
      </c>
      <c r="P774" s="106" t="s">
        <v>497</v>
      </c>
      <c r="Q774" s="106" t="s">
        <v>498</v>
      </c>
      <c r="R774" s="106" t="s">
        <v>499</v>
      </c>
    </row>
    <row r="775" spans="1:18" ht="21.95" customHeight="1" x14ac:dyDescent="0.25">
      <c r="A775" s="154">
        <f>IF('Calendario E'!A95="","",'Calendario E'!A95)</f>
        <v>206</v>
      </c>
      <c r="B775" s="44" t="str">
        <f>IF('Calendario E'!B95="","",'Calendario E'!B95)</f>
        <v/>
      </c>
      <c r="C775" s="45" t="str">
        <f>IF('Calendario E'!C95="","",'Calendario E'!C95)</f>
        <v/>
      </c>
      <c r="D775" s="44" t="str">
        <f>IF('Calendario E'!D95="","",'Calendario E'!D95)</f>
        <v/>
      </c>
      <c r="E775" s="45" t="str">
        <f>IF('Calendario E'!E95="","",'Calendario E'!E95)</f>
        <v/>
      </c>
      <c r="F775" s="138" t="str">
        <f>IF('Calendario E'!F95="","",'Calendario E'!F95)</f>
        <v/>
      </c>
      <c r="G775" s="124"/>
      <c r="H775" s="124"/>
      <c r="I775" s="125"/>
      <c r="J775" s="202" t="str">
        <f>IF('Calendario E'!J95="","",'Calendario E'!J95)</f>
        <v/>
      </c>
      <c r="K775" s="201" t="s">
        <v>198</v>
      </c>
      <c r="L775" s="202" t="str">
        <f>IF('Calendario E'!L95="","",'Calendario E'!L95)</f>
        <v/>
      </c>
      <c r="M775" s="200"/>
      <c r="N775" s="200"/>
      <c r="O775" s="200"/>
      <c r="P775" s="200"/>
      <c r="Q775" s="200"/>
      <c r="R775" s="200"/>
    </row>
    <row r="776" spans="1:18" ht="15" customHeight="1" x14ac:dyDescent="0.25">
      <c r="A776" s="133"/>
      <c r="B776" s="136" t="str">
        <f>IF('Calendario E'!B96="","",'Calendario E'!B96)</f>
        <v/>
      </c>
      <c r="C776" s="124"/>
      <c r="D776" s="124"/>
      <c r="E776" s="124"/>
      <c r="F776" s="124"/>
      <c r="G776" s="124"/>
      <c r="H776" s="125"/>
      <c r="I776" s="45" t="str">
        <f>IF('Calendario E'!I96="","",'Calendario E'!I96)</f>
        <v/>
      </c>
      <c r="J776" s="133"/>
      <c r="K776" s="133"/>
      <c r="L776" s="133"/>
      <c r="M776" s="133"/>
      <c r="N776" s="133"/>
      <c r="O776" s="133"/>
      <c r="P776" s="133"/>
      <c r="Q776" s="133"/>
      <c r="R776" s="133"/>
    </row>
    <row r="777" spans="1:18" ht="14.1" customHeight="1" x14ac:dyDescent="0.25">
      <c r="A777" s="56" t="s">
        <v>193</v>
      </c>
      <c r="B777" s="153" t="s">
        <v>175</v>
      </c>
      <c r="C777" s="125"/>
      <c r="D777" s="153" t="s">
        <v>182</v>
      </c>
      <c r="E777" s="125"/>
      <c r="F777" s="56" t="s">
        <v>194</v>
      </c>
      <c r="G777" s="56" t="s">
        <v>195</v>
      </c>
      <c r="H777" s="153" t="s">
        <v>196</v>
      </c>
      <c r="I777" s="125"/>
      <c r="J777" s="153" t="s">
        <v>197</v>
      </c>
      <c r="K777" s="124"/>
      <c r="L777" s="125"/>
      <c r="M777" s="106" t="s">
        <v>494</v>
      </c>
      <c r="N777" s="106" t="s">
        <v>495</v>
      </c>
      <c r="O777" s="106" t="s">
        <v>496</v>
      </c>
      <c r="P777" s="106" t="s">
        <v>497</v>
      </c>
      <c r="Q777" s="106" t="s">
        <v>498</v>
      </c>
      <c r="R777" s="106" t="s">
        <v>499</v>
      </c>
    </row>
    <row r="778" spans="1:18" ht="21.95" customHeight="1" x14ac:dyDescent="0.25">
      <c r="A778" s="154">
        <f>IF('Calendario E'!A98="","",'Calendario E'!A98)</f>
        <v>207</v>
      </c>
      <c r="B778" s="44" t="str">
        <f>IF('Calendario E'!B98="","",'Calendario E'!B98)</f>
        <v/>
      </c>
      <c r="C778" s="45" t="str">
        <f>IF('Calendario E'!C98="","",'Calendario E'!C98)</f>
        <v/>
      </c>
      <c r="D778" s="44" t="str">
        <f>IF('Calendario E'!D98="","",'Calendario E'!D98)</f>
        <v/>
      </c>
      <c r="E778" s="45" t="str">
        <f>IF('Calendario E'!E98="","",'Calendario E'!E98)</f>
        <v/>
      </c>
      <c r="F778" s="138" t="str">
        <f>IF('Calendario E'!F98="","",'Calendario E'!F98)</f>
        <v/>
      </c>
      <c r="G778" s="124"/>
      <c r="H778" s="124"/>
      <c r="I778" s="125"/>
      <c r="J778" s="202" t="str">
        <f>IF('Calendario E'!J98="","",'Calendario E'!J98)</f>
        <v/>
      </c>
      <c r="K778" s="201" t="s">
        <v>198</v>
      </c>
      <c r="L778" s="202" t="str">
        <f>IF('Calendario E'!L98="","",'Calendario E'!L98)</f>
        <v/>
      </c>
      <c r="M778" s="200"/>
      <c r="N778" s="200"/>
      <c r="O778" s="200"/>
      <c r="P778" s="200"/>
      <c r="Q778" s="200"/>
      <c r="R778" s="200"/>
    </row>
    <row r="779" spans="1:18" ht="15" customHeight="1" x14ac:dyDescent="0.25">
      <c r="A779" s="133"/>
      <c r="B779" s="136" t="str">
        <f>IF('Calendario E'!B99="","",'Calendario E'!B99)</f>
        <v/>
      </c>
      <c r="C779" s="124"/>
      <c r="D779" s="124"/>
      <c r="E779" s="124"/>
      <c r="F779" s="124"/>
      <c r="G779" s="124"/>
      <c r="H779" s="125"/>
      <c r="I779" s="45" t="str">
        <f>IF('Calendario E'!I99="","",'Calendario E'!I99)</f>
        <v/>
      </c>
      <c r="J779" s="133"/>
      <c r="K779" s="133"/>
      <c r="L779" s="133"/>
      <c r="M779" s="133"/>
      <c r="N779" s="133"/>
      <c r="O779" s="133"/>
      <c r="P779" s="133"/>
      <c r="Q779" s="133"/>
      <c r="R779" s="133"/>
    </row>
    <row r="780" spans="1:18" ht="14.1" customHeight="1" x14ac:dyDescent="0.25">
      <c r="A780" s="56" t="s">
        <v>193</v>
      </c>
      <c r="B780" s="153" t="s">
        <v>175</v>
      </c>
      <c r="C780" s="125"/>
      <c r="D780" s="153" t="s">
        <v>182</v>
      </c>
      <c r="E780" s="125"/>
      <c r="F780" s="56" t="s">
        <v>194</v>
      </c>
      <c r="G780" s="56" t="s">
        <v>195</v>
      </c>
      <c r="H780" s="153" t="s">
        <v>196</v>
      </c>
      <c r="I780" s="125"/>
      <c r="J780" s="153" t="s">
        <v>197</v>
      </c>
      <c r="K780" s="124"/>
      <c r="L780" s="125"/>
      <c r="M780" s="106" t="s">
        <v>494</v>
      </c>
      <c r="N780" s="106" t="s">
        <v>495</v>
      </c>
      <c r="O780" s="106" t="s">
        <v>496</v>
      </c>
      <c r="P780" s="106" t="s">
        <v>497</v>
      </c>
      <c r="Q780" s="106" t="s">
        <v>498</v>
      </c>
      <c r="R780" s="106" t="s">
        <v>499</v>
      </c>
    </row>
    <row r="781" spans="1:18" ht="21.95" customHeight="1" x14ac:dyDescent="0.25">
      <c r="A781" s="154">
        <f>IF('Calendario E'!A101="","",'Calendario E'!A101)</f>
        <v>208</v>
      </c>
      <c r="B781" s="44" t="str">
        <f>IF('Calendario E'!B101="","",'Calendario E'!B101)</f>
        <v/>
      </c>
      <c r="C781" s="45" t="str">
        <f>IF('Calendario E'!C101="","",'Calendario E'!C101)</f>
        <v/>
      </c>
      <c r="D781" s="44" t="str">
        <f>IF('Calendario E'!D101="","",'Calendario E'!D101)</f>
        <v/>
      </c>
      <c r="E781" s="45" t="str">
        <f>IF('Calendario E'!E101="","",'Calendario E'!E101)</f>
        <v/>
      </c>
      <c r="F781" s="138" t="str">
        <f>IF('Calendario E'!F101="","",'Calendario E'!F101)</f>
        <v/>
      </c>
      <c r="G781" s="124"/>
      <c r="H781" s="124"/>
      <c r="I781" s="125"/>
      <c r="J781" s="202" t="str">
        <f>IF('Calendario E'!J101="","",'Calendario E'!J101)</f>
        <v/>
      </c>
      <c r="K781" s="201" t="s">
        <v>198</v>
      </c>
      <c r="L781" s="202" t="str">
        <f>IF('Calendario E'!L101="","",'Calendario E'!L101)</f>
        <v/>
      </c>
      <c r="M781" s="200"/>
      <c r="N781" s="200"/>
      <c r="O781" s="200"/>
      <c r="P781" s="200"/>
      <c r="Q781" s="200"/>
      <c r="R781" s="200"/>
    </row>
    <row r="782" spans="1:18" ht="15" customHeight="1" x14ac:dyDescent="0.25">
      <c r="A782" s="133"/>
      <c r="B782" s="136" t="str">
        <f>IF('Calendario E'!B102="","",'Calendario E'!B102)</f>
        <v/>
      </c>
      <c r="C782" s="124"/>
      <c r="D782" s="124"/>
      <c r="E782" s="124"/>
      <c r="F782" s="124"/>
      <c r="G782" s="124"/>
      <c r="H782" s="125"/>
      <c r="I782" s="45" t="str">
        <f>IF('Calendario E'!I102="","",'Calendario E'!I102)</f>
        <v/>
      </c>
      <c r="J782" s="133"/>
      <c r="K782" s="133"/>
      <c r="L782" s="133"/>
      <c r="M782" s="133"/>
      <c r="N782" s="133"/>
      <c r="O782" s="133"/>
      <c r="P782" s="133"/>
      <c r="Q782" s="133"/>
      <c r="R782" s="133"/>
    </row>
    <row r="783" spans="1:18" ht="14.1" customHeight="1" x14ac:dyDescent="0.25">
      <c r="A783" s="56" t="s">
        <v>193</v>
      </c>
      <c r="B783" s="153" t="s">
        <v>175</v>
      </c>
      <c r="C783" s="125"/>
      <c r="D783" s="153" t="s">
        <v>182</v>
      </c>
      <c r="E783" s="125"/>
      <c r="F783" s="56" t="s">
        <v>194</v>
      </c>
      <c r="G783" s="56" t="s">
        <v>195</v>
      </c>
      <c r="H783" s="153" t="s">
        <v>196</v>
      </c>
      <c r="I783" s="125"/>
      <c r="J783" s="153" t="s">
        <v>197</v>
      </c>
      <c r="K783" s="124"/>
      <c r="L783" s="125"/>
      <c r="M783" s="106" t="s">
        <v>494</v>
      </c>
      <c r="N783" s="106" t="s">
        <v>495</v>
      </c>
      <c r="O783" s="106" t="s">
        <v>496</v>
      </c>
      <c r="P783" s="106" t="s">
        <v>497</v>
      </c>
      <c r="Q783" s="106" t="s">
        <v>498</v>
      </c>
      <c r="R783" s="106" t="s">
        <v>499</v>
      </c>
    </row>
    <row r="784" spans="1:18" ht="21.95" customHeight="1" x14ac:dyDescent="0.25">
      <c r="A784" s="154">
        <f>IF('Calendario E'!A104="","",'Calendario E'!A104)</f>
        <v>209</v>
      </c>
      <c r="B784" s="44" t="str">
        <f>IF('Calendario E'!B104="","",'Calendario E'!B104)</f>
        <v/>
      </c>
      <c r="C784" s="45" t="str">
        <f>IF('Calendario E'!C104="","",'Calendario E'!C104)</f>
        <v/>
      </c>
      <c r="D784" s="44" t="str">
        <f>IF('Calendario E'!D104="","",'Calendario E'!D104)</f>
        <v/>
      </c>
      <c r="E784" s="45" t="str">
        <f>IF('Calendario E'!E104="","",'Calendario E'!E104)</f>
        <v/>
      </c>
      <c r="F784" s="138" t="str">
        <f>IF('Calendario E'!F104="","",'Calendario E'!F104)</f>
        <v/>
      </c>
      <c r="G784" s="124"/>
      <c r="H784" s="124"/>
      <c r="I784" s="125"/>
      <c r="J784" s="202" t="str">
        <f>IF('Calendario E'!J104="","",'Calendario E'!J104)</f>
        <v/>
      </c>
      <c r="K784" s="201" t="s">
        <v>198</v>
      </c>
      <c r="L784" s="202" t="str">
        <f>IF('Calendario E'!L104="","",'Calendario E'!L104)</f>
        <v/>
      </c>
      <c r="M784" s="200"/>
      <c r="N784" s="200"/>
      <c r="O784" s="200"/>
      <c r="P784" s="200"/>
      <c r="Q784" s="200"/>
      <c r="R784" s="200"/>
    </row>
    <row r="785" spans="1:18" ht="15" customHeight="1" x14ac:dyDescent="0.25">
      <c r="A785" s="133"/>
      <c r="B785" s="136" t="str">
        <f>IF('Calendario E'!B105="","",'Calendario E'!B105)</f>
        <v/>
      </c>
      <c r="C785" s="124"/>
      <c r="D785" s="124"/>
      <c r="E785" s="124"/>
      <c r="F785" s="124"/>
      <c r="G785" s="124"/>
      <c r="H785" s="125"/>
      <c r="I785" s="45" t="str">
        <f>IF('Calendario E'!I105="","",'Calendario E'!I105)</f>
        <v/>
      </c>
      <c r="J785" s="133"/>
      <c r="K785" s="133"/>
      <c r="L785" s="133"/>
      <c r="M785" s="133"/>
      <c r="N785" s="133"/>
      <c r="O785" s="133"/>
      <c r="P785" s="133"/>
      <c r="Q785" s="133"/>
      <c r="R785" s="133"/>
    </row>
    <row r="786" spans="1:18" ht="14.1" customHeight="1" x14ac:dyDescent="0.25">
      <c r="A786" s="56" t="s">
        <v>193</v>
      </c>
      <c r="B786" s="153" t="s">
        <v>175</v>
      </c>
      <c r="C786" s="125"/>
      <c r="D786" s="153" t="s">
        <v>182</v>
      </c>
      <c r="E786" s="125"/>
      <c r="F786" s="56" t="s">
        <v>194</v>
      </c>
      <c r="G786" s="56" t="s">
        <v>195</v>
      </c>
      <c r="H786" s="153" t="s">
        <v>196</v>
      </c>
      <c r="I786" s="125"/>
      <c r="J786" s="153" t="s">
        <v>197</v>
      </c>
      <c r="K786" s="124"/>
      <c r="L786" s="125"/>
      <c r="M786" s="106" t="s">
        <v>494</v>
      </c>
      <c r="N786" s="106" t="s">
        <v>495</v>
      </c>
      <c r="O786" s="106" t="s">
        <v>496</v>
      </c>
      <c r="P786" s="106" t="s">
        <v>497</v>
      </c>
      <c r="Q786" s="106" t="s">
        <v>498</v>
      </c>
      <c r="R786" s="106" t="s">
        <v>499</v>
      </c>
    </row>
    <row r="787" spans="1:18" ht="21.95" customHeight="1" x14ac:dyDescent="0.25">
      <c r="A787" s="154">
        <f>IF('Calendario E'!A107="","",'Calendario E'!A107)</f>
        <v>210</v>
      </c>
      <c r="B787" s="44" t="str">
        <f>IF('Calendario E'!B107="","",'Calendario E'!B107)</f>
        <v/>
      </c>
      <c r="C787" s="45" t="str">
        <f>IF('Calendario E'!C107="","",'Calendario E'!C107)</f>
        <v/>
      </c>
      <c r="D787" s="44" t="str">
        <f>IF('Calendario E'!D107="","",'Calendario E'!D107)</f>
        <v/>
      </c>
      <c r="E787" s="45" t="str">
        <f>IF('Calendario E'!E107="","",'Calendario E'!E107)</f>
        <v/>
      </c>
      <c r="F787" s="138" t="str">
        <f>IF('Calendario E'!F107="","",'Calendario E'!F107)</f>
        <v/>
      </c>
      <c r="G787" s="124"/>
      <c r="H787" s="124"/>
      <c r="I787" s="125"/>
      <c r="J787" s="202" t="str">
        <f>IF('Calendario E'!J107="","",'Calendario E'!J107)</f>
        <v/>
      </c>
      <c r="K787" s="201" t="s">
        <v>198</v>
      </c>
      <c r="L787" s="202" t="str">
        <f>IF('Calendario E'!L107="","",'Calendario E'!L107)</f>
        <v/>
      </c>
      <c r="M787" s="200"/>
      <c r="N787" s="200"/>
      <c r="O787" s="200"/>
      <c r="P787" s="200"/>
      <c r="Q787" s="200"/>
      <c r="R787" s="200"/>
    </row>
    <row r="788" spans="1:18" ht="15" customHeight="1" x14ac:dyDescent="0.25">
      <c r="A788" s="133"/>
      <c r="B788" s="136" t="str">
        <f>IF('Calendario E'!B108="","",'Calendario E'!B108)</f>
        <v/>
      </c>
      <c r="C788" s="124"/>
      <c r="D788" s="124"/>
      <c r="E788" s="124"/>
      <c r="F788" s="124"/>
      <c r="G788" s="124"/>
      <c r="H788" s="125"/>
      <c r="I788" s="45" t="str">
        <f>IF('Calendario E'!I108="","",'Calendario E'!I108)</f>
        <v/>
      </c>
      <c r="J788" s="133"/>
      <c r="K788" s="133"/>
      <c r="L788" s="133"/>
      <c r="M788" s="133"/>
      <c r="N788" s="133"/>
      <c r="O788" s="133"/>
      <c r="P788" s="133"/>
      <c r="Q788" s="133"/>
      <c r="R788" s="133"/>
    </row>
    <row r="790" spans="1:18" ht="20.100000000000001" customHeight="1" x14ac:dyDescent="0.25">
      <c r="A790" s="55" t="str">
        <f>IF('Calendario E'!A110="","",'Calendario E'!A110)</f>
        <v>7E</v>
      </c>
      <c r="B790" s="155" t="str">
        <f>IF('Calendario E'!B110="","",'Calendario E'!B110)</f>
        <v>GIORNATA VII - GIRONE E</v>
      </c>
      <c r="C790" s="124"/>
      <c r="D790" s="124"/>
      <c r="E790" s="124"/>
      <c r="F790" s="124"/>
      <c r="G790" s="124"/>
      <c r="H790" s="124"/>
      <c r="I790" s="124"/>
      <c r="J790" s="124"/>
      <c r="K790" s="124"/>
      <c r="L790" s="125"/>
      <c r="M790" s="213" t="s">
        <v>492</v>
      </c>
      <c r="N790" s="124"/>
      <c r="O790" s="125"/>
      <c r="P790" s="213" t="s">
        <v>493</v>
      </c>
      <c r="Q790" s="124"/>
      <c r="R790" s="125"/>
    </row>
    <row r="791" spans="1:18" ht="14.1" customHeight="1" x14ac:dyDescent="0.25">
      <c r="A791" s="56" t="s">
        <v>193</v>
      </c>
      <c r="B791" s="153" t="s">
        <v>175</v>
      </c>
      <c r="C791" s="125"/>
      <c r="D791" s="153" t="s">
        <v>182</v>
      </c>
      <c r="E791" s="125"/>
      <c r="F791" s="56" t="s">
        <v>194</v>
      </c>
      <c r="G791" s="56" t="s">
        <v>195</v>
      </c>
      <c r="H791" s="153" t="s">
        <v>196</v>
      </c>
      <c r="I791" s="125"/>
      <c r="J791" s="153" t="s">
        <v>197</v>
      </c>
      <c r="K791" s="124"/>
      <c r="L791" s="125"/>
      <c r="M791" s="106" t="s">
        <v>494</v>
      </c>
      <c r="N791" s="106" t="s">
        <v>495</v>
      </c>
      <c r="O791" s="106" t="s">
        <v>496</v>
      </c>
      <c r="P791" s="106" t="s">
        <v>497</v>
      </c>
      <c r="Q791" s="106" t="s">
        <v>498</v>
      </c>
      <c r="R791" s="106" t="s">
        <v>499</v>
      </c>
    </row>
    <row r="792" spans="1:18" ht="21.95" customHeight="1" x14ac:dyDescent="0.25">
      <c r="A792" s="154">
        <f>IF('Calendario E'!A112="","",'Calendario E'!A112)</f>
        <v>211</v>
      </c>
      <c r="B792" s="44" t="str">
        <f>IF('Calendario E'!B112="","",'Calendario E'!B112)</f>
        <v/>
      </c>
      <c r="C792" s="45" t="str">
        <f>IF('Calendario E'!C112="","",'Calendario E'!C112)</f>
        <v/>
      </c>
      <c r="D792" s="44" t="str">
        <f>IF('Calendario E'!D112="","",'Calendario E'!D112)</f>
        <v/>
      </c>
      <c r="E792" s="45" t="str">
        <f>IF('Calendario E'!E112="","",'Calendario E'!E112)</f>
        <v/>
      </c>
      <c r="F792" s="138" t="str">
        <f>IF('Calendario E'!F112="","",'Calendario E'!F112)</f>
        <v/>
      </c>
      <c r="G792" s="124"/>
      <c r="H792" s="124"/>
      <c r="I792" s="125"/>
      <c r="J792" s="202" t="str">
        <f>IF('Calendario E'!J112="","",'Calendario E'!J112)</f>
        <v/>
      </c>
      <c r="K792" s="201" t="s">
        <v>198</v>
      </c>
      <c r="L792" s="202" t="str">
        <f>IF('Calendario E'!L112="","",'Calendario E'!L112)</f>
        <v/>
      </c>
      <c r="M792" s="200"/>
      <c r="N792" s="200"/>
      <c r="O792" s="200"/>
      <c r="P792" s="200"/>
      <c r="Q792" s="200"/>
      <c r="R792" s="200"/>
    </row>
    <row r="793" spans="1:18" ht="15" customHeight="1" x14ac:dyDescent="0.25">
      <c r="A793" s="133"/>
      <c r="B793" s="136" t="str">
        <f>IF('Calendario E'!B113="","",'Calendario E'!B113)</f>
        <v/>
      </c>
      <c r="C793" s="124"/>
      <c r="D793" s="124"/>
      <c r="E793" s="124"/>
      <c r="F793" s="124"/>
      <c r="G793" s="124"/>
      <c r="H793" s="125"/>
      <c r="I793" s="45" t="str">
        <f>IF('Calendario E'!I113="","",'Calendario E'!I113)</f>
        <v/>
      </c>
      <c r="J793" s="133"/>
      <c r="K793" s="133"/>
      <c r="L793" s="133"/>
      <c r="M793" s="133"/>
      <c r="N793" s="133"/>
      <c r="O793" s="133"/>
      <c r="P793" s="133"/>
      <c r="Q793" s="133"/>
      <c r="R793" s="133"/>
    </row>
    <row r="794" spans="1:18" ht="14.1" customHeight="1" x14ac:dyDescent="0.25">
      <c r="A794" s="56" t="s">
        <v>193</v>
      </c>
      <c r="B794" s="153" t="s">
        <v>175</v>
      </c>
      <c r="C794" s="125"/>
      <c r="D794" s="153" t="s">
        <v>182</v>
      </c>
      <c r="E794" s="125"/>
      <c r="F794" s="56" t="s">
        <v>194</v>
      </c>
      <c r="G794" s="56" t="s">
        <v>195</v>
      </c>
      <c r="H794" s="153" t="s">
        <v>196</v>
      </c>
      <c r="I794" s="125"/>
      <c r="J794" s="153" t="s">
        <v>197</v>
      </c>
      <c r="K794" s="124"/>
      <c r="L794" s="125"/>
      <c r="M794" s="106" t="s">
        <v>494</v>
      </c>
      <c r="N794" s="106" t="s">
        <v>495</v>
      </c>
      <c r="O794" s="106" t="s">
        <v>496</v>
      </c>
      <c r="P794" s="106" t="s">
        <v>497</v>
      </c>
      <c r="Q794" s="106" t="s">
        <v>498</v>
      </c>
      <c r="R794" s="106" t="s">
        <v>499</v>
      </c>
    </row>
    <row r="795" spans="1:18" ht="21.95" customHeight="1" x14ac:dyDescent="0.25">
      <c r="A795" s="154">
        <f>IF('Calendario E'!A115="","",'Calendario E'!A115)</f>
        <v>212</v>
      </c>
      <c r="B795" s="44" t="str">
        <f>IF('Calendario E'!B115="","",'Calendario E'!B115)</f>
        <v/>
      </c>
      <c r="C795" s="45" t="str">
        <f>IF('Calendario E'!C115="","",'Calendario E'!C115)</f>
        <v/>
      </c>
      <c r="D795" s="44" t="str">
        <f>IF('Calendario E'!D115="","",'Calendario E'!D115)</f>
        <v/>
      </c>
      <c r="E795" s="45" t="str">
        <f>IF('Calendario E'!E115="","",'Calendario E'!E115)</f>
        <v/>
      </c>
      <c r="F795" s="138" t="str">
        <f>IF('Calendario E'!F115="","",'Calendario E'!F115)</f>
        <v/>
      </c>
      <c r="G795" s="124"/>
      <c r="H795" s="124"/>
      <c r="I795" s="125"/>
      <c r="J795" s="202" t="str">
        <f>IF('Calendario E'!J115="","",'Calendario E'!J115)</f>
        <v/>
      </c>
      <c r="K795" s="201" t="s">
        <v>198</v>
      </c>
      <c r="L795" s="202" t="str">
        <f>IF('Calendario E'!L115="","",'Calendario E'!L115)</f>
        <v/>
      </c>
      <c r="M795" s="200"/>
      <c r="N795" s="200"/>
      <c r="O795" s="200"/>
      <c r="P795" s="200"/>
      <c r="Q795" s="200"/>
      <c r="R795" s="200"/>
    </row>
    <row r="796" spans="1:18" ht="15" customHeight="1" x14ac:dyDescent="0.25">
      <c r="A796" s="133"/>
      <c r="B796" s="136" t="str">
        <f>IF('Calendario E'!B116="","",'Calendario E'!B116)</f>
        <v/>
      </c>
      <c r="C796" s="124"/>
      <c r="D796" s="124"/>
      <c r="E796" s="124"/>
      <c r="F796" s="124"/>
      <c r="G796" s="124"/>
      <c r="H796" s="125"/>
      <c r="I796" s="45" t="str">
        <f>IF('Calendario E'!I116="","",'Calendario E'!I116)</f>
        <v/>
      </c>
      <c r="J796" s="133"/>
      <c r="K796" s="133"/>
      <c r="L796" s="133"/>
      <c r="M796" s="133"/>
      <c r="N796" s="133"/>
      <c r="O796" s="133"/>
      <c r="P796" s="133"/>
      <c r="Q796" s="133"/>
      <c r="R796" s="133"/>
    </row>
    <row r="797" spans="1:18" ht="14.1" customHeight="1" x14ac:dyDescent="0.25">
      <c r="A797" s="56" t="s">
        <v>193</v>
      </c>
      <c r="B797" s="153" t="s">
        <v>175</v>
      </c>
      <c r="C797" s="125"/>
      <c r="D797" s="153" t="s">
        <v>182</v>
      </c>
      <c r="E797" s="125"/>
      <c r="F797" s="56" t="s">
        <v>194</v>
      </c>
      <c r="G797" s="56" t="s">
        <v>195</v>
      </c>
      <c r="H797" s="153" t="s">
        <v>196</v>
      </c>
      <c r="I797" s="125"/>
      <c r="J797" s="153" t="s">
        <v>197</v>
      </c>
      <c r="K797" s="124"/>
      <c r="L797" s="125"/>
      <c r="M797" s="106" t="s">
        <v>494</v>
      </c>
      <c r="N797" s="106" t="s">
        <v>495</v>
      </c>
      <c r="O797" s="106" t="s">
        <v>496</v>
      </c>
      <c r="P797" s="106" t="s">
        <v>497</v>
      </c>
      <c r="Q797" s="106" t="s">
        <v>498</v>
      </c>
      <c r="R797" s="106" t="s">
        <v>499</v>
      </c>
    </row>
    <row r="798" spans="1:18" ht="21.95" customHeight="1" x14ac:dyDescent="0.25">
      <c r="A798" s="154">
        <f>IF('Calendario E'!A118="","",'Calendario E'!A118)</f>
        <v>213</v>
      </c>
      <c r="B798" s="44" t="str">
        <f>IF('Calendario E'!B118="","",'Calendario E'!B118)</f>
        <v/>
      </c>
      <c r="C798" s="45" t="str">
        <f>IF('Calendario E'!C118="","",'Calendario E'!C118)</f>
        <v/>
      </c>
      <c r="D798" s="44" t="str">
        <f>IF('Calendario E'!D118="","",'Calendario E'!D118)</f>
        <v/>
      </c>
      <c r="E798" s="45" t="str">
        <f>IF('Calendario E'!E118="","",'Calendario E'!E118)</f>
        <v/>
      </c>
      <c r="F798" s="138" t="str">
        <f>IF('Calendario E'!F118="","",'Calendario E'!F118)</f>
        <v/>
      </c>
      <c r="G798" s="124"/>
      <c r="H798" s="124"/>
      <c r="I798" s="125"/>
      <c r="J798" s="202" t="str">
        <f>IF('Calendario E'!J118="","",'Calendario E'!J118)</f>
        <v/>
      </c>
      <c r="K798" s="201" t="s">
        <v>198</v>
      </c>
      <c r="L798" s="202" t="str">
        <f>IF('Calendario E'!L118="","",'Calendario E'!L118)</f>
        <v/>
      </c>
      <c r="M798" s="200"/>
      <c r="N798" s="200"/>
      <c r="O798" s="200"/>
      <c r="P798" s="200"/>
      <c r="Q798" s="200"/>
      <c r="R798" s="200"/>
    </row>
    <row r="799" spans="1:18" ht="15" customHeight="1" x14ac:dyDescent="0.25">
      <c r="A799" s="133"/>
      <c r="B799" s="136" t="str">
        <f>IF('Calendario E'!B119="","",'Calendario E'!B119)</f>
        <v/>
      </c>
      <c r="C799" s="124"/>
      <c r="D799" s="124"/>
      <c r="E799" s="124"/>
      <c r="F799" s="124"/>
      <c r="G799" s="124"/>
      <c r="H799" s="125"/>
      <c r="I799" s="45" t="str">
        <f>IF('Calendario E'!I119="","",'Calendario E'!I119)</f>
        <v/>
      </c>
      <c r="J799" s="133"/>
      <c r="K799" s="133"/>
      <c r="L799" s="133"/>
      <c r="M799" s="133"/>
      <c r="N799" s="133"/>
      <c r="O799" s="133"/>
      <c r="P799" s="133"/>
      <c r="Q799" s="133"/>
      <c r="R799" s="133"/>
    </row>
    <row r="800" spans="1:18" ht="14.1" customHeight="1" x14ac:dyDescent="0.25">
      <c r="A800" s="56" t="s">
        <v>193</v>
      </c>
      <c r="B800" s="153" t="s">
        <v>175</v>
      </c>
      <c r="C800" s="125"/>
      <c r="D800" s="153" t="s">
        <v>182</v>
      </c>
      <c r="E800" s="125"/>
      <c r="F800" s="56" t="s">
        <v>194</v>
      </c>
      <c r="G800" s="56" t="s">
        <v>195</v>
      </c>
      <c r="H800" s="153" t="s">
        <v>196</v>
      </c>
      <c r="I800" s="125"/>
      <c r="J800" s="153" t="s">
        <v>197</v>
      </c>
      <c r="K800" s="124"/>
      <c r="L800" s="125"/>
      <c r="M800" s="106" t="s">
        <v>494</v>
      </c>
      <c r="N800" s="106" t="s">
        <v>495</v>
      </c>
      <c r="O800" s="106" t="s">
        <v>496</v>
      </c>
      <c r="P800" s="106" t="s">
        <v>497</v>
      </c>
      <c r="Q800" s="106" t="s">
        <v>498</v>
      </c>
      <c r="R800" s="106" t="s">
        <v>499</v>
      </c>
    </row>
    <row r="801" spans="1:18" ht="21.95" customHeight="1" x14ac:dyDescent="0.25">
      <c r="A801" s="154">
        <f>IF('Calendario E'!A121="","",'Calendario E'!A121)</f>
        <v>214</v>
      </c>
      <c r="B801" s="44" t="str">
        <f>IF('Calendario E'!B121="","",'Calendario E'!B121)</f>
        <v/>
      </c>
      <c r="C801" s="45" t="str">
        <f>IF('Calendario E'!C121="","",'Calendario E'!C121)</f>
        <v/>
      </c>
      <c r="D801" s="44" t="str">
        <f>IF('Calendario E'!D121="","",'Calendario E'!D121)</f>
        <v/>
      </c>
      <c r="E801" s="45" t="str">
        <f>IF('Calendario E'!E121="","",'Calendario E'!E121)</f>
        <v/>
      </c>
      <c r="F801" s="138" t="str">
        <f>IF('Calendario E'!F121="","",'Calendario E'!F121)</f>
        <v/>
      </c>
      <c r="G801" s="124"/>
      <c r="H801" s="124"/>
      <c r="I801" s="125"/>
      <c r="J801" s="202" t="str">
        <f>IF('Calendario E'!J121="","",'Calendario E'!J121)</f>
        <v/>
      </c>
      <c r="K801" s="201" t="s">
        <v>198</v>
      </c>
      <c r="L801" s="202" t="str">
        <f>IF('Calendario E'!L121="","",'Calendario E'!L121)</f>
        <v/>
      </c>
      <c r="M801" s="200"/>
      <c r="N801" s="200"/>
      <c r="O801" s="200"/>
      <c r="P801" s="200"/>
      <c r="Q801" s="200"/>
      <c r="R801" s="200"/>
    </row>
    <row r="802" spans="1:18" ht="15" customHeight="1" x14ac:dyDescent="0.25">
      <c r="A802" s="133"/>
      <c r="B802" s="136" t="str">
        <f>IF('Calendario E'!B122="","",'Calendario E'!B122)</f>
        <v/>
      </c>
      <c r="C802" s="124"/>
      <c r="D802" s="124"/>
      <c r="E802" s="124"/>
      <c r="F802" s="124"/>
      <c r="G802" s="124"/>
      <c r="H802" s="125"/>
      <c r="I802" s="45" t="str">
        <f>IF('Calendario E'!I122="","",'Calendario E'!I122)</f>
        <v/>
      </c>
      <c r="J802" s="133"/>
      <c r="K802" s="133"/>
      <c r="L802" s="133"/>
      <c r="M802" s="133"/>
      <c r="N802" s="133"/>
      <c r="O802" s="133"/>
      <c r="P802" s="133"/>
      <c r="Q802" s="133"/>
      <c r="R802" s="133"/>
    </row>
    <row r="803" spans="1:18" ht="14.1" customHeight="1" x14ac:dyDescent="0.25">
      <c r="A803" s="56" t="s">
        <v>193</v>
      </c>
      <c r="B803" s="153" t="s">
        <v>175</v>
      </c>
      <c r="C803" s="125"/>
      <c r="D803" s="153" t="s">
        <v>182</v>
      </c>
      <c r="E803" s="125"/>
      <c r="F803" s="56" t="s">
        <v>194</v>
      </c>
      <c r="G803" s="56" t="s">
        <v>195</v>
      </c>
      <c r="H803" s="153" t="s">
        <v>196</v>
      </c>
      <c r="I803" s="125"/>
      <c r="J803" s="153" t="s">
        <v>197</v>
      </c>
      <c r="K803" s="124"/>
      <c r="L803" s="125"/>
      <c r="M803" s="106" t="s">
        <v>494</v>
      </c>
      <c r="N803" s="106" t="s">
        <v>495</v>
      </c>
      <c r="O803" s="106" t="s">
        <v>496</v>
      </c>
      <c r="P803" s="106" t="s">
        <v>497</v>
      </c>
      <c r="Q803" s="106" t="s">
        <v>498</v>
      </c>
      <c r="R803" s="106" t="s">
        <v>499</v>
      </c>
    </row>
    <row r="804" spans="1:18" ht="21.95" customHeight="1" x14ac:dyDescent="0.25">
      <c r="A804" s="154">
        <f>IF('Calendario E'!A124="","",'Calendario E'!A124)</f>
        <v>215</v>
      </c>
      <c r="B804" s="44" t="str">
        <f>IF('Calendario E'!B124="","",'Calendario E'!B124)</f>
        <v/>
      </c>
      <c r="C804" s="45" t="str">
        <f>IF('Calendario E'!C124="","",'Calendario E'!C124)</f>
        <v/>
      </c>
      <c r="D804" s="44" t="str">
        <f>IF('Calendario E'!D124="","",'Calendario E'!D124)</f>
        <v/>
      </c>
      <c r="E804" s="45" t="str">
        <f>IF('Calendario E'!E124="","",'Calendario E'!E124)</f>
        <v/>
      </c>
      <c r="F804" s="138" t="str">
        <f>IF('Calendario E'!F124="","",'Calendario E'!F124)</f>
        <v/>
      </c>
      <c r="G804" s="124"/>
      <c r="H804" s="124"/>
      <c r="I804" s="125"/>
      <c r="J804" s="202" t="str">
        <f>IF('Calendario E'!J124="","",'Calendario E'!J124)</f>
        <v/>
      </c>
      <c r="K804" s="201" t="s">
        <v>198</v>
      </c>
      <c r="L804" s="202" t="str">
        <f>IF('Calendario E'!L124="","",'Calendario E'!L124)</f>
        <v/>
      </c>
      <c r="M804" s="200"/>
      <c r="N804" s="200"/>
      <c r="O804" s="200"/>
      <c r="P804" s="200"/>
      <c r="Q804" s="200"/>
      <c r="R804" s="200"/>
    </row>
    <row r="805" spans="1:18" ht="15" customHeight="1" x14ac:dyDescent="0.25">
      <c r="A805" s="133"/>
      <c r="B805" s="136" t="str">
        <f>IF('Calendario E'!B125="","",'Calendario E'!B125)</f>
        <v/>
      </c>
      <c r="C805" s="124"/>
      <c r="D805" s="124"/>
      <c r="E805" s="124"/>
      <c r="F805" s="124"/>
      <c r="G805" s="124"/>
      <c r="H805" s="125"/>
      <c r="I805" s="45" t="str">
        <f>IF('Calendario E'!I125="","",'Calendario E'!I125)</f>
        <v/>
      </c>
      <c r="J805" s="133"/>
      <c r="K805" s="133"/>
      <c r="L805" s="133"/>
      <c r="M805" s="133"/>
      <c r="N805" s="133"/>
      <c r="O805" s="133"/>
      <c r="P805" s="133"/>
      <c r="Q805" s="133"/>
      <c r="R805" s="133"/>
    </row>
    <row r="807" spans="1:18" ht="20.100000000000001" customHeight="1" x14ac:dyDescent="0.25">
      <c r="A807" s="55" t="str">
        <f>IF('Calendario E'!A127="","",'Calendario E'!A127)</f>
        <v>8E</v>
      </c>
      <c r="B807" s="155" t="str">
        <f>IF('Calendario E'!B127="","",'Calendario E'!B127)</f>
        <v>GIORNATA VIII - GIRONE E</v>
      </c>
      <c r="C807" s="124"/>
      <c r="D807" s="124"/>
      <c r="E807" s="124"/>
      <c r="F807" s="124"/>
      <c r="G807" s="124"/>
      <c r="H807" s="124"/>
      <c r="I807" s="124"/>
      <c r="J807" s="124"/>
      <c r="K807" s="124"/>
      <c r="L807" s="125"/>
      <c r="M807" s="213" t="s">
        <v>492</v>
      </c>
      <c r="N807" s="124"/>
      <c r="O807" s="125"/>
      <c r="P807" s="213" t="s">
        <v>493</v>
      </c>
      <c r="Q807" s="124"/>
      <c r="R807" s="125"/>
    </row>
    <row r="808" spans="1:18" ht="14.1" customHeight="1" x14ac:dyDescent="0.25">
      <c r="A808" s="56" t="s">
        <v>193</v>
      </c>
      <c r="B808" s="153" t="s">
        <v>175</v>
      </c>
      <c r="C808" s="125"/>
      <c r="D808" s="153" t="s">
        <v>182</v>
      </c>
      <c r="E808" s="125"/>
      <c r="F808" s="56" t="s">
        <v>194</v>
      </c>
      <c r="G808" s="56" t="s">
        <v>195</v>
      </c>
      <c r="H808" s="153" t="s">
        <v>196</v>
      </c>
      <c r="I808" s="125"/>
      <c r="J808" s="153" t="s">
        <v>197</v>
      </c>
      <c r="K808" s="124"/>
      <c r="L808" s="125"/>
      <c r="M808" s="106" t="s">
        <v>494</v>
      </c>
      <c r="N808" s="106" t="s">
        <v>495</v>
      </c>
      <c r="O808" s="106" t="s">
        <v>496</v>
      </c>
      <c r="P808" s="106" t="s">
        <v>497</v>
      </c>
      <c r="Q808" s="106" t="s">
        <v>498</v>
      </c>
      <c r="R808" s="106" t="s">
        <v>499</v>
      </c>
    </row>
    <row r="809" spans="1:18" ht="21.95" customHeight="1" x14ac:dyDescent="0.25">
      <c r="A809" s="154">
        <f>IF('Calendario E'!A129="","",'Calendario E'!A129)</f>
        <v>216</v>
      </c>
      <c r="B809" s="44" t="str">
        <f>IF('Calendario E'!B129="","",'Calendario E'!B129)</f>
        <v/>
      </c>
      <c r="C809" s="45" t="str">
        <f>IF('Calendario E'!C129="","",'Calendario E'!C129)</f>
        <v/>
      </c>
      <c r="D809" s="44" t="str">
        <f>IF('Calendario E'!D129="","",'Calendario E'!D129)</f>
        <v/>
      </c>
      <c r="E809" s="45" t="str">
        <f>IF('Calendario E'!E129="","",'Calendario E'!E129)</f>
        <v/>
      </c>
      <c r="F809" s="138" t="str">
        <f>IF('Calendario E'!F129="","",'Calendario E'!F129)</f>
        <v/>
      </c>
      <c r="G809" s="124"/>
      <c r="H809" s="124"/>
      <c r="I809" s="125"/>
      <c r="J809" s="202" t="str">
        <f>IF('Calendario E'!J129="","",'Calendario E'!J129)</f>
        <v/>
      </c>
      <c r="K809" s="201" t="s">
        <v>198</v>
      </c>
      <c r="L809" s="202" t="str">
        <f>IF('Calendario E'!L129="","",'Calendario E'!L129)</f>
        <v/>
      </c>
      <c r="M809" s="200"/>
      <c r="N809" s="200"/>
      <c r="O809" s="200"/>
      <c r="P809" s="200"/>
      <c r="Q809" s="200"/>
      <c r="R809" s="200"/>
    </row>
    <row r="810" spans="1:18" ht="15" customHeight="1" x14ac:dyDescent="0.25">
      <c r="A810" s="133"/>
      <c r="B810" s="136" t="str">
        <f>IF('Calendario E'!B130="","",'Calendario E'!B130)</f>
        <v/>
      </c>
      <c r="C810" s="124"/>
      <c r="D810" s="124"/>
      <c r="E810" s="124"/>
      <c r="F810" s="124"/>
      <c r="G810" s="124"/>
      <c r="H810" s="125"/>
      <c r="I810" s="45" t="str">
        <f>IF('Calendario E'!I130="","",'Calendario E'!I130)</f>
        <v/>
      </c>
      <c r="J810" s="133"/>
      <c r="K810" s="133"/>
      <c r="L810" s="133"/>
      <c r="M810" s="133"/>
      <c r="N810" s="133"/>
      <c r="O810" s="133"/>
      <c r="P810" s="133"/>
      <c r="Q810" s="133"/>
      <c r="R810" s="133"/>
    </row>
    <row r="811" spans="1:18" ht="14.1" customHeight="1" x14ac:dyDescent="0.25">
      <c r="A811" s="56" t="s">
        <v>193</v>
      </c>
      <c r="B811" s="153" t="s">
        <v>175</v>
      </c>
      <c r="C811" s="125"/>
      <c r="D811" s="153" t="s">
        <v>182</v>
      </c>
      <c r="E811" s="125"/>
      <c r="F811" s="56" t="s">
        <v>194</v>
      </c>
      <c r="G811" s="56" t="s">
        <v>195</v>
      </c>
      <c r="H811" s="153" t="s">
        <v>196</v>
      </c>
      <c r="I811" s="125"/>
      <c r="J811" s="153" t="s">
        <v>197</v>
      </c>
      <c r="K811" s="124"/>
      <c r="L811" s="125"/>
      <c r="M811" s="106" t="s">
        <v>494</v>
      </c>
      <c r="N811" s="106" t="s">
        <v>495</v>
      </c>
      <c r="O811" s="106" t="s">
        <v>496</v>
      </c>
      <c r="P811" s="106" t="s">
        <v>497</v>
      </c>
      <c r="Q811" s="106" t="s">
        <v>498</v>
      </c>
      <c r="R811" s="106" t="s">
        <v>499</v>
      </c>
    </row>
    <row r="812" spans="1:18" ht="21.95" customHeight="1" x14ac:dyDescent="0.25">
      <c r="A812" s="154">
        <f>IF('Calendario E'!A132="","",'Calendario E'!A132)</f>
        <v>217</v>
      </c>
      <c r="B812" s="44" t="str">
        <f>IF('Calendario E'!B132="","",'Calendario E'!B132)</f>
        <v/>
      </c>
      <c r="C812" s="45" t="str">
        <f>IF('Calendario E'!C132="","",'Calendario E'!C132)</f>
        <v/>
      </c>
      <c r="D812" s="44" t="str">
        <f>IF('Calendario E'!D132="","",'Calendario E'!D132)</f>
        <v/>
      </c>
      <c r="E812" s="45" t="str">
        <f>IF('Calendario E'!E132="","",'Calendario E'!E132)</f>
        <v/>
      </c>
      <c r="F812" s="138" t="str">
        <f>IF('Calendario E'!F132="","",'Calendario E'!F132)</f>
        <v/>
      </c>
      <c r="G812" s="124"/>
      <c r="H812" s="124"/>
      <c r="I812" s="125"/>
      <c r="J812" s="202" t="str">
        <f>IF('Calendario E'!J132="","",'Calendario E'!J132)</f>
        <v/>
      </c>
      <c r="K812" s="201" t="s">
        <v>198</v>
      </c>
      <c r="L812" s="202" t="str">
        <f>IF('Calendario E'!L132="","",'Calendario E'!L132)</f>
        <v/>
      </c>
      <c r="M812" s="200"/>
      <c r="N812" s="200"/>
      <c r="O812" s="200"/>
      <c r="P812" s="200"/>
      <c r="Q812" s="200"/>
      <c r="R812" s="200"/>
    </row>
    <row r="813" spans="1:18" ht="15" customHeight="1" x14ac:dyDescent="0.25">
      <c r="A813" s="133"/>
      <c r="B813" s="136" t="str">
        <f>IF('Calendario E'!B133="","",'Calendario E'!B133)</f>
        <v/>
      </c>
      <c r="C813" s="124"/>
      <c r="D813" s="124"/>
      <c r="E813" s="124"/>
      <c r="F813" s="124"/>
      <c r="G813" s="124"/>
      <c r="H813" s="125"/>
      <c r="I813" s="45" t="str">
        <f>IF('Calendario E'!I133="","",'Calendario E'!I133)</f>
        <v/>
      </c>
      <c r="J813" s="133"/>
      <c r="K813" s="133"/>
      <c r="L813" s="133"/>
      <c r="M813" s="133"/>
      <c r="N813" s="133"/>
      <c r="O813" s="133"/>
      <c r="P813" s="133"/>
      <c r="Q813" s="133"/>
      <c r="R813" s="133"/>
    </row>
    <row r="814" spans="1:18" ht="14.1" customHeight="1" x14ac:dyDescent="0.25">
      <c r="A814" s="56" t="s">
        <v>193</v>
      </c>
      <c r="B814" s="153" t="s">
        <v>175</v>
      </c>
      <c r="C814" s="125"/>
      <c r="D814" s="153" t="s">
        <v>182</v>
      </c>
      <c r="E814" s="125"/>
      <c r="F814" s="56" t="s">
        <v>194</v>
      </c>
      <c r="G814" s="56" t="s">
        <v>195</v>
      </c>
      <c r="H814" s="153" t="s">
        <v>196</v>
      </c>
      <c r="I814" s="125"/>
      <c r="J814" s="153" t="s">
        <v>197</v>
      </c>
      <c r="K814" s="124"/>
      <c r="L814" s="125"/>
      <c r="M814" s="106" t="s">
        <v>494</v>
      </c>
      <c r="N814" s="106" t="s">
        <v>495</v>
      </c>
      <c r="O814" s="106" t="s">
        <v>496</v>
      </c>
      <c r="P814" s="106" t="s">
        <v>497</v>
      </c>
      <c r="Q814" s="106" t="s">
        <v>498</v>
      </c>
      <c r="R814" s="106" t="s">
        <v>499</v>
      </c>
    </row>
    <row r="815" spans="1:18" ht="21.95" customHeight="1" x14ac:dyDescent="0.25">
      <c r="A815" s="154">
        <f>IF('Calendario E'!A135="","",'Calendario E'!A135)</f>
        <v>218</v>
      </c>
      <c r="B815" s="44" t="str">
        <f>IF('Calendario E'!B135="","",'Calendario E'!B135)</f>
        <v/>
      </c>
      <c r="C815" s="45" t="str">
        <f>IF('Calendario E'!C135="","",'Calendario E'!C135)</f>
        <v/>
      </c>
      <c r="D815" s="44" t="str">
        <f>IF('Calendario E'!D135="","",'Calendario E'!D135)</f>
        <v/>
      </c>
      <c r="E815" s="45" t="str">
        <f>IF('Calendario E'!E135="","",'Calendario E'!E135)</f>
        <v/>
      </c>
      <c r="F815" s="138" t="str">
        <f>IF('Calendario E'!F135="","",'Calendario E'!F135)</f>
        <v/>
      </c>
      <c r="G815" s="124"/>
      <c r="H815" s="124"/>
      <c r="I815" s="125"/>
      <c r="J815" s="202" t="str">
        <f>IF('Calendario E'!J135="","",'Calendario E'!J135)</f>
        <v/>
      </c>
      <c r="K815" s="201" t="s">
        <v>198</v>
      </c>
      <c r="L815" s="202" t="str">
        <f>IF('Calendario E'!L135="","",'Calendario E'!L135)</f>
        <v/>
      </c>
      <c r="M815" s="200"/>
      <c r="N815" s="200"/>
      <c r="O815" s="200"/>
      <c r="P815" s="200"/>
      <c r="Q815" s="200"/>
      <c r="R815" s="200"/>
    </row>
    <row r="816" spans="1:18" ht="15" customHeight="1" x14ac:dyDescent="0.25">
      <c r="A816" s="133"/>
      <c r="B816" s="136" t="str">
        <f>IF('Calendario E'!B136="","",'Calendario E'!B136)</f>
        <v/>
      </c>
      <c r="C816" s="124"/>
      <c r="D816" s="124"/>
      <c r="E816" s="124"/>
      <c r="F816" s="124"/>
      <c r="G816" s="124"/>
      <c r="H816" s="125"/>
      <c r="I816" s="45" t="str">
        <f>IF('Calendario E'!I136="","",'Calendario E'!I136)</f>
        <v/>
      </c>
      <c r="J816" s="133"/>
      <c r="K816" s="133"/>
      <c r="L816" s="133"/>
      <c r="M816" s="133"/>
      <c r="N816" s="133"/>
      <c r="O816" s="133"/>
      <c r="P816" s="133"/>
      <c r="Q816" s="133"/>
      <c r="R816" s="133"/>
    </row>
    <row r="817" spans="1:18" ht="14.1" customHeight="1" x14ac:dyDescent="0.25">
      <c r="A817" s="56" t="s">
        <v>193</v>
      </c>
      <c r="B817" s="153" t="s">
        <v>175</v>
      </c>
      <c r="C817" s="125"/>
      <c r="D817" s="153" t="s">
        <v>182</v>
      </c>
      <c r="E817" s="125"/>
      <c r="F817" s="56" t="s">
        <v>194</v>
      </c>
      <c r="G817" s="56" t="s">
        <v>195</v>
      </c>
      <c r="H817" s="153" t="s">
        <v>196</v>
      </c>
      <c r="I817" s="125"/>
      <c r="J817" s="153" t="s">
        <v>197</v>
      </c>
      <c r="K817" s="124"/>
      <c r="L817" s="125"/>
      <c r="M817" s="106" t="s">
        <v>494</v>
      </c>
      <c r="N817" s="106" t="s">
        <v>495</v>
      </c>
      <c r="O817" s="106" t="s">
        <v>496</v>
      </c>
      <c r="P817" s="106" t="s">
        <v>497</v>
      </c>
      <c r="Q817" s="106" t="s">
        <v>498</v>
      </c>
      <c r="R817" s="106" t="s">
        <v>499</v>
      </c>
    </row>
    <row r="818" spans="1:18" ht="21.95" customHeight="1" x14ac:dyDescent="0.25">
      <c r="A818" s="154">
        <f>IF('Calendario E'!A138="","",'Calendario E'!A138)</f>
        <v>219</v>
      </c>
      <c r="B818" s="44" t="str">
        <f>IF('Calendario E'!B138="","",'Calendario E'!B138)</f>
        <v/>
      </c>
      <c r="C818" s="45" t="str">
        <f>IF('Calendario E'!C138="","",'Calendario E'!C138)</f>
        <v/>
      </c>
      <c r="D818" s="44" t="str">
        <f>IF('Calendario E'!D138="","",'Calendario E'!D138)</f>
        <v/>
      </c>
      <c r="E818" s="45" t="str">
        <f>IF('Calendario E'!E138="","",'Calendario E'!E138)</f>
        <v/>
      </c>
      <c r="F818" s="138" t="str">
        <f>IF('Calendario E'!F138="","",'Calendario E'!F138)</f>
        <v/>
      </c>
      <c r="G818" s="124"/>
      <c r="H818" s="124"/>
      <c r="I818" s="125"/>
      <c r="J818" s="202" t="str">
        <f>IF('Calendario E'!J138="","",'Calendario E'!J138)</f>
        <v/>
      </c>
      <c r="K818" s="201" t="s">
        <v>198</v>
      </c>
      <c r="L818" s="202" t="str">
        <f>IF('Calendario E'!L138="","",'Calendario E'!L138)</f>
        <v/>
      </c>
      <c r="M818" s="200"/>
      <c r="N818" s="200"/>
      <c r="O818" s="200"/>
      <c r="P818" s="200"/>
      <c r="Q818" s="200"/>
      <c r="R818" s="200"/>
    </row>
    <row r="819" spans="1:18" ht="15" customHeight="1" x14ac:dyDescent="0.25">
      <c r="A819" s="133"/>
      <c r="B819" s="136" t="str">
        <f>IF('Calendario E'!B139="","",'Calendario E'!B139)</f>
        <v/>
      </c>
      <c r="C819" s="124"/>
      <c r="D819" s="124"/>
      <c r="E819" s="124"/>
      <c r="F819" s="124"/>
      <c r="G819" s="124"/>
      <c r="H819" s="125"/>
      <c r="I819" s="45" t="str">
        <f>IF('Calendario E'!I139="","",'Calendario E'!I139)</f>
        <v/>
      </c>
      <c r="J819" s="133"/>
      <c r="K819" s="133"/>
      <c r="L819" s="133"/>
      <c r="M819" s="133"/>
      <c r="N819" s="133"/>
      <c r="O819" s="133"/>
      <c r="P819" s="133"/>
      <c r="Q819" s="133"/>
      <c r="R819" s="133"/>
    </row>
    <row r="820" spans="1:18" ht="14.1" customHeight="1" x14ac:dyDescent="0.25">
      <c r="A820" s="56" t="s">
        <v>193</v>
      </c>
      <c r="B820" s="153" t="s">
        <v>175</v>
      </c>
      <c r="C820" s="125"/>
      <c r="D820" s="153" t="s">
        <v>182</v>
      </c>
      <c r="E820" s="125"/>
      <c r="F820" s="56" t="s">
        <v>194</v>
      </c>
      <c r="G820" s="56" t="s">
        <v>195</v>
      </c>
      <c r="H820" s="153" t="s">
        <v>196</v>
      </c>
      <c r="I820" s="125"/>
      <c r="J820" s="153" t="s">
        <v>197</v>
      </c>
      <c r="K820" s="124"/>
      <c r="L820" s="125"/>
      <c r="M820" s="106" t="s">
        <v>494</v>
      </c>
      <c r="N820" s="106" t="s">
        <v>495</v>
      </c>
      <c r="O820" s="106" t="s">
        <v>496</v>
      </c>
      <c r="P820" s="106" t="s">
        <v>497</v>
      </c>
      <c r="Q820" s="106" t="s">
        <v>498</v>
      </c>
      <c r="R820" s="106" t="s">
        <v>499</v>
      </c>
    </row>
    <row r="821" spans="1:18" ht="21.95" customHeight="1" x14ac:dyDescent="0.25">
      <c r="A821" s="154">
        <f>IF('Calendario E'!A141="","",'Calendario E'!A141)</f>
        <v>220</v>
      </c>
      <c r="B821" s="44" t="str">
        <f>IF('Calendario E'!B141="","",'Calendario E'!B141)</f>
        <v/>
      </c>
      <c r="C821" s="45" t="str">
        <f>IF('Calendario E'!C141="","",'Calendario E'!C141)</f>
        <v/>
      </c>
      <c r="D821" s="44" t="str">
        <f>IF('Calendario E'!D141="","",'Calendario E'!D141)</f>
        <v/>
      </c>
      <c r="E821" s="45" t="str">
        <f>IF('Calendario E'!E141="","",'Calendario E'!E141)</f>
        <v/>
      </c>
      <c r="F821" s="138" t="str">
        <f>IF('Calendario E'!F141="","",'Calendario E'!F141)</f>
        <v/>
      </c>
      <c r="G821" s="124"/>
      <c r="H821" s="124"/>
      <c r="I821" s="125"/>
      <c r="J821" s="202" t="str">
        <f>IF('Calendario E'!J141="","",'Calendario E'!J141)</f>
        <v/>
      </c>
      <c r="K821" s="201" t="s">
        <v>198</v>
      </c>
      <c r="L821" s="202" t="str">
        <f>IF('Calendario E'!L141="","",'Calendario E'!L141)</f>
        <v/>
      </c>
      <c r="M821" s="200"/>
      <c r="N821" s="200"/>
      <c r="O821" s="200"/>
      <c r="P821" s="200"/>
      <c r="Q821" s="200"/>
      <c r="R821" s="200"/>
    </row>
    <row r="822" spans="1:18" ht="15" customHeight="1" x14ac:dyDescent="0.25">
      <c r="A822" s="133"/>
      <c r="B822" s="136" t="str">
        <f>IF('Calendario E'!B142="","",'Calendario E'!B142)</f>
        <v/>
      </c>
      <c r="C822" s="124"/>
      <c r="D822" s="124"/>
      <c r="E822" s="124"/>
      <c r="F822" s="124"/>
      <c r="G822" s="124"/>
      <c r="H822" s="125"/>
      <c r="I822" s="45" t="str">
        <f>IF('Calendario E'!I142="","",'Calendario E'!I142)</f>
        <v/>
      </c>
      <c r="J822" s="133"/>
      <c r="K822" s="133"/>
      <c r="L822" s="133"/>
      <c r="M822" s="133"/>
      <c r="N822" s="133"/>
      <c r="O822" s="133"/>
      <c r="P822" s="133"/>
      <c r="Q822" s="133"/>
      <c r="R822" s="133"/>
    </row>
    <row r="824" spans="1:18" ht="20.100000000000001" customHeight="1" x14ac:dyDescent="0.25">
      <c r="A824" s="55" t="str">
        <f>IF('Calendario E'!A144="","",'Calendario E'!A144)</f>
        <v>9E</v>
      </c>
      <c r="B824" s="155" t="str">
        <f>IF('Calendario E'!B144="","",'Calendario E'!B144)</f>
        <v>GIORNATA IX - GIRONE E</v>
      </c>
      <c r="C824" s="124"/>
      <c r="D824" s="124"/>
      <c r="E824" s="124"/>
      <c r="F824" s="124"/>
      <c r="G824" s="124"/>
      <c r="H824" s="124"/>
      <c r="I824" s="124"/>
      <c r="J824" s="124"/>
      <c r="K824" s="124"/>
      <c r="L824" s="125"/>
      <c r="M824" s="213" t="s">
        <v>492</v>
      </c>
      <c r="N824" s="124"/>
      <c r="O824" s="125"/>
      <c r="P824" s="213" t="s">
        <v>493</v>
      </c>
      <c r="Q824" s="124"/>
      <c r="R824" s="125"/>
    </row>
    <row r="825" spans="1:18" ht="14.1" customHeight="1" x14ac:dyDescent="0.25">
      <c r="A825" s="56" t="s">
        <v>193</v>
      </c>
      <c r="B825" s="153" t="s">
        <v>175</v>
      </c>
      <c r="C825" s="125"/>
      <c r="D825" s="153" t="s">
        <v>182</v>
      </c>
      <c r="E825" s="125"/>
      <c r="F825" s="56" t="s">
        <v>194</v>
      </c>
      <c r="G825" s="56" t="s">
        <v>195</v>
      </c>
      <c r="H825" s="153" t="s">
        <v>196</v>
      </c>
      <c r="I825" s="125"/>
      <c r="J825" s="153" t="s">
        <v>197</v>
      </c>
      <c r="K825" s="124"/>
      <c r="L825" s="125"/>
      <c r="M825" s="106" t="s">
        <v>494</v>
      </c>
      <c r="N825" s="106" t="s">
        <v>495</v>
      </c>
      <c r="O825" s="106" t="s">
        <v>496</v>
      </c>
      <c r="P825" s="106" t="s">
        <v>497</v>
      </c>
      <c r="Q825" s="106" t="s">
        <v>498</v>
      </c>
      <c r="R825" s="106" t="s">
        <v>499</v>
      </c>
    </row>
    <row r="826" spans="1:18" ht="21.95" customHeight="1" x14ac:dyDescent="0.25">
      <c r="A826" s="154">
        <f>IF('Calendario E'!A146="","",'Calendario E'!A146)</f>
        <v>221</v>
      </c>
      <c r="B826" s="44" t="str">
        <f>IF('Calendario E'!B146="","",'Calendario E'!B146)</f>
        <v/>
      </c>
      <c r="C826" s="45" t="str">
        <f>IF('Calendario E'!C146="","",'Calendario E'!C146)</f>
        <v/>
      </c>
      <c r="D826" s="44" t="str">
        <f>IF('Calendario E'!D146="","",'Calendario E'!D146)</f>
        <v/>
      </c>
      <c r="E826" s="45" t="str">
        <f>IF('Calendario E'!E146="","",'Calendario E'!E146)</f>
        <v/>
      </c>
      <c r="F826" s="138" t="str">
        <f>IF('Calendario E'!F146="","",'Calendario E'!F146)</f>
        <v/>
      </c>
      <c r="G826" s="124"/>
      <c r="H826" s="124"/>
      <c r="I826" s="125"/>
      <c r="J826" s="202" t="str">
        <f>IF('Calendario E'!J146="","",'Calendario E'!J146)</f>
        <v/>
      </c>
      <c r="K826" s="201" t="s">
        <v>198</v>
      </c>
      <c r="L826" s="202" t="str">
        <f>IF('Calendario E'!L146="","",'Calendario E'!L146)</f>
        <v/>
      </c>
      <c r="M826" s="200"/>
      <c r="N826" s="200"/>
      <c r="O826" s="200"/>
      <c r="P826" s="200"/>
      <c r="Q826" s="200"/>
      <c r="R826" s="200"/>
    </row>
    <row r="827" spans="1:18" ht="15" customHeight="1" x14ac:dyDescent="0.25">
      <c r="A827" s="133"/>
      <c r="B827" s="136" t="str">
        <f>IF('Calendario E'!B147="","",'Calendario E'!B147)</f>
        <v/>
      </c>
      <c r="C827" s="124"/>
      <c r="D827" s="124"/>
      <c r="E827" s="124"/>
      <c r="F827" s="124"/>
      <c r="G827" s="124"/>
      <c r="H827" s="125"/>
      <c r="I827" s="45" t="str">
        <f>IF('Calendario E'!I147="","",'Calendario E'!I147)</f>
        <v/>
      </c>
      <c r="J827" s="133"/>
      <c r="K827" s="133"/>
      <c r="L827" s="133"/>
      <c r="M827" s="133"/>
      <c r="N827" s="133"/>
      <c r="O827" s="133"/>
      <c r="P827" s="133"/>
      <c r="Q827" s="133"/>
      <c r="R827" s="133"/>
    </row>
    <row r="828" spans="1:18" ht="14.1" customHeight="1" x14ac:dyDescent="0.25">
      <c r="A828" s="56" t="s">
        <v>193</v>
      </c>
      <c r="B828" s="153" t="s">
        <v>175</v>
      </c>
      <c r="C828" s="125"/>
      <c r="D828" s="153" t="s">
        <v>182</v>
      </c>
      <c r="E828" s="125"/>
      <c r="F828" s="56" t="s">
        <v>194</v>
      </c>
      <c r="G828" s="56" t="s">
        <v>195</v>
      </c>
      <c r="H828" s="153" t="s">
        <v>196</v>
      </c>
      <c r="I828" s="125"/>
      <c r="J828" s="153" t="s">
        <v>197</v>
      </c>
      <c r="K828" s="124"/>
      <c r="L828" s="125"/>
      <c r="M828" s="106" t="s">
        <v>494</v>
      </c>
      <c r="N828" s="106" t="s">
        <v>495</v>
      </c>
      <c r="O828" s="106" t="s">
        <v>496</v>
      </c>
      <c r="P828" s="106" t="s">
        <v>497</v>
      </c>
      <c r="Q828" s="106" t="s">
        <v>498</v>
      </c>
      <c r="R828" s="106" t="s">
        <v>499</v>
      </c>
    </row>
    <row r="829" spans="1:18" ht="21.95" customHeight="1" x14ac:dyDescent="0.25">
      <c r="A829" s="154">
        <f>IF('Calendario E'!A149="","",'Calendario E'!A149)</f>
        <v>222</v>
      </c>
      <c r="B829" s="44" t="str">
        <f>IF('Calendario E'!B149="","",'Calendario E'!B149)</f>
        <v/>
      </c>
      <c r="C829" s="45" t="str">
        <f>IF('Calendario E'!C149="","",'Calendario E'!C149)</f>
        <v/>
      </c>
      <c r="D829" s="44" t="str">
        <f>IF('Calendario E'!D149="","",'Calendario E'!D149)</f>
        <v/>
      </c>
      <c r="E829" s="45" t="str">
        <f>IF('Calendario E'!E149="","",'Calendario E'!E149)</f>
        <v/>
      </c>
      <c r="F829" s="138" t="str">
        <f>IF('Calendario E'!F149="","",'Calendario E'!F149)</f>
        <v/>
      </c>
      <c r="G829" s="124"/>
      <c r="H829" s="124"/>
      <c r="I829" s="125"/>
      <c r="J829" s="202" t="str">
        <f>IF('Calendario E'!J149="","",'Calendario E'!J149)</f>
        <v/>
      </c>
      <c r="K829" s="201" t="s">
        <v>198</v>
      </c>
      <c r="L829" s="202" t="str">
        <f>IF('Calendario E'!L149="","",'Calendario E'!L149)</f>
        <v/>
      </c>
      <c r="M829" s="200"/>
      <c r="N829" s="200"/>
      <c r="O829" s="200"/>
      <c r="P829" s="200"/>
      <c r="Q829" s="200"/>
      <c r="R829" s="200"/>
    </row>
    <row r="830" spans="1:18" ht="15" customHeight="1" x14ac:dyDescent="0.25">
      <c r="A830" s="133"/>
      <c r="B830" s="136" t="str">
        <f>IF('Calendario E'!B150="","",'Calendario E'!B150)</f>
        <v/>
      </c>
      <c r="C830" s="124"/>
      <c r="D830" s="124"/>
      <c r="E830" s="124"/>
      <c r="F830" s="124"/>
      <c r="G830" s="124"/>
      <c r="H830" s="125"/>
      <c r="I830" s="45" t="str">
        <f>IF('Calendario E'!I150="","",'Calendario E'!I150)</f>
        <v/>
      </c>
      <c r="J830" s="133"/>
      <c r="K830" s="133"/>
      <c r="L830" s="133"/>
      <c r="M830" s="133"/>
      <c r="N830" s="133"/>
      <c r="O830" s="133"/>
      <c r="P830" s="133"/>
      <c r="Q830" s="133"/>
      <c r="R830" s="133"/>
    </row>
    <row r="831" spans="1:18" ht="14.1" customHeight="1" x14ac:dyDescent="0.25">
      <c r="A831" s="56" t="s">
        <v>193</v>
      </c>
      <c r="B831" s="153" t="s">
        <v>175</v>
      </c>
      <c r="C831" s="125"/>
      <c r="D831" s="153" t="s">
        <v>182</v>
      </c>
      <c r="E831" s="125"/>
      <c r="F831" s="56" t="s">
        <v>194</v>
      </c>
      <c r="G831" s="56" t="s">
        <v>195</v>
      </c>
      <c r="H831" s="153" t="s">
        <v>196</v>
      </c>
      <c r="I831" s="125"/>
      <c r="J831" s="153" t="s">
        <v>197</v>
      </c>
      <c r="K831" s="124"/>
      <c r="L831" s="125"/>
      <c r="M831" s="106" t="s">
        <v>494</v>
      </c>
      <c r="N831" s="106" t="s">
        <v>495</v>
      </c>
      <c r="O831" s="106" t="s">
        <v>496</v>
      </c>
      <c r="P831" s="106" t="s">
        <v>497</v>
      </c>
      <c r="Q831" s="106" t="s">
        <v>498</v>
      </c>
      <c r="R831" s="106" t="s">
        <v>499</v>
      </c>
    </row>
    <row r="832" spans="1:18" ht="21.95" customHeight="1" x14ac:dyDescent="0.25">
      <c r="A832" s="154">
        <f>IF('Calendario E'!A152="","",'Calendario E'!A152)</f>
        <v>223</v>
      </c>
      <c r="B832" s="44" t="str">
        <f>IF('Calendario E'!B152="","",'Calendario E'!B152)</f>
        <v/>
      </c>
      <c r="C832" s="45" t="str">
        <f>IF('Calendario E'!C152="","",'Calendario E'!C152)</f>
        <v/>
      </c>
      <c r="D832" s="44" t="str">
        <f>IF('Calendario E'!D152="","",'Calendario E'!D152)</f>
        <v/>
      </c>
      <c r="E832" s="45" t="str">
        <f>IF('Calendario E'!E152="","",'Calendario E'!E152)</f>
        <v/>
      </c>
      <c r="F832" s="138" t="str">
        <f>IF('Calendario E'!F152="","",'Calendario E'!F152)</f>
        <v/>
      </c>
      <c r="G832" s="124"/>
      <c r="H832" s="124"/>
      <c r="I832" s="125"/>
      <c r="J832" s="202" t="str">
        <f>IF('Calendario E'!J152="","",'Calendario E'!J152)</f>
        <v/>
      </c>
      <c r="K832" s="201" t="s">
        <v>198</v>
      </c>
      <c r="L832" s="202" t="str">
        <f>IF('Calendario E'!L152="","",'Calendario E'!L152)</f>
        <v/>
      </c>
      <c r="M832" s="200"/>
      <c r="N832" s="200"/>
      <c r="O832" s="200"/>
      <c r="P832" s="200"/>
      <c r="Q832" s="200"/>
      <c r="R832" s="200"/>
    </row>
    <row r="833" spans="1:18" ht="15" customHeight="1" x14ac:dyDescent="0.25">
      <c r="A833" s="133"/>
      <c r="B833" s="136" t="str">
        <f>IF('Calendario E'!B153="","",'Calendario E'!B153)</f>
        <v/>
      </c>
      <c r="C833" s="124"/>
      <c r="D833" s="124"/>
      <c r="E833" s="124"/>
      <c r="F833" s="124"/>
      <c r="G833" s="124"/>
      <c r="H833" s="125"/>
      <c r="I833" s="45" t="str">
        <f>IF('Calendario E'!I153="","",'Calendario E'!I153)</f>
        <v/>
      </c>
      <c r="J833" s="133"/>
      <c r="K833" s="133"/>
      <c r="L833" s="133"/>
      <c r="M833" s="133"/>
      <c r="N833" s="133"/>
      <c r="O833" s="133"/>
      <c r="P833" s="133"/>
      <c r="Q833" s="133"/>
      <c r="R833" s="133"/>
    </row>
    <row r="834" spans="1:18" ht="14.1" customHeight="1" x14ac:dyDescent="0.25">
      <c r="A834" s="56" t="s">
        <v>193</v>
      </c>
      <c r="B834" s="153" t="s">
        <v>175</v>
      </c>
      <c r="C834" s="125"/>
      <c r="D834" s="153" t="s">
        <v>182</v>
      </c>
      <c r="E834" s="125"/>
      <c r="F834" s="56" t="s">
        <v>194</v>
      </c>
      <c r="G834" s="56" t="s">
        <v>195</v>
      </c>
      <c r="H834" s="153" t="s">
        <v>196</v>
      </c>
      <c r="I834" s="125"/>
      <c r="J834" s="153" t="s">
        <v>197</v>
      </c>
      <c r="K834" s="124"/>
      <c r="L834" s="125"/>
      <c r="M834" s="106" t="s">
        <v>494</v>
      </c>
      <c r="N834" s="106" t="s">
        <v>495</v>
      </c>
      <c r="O834" s="106" t="s">
        <v>496</v>
      </c>
      <c r="P834" s="106" t="s">
        <v>497</v>
      </c>
      <c r="Q834" s="106" t="s">
        <v>498</v>
      </c>
      <c r="R834" s="106" t="s">
        <v>499</v>
      </c>
    </row>
    <row r="835" spans="1:18" ht="21.95" customHeight="1" x14ac:dyDescent="0.25">
      <c r="A835" s="154">
        <f>IF('Calendario E'!A155="","",'Calendario E'!A155)</f>
        <v>224</v>
      </c>
      <c r="B835" s="44" t="str">
        <f>IF('Calendario E'!B155="","",'Calendario E'!B155)</f>
        <v/>
      </c>
      <c r="C835" s="45" t="str">
        <f>IF('Calendario E'!C155="","",'Calendario E'!C155)</f>
        <v/>
      </c>
      <c r="D835" s="44" t="str">
        <f>IF('Calendario E'!D155="","",'Calendario E'!D155)</f>
        <v/>
      </c>
      <c r="E835" s="45" t="str">
        <f>IF('Calendario E'!E155="","",'Calendario E'!E155)</f>
        <v/>
      </c>
      <c r="F835" s="138" t="str">
        <f>IF('Calendario E'!F155="","",'Calendario E'!F155)</f>
        <v/>
      </c>
      <c r="G835" s="124"/>
      <c r="H835" s="124"/>
      <c r="I835" s="125"/>
      <c r="J835" s="202" t="str">
        <f>IF('Calendario E'!J155="","",'Calendario E'!J155)</f>
        <v/>
      </c>
      <c r="K835" s="201" t="s">
        <v>198</v>
      </c>
      <c r="L835" s="202" t="str">
        <f>IF('Calendario E'!L155="","",'Calendario E'!L155)</f>
        <v/>
      </c>
      <c r="M835" s="200"/>
      <c r="N835" s="200"/>
      <c r="O835" s="200"/>
      <c r="P835" s="200"/>
      <c r="Q835" s="200"/>
      <c r="R835" s="200"/>
    </row>
    <row r="836" spans="1:18" ht="15" customHeight="1" x14ac:dyDescent="0.25">
      <c r="A836" s="133"/>
      <c r="B836" s="136" t="str">
        <f>IF('Calendario E'!B156="","",'Calendario E'!B156)</f>
        <v/>
      </c>
      <c r="C836" s="124"/>
      <c r="D836" s="124"/>
      <c r="E836" s="124"/>
      <c r="F836" s="124"/>
      <c r="G836" s="124"/>
      <c r="H836" s="125"/>
      <c r="I836" s="45" t="str">
        <f>IF('Calendario E'!I156="","",'Calendario E'!I156)</f>
        <v/>
      </c>
      <c r="J836" s="133"/>
      <c r="K836" s="133"/>
      <c r="L836" s="133"/>
      <c r="M836" s="133"/>
      <c r="N836" s="133"/>
      <c r="O836" s="133"/>
      <c r="P836" s="133"/>
      <c r="Q836" s="133"/>
      <c r="R836" s="133"/>
    </row>
    <row r="837" spans="1:18" ht="14.1" customHeight="1" x14ac:dyDescent="0.25">
      <c r="A837" s="56" t="s">
        <v>193</v>
      </c>
      <c r="B837" s="153" t="s">
        <v>175</v>
      </c>
      <c r="C837" s="125"/>
      <c r="D837" s="153" t="s">
        <v>182</v>
      </c>
      <c r="E837" s="125"/>
      <c r="F837" s="56" t="s">
        <v>194</v>
      </c>
      <c r="G837" s="56" t="s">
        <v>195</v>
      </c>
      <c r="H837" s="153" t="s">
        <v>196</v>
      </c>
      <c r="I837" s="125"/>
      <c r="J837" s="153" t="s">
        <v>197</v>
      </c>
      <c r="K837" s="124"/>
      <c r="L837" s="125"/>
      <c r="M837" s="106" t="s">
        <v>494</v>
      </c>
      <c r="N837" s="106" t="s">
        <v>495</v>
      </c>
      <c r="O837" s="106" t="s">
        <v>496</v>
      </c>
      <c r="P837" s="106" t="s">
        <v>497</v>
      </c>
      <c r="Q837" s="106" t="s">
        <v>498</v>
      </c>
      <c r="R837" s="106" t="s">
        <v>499</v>
      </c>
    </row>
    <row r="838" spans="1:18" ht="21.95" customHeight="1" x14ac:dyDescent="0.25">
      <c r="A838" s="154">
        <f>IF('Calendario E'!A158="","",'Calendario E'!A158)</f>
        <v>225</v>
      </c>
      <c r="B838" s="44" t="str">
        <f>IF('Calendario E'!B158="","",'Calendario E'!B158)</f>
        <v/>
      </c>
      <c r="C838" s="45" t="str">
        <f>IF('Calendario E'!C158="","",'Calendario E'!C158)</f>
        <v/>
      </c>
      <c r="D838" s="44" t="str">
        <f>IF('Calendario E'!D158="","",'Calendario E'!D158)</f>
        <v/>
      </c>
      <c r="E838" s="45" t="str">
        <f>IF('Calendario E'!E158="","",'Calendario E'!E158)</f>
        <v/>
      </c>
      <c r="F838" s="138" t="str">
        <f>IF('Calendario E'!F158="","",'Calendario E'!F158)</f>
        <v/>
      </c>
      <c r="G838" s="124"/>
      <c r="H838" s="124"/>
      <c r="I838" s="125"/>
      <c r="J838" s="202" t="str">
        <f>IF('Calendario E'!J158="","",'Calendario E'!J158)</f>
        <v/>
      </c>
      <c r="K838" s="201" t="s">
        <v>198</v>
      </c>
      <c r="L838" s="202" t="str">
        <f>IF('Calendario E'!L158="","",'Calendario E'!L158)</f>
        <v/>
      </c>
      <c r="M838" s="200"/>
      <c r="N838" s="200"/>
      <c r="O838" s="200"/>
      <c r="P838" s="200"/>
      <c r="Q838" s="200"/>
      <c r="R838" s="200"/>
    </row>
    <row r="839" spans="1:18" ht="15" customHeight="1" x14ac:dyDescent="0.25">
      <c r="A839" s="133"/>
      <c r="B839" s="136" t="str">
        <f>IF('Calendario E'!B159="","",'Calendario E'!B159)</f>
        <v/>
      </c>
      <c r="C839" s="124"/>
      <c r="D839" s="124"/>
      <c r="E839" s="124"/>
      <c r="F839" s="124"/>
      <c r="G839" s="124"/>
      <c r="H839" s="125"/>
      <c r="I839" s="45" t="str">
        <f>IF('Calendario E'!I159="","",'Calendario E'!I159)</f>
        <v/>
      </c>
      <c r="J839" s="133"/>
      <c r="K839" s="133"/>
      <c r="L839" s="133"/>
      <c r="M839" s="133"/>
      <c r="N839" s="133"/>
      <c r="O839" s="133"/>
      <c r="P839" s="133"/>
      <c r="Q839" s="133"/>
      <c r="R839" s="133"/>
    </row>
    <row r="858" spans="1:18" ht="20.100000000000001" customHeight="1" x14ac:dyDescent="0.25">
      <c r="A858" s="57" t="str">
        <f>IF('Calendario F'!A8="","",'Calendario F'!A8)</f>
        <v>1F</v>
      </c>
      <c r="B858" s="159" t="str">
        <f>IF('Calendario F'!B8="","",'Calendario F'!B8)</f>
        <v>GIORNATA I - GIRONE F</v>
      </c>
      <c r="C858" s="124"/>
      <c r="D858" s="124"/>
      <c r="E858" s="124"/>
      <c r="F858" s="124"/>
      <c r="G858" s="124"/>
      <c r="H858" s="124"/>
      <c r="I858" s="124"/>
      <c r="J858" s="124"/>
      <c r="K858" s="124"/>
      <c r="L858" s="125"/>
      <c r="M858" s="205" t="s">
        <v>492</v>
      </c>
      <c r="N858" s="124"/>
      <c r="O858" s="125"/>
      <c r="P858" s="205" t="s">
        <v>493</v>
      </c>
      <c r="Q858" s="124"/>
      <c r="R858" s="125"/>
    </row>
    <row r="859" spans="1:18" ht="14.1" customHeight="1" x14ac:dyDescent="0.25">
      <c r="A859" s="58" t="s">
        <v>193</v>
      </c>
      <c r="B859" s="157" t="s">
        <v>175</v>
      </c>
      <c r="C859" s="125"/>
      <c r="D859" s="157" t="s">
        <v>182</v>
      </c>
      <c r="E859" s="125"/>
      <c r="F859" s="58" t="s">
        <v>194</v>
      </c>
      <c r="G859" s="58" t="s">
        <v>195</v>
      </c>
      <c r="H859" s="157" t="s">
        <v>196</v>
      </c>
      <c r="I859" s="125"/>
      <c r="J859" s="157" t="s">
        <v>197</v>
      </c>
      <c r="K859" s="124"/>
      <c r="L859" s="125"/>
      <c r="M859" s="107" t="s">
        <v>494</v>
      </c>
      <c r="N859" s="107" t="s">
        <v>495</v>
      </c>
      <c r="O859" s="107" t="s">
        <v>496</v>
      </c>
      <c r="P859" s="107" t="s">
        <v>497</v>
      </c>
      <c r="Q859" s="107" t="s">
        <v>498</v>
      </c>
      <c r="R859" s="107" t="s">
        <v>499</v>
      </c>
    </row>
    <row r="860" spans="1:18" ht="21.95" customHeight="1" x14ac:dyDescent="0.25">
      <c r="A860" s="158">
        <f>IF('Calendario F'!A10="","",'Calendario F'!A10)</f>
        <v>226</v>
      </c>
      <c r="B860" s="44" t="str">
        <f>IF('Calendario F'!B10="","",'Calendario F'!B10)</f>
        <v/>
      </c>
      <c r="C860" s="45" t="str">
        <f>IF('Calendario F'!C10="","",'Calendario F'!C10)</f>
        <v/>
      </c>
      <c r="D860" s="44" t="str">
        <f>IF('Calendario F'!D10="","",'Calendario F'!D10)</f>
        <v/>
      </c>
      <c r="E860" s="45" t="str">
        <f>IF('Calendario F'!E10="","",'Calendario F'!E10)</f>
        <v/>
      </c>
      <c r="F860" s="138" t="str">
        <f>IF('Calendario F'!F10="","",'Calendario F'!F10)</f>
        <v/>
      </c>
      <c r="G860" s="124"/>
      <c r="H860" s="124"/>
      <c r="I860" s="125"/>
      <c r="J860" s="202" t="str">
        <f>IF('Calendario F'!J10="","",'Calendario F'!J10)</f>
        <v/>
      </c>
      <c r="K860" s="201" t="s">
        <v>198</v>
      </c>
      <c r="L860" s="202" t="str">
        <f>IF('Calendario F'!L10="","",'Calendario F'!L10)</f>
        <v/>
      </c>
      <c r="M860" s="200"/>
      <c r="N860" s="200"/>
      <c r="O860" s="200"/>
      <c r="P860" s="200"/>
      <c r="Q860" s="200"/>
      <c r="R860" s="200"/>
    </row>
    <row r="861" spans="1:18" ht="15" customHeight="1" x14ac:dyDescent="0.25">
      <c r="A861" s="133"/>
      <c r="B861" s="136" t="str">
        <f>IF('Calendario F'!B11="","",'Calendario F'!B11)</f>
        <v/>
      </c>
      <c r="C861" s="124"/>
      <c r="D861" s="124"/>
      <c r="E861" s="124"/>
      <c r="F861" s="124"/>
      <c r="G861" s="124"/>
      <c r="H861" s="125"/>
      <c r="I861" s="45" t="str">
        <f>IF('Calendario F'!I11="","",'Calendario F'!I11)</f>
        <v/>
      </c>
      <c r="J861" s="133"/>
      <c r="K861" s="133"/>
      <c r="L861" s="133"/>
      <c r="M861" s="133"/>
      <c r="N861" s="133"/>
      <c r="O861" s="133"/>
      <c r="P861" s="133"/>
      <c r="Q861" s="133"/>
      <c r="R861" s="133"/>
    </row>
    <row r="862" spans="1:18" ht="14.1" customHeight="1" x14ac:dyDescent="0.25">
      <c r="A862" s="58" t="s">
        <v>193</v>
      </c>
      <c r="B862" s="157" t="s">
        <v>175</v>
      </c>
      <c r="C862" s="125"/>
      <c r="D862" s="157" t="s">
        <v>182</v>
      </c>
      <c r="E862" s="125"/>
      <c r="F862" s="58" t="s">
        <v>194</v>
      </c>
      <c r="G862" s="58" t="s">
        <v>195</v>
      </c>
      <c r="H862" s="157" t="s">
        <v>196</v>
      </c>
      <c r="I862" s="125"/>
      <c r="J862" s="157" t="s">
        <v>197</v>
      </c>
      <c r="K862" s="124"/>
      <c r="L862" s="125"/>
      <c r="M862" s="107" t="s">
        <v>494</v>
      </c>
      <c r="N862" s="107" t="s">
        <v>495</v>
      </c>
      <c r="O862" s="107" t="s">
        <v>496</v>
      </c>
      <c r="P862" s="107" t="s">
        <v>497</v>
      </c>
      <c r="Q862" s="107" t="s">
        <v>498</v>
      </c>
      <c r="R862" s="107" t="s">
        <v>499</v>
      </c>
    </row>
    <row r="863" spans="1:18" ht="21.95" customHeight="1" x14ac:dyDescent="0.25">
      <c r="A863" s="158">
        <f>IF('Calendario F'!A13="","",'Calendario F'!A13)</f>
        <v>227</v>
      </c>
      <c r="B863" s="44" t="str">
        <f>IF('Calendario F'!B13="","",'Calendario F'!B13)</f>
        <v/>
      </c>
      <c r="C863" s="45" t="str">
        <f>IF('Calendario F'!C13="","",'Calendario F'!C13)</f>
        <v/>
      </c>
      <c r="D863" s="44" t="str">
        <f>IF('Calendario F'!D13="","",'Calendario F'!D13)</f>
        <v/>
      </c>
      <c r="E863" s="45" t="str">
        <f>IF('Calendario F'!E13="","",'Calendario F'!E13)</f>
        <v/>
      </c>
      <c r="F863" s="138" t="str">
        <f>IF('Calendario F'!F13="","",'Calendario F'!F13)</f>
        <v/>
      </c>
      <c r="G863" s="124"/>
      <c r="H863" s="124"/>
      <c r="I863" s="125"/>
      <c r="J863" s="202" t="str">
        <f>IF('Calendario F'!J13="","",'Calendario F'!J13)</f>
        <v/>
      </c>
      <c r="K863" s="201" t="s">
        <v>198</v>
      </c>
      <c r="L863" s="202" t="str">
        <f>IF('Calendario F'!L13="","",'Calendario F'!L13)</f>
        <v/>
      </c>
      <c r="M863" s="200"/>
      <c r="N863" s="200"/>
      <c r="O863" s="200"/>
      <c r="P863" s="200"/>
      <c r="Q863" s="200"/>
      <c r="R863" s="200"/>
    </row>
    <row r="864" spans="1:18" ht="15" customHeight="1" x14ac:dyDescent="0.25">
      <c r="A864" s="133"/>
      <c r="B864" s="136" t="str">
        <f>IF('Calendario F'!B14="","",'Calendario F'!B14)</f>
        <v/>
      </c>
      <c r="C864" s="124"/>
      <c r="D864" s="124"/>
      <c r="E864" s="124"/>
      <c r="F864" s="124"/>
      <c r="G864" s="124"/>
      <c r="H864" s="125"/>
      <c r="I864" s="45" t="str">
        <f>IF('Calendario F'!I14="","",'Calendario F'!I14)</f>
        <v/>
      </c>
      <c r="J864" s="133"/>
      <c r="K864" s="133"/>
      <c r="L864" s="133"/>
      <c r="M864" s="133"/>
      <c r="N864" s="133"/>
      <c r="O864" s="133"/>
      <c r="P864" s="133"/>
      <c r="Q864" s="133"/>
      <c r="R864" s="133"/>
    </row>
    <row r="865" spans="1:18" ht="14.1" customHeight="1" x14ac:dyDescent="0.25">
      <c r="A865" s="58" t="s">
        <v>193</v>
      </c>
      <c r="B865" s="157" t="s">
        <v>175</v>
      </c>
      <c r="C865" s="125"/>
      <c r="D865" s="157" t="s">
        <v>182</v>
      </c>
      <c r="E865" s="125"/>
      <c r="F865" s="58" t="s">
        <v>194</v>
      </c>
      <c r="G865" s="58" t="s">
        <v>195</v>
      </c>
      <c r="H865" s="157" t="s">
        <v>196</v>
      </c>
      <c r="I865" s="125"/>
      <c r="J865" s="157" t="s">
        <v>197</v>
      </c>
      <c r="K865" s="124"/>
      <c r="L865" s="125"/>
      <c r="M865" s="107" t="s">
        <v>494</v>
      </c>
      <c r="N865" s="107" t="s">
        <v>495</v>
      </c>
      <c r="O865" s="107" t="s">
        <v>496</v>
      </c>
      <c r="P865" s="107" t="s">
        <v>497</v>
      </c>
      <c r="Q865" s="107" t="s">
        <v>498</v>
      </c>
      <c r="R865" s="107" t="s">
        <v>499</v>
      </c>
    </row>
    <row r="866" spans="1:18" ht="21.95" customHeight="1" x14ac:dyDescent="0.25">
      <c r="A866" s="158">
        <f>IF('Calendario F'!A16="","",'Calendario F'!A16)</f>
        <v>228</v>
      </c>
      <c r="B866" s="44" t="str">
        <f>IF('Calendario F'!B16="","",'Calendario F'!B16)</f>
        <v/>
      </c>
      <c r="C866" s="45" t="str">
        <f>IF('Calendario F'!C16="","",'Calendario F'!C16)</f>
        <v/>
      </c>
      <c r="D866" s="44" t="str">
        <f>IF('Calendario F'!D16="","",'Calendario F'!D16)</f>
        <v/>
      </c>
      <c r="E866" s="45" t="str">
        <f>IF('Calendario F'!E16="","",'Calendario F'!E16)</f>
        <v/>
      </c>
      <c r="F866" s="138" t="str">
        <f>IF('Calendario F'!F16="","",'Calendario F'!F16)</f>
        <v/>
      </c>
      <c r="G866" s="124"/>
      <c r="H866" s="124"/>
      <c r="I866" s="125"/>
      <c r="J866" s="202" t="str">
        <f>IF('Calendario F'!J16="","",'Calendario F'!J16)</f>
        <v/>
      </c>
      <c r="K866" s="201" t="s">
        <v>198</v>
      </c>
      <c r="L866" s="202" t="str">
        <f>IF('Calendario F'!L16="","",'Calendario F'!L16)</f>
        <v/>
      </c>
      <c r="M866" s="200"/>
      <c r="N866" s="200"/>
      <c r="O866" s="200"/>
      <c r="P866" s="200"/>
      <c r="Q866" s="200"/>
      <c r="R866" s="200"/>
    </row>
    <row r="867" spans="1:18" ht="15" customHeight="1" x14ac:dyDescent="0.25">
      <c r="A867" s="133"/>
      <c r="B867" s="136" t="str">
        <f>IF('Calendario F'!B17="","",'Calendario F'!B17)</f>
        <v/>
      </c>
      <c r="C867" s="124"/>
      <c r="D867" s="124"/>
      <c r="E867" s="124"/>
      <c r="F867" s="124"/>
      <c r="G867" s="124"/>
      <c r="H867" s="125"/>
      <c r="I867" s="45" t="str">
        <f>IF('Calendario F'!I17="","",'Calendario F'!I17)</f>
        <v/>
      </c>
      <c r="J867" s="133"/>
      <c r="K867" s="133"/>
      <c r="L867" s="133"/>
      <c r="M867" s="133"/>
      <c r="N867" s="133"/>
      <c r="O867" s="133"/>
      <c r="P867" s="133"/>
      <c r="Q867" s="133"/>
      <c r="R867" s="133"/>
    </row>
    <row r="868" spans="1:18" ht="14.1" customHeight="1" x14ac:dyDescent="0.25">
      <c r="A868" s="58" t="s">
        <v>193</v>
      </c>
      <c r="B868" s="157" t="s">
        <v>175</v>
      </c>
      <c r="C868" s="125"/>
      <c r="D868" s="157" t="s">
        <v>182</v>
      </c>
      <c r="E868" s="125"/>
      <c r="F868" s="58" t="s">
        <v>194</v>
      </c>
      <c r="G868" s="58" t="s">
        <v>195</v>
      </c>
      <c r="H868" s="157" t="s">
        <v>196</v>
      </c>
      <c r="I868" s="125"/>
      <c r="J868" s="157" t="s">
        <v>197</v>
      </c>
      <c r="K868" s="124"/>
      <c r="L868" s="125"/>
      <c r="M868" s="107" t="s">
        <v>494</v>
      </c>
      <c r="N868" s="107" t="s">
        <v>495</v>
      </c>
      <c r="O868" s="107" t="s">
        <v>496</v>
      </c>
      <c r="P868" s="107" t="s">
        <v>497</v>
      </c>
      <c r="Q868" s="107" t="s">
        <v>498</v>
      </c>
      <c r="R868" s="107" t="s">
        <v>499</v>
      </c>
    </row>
    <row r="869" spans="1:18" ht="21.95" customHeight="1" x14ac:dyDescent="0.25">
      <c r="A869" s="158">
        <f>IF('Calendario F'!A19="","",'Calendario F'!A19)</f>
        <v>229</v>
      </c>
      <c r="B869" s="44" t="str">
        <f>IF('Calendario F'!B19="","",'Calendario F'!B19)</f>
        <v/>
      </c>
      <c r="C869" s="45" t="str">
        <f>IF('Calendario F'!C19="","",'Calendario F'!C19)</f>
        <v/>
      </c>
      <c r="D869" s="44" t="str">
        <f>IF('Calendario F'!D19="","",'Calendario F'!D19)</f>
        <v/>
      </c>
      <c r="E869" s="45" t="str">
        <f>IF('Calendario F'!E19="","",'Calendario F'!E19)</f>
        <v/>
      </c>
      <c r="F869" s="138" t="str">
        <f>IF('Calendario F'!F19="","",'Calendario F'!F19)</f>
        <v/>
      </c>
      <c r="G869" s="124"/>
      <c r="H869" s="124"/>
      <c r="I869" s="125"/>
      <c r="J869" s="202" t="str">
        <f>IF('Calendario F'!J19="","",'Calendario F'!J19)</f>
        <v/>
      </c>
      <c r="K869" s="201" t="s">
        <v>198</v>
      </c>
      <c r="L869" s="202" t="str">
        <f>IF('Calendario F'!L19="","",'Calendario F'!L19)</f>
        <v/>
      </c>
      <c r="M869" s="200"/>
      <c r="N869" s="200"/>
      <c r="O869" s="200"/>
      <c r="P869" s="200"/>
      <c r="Q869" s="200"/>
      <c r="R869" s="200"/>
    </row>
    <row r="870" spans="1:18" ht="15" customHeight="1" x14ac:dyDescent="0.25">
      <c r="A870" s="133"/>
      <c r="B870" s="136" t="str">
        <f>IF('Calendario F'!B20="","",'Calendario F'!B20)</f>
        <v/>
      </c>
      <c r="C870" s="124"/>
      <c r="D870" s="124"/>
      <c r="E870" s="124"/>
      <c r="F870" s="124"/>
      <c r="G870" s="124"/>
      <c r="H870" s="125"/>
      <c r="I870" s="45" t="str">
        <f>IF('Calendario F'!I20="","",'Calendario F'!I20)</f>
        <v/>
      </c>
      <c r="J870" s="133"/>
      <c r="K870" s="133"/>
      <c r="L870" s="133"/>
      <c r="M870" s="133"/>
      <c r="N870" s="133"/>
      <c r="O870" s="133"/>
      <c r="P870" s="133"/>
      <c r="Q870" s="133"/>
      <c r="R870" s="133"/>
    </row>
    <row r="871" spans="1:18" ht="14.1" customHeight="1" x14ac:dyDescent="0.25">
      <c r="A871" s="58" t="s">
        <v>193</v>
      </c>
      <c r="B871" s="157" t="s">
        <v>175</v>
      </c>
      <c r="C871" s="125"/>
      <c r="D871" s="157" t="s">
        <v>182</v>
      </c>
      <c r="E871" s="125"/>
      <c r="F871" s="58" t="s">
        <v>194</v>
      </c>
      <c r="G871" s="58" t="s">
        <v>195</v>
      </c>
      <c r="H871" s="157" t="s">
        <v>196</v>
      </c>
      <c r="I871" s="125"/>
      <c r="J871" s="157" t="s">
        <v>197</v>
      </c>
      <c r="K871" s="124"/>
      <c r="L871" s="125"/>
      <c r="M871" s="107" t="s">
        <v>494</v>
      </c>
      <c r="N871" s="107" t="s">
        <v>495</v>
      </c>
      <c r="O871" s="107" t="s">
        <v>496</v>
      </c>
      <c r="P871" s="107" t="s">
        <v>497</v>
      </c>
      <c r="Q871" s="107" t="s">
        <v>498</v>
      </c>
      <c r="R871" s="107" t="s">
        <v>499</v>
      </c>
    </row>
    <row r="872" spans="1:18" ht="21.95" customHeight="1" x14ac:dyDescent="0.25">
      <c r="A872" s="158">
        <f>IF('Calendario F'!A22="","",'Calendario F'!A22)</f>
        <v>230</v>
      </c>
      <c r="B872" s="44" t="str">
        <f>IF('Calendario F'!B22="","",'Calendario F'!B22)</f>
        <v/>
      </c>
      <c r="C872" s="45" t="str">
        <f>IF('Calendario F'!C22="","",'Calendario F'!C22)</f>
        <v/>
      </c>
      <c r="D872" s="44" t="str">
        <f>IF('Calendario F'!D22="","",'Calendario F'!D22)</f>
        <v/>
      </c>
      <c r="E872" s="45" t="str">
        <f>IF('Calendario F'!E22="","",'Calendario F'!E22)</f>
        <v/>
      </c>
      <c r="F872" s="138" t="str">
        <f>IF('Calendario F'!F22="","",'Calendario F'!F22)</f>
        <v/>
      </c>
      <c r="G872" s="124"/>
      <c r="H872" s="124"/>
      <c r="I872" s="125"/>
      <c r="J872" s="202" t="str">
        <f>IF('Calendario F'!J22="","",'Calendario F'!J22)</f>
        <v/>
      </c>
      <c r="K872" s="201" t="s">
        <v>198</v>
      </c>
      <c r="L872" s="202" t="str">
        <f>IF('Calendario F'!L22="","",'Calendario F'!L22)</f>
        <v/>
      </c>
      <c r="M872" s="200"/>
      <c r="N872" s="200"/>
      <c r="O872" s="200"/>
      <c r="P872" s="200"/>
      <c r="Q872" s="200"/>
      <c r="R872" s="200"/>
    </row>
    <row r="873" spans="1:18" ht="15" customHeight="1" x14ac:dyDescent="0.25">
      <c r="A873" s="133"/>
      <c r="B873" s="136" t="str">
        <f>IF('Calendario F'!B23="","",'Calendario F'!B23)</f>
        <v/>
      </c>
      <c r="C873" s="124"/>
      <c r="D873" s="124"/>
      <c r="E873" s="124"/>
      <c r="F873" s="124"/>
      <c r="G873" s="124"/>
      <c r="H873" s="125"/>
      <c r="I873" s="45" t="str">
        <f>IF('Calendario F'!I23="","",'Calendario F'!I23)</f>
        <v/>
      </c>
      <c r="J873" s="133"/>
      <c r="K873" s="133"/>
      <c r="L873" s="133"/>
      <c r="M873" s="133"/>
      <c r="N873" s="133"/>
      <c r="O873" s="133"/>
      <c r="P873" s="133"/>
      <c r="Q873" s="133"/>
      <c r="R873" s="133"/>
    </row>
    <row r="875" spans="1:18" ht="20.100000000000001" customHeight="1" x14ac:dyDescent="0.25">
      <c r="A875" s="57" t="str">
        <f>IF('Calendario F'!A25="","",'Calendario F'!A25)</f>
        <v>2F</v>
      </c>
      <c r="B875" s="159" t="str">
        <f>IF('Calendario F'!B25="","",'Calendario F'!B25)</f>
        <v>GIORNATA II - GIRONE F</v>
      </c>
      <c r="C875" s="124"/>
      <c r="D875" s="124"/>
      <c r="E875" s="124"/>
      <c r="F875" s="124"/>
      <c r="G875" s="124"/>
      <c r="H875" s="124"/>
      <c r="I875" s="124"/>
      <c r="J875" s="124"/>
      <c r="K875" s="124"/>
      <c r="L875" s="125"/>
      <c r="M875" s="205" t="s">
        <v>492</v>
      </c>
      <c r="N875" s="124"/>
      <c r="O875" s="125"/>
      <c r="P875" s="205" t="s">
        <v>493</v>
      </c>
      <c r="Q875" s="124"/>
      <c r="R875" s="125"/>
    </row>
    <row r="876" spans="1:18" ht="14.1" customHeight="1" x14ac:dyDescent="0.25">
      <c r="A876" s="58" t="s">
        <v>193</v>
      </c>
      <c r="B876" s="157" t="s">
        <v>175</v>
      </c>
      <c r="C876" s="125"/>
      <c r="D876" s="157" t="s">
        <v>182</v>
      </c>
      <c r="E876" s="125"/>
      <c r="F876" s="58" t="s">
        <v>194</v>
      </c>
      <c r="G876" s="58" t="s">
        <v>195</v>
      </c>
      <c r="H876" s="157" t="s">
        <v>196</v>
      </c>
      <c r="I876" s="125"/>
      <c r="J876" s="157" t="s">
        <v>197</v>
      </c>
      <c r="K876" s="124"/>
      <c r="L876" s="125"/>
      <c r="M876" s="107" t="s">
        <v>494</v>
      </c>
      <c r="N876" s="107" t="s">
        <v>495</v>
      </c>
      <c r="O876" s="107" t="s">
        <v>496</v>
      </c>
      <c r="P876" s="107" t="s">
        <v>497</v>
      </c>
      <c r="Q876" s="107" t="s">
        <v>498</v>
      </c>
      <c r="R876" s="107" t="s">
        <v>499</v>
      </c>
    </row>
    <row r="877" spans="1:18" ht="21.95" customHeight="1" x14ac:dyDescent="0.25">
      <c r="A877" s="158">
        <f>IF('Calendario F'!A27="","",'Calendario F'!A27)</f>
        <v>231</v>
      </c>
      <c r="B877" s="44" t="str">
        <f>IF('Calendario F'!B27="","",'Calendario F'!B27)</f>
        <v/>
      </c>
      <c r="C877" s="45" t="str">
        <f>IF('Calendario F'!C27="","",'Calendario F'!C27)</f>
        <v/>
      </c>
      <c r="D877" s="44" t="str">
        <f>IF('Calendario F'!D27="","",'Calendario F'!D27)</f>
        <v/>
      </c>
      <c r="E877" s="45" t="str">
        <f>IF('Calendario F'!E27="","",'Calendario F'!E27)</f>
        <v/>
      </c>
      <c r="F877" s="138" t="str">
        <f>IF('Calendario F'!F27="","",'Calendario F'!F27)</f>
        <v/>
      </c>
      <c r="G877" s="124"/>
      <c r="H877" s="124"/>
      <c r="I877" s="125"/>
      <c r="J877" s="202" t="str">
        <f>IF('Calendario F'!J27="","",'Calendario F'!J27)</f>
        <v/>
      </c>
      <c r="K877" s="201" t="s">
        <v>198</v>
      </c>
      <c r="L877" s="202" t="str">
        <f>IF('Calendario F'!L27="","",'Calendario F'!L27)</f>
        <v/>
      </c>
      <c r="M877" s="200"/>
      <c r="N877" s="200"/>
      <c r="O877" s="200"/>
      <c r="P877" s="200"/>
      <c r="Q877" s="200"/>
      <c r="R877" s="200"/>
    </row>
    <row r="878" spans="1:18" ht="15" customHeight="1" x14ac:dyDescent="0.25">
      <c r="A878" s="133"/>
      <c r="B878" s="136" t="str">
        <f>IF('Calendario F'!B28="","",'Calendario F'!B28)</f>
        <v/>
      </c>
      <c r="C878" s="124"/>
      <c r="D878" s="124"/>
      <c r="E878" s="124"/>
      <c r="F878" s="124"/>
      <c r="G878" s="124"/>
      <c r="H878" s="125"/>
      <c r="I878" s="45" t="str">
        <f>IF('Calendario F'!I28="","",'Calendario F'!I28)</f>
        <v/>
      </c>
      <c r="J878" s="133"/>
      <c r="K878" s="133"/>
      <c r="L878" s="133"/>
      <c r="M878" s="133"/>
      <c r="N878" s="133"/>
      <c r="O878" s="133"/>
      <c r="P878" s="133"/>
      <c r="Q878" s="133"/>
      <c r="R878" s="133"/>
    </row>
    <row r="879" spans="1:18" ht="14.1" customHeight="1" x14ac:dyDescent="0.25">
      <c r="A879" s="58" t="s">
        <v>193</v>
      </c>
      <c r="B879" s="157" t="s">
        <v>175</v>
      </c>
      <c r="C879" s="125"/>
      <c r="D879" s="157" t="s">
        <v>182</v>
      </c>
      <c r="E879" s="125"/>
      <c r="F879" s="58" t="s">
        <v>194</v>
      </c>
      <c r="G879" s="58" t="s">
        <v>195</v>
      </c>
      <c r="H879" s="157" t="s">
        <v>196</v>
      </c>
      <c r="I879" s="125"/>
      <c r="J879" s="157" t="s">
        <v>197</v>
      </c>
      <c r="K879" s="124"/>
      <c r="L879" s="125"/>
      <c r="M879" s="107" t="s">
        <v>494</v>
      </c>
      <c r="N879" s="107" t="s">
        <v>495</v>
      </c>
      <c r="O879" s="107" t="s">
        <v>496</v>
      </c>
      <c r="P879" s="107" t="s">
        <v>497</v>
      </c>
      <c r="Q879" s="107" t="s">
        <v>498</v>
      </c>
      <c r="R879" s="107" t="s">
        <v>499</v>
      </c>
    </row>
    <row r="880" spans="1:18" ht="21.95" customHeight="1" x14ac:dyDescent="0.25">
      <c r="A880" s="158">
        <f>IF('Calendario F'!A30="","",'Calendario F'!A30)</f>
        <v>232</v>
      </c>
      <c r="B880" s="44" t="str">
        <f>IF('Calendario F'!B30="","",'Calendario F'!B30)</f>
        <v/>
      </c>
      <c r="C880" s="45" t="str">
        <f>IF('Calendario F'!C30="","",'Calendario F'!C30)</f>
        <v/>
      </c>
      <c r="D880" s="44" t="str">
        <f>IF('Calendario F'!D30="","",'Calendario F'!D30)</f>
        <v/>
      </c>
      <c r="E880" s="45" t="str">
        <f>IF('Calendario F'!E30="","",'Calendario F'!E30)</f>
        <v/>
      </c>
      <c r="F880" s="138" t="str">
        <f>IF('Calendario F'!F30="","",'Calendario F'!F30)</f>
        <v/>
      </c>
      <c r="G880" s="124"/>
      <c r="H880" s="124"/>
      <c r="I880" s="125"/>
      <c r="J880" s="202" t="str">
        <f>IF('Calendario F'!J30="","",'Calendario F'!J30)</f>
        <v/>
      </c>
      <c r="K880" s="201" t="s">
        <v>198</v>
      </c>
      <c r="L880" s="202" t="str">
        <f>IF('Calendario F'!L30="","",'Calendario F'!L30)</f>
        <v/>
      </c>
      <c r="M880" s="200"/>
      <c r="N880" s="200"/>
      <c r="O880" s="200"/>
      <c r="P880" s="200"/>
      <c r="Q880" s="200"/>
      <c r="R880" s="200"/>
    </row>
    <row r="881" spans="1:18" ht="15" customHeight="1" x14ac:dyDescent="0.25">
      <c r="A881" s="133"/>
      <c r="B881" s="136" t="str">
        <f>IF('Calendario F'!B31="","",'Calendario F'!B31)</f>
        <v/>
      </c>
      <c r="C881" s="124"/>
      <c r="D881" s="124"/>
      <c r="E881" s="124"/>
      <c r="F881" s="124"/>
      <c r="G881" s="124"/>
      <c r="H881" s="125"/>
      <c r="I881" s="45" t="str">
        <f>IF('Calendario F'!I31="","",'Calendario F'!I31)</f>
        <v/>
      </c>
      <c r="J881" s="133"/>
      <c r="K881" s="133"/>
      <c r="L881" s="133"/>
      <c r="M881" s="133"/>
      <c r="N881" s="133"/>
      <c r="O881" s="133"/>
      <c r="P881" s="133"/>
      <c r="Q881" s="133"/>
      <c r="R881" s="133"/>
    </row>
    <row r="882" spans="1:18" ht="14.1" customHeight="1" x14ac:dyDescent="0.25">
      <c r="A882" s="58" t="s">
        <v>193</v>
      </c>
      <c r="B882" s="157" t="s">
        <v>175</v>
      </c>
      <c r="C882" s="125"/>
      <c r="D882" s="157" t="s">
        <v>182</v>
      </c>
      <c r="E882" s="125"/>
      <c r="F882" s="58" t="s">
        <v>194</v>
      </c>
      <c r="G882" s="58" t="s">
        <v>195</v>
      </c>
      <c r="H882" s="157" t="s">
        <v>196</v>
      </c>
      <c r="I882" s="125"/>
      <c r="J882" s="157" t="s">
        <v>197</v>
      </c>
      <c r="K882" s="124"/>
      <c r="L882" s="125"/>
      <c r="M882" s="107" t="s">
        <v>494</v>
      </c>
      <c r="N882" s="107" t="s">
        <v>495</v>
      </c>
      <c r="O882" s="107" t="s">
        <v>496</v>
      </c>
      <c r="P882" s="107" t="s">
        <v>497</v>
      </c>
      <c r="Q882" s="107" t="s">
        <v>498</v>
      </c>
      <c r="R882" s="107" t="s">
        <v>499</v>
      </c>
    </row>
    <row r="883" spans="1:18" ht="21.95" customHeight="1" x14ac:dyDescent="0.25">
      <c r="A883" s="158">
        <f>IF('Calendario F'!A33="","",'Calendario F'!A33)</f>
        <v>233</v>
      </c>
      <c r="B883" s="44" t="str">
        <f>IF('Calendario F'!B33="","",'Calendario F'!B33)</f>
        <v/>
      </c>
      <c r="C883" s="45" t="str">
        <f>IF('Calendario F'!C33="","",'Calendario F'!C33)</f>
        <v/>
      </c>
      <c r="D883" s="44" t="str">
        <f>IF('Calendario F'!D33="","",'Calendario F'!D33)</f>
        <v/>
      </c>
      <c r="E883" s="45" t="str">
        <f>IF('Calendario F'!E33="","",'Calendario F'!E33)</f>
        <v/>
      </c>
      <c r="F883" s="138" t="str">
        <f>IF('Calendario F'!F33="","",'Calendario F'!F33)</f>
        <v/>
      </c>
      <c r="G883" s="124"/>
      <c r="H883" s="124"/>
      <c r="I883" s="125"/>
      <c r="J883" s="202" t="str">
        <f>IF('Calendario F'!J33="","",'Calendario F'!J33)</f>
        <v/>
      </c>
      <c r="K883" s="201" t="s">
        <v>198</v>
      </c>
      <c r="L883" s="202" t="str">
        <f>IF('Calendario F'!L33="","",'Calendario F'!L33)</f>
        <v/>
      </c>
      <c r="M883" s="200"/>
      <c r="N883" s="200"/>
      <c r="O883" s="200"/>
      <c r="P883" s="200"/>
      <c r="Q883" s="200"/>
      <c r="R883" s="200"/>
    </row>
    <row r="884" spans="1:18" ht="15" customHeight="1" x14ac:dyDescent="0.25">
      <c r="A884" s="133"/>
      <c r="B884" s="136" t="str">
        <f>IF('Calendario F'!B34="","",'Calendario F'!B34)</f>
        <v/>
      </c>
      <c r="C884" s="124"/>
      <c r="D884" s="124"/>
      <c r="E884" s="124"/>
      <c r="F884" s="124"/>
      <c r="G884" s="124"/>
      <c r="H884" s="125"/>
      <c r="I884" s="45" t="str">
        <f>IF('Calendario F'!I34="","",'Calendario F'!I34)</f>
        <v/>
      </c>
      <c r="J884" s="133"/>
      <c r="K884" s="133"/>
      <c r="L884" s="133"/>
      <c r="M884" s="133"/>
      <c r="N884" s="133"/>
      <c r="O884" s="133"/>
      <c r="P884" s="133"/>
      <c r="Q884" s="133"/>
      <c r="R884" s="133"/>
    </row>
    <row r="885" spans="1:18" ht="14.1" customHeight="1" x14ac:dyDescent="0.25">
      <c r="A885" s="58" t="s">
        <v>193</v>
      </c>
      <c r="B885" s="157" t="s">
        <v>175</v>
      </c>
      <c r="C885" s="125"/>
      <c r="D885" s="157" t="s">
        <v>182</v>
      </c>
      <c r="E885" s="125"/>
      <c r="F885" s="58" t="s">
        <v>194</v>
      </c>
      <c r="G885" s="58" t="s">
        <v>195</v>
      </c>
      <c r="H885" s="157" t="s">
        <v>196</v>
      </c>
      <c r="I885" s="125"/>
      <c r="J885" s="157" t="s">
        <v>197</v>
      </c>
      <c r="K885" s="124"/>
      <c r="L885" s="125"/>
      <c r="M885" s="107" t="s">
        <v>494</v>
      </c>
      <c r="N885" s="107" t="s">
        <v>495</v>
      </c>
      <c r="O885" s="107" t="s">
        <v>496</v>
      </c>
      <c r="P885" s="107" t="s">
        <v>497</v>
      </c>
      <c r="Q885" s="107" t="s">
        <v>498</v>
      </c>
      <c r="R885" s="107" t="s">
        <v>499</v>
      </c>
    </row>
    <row r="886" spans="1:18" ht="21.95" customHeight="1" x14ac:dyDescent="0.25">
      <c r="A886" s="158">
        <f>IF('Calendario F'!A36="","",'Calendario F'!A36)</f>
        <v>234</v>
      </c>
      <c r="B886" s="44" t="str">
        <f>IF('Calendario F'!B36="","",'Calendario F'!B36)</f>
        <v/>
      </c>
      <c r="C886" s="45" t="str">
        <f>IF('Calendario F'!C36="","",'Calendario F'!C36)</f>
        <v/>
      </c>
      <c r="D886" s="44" t="str">
        <f>IF('Calendario F'!D36="","",'Calendario F'!D36)</f>
        <v/>
      </c>
      <c r="E886" s="45" t="str">
        <f>IF('Calendario F'!E36="","",'Calendario F'!E36)</f>
        <v/>
      </c>
      <c r="F886" s="138" t="str">
        <f>IF('Calendario F'!F36="","",'Calendario F'!F36)</f>
        <v/>
      </c>
      <c r="G886" s="124"/>
      <c r="H886" s="124"/>
      <c r="I886" s="125"/>
      <c r="J886" s="202" t="str">
        <f>IF('Calendario F'!J36="","",'Calendario F'!J36)</f>
        <v/>
      </c>
      <c r="K886" s="201" t="s">
        <v>198</v>
      </c>
      <c r="L886" s="202" t="str">
        <f>IF('Calendario F'!L36="","",'Calendario F'!L36)</f>
        <v/>
      </c>
      <c r="M886" s="200"/>
      <c r="N886" s="200"/>
      <c r="O886" s="200"/>
      <c r="P886" s="200"/>
      <c r="Q886" s="200"/>
      <c r="R886" s="200"/>
    </row>
    <row r="887" spans="1:18" ht="15" customHeight="1" x14ac:dyDescent="0.25">
      <c r="A887" s="133"/>
      <c r="B887" s="136" t="str">
        <f>IF('Calendario F'!B37="","",'Calendario F'!B37)</f>
        <v/>
      </c>
      <c r="C887" s="124"/>
      <c r="D887" s="124"/>
      <c r="E887" s="124"/>
      <c r="F887" s="124"/>
      <c r="G887" s="124"/>
      <c r="H887" s="125"/>
      <c r="I887" s="45" t="str">
        <f>IF('Calendario F'!I37="","",'Calendario F'!I37)</f>
        <v/>
      </c>
      <c r="J887" s="133"/>
      <c r="K887" s="133"/>
      <c r="L887" s="133"/>
      <c r="M887" s="133"/>
      <c r="N887" s="133"/>
      <c r="O887" s="133"/>
      <c r="P887" s="133"/>
      <c r="Q887" s="133"/>
      <c r="R887" s="133"/>
    </row>
    <row r="888" spans="1:18" ht="14.1" customHeight="1" x14ac:dyDescent="0.25">
      <c r="A888" s="58" t="s">
        <v>193</v>
      </c>
      <c r="B888" s="157" t="s">
        <v>175</v>
      </c>
      <c r="C888" s="125"/>
      <c r="D888" s="157" t="s">
        <v>182</v>
      </c>
      <c r="E888" s="125"/>
      <c r="F888" s="58" t="s">
        <v>194</v>
      </c>
      <c r="G888" s="58" t="s">
        <v>195</v>
      </c>
      <c r="H888" s="157" t="s">
        <v>196</v>
      </c>
      <c r="I888" s="125"/>
      <c r="J888" s="157" t="s">
        <v>197</v>
      </c>
      <c r="K888" s="124"/>
      <c r="L888" s="125"/>
      <c r="M888" s="107" t="s">
        <v>494</v>
      </c>
      <c r="N888" s="107" t="s">
        <v>495</v>
      </c>
      <c r="O888" s="107" t="s">
        <v>496</v>
      </c>
      <c r="P888" s="107" t="s">
        <v>497</v>
      </c>
      <c r="Q888" s="107" t="s">
        <v>498</v>
      </c>
      <c r="R888" s="107" t="s">
        <v>499</v>
      </c>
    </row>
    <row r="889" spans="1:18" ht="21.95" customHeight="1" x14ac:dyDescent="0.25">
      <c r="A889" s="158">
        <f>IF('Calendario F'!A39="","",'Calendario F'!A39)</f>
        <v>235</v>
      </c>
      <c r="B889" s="44" t="str">
        <f>IF('Calendario F'!B39="","",'Calendario F'!B39)</f>
        <v/>
      </c>
      <c r="C889" s="45" t="str">
        <f>IF('Calendario F'!C39="","",'Calendario F'!C39)</f>
        <v/>
      </c>
      <c r="D889" s="44" t="str">
        <f>IF('Calendario F'!D39="","",'Calendario F'!D39)</f>
        <v/>
      </c>
      <c r="E889" s="45" t="str">
        <f>IF('Calendario F'!E39="","",'Calendario F'!E39)</f>
        <v/>
      </c>
      <c r="F889" s="138" t="str">
        <f>IF('Calendario F'!F39="","",'Calendario F'!F39)</f>
        <v/>
      </c>
      <c r="G889" s="124"/>
      <c r="H889" s="124"/>
      <c r="I889" s="125"/>
      <c r="J889" s="202" t="str">
        <f>IF('Calendario F'!J39="","",'Calendario F'!J39)</f>
        <v/>
      </c>
      <c r="K889" s="201" t="s">
        <v>198</v>
      </c>
      <c r="L889" s="202" t="str">
        <f>IF('Calendario F'!L39="","",'Calendario F'!L39)</f>
        <v/>
      </c>
      <c r="M889" s="200"/>
      <c r="N889" s="200"/>
      <c r="O889" s="200"/>
      <c r="P889" s="200"/>
      <c r="Q889" s="200"/>
      <c r="R889" s="200"/>
    </row>
    <row r="890" spans="1:18" ht="15" customHeight="1" x14ac:dyDescent="0.25">
      <c r="A890" s="133"/>
      <c r="B890" s="136" t="str">
        <f>IF('Calendario F'!B40="","",'Calendario F'!B40)</f>
        <v/>
      </c>
      <c r="C890" s="124"/>
      <c r="D890" s="124"/>
      <c r="E890" s="124"/>
      <c r="F890" s="124"/>
      <c r="G890" s="124"/>
      <c r="H890" s="125"/>
      <c r="I890" s="45" t="str">
        <f>IF('Calendario F'!I40="","",'Calendario F'!I40)</f>
        <v/>
      </c>
      <c r="J890" s="133"/>
      <c r="K890" s="133"/>
      <c r="L890" s="133"/>
      <c r="M890" s="133"/>
      <c r="N890" s="133"/>
      <c r="O890" s="133"/>
      <c r="P890" s="133"/>
      <c r="Q890" s="133"/>
      <c r="R890" s="133"/>
    </row>
    <row r="892" spans="1:18" ht="20.100000000000001" customHeight="1" x14ac:dyDescent="0.25">
      <c r="A892" s="57" t="str">
        <f>IF('Calendario F'!A42="","",'Calendario F'!A42)</f>
        <v>3F</v>
      </c>
      <c r="B892" s="159" t="str">
        <f>IF('Calendario F'!B42="","",'Calendario F'!B42)</f>
        <v>GIORNATA III - GIRONE F</v>
      </c>
      <c r="C892" s="124"/>
      <c r="D892" s="124"/>
      <c r="E892" s="124"/>
      <c r="F892" s="124"/>
      <c r="G892" s="124"/>
      <c r="H892" s="124"/>
      <c r="I892" s="124"/>
      <c r="J892" s="124"/>
      <c r="K892" s="124"/>
      <c r="L892" s="125"/>
      <c r="M892" s="205" t="s">
        <v>492</v>
      </c>
      <c r="N892" s="124"/>
      <c r="O892" s="125"/>
      <c r="P892" s="205" t="s">
        <v>493</v>
      </c>
      <c r="Q892" s="124"/>
      <c r="R892" s="125"/>
    </row>
    <row r="893" spans="1:18" ht="14.1" customHeight="1" x14ac:dyDescent="0.25">
      <c r="A893" s="58" t="s">
        <v>193</v>
      </c>
      <c r="B893" s="157" t="s">
        <v>175</v>
      </c>
      <c r="C893" s="125"/>
      <c r="D893" s="157" t="s">
        <v>182</v>
      </c>
      <c r="E893" s="125"/>
      <c r="F893" s="58" t="s">
        <v>194</v>
      </c>
      <c r="G893" s="58" t="s">
        <v>195</v>
      </c>
      <c r="H893" s="157" t="s">
        <v>196</v>
      </c>
      <c r="I893" s="125"/>
      <c r="J893" s="157" t="s">
        <v>197</v>
      </c>
      <c r="K893" s="124"/>
      <c r="L893" s="125"/>
      <c r="M893" s="107" t="s">
        <v>494</v>
      </c>
      <c r="N893" s="107" t="s">
        <v>495</v>
      </c>
      <c r="O893" s="107" t="s">
        <v>496</v>
      </c>
      <c r="P893" s="107" t="s">
        <v>497</v>
      </c>
      <c r="Q893" s="107" t="s">
        <v>498</v>
      </c>
      <c r="R893" s="107" t="s">
        <v>499</v>
      </c>
    </row>
    <row r="894" spans="1:18" ht="21.95" customHeight="1" x14ac:dyDescent="0.25">
      <c r="A894" s="158">
        <f>IF('Calendario F'!A44="","",'Calendario F'!A44)</f>
        <v>236</v>
      </c>
      <c r="B894" s="44" t="str">
        <f>IF('Calendario F'!B44="","",'Calendario F'!B44)</f>
        <v/>
      </c>
      <c r="C894" s="45" t="str">
        <f>IF('Calendario F'!C44="","",'Calendario F'!C44)</f>
        <v/>
      </c>
      <c r="D894" s="44" t="str">
        <f>IF('Calendario F'!D44="","",'Calendario F'!D44)</f>
        <v/>
      </c>
      <c r="E894" s="45" t="str">
        <f>IF('Calendario F'!E44="","",'Calendario F'!E44)</f>
        <v/>
      </c>
      <c r="F894" s="138" t="str">
        <f>IF('Calendario F'!F44="","",'Calendario F'!F44)</f>
        <v/>
      </c>
      <c r="G894" s="124"/>
      <c r="H894" s="124"/>
      <c r="I894" s="125"/>
      <c r="J894" s="202" t="str">
        <f>IF('Calendario F'!J44="","",'Calendario F'!J44)</f>
        <v/>
      </c>
      <c r="K894" s="201" t="s">
        <v>198</v>
      </c>
      <c r="L894" s="202" t="str">
        <f>IF('Calendario F'!L44="","",'Calendario F'!L44)</f>
        <v/>
      </c>
      <c r="M894" s="200"/>
      <c r="N894" s="200"/>
      <c r="O894" s="200"/>
      <c r="P894" s="200"/>
      <c r="Q894" s="200"/>
      <c r="R894" s="200"/>
    </row>
    <row r="895" spans="1:18" ht="15" customHeight="1" x14ac:dyDescent="0.25">
      <c r="A895" s="133"/>
      <c r="B895" s="136" t="str">
        <f>IF('Calendario F'!B45="","",'Calendario F'!B45)</f>
        <v/>
      </c>
      <c r="C895" s="124"/>
      <c r="D895" s="124"/>
      <c r="E895" s="124"/>
      <c r="F895" s="124"/>
      <c r="G895" s="124"/>
      <c r="H895" s="125"/>
      <c r="I895" s="45" t="str">
        <f>IF('Calendario F'!I45="","",'Calendario F'!I45)</f>
        <v/>
      </c>
      <c r="J895" s="133"/>
      <c r="K895" s="133"/>
      <c r="L895" s="133"/>
      <c r="M895" s="133"/>
      <c r="N895" s="133"/>
      <c r="O895" s="133"/>
      <c r="P895" s="133"/>
      <c r="Q895" s="133"/>
      <c r="R895" s="133"/>
    </row>
    <row r="896" spans="1:18" ht="14.1" customHeight="1" x14ac:dyDescent="0.25">
      <c r="A896" s="58" t="s">
        <v>193</v>
      </c>
      <c r="B896" s="157" t="s">
        <v>175</v>
      </c>
      <c r="C896" s="125"/>
      <c r="D896" s="157" t="s">
        <v>182</v>
      </c>
      <c r="E896" s="125"/>
      <c r="F896" s="58" t="s">
        <v>194</v>
      </c>
      <c r="G896" s="58" t="s">
        <v>195</v>
      </c>
      <c r="H896" s="157" t="s">
        <v>196</v>
      </c>
      <c r="I896" s="125"/>
      <c r="J896" s="157" t="s">
        <v>197</v>
      </c>
      <c r="K896" s="124"/>
      <c r="L896" s="125"/>
      <c r="M896" s="107" t="s">
        <v>494</v>
      </c>
      <c r="N896" s="107" t="s">
        <v>495</v>
      </c>
      <c r="O896" s="107" t="s">
        <v>496</v>
      </c>
      <c r="P896" s="107" t="s">
        <v>497</v>
      </c>
      <c r="Q896" s="107" t="s">
        <v>498</v>
      </c>
      <c r="R896" s="107" t="s">
        <v>499</v>
      </c>
    </row>
    <row r="897" spans="1:18" ht="21.95" customHeight="1" x14ac:dyDescent="0.25">
      <c r="A897" s="158">
        <f>IF('Calendario F'!A47="","",'Calendario F'!A47)</f>
        <v>237</v>
      </c>
      <c r="B897" s="44" t="str">
        <f>IF('Calendario F'!B47="","",'Calendario F'!B47)</f>
        <v/>
      </c>
      <c r="C897" s="45" t="str">
        <f>IF('Calendario F'!C47="","",'Calendario F'!C47)</f>
        <v/>
      </c>
      <c r="D897" s="44" t="str">
        <f>IF('Calendario F'!D47="","",'Calendario F'!D47)</f>
        <v/>
      </c>
      <c r="E897" s="45" t="str">
        <f>IF('Calendario F'!E47="","",'Calendario F'!E47)</f>
        <v/>
      </c>
      <c r="F897" s="138" t="str">
        <f>IF('Calendario F'!F47="","",'Calendario F'!F47)</f>
        <v/>
      </c>
      <c r="G897" s="124"/>
      <c r="H897" s="124"/>
      <c r="I897" s="125"/>
      <c r="J897" s="202" t="str">
        <f>IF('Calendario F'!J47="","",'Calendario F'!J47)</f>
        <v/>
      </c>
      <c r="K897" s="201" t="s">
        <v>198</v>
      </c>
      <c r="L897" s="202" t="str">
        <f>IF('Calendario F'!L47="","",'Calendario F'!L47)</f>
        <v/>
      </c>
      <c r="M897" s="200"/>
      <c r="N897" s="200"/>
      <c r="O897" s="200"/>
      <c r="P897" s="200"/>
      <c r="Q897" s="200"/>
      <c r="R897" s="200"/>
    </row>
    <row r="898" spans="1:18" ht="15" customHeight="1" x14ac:dyDescent="0.25">
      <c r="A898" s="133"/>
      <c r="B898" s="136" t="str">
        <f>IF('Calendario F'!B48="","",'Calendario F'!B48)</f>
        <v/>
      </c>
      <c r="C898" s="124"/>
      <c r="D898" s="124"/>
      <c r="E898" s="124"/>
      <c r="F898" s="124"/>
      <c r="G898" s="124"/>
      <c r="H898" s="125"/>
      <c r="I898" s="45" t="str">
        <f>IF('Calendario F'!I48="","",'Calendario F'!I48)</f>
        <v/>
      </c>
      <c r="J898" s="133"/>
      <c r="K898" s="133"/>
      <c r="L898" s="133"/>
      <c r="M898" s="133"/>
      <c r="N898" s="133"/>
      <c r="O898" s="133"/>
      <c r="P898" s="133"/>
      <c r="Q898" s="133"/>
      <c r="R898" s="133"/>
    </row>
    <row r="899" spans="1:18" ht="14.1" customHeight="1" x14ac:dyDescent="0.25">
      <c r="A899" s="58" t="s">
        <v>193</v>
      </c>
      <c r="B899" s="157" t="s">
        <v>175</v>
      </c>
      <c r="C899" s="125"/>
      <c r="D899" s="157" t="s">
        <v>182</v>
      </c>
      <c r="E899" s="125"/>
      <c r="F899" s="58" t="s">
        <v>194</v>
      </c>
      <c r="G899" s="58" t="s">
        <v>195</v>
      </c>
      <c r="H899" s="157" t="s">
        <v>196</v>
      </c>
      <c r="I899" s="125"/>
      <c r="J899" s="157" t="s">
        <v>197</v>
      </c>
      <c r="K899" s="124"/>
      <c r="L899" s="125"/>
      <c r="M899" s="107" t="s">
        <v>494</v>
      </c>
      <c r="N899" s="107" t="s">
        <v>495</v>
      </c>
      <c r="O899" s="107" t="s">
        <v>496</v>
      </c>
      <c r="P899" s="107" t="s">
        <v>497</v>
      </c>
      <c r="Q899" s="107" t="s">
        <v>498</v>
      </c>
      <c r="R899" s="107" t="s">
        <v>499</v>
      </c>
    </row>
    <row r="900" spans="1:18" ht="21.95" customHeight="1" x14ac:dyDescent="0.25">
      <c r="A900" s="158">
        <f>IF('Calendario F'!A50="","",'Calendario F'!A50)</f>
        <v>238</v>
      </c>
      <c r="B900" s="44" t="str">
        <f>IF('Calendario F'!B50="","",'Calendario F'!B50)</f>
        <v/>
      </c>
      <c r="C900" s="45" t="str">
        <f>IF('Calendario F'!C50="","",'Calendario F'!C50)</f>
        <v/>
      </c>
      <c r="D900" s="44" t="str">
        <f>IF('Calendario F'!D50="","",'Calendario F'!D50)</f>
        <v/>
      </c>
      <c r="E900" s="45" t="str">
        <f>IF('Calendario F'!E50="","",'Calendario F'!E50)</f>
        <v/>
      </c>
      <c r="F900" s="138" t="str">
        <f>IF('Calendario F'!F50="","",'Calendario F'!F50)</f>
        <v/>
      </c>
      <c r="G900" s="124"/>
      <c r="H900" s="124"/>
      <c r="I900" s="125"/>
      <c r="J900" s="202" t="str">
        <f>IF('Calendario F'!J50="","",'Calendario F'!J50)</f>
        <v/>
      </c>
      <c r="K900" s="201" t="s">
        <v>198</v>
      </c>
      <c r="L900" s="202" t="str">
        <f>IF('Calendario F'!L50="","",'Calendario F'!L50)</f>
        <v/>
      </c>
      <c r="M900" s="200"/>
      <c r="N900" s="200"/>
      <c r="O900" s="200"/>
      <c r="P900" s="200"/>
      <c r="Q900" s="200"/>
      <c r="R900" s="200"/>
    </row>
    <row r="901" spans="1:18" ht="15" customHeight="1" x14ac:dyDescent="0.25">
      <c r="A901" s="133"/>
      <c r="B901" s="136" t="str">
        <f>IF('Calendario F'!B51="","",'Calendario F'!B51)</f>
        <v/>
      </c>
      <c r="C901" s="124"/>
      <c r="D901" s="124"/>
      <c r="E901" s="124"/>
      <c r="F901" s="124"/>
      <c r="G901" s="124"/>
      <c r="H901" s="125"/>
      <c r="I901" s="45" t="str">
        <f>IF('Calendario F'!I51="","",'Calendario F'!I51)</f>
        <v/>
      </c>
      <c r="J901" s="133"/>
      <c r="K901" s="133"/>
      <c r="L901" s="133"/>
      <c r="M901" s="133"/>
      <c r="N901" s="133"/>
      <c r="O901" s="133"/>
      <c r="P901" s="133"/>
      <c r="Q901" s="133"/>
      <c r="R901" s="133"/>
    </row>
    <row r="902" spans="1:18" ht="14.1" customHeight="1" x14ac:dyDescent="0.25">
      <c r="A902" s="58" t="s">
        <v>193</v>
      </c>
      <c r="B902" s="157" t="s">
        <v>175</v>
      </c>
      <c r="C902" s="125"/>
      <c r="D902" s="157" t="s">
        <v>182</v>
      </c>
      <c r="E902" s="125"/>
      <c r="F902" s="58" t="s">
        <v>194</v>
      </c>
      <c r="G902" s="58" t="s">
        <v>195</v>
      </c>
      <c r="H902" s="157" t="s">
        <v>196</v>
      </c>
      <c r="I902" s="125"/>
      <c r="J902" s="157" t="s">
        <v>197</v>
      </c>
      <c r="K902" s="124"/>
      <c r="L902" s="125"/>
      <c r="M902" s="107" t="s">
        <v>494</v>
      </c>
      <c r="N902" s="107" t="s">
        <v>495</v>
      </c>
      <c r="O902" s="107" t="s">
        <v>496</v>
      </c>
      <c r="P902" s="107" t="s">
        <v>497</v>
      </c>
      <c r="Q902" s="107" t="s">
        <v>498</v>
      </c>
      <c r="R902" s="107" t="s">
        <v>499</v>
      </c>
    </row>
    <row r="903" spans="1:18" ht="21.95" customHeight="1" x14ac:dyDescent="0.25">
      <c r="A903" s="158">
        <f>IF('Calendario F'!A53="","",'Calendario F'!A53)</f>
        <v>239</v>
      </c>
      <c r="B903" s="44" t="str">
        <f>IF('Calendario F'!B53="","",'Calendario F'!B53)</f>
        <v/>
      </c>
      <c r="C903" s="45" t="str">
        <f>IF('Calendario F'!C53="","",'Calendario F'!C53)</f>
        <v/>
      </c>
      <c r="D903" s="44" t="str">
        <f>IF('Calendario F'!D53="","",'Calendario F'!D53)</f>
        <v/>
      </c>
      <c r="E903" s="45" t="str">
        <f>IF('Calendario F'!E53="","",'Calendario F'!E53)</f>
        <v/>
      </c>
      <c r="F903" s="138" t="str">
        <f>IF('Calendario F'!F53="","",'Calendario F'!F53)</f>
        <v/>
      </c>
      <c r="G903" s="124"/>
      <c r="H903" s="124"/>
      <c r="I903" s="125"/>
      <c r="J903" s="202" t="str">
        <f>IF('Calendario F'!J53="","",'Calendario F'!J53)</f>
        <v/>
      </c>
      <c r="K903" s="201" t="s">
        <v>198</v>
      </c>
      <c r="L903" s="202" t="str">
        <f>IF('Calendario F'!L53="","",'Calendario F'!L53)</f>
        <v/>
      </c>
      <c r="M903" s="200"/>
      <c r="N903" s="200"/>
      <c r="O903" s="200"/>
      <c r="P903" s="200"/>
      <c r="Q903" s="200"/>
      <c r="R903" s="200"/>
    </row>
    <row r="904" spans="1:18" ht="15" customHeight="1" x14ac:dyDescent="0.25">
      <c r="A904" s="133"/>
      <c r="B904" s="136" t="str">
        <f>IF('Calendario F'!B54="","",'Calendario F'!B54)</f>
        <v/>
      </c>
      <c r="C904" s="124"/>
      <c r="D904" s="124"/>
      <c r="E904" s="124"/>
      <c r="F904" s="124"/>
      <c r="G904" s="124"/>
      <c r="H904" s="125"/>
      <c r="I904" s="45" t="str">
        <f>IF('Calendario F'!I54="","",'Calendario F'!I54)</f>
        <v/>
      </c>
      <c r="J904" s="133"/>
      <c r="K904" s="133"/>
      <c r="L904" s="133"/>
      <c r="M904" s="133"/>
      <c r="N904" s="133"/>
      <c r="O904" s="133"/>
      <c r="P904" s="133"/>
      <c r="Q904" s="133"/>
      <c r="R904" s="133"/>
    </row>
    <row r="905" spans="1:18" ht="14.1" customHeight="1" x14ac:dyDescent="0.25">
      <c r="A905" s="58" t="s">
        <v>193</v>
      </c>
      <c r="B905" s="157" t="s">
        <v>175</v>
      </c>
      <c r="C905" s="125"/>
      <c r="D905" s="157" t="s">
        <v>182</v>
      </c>
      <c r="E905" s="125"/>
      <c r="F905" s="58" t="s">
        <v>194</v>
      </c>
      <c r="G905" s="58" t="s">
        <v>195</v>
      </c>
      <c r="H905" s="157" t="s">
        <v>196</v>
      </c>
      <c r="I905" s="125"/>
      <c r="J905" s="157" t="s">
        <v>197</v>
      </c>
      <c r="K905" s="124"/>
      <c r="L905" s="125"/>
      <c r="M905" s="107" t="s">
        <v>494</v>
      </c>
      <c r="N905" s="107" t="s">
        <v>495</v>
      </c>
      <c r="O905" s="107" t="s">
        <v>496</v>
      </c>
      <c r="P905" s="107" t="s">
        <v>497</v>
      </c>
      <c r="Q905" s="107" t="s">
        <v>498</v>
      </c>
      <c r="R905" s="107" t="s">
        <v>499</v>
      </c>
    </row>
    <row r="906" spans="1:18" ht="21.95" customHeight="1" x14ac:dyDescent="0.25">
      <c r="A906" s="158">
        <f>IF('Calendario F'!A56="","",'Calendario F'!A56)</f>
        <v>240</v>
      </c>
      <c r="B906" s="44" t="str">
        <f>IF('Calendario F'!B56="","",'Calendario F'!B56)</f>
        <v/>
      </c>
      <c r="C906" s="45" t="str">
        <f>IF('Calendario F'!C56="","",'Calendario F'!C56)</f>
        <v/>
      </c>
      <c r="D906" s="44" t="str">
        <f>IF('Calendario F'!D56="","",'Calendario F'!D56)</f>
        <v/>
      </c>
      <c r="E906" s="45" t="str">
        <f>IF('Calendario F'!E56="","",'Calendario F'!E56)</f>
        <v/>
      </c>
      <c r="F906" s="138" t="str">
        <f>IF('Calendario F'!F56="","",'Calendario F'!F56)</f>
        <v/>
      </c>
      <c r="G906" s="124"/>
      <c r="H906" s="124"/>
      <c r="I906" s="125"/>
      <c r="J906" s="202" t="str">
        <f>IF('Calendario F'!J56="","",'Calendario F'!J56)</f>
        <v/>
      </c>
      <c r="K906" s="201" t="s">
        <v>198</v>
      </c>
      <c r="L906" s="202" t="str">
        <f>IF('Calendario F'!L56="","",'Calendario F'!L56)</f>
        <v/>
      </c>
      <c r="M906" s="200"/>
      <c r="N906" s="200"/>
      <c r="O906" s="200"/>
      <c r="P906" s="200"/>
      <c r="Q906" s="200"/>
      <c r="R906" s="200"/>
    </row>
    <row r="907" spans="1:18" ht="15" customHeight="1" x14ac:dyDescent="0.25">
      <c r="A907" s="133"/>
      <c r="B907" s="136" t="str">
        <f>IF('Calendario F'!B57="","",'Calendario F'!B57)</f>
        <v/>
      </c>
      <c r="C907" s="124"/>
      <c r="D907" s="124"/>
      <c r="E907" s="124"/>
      <c r="F907" s="124"/>
      <c r="G907" s="124"/>
      <c r="H907" s="125"/>
      <c r="I907" s="45" t="str">
        <f>IF('Calendario F'!I57="","",'Calendario F'!I57)</f>
        <v/>
      </c>
      <c r="J907" s="133"/>
      <c r="K907" s="133"/>
      <c r="L907" s="133"/>
      <c r="M907" s="133"/>
      <c r="N907" s="133"/>
      <c r="O907" s="133"/>
      <c r="P907" s="133"/>
      <c r="Q907" s="133"/>
      <c r="R907" s="133"/>
    </row>
    <row r="909" spans="1:18" ht="20.100000000000001" customHeight="1" x14ac:dyDescent="0.25">
      <c r="A909" s="57" t="str">
        <f>IF('Calendario F'!A59="","",'Calendario F'!A59)</f>
        <v>4F</v>
      </c>
      <c r="B909" s="159" t="str">
        <f>IF('Calendario F'!B59="","",'Calendario F'!B59)</f>
        <v>GIORNATA IV - GIRONE F</v>
      </c>
      <c r="C909" s="124"/>
      <c r="D909" s="124"/>
      <c r="E909" s="124"/>
      <c r="F909" s="124"/>
      <c r="G909" s="124"/>
      <c r="H909" s="124"/>
      <c r="I909" s="124"/>
      <c r="J909" s="124"/>
      <c r="K909" s="124"/>
      <c r="L909" s="125"/>
      <c r="M909" s="205" t="s">
        <v>492</v>
      </c>
      <c r="N909" s="124"/>
      <c r="O909" s="125"/>
      <c r="P909" s="205" t="s">
        <v>493</v>
      </c>
      <c r="Q909" s="124"/>
      <c r="R909" s="125"/>
    </row>
    <row r="910" spans="1:18" ht="14.1" customHeight="1" x14ac:dyDescent="0.25">
      <c r="A910" s="58" t="s">
        <v>193</v>
      </c>
      <c r="B910" s="157" t="s">
        <v>175</v>
      </c>
      <c r="C910" s="125"/>
      <c r="D910" s="157" t="s">
        <v>182</v>
      </c>
      <c r="E910" s="125"/>
      <c r="F910" s="58" t="s">
        <v>194</v>
      </c>
      <c r="G910" s="58" t="s">
        <v>195</v>
      </c>
      <c r="H910" s="157" t="s">
        <v>196</v>
      </c>
      <c r="I910" s="125"/>
      <c r="J910" s="157" t="s">
        <v>197</v>
      </c>
      <c r="K910" s="124"/>
      <c r="L910" s="125"/>
      <c r="M910" s="107" t="s">
        <v>494</v>
      </c>
      <c r="N910" s="107" t="s">
        <v>495</v>
      </c>
      <c r="O910" s="107" t="s">
        <v>496</v>
      </c>
      <c r="P910" s="107" t="s">
        <v>497</v>
      </c>
      <c r="Q910" s="107" t="s">
        <v>498</v>
      </c>
      <c r="R910" s="107" t="s">
        <v>499</v>
      </c>
    </row>
    <row r="911" spans="1:18" ht="21.95" customHeight="1" x14ac:dyDescent="0.25">
      <c r="A911" s="158">
        <f>IF('Calendario F'!A61="","",'Calendario F'!A61)</f>
        <v>241</v>
      </c>
      <c r="B911" s="44" t="str">
        <f>IF('Calendario F'!B61="","",'Calendario F'!B61)</f>
        <v/>
      </c>
      <c r="C911" s="45" t="str">
        <f>IF('Calendario F'!C61="","",'Calendario F'!C61)</f>
        <v/>
      </c>
      <c r="D911" s="44" t="str">
        <f>IF('Calendario F'!D61="","",'Calendario F'!D61)</f>
        <v/>
      </c>
      <c r="E911" s="45" t="str">
        <f>IF('Calendario F'!E61="","",'Calendario F'!E61)</f>
        <v/>
      </c>
      <c r="F911" s="138" t="str">
        <f>IF('Calendario F'!F61="","",'Calendario F'!F61)</f>
        <v/>
      </c>
      <c r="G911" s="124"/>
      <c r="H911" s="124"/>
      <c r="I911" s="125"/>
      <c r="J911" s="202" t="str">
        <f>IF('Calendario F'!J61="","",'Calendario F'!J61)</f>
        <v/>
      </c>
      <c r="K911" s="201" t="s">
        <v>198</v>
      </c>
      <c r="L911" s="202" t="str">
        <f>IF('Calendario F'!L61="","",'Calendario F'!L61)</f>
        <v/>
      </c>
      <c r="M911" s="200"/>
      <c r="N911" s="200"/>
      <c r="O911" s="200"/>
      <c r="P911" s="200"/>
      <c r="Q911" s="200"/>
      <c r="R911" s="200"/>
    </row>
    <row r="912" spans="1:18" ht="15" customHeight="1" x14ac:dyDescent="0.25">
      <c r="A912" s="133"/>
      <c r="B912" s="136" t="str">
        <f>IF('Calendario F'!B62="","",'Calendario F'!B62)</f>
        <v/>
      </c>
      <c r="C912" s="124"/>
      <c r="D912" s="124"/>
      <c r="E912" s="124"/>
      <c r="F912" s="124"/>
      <c r="G912" s="124"/>
      <c r="H912" s="125"/>
      <c r="I912" s="45" t="str">
        <f>IF('Calendario F'!I62="","",'Calendario F'!I62)</f>
        <v/>
      </c>
      <c r="J912" s="133"/>
      <c r="K912" s="133"/>
      <c r="L912" s="133"/>
      <c r="M912" s="133"/>
      <c r="N912" s="133"/>
      <c r="O912" s="133"/>
      <c r="P912" s="133"/>
      <c r="Q912" s="133"/>
      <c r="R912" s="133"/>
    </row>
    <row r="913" spans="1:18" ht="14.1" customHeight="1" x14ac:dyDescent="0.25">
      <c r="A913" s="58" t="s">
        <v>193</v>
      </c>
      <c r="B913" s="157" t="s">
        <v>175</v>
      </c>
      <c r="C913" s="125"/>
      <c r="D913" s="157" t="s">
        <v>182</v>
      </c>
      <c r="E913" s="125"/>
      <c r="F913" s="58" t="s">
        <v>194</v>
      </c>
      <c r="G913" s="58" t="s">
        <v>195</v>
      </c>
      <c r="H913" s="157" t="s">
        <v>196</v>
      </c>
      <c r="I913" s="125"/>
      <c r="J913" s="157" t="s">
        <v>197</v>
      </c>
      <c r="K913" s="124"/>
      <c r="L913" s="125"/>
      <c r="M913" s="107" t="s">
        <v>494</v>
      </c>
      <c r="N913" s="107" t="s">
        <v>495</v>
      </c>
      <c r="O913" s="107" t="s">
        <v>496</v>
      </c>
      <c r="P913" s="107" t="s">
        <v>497</v>
      </c>
      <c r="Q913" s="107" t="s">
        <v>498</v>
      </c>
      <c r="R913" s="107" t="s">
        <v>499</v>
      </c>
    </row>
    <row r="914" spans="1:18" ht="21.95" customHeight="1" x14ac:dyDescent="0.25">
      <c r="A914" s="158">
        <f>IF('Calendario F'!A64="","",'Calendario F'!A64)</f>
        <v>242</v>
      </c>
      <c r="B914" s="44" t="str">
        <f>IF('Calendario F'!B64="","",'Calendario F'!B64)</f>
        <v/>
      </c>
      <c r="C914" s="45" t="str">
        <f>IF('Calendario F'!C64="","",'Calendario F'!C64)</f>
        <v/>
      </c>
      <c r="D914" s="44" t="str">
        <f>IF('Calendario F'!D64="","",'Calendario F'!D64)</f>
        <v/>
      </c>
      <c r="E914" s="45" t="str">
        <f>IF('Calendario F'!E64="","",'Calendario F'!E64)</f>
        <v/>
      </c>
      <c r="F914" s="138" t="str">
        <f>IF('Calendario F'!F64="","",'Calendario F'!F64)</f>
        <v/>
      </c>
      <c r="G914" s="124"/>
      <c r="H914" s="124"/>
      <c r="I914" s="125"/>
      <c r="J914" s="202" t="str">
        <f>IF('Calendario F'!J64="","",'Calendario F'!J64)</f>
        <v/>
      </c>
      <c r="K914" s="201" t="s">
        <v>198</v>
      </c>
      <c r="L914" s="202" t="str">
        <f>IF('Calendario F'!L64="","",'Calendario F'!L64)</f>
        <v/>
      </c>
      <c r="M914" s="200"/>
      <c r="N914" s="200"/>
      <c r="O914" s="200"/>
      <c r="P914" s="200"/>
      <c r="Q914" s="200"/>
      <c r="R914" s="200"/>
    </row>
    <row r="915" spans="1:18" ht="15" customHeight="1" x14ac:dyDescent="0.25">
      <c r="A915" s="133"/>
      <c r="B915" s="136" t="str">
        <f>IF('Calendario F'!B65="","",'Calendario F'!B65)</f>
        <v/>
      </c>
      <c r="C915" s="124"/>
      <c r="D915" s="124"/>
      <c r="E915" s="124"/>
      <c r="F915" s="124"/>
      <c r="G915" s="124"/>
      <c r="H915" s="125"/>
      <c r="I915" s="45" t="str">
        <f>IF('Calendario F'!I65="","",'Calendario F'!I65)</f>
        <v/>
      </c>
      <c r="J915" s="133"/>
      <c r="K915" s="133"/>
      <c r="L915" s="133"/>
      <c r="M915" s="133"/>
      <c r="N915" s="133"/>
      <c r="O915" s="133"/>
      <c r="P915" s="133"/>
      <c r="Q915" s="133"/>
      <c r="R915" s="133"/>
    </row>
    <row r="916" spans="1:18" ht="14.1" customHeight="1" x14ac:dyDescent="0.25">
      <c r="A916" s="58" t="s">
        <v>193</v>
      </c>
      <c r="B916" s="157" t="s">
        <v>175</v>
      </c>
      <c r="C916" s="125"/>
      <c r="D916" s="157" t="s">
        <v>182</v>
      </c>
      <c r="E916" s="125"/>
      <c r="F916" s="58" t="s">
        <v>194</v>
      </c>
      <c r="G916" s="58" t="s">
        <v>195</v>
      </c>
      <c r="H916" s="157" t="s">
        <v>196</v>
      </c>
      <c r="I916" s="125"/>
      <c r="J916" s="157" t="s">
        <v>197</v>
      </c>
      <c r="K916" s="124"/>
      <c r="L916" s="125"/>
      <c r="M916" s="107" t="s">
        <v>494</v>
      </c>
      <c r="N916" s="107" t="s">
        <v>495</v>
      </c>
      <c r="O916" s="107" t="s">
        <v>496</v>
      </c>
      <c r="P916" s="107" t="s">
        <v>497</v>
      </c>
      <c r="Q916" s="107" t="s">
        <v>498</v>
      </c>
      <c r="R916" s="107" t="s">
        <v>499</v>
      </c>
    </row>
    <row r="917" spans="1:18" ht="21.95" customHeight="1" x14ac:dyDescent="0.25">
      <c r="A917" s="158">
        <f>IF('Calendario F'!A67="","",'Calendario F'!A67)</f>
        <v>243</v>
      </c>
      <c r="B917" s="44" t="str">
        <f>IF('Calendario F'!B67="","",'Calendario F'!B67)</f>
        <v/>
      </c>
      <c r="C917" s="45" t="str">
        <f>IF('Calendario F'!C67="","",'Calendario F'!C67)</f>
        <v/>
      </c>
      <c r="D917" s="44" t="str">
        <f>IF('Calendario F'!D67="","",'Calendario F'!D67)</f>
        <v/>
      </c>
      <c r="E917" s="45" t="str">
        <f>IF('Calendario F'!E67="","",'Calendario F'!E67)</f>
        <v/>
      </c>
      <c r="F917" s="138" t="str">
        <f>IF('Calendario F'!F67="","",'Calendario F'!F67)</f>
        <v/>
      </c>
      <c r="G917" s="124"/>
      <c r="H917" s="124"/>
      <c r="I917" s="125"/>
      <c r="J917" s="202" t="str">
        <f>IF('Calendario F'!J67="","",'Calendario F'!J67)</f>
        <v/>
      </c>
      <c r="K917" s="201" t="s">
        <v>198</v>
      </c>
      <c r="L917" s="202" t="str">
        <f>IF('Calendario F'!L67="","",'Calendario F'!L67)</f>
        <v/>
      </c>
      <c r="M917" s="200"/>
      <c r="N917" s="200"/>
      <c r="O917" s="200"/>
      <c r="P917" s="200"/>
      <c r="Q917" s="200"/>
      <c r="R917" s="200"/>
    </row>
    <row r="918" spans="1:18" ht="15" customHeight="1" x14ac:dyDescent="0.25">
      <c r="A918" s="133"/>
      <c r="B918" s="136" t="str">
        <f>IF('Calendario F'!B68="","",'Calendario F'!B68)</f>
        <v/>
      </c>
      <c r="C918" s="124"/>
      <c r="D918" s="124"/>
      <c r="E918" s="124"/>
      <c r="F918" s="124"/>
      <c r="G918" s="124"/>
      <c r="H918" s="125"/>
      <c r="I918" s="45" t="str">
        <f>IF('Calendario F'!I68="","",'Calendario F'!I68)</f>
        <v/>
      </c>
      <c r="J918" s="133"/>
      <c r="K918" s="133"/>
      <c r="L918" s="133"/>
      <c r="M918" s="133"/>
      <c r="N918" s="133"/>
      <c r="O918" s="133"/>
      <c r="P918" s="133"/>
      <c r="Q918" s="133"/>
      <c r="R918" s="133"/>
    </row>
    <row r="919" spans="1:18" ht="14.1" customHeight="1" x14ac:dyDescent="0.25">
      <c r="A919" s="58" t="s">
        <v>193</v>
      </c>
      <c r="B919" s="157" t="s">
        <v>175</v>
      </c>
      <c r="C919" s="125"/>
      <c r="D919" s="157" t="s">
        <v>182</v>
      </c>
      <c r="E919" s="125"/>
      <c r="F919" s="58" t="s">
        <v>194</v>
      </c>
      <c r="G919" s="58" t="s">
        <v>195</v>
      </c>
      <c r="H919" s="157" t="s">
        <v>196</v>
      </c>
      <c r="I919" s="125"/>
      <c r="J919" s="157" t="s">
        <v>197</v>
      </c>
      <c r="K919" s="124"/>
      <c r="L919" s="125"/>
      <c r="M919" s="107" t="s">
        <v>494</v>
      </c>
      <c r="N919" s="107" t="s">
        <v>495</v>
      </c>
      <c r="O919" s="107" t="s">
        <v>496</v>
      </c>
      <c r="P919" s="107" t="s">
        <v>497</v>
      </c>
      <c r="Q919" s="107" t="s">
        <v>498</v>
      </c>
      <c r="R919" s="107" t="s">
        <v>499</v>
      </c>
    </row>
    <row r="920" spans="1:18" ht="21.95" customHeight="1" x14ac:dyDescent="0.25">
      <c r="A920" s="158">
        <f>IF('Calendario F'!A70="","",'Calendario F'!A70)</f>
        <v>244</v>
      </c>
      <c r="B920" s="44" t="str">
        <f>IF('Calendario F'!B70="","",'Calendario F'!B70)</f>
        <v/>
      </c>
      <c r="C920" s="45" t="str">
        <f>IF('Calendario F'!C70="","",'Calendario F'!C70)</f>
        <v/>
      </c>
      <c r="D920" s="44" t="str">
        <f>IF('Calendario F'!D70="","",'Calendario F'!D70)</f>
        <v/>
      </c>
      <c r="E920" s="45" t="str">
        <f>IF('Calendario F'!E70="","",'Calendario F'!E70)</f>
        <v/>
      </c>
      <c r="F920" s="138" t="str">
        <f>IF('Calendario F'!F70="","",'Calendario F'!F70)</f>
        <v/>
      </c>
      <c r="G920" s="124"/>
      <c r="H920" s="124"/>
      <c r="I920" s="125"/>
      <c r="J920" s="202" t="str">
        <f>IF('Calendario F'!J70="","",'Calendario F'!J70)</f>
        <v/>
      </c>
      <c r="K920" s="201" t="s">
        <v>198</v>
      </c>
      <c r="L920" s="202" t="str">
        <f>IF('Calendario F'!L70="","",'Calendario F'!L70)</f>
        <v/>
      </c>
      <c r="M920" s="200"/>
      <c r="N920" s="200"/>
      <c r="O920" s="200"/>
      <c r="P920" s="200"/>
      <c r="Q920" s="200"/>
      <c r="R920" s="200"/>
    </row>
    <row r="921" spans="1:18" ht="15" customHeight="1" x14ac:dyDescent="0.25">
      <c r="A921" s="133"/>
      <c r="B921" s="136" t="str">
        <f>IF('Calendario F'!B71="","",'Calendario F'!B71)</f>
        <v/>
      </c>
      <c r="C921" s="124"/>
      <c r="D921" s="124"/>
      <c r="E921" s="124"/>
      <c r="F921" s="124"/>
      <c r="G921" s="124"/>
      <c r="H921" s="125"/>
      <c r="I921" s="45" t="str">
        <f>IF('Calendario F'!I71="","",'Calendario F'!I71)</f>
        <v/>
      </c>
      <c r="J921" s="133"/>
      <c r="K921" s="133"/>
      <c r="L921" s="133"/>
      <c r="M921" s="133"/>
      <c r="N921" s="133"/>
      <c r="O921" s="133"/>
      <c r="P921" s="133"/>
      <c r="Q921" s="133"/>
      <c r="R921" s="133"/>
    </row>
    <row r="922" spans="1:18" ht="14.1" customHeight="1" x14ac:dyDescent="0.25">
      <c r="A922" s="58" t="s">
        <v>193</v>
      </c>
      <c r="B922" s="157" t="s">
        <v>175</v>
      </c>
      <c r="C922" s="125"/>
      <c r="D922" s="157" t="s">
        <v>182</v>
      </c>
      <c r="E922" s="125"/>
      <c r="F922" s="58" t="s">
        <v>194</v>
      </c>
      <c r="G922" s="58" t="s">
        <v>195</v>
      </c>
      <c r="H922" s="157" t="s">
        <v>196</v>
      </c>
      <c r="I922" s="125"/>
      <c r="J922" s="157" t="s">
        <v>197</v>
      </c>
      <c r="K922" s="124"/>
      <c r="L922" s="125"/>
      <c r="M922" s="107" t="s">
        <v>494</v>
      </c>
      <c r="N922" s="107" t="s">
        <v>495</v>
      </c>
      <c r="O922" s="107" t="s">
        <v>496</v>
      </c>
      <c r="P922" s="107" t="s">
        <v>497</v>
      </c>
      <c r="Q922" s="107" t="s">
        <v>498</v>
      </c>
      <c r="R922" s="107" t="s">
        <v>499</v>
      </c>
    </row>
    <row r="923" spans="1:18" ht="21.95" customHeight="1" x14ac:dyDescent="0.25">
      <c r="A923" s="158">
        <f>IF('Calendario F'!A73="","",'Calendario F'!A73)</f>
        <v>245</v>
      </c>
      <c r="B923" s="44" t="str">
        <f>IF('Calendario F'!B73="","",'Calendario F'!B73)</f>
        <v/>
      </c>
      <c r="C923" s="45" t="str">
        <f>IF('Calendario F'!C73="","",'Calendario F'!C73)</f>
        <v/>
      </c>
      <c r="D923" s="44" t="str">
        <f>IF('Calendario F'!D73="","",'Calendario F'!D73)</f>
        <v/>
      </c>
      <c r="E923" s="45" t="str">
        <f>IF('Calendario F'!E73="","",'Calendario F'!E73)</f>
        <v/>
      </c>
      <c r="F923" s="138" t="str">
        <f>IF('Calendario F'!F73="","",'Calendario F'!F73)</f>
        <v/>
      </c>
      <c r="G923" s="124"/>
      <c r="H923" s="124"/>
      <c r="I923" s="125"/>
      <c r="J923" s="202" t="str">
        <f>IF('Calendario F'!J73="","",'Calendario F'!J73)</f>
        <v/>
      </c>
      <c r="K923" s="201" t="s">
        <v>198</v>
      </c>
      <c r="L923" s="202" t="str">
        <f>IF('Calendario F'!L73="","",'Calendario F'!L73)</f>
        <v/>
      </c>
      <c r="M923" s="200"/>
      <c r="N923" s="200"/>
      <c r="O923" s="200"/>
      <c r="P923" s="200"/>
      <c r="Q923" s="200"/>
      <c r="R923" s="200"/>
    </row>
    <row r="924" spans="1:18" ht="15" customHeight="1" x14ac:dyDescent="0.25">
      <c r="A924" s="133"/>
      <c r="B924" s="136" t="str">
        <f>IF('Calendario F'!B74="","",'Calendario F'!B74)</f>
        <v/>
      </c>
      <c r="C924" s="124"/>
      <c r="D924" s="124"/>
      <c r="E924" s="124"/>
      <c r="F924" s="124"/>
      <c r="G924" s="124"/>
      <c r="H924" s="125"/>
      <c r="I924" s="45" t="str">
        <f>IF('Calendario F'!I74="","",'Calendario F'!I74)</f>
        <v/>
      </c>
      <c r="J924" s="133"/>
      <c r="K924" s="133"/>
      <c r="L924" s="133"/>
      <c r="M924" s="133"/>
      <c r="N924" s="133"/>
      <c r="O924" s="133"/>
      <c r="P924" s="133"/>
      <c r="Q924" s="133"/>
      <c r="R924" s="133"/>
    </row>
    <row r="926" spans="1:18" ht="20.100000000000001" customHeight="1" x14ac:dyDescent="0.25">
      <c r="A926" s="57" t="str">
        <f>IF('Calendario F'!A76="","",'Calendario F'!A76)</f>
        <v>5F</v>
      </c>
      <c r="B926" s="159" t="str">
        <f>IF('Calendario F'!B76="","",'Calendario F'!B76)</f>
        <v>GIORNATA V - GIRONE F</v>
      </c>
      <c r="C926" s="124"/>
      <c r="D926" s="124"/>
      <c r="E926" s="124"/>
      <c r="F926" s="124"/>
      <c r="G926" s="124"/>
      <c r="H926" s="124"/>
      <c r="I926" s="124"/>
      <c r="J926" s="124"/>
      <c r="K926" s="124"/>
      <c r="L926" s="125"/>
      <c r="M926" s="205" t="s">
        <v>492</v>
      </c>
      <c r="N926" s="124"/>
      <c r="O926" s="125"/>
      <c r="P926" s="205" t="s">
        <v>493</v>
      </c>
      <c r="Q926" s="124"/>
      <c r="R926" s="125"/>
    </row>
    <row r="927" spans="1:18" ht="14.1" customHeight="1" x14ac:dyDescent="0.25">
      <c r="A927" s="58" t="s">
        <v>193</v>
      </c>
      <c r="B927" s="157" t="s">
        <v>175</v>
      </c>
      <c r="C927" s="125"/>
      <c r="D927" s="157" t="s">
        <v>182</v>
      </c>
      <c r="E927" s="125"/>
      <c r="F927" s="58" t="s">
        <v>194</v>
      </c>
      <c r="G927" s="58" t="s">
        <v>195</v>
      </c>
      <c r="H927" s="157" t="s">
        <v>196</v>
      </c>
      <c r="I927" s="125"/>
      <c r="J927" s="157" t="s">
        <v>197</v>
      </c>
      <c r="K927" s="124"/>
      <c r="L927" s="125"/>
      <c r="M927" s="107" t="s">
        <v>494</v>
      </c>
      <c r="N927" s="107" t="s">
        <v>495</v>
      </c>
      <c r="O927" s="107" t="s">
        <v>496</v>
      </c>
      <c r="P927" s="107" t="s">
        <v>497</v>
      </c>
      <c r="Q927" s="107" t="s">
        <v>498</v>
      </c>
      <c r="R927" s="107" t="s">
        <v>499</v>
      </c>
    </row>
    <row r="928" spans="1:18" ht="21.95" customHeight="1" x14ac:dyDescent="0.25">
      <c r="A928" s="158">
        <f>IF('Calendario F'!A78="","",'Calendario F'!A78)</f>
        <v>246</v>
      </c>
      <c r="B928" s="44" t="str">
        <f>IF('Calendario F'!B78="","",'Calendario F'!B78)</f>
        <v/>
      </c>
      <c r="C928" s="45" t="str">
        <f>IF('Calendario F'!C78="","",'Calendario F'!C78)</f>
        <v/>
      </c>
      <c r="D928" s="44" t="str">
        <f>IF('Calendario F'!D78="","",'Calendario F'!D78)</f>
        <v/>
      </c>
      <c r="E928" s="45" t="str">
        <f>IF('Calendario F'!E78="","",'Calendario F'!E78)</f>
        <v/>
      </c>
      <c r="F928" s="138" t="str">
        <f>IF('Calendario F'!F78="","",'Calendario F'!F78)</f>
        <v/>
      </c>
      <c r="G928" s="124"/>
      <c r="H928" s="124"/>
      <c r="I928" s="125"/>
      <c r="J928" s="202" t="str">
        <f>IF('Calendario F'!J78="","",'Calendario F'!J78)</f>
        <v/>
      </c>
      <c r="K928" s="201" t="s">
        <v>198</v>
      </c>
      <c r="L928" s="202" t="str">
        <f>IF('Calendario F'!L78="","",'Calendario F'!L78)</f>
        <v/>
      </c>
      <c r="M928" s="200"/>
      <c r="N928" s="200"/>
      <c r="O928" s="200"/>
      <c r="P928" s="200"/>
      <c r="Q928" s="200"/>
      <c r="R928" s="200"/>
    </row>
    <row r="929" spans="1:18" ht="15" customHeight="1" x14ac:dyDescent="0.25">
      <c r="A929" s="133"/>
      <c r="B929" s="136" t="str">
        <f>IF('Calendario F'!B79="","",'Calendario F'!B79)</f>
        <v/>
      </c>
      <c r="C929" s="124"/>
      <c r="D929" s="124"/>
      <c r="E929" s="124"/>
      <c r="F929" s="124"/>
      <c r="G929" s="124"/>
      <c r="H929" s="125"/>
      <c r="I929" s="45" t="str">
        <f>IF('Calendario F'!I79="","",'Calendario F'!I79)</f>
        <v/>
      </c>
      <c r="J929" s="133"/>
      <c r="K929" s="133"/>
      <c r="L929" s="133"/>
      <c r="M929" s="133"/>
      <c r="N929" s="133"/>
      <c r="O929" s="133"/>
      <c r="P929" s="133"/>
      <c r="Q929" s="133"/>
      <c r="R929" s="133"/>
    </row>
    <row r="930" spans="1:18" ht="14.1" customHeight="1" x14ac:dyDescent="0.25">
      <c r="A930" s="58" t="s">
        <v>193</v>
      </c>
      <c r="B930" s="157" t="s">
        <v>175</v>
      </c>
      <c r="C930" s="125"/>
      <c r="D930" s="157" t="s">
        <v>182</v>
      </c>
      <c r="E930" s="125"/>
      <c r="F930" s="58" t="s">
        <v>194</v>
      </c>
      <c r="G930" s="58" t="s">
        <v>195</v>
      </c>
      <c r="H930" s="157" t="s">
        <v>196</v>
      </c>
      <c r="I930" s="125"/>
      <c r="J930" s="157" t="s">
        <v>197</v>
      </c>
      <c r="K930" s="124"/>
      <c r="L930" s="125"/>
      <c r="M930" s="107" t="s">
        <v>494</v>
      </c>
      <c r="N930" s="107" t="s">
        <v>495</v>
      </c>
      <c r="O930" s="107" t="s">
        <v>496</v>
      </c>
      <c r="P930" s="107" t="s">
        <v>497</v>
      </c>
      <c r="Q930" s="107" t="s">
        <v>498</v>
      </c>
      <c r="R930" s="107" t="s">
        <v>499</v>
      </c>
    </row>
    <row r="931" spans="1:18" ht="21.95" customHeight="1" x14ac:dyDescent="0.25">
      <c r="A931" s="158">
        <f>IF('Calendario F'!A81="","",'Calendario F'!A81)</f>
        <v>247</v>
      </c>
      <c r="B931" s="44" t="str">
        <f>IF('Calendario F'!B81="","",'Calendario F'!B81)</f>
        <v/>
      </c>
      <c r="C931" s="45" t="str">
        <f>IF('Calendario F'!C81="","",'Calendario F'!C81)</f>
        <v/>
      </c>
      <c r="D931" s="44" t="str">
        <f>IF('Calendario F'!D81="","",'Calendario F'!D81)</f>
        <v/>
      </c>
      <c r="E931" s="45" t="str">
        <f>IF('Calendario F'!E81="","",'Calendario F'!E81)</f>
        <v/>
      </c>
      <c r="F931" s="138" t="str">
        <f>IF('Calendario F'!F81="","",'Calendario F'!F81)</f>
        <v/>
      </c>
      <c r="G931" s="124"/>
      <c r="H931" s="124"/>
      <c r="I931" s="125"/>
      <c r="J931" s="202" t="str">
        <f>IF('Calendario F'!J81="","",'Calendario F'!J81)</f>
        <v/>
      </c>
      <c r="K931" s="201" t="s">
        <v>198</v>
      </c>
      <c r="L931" s="202" t="str">
        <f>IF('Calendario F'!L81="","",'Calendario F'!L81)</f>
        <v/>
      </c>
      <c r="M931" s="200"/>
      <c r="N931" s="200"/>
      <c r="O931" s="200"/>
      <c r="P931" s="200"/>
      <c r="Q931" s="200"/>
      <c r="R931" s="200"/>
    </row>
    <row r="932" spans="1:18" ht="15" customHeight="1" x14ac:dyDescent="0.25">
      <c r="A932" s="133"/>
      <c r="B932" s="136" t="str">
        <f>IF('Calendario F'!B82="","",'Calendario F'!B82)</f>
        <v/>
      </c>
      <c r="C932" s="124"/>
      <c r="D932" s="124"/>
      <c r="E932" s="124"/>
      <c r="F932" s="124"/>
      <c r="G932" s="124"/>
      <c r="H932" s="125"/>
      <c r="I932" s="45" t="str">
        <f>IF('Calendario F'!I82="","",'Calendario F'!I82)</f>
        <v/>
      </c>
      <c r="J932" s="133"/>
      <c r="K932" s="133"/>
      <c r="L932" s="133"/>
      <c r="M932" s="133"/>
      <c r="N932" s="133"/>
      <c r="O932" s="133"/>
      <c r="P932" s="133"/>
      <c r="Q932" s="133"/>
      <c r="R932" s="133"/>
    </row>
    <row r="933" spans="1:18" ht="14.1" customHeight="1" x14ac:dyDescent="0.25">
      <c r="A933" s="58" t="s">
        <v>193</v>
      </c>
      <c r="B933" s="157" t="s">
        <v>175</v>
      </c>
      <c r="C933" s="125"/>
      <c r="D933" s="157" t="s">
        <v>182</v>
      </c>
      <c r="E933" s="125"/>
      <c r="F933" s="58" t="s">
        <v>194</v>
      </c>
      <c r="G933" s="58" t="s">
        <v>195</v>
      </c>
      <c r="H933" s="157" t="s">
        <v>196</v>
      </c>
      <c r="I933" s="125"/>
      <c r="J933" s="157" t="s">
        <v>197</v>
      </c>
      <c r="K933" s="124"/>
      <c r="L933" s="125"/>
      <c r="M933" s="107" t="s">
        <v>494</v>
      </c>
      <c r="N933" s="107" t="s">
        <v>495</v>
      </c>
      <c r="O933" s="107" t="s">
        <v>496</v>
      </c>
      <c r="P933" s="107" t="s">
        <v>497</v>
      </c>
      <c r="Q933" s="107" t="s">
        <v>498</v>
      </c>
      <c r="R933" s="107" t="s">
        <v>499</v>
      </c>
    </row>
    <row r="934" spans="1:18" ht="21.95" customHeight="1" x14ac:dyDescent="0.25">
      <c r="A934" s="158">
        <f>IF('Calendario F'!A84="","",'Calendario F'!A84)</f>
        <v>248</v>
      </c>
      <c r="B934" s="44" t="str">
        <f>IF('Calendario F'!B84="","",'Calendario F'!B84)</f>
        <v/>
      </c>
      <c r="C934" s="45" t="str">
        <f>IF('Calendario F'!C84="","",'Calendario F'!C84)</f>
        <v/>
      </c>
      <c r="D934" s="44" t="str">
        <f>IF('Calendario F'!D84="","",'Calendario F'!D84)</f>
        <v/>
      </c>
      <c r="E934" s="45" t="str">
        <f>IF('Calendario F'!E84="","",'Calendario F'!E84)</f>
        <v/>
      </c>
      <c r="F934" s="138" t="str">
        <f>IF('Calendario F'!F84="","",'Calendario F'!F84)</f>
        <v/>
      </c>
      <c r="G934" s="124"/>
      <c r="H934" s="124"/>
      <c r="I934" s="125"/>
      <c r="J934" s="202" t="str">
        <f>IF('Calendario F'!J84="","",'Calendario F'!J84)</f>
        <v/>
      </c>
      <c r="K934" s="201" t="s">
        <v>198</v>
      </c>
      <c r="L934" s="202" t="str">
        <f>IF('Calendario F'!L84="","",'Calendario F'!L84)</f>
        <v/>
      </c>
      <c r="M934" s="200"/>
      <c r="N934" s="200"/>
      <c r="O934" s="200"/>
      <c r="P934" s="200"/>
      <c r="Q934" s="200"/>
      <c r="R934" s="200"/>
    </row>
    <row r="935" spans="1:18" ht="15" customHeight="1" x14ac:dyDescent="0.25">
      <c r="A935" s="133"/>
      <c r="B935" s="136" t="str">
        <f>IF('Calendario F'!B85="","",'Calendario F'!B85)</f>
        <v/>
      </c>
      <c r="C935" s="124"/>
      <c r="D935" s="124"/>
      <c r="E935" s="124"/>
      <c r="F935" s="124"/>
      <c r="G935" s="124"/>
      <c r="H935" s="125"/>
      <c r="I935" s="45" t="str">
        <f>IF('Calendario F'!I85="","",'Calendario F'!I85)</f>
        <v/>
      </c>
      <c r="J935" s="133"/>
      <c r="K935" s="133"/>
      <c r="L935" s="133"/>
      <c r="M935" s="133"/>
      <c r="N935" s="133"/>
      <c r="O935" s="133"/>
      <c r="P935" s="133"/>
      <c r="Q935" s="133"/>
      <c r="R935" s="133"/>
    </row>
    <row r="936" spans="1:18" ht="14.1" customHeight="1" x14ac:dyDescent="0.25">
      <c r="A936" s="58" t="s">
        <v>193</v>
      </c>
      <c r="B936" s="157" t="s">
        <v>175</v>
      </c>
      <c r="C936" s="125"/>
      <c r="D936" s="157" t="s">
        <v>182</v>
      </c>
      <c r="E936" s="125"/>
      <c r="F936" s="58" t="s">
        <v>194</v>
      </c>
      <c r="G936" s="58" t="s">
        <v>195</v>
      </c>
      <c r="H936" s="157" t="s">
        <v>196</v>
      </c>
      <c r="I936" s="125"/>
      <c r="J936" s="157" t="s">
        <v>197</v>
      </c>
      <c r="K936" s="124"/>
      <c r="L936" s="125"/>
      <c r="M936" s="107" t="s">
        <v>494</v>
      </c>
      <c r="N936" s="107" t="s">
        <v>495</v>
      </c>
      <c r="O936" s="107" t="s">
        <v>496</v>
      </c>
      <c r="P936" s="107" t="s">
        <v>497</v>
      </c>
      <c r="Q936" s="107" t="s">
        <v>498</v>
      </c>
      <c r="R936" s="107" t="s">
        <v>499</v>
      </c>
    </row>
    <row r="937" spans="1:18" ht="21.95" customHeight="1" x14ac:dyDescent="0.25">
      <c r="A937" s="158">
        <f>IF('Calendario F'!A87="","",'Calendario F'!A87)</f>
        <v>249</v>
      </c>
      <c r="B937" s="44" t="str">
        <f>IF('Calendario F'!B87="","",'Calendario F'!B87)</f>
        <v/>
      </c>
      <c r="C937" s="45" t="str">
        <f>IF('Calendario F'!C87="","",'Calendario F'!C87)</f>
        <v/>
      </c>
      <c r="D937" s="44" t="str">
        <f>IF('Calendario F'!D87="","",'Calendario F'!D87)</f>
        <v/>
      </c>
      <c r="E937" s="45" t="str">
        <f>IF('Calendario F'!E87="","",'Calendario F'!E87)</f>
        <v/>
      </c>
      <c r="F937" s="138" t="str">
        <f>IF('Calendario F'!F87="","",'Calendario F'!F87)</f>
        <v/>
      </c>
      <c r="G937" s="124"/>
      <c r="H937" s="124"/>
      <c r="I937" s="125"/>
      <c r="J937" s="202" t="str">
        <f>IF('Calendario F'!J87="","",'Calendario F'!J87)</f>
        <v/>
      </c>
      <c r="K937" s="201" t="s">
        <v>198</v>
      </c>
      <c r="L937" s="202" t="str">
        <f>IF('Calendario F'!L87="","",'Calendario F'!L87)</f>
        <v/>
      </c>
      <c r="M937" s="200"/>
      <c r="N937" s="200"/>
      <c r="O937" s="200"/>
      <c r="P937" s="200"/>
      <c r="Q937" s="200"/>
      <c r="R937" s="200"/>
    </row>
    <row r="938" spans="1:18" ht="15" customHeight="1" x14ac:dyDescent="0.25">
      <c r="A938" s="133"/>
      <c r="B938" s="136" t="str">
        <f>IF('Calendario F'!B88="","",'Calendario F'!B88)</f>
        <v/>
      </c>
      <c r="C938" s="124"/>
      <c r="D938" s="124"/>
      <c r="E938" s="124"/>
      <c r="F938" s="124"/>
      <c r="G938" s="124"/>
      <c r="H938" s="125"/>
      <c r="I938" s="45" t="str">
        <f>IF('Calendario F'!I88="","",'Calendario F'!I88)</f>
        <v/>
      </c>
      <c r="J938" s="133"/>
      <c r="K938" s="133"/>
      <c r="L938" s="133"/>
      <c r="M938" s="133"/>
      <c r="N938" s="133"/>
      <c r="O938" s="133"/>
      <c r="P938" s="133"/>
      <c r="Q938" s="133"/>
      <c r="R938" s="133"/>
    </row>
    <row r="939" spans="1:18" ht="14.1" customHeight="1" x14ac:dyDescent="0.25">
      <c r="A939" s="58" t="s">
        <v>193</v>
      </c>
      <c r="B939" s="157" t="s">
        <v>175</v>
      </c>
      <c r="C939" s="125"/>
      <c r="D939" s="157" t="s">
        <v>182</v>
      </c>
      <c r="E939" s="125"/>
      <c r="F939" s="58" t="s">
        <v>194</v>
      </c>
      <c r="G939" s="58" t="s">
        <v>195</v>
      </c>
      <c r="H939" s="157" t="s">
        <v>196</v>
      </c>
      <c r="I939" s="125"/>
      <c r="J939" s="157" t="s">
        <v>197</v>
      </c>
      <c r="K939" s="124"/>
      <c r="L939" s="125"/>
      <c r="M939" s="107" t="s">
        <v>494</v>
      </c>
      <c r="N939" s="107" t="s">
        <v>495</v>
      </c>
      <c r="O939" s="107" t="s">
        <v>496</v>
      </c>
      <c r="P939" s="107" t="s">
        <v>497</v>
      </c>
      <c r="Q939" s="107" t="s">
        <v>498</v>
      </c>
      <c r="R939" s="107" t="s">
        <v>499</v>
      </c>
    </row>
    <row r="940" spans="1:18" ht="21.95" customHeight="1" x14ac:dyDescent="0.25">
      <c r="A940" s="158">
        <f>IF('Calendario F'!A90="","",'Calendario F'!A90)</f>
        <v>250</v>
      </c>
      <c r="B940" s="44" t="str">
        <f>IF('Calendario F'!B90="","",'Calendario F'!B90)</f>
        <v/>
      </c>
      <c r="C940" s="45" t="str">
        <f>IF('Calendario F'!C90="","",'Calendario F'!C90)</f>
        <v/>
      </c>
      <c r="D940" s="44" t="str">
        <f>IF('Calendario F'!D90="","",'Calendario F'!D90)</f>
        <v/>
      </c>
      <c r="E940" s="45" t="str">
        <f>IF('Calendario F'!E90="","",'Calendario F'!E90)</f>
        <v/>
      </c>
      <c r="F940" s="138" t="str">
        <f>IF('Calendario F'!F90="","",'Calendario F'!F90)</f>
        <v/>
      </c>
      <c r="G940" s="124"/>
      <c r="H940" s="124"/>
      <c r="I940" s="125"/>
      <c r="J940" s="202" t="str">
        <f>IF('Calendario F'!J90="","",'Calendario F'!J90)</f>
        <v/>
      </c>
      <c r="K940" s="201" t="s">
        <v>198</v>
      </c>
      <c r="L940" s="202" t="str">
        <f>IF('Calendario F'!L90="","",'Calendario F'!L90)</f>
        <v/>
      </c>
      <c r="M940" s="200"/>
      <c r="N940" s="200"/>
      <c r="O940" s="200"/>
      <c r="P940" s="200"/>
      <c r="Q940" s="200"/>
      <c r="R940" s="200"/>
    </row>
    <row r="941" spans="1:18" ht="15" customHeight="1" x14ac:dyDescent="0.25">
      <c r="A941" s="133"/>
      <c r="B941" s="136" t="str">
        <f>IF('Calendario F'!B91="","",'Calendario F'!B91)</f>
        <v/>
      </c>
      <c r="C941" s="124"/>
      <c r="D941" s="124"/>
      <c r="E941" s="124"/>
      <c r="F941" s="124"/>
      <c r="G941" s="124"/>
      <c r="H941" s="125"/>
      <c r="I941" s="45" t="str">
        <f>IF('Calendario F'!I91="","",'Calendario F'!I91)</f>
        <v/>
      </c>
      <c r="J941" s="133"/>
      <c r="K941" s="133"/>
      <c r="L941" s="133"/>
      <c r="M941" s="133"/>
      <c r="N941" s="133"/>
      <c r="O941" s="133"/>
      <c r="P941" s="133"/>
      <c r="Q941" s="133"/>
      <c r="R941" s="133"/>
    </row>
    <row r="943" spans="1:18" ht="20.100000000000001" customHeight="1" x14ac:dyDescent="0.25">
      <c r="A943" s="57" t="str">
        <f>IF('Calendario F'!A93="","",'Calendario F'!A93)</f>
        <v>6F</v>
      </c>
      <c r="B943" s="159" t="str">
        <f>IF('Calendario F'!B93="","",'Calendario F'!B93)</f>
        <v>GIORNATA VI - GIRONE F</v>
      </c>
      <c r="C943" s="124"/>
      <c r="D943" s="124"/>
      <c r="E943" s="124"/>
      <c r="F943" s="124"/>
      <c r="G943" s="124"/>
      <c r="H943" s="124"/>
      <c r="I943" s="124"/>
      <c r="J943" s="124"/>
      <c r="K943" s="124"/>
      <c r="L943" s="125"/>
      <c r="M943" s="205" t="s">
        <v>492</v>
      </c>
      <c r="N943" s="124"/>
      <c r="O943" s="125"/>
      <c r="P943" s="205" t="s">
        <v>493</v>
      </c>
      <c r="Q943" s="124"/>
      <c r="R943" s="125"/>
    </row>
    <row r="944" spans="1:18" ht="14.1" customHeight="1" x14ac:dyDescent="0.25">
      <c r="A944" s="58" t="s">
        <v>193</v>
      </c>
      <c r="B944" s="157" t="s">
        <v>175</v>
      </c>
      <c r="C944" s="125"/>
      <c r="D944" s="157" t="s">
        <v>182</v>
      </c>
      <c r="E944" s="125"/>
      <c r="F944" s="58" t="s">
        <v>194</v>
      </c>
      <c r="G944" s="58" t="s">
        <v>195</v>
      </c>
      <c r="H944" s="157" t="s">
        <v>196</v>
      </c>
      <c r="I944" s="125"/>
      <c r="J944" s="157" t="s">
        <v>197</v>
      </c>
      <c r="K944" s="124"/>
      <c r="L944" s="125"/>
      <c r="M944" s="107" t="s">
        <v>494</v>
      </c>
      <c r="N944" s="107" t="s">
        <v>495</v>
      </c>
      <c r="O944" s="107" t="s">
        <v>496</v>
      </c>
      <c r="P944" s="107" t="s">
        <v>497</v>
      </c>
      <c r="Q944" s="107" t="s">
        <v>498</v>
      </c>
      <c r="R944" s="107" t="s">
        <v>499</v>
      </c>
    </row>
    <row r="945" spans="1:18" ht="21.95" customHeight="1" x14ac:dyDescent="0.25">
      <c r="A945" s="158">
        <f>IF('Calendario F'!A95="","",'Calendario F'!A95)</f>
        <v>251</v>
      </c>
      <c r="B945" s="44" t="str">
        <f>IF('Calendario F'!B95="","",'Calendario F'!B95)</f>
        <v/>
      </c>
      <c r="C945" s="45" t="str">
        <f>IF('Calendario F'!C95="","",'Calendario F'!C95)</f>
        <v/>
      </c>
      <c r="D945" s="44" t="str">
        <f>IF('Calendario F'!D95="","",'Calendario F'!D95)</f>
        <v/>
      </c>
      <c r="E945" s="45" t="str">
        <f>IF('Calendario F'!E95="","",'Calendario F'!E95)</f>
        <v/>
      </c>
      <c r="F945" s="138" t="str">
        <f>IF('Calendario F'!F95="","",'Calendario F'!F95)</f>
        <v/>
      </c>
      <c r="G945" s="124"/>
      <c r="H945" s="124"/>
      <c r="I945" s="125"/>
      <c r="J945" s="202" t="str">
        <f>IF('Calendario F'!J95="","",'Calendario F'!J95)</f>
        <v/>
      </c>
      <c r="K945" s="201" t="s">
        <v>198</v>
      </c>
      <c r="L945" s="202" t="str">
        <f>IF('Calendario F'!L95="","",'Calendario F'!L95)</f>
        <v/>
      </c>
      <c r="M945" s="200"/>
      <c r="N945" s="200"/>
      <c r="O945" s="200"/>
      <c r="P945" s="200"/>
      <c r="Q945" s="200"/>
      <c r="R945" s="200"/>
    </row>
    <row r="946" spans="1:18" ht="15" customHeight="1" x14ac:dyDescent="0.25">
      <c r="A946" s="133"/>
      <c r="B946" s="136" t="str">
        <f>IF('Calendario F'!B96="","",'Calendario F'!B96)</f>
        <v/>
      </c>
      <c r="C946" s="124"/>
      <c r="D946" s="124"/>
      <c r="E946" s="124"/>
      <c r="F946" s="124"/>
      <c r="G946" s="124"/>
      <c r="H946" s="125"/>
      <c r="I946" s="45" t="str">
        <f>IF('Calendario F'!I96="","",'Calendario F'!I96)</f>
        <v/>
      </c>
      <c r="J946" s="133"/>
      <c r="K946" s="133"/>
      <c r="L946" s="133"/>
      <c r="M946" s="133"/>
      <c r="N946" s="133"/>
      <c r="O946" s="133"/>
      <c r="P946" s="133"/>
      <c r="Q946" s="133"/>
      <c r="R946" s="133"/>
    </row>
    <row r="947" spans="1:18" ht="14.1" customHeight="1" x14ac:dyDescent="0.25">
      <c r="A947" s="58" t="s">
        <v>193</v>
      </c>
      <c r="B947" s="157" t="s">
        <v>175</v>
      </c>
      <c r="C947" s="125"/>
      <c r="D947" s="157" t="s">
        <v>182</v>
      </c>
      <c r="E947" s="125"/>
      <c r="F947" s="58" t="s">
        <v>194</v>
      </c>
      <c r="G947" s="58" t="s">
        <v>195</v>
      </c>
      <c r="H947" s="157" t="s">
        <v>196</v>
      </c>
      <c r="I947" s="125"/>
      <c r="J947" s="157" t="s">
        <v>197</v>
      </c>
      <c r="K947" s="124"/>
      <c r="L947" s="125"/>
      <c r="M947" s="107" t="s">
        <v>494</v>
      </c>
      <c r="N947" s="107" t="s">
        <v>495</v>
      </c>
      <c r="O947" s="107" t="s">
        <v>496</v>
      </c>
      <c r="P947" s="107" t="s">
        <v>497</v>
      </c>
      <c r="Q947" s="107" t="s">
        <v>498</v>
      </c>
      <c r="R947" s="107" t="s">
        <v>499</v>
      </c>
    </row>
    <row r="948" spans="1:18" ht="21.95" customHeight="1" x14ac:dyDescent="0.25">
      <c r="A948" s="158">
        <f>IF('Calendario F'!A98="","",'Calendario F'!A98)</f>
        <v>252</v>
      </c>
      <c r="B948" s="44" t="str">
        <f>IF('Calendario F'!B98="","",'Calendario F'!B98)</f>
        <v/>
      </c>
      <c r="C948" s="45" t="str">
        <f>IF('Calendario F'!C98="","",'Calendario F'!C98)</f>
        <v/>
      </c>
      <c r="D948" s="44" t="str">
        <f>IF('Calendario F'!D98="","",'Calendario F'!D98)</f>
        <v/>
      </c>
      <c r="E948" s="45" t="str">
        <f>IF('Calendario F'!E98="","",'Calendario F'!E98)</f>
        <v/>
      </c>
      <c r="F948" s="138" t="str">
        <f>IF('Calendario F'!F98="","",'Calendario F'!F98)</f>
        <v/>
      </c>
      <c r="G948" s="124"/>
      <c r="H948" s="124"/>
      <c r="I948" s="125"/>
      <c r="J948" s="202" t="str">
        <f>IF('Calendario F'!J98="","",'Calendario F'!J98)</f>
        <v/>
      </c>
      <c r="K948" s="201" t="s">
        <v>198</v>
      </c>
      <c r="L948" s="202" t="str">
        <f>IF('Calendario F'!L98="","",'Calendario F'!L98)</f>
        <v/>
      </c>
      <c r="M948" s="200"/>
      <c r="N948" s="200"/>
      <c r="O948" s="200"/>
      <c r="P948" s="200"/>
      <c r="Q948" s="200"/>
      <c r="R948" s="200"/>
    </row>
    <row r="949" spans="1:18" ht="15" customHeight="1" x14ac:dyDescent="0.25">
      <c r="A949" s="133"/>
      <c r="B949" s="136" t="str">
        <f>IF('Calendario F'!B99="","",'Calendario F'!B99)</f>
        <v/>
      </c>
      <c r="C949" s="124"/>
      <c r="D949" s="124"/>
      <c r="E949" s="124"/>
      <c r="F949" s="124"/>
      <c r="G949" s="124"/>
      <c r="H949" s="125"/>
      <c r="I949" s="45" t="str">
        <f>IF('Calendario F'!I99="","",'Calendario F'!I99)</f>
        <v/>
      </c>
      <c r="J949" s="133"/>
      <c r="K949" s="133"/>
      <c r="L949" s="133"/>
      <c r="M949" s="133"/>
      <c r="N949" s="133"/>
      <c r="O949" s="133"/>
      <c r="P949" s="133"/>
      <c r="Q949" s="133"/>
      <c r="R949" s="133"/>
    </row>
    <row r="950" spans="1:18" ht="14.1" customHeight="1" x14ac:dyDescent="0.25">
      <c r="A950" s="58" t="s">
        <v>193</v>
      </c>
      <c r="B950" s="157" t="s">
        <v>175</v>
      </c>
      <c r="C950" s="125"/>
      <c r="D950" s="157" t="s">
        <v>182</v>
      </c>
      <c r="E950" s="125"/>
      <c r="F950" s="58" t="s">
        <v>194</v>
      </c>
      <c r="G950" s="58" t="s">
        <v>195</v>
      </c>
      <c r="H950" s="157" t="s">
        <v>196</v>
      </c>
      <c r="I950" s="125"/>
      <c r="J950" s="157" t="s">
        <v>197</v>
      </c>
      <c r="K950" s="124"/>
      <c r="L950" s="125"/>
      <c r="M950" s="107" t="s">
        <v>494</v>
      </c>
      <c r="N950" s="107" t="s">
        <v>495</v>
      </c>
      <c r="O950" s="107" t="s">
        <v>496</v>
      </c>
      <c r="P950" s="107" t="s">
        <v>497</v>
      </c>
      <c r="Q950" s="107" t="s">
        <v>498</v>
      </c>
      <c r="R950" s="107" t="s">
        <v>499</v>
      </c>
    </row>
    <row r="951" spans="1:18" ht="21.95" customHeight="1" x14ac:dyDescent="0.25">
      <c r="A951" s="158">
        <f>IF('Calendario F'!A101="","",'Calendario F'!A101)</f>
        <v>253</v>
      </c>
      <c r="B951" s="44" t="str">
        <f>IF('Calendario F'!B101="","",'Calendario F'!B101)</f>
        <v/>
      </c>
      <c r="C951" s="45" t="str">
        <f>IF('Calendario F'!C101="","",'Calendario F'!C101)</f>
        <v/>
      </c>
      <c r="D951" s="44" t="str">
        <f>IF('Calendario F'!D101="","",'Calendario F'!D101)</f>
        <v/>
      </c>
      <c r="E951" s="45" t="str">
        <f>IF('Calendario F'!E101="","",'Calendario F'!E101)</f>
        <v/>
      </c>
      <c r="F951" s="138" t="str">
        <f>IF('Calendario F'!F101="","",'Calendario F'!F101)</f>
        <v/>
      </c>
      <c r="G951" s="124"/>
      <c r="H951" s="124"/>
      <c r="I951" s="125"/>
      <c r="J951" s="202" t="str">
        <f>IF('Calendario F'!J101="","",'Calendario F'!J101)</f>
        <v/>
      </c>
      <c r="K951" s="201" t="s">
        <v>198</v>
      </c>
      <c r="L951" s="202" t="str">
        <f>IF('Calendario F'!L101="","",'Calendario F'!L101)</f>
        <v/>
      </c>
      <c r="M951" s="200"/>
      <c r="N951" s="200"/>
      <c r="O951" s="200"/>
      <c r="P951" s="200"/>
      <c r="Q951" s="200"/>
      <c r="R951" s="200"/>
    </row>
    <row r="952" spans="1:18" ht="15" customHeight="1" x14ac:dyDescent="0.25">
      <c r="A952" s="133"/>
      <c r="B952" s="136" t="str">
        <f>IF('Calendario F'!B102="","",'Calendario F'!B102)</f>
        <v/>
      </c>
      <c r="C952" s="124"/>
      <c r="D952" s="124"/>
      <c r="E952" s="124"/>
      <c r="F952" s="124"/>
      <c r="G952" s="124"/>
      <c r="H952" s="125"/>
      <c r="I952" s="45" t="str">
        <f>IF('Calendario F'!I102="","",'Calendario F'!I102)</f>
        <v/>
      </c>
      <c r="J952" s="133"/>
      <c r="K952" s="133"/>
      <c r="L952" s="133"/>
      <c r="M952" s="133"/>
      <c r="N952" s="133"/>
      <c r="O952" s="133"/>
      <c r="P952" s="133"/>
      <c r="Q952" s="133"/>
      <c r="R952" s="133"/>
    </row>
    <row r="953" spans="1:18" ht="14.1" customHeight="1" x14ac:dyDescent="0.25">
      <c r="A953" s="58" t="s">
        <v>193</v>
      </c>
      <c r="B953" s="157" t="s">
        <v>175</v>
      </c>
      <c r="C953" s="125"/>
      <c r="D953" s="157" t="s">
        <v>182</v>
      </c>
      <c r="E953" s="125"/>
      <c r="F953" s="58" t="s">
        <v>194</v>
      </c>
      <c r="G953" s="58" t="s">
        <v>195</v>
      </c>
      <c r="H953" s="157" t="s">
        <v>196</v>
      </c>
      <c r="I953" s="125"/>
      <c r="J953" s="157" t="s">
        <v>197</v>
      </c>
      <c r="K953" s="124"/>
      <c r="L953" s="125"/>
      <c r="M953" s="107" t="s">
        <v>494</v>
      </c>
      <c r="N953" s="107" t="s">
        <v>495</v>
      </c>
      <c r="O953" s="107" t="s">
        <v>496</v>
      </c>
      <c r="P953" s="107" t="s">
        <v>497</v>
      </c>
      <c r="Q953" s="107" t="s">
        <v>498</v>
      </c>
      <c r="R953" s="107" t="s">
        <v>499</v>
      </c>
    </row>
    <row r="954" spans="1:18" ht="21.95" customHeight="1" x14ac:dyDescent="0.25">
      <c r="A954" s="158">
        <f>IF('Calendario F'!A104="","",'Calendario F'!A104)</f>
        <v>254</v>
      </c>
      <c r="B954" s="44" t="str">
        <f>IF('Calendario F'!B104="","",'Calendario F'!B104)</f>
        <v/>
      </c>
      <c r="C954" s="45" t="str">
        <f>IF('Calendario F'!C104="","",'Calendario F'!C104)</f>
        <v/>
      </c>
      <c r="D954" s="44" t="str">
        <f>IF('Calendario F'!D104="","",'Calendario F'!D104)</f>
        <v/>
      </c>
      <c r="E954" s="45" t="str">
        <f>IF('Calendario F'!E104="","",'Calendario F'!E104)</f>
        <v/>
      </c>
      <c r="F954" s="138" t="str">
        <f>IF('Calendario F'!F104="","",'Calendario F'!F104)</f>
        <v/>
      </c>
      <c r="G954" s="124"/>
      <c r="H954" s="124"/>
      <c r="I954" s="125"/>
      <c r="J954" s="202" t="str">
        <f>IF('Calendario F'!J104="","",'Calendario F'!J104)</f>
        <v/>
      </c>
      <c r="K954" s="201" t="s">
        <v>198</v>
      </c>
      <c r="L954" s="202" t="str">
        <f>IF('Calendario F'!L104="","",'Calendario F'!L104)</f>
        <v/>
      </c>
      <c r="M954" s="200"/>
      <c r="N954" s="200"/>
      <c r="O954" s="200"/>
      <c r="P954" s="200"/>
      <c r="Q954" s="200"/>
      <c r="R954" s="200"/>
    </row>
    <row r="955" spans="1:18" ht="15" customHeight="1" x14ac:dyDescent="0.25">
      <c r="A955" s="133"/>
      <c r="B955" s="136" t="str">
        <f>IF('Calendario F'!B105="","",'Calendario F'!B105)</f>
        <v/>
      </c>
      <c r="C955" s="124"/>
      <c r="D955" s="124"/>
      <c r="E955" s="124"/>
      <c r="F955" s="124"/>
      <c r="G955" s="124"/>
      <c r="H955" s="125"/>
      <c r="I955" s="45" t="str">
        <f>IF('Calendario F'!I105="","",'Calendario F'!I105)</f>
        <v/>
      </c>
      <c r="J955" s="133"/>
      <c r="K955" s="133"/>
      <c r="L955" s="133"/>
      <c r="M955" s="133"/>
      <c r="N955" s="133"/>
      <c r="O955" s="133"/>
      <c r="P955" s="133"/>
      <c r="Q955" s="133"/>
      <c r="R955" s="133"/>
    </row>
    <row r="956" spans="1:18" ht="14.1" customHeight="1" x14ac:dyDescent="0.25">
      <c r="A956" s="58" t="s">
        <v>193</v>
      </c>
      <c r="B956" s="157" t="s">
        <v>175</v>
      </c>
      <c r="C956" s="125"/>
      <c r="D956" s="157" t="s">
        <v>182</v>
      </c>
      <c r="E956" s="125"/>
      <c r="F956" s="58" t="s">
        <v>194</v>
      </c>
      <c r="G956" s="58" t="s">
        <v>195</v>
      </c>
      <c r="H956" s="157" t="s">
        <v>196</v>
      </c>
      <c r="I956" s="125"/>
      <c r="J956" s="157" t="s">
        <v>197</v>
      </c>
      <c r="K956" s="124"/>
      <c r="L956" s="125"/>
      <c r="M956" s="107" t="s">
        <v>494</v>
      </c>
      <c r="N956" s="107" t="s">
        <v>495</v>
      </c>
      <c r="O956" s="107" t="s">
        <v>496</v>
      </c>
      <c r="P956" s="107" t="s">
        <v>497</v>
      </c>
      <c r="Q956" s="107" t="s">
        <v>498</v>
      </c>
      <c r="R956" s="107" t="s">
        <v>499</v>
      </c>
    </row>
    <row r="957" spans="1:18" ht="21.95" customHeight="1" x14ac:dyDescent="0.25">
      <c r="A957" s="158">
        <f>IF('Calendario F'!A107="","",'Calendario F'!A107)</f>
        <v>255</v>
      </c>
      <c r="B957" s="44" t="str">
        <f>IF('Calendario F'!B107="","",'Calendario F'!B107)</f>
        <v/>
      </c>
      <c r="C957" s="45" t="str">
        <f>IF('Calendario F'!C107="","",'Calendario F'!C107)</f>
        <v/>
      </c>
      <c r="D957" s="44" t="str">
        <f>IF('Calendario F'!D107="","",'Calendario F'!D107)</f>
        <v/>
      </c>
      <c r="E957" s="45" t="str">
        <f>IF('Calendario F'!E107="","",'Calendario F'!E107)</f>
        <v/>
      </c>
      <c r="F957" s="138" t="str">
        <f>IF('Calendario F'!F107="","",'Calendario F'!F107)</f>
        <v/>
      </c>
      <c r="G957" s="124"/>
      <c r="H957" s="124"/>
      <c r="I957" s="125"/>
      <c r="J957" s="202" t="str">
        <f>IF('Calendario F'!J107="","",'Calendario F'!J107)</f>
        <v/>
      </c>
      <c r="K957" s="201" t="s">
        <v>198</v>
      </c>
      <c r="L957" s="202" t="str">
        <f>IF('Calendario F'!L107="","",'Calendario F'!L107)</f>
        <v/>
      </c>
      <c r="M957" s="200"/>
      <c r="N957" s="200"/>
      <c r="O957" s="200"/>
      <c r="P957" s="200"/>
      <c r="Q957" s="200"/>
      <c r="R957" s="200"/>
    </row>
    <row r="958" spans="1:18" ht="15" customHeight="1" x14ac:dyDescent="0.25">
      <c r="A958" s="133"/>
      <c r="B958" s="136" t="str">
        <f>IF('Calendario F'!B108="","",'Calendario F'!B108)</f>
        <v/>
      </c>
      <c r="C958" s="124"/>
      <c r="D958" s="124"/>
      <c r="E958" s="124"/>
      <c r="F958" s="124"/>
      <c r="G958" s="124"/>
      <c r="H958" s="125"/>
      <c r="I958" s="45" t="str">
        <f>IF('Calendario F'!I108="","",'Calendario F'!I108)</f>
        <v/>
      </c>
      <c r="J958" s="133"/>
      <c r="K958" s="133"/>
      <c r="L958" s="133"/>
      <c r="M958" s="133"/>
      <c r="N958" s="133"/>
      <c r="O958" s="133"/>
      <c r="P958" s="133"/>
      <c r="Q958" s="133"/>
      <c r="R958" s="133"/>
    </row>
    <row r="960" spans="1:18" ht="20.100000000000001" customHeight="1" x14ac:dyDescent="0.25">
      <c r="A960" s="57" t="str">
        <f>IF('Calendario F'!A110="","",'Calendario F'!A110)</f>
        <v>7F</v>
      </c>
      <c r="B960" s="159" t="str">
        <f>IF('Calendario F'!B110="","",'Calendario F'!B110)</f>
        <v>GIORNATA VII - GIRONE F</v>
      </c>
      <c r="C960" s="124"/>
      <c r="D960" s="124"/>
      <c r="E960" s="124"/>
      <c r="F960" s="124"/>
      <c r="G960" s="124"/>
      <c r="H960" s="124"/>
      <c r="I960" s="124"/>
      <c r="J960" s="124"/>
      <c r="K960" s="124"/>
      <c r="L960" s="125"/>
      <c r="M960" s="205" t="s">
        <v>492</v>
      </c>
      <c r="N960" s="124"/>
      <c r="O960" s="125"/>
      <c r="P960" s="205" t="s">
        <v>493</v>
      </c>
      <c r="Q960" s="124"/>
      <c r="R960" s="125"/>
    </row>
    <row r="961" spans="1:18" ht="14.1" customHeight="1" x14ac:dyDescent="0.25">
      <c r="A961" s="58" t="s">
        <v>193</v>
      </c>
      <c r="B961" s="157" t="s">
        <v>175</v>
      </c>
      <c r="C961" s="125"/>
      <c r="D961" s="157" t="s">
        <v>182</v>
      </c>
      <c r="E961" s="125"/>
      <c r="F961" s="58" t="s">
        <v>194</v>
      </c>
      <c r="G961" s="58" t="s">
        <v>195</v>
      </c>
      <c r="H961" s="157" t="s">
        <v>196</v>
      </c>
      <c r="I961" s="125"/>
      <c r="J961" s="157" t="s">
        <v>197</v>
      </c>
      <c r="K961" s="124"/>
      <c r="L961" s="125"/>
      <c r="M961" s="107" t="s">
        <v>494</v>
      </c>
      <c r="N961" s="107" t="s">
        <v>495</v>
      </c>
      <c r="O961" s="107" t="s">
        <v>496</v>
      </c>
      <c r="P961" s="107" t="s">
        <v>497</v>
      </c>
      <c r="Q961" s="107" t="s">
        <v>498</v>
      </c>
      <c r="R961" s="107" t="s">
        <v>499</v>
      </c>
    </row>
    <row r="962" spans="1:18" ht="21.95" customHeight="1" x14ac:dyDescent="0.25">
      <c r="A962" s="158">
        <f>IF('Calendario F'!A112="","",'Calendario F'!A112)</f>
        <v>256</v>
      </c>
      <c r="B962" s="44" t="str">
        <f>IF('Calendario F'!B112="","",'Calendario F'!B112)</f>
        <v/>
      </c>
      <c r="C962" s="45" t="str">
        <f>IF('Calendario F'!C112="","",'Calendario F'!C112)</f>
        <v/>
      </c>
      <c r="D962" s="44" t="str">
        <f>IF('Calendario F'!D112="","",'Calendario F'!D112)</f>
        <v/>
      </c>
      <c r="E962" s="45" t="str">
        <f>IF('Calendario F'!E112="","",'Calendario F'!E112)</f>
        <v/>
      </c>
      <c r="F962" s="138" t="str">
        <f>IF('Calendario F'!F112="","",'Calendario F'!F112)</f>
        <v/>
      </c>
      <c r="G962" s="124"/>
      <c r="H962" s="124"/>
      <c r="I962" s="125"/>
      <c r="J962" s="202" t="str">
        <f>IF('Calendario F'!J112="","",'Calendario F'!J112)</f>
        <v/>
      </c>
      <c r="K962" s="201" t="s">
        <v>198</v>
      </c>
      <c r="L962" s="202" t="str">
        <f>IF('Calendario F'!L112="","",'Calendario F'!L112)</f>
        <v/>
      </c>
      <c r="M962" s="200"/>
      <c r="N962" s="200"/>
      <c r="O962" s="200"/>
      <c r="P962" s="200"/>
      <c r="Q962" s="200"/>
      <c r="R962" s="200"/>
    </row>
    <row r="963" spans="1:18" ht="15" customHeight="1" x14ac:dyDescent="0.25">
      <c r="A963" s="133"/>
      <c r="B963" s="136" t="str">
        <f>IF('Calendario F'!B113="","",'Calendario F'!B113)</f>
        <v/>
      </c>
      <c r="C963" s="124"/>
      <c r="D963" s="124"/>
      <c r="E963" s="124"/>
      <c r="F963" s="124"/>
      <c r="G963" s="124"/>
      <c r="H963" s="125"/>
      <c r="I963" s="45" t="str">
        <f>IF('Calendario F'!I113="","",'Calendario F'!I113)</f>
        <v/>
      </c>
      <c r="J963" s="133"/>
      <c r="K963" s="133"/>
      <c r="L963" s="133"/>
      <c r="M963" s="133"/>
      <c r="N963" s="133"/>
      <c r="O963" s="133"/>
      <c r="P963" s="133"/>
      <c r="Q963" s="133"/>
      <c r="R963" s="133"/>
    </row>
    <row r="964" spans="1:18" ht="14.1" customHeight="1" x14ac:dyDescent="0.25">
      <c r="A964" s="58" t="s">
        <v>193</v>
      </c>
      <c r="B964" s="157" t="s">
        <v>175</v>
      </c>
      <c r="C964" s="125"/>
      <c r="D964" s="157" t="s">
        <v>182</v>
      </c>
      <c r="E964" s="125"/>
      <c r="F964" s="58" t="s">
        <v>194</v>
      </c>
      <c r="G964" s="58" t="s">
        <v>195</v>
      </c>
      <c r="H964" s="157" t="s">
        <v>196</v>
      </c>
      <c r="I964" s="125"/>
      <c r="J964" s="157" t="s">
        <v>197</v>
      </c>
      <c r="K964" s="124"/>
      <c r="L964" s="125"/>
      <c r="M964" s="107" t="s">
        <v>494</v>
      </c>
      <c r="N964" s="107" t="s">
        <v>495</v>
      </c>
      <c r="O964" s="107" t="s">
        <v>496</v>
      </c>
      <c r="P964" s="107" t="s">
        <v>497</v>
      </c>
      <c r="Q964" s="107" t="s">
        <v>498</v>
      </c>
      <c r="R964" s="107" t="s">
        <v>499</v>
      </c>
    </row>
    <row r="965" spans="1:18" ht="21.95" customHeight="1" x14ac:dyDescent="0.25">
      <c r="A965" s="158">
        <f>IF('Calendario F'!A115="","",'Calendario F'!A115)</f>
        <v>257</v>
      </c>
      <c r="B965" s="44" t="str">
        <f>IF('Calendario F'!B115="","",'Calendario F'!B115)</f>
        <v/>
      </c>
      <c r="C965" s="45" t="str">
        <f>IF('Calendario F'!C115="","",'Calendario F'!C115)</f>
        <v/>
      </c>
      <c r="D965" s="44" t="str">
        <f>IF('Calendario F'!D115="","",'Calendario F'!D115)</f>
        <v/>
      </c>
      <c r="E965" s="45" t="str">
        <f>IF('Calendario F'!E115="","",'Calendario F'!E115)</f>
        <v/>
      </c>
      <c r="F965" s="138" t="str">
        <f>IF('Calendario F'!F115="","",'Calendario F'!F115)</f>
        <v/>
      </c>
      <c r="G965" s="124"/>
      <c r="H965" s="124"/>
      <c r="I965" s="125"/>
      <c r="J965" s="202" t="str">
        <f>IF('Calendario F'!J115="","",'Calendario F'!J115)</f>
        <v/>
      </c>
      <c r="K965" s="201" t="s">
        <v>198</v>
      </c>
      <c r="L965" s="202" t="str">
        <f>IF('Calendario F'!L115="","",'Calendario F'!L115)</f>
        <v/>
      </c>
      <c r="M965" s="200"/>
      <c r="N965" s="200"/>
      <c r="O965" s="200"/>
      <c r="P965" s="200"/>
      <c r="Q965" s="200"/>
      <c r="R965" s="200"/>
    </row>
    <row r="966" spans="1:18" ht="15" customHeight="1" x14ac:dyDescent="0.25">
      <c r="A966" s="133"/>
      <c r="B966" s="136" t="str">
        <f>IF('Calendario F'!B116="","",'Calendario F'!B116)</f>
        <v/>
      </c>
      <c r="C966" s="124"/>
      <c r="D966" s="124"/>
      <c r="E966" s="124"/>
      <c r="F966" s="124"/>
      <c r="G966" s="124"/>
      <c r="H966" s="125"/>
      <c r="I966" s="45" t="str">
        <f>IF('Calendario F'!I116="","",'Calendario F'!I116)</f>
        <v/>
      </c>
      <c r="J966" s="133"/>
      <c r="K966" s="133"/>
      <c r="L966" s="133"/>
      <c r="M966" s="133"/>
      <c r="N966" s="133"/>
      <c r="O966" s="133"/>
      <c r="P966" s="133"/>
      <c r="Q966" s="133"/>
      <c r="R966" s="133"/>
    </row>
    <row r="967" spans="1:18" ht="14.1" customHeight="1" x14ac:dyDescent="0.25">
      <c r="A967" s="58" t="s">
        <v>193</v>
      </c>
      <c r="B967" s="157" t="s">
        <v>175</v>
      </c>
      <c r="C967" s="125"/>
      <c r="D967" s="157" t="s">
        <v>182</v>
      </c>
      <c r="E967" s="125"/>
      <c r="F967" s="58" t="s">
        <v>194</v>
      </c>
      <c r="G967" s="58" t="s">
        <v>195</v>
      </c>
      <c r="H967" s="157" t="s">
        <v>196</v>
      </c>
      <c r="I967" s="125"/>
      <c r="J967" s="157" t="s">
        <v>197</v>
      </c>
      <c r="K967" s="124"/>
      <c r="L967" s="125"/>
      <c r="M967" s="107" t="s">
        <v>494</v>
      </c>
      <c r="N967" s="107" t="s">
        <v>495</v>
      </c>
      <c r="O967" s="107" t="s">
        <v>496</v>
      </c>
      <c r="P967" s="107" t="s">
        <v>497</v>
      </c>
      <c r="Q967" s="107" t="s">
        <v>498</v>
      </c>
      <c r="R967" s="107" t="s">
        <v>499</v>
      </c>
    </row>
    <row r="968" spans="1:18" ht="21.95" customHeight="1" x14ac:dyDescent="0.25">
      <c r="A968" s="158">
        <f>IF('Calendario F'!A118="","",'Calendario F'!A118)</f>
        <v>258</v>
      </c>
      <c r="B968" s="44" t="str">
        <f>IF('Calendario F'!B118="","",'Calendario F'!B118)</f>
        <v/>
      </c>
      <c r="C968" s="45" t="str">
        <f>IF('Calendario F'!C118="","",'Calendario F'!C118)</f>
        <v/>
      </c>
      <c r="D968" s="44" t="str">
        <f>IF('Calendario F'!D118="","",'Calendario F'!D118)</f>
        <v/>
      </c>
      <c r="E968" s="45" t="str">
        <f>IF('Calendario F'!E118="","",'Calendario F'!E118)</f>
        <v/>
      </c>
      <c r="F968" s="138" t="str">
        <f>IF('Calendario F'!F118="","",'Calendario F'!F118)</f>
        <v/>
      </c>
      <c r="G968" s="124"/>
      <c r="H968" s="124"/>
      <c r="I968" s="125"/>
      <c r="J968" s="202" t="str">
        <f>IF('Calendario F'!J118="","",'Calendario F'!J118)</f>
        <v/>
      </c>
      <c r="K968" s="201" t="s">
        <v>198</v>
      </c>
      <c r="L968" s="202" t="str">
        <f>IF('Calendario F'!L118="","",'Calendario F'!L118)</f>
        <v/>
      </c>
      <c r="M968" s="200"/>
      <c r="N968" s="200"/>
      <c r="O968" s="200"/>
      <c r="P968" s="200"/>
      <c r="Q968" s="200"/>
      <c r="R968" s="200"/>
    </row>
    <row r="969" spans="1:18" ht="15" customHeight="1" x14ac:dyDescent="0.25">
      <c r="A969" s="133"/>
      <c r="B969" s="136" t="str">
        <f>IF('Calendario F'!B119="","",'Calendario F'!B119)</f>
        <v/>
      </c>
      <c r="C969" s="124"/>
      <c r="D969" s="124"/>
      <c r="E969" s="124"/>
      <c r="F969" s="124"/>
      <c r="G969" s="124"/>
      <c r="H969" s="125"/>
      <c r="I969" s="45" t="str">
        <f>IF('Calendario F'!I119="","",'Calendario F'!I119)</f>
        <v/>
      </c>
      <c r="J969" s="133"/>
      <c r="K969" s="133"/>
      <c r="L969" s="133"/>
      <c r="M969" s="133"/>
      <c r="N969" s="133"/>
      <c r="O969" s="133"/>
      <c r="P969" s="133"/>
      <c r="Q969" s="133"/>
      <c r="R969" s="133"/>
    </row>
    <row r="970" spans="1:18" ht="14.1" customHeight="1" x14ac:dyDescent="0.25">
      <c r="A970" s="58" t="s">
        <v>193</v>
      </c>
      <c r="B970" s="157" t="s">
        <v>175</v>
      </c>
      <c r="C970" s="125"/>
      <c r="D970" s="157" t="s">
        <v>182</v>
      </c>
      <c r="E970" s="125"/>
      <c r="F970" s="58" t="s">
        <v>194</v>
      </c>
      <c r="G970" s="58" t="s">
        <v>195</v>
      </c>
      <c r="H970" s="157" t="s">
        <v>196</v>
      </c>
      <c r="I970" s="125"/>
      <c r="J970" s="157" t="s">
        <v>197</v>
      </c>
      <c r="K970" s="124"/>
      <c r="L970" s="125"/>
      <c r="M970" s="107" t="s">
        <v>494</v>
      </c>
      <c r="N970" s="107" t="s">
        <v>495</v>
      </c>
      <c r="O970" s="107" t="s">
        <v>496</v>
      </c>
      <c r="P970" s="107" t="s">
        <v>497</v>
      </c>
      <c r="Q970" s="107" t="s">
        <v>498</v>
      </c>
      <c r="R970" s="107" t="s">
        <v>499</v>
      </c>
    </row>
    <row r="971" spans="1:18" ht="21.95" customHeight="1" x14ac:dyDescent="0.25">
      <c r="A971" s="158">
        <f>IF('Calendario F'!A121="","",'Calendario F'!A121)</f>
        <v>259</v>
      </c>
      <c r="B971" s="44" t="str">
        <f>IF('Calendario F'!B121="","",'Calendario F'!B121)</f>
        <v/>
      </c>
      <c r="C971" s="45" t="str">
        <f>IF('Calendario F'!C121="","",'Calendario F'!C121)</f>
        <v/>
      </c>
      <c r="D971" s="44" t="str">
        <f>IF('Calendario F'!D121="","",'Calendario F'!D121)</f>
        <v/>
      </c>
      <c r="E971" s="45" t="str">
        <f>IF('Calendario F'!E121="","",'Calendario F'!E121)</f>
        <v/>
      </c>
      <c r="F971" s="138" t="str">
        <f>IF('Calendario F'!F121="","",'Calendario F'!F121)</f>
        <v/>
      </c>
      <c r="G971" s="124"/>
      <c r="H971" s="124"/>
      <c r="I971" s="125"/>
      <c r="J971" s="202" t="str">
        <f>IF('Calendario F'!J121="","",'Calendario F'!J121)</f>
        <v/>
      </c>
      <c r="K971" s="201" t="s">
        <v>198</v>
      </c>
      <c r="L971" s="202" t="str">
        <f>IF('Calendario F'!L121="","",'Calendario F'!L121)</f>
        <v/>
      </c>
      <c r="M971" s="200"/>
      <c r="N971" s="200"/>
      <c r="O971" s="200"/>
      <c r="P971" s="200"/>
      <c r="Q971" s="200"/>
      <c r="R971" s="200"/>
    </row>
    <row r="972" spans="1:18" ht="15" customHeight="1" x14ac:dyDescent="0.25">
      <c r="A972" s="133"/>
      <c r="B972" s="136" t="str">
        <f>IF('Calendario F'!B122="","",'Calendario F'!B122)</f>
        <v/>
      </c>
      <c r="C972" s="124"/>
      <c r="D972" s="124"/>
      <c r="E972" s="124"/>
      <c r="F972" s="124"/>
      <c r="G972" s="124"/>
      <c r="H972" s="125"/>
      <c r="I972" s="45" t="str">
        <f>IF('Calendario F'!I122="","",'Calendario F'!I122)</f>
        <v/>
      </c>
      <c r="J972" s="133"/>
      <c r="K972" s="133"/>
      <c r="L972" s="133"/>
      <c r="M972" s="133"/>
      <c r="N972" s="133"/>
      <c r="O972" s="133"/>
      <c r="P972" s="133"/>
      <c r="Q972" s="133"/>
      <c r="R972" s="133"/>
    </row>
    <row r="973" spans="1:18" ht="14.1" customHeight="1" x14ac:dyDescent="0.25">
      <c r="A973" s="58" t="s">
        <v>193</v>
      </c>
      <c r="B973" s="157" t="s">
        <v>175</v>
      </c>
      <c r="C973" s="125"/>
      <c r="D973" s="157" t="s">
        <v>182</v>
      </c>
      <c r="E973" s="125"/>
      <c r="F973" s="58" t="s">
        <v>194</v>
      </c>
      <c r="G973" s="58" t="s">
        <v>195</v>
      </c>
      <c r="H973" s="157" t="s">
        <v>196</v>
      </c>
      <c r="I973" s="125"/>
      <c r="J973" s="157" t="s">
        <v>197</v>
      </c>
      <c r="K973" s="124"/>
      <c r="L973" s="125"/>
      <c r="M973" s="107" t="s">
        <v>494</v>
      </c>
      <c r="N973" s="107" t="s">
        <v>495</v>
      </c>
      <c r="O973" s="107" t="s">
        <v>496</v>
      </c>
      <c r="P973" s="107" t="s">
        <v>497</v>
      </c>
      <c r="Q973" s="107" t="s">
        <v>498</v>
      </c>
      <c r="R973" s="107" t="s">
        <v>499</v>
      </c>
    </row>
    <row r="974" spans="1:18" ht="21.95" customHeight="1" x14ac:dyDescent="0.25">
      <c r="A974" s="158">
        <f>IF('Calendario F'!A124="","",'Calendario F'!A124)</f>
        <v>260</v>
      </c>
      <c r="B974" s="44" t="str">
        <f>IF('Calendario F'!B124="","",'Calendario F'!B124)</f>
        <v/>
      </c>
      <c r="C974" s="45" t="str">
        <f>IF('Calendario F'!C124="","",'Calendario F'!C124)</f>
        <v/>
      </c>
      <c r="D974" s="44" t="str">
        <f>IF('Calendario F'!D124="","",'Calendario F'!D124)</f>
        <v/>
      </c>
      <c r="E974" s="45" t="str">
        <f>IF('Calendario F'!E124="","",'Calendario F'!E124)</f>
        <v/>
      </c>
      <c r="F974" s="138" t="str">
        <f>IF('Calendario F'!F124="","",'Calendario F'!F124)</f>
        <v/>
      </c>
      <c r="G974" s="124"/>
      <c r="H974" s="124"/>
      <c r="I974" s="125"/>
      <c r="J974" s="202" t="str">
        <f>IF('Calendario F'!J124="","",'Calendario F'!J124)</f>
        <v/>
      </c>
      <c r="K974" s="201" t="s">
        <v>198</v>
      </c>
      <c r="L974" s="202" t="str">
        <f>IF('Calendario F'!L124="","",'Calendario F'!L124)</f>
        <v/>
      </c>
      <c r="M974" s="200"/>
      <c r="N974" s="200"/>
      <c r="O974" s="200"/>
      <c r="P974" s="200"/>
      <c r="Q974" s="200"/>
      <c r="R974" s="200"/>
    </row>
    <row r="975" spans="1:18" ht="15" customHeight="1" x14ac:dyDescent="0.25">
      <c r="A975" s="133"/>
      <c r="B975" s="136" t="str">
        <f>IF('Calendario F'!B125="","",'Calendario F'!B125)</f>
        <v/>
      </c>
      <c r="C975" s="124"/>
      <c r="D975" s="124"/>
      <c r="E975" s="124"/>
      <c r="F975" s="124"/>
      <c r="G975" s="124"/>
      <c r="H975" s="125"/>
      <c r="I975" s="45" t="str">
        <f>IF('Calendario F'!I125="","",'Calendario F'!I125)</f>
        <v/>
      </c>
      <c r="J975" s="133"/>
      <c r="K975" s="133"/>
      <c r="L975" s="133"/>
      <c r="M975" s="133"/>
      <c r="N975" s="133"/>
      <c r="O975" s="133"/>
      <c r="P975" s="133"/>
      <c r="Q975" s="133"/>
      <c r="R975" s="133"/>
    </row>
    <row r="977" spans="1:18" ht="20.100000000000001" customHeight="1" x14ac:dyDescent="0.25">
      <c r="A977" s="57" t="str">
        <f>IF('Calendario F'!A127="","",'Calendario F'!A127)</f>
        <v>8F</v>
      </c>
      <c r="B977" s="159" t="str">
        <f>IF('Calendario F'!B127="","",'Calendario F'!B127)</f>
        <v>GIORNATA VIII - GIRONE F</v>
      </c>
      <c r="C977" s="124"/>
      <c r="D977" s="124"/>
      <c r="E977" s="124"/>
      <c r="F977" s="124"/>
      <c r="G977" s="124"/>
      <c r="H977" s="124"/>
      <c r="I977" s="124"/>
      <c r="J977" s="124"/>
      <c r="K977" s="124"/>
      <c r="L977" s="125"/>
      <c r="M977" s="205" t="s">
        <v>492</v>
      </c>
      <c r="N977" s="124"/>
      <c r="O977" s="125"/>
      <c r="P977" s="205" t="s">
        <v>493</v>
      </c>
      <c r="Q977" s="124"/>
      <c r="R977" s="125"/>
    </row>
    <row r="978" spans="1:18" ht="14.1" customHeight="1" x14ac:dyDescent="0.25">
      <c r="A978" s="58" t="s">
        <v>193</v>
      </c>
      <c r="B978" s="157" t="s">
        <v>175</v>
      </c>
      <c r="C978" s="125"/>
      <c r="D978" s="157" t="s">
        <v>182</v>
      </c>
      <c r="E978" s="125"/>
      <c r="F978" s="58" t="s">
        <v>194</v>
      </c>
      <c r="G978" s="58" t="s">
        <v>195</v>
      </c>
      <c r="H978" s="157" t="s">
        <v>196</v>
      </c>
      <c r="I978" s="125"/>
      <c r="J978" s="157" t="s">
        <v>197</v>
      </c>
      <c r="K978" s="124"/>
      <c r="L978" s="125"/>
      <c r="M978" s="107" t="s">
        <v>494</v>
      </c>
      <c r="N978" s="107" t="s">
        <v>495</v>
      </c>
      <c r="O978" s="107" t="s">
        <v>496</v>
      </c>
      <c r="P978" s="107" t="s">
        <v>497</v>
      </c>
      <c r="Q978" s="107" t="s">
        <v>498</v>
      </c>
      <c r="R978" s="107" t="s">
        <v>499</v>
      </c>
    </row>
    <row r="979" spans="1:18" ht="21.95" customHeight="1" x14ac:dyDescent="0.25">
      <c r="A979" s="158">
        <f>IF('Calendario F'!A129="","",'Calendario F'!A129)</f>
        <v>261</v>
      </c>
      <c r="B979" s="44" t="str">
        <f>IF('Calendario F'!B129="","",'Calendario F'!B129)</f>
        <v/>
      </c>
      <c r="C979" s="45" t="str">
        <f>IF('Calendario F'!C129="","",'Calendario F'!C129)</f>
        <v/>
      </c>
      <c r="D979" s="44" t="str">
        <f>IF('Calendario F'!D129="","",'Calendario F'!D129)</f>
        <v/>
      </c>
      <c r="E979" s="45" t="str">
        <f>IF('Calendario F'!E129="","",'Calendario F'!E129)</f>
        <v/>
      </c>
      <c r="F979" s="138" t="str">
        <f>IF('Calendario F'!F129="","",'Calendario F'!F129)</f>
        <v/>
      </c>
      <c r="G979" s="124"/>
      <c r="H979" s="124"/>
      <c r="I979" s="125"/>
      <c r="J979" s="202" t="str">
        <f>IF('Calendario F'!J129="","",'Calendario F'!J129)</f>
        <v/>
      </c>
      <c r="K979" s="201" t="s">
        <v>198</v>
      </c>
      <c r="L979" s="202" t="str">
        <f>IF('Calendario F'!L129="","",'Calendario F'!L129)</f>
        <v/>
      </c>
      <c r="M979" s="200"/>
      <c r="N979" s="200"/>
      <c r="O979" s="200"/>
      <c r="P979" s="200"/>
      <c r="Q979" s="200"/>
      <c r="R979" s="200"/>
    </row>
    <row r="980" spans="1:18" ht="15" customHeight="1" x14ac:dyDescent="0.25">
      <c r="A980" s="133"/>
      <c r="B980" s="136" t="str">
        <f>IF('Calendario F'!B130="","",'Calendario F'!B130)</f>
        <v/>
      </c>
      <c r="C980" s="124"/>
      <c r="D980" s="124"/>
      <c r="E980" s="124"/>
      <c r="F980" s="124"/>
      <c r="G980" s="124"/>
      <c r="H980" s="125"/>
      <c r="I980" s="45" t="str">
        <f>IF('Calendario F'!I130="","",'Calendario F'!I130)</f>
        <v/>
      </c>
      <c r="J980" s="133"/>
      <c r="K980" s="133"/>
      <c r="L980" s="133"/>
      <c r="M980" s="133"/>
      <c r="N980" s="133"/>
      <c r="O980" s="133"/>
      <c r="P980" s="133"/>
      <c r="Q980" s="133"/>
      <c r="R980" s="133"/>
    </row>
    <row r="981" spans="1:18" ht="14.1" customHeight="1" x14ac:dyDescent="0.25">
      <c r="A981" s="58" t="s">
        <v>193</v>
      </c>
      <c r="B981" s="157" t="s">
        <v>175</v>
      </c>
      <c r="C981" s="125"/>
      <c r="D981" s="157" t="s">
        <v>182</v>
      </c>
      <c r="E981" s="125"/>
      <c r="F981" s="58" t="s">
        <v>194</v>
      </c>
      <c r="G981" s="58" t="s">
        <v>195</v>
      </c>
      <c r="H981" s="157" t="s">
        <v>196</v>
      </c>
      <c r="I981" s="125"/>
      <c r="J981" s="157" t="s">
        <v>197</v>
      </c>
      <c r="K981" s="124"/>
      <c r="L981" s="125"/>
      <c r="M981" s="107" t="s">
        <v>494</v>
      </c>
      <c r="N981" s="107" t="s">
        <v>495</v>
      </c>
      <c r="O981" s="107" t="s">
        <v>496</v>
      </c>
      <c r="P981" s="107" t="s">
        <v>497</v>
      </c>
      <c r="Q981" s="107" t="s">
        <v>498</v>
      </c>
      <c r="R981" s="107" t="s">
        <v>499</v>
      </c>
    </row>
    <row r="982" spans="1:18" ht="21.95" customHeight="1" x14ac:dyDescent="0.25">
      <c r="A982" s="158">
        <f>IF('Calendario F'!A132="","",'Calendario F'!A132)</f>
        <v>262</v>
      </c>
      <c r="B982" s="44" t="str">
        <f>IF('Calendario F'!B132="","",'Calendario F'!B132)</f>
        <v/>
      </c>
      <c r="C982" s="45" t="str">
        <f>IF('Calendario F'!C132="","",'Calendario F'!C132)</f>
        <v/>
      </c>
      <c r="D982" s="44" t="str">
        <f>IF('Calendario F'!D132="","",'Calendario F'!D132)</f>
        <v/>
      </c>
      <c r="E982" s="45" t="str">
        <f>IF('Calendario F'!E132="","",'Calendario F'!E132)</f>
        <v/>
      </c>
      <c r="F982" s="138" t="str">
        <f>IF('Calendario F'!F132="","",'Calendario F'!F132)</f>
        <v/>
      </c>
      <c r="G982" s="124"/>
      <c r="H982" s="124"/>
      <c r="I982" s="125"/>
      <c r="J982" s="202" t="str">
        <f>IF('Calendario F'!J132="","",'Calendario F'!J132)</f>
        <v/>
      </c>
      <c r="K982" s="201" t="s">
        <v>198</v>
      </c>
      <c r="L982" s="202" t="str">
        <f>IF('Calendario F'!L132="","",'Calendario F'!L132)</f>
        <v/>
      </c>
      <c r="M982" s="200"/>
      <c r="N982" s="200"/>
      <c r="O982" s="200"/>
      <c r="P982" s="200"/>
      <c r="Q982" s="200"/>
      <c r="R982" s="200"/>
    </row>
    <row r="983" spans="1:18" ht="15" customHeight="1" x14ac:dyDescent="0.25">
      <c r="A983" s="133"/>
      <c r="B983" s="136" t="str">
        <f>IF('Calendario F'!B133="","",'Calendario F'!B133)</f>
        <v/>
      </c>
      <c r="C983" s="124"/>
      <c r="D983" s="124"/>
      <c r="E983" s="124"/>
      <c r="F983" s="124"/>
      <c r="G983" s="124"/>
      <c r="H983" s="125"/>
      <c r="I983" s="45" t="str">
        <f>IF('Calendario F'!I133="","",'Calendario F'!I133)</f>
        <v/>
      </c>
      <c r="J983" s="133"/>
      <c r="K983" s="133"/>
      <c r="L983" s="133"/>
      <c r="M983" s="133"/>
      <c r="N983" s="133"/>
      <c r="O983" s="133"/>
      <c r="P983" s="133"/>
      <c r="Q983" s="133"/>
      <c r="R983" s="133"/>
    </row>
    <row r="984" spans="1:18" ht="14.1" customHeight="1" x14ac:dyDescent="0.25">
      <c r="A984" s="58" t="s">
        <v>193</v>
      </c>
      <c r="B984" s="157" t="s">
        <v>175</v>
      </c>
      <c r="C984" s="125"/>
      <c r="D984" s="157" t="s">
        <v>182</v>
      </c>
      <c r="E984" s="125"/>
      <c r="F984" s="58" t="s">
        <v>194</v>
      </c>
      <c r="G984" s="58" t="s">
        <v>195</v>
      </c>
      <c r="H984" s="157" t="s">
        <v>196</v>
      </c>
      <c r="I984" s="125"/>
      <c r="J984" s="157" t="s">
        <v>197</v>
      </c>
      <c r="K984" s="124"/>
      <c r="L984" s="125"/>
      <c r="M984" s="107" t="s">
        <v>494</v>
      </c>
      <c r="N984" s="107" t="s">
        <v>495</v>
      </c>
      <c r="O984" s="107" t="s">
        <v>496</v>
      </c>
      <c r="P984" s="107" t="s">
        <v>497</v>
      </c>
      <c r="Q984" s="107" t="s">
        <v>498</v>
      </c>
      <c r="R984" s="107" t="s">
        <v>499</v>
      </c>
    </row>
    <row r="985" spans="1:18" ht="21.95" customHeight="1" x14ac:dyDescent="0.25">
      <c r="A985" s="158">
        <f>IF('Calendario F'!A135="","",'Calendario F'!A135)</f>
        <v>263</v>
      </c>
      <c r="B985" s="44" t="str">
        <f>IF('Calendario F'!B135="","",'Calendario F'!B135)</f>
        <v/>
      </c>
      <c r="C985" s="45" t="str">
        <f>IF('Calendario F'!C135="","",'Calendario F'!C135)</f>
        <v/>
      </c>
      <c r="D985" s="44" t="str">
        <f>IF('Calendario F'!D135="","",'Calendario F'!D135)</f>
        <v/>
      </c>
      <c r="E985" s="45" t="str">
        <f>IF('Calendario F'!E135="","",'Calendario F'!E135)</f>
        <v/>
      </c>
      <c r="F985" s="138" t="str">
        <f>IF('Calendario F'!F135="","",'Calendario F'!F135)</f>
        <v/>
      </c>
      <c r="G985" s="124"/>
      <c r="H985" s="124"/>
      <c r="I985" s="125"/>
      <c r="J985" s="202" t="str">
        <f>IF('Calendario F'!J135="","",'Calendario F'!J135)</f>
        <v/>
      </c>
      <c r="K985" s="201" t="s">
        <v>198</v>
      </c>
      <c r="L985" s="202" t="str">
        <f>IF('Calendario F'!L135="","",'Calendario F'!L135)</f>
        <v/>
      </c>
      <c r="M985" s="200"/>
      <c r="N985" s="200"/>
      <c r="O985" s="200"/>
      <c r="P985" s="200"/>
      <c r="Q985" s="200"/>
      <c r="R985" s="200"/>
    </row>
    <row r="986" spans="1:18" ht="15" customHeight="1" x14ac:dyDescent="0.25">
      <c r="A986" s="133"/>
      <c r="B986" s="136" t="str">
        <f>IF('Calendario F'!B136="","",'Calendario F'!B136)</f>
        <v/>
      </c>
      <c r="C986" s="124"/>
      <c r="D986" s="124"/>
      <c r="E986" s="124"/>
      <c r="F986" s="124"/>
      <c r="G986" s="124"/>
      <c r="H986" s="125"/>
      <c r="I986" s="45" t="str">
        <f>IF('Calendario F'!I136="","",'Calendario F'!I136)</f>
        <v/>
      </c>
      <c r="J986" s="133"/>
      <c r="K986" s="133"/>
      <c r="L986" s="133"/>
      <c r="M986" s="133"/>
      <c r="N986" s="133"/>
      <c r="O986" s="133"/>
      <c r="P986" s="133"/>
      <c r="Q986" s="133"/>
      <c r="R986" s="133"/>
    </row>
    <row r="987" spans="1:18" ht="14.1" customHeight="1" x14ac:dyDescent="0.25">
      <c r="A987" s="58" t="s">
        <v>193</v>
      </c>
      <c r="B987" s="157" t="s">
        <v>175</v>
      </c>
      <c r="C987" s="125"/>
      <c r="D987" s="157" t="s">
        <v>182</v>
      </c>
      <c r="E987" s="125"/>
      <c r="F987" s="58" t="s">
        <v>194</v>
      </c>
      <c r="G987" s="58" t="s">
        <v>195</v>
      </c>
      <c r="H987" s="157" t="s">
        <v>196</v>
      </c>
      <c r="I987" s="125"/>
      <c r="J987" s="157" t="s">
        <v>197</v>
      </c>
      <c r="K987" s="124"/>
      <c r="L987" s="125"/>
      <c r="M987" s="107" t="s">
        <v>494</v>
      </c>
      <c r="N987" s="107" t="s">
        <v>495</v>
      </c>
      <c r="O987" s="107" t="s">
        <v>496</v>
      </c>
      <c r="P987" s="107" t="s">
        <v>497</v>
      </c>
      <c r="Q987" s="107" t="s">
        <v>498</v>
      </c>
      <c r="R987" s="107" t="s">
        <v>499</v>
      </c>
    </row>
    <row r="988" spans="1:18" ht="21.95" customHeight="1" x14ac:dyDescent="0.25">
      <c r="A988" s="158">
        <f>IF('Calendario F'!A138="","",'Calendario F'!A138)</f>
        <v>264</v>
      </c>
      <c r="B988" s="44" t="str">
        <f>IF('Calendario F'!B138="","",'Calendario F'!B138)</f>
        <v/>
      </c>
      <c r="C988" s="45" t="str">
        <f>IF('Calendario F'!C138="","",'Calendario F'!C138)</f>
        <v/>
      </c>
      <c r="D988" s="44" t="str">
        <f>IF('Calendario F'!D138="","",'Calendario F'!D138)</f>
        <v/>
      </c>
      <c r="E988" s="45" t="str">
        <f>IF('Calendario F'!E138="","",'Calendario F'!E138)</f>
        <v/>
      </c>
      <c r="F988" s="138" t="str">
        <f>IF('Calendario F'!F138="","",'Calendario F'!F138)</f>
        <v/>
      </c>
      <c r="G988" s="124"/>
      <c r="H988" s="124"/>
      <c r="I988" s="125"/>
      <c r="J988" s="202" t="str">
        <f>IF('Calendario F'!J138="","",'Calendario F'!J138)</f>
        <v/>
      </c>
      <c r="K988" s="201" t="s">
        <v>198</v>
      </c>
      <c r="L988" s="202" t="str">
        <f>IF('Calendario F'!L138="","",'Calendario F'!L138)</f>
        <v/>
      </c>
      <c r="M988" s="200"/>
      <c r="N988" s="200"/>
      <c r="O988" s="200"/>
      <c r="P988" s="200"/>
      <c r="Q988" s="200"/>
      <c r="R988" s="200"/>
    </row>
    <row r="989" spans="1:18" ht="15" customHeight="1" x14ac:dyDescent="0.25">
      <c r="A989" s="133"/>
      <c r="B989" s="136" t="str">
        <f>IF('Calendario F'!B139="","",'Calendario F'!B139)</f>
        <v/>
      </c>
      <c r="C989" s="124"/>
      <c r="D989" s="124"/>
      <c r="E989" s="124"/>
      <c r="F989" s="124"/>
      <c r="G989" s="124"/>
      <c r="H989" s="125"/>
      <c r="I989" s="45" t="str">
        <f>IF('Calendario F'!I139="","",'Calendario F'!I139)</f>
        <v/>
      </c>
      <c r="J989" s="133"/>
      <c r="K989" s="133"/>
      <c r="L989" s="133"/>
      <c r="M989" s="133"/>
      <c r="N989" s="133"/>
      <c r="O989" s="133"/>
      <c r="P989" s="133"/>
      <c r="Q989" s="133"/>
      <c r="R989" s="133"/>
    </row>
    <row r="990" spans="1:18" ht="14.1" customHeight="1" x14ac:dyDescent="0.25">
      <c r="A990" s="58" t="s">
        <v>193</v>
      </c>
      <c r="B990" s="157" t="s">
        <v>175</v>
      </c>
      <c r="C990" s="125"/>
      <c r="D990" s="157" t="s">
        <v>182</v>
      </c>
      <c r="E990" s="125"/>
      <c r="F990" s="58" t="s">
        <v>194</v>
      </c>
      <c r="G990" s="58" t="s">
        <v>195</v>
      </c>
      <c r="H990" s="157" t="s">
        <v>196</v>
      </c>
      <c r="I990" s="125"/>
      <c r="J990" s="157" t="s">
        <v>197</v>
      </c>
      <c r="K990" s="124"/>
      <c r="L990" s="125"/>
      <c r="M990" s="107" t="s">
        <v>494</v>
      </c>
      <c r="N990" s="107" t="s">
        <v>495</v>
      </c>
      <c r="O990" s="107" t="s">
        <v>496</v>
      </c>
      <c r="P990" s="107" t="s">
        <v>497</v>
      </c>
      <c r="Q990" s="107" t="s">
        <v>498</v>
      </c>
      <c r="R990" s="107" t="s">
        <v>499</v>
      </c>
    </row>
    <row r="991" spans="1:18" ht="21.95" customHeight="1" x14ac:dyDescent="0.25">
      <c r="A991" s="158">
        <f>IF('Calendario F'!A141="","",'Calendario F'!A141)</f>
        <v>265</v>
      </c>
      <c r="B991" s="44" t="str">
        <f>IF('Calendario F'!B141="","",'Calendario F'!B141)</f>
        <v/>
      </c>
      <c r="C991" s="45" t="str">
        <f>IF('Calendario F'!C141="","",'Calendario F'!C141)</f>
        <v/>
      </c>
      <c r="D991" s="44" t="str">
        <f>IF('Calendario F'!D141="","",'Calendario F'!D141)</f>
        <v/>
      </c>
      <c r="E991" s="45" t="str">
        <f>IF('Calendario F'!E141="","",'Calendario F'!E141)</f>
        <v/>
      </c>
      <c r="F991" s="138" t="str">
        <f>IF('Calendario F'!F141="","",'Calendario F'!F141)</f>
        <v/>
      </c>
      <c r="G991" s="124"/>
      <c r="H991" s="124"/>
      <c r="I991" s="125"/>
      <c r="J991" s="202" t="str">
        <f>IF('Calendario F'!J141="","",'Calendario F'!J141)</f>
        <v/>
      </c>
      <c r="K991" s="201" t="s">
        <v>198</v>
      </c>
      <c r="L991" s="202" t="str">
        <f>IF('Calendario F'!L141="","",'Calendario F'!L141)</f>
        <v/>
      </c>
      <c r="M991" s="200"/>
      <c r="N991" s="200"/>
      <c r="O991" s="200"/>
      <c r="P991" s="200"/>
      <c r="Q991" s="200"/>
      <c r="R991" s="200"/>
    </row>
    <row r="992" spans="1:18" ht="15" customHeight="1" x14ac:dyDescent="0.25">
      <c r="A992" s="133"/>
      <c r="B992" s="136" t="str">
        <f>IF('Calendario F'!B142="","",'Calendario F'!B142)</f>
        <v/>
      </c>
      <c r="C992" s="124"/>
      <c r="D992" s="124"/>
      <c r="E992" s="124"/>
      <c r="F992" s="124"/>
      <c r="G992" s="124"/>
      <c r="H992" s="125"/>
      <c r="I992" s="45" t="str">
        <f>IF('Calendario F'!I142="","",'Calendario F'!I142)</f>
        <v/>
      </c>
      <c r="J992" s="133"/>
      <c r="K992" s="133"/>
      <c r="L992" s="133"/>
      <c r="M992" s="133"/>
      <c r="N992" s="133"/>
      <c r="O992" s="133"/>
      <c r="P992" s="133"/>
      <c r="Q992" s="133"/>
      <c r="R992" s="133"/>
    </row>
    <row r="994" spans="1:18" ht="20.100000000000001" customHeight="1" x14ac:dyDescent="0.25">
      <c r="A994" s="57" t="str">
        <f>IF('Calendario F'!A144="","",'Calendario F'!A144)</f>
        <v>9F</v>
      </c>
      <c r="B994" s="159" t="str">
        <f>IF('Calendario F'!B144="","",'Calendario F'!B144)</f>
        <v>GIORNATA IX - GIRONE F</v>
      </c>
      <c r="C994" s="124"/>
      <c r="D994" s="124"/>
      <c r="E994" s="124"/>
      <c r="F994" s="124"/>
      <c r="G994" s="124"/>
      <c r="H994" s="124"/>
      <c r="I994" s="124"/>
      <c r="J994" s="124"/>
      <c r="K994" s="124"/>
      <c r="L994" s="125"/>
      <c r="M994" s="205" t="s">
        <v>492</v>
      </c>
      <c r="N994" s="124"/>
      <c r="O994" s="125"/>
      <c r="P994" s="205" t="s">
        <v>493</v>
      </c>
      <c r="Q994" s="124"/>
      <c r="R994" s="125"/>
    </row>
    <row r="995" spans="1:18" ht="14.1" customHeight="1" x14ac:dyDescent="0.25">
      <c r="A995" s="58" t="s">
        <v>193</v>
      </c>
      <c r="B995" s="157" t="s">
        <v>175</v>
      </c>
      <c r="C995" s="125"/>
      <c r="D995" s="157" t="s">
        <v>182</v>
      </c>
      <c r="E995" s="125"/>
      <c r="F995" s="58" t="s">
        <v>194</v>
      </c>
      <c r="G995" s="58" t="s">
        <v>195</v>
      </c>
      <c r="H995" s="157" t="s">
        <v>196</v>
      </c>
      <c r="I995" s="125"/>
      <c r="J995" s="157" t="s">
        <v>197</v>
      </c>
      <c r="K995" s="124"/>
      <c r="L995" s="125"/>
      <c r="M995" s="107" t="s">
        <v>494</v>
      </c>
      <c r="N995" s="107" t="s">
        <v>495</v>
      </c>
      <c r="O995" s="107" t="s">
        <v>496</v>
      </c>
      <c r="P995" s="107" t="s">
        <v>497</v>
      </c>
      <c r="Q995" s="107" t="s">
        <v>498</v>
      </c>
      <c r="R995" s="107" t="s">
        <v>499</v>
      </c>
    </row>
    <row r="996" spans="1:18" ht="21.95" customHeight="1" x14ac:dyDescent="0.25">
      <c r="A996" s="158">
        <f>IF('Calendario F'!A146="","",'Calendario F'!A146)</f>
        <v>266</v>
      </c>
      <c r="B996" s="44" t="str">
        <f>IF('Calendario F'!B146="","",'Calendario F'!B146)</f>
        <v/>
      </c>
      <c r="C996" s="45" t="str">
        <f>IF('Calendario F'!C146="","",'Calendario F'!C146)</f>
        <v/>
      </c>
      <c r="D996" s="44" t="str">
        <f>IF('Calendario F'!D146="","",'Calendario F'!D146)</f>
        <v/>
      </c>
      <c r="E996" s="45" t="str">
        <f>IF('Calendario F'!E146="","",'Calendario F'!E146)</f>
        <v/>
      </c>
      <c r="F996" s="138" t="str">
        <f>IF('Calendario F'!F146="","",'Calendario F'!F146)</f>
        <v/>
      </c>
      <c r="G996" s="124"/>
      <c r="H996" s="124"/>
      <c r="I996" s="125"/>
      <c r="J996" s="202" t="str">
        <f>IF('Calendario F'!J146="","",'Calendario F'!J146)</f>
        <v/>
      </c>
      <c r="K996" s="201" t="s">
        <v>198</v>
      </c>
      <c r="L996" s="202" t="str">
        <f>IF('Calendario F'!L146="","",'Calendario F'!L146)</f>
        <v/>
      </c>
      <c r="M996" s="200"/>
      <c r="N996" s="200"/>
      <c r="O996" s="200"/>
      <c r="P996" s="200"/>
      <c r="Q996" s="200"/>
      <c r="R996" s="200"/>
    </row>
    <row r="997" spans="1:18" ht="15" customHeight="1" x14ac:dyDescent="0.25">
      <c r="A997" s="133"/>
      <c r="B997" s="136" t="str">
        <f>IF('Calendario F'!B147="","",'Calendario F'!B147)</f>
        <v/>
      </c>
      <c r="C997" s="124"/>
      <c r="D997" s="124"/>
      <c r="E997" s="124"/>
      <c r="F997" s="124"/>
      <c r="G997" s="124"/>
      <c r="H997" s="125"/>
      <c r="I997" s="45" t="str">
        <f>IF('Calendario F'!I147="","",'Calendario F'!I147)</f>
        <v/>
      </c>
      <c r="J997" s="133"/>
      <c r="K997" s="133"/>
      <c r="L997" s="133"/>
      <c r="M997" s="133"/>
      <c r="N997" s="133"/>
      <c r="O997" s="133"/>
      <c r="P997" s="133"/>
      <c r="Q997" s="133"/>
      <c r="R997" s="133"/>
    </row>
    <row r="998" spans="1:18" ht="14.1" customHeight="1" x14ac:dyDescent="0.25">
      <c r="A998" s="58" t="s">
        <v>193</v>
      </c>
      <c r="B998" s="157" t="s">
        <v>175</v>
      </c>
      <c r="C998" s="125"/>
      <c r="D998" s="157" t="s">
        <v>182</v>
      </c>
      <c r="E998" s="125"/>
      <c r="F998" s="58" t="s">
        <v>194</v>
      </c>
      <c r="G998" s="58" t="s">
        <v>195</v>
      </c>
      <c r="H998" s="157" t="s">
        <v>196</v>
      </c>
      <c r="I998" s="125"/>
      <c r="J998" s="157" t="s">
        <v>197</v>
      </c>
      <c r="K998" s="124"/>
      <c r="L998" s="125"/>
      <c r="M998" s="107" t="s">
        <v>494</v>
      </c>
      <c r="N998" s="107" t="s">
        <v>495</v>
      </c>
      <c r="O998" s="107" t="s">
        <v>496</v>
      </c>
      <c r="P998" s="107" t="s">
        <v>497</v>
      </c>
      <c r="Q998" s="107" t="s">
        <v>498</v>
      </c>
      <c r="R998" s="107" t="s">
        <v>499</v>
      </c>
    </row>
    <row r="999" spans="1:18" ht="21.95" customHeight="1" x14ac:dyDescent="0.25">
      <c r="A999" s="158">
        <f>IF('Calendario F'!A149="","",'Calendario F'!A149)</f>
        <v>267</v>
      </c>
      <c r="B999" s="44" t="str">
        <f>IF('Calendario F'!B149="","",'Calendario F'!B149)</f>
        <v/>
      </c>
      <c r="C999" s="45" t="str">
        <f>IF('Calendario F'!C149="","",'Calendario F'!C149)</f>
        <v/>
      </c>
      <c r="D999" s="44" t="str">
        <f>IF('Calendario F'!D149="","",'Calendario F'!D149)</f>
        <v/>
      </c>
      <c r="E999" s="45" t="str">
        <f>IF('Calendario F'!E149="","",'Calendario F'!E149)</f>
        <v/>
      </c>
      <c r="F999" s="138" t="str">
        <f>IF('Calendario F'!F149="","",'Calendario F'!F149)</f>
        <v/>
      </c>
      <c r="G999" s="124"/>
      <c r="H999" s="124"/>
      <c r="I999" s="125"/>
      <c r="J999" s="202" t="str">
        <f>IF('Calendario F'!J149="","",'Calendario F'!J149)</f>
        <v/>
      </c>
      <c r="K999" s="201" t="s">
        <v>198</v>
      </c>
      <c r="L999" s="202" t="str">
        <f>IF('Calendario F'!L149="","",'Calendario F'!L149)</f>
        <v/>
      </c>
      <c r="M999" s="200"/>
      <c r="N999" s="200"/>
      <c r="O999" s="200"/>
      <c r="P999" s="200"/>
      <c r="Q999" s="200"/>
      <c r="R999" s="200"/>
    </row>
    <row r="1000" spans="1:18" ht="15" customHeight="1" x14ac:dyDescent="0.25">
      <c r="A1000" s="133"/>
      <c r="B1000" s="136" t="str">
        <f>IF('Calendario F'!B150="","",'Calendario F'!B150)</f>
        <v/>
      </c>
      <c r="C1000" s="124"/>
      <c r="D1000" s="124"/>
      <c r="E1000" s="124"/>
      <c r="F1000" s="124"/>
      <c r="G1000" s="124"/>
      <c r="H1000" s="125"/>
      <c r="I1000" s="45" t="str">
        <f>IF('Calendario F'!I150="","",'Calendario F'!I150)</f>
        <v/>
      </c>
      <c r="J1000" s="133"/>
      <c r="K1000" s="133"/>
      <c r="L1000" s="133"/>
      <c r="M1000" s="133"/>
      <c r="N1000" s="133"/>
      <c r="O1000" s="133"/>
      <c r="P1000" s="133"/>
      <c r="Q1000" s="133"/>
      <c r="R1000" s="133"/>
    </row>
    <row r="1001" spans="1:18" ht="14.1" customHeight="1" x14ac:dyDescent="0.25">
      <c r="A1001" s="58" t="s">
        <v>193</v>
      </c>
      <c r="B1001" s="157" t="s">
        <v>175</v>
      </c>
      <c r="C1001" s="125"/>
      <c r="D1001" s="157" t="s">
        <v>182</v>
      </c>
      <c r="E1001" s="125"/>
      <c r="F1001" s="58" t="s">
        <v>194</v>
      </c>
      <c r="G1001" s="58" t="s">
        <v>195</v>
      </c>
      <c r="H1001" s="157" t="s">
        <v>196</v>
      </c>
      <c r="I1001" s="125"/>
      <c r="J1001" s="157" t="s">
        <v>197</v>
      </c>
      <c r="K1001" s="124"/>
      <c r="L1001" s="125"/>
      <c r="M1001" s="107" t="s">
        <v>494</v>
      </c>
      <c r="N1001" s="107" t="s">
        <v>495</v>
      </c>
      <c r="O1001" s="107" t="s">
        <v>496</v>
      </c>
      <c r="P1001" s="107" t="s">
        <v>497</v>
      </c>
      <c r="Q1001" s="107" t="s">
        <v>498</v>
      </c>
      <c r="R1001" s="107" t="s">
        <v>499</v>
      </c>
    </row>
    <row r="1002" spans="1:18" ht="21.95" customHeight="1" x14ac:dyDescent="0.25">
      <c r="A1002" s="158">
        <f>IF('Calendario F'!A152="","",'Calendario F'!A152)</f>
        <v>268</v>
      </c>
      <c r="B1002" s="44" t="str">
        <f>IF('Calendario F'!B152="","",'Calendario F'!B152)</f>
        <v/>
      </c>
      <c r="C1002" s="45" t="str">
        <f>IF('Calendario F'!C152="","",'Calendario F'!C152)</f>
        <v/>
      </c>
      <c r="D1002" s="44" t="str">
        <f>IF('Calendario F'!D152="","",'Calendario F'!D152)</f>
        <v/>
      </c>
      <c r="E1002" s="45" t="str">
        <f>IF('Calendario F'!E152="","",'Calendario F'!E152)</f>
        <v/>
      </c>
      <c r="F1002" s="138" t="str">
        <f>IF('Calendario F'!F152="","",'Calendario F'!F152)</f>
        <v/>
      </c>
      <c r="G1002" s="124"/>
      <c r="H1002" s="124"/>
      <c r="I1002" s="125"/>
      <c r="J1002" s="202" t="str">
        <f>IF('Calendario F'!J152="","",'Calendario F'!J152)</f>
        <v/>
      </c>
      <c r="K1002" s="201" t="s">
        <v>198</v>
      </c>
      <c r="L1002" s="202" t="str">
        <f>IF('Calendario F'!L152="","",'Calendario F'!L152)</f>
        <v/>
      </c>
      <c r="M1002" s="200"/>
      <c r="N1002" s="200"/>
      <c r="O1002" s="200"/>
      <c r="P1002" s="200"/>
      <c r="Q1002" s="200"/>
      <c r="R1002" s="200"/>
    </row>
    <row r="1003" spans="1:18" ht="15" customHeight="1" x14ac:dyDescent="0.25">
      <c r="A1003" s="133"/>
      <c r="B1003" s="136" t="str">
        <f>IF('Calendario F'!B153="","",'Calendario F'!B153)</f>
        <v/>
      </c>
      <c r="C1003" s="124"/>
      <c r="D1003" s="124"/>
      <c r="E1003" s="124"/>
      <c r="F1003" s="124"/>
      <c r="G1003" s="124"/>
      <c r="H1003" s="125"/>
      <c r="I1003" s="45" t="str">
        <f>IF('Calendario F'!I153="","",'Calendario F'!I153)</f>
        <v/>
      </c>
      <c r="J1003" s="133"/>
      <c r="K1003" s="133"/>
      <c r="L1003" s="133"/>
      <c r="M1003" s="133"/>
      <c r="N1003" s="133"/>
      <c r="O1003" s="133"/>
      <c r="P1003" s="133"/>
      <c r="Q1003" s="133"/>
      <c r="R1003" s="133"/>
    </row>
    <row r="1004" spans="1:18" ht="14.1" customHeight="1" x14ac:dyDescent="0.25">
      <c r="A1004" s="58" t="s">
        <v>193</v>
      </c>
      <c r="B1004" s="157" t="s">
        <v>175</v>
      </c>
      <c r="C1004" s="125"/>
      <c r="D1004" s="157" t="s">
        <v>182</v>
      </c>
      <c r="E1004" s="125"/>
      <c r="F1004" s="58" t="s">
        <v>194</v>
      </c>
      <c r="G1004" s="58" t="s">
        <v>195</v>
      </c>
      <c r="H1004" s="157" t="s">
        <v>196</v>
      </c>
      <c r="I1004" s="125"/>
      <c r="J1004" s="157" t="s">
        <v>197</v>
      </c>
      <c r="K1004" s="124"/>
      <c r="L1004" s="125"/>
      <c r="M1004" s="107" t="s">
        <v>494</v>
      </c>
      <c r="N1004" s="107" t="s">
        <v>495</v>
      </c>
      <c r="O1004" s="107" t="s">
        <v>496</v>
      </c>
      <c r="P1004" s="107" t="s">
        <v>497</v>
      </c>
      <c r="Q1004" s="107" t="s">
        <v>498</v>
      </c>
      <c r="R1004" s="107" t="s">
        <v>499</v>
      </c>
    </row>
    <row r="1005" spans="1:18" ht="21.95" customHeight="1" x14ac:dyDescent="0.25">
      <c r="A1005" s="158">
        <f>IF('Calendario F'!A155="","",'Calendario F'!A155)</f>
        <v>269</v>
      </c>
      <c r="B1005" s="44" t="str">
        <f>IF('Calendario F'!B155="","",'Calendario F'!B155)</f>
        <v/>
      </c>
      <c r="C1005" s="45" t="str">
        <f>IF('Calendario F'!C155="","",'Calendario F'!C155)</f>
        <v/>
      </c>
      <c r="D1005" s="44" t="str">
        <f>IF('Calendario F'!D155="","",'Calendario F'!D155)</f>
        <v/>
      </c>
      <c r="E1005" s="45" t="str">
        <f>IF('Calendario F'!E155="","",'Calendario F'!E155)</f>
        <v/>
      </c>
      <c r="F1005" s="138" t="str">
        <f>IF('Calendario F'!F155="","",'Calendario F'!F155)</f>
        <v/>
      </c>
      <c r="G1005" s="124"/>
      <c r="H1005" s="124"/>
      <c r="I1005" s="125"/>
      <c r="J1005" s="202" t="str">
        <f>IF('Calendario F'!J155="","",'Calendario F'!J155)</f>
        <v/>
      </c>
      <c r="K1005" s="201" t="s">
        <v>198</v>
      </c>
      <c r="L1005" s="202" t="str">
        <f>IF('Calendario F'!L155="","",'Calendario F'!L155)</f>
        <v/>
      </c>
      <c r="M1005" s="200"/>
      <c r="N1005" s="200"/>
      <c r="O1005" s="200"/>
      <c r="P1005" s="200"/>
      <c r="Q1005" s="200"/>
      <c r="R1005" s="200"/>
    </row>
    <row r="1006" spans="1:18" ht="15" customHeight="1" x14ac:dyDescent="0.25">
      <c r="A1006" s="133"/>
      <c r="B1006" s="136" t="str">
        <f>IF('Calendario F'!B156="","",'Calendario F'!B156)</f>
        <v/>
      </c>
      <c r="C1006" s="124"/>
      <c r="D1006" s="124"/>
      <c r="E1006" s="124"/>
      <c r="F1006" s="124"/>
      <c r="G1006" s="124"/>
      <c r="H1006" s="125"/>
      <c r="I1006" s="45" t="str">
        <f>IF('Calendario F'!I156="","",'Calendario F'!I156)</f>
        <v/>
      </c>
      <c r="J1006" s="133"/>
      <c r="K1006" s="133"/>
      <c r="L1006" s="133"/>
      <c r="M1006" s="133"/>
      <c r="N1006" s="133"/>
      <c r="O1006" s="133"/>
      <c r="P1006" s="133"/>
      <c r="Q1006" s="133"/>
      <c r="R1006" s="133"/>
    </row>
    <row r="1007" spans="1:18" ht="14.1" customHeight="1" x14ac:dyDescent="0.25">
      <c r="A1007" s="58" t="s">
        <v>193</v>
      </c>
      <c r="B1007" s="157" t="s">
        <v>175</v>
      </c>
      <c r="C1007" s="125"/>
      <c r="D1007" s="157" t="s">
        <v>182</v>
      </c>
      <c r="E1007" s="125"/>
      <c r="F1007" s="58" t="s">
        <v>194</v>
      </c>
      <c r="G1007" s="58" t="s">
        <v>195</v>
      </c>
      <c r="H1007" s="157" t="s">
        <v>196</v>
      </c>
      <c r="I1007" s="125"/>
      <c r="J1007" s="157" t="s">
        <v>197</v>
      </c>
      <c r="K1007" s="124"/>
      <c r="L1007" s="125"/>
      <c r="M1007" s="107" t="s">
        <v>494</v>
      </c>
      <c r="N1007" s="107" t="s">
        <v>495</v>
      </c>
      <c r="O1007" s="107" t="s">
        <v>496</v>
      </c>
      <c r="P1007" s="107" t="s">
        <v>497</v>
      </c>
      <c r="Q1007" s="107" t="s">
        <v>498</v>
      </c>
      <c r="R1007" s="107" t="s">
        <v>499</v>
      </c>
    </row>
    <row r="1008" spans="1:18" ht="21.95" customHeight="1" x14ac:dyDescent="0.25">
      <c r="A1008" s="158">
        <f>IF('Calendario F'!A158="","",'Calendario F'!A158)</f>
        <v>270</v>
      </c>
      <c r="B1008" s="44" t="str">
        <f>IF('Calendario F'!B158="","",'Calendario F'!B158)</f>
        <v/>
      </c>
      <c r="C1008" s="45" t="str">
        <f>IF('Calendario F'!C158="","",'Calendario F'!C158)</f>
        <v/>
      </c>
      <c r="D1008" s="44" t="str">
        <f>IF('Calendario F'!D158="","",'Calendario F'!D158)</f>
        <v/>
      </c>
      <c r="E1008" s="45" t="str">
        <f>IF('Calendario F'!E158="","",'Calendario F'!E158)</f>
        <v/>
      </c>
      <c r="F1008" s="138" t="str">
        <f>IF('Calendario F'!F158="","",'Calendario F'!F158)</f>
        <v/>
      </c>
      <c r="G1008" s="124"/>
      <c r="H1008" s="124"/>
      <c r="I1008" s="125"/>
      <c r="J1008" s="202" t="str">
        <f>IF('Calendario F'!J158="","",'Calendario F'!J158)</f>
        <v/>
      </c>
      <c r="K1008" s="201" t="s">
        <v>198</v>
      </c>
      <c r="L1008" s="202" t="str">
        <f>IF('Calendario F'!L158="","",'Calendario F'!L158)</f>
        <v/>
      </c>
      <c r="M1008" s="200"/>
      <c r="N1008" s="200"/>
      <c r="O1008" s="200"/>
      <c r="P1008" s="200"/>
      <c r="Q1008" s="200"/>
      <c r="R1008" s="200"/>
    </row>
    <row r="1009" spans="1:18" ht="15" customHeight="1" x14ac:dyDescent="0.25">
      <c r="A1009" s="133"/>
      <c r="B1009" s="136" t="str">
        <f>IF('Calendario F'!B159="","",'Calendario F'!B159)</f>
        <v/>
      </c>
      <c r="C1009" s="124"/>
      <c r="D1009" s="124"/>
      <c r="E1009" s="124"/>
      <c r="F1009" s="124"/>
      <c r="G1009" s="124"/>
      <c r="H1009" s="125"/>
      <c r="I1009" s="45" t="str">
        <f>IF('Calendario F'!I159="","",'Calendario F'!I159)</f>
        <v/>
      </c>
      <c r="J1009" s="133"/>
      <c r="K1009" s="133"/>
      <c r="L1009" s="133"/>
      <c r="M1009" s="133"/>
      <c r="N1009" s="133"/>
      <c r="O1009" s="133"/>
      <c r="P1009" s="133"/>
      <c r="Q1009" s="133"/>
      <c r="R1009" s="133"/>
    </row>
    <row r="1028" spans="1:18" ht="20.100000000000001" customHeight="1" x14ac:dyDescent="0.25">
      <c r="A1028" s="59" t="str">
        <f>IF('Calendario G'!A8="","",'Calendario G'!A8)</f>
        <v>1G</v>
      </c>
      <c r="B1028" s="163" t="str">
        <f>IF('Calendario G'!B8="","",'Calendario G'!B8)</f>
        <v>GIORNATA I - GIRONE G</v>
      </c>
      <c r="C1028" s="124"/>
      <c r="D1028" s="124"/>
      <c r="E1028" s="124"/>
      <c r="F1028" s="124"/>
      <c r="G1028" s="124"/>
      <c r="H1028" s="124"/>
      <c r="I1028" s="124"/>
      <c r="J1028" s="124"/>
      <c r="K1028" s="124"/>
      <c r="L1028" s="125"/>
      <c r="M1028" s="209" t="s">
        <v>492</v>
      </c>
      <c r="N1028" s="124"/>
      <c r="O1028" s="125"/>
      <c r="P1028" s="209" t="s">
        <v>493</v>
      </c>
      <c r="Q1028" s="124"/>
      <c r="R1028" s="125"/>
    </row>
    <row r="1029" spans="1:18" ht="14.1" customHeight="1" x14ac:dyDescent="0.25">
      <c r="A1029" s="60" t="s">
        <v>193</v>
      </c>
      <c r="B1029" s="161" t="s">
        <v>175</v>
      </c>
      <c r="C1029" s="125"/>
      <c r="D1029" s="161" t="s">
        <v>182</v>
      </c>
      <c r="E1029" s="125"/>
      <c r="F1029" s="60" t="s">
        <v>194</v>
      </c>
      <c r="G1029" s="60" t="s">
        <v>195</v>
      </c>
      <c r="H1029" s="161" t="s">
        <v>196</v>
      </c>
      <c r="I1029" s="125"/>
      <c r="J1029" s="161" t="s">
        <v>197</v>
      </c>
      <c r="K1029" s="124"/>
      <c r="L1029" s="125"/>
      <c r="M1029" s="108" t="s">
        <v>494</v>
      </c>
      <c r="N1029" s="108" t="s">
        <v>495</v>
      </c>
      <c r="O1029" s="108" t="s">
        <v>496</v>
      </c>
      <c r="P1029" s="108" t="s">
        <v>497</v>
      </c>
      <c r="Q1029" s="108" t="s">
        <v>498</v>
      </c>
      <c r="R1029" s="108" t="s">
        <v>499</v>
      </c>
    </row>
    <row r="1030" spans="1:18" ht="21.95" customHeight="1" x14ac:dyDescent="0.25">
      <c r="A1030" s="162">
        <f>IF('Calendario G'!A10="","",'Calendario G'!A10)</f>
        <v>271</v>
      </c>
      <c r="B1030" s="44" t="str">
        <f>IF('Calendario G'!B10="","",'Calendario G'!B10)</f>
        <v/>
      </c>
      <c r="C1030" s="45" t="str">
        <f>IF('Calendario G'!C10="","",'Calendario G'!C10)</f>
        <v/>
      </c>
      <c r="D1030" s="44" t="str">
        <f>IF('Calendario G'!D10="","",'Calendario G'!D10)</f>
        <v/>
      </c>
      <c r="E1030" s="45" t="str">
        <f>IF('Calendario G'!E10="","",'Calendario G'!E10)</f>
        <v/>
      </c>
      <c r="F1030" s="138" t="str">
        <f>IF('Calendario G'!F10="","",'Calendario G'!F10)</f>
        <v/>
      </c>
      <c r="G1030" s="124"/>
      <c r="H1030" s="124"/>
      <c r="I1030" s="125"/>
      <c r="J1030" s="202" t="str">
        <f>IF('Calendario G'!J10="","",'Calendario G'!J10)</f>
        <v/>
      </c>
      <c r="K1030" s="201" t="s">
        <v>198</v>
      </c>
      <c r="L1030" s="202" t="str">
        <f>IF('Calendario G'!L10="","",'Calendario G'!L10)</f>
        <v/>
      </c>
      <c r="M1030" s="200"/>
      <c r="N1030" s="200"/>
      <c r="O1030" s="200"/>
      <c r="P1030" s="200"/>
      <c r="Q1030" s="200"/>
      <c r="R1030" s="200"/>
    </row>
    <row r="1031" spans="1:18" ht="15" customHeight="1" x14ac:dyDescent="0.25">
      <c r="A1031" s="133"/>
      <c r="B1031" s="136" t="str">
        <f>IF('Calendario G'!B11="","",'Calendario G'!B11)</f>
        <v/>
      </c>
      <c r="C1031" s="124"/>
      <c r="D1031" s="124"/>
      <c r="E1031" s="124"/>
      <c r="F1031" s="124"/>
      <c r="G1031" s="124"/>
      <c r="H1031" s="125"/>
      <c r="I1031" s="45" t="str">
        <f>IF('Calendario G'!I11="","",'Calendario G'!I11)</f>
        <v/>
      </c>
      <c r="J1031" s="133"/>
      <c r="K1031" s="133"/>
      <c r="L1031" s="133"/>
      <c r="M1031" s="133"/>
      <c r="N1031" s="133"/>
      <c r="O1031" s="133"/>
      <c r="P1031" s="133"/>
      <c r="Q1031" s="133"/>
      <c r="R1031" s="133"/>
    </row>
    <row r="1032" spans="1:18" ht="14.1" customHeight="1" x14ac:dyDescent="0.25">
      <c r="A1032" s="60" t="s">
        <v>193</v>
      </c>
      <c r="B1032" s="161" t="s">
        <v>175</v>
      </c>
      <c r="C1032" s="125"/>
      <c r="D1032" s="161" t="s">
        <v>182</v>
      </c>
      <c r="E1032" s="125"/>
      <c r="F1032" s="60" t="s">
        <v>194</v>
      </c>
      <c r="G1032" s="60" t="s">
        <v>195</v>
      </c>
      <c r="H1032" s="161" t="s">
        <v>196</v>
      </c>
      <c r="I1032" s="125"/>
      <c r="J1032" s="161" t="s">
        <v>197</v>
      </c>
      <c r="K1032" s="124"/>
      <c r="L1032" s="125"/>
      <c r="M1032" s="108" t="s">
        <v>494</v>
      </c>
      <c r="N1032" s="108" t="s">
        <v>495</v>
      </c>
      <c r="O1032" s="108" t="s">
        <v>496</v>
      </c>
      <c r="P1032" s="108" t="s">
        <v>497</v>
      </c>
      <c r="Q1032" s="108" t="s">
        <v>498</v>
      </c>
      <c r="R1032" s="108" t="s">
        <v>499</v>
      </c>
    </row>
    <row r="1033" spans="1:18" ht="21.95" customHeight="1" x14ac:dyDescent="0.25">
      <c r="A1033" s="162">
        <f>IF('Calendario G'!A13="","",'Calendario G'!A13)</f>
        <v>272</v>
      </c>
      <c r="B1033" s="44" t="str">
        <f>IF('Calendario G'!B13="","",'Calendario G'!B13)</f>
        <v/>
      </c>
      <c r="C1033" s="45" t="str">
        <f>IF('Calendario G'!C13="","",'Calendario G'!C13)</f>
        <v/>
      </c>
      <c r="D1033" s="44" t="str">
        <f>IF('Calendario G'!D13="","",'Calendario G'!D13)</f>
        <v/>
      </c>
      <c r="E1033" s="45" t="str">
        <f>IF('Calendario G'!E13="","",'Calendario G'!E13)</f>
        <v/>
      </c>
      <c r="F1033" s="138" t="str">
        <f>IF('Calendario G'!F13="","",'Calendario G'!F13)</f>
        <v/>
      </c>
      <c r="G1033" s="124"/>
      <c r="H1033" s="124"/>
      <c r="I1033" s="125"/>
      <c r="J1033" s="202" t="str">
        <f>IF('Calendario G'!J13="","",'Calendario G'!J13)</f>
        <v/>
      </c>
      <c r="K1033" s="201" t="s">
        <v>198</v>
      </c>
      <c r="L1033" s="202" t="str">
        <f>IF('Calendario G'!L13="","",'Calendario G'!L13)</f>
        <v/>
      </c>
      <c r="M1033" s="200"/>
      <c r="N1033" s="200"/>
      <c r="O1033" s="200"/>
      <c r="P1033" s="200"/>
      <c r="Q1033" s="200"/>
      <c r="R1033" s="200"/>
    </row>
    <row r="1034" spans="1:18" ht="15" customHeight="1" x14ac:dyDescent="0.25">
      <c r="A1034" s="133"/>
      <c r="B1034" s="136" t="str">
        <f>IF('Calendario G'!B14="","",'Calendario G'!B14)</f>
        <v/>
      </c>
      <c r="C1034" s="124"/>
      <c r="D1034" s="124"/>
      <c r="E1034" s="124"/>
      <c r="F1034" s="124"/>
      <c r="G1034" s="124"/>
      <c r="H1034" s="125"/>
      <c r="I1034" s="45" t="str">
        <f>IF('Calendario G'!I14="","",'Calendario G'!I14)</f>
        <v/>
      </c>
      <c r="J1034" s="133"/>
      <c r="K1034" s="133"/>
      <c r="L1034" s="133"/>
      <c r="M1034" s="133"/>
      <c r="N1034" s="133"/>
      <c r="O1034" s="133"/>
      <c r="P1034" s="133"/>
      <c r="Q1034" s="133"/>
      <c r="R1034" s="133"/>
    </row>
    <row r="1035" spans="1:18" ht="14.1" customHeight="1" x14ac:dyDescent="0.25">
      <c r="A1035" s="60" t="s">
        <v>193</v>
      </c>
      <c r="B1035" s="161" t="s">
        <v>175</v>
      </c>
      <c r="C1035" s="125"/>
      <c r="D1035" s="161" t="s">
        <v>182</v>
      </c>
      <c r="E1035" s="125"/>
      <c r="F1035" s="60" t="s">
        <v>194</v>
      </c>
      <c r="G1035" s="60" t="s">
        <v>195</v>
      </c>
      <c r="H1035" s="161" t="s">
        <v>196</v>
      </c>
      <c r="I1035" s="125"/>
      <c r="J1035" s="161" t="s">
        <v>197</v>
      </c>
      <c r="K1035" s="124"/>
      <c r="L1035" s="125"/>
      <c r="M1035" s="108" t="s">
        <v>494</v>
      </c>
      <c r="N1035" s="108" t="s">
        <v>495</v>
      </c>
      <c r="O1035" s="108" t="s">
        <v>496</v>
      </c>
      <c r="P1035" s="108" t="s">
        <v>497</v>
      </c>
      <c r="Q1035" s="108" t="s">
        <v>498</v>
      </c>
      <c r="R1035" s="108" t="s">
        <v>499</v>
      </c>
    </row>
    <row r="1036" spans="1:18" ht="21.95" customHeight="1" x14ac:dyDescent="0.25">
      <c r="A1036" s="162">
        <f>IF('Calendario G'!A16="","",'Calendario G'!A16)</f>
        <v>273</v>
      </c>
      <c r="B1036" s="44" t="str">
        <f>IF('Calendario G'!B16="","",'Calendario G'!B16)</f>
        <v/>
      </c>
      <c r="C1036" s="45" t="str">
        <f>IF('Calendario G'!C16="","",'Calendario G'!C16)</f>
        <v/>
      </c>
      <c r="D1036" s="44" t="str">
        <f>IF('Calendario G'!D16="","",'Calendario G'!D16)</f>
        <v/>
      </c>
      <c r="E1036" s="45" t="str">
        <f>IF('Calendario G'!E16="","",'Calendario G'!E16)</f>
        <v/>
      </c>
      <c r="F1036" s="138" t="str">
        <f>IF('Calendario G'!F16="","",'Calendario G'!F16)</f>
        <v/>
      </c>
      <c r="G1036" s="124"/>
      <c r="H1036" s="124"/>
      <c r="I1036" s="125"/>
      <c r="J1036" s="202" t="str">
        <f>IF('Calendario G'!J16="","",'Calendario G'!J16)</f>
        <v/>
      </c>
      <c r="K1036" s="201" t="s">
        <v>198</v>
      </c>
      <c r="L1036" s="202" t="str">
        <f>IF('Calendario G'!L16="","",'Calendario G'!L16)</f>
        <v/>
      </c>
      <c r="M1036" s="200"/>
      <c r="N1036" s="200"/>
      <c r="O1036" s="200"/>
      <c r="P1036" s="200"/>
      <c r="Q1036" s="200"/>
      <c r="R1036" s="200"/>
    </row>
    <row r="1037" spans="1:18" ht="15" customHeight="1" x14ac:dyDescent="0.25">
      <c r="A1037" s="133"/>
      <c r="B1037" s="136" t="str">
        <f>IF('Calendario G'!B17="","",'Calendario G'!B17)</f>
        <v/>
      </c>
      <c r="C1037" s="124"/>
      <c r="D1037" s="124"/>
      <c r="E1037" s="124"/>
      <c r="F1037" s="124"/>
      <c r="G1037" s="124"/>
      <c r="H1037" s="125"/>
      <c r="I1037" s="45" t="str">
        <f>IF('Calendario G'!I17="","",'Calendario G'!I17)</f>
        <v/>
      </c>
      <c r="J1037" s="133"/>
      <c r="K1037" s="133"/>
      <c r="L1037" s="133"/>
      <c r="M1037" s="133"/>
      <c r="N1037" s="133"/>
      <c r="O1037" s="133"/>
      <c r="P1037" s="133"/>
      <c r="Q1037" s="133"/>
      <c r="R1037" s="133"/>
    </row>
    <row r="1038" spans="1:18" ht="14.1" customHeight="1" x14ac:dyDescent="0.25">
      <c r="A1038" s="60" t="s">
        <v>193</v>
      </c>
      <c r="B1038" s="161" t="s">
        <v>175</v>
      </c>
      <c r="C1038" s="125"/>
      <c r="D1038" s="161" t="s">
        <v>182</v>
      </c>
      <c r="E1038" s="125"/>
      <c r="F1038" s="60" t="s">
        <v>194</v>
      </c>
      <c r="G1038" s="60" t="s">
        <v>195</v>
      </c>
      <c r="H1038" s="161" t="s">
        <v>196</v>
      </c>
      <c r="I1038" s="125"/>
      <c r="J1038" s="161" t="s">
        <v>197</v>
      </c>
      <c r="K1038" s="124"/>
      <c r="L1038" s="125"/>
      <c r="M1038" s="108" t="s">
        <v>494</v>
      </c>
      <c r="N1038" s="108" t="s">
        <v>495</v>
      </c>
      <c r="O1038" s="108" t="s">
        <v>496</v>
      </c>
      <c r="P1038" s="108" t="s">
        <v>497</v>
      </c>
      <c r="Q1038" s="108" t="s">
        <v>498</v>
      </c>
      <c r="R1038" s="108" t="s">
        <v>499</v>
      </c>
    </row>
    <row r="1039" spans="1:18" ht="21.95" customHeight="1" x14ac:dyDescent="0.25">
      <c r="A1039" s="162">
        <f>IF('Calendario G'!A19="","",'Calendario G'!A19)</f>
        <v>274</v>
      </c>
      <c r="B1039" s="44" t="str">
        <f>IF('Calendario G'!B19="","",'Calendario G'!B19)</f>
        <v/>
      </c>
      <c r="C1039" s="45" t="str">
        <f>IF('Calendario G'!C19="","",'Calendario G'!C19)</f>
        <v/>
      </c>
      <c r="D1039" s="44" t="str">
        <f>IF('Calendario G'!D19="","",'Calendario G'!D19)</f>
        <v/>
      </c>
      <c r="E1039" s="45" t="str">
        <f>IF('Calendario G'!E19="","",'Calendario G'!E19)</f>
        <v/>
      </c>
      <c r="F1039" s="138" t="str">
        <f>IF('Calendario G'!F19="","",'Calendario G'!F19)</f>
        <v/>
      </c>
      <c r="G1039" s="124"/>
      <c r="H1039" s="124"/>
      <c r="I1039" s="125"/>
      <c r="J1039" s="202" t="str">
        <f>IF('Calendario G'!J19="","",'Calendario G'!J19)</f>
        <v/>
      </c>
      <c r="K1039" s="201" t="s">
        <v>198</v>
      </c>
      <c r="L1039" s="202" t="str">
        <f>IF('Calendario G'!L19="","",'Calendario G'!L19)</f>
        <v/>
      </c>
      <c r="M1039" s="200"/>
      <c r="N1039" s="200"/>
      <c r="O1039" s="200"/>
      <c r="P1039" s="200"/>
      <c r="Q1039" s="200"/>
      <c r="R1039" s="200"/>
    </row>
    <row r="1040" spans="1:18" ht="15" customHeight="1" x14ac:dyDescent="0.25">
      <c r="A1040" s="133"/>
      <c r="B1040" s="136" t="str">
        <f>IF('Calendario G'!B20="","",'Calendario G'!B20)</f>
        <v/>
      </c>
      <c r="C1040" s="124"/>
      <c r="D1040" s="124"/>
      <c r="E1040" s="124"/>
      <c r="F1040" s="124"/>
      <c r="G1040" s="124"/>
      <c r="H1040" s="125"/>
      <c r="I1040" s="45" t="str">
        <f>IF('Calendario G'!I20="","",'Calendario G'!I20)</f>
        <v/>
      </c>
      <c r="J1040" s="133"/>
      <c r="K1040" s="133"/>
      <c r="L1040" s="133"/>
      <c r="M1040" s="133"/>
      <c r="N1040" s="133"/>
      <c r="O1040" s="133"/>
      <c r="P1040" s="133"/>
      <c r="Q1040" s="133"/>
      <c r="R1040" s="133"/>
    </row>
    <row r="1041" spans="1:18" ht="14.1" customHeight="1" x14ac:dyDescent="0.25">
      <c r="A1041" s="60" t="s">
        <v>193</v>
      </c>
      <c r="B1041" s="161" t="s">
        <v>175</v>
      </c>
      <c r="C1041" s="125"/>
      <c r="D1041" s="161" t="s">
        <v>182</v>
      </c>
      <c r="E1041" s="125"/>
      <c r="F1041" s="60" t="s">
        <v>194</v>
      </c>
      <c r="G1041" s="60" t="s">
        <v>195</v>
      </c>
      <c r="H1041" s="161" t="s">
        <v>196</v>
      </c>
      <c r="I1041" s="125"/>
      <c r="J1041" s="161" t="s">
        <v>197</v>
      </c>
      <c r="K1041" s="124"/>
      <c r="L1041" s="125"/>
      <c r="M1041" s="108" t="s">
        <v>494</v>
      </c>
      <c r="N1041" s="108" t="s">
        <v>495</v>
      </c>
      <c r="O1041" s="108" t="s">
        <v>496</v>
      </c>
      <c r="P1041" s="108" t="s">
        <v>497</v>
      </c>
      <c r="Q1041" s="108" t="s">
        <v>498</v>
      </c>
      <c r="R1041" s="108" t="s">
        <v>499</v>
      </c>
    </row>
    <row r="1042" spans="1:18" ht="21.95" customHeight="1" x14ac:dyDescent="0.25">
      <c r="A1042" s="162">
        <f>IF('Calendario G'!A22="","",'Calendario G'!A22)</f>
        <v>275</v>
      </c>
      <c r="B1042" s="44" t="str">
        <f>IF('Calendario G'!B22="","",'Calendario G'!B22)</f>
        <v/>
      </c>
      <c r="C1042" s="45" t="str">
        <f>IF('Calendario G'!C22="","",'Calendario G'!C22)</f>
        <v/>
      </c>
      <c r="D1042" s="44" t="str">
        <f>IF('Calendario G'!D22="","",'Calendario G'!D22)</f>
        <v/>
      </c>
      <c r="E1042" s="45" t="str">
        <f>IF('Calendario G'!E22="","",'Calendario G'!E22)</f>
        <v/>
      </c>
      <c r="F1042" s="138" t="str">
        <f>IF('Calendario G'!F22="","",'Calendario G'!F22)</f>
        <v/>
      </c>
      <c r="G1042" s="124"/>
      <c r="H1042" s="124"/>
      <c r="I1042" s="125"/>
      <c r="J1042" s="202" t="str">
        <f>IF('Calendario G'!J22="","",'Calendario G'!J22)</f>
        <v/>
      </c>
      <c r="K1042" s="201" t="s">
        <v>198</v>
      </c>
      <c r="L1042" s="202" t="str">
        <f>IF('Calendario G'!L22="","",'Calendario G'!L22)</f>
        <v/>
      </c>
      <c r="M1042" s="200"/>
      <c r="N1042" s="200"/>
      <c r="O1042" s="200"/>
      <c r="P1042" s="200"/>
      <c r="Q1042" s="200"/>
      <c r="R1042" s="200"/>
    </row>
    <row r="1043" spans="1:18" ht="15" customHeight="1" x14ac:dyDescent="0.25">
      <c r="A1043" s="133"/>
      <c r="B1043" s="136" t="str">
        <f>IF('Calendario G'!B23="","",'Calendario G'!B23)</f>
        <v/>
      </c>
      <c r="C1043" s="124"/>
      <c r="D1043" s="124"/>
      <c r="E1043" s="124"/>
      <c r="F1043" s="124"/>
      <c r="G1043" s="124"/>
      <c r="H1043" s="125"/>
      <c r="I1043" s="45" t="str">
        <f>IF('Calendario G'!I23="","",'Calendario G'!I23)</f>
        <v/>
      </c>
      <c r="J1043" s="133"/>
      <c r="K1043" s="133"/>
      <c r="L1043" s="133"/>
      <c r="M1043" s="133"/>
      <c r="N1043" s="133"/>
      <c r="O1043" s="133"/>
      <c r="P1043" s="133"/>
      <c r="Q1043" s="133"/>
      <c r="R1043" s="133"/>
    </row>
    <row r="1045" spans="1:18" ht="20.100000000000001" customHeight="1" x14ac:dyDescent="0.25">
      <c r="A1045" s="59" t="str">
        <f>IF('Calendario G'!A25="","",'Calendario G'!A25)</f>
        <v>2G</v>
      </c>
      <c r="B1045" s="163" t="str">
        <f>IF('Calendario G'!B25="","",'Calendario G'!B25)</f>
        <v>GIORNATA II - GIRONE G</v>
      </c>
      <c r="C1045" s="124"/>
      <c r="D1045" s="124"/>
      <c r="E1045" s="124"/>
      <c r="F1045" s="124"/>
      <c r="G1045" s="124"/>
      <c r="H1045" s="124"/>
      <c r="I1045" s="124"/>
      <c r="J1045" s="124"/>
      <c r="K1045" s="124"/>
      <c r="L1045" s="125"/>
      <c r="M1045" s="209" t="s">
        <v>492</v>
      </c>
      <c r="N1045" s="124"/>
      <c r="O1045" s="125"/>
      <c r="P1045" s="209" t="s">
        <v>493</v>
      </c>
      <c r="Q1045" s="124"/>
      <c r="R1045" s="125"/>
    </row>
    <row r="1046" spans="1:18" ht="14.1" customHeight="1" x14ac:dyDescent="0.25">
      <c r="A1046" s="60" t="s">
        <v>193</v>
      </c>
      <c r="B1046" s="161" t="s">
        <v>175</v>
      </c>
      <c r="C1046" s="125"/>
      <c r="D1046" s="161" t="s">
        <v>182</v>
      </c>
      <c r="E1046" s="125"/>
      <c r="F1046" s="60" t="s">
        <v>194</v>
      </c>
      <c r="G1046" s="60" t="s">
        <v>195</v>
      </c>
      <c r="H1046" s="161" t="s">
        <v>196</v>
      </c>
      <c r="I1046" s="125"/>
      <c r="J1046" s="161" t="s">
        <v>197</v>
      </c>
      <c r="K1046" s="124"/>
      <c r="L1046" s="125"/>
      <c r="M1046" s="108" t="s">
        <v>494</v>
      </c>
      <c r="N1046" s="108" t="s">
        <v>495</v>
      </c>
      <c r="O1046" s="108" t="s">
        <v>496</v>
      </c>
      <c r="P1046" s="108" t="s">
        <v>497</v>
      </c>
      <c r="Q1046" s="108" t="s">
        <v>498</v>
      </c>
      <c r="R1046" s="108" t="s">
        <v>499</v>
      </c>
    </row>
    <row r="1047" spans="1:18" ht="21.95" customHeight="1" x14ac:dyDescent="0.25">
      <c r="A1047" s="162">
        <f>IF('Calendario G'!A27="","",'Calendario G'!A27)</f>
        <v>276</v>
      </c>
      <c r="B1047" s="44" t="str">
        <f>IF('Calendario G'!B27="","",'Calendario G'!B27)</f>
        <v/>
      </c>
      <c r="C1047" s="45" t="str">
        <f>IF('Calendario G'!C27="","",'Calendario G'!C27)</f>
        <v/>
      </c>
      <c r="D1047" s="44" t="str">
        <f>IF('Calendario G'!D27="","",'Calendario G'!D27)</f>
        <v/>
      </c>
      <c r="E1047" s="45" t="str">
        <f>IF('Calendario G'!E27="","",'Calendario G'!E27)</f>
        <v/>
      </c>
      <c r="F1047" s="138" t="str">
        <f>IF('Calendario G'!F27="","",'Calendario G'!F27)</f>
        <v/>
      </c>
      <c r="G1047" s="124"/>
      <c r="H1047" s="124"/>
      <c r="I1047" s="125"/>
      <c r="J1047" s="202" t="str">
        <f>IF('Calendario G'!J27="","",'Calendario G'!J27)</f>
        <v/>
      </c>
      <c r="K1047" s="201" t="s">
        <v>198</v>
      </c>
      <c r="L1047" s="202" t="str">
        <f>IF('Calendario G'!L27="","",'Calendario G'!L27)</f>
        <v/>
      </c>
      <c r="M1047" s="200"/>
      <c r="N1047" s="200"/>
      <c r="O1047" s="200"/>
      <c r="P1047" s="200"/>
      <c r="Q1047" s="200"/>
      <c r="R1047" s="200"/>
    </row>
    <row r="1048" spans="1:18" ht="15" customHeight="1" x14ac:dyDescent="0.25">
      <c r="A1048" s="133"/>
      <c r="B1048" s="136" t="str">
        <f>IF('Calendario G'!B28="","",'Calendario G'!B28)</f>
        <v/>
      </c>
      <c r="C1048" s="124"/>
      <c r="D1048" s="124"/>
      <c r="E1048" s="124"/>
      <c r="F1048" s="124"/>
      <c r="G1048" s="124"/>
      <c r="H1048" s="125"/>
      <c r="I1048" s="45" t="str">
        <f>IF('Calendario G'!I28="","",'Calendario G'!I28)</f>
        <v/>
      </c>
      <c r="J1048" s="133"/>
      <c r="K1048" s="133"/>
      <c r="L1048" s="133"/>
      <c r="M1048" s="133"/>
      <c r="N1048" s="133"/>
      <c r="O1048" s="133"/>
      <c r="P1048" s="133"/>
      <c r="Q1048" s="133"/>
      <c r="R1048" s="133"/>
    </row>
    <row r="1049" spans="1:18" ht="14.1" customHeight="1" x14ac:dyDescent="0.25">
      <c r="A1049" s="60" t="s">
        <v>193</v>
      </c>
      <c r="B1049" s="161" t="s">
        <v>175</v>
      </c>
      <c r="C1049" s="125"/>
      <c r="D1049" s="161" t="s">
        <v>182</v>
      </c>
      <c r="E1049" s="125"/>
      <c r="F1049" s="60" t="s">
        <v>194</v>
      </c>
      <c r="G1049" s="60" t="s">
        <v>195</v>
      </c>
      <c r="H1049" s="161" t="s">
        <v>196</v>
      </c>
      <c r="I1049" s="125"/>
      <c r="J1049" s="161" t="s">
        <v>197</v>
      </c>
      <c r="K1049" s="124"/>
      <c r="L1049" s="125"/>
      <c r="M1049" s="108" t="s">
        <v>494</v>
      </c>
      <c r="N1049" s="108" t="s">
        <v>495</v>
      </c>
      <c r="O1049" s="108" t="s">
        <v>496</v>
      </c>
      <c r="P1049" s="108" t="s">
        <v>497</v>
      </c>
      <c r="Q1049" s="108" t="s">
        <v>498</v>
      </c>
      <c r="R1049" s="108" t="s">
        <v>499</v>
      </c>
    </row>
    <row r="1050" spans="1:18" ht="21.95" customHeight="1" x14ac:dyDescent="0.25">
      <c r="A1050" s="162">
        <f>IF('Calendario G'!A30="","",'Calendario G'!A30)</f>
        <v>277</v>
      </c>
      <c r="B1050" s="44" t="str">
        <f>IF('Calendario G'!B30="","",'Calendario G'!B30)</f>
        <v/>
      </c>
      <c r="C1050" s="45" t="str">
        <f>IF('Calendario G'!C30="","",'Calendario G'!C30)</f>
        <v/>
      </c>
      <c r="D1050" s="44" t="str">
        <f>IF('Calendario G'!D30="","",'Calendario G'!D30)</f>
        <v/>
      </c>
      <c r="E1050" s="45" t="str">
        <f>IF('Calendario G'!E30="","",'Calendario G'!E30)</f>
        <v/>
      </c>
      <c r="F1050" s="138" t="str">
        <f>IF('Calendario G'!F30="","",'Calendario G'!F30)</f>
        <v/>
      </c>
      <c r="G1050" s="124"/>
      <c r="H1050" s="124"/>
      <c r="I1050" s="125"/>
      <c r="J1050" s="202" t="str">
        <f>IF('Calendario G'!J30="","",'Calendario G'!J30)</f>
        <v/>
      </c>
      <c r="K1050" s="201" t="s">
        <v>198</v>
      </c>
      <c r="L1050" s="202" t="str">
        <f>IF('Calendario G'!L30="","",'Calendario G'!L30)</f>
        <v/>
      </c>
      <c r="M1050" s="200"/>
      <c r="N1050" s="200"/>
      <c r="O1050" s="200"/>
      <c r="P1050" s="200"/>
      <c r="Q1050" s="200"/>
      <c r="R1050" s="200"/>
    </row>
    <row r="1051" spans="1:18" ht="15" customHeight="1" x14ac:dyDescent="0.25">
      <c r="A1051" s="133"/>
      <c r="B1051" s="136" t="str">
        <f>IF('Calendario G'!B31="","",'Calendario G'!B31)</f>
        <v/>
      </c>
      <c r="C1051" s="124"/>
      <c r="D1051" s="124"/>
      <c r="E1051" s="124"/>
      <c r="F1051" s="124"/>
      <c r="G1051" s="124"/>
      <c r="H1051" s="125"/>
      <c r="I1051" s="45" t="str">
        <f>IF('Calendario G'!I31="","",'Calendario G'!I31)</f>
        <v/>
      </c>
      <c r="J1051" s="133"/>
      <c r="K1051" s="133"/>
      <c r="L1051" s="133"/>
      <c r="M1051" s="133"/>
      <c r="N1051" s="133"/>
      <c r="O1051" s="133"/>
      <c r="P1051" s="133"/>
      <c r="Q1051" s="133"/>
      <c r="R1051" s="133"/>
    </row>
    <row r="1052" spans="1:18" ht="14.1" customHeight="1" x14ac:dyDescent="0.25">
      <c r="A1052" s="60" t="s">
        <v>193</v>
      </c>
      <c r="B1052" s="161" t="s">
        <v>175</v>
      </c>
      <c r="C1052" s="125"/>
      <c r="D1052" s="161" t="s">
        <v>182</v>
      </c>
      <c r="E1052" s="125"/>
      <c r="F1052" s="60" t="s">
        <v>194</v>
      </c>
      <c r="G1052" s="60" t="s">
        <v>195</v>
      </c>
      <c r="H1052" s="161" t="s">
        <v>196</v>
      </c>
      <c r="I1052" s="125"/>
      <c r="J1052" s="161" t="s">
        <v>197</v>
      </c>
      <c r="K1052" s="124"/>
      <c r="L1052" s="125"/>
      <c r="M1052" s="108" t="s">
        <v>494</v>
      </c>
      <c r="N1052" s="108" t="s">
        <v>495</v>
      </c>
      <c r="O1052" s="108" t="s">
        <v>496</v>
      </c>
      <c r="P1052" s="108" t="s">
        <v>497</v>
      </c>
      <c r="Q1052" s="108" t="s">
        <v>498</v>
      </c>
      <c r="R1052" s="108" t="s">
        <v>499</v>
      </c>
    </row>
    <row r="1053" spans="1:18" ht="21.95" customHeight="1" x14ac:dyDescent="0.25">
      <c r="A1053" s="162">
        <f>IF('Calendario G'!A33="","",'Calendario G'!A33)</f>
        <v>278</v>
      </c>
      <c r="B1053" s="44" t="str">
        <f>IF('Calendario G'!B33="","",'Calendario G'!B33)</f>
        <v/>
      </c>
      <c r="C1053" s="45" t="str">
        <f>IF('Calendario G'!C33="","",'Calendario G'!C33)</f>
        <v/>
      </c>
      <c r="D1053" s="44" t="str">
        <f>IF('Calendario G'!D33="","",'Calendario G'!D33)</f>
        <v/>
      </c>
      <c r="E1053" s="45" t="str">
        <f>IF('Calendario G'!E33="","",'Calendario G'!E33)</f>
        <v/>
      </c>
      <c r="F1053" s="138" t="str">
        <f>IF('Calendario G'!F33="","",'Calendario G'!F33)</f>
        <v/>
      </c>
      <c r="G1053" s="124"/>
      <c r="H1053" s="124"/>
      <c r="I1053" s="125"/>
      <c r="J1053" s="202" t="str">
        <f>IF('Calendario G'!J33="","",'Calendario G'!J33)</f>
        <v/>
      </c>
      <c r="K1053" s="201" t="s">
        <v>198</v>
      </c>
      <c r="L1053" s="202" t="str">
        <f>IF('Calendario G'!L33="","",'Calendario G'!L33)</f>
        <v/>
      </c>
      <c r="M1053" s="200"/>
      <c r="N1053" s="200"/>
      <c r="O1053" s="200"/>
      <c r="P1053" s="200"/>
      <c r="Q1053" s="200"/>
      <c r="R1053" s="200"/>
    </row>
    <row r="1054" spans="1:18" ht="15" customHeight="1" x14ac:dyDescent="0.25">
      <c r="A1054" s="133"/>
      <c r="B1054" s="136" t="str">
        <f>IF('Calendario G'!B34="","",'Calendario G'!B34)</f>
        <v/>
      </c>
      <c r="C1054" s="124"/>
      <c r="D1054" s="124"/>
      <c r="E1054" s="124"/>
      <c r="F1054" s="124"/>
      <c r="G1054" s="124"/>
      <c r="H1054" s="125"/>
      <c r="I1054" s="45" t="str">
        <f>IF('Calendario G'!I34="","",'Calendario G'!I34)</f>
        <v/>
      </c>
      <c r="J1054" s="133"/>
      <c r="K1054" s="133"/>
      <c r="L1054" s="133"/>
      <c r="M1054" s="133"/>
      <c r="N1054" s="133"/>
      <c r="O1054" s="133"/>
      <c r="P1054" s="133"/>
      <c r="Q1054" s="133"/>
      <c r="R1054" s="133"/>
    </row>
    <row r="1055" spans="1:18" ht="14.1" customHeight="1" x14ac:dyDescent="0.25">
      <c r="A1055" s="60" t="s">
        <v>193</v>
      </c>
      <c r="B1055" s="161" t="s">
        <v>175</v>
      </c>
      <c r="C1055" s="125"/>
      <c r="D1055" s="161" t="s">
        <v>182</v>
      </c>
      <c r="E1055" s="125"/>
      <c r="F1055" s="60" t="s">
        <v>194</v>
      </c>
      <c r="G1055" s="60" t="s">
        <v>195</v>
      </c>
      <c r="H1055" s="161" t="s">
        <v>196</v>
      </c>
      <c r="I1055" s="125"/>
      <c r="J1055" s="161" t="s">
        <v>197</v>
      </c>
      <c r="K1055" s="124"/>
      <c r="L1055" s="125"/>
      <c r="M1055" s="108" t="s">
        <v>494</v>
      </c>
      <c r="N1055" s="108" t="s">
        <v>495</v>
      </c>
      <c r="O1055" s="108" t="s">
        <v>496</v>
      </c>
      <c r="P1055" s="108" t="s">
        <v>497</v>
      </c>
      <c r="Q1055" s="108" t="s">
        <v>498</v>
      </c>
      <c r="R1055" s="108" t="s">
        <v>499</v>
      </c>
    </row>
    <row r="1056" spans="1:18" ht="21.95" customHeight="1" x14ac:dyDescent="0.25">
      <c r="A1056" s="162">
        <f>IF('Calendario G'!A36="","",'Calendario G'!A36)</f>
        <v>279</v>
      </c>
      <c r="B1056" s="44" t="str">
        <f>IF('Calendario G'!B36="","",'Calendario G'!B36)</f>
        <v/>
      </c>
      <c r="C1056" s="45" t="str">
        <f>IF('Calendario G'!C36="","",'Calendario G'!C36)</f>
        <v/>
      </c>
      <c r="D1056" s="44" t="str">
        <f>IF('Calendario G'!D36="","",'Calendario G'!D36)</f>
        <v/>
      </c>
      <c r="E1056" s="45" t="str">
        <f>IF('Calendario G'!E36="","",'Calendario G'!E36)</f>
        <v/>
      </c>
      <c r="F1056" s="138" t="str">
        <f>IF('Calendario G'!F36="","",'Calendario G'!F36)</f>
        <v/>
      </c>
      <c r="G1056" s="124"/>
      <c r="H1056" s="124"/>
      <c r="I1056" s="125"/>
      <c r="J1056" s="202" t="str">
        <f>IF('Calendario G'!J36="","",'Calendario G'!J36)</f>
        <v/>
      </c>
      <c r="K1056" s="201" t="s">
        <v>198</v>
      </c>
      <c r="L1056" s="202" t="str">
        <f>IF('Calendario G'!L36="","",'Calendario G'!L36)</f>
        <v/>
      </c>
      <c r="M1056" s="200"/>
      <c r="N1056" s="200"/>
      <c r="O1056" s="200"/>
      <c r="P1056" s="200"/>
      <c r="Q1056" s="200"/>
      <c r="R1056" s="200"/>
    </row>
    <row r="1057" spans="1:18" ht="15" customHeight="1" x14ac:dyDescent="0.25">
      <c r="A1057" s="133"/>
      <c r="B1057" s="136" t="str">
        <f>IF('Calendario G'!B37="","",'Calendario G'!B37)</f>
        <v/>
      </c>
      <c r="C1057" s="124"/>
      <c r="D1057" s="124"/>
      <c r="E1057" s="124"/>
      <c r="F1057" s="124"/>
      <c r="G1057" s="124"/>
      <c r="H1057" s="125"/>
      <c r="I1057" s="45" t="str">
        <f>IF('Calendario G'!I37="","",'Calendario G'!I37)</f>
        <v/>
      </c>
      <c r="J1057" s="133"/>
      <c r="K1057" s="133"/>
      <c r="L1057" s="133"/>
      <c r="M1057" s="133"/>
      <c r="N1057" s="133"/>
      <c r="O1057" s="133"/>
      <c r="P1057" s="133"/>
      <c r="Q1057" s="133"/>
      <c r="R1057" s="133"/>
    </row>
    <row r="1058" spans="1:18" ht="14.1" customHeight="1" x14ac:dyDescent="0.25">
      <c r="A1058" s="60" t="s">
        <v>193</v>
      </c>
      <c r="B1058" s="161" t="s">
        <v>175</v>
      </c>
      <c r="C1058" s="125"/>
      <c r="D1058" s="161" t="s">
        <v>182</v>
      </c>
      <c r="E1058" s="125"/>
      <c r="F1058" s="60" t="s">
        <v>194</v>
      </c>
      <c r="G1058" s="60" t="s">
        <v>195</v>
      </c>
      <c r="H1058" s="161" t="s">
        <v>196</v>
      </c>
      <c r="I1058" s="125"/>
      <c r="J1058" s="161" t="s">
        <v>197</v>
      </c>
      <c r="K1058" s="124"/>
      <c r="L1058" s="125"/>
      <c r="M1058" s="108" t="s">
        <v>494</v>
      </c>
      <c r="N1058" s="108" t="s">
        <v>495</v>
      </c>
      <c r="O1058" s="108" t="s">
        <v>496</v>
      </c>
      <c r="P1058" s="108" t="s">
        <v>497</v>
      </c>
      <c r="Q1058" s="108" t="s">
        <v>498</v>
      </c>
      <c r="R1058" s="108" t="s">
        <v>499</v>
      </c>
    </row>
    <row r="1059" spans="1:18" ht="21.95" customHeight="1" x14ac:dyDescent="0.25">
      <c r="A1059" s="162">
        <f>IF('Calendario G'!A39="","",'Calendario G'!A39)</f>
        <v>280</v>
      </c>
      <c r="B1059" s="44" t="str">
        <f>IF('Calendario G'!B39="","",'Calendario G'!B39)</f>
        <v/>
      </c>
      <c r="C1059" s="45" t="str">
        <f>IF('Calendario G'!C39="","",'Calendario G'!C39)</f>
        <v/>
      </c>
      <c r="D1059" s="44" t="str">
        <f>IF('Calendario G'!D39="","",'Calendario G'!D39)</f>
        <v/>
      </c>
      <c r="E1059" s="45" t="str">
        <f>IF('Calendario G'!E39="","",'Calendario G'!E39)</f>
        <v/>
      </c>
      <c r="F1059" s="138" t="str">
        <f>IF('Calendario G'!F39="","",'Calendario G'!F39)</f>
        <v/>
      </c>
      <c r="G1059" s="124"/>
      <c r="H1059" s="124"/>
      <c r="I1059" s="125"/>
      <c r="J1059" s="202" t="str">
        <f>IF('Calendario G'!J39="","",'Calendario G'!J39)</f>
        <v/>
      </c>
      <c r="K1059" s="201" t="s">
        <v>198</v>
      </c>
      <c r="L1059" s="202" t="str">
        <f>IF('Calendario G'!L39="","",'Calendario G'!L39)</f>
        <v/>
      </c>
      <c r="M1059" s="200"/>
      <c r="N1059" s="200"/>
      <c r="O1059" s="200"/>
      <c r="P1059" s="200"/>
      <c r="Q1059" s="200"/>
      <c r="R1059" s="200"/>
    </row>
    <row r="1060" spans="1:18" ht="15" customHeight="1" x14ac:dyDescent="0.25">
      <c r="A1060" s="133"/>
      <c r="B1060" s="136" t="str">
        <f>IF('Calendario G'!B40="","",'Calendario G'!B40)</f>
        <v/>
      </c>
      <c r="C1060" s="124"/>
      <c r="D1060" s="124"/>
      <c r="E1060" s="124"/>
      <c r="F1060" s="124"/>
      <c r="G1060" s="124"/>
      <c r="H1060" s="125"/>
      <c r="I1060" s="45" t="str">
        <f>IF('Calendario G'!I40="","",'Calendario G'!I40)</f>
        <v/>
      </c>
      <c r="J1060" s="133"/>
      <c r="K1060" s="133"/>
      <c r="L1060" s="133"/>
      <c r="M1060" s="133"/>
      <c r="N1060" s="133"/>
      <c r="O1060" s="133"/>
      <c r="P1060" s="133"/>
      <c r="Q1060" s="133"/>
      <c r="R1060" s="133"/>
    </row>
    <row r="1062" spans="1:18" ht="20.100000000000001" customHeight="1" x14ac:dyDescent="0.25">
      <c r="A1062" s="59" t="str">
        <f>IF('Calendario G'!A42="","",'Calendario G'!A42)</f>
        <v>3G</v>
      </c>
      <c r="B1062" s="163" t="str">
        <f>IF('Calendario G'!B42="","",'Calendario G'!B42)</f>
        <v>GIORNATA III - GIRONE G</v>
      </c>
      <c r="C1062" s="124"/>
      <c r="D1062" s="124"/>
      <c r="E1062" s="124"/>
      <c r="F1062" s="124"/>
      <c r="G1062" s="124"/>
      <c r="H1062" s="124"/>
      <c r="I1062" s="124"/>
      <c r="J1062" s="124"/>
      <c r="K1062" s="124"/>
      <c r="L1062" s="125"/>
      <c r="M1062" s="209" t="s">
        <v>492</v>
      </c>
      <c r="N1062" s="124"/>
      <c r="O1062" s="125"/>
      <c r="P1062" s="209" t="s">
        <v>493</v>
      </c>
      <c r="Q1062" s="124"/>
      <c r="R1062" s="125"/>
    </row>
    <row r="1063" spans="1:18" ht="14.1" customHeight="1" x14ac:dyDescent="0.25">
      <c r="A1063" s="60" t="s">
        <v>193</v>
      </c>
      <c r="B1063" s="161" t="s">
        <v>175</v>
      </c>
      <c r="C1063" s="125"/>
      <c r="D1063" s="161" t="s">
        <v>182</v>
      </c>
      <c r="E1063" s="125"/>
      <c r="F1063" s="60" t="s">
        <v>194</v>
      </c>
      <c r="G1063" s="60" t="s">
        <v>195</v>
      </c>
      <c r="H1063" s="161" t="s">
        <v>196</v>
      </c>
      <c r="I1063" s="125"/>
      <c r="J1063" s="161" t="s">
        <v>197</v>
      </c>
      <c r="K1063" s="124"/>
      <c r="L1063" s="125"/>
      <c r="M1063" s="108" t="s">
        <v>494</v>
      </c>
      <c r="N1063" s="108" t="s">
        <v>495</v>
      </c>
      <c r="O1063" s="108" t="s">
        <v>496</v>
      </c>
      <c r="P1063" s="108" t="s">
        <v>497</v>
      </c>
      <c r="Q1063" s="108" t="s">
        <v>498</v>
      </c>
      <c r="R1063" s="108" t="s">
        <v>499</v>
      </c>
    </row>
    <row r="1064" spans="1:18" ht="21.95" customHeight="1" x14ac:dyDescent="0.25">
      <c r="A1064" s="162">
        <f>IF('Calendario G'!A44="","",'Calendario G'!A44)</f>
        <v>281</v>
      </c>
      <c r="B1064" s="44" t="str">
        <f>IF('Calendario G'!B44="","",'Calendario G'!B44)</f>
        <v/>
      </c>
      <c r="C1064" s="45" t="str">
        <f>IF('Calendario G'!C44="","",'Calendario G'!C44)</f>
        <v/>
      </c>
      <c r="D1064" s="44" t="str">
        <f>IF('Calendario G'!D44="","",'Calendario G'!D44)</f>
        <v/>
      </c>
      <c r="E1064" s="45" t="str">
        <f>IF('Calendario G'!E44="","",'Calendario G'!E44)</f>
        <v/>
      </c>
      <c r="F1064" s="138" t="str">
        <f>IF('Calendario G'!F44="","",'Calendario G'!F44)</f>
        <v/>
      </c>
      <c r="G1064" s="124"/>
      <c r="H1064" s="124"/>
      <c r="I1064" s="125"/>
      <c r="J1064" s="202" t="str">
        <f>IF('Calendario G'!J44="","",'Calendario G'!J44)</f>
        <v/>
      </c>
      <c r="K1064" s="201" t="s">
        <v>198</v>
      </c>
      <c r="L1064" s="202" t="str">
        <f>IF('Calendario G'!L44="","",'Calendario G'!L44)</f>
        <v/>
      </c>
      <c r="M1064" s="200"/>
      <c r="N1064" s="200"/>
      <c r="O1064" s="200"/>
      <c r="P1064" s="200"/>
      <c r="Q1064" s="200"/>
      <c r="R1064" s="200"/>
    </row>
    <row r="1065" spans="1:18" ht="15" customHeight="1" x14ac:dyDescent="0.25">
      <c r="A1065" s="133"/>
      <c r="B1065" s="136" t="str">
        <f>IF('Calendario G'!B45="","",'Calendario G'!B45)</f>
        <v/>
      </c>
      <c r="C1065" s="124"/>
      <c r="D1065" s="124"/>
      <c r="E1065" s="124"/>
      <c r="F1065" s="124"/>
      <c r="G1065" s="124"/>
      <c r="H1065" s="125"/>
      <c r="I1065" s="45" t="str">
        <f>IF('Calendario G'!I45="","",'Calendario G'!I45)</f>
        <v/>
      </c>
      <c r="J1065" s="133"/>
      <c r="K1065" s="133"/>
      <c r="L1065" s="133"/>
      <c r="M1065" s="133"/>
      <c r="N1065" s="133"/>
      <c r="O1065" s="133"/>
      <c r="P1065" s="133"/>
      <c r="Q1065" s="133"/>
      <c r="R1065" s="133"/>
    </row>
    <row r="1066" spans="1:18" ht="14.1" customHeight="1" x14ac:dyDescent="0.25">
      <c r="A1066" s="60" t="s">
        <v>193</v>
      </c>
      <c r="B1066" s="161" t="s">
        <v>175</v>
      </c>
      <c r="C1066" s="125"/>
      <c r="D1066" s="161" t="s">
        <v>182</v>
      </c>
      <c r="E1066" s="125"/>
      <c r="F1066" s="60" t="s">
        <v>194</v>
      </c>
      <c r="G1066" s="60" t="s">
        <v>195</v>
      </c>
      <c r="H1066" s="161" t="s">
        <v>196</v>
      </c>
      <c r="I1066" s="125"/>
      <c r="J1066" s="161" t="s">
        <v>197</v>
      </c>
      <c r="K1066" s="124"/>
      <c r="L1066" s="125"/>
      <c r="M1066" s="108" t="s">
        <v>494</v>
      </c>
      <c r="N1066" s="108" t="s">
        <v>495</v>
      </c>
      <c r="O1066" s="108" t="s">
        <v>496</v>
      </c>
      <c r="P1066" s="108" t="s">
        <v>497</v>
      </c>
      <c r="Q1066" s="108" t="s">
        <v>498</v>
      </c>
      <c r="R1066" s="108" t="s">
        <v>499</v>
      </c>
    </row>
    <row r="1067" spans="1:18" ht="21.95" customHeight="1" x14ac:dyDescent="0.25">
      <c r="A1067" s="162">
        <f>IF('Calendario G'!A47="","",'Calendario G'!A47)</f>
        <v>282</v>
      </c>
      <c r="B1067" s="44" t="str">
        <f>IF('Calendario G'!B47="","",'Calendario G'!B47)</f>
        <v/>
      </c>
      <c r="C1067" s="45" t="str">
        <f>IF('Calendario G'!C47="","",'Calendario G'!C47)</f>
        <v/>
      </c>
      <c r="D1067" s="44" t="str">
        <f>IF('Calendario G'!D47="","",'Calendario G'!D47)</f>
        <v/>
      </c>
      <c r="E1067" s="45" t="str">
        <f>IF('Calendario G'!E47="","",'Calendario G'!E47)</f>
        <v/>
      </c>
      <c r="F1067" s="138" t="str">
        <f>IF('Calendario G'!F47="","",'Calendario G'!F47)</f>
        <v/>
      </c>
      <c r="G1067" s="124"/>
      <c r="H1067" s="124"/>
      <c r="I1067" s="125"/>
      <c r="J1067" s="202" t="str">
        <f>IF('Calendario G'!J47="","",'Calendario G'!J47)</f>
        <v/>
      </c>
      <c r="K1067" s="201" t="s">
        <v>198</v>
      </c>
      <c r="L1067" s="202" t="str">
        <f>IF('Calendario G'!L47="","",'Calendario G'!L47)</f>
        <v/>
      </c>
      <c r="M1067" s="200"/>
      <c r="N1067" s="200"/>
      <c r="O1067" s="200"/>
      <c r="P1067" s="200"/>
      <c r="Q1067" s="200"/>
      <c r="R1067" s="200"/>
    </row>
    <row r="1068" spans="1:18" ht="15" customHeight="1" x14ac:dyDescent="0.25">
      <c r="A1068" s="133"/>
      <c r="B1068" s="136" t="str">
        <f>IF('Calendario G'!B48="","",'Calendario G'!B48)</f>
        <v/>
      </c>
      <c r="C1068" s="124"/>
      <c r="D1068" s="124"/>
      <c r="E1068" s="124"/>
      <c r="F1068" s="124"/>
      <c r="G1068" s="124"/>
      <c r="H1068" s="125"/>
      <c r="I1068" s="45" t="str">
        <f>IF('Calendario G'!I48="","",'Calendario G'!I48)</f>
        <v/>
      </c>
      <c r="J1068" s="133"/>
      <c r="K1068" s="133"/>
      <c r="L1068" s="133"/>
      <c r="M1068" s="133"/>
      <c r="N1068" s="133"/>
      <c r="O1068" s="133"/>
      <c r="P1068" s="133"/>
      <c r="Q1068" s="133"/>
      <c r="R1068" s="133"/>
    </row>
    <row r="1069" spans="1:18" ht="14.1" customHeight="1" x14ac:dyDescent="0.25">
      <c r="A1069" s="60" t="s">
        <v>193</v>
      </c>
      <c r="B1069" s="161" t="s">
        <v>175</v>
      </c>
      <c r="C1069" s="125"/>
      <c r="D1069" s="161" t="s">
        <v>182</v>
      </c>
      <c r="E1069" s="125"/>
      <c r="F1069" s="60" t="s">
        <v>194</v>
      </c>
      <c r="G1069" s="60" t="s">
        <v>195</v>
      </c>
      <c r="H1069" s="161" t="s">
        <v>196</v>
      </c>
      <c r="I1069" s="125"/>
      <c r="J1069" s="161" t="s">
        <v>197</v>
      </c>
      <c r="K1069" s="124"/>
      <c r="L1069" s="125"/>
      <c r="M1069" s="108" t="s">
        <v>494</v>
      </c>
      <c r="N1069" s="108" t="s">
        <v>495</v>
      </c>
      <c r="O1069" s="108" t="s">
        <v>496</v>
      </c>
      <c r="P1069" s="108" t="s">
        <v>497</v>
      </c>
      <c r="Q1069" s="108" t="s">
        <v>498</v>
      </c>
      <c r="R1069" s="108" t="s">
        <v>499</v>
      </c>
    </row>
    <row r="1070" spans="1:18" ht="21.95" customHeight="1" x14ac:dyDescent="0.25">
      <c r="A1070" s="162">
        <f>IF('Calendario G'!A50="","",'Calendario G'!A50)</f>
        <v>283</v>
      </c>
      <c r="B1070" s="44" t="str">
        <f>IF('Calendario G'!B50="","",'Calendario G'!B50)</f>
        <v/>
      </c>
      <c r="C1070" s="45" t="str">
        <f>IF('Calendario G'!C50="","",'Calendario G'!C50)</f>
        <v/>
      </c>
      <c r="D1070" s="44" t="str">
        <f>IF('Calendario G'!D50="","",'Calendario G'!D50)</f>
        <v/>
      </c>
      <c r="E1070" s="45" t="str">
        <f>IF('Calendario G'!E50="","",'Calendario G'!E50)</f>
        <v/>
      </c>
      <c r="F1070" s="138" t="str">
        <f>IF('Calendario G'!F50="","",'Calendario G'!F50)</f>
        <v/>
      </c>
      <c r="G1070" s="124"/>
      <c r="H1070" s="124"/>
      <c r="I1070" s="125"/>
      <c r="J1070" s="202" t="str">
        <f>IF('Calendario G'!J50="","",'Calendario G'!J50)</f>
        <v/>
      </c>
      <c r="K1070" s="201" t="s">
        <v>198</v>
      </c>
      <c r="L1070" s="202" t="str">
        <f>IF('Calendario G'!L50="","",'Calendario G'!L50)</f>
        <v/>
      </c>
      <c r="M1070" s="200"/>
      <c r="N1070" s="200"/>
      <c r="O1070" s="200"/>
      <c r="P1070" s="200"/>
      <c r="Q1070" s="200"/>
      <c r="R1070" s="200"/>
    </row>
    <row r="1071" spans="1:18" ht="15" customHeight="1" x14ac:dyDescent="0.25">
      <c r="A1071" s="133"/>
      <c r="B1071" s="136" t="str">
        <f>IF('Calendario G'!B51="","",'Calendario G'!B51)</f>
        <v/>
      </c>
      <c r="C1071" s="124"/>
      <c r="D1071" s="124"/>
      <c r="E1071" s="124"/>
      <c r="F1071" s="124"/>
      <c r="G1071" s="124"/>
      <c r="H1071" s="125"/>
      <c r="I1071" s="45" t="str">
        <f>IF('Calendario G'!I51="","",'Calendario G'!I51)</f>
        <v/>
      </c>
      <c r="J1071" s="133"/>
      <c r="K1071" s="133"/>
      <c r="L1071" s="133"/>
      <c r="M1071" s="133"/>
      <c r="N1071" s="133"/>
      <c r="O1071" s="133"/>
      <c r="P1071" s="133"/>
      <c r="Q1071" s="133"/>
      <c r="R1071" s="133"/>
    </row>
    <row r="1072" spans="1:18" ht="14.1" customHeight="1" x14ac:dyDescent="0.25">
      <c r="A1072" s="60" t="s">
        <v>193</v>
      </c>
      <c r="B1072" s="161" t="s">
        <v>175</v>
      </c>
      <c r="C1072" s="125"/>
      <c r="D1072" s="161" t="s">
        <v>182</v>
      </c>
      <c r="E1072" s="125"/>
      <c r="F1072" s="60" t="s">
        <v>194</v>
      </c>
      <c r="G1072" s="60" t="s">
        <v>195</v>
      </c>
      <c r="H1072" s="161" t="s">
        <v>196</v>
      </c>
      <c r="I1072" s="125"/>
      <c r="J1072" s="161" t="s">
        <v>197</v>
      </c>
      <c r="K1072" s="124"/>
      <c r="L1072" s="125"/>
      <c r="M1072" s="108" t="s">
        <v>494</v>
      </c>
      <c r="N1072" s="108" t="s">
        <v>495</v>
      </c>
      <c r="O1072" s="108" t="s">
        <v>496</v>
      </c>
      <c r="P1072" s="108" t="s">
        <v>497</v>
      </c>
      <c r="Q1072" s="108" t="s">
        <v>498</v>
      </c>
      <c r="R1072" s="108" t="s">
        <v>499</v>
      </c>
    </row>
    <row r="1073" spans="1:18" ht="21.95" customHeight="1" x14ac:dyDescent="0.25">
      <c r="A1073" s="162">
        <f>IF('Calendario G'!A53="","",'Calendario G'!A53)</f>
        <v>284</v>
      </c>
      <c r="B1073" s="44" t="str">
        <f>IF('Calendario G'!B53="","",'Calendario G'!B53)</f>
        <v/>
      </c>
      <c r="C1073" s="45" t="str">
        <f>IF('Calendario G'!C53="","",'Calendario G'!C53)</f>
        <v/>
      </c>
      <c r="D1073" s="44" t="str">
        <f>IF('Calendario G'!D53="","",'Calendario G'!D53)</f>
        <v/>
      </c>
      <c r="E1073" s="45" t="str">
        <f>IF('Calendario G'!E53="","",'Calendario G'!E53)</f>
        <v/>
      </c>
      <c r="F1073" s="138" t="str">
        <f>IF('Calendario G'!F53="","",'Calendario G'!F53)</f>
        <v/>
      </c>
      <c r="G1073" s="124"/>
      <c r="H1073" s="124"/>
      <c r="I1073" s="125"/>
      <c r="J1073" s="202" t="str">
        <f>IF('Calendario G'!J53="","",'Calendario G'!J53)</f>
        <v/>
      </c>
      <c r="K1073" s="201" t="s">
        <v>198</v>
      </c>
      <c r="L1073" s="202" t="str">
        <f>IF('Calendario G'!L53="","",'Calendario G'!L53)</f>
        <v/>
      </c>
      <c r="M1073" s="200"/>
      <c r="N1073" s="200"/>
      <c r="O1073" s="200"/>
      <c r="P1073" s="200"/>
      <c r="Q1073" s="200"/>
      <c r="R1073" s="200"/>
    </row>
    <row r="1074" spans="1:18" ht="15" customHeight="1" x14ac:dyDescent="0.25">
      <c r="A1074" s="133"/>
      <c r="B1074" s="136" t="str">
        <f>IF('Calendario G'!B54="","",'Calendario G'!B54)</f>
        <v/>
      </c>
      <c r="C1074" s="124"/>
      <c r="D1074" s="124"/>
      <c r="E1074" s="124"/>
      <c r="F1074" s="124"/>
      <c r="G1074" s="124"/>
      <c r="H1074" s="125"/>
      <c r="I1074" s="45" t="str">
        <f>IF('Calendario G'!I54="","",'Calendario G'!I54)</f>
        <v/>
      </c>
      <c r="J1074" s="133"/>
      <c r="K1074" s="133"/>
      <c r="L1074" s="133"/>
      <c r="M1074" s="133"/>
      <c r="N1074" s="133"/>
      <c r="O1074" s="133"/>
      <c r="P1074" s="133"/>
      <c r="Q1074" s="133"/>
      <c r="R1074" s="133"/>
    </row>
    <row r="1075" spans="1:18" ht="14.1" customHeight="1" x14ac:dyDescent="0.25">
      <c r="A1075" s="60" t="s">
        <v>193</v>
      </c>
      <c r="B1075" s="161" t="s">
        <v>175</v>
      </c>
      <c r="C1075" s="125"/>
      <c r="D1075" s="161" t="s">
        <v>182</v>
      </c>
      <c r="E1075" s="125"/>
      <c r="F1075" s="60" t="s">
        <v>194</v>
      </c>
      <c r="G1075" s="60" t="s">
        <v>195</v>
      </c>
      <c r="H1075" s="161" t="s">
        <v>196</v>
      </c>
      <c r="I1075" s="125"/>
      <c r="J1075" s="161" t="s">
        <v>197</v>
      </c>
      <c r="K1075" s="124"/>
      <c r="L1075" s="125"/>
      <c r="M1075" s="108" t="s">
        <v>494</v>
      </c>
      <c r="N1075" s="108" t="s">
        <v>495</v>
      </c>
      <c r="O1075" s="108" t="s">
        <v>496</v>
      </c>
      <c r="P1075" s="108" t="s">
        <v>497</v>
      </c>
      <c r="Q1075" s="108" t="s">
        <v>498</v>
      </c>
      <c r="R1075" s="108" t="s">
        <v>499</v>
      </c>
    </row>
    <row r="1076" spans="1:18" ht="21.95" customHeight="1" x14ac:dyDescent="0.25">
      <c r="A1076" s="162">
        <f>IF('Calendario G'!A56="","",'Calendario G'!A56)</f>
        <v>285</v>
      </c>
      <c r="B1076" s="44" t="str">
        <f>IF('Calendario G'!B56="","",'Calendario G'!B56)</f>
        <v/>
      </c>
      <c r="C1076" s="45" t="str">
        <f>IF('Calendario G'!C56="","",'Calendario G'!C56)</f>
        <v/>
      </c>
      <c r="D1076" s="44" t="str">
        <f>IF('Calendario G'!D56="","",'Calendario G'!D56)</f>
        <v/>
      </c>
      <c r="E1076" s="45" t="str">
        <f>IF('Calendario G'!E56="","",'Calendario G'!E56)</f>
        <v/>
      </c>
      <c r="F1076" s="138" t="str">
        <f>IF('Calendario G'!F56="","",'Calendario G'!F56)</f>
        <v/>
      </c>
      <c r="G1076" s="124"/>
      <c r="H1076" s="124"/>
      <c r="I1076" s="125"/>
      <c r="J1076" s="202" t="str">
        <f>IF('Calendario G'!J56="","",'Calendario G'!J56)</f>
        <v/>
      </c>
      <c r="K1076" s="201" t="s">
        <v>198</v>
      </c>
      <c r="L1076" s="202" t="str">
        <f>IF('Calendario G'!L56="","",'Calendario G'!L56)</f>
        <v/>
      </c>
      <c r="M1076" s="200"/>
      <c r="N1076" s="200"/>
      <c r="O1076" s="200"/>
      <c r="P1076" s="200"/>
      <c r="Q1076" s="200"/>
      <c r="R1076" s="200"/>
    </row>
    <row r="1077" spans="1:18" ht="15" customHeight="1" x14ac:dyDescent="0.25">
      <c r="A1077" s="133"/>
      <c r="B1077" s="136" t="str">
        <f>IF('Calendario G'!B57="","",'Calendario G'!B57)</f>
        <v/>
      </c>
      <c r="C1077" s="124"/>
      <c r="D1077" s="124"/>
      <c r="E1077" s="124"/>
      <c r="F1077" s="124"/>
      <c r="G1077" s="124"/>
      <c r="H1077" s="125"/>
      <c r="I1077" s="45" t="str">
        <f>IF('Calendario G'!I57="","",'Calendario G'!I57)</f>
        <v/>
      </c>
      <c r="J1077" s="133"/>
      <c r="K1077" s="133"/>
      <c r="L1077" s="133"/>
      <c r="M1077" s="133"/>
      <c r="N1077" s="133"/>
      <c r="O1077" s="133"/>
      <c r="P1077" s="133"/>
      <c r="Q1077" s="133"/>
      <c r="R1077" s="133"/>
    </row>
    <row r="1079" spans="1:18" ht="20.100000000000001" customHeight="1" x14ac:dyDescent="0.25">
      <c r="A1079" s="59" t="str">
        <f>IF('Calendario G'!A59="","",'Calendario G'!A59)</f>
        <v>4G</v>
      </c>
      <c r="B1079" s="163" t="str">
        <f>IF('Calendario G'!B59="","",'Calendario G'!B59)</f>
        <v>GIORNATA IV - GIRONE G</v>
      </c>
      <c r="C1079" s="124"/>
      <c r="D1079" s="124"/>
      <c r="E1079" s="124"/>
      <c r="F1079" s="124"/>
      <c r="G1079" s="124"/>
      <c r="H1079" s="124"/>
      <c r="I1079" s="124"/>
      <c r="J1079" s="124"/>
      <c r="K1079" s="124"/>
      <c r="L1079" s="125"/>
      <c r="M1079" s="209" t="s">
        <v>492</v>
      </c>
      <c r="N1079" s="124"/>
      <c r="O1079" s="125"/>
      <c r="P1079" s="209" t="s">
        <v>493</v>
      </c>
      <c r="Q1079" s="124"/>
      <c r="R1079" s="125"/>
    </row>
    <row r="1080" spans="1:18" ht="14.1" customHeight="1" x14ac:dyDescent="0.25">
      <c r="A1080" s="60" t="s">
        <v>193</v>
      </c>
      <c r="B1080" s="161" t="s">
        <v>175</v>
      </c>
      <c r="C1080" s="125"/>
      <c r="D1080" s="161" t="s">
        <v>182</v>
      </c>
      <c r="E1080" s="125"/>
      <c r="F1080" s="60" t="s">
        <v>194</v>
      </c>
      <c r="G1080" s="60" t="s">
        <v>195</v>
      </c>
      <c r="H1080" s="161" t="s">
        <v>196</v>
      </c>
      <c r="I1080" s="125"/>
      <c r="J1080" s="161" t="s">
        <v>197</v>
      </c>
      <c r="K1080" s="124"/>
      <c r="L1080" s="125"/>
      <c r="M1080" s="108" t="s">
        <v>494</v>
      </c>
      <c r="N1080" s="108" t="s">
        <v>495</v>
      </c>
      <c r="O1080" s="108" t="s">
        <v>496</v>
      </c>
      <c r="P1080" s="108" t="s">
        <v>497</v>
      </c>
      <c r="Q1080" s="108" t="s">
        <v>498</v>
      </c>
      <c r="R1080" s="108" t="s">
        <v>499</v>
      </c>
    </row>
    <row r="1081" spans="1:18" ht="21.95" customHeight="1" x14ac:dyDescent="0.25">
      <c r="A1081" s="162">
        <f>IF('Calendario G'!A61="","",'Calendario G'!A61)</f>
        <v>286</v>
      </c>
      <c r="B1081" s="44" t="str">
        <f>IF('Calendario G'!B61="","",'Calendario G'!B61)</f>
        <v/>
      </c>
      <c r="C1081" s="45" t="str">
        <f>IF('Calendario G'!C61="","",'Calendario G'!C61)</f>
        <v/>
      </c>
      <c r="D1081" s="44" t="str">
        <f>IF('Calendario G'!D61="","",'Calendario G'!D61)</f>
        <v/>
      </c>
      <c r="E1081" s="45" t="str">
        <f>IF('Calendario G'!E61="","",'Calendario G'!E61)</f>
        <v/>
      </c>
      <c r="F1081" s="138" t="str">
        <f>IF('Calendario G'!F61="","",'Calendario G'!F61)</f>
        <v/>
      </c>
      <c r="G1081" s="124"/>
      <c r="H1081" s="124"/>
      <c r="I1081" s="125"/>
      <c r="J1081" s="202" t="str">
        <f>IF('Calendario G'!J61="","",'Calendario G'!J61)</f>
        <v/>
      </c>
      <c r="K1081" s="201" t="s">
        <v>198</v>
      </c>
      <c r="L1081" s="202" t="str">
        <f>IF('Calendario G'!L61="","",'Calendario G'!L61)</f>
        <v/>
      </c>
      <c r="M1081" s="200"/>
      <c r="N1081" s="200"/>
      <c r="O1081" s="200"/>
      <c r="P1081" s="200"/>
      <c r="Q1081" s="200"/>
      <c r="R1081" s="200"/>
    </row>
    <row r="1082" spans="1:18" ht="15" customHeight="1" x14ac:dyDescent="0.25">
      <c r="A1082" s="133"/>
      <c r="B1082" s="136" t="str">
        <f>IF('Calendario G'!B62="","",'Calendario G'!B62)</f>
        <v/>
      </c>
      <c r="C1082" s="124"/>
      <c r="D1082" s="124"/>
      <c r="E1082" s="124"/>
      <c r="F1082" s="124"/>
      <c r="G1082" s="124"/>
      <c r="H1082" s="125"/>
      <c r="I1082" s="45" t="str">
        <f>IF('Calendario G'!I62="","",'Calendario G'!I62)</f>
        <v/>
      </c>
      <c r="J1082" s="133"/>
      <c r="K1082" s="133"/>
      <c r="L1082" s="133"/>
      <c r="M1082" s="133"/>
      <c r="N1082" s="133"/>
      <c r="O1082" s="133"/>
      <c r="P1082" s="133"/>
      <c r="Q1082" s="133"/>
      <c r="R1082" s="133"/>
    </row>
    <row r="1083" spans="1:18" ht="14.1" customHeight="1" x14ac:dyDescent="0.25">
      <c r="A1083" s="60" t="s">
        <v>193</v>
      </c>
      <c r="B1083" s="161" t="s">
        <v>175</v>
      </c>
      <c r="C1083" s="125"/>
      <c r="D1083" s="161" t="s">
        <v>182</v>
      </c>
      <c r="E1083" s="125"/>
      <c r="F1083" s="60" t="s">
        <v>194</v>
      </c>
      <c r="G1083" s="60" t="s">
        <v>195</v>
      </c>
      <c r="H1083" s="161" t="s">
        <v>196</v>
      </c>
      <c r="I1083" s="125"/>
      <c r="J1083" s="161" t="s">
        <v>197</v>
      </c>
      <c r="K1083" s="124"/>
      <c r="L1083" s="125"/>
      <c r="M1083" s="108" t="s">
        <v>494</v>
      </c>
      <c r="N1083" s="108" t="s">
        <v>495</v>
      </c>
      <c r="O1083" s="108" t="s">
        <v>496</v>
      </c>
      <c r="P1083" s="108" t="s">
        <v>497</v>
      </c>
      <c r="Q1083" s="108" t="s">
        <v>498</v>
      </c>
      <c r="R1083" s="108" t="s">
        <v>499</v>
      </c>
    </row>
    <row r="1084" spans="1:18" ht="21.95" customHeight="1" x14ac:dyDescent="0.25">
      <c r="A1084" s="162">
        <f>IF('Calendario G'!A64="","",'Calendario G'!A64)</f>
        <v>287</v>
      </c>
      <c r="B1084" s="44" t="str">
        <f>IF('Calendario G'!B64="","",'Calendario G'!B64)</f>
        <v/>
      </c>
      <c r="C1084" s="45" t="str">
        <f>IF('Calendario G'!C64="","",'Calendario G'!C64)</f>
        <v/>
      </c>
      <c r="D1084" s="44" t="str">
        <f>IF('Calendario G'!D64="","",'Calendario G'!D64)</f>
        <v/>
      </c>
      <c r="E1084" s="45" t="str">
        <f>IF('Calendario G'!E64="","",'Calendario G'!E64)</f>
        <v/>
      </c>
      <c r="F1084" s="138" t="str">
        <f>IF('Calendario G'!F64="","",'Calendario G'!F64)</f>
        <v/>
      </c>
      <c r="G1084" s="124"/>
      <c r="H1084" s="124"/>
      <c r="I1084" s="125"/>
      <c r="J1084" s="202" t="str">
        <f>IF('Calendario G'!J64="","",'Calendario G'!J64)</f>
        <v/>
      </c>
      <c r="K1084" s="201" t="s">
        <v>198</v>
      </c>
      <c r="L1084" s="202" t="str">
        <f>IF('Calendario G'!L64="","",'Calendario G'!L64)</f>
        <v/>
      </c>
      <c r="M1084" s="200"/>
      <c r="N1084" s="200"/>
      <c r="O1084" s="200"/>
      <c r="P1084" s="200"/>
      <c r="Q1084" s="200"/>
      <c r="R1084" s="200"/>
    </row>
    <row r="1085" spans="1:18" ht="15" customHeight="1" x14ac:dyDescent="0.25">
      <c r="A1085" s="133"/>
      <c r="B1085" s="136" t="str">
        <f>IF('Calendario G'!B65="","",'Calendario G'!B65)</f>
        <v/>
      </c>
      <c r="C1085" s="124"/>
      <c r="D1085" s="124"/>
      <c r="E1085" s="124"/>
      <c r="F1085" s="124"/>
      <c r="G1085" s="124"/>
      <c r="H1085" s="125"/>
      <c r="I1085" s="45" t="str">
        <f>IF('Calendario G'!I65="","",'Calendario G'!I65)</f>
        <v/>
      </c>
      <c r="J1085" s="133"/>
      <c r="K1085" s="133"/>
      <c r="L1085" s="133"/>
      <c r="M1085" s="133"/>
      <c r="N1085" s="133"/>
      <c r="O1085" s="133"/>
      <c r="P1085" s="133"/>
      <c r="Q1085" s="133"/>
      <c r="R1085" s="133"/>
    </row>
    <row r="1086" spans="1:18" ht="14.1" customHeight="1" x14ac:dyDescent="0.25">
      <c r="A1086" s="60" t="s">
        <v>193</v>
      </c>
      <c r="B1086" s="161" t="s">
        <v>175</v>
      </c>
      <c r="C1086" s="125"/>
      <c r="D1086" s="161" t="s">
        <v>182</v>
      </c>
      <c r="E1086" s="125"/>
      <c r="F1086" s="60" t="s">
        <v>194</v>
      </c>
      <c r="G1086" s="60" t="s">
        <v>195</v>
      </c>
      <c r="H1086" s="161" t="s">
        <v>196</v>
      </c>
      <c r="I1086" s="125"/>
      <c r="J1086" s="161" t="s">
        <v>197</v>
      </c>
      <c r="K1086" s="124"/>
      <c r="L1086" s="125"/>
      <c r="M1086" s="108" t="s">
        <v>494</v>
      </c>
      <c r="N1086" s="108" t="s">
        <v>495</v>
      </c>
      <c r="O1086" s="108" t="s">
        <v>496</v>
      </c>
      <c r="P1086" s="108" t="s">
        <v>497</v>
      </c>
      <c r="Q1086" s="108" t="s">
        <v>498</v>
      </c>
      <c r="R1086" s="108" t="s">
        <v>499</v>
      </c>
    </row>
    <row r="1087" spans="1:18" ht="21.95" customHeight="1" x14ac:dyDescent="0.25">
      <c r="A1087" s="162">
        <f>IF('Calendario G'!A67="","",'Calendario G'!A67)</f>
        <v>288</v>
      </c>
      <c r="B1087" s="44" t="str">
        <f>IF('Calendario G'!B67="","",'Calendario G'!B67)</f>
        <v/>
      </c>
      <c r="C1087" s="45" t="str">
        <f>IF('Calendario G'!C67="","",'Calendario G'!C67)</f>
        <v/>
      </c>
      <c r="D1087" s="44" t="str">
        <f>IF('Calendario G'!D67="","",'Calendario G'!D67)</f>
        <v/>
      </c>
      <c r="E1087" s="45" t="str">
        <f>IF('Calendario G'!E67="","",'Calendario G'!E67)</f>
        <v/>
      </c>
      <c r="F1087" s="138" t="str">
        <f>IF('Calendario G'!F67="","",'Calendario G'!F67)</f>
        <v/>
      </c>
      <c r="G1087" s="124"/>
      <c r="H1087" s="124"/>
      <c r="I1087" s="125"/>
      <c r="J1087" s="202" t="str">
        <f>IF('Calendario G'!J67="","",'Calendario G'!J67)</f>
        <v/>
      </c>
      <c r="K1087" s="201" t="s">
        <v>198</v>
      </c>
      <c r="L1087" s="202" t="str">
        <f>IF('Calendario G'!L67="","",'Calendario G'!L67)</f>
        <v/>
      </c>
      <c r="M1087" s="200"/>
      <c r="N1087" s="200"/>
      <c r="O1087" s="200"/>
      <c r="P1087" s="200"/>
      <c r="Q1087" s="200"/>
      <c r="R1087" s="200"/>
    </row>
    <row r="1088" spans="1:18" ht="15" customHeight="1" x14ac:dyDescent="0.25">
      <c r="A1088" s="133"/>
      <c r="B1088" s="136" t="str">
        <f>IF('Calendario G'!B68="","",'Calendario G'!B68)</f>
        <v/>
      </c>
      <c r="C1088" s="124"/>
      <c r="D1088" s="124"/>
      <c r="E1088" s="124"/>
      <c r="F1088" s="124"/>
      <c r="G1088" s="124"/>
      <c r="H1088" s="125"/>
      <c r="I1088" s="45" t="str">
        <f>IF('Calendario G'!I68="","",'Calendario G'!I68)</f>
        <v/>
      </c>
      <c r="J1088" s="133"/>
      <c r="K1088" s="133"/>
      <c r="L1088" s="133"/>
      <c r="M1088" s="133"/>
      <c r="N1088" s="133"/>
      <c r="O1088" s="133"/>
      <c r="P1088" s="133"/>
      <c r="Q1088" s="133"/>
      <c r="R1088" s="133"/>
    </row>
    <row r="1089" spans="1:18" ht="14.1" customHeight="1" x14ac:dyDescent="0.25">
      <c r="A1089" s="60" t="s">
        <v>193</v>
      </c>
      <c r="B1089" s="161" t="s">
        <v>175</v>
      </c>
      <c r="C1089" s="125"/>
      <c r="D1089" s="161" t="s">
        <v>182</v>
      </c>
      <c r="E1089" s="125"/>
      <c r="F1089" s="60" t="s">
        <v>194</v>
      </c>
      <c r="G1089" s="60" t="s">
        <v>195</v>
      </c>
      <c r="H1089" s="161" t="s">
        <v>196</v>
      </c>
      <c r="I1089" s="125"/>
      <c r="J1089" s="161" t="s">
        <v>197</v>
      </c>
      <c r="K1089" s="124"/>
      <c r="L1089" s="125"/>
      <c r="M1089" s="108" t="s">
        <v>494</v>
      </c>
      <c r="N1089" s="108" t="s">
        <v>495</v>
      </c>
      <c r="O1089" s="108" t="s">
        <v>496</v>
      </c>
      <c r="P1089" s="108" t="s">
        <v>497</v>
      </c>
      <c r="Q1089" s="108" t="s">
        <v>498</v>
      </c>
      <c r="R1089" s="108" t="s">
        <v>499</v>
      </c>
    </row>
    <row r="1090" spans="1:18" ht="21.95" customHeight="1" x14ac:dyDescent="0.25">
      <c r="A1090" s="162">
        <f>IF('Calendario G'!A70="","",'Calendario G'!A70)</f>
        <v>289</v>
      </c>
      <c r="B1090" s="44" t="str">
        <f>IF('Calendario G'!B70="","",'Calendario G'!B70)</f>
        <v/>
      </c>
      <c r="C1090" s="45" t="str">
        <f>IF('Calendario G'!C70="","",'Calendario G'!C70)</f>
        <v/>
      </c>
      <c r="D1090" s="44" t="str">
        <f>IF('Calendario G'!D70="","",'Calendario G'!D70)</f>
        <v/>
      </c>
      <c r="E1090" s="45" t="str">
        <f>IF('Calendario G'!E70="","",'Calendario G'!E70)</f>
        <v/>
      </c>
      <c r="F1090" s="138" t="str">
        <f>IF('Calendario G'!F70="","",'Calendario G'!F70)</f>
        <v/>
      </c>
      <c r="G1090" s="124"/>
      <c r="H1090" s="124"/>
      <c r="I1090" s="125"/>
      <c r="J1090" s="202" t="str">
        <f>IF('Calendario G'!J70="","",'Calendario G'!J70)</f>
        <v/>
      </c>
      <c r="K1090" s="201" t="s">
        <v>198</v>
      </c>
      <c r="L1090" s="202" t="str">
        <f>IF('Calendario G'!L70="","",'Calendario G'!L70)</f>
        <v/>
      </c>
      <c r="M1090" s="200"/>
      <c r="N1090" s="200"/>
      <c r="O1090" s="200"/>
      <c r="P1090" s="200"/>
      <c r="Q1090" s="200"/>
      <c r="R1090" s="200"/>
    </row>
    <row r="1091" spans="1:18" ht="15" customHeight="1" x14ac:dyDescent="0.25">
      <c r="A1091" s="133"/>
      <c r="B1091" s="136" t="str">
        <f>IF('Calendario G'!B71="","",'Calendario G'!B71)</f>
        <v/>
      </c>
      <c r="C1091" s="124"/>
      <c r="D1091" s="124"/>
      <c r="E1091" s="124"/>
      <c r="F1091" s="124"/>
      <c r="G1091" s="124"/>
      <c r="H1091" s="125"/>
      <c r="I1091" s="45" t="str">
        <f>IF('Calendario G'!I71="","",'Calendario G'!I71)</f>
        <v/>
      </c>
      <c r="J1091" s="133"/>
      <c r="K1091" s="133"/>
      <c r="L1091" s="133"/>
      <c r="M1091" s="133"/>
      <c r="N1091" s="133"/>
      <c r="O1091" s="133"/>
      <c r="P1091" s="133"/>
      <c r="Q1091" s="133"/>
      <c r="R1091" s="133"/>
    </row>
    <row r="1092" spans="1:18" ht="14.1" customHeight="1" x14ac:dyDescent="0.25">
      <c r="A1092" s="60" t="s">
        <v>193</v>
      </c>
      <c r="B1092" s="161" t="s">
        <v>175</v>
      </c>
      <c r="C1092" s="125"/>
      <c r="D1092" s="161" t="s">
        <v>182</v>
      </c>
      <c r="E1092" s="125"/>
      <c r="F1092" s="60" t="s">
        <v>194</v>
      </c>
      <c r="G1092" s="60" t="s">
        <v>195</v>
      </c>
      <c r="H1092" s="161" t="s">
        <v>196</v>
      </c>
      <c r="I1092" s="125"/>
      <c r="J1092" s="161" t="s">
        <v>197</v>
      </c>
      <c r="K1092" s="124"/>
      <c r="L1092" s="125"/>
      <c r="M1092" s="108" t="s">
        <v>494</v>
      </c>
      <c r="N1092" s="108" t="s">
        <v>495</v>
      </c>
      <c r="O1092" s="108" t="s">
        <v>496</v>
      </c>
      <c r="P1092" s="108" t="s">
        <v>497</v>
      </c>
      <c r="Q1092" s="108" t="s">
        <v>498</v>
      </c>
      <c r="R1092" s="108" t="s">
        <v>499</v>
      </c>
    </row>
    <row r="1093" spans="1:18" ht="21.95" customHeight="1" x14ac:dyDescent="0.25">
      <c r="A1093" s="162">
        <f>IF('Calendario G'!A73="","",'Calendario G'!A73)</f>
        <v>290</v>
      </c>
      <c r="B1093" s="44" t="str">
        <f>IF('Calendario G'!B73="","",'Calendario G'!B73)</f>
        <v/>
      </c>
      <c r="C1093" s="45" t="str">
        <f>IF('Calendario G'!C73="","",'Calendario G'!C73)</f>
        <v/>
      </c>
      <c r="D1093" s="44" t="str">
        <f>IF('Calendario G'!D73="","",'Calendario G'!D73)</f>
        <v/>
      </c>
      <c r="E1093" s="45" t="str">
        <f>IF('Calendario G'!E73="","",'Calendario G'!E73)</f>
        <v/>
      </c>
      <c r="F1093" s="138" t="str">
        <f>IF('Calendario G'!F73="","",'Calendario G'!F73)</f>
        <v/>
      </c>
      <c r="G1093" s="124"/>
      <c r="H1093" s="124"/>
      <c r="I1093" s="125"/>
      <c r="J1093" s="202" t="str">
        <f>IF('Calendario G'!J73="","",'Calendario G'!J73)</f>
        <v/>
      </c>
      <c r="K1093" s="201" t="s">
        <v>198</v>
      </c>
      <c r="L1093" s="202" t="str">
        <f>IF('Calendario G'!L73="","",'Calendario G'!L73)</f>
        <v/>
      </c>
      <c r="M1093" s="200"/>
      <c r="N1093" s="200"/>
      <c r="O1093" s="200"/>
      <c r="P1093" s="200"/>
      <c r="Q1093" s="200"/>
      <c r="R1093" s="200"/>
    </row>
    <row r="1094" spans="1:18" ht="15" customHeight="1" x14ac:dyDescent="0.25">
      <c r="A1094" s="133"/>
      <c r="B1094" s="136" t="str">
        <f>IF('Calendario G'!B74="","",'Calendario G'!B74)</f>
        <v/>
      </c>
      <c r="C1094" s="124"/>
      <c r="D1094" s="124"/>
      <c r="E1094" s="124"/>
      <c r="F1094" s="124"/>
      <c r="G1094" s="124"/>
      <c r="H1094" s="125"/>
      <c r="I1094" s="45" t="str">
        <f>IF('Calendario G'!I74="","",'Calendario G'!I74)</f>
        <v/>
      </c>
      <c r="J1094" s="133"/>
      <c r="K1094" s="133"/>
      <c r="L1094" s="133"/>
      <c r="M1094" s="133"/>
      <c r="N1094" s="133"/>
      <c r="O1094" s="133"/>
      <c r="P1094" s="133"/>
      <c r="Q1094" s="133"/>
      <c r="R1094" s="133"/>
    </row>
    <row r="1096" spans="1:18" ht="20.100000000000001" customHeight="1" x14ac:dyDescent="0.25">
      <c r="A1096" s="59" t="str">
        <f>IF('Calendario G'!A76="","",'Calendario G'!A76)</f>
        <v>5G</v>
      </c>
      <c r="B1096" s="163" t="str">
        <f>IF('Calendario G'!B76="","",'Calendario G'!B76)</f>
        <v>GIORNATA V - GIRONE G</v>
      </c>
      <c r="C1096" s="124"/>
      <c r="D1096" s="124"/>
      <c r="E1096" s="124"/>
      <c r="F1096" s="124"/>
      <c r="G1096" s="124"/>
      <c r="H1096" s="124"/>
      <c r="I1096" s="124"/>
      <c r="J1096" s="124"/>
      <c r="K1096" s="124"/>
      <c r="L1096" s="125"/>
      <c r="M1096" s="209" t="s">
        <v>492</v>
      </c>
      <c r="N1096" s="124"/>
      <c r="O1096" s="125"/>
      <c r="P1096" s="209" t="s">
        <v>493</v>
      </c>
      <c r="Q1096" s="124"/>
      <c r="R1096" s="125"/>
    </row>
    <row r="1097" spans="1:18" ht="14.1" customHeight="1" x14ac:dyDescent="0.25">
      <c r="A1097" s="60" t="s">
        <v>193</v>
      </c>
      <c r="B1097" s="161" t="s">
        <v>175</v>
      </c>
      <c r="C1097" s="125"/>
      <c r="D1097" s="161" t="s">
        <v>182</v>
      </c>
      <c r="E1097" s="125"/>
      <c r="F1097" s="60" t="s">
        <v>194</v>
      </c>
      <c r="G1097" s="60" t="s">
        <v>195</v>
      </c>
      <c r="H1097" s="161" t="s">
        <v>196</v>
      </c>
      <c r="I1097" s="125"/>
      <c r="J1097" s="161" t="s">
        <v>197</v>
      </c>
      <c r="K1097" s="124"/>
      <c r="L1097" s="125"/>
      <c r="M1097" s="108" t="s">
        <v>494</v>
      </c>
      <c r="N1097" s="108" t="s">
        <v>495</v>
      </c>
      <c r="O1097" s="108" t="s">
        <v>496</v>
      </c>
      <c r="P1097" s="108" t="s">
        <v>497</v>
      </c>
      <c r="Q1097" s="108" t="s">
        <v>498</v>
      </c>
      <c r="R1097" s="108" t="s">
        <v>499</v>
      </c>
    </row>
    <row r="1098" spans="1:18" ht="21.95" customHeight="1" x14ac:dyDescent="0.25">
      <c r="A1098" s="162">
        <f>IF('Calendario G'!A78="","",'Calendario G'!A78)</f>
        <v>291</v>
      </c>
      <c r="B1098" s="44" t="str">
        <f>IF('Calendario G'!B78="","",'Calendario G'!B78)</f>
        <v/>
      </c>
      <c r="C1098" s="45" t="str">
        <f>IF('Calendario G'!C78="","",'Calendario G'!C78)</f>
        <v/>
      </c>
      <c r="D1098" s="44" t="str">
        <f>IF('Calendario G'!D78="","",'Calendario G'!D78)</f>
        <v/>
      </c>
      <c r="E1098" s="45" t="str">
        <f>IF('Calendario G'!E78="","",'Calendario G'!E78)</f>
        <v/>
      </c>
      <c r="F1098" s="138" t="str">
        <f>IF('Calendario G'!F78="","",'Calendario G'!F78)</f>
        <v/>
      </c>
      <c r="G1098" s="124"/>
      <c r="H1098" s="124"/>
      <c r="I1098" s="125"/>
      <c r="J1098" s="202" t="str">
        <f>IF('Calendario G'!J78="","",'Calendario G'!J78)</f>
        <v/>
      </c>
      <c r="K1098" s="201" t="s">
        <v>198</v>
      </c>
      <c r="L1098" s="202" t="str">
        <f>IF('Calendario G'!L78="","",'Calendario G'!L78)</f>
        <v/>
      </c>
      <c r="M1098" s="200"/>
      <c r="N1098" s="200"/>
      <c r="O1098" s="200"/>
      <c r="P1098" s="200"/>
      <c r="Q1098" s="200"/>
      <c r="R1098" s="200"/>
    </row>
    <row r="1099" spans="1:18" ht="15" customHeight="1" x14ac:dyDescent="0.25">
      <c r="A1099" s="133"/>
      <c r="B1099" s="136" t="str">
        <f>IF('Calendario G'!B79="","",'Calendario G'!B79)</f>
        <v/>
      </c>
      <c r="C1099" s="124"/>
      <c r="D1099" s="124"/>
      <c r="E1099" s="124"/>
      <c r="F1099" s="124"/>
      <c r="G1099" s="124"/>
      <c r="H1099" s="125"/>
      <c r="I1099" s="45" t="str">
        <f>IF('Calendario G'!I79="","",'Calendario G'!I79)</f>
        <v/>
      </c>
      <c r="J1099" s="133"/>
      <c r="K1099" s="133"/>
      <c r="L1099" s="133"/>
      <c r="M1099" s="133"/>
      <c r="N1099" s="133"/>
      <c r="O1099" s="133"/>
      <c r="P1099" s="133"/>
      <c r="Q1099" s="133"/>
      <c r="R1099" s="133"/>
    </row>
    <row r="1100" spans="1:18" ht="14.1" customHeight="1" x14ac:dyDescent="0.25">
      <c r="A1100" s="60" t="s">
        <v>193</v>
      </c>
      <c r="B1100" s="161" t="s">
        <v>175</v>
      </c>
      <c r="C1100" s="125"/>
      <c r="D1100" s="161" t="s">
        <v>182</v>
      </c>
      <c r="E1100" s="125"/>
      <c r="F1100" s="60" t="s">
        <v>194</v>
      </c>
      <c r="G1100" s="60" t="s">
        <v>195</v>
      </c>
      <c r="H1100" s="161" t="s">
        <v>196</v>
      </c>
      <c r="I1100" s="125"/>
      <c r="J1100" s="161" t="s">
        <v>197</v>
      </c>
      <c r="K1100" s="124"/>
      <c r="L1100" s="125"/>
      <c r="M1100" s="108" t="s">
        <v>494</v>
      </c>
      <c r="N1100" s="108" t="s">
        <v>495</v>
      </c>
      <c r="O1100" s="108" t="s">
        <v>496</v>
      </c>
      <c r="P1100" s="108" t="s">
        <v>497</v>
      </c>
      <c r="Q1100" s="108" t="s">
        <v>498</v>
      </c>
      <c r="R1100" s="108" t="s">
        <v>499</v>
      </c>
    </row>
    <row r="1101" spans="1:18" ht="21.95" customHeight="1" x14ac:dyDescent="0.25">
      <c r="A1101" s="162">
        <f>IF('Calendario G'!A81="","",'Calendario G'!A81)</f>
        <v>292</v>
      </c>
      <c r="B1101" s="44" t="str">
        <f>IF('Calendario G'!B81="","",'Calendario G'!B81)</f>
        <v/>
      </c>
      <c r="C1101" s="45" t="str">
        <f>IF('Calendario G'!C81="","",'Calendario G'!C81)</f>
        <v/>
      </c>
      <c r="D1101" s="44" t="str">
        <f>IF('Calendario G'!D81="","",'Calendario G'!D81)</f>
        <v/>
      </c>
      <c r="E1101" s="45" t="str">
        <f>IF('Calendario G'!E81="","",'Calendario G'!E81)</f>
        <v/>
      </c>
      <c r="F1101" s="138" t="str">
        <f>IF('Calendario G'!F81="","",'Calendario G'!F81)</f>
        <v/>
      </c>
      <c r="G1101" s="124"/>
      <c r="H1101" s="124"/>
      <c r="I1101" s="125"/>
      <c r="J1101" s="202" t="str">
        <f>IF('Calendario G'!J81="","",'Calendario G'!J81)</f>
        <v/>
      </c>
      <c r="K1101" s="201" t="s">
        <v>198</v>
      </c>
      <c r="L1101" s="202" t="str">
        <f>IF('Calendario G'!L81="","",'Calendario G'!L81)</f>
        <v/>
      </c>
      <c r="M1101" s="200"/>
      <c r="N1101" s="200"/>
      <c r="O1101" s="200"/>
      <c r="P1101" s="200"/>
      <c r="Q1101" s="200"/>
      <c r="R1101" s="200"/>
    </row>
    <row r="1102" spans="1:18" ht="15" customHeight="1" x14ac:dyDescent="0.25">
      <c r="A1102" s="133"/>
      <c r="B1102" s="136" t="str">
        <f>IF('Calendario G'!B82="","",'Calendario G'!B82)</f>
        <v/>
      </c>
      <c r="C1102" s="124"/>
      <c r="D1102" s="124"/>
      <c r="E1102" s="124"/>
      <c r="F1102" s="124"/>
      <c r="G1102" s="124"/>
      <c r="H1102" s="125"/>
      <c r="I1102" s="45" t="str">
        <f>IF('Calendario G'!I82="","",'Calendario G'!I82)</f>
        <v/>
      </c>
      <c r="J1102" s="133"/>
      <c r="K1102" s="133"/>
      <c r="L1102" s="133"/>
      <c r="M1102" s="133"/>
      <c r="N1102" s="133"/>
      <c r="O1102" s="133"/>
      <c r="P1102" s="133"/>
      <c r="Q1102" s="133"/>
      <c r="R1102" s="133"/>
    </row>
    <row r="1103" spans="1:18" ht="14.1" customHeight="1" x14ac:dyDescent="0.25">
      <c r="A1103" s="60" t="s">
        <v>193</v>
      </c>
      <c r="B1103" s="161" t="s">
        <v>175</v>
      </c>
      <c r="C1103" s="125"/>
      <c r="D1103" s="161" t="s">
        <v>182</v>
      </c>
      <c r="E1103" s="125"/>
      <c r="F1103" s="60" t="s">
        <v>194</v>
      </c>
      <c r="G1103" s="60" t="s">
        <v>195</v>
      </c>
      <c r="H1103" s="161" t="s">
        <v>196</v>
      </c>
      <c r="I1103" s="125"/>
      <c r="J1103" s="161" t="s">
        <v>197</v>
      </c>
      <c r="K1103" s="124"/>
      <c r="L1103" s="125"/>
      <c r="M1103" s="108" t="s">
        <v>494</v>
      </c>
      <c r="N1103" s="108" t="s">
        <v>495</v>
      </c>
      <c r="O1103" s="108" t="s">
        <v>496</v>
      </c>
      <c r="P1103" s="108" t="s">
        <v>497</v>
      </c>
      <c r="Q1103" s="108" t="s">
        <v>498</v>
      </c>
      <c r="R1103" s="108" t="s">
        <v>499</v>
      </c>
    </row>
    <row r="1104" spans="1:18" ht="21.95" customHeight="1" x14ac:dyDescent="0.25">
      <c r="A1104" s="162">
        <f>IF('Calendario G'!A84="","",'Calendario G'!A84)</f>
        <v>293</v>
      </c>
      <c r="B1104" s="44" t="str">
        <f>IF('Calendario G'!B84="","",'Calendario G'!B84)</f>
        <v/>
      </c>
      <c r="C1104" s="45" t="str">
        <f>IF('Calendario G'!C84="","",'Calendario G'!C84)</f>
        <v/>
      </c>
      <c r="D1104" s="44" t="str">
        <f>IF('Calendario G'!D84="","",'Calendario G'!D84)</f>
        <v/>
      </c>
      <c r="E1104" s="45" t="str">
        <f>IF('Calendario G'!E84="","",'Calendario G'!E84)</f>
        <v/>
      </c>
      <c r="F1104" s="138" t="str">
        <f>IF('Calendario G'!F84="","",'Calendario G'!F84)</f>
        <v/>
      </c>
      <c r="G1104" s="124"/>
      <c r="H1104" s="124"/>
      <c r="I1104" s="125"/>
      <c r="J1104" s="202" t="str">
        <f>IF('Calendario G'!J84="","",'Calendario G'!J84)</f>
        <v/>
      </c>
      <c r="K1104" s="201" t="s">
        <v>198</v>
      </c>
      <c r="L1104" s="202" t="str">
        <f>IF('Calendario G'!L84="","",'Calendario G'!L84)</f>
        <v/>
      </c>
      <c r="M1104" s="200"/>
      <c r="N1104" s="200"/>
      <c r="O1104" s="200"/>
      <c r="P1104" s="200"/>
      <c r="Q1104" s="200"/>
      <c r="R1104" s="200"/>
    </row>
    <row r="1105" spans="1:18" ht="15" customHeight="1" x14ac:dyDescent="0.25">
      <c r="A1105" s="133"/>
      <c r="B1105" s="136" t="str">
        <f>IF('Calendario G'!B85="","",'Calendario G'!B85)</f>
        <v/>
      </c>
      <c r="C1105" s="124"/>
      <c r="D1105" s="124"/>
      <c r="E1105" s="124"/>
      <c r="F1105" s="124"/>
      <c r="G1105" s="124"/>
      <c r="H1105" s="125"/>
      <c r="I1105" s="45" t="str">
        <f>IF('Calendario G'!I85="","",'Calendario G'!I85)</f>
        <v/>
      </c>
      <c r="J1105" s="133"/>
      <c r="K1105" s="133"/>
      <c r="L1105" s="133"/>
      <c r="M1105" s="133"/>
      <c r="N1105" s="133"/>
      <c r="O1105" s="133"/>
      <c r="P1105" s="133"/>
      <c r="Q1105" s="133"/>
      <c r="R1105" s="133"/>
    </row>
    <row r="1106" spans="1:18" ht="14.1" customHeight="1" x14ac:dyDescent="0.25">
      <c r="A1106" s="60" t="s">
        <v>193</v>
      </c>
      <c r="B1106" s="161" t="s">
        <v>175</v>
      </c>
      <c r="C1106" s="125"/>
      <c r="D1106" s="161" t="s">
        <v>182</v>
      </c>
      <c r="E1106" s="125"/>
      <c r="F1106" s="60" t="s">
        <v>194</v>
      </c>
      <c r="G1106" s="60" t="s">
        <v>195</v>
      </c>
      <c r="H1106" s="161" t="s">
        <v>196</v>
      </c>
      <c r="I1106" s="125"/>
      <c r="J1106" s="161" t="s">
        <v>197</v>
      </c>
      <c r="K1106" s="124"/>
      <c r="L1106" s="125"/>
      <c r="M1106" s="108" t="s">
        <v>494</v>
      </c>
      <c r="N1106" s="108" t="s">
        <v>495</v>
      </c>
      <c r="O1106" s="108" t="s">
        <v>496</v>
      </c>
      <c r="P1106" s="108" t="s">
        <v>497</v>
      </c>
      <c r="Q1106" s="108" t="s">
        <v>498</v>
      </c>
      <c r="R1106" s="108" t="s">
        <v>499</v>
      </c>
    </row>
    <row r="1107" spans="1:18" ht="21.95" customHeight="1" x14ac:dyDescent="0.25">
      <c r="A1107" s="162">
        <f>IF('Calendario G'!A87="","",'Calendario G'!A87)</f>
        <v>294</v>
      </c>
      <c r="B1107" s="44" t="str">
        <f>IF('Calendario G'!B87="","",'Calendario G'!B87)</f>
        <v/>
      </c>
      <c r="C1107" s="45" t="str">
        <f>IF('Calendario G'!C87="","",'Calendario G'!C87)</f>
        <v/>
      </c>
      <c r="D1107" s="44" t="str">
        <f>IF('Calendario G'!D87="","",'Calendario G'!D87)</f>
        <v/>
      </c>
      <c r="E1107" s="45" t="str">
        <f>IF('Calendario G'!E87="","",'Calendario G'!E87)</f>
        <v/>
      </c>
      <c r="F1107" s="138" t="str">
        <f>IF('Calendario G'!F87="","",'Calendario G'!F87)</f>
        <v/>
      </c>
      <c r="G1107" s="124"/>
      <c r="H1107" s="124"/>
      <c r="I1107" s="125"/>
      <c r="J1107" s="202" t="str">
        <f>IF('Calendario G'!J87="","",'Calendario G'!J87)</f>
        <v/>
      </c>
      <c r="K1107" s="201" t="s">
        <v>198</v>
      </c>
      <c r="L1107" s="202" t="str">
        <f>IF('Calendario G'!L87="","",'Calendario G'!L87)</f>
        <v/>
      </c>
      <c r="M1107" s="200"/>
      <c r="N1107" s="200"/>
      <c r="O1107" s="200"/>
      <c r="P1107" s="200"/>
      <c r="Q1107" s="200"/>
      <c r="R1107" s="200"/>
    </row>
    <row r="1108" spans="1:18" ht="15" customHeight="1" x14ac:dyDescent="0.25">
      <c r="A1108" s="133"/>
      <c r="B1108" s="136" t="str">
        <f>IF('Calendario G'!B88="","",'Calendario G'!B88)</f>
        <v/>
      </c>
      <c r="C1108" s="124"/>
      <c r="D1108" s="124"/>
      <c r="E1108" s="124"/>
      <c r="F1108" s="124"/>
      <c r="G1108" s="124"/>
      <c r="H1108" s="125"/>
      <c r="I1108" s="45" t="str">
        <f>IF('Calendario G'!I88="","",'Calendario G'!I88)</f>
        <v/>
      </c>
      <c r="J1108" s="133"/>
      <c r="K1108" s="133"/>
      <c r="L1108" s="133"/>
      <c r="M1108" s="133"/>
      <c r="N1108" s="133"/>
      <c r="O1108" s="133"/>
      <c r="P1108" s="133"/>
      <c r="Q1108" s="133"/>
      <c r="R1108" s="133"/>
    </row>
    <row r="1109" spans="1:18" ht="14.1" customHeight="1" x14ac:dyDescent="0.25">
      <c r="A1109" s="60" t="s">
        <v>193</v>
      </c>
      <c r="B1109" s="161" t="s">
        <v>175</v>
      </c>
      <c r="C1109" s="125"/>
      <c r="D1109" s="161" t="s">
        <v>182</v>
      </c>
      <c r="E1109" s="125"/>
      <c r="F1109" s="60" t="s">
        <v>194</v>
      </c>
      <c r="G1109" s="60" t="s">
        <v>195</v>
      </c>
      <c r="H1109" s="161" t="s">
        <v>196</v>
      </c>
      <c r="I1109" s="125"/>
      <c r="J1109" s="161" t="s">
        <v>197</v>
      </c>
      <c r="K1109" s="124"/>
      <c r="L1109" s="125"/>
      <c r="M1109" s="108" t="s">
        <v>494</v>
      </c>
      <c r="N1109" s="108" t="s">
        <v>495</v>
      </c>
      <c r="O1109" s="108" t="s">
        <v>496</v>
      </c>
      <c r="P1109" s="108" t="s">
        <v>497</v>
      </c>
      <c r="Q1109" s="108" t="s">
        <v>498</v>
      </c>
      <c r="R1109" s="108" t="s">
        <v>499</v>
      </c>
    </row>
    <row r="1110" spans="1:18" ht="21.95" customHeight="1" x14ac:dyDescent="0.25">
      <c r="A1110" s="162">
        <f>IF('Calendario G'!A90="","",'Calendario G'!A90)</f>
        <v>295</v>
      </c>
      <c r="B1110" s="44" t="str">
        <f>IF('Calendario G'!B90="","",'Calendario G'!B90)</f>
        <v/>
      </c>
      <c r="C1110" s="45" t="str">
        <f>IF('Calendario G'!C90="","",'Calendario G'!C90)</f>
        <v/>
      </c>
      <c r="D1110" s="44" t="str">
        <f>IF('Calendario G'!D90="","",'Calendario G'!D90)</f>
        <v/>
      </c>
      <c r="E1110" s="45" t="str">
        <f>IF('Calendario G'!E90="","",'Calendario G'!E90)</f>
        <v/>
      </c>
      <c r="F1110" s="138" t="str">
        <f>IF('Calendario G'!F90="","",'Calendario G'!F90)</f>
        <v/>
      </c>
      <c r="G1110" s="124"/>
      <c r="H1110" s="124"/>
      <c r="I1110" s="125"/>
      <c r="J1110" s="202" t="str">
        <f>IF('Calendario G'!J90="","",'Calendario G'!J90)</f>
        <v/>
      </c>
      <c r="K1110" s="201" t="s">
        <v>198</v>
      </c>
      <c r="L1110" s="202" t="str">
        <f>IF('Calendario G'!L90="","",'Calendario G'!L90)</f>
        <v/>
      </c>
      <c r="M1110" s="200"/>
      <c r="N1110" s="200"/>
      <c r="O1110" s="200"/>
      <c r="P1110" s="200"/>
      <c r="Q1110" s="200"/>
      <c r="R1110" s="200"/>
    </row>
    <row r="1111" spans="1:18" ht="15" customHeight="1" x14ac:dyDescent="0.25">
      <c r="A1111" s="133"/>
      <c r="B1111" s="136" t="str">
        <f>IF('Calendario G'!B91="","",'Calendario G'!B91)</f>
        <v/>
      </c>
      <c r="C1111" s="124"/>
      <c r="D1111" s="124"/>
      <c r="E1111" s="124"/>
      <c r="F1111" s="124"/>
      <c r="G1111" s="124"/>
      <c r="H1111" s="125"/>
      <c r="I1111" s="45" t="str">
        <f>IF('Calendario G'!I91="","",'Calendario G'!I91)</f>
        <v/>
      </c>
      <c r="J1111" s="133"/>
      <c r="K1111" s="133"/>
      <c r="L1111" s="133"/>
      <c r="M1111" s="133"/>
      <c r="N1111" s="133"/>
      <c r="O1111" s="133"/>
      <c r="P1111" s="133"/>
      <c r="Q1111" s="133"/>
      <c r="R1111" s="133"/>
    </row>
    <row r="1113" spans="1:18" ht="20.100000000000001" customHeight="1" x14ac:dyDescent="0.25">
      <c r="A1113" s="59" t="str">
        <f>IF('Calendario G'!A93="","",'Calendario G'!A93)</f>
        <v>6G</v>
      </c>
      <c r="B1113" s="163" t="str">
        <f>IF('Calendario G'!B93="","",'Calendario G'!B93)</f>
        <v>GIORNATA VI - GIRONE G</v>
      </c>
      <c r="C1113" s="124"/>
      <c r="D1113" s="124"/>
      <c r="E1113" s="124"/>
      <c r="F1113" s="124"/>
      <c r="G1113" s="124"/>
      <c r="H1113" s="124"/>
      <c r="I1113" s="124"/>
      <c r="J1113" s="124"/>
      <c r="K1113" s="124"/>
      <c r="L1113" s="125"/>
      <c r="M1113" s="209" t="s">
        <v>492</v>
      </c>
      <c r="N1113" s="124"/>
      <c r="O1113" s="125"/>
      <c r="P1113" s="209" t="s">
        <v>493</v>
      </c>
      <c r="Q1113" s="124"/>
      <c r="R1113" s="125"/>
    </row>
    <row r="1114" spans="1:18" ht="14.1" customHeight="1" x14ac:dyDescent="0.25">
      <c r="A1114" s="60" t="s">
        <v>193</v>
      </c>
      <c r="B1114" s="161" t="s">
        <v>175</v>
      </c>
      <c r="C1114" s="125"/>
      <c r="D1114" s="161" t="s">
        <v>182</v>
      </c>
      <c r="E1114" s="125"/>
      <c r="F1114" s="60" t="s">
        <v>194</v>
      </c>
      <c r="G1114" s="60" t="s">
        <v>195</v>
      </c>
      <c r="H1114" s="161" t="s">
        <v>196</v>
      </c>
      <c r="I1114" s="125"/>
      <c r="J1114" s="161" t="s">
        <v>197</v>
      </c>
      <c r="K1114" s="124"/>
      <c r="L1114" s="125"/>
      <c r="M1114" s="108" t="s">
        <v>494</v>
      </c>
      <c r="N1114" s="108" t="s">
        <v>495</v>
      </c>
      <c r="O1114" s="108" t="s">
        <v>496</v>
      </c>
      <c r="P1114" s="108" t="s">
        <v>497</v>
      </c>
      <c r="Q1114" s="108" t="s">
        <v>498</v>
      </c>
      <c r="R1114" s="108" t="s">
        <v>499</v>
      </c>
    </row>
    <row r="1115" spans="1:18" ht="21.95" customHeight="1" x14ac:dyDescent="0.25">
      <c r="A1115" s="162">
        <f>IF('Calendario G'!A95="","",'Calendario G'!A95)</f>
        <v>296</v>
      </c>
      <c r="B1115" s="44" t="str">
        <f>IF('Calendario G'!B95="","",'Calendario G'!B95)</f>
        <v/>
      </c>
      <c r="C1115" s="45" t="str">
        <f>IF('Calendario G'!C95="","",'Calendario G'!C95)</f>
        <v/>
      </c>
      <c r="D1115" s="44" t="str">
        <f>IF('Calendario G'!D95="","",'Calendario G'!D95)</f>
        <v/>
      </c>
      <c r="E1115" s="45" t="str">
        <f>IF('Calendario G'!E95="","",'Calendario G'!E95)</f>
        <v/>
      </c>
      <c r="F1115" s="138" t="str">
        <f>IF('Calendario G'!F95="","",'Calendario G'!F95)</f>
        <v/>
      </c>
      <c r="G1115" s="124"/>
      <c r="H1115" s="124"/>
      <c r="I1115" s="125"/>
      <c r="J1115" s="202" t="str">
        <f>IF('Calendario G'!J95="","",'Calendario G'!J95)</f>
        <v/>
      </c>
      <c r="K1115" s="201" t="s">
        <v>198</v>
      </c>
      <c r="L1115" s="202" t="str">
        <f>IF('Calendario G'!L95="","",'Calendario G'!L95)</f>
        <v/>
      </c>
      <c r="M1115" s="200"/>
      <c r="N1115" s="200"/>
      <c r="O1115" s="200"/>
      <c r="P1115" s="200"/>
      <c r="Q1115" s="200"/>
      <c r="R1115" s="200"/>
    </row>
    <row r="1116" spans="1:18" ht="15" customHeight="1" x14ac:dyDescent="0.25">
      <c r="A1116" s="133"/>
      <c r="B1116" s="136" t="str">
        <f>IF('Calendario G'!B96="","",'Calendario G'!B96)</f>
        <v/>
      </c>
      <c r="C1116" s="124"/>
      <c r="D1116" s="124"/>
      <c r="E1116" s="124"/>
      <c r="F1116" s="124"/>
      <c r="G1116" s="124"/>
      <c r="H1116" s="125"/>
      <c r="I1116" s="45" t="str">
        <f>IF('Calendario G'!I96="","",'Calendario G'!I96)</f>
        <v/>
      </c>
      <c r="J1116" s="133"/>
      <c r="K1116" s="133"/>
      <c r="L1116" s="133"/>
      <c r="M1116" s="133"/>
      <c r="N1116" s="133"/>
      <c r="O1116" s="133"/>
      <c r="P1116" s="133"/>
      <c r="Q1116" s="133"/>
      <c r="R1116" s="133"/>
    </row>
    <row r="1117" spans="1:18" ht="14.1" customHeight="1" x14ac:dyDescent="0.25">
      <c r="A1117" s="60" t="s">
        <v>193</v>
      </c>
      <c r="B1117" s="161" t="s">
        <v>175</v>
      </c>
      <c r="C1117" s="125"/>
      <c r="D1117" s="161" t="s">
        <v>182</v>
      </c>
      <c r="E1117" s="125"/>
      <c r="F1117" s="60" t="s">
        <v>194</v>
      </c>
      <c r="G1117" s="60" t="s">
        <v>195</v>
      </c>
      <c r="H1117" s="161" t="s">
        <v>196</v>
      </c>
      <c r="I1117" s="125"/>
      <c r="J1117" s="161" t="s">
        <v>197</v>
      </c>
      <c r="K1117" s="124"/>
      <c r="L1117" s="125"/>
      <c r="M1117" s="108" t="s">
        <v>494</v>
      </c>
      <c r="N1117" s="108" t="s">
        <v>495</v>
      </c>
      <c r="O1117" s="108" t="s">
        <v>496</v>
      </c>
      <c r="P1117" s="108" t="s">
        <v>497</v>
      </c>
      <c r="Q1117" s="108" t="s">
        <v>498</v>
      </c>
      <c r="R1117" s="108" t="s">
        <v>499</v>
      </c>
    </row>
    <row r="1118" spans="1:18" ht="21.95" customHeight="1" x14ac:dyDescent="0.25">
      <c r="A1118" s="162">
        <f>IF('Calendario G'!A98="","",'Calendario G'!A98)</f>
        <v>297</v>
      </c>
      <c r="B1118" s="44" t="str">
        <f>IF('Calendario G'!B98="","",'Calendario G'!B98)</f>
        <v/>
      </c>
      <c r="C1118" s="45" t="str">
        <f>IF('Calendario G'!C98="","",'Calendario G'!C98)</f>
        <v/>
      </c>
      <c r="D1118" s="44" t="str">
        <f>IF('Calendario G'!D98="","",'Calendario G'!D98)</f>
        <v/>
      </c>
      <c r="E1118" s="45" t="str">
        <f>IF('Calendario G'!E98="","",'Calendario G'!E98)</f>
        <v/>
      </c>
      <c r="F1118" s="138" t="str">
        <f>IF('Calendario G'!F98="","",'Calendario G'!F98)</f>
        <v/>
      </c>
      <c r="G1118" s="124"/>
      <c r="H1118" s="124"/>
      <c r="I1118" s="125"/>
      <c r="J1118" s="202" t="str">
        <f>IF('Calendario G'!J98="","",'Calendario G'!J98)</f>
        <v/>
      </c>
      <c r="K1118" s="201" t="s">
        <v>198</v>
      </c>
      <c r="L1118" s="202" t="str">
        <f>IF('Calendario G'!L98="","",'Calendario G'!L98)</f>
        <v/>
      </c>
      <c r="M1118" s="200"/>
      <c r="N1118" s="200"/>
      <c r="O1118" s="200"/>
      <c r="P1118" s="200"/>
      <c r="Q1118" s="200"/>
      <c r="R1118" s="200"/>
    </row>
    <row r="1119" spans="1:18" ht="15" customHeight="1" x14ac:dyDescent="0.25">
      <c r="A1119" s="133"/>
      <c r="B1119" s="136" t="str">
        <f>IF('Calendario G'!B99="","",'Calendario G'!B99)</f>
        <v/>
      </c>
      <c r="C1119" s="124"/>
      <c r="D1119" s="124"/>
      <c r="E1119" s="124"/>
      <c r="F1119" s="124"/>
      <c r="G1119" s="124"/>
      <c r="H1119" s="125"/>
      <c r="I1119" s="45" t="str">
        <f>IF('Calendario G'!I99="","",'Calendario G'!I99)</f>
        <v/>
      </c>
      <c r="J1119" s="133"/>
      <c r="K1119" s="133"/>
      <c r="L1119" s="133"/>
      <c r="M1119" s="133"/>
      <c r="N1119" s="133"/>
      <c r="O1119" s="133"/>
      <c r="P1119" s="133"/>
      <c r="Q1119" s="133"/>
      <c r="R1119" s="133"/>
    </row>
    <row r="1120" spans="1:18" ht="14.1" customHeight="1" x14ac:dyDescent="0.25">
      <c r="A1120" s="60" t="s">
        <v>193</v>
      </c>
      <c r="B1120" s="161" t="s">
        <v>175</v>
      </c>
      <c r="C1120" s="125"/>
      <c r="D1120" s="161" t="s">
        <v>182</v>
      </c>
      <c r="E1120" s="125"/>
      <c r="F1120" s="60" t="s">
        <v>194</v>
      </c>
      <c r="G1120" s="60" t="s">
        <v>195</v>
      </c>
      <c r="H1120" s="161" t="s">
        <v>196</v>
      </c>
      <c r="I1120" s="125"/>
      <c r="J1120" s="161" t="s">
        <v>197</v>
      </c>
      <c r="K1120" s="124"/>
      <c r="L1120" s="125"/>
      <c r="M1120" s="108" t="s">
        <v>494</v>
      </c>
      <c r="N1120" s="108" t="s">
        <v>495</v>
      </c>
      <c r="O1120" s="108" t="s">
        <v>496</v>
      </c>
      <c r="P1120" s="108" t="s">
        <v>497</v>
      </c>
      <c r="Q1120" s="108" t="s">
        <v>498</v>
      </c>
      <c r="R1120" s="108" t="s">
        <v>499</v>
      </c>
    </row>
    <row r="1121" spans="1:18" ht="21.95" customHeight="1" x14ac:dyDescent="0.25">
      <c r="A1121" s="162">
        <f>IF('Calendario G'!A101="","",'Calendario G'!A101)</f>
        <v>298</v>
      </c>
      <c r="B1121" s="44" t="str">
        <f>IF('Calendario G'!B101="","",'Calendario G'!B101)</f>
        <v/>
      </c>
      <c r="C1121" s="45" t="str">
        <f>IF('Calendario G'!C101="","",'Calendario G'!C101)</f>
        <v/>
      </c>
      <c r="D1121" s="44" t="str">
        <f>IF('Calendario G'!D101="","",'Calendario G'!D101)</f>
        <v/>
      </c>
      <c r="E1121" s="45" t="str">
        <f>IF('Calendario G'!E101="","",'Calendario G'!E101)</f>
        <v/>
      </c>
      <c r="F1121" s="138" t="str">
        <f>IF('Calendario G'!F101="","",'Calendario G'!F101)</f>
        <v/>
      </c>
      <c r="G1121" s="124"/>
      <c r="H1121" s="124"/>
      <c r="I1121" s="125"/>
      <c r="J1121" s="202" t="str">
        <f>IF('Calendario G'!J101="","",'Calendario G'!J101)</f>
        <v/>
      </c>
      <c r="K1121" s="201" t="s">
        <v>198</v>
      </c>
      <c r="L1121" s="202" t="str">
        <f>IF('Calendario G'!L101="","",'Calendario G'!L101)</f>
        <v/>
      </c>
      <c r="M1121" s="200"/>
      <c r="N1121" s="200"/>
      <c r="O1121" s="200"/>
      <c r="P1121" s="200"/>
      <c r="Q1121" s="200"/>
      <c r="R1121" s="200"/>
    </row>
    <row r="1122" spans="1:18" ht="15" customHeight="1" x14ac:dyDescent="0.25">
      <c r="A1122" s="133"/>
      <c r="B1122" s="136" t="str">
        <f>IF('Calendario G'!B102="","",'Calendario G'!B102)</f>
        <v/>
      </c>
      <c r="C1122" s="124"/>
      <c r="D1122" s="124"/>
      <c r="E1122" s="124"/>
      <c r="F1122" s="124"/>
      <c r="G1122" s="124"/>
      <c r="H1122" s="125"/>
      <c r="I1122" s="45" t="str">
        <f>IF('Calendario G'!I102="","",'Calendario G'!I102)</f>
        <v/>
      </c>
      <c r="J1122" s="133"/>
      <c r="K1122" s="133"/>
      <c r="L1122" s="133"/>
      <c r="M1122" s="133"/>
      <c r="N1122" s="133"/>
      <c r="O1122" s="133"/>
      <c r="P1122" s="133"/>
      <c r="Q1122" s="133"/>
      <c r="R1122" s="133"/>
    </row>
    <row r="1123" spans="1:18" ht="14.1" customHeight="1" x14ac:dyDescent="0.25">
      <c r="A1123" s="60" t="s">
        <v>193</v>
      </c>
      <c r="B1123" s="161" t="s">
        <v>175</v>
      </c>
      <c r="C1123" s="125"/>
      <c r="D1123" s="161" t="s">
        <v>182</v>
      </c>
      <c r="E1123" s="125"/>
      <c r="F1123" s="60" t="s">
        <v>194</v>
      </c>
      <c r="G1123" s="60" t="s">
        <v>195</v>
      </c>
      <c r="H1123" s="161" t="s">
        <v>196</v>
      </c>
      <c r="I1123" s="125"/>
      <c r="J1123" s="161" t="s">
        <v>197</v>
      </c>
      <c r="K1123" s="124"/>
      <c r="L1123" s="125"/>
      <c r="M1123" s="108" t="s">
        <v>494</v>
      </c>
      <c r="N1123" s="108" t="s">
        <v>495</v>
      </c>
      <c r="O1123" s="108" t="s">
        <v>496</v>
      </c>
      <c r="P1123" s="108" t="s">
        <v>497</v>
      </c>
      <c r="Q1123" s="108" t="s">
        <v>498</v>
      </c>
      <c r="R1123" s="108" t="s">
        <v>499</v>
      </c>
    </row>
    <row r="1124" spans="1:18" ht="21.95" customHeight="1" x14ac:dyDescent="0.25">
      <c r="A1124" s="162">
        <f>IF('Calendario G'!A104="","",'Calendario G'!A104)</f>
        <v>299</v>
      </c>
      <c r="B1124" s="44" t="str">
        <f>IF('Calendario G'!B104="","",'Calendario G'!B104)</f>
        <v/>
      </c>
      <c r="C1124" s="45" t="str">
        <f>IF('Calendario G'!C104="","",'Calendario G'!C104)</f>
        <v/>
      </c>
      <c r="D1124" s="44" t="str">
        <f>IF('Calendario G'!D104="","",'Calendario G'!D104)</f>
        <v/>
      </c>
      <c r="E1124" s="45" t="str">
        <f>IF('Calendario G'!E104="","",'Calendario G'!E104)</f>
        <v/>
      </c>
      <c r="F1124" s="138" t="str">
        <f>IF('Calendario G'!F104="","",'Calendario G'!F104)</f>
        <v/>
      </c>
      <c r="G1124" s="124"/>
      <c r="H1124" s="124"/>
      <c r="I1124" s="125"/>
      <c r="J1124" s="202" t="str">
        <f>IF('Calendario G'!J104="","",'Calendario G'!J104)</f>
        <v/>
      </c>
      <c r="K1124" s="201" t="s">
        <v>198</v>
      </c>
      <c r="L1124" s="202" t="str">
        <f>IF('Calendario G'!L104="","",'Calendario G'!L104)</f>
        <v/>
      </c>
      <c r="M1124" s="200"/>
      <c r="N1124" s="200"/>
      <c r="O1124" s="200"/>
      <c r="P1124" s="200"/>
      <c r="Q1124" s="200"/>
      <c r="R1124" s="200"/>
    </row>
    <row r="1125" spans="1:18" ht="15" customHeight="1" x14ac:dyDescent="0.25">
      <c r="A1125" s="133"/>
      <c r="B1125" s="136" t="str">
        <f>IF('Calendario G'!B105="","",'Calendario G'!B105)</f>
        <v/>
      </c>
      <c r="C1125" s="124"/>
      <c r="D1125" s="124"/>
      <c r="E1125" s="124"/>
      <c r="F1125" s="124"/>
      <c r="G1125" s="124"/>
      <c r="H1125" s="125"/>
      <c r="I1125" s="45" t="str">
        <f>IF('Calendario G'!I105="","",'Calendario G'!I105)</f>
        <v/>
      </c>
      <c r="J1125" s="133"/>
      <c r="K1125" s="133"/>
      <c r="L1125" s="133"/>
      <c r="M1125" s="133"/>
      <c r="N1125" s="133"/>
      <c r="O1125" s="133"/>
      <c r="P1125" s="133"/>
      <c r="Q1125" s="133"/>
      <c r="R1125" s="133"/>
    </row>
    <row r="1126" spans="1:18" ht="14.1" customHeight="1" x14ac:dyDescent="0.25">
      <c r="A1126" s="60" t="s">
        <v>193</v>
      </c>
      <c r="B1126" s="161" t="s">
        <v>175</v>
      </c>
      <c r="C1126" s="125"/>
      <c r="D1126" s="161" t="s">
        <v>182</v>
      </c>
      <c r="E1126" s="125"/>
      <c r="F1126" s="60" t="s">
        <v>194</v>
      </c>
      <c r="G1126" s="60" t="s">
        <v>195</v>
      </c>
      <c r="H1126" s="161" t="s">
        <v>196</v>
      </c>
      <c r="I1126" s="125"/>
      <c r="J1126" s="161" t="s">
        <v>197</v>
      </c>
      <c r="K1126" s="124"/>
      <c r="L1126" s="125"/>
      <c r="M1126" s="108" t="s">
        <v>494</v>
      </c>
      <c r="N1126" s="108" t="s">
        <v>495</v>
      </c>
      <c r="O1126" s="108" t="s">
        <v>496</v>
      </c>
      <c r="P1126" s="108" t="s">
        <v>497</v>
      </c>
      <c r="Q1126" s="108" t="s">
        <v>498</v>
      </c>
      <c r="R1126" s="108" t="s">
        <v>499</v>
      </c>
    </row>
    <row r="1127" spans="1:18" ht="21.95" customHeight="1" x14ac:dyDescent="0.25">
      <c r="A1127" s="162">
        <f>IF('Calendario G'!A107="","",'Calendario G'!A107)</f>
        <v>300</v>
      </c>
      <c r="B1127" s="44" t="str">
        <f>IF('Calendario G'!B107="","",'Calendario G'!B107)</f>
        <v/>
      </c>
      <c r="C1127" s="45" t="str">
        <f>IF('Calendario G'!C107="","",'Calendario G'!C107)</f>
        <v/>
      </c>
      <c r="D1127" s="44" t="str">
        <f>IF('Calendario G'!D107="","",'Calendario G'!D107)</f>
        <v/>
      </c>
      <c r="E1127" s="45" t="str">
        <f>IF('Calendario G'!E107="","",'Calendario G'!E107)</f>
        <v/>
      </c>
      <c r="F1127" s="138" t="str">
        <f>IF('Calendario G'!F107="","",'Calendario G'!F107)</f>
        <v/>
      </c>
      <c r="G1127" s="124"/>
      <c r="H1127" s="124"/>
      <c r="I1127" s="125"/>
      <c r="J1127" s="202" t="str">
        <f>IF('Calendario G'!J107="","",'Calendario G'!J107)</f>
        <v/>
      </c>
      <c r="K1127" s="201" t="s">
        <v>198</v>
      </c>
      <c r="L1127" s="202" t="str">
        <f>IF('Calendario G'!L107="","",'Calendario G'!L107)</f>
        <v/>
      </c>
      <c r="M1127" s="200"/>
      <c r="N1127" s="200"/>
      <c r="O1127" s="200"/>
      <c r="P1127" s="200"/>
      <c r="Q1127" s="200"/>
      <c r="R1127" s="200"/>
    </row>
    <row r="1128" spans="1:18" ht="15" customHeight="1" x14ac:dyDescent="0.25">
      <c r="A1128" s="133"/>
      <c r="B1128" s="136" t="str">
        <f>IF('Calendario G'!B108="","",'Calendario G'!B108)</f>
        <v/>
      </c>
      <c r="C1128" s="124"/>
      <c r="D1128" s="124"/>
      <c r="E1128" s="124"/>
      <c r="F1128" s="124"/>
      <c r="G1128" s="124"/>
      <c r="H1128" s="125"/>
      <c r="I1128" s="45" t="str">
        <f>IF('Calendario G'!I108="","",'Calendario G'!I108)</f>
        <v/>
      </c>
      <c r="J1128" s="133"/>
      <c r="K1128" s="133"/>
      <c r="L1128" s="133"/>
      <c r="M1128" s="133"/>
      <c r="N1128" s="133"/>
      <c r="O1128" s="133"/>
      <c r="P1128" s="133"/>
      <c r="Q1128" s="133"/>
      <c r="R1128" s="133"/>
    </row>
    <row r="1130" spans="1:18" ht="20.100000000000001" customHeight="1" x14ac:dyDescent="0.25">
      <c r="A1130" s="59" t="str">
        <f>IF('Calendario G'!A110="","",'Calendario G'!A110)</f>
        <v>7G</v>
      </c>
      <c r="B1130" s="163" t="str">
        <f>IF('Calendario G'!B110="","",'Calendario G'!B110)</f>
        <v>GIORNATA VII - GIRONE G</v>
      </c>
      <c r="C1130" s="124"/>
      <c r="D1130" s="124"/>
      <c r="E1130" s="124"/>
      <c r="F1130" s="124"/>
      <c r="G1130" s="124"/>
      <c r="H1130" s="124"/>
      <c r="I1130" s="124"/>
      <c r="J1130" s="124"/>
      <c r="K1130" s="124"/>
      <c r="L1130" s="125"/>
      <c r="M1130" s="209" t="s">
        <v>492</v>
      </c>
      <c r="N1130" s="124"/>
      <c r="O1130" s="125"/>
      <c r="P1130" s="209" t="s">
        <v>493</v>
      </c>
      <c r="Q1130" s="124"/>
      <c r="R1130" s="125"/>
    </row>
    <row r="1131" spans="1:18" ht="14.1" customHeight="1" x14ac:dyDescent="0.25">
      <c r="A1131" s="60" t="s">
        <v>193</v>
      </c>
      <c r="B1131" s="161" t="s">
        <v>175</v>
      </c>
      <c r="C1131" s="125"/>
      <c r="D1131" s="161" t="s">
        <v>182</v>
      </c>
      <c r="E1131" s="125"/>
      <c r="F1131" s="60" t="s">
        <v>194</v>
      </c>
      <c r="G1131" s="60" t="s">
        <v>195</v>
      </c>
      <c r="H1131" s="161" t="s">
        <v>196</v>
      </c>
      <c r="I1131" s="125"/>
      <c r="J1131" s="161" t="s">
        <v>197</v>
      </c>
      <c r="K1131" s="124"/>
      <c r="L1131" s="125"/>
      <c r="M1131" s="108" t="s">
        <v>494</v>
      </c>
      <c r="N1131" s="108" t="s">
        <v>495</v>
      </c>
      <c r="O1131" s="108" t="s">
        <v>496</v>
      </c>
      <c r="P1131" s="108" t="s">
        <v>497</v>
      </c>
      <c r="Q1131" s="108" t="s">
        <v>498</v>
      </c>
      <c r="R1131" s="108" t="s">
        <v>499</v>
      </c>
    </row>
    <row r="1132" spans="1:18" ht="21.95" customHeight="1" x14ac:dyDescent="0.25">
      <c r="A1132" s="162">
        <f>IF('Calendario G'!A112="","",'Calendario G'!A112)</f>
        <v>301</v>
      </c>
      <c r="B1132" s="44" t="str">
        <f>IF('Calendario G'!B112="","",'Calendario G'!B112)</f>
        <v/>
      </c>
      <c r="C1132" s="45" t="str">
        <f>IF('Calendario G'!C112="","",'Calendario G'!C112)</f>
        <v/>
      </c>
      <c r="D1132" s="44" t="str">
        <f>IF('Calendario G'!D112="","",'Calendario G'!D112)</f>
        <v/>
      </c>
      <c r="E1132" s="45" t="str">
        <f>IF('Calendario G'!E112="","",'Calendario G'!E112)</f>
        <v/>
      </c>
      <c r="F1132" s="138" t="str">
        <f>IF('Calendario G'!F112="","",'Calendario G'!F112)</f>
        <v/>
      </c>
      <c r="G1132" s="124"/>
      <c r="H1132" s="124"/>
      <c r="I1132" s="125"/>
      <c r="J1132" s="202" t="str">
        <f>IF('Calendario G'!J112="","",'Calendario G'!J112)</f>
        <v/>
      </c>
      <c r="K1132" s="201" t="s">
        <v>198</v>
      </c>
      <c r="L1132" s="202" t="str">
        <f>IF('Calendario G'!L112="","",'Calendario G'!L112)</f>
        <v/>
      </c>
      <c r="M1132" s="200"/>
      <c r="N1132" s="200"/>
      <c r="O1132" s="200"/>
      <c r="P1132" s="200"/>
      <c r="Q1132" s="200"/>
      <c r="R1132" s="200"/>
    </row>
    <row r="1133" spans="1:18" ht="15" customHeight="1" x14ac:dyDescent="0.25">
      <c r="A1133" s="133"/>
      <c r="B1133" s="136" t="str">
        <f>IF('Calendario G'!B113="","",'Calendario G'!B113)</f>
        <v/>
      </c>
      <c r="C1133" s="124"/>
      <c r="D1133" s="124"/>
      <c r="E1133" s="124"/>
      <c r="F1133" s="124"/>
      <c r="G1133" s="124"/>
      <c r="H1133" s="125"/>
      <c r="I1133" s="45" t="str">
        <f>IF('Calendario G'!I113="","",'Calendario G'!I113)</f>
        <v/>
      </c>
      <c r="J1133" s="133"/>
      <c r="K1133" s="133"/>
      <c r="L1133" s="133"/>
      <c r="M1133" s="133"/>
      <c r="N1133" s="133"/>
      <c r="O1133" s="133"/>
      <c r="P1133" s="133"/>
      <c r="Q1133" s="133"/>
      <c r="R1133" s="133"/>
    </row>
    <row r="1134" spans="1:18" ht="14.1" customHeight="1" x14ac:dyDescent="0.25">
      <c r="A1134" s="60" t="s">
        <v>193</v>
      </c>
      <c r="B1134" s="161" t="s">
        <v>175</v>
      </c>
      <c r="C1134" s="125"/>
      <c r="D1134" s="161" t="s">
        <v>182</v>
      </c>
      <c r="E1134" s="125"/>
      <c r="F1134" s="60" t="s">
        <v>194</v>
      </c>
      <c r="G1134" s="60" t="s">
        <v>195</v>
      </c>
      <c r="H1134" s="161" t="s">
        <v>196</v>
      </c>
      <c r="I1134" s="125"/>
      <c r="J1134" s="161" t="s">
        <v>197</v>
      </c>
      <c r="K1134" s="124"/>
      <c r="L1134" s="125"/>
      <c r="M1134" s="108" t="s">
        <v>494</v>
      </c>
      <c r="N1134" s="108" t="s">
        <v>495</v>
      </c>
      <c r="O1134" s="108" t="s">
        <v>496</v>
      </c>
      <c r="P1134" s="108" t="s">
        <v>497</v>
      </c>
      <c r="Q1134" s="108" t="s">
        <v>498</v>
      </c>
      <c r="R1134" s="108" t="s">
        <v>499</v>
      </c>
    </row>
    <row r="1135" spans="1:18" ht="21.95" customHeight="1" x14ac:dyDescent="0.25">
      <c r="A1135" s="162">
        <f>IF('Calendario G'!A115="","",'Calendario G'!A115)</f>
        <v>302</v>
      </c>
      <c r="B1135" s="44" t="str">
        <f>IF('Calendario G'!B115="","",'Calendario G'!B115)</f>
        <v/>
      </c>
      <c r="C1135" s="45" t="str">
        <f>IF('Calendario G'!C115="","",'Calendario G'!C115)</f>
        <v/>
      </c>
      <c r="D1135" s="44" t="str">
        <f>IF('Calendario G'!D115="","",'Calendario G'!D115)</f>
        <v/>
      </c>
      <c r="E1135" s="45" t="str">
        <f>IF('Calendario G'!E115="","",'Calendario G'!E115)</f>
        <v/>
      </c>
      <c r="F1135" s="138" t="str">
        <f>IF('Calendario G'!F115="","",'Calendario G'!F115)</f>
        <v/>
      </c>
      <c r="G1135" s="124"/>
      <c r="H1135" s="124"/>
      <c r="I1135" s="125"/>
      <c r="J1135" s="202" t="str">
        <f>IF('Calendario G'!J115="","",'Calendario G'!J115)</f>
        <v/>
      </c>
      <c r="K1135" s="201" t="s">
        <v>198</v>
      </c>
      <c r="L1135" s="202" t="str">
        <f>IF('Calendario G'!L115="","",'Calendario G'!L115)</f>
        <v/>
      </c>
      <c r="M1135" s="200"/>
      <c r="N1135" s="200"/>
      <c r="O1135" s="200"/>
      <c r="P1135" s="200"/>
      <c r="Q1135" s="200"/>
      <c r="R1135" s="200"/>
    </row>
    <row r="1136" spans="1:18" ht="15" customHeight="1" x14ac:dyDescent="0.25">
      <c r="A1136" s="133"/>
      <c r="B1136" s="136" t="str">
        <f>IF('Calendario G'!B116="","",'Calendario G'!B116)</f>
        <v/>
      </c>
      <c r="C1136" s="124"/>
      <c r="D1136" s="124"/>
      <c r="E1136" s="124"/>
      <c r="F1136" s="124"/>
      <c r="G1136" s="124"/>
      <c r="H1136" s="125"/>
      <c r="I1136" s="45" t="str">
        <f>IF('Calendario G'!I116="","",'Calendario G'!I116)</f>
        <v/>
      </c>
      <c r="J1136" s="133"/>
      <c r="K1136" s="133"/>
      <c r="L1136" s="133"/>
      <c r="M1136" s="133"/>
      <c r="N1136" s="133"/>
      <c r="O1136" s="133"/>
      <c r="P1136" s="133"/>
      <c r="Q1136" s="133"/>
      <c r="R1136" s="133"/>
    </row>
    <row r="1137" spans="1:18" ht="14.1" customHeight="1" x14ac:dyDescent="0.25">
      <c r="A1137" s="60" t="s">
        <v>193</v>
      </c>
      <c r="B1137" s="161" t="s">
        <v>175</v>
      </c>
      <c r="C1137" s="125"/>
      <c r="D1137" s="161" t="s">
        <v>182</v>
      </c>
      <c r="E1137" s="125"/>
      <c r="F1137" s="60" t="s">
        <v>194</v>
      </c>
      <c r="G1137" s="60" t="s">
        <v>195</v>
      </c>
      <c r="H1137" s="161" t="s">
        <v>196</v>
      </c>
      <c r="I1137" s="125"/>
      <c r="J1137" s="161" t="s">
        <v>197</v>
      </c>
      <c r="K1137" s="124"/>
      <c r="L1137" s="125"/>
      <c r="M1137" s="108" t="s">
        <v>494</v>
      </c>
      <c r="N1137" s="108" t="s">
        <v>495</v>
      </c>
      <c r="O1137" s="108" t="s">
        <v>496</v>
      </c>
      <c r="P1137" s="108" t="s">
        <v>497</v>
      </c>
      <c r="Q1137" s="108" t="s">
        <v>498</v>
      </c>
      <c r="R1137" s="108" t="s">
        <v>499</v>
      </c>
    </row>
    <row r="1138" spans="1:18" ht="21.95" customHeight="1" x14ac:dyDescent="0.25">
      <c r="A1138" s="162">
        <f>IF('Calendario G'!A118="","",'Calendario G'!A118)</f>
        <v>303</v>
      </c>
      <c r="B1138" s="44" t="str">
        <f>IF('Calendario G'!B118="","",'Calendario G'!B118)</f>
        <v/>
      </c>
      <c r="C1138" s="45" t="str">
        <f>IF('Calendario G'!C118="","",'Calendario G'!C118)</f>
        <v/>
      </c>
      <c r="D1138" s="44" t="str">
        <f>IF('Calendario G'!D118="","",'Calendario G'!D118)</f>
        <v/>
      </c>
      <c r="E1138" s="45" t="str">
        <f>IF('Calendario G'!E118="","",'Calendario G'!E118)</f>
        <v/>
      </c>
      <c r="F1138" s="138" t="str">
        <f>IF('Calendario G'!F118="","",'Calendario G'!F118)</f>
        <v/>
      </c>
      <c r="G1138" s="124"/>
      <c r="H1138" s="124"/>
      <c r="I1138" s="125"/>
      <c r="J1138" s="202" t="str">
        <f>IF('Calendario G'!J118="","",'Calendario G'!J118)</f>
        <v/>
      </c>
      <c r="K1138" s="201" t="s">
        <v>198</v>
      </c>
      <c r="L1138" s="202" t="str">
        <f>IF('Calendario G'!L118="","",'Calendario G'!L118)</f>
        <v/>
      </c>
      <c r="M1138" s="200"/>
      <c r="N1138" s="200"/>
      <c r="O1138" s="200"/>
      <c r="P1138" s="200"/>
      <c r="Q1138" s="200"/>
      <c r="R1138" s="200"/>
    </row>
    <row r="1139" spans="1:18" ht="15" customHeight="1" x14ac:dyDescent="0.25">
      <c r="A1139" s="133"/>
      <c r="B1139" s="136" t="str">
        <f>IF('Calendario G'!B119="","",'Calendario G'!B119)</f>
        <v/>
      </c>
      <c r="C1139" s="124"/>
      <c r="D1139" s="124"/>
      <c r="E1139" s="124"/>
      <c r="F1139" s="124"/>
      <c r="G1139" s="124"/>
      <c r="H1139" s="125"/>
      <c r="I1139" s="45" t="str">
        <f>IF('Calendario G'!I119="","",'Calendario G'!I119)</f>
        <v/>
      </c>
      <c r="J1139" s="133"/>
      <c r="K1139" s="133"/>
      <c r="L1139" s="133"/>
      <c r="M1139" s="133"/>
      <c r="N1139" s="133"/>
      <c r="O1139" s="133"/>
      <c r="P1139" s="133"/>
      <c r="Q1139" s="133"/>
      <c r="R1139" s="133"/>
    </row>
    <row r="1140" spans="1:18" ht="14.1" customHeight="1" x14ac:dyDescent="0.25">
      <c r="A1140" s="60" t="s">
        <v>193</v>
      </c>
      <c r="B1140" s="161" t="s">
        <v>175</v>
      </c>
      <c r="C1140" s="125"/>
      <c r="D1140" s="161" t="s">
        <v>182</v>
      </c>
      <c r="E1140" s="125"/>
      <c r="F1140" s="60" t="s">
        <v>194</v>
      </c>
      <c r="G1140" s="60" t="s">
        <v>195</v>
      </c>
      <c r="H1140" s="161" t="s">
        <v>196</v>
      </c>
      <c r="I1140" s="125"/>
      <c r="J1140" s="161" t="s">
        <v>197</v>
      </c>
      <c r="K1140" s="124"/>
      <c r="L1140" s="125"/>
      <c r="M1140" s="108" t="s">
        <v>494</v>
      </c>
      <c r="N1140" s="108" t="s">
        <v>495</v>
      </c>
      <c r="O1140" s="108" t="s">
        <v>496</v>
      </c>
      <c r="P1140" s="108" t="s">
        <v>497</v>
      </c>
      <c r="Q1140" s="108" t="s">
        <v>498</v>
      </c>
      <c r="R1140" s="108" t="s">
        <v>499</v>
      </c>
    </row>
    <row r="1141" spans="1:18" ht="21.95" customHeight="1" x14ac:dyDescent="0.25">
      <c r="A1141" s="162">
        <f>IF('Calendario G'!A121="","",'Calendario G'!A121)</f>
        <v>304</v>
      </c>
      <c r="B1141" s="44" t="str">
        <f>IF('Calendario G'!B121="","",'Calendario G'!B121)</f>
        <v/>
      </c>
      <c r="C1141" s="45" t="str">
        <f>IF('Calendario G'!C121="","",'Calendario G'!C121)</f>
        <v/>
      </c>
      <c r="D1141" s="44" t="str">
        <f>IF('Calendario G'!D121="","",'Calendario G'!D121)</f>
        <v/>
      </c>
      <c r="E1141" s="45" t="str">
        <f>IF('Calendario G'!E121="","",'Calendario G'!E121)</f>
        <v/>
      </c>
      <c r="F1141" s="138" t="str">
        <f>IF('Calendario G'!F121="","",'Calendario G'!F121)</f>
        <v/>
      </c>
      <c r="G1141" s="124"/>
      <c r="H1141" s="124"/>
      <c r="I1141" s="125"/>
      <c r="J1141" s="202" t="str">
        <f>IF('Calendario G'!J121="","",'Calendario G'!J121)</f>
        <v/>
      </c>
      <c r="K1141" s="201" t="s">
        <v>198</v>
      </c>
      <c r="L1141" s="202" t="str">
        <f>IF('Calendario G'!L121="","",'Calendario G'!L121)</f>
        <v/>
      </c>
      <c r="M1141" s="200"/>
      <c r="N1141" s="200"/>
      <c r="O1141" s="200"/>
      <c r="P1141" s="200"/>
      <c r="Q1141" s="200"/>
      <c r="R1141" s="200"/>
    </row>
    <row r="1142" spans="1:18" ht="15" customHeight="1" x14ac:dyDescent="0.25">
      <c r="A1142" s="133"/>
      <c r="B1142" s="136" t="str">
        <f>IF('Calendario G'!B122="","",'Calendario G'!B122)</f>
        <v/>
      </c>
      <c r="C1142" s="124"/>
      <c r="D1142" s="124"/>
      <c r="E1142" s="124"/>
      <c r="F1142" s="124"/>
      <c r="G1142" s="124"/>
      <c r="H1142" s="125"/>
      <c r="I1142" s="45" t="str">
        <f>IF('Calendario G'!I122="","",'Calendario G'!I122)</f>
        <v/>
      </c>
      <c r="J1142" s="133"/>
      <c r="K1142" s="133"/>
      <c r="L1142" s="133"/>
      <c r="M1142" s="133"/>
      <c r="N1142" s="133"/>
      <c r="O1142" s="133"/>
      <c r="P1142" s="133"/>
      <c r="Q1142" s="133"/>
      <c r="R1142" s="133"/>
    </row>
    <row r="1143" spans="1:18" ht="14.1" customHeight="1" x14ac:dyDescent="0.25">
      <c r="A1143" s="60" t="s">
        <v>193</v>
      </c>
      <c r="B1143" s="161" t="s">
        <v>175</v>
      </c>
      <c r="C1143" s="125"/>
      <c r="D1143" s="161" t="s">
        <v>182</v>
      </c>
      <c r="E1143" s="125"/>
      <c r="F1143" s="60" t="s">
        <v>194</v>
      </c>
      <c r="G1143" s="60" t="s">
        <v>195</v>
      </c>
      <c r="H1143" s="161" t="s">
        <v>196</v>
      </c>
      <c r="I1143" s="125"/>
      <c r="J1143" s="161" t="s">
        <v>197</v>
      </c>
      <c r="K1143" s="124"/>
      <c r="L1143" s="125"/>
      <c r="M1143" s="108" t="s">
        <v>494</v>
      </c>
      <c r="N1143" s="108" t="s">
        <v>495</v>
      </c>
      <c r="O1143" s="108" t="s">
        <v>496</v>
      </c>
      <c r="P1143" s="108" t="s">
        <v>497</v>
      </c>
      <c r="Q1143" s="108" t="s">
        <v>498</v>
      </c>
      <c r="R1143" s="108" t="s">
        <v>499</v>
      </c>
    </row>
    <row r="1144" spans="1:18" ht="21.95" customHeight="1" x14ac:dyDescent="0.25">
      <c r="A1144" s="162">
        <f>IF('Calendario G'!A124="","",'Calendario G'!A124)</f>
        <v>305</v>
      </c>
      <c r="B1144" s="44" t="str">
        <f>IF('Calendario G'!B124="","",'Calendario G'!B124)</f>
        <v/>
      </c>
      <c r="C1144" s="45" t="str">
        <f>IF('Calendario G'!C124="","",'Calendario G'!C124)</f>
        <v/>
      </c>
      <c r="D1144" s="44" t="str">
        <f>IF('Calendario G'!D124="","",'Calendario G'!D124)</f>
        <v/>
      </c>
      <c r="E1144" s="45" t="str">
        <f>IF('Calendario G'!E124="","",'Calendario G'!E124)</f>
        <v/>
      </c>
      <c r="F1144" s="138" t="str">
        <f>IF('Calendario G'!F124="","",'Calendario G'!F124)</f>
        <v/>
      </c>
      <c r="G1144" s="124"/>
      <c r="H1144" s="124"/>
      <c r="I1144" s="125"/>
      <c r="J1144" s="202" t="str">
        <f>IF('Calendario G'!J124="","",'Calendario G'!J124)</f>
        <v/>
      </c>
      <c r="K1144" s="201" t="s">
        <v>198</v>
      </c>
      <c r="L1144" s="202" t="str">
        <f>IF('Calendario G'!L124="","",'Calendario G'!L124)</f>
        <v/>
      </c>
      <c r="M1144" s="200"/>
      <c r="N1144" s="200"/>
      <c r="O1144" s="200"/>
      <c r="P1144" s="200"/>
      <c r="Q1144" s="200"/>
      <c r="R1144" s="200"/>
    </row>
    <row r="1145" spans="1:18" ht="15" customHeight="1" x14ac:dyDescent="0.25">
      <c r="A1145" s="133"/>
      <c r="B1145" s="136" t="str">
        <f>IF('Calendario G'!B125="","",'Calendario G'!B125)</f>
        <v/>
      </c>
      <c r="C1145" s="124"/>
      <c r="D1145" s="124"/>
      <c r="E1145" s="124"/>
      <c r="F1145" s="124"/>
      <c r="G1145" s="124"/>
      <c r="H1145" s="125"/>
      <c r="I1145" s="45" t="str">
        <f>IF('Calendario G'!I125="","",'Calendario G'!I125)</f>
        <v/>
      </c>
      <c r="J1145" s="133"/>
      <c r="K1145" s="133"/>
      <c r="L1145" s="133"/>
      <c r="M1145" s="133"/>
      <c r="N1145" s="133"/>
      <c r="O1145" s="133"/>
      <c r="P1145" s="133"/>
      <c r="Q1145" s="133"/>
      <c r="R1145" s="133"/>
    </row>
    <row r="1147" spans="1:18" ht="20.100000000000001" customHeight="1" x14ac:dyDescent="0.25">
      <c r="A1147" s="59" t="str">
        <f>IF('Calendario G'!A127="","",'Calendario G'!A127)</f>
        <v>8G</v>
      </c>
      <c r="B1147" s="163" t="str">
        <f>IF('Calendario G'!B127="","",'Calendario G'!B127)</f>
        <v>GIORNATA VIII - GIRONE G</v>
      </c>
      <c r="C1147" s="124"/>
      <c r="D1147" s="124"/>
      <c r="E1147" s="124"/>
      <c r="F1147" s="124"/>
      <c r="G1147" s="124"/>
      <c r="H1147" s="124"/>
      <c r="I1147" s="124"/>
      <c r="J1147" s="124"/>
      <c r="K1147" s="124"/>
      <c r="L1147" s="125"/>
      <c r="M1147" s="209" t="s">
        <v>492</v>
      </c>
      <c r="N1147" s="124"/>
      <c r="O1147" s="125"/>
      <c r="P1147" s="209" t="s">
        <v>493</v>
      </c>
      <c r="Q1147" s="124"/>
      <c r="R1147" s="125"/>
    </row>
    <row r="1148" spans="1:18" ht="14.1" customHeight="1" x14ac:dyDescent="0.25">
      <c r="A1148" s="60" t="s">
        <v>193</v>
      </c>
      <c r="B1148" s="161" t="s">
        <v>175</v>
      </c>
      <c r="C1148" s="125"/>
      <c r="D1148" s="161" t="s">
        <v>182</v>
      </c>
      <c r="E1148" s="125"/>
      <c r="F1148" s="60" t="s">
        <v>194</v>
      </c>
      <c r="G1148" s="60" t="s">
        <v>195</v>
      </c>
      <c r="H1148" s="161" t="s">
        <v>196</v>
      </c>
      <c r="I1148" s="125"/>
      <c r="J1148" s="161" t="s">
        <v>197</v>
      </c>
      <c r="K1148" s="124"/>
      <c r="L1148" s="125"/>
      <c r="M1148" s="108" t="s">
        <v>494</v>
      </c>
      <c r="N1148" s="108" t="s">
        <v>495</v>
      </c>
      <c r="O1148" s="108" t="s">
        <v>496</v>
      </c>
      <c r="P1148" s="108" t="s">
        <v>497</v>
      </c>
      <c r="Q1148" s="108" t="s">
        <v>498</v>
      </c>
      <c r="R1148" s="108" t="s">
        <v>499</v>
      </c>
    </row>
    <row r="1149" spans="1:18" ht="21.95" customHeight="1" x14ac:dyDescent="0.25">
      <c r="A1149" s="162">
        <f>IF('Calendario G'!A129="","",'Calendario G'!A129)</f>
        <v>306</v>
      </c>
      <c r="B1149" s="44" t="str">
        <f>IF('Calendario G'!B129="","",'Calendario G'!B129)</f>
        <v/>
      </c>
      <c r="C1149" s="45" t="str">
        <f>IF('Calendario G'!C129="","",'Calendario G'!C129)</f>
        <v/>
      </c>
      <c r="D1149" s="44" t="str">
        <f>IF('Calendario G'!D129="","",'Calendario G'!D129)</f>
        <v/>
      </c>
      <c r="E1149" s="45" t="str">
        <f>IF('Calendario G'!E129="","",'Calendario G'!E129)</f>
        <v/>
      </c>
      <c r="F1149" s="138" t="str">
        <f>IF('Calendario G'!F129="","",'Calendario G'!F129)</f>
        <v/>
      </c>
      <c r="G1149" s="124"/>
      <c r="H1149" s="124"/>
      <c r="I1149" s="125"/>
      <c r="J1149" s="202" t="str">
        <f>IF('Calendario G'!J129="","",'Calendario G'!J129)</f>
        <v/>
      </c>
      <c r="K1149" s="201" t="s">
        <v>198</v>
      </c>
      <c r="L1149" s="202" t="str">
        <f>IF('Calendario G'!L129="","",'Calendario G'!L129)</f>
        <v/>
      </c>
      <c r="M1149" s="200"/>
      <c r="N1149" s="200"/>
      <c r="O1149" s="200"/>
      <c r="P1149" s="200"/>
      <c r="Q1149" s="200"/>
      <c r="R1149" s="200"/>
    </row>
    <row r="1150" spans="1:18" ht="15" customHeight="1" x14ac:dyDescent="0.25">
      <c r="A1150" s="133"/>
      <c r="B1150" s="136" t="str">
        <f>IF('Calendario G'!B130="","",'Calendario G'!B130)</f>
        <v/>
      </c>
      <c r="C1150" s="124"/>
      <c r="D1150" s="124"/>
      <c r="E1150" s="124"/>
      <c r="F1150" s="124"/>
      <c r="G1150" s="124"/>
      <c r="H1150" s="125"/>
      <c r="I1150" s="45" t="str">
        <f>IF('Calendario G'!I130="","",'Calendario G'!I130)</f>
        <v/>
      </c>
      <c r="J1150" s="133"/>
      <c r="K1150" s="133"/>
      <c r="L1150" s="133"/>
      <c r="M1150" s="133"/>
      <c r="N1150" s="133"/>
      <c r="O1150" s="133"/>
      <c r="P1150" s="133"/>
      <c r="Q1150" s="133"/>
      <c r="R1150" s="133"/>
    </row>
    <row r="1151" spans="1:18" ht="14.1" customHeight="1" x14ac:dyDescent="0.25">
      <c r="A1151" s="60" t="s">
        <v>193</v>
      </c>
      <c r="B1151" s="161" t="s">
        <v>175</v>
      </c>
      <c r="C1151" s="125"/>
      <c r="D1151" s="161" t="s">
        <v>182</v>
      </c>
      <c r="E1151" s="125"/>
      <c r="F1151" s="60" t="s">
        <v>194</v>
      </c>
      <c r="G1151" s="60" t="s">
        <v>195</v>
      </c>
      <c r="H1151" s="161" t="s">
        <v>196</v>
      </c>
      <c r="I1151" s="125"/>
      <c r="J1151" s="161" t="s">
        <v>197</v>
      </c>
      <c r="K1151" s="124"/>
      <c r="L1151" s="125"/>
      <c r="M1151" s="108" t="s">
        <v>494</v>
      </c>
      <c r="N1151" s="108" t="s">
        <v>495</v>
      </c>
      <c r="O1151" s="108" t="s">
        <v>496</v>
      </c>
      <c r="P1151" s="108" t="s">
        <v>497</v>
      </c>
      <c r="Q1151" s="108" t="s">
        <v>498</v>
      </c>
      <c r="R1151" s="108" t="s">
        <v>499</v>
      </c>
    </row>
    <row r="1152" spans="1:18" ht="21.95" customHeight="1" x14ac:dyDescent="0.25">
      <c r="A1152" s="162">
        <f>IF('Calendario G'!A132="","",'Calendario G'!A132)</f>
        <v>307</v>
      </c>
      <c r="B1152" s="44" t="str">
        <f>IF('Calendario G'!B132="","",'Calendario G'!B132)</f>
        <v/>
      </c>
      <c r="C1152" s="45" t="str">
        <f>IF('Calendario G'!C132="","",'Calendario G'!C132)</f>
        <v/>
      </c>
      <c r="D1152" s="44" t="str">
        <f>IF('Calendario G'!D132="","",'Calendario G'!D132)</f>
        <v/>
      </c>
      <c r="E1152" s="45" t="str">
        <f>IF('Calendario G'!E132="","",'Calendario G'!E132)</f>
        <v/>
      </c>
      <c r="F1152" s="138" t="str">
        <f>IF('Calendario G'!F132="","",'Calendario G'!F132)</f>
        <v/>
      </c>
      <c r="G1152" s="124"/>
      <c r="H1152" s="124"/>
      <c r="I1152" s="125"/>
      <c r="J1152" s="202" t="str">
        <f>IF('Calendario G'!J132="","",'Calendario G'!J132)</f>
        <v/>
      </c>
      <c r="K1152" s="201" t="s">
        <v>198</v>
      </c>
      <c r="L1152" s="202" t="str">
        <f>IF('Calendario G'!L132="","",'Calendario G'!L132)</f>
        <v/>
      </c>
      <c r="M1152" s="200"/>
      <c r="N1152" s="200"/>
      <c r="O1152" s="200"/>
      <c r="P1152" s="200"/>
      <c r="Q1152" s="200"/>
      <c r="R1152" s="200"/>
    </row>
    <row r="1153" spans="1:18" ht="15" customHeight="1" x14ac:dyDescent="0.25">
      <c r="A1153" s="133"/>
      <c r="B1153" s="136" t="str">
        <f>IF('Calendario G'!B133="","",'Calendario G'!B133)</f>
        <v/>
      </c>
      <c r="C1153" s="124"/>
      <c r="D1153" s="124"/>
      <c r="E1153" s="124"/>
      <c r="F1153" s="124"/>
      <c r="G1153" s="124"/>
      <c r="H1153" s="125"/>
      <c r="I1153" s="45" t="str">
        <f>IF('Calendario G'!I133="","",'Calendario G'!I133)</f>
        <v/>
      </c>
      <c r="J1153" s="133"/>
      <c r="K1153" s="133"/>
      <c r="L1153" s="133"/>
      <c r="M1153" s="133"/>
      <c r="N1153" s="133"/>
      <c r="O1153" s="133"/>
      <c r="P1153" s="133"/>
      <c r="Q1153" s="133"/>
      <c r="R1153" s="133"/>
    </row>
    <row r="1154" spans="1:18" ht="14.1" customHeight="1" x14ac:dyDescent="0.25">
      <c r="A1154" s="60" t="s">
        <v>193</v>
      </c>
      <c r="B1154" s="161" t="s">
        <v>175</v>
      </c>
      <c r="C1154" s="125"/>
      <c r="D1154" s="161" t="s">
        <v>182</v>
      </c>
      <c r="E1154" s="125"/>
      <c r="F1154" s="60" t="s">
        <v>194</v>
      </c>
      <c r="G1154" s="60" t="s">
        <v>195</v>
      </c>
      <c r="H1154" s="161" t="s">
        <v>196</v>
      </c>
      <c r="I1154" s="125"/>
      <c r="J1154" s="161" t="s">
        <v>197</v>
      </c>
      <c r="K1154" s="124"/>
      <c r="L1154" s="125"/>
      <c r="M1154" s="108" t="s">
        <v>494</v>
      </c>
      <c r="N1154" s="108" t="s">
        <v>495</v>
      </c>
      <c r="O1154" s="108" t="s">
        <v>496</v>
      </c>
      <c r="P1154" s="108" t="s">
        <v>497</v>
      </c>
      <c r="Q1154" s="108" t="s">
        <v>498</v>
      </c>
      <c r="R1154" s="108" t="s">
        <v>499</v>
      </c>
    </row>
    <row r="1155" spans="1:18" ht="21.95" customHeight="1" x14ac:dyDescent="0.25">
      <c r="A1155" s="162">
        <f>IF('Calendario G'!A135="","",'Calendario G'!A135)</f>
        <v>308</v>
      </c>
      <c r="B1155" s="44" t="str">
        <f>IF('Calendario G'!B135="","",'Calendario G'!B135)</f>
        <v/>
      </c>
      <c r="C1155" s="45" t="str">
        <f>IF('Calendario G'!C135="","",'Calendario G'!C135)</f>
        <v/>
      </c>
      <c r="D1155" s="44" t="str">
        <f>IF('Calendario G'!D135="","",'Calendario G'!D135)</f>
        <v/>
      </c>
      <c r="E1155" s="45" t="str">
        <f>IF('Calendario G'!E135="","",'Calendario G'!E135)</f>
        <v/>
      </c>
      <c r="F1155" s="138" t="str">
        <f>IF('Calendario G'!F135="","",'Calendario G'!F135)</f>
        <v/>
      </c>
      <c r="G1155" s="124"/>
      <c r="H1155" s="124"/>
      <c r="I1155" s="125"/>
      <c r="J1155" s="202" t="str">
        <f>IF('Calendario G'!J135="","",'Calendario G'!J135)</f>
        <v/>
      </c>
      <c r="K1155" s="201" t="s">
        <v>198</v>
      </c>
      <c r="L1155" s="202" t="str">
        <f>IF('Calendario G'!L135="","",'Calendario G'!L135)</f>
        <v/>
      </c>
      <c r="M1155" s="200"/>
      <c r="N1155" s="200"/>
      <c r="O1155" s="200"/>
      <c r="P1155" s="200"/>
      <c r="Q1155" s="200"/>
      <c r="R1155" s="200"/>
    </row>
    <row r="1156" spans="1:18" ht="15" customHeight="1" x14ac:dyDescent="0.25">
      <c r="A1156" s="133"/>
      <c r="B1156" s="136" t="str">
        <f>IF('Calendario G'!B136="","",'Calendario G'!B136)</f>
        <v/>
      </c>
      <c r="C1156" s="124"/>
      <c r="D1156" s="124"/>
      <c r="E1156" s="124"/>
      <c r="F1156" s="124"/>
      <c r="G1156" s="124"/>
      <c r="H1156" s="125"/>
      <c r="I1156" s="45" t="str">
        <f>IF('Calendario G'!I136="","",'Calendario G'!I136)</f>
        <v/>
      </c>
      <c r="J1156" s="133"/>
      <c r="K1156" s="133"/>
      <c r="L1156" s="133"/>
      <c r="M1156" s="133"/>
      <c r="N1156" s="133"/>
      <c r="O1156" s="133"/>
      <c r="P1156" s="133"/>
      <c r="Q1156" s="133"/>
      <c r="R1156" s="133"/>
    </row>
    <row r="1157" spans="1:18" ht="14.1" customHeight="1" x14ac:dyDescent="0.25">
      <c r="A1157" s="60" t="s">
        <v>193</v>
      </c>
      <c r="B1157" s="161" t="s">
        <v>175</v>
      </c>
      <c r="C1157" s="125"/>
      <c r="D1157" s="161" t="s">
        <v>182</v>
      </c>
      <c r="E1157" s="125"/>
      <c r="F1157" s="60" t="s">
        <v>194</v>
      </c>
      <c r="G1157" s="60" t="s">
        <v>195</v>
      </c>
      <c r="H1157" s="161" t="s">
        <v>196</v>
      </c>
      <c r="I1157" s="125"/>
      <c r="J1157" s="161" t="s">
        <v>197</v>
      </c>
      <c r="K1157" s="124"/>
      <c r="L1157" s="125"/>
      <c r="M1157" s="108" t="s">
        <v>494</v>
      </c>
      <c r="N1157" s="108" t="s">
        <v>495</v>
      </c>
      <c r="O1157" s="108" t="s">
        <v>496</v>
      </c>
      <c r="P1157" s="108" t="s">
        <v>497</v>
      </c>
      <c r="Q1157" s="108" t="s">
        <v>498</v>
      </c>
      <c r="R1157" s="108" t="s">
        <v>499</v>
      </c>
    </row>
    <row r="1158" spans="1:18" ht="21.95" customHeight="1" x14ac:dyDescent="0.25">
      <c r="A1158" s="162">
        <f>IF('Calendario G'!A138="","",'Calendario G'!A138)</f>
        <v>309</v>
      </c>
      <c r="B1158" s="44" t="str">
        <f>IF('Calendario G'!B138="","",'Calendario G'!B138)</f>
        <v/>
      </c>
      <c r="C1158" s="45" t="str">
        <f>IF('Calendario G'!C138="","",'Calendario G'!C138)</f>
        <v/>
      </c>
      <c r="D1158" s="44" t="str">
        <f>IF('Calendario G'!D138="","",'Calendario G'!D138)</f>
        <v/>
      </c>
      <c r="E1158" s="45" t="str">
        <f>IF('Calendario G'!E138="","",'Calendario G'!E138)</f>
        <v/>
      </c>
      <c r="F1158" s="138" t="str">
        <f>IF('Calendario G'!F138="","",'Calendario G'!F138)</f>
        <v/>
      </c>
      <c r="G1158" s="124"/>
      <c r="H1158" s="124"/>
      <c r="I1158" s="125"/>
      <c r="J1158" s="202" t="str">
        <f>IF('Calendario G'!J138="","",'Calendario G'!J138)</f>
        <v/>
      </c>
      <c r="K1158" s="201" t="s">
        <v>198</v>
      </c>
      <c r="L1158" s="202" t="str">
        <f>IF('Calendario G'!L138="","",'Calendario G'!L138)</f>
        <v/>
      </c>
      <c r="M1158" s="200"/>
      <c r="N1158" s="200"/>
      <c r="O1158" s="200"/>
      <c r="P1158" s="200"/>
      <c r="Q1158" s="200"/>
      <c r="R1158" s="200"/>
    </row>
    <row r="1159" spans="1:18" ht="15" customHeight="1" x14ac:dyDescent="0.25">
      <c r="A1159" s="133"/>
      <c r="B1159" s="136" t="str">
        <f>IF('Calendario G'!B139="","",'Calendario G'!B139)</f>
        <v/>
      </c>
      <c r="C1159" s="124"/>
      <c r="D1159" s="124"/>
      <c r="E1159" s="124"/>
      <c r="F1159" s="124"/>
      <c r="G1159" s="124"/>
      <c r="H1159" s="125"/>
      <c r="I1159" s="45" t="str">
        <f>IF('Calendario G'!I139="","",'Calendario G'!I139)</f>
        <v/>
      </c>
      <c r="J1159" s="133"/>
      <c r="K1159" s="133"/>
      <c r="L1159" s="133"/>
      <c r="M1159" s="133"/>
      <c r="N1159" s="133"/>
      <c r="O1159" s="133"/>
      <c r="P1159" s="133"/>
      <c r="Q1159" s="133"/>
      <c r="R1159" s="133"/>
    </row>
    <row r="1160" spans="1:18" ht="14.1" customHeight="1" x14ac:dyDescent="0.25">
      <c r="A1160" s="60" t="s">
        <v>193</v>
      </c>
      <c r="B1160" s="161" t="s">
        <v>175</v>
      </c>
      <c r="C1160" s="125"/>
      <c r="D1160" s="161" t="s">
        <v>182</v>
      </c>
      <c r="E1160" s="125"/>
      <c r="F1160" s="60" t="s">
        <v>194</v>
      </c>
      <c r="G1160" s="60" t="s">
        <v>195</v>
      </c>
      <c r="H1160" s="161" t="s">
        <v>196</v>
      </c>
      <c r="I1160" s="125"/>
      <c r="J1160" s="161" t="s">
        <v>197</v>
      </c>
      <c r="K1160" s="124"/>
      <c r="L1160" s="125"/>
      <c r="M1160" s="108" t="s">
        <v>494</v>
      </c>
      <c r="N1160" s="108" t="s">
        <v>495</v>
      </c>
      <c r="O1160" s="108" t="s">
        <v>496</v>
      </c>
      <c r="P1160" s="108" t="s">
        <v>497</v>
      </c>
      <c r="Q1160" s="108" t="s">
        <v>498</v>
      </c>
      <c r="R1160" s="108" t="s">
        <v>499</v>
      </c>
    </row>
    <row r="1161" spans="1:18" ht="21.95" customHeight="1" x14ac:dyDescent="0.25">
      <c r="A1161" s="162">
        <f>IF('Calendario G'!A141="","",'Calendario G'!A141)</f>
        <v>310</v>
      </c>
      <c r="B1161" s="44" t="str">
        <f>IF('Calendario G'!B141="","",'Calendario G'!B141)</f>
        <v/>
      </c>
      <c r="C1161" s="45" t="str">
        <f>IF('Calendario G'!C141="","",'Calendario G'!C141)</f>
        <v/>
      </c>
      <c r="D1161" s="44" t="str">
        <f>IF('Calendario G'!D141="","",'Calendario G'!D141)</f>
        <v/>
      </c>
      <c r="E1161" s="45" t="str">
        <f>IF('Calendario G'!E141="","",'Calendario G'!E141)</f>
        <v/>
      </c>
      <c r="F1161" s="138" t="str">
        <f>IF('Calendario G'!F141="","",'Calendario G'!F141)</f>
        <v/>
      </c>
      <c r="G1161" s="124"/>
      <c r="H1161" s="124"/>
      <c r="I1161" s="125"/>
      <c r="J1161" s="202" t="str">
        <f>IF('Calendario G'!J141="","",'Calendario G'!J141)</f>
        <v/>
      </c>
      <c r="K1161" s="201" t="s">
        <v>198</v>
      </c>
      <c r="L1161" s="202" t="str">
        <f>IF('Calendario G'!L141="","",'Calendario G'!L141)</f>
        <v/>
      </c>
      <c r="M1161" s="200"/>
      <c r="N1161" s="200"/>
      <c r="O1161" s="200"/>
      <c r="P1161" s="200"/>
      <c r="Q1161" s="200"/>
      <c r="R1161" s="200"/>
    </row>
    <row r="1162" spans="1:18" ht="15" customHeight="1" x14ac:dyDescent="0.25">
      <c r="A1162" s="133"/>
      <c r="B1162" s="136" t="str">
        <f>IF('Calendario G'!B142="","",'Calendario G'!B142)</f>
        <v/>
      </c>
      <c r="C1162" s="124"/>
      <c r="D1162" s="124"/>
      <c r="E1162" s="124"/>
      <c r="F1162" s="124"/>
      <c r="G1162" s="124"/>
      <c r="H1162" s="125"/>
      <c r="I1162" s="45" t="str">
        <f>IF('Calendario G'!I142="","",'Calendario G'!I142)</f>
        <v/>
      </c>
      <c r="J1162" s="133"/>
      <c r="K1162" s="133"/>
      <c r="L1162" s="133"/>
      <c r="M1162" s="133"/>
      <c r="N1162" s="133"/>
      <c r="O1162" s="133"/>
      <c r="P1162" s="133"/>
      <c r="Q1162" s="133"/>
      <c r="R1162" s="133"/>
    </row>
    <row r="1164" spans="1:18" ht="20.100000000000001" customHeight="1" x14ac:dyDescent="0.25">
      <c r="A1164" s="59" t="str">
        <f>IF('Calendario G'!A144="","",'Calendario G'!A144)</f>
        <v>9G</v>
      </c>
      <c r="B1164" s="163" t="str">
        <f>IF('Calendario G'!B144="","",'Calendario G'!B144)</f>
        <v>GIORNATA IX - GIRONE G</v>
      </c>
      <c r="C1164" s="124"/>
      <c r="D1164" s="124"/>
      <c r="E1164" s="124"/>
      <c r="F1164" s="124"/>
      <c r="G1164" s="124"/>
      <c r="H1164" s="124"/>
      <c r="I1164" s="124"/>
      <c r="J1164" s="124"/>
      <c r="K1164" s="124"/>
      <c r="L1164" s="125"/>
      <c r="M1164" s="209" t="s">
        <v>492</v>
      </c>
      <c r="N1164" s="124"/>
      <c r="O1164" s="125"/>
      <c r="P1164" s="209" t="s">
        <v>493</v>
      </c>
      <c r="Q1164" s="124"/>
      <c r="R1164" s="125"/>
    </row>
    <row r="1165" spans="1:18" ht="14.1" customHeight="1" x14ac:dyDescent="0.25">
      <c r="A1165" s="60" t="s">
        <v>193</v>
      </c>
      <c r="B1165" s="161" t="s">
        <v>175</v>
      </c>
      <c r="C1165" s="125"/>
      <c r="D1165" s="161" t="s">
        <v>182</v>
      </c>
      <c r="E1165" s="125"/>
      <c r="F1165" s="60" t="s">
        <v>194</v>
      </c>
      <c r="G1165" s="60" t="s">
        <v>195</v>
      </c>
      <c r="H1165" s="161" t="s">
        <v>196</v>
      </c>
      <c r="I1165" s="125"/>
      <c r="J1165" s="161" t="s">
        <v>197</v>
      </c>
      <c r="K1165" s="124"/>
      <c r="L1165" s="125"/>
      <c r="M1165" s="108" t="s">
        <v>494</v>
      </c>
      <c r="N1165" s="108" t="s">
        <v>495</v>
      </c>
      <c r="O1165" s="108" t="s">
        <v>496</v>
      </c>
      <c r="P1165" s="108" t="s">
        <v>497</v>
      </c>
      <c r="Q1165" s="108" t="s">
        <v>498</v>
      </c>
      <c r="R1165" s="108" t="s">
        <v>499</v>
      </c>
    </row>
    <row r="1166" spans="1:18" ht="21.95" customHeight="1" x14ac:dyDescent="0.25">
      <c r="A1166" s="162">
        <f>IF('Calendario G'!A146="","",'Calendario G'!A146)</f>
        <v>311</v>
      </c>
      <c r="B1166" s="44" t="str">
        <f>IF('Calendario G'!B146="","",'Calendario G'!B146)</f>
        <v/>
      </c>
      <c r="C1166" s="45" t="str">
        <f>IF('Calendario G'!C146="","",'Calendario G'!C146)</f>
        <v/>
      </c>
      <c r="D1166" s="44" t="str">
        <f>IF('Calendario G'!D146="","",'Calendario G'!D146)</f>
        <v/>
      </c>
      <c r="E1166" s="45" t="str">
        <f>IF('Calendario G'!E146="","",'Calendario G'!E146)</f>
        <v/>
      </c>
      <c r="F1166" s="138" t="str">
        <f>IF('Calendario G'!F146="","",'Calendario G'!F146)</f>
        <v/>
      </c>
      <c r="G1166" s="124"/>
      <c r="H1166" s="124"/>
      <c r="I1166" s="125"/>
      <c r="J1166" s="202" t="str">
        <f>IF('Calendario G'!J146="","",'Calendario G'!J146)</f>
        <v/>
      </c>
      <c r="K1166" s="201" t="s">
        <v>198</v>
      </c>
      <c r="L1166" s="202" t="str">
        <f>IF('Calendario G'!L146="","",'Calendario G'!L146)</f>
        <v/>
      </c>
      <c r="M1166" s="200"/>
      <c r="N1166" s="200"/>
      <c r="O1166" s="200"/>
      <c r="P1166" s="200"/>
      <c r="Q1166" s="200"/>
      <c r="R1166" s="200"/>
    </row>
    <row r="1167" spans="1:18" ht="15" customHeight="1" x14ac:dyDescent="0.25">
      <c r="A1167" s="133"/>
      <c r="B1167" s="136" t="str">
        <f>IF('Calendario G'!B147="","",'Calendario G'!B147)</f>
        <v/>
      </c>
      <c r="C1167" s="124"/>
      <c r="D1167" s="124"/>
      <c r="E1167" s="124"/>
      <c r="F1167" s="124"/>
      <c r="G1167" s="124"/>
      <c r="H1167" s="125"/>
      <c r="I1167" s="45" t="str">
        <f>IF('Calendario G'!I147="","",'Calendario G'!I147)</f>
        <v/>
      </c>
      <c r="J1167" s="133"/>
      <c r="K1167" s="133"/>
      <c r="L1167" s="133"/>
      <c r="M1167" s="133"/>
      <c r="N1167" s="133"/>
      <c r="O1167" s="133"/>
      <c r="P1167" s="133"/>
      <c r="Q1167" s="133"/>
      <c r="R1167" s="133"/>
    </row>
    <row r="1168" spans="1:18" ht="14.1" customHeight="1" x14ac:dyDescent="0.25">
      <c r="A1168" s="60" t="s">
        <v>193</v>
      </c>
      <c r="B1168" s="161" t="s">
        <v>175</v>
      </c>
      <c r="C1168" s="125"/>
      <c r="D1168" s="161" t="s">
        <v>182</v>
      </c>
      <c r="E1168" s="125"/>
      <c r="F1168" s="60" t="s">
        <v>194</v>
      </c>
      <c r="G1168" s="60" t="s">
        <v>195</v>
      </c>
      <c r="H1168" s="161" t="s">
        <v>196</v>
      </c>
      <c r="I1168" s="125"/>
      <c r="J1168" s="161" t="s">
        <v>197</v>
      </c>
      <c r="K1168" s="124"/>
      <c r="L1168" s="125"/>
      <c r="M1168" s="108" t="s">
        <v>494</v>
      </c>
      <c r="N1168" s="108" t="s">
        <v>495</v>
      </c>
      <c r="O1168" s="108" t="s">
        <v>496</v>
      </c>
      <c r="P1168" s="108" t="s">
        <v>497</v>
      </c>
      <c r="Q1168" s="108" t="s">
        <v>498</v>
      </c>
      <c r="R1168" s="108" t="s">
        <v>499</v>
      </c>
    </row>
    <row r="1169" spans="1:18" ht="21.95" customHeight="1" x14ac:dyDescent="0.25">
      <c r="A1169" s="162">
        <f>IF('Calendario G'!A149="","",'Calendario G'!A149)</f>
        <v>312</v>
      </c>
      <c r="B1169" s="44" t="str">
        <f>IF('Calendario G'!B149="","",'Calendario G'!B149)</f>
        <v/>
      </c>
      <c r="C1169" s="45" t="str">
        <f>IF('Calendario G'!C149="","",'Calendario G'!C149)</f>
        <v/>
      </c>
      <c r="D1169" s="44" t="str">
        <f>IF('Calendario G'!D149="","",'Calendario G'!D149)</f>
        <v/>
      </c>
      <c r="E1169" s="45" t="str">
        <f>IF('Calendario G'!E149="","",'Calendario G'!E149)</f>
        <v/>
      </c>
      <c r="F1169" s="138" t="str">
        <f>IF('Calendario G'!F149="","",'Calendario G'!F149)</f>
        <v/>
      </c>
      <c r="G1169" s="124"/>
      <c r="H1169" s="124"/>
      <c r="I1169" s="125"/>
      <c r="J1169" s="202" t="str">
        <f>IF('Calendario G'!J149="","",'Calendario G'!J149)</f>
        <v/>
      </c>
      <c r="K1169" s="201" t="s">
        <v>198</v>
      </c>
      <c r="L1169" s="202" t="str">
        <f>IF('Calendario G'!L149="","",'Calendario G'!L149)</f>
        <v/>
      </c>
      <c r="M1169" s="200"/>
      <c r="N1169" s="200"/>
      <c r="O1169" s="200"/>
      <c r="P1169" s="200"/>
      <c r="Q1169" s="200"/>
      <c r="R1169" s="200"/>
    </row>
    <row r="1170" spans="1:18" ht="15" customHeight="1" x14ac:dyDescent="0.25">
      <c r="A1170" s="133"/>
      <c r="B1170" s="136" t="str">
        <f>IF('Calendario G'!B150="","",'Calendario G'!B150)</f>
        <v/>
      </c>
      <c r="C1170" s="124"/>
      <c r="D1170" s="124"/>
      <c r="E1170" s="124"/>
      <c r="F1170" s="124"/>
      <c r="G1170" s="124"/>
      <c r="H1170" s="125"/>
      <c r="I1170" s="45" t="str">
        <f>IF('Calendario G'!I150="","",'Calendario G'!I150)</f>
        <v/>
      </c>
      <c r="J1170" s="133"/>
      <c r="K1170" s="133"/>
      <c r="L1170" s="133"/>
      <c r="M1170" s="133"/>
      <c r="N1170" s="133"/>
      <c r="O1170" s="133"/>
      <c r="P1170" s="133"/>
      <c r="Q1170" s="133"/>
      <c r="R1170" s="133"/>
    </row>
    <row r="1171" spans="1:18" ht="14.1" customHeight="1" x14ac:dyDescent="0.25">
      <c r="A1171" s="60" t="s">
        <v>193</v>
      </c>
      <c r="B1171" s="161" t="s">
        <v>175</v>
      </c>
      <c r="C1171" s="125"/>
      <c r="D1171" s="161" t="s">
        <v>182</v>
      </c>
      <c r="E1171" s="125"/>
      <c r="F1171" s="60" t="s">
        <v>194</v>
      </c>
      <c r="G1171" s="60" t="s">
        <v>195</v>
      </c>
      <c r="H1171" s="161" t="s">
        <v>196</v>
      </c>
      <c r="I1171" s="125"/>
      <c r="J1171" s="161" t="s">
        <v>197</v>
      </c>
      <c r="K1171" s="124"/>
      <c r="L1171" s="125"/>
      <c r="M1171" s="108" t="s">
        <v>494</v>
      </c>
      <c r="N1171" s="108" t="s">
        <v>495</v>
      </c>
      <c r="O1171" s="108" t="s">
        <v>496</v>
      </c>
      <c r="P1171" s="108" t="s">
        <v>497</v>
      </c>
      <c r="Q1171" s="108" t="s">
        <v>498</v>
      </c>
      <c r="R1171" s="108" t="s">
        <v>499</v>
      </c>
    </row>
    <row r="1172" spans="1:18" ht="21.95" customHeight="1" x14ac:dyDescent="0.25">
      <c r="A1172" s="162">
        <f>IF('Calendario G'!A152="","",'Calendario G'!A152)</f>
        <v>313</v>
      </c>
      <c r="B1172" s="44" t="str">
        <f>IF('Calendario G'!B152="","",'Calendario G'!B152)</f>
        <v/>
      </c>
      <c r="C1172" s="45" t="str">
        <f>IF('Calendario G'!C152="","",'Calendario G'!C152)</f>
        <v/>
      </c>
      <c r="D1172" s="44" t="str">
        <f>IF('Calendario G'!D152="","",'Calendario G'!D152)</f>
        <v/>
      </c>
      <c r="E1172" s="45" t="str">
        <f>IF('Calendario G'!E152="","",'Calendario G'!E152)</f>
        <v/>
      </c>
      <c r="F1172" s="138" t="str">
        <f>IF('Calendario G'!F152="","",'Calendario G'!F152)</f>
        <v/>
      </c>
      <c r="G1172" s="124"/>
      <c r="H1172" s="124"/>
      <c r="I1172" s="125"/>
      <c r="J1172" s="202" t="str">
        <f>IF('Calendario G'!J152="","",'Calendario G'!J152)</f>
        <v/>
      </c>
      <c r="K1172" s="201" t="s">
        <v>198</v>
      </c>
      <c r="L1172" s="202" t="str">
        <f>IF('Calendario G'!L152="","",'Calendario G'!L152)</f>
        <v/>
      </c>
      <c r="M1172" s="200"/>
      <c r="N1172" s="200"/>
      <c r="O1172" s="200"/>
      <c r="P1172" s="200"/>
      <c r="Q1172" s="200"/>
      <c r="R1172" s="200"/>
    </row>
    <row r="1173" spans="1:18" ht="15" customHeight="1" x14ac:dyDescent="0.25">
      <c r="A1173" s="133"/>
      <c r="B1173" s="136" t="str">
        <f>IF('Calendario G'!B153="","",'Calendario G'!B153)</f>
        <v/>
      </c>
      <c r="C1173" s="124"/>
      <c r="D1173" s="124"/>
      <c r="E1173" s="124"/>
      <c r="F1173" s="124"/>
      <c r="G1173" s="124"/>
      <c r="H1173" s="125"/>
      <c r="I1173" s="45" t="str">
        <f>IF('Calendario G'!I153="","",'Calendario G'!I153)</f>
        <v/>
      </c>
      <c r="J1173" s="133"/>
      <c r="K1173" s="133"/>
      <c r="L1173" s="133"/>
      <c r="M1173" s="133"/>
      <c r="N1173" s="133"/>
      <c r="O1173" s="133"/>
      <c r="P1173" s="133"/>
      <c r="Q1173" s="133"/>
      <c r="R1173" s="133"/>
    </row>
    <row r="1174" spans="1:18" ht="14.1" customHeight="1" x14ac:dyDescent="0.25">
      <c r="A1174" s="60" t="s">
        <v>193</v>
      </c>
      <c r="B1174" s="161" t="s">
        <v>175</v>
      </c>
      <c r="C1174" s="125"/>
      <c r="D1174" s="161" t="s">
        <v>182</v>
      </c>
      <c r="E1174" s="125"/>
      <c r="F1174" s="60" t="s">
        <v>194</v>
      </c>
      <c r="G1174" s="60" t="s">
        <v>195</v>
      </c>
      <c r="H1174" s="161" t="s">
        <v>196</v>
      </c>
      <c r="I1174" s="125"/>
      <c r="J1174" s="161" t="s">
        <v>197</v>
      </c>
      <c r="K1174" s="124"/>
      <c r="L1174" s="125"/>
      <c r="M1174" s="108" t="s">
        <v>494</v>
      </c>
      <c r="N1174" s="108" t="s">
        <v>495</v>
      </c>
      <c r="O1174" s="108" t="s">
        <v>496</v>
      </c>
      <c r="P1174" s="108" t="s">
        <v>497</v>
      </c>
      <c r="Q1174" s="108" t="s">
        <v>498</v>
      </c>
      <c r="R1174" s="108" t="s">
        <v>499</v>
      </c>
    </row>
    <row r="1175" spans="1:18" ht="21.95" customHeight="1" x14ac:dyDescent="0.25">
      <c r="A1175" s="162">
        <f>IF('Calendario G'!A155="","",'Calendario G'!A155)</f>
        <v>314</v>
      </c>
      <c r="B1175" s="44" t="str">
        <f>IF('Calendario G'!B155="","",'Calendario G'!B155)</f>
        <v/>
      </c>
      <c r="C1175" s="45" t="str">
        <f>IF('Calendario G'!C155="","",'Calendario G'!C155)</f>
        <v/>
      </c>
      <c r="D1175" s="44" t="str">
        <f>IF('Calendario G'!D155="","",'Calendario G'!D155)</f>
        <v/>
      </c>
      <c r="E1175" s="45" t="str">
        <f>IF('Calendario G'!E155="","",'Calendario G'!E155)</f>
        <v/>
      </c>
      <c r="F1175" s="138" t="str">
        <f>IF('Calendario G'!F155="","",'Calendario G'!F155)</f>
        <v/>
      </c>
      <c r="G1175" s="124"/>
      <c r="H1175" s="124"/>
      <c r="I1175" s="125"/>
      <c r="J1175" s="202" t="str">
        <f>IF('Calendario G'!J155="","",'Calendario G'!J155)</f>
        <v/>
      </c>
      <c r="K1175" s="201" t="s">
        <v>198</v>
      </c>
      <c r="L1175" s="202" t="str">
        <f>IF('Calendario G'!L155="","",'Calendario G'!L155)</f>
        <v/>
      </c>
      <c r="M1175" s="200"/>
      <c r="N1175" s="200"/>
      <c r="O1175" s="200"/>
      <c r="P1175" s="200"/>
      <c r="Q1175" s="200"/>
      <c r="R1175" s="200"/>
    </row>
    <row r="1176" spans="1:18" ht="15" customHeight="1" x14ac:dyDescent="0.25">
      <c r="A1176" s="133"/>
      <c r="B1176" s="136" t="str">
        <f>IF('Calendario G'!B156="","",'Calendario G'!B156)</f>
        <v/>
      </c>
      <c r="C1176" s="124"/>
      <c r="D1176" s="124"/>
      <c r="E1176" s="124"/>
      <c r="F1176" s="124"/>
      <c r="G1176" s="124"/>
      <c r="H1176" s="125"/>
      <c r="I1176" s="45" t="str">
        <f>IF('Calendario G'!I156="","",'Calendario G'!I156)</f>
        <v/>
      </c>
      <c r="J1176" s="133"/>
      <c r="K1176" s="133"/>
      <c r="L1176" s="133"/>
      <c r="M1176" s="133"/>
      <c r="N1176" s="133"/>
      <c r="O1176" s="133"/>
      <c r="P1176" s="133"/>
      <c r="Q1176" s="133"/>
      <c r="R1176" s="133"/>
    </row>
    <row r="1177" spans="1:18" ht="14.1" customHeight="1" x14ac:dyDescent="0.25">
      <c r="A1177" s="60" t="s">
        <v>193</v>
      </c>
      <c r="B1177" s="161" t="s">
        <v>175</v>
      </c>
      <c r="C1177" s="125"/>
      <c r="D1177" s="161" t="s">
        <v>182</v>
      </c>
      <c r="E1177" s="125"/>
      <c r="F1177" s="60" t="s">
        <v>194</v>
      </c>
      <c r="G1177" s="60" t="s">
        <v>195</v>
      </c>
      <c r="H1177" s="161" t="s">
        <v>196</v>
      </c>
      <c r="I1177" s="125"/>
      <c r="J1177" s="161" t="s">
        <v>197</v>
      </c>
      <c r="K1177" s="124"/>
      <c r="L1177" s="125"/>
      <c r="M1177" s="108" t="s">
        <v>494</v>
      </c>
      <c r="N1177" s="108" t="s">
        <v>495</v>
      </c>
      <c r="O1177" s="108" t="s">
        <v>496</v>
      </c>
      <c r="P1177" s="108" t="s">
        <v>497</v>
      </c>
      <c r="Q1177" s="108" t="s">
        <v>498</v>
      </c>
      <c r="R1177" s="108" t="s">
        <v>499</v>
      </c>
    </row>
    <row r="1178" spans="1:18" ht="21.95" customHeight="1" x14ac:dyDescent="0.25">
      <c r="A1178" s="162">
        <f>IF('Calendario G'!A158="","",'Calendario G'!A158)</f>
        <v>315</v>
      </c>
      <c r="B1178" s="44" t="str">
        <f>IF('Calendario G'!B158="","",'Calendario G'!B158)</f>
        <v/>
      </c>
      <c r="C1178" s="45" t="str">
        <f>IF('Calendario G'!C158="","",'Calendario G'!C158)</f>
        <v/>
      </c>
      <c r="D1178" s="44" t="str">
        <f>IF('Calendario G'!D158="","",'Calendario G'!D158)</f>
        <v/>
      </c>
      <c r="E1178" s="45" t="str">
        <f>IF('Calendario G'!E158="","",'Calendario G'!E158)</f>
        <v/>
      </c>
      <c r="F1178" s="138" t="str">
        <f>IF('Calendario G'!F158="","",'Calendario G'!F158)</f>
        <v/>
      </c>
      <c r="G1178" s="124"/>
      <c r="H1178" s="124"/>
      <c r="I1178" s="125"/>
      <c r="J1178" s="202" t="str">
        <f>IF('Calendario G'!J158="","",'Calendario G'!J158)</f>
        <v/>
      </c>
      <c r="K1178" s="201" t="s">
        <v>198</v>
      </c>
      <c r="L1178" s="202" t="str">
        <f>IF('Calendario G'!L158="","",'Calendario G'!L158)</f>
        <v/>
      </c>
      <c r="M1178" s="200"/>
      <c r="N1178" s="200"/>
      <c r="O1178" s="200"/>
      <c r="P1178" s="200"/>
      <c r="Q1178" s="200"/>
      <c r="R1178" s="200"/>
    </row>
    <row r="1179" spans="1:18" ht="15" customHeight="1" x14ac:dyDescent="0.25">
      <c r="A1179" s="133"/>
      <c r="B1179" s="136" t="str">
        <f>IF('Calendario G'!B159="","",'Calendario G'!B159)</f>
        <v/>
      </c>
      <c r="C1179" s="124"/>
      <c r="D1179" s="124"/>
      <c r="E1179" s="124"/>
      <c r="F1179" s="124"/>
      <c r="G1179" s="124"/>
      <c r="H1179" s="125"/>
      <c r="I1179" s="45" t="str">
        <f>IF('Calendario G'!I159="","",'Calendario G'!I159)</f>
        <v/>
      </c>
      <c r="J1179" s="133"/>
      <c r="K1179" s="133"/>
      <c r="L1179" s="133"/>
      <c r="M1179" s="133"/>
      <c r="N1179" s="133"/>
      <c r="O1179" s="133"/>
      <c r="P1179" s="133"/>
      <c r="Q1179" s="133"/>
      <c r="R1179" s="133"/>
    </row>
    <row r="1198" spans="1:18" ht="20.100000000000001" customHeight="1" x14ac:dyDescent="0.25">
      <c r="A1198" s="61" t="str">
        <f>IF('Calendario H'!A8="","",'Calendario H'!A8)</f>
        <v>1H</v>
      </c>
      <c r="B1198" s="167" t="str">
        <f>IF('Calendario H'!B8="","",'Calendario H'!B8)</f>
        <v>GIORNATA I - GIRONE H</v>
      </c>
      <c r="C1198" s="124"/>
      <c r="D1198" s="124"/>
      <c r="E1198" s="124"/>
      <c r="F1198" s="124"/>
      <c r="G1198" s="124"/>
      <c r="H1198" s="124"/>
      <c r="I1198" s="124"/>
      <c r="J1198" s="124"/>
      <c r="K1198" s="124"/>
      <c r="L1198" s="125"/>
      <c r="M1198" s="206" t="s">
        <v>492</v>
      </c>
      <c r="N1198" s="124"/>
      <c r="O1198" s="125"/>
      <c r="P1198" s="206" t="s">
        <v>493</v>
      </c>
      <c r="Q1198" s="124"/>
      <c r="R1198" s="125"/>
    </row>
    <row r="1199" spans="1:18" ht="14.1" customHeight="1" x14ac:dyDescent="0.25">
      <c r="A1199" s="62" t="s">
        <v>193</v>
      </c>
      <c r="B1199" s="165" t="s">
        <v>175</v>
      </c>
      <c r="C1199" s="125"/>
      <c r="D1199" s="165" t="s">
        <v>182</v>
      </c>
      <c r="E1199" s="125"/>
      <c r="F1199" s="62" t="s">
        <v>194</v>
      </c>
      <c r="G1199" s="62" t="s">
        <v>195</v>
      </c>
      <c r="H1199" s="165" t="s">
        <v>196</v>
      </c>
      <c r="I1199" s="125"/>
      <c r="J1199" s="165" t="s">
        <v>197</v>
      </c>
      <c r="K1199" s="124"/>
      <c r="L1199" s="125"/>
      <c r="M1199" s="109" t="s">
        <v>494</v>
      </c>
      <c r="N1199" s="109" t="s">
        <v>495</v>
      </c>
      <c r="O1199" s="109" t="s">
        <v>496</v>
      </c>
      <c r="P1199" s="109" t="s">
        <v>497</v>
      </c>
      <c r="Q1199" s="109" t="s">
        <v>498</v>
      </c>
      <c r="R1199" s="109" t="s">
        <v>499</v>
      </c>
    </row>
    <row r="1200" spans="1:18" ht="21.95" customHeight="1" x14ac:dyDescent="0.25">
      <c r="A1200" s="166">
        <f>IF('Calendario H'!A10="","",'Calendario H'!A10)</f>
        <v>316</v>
      </c>
      <c r="B1200" s="44" t="str">
        <f>IF('Calendario H'!B10="","",'Calendario H'!B10)</f>
        <v/>
      </c>
      <c r="C1200" s="45" t="str">
        <f>IF('Calendario H'!C10="","",'Calendario H'!C10)</f>
        <v/>
      </c>
      <c r="D1200" s="44" t="str">
        <f>IF('Calendario H'!D10="","",'Calendario H'!D10)</f>
        <v/>
      </c>
      <c r="E1200" s="45" t="str">
        <f>IF('Calendario H'!E10="","",'Calendario H'!E10)</f>
        <v/>
      </c>
      <c r="F1200" s="138" t="str">
        <f>IF('Calendario H'!F10="","",'Calendario H'!F10)</f>
        <v/>
      </c>
      <c r="G1200" s="124"/>
      <c r="H1200" s="124"/>
      <c r="I1200" s="125"/>
      <c r="J1200" s="202" t="str">
        <f>IF('Calendario H'!J10="","",'Calendario H'!J10)</f>
        <v/>
      </c>
      <c r="K1200" s="201" t="s">
        <v>198</v>
      </c>
      <c r="L1200" s="202" t="str">
        <f>IF('Calendario H'!L10="","",'Calendario H'!L10)</f>
        <v/>
      </c>
      <c r="M1200" s="200"/>
      <c r="N1200" s="200"/>
      <c r="O1200" s="200"/>
      <c r="P1200" s="200"/>
      <c r="Q1200" s="200"/>
      <c r="R1200" s="200"/>
    </row>
    <row r="1201" spans="1:18" ht="15" customHeight="1" x14ac:dyDescent="0.25">
      <c r="A1201" s="133"/>
      <c r="B1201" s="136" t="str">
        <f>IF('Calendario H'!B11="","",'Calendario H'!B11)</f>
        <v/>
      </c>
      <c r="C1201" s="124"/>
      <c r="D1201" s="124"/>
      <c r="E1201" s="124"/>
      <c r="F1201" s="124"/>
      <c r="G1201" s="124"/>
      <c r="H1201" s="125"/>
      <c r="I1201" s="45" t="str">
        <f>IF('Calendario H'!I11="","",'Calendario H'!I11)</f>
        <v/>
      </c>
      <c r="J1201" s="133"/>
      <c r="K1201" s="133"/>
      <c r="L1201" s="133"/>
      <c r="M1201" s="133"/>
      <c r="N1201" s="133"/>
      <c r="O1201" s="133"/>
      <c r="P1201" s="133"/>
      <c r="Q1201" s="133"/>
      <c r="R1201" s="133"/>
    </row>
    <row r="1202" spans="1:18" ht="14.1" customHeight="1" x14ac:dyDescent="0.25">
      <c r="A1202" s="62" t="s">
        <v>193</v>
      </c>
      <c r="B1202" s="165" t="s">
        <v>175</v>
      </c>
      <c r="C1202" s="125"/>
      <c r="D1202" s="165" t="s">
        <v>182</v>
      </c>
      <c r="E1202" s="125"/>
      <c r="F1202" s="62" t="s">
        <v>194</v>
      </c>
      <c r="G1202" s="62" t="s">
        <v>195</v>
      </c>
      <c r="H1202" s="165" t="s">
        <v>196</v>
      </c>
      <c r="I1202" s="125"/>
      <c r="J1202" s="165" t="s">
        <v>197</v>
      </c>
      <c r="K1202" s="124"/>
      <c r="L1202" s="125"/>
      <c r="M1202" s="109" t="s">
        <v>494</v>
      </c>
      <c r="N1202" s="109" t="s">
        <v>495</v>
      </c>
      <c r="O1202" s="109" t="s">
        <v>496</v>
      </c>
      <c r="P1202" s="109" t="s">
        <v>497</v>
      </c>
      <c r="Q1202" s="109" t="s">
        <v>498</v>
      </c>
      <c r="R1202" s="109" t="s">
        <v>499</v>
      </c>
    </row>
    <row r="1203" spans="1:18" ht="21.95" customHeight="1" x14ac:dyDescent="0.25">
      <c r="A1203" s="166">
        <f>IF('Calendario H'!A13="","",'Calendario H'!A13)</f>
        <v>317</v>
      </c>
      <c r="B1203" s="44" t="str">
        <f>IF('Calendario H'!B13="","",'Calendario H'!B13)</f>
        <v/>
      </c>
      <c r="C1203" s="45" t="str">
        <f>IF('Calendario H'!C13="","",'Calendario H'!C13)</f>
        <v/>
      </c>
      <c r="D1203" s="44" t="str">
        <f>IF('Calendario H'!D13="","",'Calendario H'!D13)</f>
        <v/>
      </c>
      <c r="E1203" s="45" t="str">
        <f>IF('Calendario H'!E13="","",'Calendario H'!E13)</f>
        <v/>
      </c>
      <c r="F1203" s="138" t="str">
        <f>IF('Calendario H'!F13="","",'Calendario H'!F13)</f>
        <v/>
      </c>
      <c r="G1203" s="124"/>
      <c r="H1203" s="124"/>
      <c r="I1203" s="125"/>
      <c r="J1203" s="202" t="str">
        <f>IF('Calendario H'!J13="","",'Calendario H'!J13)</f>
        <v/>
      </c>
      <c r="K1203" s="201" t="s">
        <v>198</v>
      </c>
      <c r="L1203" s="202" t="str">
        <f>IF('Calendario H'!L13="","",'Calendario H'!L13)</f>
        <v/>
      </c>
      <c r="M1203" s="200"/>
      <c r="N1203" s="200"/>
      <c r="O1203" s="200"/>
      <c r="P1203" s="200"/>
      <c r="Q1203" s="200"/>
      <c r="R1203" s="200"/>
    </row>
    <row r="1204" spans="1:18" ht="15" customHeight="1" x14ac:dyDescent="0.25">
      <c r="A1204" s="133"/>
      <c r="B1204" s="136" t="str">
        <f>IF('Calendario H'!B14="","",'Calendario H'!B14)</f>
        <v/>
      </c>
      <c r="C1204" s="124"/>
      <c r="D1204" s="124"/>
      <c r="E1204" s="124"/>
      <c r="F1204" s="124"/>
      <c r="G1204" s="124"/>
      <c r="H1204" s="125"/>
      <c r="I1204" s="45" t="str">
        <f>IF('Calendario H'!I14="","",'Calendario H'!I14)</f>
        <v/>
      </c>
      <c r="J1204" s="133"/>
      <c r="K1204" s="133"/>
      <c r="L1204" s="133"/>
      <c r="M1204" s="133"/>
      <c r="N1204" s="133"/>
      <c r="O1204" s="133"/>
      <c r="P1204" s="133"/>
      <c r="Q1204" s="133"/>
      <c r="R1204" s="133"/>
    </row>
    <row r="1205" spans="1:18" ht="14.1" customHeight="1" x14ac:dyDescent="0.25">
      <c r="A1205" s="62" t="s">
        <v>193</v>
      </c>
      <c r="B1205" s="165" t="s">
        <v>175</v>
      </c>
      <c r="C1205" s="125"/>
      <c r="D1205" s="165" t="s">
        <v>182</v>
      </c>
      <c r="E1205" s="125"/>
      <c r="F1205" s="62" t="s">
        <v>194</v>
      </c>
      <c r="G1205" s="62" t="s">
        <v>195</v>
      </c>
      <c r="H1205" s="165" t="s">
        <v>196</v>
      </c>
      <c r="I1205" s="125"/>
      <c r="J1205" s="165" t="s">
        <v>197</v>
      </c>
      <c r="K1205" s="124"/>
      <c r="L1205" s="125"/>
      <c r="M1205" s="109" t="s">
        <v>494</v>
      </c>
      <c r="N1205" s="109" t="s">
        <v>495</v>
      </c>
      <c r="O1205" s="109" t="s">
        <v>496</v>
      </c>
      <c r="P1205" s="109" t="s">
        <v>497</v>
      </c>
      <c r="Q1205" s="109" t="s">
        <v>498</v>
      </c>
      <c r="R1205" s="109" t="s">
        <v>499</v>
      </c>
    </row>
    <row r="1206" spans="1:18" ht="21.95" customHeight="1" x14ac:dyDescent="0.25">
      <c r="A1206" s="166">
        <f>IF('Calendario H'!A16="","",'Calendario H'!A16)</f>
        <v>318</v>
      </c>
      <c r="B1206" s="44" t="str">
        <f>IF('Calendario H'!B16="","",'Calendario H'!B16)</f>
        <v/>
      </c>
      <c r="C1206" s="45" t="str">
        <f>IF('Calendario H'!C16="","",'Calendario H'!C16)</f>
        <v/>
      </c>
      <c r="D1206" s="44" t="str">
        <f>IF('Calendario H'!D16="","",'Calendario H'!D16)</f>
        <v/>
      </c>
      <c r="E1206" s="45" t="str">
        <f>IF('Calendario H'!E16="","",'Calendario H'!E16)</f>
        <v/>
      </c>
      <c r="F1206" s="138" t="str">
        <f>IF('Calendario H'!F16="","",'Calendario H'!F16)</f>
        <v/>
      </c>
      <c r="G1206" s="124"/>
      <c r="H1206" s="124"/>
      <c r="I1206" s="125"/>
      <c r="J1206" s="202" t="str">
        <f>IF('Calendario H'!J16="","",'Calendario H'!J16)</f>
        <v/>
      </c>
      <c r="K1206" s="201" t="s">
        <v>198</v>
      </c>
      <c r="L1206" s="202" t="str">
        <f>IF('Calendario H'!L16="","",'Calendario H'!L16)</f>
        <v/>
      </c>
      <c r="M1206" s="200"/>
      <c r="N1206" s="200"/>
      <c r="O1206" s="200"/>
      <c r="P1206" s="200"/>
      <c r="Q1206" s="200"/>
      <c r="R1206" s="200"/>
    </row>
    <row r="1207" spans="1:18" ht="15" customHeight="1" x14ac:dyDescent="0.25">
      <c r="A1207" s="133"/>
      <c r="B1207" s="136" t="str">
        <f>IF('Calendario H'!B17="","",'Calendario H'!B17)</f>
        <v/>
      </c>
      <c r="C1207" s="124"/>
      <c r="D1207" s="124"/>
      <c r="E1207" s="124"/>
      <c r="F1207" s="124"/>
      <c r="G1207" s="124"/>
      <c r="H1207" s="125"/>
      <c r="I1207" s="45" t="str">
        <f>IF('Calendario H'!I17="","",'Calendario H'!I17)</f>
        <v/>
      </c>
      <c r="J1207" s="133"/>
      <c r="K1207" s="133"/>
      <c r="L1207" s="133"/>
      <c r="M1207" s="133"/>
      <c r="N1207" s="133"/>
      <c r="O1207" s="133"/>
      <c r="P1207" s="133"/>
      <c r="Q1207" s="133"/>
      <c r="R1207" s="133"/>
    </row>
    <row r="1208" spans="1:18" ht="14.1" customHeight="1" x14ac:dyDescent="0.25">
      <c r="A1208" s="62" t="s">
        <v>193</v>
      </c>
      <c r="B1208" s="165" t="s">
        <v>175</v>
      </c>
      <c r="C1208" s="125"/>
      <c r="D1208" s="165" t="s">
        <v>182</v>
      </c>
      <c r="E1208" s="125"/>
      <c r="F1208" s="62" t="s">
        <v>194</v>
      </c>
      <c r="G1208" s="62" t="s">
        <v>195</v>
      </c>
      <c r="H1208" s="165" t="s">
        <v>196</v>
      </c>
      <c r="I1208" s="125"/>
      <c r="J1208" s="165" t="s">
        <v>197</v>
      </c>
      <c r="K1208" s="124"/>
      <c r="L1208" s="125"/>
      <c r="M1208" s="109" t="s">
        <v>494</v>
      </c>
      <c r="N1208" s="109" t="s">
        <v>495</v>
      </c>
      <c r="O1208" s="109" t="s">
        <v>496</v>
      </c>
      <c r="P1208" s="109" t="s">
        <v>497</v>
      </c>
      <c r="Q1208" s="109" t="s">
        <v>498</v>
      </c>
      <c r="R1208" s="109" t="s">
        <v>499</v>
      </c>
    </row>
    <row r="1209" spans="1:18" ht="21.95" customHeight="1" x14ac:dyDescent="0.25">
      <c r="A1209" s="166">
        <f>IF('Calendario H'!A19="","",'Calendario H'!A19)</f>
        <v>319</v>
      </c>
      <c r="B1209" s="44" t="str">
        <f>IF('Calendario H'!B19="","",'Calendario H'!B19)</f>
        <v/>
      </c>
      <c r="C1209" s="45" t="str">
        <f>IF('Calendario H'!C19="","",'Calendario H'!C19)</f>
        <v/>
      </c>
      <c r="D1209" s="44" t="str">
        <f>IF('Calendario H'!D19="","",'Calendario H'!D19)</f>
        <v/>
      </c>
      <c r="E1209" s="45" t="str">
        <f>IF('Calendario H'!E19="","",'Calendario H'!E19)</f>
        <v/>
      </c>
      <c r="F1209" s="138" t="str">
        <f>IF('Calendario H'!F19="","",'Calendario H'!F19)</f>
        <v/>
      </c>
      <c r="G1209" s="124"/>
      <c r="H1209" s="124"/>
      <c r="I1209" s="125"/>
      <c r="J1209" s="202" t="str">
        <f>IF('Calendario H'!J19="","",'Calendario H'!J19)</f>
        <v/>
      </c>
      <c r="K1209" s="201" t="s">
        <v>198</v>
      </c>
      <c r="L1209" s="202" t="str">
        <f>IF('Calendario H'!L19="","",'Calendario H'!L19)</f>
        <v/>
      </c>
      <c r="M1209" s="200"/>
      <c r="N1209" s="200"/>
      <c r="O1209" s="200"/>
      <c r="P1209" s="200"/>
      <c r="Q1209" s="200"/>
      <c r="R1209" s="200"/>
    </row>
    <row r="1210" spans="1:18" ht="15" customHeight="1" x14ac:dyDescent="0.25">
      <c r="A1210" s="133"/>
      <c r="B1210" s="136" t="str">
        <f>IF('Calendario H'!B20="","",'Calendario H'!B20)</f>
        <v/>
      </c>
      <c r="C1210" s="124"/>
      <c r="D1210" s="124"/>
      <c r="E1210" s="124"/>
      <c r="F1210" s="124"/>
      <c r="G1210" s="124"/>
      <c r="H1210" s="125"/>
      <c r="I1210" s="45" t="str">
        <f>IF('Calendario H'!I20="","",'Calendario H'!I20)</f>
        <v/>
      </c>
      <c r="J1210" s="133"/>
      <c r="K1210" s="133"/>
      <c r="L1210" s="133"/>
      <c r="M1210" s="133"/>
      <c r="N1210" s="133"/>
      <c r="O1210" s="133"/>
      <c r="P1210" s="133"/>
      <c r="Q1210" s="133"/>
      <c r="R1210" s="133"/>
    </row>
    <row r="1211" spans="1:18" ht="14.1" customHeight="1" x14ac:dyDescent="0.25">
      <c r="A1211" s="62" t="s">
        <v>193</v>
      </c>
      <c r="B1211" s="165" t="s">
        <v>175</v>
      </c>
      <c r="C1211" s="125"/>
      <c r="D1211" s="165" t="s">
        <v>182</v>
      </c>
      <c r="E1211" s="125"/>
      <c r="F1211" s="62" t="s">
        <v>194</v>
      </c>
      <c r="G1211" s="62" t="s">
        <v>195</v>
      </c>
      <c r="H1211" s="165" t="s">
        <v>196</v>
      </c>
      <c r="I1211" s="125"/>
      <c r="J1211" s="165" t="s">
        <v>197</v>
      </c>
      <c r="K1211" s="124"/>
      <c r="L1211" s="125"/>
      <c r="M1211" s="109" t="s">
        <v>494</v>
      </c>
      <c r="N1211" s="109" t="s">
        <v>495</v>
      </c>
      <c r="O1211" s="109" t="s">
        <v>496</v>
      </c>
      <c r="P1211" s="109" t="s">
        <v>497</v>
      </c>
      <c r="Q1211" s="109" t="s">
        <v>498</v>
      </c>
      <c r="R1211" s="109" t="s">
        <v>499</v>
      </c>
    </row>
    <row r="1212" spans="1:18" ht="21.95" customHeight="1" x14ac:dyDescent="0.25">
      <c r="A1212" s="166">
        <f>IF('Calendario H'!A22="","",'Calendario H'!A22)</f>
        <v>320</v>
      </c>
      <c r="B1212" s="44" t="str">
        <f>IF('Calendario H'!B22="","",'Calendario H'!B22)</f>
        <v/>
      </c>
      <c r="C1212" s="45" t="str">
        <f>IF('Calendario H'!C22="","",'Calendario H'!C22)</f>
        <v/>
      </c>
      <c r="D1212" s="44" t="str">
        <f>IF('Calendario H'!D22="","",'Calendario H'!D22)</f>
        <v/>
      </c>
      <c r="E1212" s="45" t="str">
        <f>IF('Calendario H'!E22="","",'Calendario H'!E22)</f>
        <v/>
      </c>
      <c r="F1212" s="138" t="str">
        <f>IF('Calendario H'!F22="","",'Calendario H'!F22)</f>
        <v/>
      </c>
      <c r="G1212" s="124"/>
      <c r="H1212" s="124"/>
      <c r="I1212" s="125"/>
      <c r="J1212" s="202" t="str">
        <f>IF('Calendario H'!J22="","",'Calendario H'!J22)</f>
        <v/>
      </c>
      <c r="K1212" s="201" t="s">
        <v>198</v>
      </c>
      <c r="L1212" s="202" t="str">
        <f>IF('Calendario H'!L22="","",'Calendario H'!L22)</f>
        <v/>
      </c>
      <c r="M1212" s="200"/>
      <c r="N1212" s="200"/>
      <c r="O1212" s="200"/>
      <c r="P1212" s="200"/>
      <c r="Q1212" s="200"/>
      <c r="R1212" s="200"/>
    </row>
    <row r="1213" spans="1:18" ht="15" customHeight="1" x14ac:dyDescent="0.25">
      <c r="A1213" s="133"/>
      <c r="B1213" s="136" t="str">
        <f>IF('Calendario H'!B23="","",'Calendario H'!B23)</f>
        <v/>
      </c>
      <c r="C1213" s="124"/>
      <c r="D1213" s="124"/>
      <c r="E1213" s="124"/>
      <c r="F1213" s="124"/>
      <c r="G1213" s="124"/>
      <c r="H1213" s="125"/>
      <c r="I1213" s="45" t="str">
        <f>IF('Calendario H'!I23="","",'Calendario H'!I23)</f>
        <v/>
      </c>
      <c r="J1213" s="133"/>
      <c r="K1213" s="133"/>
      <c r="L1213" s="133"/>
      <c r="M1213" s="133"/>
      <c r="N1213" s="133"/>
      <c r="O1213" s="133"/>
      <c r="P1213" s="133"/>
      <c r="Q1213" s="133"/>
      <c r="R1213" s="133"/>
    </row>
    <row r="1215" spans="1:18" ht="20.100000000000001" customHeight="1" x14ac:dyDescent="0.25">
      <c r="A1215" s="61" t="str">
        <f>IF('Calendario H'!A25="","",'Calendario H'!A25)</f>
        <v>2H</v>
      </c>
      <c r="B1215" s="167" t="str">
        <f>IF('Calendario H'!B25="","",'Calendario H'!B25)</f>
        <v>GIORNATA II - GIRONE H</v>
      </c>
      <c r="C1215" s="124"/>
      <c r="D1215" s="124"/>
      <c r="E1215" s="124"/>
      <c r="F1215" s="124"/>
      <c r="G1215" s="124"/>
      <c r="H1215" s="124"/>
      <c r="I1215" s="124"/>
      <c r="J1215" s="124"/>
      <c r="K1215" s="124"/>
      <c r="L1215" s="125"/>
      <c r="M1215" s="206" t="s">
        <v>492</v>
      </c>
      <c r="N1215" s="124"/>
      <c r="O1215" s="125"/>
      <c r="P1215" s="206" t="s">
        <v>493</v>
      </c>
      <c r="Q1215" s="124"/>
      <c r="R1215" s="125"/>
    </row>
    <row r="1216" spans="1:18" ht="14.1" customHeight="1" x14ac:dyDescent="0.25">
      <c r="A1216" s="62" t="s">
        <v>193</v>
      </c>
      <c r="B1216" s="165" t="s">
        <v>175</v>
      </c>
      <c r="C1216" s="125"/>
      <c r="D1216" s="165" t="s">
        <v>182</v>
      </c>
      <c r="E1216" s="125"/>
      <c r="F1216" s="62" t="s">
        <v>194</v>
      </c>
      <c r="G1216" s="62" t="s">
        <v>195</v>
      </c>
      <c r="H1216" s="165" t="s">
        <v>196</v>
      </c>
      <c r="I1216" s="125"/>
      <c r="J1216" s="165" t="s">
        <v>197</v>
      </c>
      <c r="K1216" s="124"/>
      <c r="L1216" s="125"/>
      <c r="M1216" s="109" t="s">
        <v>494</v>
      </c>
      <c r="N1216" s="109" t="s">
        <v>495</v>
      </c>
      <c r="O1216" s="109" t="s">
        <v>496</v>
      </c>
      <c r="P1216" s="109" t="s">
        <v>497</v>
      </c>
      <c r="Q1216" s="109" t="s">
        <v>498</v>
      </c>
      <c r="R1216" s="109" t="s">
        <v>499</v>
      </c>
    </row>
    <row r="1217" spans="1:18" ht="21.95" customHeight="1" x14ac:dyDescent="0.25">
      <c r="A1217" s="166">
        <f>IF('Calendario H'!A27="","",'Calendario H'!A27)</f>
        <v>321</v>
      </c>
      <c r="B1217" s="44" t="str">
        <f>IF('Calendario H'!B27="","",'Calendario H'!B27)</f>
        <v/>
      </c>
      <c r="C1217" s="45" t="str">
        <f>IF('Calendario H'!C27="","",'Calendario H'!C27)</f>
        <v/>
      </c>
      <c r="D1217" s="44" t="str">
        <f>IF('Calendario H'!D27="","",'Calendario H'!D27)</f>
        <v/>
      </c>
      <c r="E1217" s="45" t="str">
        <f>IF('Calendario H'!E27="","",'Calendario H'!E27)</f>
        <v/>
      </c>
      <c r="F1217" s="138" t="str">
        <f>IF('Calendario H'!F27="","",'Calendario H'!F27)</f>
        <v/>
      </c>
      <c r="G1217" s="124"/>
      <c r="H1217" s="124"/>
      <c r="I1217" s="125"/>
      <c r="J1217" s="202" t="str">
        <f>IF('Calendario H'!J27="","",'Calendario H'!J27)</f>
        <v/>
      </c>
      <c r="K1217" s="201" t="s">
        <v>198</v>
      </c>
      <c r="L1217" s="202" t="str">
        <f>IF('Calendario H'!L27="","",'Calendario H'!L27)</f>
        <v/>
      </c>
      <c r="M1217" s="200"/>
      <c r="N1217" s="200"/>
      <c r="O1217" s="200"/>
      <c r="P1217" s="200"/>
      <c r="Q1217" s="200"/>
      <c r="R1217" s="200"/>
    </row>
    <row r="1218" spans="1:18" ht="15" customHeight="1" x14ac:dyDescent="0.25">
      <c r="A1218" s="133"/>
      <c r="B1218" s="136" t="str">
        <f>IF('Calendario H'!B28="","",'Calendario H'!B28)</f>
        <v/>
      </c>
      <c r="C1218" s="124"/>
      <c r="D1218" s="124"/>
      <c r="E1218" s="124"/>
      <c r="F1218" s="124"/>
      <c r="G1218" s="124"/>
      <c r="H1218" s="125"/>
      <c r="I1218" s="45" t="str">
        <f>IF('Calendario H'!I28="","",'Calendario H'!I28)</f>
        <v/>
      </c>
      <c r="J1218" s="133"/>
      <c r="K1218" s="133"/>
      <c r="L1218" s="133"/>
      <c r="M1218" s="133"/>
      <c r="N1218" s="133"/>
      <c r="O1218" s="133"/>
      <c r="P1218" s="133"/>
      <c r="Q1218" s="133"/>
      <c r="R1218" s="133"/>
    </row>
    <row r="1219" spans="1:18" ht="14.1" customHeight="1" x14ac:dyDescent="0.25">
      <c r="A1219" s="62" t="s">
        <v>193</v>
      </c>
      <c r="B1219" s="165" t="s">
        <v>175</v>
      </c>
      <c r="C1219" s="125"/>
      <c r="D1219" s="165" t="s">
        <v>182</v>
      </c>
      <c r="E1219" s="125"/>
      <c r="F1219" s="62" t="s">
        <v>194</v>
      </c>
      <c r="G1219" s="62" t="s">
        <v>195</v>
      </c>
      <c r="H1219" s="165" t="s">
        <v>196</v>
      </c>
      <c r="I1219" s="125"/>
      <c r="J1219" s="165" t="s">
        <v>197</v>
      </c>
      <c r="K1219" s="124"/>
      <c r="L1219" s="125"/>
      <c r="M1219" s="109" t="s">
        <v>494</v>
      </c>
      <c r="N1219" s="109" t="s">
        <v>495</v>
      </c>
      <c r="O1219" s="109" t="s">
        <v>496</v>
      </c>
      <c r="P1219" s="109" t="s">
        <v>497</v>
      </c>
      <c r="Q1219" s="109" t="s">
        <v>498</v>
      </c>
      <c r="R1219" s="109" t="s">
        <v>499</v>
      </c>
    </row>
    <row r="1220" spans="1:18" ht="21.95" customHeight="1" x14ac:dyDescent="0.25">
      <c r="A1220" s="166">
        <f>IF('Calendario H'!A30="","",'Calendario H'!A30)</f>
        <v>322</v>
      </c>
      <c r="B1220" s="44" t="str">
        <f>IF('Calendario H'!B30="","",'Calendario H'!B30)</f>
        <v/>
      </c>
      <c r="C1220" s="45" t="str">
        <f>IF('Calendario H'!C30="","",'Calendario H'!C30)</f>
        <v/>
      </c>
      <c r="D1220" s="44" t="str">
        <f>IF('Calendario H'!D30="","",'Calendario H'!D30)</f>
        <v/>
      </c>
      <c r="E1220" s="45" t="str">
        <f>IF('Calendario H'!E30="","",'Calendario H'!E30)</f>
        <v/>
      </c>
      <c r="F1220" s="138" t="str">
        <f>IF('Calendario H'!F30="","",'Calendario H'!F30)</f>
        <v/>
      </c>
      <c r="G1220" s="124"/>
      <c r="H1220" s="124"/>
      <c r="I1220" s="125"/>
      <c r="J1220" s="202" t="str">
        <f>IF('Calendario H'!J30="","",'Calendario H'!J30)</f>
        <v/>
      </c>
      <c r="K1220" s="201" t="s">
        <v>198</v>
      </c>
      <c r="L1220" s="202" t="str">
        <f>IF('Calendario H'!L30="","",'Calendario H'!L30)</f>
        <v/>
      </c>
      <c r="M1220" s="200"/>
      <c r="N1220" s="200"/>
      <c r="O1220" s="200"/>
      <c r="P1220" s="200"/>
      <c r="Q1220" s="200"/>
      <c r="R1220" s="200"/>
    </row>
    <row r="1221" spans="1:18" ht="15" customHeight="1" x14ac:dyDescent="0.25">
      <c r="A1221" s="133"/>
      <c r="B1221" s="136" t="str">
        <f>IF('Calendario H'!B31="","",'Calendario H'!B31)</f>
        <v/>
      </c>
      <c r="C1221" s="124"/>
      <c r="D1221" s="124"/>
      <c r="E1221" s="124"/>
      <c r="F1221" s="124"/>
      <c r="G1221" s="124"/>
      <c r="H1221" s="125"/>
      <c r="I1221" s="45" t="str">
        <f>IF('Calendario H'!I31="","",'Calendario H'!I31)</f>
        <v/>
      </c>
      <c r="J1221" s="133"/>
      <c r="K1221" s="133"/>
      <c r="L1221" s="133"/>
      <c r="M1221" s="133"/>
      <c r="N1221" s="133"/>
      <c r="O1221" s="133"/>
      <c r="P1221" s="133"/>
      <c r="Q1221" s="133"/>
      <c r="R1221" s="133"/>
    </row>
    <row r="1222" spans="1:18" ht="14.1" customHeight="1" x14ac:dyDescent="0.25">
      <c r="A1222" s="62" t="s">
        <v>193</v>
      </c>
      <c r="B1222" s="165" t="s">
        <v>175</v>
      </c>
      <c r="C1222" s="125"/>
      <c r="D1222" s="165" t="s">
        <v>182</v>
      </c>
      <c r="E1222" s="125"/>
      <c r="F1222" s="62" t="s">
        <v>194</v>
      </c>
      <c r="G1222" s="62" t="s">
        <v>195</v>
      </c>
      <c r="H1222" s="165" t="s">
        <v>196</v>
      </c>
      <c r="I1222" s="125"/>
      <c r="J1222" s="165" t="s">
        <v>197</v>
      </c>
      <c r="K1222" s="124"/>
      <c r="L1222" s="125"/>
      <c r="M1222" s="109" t="s">
        <v>494</v>
      </c>
      <c r="N1222" s="109" t="s">
        <v>495</v>
      </c>
      <c r="O1222" s="109" t="s">
        <v>496</v>
      </c>
      <c r="P1222" s="109" t="s">
        <v>497</v>
      </c>
      <c r="Q1222" s="109" t="s">
        <v>498</v>
      </c>
      <c r="R1222" s="109" t="s">
        <v>499</v>
      </c>
    </row>
    <row r="1223" spans="1:18" ht="21.95" customHeight="1" x14ac:dyDescent="0.25">
      <c r="A1223" s="166">
        <f>IF('Calendario H'!A33="","",'Calendario H'!A33)</f>
        <v>323</v>
      </c>
      <c r="B1223" s="44" t="str">
        <f>IF('Calendario H'!B33="","",'Calendario H'!B33)</f>
        <v/>
      </c>
      <c r="C1223" s="45" t="str">
        <f>IF('Calendario H'!C33="","",'Calendario H'!C33)</f>
        <v/>
      </c>
      <c r="D1223" s="44" t="str">
        <f>IF('Calendario H'!D33="","",'Calendario H'!D33)</f>
        <v/>
      </c>
      <c r="E1223" s="45" t="str">
        <f>IF('Calendario H'!E33="","",'Calendario H'!E33)</f>
        <v/>
      </c>
      <c r="F1223" s="138" t="str">
        <f>IF('Calendario H'!F33="","",'Calendario H'!F33)</f>
        <v/>
      </c>
      <c r="G1223" s="124"/>
      <c r="H1223" s="124"/>
      <c r="I1223" s="125"/>
      <c r="J1223" s="202" t="str">
        <f>IF('Calendario H'!J33="","",'Calendario H'!J33)</f>
        <v/>
      </c>
      <c r="K1223" s="201" t="s">
        <v>198</v>
      </c>
      <c r="L1223" s="202" t="str">
        <f>IF('Calendario H'!L33="","",'Calendario H'!L33)</f>
        <v/>
      </c>
      <c r="M1223" s="200"/>
      <c r="N1223" s="200"/>
      <c r="O1223" s="200"/>
      <c r="P1223" s="200"/>
      <c r="Q1223" s="200"/>
      <c r="R1223" s="200"/>
    </row>
    <row r="1224" spans="1:18" ht="15" customHeight="1" x14ac:dyDescent="0.25">
      <c r="A1224" s="133"/>
      <c r="B1224" s="136" t="str">
        <f>IF('Calendario H'!B34="","",'Calendario H'!B34)</f>
        <v/>
      </c>
      <c r="C1224" s="124"/>
      <c r="D1224" s="124"/>
      <c r="E1224" s="124"/>
      <c r="F1224" s="124"/>
      <c r="G1224" s="124"/>
      <c r="H1224" s="125"/>
      <c r="I1224" s="45" t="str">
        <f>IF('Calendario H'!I34="","",'Calendario H'!I34)</f>
        <v/>
      </c>
      <c r="J1224" s="133"/>
      <c r="K1224" s="133"/>
      <c r="L1224" s="133"/>
      <c r="M1224" s="133"/>
      <c r="N1224" s="133"/>
      <c r="O1224" s="133"/>
      <c r="P1224" s="133"/>
      <c r="Q1224" s="133"/>
      <c r="R1224" s="133"/>
    </row>
    <row r="1225" spans="1:18" ht="14.1" customHeight="1" x14ac:dyDescent="0.25">
      <c r="A1225" s="62" t="s">
        <v>193</v>
      </c>
      <c r="B1225" s="165" t="s">
        <v>175</v>
      </c>
      <c r="C1225" s="125"/>
      <c r="D1225" s="165" t="s">
        <v>182</v>
      </c>
      <c r="E1225" s="125"/>
      <c r="F1225" s="62" t="s">
        <v>194</v>
      </c>
      <c r="G1225" s="62" t="s">
        <v>195</v>
      </c>
      <c r="H1225" s="165" t="s">
        <v>196</v>
      </c>
      <c r="I1225" s="125"/>
      <c r="J1225" s="165" t="s">
        <v>197</v>
      </c>
      <c r="K1225" s="124"/>
      <c r="L1225" s="125"/>
      <c r="M1225" s="109" t="s">
        <v>494</v>
      </c>
      <c r="N1225" s="109" t="s">
        <v>495</v>
      </c>
      <c r="O1225" s="109" t="s">
        <v>496</v>
      </c>
      <c r="P1225" s="109" t="s">
        <v>497</v>
      </c>
      <c r="Q1225" s="109" t="s">
        <v>498</v>
      </c>
      <c r="R1225" s="109" t="s">
        <v>499</v>
      </c>
    </row>
    <row r="1226" spans="1:18" ht="21.95" customHeight="1" x14ac:dyDescent="0.25">
      <c r="A1226" s="166">
        <f>IF('Calendario H'!A36="","",'Calendario H'!A36)</f>
        <v>324</v>
      </c>
      <c r="B1226" s="44" t="str">
        <f>IF('Calendario H'!B36="","",'Calendario H'!B36)</f>
        <v/>
      </c>
      <c r="C1226" s="45" t="str">
        <f>IF('Calendario H'!C36="","",'Calendario H'!C36)</f>
        <v/>
      </c>
      <c r="D1226" s="44" t="str">
        <f>IF('Calendario H'!D36="","",'Calendario H'!D36)</f>
        <v/>
      </c>
      <c r="E1226" s="45" t="str">
        <f>IF('Calendario H'!E36="","",'Calendario H'!E36)</f>
        <v/>
      </c>
      <c r="F1226" s="138" t="str">
        <f>IF('Calendario H'!F36="","",'Calendario H'!F36)</f>
        <v/>
      </c>
      <c r="G1226" s="124"/>
      <c r="H1226" s="124"/>
      <c r="I1226" s="125"/>
      <c r="J1226" s="202" t="str">
        <f>IF('Calendario H'!J36="","",'Calendario H'!J36)</f>
        <v/>
      </c>
      <c r="K1226" s="201" t="s">
        <v>198</v>
      </c>
      <c r="L1226" s="202" t="str">
        <f>IF('Calendario H'!L36="","",'Calendario H'!L36)</f>
        <v/>
      </c>
      <c r="M1226" s="200"/>
      <c r="N1226" s="200"/>
      <c r="O1226" s="200"/>
      <c r="P1226" s="200"/>
      <c r="Q1226" s="200"/>
      <c r="R1226" s="200"/>
    </row>
    <row r="1227" spans="1:18" ht="15" customHeight="1" x14ac:dyDescent="0.25">
      <c r="A1227" s="133"/>
      <c r="B1227" s="136" t="str">
        <f>IF('Calendario H'!B37="","",'Calendario H'!B37)</f>
        <v/>
      </c>
      <c r="C1227" s="124"/>
      <c r="D1227" s="124"/>
      <c r="E1227" s="124"/>
      <c r="F1227" s="124"/>
      <c r="G1227" s="124"/>
      <c r="H1227" s="125"/>
      <c r="I1227" s="45" t="str">
        <f>IF('Calendario H'!I37="","",'Calendario H'!I37)</f>
        <v/>
      </c>
      <c r="J1227" s="133"/>
      <c r="K1227" s="133"/>
      <c r="L1227" s="133"/>
      <c r="M1227" s="133"/>
      <c r="N1227" s="133"/>
      <c r="O1227" s="133"/>
      <c r="P1227" s="133"/>
      <c r="Q1227" s="133"/>
      <c r="R1227" s="133"/>
    </row>
    <row r="1228" spans="1:18" ht="14.1" customHeight="1" x14ac:dyDescent="0.25">
      <c r="A1228" s="62" t="s">
        <v>193</v>
      </c>
      <c r="B1228" s="165" t="s">
        <v>175</v>
      </c>
      <c r="C1228" s="125"/>
      <c r="D1228" s="165" t="s">
        <v>182</v>
      </c>
      <c r="E1228" s="125"/>
      <c r="F1228" s="62" t="s">
        <v>194</v>
      </c>
      <c r="G1228" s="62" t="s">
        <v>195</v>
      </c>
      <c r="H1228" s="165" t="s">
        <v>196</v>
      </c>
      <c r="I1228" s="125"/>
      <c r="J1228" s="165" t="s">
        <v>197</v>
      </c>
      <c r="K1228" s="124"/>
      <c r="L1228" s="125"/>
      <c r="M1228" s="109" t="s">
        <v>494</v>
      </c>
      <c r="N1228" s="109" t="s">
        <v>495</v>
      </c>
      <c r="O1228" s="109" t="s">
        <v>496</v>
      </c>
      <c r="P1228" s="109" t="s">
        <v>497</v>
      </c>
      <c r="Q1228" s="109" t="s">
        <v>498</v>
      </c>
      <c r="R1228" s="109" t="s">
        <v>499</v>
      </c>
    </row>
    <row r="1229" spans="1:18" ht="21.95" customHeight="1" x14ac:dyDescent="0.25">
      <c r="A1229" s="166">
        <f>IF('Calendario H'!A39="","",'Calendario H'!A39)</f>
        <v>325</v>
      </c>
      <c r="B1229" s="44" t="str">
        <f>IF('Calendario H'!B39="","",'Calendario H'!B39)</f>
        <v/>
      </c>
      <c r="C1229" s="45" t="str">
        <f>IF('Calendario H'!C39="","",'Calendario H'!C39)</f>
        <v/>
      </c>
      <c r="D1229" s="44" t="str">
        <f>IF('Calendario H'!D39="","",'Calendario H'!D39)</f>
        <v/>
      </c>
      <c r="E1229" s="45" t="str">
        <f>IF('Calendario H'!E39="","",'Calendario H'!E39)</f>
        <v/>
      </c>
      <c r="F1229" s="138" t="str">
        <f>IF('Calendario H'!F39="","",'Calendario H'!F39)</f>
        <v/>
      </c>
      <c r="G1229" s="124"/>
      <c r="H1229" s="124"/>
      <c r="I1229" s="125"/>
      <c r="J1229" s="202" t="str">
        <f>IF('Calendario H'!J39="","",'Calendario H'!J39)</f>
        <v/>
      </c>
      <c r="K1229" s="201" t="s">
        <v>198</v>
      </c>
      <c r="L1229" s="202" t="str">
        <f>IF('Calendario H'!L39="","",'Calendario H'!L39)</f>
        <v/>
      </c>
      <c r="M1229" s="200"/>
      <c r="N1229" s="200"/>
      <c r="O1229" s="200"/>
      <c r="P1229" s="200"/>
      <c r="Q1229" s="200"/>
      <c r="R1229" s="200"/>
    </row>
    <row r="1230" spans="1:18" ht="15" customHeight="1" x14ac:dyDescent="0.25">
      <c r="A1230" s="133"/>
      <c r="B1230" s="136" t="str">
        <f>IF('Calendario H'!B40="","",'Calendario H'!B40)</f>
        <v/>
      </c>
      <c r="C1230" s="124"/>
      <c r="D1230" s="124"/>
      <c r="E1230" s="124"/>
      <c r="F1230" s="124"/>
      <c r="G1230" s="124"/>
      <c r="H1230" s="125"/>
      <c r="I1230" s="45" t="str">
        <f>IF('Calendario H'!I40="","",'Calendario H'!I40)</f>
        <v/>
      </c>
      <c r="J1230" s="133"/>
      <c r="K1230" s="133"/>
      <c r="L1230" s="133"/>
      <c r="M1230" s="133"/>
      <c r="N1230" s="133"/>
      <c r="O1230" s="133"/>
      <c r="P1230" s="133"/>
      <c r="Q1230" s="133"/>
      <c r="R1230" s="133"/>
    </row>
    <row r="1232" spans="1:18" ht="20.100000000000001" customHeight="1" x14ac:dyDescent="0.25">
      <c r="A1232" s="61" t="str">
        <f>IF('Calendario H'!A42="","",'Calendario H'!A42)</f>
        <v>3H</v>
      </c>
      <c r="B1232" s="167" t="str">
        <f>IF('Calendario H'!B42="","",'Calendario H'!B42)</f>
        <v>GIORNATA III - GIRONE H</v>
      </c>
      <c r="C1232" s="124"/>
      <c r="D1232" s="124"/>
      <c r="E1232" s="124"/>
      <c r="F1232" s="124"/>
      <c r="G1232" s="124"/>
      <c r="H1232" s="124"/>
      <c r="I1232" s="124"/>
      <c r="J1232" s="124"/>
      <c r="K1232" s="124"/>
      <c r="L1232" s="125"/>
      <c r="M1232" s="206" t="s">
        <v>492</v>
      </c>
      <c r="N1232" s="124"/>
      <c r="O1232" s="125"/>
      <c r="P1232" s="206" t="s">
        <v>493</v>
      </c>
      <c r="Q1232" s="124"/>
      <c r="R1232" s="125"/>
    </row>
    <row r="1233" spans="1:18" ht="14.1" customHeight="1" x14ac:dyDescent="0.25">
      <c r="A1233" s="62" t="s">
        <v>193</v>
      </c>
      <c r="B1233" s="165" t="s">
        <v>175</v>
      </c>
      <c r="C1233" s="125"/>
      <c r="D1233" s="165" t="s">
        <v>182</v>
      </c>
      <c r="E1233" s="125"/>
      <c r="F1233" s="62" t="s">
        <v>194</v>
      </c>
      <c r="G1233" s="62" t="s">
        <v>195</v>
      </c>
      <c r="H1233" s="165" t="s">
        <v>196</v>
      </c>
      <c r="I1233" s="125"/>
      <c r="J1233" s="165" t="s">
        <v>197</v>
      </c>
      <c r="K1233" s="124"/>
      <c r="L1233" s="125"/>
      <c r="M1233" s="109" t="s">
        <v>494</v>
      </c>
      <c r="N1233" s="109" t="s">
        <v>495</v>
      </c>
      <c r="O1233" s="109" t="s">
        <v>496</v>
      </c>
      <c r="P1233" s="109" t="s">
        <v>497</v>
      </c>
      <c r="Q1233" s="109" t="s">
        <v>498</v>
      </c>
      <c r="R1233" s="109" t="s">
        <v>499</v>
      </c>
    </row>
    <row r="1234" spans="1:18" ht="21.95" customHeight="1" x14ac:dyDescent="0.25">
      <c r="A1234" s="166">
        <f>IF('Calendario H'!A44="","",'Calendario H'!A44)</f>
        <v>326</v>
      </c>
      <c r="B1234" s="44" t="str">
        <f>IF('Calendario H'!B44="","",'Calendario H'!B44)</f>
        <v/>
      </c>
      <c r="C1234" s="45" t="str">
        <f>IF('Calendario H'!C44="","",'Calendario H'!C44)</f>
        <v/>
      </c>
      <c r="D1234" s="44" t="str">
        <f>IF('Calendario H'!D44="","",'Calendario H'!D44)</f>
        <v/>
      </c>
      <c r="E1234" s="45" t="str">
        <f>IF('Calendario H'!E44="","",'Calendario H'!E44)</f>
        <v/>
      </c>
      <c r="F1234" s="138" t="str">
        <f>IF('Calendario H'!F44="","",'Calendario H'!F44)</f>
        <v/>
      </c>
      <c r="G1234" s="124"/>
      <c r="H1234" s="124"/>
      <c r="I1234" s="125"/>
      <c r="J1234" s="202" t="str">
        <f>IF('Calendario H'!J44="","",'Calendario H'!J44)</f>
        <v/>
      </c>
      <c r="K1234" s="201" t="s">
        <v>198</v>
      </c>
      <c r="L1234" s="202" t="str">
        <f>IF('Calendario H'!L44="","",'Calendario H'!L44)</f>
        <v/>
      </c>
      <c r="M1234" s="200"/>
      <c r="N1234" s="200"/>
      <c r="O1234" s="200"/>
      <c r="P1234" s="200"/>
      <c r="Q1234" s="200"/>
      <c r="R1234" s="200"/>
    </row>
    <row r="1235" spans="1:18" ht="15" customHeight="1" x14ac:dyDescent="0.25">
      <c r="A1235" s="133"/>
      <c r="B1235" s="136" t="str">
        <f>IF('Calendario H'!B45="","",'Calendario H'!B45)</f>
        <v/>
      </c>
      <c r="C1235" s="124"/>
      <c r="D1235" s="124"/>
      <c r="E1235" s="124"/>
      <c r="F1235" s="124"/>
      <c r="G1235" s="124"/>
      <c r="H1235" s="125"/>
      <c r="I1235" s="45" t="str">
        <f>IF('Calendario H'!I45="","",'Calendario H'!I45)</f>
        <v/>
      </c>
      <c r="J1235" s="133"/>
      <c r="K1235" s="133"/>
      <c r="L1235" s="133"/>
      <c r="M1235" s="133"/>
      <c r="N1235" s="133"/>
      <c r="O1235" s="133"/>
      <c r="P1235" s="133"/>
      <c r="Q1235" s="133"/>
      <c r="R1235" s="133"/>
    </row>
    <row r="1236" spans="1:18" ht="14.1" customHeight="1" x14ac:dyDescent="0.25">
      <c r="A1236" s="62" t="s">
        <v>193</v>
      </c>
      <c r="B1236" s="165" t="s">
        <v>175</v>
      </c>
      <c r="C1236" s="125"/>
      <c r="D1236" s="165" t="s">
        <v>182</v>
      </c>
      <c r="E1236" s="125"/>
      <c r="F1236" s="62" t="s">
        <v>194</v>
      </c>
      <c r="G1236" s="62" t="s">
        <v>195</v>
      </c>
      <c r="H1236" s="165" t="s">
        <v>196</v>
      </c>
      <c r="I1236" s="125"/>
      <c r="J1236" s="165" t="s">
        <v>197</v>
      </c>
      <c r="K1236" s="124"/>
      <c r="L1236" s="125"/>
      <c r="M1236" s="109" t="s">
        <v>494</v>
      </c>
      <c r="N1236" s="109" t="s">
        <v>495</v>
      </c>
      <c r="O1236" s="109" t="s">
        <v>496</v>
      </c>
      <c r="P1236" s="109" t="s">
        <v>497</v>
      </c>
      <c r="Q1236" s="109" t="s">
        <v>498</v>
      </c>
      <c r="R1236" s="109" t="s">
        <v>499</v>
      </c>
    </row>
    <row r="1237" spans="1:18" ht="21.95" customHeight="1" x14ac:dyDescent="0.25">
      <c r="A1237" s="166">
        <f>IF('Calendario H'!A47="","",'Calendario H'!A47)</f>
        <v>327</v>
      </c>
      <c r="B1237" s="44" t="str">
        <f>IF('Calendario H'!B47="","",'Calendario H'!B47)</f>
        <v/>
      </c>
      <c r="C1237" s="45" t="str">
        <f>IF('Calendario H'!C47="","",'Calendario H'!C47)</f>
        <v/>
      </c>
      <c r="D1237" s="44" t="str">
        <f>IF('Calendario H'!D47="","",'Calendario H'!D47)</f>
        <v/>
      </c>
      <c r="E1237" s="45" t="str">
        <f>IF('Calendario H'!E47="","",'Calendario H'!E47)</f>
        <v/>
      </c>
      <c r="F1237" s="138" t="str">
        <f>IF('Calendario H'!F47="","",'Calendario H'!F47)</f>
        <v/>
      </c>
      <c r="G1237" s="124"/>
      <c r="H1237" s="124"/>
      <c r="I1237" s="125"/>
      <c r="J1237" s="202" t="str">
        <f>IF('Calendario H'!J47="","",'Calendario H'!J47)</f>
        <v/>
      </c>
      <c r="K1237" s="201" t="s">
        <v>198</v>
      </c>
      <c r="L1237" s="202" t="str">
        <f>IF('Calendario H'!L47="","",'Calendario H'!L47)</f>
        <v/>
      </c>
      <c r="M1237" s="200"/>
      <c r="N1237" s="200"/>
      <c r="O1237" s="200"/>
      <c r="P1237" s="200"/>
      <c r="Q1237" s="200"/>
      <c r="R1237" s="200"/>
    </row>
    <row r="1238" spans="1:18" ht="15" customHeight="1" x14ac:dyDescent="0.25">
      <c r="A1238" s="133"/>
      <c r="B1238" s="136" t="str">
        <f>IF('Calendario H'!B48="","",'Calendario H'!B48)</f>
        <v/>
      </c>
      <c r="C1238" s="124"/>
      <c r="D1238" s="124"/>
      <c r="E1238" s="124"/>
      <c r="F1238" s="124"/>
      <c r="G1238" s="124"/>
      <c r="H1238" s="125"/>
      <c r="I1238" s="45" t="str">
        <f>IF('Calendario H'!I48="","",'Calendario H'!I48)</f>
        <v/>
      </c>
      <c r="J1238" s="133"/>
      <c r="K1238" s="133"/>
      <c r="L1238" s="133"/>
      <c r="M1238" s="133"/>
      <c r="N1238" s="133"/>
      <c r="O1238" s="133"/>
      <c r="P1238" s="133"/>
      <c r="Q1238" s="133"/>
      <c r="R1238" s="133"/>
    </row>
    <row r="1239" spans="1:18" ht="14.1" customHeight="1" x14ac:dyDescent="0.25">
      <c r="A1239" s="62" t="s">
        <v>193</v>
      </c>
      <c r="B1239" s="165" t="s">
        <v>175</v>
      </c>
      <c r="C1239" s="125"/>
      <c r="D1239" s="165" t="s">
        <v>182</v>
      </c>
      <c r="E1239" s="125"/>
      <c r="F1239" s="62" t="s">
        <v>194</v>
      </c>
      <c r="G1239" s="62" t="s">
        <v>195</v>
      </c>
      <c r="H1239" s="165" t="s">
        <v>196</v>
      </c>
      <c r="I1239" s="125"/>
      <c r="J1239" s="165" t="s">
        <v>197</v>
      </c>
      <c r="K1239" s="124"/>
      <c r="L1239" s="125"/>
      <c r="M1239" s="109" t="s">
        <v>494</v>
      </c>
      <c r="N1239" s="109" t="s">
        <v>495</v>
      </c>
      <c r="O1239" s="109" t="s">
        <v>496</v>
      </c>
      <c r="P1239" s="109" t="s">
        <v>497</v>
      </c>
      <c r="Q1239" s="109" t="s">
        <v>498</v>
      </c>
      <c r="R1239" s="109" t="s">
        <v>499</v>
      </c>
    </row>
    <row r="1240" spans="1:18" ht="21.95" customHeight="1" x14ac:dyDescent="0.25">
      <c r="A1240" s="166">
        <f>IF('Calendario H'!A50="","",'Calendario H'!A50)</f>
        <v>328</v>
      </c>
      <c r="B1240" s="44" t="str">
        <f>IF('Calendario H'!B50="","",'Calendario H'!B50)</f>
        <v/>
      </c>
      <c r="C1240" s="45" t="str">
        <f>IF('Calendario H'!C50="","",'Calendario H'!C50)</f>
        <v/>
      </c>
      <c r="D1240" s="44" t="str">
        <f>IF('Calendario H'!D50="","",'Calendario H'!D50)</f>
        <v/>
      </c>
      <c r="E1240" s="45" t="str">
        <f>IF('Calendario H'!E50="","",'Calendario H'!E50)</f>
        <v/>
      </c>
      <c r="F1240" s="138" t="str">
        <f>IF('Calendario H'!F50="","",'Calendario H'!F50)</f>
        <v/>
      </c>
      <c r="G1240" s="124"/>
      <c r="H1240" s="124"/>
      <c r="I1240" s="125"/>
      <c r="J1240" s="202" t="str">
        <f>IF('Calendario H'!J50="","",'Calendario H'!J50)</f>
        <v/>
      </c>
      <c r="K1240" s="201" t="s">
        <v>198</v>
      </c>
      <c r="L1240" s="202" t="str">
        <f>IF('Calendario H'!L50="","",'Calendario H'!L50)</f>
        <v/>
      </c>
      <c r="M1240" s="200"/>
      <c r="N1240" s="200"/>
      <c r="O1240" s="200"/>
      <c r="P1240" s="200"/>
      <c r="Q1240" s="200"/>
      <c r="R1240" s="200"/>
    </row>
    <row r="1241" spans="1:18" ht="15" customHeight="1" x14ac:dyDescent="0.25">
      <c r="A1241" s="133"/>
      <c r="B1241" s="136" t="str">
        <f>IF('Calendario H'!B51="","",'Calendario H'!B51)</f>
        <v/>
      </c>
      <c r="C1241" s="124"/>
      <c r="D1241" s="124"/>
      <c r="E1241" s="124"/>
      <c r="F1241" s="124"/>
      <c r="G1241" s="124"/>
      <c r="H1241" s="125"/>
      <c r="I1241" s="45" t="str">
        <f>IF('Calendario H'!I51="","",'Calendario H'!I51)</f>
        <v/>
      </c>
      <c r="J1241" s="133"/>
      <c r="K1241" s="133"/>
      <c r="L1241" s="133"/>
      <c r="M1241" s="133"/>
      <c r="N1241" s="133"/>
      <c r="O1241" s="133"/>
      <c r="P1241" s="133"/>
      <c r="Q1241" s="133"/>
      <c r="R1241" s="133"/>
    </row>
    <row r="1242" spans="1:18" ht="14.1" customHeight="1" x14ac:dyDescent="0.25">
      <c r="A1242" s="62" t="s">
        <v>193</v>
      </c>
      <c r="B1242" s="165" t="s">
        <v>175</v>
      </c>
      <c r="C1242" s="125"/>
      <c r="D1242" s="165" t="s">
        <v>182</v>
      </c>
      <c r="E1242" s="125"/>
      <c r="F1242" s="62" t="s">
        <v>194</v>
      </c>
      <c r="G1242" s="62" t="s">
        <v>195</v>
      </c>
      <c r="H1242" s="165" t="s">
        <v>196</v>
      </c>
      <c r="I1242" s="125"/>
      <c r="J1242" s="165" t="s">
        <v>197</v>
      </c>
      <c r="K1242" s="124"/>
      <c r="L1242" s="125"/>
      <c r="M1242" s="109" t="s">
        <v>494</v>
      </c>
      <c r="N1242" s="109" t="s">
        <v>495</v>
      </c>
      <c r="O1242" s="109" t="s">
        <v>496</v>
      </c>
      <c r="P1242" s="109" t="s">
        <v>497</v>
      </c>
      <c r="Q1242" s="109" t="s">
        <v>498</v>
      </c>
      <c r="R1242" s="109" t="s">
        <v>499</v>
      </c>
    </row>
    <row r="1243" spans="1:18" ht="21.95" customHeight="1" x14ac:dyDescent="0.25">
      <c r="A1243" s="166">
        <f>IF('Calendario H'!A53="","",'Calendario H'!A53)</f>
        <v>329</v>
      </c>
      <c r="B1243" s="44" t="str">
        <f>IF('Calendario H'!B53="","",'Calendario H'!B53)</f>
        <v/>
      </c>
      <c r="C1243" s="45" t="str">
        <f>IF('Calendario H'!C53="","",'Calendario H'!C53)</f>
        <v/>
      </c>
      <c r="D1243" s="44" t="str">
        <f>IF('Calendario H'!D53="","",'Calendario H'!D53)</f>
        <v/>
      </c>
      <c r="E1243" s="45" t="str">
        <f>IF('Calendario H'!E53="","",'Calendario H'!E53)</f>
        <v/>
      </c>
      <c r="F1243" s="138" t="str">
        <f>IF('Calendario H'!F53="","",'Calendario H'!F53)</f>
        <v/>
      </c>
      <c r="G1243" s="124"/>
      <c r="H1243" s="124"/>
      <c r="I1243" s="125"/>
      <c r="J1243" s="202" t="str">
        <f>IF('Calendario H'!J53="","",'Calendario H'!J53)</f>
        <v/>
      </c>
      <c r="K1243" s="201" t="s">
        <v>198</v>
      </c>
      <c r="L1243" s="202" t="str">
        <f>IF('Calendario H'!L53="","",'Calendario H'!L53)</f>
        <v/>
      </c>
      <c r="M1243" s="200"/>
      <c r="N1243" s="200"/>
      <c r="O1243" s="200"/>
      <c r="P1243" s="200"/>
      <c r="Q1243" s="200"/>
      <c r="R1243" s="200"/>
    </row>
    <row r="1244" spans="1:18" ht="15" customHeight="1" x14ac:dyDescent="0.25">
      <c r="A1244" s="133"/>
      <c r="B1244" s="136" t="str">
        <f>IF('Calendario H'!B54="","",'Calendario H'!B54)</f>
        <v/>
      </c>
      <c r="C1244" s="124"/>
      <c r="D1244" s="124"/>
      <c r="E1244" s="124"/>
      <c r="F1244" s="124"/>
      <c r="G1244" s="124"/>
      <c r="H1244" s="125"/>
      <c r="I1244" s="45" t="str">
        <f>IF('Calendario H'!I54="","",'Calendario H'!I54)</f>
        <v/>
      </c>
      <c r="J1244" s="133"/>
      <c r="K1244" s="133"/>
      <c r="L1244" s="133"/>
      <c r="M1244" s="133"/>
      <c r="N1244" s="133"/>
      <c r="O1244" s="133"/>
      <c r="P1244" s="133"/>
      <c r="Q1244" s="133"/>
      <c r="R1244" s="133"/>
    </row>
    <row r="1245" spans="1:18" ht="14.1" customHeight="1" x14ac:dyDescent="0.25">
      <c r="A1245" s="62" t="s">
        <v>193</v>
      </c>
      <c r="B1245" s="165" t="s">
        <v>175</v>
      </c>
      <c r="C1245" s="125"/>
      <c r="D1245" s="165" t="s">
        <v>182</v>
      </c>
      <c r="E1245" s="125"/>
      <c r="F1245" s="62" t="s">
        <v>194</v>
      </c>
      <c r="G1245" s="62" t="s">
        <v>195</v>
      </c>
      <c r="H1245" s="165" t="s">
        <v>196</v>
      </c>
      <c r="I1245" s="125"/>
      <c r="J1245" s="165" t="s">
        <v>197</v>
      </c>
      <c r="K1245" s="124"/>
      <c r="L1245" s="125"/>
      <c r="M1245" s="109" t="s">
        <v>494</v>
      </c>
      <c r="N1245" s="109" t="s">
        <v>495</v>
      </c>
      <c r="O1245" s="109" t="s">
        <v>496</v>
      </c>
      <c r="P1245" s="109" t="s">
        <v>497</v>
      </c>
      <c r="Q1245" s="109" t="s">
        <v>498</v>
      </c>
      <c r="R1245" s="109" t="s">
        <v>499</v>
      </c>
    </row>
    <row r="1246" spans="1:18" ht="21.95" customHeight="1" x14ac:dyDescent="0.25">
      <c r="A1246" s="166">
        <f>IF('Calendario H'!A56="","",'Calendario H'!A56)</f>
        <v>330</v>
      </c>
      <c r="B1246" s="44" t="str">
        <f>IF('Calendario H'!B56="","",'Calendario H'!B56)</f>
        <v/>
      </c>
      <c r="C1246" s="45" t="str">
        <f>IF('Calendario H'!C56="","",'Calendario H'!C56)</f>
        <v/>
      </c>
      <c r="D1246" s="44" t="str">
        <f>IF('Calendario H'!D56="","",'Calendario H'!D56)</f>
        <v/>
      </c>
      <c r="E1246" s="45" t="str">
        <f>IF('Calendario H'!E56="","",'Calendario H'!E56)</f>
        <v/>
      </c>
      <c r="F1246" s="138" t="str">
        <f>IF('Calendario H'!F56="","",'Calendario H'!F56)</f>
        <v/>
      </c>
      <c r="G1246" s="124"/>
      <c r="H1246" s="124"/>
      <c r="I1246" s="125"/>
      <c r="J1246" s="202" t="str">
        <f>IF('Calendario H'!J56="","",'Calendario H'!J56)</f>
        <v/>
      </c>
      <c r="K1246" s="201" t="s">
        <v>198</v>
      </c>
      <c r="L1246" s="202" t="str">
        <f>IF('Calendario H'!L56="","",'Calendario H'!L56)</f>
        <v/>
      </c>
      <c r="M1246" s="200"/>
      <c r="N1246" s="200"/>
      <c r="O1246" s="200"/>
      <c r="P1246" s="200"/>
      <c r="Q1246" s="200"/>
      <c r="R1246" s="200"/>
    </row>
    <row r="1247" spans="1:18" ht="15" customHeight="1" x14ac:dyDescent="0.25">
      <c r="A1247" s="133"/>
      <c r="B1247" s="136" t="str">
        <f>IF('Calendario H'!B57="","",'Calendario H'!B57)</f>
        <v/>
      </c>
      <c r="C1247" s="124"/>
      <c r="D1247" s="124"/>
      <c r="E1247" s="124"/>
      <c r="F1247" s="124"/>
      <c r="G1247" s="124"/>
      <c r="H1247" s="125"/>
      <c r="I1247" s="45" t="str">
        <f>IF('Calendario H'!I57="","",'Calendario H'!I57)</f>
        <v/>
      </c>
      <c r="J1247" s="133"/>
      <c r="K1247" s="133"/>
      <c r="L1247" s="133"/>
      <c r="M1247" s="133"/>
      <c r="N1247" s="133"/>
      <c r="O1247" s="133"/>
      <c r="P1247" s="133"/>
      <c r="Q1247" s="133"/>
      <c r="R1247" s="133"/>
    </row>
    <row r="1249" spans="1:18" ht="20.100000000000001" customHeight="1" x14ac:dyDescent="0.25">
      <c r="A1249" s="61" t="str">
        <f>IF('Calendario H'!A59="","",'Calendario H'!A59)</f>
        <v>4H</v>
      </c>
      <c r="B1249" s="167" t="str">
        <f>IF('Calendario H'!B59="","",'Calendario H'!B59)</f>
        <v>GIORNATA IV - GIRONE H</v>
      </c>
      <c r="C1249" s="124"/>
      <c r="D1249" s="124"/>
      <c r="E1249" s="124"/>
      <c r="F1249" s="124"/>
      <c r="G1249" s="124"/>
      <c r="H1249" s="124"/>
      <c r="I1249" s="124"/>
      <c r="J1249" s="124"/>
      <c r="K1249" s="124"/>
      <c r="L1249" s="125"/>
      <c r="M1249" s="206" t="s">
        <v>492</v>
      </c>
      <c r="N1249" s="124"/>
      <c r="O1249" s="125"/>
      <c r="P1249" s="206" t="s">
        <v>493</v>
      </c>
      <c r="Q1249" s="124"/>
      <c r="R1249" s="125"/>
    </row>
    <row r="1250" spans="1:18" ht="14.1" customHeight="1" x14ac:dyDescent="0.25">
      <c r="A1250" s="62" t="s">
        <v>193</v>
      </c>
      <c r="B1250" s="165" t="s">
        <v>175</v>
      </c>
      <c r="C1250" s="125"/>
      <c r="D1250" s="165" t="s">
        <v>182</v>
      </c>
      <c r="E1250" s="125"/>
      <c r="F1250" s="62" t="s">
        <v>194</v>
      </c>
      <c r="G1250" s="62" t="s">
        <v>195</v>
      </c>
      <c r="H1250" s="165" t="s">
        <v>196</v>
      </c>
      <c r="I1250" s="125"/>
      <c r="J1250" s="165" t="s">
        <v>197</v>
      </c>
      <c r="K1250" s="124"/>
      <c r="L1250" s="125"/>
      <c r="M1250" s="109" t="s">
        <v>494</v>
      </c>
      <c r="N1250" s="109" t="s">
        <v>495</v>
      </c>
      <c r="O1250" s="109" t="s">
        <v>496</v>
      </c>
      <c r="P1250" s="109" t="s">
        <v>497</v>
      </c>
      <c r="Q1250" s="109" t="s">
        <v>498</v>
      </c>
      <c r="R1250" s="109" t="s">
        <v>499</v>
      </c>
    </row>
    <row r="1251" spans="1:18" ht="21.95" customHeight="1" x14ac:dyDescent="0.25">
      <c r="A1251" s="166">
        <f>IF('Calendario H'!A61="","",'Calendario H'!A61)</f>
        <v>331</v>
      </c>
      <c r="B1251" s="44" t="str">
        <f>IF('Calendario H'!B61="","",'Calendario H'!B61)</f>
        <v/>
      </c>
      <c r="C1251" s="45" t="str">
        <f>IF('Calendario H'!C61="","",'Calendario H'!C61)</f>
        <v/>
      </c>
      <c r="D1251" s="44" t="str">
        <f>IF('Calendario H'!D61="","",'Calendario H'!D61)</f>
        <v/>
      </c>
      <c r="E1251" s="45" t="str">
        <f>IF('Calendario H'!E61="","",'Calendario H'!E61)</f>
        <v/>
      </c>
      <c r="F1251" s="138" t="str">
        <f>IF('Calendario H'!F61="","",'Calendario H'!F61)</f>
        <v/>
      </c>
      <c r="G1251" s="124"/>
      <c r="H1251" s="124"/>
      <c r="I1251" s="125"/>
      <c r="J1251" s="202" t="str">
        <f>IF('Calendario H'!J61="","",'Calendario H'!J61)</f>
        <v/>
      </c>
      <c r="K1251" s="201" t="s">
        <v>198</v>
      </c>
      <c r="L1251" s="202" t="str">
        <f>IF('Calendario H'!L61="","",'Calendario H'!L61)</f>
        <v/>
      </c>
      <c r="M1251" s="200"/>
      <c r="N1251" s="200"/>
      <c r="O1251" s="200"/>
      <c r="P1251" s="200"/>
      <c r="Q1251" s="200"/>
      <c r="R1251" s="200"/>
    </row>
    <row r="1252" spans="1:18" ht="15" customHeight="1" x14ac:dyDescent="0.25">
      <c r="A1252" s="133"/>
      <c r="B1252" s="136" t="str">
        <f>IF('Calendario H'!B62="","",'Calendario H'!B62)</f>
        <v/>
      </c>
      <c r="C1252" s="124"/>
      <c r="D1252" s="124"/>
      <c r="E1252" s="124"/>
      <c r="F1252" s="124"/>
      <c r="G1252" s="124"/>
      <c r="H1252" s="125"/>
      <c r="I1252" s="45" t="str">
        <f>IF('Calendario H'!I62="","",'Calendario H'!I62)</f>
        <v/>
      </c>
      <c r="J1252" s="133"/>
      <c r="K1252" s="133"/>
      <c r="L1252" s="133"/>
      <c r="M1252" s="133"/>
      <c r="N1252" s="133"/>
      <c r="O1252" s="133"/>
      <c r="P1252" s="133"/>
      <c r="Q1252" s="133"/>
      <c r="R1252" s="133"/>
    </row>
    <row r="1253" spans="1:18" ht="14.1" customHeight="1" x14ac:dyDescent="0.25">
      <c r="A1253" s="62" t="s">
        <v>193</v>
      </c>
      <c r="B1253" s="165" t="s">
        <v>175</v>
      </c>
      <c r="C1253" s="125"/>
      <c r="D1253" s="165" t="s">
        <v>182</v>
      </c>
      <c r="E1253" s="125"/>
      <c r="F1253" s="62" t="s">
        <v>194</v>
      </c>
      <c r="G1253" s="62" t="s">
        <v>195</v>
      </c>
      <c r="H1253" s="165" t="s">
        <v>196</v>
      </c>
      <c r="I1253" s="125"/>
      <c r="J1253" s="165" t="s">
        <v>197</v>
      </c>
      <c r="K1253" s="124"/>
      <c r="L1253" s="125"/>
      <c r="M1253" s="109" t="s">
        <v>494</v>
      </c>
      <c r="N1253" s="109" t="s">
        <v>495</v>
      </c>
      <c r="O1253" s="109" t="s">
        <v>496</v>
      </c>
      <c r="P1253" s="109" t="s">
        <v>497</v>
      </c>
      <c r="Q1253" s="109" t="s">
        <v>498</v>
      </c>
      <c r="R1253" s="109" t="s">
        <v>499</v>
      </c>
    </row>
    <row r="1254" spans="1:18" ht="21.95" customHeight="1" x14ac:dyDescent="0.25">
      <c r="A1254" s="166">
        <f>IF('Calendario H'!A64="","",'Calendario H'!A64)</f>
        <v>332</v>
      </c>
      <c r="B1254" s="44" t="str">
        <f>IF('Calendario H'!B64="","",'Calendario H'!B64)</f>
        <v/>
      </c>
      <c r="C1254" s="45" t="str">
        <f>IF('Calendario H'!C64="","",'Calendario H'!C64)</f>
        <v/>
      </c>
      <c r="D1254" s="44" t="str">
        <f>IF('Calendario H'!D64="","",'Calendario H'!D64)</f>
        <v/>
      </c>
      <c r="E1254" s="45" t="str">
        <f>IF('Calendario H'!E64="","",'Calendario H'!E64)</f>
        <v/>
      </c>
      <c r="F1254" s="138" t="str">
        <f>IF('Calendario H'!F64="","",'Calendario H'!F64)</f>
        <v/>
      </c>
      <c r="G1254" s="124"/>
      <c r="H1254" s="124"/>
      <c r="I1254" s="125"/>
      <c r="J1254" s="202" t="str">
        <f>IF('Calendario H'!J64="","",'Calendario H'!J64)</f>
        <v/>
      </c>
      <c r="K1254" s="201" t="s">
        <v>198</v>
      </c>
      <c r="L1254" s="202" t="str">
        <f>IF('Calendario H'!L64="","",'Calendario H'!L64)</f>
        <v/>
      </c>
      <c r="M1254" s="200"/>
      <c r="N1254" s="200"/>
      <c r="O1254" s="200"/>
      <c r="P1254" s="200"/>
      <c r="Q1254" s="200"/>
      <c r="R1254" s="200"/>
    </row>
    <row r="1255" spans="1:18" ht="15" customHeight="1" x14ac:dyDescent="0.25">
      <c r="A1255" s="133"/>
      <c r="B1255" s="136" t="str">
        <f>IF('Calendario H'!B65="","",'Calendario H'!B65)</f>
        <v/>
      </c>
      <c r="C1255" s="124"/>
      <c r="D1255" s="124"/>
      <c r="E1255" s="124"/>
      <c r="F1255" s="124"/>
      <c r="G1255" s="124"/>
      <c r="H1255" s="125"/>
      <c r="I1255" s="45" t="str">
        <f>IF('Calendario H'!I65="","",'Calendario H'!I65)</f>
        <v/>
      </c>
      <c r="J1255" s="133"/>
      <c r="K1255" s="133"/>
      <c r="L1255" s="133"/>
      <c r="M1255" s="133"/>
      <c r="N1255" s="133"/>
      <c r="O1255" s="133"/>
      <c r="P1255" s="133"/>
      <c r="Q1255" s="133"/>
      <c r="R1255" s="133"/>
    </row>
    <row r="1256" spans="1:18" ht="14.1" customHeight="1" x14ac:dyDescent="0.25">
      <c r="A1256" s="62" t="s">
        <v>193</v>
      </c>
      <c r="B1256" s="165" t="s">
        <v>175</v>
      </c>
      <c r="C1256" s="125"/>
      <c r="D1256" s="165" t="s">
        <v>182</v>
      </c>
      <c r="E1256" s="125"/>
      <c r="F1256" s="62" t="s">
        <v>194</v>
      </c>
      <c r="G1256" s="62" t="s">
        <v>195</v>
      </c>
      <c r="H1256" s="165" t="s">
        <v>196</v>
      </c>
      <c r="I1256" s="125"/>
      <c r="J1256" s="165" t="s">
        <v>197</v>
      </c>
      <c r="K1256" s="124"/>
      <c r="L1256" s="125"/>
      <c r="M1256" s="109" t="s">
        <v>494</v>
      </c>
      <c r="N1256" s="109" t="s">
        <v>495</v>
      </c>
      <c r="O1256" s="109" t="s">
        <v>496</v>
      </c>
      <c r="P1256" s="109" t="s">
        <v>497</v>
      </c>
      <c r="Q1256" s="109" t="s">
        <v>498</v>
      </c>
      <c r="R1256" s="109" t="s">
        <v>499</v>
      </c>
    </row>
    <row r="1257" spans="1:18" ht="21.95" customHeight="1" x14ac:dyDescent="0.25">
      <c r="A1257" s="166">
        <f>IF('Calendario H'!A67="","",'Calendario H'!A67)</f>
        <v>333</v>
      </c>
      <c r="B1257" s="44" t="str">
        <f>IF('Calendario H'!B67="","",'Calendario H'!B67)</f>
        <v/>
      </c>
      <c r="C1257" s="45" t="str">
        <f>IF('Calendario H'!C67="","",'Calendario H'!C67)</f>
        <v/>
      </c>
      <c r="D1257" s="44" t="str">
        <f>IF('Calendario H'!D67="","",'Calendario H'!D67)</f>
        <v/>
      </c>
      <c r="E1257" s="45" t="str">
        <f>IF('Calendario H'!E67="","",'Calendario H'!E67)</f>
        <v/>
      </c>
      <c r="F1257" s="138" t="str">
        <f>IF('Calendario H'!F67="","",'Calendario H'!F67)</f>
        <v/>
      </c>
      <c r="G1257" s="124"/>
      <c r="H1257" s="124"/>
      <c r="I1257" s="125"/>
      <c r="J1257" s="202" t="str">
        <f>IF('Calendario H'!J67="","",'Calendario H'!J67)</f>
        <v/>
      </c>
      <c r="K1257" s="201" t="s">
        <v>198</v>
      </c>
      <c r="L1257" s="202" t="str">
        <f>IF('Calendario H'!L67="","",'Calendario H'!L67)</f>
        <v/>
      </c>
      <c r="M1257" s="200"/>
      <c r="N1257" s="200"/>
      <c r="O1257" s="200"/>
      <c r="P1257" s="200"/>
      <c r="Q1257" s="200"/>
      <c r="R1257" s="200"/>
    </row>
    <row r="1258" spans="1:18" ht="15" customHeight="1" x14ac:dyDescent="0.25">
      <c r="A1258" s="133"/>
      <c r="B1258" s="136" t="str">
        <f>IF('Calendario H'!B68="","",'Calendario H'!B68)</f>
        <v/>
      </c>
      <c r="C1258" s="124"/>
      <c r="D1258" s="124"/>
      <c r="E1258" s="124"/>
      <c r="F1258" s="124"/>
      <c r="G1258" s="124"/>
      <c r="H1258" s="125"/>
      <c r="I1258" s="45" t="str">
        <f>IF('Calendario H'!I68="","",'Calendario H'!I68)</f>
        <v/>
      </c>
      <c r="J1258" s="133"/>
      <c r="K1258" s="133"/>
      <c r="L1258" s="133"/>
      <c r="M1258" s="133"/>
      <c r="N1258" s="133"/>
      <c r="O1258" s="133"/>
      <c r="P1258" s="133"/>
      <c r="Q1258" s="133"/>
      <c r="R1258" s="133"/>
    </row>
    <row r="1259" spans="1:18" ht="14.1" customHeight="1" x14ac:dyDescent="0.25">
      <c r="A1259" s="62" t="s">
        <v>193</v>
      </c>
      <c r="B1259" s="165" t="s">
        <v>175</v>
      </c>
      <c r="C1259" s="125"/>
      <c r="D1259" s="165" t="s">
        <v>182</v>
      </c>
      <c r="E1259" s="125"/>
      <c r="F1259" s="62" t="s">
        <v>194</v>
      </c>
      <c r="G1259" s="62" t="s">
        <v>195</v>
      </c>
      <c r="H1259" s="165" t="s">
        <v>196</v>
      </c>
      <c r="I1259" s="125"/>
      <c r="J1259" s="165" t="s">
        <v>197</v>
      </c>
      <c r="K1259" s="124"/>
      <c r="L1259" s="125"/>
      <c r="M1259" s="109" t="s">
        <v>494</v>
      </c>
      <c r="N1259" s="109" t="s">
        <v>495</v>
      </c>
      <c r="O1259" s="109" t="s">
        <v>496</v>
      </c>
      <c r="P1259" s="109" t="s">
        <v>497</v>
      </c>
      <c r="Q1259" s="109" t="s">
        <v>498</v>
      </c>
      <c r="R1259" s="109" t="s">
        <v>499</v>
      </c>
    </row>
    <row r="1260" spans="1:18" ht="21.95" customHeight="1" x14ac:dyDescent="0.25">
      <c r="A1260" s="166">
        <f>IF('Calendario H'!A70="","",'Calendario H'!A70)</f>
        <v>334</v>
      </c>
      <c r="B1260" s="44" t="str">
        <f>IF('Calendario H'!B70="","",'Calendario H'!B70)</f>
        <v/>
      </c>
      <c r="C1260" s="45" t="str">
        <f>IF('Calendario H'!C70="","",'Calendario H'!C70)</f>
        <v/>
      </c>
      <c r="D1260" s="44" t="str">
        <f>IF('Calendario H'!D70="","",'Calendario H'!D70)</f>
        <v/>
      </c>
      <c r="E1260" s="45" t="str">
        <f>IF('Calendario H'!E70="","",'Calendario H'!E70)</f>
        <v/>
      </c>
      <c r="F1260" s="138" t="str">
        <f>IF('Calendario H'!F70="","",'Calendario H'!F70)</f>
        <v/>
      </c>
      <c r="G1260" s="124"/>
      <c r="H1260" s="124"/>
      <c r="I1260" s="125"/>
      <c r="J1260" s="202" t="str">
        <f>IF('Calendario H'!J70="","",'Calendario H'!J70)</f>
        <v/>
      </c>
      <c r="K1260" s="201" t="s">
        <v>198</v>
      </c>
      <c r="L1260" s="202" t="str">
        <f>IF('Calendario H'!L70="","",'Calendario H'!L70)</f>
        <v/>
      </c>
      <c r="M1260" s="200"/>
      <c r="N1260" s="200"/>
      <c r="O1260" s="200"/>
      <c r="P1260" s="200"/>
      <c r="Q1260" s="200"/>
      <c r="R1260" s="200"/>
    </row>
    <row r="1261" spans="1:18" ht="15" customHeight="1" x14ac:dyDescent="0.25">
      <c r="A1261" s="133"/>
      <c r="B1261" s="136" t="str">
        <f>IF('Calendario H'!B71="","",'Calendario H'!B71)</f>
        <v/>
      </c>
      <c r="C1261" s="124"/>
      <c r="D1261" s="124"/>
      <c r="E1261" s="124"/>
      <c r="F1261" s="124"/>
      <c r="G1261" s="124"/>
      <c r="H1261" s="125"/>
      <c r="I1261" s="45" t="str">
        <f>IF('Calendario H'!I71="","",'Calendario H'!I71)</f>
        <v/>
      </c>
      <c r="J1261" s="133"/>
      <c r="K1261" s="133"/>
      <c r="L1261" s="133"/>
      <c r="M1261" s="133"/>
      <c r="N1261" s="133"/>
      <c r="O1261" s="133"/>
      <c r="P1261" s="133"/>
      <c r="Q1261" s="133"/>
      <c r="R1261" s="133"/>
    </row>
    <row r="1262" spans="1:18" ht="14.1" customHeight="1" x14ac:dyDescent="0.25">
      <c r="A1262" s="62" t="s">
        <v>193</v>
      </c>
      <c r="B1262" s="165" t="s">
        <v>175</v>
      </c>
      <c r="C1262" s="125"/>
      <c r="D1262" s="165" t="s">
        <v>182</v>
      </c>
      <c r="E1262" s="125"/>
      <c r="F1262" s="62" t="s">
        <v>194</v>
      </c>
      <c r="G1262" s="62" t="s">
        <v>195</v>
      </c>
      <c r="H1262" s="165" t="s">
        <v>196</v>
      </c>
      <c r="I1262" s="125"/>
      <c r="J1262" s="165" t="s">
        <v>197</v>
      </c>
      <c r="K1262" s="124"/>
      <c r="L1262" s="125"/>
      <c r="M1262" s="109" t="s">
        <v>494</v>
      </c>
      <c r="N1262" s="109" t="s">
        <v>495</v>
      </c>
      <c r="O1262" s="109" t="s">
        <v>496</v>
      </c>
      <c r="P1262" s="109" t="s">
        <v>497</v>
      </c>
      <c r="Q1262" s="109" t="s">
        <v>498</v>
      </c>
      <c r="R1262" s="109" t="s">
        <v>499</v>
      </c>
    </row>
    <row r="1263" spans="1:18" ht="21.95" customHeight="1" x14ac:dyDescent="0.25">
      <c r="A1263" s="166">
        <f>IF('Calendario H'!A73="","",'Calendario H'!A73)</f>
        <v>335</v>
      </c>
      <c r="B1263" s="44" t="str">
        <f>IF('Calendario H'!B73="","",'Calendario H'!B73)</f>
        <v/>
      </c>
      <c r="C1263" s="45" t="str">
        <f>IF('Calendario H'!C73="","",'Calendario H'!C73)</f>
        <v/>
      </c>
      <c r="D1263" s="44" t="str">
        <f>IF('Calendario H'!D73="","",'Calendario H'!D73)</f>
        <v/>
      </c>
      <c r="E1263" s="45" t="str">
        <f>IF('Calendario H'!E73="","",'Calendario H'!E73)</f>
        <v/>
      </c>
      <c r="F1263" s="138" t="str">
        <f>IF('Calendario H'!F73="","",'Calendario H'!F73)</f>
        <v/>
      </c>
      <c r="G1263" s="124"/>
      <c r="H1263" s="124"/>
      <c r="I1263" s="125"/>
      <c r="J1263" s="202" t="str">
        <f>IF('Calendario H'!J73="","",'Calendario H'!J73)</f>
        <v/>
      </c>
      <c r="K1263" s="201" t="s">
        <v>198</v>
      </c>
      <c r="L1263" s="202" t="str">
        <f>IF('Calendario H'!L73="","",'Calendario H'!L73)</f>
        <v/>
      </c>
      <c r="M1263" s="200"/>
      <c r="N1263" s="200"/>
      <c r="O1263" s="200"/>
      <c r="P1263" s="200"/>
      <c r="Q1263" s="200"/>
      <c r="R1263" s="200"/>
    </row>
    <row r="1264" spans="1:18" ht="15" customHeight="1" x14ac:dyDescent="0.25">
      <c r="A1264" s="133"/>
      <c r="B1264" s="136" t="str">
        <f>IF('Calendario H'!B74="","",'Calendario H'!B74)</f>
        <v/>
      </c>
      <c r="C1264" s="124"/>
      <c r="D1264" s="124"/>
      <c r="E1264" s="124"/>
      <c r="F1264" s="124"/>
      <c r="G1264" s="124"/>
      <c r="H1264" s="125"/>
      <c r="I1264" s="45" t="str">
        <f>IF('Calendario H'!I74="","",'Calendario H'!I74)</f>
        <v/>
      </c>
      <c r="J1264" s="133"/>
      <c r="K1264" s="133"/>
      <c r="L1264" s="133"/>
      <c r="M1264" s="133"/>
      <c r="N1264" s="133"/>
      <c r="O1264" s="133"/>
      <c r="P1264" s="133"/>
      <c r="Q1264" s="133"/>
      <c r="R1264" s="133"/>
    </row>
    <row r="1266" spans="1:18" ht="20.100000000000001" customHeight="1" x14ac:dyDescent="0.25">
      <c r="A1266" s="61" t="str">
        <f>IF('Calendario H'!A76="","",'Calendario H'!A76)</f>
        <v>5H</v>
      </c>
      <c r="B1266" s="167" t="str">
        <f>IF('Calendario H'!B76="","",'Calendario H'!B76)</f>
        <v>GIORNATA V - GIRONE H</v>
      </c>
      <c r="C1266" s="124"/>
      <c r="D1266" s="124"/>
      <c r="E1266" s="124"/>
      <c r="F1266" s="124"/>
      <c r="G1266" s="124"/>
      <c r="H1266" s="124"/>
      <c r="I1266" s="124"/>
      <c r="J1266" s="124"/>
      <c r="K1266" s="124"/>
      <c r="L1266" s="125"/>
      <c r="M1266" s="206" t="s">
        <v>492</v>
      </c>
      <c r="N1266" s="124"/>
      <c r="O1266" s="125"/>
      <c r="P1266" s="206" t="s">
        <v>493</v>
      </c>
      <c r="Q1266" s="124"/>
      <c r="R1266" s="125"/>
    </row>
    <row r="1267" spans="1:18" ht="14.1" customHeight="1" x14ac:dyDescent="0.25">
      <c r="A1267" s="62" t="s">
        <v>193</v>
      </c>
      <c r="B1267" s="165" t="s">
        <v>175</v>
      </c>
      <c r="C1267" s="125"/>
      <c r="D1267" s="165" t="s">
        <v>182</v>
      </c>
      <c r="E1267" s="125"/>
      <c r="F1267" s="62" t="s">
        <v>194</v>
      </c>
      <c r="G1267" s="62" t="s">
        <v>195</v>
      </c>
      <c r="H1267" s="165" t="s">
        <v>196</v>
      </c>
      <c r="I1267" s="125"/>
      <c r="J1267" s="165" t="s">
        <v>197</v>
      </c>
      <c r="K1267" s="124"/>
      <c r="L1267" s="125"/>
      <c r="M1267" s="109" t="s">
        <v>494</v>
      </c>
      <c r="N1267" s="109" t="s">
        <v>495</v>
      </c>
      <c r="O1267" s="109" t="s">
        <v>496</v>
      </c>
      <c r="P1267" s="109" t="s">
        <v>497</v>
      </c>
      <c r="Q1267" s="109" t="s">
        <v>498</v>
      </c>
      <c r="R1267" s="109" t="s">
        <v>499</v>
      </c>
    </row>
    <row r="1268" spans="1:18" ht="21.95" customHeight="1" x14ac:dyDescent="0.25">
      <c r="A1268" s="166">
        <f>IF('Calendario H'!A78="","",'Calendario H'!A78)</f>
        <v>336</v>
      </c>
      <c r="B1268" s="44" t="str">
        <f>IF('Calendario H'!B78="","",'Calendario H'!B78)</f>
        <v/>
      </c>
      <c r="C1268" s="45" t="str">
        <f>IF('Calendario H'!C78="","",'Calendario H'!C78)</f>
        <v/>
      </c>
      <c r="D1268" s="44" t="str">
        <f>IF('Calendario H'!D78="","",'Calendario H'!D78)</f>
        <v/>
      </c>
      <c r="E1268" s="45" t="str">
        <f>IF('Calendario H'!E78="","",'Calendario H'!E78)</f>
        <v/>
      </c>
      <c r="F1268" s="138" t="str">
        <f>IF('Calendario H'!F78="","",'Calendario H'!F78)</f>
        <v/>
      </c>
      <c r="G1268" s="124"/>
      <c r="H1268" s="124"/>
      <c r="I1268" s="125"/>
      <c r="J1268" s="202" t="str">
        <f>IF('Calendario H'!J78="","",'Calendario H'!J78)</f>
        <v/>
      </c>
      <c r="K1268" s="201" t="s">
        <v>198</v>
      </c>
      <c r="L1268" s="202" t="str">
        <f>IF('Calendario H'!L78="","",'Calendario H'!L78)</f>
        <v/>
      </c>
      <c r="M1268" s="200"/>
      <c r="N1268" s="200"/>
      <c r="O1268" s="200"/>
      <c r="P1268" s="200"/>
      <c r="Q1268" s="200"/>
      <c r="R1268" s="200"/>
    </row>
    <row r="1269" spans="1:18" ht="15" customHeight="1" x14ac:dyDescent="0.25">
      <c r="A1269" s="133"/>
      <c r="B1269" s="136" t="str">
        <f>IF('Calendario H'!B79="","",'Calendario H'!B79)</f>
        <v/>
      </c>
      <c r="C1269" s="124"/>
      <c r="D1269" s="124"/>
      <c r="E1269" s="124"/>
      <c r="F1269" s="124"/>
      <c r="G1269" s="124"/>
      <c r="H1269" s="125"/>
      <c r="I1269" s="45" t="str">
        <f>IF('Calendario H'!I79="","",'Calendario H'!I79)</f>
        <v/>
      </c>
      <c r="J1269" s="133"/>
      <c r="K1269" s="133"/>
      <c r="L1269" s="133"/>
      <c r="M1269" s="133"/>
      <c r="N1269" s="133"/>
      <c r="O1269" s="133"/>
      <c r="P1269" s="133"/>
      <c r="Q1269" s="133"/>
      <c r="R1269" s="133"/>
    </row>
    <row r="1270" spans="1:18" ht="14.1" customHeight="1" x14ac:dyDescent="0.25">
      <c r="A1270" s="62" t="s">
        <v>193</v>
      </c>
      <c r="B1270" s="165" t="s">
        <v>175</v>
      </c>
      <c r="C1270" s="125"/>
      <c r="D1270" s="165" t="s">
        <v>182</v>
      </c>
      <c r="E1270" s="125"/>
      <c r="F1270" s="62" t="s">
        <v>194</v>
      </c>
      <c r="G1270" s="62" t="s">
        <v>195</v>
      </c>
      <c r="H1270" s="165" t="s">
        <v>196</v>
      </c>
      <c r="I1270" s="125"/>
      <c r="J1270" s="165" t="s">
        <v>197</v>
      </c>
      <c r="K1270" s="124"/>
      <c r="L1270" s="125"/>
      <c r="M1270" s="109" t="s">
        <v>494</v>
      </c>
      <c r="N1270" s="109" t="s">
        <v>495</v>
      </c>
      <c r="O1270" s="109" t="s">
        <v>496</v>
      </c>
      <c r="P1270" s="109" t="s">
        <v>497</v>
      </c>
      <c r="Q1270" s="109" t="s">
        <v>498</v>
      </c>
      <c r="R1270" s="109" t="s">
        <v>499</v>
      </c>
    </row>
    <row r="1271" spans="1:18" ht="21.95" customHeight="1" x14ac:dyDescent="0.25">
      <c r="A1271" s="166">
        <f>IF('Calendario H'!A81="","",'Calendario H'!A81)</f>
        <v>337</v>
      </c>
      <c r="B1271" s="44" t="str">
        <f>IF('Calendario H'!B81="","",'Calendario H'!B81)</f>
        <v/>
      </c>
      <c r="C1271" s="45" t="str">
        <f>IF('Calendario H'!C81="","",'Calendario H'!C81)</f>
        <v/>
      </c>
      <c r="D1271" s="44" t="str">
        <f>IF('Calendario H'!D81="","",'Calendario H'!D81)</f>
        <v/>
      </c>
      <c r="E1271" s="45" t="str">
        <f>IF('Calendario H'!E81="","",'Calendario H'!E81)</f>
        <v/>
      </c>
      <c r="F1271" s="138" t="str">
        <f>IF('Calendario H'!F81="","",'Calendario H'!F81)</f>
        <v/>
      </c>
      <c r="G1271" s="124"/>
      <c r="H1271" s="124"/>
      <c r="I1271" s="125"/>
      <c r="J1271" s="202" t="str">
        <f>IF('Calendario H'!J81="","",'Calendario H'!J81)</f>
        <v/>
      </c>
      <c r="K1271" s="201" t="s">
        <v>198</v>
      </c>
      <c r="L1271" s="202" t="str">
        <f>IF('Calendario H'!L81="","",'Calendario H'!L81)</f>
        <v/>
      </c>
      <c r="M1271" s="200"/>
      <c r="N1271" s="200"/>
      <c r="O1271" s="200"/>
      <c r="P1271" s="200"/>
      <c r="Q1271" s="200"/>
      <c r="R1271" s="200"/>
    </row>
    <row r="1272" spans="1:18" ht="15" customHeight="1" x14ac:dyDescent="0.25">
      <c r="A1272" s="133"/>
      <c r="B1272" s="136" t="str">
        <f>IF('Calendario H'!B82="","",'Calendario H'!B82)</f>
        <v/>
      </c>
      <c r="C1272" s="124"/>
      <c r="D1272" s="124"/>
      <c r="E1272" s="124"/>
      <c r="F1272" s="124"/>
      <c r="G1272" s="124"/>
      <c r="H1272" s="125"/>
      <c r="I1272" s="45" t="str">
        <f>IF('Calendario H'!I82="","",'Calendario H'!I82)</f>
        <v/>
      </c>
      <c r="J1272" s="133"/>
      <c r="K1272" s="133"/>
      <c r="L1272" s="133"/>
      <c r="M1272" s="133"/>
      <c r="N1272" s="133"/>
      <c r="O1272" s="133"/>
      <c r="P1272" s="133"/>
      <c r="Q1272" s="133"/>
      <c r="R1272" s="133"/>
    </row>
    <row r="1273" spans="1:18" ht="14.1" customHeight="1" x14ac:dyDescent="0.25">
      <c r="A1273" s="62" t="s">
        <v>193</v>
      </c>
      <c r="B1273" s="165" t="s">
        <v>175</v>
      </c>
      <c r="C1273" s="125"/>
      <c r="D1273" s="165" t="s">
        <v>182</v>
      </c>
      <c r="E1273" s="125"/>
      <c r="F1273" s="62" t="s">
        <v>194</v>
      </c>
      <c r="G1273" s="62" t="s">
        <v>195</v>
      </c>
      <c r="H1273" s="165" t="s">
        <v>196</v>
      </c>
      <c r="I1273" s="125"/>
      <c r="J1273" s="165" t="s">
        <v>197</v>
      </c>
      <c r="K1273" s="124"/>
      <c r="L1273" s="125"/>
      <c r="M1273" s="109" t="s">
        <v>494</v>
      </c>
      <c r="N1273" s="109" t="s">
        <v>495</v>
      </c>
      <c r="O1273" s="109" t="s">
        <v>496</v>
      </c>
      <c r="P1273" s="109" t="s">
        <v>497</v>
      </c>
      <c r="Q1273" s="109" t="s">
        <v>498</v>
      </c>
      <c r="R1273" s="109" t="s">
        <v>499</v>
      </c>
    </row>
    <row r="1274" spans="1:18" ht="21.95" customHeight="1" x14ac:dyDescent="0.25">
      <c r="A1274" s="166">
        <f>IF('Calendario H'!A84="","",'Calendario H'!A84)</f>
        <v>338</v>
      </c>
      <c r="B1274" s="44" t="str">
        <f>IF('Calendario H'!B84="","",'Calendario H'!B84)</f>
        <v/>
      </c>
      <c r="C1274" s="45" t="str">
        <f>IF('Calendario H'!C84="","",'Calendario H'!C84)</f>
        <v/>
      </c>
      <c r="D1274" s="44" t="str">
        <f>IF('Calendario H'!D84="","",'Calendario H'!D84)</f>
        <v/>
      </c>
      <c r="E1274" s="45" t="str">
        <f>IF('Calendario H'!E84="","",'Calendario H'!E84)</f>
        <v/>
      </c>
      <c r="F1274" s="138" t="str">
        <f>IF('Calendario H'!F84="","",'Calendario H'!F84)</f>
        <v/>
      </c>
      <c r="G1274" s="124"/>
      <c r="H1274" s="124"/>
      <c r="I1274" s="125"/>
      <c r="J1274" s="202" t="str">
        <f>IF('Calendario H'!J84="","",'Calendario H'!J84)</f>
        <v/>
      </c>
      <c r="K1274" s="201" t="s">
        <v>198</v>
      </c>
      <c r="L1274" s="202" t="str">
        <f>IF('Calendario H'!L84="","",'Calendario H'!L84)</f>
        <v/>
      </c>
      <c r="M1274" s="200"/>
      <c r="N1274" s="200"/>
      <c r="O1274" s="200"/>
      <c r="P1274" s="200"/>
      <c r="Q1274" s="200"/>
      <c r="R1274" s="200"/>
    </row>
    <row r="1275" spans="1:18" ht="15" customHeight="1" x14ac:dyDescent="0.25">
      <c r="A1275" s="133"/>
      <c r="B1275" s="136" t="str">
        <f>IF('Calendario H'!B85="","",'Calendario H'!B85)</f>
        <v/>
      </c>
      <c r="C1275" s="124"/>
      <c r="D1275" s="124"/>
      <c r="E1275" s="124"/>
      <c r="F1275" s="124"/>
      <c r="G1275" s="124"/>
      <c r="H1275" s="125"/>
      <c r="I1275" s="45" t="str">
        <f>IF('Calendario H'!I85="","",'Calendario H'!I85)</f>
        <v/>
      </c>
      <c r="J1275" s="133"/>
      <c r="K1275" s="133"/>
      <c r="L1275" s="133"/>
      <c r="M1275" s="133"/>
      <c r="N1275" s="133"/>
      <c r="O1275" s="133"/>
      <c r="P1275" s="133"/>
      <c r="Q1275" s="133"/>
      <c r="R1275" s="133"/>
    </row>
    <row r="1276" spans="1:18" ht="14.1" customHeight="1" x14ac:dyDescent="0.25">
      <c r="A1276" s="62" t="s">
        <v>193</v>
      </c>
      <c r="B1276" s="165" t="s">
        <v>175</v>
      </c>
      <c r="C1276" s="125"/>
      <c r="D1276" s="165" t="s">
        <v>182</v>
      </c>
      <c r="E1276" s="125"/>
      <c r="F1276" s="62" t="s">
        <v>194</v>
      </c>
      <c r="G1276" s="62" t="s">
        <v>195</v>
      </c>
      <c r="H1276" s="165" t="s">
        <v>196</v>
      </c>
      <c r="I1276" s="125"/>
      <c r="J1276" s="165" t="s">
        <v>197</v>
      </c>
      <c r="K1276" s="124"/>
      <c r="L1276" s="125"/>
      <c r="M1276" s="109" t="s">
        <v>494</v>
      </c>
      <c r="N1276" s="109" t="s">
        <v>495</v>
      </c>
      <c r="O1276" s="109" t="s">
        <v>496</v>
      </c>
      <c r="P1276" s="109" t="s">
        <v>497</v>
      </c>
      <c r="Q1276" s="109" t="s">
        <v>498</v>
      </c>
      <c r="R1276" s="109" t="s">
        <v>499</v>
      </c>
    </row>
    <row r="1277" spans="1:18" ht="21.95" customHeight="1" x14ac:dyDescent="0.25">
      <c r="A1277" s="166">
        <f>IF('Calendario H'!A87="","",'Calendario H'!A87)</f>
        <v>339</v>
      </c>
      <c r="B1277" s="44" t="str">
        <f>IF('Calendario H'!B87="","",'Calendario H'!B87)</f>
        <v/>
      </c>
      <c r="C1277" s="45" t="str">
        <f>IF('Calendario H'!C87="","",'Calendario H'!C87)</f>
        <v/>
      </c>
      <c r="D1277" s="44" t="str">
        <f>IF('Calendario H'!D87="","",'Calendario H'!D87)</f>
        <v/>
      </c>
      <c r="E1277" s="45" t="str">
        <f>IF('Calendario H'!E87="","",'Calendario H'!E87)</f>
        <v/>
      </c>
      <c r="F1277" s="138" t="str">
        <f>IF('Calendario H'!F87="","",'Calendario H'!F87)</f>
        <v/>
      </c>
      <c r="G1277" s="124"/>
      <c r="H1277" s="124"/>
      <c r="I1277" s="125"/>
      <c r="J1277" s="202" t="str">
        <f>IF('Calendario H'!J87="","",'Calendario H'!J87)</f>
        <v/>
      </c>
      <c r="K1277" s="201" t="s">
        <v>198</v>
      </c>
      <c r="L1277" s="202" t="str">
        <f>IF('Calendario H'!L87="","",'Calendario H'!L87)</f>
        <v/>
      </c>
      <c r="M1277" s="200"/>
      <c r="N1277" s="200"/>
      <c r="O1277" s="200"/>
      <c r="P1277" s="200"/>
      <c r="Q1277" s="200"/>
      <c r="R1277" s="200"/>
    </row>
    <row r="1278" spans="1:18" ht="15" customHeight="1" x14ac:dyDescent="0.25">
      <c r="A1278" s="133"/>
      <c r="B1278" s="136" t="str">
        <f>IF('Calendario H'!B88="","",'Calendario H'!B88)</f>
        <v/>
      </c>
      <c r="C1278" s="124"/>
      <c r="D1278" s="124"/>
      <c r="E1278" s="124"/>
      <c r="F1278" s="124"/>
      <c r="G1278" s="124"/>
      <c r="H1278" s="125"/>
      <c r="I1278" s="45" t="str">
        <f>IF('Calendario H'!I88="","",'Calendario H'!I88)</f>
        <v/>
      </c>
      <c r="J1278" s="133"/>
      <c r="K1278" s="133"/>
      <c r="L1278" s="133"/>
      <c r="M1278" s="133"/>
      <c r="N1278" s="133"/>
      <c r="O1278" s="133"/>
      <c r="P1278" s="133"/>
      <c r="Q1278" s="133"/>
      <c r="R1278" s="133"/>
    </row>
    <row r="1279" spans="1:18" ht="14.1" customHeight="1" x14ac:dyDescent="0.25">
      <c r="A1279" s="62" t="s">
        <v>193</v>
      </c>
      <c r="B1279" s="165" t="s">
        <v>175</v>
      </c>
      <c r="C1279" s="125"/>
      <c r="D1279" s="165" t="s">
        <v>182</v>
      </c>
      <c r="E1279" s="125"/>
      <c r="F1279" s="62" t="s">
        <v>194</v>
      </c>
      <c r="G1279" s="62" t="s">
        <v>195</v>
      </c>
      <c r="H1279" s="165" t="s">
        <v>196</v>
      </c>
      <c r="I1279" s="125"/>
      <c r="J1279" s="165" t="s">
        <v>197</v>
      </c>
      <c r="K1279" s="124"/>
      <c r="L1279" s="125"/>
      <c r="M1279" s="109" t="s">
        <v>494</v>
      </c>
      <c r="N1279" s="109" t="s">
        <v>495</v>
      </c>
      <c r="O1279" s="109" t="s">
        <v>496</v>
      </c>
      <c r="P1279" s="109" t="s">
        <v>497</v>
      </c>
      <c r="Q1279" s="109" t="s">
        <v>498</v>
      </c>
      <c r="R1279" s="109" t="s">
        <v>499</v>
      </c>
    </row>
    <row r="1280" spans="1:18" ht="21.95" customHeight="1" x14ac:dyDescent="0.25">
      <c r="A1280" s="166">
        <f>IF('Calendario H'!A90="","",'Calendario H'!A90)</f>
        <v>340</v>
      </c>
      <c r="B1280" s="44" t="str">
        <f>IF('Calendario H'!B90="","",'Calendario H'!B90)</f>
        <v/>
      </c>
      <c r="C1280" s="45" t="str">
        <f>IF('Calendario H'!C90="","",'Calendario H'!C90)</f>
        <v/>
      </c>
      <c r="D1280" s="44" t="str">
        <f>IF('Calendario H'!D90="","",'Calendario H'!D90)</f>
        <v/>
      </c>
      <c r="E1280" s="45" t="str">
        <f>IF('Calendario H'!E90="","",'Calendario H'!E90)</f>
        <v/>
      </c>
      <c r="F1280" s="138" t="str">
        <f>IF('Calendario H'!F90="","",'Calendario H'!F90)</f>
        <v/>
      </c>
      <c r="G1280" s="124"/>
      <c r="H1280" s="124"/>
      <c r="I1280" s="125"/>
      <c r="J1280" s="202" t="str">
        <f>IF('Calendario H'!J90="","",'Calendario H'!J90)</f>
        <v/>
      </c>
      <c r="K1280" s="201" t="s">
        <v>198</v>
      </c>
      <c r="L1280" s="202" t="str">
        <f>IF('Calendario H'!L90="","",'Calendario H'!L90)</f>
        <v/>
      </c>
      <c r="M1280" s="200"/>
      <c r="N1280" s="200"/>
      <c r="O1280" s="200"/>
      <c r="P1280" s="200"/>
      <c r="Q1280" s="200"/>
      <c r="R1280" s="200"/>
    </row>
    <row r="1281" spans="1:18" ht="15" customHeight="1" x14ac:dyDescent="0.25">
      <c r="A1281" s="133"/>
      <c r="B1281" s="136" t="str">
        <f>IF('Calendario H'!B91="","",'Calendario H'!B91)</f>
        <v/>
      </c>
      <c r="C1281" s="124"/>
      <c r="D1281" s="124"/>
      <c r="E1281" s="124"/>
      <c r="F1281" s="124"/>
      <c r="G1281" s="124"/>
      <c r="H1281" s="125"/>
      <c r="I1281" s="45" t="str">
        <f>IF('Calendario H'!I91="","",'Calendario H'!I91)</f>
        <v/>
      </c>
      <c r="J1281" s="133"/>
      <c r="K1281" s="133"/>
      <c r="L1281" s="133"/>
      <c r="M1281" s="133"/>
      <c r="N1281" s="133"/>
      <c r="O1281" s="133"/>
      <c r="P1281" s="133"/>
      <c r="Q1281" s="133"/>
      <c r="R1281" s="133"/>
    </row>
    <row r="1283" spans="1:18" ht="20.100000000000001" customHeight="1" x14ac:dyDescent="0.25">
      <c r="A1283" s="61" t="str">
        <f>IF('Calendario H'!A93="","",'Calendario H'!A93)</f>
        <v>6H</v>
      </c>
      <c r="B1283" s="167" t="str">
        <f>IF('Calendario H'!B93="","",'Calendario H'!B93)</f>
        <v>GIORNATA VI - GIRONE H</v>
      </c>
      <c r="C1283" s="124"/>
      <c r="D1283" s="124"/>
      <c r="E1283" s="124"/>
      <c r="F1283" s="124"/>
      <c r="G1283" s="124"/>
      <c r="H1283" s="124"/>
      <c r="I1283" s="124"/>
      <c r="J1283" s="124"/>
      <c r="K1283" s="124"/>
      <c r="L1283" s="125"/>
      <c r="M1283" s="206" t="s">
        <v>492</v>
      </c>
      <c r="N1283" s="124"/>
      <c r="O1283" s="125"/>
      <c r="P1283" s="206" t="s">
        <v>493</v>
      </c>
      <c r="Q1283" s="124"/>
      <c r="R1283" s="125"/>
    </row>
    <row r="1284" spans="1:18" ht="14.1" customHeight="1" x14ac:dyDescent="0.25">
      <c r="A1284" s="62" t="s">
        <v>193</v>
      </c>
      <c r="B1284" s="165" t="s">
        <v>175</v>
      </c>
      <c r="C1284" s="125"/>
      <c r="D1284" s="165" t="s">
        <v>182</v>
      </c>
      <c r="E1284" s="125"/>
      <c r="F1284" s="62" t="s">
        <v>194</v>
      </c>
      <c r="G1284" s="62" t="s">
        <v>195</v>
      </c>
      <c r="H1284" s="165" t="s">
        <v>196</v>
      </c>
      <c r="I1284" s="125"/>
      <c r="J1284" s="165" t="s">
        <v>197</v>
      </c>
      <c r="K1284" s="124"/>
      <c r="L1284" s="125"/>
      <c r="M1284" s="109" t="s">
        <v>494</v>
      </c>
      <c r="N1284" s="109" t="s">
        <v>495</v>
      </c>
      <c r="O1284" s="109" t="s">
        <v>496</v>
      </c>
      <c r="P1284" s="109" t="s">
        <v>497</v>
      </c>
      <c r="Q1284" s="109" t="s">
        <v>498</v>
      </c>
      <c r="R1284" s="109" t="s">
        <v>499</v>
      </c>
    </row>
    <row r="1285" spans="1:18" ht="21.95" customHeight="1" x14ac:dyDescent="0.25">
      <c r="A1285" s="166">
        <f>IF('Calendario H'!A95="","",'Calendario H'!A95)</f>
        <v>341</v>
      </c>
      <c r="B1285" s="44" t="str">
        <f>IF('Calendario H'!B95="","",'Calendario H'!B95)</f>
        <v/>
      </c>
      <c r="C1285" s="45" t="str">
        <f>IF('Calendario H'!C95="","",'Calendario H'!C95)</f>
        <v/>
      </c>
      <c r="D1285" s="44" t="str">
        <f>IF('Calendario H'!D95="","",'Calendario H'!D95)</f>
        <v/>
      </c>
      <c r="E1285" s="45" t="str">
        <f>IF('Calendario H'!E95="","",'Calendario H'!E95)</f>
        <v/>
      </c>
      <c r="F1285" s="138" t="str">
        <f>IF('Calendario H'!F95="","",'Calendario H'!F95)</f>
        <v/>
      </c>
      <c r="G1285" s="124"/>
      <c r="H1285" s="124"/>
      <c r="I1285" s="125"/>
      <c r="J1285" s="202" t="str">
        <f>IF('Calendario H'!J95="","",'Calendario H'!J95)</f>
        <v/>
      </c>
      <c r="K1285" s="201" t="s">
        <v>198</v>
      </c>
      <c r="L1285" s="202" t="str">
        <f>IF('Calendario H'!L95="","",'Calendario H'!L95)</f>
        <v/>
      </c>
      <c r="M1285" s="200"/>
      <c r="N1285" s="200"/>
      <c r="O1285" s="200"/>
      <c r="P1285" s="200"/>
      <c r="Q1285" s="200"/>
      <c r="R1285" s="200"/>
    </row>
    <row r="1286" spans="1:18" ht="15" customHeight="1" x14ac:dyDescent="0.25">
      <c r="A1286" s="133"/>
      <c r="B1286" s="136" t="str">
        <f>IF('Calendario H'!B96="","",'Calendario H'!B96)</f>
        <v/>
      </c>
      <c r="C1286" s="124"/>
      <c r="D1286" s="124"/>
      <c r="E1286" s="124"/>
      <c r="F1286" s="124"/>
      <c r="G1286" s="124"/>
      <c r="H1286" s="125"/>
      <c r="I1286" s="45" t="str">
        <f>IF('Calendario H'!I96="","",'Calendario H'!I96)</f>
        <v/>
      </c>
      <c r="J1286" s="133"/>
      <c r="K1286" s="133"/>
      <c r="L1286" s="133"/>
      <c r="M1286" s="133"/>
      <c r="N1286" s="133"/>
      <c r="O1286" s="133"/>
      <c r="P1286" s="133"/>
      <c r="Q1286" s="133"/>
      <c r="R1286" s="133"/>
    </row>
    <row r="1287" spans="1:18" ht="14.1" customHeight="1" x14ac:dyDescent="0.25">
      <c r="A1287" s="62" t="s">
        <v>193</v>
      </c>
      <c r="B1287" s="165" t="s">
        <v>175</v>
      </c>
      <c r="C1287" s="125"/>
      <c r="D1287" s="165" t="s">
        <v>182</v>
      </c>
      <c r="E1287" s="125"/>
      <c r="F1287" s="62" t="s">
        <v>194</v>
      </c>
      <c r="G1287" s="62" t="s">
        <v>195</v>
      </c>
      <c r="H1287" s="165" t="s">
        <v>196</v>
      </c>
      <c r="I1287" s="125"/>
      <c r="J1287" s="165" t="s">
        <v>197</v>
      </c>
      <c r="K1287" s="124"/>
      <c r="L1287" s="125"/>
      <c r="M1287" s="109" t="s">
        <v>494</v>
      </c>
      <c r="N1287" s="109" t="s">
        <v>495</v>
      </c>
      <c r="O1287" s="109" t="s">
        <v>496</v>
      </c>
      <c r="P1287" s="109" t="s">
        <v>497</v>
      </c>
      <c r="Q1287" s="109" t="s">
        <v>498</v>
      </c>
      <c r="R1287" s="109" t="s">
        <v>499</v>
      </c>
    </row>
    <row r="1288" spans="1:18" ht="21.95" customHeight="1" x14ac:dyDescent="0.25">
      <c r="A1288" s="166">
        <f>IF('Calendario H'!A98="","",'Calendario H'!A98)</f>
        <v>342</v>
      </c>
      <c r="B1288" s="44" t="str">
        <f>IF('Calendario H'!B98="","",'Calendario H'!B98)</f>
        <v/>
      </c>
      <c r="C1288" s="45" t="str">
        <f>IF('Calendario H'!C98="","",'Calendario H'!C98)</f>
        <v/>
      </c>
      <c r="D1288" s="44" t="str">
        <f>IF('Calendario H'!D98="","",'Calendario H'!D98)</f>
        <v/>
      </c>
      <c r="E1288" s="45" t="str">
        <f>IF('Calendario H'!E98="","",'Calendario H'!E98)</f>
        <v/>
      </c>
      <c r="F1288" s="138" t="str">
        <f>IF('Calendario H'!F98="","",'Calendario H'!F98)</f>
        <v/>
      </c>
      <c r="G1288" s="124"/>
      <c r="H1288" s="124"/>
      <c r="I1288" s="125"/>
      <c r="J1288" s="202" t="str">
        <f>IF('Calendario H'!J98="","",'Calendario H'!J98)</f>
        <v/>
      </c>
      <c r="K1288" s="201" t="s">
        <v>198</v>
      </c>
      <c r="L1288" s="202" t="str">
        <f>IF('Calendario H'!L98="","",'Calendario H'!L98)</f>
        <v/>
      </c>
      <c r="M1288" s="200"/>
      <c r="N1288" s="200"/>
      <c r="O1288" s="200"/>
      <c r="P1288" s="200"/>
      <c r="Q1288" s="200"/>
      <c r="R1288" s="200"/>
    </row>
    <row r="1289" spans="1:18" ht="15" customHeight="1" x14ac:dyDescent="0.25">
      <c r="A1289" s="133"/>
      <c r="B1289" s="136" t="str">
        <f>IF('Calendario H'!B99="","",'Calendario H'!B99)</f>
        <v/>
      </c>
      <c r="C1289" s="124"/>
      <c r="D1289" s="124"/>
      <c r="E1289" s="124"/>
      <c r="F1289" s="124"/>
      <c r="G1289" s="124"/>
      <c r="H1289" s="125"/>
      <c r="I1289" s="45" t="str">
        <f>IF('Calendario H'!I99="","",'Calendario H'!I99)</f>
        <v/>
      </c>
      <c r="J1289" s="133"/>
      <c r="K1289" s="133"/>
      <c r="L1289" s="133"/>
      <c r="M1289" s="133"/>
      <c r="N1289" s="133"/>
      <c r="O1289" s="133"/>
      <c r="P1289" s="133"/>
      <c r="Q1289" s="133"/>
      <c r="R1289" s="133"/>
    </row>
    <row r="1290" spans="1:18" ht="14.1" customHeight="1" x14ac:dyDescent="0.25">
      <c r="A1290" s="62" t="s">
        <v>193</v>
      </c>
      <c r="B1290" s="165" t="s">
        <v>175</v>
      </c>
      <c r="C1290" s="125"/>
      <c r="D1290" s="165" t="s">
        <v>182</v>
      </c>
      <c r="E1290" s="125"/>
      <c r="F1290" s="62" t="s">
        <v>194</v>
      </c>
      <c r="G1290" s="62" t="s">
        <v>195</v>
      </c>
      <c r="H1290" s="165" t="s">
        <v>196</v>
      </c>
      <c r="I1290" s="125"/>
      <c r="J1290" s="165" t="s">
        <v>197</v>
      </c>
      <c r="K1290" s="124"/>
      <c r="L1290" s="125"/>
      <c r="M1290" s="109" t="s">
        <v>494</v>
      </c>
      <c r="N1290" s="109" t="s">
        <v>495</v>
      </c>
      <c r="O1290" s="109" t="s">
        <v>496</v>
      </c>
      <c r="P1290" s="109" t="s">
        <v>497</v>
      </c>
      <c r="Q1290" s="109" t="s">
        <v>498</v>
      </c>
      <c r="R1290" s="109" t="s">
        <v>499</v>
      </c>
    </row>
    <row r="1291" spans="1:18" ht="21.95" customHeight="1" x14ac:dyDescent="0.25">
      <c r="A1291" s="166">
        <f>IF('Calendario H'!A101="","",'Calendario H'!A101)</f>
        <v>343</v>
      </c>
      <c r="B1291" s="44" t="str">
        <f>IF('Calendario H'!B101="","",'Calendario H'!B101)</f>
        <v/>
      </c>
      <c r="C1291" s="45" t="str">
        <f>IF('Calendario H'!C101="","",'Calendario H'!C101)</f>
        <v/>
      </c>
      <c r="D1291" s="44" t="str">
        <f>IF('Calendario H'!D101="","",'Calendario H'!D101)</f>
        <v/>
      </c>
      <c r="E1291" s="45" t="str">
        <f>IF('Calendario H'!E101="","",'Calendario H'!E101)</f>
        <v/>
      </c>
      <c r="F1291" s="138" t="str">
        <f>IF('Calendario H'!F101="","",'Calendario H'!F101)</f>
        <v/>
      </c>
      <c r="G1291" s="124"/>
      <c r="H1291" s="124"/>
      <c r="I1291" s="125"/>
      <c r="J1291" s="202" t="str">
        <f>IF('Calendario H'!J101="","",'Calendario H'!J101)</f>
        <v/>
      </c>
      <c r="K1291" s="201" t="s">
        <v>198</v>
      </c>
      <c r="L1291" s="202" t="str">
        <f>IF('Calendario H'!L101="","",'Calendario H'!L101)</f>
        <v/>
      </c>
      <c r="M1291" s="200"/>
      <c r="N1291" s="200"/>
      <c r="O1291" s="200"/>
      <c r="P1291" s="200"/>
      <c r="Q1291" s="200"/>
      <c r="R1291" s="200"/>
    </row>
    <row r="1292" spans="1:18" ht="15" customHeight="1" x14ac:dyDescent="0.25">
      <c r="A1292" s="133"/>
      <c r="B1292" s="136" t="str">
        <f>IF('Calendario H'!B102="","",'Calendario H'!B102)</f>
        <v/>
      </c>
      <c r="C1292" s="124"/>
      <c r="D1292" s="124"/>
      <c r="E1292" s="124"/>
      <c r="F1292" s="124"/>
      <c r="G1292" s="124"/>
      <c r="H1292" s="125"/>
      <c r="I1292" s="45" t="str">
        <f>IF('Calendario H'!I102="","",'Calendario H'!I102)</f>
        <v/>
      </c>
      <c r="J1292" s="133"/>
      <c r="K1292" s="133"/>
      <c r="L1292" s="133"/>
      <c r="M1292" s="133"/>
      <c r="N1292" s="133"/>
      <c r="O1292" s="133"/>
      <c r="P1292" s="133"/>
      <c r="Q1292" s="133"/>
      <c r="R1292" s="133"/>
    </row>
    <row r="1293" spans="1:18" ht="14.1" customHeight="1" x14ac:dyDescent="0.25">
      <c r="A1293" s="62" t="s">
        <v>193</v>
      </c>
      <c r="B1293" s="165" t="s">
        <v>175</v>
      </c>
      <c r="C1293" s="125"/>
      <c r="D1293" s="165" t="s">
        <v>182</v>
      </c>
      <c r="E1293" s="125"/>
      <c r="F1293" s="62" t="s">
        <v>194</v>
      </c>
      <c r="G1293" s="62" t="s">
        <v>195</v>
      </c>
      <c r="H1293" s="165" t="s">
        <v>196</v>
      </c>
      <c r="I1293" s="125"/>
      <c r="J1293" s="165" t="s">
        <v>197</v>
      </c>
      <c r="K1293" s="124"/>
      <c r="L1293" s="125"/>
      <c r="M1293" s="109" t="s">
        <v>494</v>
      </c>
      <c r="N1293" s="109" t="s">
        <v>495</v>
      </c>
      <c r="O1293" s="109" t="s">
        <v>496</v>
      </c>
      <c r="P1293" s="109" t="s">
        <v>497</v>
      </c>
      <c r="Q1293" s="109" t="s">
        <v>498</v>
      </c>
      <c r="R1293" s="109" t="s">
        <v>499</v>
      </c>
    </row>
    <row r="1294" spans="1:18" ht="21.95" customHeight="1" x14ac:dyDescent="0.25">
      <c r="A1294" s="166">
        <f>IF('Calendario H'!A104="","",'Calendario H'!A104)</f>
        <v>344</v>
      </c>
      <c r="B1294" s="44" t="str">
        <f>IF('Calendario H'!B104="","",'Calendario H'!B104)</f>
        <v/>
      </c>
      <c r="C1294" s="45" t="str">
        <f>IF('Calendario H'!C104="","",'Calendario H'!C104)</f>
        <v/>
      </c>
      <c r="D1294" s="44" t="str">
        <f>IF('Calendario H'!D104="","",'Calendario H'!D104)</f>
        <v/>
      </c>
      <c r="E1294" s="45" t="str">
        <f>IF('Calendario H'!E104="","",'Calendario H'!E104)</f>
        <v/>
      </c>
      <c r="F1294" s="138" t="str">
        <f>IF('Calendario H'!F104="","",'Calendario H'!F104)</f>
        <v/>
      </c>
      <c r="G1294" s="124"/>
      <c r="H1294" s="124"/>
      <c r="I1294" s="125"/>
      <c r="J1294" s="202" t="str">
        <f>IF('Calendario H'!J104="","",'Calendario H'!J104)</f>
        <v/>
      </c>
      <c r="K1294" s="201" t="s">
        <v>198</v>
      </c>
      <c r="L1294" s="202" t="str">
        <f>IF('Calendario H'!L104="","",'Calendario H'!L104)</f>
        <v/>
      </c>
      <c r="M1294" s="200"/>
      <c r="N1294" s="200"/>
      <c r="O1294" s="200"/>
      <c r="P1294" s="200"/>
      <c r="Q1294" s="200"/>
      <c r="R1294" s="200"/>
    </row>
    <row r="1295" spans="1:18" ht="15" customHeight="1" x14ac:dyDescent="0.25">
      <c r="A1295" s="133"/>
      <c r="B1295" s="136" t="str">
        <f>IF('Calendario H'!B105="","",'Calendario H'!B105)</f>
        <v/>
      </c>
      <c r="C1295" s="124"/>
      <c r="D1295" s="124"/>
      <c r="E1295" s="124"/>
      <c r="F1295" s="124"/>
      <c r="G1295" s="124"/>
      <c r="H1295" s="125"/>
      <c r="I1295" s="45" t="str">
        <f>IF('Calendario H'!I105="","",'Calendario H'!I105)</f>
        <v/>
      </c>
      <c r="J1295" s="133"/>
      <c r="K1295" s="133"/>
      <c r="L1295" s="133"/>
      <c r="M1295" s="133"/>
      <c r="N1295" s="133"/>
      <c r="O1295" s="133"/>
      <c r="P1295" s="133"/>
      <c r="Q1295" s="133"/>
      <c r="R1295" s="133"/>
    </row>
    <row r="1296" spans="1:18" ht="14.1" customHeight="1" x14ac:dyDescent="0.25">
      <c r="A1296" s="62" t="s">
        <v>193</v>
      </c>
      <c r="B1296" s="165" t="s">
        <v>175</v>
      </c>
      <c r="C1296" s="125"/>
      <c r="D1296" s="165" t="s">
        <v>182</v>
      </c>
      <c r="E1296" s="125"/>
      <c r="F1296" s="62" t="s">
        <v>194</v>
      </c>
      <c r="G1296" s="62" t="s">
        <v>195</v>
      </c>
      <c r="H1296" s="165" t="s">
        <v>196</v>
      </c>
      <c r="I1296" s="125"/>
      <c r="J1296" s="165" t="s">
        <v>197</v>
      </c>
      <c r="K1296" s="124"/>
      <c r="L1296" s="125"/>
      <c r="M1296" s="109" t="s">
        <v>494</v>
      </c>
      <c r="N1296" s="109" t="s">
        <v>495</v>
      </c>
      <c r="O1296" s="109" t="s">
        <v>496</v>
      </c>
      <c r="P1296" s="109" t="s">
        <v>497</v>
      </c>
      <c r="Q1296" s="109" t="s">
        <v>498</v>
      </c>
      <c r="R1296" s="109" t="s">
        <v>499</v>
      </c>
    </row>
    <row r="1297" spans="1:18" ht="21.95" customHeight="1" x14ac:dyDescent="0.25">
      <c r="A1297" s="166">
        <f>IF('Calendario H'!A107="","",'Calendario H'!A107)</f>
        <v>345</v>
      </c>
      <c r="B1297" s="44" t="str">
        <f>IF('Calendario H'!B107="","",'Calendario H'!B107)</f>
        <v/>
      </c>
      <c r="C1297" s="45" t="str">
        <f>IF('Calendario H'!C107="","",'Calendario H'!C107)</f>
        <v/>
      </c>
      <c r="D1297" s="44" t="str">
        <f>IF('Calendario H'!D107="","",'Calendario H'!D107)</f>
        <v/>
      </c>
      <c r="E1297" s="45" t="str">
        <f>IF('Calendario H'!E107="","",'Calendario H'!E107)</f>
        <v/>
      </c>
      <c r="F1297" s="138" t="str">
        <f>IF('Calendario H'!F107="","",'Calendario H'!F107)</f>
        <v/>
      </c>
      <c r="G1297" s="124"/>
      <c r="H1297" s="124"/>
      <c r="I1297" s="125"/>
      <c r="J1297" s="202" t="str">
        <f>IF('Calendario H'!J107="","",'Calendario H'!J107)</f>
        <v/>
      </c>
      <c r="K1297" s="201" t="s">
        <v>198</v>
      </c>
      <c r="L1297" s="202" t="str">
        <f>IF('Calendario H'!L107="","",'Calendario H'!L107)</f>
        <v/>
      </c>
      <c r="M1297" s="200"/>
      <c r="N1297" s="200"/>
      <c r="O1297" s="200"/>
      <c r="P1297" s="200"/>
      <c r="Q1297" s="200"/>
      <c r="R1297" s="200"/>
    </row>
    <row r="1298" spans="1:18" ht="15" customHeight="1" x14ac:dyDescent="0.25">
      <c r="A1298" s="133"/>
      <c r="B1298" s="136" t="str">
        <f>IF('Calendario H'!B108="","",'Calendario H'!B108)</f>
        <v/>
      </c>
      <c r="C1298" s="124"/>
      <c r="D1298" s="124"/>
      <c r="E1298" s="124"/>
      <c r="F1298" s="124"/>
      <c r="G1298" s="124"/>
      <c r="H1298" s="125"/>
      <c r="I1298" s="45" t="str">
        <f>IF('Calendario H'!I108="","",'Calendario H'!I108)</f>
        <v/>
      </c>
      <c r="J1298" s="133"/>
      <c r="K1298" s="133"/>
      <c r="L1298" s="133"/>
      <c r="M1298" s="133"/>
      <c r="N1298" s="133"/>
      <c r="O1298" s="133"/>
      <c r="P1298" s="133"/>
      <c r="Q1298" s="133"/>
      <c r="R1298" s="133"/>
    </row>
    <row r="1300" spans="1:18" ht="20.100000000000001" customHeight="1" x14ac:dyDescent="0.25">
      <c r="A1300" s="61" t="str">
        <f>IF('Calendario H'!A110="","",'Calendario H'!A110)</f>
        <v>7H</v>
      </c>
      <c r="B1300" s="167" t="str">
        <f>IF('Calendario H'!B110="","",'Calendario H'!B110)</f>
        <v>GIORNATA VII - GIRONE H</v>
      </c>
      <c r="C1300" s="124"/>
      <c r="D1300" s="124"/>
      <c r="E1300" s="124"/>
      <c r="F1300" s="124"/>
      <c r="G1300" s="124"/>
      <c r="H1300" s="124"/>
      <c r="I1300" s="124"/>
      <c r="J1300" s="124"/>
      <c r="K1300" s="124"/>
      <c r="L1300" s="125"/>
      <c r="M1300" s="206" t="s">
        <v>492</v>
      </c>
      <c r="N1300" s="124"/>
      <c r="O1300" s="125"/>
      <c r="P1300" s="206" t="s">
        <v>493</v>
      </c>
      <c r="Q1300" s="124"/>
      <c r="R1300" s="125"/>
    </row>
    <row r="1301" spans="1:18" ht="14.1" customHeight="1" x14ac:dyDescent="0.25">
      <c r="A1301" s="62" t="s">
        <v>193</v>
      </c>
      <c r="B1301" s="165" t="s">
        <v>175</v>
      </c>
      <c r="C1301" s="125"/>
      <c r="D1301" s="165" t="s">
        <v>182</v>
      </c>
      <c r="E1301" s="125"/>
      <c r="F1301" s="62" t="s">
        <v>194</v>
      </c>
      <c r="G1301" s="62" t="s">
        <v>195</v>
      </c>
      <c r="H1301" s="165" t="s">
        <v>196</v>
      </c>
      <c r="I1301" s="125"/>
      <c r="J1301" s="165" t="s">
        <v>197</v>
      </c>
      <c r="K1301" s="124"/>
      <c r="L1301" s="125"/>
      <c r="M1301" s="109" t="s">
        <v>494</v>
      </c>
      <c r="N1301" s="109" t="s">
        <v>495</v>
      </c>
      <c r="O1301" s="109" t="s">
        <v>496</v>
      </c>
      <c r="P1301" s="109" t="s">
        <v>497</v>
      </c>
      <c r="Q1301" s="109" t="s">
        <v>498</v>
      </c>
      <c r="R1301" s="109" t="s">
        <v>499</v>
      </c>
    </row>
    <row r="1302" spans="1:18" ht="21.95" customHeight="1" x14ac:dyDescent="0.25">
      <c r="A1302" s="166">
        <f>IF('Calendario H'!A112="","",'Calendario H'!A112)</f>
        <v>346</v>
      </c>
      <c r="B1302" s="44" t="str">
        <f>IF('Calendario H'!B112="","",'Calendario H'!B112)</f>
        <v/>
      </c>
      <c r="C1302" s="45" t="str">
        <f>IF('Calendario H'!C112="","",'Calendario H'!C112)</f>
        <v/>
      </c>
      <c r="D1302" s="44" t="str">
        <f>IF('Calendario H'!D112="","",'Calendario H'!D112)</f>
        <v/>
      </c>
      <c r="E1302" s="45" t="str">
        <f>IF('Calendario H'!E112="","",'Calendario H'!E112)</f>
        <v/>
      </c>
      <c r="F1302" s="138" t="str">
        <f>IF('Calendario H'!F112="","",'Calendario H'!F112)</f>
        <v/>
      </c>
      <c r="G1302" s="124"/>
      <c r="H1302" s="124"/>
      <c r="I1302" s="125"/>
      <c r="J1302" s="202" t="str">
        <f>IF('Calendario H'!J112="","",'Calendario H'!J112)</f>
        <v/>
      </c>
      <c r="K1302" s="201" t="s">
        <v>198</v>
      </c>
      <c r="L1302" s="202" t="str">
        <f>IF('Calendario H'!L112="","",'Calendario H'!L112)</f>
        <v/>
      </c>
      <c r="M1302" s="200"/>
      <c r="N1302" s="200"/>
      <c r="O1302" s="200"/>
      <c r="P1302" s="200"/>
      <c r="Q1302" s="200"/>
      <c r="R1302" s="200"/>
    </row>
    <row r="1303" spans="1:18" ht="15" customHeight="1" x14ac:dyDescent="0.25">
      <c r="A1303" s="133"/>
      <c r="B1303" s="136" t="str">
        <f>IF('Calendario H'!B113="","",'Calendario H'!B113)</f>
        <v/>
      </c>
      <c r="C1303" s="124"/>
      <c r="D1303" s="124"/>
      <c r="E1303" s="124"/>
      <c r="F1303" s="124"/>
      <c r="G1303" s="124"/>
      <c r="H1303" s="125"/>
      <c r="I1303" s="45" t="str">
        <f>IF('Calendario H'!I113="","",'Calendario H'!I113)</f>
        <v/>
      </c>
      <c r="J1303" s="133"/>
      <c r="K1303" s="133"/>
      <c r="L1303" s="133"/>
      <c r="M1303" s="133"/>
      <c r="N1303" s="133"/>
      <c r="O1303" s="133"/>
      <c r="P1303" s="133"/>
      <c r="Q1303" s="133"/>
      <c r="R1303" s="133"/>
    </row>
    <row r="1304" spans="1:18" ht="14.1" customHeight="1" x14ac:dyDescent="0.25">
      <c r="A1304" s="62" t="s">
        <v>193</v>
      </c>
      <c r="B1304" s="165" t="s">
        <v>175</v>
      </c>
      <c r="C1304" s="125"/>
      <c r="D1304" s="165" t="s">
        <v>182</v>
      </c>
      <c r="E1304" s="125"/>
      <c r="F1304" s="62" t="s">
        <v>194</v>
      </c>
      <c r="G1304" s="62" t="s">
        <v>195</v>
      </c>
      <c r="H1304" s="165" t="s">
        <v>196</v>
      </c>
      <c r="I1304" s="125"/>
      <c r="J1304" s="165" t="s">
        <v>197</v>
      </c>
      <c r="K1304" s="124"/>
      <c r="L1304" s="125"/>
      <c r="M1304" s="109" t="s">
        <v>494</v>
      </c>
      <c r="N1304" s="109" t="s">
        <v>495</v>
      </c>
      <c r="O1304" s="109" t="s">
        <v>496</v>
      </c>
      <c r="P1304" s="109" t="s">
        <v>497</v>
      </c>
      <c r="Q1304" s="109" t="s">
        <v>498</v>
      </c>
      <c r="R1304" s="109" t="s">
        <v>499</v>
      </c>
    </row>
    <row r="1305" spans="1:18" ht="21.95" customHeight="1" x14ac:dyDescent="0.25">
      <c r="A1305" s="166">
        <f>IF('Calendario H'!A115="","",'Calendario H'!A115)</f>
        <v>347</v>
      </c>
      <c r="B1305" s="44" t="str">
        <f>IF('Calendario H'!B115="","",'Calendario H'!B115)</f>
        <v/>
      </c>
      <c r="C1305" s="45" t="str">
        <f>IF('Calendario H'!C115="","",'Calendario H'!C115)</f>
        <v/>
      </c>
      <c r="D1305" s="44" t="str">
        <f>IF('Calendario H'!D115="","",'Calendario H'!D115)</f>
        <v/>
      </c>
      <c r="E1305" s="45" t="str">
        <f>IF('Calendario H'!E115="","",'Calendario H'!E115)</f>
        <v/>
      </c>
      <c r="F1305" s="138" t="str">
        <f>IF('Calendario H'!F115="","",'Calendario H'!F115)</f>
        <v/>
      </c>
      <c r="G1305" s="124"/>
      <c r="H1305" s="124"/>
      <c r="I1305" s="125"/>
      <c r="J1305" s="202" t="str">
        <f>IF('Calendario H'!J115="","",'Calendario H'!J115)</f>
        <v/>
      </c>
      <c r="K1305" s="201" t="s">
        <v>198</v>
      </c>
      <c r="L1305" s="202" t="str">
        <f>IF('Calendario H'!L115="","",'Calendario H'!L115)</f>
        <v/>
      </c>
      <c r="M1305" s="200"/>
      <c r="N1305" s="200"/>
      <c r="O1305" s="200"/>
      <c r="P1305" s="200"/>
      <c r="Q1305" s="200"/>
      <c r="R1305" s="200"/>
    </row>
    <row r="1306" spans="1:18" ht="15" customHeight="1" x14ac:dyDescent="0.25">
      <c r="A1306" s="133"/>
      <c r="B1306" s="136" t="str">
        <f>IF('Calendario H'!B116="","",'Calendario H'!B116)</f>
        <v/>
      </c>
      <c r="C1306" s="124"/>
      <c r="D1306" s="124"/>
      <c r="E1306" s="124"/>
      <c r="F1306" s="124"/>
      <c r="G1306" s="124"/>
      <c r="H1306" s="125"/>
      <c r="I1306" s="45" t="str">
        <f>IF('Calendario H'!I116="","",'Calendario H'!I116)</f>
        <v/>
      </c>
      <c r="J1306" s="133"/>
      <c r="K1306" s="133"/>
      <c r="L1306" s="133"/>
      <c r="M1306" s="133"/>
      <c r="N1306" s="133"/>
      <c r="O1306" s="133"/>
      <c r="P1306" s="133"/>
      <c r="Q1306" s="133"/>
      <c r="R1306" s="133"/>
    </row>
    <row r="1307" spans="1:18" ht="14.1" customHeight="1" x14ac:dyDescent="0.25">
      <c r="A1307" s="62" t="s">
        <v>193</v>
      </c>
      <c r="B1307" s="165" t="s">
        <v>175</v>
      </c>
      <c r="C1307" s="125"/>
      <c r="D1307" s="165" t="s">
        <v>182</v>
      </c>
      <c r="E1307" s="125"/>
      <c r="F1307" s="62" t="s">
        <v>194</v>
      </c>
      <c r="G1307" s="62" t="s">
        <v>195</v>
      </c>
      <c r="H1307" s="165" t="s">
        <v>196</v>
      </c>
      <c r="I1307" s="125"/>
      <c r="J1307" s="165" t="s">
        <v>197</v>
      </c>
      <c r="K1307" s="124"/>
      <c r="L1307" s="125"/>
      <c r="M1307" s="109" t="s">
        <v>494</v>
      </c>
      <c r="N1307" s="109" t="s">
        <v>495</v>
      </c>
      <c r="O1307" s="109" t="s">
        <v>496</v>
      </c>
      <c r="P1307" s="109" t="s">
        <v>497</v>
      </c>
      <c r="Q1307" s="109" t="s">
        <v>498</v>
      </c>
      <c r="R1307" s="109" t="s">
        <v>499</v>
      </c>
    </row>
    <row r="1308" spans="1:18" ht="21.95" customHeight="1" x14ac:dyDescent="0.25">
      <c r="A1308" s="166">
        <f>IF('Calendario H'!A118="","",'Calendario H'!A118)</f>
        <v>348</v>
      </c>
      <c r="B1308" s="44" t="str">
        <f>IF('Calendario H'!B118="","",'Calendario H'!B118)</f>
        <v/>
      </c>
      <c r="C1308" s="45" t="str">
        <f>IF('Calendario H'!C118="","",'Calendario H'!C118)</f>
        <v/>
      </c>
      <c r="D1308" s="44" t="str">
        <f>IF('Calendario H'!D118="","",'Calendario H'!D118)</f>
        <v/>
      </c>
      <c r="E1308" s="45" t="str">
        <f>IF('Calendario H'!E118="","",'Calendario H'!E118)</f>
        <v/>
      </c>
      <c r="F1308" s="138" t="str">
        <f>IF('Calendario H'!F118="","",'Calendario H'!F118)</f>
        <v/>
      </c>
      <c r="G1308" s="124"/>
      <c r="H1308" s="124"/>
      <c r="I1308" s="125"/>
      <c r="J1308" s="202" t="str">
        <f>IF('Calendario H'!J118="","",'Calendario H'!J118)</f>
        <v/>
      </c>
      <c r="K1308" s="201" t="s">
        <v>198</v>
      </c>
      <c r="L1308" s="202" t="str">
        <f>IF('Calendario H'!L118="","",'Calendario H'!L118)</f>
        <v/>
      </c>
      <c r="M1308" s="200"/>
      <c r="N1308" s="200"/>
      <c r="O1308" s="200"/>
      <c r="P1308" s="200"/>
      <c r="Q1308" s="200"/>
      <c r="R1308" s="200"/>
    </row>
    <row r="1309" spans="1:18" ht="15" customHeight="1" x14ac:dyDescent="0.25">
      <c r="A1309" s="133"/>
      <c r="B1309" s="136" t="str">
        <f>IF('Calendario H'!B119="","",'Calendario H'!B119)</f>
        <v/>
      </c>
      <c r="C1309" s="124"/>
      <c r="D1309" s="124"/>
      <c r="E1309" s="124"/>
      <c r="F1309" s="124"/>
      <c r="G1309" s="124"/>
      <c r="H1309" s="125"/>
      <c r="I1309" s="45" t="str">
        <f>IF('Calendario H'!I119="","",'Calendario H'!I119)</f>
        <v/>
      </c>
      <c r="J1309" s="133"/>
      <c r="K1309" s="133"/>
      <c r="L1309" s="133"/>
      <c r="M1309" s="133"/>
      <c r="N1309" s="133"/>
      <c r="O1309" s="133"/>
      <c r="P1309" s="133"/>
      <c r="Q1309" s="133"/>
      <c r="R1309" s="133"/>
    </row>
    <row r="1310" spans="1:18" ht="14.1" customHeight="1" x14ac:dyDescent="0.25">
      <c r="A1310" s="62" t="s">
        <v>193</v>
      </c>
      <c r="B1310" s="165" t="s">
        <v>175</v>
      </c>
      <c r="C1310" s="125"/>
      <c r="D1310" s="165" t="s">
        <v>182</v>
      </c>
      <c r="E1310" s="125"/>
      <c r="F1310" s="62" t="s">
        <v>194</v>
      </c>
      <c r="G1310" s="62" t="s">
        <v>195</v>
      </c>
      <c r="H1310" s="165" t="s">
        <v>196</v>
      </c>
      <c r="I1310" s="125"/>
      <c r="J1310" s="165" t="s">
        <v>197</v>
      </c>
      <c r="K1310" s="124"/>
      <c r="L1310" s="125"/>
      <c r="M1310" s="109" t="s">
        <v>494</v>
      </c>
      <c r="N1310" s="109" t="s">
        <v>495</v>
      </c>
      <c r="O1310" s="109" t="s">
        <v>496</v>
      </c>
      <c r="P1310" s="109" t="s">
        <v>497</v>
      </c>
      <c r="Q1310" s="109" t="s">
        <v>498</v>
      </c>
      <c r="R1310" s="109" t="s">
        <v>499</v>
      </c>
    </row>
    <row r="1311" spans="1:18" ht="21.95" customHeight="1" x14ac:dyDescent="0.25">
      <c r="A1311" s="166">
        <f>IF('Calendario H'!A121="","",'Calendario H'!A121)</f>
        <v>349</v>
      </c>
      <c r="B1311" s="44" t="str">
        <f>IF('Calendario H'!B121="","",'Calendario H'!B121)</f>
        <v/>
      </c>
      <c r="C1311" s="45" t="str">
        <f>IF('Calendario H'!C121="","",'Calendario H'!C121)</f>
        <v/>
      </c>
      <c r="D1311" s="44" t="str">
        <f>IF('Calendario H'!D121="","",'Calendario H'!D121)</f>
        <v/>
      </c>
      <c r="E1311" s="45" t="str">
        <f>IF('Calendario H'!E121="","",'Calendario H'!E121)</f>
        <v/>
      </c>
      <c r="F1311" s="138" t="str">
        <f>IF('Calendario H'!F121="","",'Calendario H'!F121)</f>
        <v/>
      </c>
      <c r="G1311" s="124"/>
      <c r="H1311" s="124"/>
      <c r="I1311" s="125"/>
      <c r="J1311" s="202" t="str">
        <f>IF('Calendario H'!J121="","",'Calendario H'!J121)</f>
        <v/>
      </c>
      <c r="K1311" s="201" t="s">
        <v>198</v>
      </c>
      <c r="L1311" s="202" t="str">
        <f>IF('Calendario H'!L121="","",'Calendario H'!L121)</f>
        <v/>
      </c>
      <c r="M1311" s="200"/>
      <c r="N1311" s="200"/>
      <c r="O1311" s="200"/>
      <c r="P1311" s="200"/>
      <c r="Q1311" s="200"/>
      <c r="R1311" s="200"/>
    </row>
    <row r="1312" spans="1:18" ht="15" customHeight="1" x14ac:dyDescent="0.25">
      <c r="A1312" s="133"/>
      <c r="B1312" s="136" t="str">
        <f>IF('Calendario H'!B122="","",'Calendario H'!B122)</f>
        <v/>
      </c>
      <c r="C1312" s="124"/>
      <c r="D1312" s="124"/>
      <c r="E1312" s="124"/>
      <c r="F1312" s="124"/>
      <c r="G1312" s="124"/>
      <c r="H1312" s="125"/>
      <c r="I1312" s="45" t="str">
        <f>IF('Calendario H'!I122="","",'Calendario H'!I122)</f>
        <v/>
      </c>
      <c r="J1312" s="133"/>
      <c r="K1312" s="133"/>
      <c r="L1312" s="133"/>
      <c r="M1312" s="133"/>
      <c r="N1312" s="133"/>
      <c r="O1312" s="133"/>
      <c r="P1312" s="133"/>
      <c r="Q1312" s="133"/>
      <c r="R1312" s="133"/>
    </row>
    <row r="1313" spans="1:18" ht="14.1" customHeight="1" x14ac:dyDescent="0.25">
      <c r="A1313" s="62" t="s">
        <v>193</v>
      </c>
      <c r="B1313" s="165" t="s">
        <v>175</v>
      </c>
      <c r="C1313" s="125"/>
      <c r="D1313" s="165" t="s">
        <v>182</v>
      </c>
      <c r="E1313" s="125"/>
      <c r="F1313" s="62" t="s">
        <v>194</v>
      </c>
      <c r="G1313" s="62" t="s">
        <v>195</v>
      </c>
      <c r="H1313" s="165" t="s">
        <v>196</v>
      </c>
      <c r="I1313" s="125"/>
      <c r="J1313" s="165" t="s">
        <v>197</v>
      </c>
      <c r="K1313" s="124"/>
      <c r="L1313" s="125"/>
      <c r="M1313" s="109" t="s">
        <v>494</v>
      </c>
      <c r="N1313" s="109" t="s">
        <v>495</v>
      </c>
      <c r="O1313" s="109" t="s">
        <v>496</v>
      </c>
      <c r="P1313" s="109" t="s">
        <v>497</v>
      </c>
      <c r="Q1313" s="109" t="s">
        <v>498</v>
      </c>
      <c r="R1313" s="109" t="s">
        <v>499</v>
      </c>
    </row>
    <row r="1314" spans="1:18" ht="21.95" customHeight="1" x14ac:dyDescent="0.25">
      <c r="A1314" s="166">
        <f>IF('Calendario H'!A124="","",'Calendario H'!A124)</f>
        <v>350</v>
      </c>
      <c r="B1314" s="44" t="str">
        <f>IF('Calendario H'!B124="","",'Calendario H'!B124)</f>
        <v/>
      </c>
      <c r="C1314" s="45" t="str">
        <f>IF('Calendario H'!C124="","",'Calendario H'!C124)</f>
        <v/>
      </c>
      <c r="D1314" s="44" t="str">
        <f>IF('Calendario H'!D124="","",'Calendario H'!D124)</f>
        <v/>
      </c>
      <c r="E1314" s="45" t="str">
        <f>IF('Calendario H'!E124="","",'Calendario H'!E124)</f>
        <v/>
      </c>
      <c r="F1314" s="138" t="str">
        <f>IF('Calendario H'!F124="","",'Calendario H'!F124)</f>
        <v/>
      </c>
      <c r="G1314" s="124"/>
      <c r="H1314" s="124"/>
      <c r="I1314" s="125"/>
      <c r="J1314" s="202" t="str">
        <f>IF('Calendario H'!J124="","",'Calendario H'!J124)</f>
        <v/>
      </c>
      <c r="K1314" s="201" t="s">
        <v>198</v>
      </c>
      <c r="L1314" s="202" t="str">
        <f>IF('Calendario H'!L124="","",'Calendario H'!L124)</f>
        <v/>
      </c>
      <c r="M1314" s="200"/>
      <c r="N1314" s="200"/>
      <c r="O1314" s="200"/>
      <c r="P1314" s="200"/>
      <c r="Q1314" s="200"/>
      <c r="R1314" s="200"/>
    </row>
    <row r="1315" spans="1:18" ht="15" customHeight="1" x14ac:dyDescent="0.25">
      <c r="A1315" s="133"/>
      <c r="B1315" s="136" t="str">
        <f>IF('Calendario H'!B125="","",'Calendario H'!B125)</f>
        <v/>
      </c>
      <c r="C1315" s="124"/>
      <c r="D1315" s="124"/>
      <c r="E1315" s="124"/>
      <c r="F1315" s="124"/>
      <c r="G1315" s="124"/>
      <c r="H1315" s="125"/>
      <c r="I1315" s="45" t="str">
        <f>IF('Calendario H'!I125="","",'Calendario H'!I125)</f>
        <v/>
      </c>
      <c r="J1315" s="133"/>
      <c r="K1315" s="133"/>
      <c r="L1315" s="133"/>
      <c r="M1315" s="133"/>
      <c r="N1315" s="133"/>
      <c r="O1315" s="133"/>
      <c r="P1315" s="133"/>
      <c r="Q1315" s="133"/>
      <c r="R1315" s="133"/>
    </row>
    <row r="1317" spans="1:18" ht="20.100000000000001" customHeight="1" x14ac:dyDescent="0.25">
      <c r="A1317" s="61" t="str">
        <f>IF('Calendario H'!A127="","",'Calendario H'!A127)</f>
        <v>8H</v>
      </c>
      <c r="B1317" s="167" t="str">
        <f>IF('Calendario H'!B127="","",'Calendario H'!B127)</f>
        <v>GIORNATA VIII - GIRONE H</v>
      </c>
      <c r="C1317" s="124"/>
      <c r="D1317" s="124"/>
      <c r="E1317" s="124"/>
      <c r="F1317" s="124"/>
      <c r="G1317" s="124"/>
      <c r="H1317" s="124"/>
      <c r="I1317" s="124"/>
      <c r="J1317" s="124"/>
      <c r="K1317" s="124"/>
      <c r="L1317" s="125"/>
      <c r="M1317" s="206" t="s">
        <v>492</v>
      </c>
      <c r="N1317" s="124"/>
      <c r="O1317" s="125"/>
      <c r="P1317" s="206" t="s">
        <v>493</v>
      </c>
      <c r="Q1317" s="124"/>
      <c r="R1317" s="125"/>
    </row>
    <row r="1318" spans="1:18" ht="14.1" customHeight="1" x14ac:dyDescent="0.25">
      <c r="A1318" s="62" t="s">
        <v>193</v>
      </c>
      <c r="B1318" s="165" t="s">
        <v>175</v>
      </c>
      <c r="C1318" s="125"/>
      <c r="D1318" s="165" t="s">
        <v>182</v>
      </c>
      <c r="E1318" s="125"/>
      <c r="F1318" s="62" t="s">
        <v>194</v>
      </c>
      <c r="G1318" s="62" t="s">
        <v>195</v>
      </c>
      <c r="H1318" s="165" t="s">
        <v>196</v>
      </c>
      <c r="I1318" s="125"/>
      <c r="J1318" s="165" t="s">
        <v>197</v>
      </c>
      <c r="K1318" s="124"/>
      <c r="L1318" s="125"/>
      <c r="M1318" s="109" t="s">
        <v>494</v>
      </c>
      <c r="N1318" s="109" t="s">
        <v>495</v>
      </c>
      <c r="O1318" s="109" t="s">
        <v>496</v>
      </c>
      <c r="P1318" s="109" t="s">
        <v>497</v>
      </c>
      <c r="Q1318" s="109" t="s">
        <v>498</v>
      </c>
      <c r="R1318" s="109" t="s">
        <v>499</v>
      </c>
    </row>
    <row r="1319" spans="1:18" ht="21.95" customHeight="1" x14ac:dyDescent="0.25">
      <c r="A1319" s="166">
        <f>IF('Calendario H'!A129="","",'Calendario H'!A129)</f>
        <v>351</v>
      </c>
      <c r="B1319" s="44" t="str">
        <f>IF('Calendario H'!B129="","",'Calendario H'!B129)</f>
        <v/>
      </c>
      <c r="C1319" s="45" t="str">
        <f>IF('Calendario H'!C129="","",'Calendario H'!C129)</f>
        <v/>
      </c>
      <c r="D1319" s="44" t="str">
        <f>IF('Calendario H'!D129="","",'Calendario H'!D129)</f>
        <v/>
      </c>
      <c r="E1319" s="45" t="str">
        <f>IF('Calendario H'!E129="","",'Calendario H'!E129)</f>
        <v/>
      </c>
      <c r="F1319" s="138" t="str">
        <f>IF('Calendario H'!F129="","",'Calendario H'!F129)</f>
        <v/>
      </c>
      <c r="G1319" s="124"/>
      <c r="H1319" s="124"/>
      <c r="I1319" s="125"/>
      <c r="J1319" s="202" t="str">
        <f>IF('Calendario H'!J129="","",'Calendario H'!J129)</f>
        <v/>
      </c>
      <c r="K1319" s="201" t="s">
        <v>198</v>
      </c>
      <c r="L1319" s="202" t="str">
        <f>IF('Calendario H'!L129="","",'Calendario H'!L129)</f>
        <v/>
      </c>
      <c r="M1319" s="200"/>
      <c r="N1319" s="200"/>
      <c r="O1319" s="200"/>
      <c r="P1319" s="200"/>
      <c r="Q1319" s="200"/>
      <c r="R1319" s="200"/>
    </row>
    <row r="1320" spans="1:18" ht="15" customHeight="1" x14ac:dyDescent="0.25">
      <c r="A1320" s="133"/>
      <c r="B1320" s="136" t="str">
        <f>IF('Calendario H'!B130="","",'Calendario H'!B130)</f>
        <v/>
      </c>
      <c r="C1320" s="124"/>
      <c r="D1320" s="124"/>
      <c r="E1320" s="124"/>
      <c r="F1320" s="124"/>
      <c r="G1320" s="124"/>
      <c r="H1320" s="125"/>
      <c r="I1320" s="45" t="str">
        <f>IF('Calendario H'!I130="","",'Calendario H'!I130)</f>
        <v/>
      </c>
      <c r="J1320" s="133"/>
      <c r="K1320" s="133"/>
      <c r="L1320" s="133"/>
      <c r="M1320" s="133"/>
      <c r="N1320" s="133"/>
      <c r="O1320" s="133"/>
      <c r="P1320" s="133"/>
      <c r="Q1320" s="133"/>
      <c r="R1320" s="133"/>
    </row>
    <row r="1321" spans="1:18" ht="14.1" customHeight="1" x14ac:dyDescent="0.25">
      <c r="A1321" s="62" t="s">
        <v>193</v>
      </c>
      <c r="B1321" s="165" t="s">
        <v>175</v>
      </c>
      <c r="C1321" s="125"/>
      <c r="D1321" s="165" t="s">
        <v>182</v>
      </c>
      <c r="E1321" s="125"/>
      <c r="F1321" s="62" t="s">
        <v>194</v>
      </c>
      <c r="G1321" s="62" t="s">
        <v>195</v>
      </c>
      <c r="H1321" s="165" t="s">
        <v>196</v>
      </c>
      <c r="I1321" s="125"/>
      <c r="J1321" s="165" t="s">
        <v>197</v>
      </c>
      <c r="K1321" s="124"/>
      <c r="L1321" s="125"/>
      <c r="M1321" s="109" t="s">
        <v>494</v>
      </c>
      <c r="N1321" s="109" t="s">
        <v>495</v>
      </c>
      <c r="O1321" s="109" t="s">
        <v>496</v>
      </c>
      <c r="P1321" s="109" t="s">
        <v>497</v>
      </c>
      <c r="Q1321" s="109" t="s">
        <v>498</v>
      </c>
      <c r="R1321" s="109" t="s">
        <v>499</v>
      </c>
    </row>
    <row r="1322" spans="1:18" ht="21.95" customHeight="1" x14ac:dyDescent="0.25">
      <c r="A1322" s="166">
        <f>IF('Calendario H'!A132="","",'Calendario H'!A132)</f>
        <v>352</v>
      </c>
      <c r="B1322" s="44" t="str">
        <f>IF('Calendario H'!B132="","",'Calendario H'!B132)</f>
        <v/>
      </c>
      <c r="C1322" s="45" t="str">
        <f>IF('Calendario H'!C132="","",'Calendario H'!C132)</f>
        <v/>
      </c>
      <c r="D1322" s="44" t="str">
        <f>IF('Calendario H'!D132="","",'Calendario H'!D132)</f>
        <v/>
      </c>
      <c r="E1322" s="45" t="str">
        <f>IF('Calendario H'!E132="","",'Calendario H'!E132)</f>
        <v/>
      </c>
      <c r="F1322" s="138" t="str">
        <f>IF('Calendario H'!F132="","",'Calendario H'!F132)</f>
        <v/>
      </c>
      <c r="G1322" s="124"/>
      <c r="H1322" s="124"/>
      <c r="I1322" s="125"/>
      <c r="J1322" s="202" t="str">
        <f>IF('Calendario H'!J132="","",'Calendario H'!J132)</f>
        <v/>
      </c>
      <c r="K1322" s="201" t="s">
        <v>198</v>
      </c>
      <c r="L1322" s="202" t="str">
        <f>IF('Calendario H'!L132="","",'Calendario H'!L132)</f>
        <v/>
      </c>
      <c r="M1322" s="200"/>
      <c r="N1322" s="200"/>
      <c r="O1322" s="200"/>
      <c r="P1322" s="200"/>
      <c r="Q1322" s="200"/>
      <c r="R1322" s="200"/>
    </row>
    <row r="1323" spans="1:18" ht="15" customHeight="1" x14ac:dyDescent="0.25">
      <c r="A1323" s="133"/>
      <c r="B1323" s="136" t="str">
        <f>IF('Calendario H'!B133="","",'Calendario H'!B133)</f>
        <v/>
      </c>
      <c r="C1323" s="124"/>
      <c r="D1323" s="124"/>
      <c r="E1323" s="124"/>
      <c r="F1323" s="124"/>
      <c r="G1323" s="124"/>
      <c r="H1323" s="125"/>
      <c r="I1323" s="45" t="str">
        <f>IF('Calendario H'!I133="","",'Calendario H'!I133)</f>
        <v/>
      </c>
      <c r="J1323" s="133"/>
      <c r="K1323" s="133"/>
      <c r="L1323" s="133"/>
      <c r="M1323" s="133"/>
      <c r="N1323" s="133"/>
      <c r="O1323" s="133"/>
      <c r="P1323" s="133"/>
      <c r="Q1323" s="133"/>
      <c r="R1323" s="133"/>
    </row>
    <row r="1324" spans="1:18" ht="14.1" customHeight="1" x14ac:dyDescent="0.25">
      <c r="A1324" s="62" t="s">
        <v>193</v>
      </c>
      <c r="B1324" s="165" t="s">
        <v>175</v>
      </c>
      <c r="C1324" s="125"/>
      <c r="D1324" s="165" t="s">
        <v>182</v>
      </c>
      <c r="E1324" s="125"/>
      <c r="F1324" s="62" t="s">
        <v>194</v>
      </c>
      <c r="G1324" s="62" t="s">
        <v>195</v>
      </c>
      <c r="H1324" s="165" t="s">
        <v>196</v>
      </c>
      <c r="I1324" s="125"/>
      <c r="J1324" s="165" t="s">
        <v>197</v>
      </c>
      <c r="K1324" s="124"/>
      <c r="L1324" s="125"/>
      <c r="M1324" s="109" t="s">
        <v>494</v>
      </c>
      <c r="N1324" s="109" t="s">
        <v>495</v>
      </c>
      <c r="O1324" s="109" t="s">
        <v>496</v>
      </c>
      <c r="P1324" s="109" t="s">
        <v>497</v>
      </c>
      <c r="Q1324" s="109" t="s">
        <v>498</v>
      </c>
      <c r="R1324" s="109" t="s">
        <v>499</v>
      </c>
    </row>
    <row r="1325" spans="1:18" ht="21.95" customHeight="1" x14ac:dyDescent="0.25">
      <c r="A1325" s="166">
        <f>IF('Calendario H'!A135="","",'Calendario H'!A135)</f>
        <v>353</v>
      </c>
      <c r="B1325" s="44" t="str">
        <f>IF('Calendario H'!B135="","",'Calendario H'!B135)</f>
        <v/>
      </c>
      <c r="C1325" s="45" t="str">
        <f>IF('Calendario H'!C135="","",'Calendario H'!C135)</f>
        <v/>
      </c>
      <c r="D1325" s="44" t="str">
        <f>IF('Calendario H'!D135="","",'Calendario H'!D135)</f>
        <v/>
      </c>
      <c r="E1325" s="45" t="str">
        <f>IF('Calendario H'!E135="","",'Calendario H'!E135)</f>
        <v/>
      </c>
      <c r="F1325" s="138" t="str">
        <f>IF('Calendario H'!F135="","",'Calendario H'!F135)</f>
        <v/>
      </c>
      <c r="G1325" s="124"/>
      <c r="H1325" s="124"/>
      <c r="I1325" s="125"/>
      <c r="J1325" s="202" t="str">
        <f>IF('Calendario H'!J135="","",'Calendario H'!J135)</f>
        <v/>
      </c>
      <c r="K1325" s="201" t="s">
        <v>198</v>
      </c>
      <c r="L1325" s="202" t="str">
        <f>IF('Calendario H'!L135="","",'Calendario H'!L135)</f>
        <v/>
      </c>
      <c r="M1325" s="200"/>
      <c r="N1325" s="200"/>
      <c r="O1325" s="200"/>
      <c r="P1325" s="200"/>
      <c r="Q1325" s="200"/>
      <c r="R1325" s="200"/>
    </row>
    <row r="1326" spans="1:18" ht="15" customHeight="1" x14ac:dyDescent="0.25">
      <c r="A1326" s="133"/>
      <c r="B1326" s="136" t="str">
        <f>IF('Calendario H'!B136="","",'Calendario H'!B136)</f>
        <v/>
      </c>
      <c r="C1326" s="124"/>
      <c r="D1326" s="124"/>
      <c r="E1326" s="124"/>
      <c r="F1326" s="124"/>
      <c r="G1326" s="124"/>
      <c r="H1326" s="125"/>
      <c r="I1326" s="45" t="str">
        <f>IF('Calendario H'!I136="","",'Calendario H'!I136)</f>
        <v/>
      </c>
      <c r="J1326" s="133"/>
      <c r="K1326" s="133"/>
      <c r="L1326" s="133"/>
      <c r="M1326" s="133"/>
      <c r="N1326" s="133"/>
      <c r="O1326" s="133"/>
      <c r="P1326" s="133"/>
      <c r="Q1326" s="133"/>
      <c r="R1326" s="133"/>
    </row>
    <row r="1327" spans="1:18" ht="14.1" customHeight="1" x14ac:dyDescent="0.25">
      <c r="A1327" s="62" t="s">
        <v>193</v>
      </c>
      <c r="B1327" s="165" t="s">
        <v>175</v>
      </c>
      <c r="C1327" s="125"/>
      <c r="D1327" s="165" t="s">
        <v>182</v>
      </c>
      <c r="E1327" s="125"/>
      <c r="F1327" s="62" t="s">
        <v>194</v>
      </c>
      <c r="G1327" s="62" t="s">
        <v>195</v>
      </c>
      <c r="H1327" s="165" t="s">
        <v>196</v>
      </c>
      <c r="I1327" s="125"/>
      <c r="J1327" s="165" t="s">
        <v>197</v>
      </c>
      <c r="K1327" s="124"/>
      <c r="L1327" s="125"/>
      <c r="M1327" s="109" t="s">
        <v>494</v>
      </c>
      <c r="N1327" s="109" t="s">
        <v>495</v>
      </c>
      <c r="O1327" s="109" t="s">
        <v>496</v>
      </c>
      <c r="P1327" s="109" t="s">
        <v>497</v>
      </c>
      <c r="Q1327" s="109" t="s">
        <v>498</v>
      </c>
      <c r="R1327" s="109" t="s">
        <v>499</v>
      </c>
    </row>
    <row r="1328" spans="1:18" ht="21.95" customHeight="1" x14ac:dyDescent="0.25">
      <c r="A1328" s="166">
        <f>IF('Calendario H'!A138="","",'Calendario H'!A138)</f>
        <v>354</v>
      </c>
      <c r="B1328" s="44" t="str">
        <f>IF('Calendario H'!B138="","",'Calendario H'!B138)</f>
        <v/>
      </c>
      <c r="C1328" s="45" t="str">
        <f>IF('Calendario H'!C138="","",'Calendario H'!C138)</f>
        <v/>
      </c>
      <c r="D1328" s="44" t="str">
        <f>IF('Calendario H'!D138="","",'Calendario H'!D138)</f>
        <v/>
      </c>
      <c r="E1328" s="45" t="str">
        <f>IF('Calendario H'!E138="","",'Calendario H'!E138)</f>
        <v/>
      </c>
      <c r="F1328" s="138" t="str">
        <f>IF('Calendario H'!F138="","",'Calendario H'!F138)</f>
        <v/>
      </c>
      <c r="G1328" s="124"/>
      <c r="H1328" s="124"/>
      <c r="I1328" s="125"/>
      <c r="J1328" s="202" t="str">
        <f>IF('Calendario H'!J138="","",'Calendario H'!J138)</f>
        <v/>
      </c>
      <c r="K1328" s="201" t="s">
        <v>198</v>
      </c>
      <c r="L1328" s="202" t="str">
        <f>IF('Calendario H'!L138="","",'Calendario H'!L138)</f>
        <v/>
      </c>
      <c r="M1328" s="200"/>
      <c r="N1328" s="200"/>
      <c r="O1328" s="200"/>
      <c r="P1328" s="200"/>
      <c r="Q1328" s="200"/>
      <c r="R1328" s="200"/>
    </row>
    <row r="1329" spans="1:18" ht="15" customHeight="1" x14ac:dyDescent="0.25">
      <c r="A1329" s="133"/>
      <c r="B1329" s="136" t="str">
        <f>IF('Calendario H'!B139="","",'Calendario H'!B139)</f>
        <v/>
      </c>
      <c r="C1329" s="124"/>
      <c r="D1329" s="124"/>
      <c r="E1329" s="124"/>
      <c r="F1329" s="124"/>
      <c r="G1329" s="124"/>
      <c r="H1329" s="125"/>
      <c r="I1329" s="45" t="str">
        <f>IF('Calendario H'!I139="","",'Calendario H'!I139)</f>
        <v/>
      </c>
      <c r="J1329" s="133"/>
      <c r="K1329" s="133"/>
      <c r="L1329" s="133"/>
      <c r="M1329" s="133"/>
      <c r="N1329" s="133"/>
      <c r="O1329" s="133"/>
      <c r="P1329" s="133"/>
      <c r="Q1329" s="133"/>
      <c r="R1329" s="133"/>
    </row>
    <row r="1330" spans="1:18" ht="14.1" customHeight="1" x14ac:dyDescent="0.25">
      <c r="A1330" s="62" t="s">
        <v>193</v>
      </c>
      <c r="B1330" s="165" t="s">
        <v>175</v>
      </c>
      <c r="C1330" s="125"/>
      <c r="D1330" s="165" t="s">
        <v>182</v>
      </c>
      <c r="E1330" s="125"/>
      <c r="F1330" s="62" t="s">
        <v>194</v>
      </c>
      <c r="G1330" s="62" t="s">
        <v>195</v>
      </c>
      <c r="H1330" s="165" t="s">
        <v>196</v>
      </c>
      <c r="I1330" s="125"/>
      <c r="J1330" s="165" t="s">
        <v>197</v>
      </c>
      <c r="K1330" s="124"/>
      <c r="L1330" s="125"/>
      <c r="M1330" s="109" t="s">
        <v>494</v>
      </c>
      <c r="N1330" s="109" t="s">
        <v>495</v>
      </c>
      <c r="O1330" s="109" t="s">
        <v>496</v>
      </c>
      <c r="P1330" s="109" t="s">
        <v>497</v>
      </c>
      <c r="Q1330" s="109" t="s">
        <v>498</v>
      </c>
      <c r="R1330" s="109" t="s">
        <v>499</v>
      </c>
    </row>
    <row r="1331" spans="1:18" ht="21.95" customHeight="1" x14ac:dyDescent="0.25">
      <c r="A1331" s="166">
        <f>IF('Calendario H'!A141="","",'Calendario H'!A141)</f>
        <v>355</v>
      </c>
      <c r="B1331" s="44" t="str">
        <f>IF('Calendario H'!B141="","",'Calendario H'!B141)</f>
        <v/>
      </c>
      <c r="C1331" s="45" t="str">
        <f>IF('Calendario H'!C141="","",'Calendario H'!C141)</f>
        <v/>
      </c>
      <c r="D1331" s="44" t="str">
        <f>IF('Calendario H'!D141="","",'Calendario H'!D141)</f>
        <v/>
      </c>
      <c r="E1331" s="45" t="str">
        <f>IF('Calendario H'!E141="","",'Calendario H'!E141)</f>
        <v/>
      </c>
      <c r="F1331" s="138" t="str">
        <f>IF('Calendario H'!F141="","",'Calendario H'!F141)</f>
        <v/>
      </c>
      <c r="G1331" s="124"/>
      <c r="H1331" s="124"/>
      <c r="I1331" s="125"/>
      <c r="J1331" s="202" t="str">
        <f>IF('Calendario H'!J141="","",'Calendario H'!J141)</f>
        <v/>
      </c>
      <c r="K1331" s="201" t="s">
        <v>198</v>
      </c>
      <c r="L1331" s="202" t="str">
        <f>IF('Calendario H'!L141="","",'Calendario H'!L141)</f>
        <v/>
      </c>
      <c r="M1331" s="200"/>
      <c r="N1331" s="200"/>
      <c r="O1331" s="200"/>
      <c r="P1331" s="200"/>
      <c r="Q1331" s="200"/>
      <c r="R1331" s="200"/>
    </row>
    <row r="1332" spans="1:18" ht="15" customHeight="1" x14ac:dyDescent="0.25">
      <c r="A1332" s="133"/>
      <c r="B1332" s="136" t="str">
        <f>IF('Calendario H'!B142="","",'Calendario H'!B142)</f>
        <v/>
      </c>
      <c r="C1332" s="124"/>
      <c r="D1332" s="124"/>
      <c r="E1332" s="124"/>
      <c r="F1332" s="124"/>
      <c r="G1332" s="124"/>
      <c r="H1332" s="125"/>
      <c r="I1332" s="45" t="str">
        <f>IF('Calendario H'!I142="","",'Calendario H'!I142)</f>
        <v/>
      </c>
      <c r="J1332" s="133"/>
      <c r="K1332" s="133"/>
      <c r="L1332" s="133"/>
      <c r="M1332" s="133"/>
      <c r="N1332" s="133"/>
      <c r="O1332" s="133"/>
      <c r="P1332" s="133"/>
      <c r="Q1332" s="133"/>
      <c r="R1332" s="133"/>
    </row>
    <row r="1334" spans="1:18" ht="20.100000000000001" customHeight="1" x14ac:dyDescent="0.25">
      <c r="A1334" s="61" t="str">
        <f>IF('Calendario H'!A144="","",'Calendario H'!A144)</f>
        <v>9H</v>
      </c>
      <c r="B1334" s="167" t="str">
        <f>IF('Calendario H'!B144="","",'Calendario H'!B144)</f>
        <v>GIORNATA IX - GIRONE H</v>
      </c>
      <c r="C1334" s="124"/>
      <c r="D1334" s="124"/>
      <c r="E1334" s="124"/>
      <c r="F1334" s="124"/>
      <c r="G1334" s="124"/>
      <c r="H1334" s="124"/>
      <c r="I1334" s="124"/>
      <c r="J1334" s="124"/>
      <c r="K1334" s="124"/>
      <c r="L1334" s="125"/>
      <c r="M1334" s="206" t="s">
        <v>492</v>
      </c>
      <c r="N1334" s="124"/>
      <c r="O1334" s="125"/>
      <c r="P1334" s="206" t="s">
        <v>493</v>
      </c>
      <c r="Q1334" s="124"/>
      <c r="R1334" s="125"/>
    </row>
    <row r="1335" spans="1:18" ht="14.1" customHeight="1" x14ac:dyDescent="0.25">
      <c r="A1335" s="62" t="s">
        <v>193</v>
      </c>
      <c r="B1335" s="165" t="s">
        <v>175</v>
      </c>
      <c r="C1335" s="125"/>
      <c r="D1335" s="165" t="s">
        <v>182</v>
      </c>
      <c r="E1335" s="125"/>
      <c r="F1335" s="62" t="s">
        <v>194</v>
      </c>
      <c r="G1335" s="62" t="s">
        <v>195</v>
      </c>
      <c r="H1335" s="165" t="s">
        <v>196</v>
      </c>
      <c r="I1335" s="125"/>
      <c r="J1335" s="165" t="s">
        <v>197</v>
      </c>
      <c r="K1335" s="124"/>
      <c r="L1335" s="125"/>
      <c r="M1335" s="109" t="s">
        <v>494</v>
      </c>
      <c r="N1335" s="109" t="s">
        <v>495</v>
      </c>
      <c r="O1335" s="109" t="s">
        <v>496</v>
      </c>
      <c r="P1335" s="109" t="s">
        <v>497</v>
      </c>
      <c r="Q1335" s="109" t="s">
        <v>498</v>
      </c>
      <c r="R1335" s="109" t="s">
        <v>499</v>
      </c>
    </row>
    <row r="1336" spans="1:18" ht="21.95" customHeight="1" x14ac:dyDescent="0.25">
      <c r="A1336" s="166">
        <f>IF('Calendario H'!A146="","",'Calendario H'!A146)</f>
        <v>356</v>
      </c>
      <c r="B1336" s="44" t="str">
        <f>IF('Calendario H'!B146="","",'Calendario H'!B146)</f>
        <v/>
      </c>
      <c r="C1336" s="45" t="str">
        <f>IF('Calendario H'!C146="","",'Calendario H'!C146)</f>
        <v/>
      </c>
      <c r="D1336" s="44" t="str">
        <f>IF('Calendario H'!D146="","",'Calendario H'!D146)</f>
        <v/>
      </c>
      <c r="E1336" s="45" t="str">
        <f>IF('Calendario H'!E146="","",'Calendario H'!E146)</f>
        <v/>
      </c>
      <c r="F1336" s="138" t="str">
        <f>IF('Calendario H'!F146="","",'Calendario H'!F146)</f>
        <v/>
      </c>
      <c r="G1336" s="124"/>
      <c r="H1336" s="124"/>
      <c r="I1336" s="125"/>
      <c r="J1336" s="202" t="str">
        <f>IF('Calendario H'!J146="","",'Calendario H'!J146)</f>
        <v/>
      </c>
      <c r="K1336" s="201" t="s">
        <v>198</v>
      </c>
      <c r="L1336" s="202" t="str">
        <f>IF('Calendario H'!L146="","",'Calendario H'!L146)</f>
        <v/>
      </c>
      <c r="M1336" s="200"/>
      <c r="N1336" s="200"/>
      <c r="O1336" s="200"/>
      <c r="P1336" s="200"/>
      <c r="Q1336" s="200"/>
      <c r="R1336" s="200"/>
    </row>
    <row r="1337" spans="1:18" ht="15" customHeight="1" x14ac:dyDescent="0.25">
      <c r="A1337" s="133"/>
      <c r="B1337" s="136" t="str">
        <f>IF('Calendario H'!B147="","",'Calendario H'!B147)</f>
        <v/>
      </c>
      <c r="C1337" s="124"/>
      <c r="D1337" s="124"/>
      <c r="E1337" s="124"/>
      <c r="F1337" s="124"/>
      <c r="G1337" s="124"/>
      <c r="H1337" s="125"/>
      <c r="I1337" s="45" t="str">
        <f>IF('Calendario H'!I147="","",'Calendario H'!I147)</f>
        <v/>
      </c>
      <c r="J1337" s="133"/>
      <c r="K1337" s="133"/>
      <c r="L1337" s="133"/>
      <c r="M1337" s="133"/>
      <c r="N1337" s="133"/>
      <c r="O1337" s="133"/>
      <c r="P1337" s="133"/>
      <c r="Q1337" s="133"/>
      <c r="R1337" s="133"/>
    </row>
    <row r="1338" spans="1:18" ht="14.1" customHeight="1" x14ac:dyDescent="0.25">
      <c r="A1338" s="62" t="s">
        <v>193</v>
      </c>
      <c r="B1338" s="165" t="s">
        <v>175</v>
      </c>
      <c r="C1338" s="125"/>
      <c r="D1338" s="165" t="s">
        <v>182</v>
      </c>
      <c r="E1338" s="125"/>
      <c r="F1338" s="62" t="s">
        <v>194</v>
      </c>
      <c r="G1338" s="62" t="s">
        <v>195</v>
      </c>
      <c r="H1338" s="165" t="s">
        <v>196</v>
      </c>
      <c r="I1338" s="125"/>
      <c r="J1338" s="165" t="s">
        <v>197</v>
      </c>
      <c r="K1338" s="124"/>
      <c r="L1338" s="125"/>
      <c r="M1338" s="109" t="s">
        <v>494</v>
      </c>
      <c r="N1338" s="109" t="s">
        <v>495</v>
      </c>
      <c r="O1338" s="109" t="s">
        <v>496</v>
      </c>
      <c r="P1338" s="109" t="s">
        <v>497</v>
      </c>
      <c r="Q1338" s="109" t="s">
        <v>498</v>
      </c>
      <c r="R1338" s="109" t="s">
        <v>499</v>
      </c>
    </row>
    <row r="1339" spans="1:18" ht="21.95" customHeight="1" x14ac:dyDescent="0.25">
      <c r="A1339" s="166">
        <f>IF('Calendario H'!A149="","",'Calendario H'!A149)</f>
        <v>357</v>
      </c>
      <c r="B1339" s="44" t="str">
        <f>IF('Calendario H'!B149="","",'Calendario H'!B149)</f>
        <v/>
      </c>
      <c r="C1339" s="45" t="str">
        <f>IF('Calendario H'!C149="","",'Calendario H'!C149)</f>
        <v/>
      </c>
      <c r="D1339" s="44" t="str">
        <f>IF('Calendario H'!D149="","",'Calendario H'!D149)</f>
        <v/>
      </c>
      <c r="E1339" s="45" t="str">
        <f>IF('Calendario H'!E149="","",'Calendario H'!E149)</f>
        <v/>
      </c>
      <c r="F1339" s="138" t="str">
        <f>IF('Calendario H'!F149="","",'Calendario H'!F149)</f>
        <v/>
      </c>
      <c r="G1339" s="124"/>
      <c r="H1339" s="124"/>
      <c r="I1339" s="125"/>
      <c r="J1339" s="202" t="str">
        <f>IF('Calendario H'!J149="","",'Calendario H'!J149)</f>
        <v/>
      </c>
      <c r="K1339" s="201" t="s">
        <v>198</v>
      </c>
      <c r="L1339" s="202" t="str">
        <f>IF('Calendario H'!L149="","",'Calendario H'!L149)</f>
        <v/>
      </c>
      <c r="M1339" s="200"/>
      <c r="N1339" s="200"/>
      <c r="O1339" s="200"/>
      <c r="P1339" s="200"/>
      <c r="Q1339" s="200"/>
      <c r="R1339" s="200"/>
    </row>
    <row r="1340" spans="1:18" ht="15" customHeight="1" x14ac:dyDescent="0.25">
      <c r="A1340" s="133"/>
      <c r="B1340" s="136" t="str">
        <f>IF('Calendario H'!B150="","",'Calendario H'!B150)</f>
        <v/>
      </c>
      <c r="C1340" s="124"/>
      <c r="D1340" s="124"/>
      <c r="E1340" s="124"/>
      <c r="F1340" s="124"/>
      <c r="G1340" s="124"/>
      <c r="H1340" s="125"/>
      <c r="I1340" s="45" t="str">
        <f>IF('Calendario H'!I150="","",'Calendario H'!I150)</f>
        <v/>
      </c>
      <c r="J1340" s="133"/>
      <c r="K1340" s="133"/>
      <c r="L1340" s="133"/>
      <c r="M1340" s="133"/>
      <c r="N1340" s="133"/>
      <c r="O1340" s="133"/>
      <c r="P1340" s="133"/>
      <c r="Q1340" s="133"/>
      <c r="R1340" s="133"/>
    </row>
    <row r="1341" spans="1:18" ht="14.1" customHeight="1" x14ac:dyDescent="0.25">
      <c r="A1341" s="62" t="s">
        <v>193</v>
      </c>
      <c r="B1341" s="165" t="s">
        <v>175</v>
      </c>
      <c r="C1341" s="125"/>
      <c r="D1341" s="165" t="s">
        <v>182</v>
      </c>
      <c r="E1341" s="125"/>
      <c r="F1341" s="62" t="s">
        <v>194</v>
      </c>
      <c r="G1341" s="62" t="s">
        <v>195</v>
      </c>
      <c r="H1341" s="165" t="s">
        <v>196</v>
      </c>
      <c r="I1341" s="125"/>
      <c r="J1341" s="165" t="s">
        <v>197</v>
      </c>
      <c r="K1341" s="124"/>
      <c r="L1341" s="125"/>
      <c r="M1341" s="109" t="s">
        <v>494</v>
      </c>
      <c r="N1341" s="109" t="s">
        <v>495</v>
      </c>
      <c r="O1341" s="109" t="s">
        <v>496</v>
      </c>
      <c r="P1341" s="109" t="s">
        <v>497</v>
      </c>
      <c r="Q1341" s="109" t="s">
        <v>498</v>
      </c>
      <c r="R1341" s="109" t="s">
        <v>499</v>
      </c>
    </row>
    <row r="1342" spans="1:18" ht="21.95" customHeight="1" x14ac:dyDescent="0.25">
      <c r="A1342" s="166">
        <f>IF('Calendario H'!A152="","",'Calendario H'!A152)</f>
        <v>358</v>
      </c>
      <c r="B1342" s="44" t="str">
        <f>IF('Calendario H'!B152="","",'Calendario H'!B152)</f>
        <v/>
      </c>
      <c r="C1342" s="45" t="str">
        <f>IF('Calendario H'!C152="","",'Calendario H'!C152)</f>
        <v/>
      </c>
      <c r="D1342" s="44" t="str">
        <f>IF('Calendario H'!D152="","",'Calendario H'!D152)</f>
        <v/>
      </c>
      <c r="E1342" s="45" t="str">
        <f>IF('Calendario H'!E152="","",'Calendario H'!E152)</f>
        <v/>
      </c>
      <c r="F1342" s="138" t="str">
        <f>IF('Calendario H'!F152="","",'Calendario H'!F152)</f>
        <v/>
      </c>
      <c r="G1342" s="124"/>
      <c r="H1342" s="124"/>
      <c r="I1342" s="125"/>
      <c r="J1342" s="202" t="str">
        <f>IF('Calendario H'!J152="","",'Calendario H'!J152)</f>
        <v/>
      </c>
      <c r="K1342" s="201" t="s">
        <v>198</v>
      </c>
      <c r="L1342" s="202" t="str">
        <f>IF('Calendario H'!L152="","",'Calendario H'!L152)</f>
        <v/>
      </c>
      <c r="M1342" s="200"/>
      <c r="N1342" s="200"/>
      <c r="O1342" s="200"/>
      <c r="P1342" s="200"/>
      <c r="Q1342" s="200"/>
      <c r="R1342" s="200"/>
    </row>
    <row r="1343" spans="1:18" ht="15" customHeight="1" x14ac:dyDescent="0.25">
      <c r="A1343" s="133"/>
      <c r="B1343" s="136" t="str">
        <f>IF('Calendario H'!B153="","",'Calendario H'!B153)</f>
        <v/>
      </c>
      <c r="C1343" s="124"/>
      <c r="D1343" s="124"/>
      <c r="E1343" s="124"/>
      <c r="F1343" s="124"/>
      <c r="G1343" s="124"/>
      <c r="H1343" s="125"/>
      <c r="I1343" s="45" t="str">
        <f>IF('Calendario H'!I153="","",'Calendario H'!I153)</f>
        <v/>
      </c>
      <c r="J1343" s="133"/>
      <c r="K1343" s="133"/>
      <c r="L1343" s="133"/>
      <c r="M1343" s="133"/>
      <c r="N1343" s="133"/>
      <c r="O1343" s="133"/>
      <c r="P1343" s="133"/>
      <c r="Q1343" s="133"/>
      <c r="R1343" s="133"/>
    </row>
    <row r="1344" spans="1:18" ht="14.1" customHeight="1" x14ac:dyDescent="0.25">
      <c r="A1344" s="62" t="s">
        <v>193</v>
      </c>
      <c r="B1344" s="165" t="s">
        <v>175</v>
      </c>
      <c r="C1344" s="125"/>
      <c r="D1344" s="165" t="s">
        <v>182</v>
      </c>
      <c r="E1344" s="125"/>
      <c r="F1344" s="62" t="s">
        <v>194</v>
      </c>
      <c r="G1344" s="62" t="s">
        <v>195</v>
      </c>
      <c r="H1344" s="165" t="s">
        <v>196</v>
      </c>
      <c r="I1344" s="125"/>
      <c r="J1344" s="165" t="s">
        <v>197</v>
      </c>
      <c r="K1344" s="124"/>
      <c r="L1344" s="125"/>
      <c r="M1344" s="109" t="s">
        <v>494</v>
      </c>
      <c r="N1344" s="109" t="s">
        <v>495</v>
      </c>
      <c r="O1344" s="109" t="s">
        <v>496</v>
      </c>
      <c r="P1344" s="109" t="s">
        <v>497</v>
      </c>
      <c r="Q1344" s="109" t="s">
        <v>498</v>
      </c>
      <c r="R1344" s="109" t="s">
        <v>499</v>
      </c>
    </row>
    <row r="1345" spans="1:18" ht="21.95" customHeight="1" x14ac:dyDescent="0.25">
      <c r="A1345" s="166">
        <f>IF('Calendario H'!A155="","",'Calendario H'!A155)</f>
        <v>359</v>
      </c>
      <c r="B1345" s="44" t="str">
        <f>IF('Calendario H'!B155="","",'Calendario H'!B155)</f>
        <v/>
      </c>
      <c r="C1345" s="45" t="str">
        <f>IF('Calendario H'!C155="","",'Calendario H'!C155)</f>
        <v/>
      </c>
      <c r="D1345" s="44" t="str">
        <f>IF('Calendario H'!D155="","",'Calendario H'!D155)</f>
        <v/>
      </c>
      <c r="E1345" s="45" t="str">
        <f>IF('Calendario H'!E155="","",'Calendario H'!E155)</f>
        <v/>
      </c>
      <c r="F1345" s="138" t="str">
        <f>IF('Calendario H'!F155="","",'Calendario H'!F155)</f>
        <v/>
      </c>
      <c r="G1345" s="124"/>
      <c r="H1345" s="124"/>
      <c r="I1345" s="125"/>
      <c r="J1345" s="202" t="str">
        <f>IF('Calendario H'!J155="","",'Calendario H'!J155)</f>
        <v/>
      </c>
      <c r="K1345" s="201" t="s">
        <v>198</v>
      </c>
      <c r="L1345" s="202" t="str">
        <f>IF('Calendario H'!L155="","",'Calendario H'!L155)</f>
        <v/>
      </c>
      <c r="M1345" s="200"/>
      <c r="N1345" s="200"/>
      <c r="O1345" s="200"/>
      <c r="P1345" s="200"/>
      <c r="Q1345" s="200"/>
      <c r="R1345" s="200"/>
    </row>
    <row r="1346" spans="1:18" ht="15" customHeight="1" x14ac:dyDescent="0.25">
      <c r="A1346" s="133"/>
      <c r="B1346" s="136" t="str">
        <f>IF('Calendario H'!B156="","",'Calendario H'!B156)</f>
        <v/>
      </c>
      <c r="C1346" s="124"/>
      <c r="D1346" s="124"/>
      <c r="E1346" s="124"/>
      <c r="F1346" s="124"/>
      <c r="G1346" s="124"/>
      <c r="H1346" s="125"/>
      <c r="I1346" s="45" t="str">
        <f>IF('Calendario H'!I156="","",'Calendario H'!I156)</f>
        <v/>
      </c>
      <c r="J1346" s="133"/>
      <c r="K1346" s="133"/>
      <c r="L1346" s="133"/>
      <c r="M1346" s="133"/>
      <c r="N1346" s="133"/>
      <c r="O1346" s="133"/>
      <c r="P1346" s="133"/>
      <c r="Q1346" s="133"/>
      <c r="R1346" s="133"/>
    </row>
    <row r="1347" spans="1:18" ht="14.1" customHeight="1" x14ac:dyDescent="0.25">
      <c r="A1347" s="62" t="s">
        <v>193</v>
      </c>
      <c r="B1347" s="165" t="s">
        <v>175</v>
      </c>
      <c r="C1347" s="125"/>
      <c r="D1347" s="165" t="s">
        <v>182</v>
      </c>
      <c r="E1347" s="125"/>
      <c r="F1347" s="62" t="s">
        <v>194</v>
      </c>
      <c r="G1347" s="62" t="s">
        <v>195</v>
      </c>
      <c r="H1347" s="165" t="s">
        <v>196</v>
      </c>
      <c r="I1347" s="125"/>
      <c r="J1347" s="165" t="s">
        <v>197</v>
      </c>
      <c r="K1347" s="124"/>
      <c r="L1347" s="125"/>
      <c r="M1347" s="109" t="s">
        <v>494</v>
      </c>
      <c r="N1347" s="109" t="s">
        <v>495</v>
      </c>
      <c r="O1347" s="109" t="s">
        <v>496</v>
      </c>
      <c r="P1347" s="109" t="s">
        <v>497</v>
      </c>
      <c r="Q1347" s="109" t="s">
        <v>498</v>
      </c>
      <c r="R1347" s="109" t="s">
        <v>499</v>
      </c>
    </row>
    <row r="1348" spans="1:18" ht="21.95" customHeight="1" x14ac:dyDescent="0.25">
      <c r="A1348" s="166">
        <f>IF('Calendario H'!A158="","",'Calendario H'!A158)</f>
        <v>360</v>
      </c>
      <c r="B1348" s="44" t="str">
        <f>IF('Calendario H'!B158="","",'Calendario H'!B158)</f>
        <v/>
      </c>
      <c r="C1348" s="45" t="str">
        <f>IF('Calendario H'!C158="","",'Calendario H'!C158)</f>
        <v/>
      </c>
      <c r="D1348" s="44" t="str">
        <f>IF('Calendario H'!D158="","",'Calendario H'!D158)</f>
        <v/>
      </c>
      <c r="E1348" s="45" t="str">
        <f>IF('Calendario H'!E158="","",'Calendario H'!E158)</f>
        <v/>
      </c>
      <c r="F1348" s="138" t="str">
        <f>IF('Calendario H'!F158="","",'Calendario H'!F158)</f>
        <v/>
      </c>
      <c r="G1348" s="124"/>
      <c r="H1348" s="124"/>
      <c r="I1348" s="125"/>
      <c r="J1348" s="202" t="str">
        <f>IF('Calendario H'!J158="","",'Calendario H'!J158)</f>
        <v/>
      </c>
      <c r="K1348" s="201" t="s">
        <v>198</v>
      </c>
      <c r="L1348" s="202" t="str">
        <f>IF('Calendario H'!L158="","",'Calendario H'!L158)</f>
        <v/>
      </c>
      <c r="M1348" s="200"/>
      <c r="N1348" s="200"/>
      <c r="O1348" s="200"/>
      <c r="P1348" s="200"/>
      <c r="Q1348" s="200"/>
      <c r="R1348" s="200"/>
    </row>
    <row r="1349" spans="1:18" ht="15" customHeight="1" x14ac:dyDescent="0.25">
      <c r="A1349" s="133"/>
      <c r="B1349" s="136" t="str">
        <f>IF('Calendario H'!B159="","",'Calendario H'!B159)</f>
        <v/>
      </c>
      <c r="C1349" s="124"/>
      <c r="D1349" s="124"/>
      <c r="E1349" s="124"/>
      <c r="F1349" s="124"/>
      <c r="G1349" s="124"/>
      <c r="H1349" s="125"/>
      <c r="I1349" s="45" t="str">
        <f>IF('Calendario H'!I159="","",'Calendario H'!I159)</f>
        <v/>
      </c>
      <c r="J1349" s="133"/>
      <c r="K1349" s="133"/>
      <c r="L1349" s="133"/>
      <c r="M1349" s="133"/>
      <c r="N1349" s="133"/>
      <c r="O1349" s="133"/>
      <c r="P1349" s="133"/>
      <c r="Q1349" s="133"/>
      <c r="R1349" s="133"/>
    </row>
    <row r="1368" spans="1:18" ht="20.100000000000001" customHeight="1" x14ac:dyDescent="0.25">
      <c r="A1368" s="63" t="str">
        <f>IF('Calendario I'!A8="","",'Calendario I'!A8)</f>
        <v>1I</v>
      </c>
      <c r="B1368" s="171" t="str">
        <f>IF('Calendario I'!B8="","",'Calendario I'!B8)</f>
        <v>GIORNATA I - GIRONE I</v>
      </c>
      <c r="C1368" s="124"/>
      <c r="D1368" s="124"/>
      <c r="E1368" s="124"/>
      <c r="F1368" s="124"/>
      <c r="G1368" s="124"/>
      <c r="H1368" s="124"/>
      <c r="I1368" s="124"/>
      <c r="J1368" s="124"/>
      <c r="K1368" s="124"/>
      <c r="L1368" s="125"/>
      <c r="M1368" s="204" t="s">
        <v>492</v>
      </c>
      <c r="N1368" s="124"/>
      <c r="O1368" s="125"/>
      <c r="P1368" s="204" t="s">
        <v>493</v>
      </c>
      <c r="Q1368" s="124"/>
      <c r="R1368" s="125"/>
    </row>
    <row r="1369" spans="1:18" ht="14.1" customHeight="1" x14ac:dyDescent="0.25">
      <c r="A1369" s="64" t="s">
        <v>193</v>
      </c>
      <c r="B1369" s="169" t="s">
        <v>175</v>
      </c>
      <c r="C1369" s="125"/>
      <c r="D1369" s="169" t="s">
        <v>182</v>
      </c>
      <c r="E1369" s="125"/>
      <c r="F1369" s="64" t="s">
        <v>194</v>
      </c>
      <c r="G1369" s="64" t="s">
        <v>195</v>
      </c>
      <c r="H1369" s="169" t="s">
        <v>196</v>
      </c>
      <c r="I1369" s="125"/>
      <c r="J1369" s="169" t="s">
        <v>197</v>
      </c>
      <c r="K1369" s="124"/>
      <c r="L1369" s="125"/>
      <c r="M1369" s="110" t="s">
        <v>494</v>
      </c>
      <c r="N1369" s="110" t="s">
        <v>495</v>
      </c>
      <c r="O1369" s="110" t="s">
        <v>496</v>
      </c>
      <c r="P1369" s="110" t="s">
        <v>497</v>
      </c>
      <c r="Q1369" s="110" t="s">
        <v>498</v>
      </c>
      <c r="R1369" s="110" t="s">
        <v>499</v>
      </c>
    </row>
    <row r="1370" spans="1:18" ht="21.95" customHeight="1" x14ac:dyDescent="0.25">
      <c r="A1370" s="170">
        <f>IF('Calendario I'!A10="","",'Calendario I'!A10)</f>
        <v>361</v>
      </c>
      <c r="B1370" s="44" t="str">
        <f>IF('Calendario I'!B10="","",'Calendario I'!B10)</f>
        <v/>
      </c>
      <c r="C1370" s="45" t="str">
        <f>IF('Calendario I'!C10="","",'Calendario I'!C10)</f>
        <v/>
      </c>
      <c r="D1370" s="44" t="str">
        <f>IF('Calendario I'!D10="","",'Calendario I'!D10)</f>
        <v/>
      </c>
      <c r="E1370" s="45" t="str">
        <f>IF('Calendario I'!E10="","",'Calendario I'!E10)</f>
        <v/>
      </c>
      <c r="F1370" s="138" t="str">
        <f>IF('Calendario I'!F10="","",'Calendario I'!F10)</f>
        <v/>
      </c>
      <c r="G1370" s="124"/>
      <c r="H1370" s="124"/>
      <c r="I1370" s="125"/>
      <c r="J1370" s="202" t="str">
        <f>IF('Calendario I'!J10="","",'Calendario I'!J10)</f>
        <v/>
      </c>
      <c r="K1370" s="201" t="s">
        <v>198</v>
      </c>
      <c r="L1370" s="202" t="str">
        <f>IF('Calendario I'!L10="","",'Calendario I'!L10)</f>
        <v/>
      </c>
      <c r="M1370" s="200"/>
      <c r="N1370" s="200"/>
      <c r="O1370" s="200"/>
      <c r="P1370" s="200"/>
      <c r="Q1370" s="200"/>
      <c r="R1370" s="200"/>
    </row>
    <row r="1371" spans="1:18" ht="15" customHeight="1" x14ac:dyDescent="0.25">
      <c r="A1371" s="133"/>
      <c r="B1371" s="136" t="str">
        <f>IF('Calendario I'!B11="","",'Calendario I'!B11)</f>
        <v/>
      </c>
      <c r="C1371" s="124"/>
      <c r="D1371" s="124"/>
      <c r="E1371" s="124"/>
      <c r="F1371" s="124"/>
      <c r="G1371" s="124"/>
      <c r="H1371" s="125"/>
      <c r="I1371" s="45" t="str">
        <f>IF('Calendario I'!I11="","",'Calendario I'!I11)</f>
        <v/>
      </c>
      <c r="J1371" s="133"/>
      <c r="K1371" s="133"/>
      <c r="L1371" s="133"/>
      <c r="M1371" s="133"/>
      <c r="N1371" s="133"/>
      <c r="O1371" s="133"/>
      <c r="P1371" s="133"/>
      <c r="Q1371" s="133"/>
      <c r="R1371" s="133"/>
    </row>
    <row r="1372" spans="1:18" ht="14.1" customHeight="1" x14ac:dyDescent="0.25">
      <c r="A1372" s="64" t="s">
        <v>193</v>
      </c>
      <c r="B1372" s="169" t="s">
        <v>175</v>
      </c>
      <c r="C1372" s="125"/>
      <c r="D1372" s="169" t="s">
        <v>182</v>
      </c>
      <c r="E1372" s="125"/>
      <c r="F1372" s="64" t="s">
        <v>194</v>
      </c>
      <c r="G1372" s="64" t="s">
        <v>195</v>
      </c>
      <c r="H1372" s="169" t="s">
        <v>196</v>
      </c>
      <c r="I1372" s="125"/>
      <c r="J1372" s="169" t="s">
        <v>197</v>
      </c>
      <c r="K1372" s="124"/>
      <c r="L1372" s="125"/>
      <c r="M1372" s="110" t="s">
        <v>494</v>
      </c>
      <c r="N1372" s="110" t="s">
        <v>495</v>
      </c>
      <c r="O1372" s="110" t="s">
        <v>496</v>
      </c>
      <c r="P1372" s="110" t="s">
        <v>497</v>
      </c>
      <c r="Q1372" s="110" t="s">
        <v>498</v>
      </c>
      <c r="R1372" s="110" t="s">
        <v>499</v>
      </c>
    </row>
    <row r="1373" spans="1:18" ht="21.95" customHeight="1" x14ac:dyDescent="0.25">
      <c r="A1373" s="170">
        <f>IF('Calendario I'!A13="","",'Calendario I'!A13)</f>
        <v>362</v>
      </c>
      <c r="B1373" s="44" t="str">
        <f>IF('Calendario I'!B13="","",'Calendario I'!B13)</f>
        <v/>
      </c>
      <c r="C1373" s="45" t="str">
        <f>IF('Calendario I'!C13="","",'Calendario I'!C13)</f>
        <v/>
      </c>
      <c r="D1373" s="44" t="str">
        <f>IF('Calendario I'!D13="","",'Calendario I'!D13)</f>
        <v/>
      </c>
      <c r="E1373" s="45" t="str">
        <f>IF('Calendario I'!E13="","",'Calendario I'!E13)</f>
        <v/>
      </c>
      <c r="F1373" s="138" t="str">
        <f>IF('Calendario I'!F13="","",'Calendario I'!F13)</f>
        <v/>
      </c>
      <c r="G1373" s="124"/>
      <c r="H1373" s="124"/>
      <c r="I1373" s="125"/>
      <c r="J1373" s="202" t="str">
        <f>IF('Calendario I'!J13="","",'Calendario I'!J13)</f>
        <v/>
      </c>
      <c r="K1373" s="201" t="s">
        <v>198</v>
      </c>
      <c r="L1373" s="202" t="str">
        <f>IF('Calendario I'!L13="","",'Calendario I'!L13)</f>
        <v/>
      </c>
      <c r="M1373" s="200"/>
      <c r="N1373" s="200"/>
      <c r="O1373" s="200"/>
      <c r="P1373" s="200"/>
      <c r="Q1373" s="200"/>
      <c r="R1373" s="200"/>
    </row>
    <row r="1374" spans="1:18" ht="15" customHeight="1" x14ac:dyDescent="0.25">
      <c r="A1374" s="133"/>
      <c r="B1374" s="136" t="str">
        <f>IF('Calendario I'!B14="","",'Calendario I'!B14)</f>
        <v/>
      </c>
      <c r="C1374" s="124"/>
      <c r="D1374" s="124"/>
      <c r="E1374" s="124"/>
      <c r="F1374" s="124"/>
      <c r="G1374" s="124"/>
      <c r="H1374" s="125"/>
      <c r="I1374" s="45" t="str">
        <f>IF('Calendario I'!I14="","",'Calendario I'!I14)</f>
        <v/>
      </c>
      <c r="J1374" s="133"/>
      <c r="K1374" s="133"/>
      <c r="L1374" s="133"/>
      <c r="M1374" s="133"/>
      <c r="N1374" s="133"/>
      <c r="O1374" s="133"/>
      <c r="P1374" s="133"/>
      <c r="Q1374" s="133"/>
      <c r="R1374" s="133"/>
    </row>
    <row r="1375" spans="1:18" ht="14.1" customHeight="1" x14ac:dyDescent="0.25">
      <c r="A1375" s="64" t="s">
        <v>193</v>
      </c>
      <c r="B1375" s="169" t="s">
        <v>175</v>
      </c>
      <c r="C1375" s="125"/>
      <c r="D1375" s="169" t="s">
        <v>182</v>
      </c>
      <c r="E1375" s="125"/>
      <c r="F1375" s="64" t="s">
        <v>194</v>
      </c>
      <c r="G1375" s="64" t="s">
        <v>195</v>
      </c>
      <c r="H1375" s="169" t="s">
        <v>196</v>
      </c>
      <c r="I1375" s="125"/>
      <c r="J1375" s="169" t="s">
        <v>197</v>
      </c>
      <c r="K1375" s="124"/>
      <c r="L1375" s="125"/>
      <c r="M1375" s="110" t="s">
        <v>494</v>
      </c>
      <c r="N1375" s="110" t="s">
        <v>495</v>
      </c>
      <c r="O1375" s="110" t="s">
        <v>496</v>
      </c>
      <c r="P1375" s="110" t="s">
        <v>497</v>
      </c>
      <c r="Q1375" s="110" t="s">
        <v>498</v>
      </c>
      <c r="R1375" s="110" t="s">
        <v>499</v>
      </c>
    </row>
    <row r="1376" spans="1:18" ht="21.95" customHeight="1" x14ac:dyDescent="0.25">
      <c r="A1376" s="170">
        <f>IF('Calendario I'!A16="","",'Calendario I'!A16)</f>
        <v>363</v>
      </c>
      <c r="B1376" s="44" t="str">
        <f>IF('Calendario I'!B16="","",'Calendario I'!B16)</f>
        <v/>
      </c>
      <c r="C1376" s="45" t="str">
        <f>IF('Calendario I'!C16="","",'Calendario I'!C16)</f>
        <v/>
      </c>
      <c r="D1376" s="44" t="str">
        <f>IF('Calendario I'!D16="","",'Calendario I'!D16)</f>
        <v/>
      </c>
      <c r="E1376" s="45" t="str">
        <f>IF('Calendario I'!E16="","",'Calendario I'!E16)</f>
        <v/>
      </c>
      <c r="F1376" s="138" t="str">
        <f>IF('Calendario I'!F16="","",'Calendario I'!F16)</f>
        <v/>
      </c>
      <c r="G1376" s="124"/>
      <c r="H1376" s="124"/>
      <c r="I1376" s="125"/>
      <c r="J1376" s="202" t="str">
        <f>IF('Calendario I'!J16="","",'Calendario I'!J16)</f>
        <v/>
      </c>
      <c r="K1376" s="201" t="s">
        <v>198</v>
      </c>
      <c r="L1376" s="202" t="str">
        <f>IF('Calendario I'!L16="","",'Calendario I'!L16)</f>
        <v/>
      </c>
      <c r="M1376" s="200"/>
      <c r="N1376" s="200"/>
      <c r="O1376" s="200"/>
      <c r="P1376" s="200"/>
      <c r="Q1376" s="200"/>
      <c r="R1376" s="200"/>
    </row>
    <row r="1377" spans="1:18" ht="15" customHeight="1" x14ac:dyDescent="0.25">
      <c r="A1377" s="133"/>
      <c r="B1377" s="136" t="str">
        <f>IF('Calendario I'!B17="","",'Calendario I'!B17)</f>
        <v/>
      </c>
      <c r="C1377" s="124"/>
      <c r="D1377" s="124"/>
      <c r="E1377" s="124"/>
      <c r="F1377" s="124"/>
      <c r="G1377" s="124"/>
      <c r="H1377" s="125"/>
      <c r="I1377" s="45" t="str">
        <f>IF('Calendario I'!I17="","",'Calendario I'!I17)</f>
        <v/>
      </c>
      <c r="J1377" s="133"/>
      <c r="K1377" s="133"/>
      <c r="L1377" s="133"/>
      <c r="M1377" s="133"/>
      <c r="N1377" s="133"/>
      <c r="O1377" s="133"/>
      <c r="P1377" s="133"/>
      <c r="Q1377" s="133"/>
      <c r="R1377" s="133"/>
    </row>
    <row r="1378" spans="1:18" ht="14.1" customHeight="1" x14ac:dyDescent="0.25">
      <c r="A1378" s="64" t="s">
        <v>193</v>
      </c>
      <c r="B1378" s="169" t="s">
        <v>175</v>
      </c>
      <c r="C1378" s="125"/>
      <c r="D1378" s="169" t="s">
        <v>182</v>
      </c>
      <c r="E1378" s="125"/>
      <c r="F1378" s="64" t="s">
        <v>194</v>
      </c>
      <c r="G1378" s="64" t="s">
        <v>195</v>
      </c>
      <c r="H1378" s="169" t="s">
        <v>196</v>
      </c>
      <c r="I1378" s="125"/>
      <c r="J1378" s="169" t="s">
        <v>197</v>
      </c>
      <c r="K1378" s="124"/>
      <c r="L1378" s="125"/>
      <c r="M1378" s="110" t="s">
        <v>494</v>
      </c>
      <c r="N1378" s="110" t="s">
        <v>495</v>
      </c>
      <c r="O1378" s="110" t="s">
        <v>496</v>
      </c>
      <c r="P1378" s="110" t="s">
        <v>497</v>
      </c>
      <c r="Q1378" s="110" t="s">
        <v>498</v>
      </c>
      <c r="R1378" s="110" t="s">
        <v>499</v>
      </c>
    </row>
    <row r="1379" spans="1:18" ht="21.95" customHeight="1" x14ac:dyDescent="0.25">
      <c r="A1379" s="170">
        <f>IF('Calendario I'!A19="","",'Calendario I'!A19)</f>
        <v>364</v>
      </c>
      <c r="B1379" s="44" t="str">
        <f>IF('Calendario I'!B19="","",'Calendario I'!B19)</f>
        <v/>
      </c>
      <c r="C1379" s="45" t="str">
        <f>IF('Calendario I'!C19="","",'Calendario I'!C19)</f>
        <v/>
      </c>
      <c r="D1379" s="44" t="str">
        <f>IF('Calendario I'!D19="","",'Calendario I'!D19)</f>
        <v/>
      </c>
      <c r="E1379" s="45" t="str">
        <f>IF('Calendario I'!E19="","",'Calendario I'!E19)</f>
        <v/>
      </c>
      <c r="F1379" s="138" t="str">
        <f>IF('Calendario I'!F19="","",'Calendario I'!F19)</f>
        <v/>
      </c>
      <c r="G1379" s="124"/>
      <c r="H1379" s="124"/>
      <c r="I1379" s="125"/>
      <c r="J1379" s="202" t="str">
        <f>IF('Calendario I'!J19="","",'Calendario I'!J19)</f>
        <v/>
      </c>
      <c r="K1379" s="201" t="s">
        <v>198</v>
      </c>
      <c r="L1379" s="202" t="str">
        <f>IF('Calendario I'!L19="","",'Calendario I'!L19)</f>
        <v/>
      </c>
      <c r="M1379" s="200"/>
      <c r="N1379" s="200"/>
      <c r="O1379" s="200"/>
      <c r="P1379" s="200"/>
      <c r="Q1379" s="200"/>
      <c r="R1379" s="200"/>
    </row>
    <row r="1380" spans="1:18" ht="15" customHeight="1" x14ac:dyDescent="0.25">
      <c r="A1380" s="133"/>
      <c r="B1380" s="136" t="str">
        <f>IF('Calendario I'!B20="","",'Calendario I'!B20)</f>
        <v/>
      </c>
      <c r="C1380" s="124"/>
      <c r="D1380" s="124"/>
      <c r="E1380" s="124"/>
      <c r="F1380" s="124"/>
      <c r="G1380" s="124"/>
      <c r="H1380" s="125"/>
      <c r="I1380" s="45" t="str">
        <f>IF('Calendario I'!I20="","",'Calendario I'!I20)</f>
        <v/>
      </c>
      <c r="J1380" s="133"/>
      <c r="K1380" s="133"/>
      <c r="L1380" s="133"/>
      <c r="M1380" s="133"/>
      <c r="N1380" s="133"/>
      <c r="O1380" s="133"/>
      <c r="P1380" s="133"/>
      <c r="Q1380" s="133"/>
      <c r="R1380" s="133"/>
    </row>
    <row r="1381" spans="1:18" ht="14.1" customHeight="1" x14ac:dyDescent="0.25">
      <c r="A1381" s="64" t="s">
        <v>193</v>
      </c>
      <c r="B1381" s="169" t="s">
        <v>175</v>
      </c>
      <c r="C1381" s="125"/>
      <c r="D1381" s="169" t="s">
        <v>182</v>
      </c>
      <c r="E1381" s="125"/>
      <c r="F1381" s="64" t="s">
        <v>194</v>
      </c>
      <c r="G1381" s="64" t="s">
        <v>195</v>
      </c>
      <c r="H1381" s="169" t="s">
        <v>196</v>
      </c>
      <c r="I1381" s="125"/>
      <c r="J1381" s="169" t="s">
        <v>197</v>
      </c>
      <c r="K1381" s="124"/>
      <c r="L1381" s="125"/>
      <c r="M1381" s="110" t="s">
        <v>494</v>
      </c>
      <c r="N1381" s="110" t="s">
        <v>495</v>
      </c>
      <c r="O1381" s="110" t="s">
        <v>496</v>
      </c>
      <c r="P1381" s="110" t="s">
        <v>497</v>
      </c>
      <c r="Q1381" s="110" t="s">
        <v>498</v>
      </c>
      <c r="R1381" s="110" t="s">
        <v>499</v>
      </c>
    </row>
    <row r="1382" spans="1:18" ht="21.95" customHeight="1" x14ac:dyDescent="0.25">
      <c r="A1382" s="170">
        <f>IF('Calendario I'!A22="","",'Calendario I'!A22)</f>
        <v>365</v>
      </c>
      <c r="B1382" s="44" t="str">
        <f>IF('Calendario I'!B22="","",'Calendario I'!B22)</f>
        <v/>
      </c>
      <c r="C1382" s="45" t="str">
        <f>IF('Calendario I'!C22="","",'Calendario I'!C22)</f>
        <v/>
      </c>
      <c r="D1382" s="44" t="str">
        <f>IF('Calendario I'!D22="","",'Calendario I'!D22)</f>
        <v/>
      </c>
      <c r="E1382" s="45" t="str">
        <f>IF('Calendario I'!E22="","",'Calendario I'!E22)</f>
        <v/>
      </c>
      <c r="F1382" s="138" t="str">
        <f>IF('Calendario I'!F22="","",'Calendario I'!F22)</f>
        <v/>
      </c>
      <c r="G1382" s="124"/>
      <c r="H1382" s="124"/>
      <c r="I1382" s="125"/>
      <c r="J1382" s="202" t="str">
        <f>IF('Calendario I'!J22="","",'Calendario I'!J22)</f>
        <v/>
      </c>
      <c r="K1382" s="201" t="s">
        <v>198</v>
      </c>
      <c r="L1382" s="202" t="str">
        <f>IF('Calendario I'!L22="","",'Calendario I'!L22)</f>
        <v/>
      </c>
      <c r="M1382" s="200"/>
      <c r="N1382" s="200"/>
      <c r="O1382" s="200"/>
      <c r="P1382" s="200"/>
      <c r="Q1382" s="200"/>
      <c r="R1382" s="200"/>
    </row>
    <row r="1383" spans="1:18" ht="15" customHeight="1" x14ac:dyDescent="0.25">
      <c r="A1383" s="133"/>
      <c r="B1383" s="136" t="str">
        <f>IF('Calendario I'!B23="","",'Calendario I'!B23)</f>
        <v/>
      </c>
      <c r="C1383" s="124"/>
      <c r="D1383" s="124"/>
      <c r="E1383" s="124"/>
      <c r="F1383" s="124"/>
      <c r="G1383" s="124"/>
      <c r="H1383" s="125"/>
      <c r="I1383" s="45" t="str">
        <f>IF('Calendario I'!I23="","",'Calendario I'!I23)</f>
        <v/>
      </c>
      <c r="J1383" s="133"/>
      <c r="K1383" s="133"/>
      <c r="L1383" s="133"/>
      <c r="M1383" s="133"/>
      <c r="N1383" s="133"/>
      <c r="O1383" s="133"/>
      <c r="P1383" s="133"/>
      <c r="Q1383" s="133"/>
      <c r="R1383" s="133"/>
    </row>
    <row r="1385" spans="1:18" ht="20.100000000000001" customHeight="1" x14ac:dyDescent="0.25">
      <c r="A1385" s="63" t="str">
        <f>IF('Calendario I'!A25="","",'Calendario I'!A25)</f>
        <v>2I</v>
      </c>
      <c r="B1385" s="171" t="str">
        <f>IF('Calendario I'!B25="","",'Calendario I'!B25)</f>
        <v>GIORNATA II - GIRONE I</v>
      </c>
      <c r="C1385" s="124"/>
      <c r="D1385" s="124"/>
      <c r="E1385" s="124"/>
      <c r="F1385" s="124"/>
      <c r="G1385" s="124"/>
      <c r="H1385" s="124"/>
      <c r="I1385" s="124"/>
      <c r="J1385" s="124"/>
      <c r="K1385" s="124"/>
      <c r="L1385" s="125"/>
      <c r="M1385" s="204" t="s">
        <v>492</v>
      </c>
      <c r="N1385" s="124"/>
      <c r="O1385" s="125"/>
      <c r="P1385" s="204" t="s">
        <v>493</v>
      </c>
      <c r="Q1385" s="124"/>
      <c r="R1385" s="125"/>
    </row>
    <row r="1386" spans="1:18" ht="14.1" customHeight="1" x14ac:dyDescent="0.25">
      <c r="A1386" s="64" t="s">
        <v>193</v>
      </c>
      <c r="B1386" s="169" t="s">
        <v>175</v>
      </c>
      <c r="C1386" s="125"/>
      <c r="D1386" s="169" t="s">
        <v>182</v>
      </c>
      <c r="E1386" s="125"/>
      <c r="F1386" s="64" t="s">
        <v>194</v>
      </c>
      <c r="G1386" s="64" t="s">
        <v>195</v>
      </c>
      <c r="H1386" s="169" t="s">
        <v>196</v>
      </c>
      <c r="I1386" s="125"/>
      <c r="J1386" s="169" t="s">
        <v>197</v>
      </c>
      <c r="K1386" s="124"/>
      <c r="L1386" s="125"/>
      <c r="M1386" s="110" t="s">
        <v>494</v>
      </c>
      <c r="N1386" s="110" t="s">
        <v>495</v>
      </c>
      <c r="O1386" s="110" t="s">
        <v>496</v>
      </c>
      <c r="P1386" s="110" t="s">
        <v>497</v>
      </c>
      <c r="Q1386" s="110" t="s">
        <v>498</v>
      </c>
      <c r="R1386" s="110" t="s">
        <v>499</v>
      </c>
    </row>
    <row r="1387" spans="1:18" ht="21.95" customHeight="1" x14ac:dyDescent="0.25">
      <c r="A1387" s="170">
        <f>IF('Calendario I'!A27="","",'Calendario I'!A27)</f>
        <v>366</v>
      </c>
      <c r="B1387" s="44" t="str">
        <f>IF('Calendario I'!B27="","",'Calendario I'!B27)</f>
        <v/>
      </c>
      <c r="C1387" s="45" t="str">
        <f>IF('Calendario I'!C27="","",'Calendario I'!C27)</f>
        <v/>
      </c>
      <c r="D1387" s="44" t="str">
        <f>IF('Calendario I'!D27="","",'Calendario I'!D27)</f>
        <v/>
      </c>
      <c r="E1387" s="45" t="str">
        <f>IF('Calendario I'!E27="","",'Calendario I'!E27)</f>
        <v/>
      </c>
      <c r="F1387" s="138" t="str">
        <f>IF('Calendario I'!F27="","",'Calendario I'!F27)</f>
        <v/>
      </c>
      <c r="G1387" s="124"/>
      <c r="H1387" s="124"/>
      <c r="I1387" s="125"/>
      <c r="J1387" s="202" t="str">
        <f>IF('Calendario I'!J27="","",'Calendario I'!J27)</f>
        <v/>
      </c>
      <c r="K1387" s="201" t="s">
        <v>198</v>
      </c>
      <c r="L1387" s="202" t="str">
        <f>IF('Calendario I'!L27="","",'Calendario I'!L27)</f>
        <v/>
      </c>
      <c r="M1387" s="200"/>
      <c r="N1387" s="200"/>
      <c r="O1387" s="200"/>
      <c r="P1387" s="200"/>
      <c r="Q1387" s="200"/>
      <c r="R1387" s="200"/>
    </row>
    <row r="1388" spans="1:18" ht="15" customHeight="1" x14ac:dyDescent="0.25">
      <c r="A1388" s="133"/>
      <c r="B1388" s="136" t="str">
        <f>IF('Calendario I'!B28="","",'Calendario I'!B28)</f>
        <v/>
      </c>
      <c r="C1388" s="124"/>
      <c r="D1388" s="124"/>
      <c r="E1388" s="124"/>
      <c r="F1388" s="124"/>
      <c r="G1388" s="124"/>
      <c r="H1388" s="125"/>
      <c r="I1388" s="45" t="str">
        <f>IF('Calendario I'!I28="","",'Calendario I'!I28)</f>
        <v/>
      </c>
      <c r="J1388" s="133"/>
      <c r="K1388" s="133"/>
      <c r="L1388" s="133"/>
      <c r="M1388" s="133"/>
      <c r="N1388" s="133"/>
      <c r="O1388" s="133"/>
      <c r="P1388" s="133"/>
      <c r="Q1388" s="133"/>
      <c r="R1388" s="133"/>
    </row>
    <row r="1389" spans="1:18" ht="14.1" customHeight="1" x14ac:dyDescent="0.25">
      <c r="A1389" s="64" t="s">
        <v>193</v>
      </c>
      <c r="B1389" s="169" t="s">
        <v>175</v>
      </c>
      <c r="C1389" s="125"/>
      <c r="D1389" s="169" t="s">
        <v>182</v>
      </c>
      <c r="E1389" s="125"/>
      <c r="F1389" s="64" t="s">
        <v>194</v>
      </c>
      <c r="G1389" s="64" t="s">
        <v>195</v>
      </c>
      <c r="H1389" s="169" t="s">
        <v>196</v>
      </c>
      <c r="I1389" s="125"/>
      <c r="J1389" s="169" t="s">
        <v>197</v>
      </c>
      <c r="K1389" s="124"/>
      <c r="L1389" s="125"/>
      <c r="M1389" s="110" t="s">
        <v>494</v>
      </c>
      <c r="N1389" s="110" t="s">
        <v>495</v>
      </c>
      <c r="O1389" s="110" t="s">
        <v>496</v>
      </c>
      <c r="P1389" s="110" t="s">
        <v>497</v>
      </c>
      <c r="Q1389" s="110" t="s">
        <v>498</v>
      </c>
      <c r="R1389" s="110" t="s">
        <v>499</v>
      </c>
    </row>
    <row r="1390" spans="1:18" ht="21.95" customHeight="1" x14ac:dyDescent="0.25">
      <c r="A1390" s="170">
        <f>IF('Calendario I'!A30="","",'Calendario I'!A30)</f>
        <v>367</v>
      </c>
      <c r="B1390" s="44" t="str">
        <f>IF('Calendario I'!B30="","",'Calendario I'!B30)</f>
        <v/>
      </c>
      <c r="C1390" s="45" t="str">
        <f>IF('Calendario I'!C30="","",'Calendario I'!C30)</f>
        <v/>
      </c>
      <c r="D1390" s="44" t="str">
        <f>IF('Calendario I'!D30="","",'Calendario I'!D30)</f>
        <v/>
      </c>
      <c r="E1390" s="45" t="str">
        <f>IF('Calendario I'!E30="","",'Calendario I'!E30)</f>
        <v/>
      </c>
      <c r="F1390" s="138" t="str">
        <f>IF('Calendario I'!F30="","",'Calendario I'!F30)</f>
        <v/>
      </c>
      <c r="G1390" s="124"/>
      <c r="H1390" s="124"/>
      <c r="I1390" s="125"/>
      <c r="J1390" s="202" t="str">
        <f>IF('Calendario I'!J30="","",'Calendario I'!J30)</f>
        <v/>
      </c>
      <c r="K1390" s="201" t="s">
        <v>198</v>
      </c>
      <c r="L1390" s="202" t="str">
        <f>IF('Calendario I'!L30="","",'Calendario I'!L30)</f>
        <v/>
      </c>
      <c r="M1390" s="200"/>
      <c r="N1390" s="200"/>
      <c r="O1390" s="200"/>
      <c r="P1390" s="200"/>
      <c r="Q1390" s="200"/>
      <c r="R1390" s="200"/>
    </row>
    <row r="1391" spans="1:18" ht="15" customHeight="1" x14ac:dyDescent="0.25">
      <c r="A1391" s="133"/>
      <c r="B1391" s="136" t="str">
        <f>IF('Calendario I'!B31="","",'Calendario I'!B31)</f>
        <v/>
      </c>
      <c r="C1391" s="124"/>
      <c r="D1391" s="124"/>
      <c r="E1391" s="124"/>
      <c r="F1391" s="124"/>
      <c r="G1391" s="124"/>
      <c r="H1391" s="125"/>
      <c r="I1391" s="45" t="str">
        <f>IF('Calendario I'!I31="","",'Calendario I'!I31)</f>
        <v/>
      </c>
      <c r="J1391" s="133"/>
      <c r="K1391" s="133"/>
      <c r="L1391" s="133"/>
      <c r="M1391" s="133"/>
      <c r="N1391" s="133"/>
      <c r="O1391" s="133"/>
      <c r="P1391" s="133"/>
      <c r="Q1391" s="133"/>
      <c r="R1391" s="133"/>
    </row>
    <row r="1392" spans="1:18" ht="14.1" customHeight="1" x14ac:dyDescent="0.25">
      <c r="A1392" s="64" t="s">
        <v>193</v>
      </c>
      <c r="B1392" s="169" t="s">
        <v>175</v>
      </c>
      <c r="C1392" s="125"/>
      <c r="D1392" s="169" t="s">
        <v>182</v>
      </c>
      <c r="E1392" s="125"/>
      <c r="F1392" s="64" t="s">
        <v>194</v>
      </c>
      <c r="G1392" s="64" t="s">
        <v>195</v>
      </c>
      <c r="H1392" s="169" t="s">
        <v>196</v>
      </c>
      <c r="I1392" s="125"/>
      <c r="J1392" s="169" t="s">
        <v>197</v>
      </c>
      <c r="K1392" s="124"/>
      <c r="L1392" s="125"/>
      <c r="M1392" s="110" t="s">
        <v>494</v>
      </c>
      <c r="N1392" s="110" t="s">
        <v>495</v>
      </c>
      <c r="O1392" s="110" t="s">
        <v>496</v>
      </c>
      <c r="P1392" s="110" t="s">
        <v>497</v>
      </c>
      <c r="Q1392" s="110" t="s">
        <v>498</v>
      </c>
      <c r="R1392" s="110" t="s">
        <v>499</v>
      </c>
    </row>
    <row r="1393" spans="1:18" ht="21.95" customHeight="1" x14ac:dyDescent="0.25">
      <c r="A1393" s="170">
        <f>IF('Calendario I'!A33="","",'Calendario I'!A33)</f>
        <v>368</v>
      </c>
      <c r="B1393" s="44" t="str">
        <f>IF('Calendario I'!B33="","",'Calendario I'!B33)</f>
        <v/>
      </c>
      <c r="C1393" s="45" t="str">
        <f>IF('Calendario I'!C33="","",'Calendario I'!C33)</f>
        <v/>
      </c>
      <c r="D1393" s="44" t="str">
        <f>IF('Calendario I'!D33="","",'Calendario I'!D33)</f>
        <v/>
      </c>
      <c r="E1393" s="45" t="str">
        <f>IF('Calendario I'!E33="","",'Calendario I'!E33)</f>
        <v/>
      </c>
      <c r="F1393" s="138" t="str">
        <f>IF('Calendario I'!F33="","",'Calendario I'!F33)</f>
        <v/>
      </c>
      <c r="G1393" s="124"/>
      <c r="H1393" s="124"/>
      <c r="I1393" s="125"/>
      <c r="J1393" s="202" t="str">
        <f>IF('Calendario I'!J33="","",'Calendario I'!J33)</f>
        <v/>
      </c>
      <c r="K1393" s="201" t="s">
        <v>198</v>
      </c>
      <c r="L1393" s="202" t="str">
        <f>IF('Calendario I'!L33="","",'Calendario I'!L33)</f>
        <v/>
      </c>
      <c r="M1393" s="200"/>
      <c r="N1393" s="200"/>
      <c r="O1393" s="200"/>
      <c r="P1393" s="200"/>
      <c r="Q1393" s="200"/>
      <c r="R1393" s="200"/>
    </row>
    <row r="1394" spans="1:18" ht="15" customHeight="1" x14ac:dyDescent="0.25">
      <c r="A1394" s="133"/>
      <c r="B1394" s="136" t="str">
        <f>IF('Calendario I'!B34="","",'Calendario I'!B34)</f>
        <v/>
      </c>
      <c r="C1394" s="124"/>
      <c r="D1394" s="124"/>
      <c r="E1394" s="124"/>
      <c r="F1394" s="124"/>
      <c r="G1394" s="124"/>
      <c r="H1394" s="125"/>
      <c r="I1394" s="45" t="str">
        <f>IF('Calendario I'!I34="","",'Calendario I'!I34)</f>
        <v/>
      </c>
      <c r="J1394" s="133"/>
      <c r="K1394" s="133"/>
      <c r="L1394" s="133"/>
      <c r="M1394" s="133"/>
      <c r="N1394" s="133"/>
      <c r="O1394" s="133"/>
      <c r="P1394" s="133"/>
      <c r="Q1394" s="133"/>
      <c r="R1394" s="133"/>
    </row>
    <row r="1395" spans="1:18" ht="14.1" customHeight="1" x14ac:dyDescent="0.25">
      <c r="A1395" s="64" t="s">
        <v>193</v>
      </c>
      <c r="B1395" s="169" t="s">
        <v>175</v>
      </c>
      <c r="C1395" s="125"/>
      <c r="D1395" s="169" t="s">
        <v>182</v>
      </c>
      <c r="E1395" s="125"/>
      <c r="F1395" s="64" t="s">
        <v>194</v>
      </c>
      <c r="G1395" s="64" t="s">
        <v>195</v>
      </c>
      <c r="H1395" s="169" t="s">
        <v>196</v>
      </c>
      <c r="I1395" s="125"/>
      <c r="J1395" s="169" t="s">
        <v>197</v>
      </c>
      <c r="K1395" s="124"/>
      <c r="L1395" s="125"/>
      <c r="M1395" s="110" t="s">
        <v>494</v>
      </c>
      <c r="N1395" s="110" t="s">
        <v>495</v>
      </c>
      <c r="O1395" s="110" t="s">
        <v>496</v>
      </c>
      <c r="P1395" s="110" t="s">
        <v>497</v>
      </c>
      <c r="Q1395" s="110" t="s">
        <v>498</v>
      </c>
      <c r="R1395" s="110" t="s">
        <v>499</v>
      </c>
    </row>
    <row r="1396" spans="1:18" ht="21.95" customHeight="1" x14ac:dyDescent="0.25">
      <c r="A1396" s="170">
        <f>IF('Calendario I'!A36="","",'Calendario I'!A36)</f>
        <v>369</v>
      </c>
      <c r="B1396" s="44" t="str">
        <f>IF('Calendario I'!B36="","",'Calendario I'!B36)</f>
        <v/>
      </c>
      <c r="C1396" s="45" t="str">
        <f>IF('Calendario I'!C36="","",'Calendario I'!C36)</f>
        <v/>
      </c>
      <c r="D1396" s="44" t="str">
        <f>IF('Calendario I'!D36="","",'Calendario I'!D36)</f>
        <v/>
      </c>
      <c r="E1396" s="45" t="str">
        <f>IF('Calendario I'!E36="","",'Calendario I'!E36)</f>
        <v/>
      </c>
      <c r="F1396" s="138" t="str">
        <f>IF('Calendario I'!F36="","",'Calendario I'!F36)</f>
        <v/>
      </c>
      <c r="G1396" s="124"/>
      <c r="H1396" s="124"/>
      <c r="I1396" s="125"/>
      <c r="J1396" s="202" t="str">
        <f>IF('Calendario I'!J36="","",'Calendario I'!J36)</f>
        <v/>
      </c>
      <c r="K1396" s="201" t="s">
        <v>198</v>
      </c>
      <c r="L1396" s="202" t="str">
        <f>IF('Calendario I'!L36="","",'Calendario I'!L36)</f>
        <v/>
      </c>
      <c r="M1396" s="200"/>
      <c r="N1396" s="200"/>
      <c r="O1396" s="200"/>
      <c r="P1396" s="200"/>
      <c r="Q1396" s="200"/>
      <c r="R1396" s="200"/>
    </row>
    <row r="1397" spans="1:18" ht="15" customHeight="1" x14ac:dyDescent="0.25">
      <c r="A1397" s="133"/>
      <c r="B1397" s="136" t="str">
        <f>IF('Calendario I'!B37="","",'Calendario I'!B37)</f>
        <v/>
      </c>
      <c r="C1397" s="124"/>
      <c r="D1397" s="124"/>
      <c r="E1397" s="124"/>
      <c r="F1397" s="124"/>
      <c r="G1397" s="124"/>
      <c r="H1397" s="125"/>
      <c r="I1397" s="45" t="str">
        <f>IF('Calendario I'!I37="","",'Calendario I'!I37)</f>
        <v/>
      </c>
      <c r="J1397" s="133"/>
      <c r="K1397" s="133"/>
      <c r="L1397" s="133"/>
      <c r="M1397" s="133"/>
      <c r="N1397" s="133"/>
      <c r="O1397" s="133"/>
      <c r="P1397" s="133"/>
      <c r="Q1397" s="133"/>
      <c r="R1397" s="133"/>
    </row>
    <row r="1398" spans="1:18" ht="14.1" customHeight="1" x14ac:dyDescent="0.25">
      <c r="A1398" s="64" t="s">
        <v>193</v>
      </c>
      <c r="B1398" s="169" t="s">
        <v>175</v>
      </c>
      <c r="C1398" s="125"/>
      <c r="D1398" s="169" t="s">
        <v>182</v>
      </c>
      <c r="E1398" s="125"/>
      <c r="F1398" s="64" t="s">
        <v>194</v>
      </c>
      <c r="G1398" s="64" t="s">
        <v>195</v>
      </c>
      <c r="H1398" s="169" t="s">
        <v>196</v>
      </c>
      <c r="I1398" s="125"/>
      <c r="J1398" s="169" t="s">
        <v>197</v>
      </c>
      <c r="K1398" s="124"/>
      <c r="L1398" s="125"/>
      <c r="M1398" s="110" t="s">
        <v>494</v>
      </c>
      <c r="N1398" s="110" t="s">
        <v>495</v>
      </c>
      <c r="O1398" s="110" t="s">
        <v>496</v>
      </c>
      <c r="P1398" s="110" t="s">
        <v>497</v>
      </c>
      <c r="Q1398" s="110" t="s">
        <v>498</v>
      </c>
      <c r="R1398" s="110" t="s">
        <v>499</v>
      </c>
    </row>
    <row r="1399" spans="1:18" ht="21.95" customHeight="1" x14ac:dyDescent="0.25">
      <c r="A1399" s="170">
        <f>IF('Calendario I'!A39="","",'Calendario I'!A39)</f>
        <v>370</v>
      </c>
      <c r="B1399" s="44" t="str">
        <f>IF('Calendario I'!B39="","",'Calendario I'!B39)</f>
        <v/>
      </c>
      <c r="C1399" s="45" t="str">
        <f>IF('Calendario I'!C39="","",'Calendario I'!C39)</f>
        <v/>
      </c>
      <c r="D1399" s="44" t="str">
        <f>IF('Calendario I'!D39="","",'Calendario I'!D39)</f>
        <v/>
      </c>
      <c r="E1399" s="45" t="str">
        <f>IF('Calendario I'!E39="","",'Calendario I'!E39)</f>
        <v/>
      </c>
      <c r="F1399" s="138" t="str">
        <f>IF('Calendario I'!F39="","",'Calendario I'!F39)</f>
        <v/>
      </c>
      <c r="G1399" s="124"/>
      <c r="H1399" s="124"/>
      <c r="I1399" s="125"/>
      <c r="J1399" s="202" t="str">
        <f>IF('Calendario I'!J39="","",'Calendario I'!J39)</f>
        <v/>
      </c>
      <c r="K1399" s="201" t="s">
        <v>198</v>
      </c>
      <c r="L1399" s="202" t="str">
        <f>IF('Calendario I'!L39="","",'Calendario I'!L39)</f>
        <v/>
      </c>
      <c r="M1399" s="200"/>
      <c r="N1399" s="200"/>
      <c r="O1399" s="200"/>
      <c r="P1399" s="200"/>
      <c r="Q1399" s="200"/>
      <c r="R1399" s="200"/>
    </row>
    <row r="1400" spans="1:18" ht="15" customHeight="1" x14ac:dyDescent="0.25">
      <c r="A1400" s="133"/>
      <c r="B1400" s="136" t="str">
        <f>IF('Calendario I'!B40="","",'Calendario I'!B40)</f>
        <v/>
      </c>
      <c r="C1400" s="124"/>
      <c r="D1400" s="124"/>
      <c r="E1400" s="124"/>
      <c r="F1400" s="124"/>
      <c r="G1400" s="124"/>
      <c r="H1400" s="125"/>
      <c r="I1400" s="45" t="str">
        <f>IF('Calendario I'!I40="","",'Calendario I'!I40)</f>
        <v/>
      </c>
      <c r="J1400" s="133"/>
      <c r="K1400" s="133"/>
      <c r="L1400" s="133"/>
      <c r="M1400" s="133"/>
      <c r="N1400" s="133"/>
      <c r="O1400" s="133"/>
      <c r="P1400" s="133"/>
      <c r="Q1400" s="133"/>
      <c r="R1400" s="133"/>
    </row>
    <row r="1402" spans="1:18" ht="20.100000000000001" customHeight="1" x14ac:dyDescent="0.25">
      <c r="A1402" s="63" t="str">
        <f>IF('Calendario I'!A42="","",'Calendario I'!A42)</f>
        <v>3I</v>
      </c>
      <c r="B1402" s="171" t="str">
        <f>IF('Calendario I'!B42="","",'Calendario I'!B42)</f>
        <v>GIORNATA III - GIRONE I</v>
      </c>
      <c r="C1402" s="124"/>
      <c r="D1402" s="124"/>
      <c r="E1402" s="124"/>
      <c r="F1402" s="124"/>
      <c r="G1402" s="124"/>
      <c r="H1402" s="124"/>
      <c r="I1402" s="124"/>
      <c r="J1402" s="124"/>
      <c r="K1402" s="124"/>
      <c r="L1402" s="125"/>
      <c r="M1402" s="204" t="s">
        <v>492</v>
      </c>
      <c r="N1402" s="124"/>
      <c r="O1402" s="125"/>
      <c r="P1402" s="204" t="s">
        <v>493</v>
      </c>
      <c r="Q1402" s="124"/>
      <c r="R1402" s="125"/>
    </row>
    <row r="1403" spans="1:18" ht="14.1" customHeight="1" x14ac:dyDescent="0.25">
      <c r="A1403" s="64" t="s">
        <v>193</v>
      </c>
      <c r="B1403" s="169" t="s">
        <v>175</v>
      </c>
      <c r="C1403" s="125"/>
      <c r="D1403" s="169" t="s">
        <v>182</v>
      </c>
      <c r="E1403" s="125"/>
      <c r="F1403" s="64" t="s">
        <v>194</v>
      </c>
      <c r="G1403" s="64" t="s">
        <v>195</v>
      </c>
      <c r="H1403" s="169" t="s">
        <v>196</v>
      </c>
      <c r="I1403" s="125"/>
      <c r="J1403" s="169" t="s">
        <v>197</v>
      </c>
      <c r="K1403" s="124"/>
      <c r="L1403" s="125"/>
      <c r="M1403" s="110" t="s">
        <v>494</v>
      </c>
      <c r="N1403" s="110" t="s">
        <v>495</v>
      </c>
      <c r="O1403" s="110" t="s">
        <v>496</v>
      </c>
      <c r="P1403" s="110" t="s">
        <v>497</v>
      </c>
      <c r="Q1403" s="110" t="s">
        <v>498</v>
      </c>
      <c r="R1403" s="110" t="s">
        <v>499</v>
      </c>
    </row>
    <row r="1404" spans="1:18" ht="21.95" customHeight="1" x14ac:dyDescent="0.25">
      <c r="A1404" s="170">
        <f>IF('Calendario I'!A44="","",'Calendario I'!A44)</f>
        <v>371</v>
      </c>
      <c r="B1404" s="44" t="str">
        <f>IF('Calendario I'!B44="","",'Calendario I'!B44)</f>
        <v/>
      </c>
      <c r="C1404" s="45" t="str">
        <f>IF('Calendario I'!C44="","",'Calendario I'!C44)</f>
        <v/>
      </c>
      <c r="D1404" s="44" t="str">
        <f>IF('Calendario I'!D44="","",'Calendario I'!D44)</f>
        <v/>
      </c>
      <c r="E1404" s="45" t="str">
        <f>IF('Calendario I'!E44="","",'Calendario I'!E44)</f>
        <v/>
      </c>
      <c r="F1404" s="138" t="str">
        <f>IF('Calendario I'!F44="","",'Calendario I'!F44)</f>
        <v/>
      </c>
      <c r="G1404" s="124"/>
      <c r="H1404" s="124"/>
      <c r="I1404" s="125"/>
      <c r="J1404" s="202" t="str">
        <f>IF('Calendario I'!J44="","",'Calendario I'!J44)</f>
        <v/>
      </c>
      <c r="K1404" s="201" t="s">
        <v>198</v>
      </c>
      <c r="L1404" s="202" t="str">
        <f>IF('Calendario I'!L44="","",'Calendario I'!L44)</f>
        <v/>
      </c>
      <c r="M1404" s="200"/>
      <c r="N1404" s="200"/>
      <c r="O1404" s="200"/>
      <c r="P1404" s="200"/>
      <c r="Q1404" s="200"/>
      <c r="R1404" s="200"/>
    </row>
    <row r="1405" spans="1:18" ht="15" customHeight="1" x14ac:dyDescent="0.25">
      <c r="A1405" s="133"/>
      <c r="B1405" s="136" t="str">
        <f>IF('Calendario I'!B45="","",'Calendario I'!B45)</f>
        <v/>
      </c>
      <c r="C1405" s="124"/>
      <c r="D1405" s="124"/>
      <c r="E1405" s="124"/>
      <c r="F1405" s="124"/>
      <c r="G1405" s="124"/>
      <c r="H1405" s="125"/>
      <c r="I1405" s="45" t="str">
        <f>IF('Calendario I'!I45="","",'Calendario I'!I45)</f>
        <v/>
      </c>
      <c r="J1405" s="133"/>
      <c r="K1405" s="133"/>
      <c r="L1405" s="133"/>
      <c r="M1405" s="133"/>
      <c r="N1405" s="133"/>
      <c r="O1405" s="133"/>
      <c r="P1405" s="133"/>
      <c r="Q1405" s="133"/>
      <c r="R1405" s="133"/>
    </row>
    <row r="1406" spans="1:18" ht="14.1" customHeight="1" x14ac:dyDescent="0.25">
      <c r="A1406" s="64" t="s">
        <v>193</v>
      </c>
      <c r="B1406" s="169" t="s">
        <v>175</v>
      </c>
      <c r="C1406" s="125"/>
      <c r="D1406" s="169" t="s">
        <v>182</v>
      </c>
      <c r="E1406" s="125"/>
      <c r="F1406" s="64" t="s">
        <v>194</v>
      </c>
      <c r="G1406" s="64" t="s">
        <v>195</v>
      </c>
      <c r="H1406" s="169" t="s">
        <v>196</v>
      </c>
      <c r="I1406" s="125"/>
      <c r="J1406" s="169" t="s">
        <v>197</v>
      </c>
      <c r="K1406" s="124"/>
      <c r="L1406" s="125"/>
      <c r="M1406" s="110" t="s">
        <v>494</v>
      </c>
      <c r="N1406" s="110" t="s">
        <v>495</v>
      </c>
      <c r="O1406" s="110" t="s">
        <v>496</v>
      </c>
      <c r="P1406" s="110" t="s">
        <v>497</v>
      </c>
      <c r="Q1406" s="110" t="s">
        <v>498</v>
      </c>
      <c r="R1406" s="110" t="s">
        <v>499</v>
      </c>
    </row>
    <row r="1407" spans="1:18" ht="21.95" customHeight="1" x14ac:dyDescent="0.25">
      <c r="A1407" s="170">
        <f>IF('Calendario I'!A47="","",'Calendario I'!A47)</f>
        <v>372</v>
      </c>
      <c r="B1407" s="44" t="str">
        <f>IF('Calendario I'!B47="","",'Calendario I'!B47)</f>
        <v/>
      </c>
      <c r="C1407" s="45" t="str">
        <f>IF('Calendario I'!C47="","",'Calendario I'!C47)</f>
        <v/>
      </c>
      <c r="D1407" s="44" t="str">
        <f>IF('Calendario I'!D47="","",'Calendario I'!D47)</f>
        <v/>
      </c>
      <c r="E1407" s="45" t="str">
        <f>IF('Calendario I'!E47="","",'Calendario I'!E47)</f>
        <v/>
      </c>
      <c r="F1407" s="138" t="str">
        <f>IF('Calendario I'!F47="","",'Calendario I'!F47)</f>
        <v/>
      </c>
      <c r="G1407" s="124"/>
      <c r="H1407" s="124"/>
      <c r="I1407" s="125"/>
      <c r="J1407" s="202" t="str">
        <f>IF('Calendario I'!J47="","",'Calendario I'!J47)</f>
        <v/>
      </c>
      <c r="K1407" s="201" t="s">
        <v>198</v>
      </c>
      <c r="L1407" s="202" t="str">
        <f>IF('Calendario I'!L47="","",'Calendario I'!L47)</f>
        <v/>
      </c>
      <c r="M1407" s="200"/>
      <c r="N1407" s="200"/>
      <c r="O1407" s="200"/>
      <c r="P1407" s="200"/>
      <c r="Q1407" s="200"/>
      <c r="R1407" s="200"/>
    </row>
    <row r="1408" spans="1:18" ht="15" customHeight="1" x14ac:dyDescent="0.25">
      <c r="A1408" s="133"/>
      <c r="B1408" s="136" t="str">
        <f>IF('Calendario I'!B48="","",'Calendario I'!B48)</f>
        <v/>
      </c>
      <c r="C1408" s="124"/>
      <c r="D1408" s="124"/>
      <c r="E1408" s="124"/>
      <c r="F1408" s="124"/>
      <c r="G1408" s="124"/>
      <c r="H1408" s="125"/>
      <c r="I1408" s="45" t="str">
        <f>IF('Calendario I'!I48="","",'Calendario I'!I48)</f>
        <v/>
      </c>
      <c r="J1408" s="133"/>
      <c r="K1408" s="133"/>
      <c r="L1408" s="133"/>
      <c r="M1408" s="133"/>
      <c r="N1408" s="133"/>
      <c r="O1408" s="133"/>
      <c r="P1408" s="133"/>
      <c r="Q1408" s="133"/>
      <c r="R1408" s="133"/>
    </row>
    <row r="1409" spans="1:18" ht="14.1" customHeight="1" x14ac:dyDescent="0.25">
      <c r="A1409" s="64" t="s">
        <v>193</v>
      </c>
      <c r="B1409" s="169" t="s">
        <v>175</v>
      </c>
      <c r="C1409" s="125"/>
      <c r="D1409" s="169" t="s">
        <v>182</v>
      </c>
      <c r="E1409" s="125"/>
      <c r="F1409" s="64" t="s">
        <v>194</v>
      </c>
      <c r="G1409" s="64" t="s">
        <v>195</v>
      </c>
      <c r="H1409" s="169" t="s">
        <v>196</v>
      </c>
      <c r="I1409" s="125"/>
      <c r="J1409" s="169" t="s">
        <v>197</v>
      </c>
      <c r="K1409" s="124"/>
      <c r="L1409" s="125"/>
      <c r="M1409" s="110" t="s">
        <v>494</v>
      </c>
      <c r="N1409" s="110" t="s">
        <v>495</v>
      </c>
      <c r="O1409" s="110" t="s">
        <v>496</v>
      </c>
      <c r="P1409" s="110" t="s">
        <v>497</v>
      </c>
      <c r="Q1409" s="110" t="s">
        <v>498</v>
      </c>
      <c r="R1409" s="110" t="s">
        <v>499</v>
      </c>
    </row>
    <row r="1410" spans="1:18" ht="21.95" customHeight="1" x14ac:dyDescent="0.25">
      <c r="A1410" s="170">
        <f>IF('Calendario I'!A50="","",'Calendario I'!A50)</f>
        <v>373</v>
      </c>
      <c r="B1410" s="44" t="str">
        <f>IF('Calendario I'!B50="","",'Calendario I'!B50)</f>
        <v/>
      </c>
      <c r="C1410" s="45" t="str">
        <f>IF('Calendario I'!C50="","",'Calendario I'!C50)</f>
        <v/>
      </c>
      <c r="D1410" s="44" t="str">
        <f>IF('Calendario I'!D50="","",'Calendario I'!D50)</f>
        <v/>
      </c>
      <c r="E1410" s="45" t="str">
        <f>IF('Calendario I'!E50="","",'Calendario I'!E50)</f>
        <v/>
      </c>
      <c r="F1410" s="138" t="str">
        <f>IF('Calendario I'!F50="","",'Calendario I'!F50)</f>
        <v/>
      </c>
      <c r="G1410" s="124"/>
      <c r="H1410" s="124"/>
      <c r="I1410" s="125"/>
      <c r="J1410" s="202" t="str">
        <f>IF('Calendario I'!J50="","",'Calendario I'!J50)</f>
        <v/>
      </c>
      <c r="K1410" s="201" t="s">
        <v>198</v>
      </c>
      <c r="L1410" s="202" t="str">
        <f>IF('Calendario I'!L50="","",'Calendario I'!L50)</f>
        <v/>
      </c>
      <c r="M1410" s="200"/>
      <c r="N1410" s="200"/>
      <c r="O1410" s="200"/>
      <c r="P1410" s="200"/>
      <c r="Q1410" s="200"/>
      <c r="R1410" s="200"/>
    </row>
    <row r="1411" spans="1:18" ht="15" customHeight="1" x14ac:dyDescent="0.25">
      <c r="A1411" s="133"/>
      <c r="B1411" s="136" t="str">
        <f>IF('Calendario I'!B51="","",'Calendario I'!B51)</f>
        <v/>
      </c>
      <c r="C1411" s="124"/>
      <c r="D1411" s="124"/>
      <c r="E1411" s="124"/>
      <c r="F1411" s="124"/>
      <c r="G1411" s="124"/>
      <c r="H1411" s="125"/>
      <c r="I1411" s="45" t="str">
        <f>IF('Calendario I'!I51="","",'Calendario I'!I51)</f>
        <v/>
      </c>
      <c r="J1411" s="133"/>
      <c r="K1411" s="133"/>
      <c r="L1411" s="133"/>
      <c r="M1411" s="133"/>
      <c r="N1411" s="133"/>
      <c r="O1411" s="133"/>
      <c r="P1411" s="133"/>
      <c r="Q1411" s="133"/>
      <c r="R1411" s="133"/>
    </row>
    <row r="1412" spans="1:18" ht="14.1" customHeight="1" x14ac:dyDescent="0.25">
      <c r="A1412" s="64" t="s">
        <v>193</v>
      </c>
      <c r="B1412" s="169" t="s">
        <v>175</v>
      </c>
      <c r="C1412" s="125"/>
      <c r="D1412" s="169" t="s">
        <v>182</v>
      </c>
      <c r="E1412" s="125"/>
      <c r="F1412" s="64" t="s">
        <v>194</v>
      </c>
      <c r="G1412" s="64" t="s">
        <v>195</v>
      </c>
      <c r="H1412" s="169" t="s">
        <v>196</v>
      </c>
      <c r="I1412" s="125"/>
      <c r="J1412" s="169" t="s">
        <v>197</v>
      </c>
      <c r="K1412" s="124"/>
      <c r="L1412" s="125"/>
      <c r="M1412" s="110" t="s">
        <v>494</v>
      </c>
      <c r="N1412" s="110" t="s">
        <v>495</v>
      </c>
      <c r="O1412" s="110" t="s">
        <v>496</v>
      </c>
      <c r="P1412" s="110" t="s">
        <v>497</v>
      </c>
      <c r="Q1412" s="110" t="s">
        <v>498</v>
      </c>
      <c r="R1412" s="110" t="s">
        <v>499</v>
      </c>
    </row>
    <row r="1413" spans="1:18" ht="21.95" customHeight="1" x14ac:dyDescent="0.25">
      <c r="A1413" s="170">
        <f>IF('Calendario I'!A53="","",'Calendario I'!A53)</f>
        <v>374</v>
      </c>
      <c r="B1413" s="44" t="str">
        <f>IF('Calendario I'!B53="","",'Calendario I'!B53)</f>
        <v/>
      </c>
      <c r="C1413" s="45" t="str">
        <f>IF('Calendario I'!C53="","",'Calendario I'!C53)</f>
        <v/>
      </c>
      <c r="D1413" s="44" t="str">
        <f>IF('Calendario I'!D53="","",'Calendario I'!D53)</f>
        <v/>
      </c>
      <c r="E1413" s="45" t="str">
        <f>IF('Calendario I'!E53="","",'Calendario I'!E53)</f>
        <v/>
      </c>
      <c r="F1413" s="138" t="str">
        <f>IF('Calendario I'!F53="","",'Calendario I'!F53)</f>
        <v/>
      </c>
      <c r="G1413" s="124"/>
      <c r="H1413" s="124"/>
      <c r="I1413" s="125"/>
      <c r="J1413" s="202" t="str">
        <f>IF('Calendario I'!J53="","",'Calendario I'!J53)</f>
        <v/>
      </c>
      <c r="K1413" s="201" t="s">
        <v>198</v>
      </c>
      <c r="L1413" s="202" t="str">
        <f>IF('Calendario I'!L53="","",'Calendario I'!L53)</f>
        <v/>
      </c>
      <c r="M1413" s="200"/>
      <c r="N1413" s="200"/>
      <c r="O1413" s="200"/>
      <c r="P1413" s="200"/>
      <c r="Q1413" s="200"/>
      <c r="R1413" s="200"/>
    </row>
    <row r="1414" spans="1:18" ht="15" customHeight="1" x14ac:dyDescent="0.25">
      <c r="A1414" s="133"/>
      <c r="B1414" s="136" t="str">
        <f>IF('Calendario I'!B54="","",'Calendario I'!B54)</f>
        <v/>
      </c>
      <c r="C1414" s="124"/>
      <c r="D1414" s="124"/>
      <c r="E1414" s="124"/>
      <c r="F1414" s="124"/>
      <c r="G1414" s="124"/>
      <c r="H1414" s="125"/>
      <c r="I1414" s="45" t="str">
        <f>IF('Calendario I'!I54="","",'Calendario I'!I54)</f>
        <v/>
      </c>
      <c r="J1414" s="133"/>
      <c r="K1414" s="133"/>
      <c r="L1414" s="133"/>
      <c r="M1414" s="133"/>
      <c r="N1414" s="133"/>
      <c r="O1414" s="133"/>
      <c r="P1414" s="133"/>
      <c r="Q1414" s="133"/>
      <c r="R1414" s="133"/>
    </row>
    <row r="1415" spans="1:18" ht="14.1" customHeight="1" x14ac:dyDescent="0.25">
      <c r="A1415" s="64" t="s">
        <v>193</v>
      </c>
      <c r="B1415" s="169" t="s">
        <v>175</v>
      </c>
      <c r="C1415" s="125"/>
      <c r="D1415" s="169" t="s">
        <v>182</v>
      </c>
      <c r="E1415" s="125"/>
      <c r="F1415" s="64" t="s">
        <v>194</v>
      </c>
      <c r="G1415" s="64" t="s">
        <v>195</v>
      </c>
      <c r="H1415" s="169" t="s">
        <v>196</v>
      </c>
      <c r="I1415" s="125"/>
      <c r="J1415" s="169" t="s">
        <v>197</v>
      </c>
      <c r="K1415" s="124"/>
      <c r="L1415" s="125"/>
      <c r="M1415" s="110" t="s">
        <v>494</v>
      </c>
      <c r="N1415" s="110" t="s">
        <v>495</v>
      </c>
      <c r="O1415" s="110" t="s">
        <v>496</v>
      </c>
      <c r="P1415" s="110" t="s">
        <v>497</v>
      </c>
      <c r="Q1415" s="110" t="s">
        <v>498</v>
      </c>
      <c r="R1415" s="110" t="s">
        <v>499</v>
      </c>
    </row>
    <row r="1416" spans="1:18" ht="21.95" customHeight="1" x14ac:dyDescent="0.25">
      <c r="A1416" s="170">
        <f>IF('Calendario I'!A56="","",'Calendario I'!A56)</f>
        <v>375</v>
      </c>
      <c r="B1416" s="44" t="str">
        <f>IF('Calendario I'!B56="","",'Calendario I'!B56)</f>
        <v/>
      </c>
      <c r="C1416" s="45" t="str">
        <f>IF('Calendario I'!C56="","",'Calendario I'!C56)</f>
        <v/>
      </c>
      <c r="D1416" s="44" t="str">
        <f>IF('Calendario I'!D56="","",'Calendario I'!D56)</f>
        <v/>
      </c>
      <c r="E1416" s="45" t="str">
        <f>IF('Calendario I'!E56="","",'Calendario I'!E56)</f>
        <v/>
      </c>
      <c r="F1416" s="138" t="str">
        <f>IF('Calendario I'!F56="","",'Calendario I'!F56)</f>
        <v/>
      </c>
      <c r="G1416" s="124"/>
      <c r="H1416" s="124"/>
      <c r="I1416" s="125"/>
      <c r="J1416" s="202" t="str">
        <f>IF('Calendario I'!J56="","",'Calendario I'!J56)</f>
        <v/>
      </c>
      <c r="K1416" s="201" t="s">
        <v>198</v>
      </c>
      <c r="L1416" s="202" t="str">
        <f>IF('Calendario I'!L56="","",'Calendario I'!L56)</f>
        <v/>
      </c>
      <c r="M1416" s="200"/>
      <c r="N1416" s="200"/>
      <c r="O1416" s="200"/>
      <c r="P1416" s="200"/>
      <c r="Q1416" s="200"/>
      <c r="R1416" s="200"/>
    </row>
    <row r="1417" spans="1:18" ht="15" customHeight="1" x14ac:dyDescent="0.25">
      <c r="A1417" s="133"/>
      <c r="B1417" s="136" t="str">
        <f>IF('Calendario I'!B57="","",'Calendario I'!B57)</f>
        <v/>
      </c>
      <c r="C1417" s="124"/>
      <c r="D1417" s="124"/>
      <c r="E1417" s="124"/>
      <c r="F1417" s="124"/>
      <c r="G1417" s="124"/>
      <c r="H1417" s="125"/>
      <c r="I1417" s="45" t="str">
        <f>IF('Calendario I'!I57="","",'Calendario I'!I57)</f>
        <v/>
      </c>
      <c r="J1417" s="133"/>
      <c r="K1417" s="133"/>
      <c r="L1417" s="133"/>
      <c r="M1417" s="133"/>
      <c r="N1417" s="133"/>
      <c r="O1417" s="133"/>
      <c r="P1417" s="133"/>
      <c r="Q1417" s="133"/>
      <c r="R1417" s="133"/>
    </row>
    <row r="1419" spans="1:18" ht="20.100000000000001" customHeight="1" x14ac:dyDescent="0.25">
      <c r="A1419" s="63" t="str">
        <f>IF('Calendario I'!A59="","",'Calendario I'!A59)</f>
        <v>4I</v>
      </c>
      <c r="B1419" s="171" t="str">
        <f>IF('Calendario I'!B59="","",'Calendario I'!B59)</f>
        <v>GIORNATA IV - GIRONE I</v>
      </c>
      <c r="C1419" s="124"/>
      <c r="D1419" s="124"/>
      <c r="E1419" s="124"/>
      <c r="F1419" s="124"/>
      <c r="G1419" s="124"/>
      <c r="H1419" s="124"/>
      <c r="I1419" s="124"/>
      <c r="J1419" s="124"/>
      <c r="K1419" s="124"/>
      <c r="L1419" s="125"/>
      <c r="M1419" s="204" t="s">
        <v>492</v>
      </c>
      <c r="N1419" s="124"/>
      <c r="O1419" s="125"/>
      <c r="P1419" s="204" t="s">
        <v>493</v>
      </c>
      <c r="Q1419" s="124"/>
      <c r="R1419" s="125"/>
    </row>
    <row r="1420" spans="1:18" ht="14.1" customHeight="1" x14ac:dyDescent="0.25">
      <c r="A1420" s="64" t="s">
        <v>193</v>
      </c>
      <c r="B1420" s="169" t="s">
        <v>175</v>
      </c>
      <c r="C1420" s="125"/>
      <c r="D1420" s="169" t="s">
        <v>182</v>
      </c>
      <c r="E1420" s="125"/>
      <c r="F1420" s="64" t="s">
        <v>194</v>
      </c>
      <c r="G1420" s="64" t="s">
        <v>195</v>
      </c>
      <c r="H1420" s="169" t="s">
        <v>196</v>
      </c>
      <c r="I1420" s="125"/>
      <c r="J1420" s="169" t="s">
        <v>197</v>
      </c>
      <c r="K1420" s="124"/>
      <c r="L1420" s="125"/>
      <c r="M1420" s="110" t="s">
        <v>494</v>
      </c>
      <c r="N1420" s="110" t="s">
        <v>495</v>
      </c>
      <c r="O1420" s="110" t="s">
        <v>496</v>
      </c>
      <c r="P1420" s="110" t="s">
        <v>497</v>
      </c>
      <c r="Q1420" s="110" t="s">
        <v>498</v>
      </c>
      <c r="R1420" s="110" t="s">
        <v>499</v>
      </c>
    </row>
    <row r="1421" spans="1:18" ht="21.95" customHeight="1" x14ac:dyDescent="0.25">
      <c r="A1421" s="170">
        <f>IF('Calendario I'!A61="","",'Calendario I'!A61)</f>
        <v>376</v>
      </c>
      <c r="B1421" s="44" t="str">
        <f>IF('Calendario I'!B61="","",'Calendario I'!B61)</f>
        <v/>
      </c>
      <c r="C1421" s="45" t="str">
        <f>IF('Calendario I'!C61="","",'Calendario I'!C61)</f>
        <v/>
      </c>
      <c r="D1421" s="44" t="str">
        <f>IF('Calendario I'!D61="","",'Calendario I'!D61)</f>
        <v/>
      </c>
      <c r="E1421" s="45" t="str">
        <f>IF('Calendario I'!E61="","",'Calendario I'!E61)</f>
        <v/>
      </c>
      <c r="F1421" s="138" t="str">
        <f>IF('Calendario I'!F61="","",'Calendario I'!F61)</f>
        <v/>
      </c>
      <c r="G1421" s="124"/>
      <c r="H1421" s="124"/>
      <c r="I1421" s="125"/>
      <c r="J1421" s="202" t="str">
        <f>IF('Calendario I'!J61="","",'Calendario I'!J61)</f>
        <v/>
      </c>
      <c r="K1421" s="201" t="s">
        <v>198</v>
      </c>
      <c r="L1421" s="202" t="str">
        <f>IF('Calendario I'!L61="","",'Calendario I'!L61)</f>
        <v/>
      </c>
      <c r="M1421" s="200"/>
      <c r="N1421" s="200"/>
      <c r="O1421" s="200"/>
      <c r="P1421" s="200"/>
      <c r="Q1421" s="200"/>
      <c r="R1421" s="200"/>
    </row>
    <row r="1422" spans="1:18" ht="15" customHeight="1" x14ac:dyDescent="0.25">
      <c r="A1422" s="133"/>
      <c r="B1422" s="136" t="str">
        <f>IF('Calendario I'!B62="","",'Calendario I'!B62)</f>
        <v/>
      </c>
      <c r="C1422" s="124"/>
      <c r="D1422" s="124"/>
      <c r="E1422" s="124"/>
      <c r="F1422" s="124"/>
      <c r="G1422" s="124"/>
      <c r="H1422" s="125"/>
      <c r="I1422" s="45" t="str">
        <f>IF('Calendario I'!I62="","",'Calendario I'!I62)</f>
        <v/>
      </c>
      <c r="J1422" s="133"/>
      <c r="K1422" s="133"/>
      <c r="L1422" s="133"/>
      <c r="M1422" s="133"/>
      <c r="N1422" s="133"/>
      <c r="O1422" s="133"/>
      <c r="P1422" s="133"/>
      <c r="Q1422" s="133"/>
      <c r="R1422" s="133"/>
    </row>
    <row r="1423" spans="1:18" ht="14.1" customHeight="1" x14ac:dyDescent="0.25">
      <c r="A1423" s="64" t="s">
        <v>193</v>
      </c>
      <c r="B1423" s="169" t="s">
        <v>175</v>
      </c>
      <c r="C1423" s="125"/>
      <c r="D1423" s="169" t="s">
        <v>182</v>
      </c>
      <c r="E1423" s="125"/>
      <c r="F1423" s="64" t="s">
        <v>194</v>
      </c>
      <c r="G1423" s="64" t="s">
        <v>195</v>
      </c>
      <c r="H1423" s="169" t="s">
        <v>196</v>
      </c>
      <c r="I1423" s="125"/>
      <c r="J1423" s="169" t="s">
        <v>197</v>
      </c>
      <c r="K1423" s="124"/>
      <c r="L1423" s="125"/>
      <c r="M1423" s="110" t="s">
        <v>494</v>
      </c>
      <c r="N1423" s="110" t="s">
        <v>495</v>
      </c>
      <c r="O1423" s="110" t="s">
        <v>496</v>
      </c>
      <c r="P1423" s="110" t="s">
        <v>497</v>
      </c>
      <c r="Q1423" s="110" t="s">
        <v>498</v>
      </c>
      <c r="R1423" s="110" t="s">
        <v>499</v>
      </c>
    </row>
    <row r="1424" spans="1:18" ht="21.95" customHeight="1" x14ac:dyDescent="0.25">
      <c r="A1424" s="170">
        <f>IF('Calendario I'!A64="","",'Calendario I'!A64)</f>
        <v>377</v>
      </c>
      <c r="B1424" s="44" t="str">
        <f>IF('Calendario I'!B64="","",'Calendario I'!B64)</f>
        <v/>
      </c>
      <c r="C1424" s="45" t="str">
        <f>IF('Calendario I'!C64="","",'Calendario I'!C64)</f>
        <v/>
      </c>
      <c r="D1424" s="44" t="str">
        <f>IF('Calendario I'!D64="","",'Calendario I'!D64)</f>
        <v/>
      </c>
      <c r="E1424" s="45" t="str">
        <f>IF('Calendario I'!E64="","",'Calendario I'!E64)</f>
        <v/>
      </c>
      <c r="F1424" s="138" t="str">
        <f>IF('Calendario I'!F64="","",'Calendario I'!F64)</f>
        <v/>
      </c>
      <c r="G1424" s="124"/>
      <c r="H1424" s="124"/>
      <c r="I1424" s="125"/>
      <c r="J1424" s="202" t="str">
        <f>IF('Calendario I'!J64="","",'Calendario I'!J64)</f>
        <v/>
      </c>
      <c r="K1424" s="201" t="s">
        <v>198</v>
      </c>
      <c r="L1424" s="202" t="str">
        <f>IF('Calendario I'!L64="","",'Calendario I'!L64)</f>
        <v/>
      </c>
      <c r="M1424" s="200"/>
      <c r="N1424" s="200"/>
      <c r="O1424" s="200"/>
      <c r="P1424" s="200"/>
      <c r="Q1424" s="200"/>
      <c r="R1424" s="200"/>
    </row>
    <row r="1425" spans="1:18" ht="15" customHeight="1" x14ac:dyDescent="0.25">
      <c r="A1425" s="133"/>
      <c r="B1425" s="136" t="str">
        <f>IF('Calendario I'!B65="","",'Calendario I'!B65)</f>
        <v/>
      </c>
      <c r="C1425" s="124"/>
      <c r="D1425" s="124"/>
      <c r="E1425" s="124"/>
      <c r="F1425" s="124"/>
      <c r="G1425" s="124"/>
      <c r="H1425" s="125"/>
      <c r="I1425" s="45" t="str">
        <f>IF('Calendario I'!I65="","",'Calendario I'!I65)</f>
        <v/>
      </c>
      <c r="J1425" s="133"/>
      <c r="K1425" s="133"/>
      <c r="L1425" s="133"/>
      <c r="M1425" s="133"/>
      <c r="N1425" s="133"/>
      <c r="O1425" s="133"/>
      <c r="P1425" s="133"/>
      <c r="Q1425" s="133"/>
      <c r="R1425" s="133"/>
    </row>
    <row r="1426" spans="1:18" ht="14.1" customHeight="1" x14ac:dyDescent="0.25">
      <c r="A1426" s="64" t="s">
        <v>193</v>
      </c>
      <c r="B1426" s="169" t="s">
        <v>175</v>
      </c>
      <c r="C1426" s="125"/>
      <c r="D1426" s="169" t="s">
        <v>182</v>
      </c>
      <c r="E1426" s="125"/>
      <c r="F1426" s="64" t="s">
        <v>194</v>
      </c>
      <c r="G1426" s="64" t="s">
        <v>195</v>
      </c>
      <c r="H1426" s="169" t="s">
        <v>196</v>
      </c>
      <c r="I1426" s="125"/>
      <c r="J1426" s="169" t="s">
        <v>197</v>
      </c>
      <c r="K1426" s="124"/>
      <c r="L1426" s="125"/>
      <c r="M1426" s="110" t="s">
        <v>494</v>
      </c>
      <c r="N1426" s="110" t="s">
        <v>495</v>
      </c>
      <c r="O1426" s="110" t="s">
        <v>496</v>
      </c>
      <c r="P1426" s="110" t="s">
        <v>497</v>
      </c>
      <c r="Q1426" s="110" t="s">
        <v>498</v>
      </c>
      <c r="R1426" s="110" t="s">
        <v>499</v>
      </c>
    </row>
    <row r="1427" spans="1:18" ht="21.95" customHeight="1" x14ac:dyDescent="0.25">
      <c r="A1427" s="170">
        <f>IF('Calendario I'!A67="","",'Calendario I'!A67)</f>
        <v>378</v>
      </c>
      <c r="B1427" s="44" t="str">
        <f>IF('Calendario I'!B67="","",'Calendario I'!B67)</f>
        <v/>
      </c>
      <c r="C1427" s="45" t="str">
        <f>IF('Calendario I'!C67="","",'Calendario I'!C67)</f>
        <v/>
      </c>
      <c r="D1427" s="44" t="str">
        <f>IF('Calendario I'!D67="","",'Calendario I'!D67)</f>
        <v/>
      </c>
      <c r="E1427" s="45" t="str">
        <f>IF('Calendario I'!E67="","",'Calendario I'!E67)</f>
        <v/>
      </c>
      <c r="F1427" s="138" t="str">
        <f>IF('Calendario I'!F67="","",'Calendario I'!F67)</f>
        <v/>
      </c>
      <c r="G1427" s="124"/>
      <c r="H1427" s="124"/>
      <c r="I1427" s="125"/>
      <c r="J1427" s="202" t="str">
        <f>IF('Calendario I'!J67="","",'Calendario I'!J67)</f>
        <v/>
      </c>
      <c r="K1427" s="201" t="s">
        <v>198</v>
      </c>
      <c r="L1427" s="202" t="str">
        <f>IF('Calendario I'!L67="","",'Calendario I'!L67)</f>
        <v/>
      </c>
      <c r="M1427" s="200"/>
      <c r="N1427" s="200"/>
      <c r="O1427" s="200"/>
      <c r="P1427" s="200"/>
      <c r="Q1427" s="200"/>
      <c r="R1427" s="200"/>
    </row>
    <row r="1428" spans="1:18" ht="15" customHeight="1" x14ac:dyDescent="0.25">
      <c r="A1428" s="133"/>
      <c r="B1428" s="136" t="str">
        <f>IF('Calendario I'!B68="","",'Calendario I'!B68)</f>
        <v/>
      </c>
      <c r="C1428" s="124"/>
      <c r="D1428" s="124"/>
      <c r="E1428" s="124"/>
      <c r="F1428" s="124"/>
      <c r="G1428" s="124"/>
      <c r="H1428" s="125"/>
      <c r="I1428" s="45" t="str">
        <f>IF('Calendario I'!I68="","",'Calendario I'!I68)</f>
        <v/>
      </c>
      <c r="J1428" s="133"/>
      <c r="K1428" s="133"/>
      <c r="L1428" s="133"/>
      <c r="M1428" s="133"/>
      <c r="N1428" s="133"/>
      <c r="O1428" s="133"/>
      <c r="P1428" s="133"/>
      <c r="Q1428" s="133"/>
      <c r="R1428" s="133"/>
    </row>
    <row r="1429" spans="1:18" ht="14.1" customHeight="1" x14ac:dyDescent="0.25">
      <c r="A1429" s="64" t="s">
        <v>193</v>
      </c>
      <c r="B1429" s="169" t="s">
        <v>175</v>
      </c>
      <c r="C1429" s="125"/>
      <c r="D1429" s="169" t="s">
        <v>182</v>
      </c>
      <c r="E1429" s="125"/>
      <c r="F1429" s="64" t="s">
        <v>194</v>
      </c>
      <c r="G1429" s="64" t="s">
        <v>195</v>
      </c>
      <c r="H1429" s="169" t="s">
        <v>196</v>
      </c>
      <c r="I1429" s="125"/>
      <c r="J1429" s="169" t="s">
        <v>197</v>
      </c>
      <c r="K1429" s="124"/>
      <c r="L1429" s="125"/>
      <c r="M1429" s="110" t="s">
        <v>494</v>
      </c>
      <c r="N1429" s="110" t="s">
        <v>495</v>
      </c>
      <c r="O1429" s="110" t="s">
        <v>496</v>
      </c>
      <c r="P1429" s="110" t="s">
        <v>497</v>
      </c>
      <c r="Q1429" s="110" t="s">
        <v>498</v>
      </c>
      <c r="R1429" s="110" t="s">
        <v>499</v>
      </c>
    </row>
    <row r="1430" spans="1:18" ht="21.95" customHeight="1" x14ac:dyDescent="0.25">
      <c r="A1430" s="170">
        <f>IF('Calendario I'!A70="","",'Calendario I'!A70)</f>
        <v>379</v>
      </c>
      <c r="B1430" s="44" t="str">
        <f>IF('Calendario I'!B70="","",'Calendario I'!B70)</f>
        <v/>
      </c>
      <c r="C1430" s="45" t="str">
        <f>IF('Calendario I'!C70="","",'Calendario I'!C70)</f>
        <v/>
      </c>
      <c r="D1430" s="44" t="str">
        <f>IF('Calendario I'!D70="","",'Calendario I'!D70)</f>
        <v/>
      </c>
      <c r="E1430" s="45" t="str">
        <f>IF('Calendario I'!E70="","",'Calendario I'!E70)</f>
        <v/>
      </c>
      <c r="F1430" s="138" t="str">
        <f>IF('Calendario I'!F70="","",'Calendario I'!F70)</f>
        <v/>
      </c>
      <c r="G1430" s="124"/>
      <c r="H1430" s="124"/>
      <c r="I1430" s="125"/>
      <c r="J1430" s="202" t="str">
        <f>IF('Calendario I'!J70="","",'Calendario I'!J70)</f>
        <v/>
      </c>
      <c r="K1430" s="201" t="s">
        <v>198</v>
      </c>
      <c r="L1430" s="202" t="str">
        <f>IF('Calendario I'!L70="","",'Calendario I'!L70)</f>
        <v/>
      </c>
      <c r="M1430" s="200"/>
      <c r="N1430" s="200"/>
      <c r="O1430" s="200"/>
      <c r="P1430" s="200"/>
      <c r="Q1430" s="200"/>
      <c r="R1430" s="200"/>
    </row>
    <row r="1431" spans="1:18" ht="15" customHeight="1" x14ac:dyDescent="0.25">
      <c r="A1431" s="133"/>
      <c r="B1431" s="136" t="str">
        <f>IF('Calendario I'!B71="","",'Calendario I'!B71)</f>
        <v/>
      </c>
      <c r="C1431" s="124"/>
      <c r="D1431" s="124"/>
      <c r="E1431" s="124"/>
      <c r="F1431" s="124"/>
      <c r="G1431" s="124"/>
      <c r="H1431" s="125"/>
      <c r="I1431" s="45" t="str">
        <f>IF('Calendario I'!I71="","",'Calendario I'!I71)</f>
        <v/>
      </c>
      <c r="J1431" s="133"/>
      <c r="K1431" s="133"/>
      <c r="L1431" s="133"/>
      <c r="M1431" s="133"/>
      <c r="N1431" s="133"/>
      <c r="O1431" s="133"/>
      <c r="P1431" s="133"/>
      <c r="Q1431" s="133"/>
      <c r="R1431" s="133"/>
    </row>
    <row r="1432" spans="1:18" ht="14.1" customHeight="1" x14ac:dyDescent="0.25">
      <c r="A1432" s="64" t="s">
        <v>193</v>
      </c>
      <c r="B1432" s="169" t="s">
        <v>175</v>
      </c>
      <c r="C1432" s="125"/>
      <c r="D1432" s="169" t="s">
        <v>182</v>
      </c>
      <c r="E1432" s="125"/>
      <c r="F1432" s="64" t="s">
        <v>194</v>
      </c>
      <c r="G1432" s="64" t="s">
        <v>195</v>
      </c>
      <c r="H1432" s="169" t="s">
        <v>196</v>
      </c>
      <c r="I1432" s="125"/>
      <c r="J1432" s="169" t="s">
        <v>197</v>
      </c>
      <c r="K1432" s="124"/>
      <c r="L1432" s="125"/>
      <c r="M1432" s="110" t="s">
        <v>494</v>
      </c>
      <c r="N1432" s="110" t="s">
        <v>495</v>
      </c>
      <c r="O1432" s="110" t="s">
        <v>496</v>
      </c>
      <c r="P1432" s="110" t="s">
        <v>497</v>
      </c>
      <c r="Q1432" s="110" t="s">
        <v>498</v>
      </c>
      <c r="R1432" s="110" t="s">
        <v>499</v>
      </c>
    </row>
    <row r="1433" spans="1:18" ht="21.95" customHeight="1" x14ac:dyDescent="0.25">
      <c r="A1433" s="170">
        <f>IF('Calendario I'!A73="","",'Calendario I'!A73)</f>
        <v>380</v>
      </c>
      <c r="B1433" s="44" t="str">
        <f>IF('Calendario I'!B73="","",'Calendario I'!B73)</f>
        <v/>
      </c>
      <c r="C1433" s="45" t="str">
        <f>IF('Calendario I'!C73="","",'Calendario I'!C73)</f>
        <v/>
      </c>
      <c r="D1433" s="44" t="str">
        <f>IF('Calendario I'!D73="","",'Calendario I'!D73)</f>
        <v/>
      </c>
      <c r="E1433" s="45" t="str">
        <f>IF('Calendario I'!E73="","",'Calendario I'!E73)</f>
        <v/>
      </c>
      <c r="F1433" s="138" t="str">
        <f>IF('Calendario I'!F73="","",'Calendario I'!F73)</f>
        <v/>
      </c>
      <c r="G1433" s="124"/>
      <c r="H1433" s="124"/>
      <c r="I1433" s="125"/>
      <c r="J1433" s="202" t="str">
        <f>IF('Calendario I'!J73="","",'Calendario I'!J73)</f>
        <v/>
      </c>
      <c r="K1433" s="201" t="s">
        <v>198</v>
      </c>
      <c r="L1433" s="202" t="str">
        <f>IF('Calendario I'!L73="","",'Calendario I'!L73)</f>
        <v/>
      </c>
      <c r="M1433" s="200"/>
      <c r="N1433" s="200"/>
      <c r="O1433" s="200"/>
      <c r="P1433" s="200"/>
      <c r="Q1433" s="200"/>
      <c r="R1433" s="200"/>
    </row>
    <row r="1434" spans="1:18" ht="15" customHeight="1" x14ac:dyDescent="0.25">
      <c r="A1434" s="133"/>
      <c r="B1434" s="136" t="str">
        <f>IF('Calendario I'!B74="","",'Calendario I'!B74)</f>
        <v/>
      </c>
      <c r="C1434" s="124"/>
      <c r="D1434" s="124"/>
      <c r="E1434" s="124"/>
      <c r="F1434" s="124"/>
      <c r="G1434" s="124"/>
      <c r="H1434" s="125"/>
      <c r="I1434" s="45" t="str">
        <f>IF('Calendario I'!I74="","",'Calendario I'!I74)</f>
        <v/>
      </c>
      <c r="J1434" s="133"/>
      <c r="K1434" s="133"/>
      <c r="L1434" s="133"/>
      <c r="M1434" s="133"/>
      <c r="N1434" s="133"/>
      <c r="O1434" s="133"/>
      <c r="P1434" s="133"/>
      <c r="Q1434" s="133"/>
      <c r="R1434" s="133"/>
    </row>
    <row r="1436" spans="1:18" ht="20.100000000000001" customHeight="1" x14ac:dyDescent="0.25">
      <c r="A1436" s="63" t="str">
        <f>IF('Calendario I'!A76="","",'Calendario I'!A76)</f>
        <v>5I</v>
      </c>
      <c r="B1436" s="171" t="str">
        <f>IF('Calendario I'!B76="","",'Calendario I'!B76)</f>
        <v>GIORNATA V - GIRONE I</v>
      </c>
      <c r="C1436" s="124"/>
      <c r="D1436" s="124"/>
      <c r="E1436" s="124"/>
      <c r="F1436" s="124"/>
      <c r="G1436" s="124"/>
      <c r="H1436" s="124"/>
      <c r="I1436" s="124"/>
      <c r="J1436" s="124"/>
      <c r="K1436" s="124"/>
      <c r="L1436" s="125"/>
      <c r="M1436" s="204" t="s">
        <v>492</v>
      </c>
      <c r="N1436" s="124"/>
      <c r="O1436" s="125"/>
      <c r="P1436" s="204" t="s">
        <v>493</v>
      </c>
      <c r="Q1436" s="124"/>
      <c r="R1436" s="125"/>
    </row>
    <row r="1437" spans="1:18" ht="14.1" customHeight="1" x14ac:dyDescent="0.25">
      <c r="A1437" s="64" t="s">
        <v>193</v>
      </c>
      <c r="B1437" s="169" t="s">
        <v>175</v>
      </c>
      <c r="C1437" s="125"/>
      <c r="D1437" s="169" t="s">
        <v>182</v>
      </c>
      <c r="E1437" s="125"/>
      <c r="F1437" s="64" t="s">
        <v>194</v>
      </c>
      <c r="G1437" s="64" t="s">
        <v>195</v>
      </c>
      <c r="H1437" s="169" t="s">
        <v>196</v>
      </c>
      <c r="I1437" s="125"/>
      <c r="J1437" s="169" t="s">
        <v>197</v>
      </c>
      <c r="K1437" s="124"/>
      <c r="L1437" s="125"/>
      <c r="M1437" s="110" t="s">
        <v>494</v>
      </c>
      <c r="N1437" s="110" t="s">
        <v>495</v>
      </c>
      <c r="O1437" s="110" t="s">
        <v>496</v>
      </c>
      <c r="P1437" s="110" t="s">
        <v>497</v>
      </c>
      <c r="Q1437" s="110" t="s">
        <v>498</v>
      </c>
      <c r="R1437" s="110" t="s">
        <v>499</v>
      </c>
    </row>
    <row r="1438" spans="1:18" ht="21.95" customHeight="1" x14ac:dyDescent="0.25">
      <c r="A1438" s="170">
        <f>IF('Calendario I'!A78="","",'Calendario I'!A78)</f>
        <v>381</v>
      </c>
      <c r="B1438" s="44" t="str">
        <f>IF('Calendario I'!B78="","",'Calendario I'!B78)</f>
        <v/>
      </c>
      <c r="C1438" s="45" t="str">
        <f>IF('Calendario I'!C78="","",'Calendario I'!C78)</f>
        <v/>
      </c>
      <c r="D1438" s="44" t="str">
        <f>IF('Calendario I'!D78="","",'Calendario I'!D78)</f>
        <v/>
      </c>
      <c r="E1438" s="45" t="str">
        <f>IF('Calendario I'!E78="","",'Calendario I'!E78)</f>
        <v/>
      </c>
      <c r="F1438" s="138" t="str">
        <f>IF('Calendario I'!F78="","",'Calendario I'!F78)</f>
        <v/>
      </c>
      <c r="G1438" s="124"/>
      <c r="H1438" s="124"/>
      <c r="I1438" s="125"/>
      <c r="J1438" s="202" t="str">
        <f>IF('Calendario I'!J78="","",'Calendario I'!J78)</f>
        <v/>
      </c>
      <c r="K1438" s="201" t="s">
        <v>198</v>
      </c>
      <c r="L1438" s="202" t="str">
        <f>IF('Calendario I'!L78="","",'Calendario I'!L78)</f>
        <v/>
      </c>
      <c r="M1438" s="200"/>
      <c r="N1438" s="200"/>
      <c r="O1438" s="200"/>
      <c r="P1438" s="200"/>
      <c r="Q1438" s="200"/>
      <c r="R1438" s="200"/>
    </row>
    <row r="1439" spans="1:18" ht="15" customHeight="1" x14ac:dyDescent="0.25">
      <c r="A1439" s="133"/>
      <c r="B1439" s="136" t="str">
        <f>IF('Calendario I'!B79="","",'Calendario I'!B79)</f>
        <v/>
      </c>
      <c r="C1439" s="124"/>
      <c r="D1439" s="124"/>
      <c r="E1439" s="124"/>
      <c r="F1439" s="124"/>
      <c r="G1439" s="124"/>
      <c r="H1439" s="125"/>
      <c r="I1439" s="45" t="str">
        <f>IF('Calendario I'!I79="","",'Calendario I'!I79)</f>
        <v/>
      </c>
      <c r="J1439" s="133"/>
      <c r="K1439" s="133"/>
      <c r="L1439" s="133"/>
      <c r="M1439" s="133"/>
      <c r="N1439" s="133"/>
      <c r="O1439" s="133"/>
      <c r="P1439" s="133"/>
      <c r="Q1439" s="133"/>
      <c r="R1439" s="133"/>
    </row>
    <row r="1440" spans="1:18" ht="14.1" customHeight="1" x14ac:dyDescent="0.25">
      <c r="A1440" s="64" t="s">
        <v>193</v>
      </c>
      <c r="B1440" s="169" t="s">
        <v>175</v>
      </c>
      <c r="C1440" s="125"/>
      <c r="D1440" s="169" t="s">
        <v>182</v>
      </c>
      <c r="E1440" s="125"/>
      <c r="F1440" s="64" t="s">
        <v>194</v>
      </c>
      <c r="G1440" s="64" t="s">
        <v>195</v>
      </c>
      <c r="H1440" s="169" t="s">
        <v>196</v>
      </c>
      <c r="I1440" s="125"/>
      <c r="J1440" s="169" t="s">
        <v>197</v>
      </c>
      <c r="K1440" s="124"/>
      <c r="L1440" s="125"/>
      <c r="M1440" s="110" t="s">
        <v>494</v>
      </c>
      <c r="N1440" s="110" t="s">
        <v>495</v>
      </c>
      <c r="O1440" s="110" t="s">
        <v>496</v>
      </c>
      <c r="P1440" s="110" t="s">
        <v>497</v>
      </c>
      <c r="Q1440" s="110" t="s">
        <v>498</v>
      </c>
      <c r="R1440" s="110" t="s">
        <v>499</v>
      </c>
    </row>
    <row r="1441" spans="1:18" ht="21.95" customHeight="1" x14ac:dyDescent="0.25">
      <c r="A1441" s="170">
        <f>IF('Calendario I'!A81="","",'Calendario I'!A81)</f>
        <v>382</v>
      </c>
      <c r="B1441" s="44" t="str">
        <f>IF('Calendario I'!B81="","",'Calendario I'!B81)</f>
        <v/>
      </c>
      <c r="C1441" s="45" t="str">
        <f>IF('Calendario I'!C81="","",'Calendario I'!C81)</f>
        <v/>
      </c>
      <c r="D1441" s="44" t="str">
        <f>IF('Calendario I'!D81="","",'Calendario I'!D81)</f>
        <v/>
      </c>
      <c r="E1441" s="45" t="str">
        <f>IF('Calendario I'!E81="","",'Calendario I'!E81)</f>
        <v/>
      </c>
      <c r="F1441" s="138" t="str">
        <f>IF('Calendario I'!F81="","",'Calendario I'!F81)</f>
        <v/>
      </c>
      <c r="G1441" s="124"/>
      <c r="H1441" s="124"/>
      <c r="I1441" s="125"/>
      <c r="J1441" s="202" t="str">
        <f>IF('Calendario I'!J81="","",'Calendario I'!J81)</f>
        <v/>
      </c>
      <c r="K1441" s="201" t="s">
        <v>198</v>
      </c>
      <c r="L1441" s="202" t="str">
        <f>IF('Calendario I'!L81="","",'Calendario I'!L81)</f>
        <v/>
      </c>
      <c r="M1441" s="200"/>
      <c r="N1441" s="200"/>
      <c r="O1441" s="200"/>
      <c r="P1441" s="200"/>
      <c r="Q1441" s="200"/>
      <c r="R1441" s="200"/>
    </row>
    <row r="1442" spans="1:18" ht="15" customHeight="1" x14ac:dyDescent="0.25">
      <c r="A1442" s="133"/>
      <c r="B1442" s="136" t="str">
        <f>IF('Calendario I'!B82="","",'Calendario I'!B82)</f>
        <v/>
      </c>
      <c r="C1442" s="124"/>
      <c r="D1442" s="124"/>
      <c r="E1442" s="124"/>
      <c r="F1442" s="124"/>
      <c r="G1442" s="124"/>
      <c r="H1442" s="125"/>
      <c r="I1442" s="45" t="str">
        <f>IF('Calendario I'!I82="","",'Calendario I'!I82)</f>
        <v/>
      </c>
      <c r="J1442" s="133"/>
      <c r="K1442" s="133"/>
      <c r="L1442" s="133"/>
      <c r="M1442" s="133"/>
      <c r="N1442" s="133"/>
      <c r="O1442" s="133"/>
      <c r="P1442" s="133"/>
      <c r="Q1442" s="133"/>
      <c r="R1442" s="133"/>
    </row>
    <row r="1443" spans="1:18" ht="14.1" customHeight="1" x14ac:dyDescent="0.25">
      <c r="A1443" s="64" t="s">
        <v>193</v>
      </c>
      <c r="B1443" s="169" t="s">
        <v>175</v>
      </c>
      <c r="C1443" s="125"/>
      <c r="D1443" s="169" t="s">
        <v>182</v>
      </c>
      <c r="E1443" s="125"/>
      <c r="F1443" s="64" t="s">
        <v>194</v>
      </c>
      <c r="G1443" s="64" t="s">
        <v>195</v>
      </c>
      <c r="H1443" s="169" t="s">
        <v>196</v>
      </c>
      <c r="I1443" s="125"/>
      <c r="J1443" s="169" t="s">
        <v>197</v>
      </c>
      <c r="K1443" s="124"/>
      <c r="L1443" s="125"/>
      <c r="M1443" s="110" t="s">
        <v>494</v>
      </c>
      <c r="N1443" s="110" t="s">
        <v>495</v>
      </c>
      <c r="O1443" s="110" t="s">
        <v>496</v>
      </c>
      <c r="P1443" s="110" t="s">
        <v>497</v>
      </c>
      <c r="Q1443" s="110" t="s">
        <v>498</v>
      </c>
      <c r="R1443" s="110" t="s">
        <v>499</v>
      </c>
    </row>
    <row r="1444" spans="1:18" ht="21.95" customHeight="1" x14ac:dyDescent="0.25">
      <c r="A1444" s="170">
        <f>IF('Calendario I'!A84="","",'Calendario I'!A84)</f>
        <v>383</v>
      </c>
      <c r="B1444" s="44" t="str">
        <f>IF('Calendario I'!B84="","",'Calendario I'!B84)</f>
        <v/>
      </c>
      <c r="C1444" s="45" t="str">
        <f>IF('Calendario I'!C84="","",'Calendario I'!C84)</f>
        <v/>
      </c>
      <c r="D1444" s="44" t="str">
        <f>IF('Calendario I'!D84="","",'Calendario I'!D84)</f>
        <v/>
      </c>
      <c r="E1444" s="45" t="str">
        <f>IF('Calendario I'!E84="","",'Calendario I'!E84)</f>
        <v/>
      </c>
      <c r="F1444" s="138" t="str">
        <f>IF('Calendario I'!F84="","",'Calendario I'!F84)</f>
        <v/>
      </c>
      <c r="G1444" s="124"/>
      <c r="H1444" s="124"/>
      <c r="I1444" s="125"/>
      <c r="J1444" s="202" t="str">
        <f>IF('Calendario I'!J84="","",'Calendario I'!J84)</f>
        <v/>
      </c>
      <c r="K1444" s="201" t="s">
        <v>198</v>
      </c>
      <c r="L1444" s="202" t="str">
        <f>IF('Calendario I'!L84="","",'Calendario I'!L84)</f>
        <v/>
      </c>
      <c r="M1444" s="200"/>
      <c r="N1444" s="200"/>
      <c r="O1444" s="200"/>
      <c r="P1444" s="200"/>
      <c r="Q1444" s="200"/>
      <c r="R1444" s="200"/>
    </row>
    <row r="1445" spans="1:18" ht="15" customHeight="1" x14ac:dyDescent="0.25">
      <c r="A1445" s="133"/>
      <c r="B1445" s="136" t="str">
        <f>IF('Calendario I'!B85="","",'Calendario I'!B85)</f>
        <v/>
      </c>
      <c r="C1445" s="124"/>
      <c r="D1445" s="124"/>
      <c r="E1445" s="124"/>
      <c r="F1445" s="124"/>
      <c r="G1445" s="124"/>
      <c r="H1445" s="125"/>
      <c r="I1445" s="45" t="str">
        <f>IF('Calendario I'!I85="","",'Calendario I'!I85)</f>
        <v/>
      </c>
      <c r="J1445" s="133"/>
      <c r="K1445" s="133"/>
      <c r="L1445" s="133"/>
      <c r="M1445" s="133"/>
      <c r="N1445" s="133"/>
      <c r="O1445" s="133"/>
      <c r="P1445" s="133"/>
      <c r="Q1445" s="133"/>
      <c r="R1445" s="133"/>
    </row>
    <row r="1446" spans="1:18" ht="14.1" customHeight="1" x14ac:dyDescent="0.25">
      <c r="A1446" s="64" t="s">
        <v>193</v>
      </c>
      <c r="B1446" s="169" t="s">
        <v>175</v>
      </c>
      <c r="C1446" s="125"/>
      <c r="D1446" s="169" t="s">
        <v>182</v>
      </c>
      <c r="E1446" s="125"/>
      <c r="F1446" s="64" t="s">
        <v>194</v>
      </c>
      <c r="G1446" s="64" t="s">
        <v>195</v>
      </c>
      <c r="H1446" s="169" t="s">
        <v>196</v>
      </c>
      <c r="I1446" s="125"/>
      <c r="J1446" s="169" t="s">
        <v>197</v>
      </c>
      <c r="K1446" s="124"/>
      <c r="L1446" s="125"/>
      <c r="M1446" s="110" t="s">
        <v>494</v>
      </c>
      <c r="N1446" s="110" t="s">
        <v>495</v>
      </c>
      <c r="O1446" s="110" t="s">
        <v>496</v>
      </c>
      <c r="P1446" s="110" t="s">
        <v>497</v>
      </c>
      <c r="Q1446" s="110" t="s">
        <v>498</v>
      </c>
      <c r="R1446" s="110" t="s">
        <v>499</v>
      </c>
    </row>
    <row r="1447" spans="1:18" ht="21.95" customHeight="1" x14ac:dyDescent="0.25">
      <c r="A1447" s="170">
        <f>IF('Calendario I'!A87="","",'Calendario I'!A87)</f>
        <v>384</v>
      </c>
      <c r="B1447" s="44" t="str">
        <f>IF('Calendario I'!B87="","",'Calendario I'!B87)</f>
        <v/>
      </c>
      <c r="C1447" s="45" t="str">
        <f>IF('Calendario I'!C87="","",'Calendario I'!C87)</f>
        <v/>
      </c>
      <c r="D1447" s="44" t="str">
        <f>IF('Calendario I'!D87="","",'Calendario I'!D87)</f>
        <v/>
      </c>
      <c r="E1447" s="45" t="str">
        <f>IF('Calendario I'!E87="","",'Calendario I'!E87)</f>
        <v/>
      </c>
      <c r="F1447" s="138" t="str">
        <f>IF('Calendario I'!F87="","",'Calendario I'!F87)</f>
        <v/>
      </c>
      <c r="G1447" s="124"/>
      <c r="H1447" s="124"/>
      <c r="I1447" s="125"/>
      <c r="J1447" s="202" t="str">
        <f>IF('Calendario I'!J87="","",'Calendario I'!J87)</f>
        <v/>
      </c>
      <c r="K1447" s="201" t="s">
        <v>198</v>
      </c>
      <c r="L1447" s="202" t="str">
        <f>IF('Calendario I'!L87="","",'Calendario I'!L87)</f>
        <v/>
      </c>
      <c r="M1447" s="200"/>
      <c r="N1447" s="200"/>
      <c r="O1447" s="200"/>
      <c r="P1447" s="200"/>
      <c r="Q1447" s="200"/>
      <c r="R1447" s="200"/>
    </row>
    <row r="1448" spans="1:18" ht="15" customHeight="1" x14ac:dyDescent="0.25">
      <c r="A1448" s="133"/>
      <c r="B1448" s="136" t="str">
        <f>IF('Calendario I'!B88="","",'Calendario I'!B88)</f>
        <v/>
      </c>
      <c r="C1448" s="124"/>
      <c r="D1448" s="124"/>
      <c r="E1448" s="124"/>
      <c r="F1448" s="124"/>
      <c r="G1448" s="124"/>
      <c r="H1448" s="125"/>
      <c r="I1448" s="45" t="str">
        <f>IF('Calendario I'!I88="","",'Calendario I'!I88)</f>
        <v/>
      </c>
      <c r="J1448" s="133"/>
      <c r="K1448" s="133"/>
      <c r="L1448" s="133"/>
      <c r="M1448" s="133"/>
      <c r="N1448" s="133"/>
      <c r="O1448" s="133"/>
      <c r="P1448" s="133"/>
      <c r="Q1448" s="133"/>
      <c r="R1448" s="133"/>
    </row>
    <row r="1449" spans="1:18" ht="14.1" customHeight="1" x14ac:dyDescent="0.25">
      <c r="A1449" s="64" t="s">
        <v>193</v>
      </c>
      <c r="B1449" s="169" t="s">
        <v>175</v>
      </c>
      <c r="C1449" s="125"/>
      <c r="D1449" s="169" t="s">
        <v>182</v>
      </c>
      <c r="E1449" s="125"/>
      <c r="F1449" s="64" t="s">
        <v>194</v>
      </c>
      <c r="G1449" s="64" t="s">
        <v>195</v>
      </c>
      <c r="H1449" s="169" t="s">
        <v>196</v>
      </c>
      <c r="I1449" s="125"/>
      <c r="J1449" s="169" t="s">
        <v>197</v>
      </c>
      <c r="K1449" s="124"/>
      <c r="L1449" s="125"/>
      <c r="M1449" s="110" t="s">
        <v>494</v>
      </c>
      <c r="N1449" s="110" t="s">
        <v>495</v>
      </c>
      <c r="O1449" s="110" t="s">
        <v>496</v>
      </c>
      <c r="P1449" s="110" t="s">
        <v>497</v>
      </c>
      <c r="Q1449" s="110" t="s">
        <v>498</v>
      </c>
      <c r="R1449" s="110" t="s">
        <v>499</v>
      </c>
    </row>
    <row r="1450" spans="1:18" ht="21.95" customHeight="1" x14ac:dyDescent="0.25">
      <c r="A1450" s="170">
        <f>IF('Calendario I'!A90="","",'Calendario I'!A90)</f>
        <v>385</v>
      </c>
      <c r="B1450" s="44" t="str">
        <f>IF('Calendario I'!B90="","",'Calendario I'!B90)</f>
        <v/>
      </c>
      <c r="C1450" s="45" t="str">
        <f>IF('Calendario I'!C90="","",'Calendario I'!C90)</f>
        <v/>
      </c>
      <c r="D1450" s="44" t="str">
        <f>IF('Calendario I'!D90="","",'Calendario I'!D90)</f>
        <v/>
      </c>
      <c r="E1450" s="45" t="str">
        <f>IF('Calendario I'!E90="","",'Calendario I'!E90)</f>
        <v/>
      </c>
      <c r="F1450" s="138" t="str">
        <f>IF('Calendario I'!F90="","",'Calendario I'!F90)</f>
        <v/>
      </c>
      <c r="G1450" s="124"/>
      <c r="H1450" s="124"/>
      <c r="I1450" s="125"/>
      <c r="J1450" s="202" t="str">
        <f>IF('Calendario I'!J90="","",'Calendario I'!J90)</f>
        <v/>
      </c>
      <c r="K1450" s="201" t="s">
        <v>198</v>
      </c>
      <c r="L1450" s="202" t="str">
        <f>IF('Calendario I'!L90="","",'Calendario I'!L90)</f>
        <v/>
      </c>
      <c r="M1450" s="200"/>
      <c r="N1450" s="200"/>
      <c r="O1450" s="200"/>
      <c r="P1450" s="200"/>
      <c r="Q1450" s="200"/>
      <c r="R1450" s="200"/>
    </row>
    <row r="1451" spans="1:18" ht="15" customHeight="1" x14ac:dyDescent="0.25">
      <c r="A1451" s="133"/>
      <c r="B1451" s="136" t="str">
        <f>IF('Calendario I'!B91="","",'Calendario I'!B91)</f>
        <v/>
      </c>
      <c r="C1451" s="124"/>
      <c r="D1451" s="124"/>
      <c r="E1451" s="124"/>
      <c r="F1451" s="124"/>
      <c r="G1451" s="124"/>
      <c r="H1451" s="125"/>
      <c r="I1451" s="45" t="str">
        <f>IF('Calendario I'!I91="","",'Calendario I'!I91)</f>
        <v/>
      </c>
      <c r="J1451" s="133"/>
      <c r="K1451" s="133"/>
      <c r="L1451" s="133"/>
      <c r="M1451" s="133"/>
      <c r="N1451" s="133"/>
      <c r="O1451" s="133"/>
      <c r="P1451" s="133"/>
      <c r="Q1451" s="133"/>
      <c r="R1451" s="133"/>
    </row>
    <row r="1453" spans="1:18" ht="20.100000000000001" customHeight="1" x14ac:dyDescent="0.25">
      <c r="A1453" s="63" t="str">
        <f>IF('Calendario I'!A93="","",'Calendario I'!A93)</f>
        <v>6I</v>
      </c>
      <c r="B1453" s="171" t="str">
        <f>IF('Calendario I'!B93="","",'Calendario I'!B93)</f>
        <v>GIORNATA VI - GIRONE I</v>
      </c>
      <c r="C1453" s="124"/>
      <c r="D1453" s="124"/>
      <c r="E1453" s="124"/>
      <c r="F1453" s="124"/>
      <c r="G1453" s="124"/>
      <c r="H1453" s="124"/>
      <c r="I1453" s="124"/>
      <c r="J1453" s="124"/>
      <c r="K1453" s="124"/>
      <c r="L1453" s="125"/>
      <c r="M1453" s="204" t="s">
        <v>492</v>
      </c>
      <c r="N1453" s="124"/>
      <c r="O1453" s="125"/>
      <c r="P1453" s="204" t="s">
        <v>493</v>
      </c>
      <c r="Q1453" s="124"/>
      <c r="R1453" s="125"/>
    </row>
    <row r="1454" spans="1:18" ht="14.1" customHeight="1" x14ac:dyDescent="0.25">
      <c r="A1454" s="64" t="s">
        <v>193</v>
      </c>
      <c r="B1454" s="169" t="s">
        <v>175</v>
      </c>
      <c r="C1454" s="125"/>
      <c r="D1454" s="169" t="s">
        <v>182</v>
      </c>
      <c r="E1454" s="125"/>
      <c r="F1454" s="64" t="s">
        <v>194</v>
      </c>
      <c r="G1454" s="64" t="s">
        <v>195</v>
      </c>
      <c r="H1454" s="169" t="s">
        <v>196</v>
      </c>
      <c r="I1454" s="125"/>
      <c r="J1454" s="169" t="s">
        <v>197</v>
      </c>
      <c r="K1454" s="124"/>
      <c r="L1454" s="125"/>
      <c r="M1454" s="110" t="s">
        <v>494</v>
      </c>
      <c r="N1454" s="110" t="s">
        <v>495</v>
      </c>
      <c r="O1454" s="110" t="s">
        <v>496</v>
      </c>
      <c r="P1454" s="110" t="s">
        <v>497</v>
      </c>
      <c r="Q1454" s="110" t="s">
        <v>498</v>
      </c>
      <c r="R1454" s="110" t="s">
        <v>499</v>
      </c>
    </row>
    <row r="1455" spans="1:18" ht="21.95" customHeight="1" x14ac:dyDescent="0.25">
      <c r="A1455" s="170">
        <f>IF('Calendario I'!A95="","",'Calendario I'!A95)</f>
        <v>386</v>
      </c>
      <c r="B1455" s="44" t="str">
        <f>IF('Calendario I'!B95="","",'Calendario I'!B95)</f>
        <v/>
      </c>
      <c r="C1455" s="45" t="str">
        <f>IF('Calendario I'!C95="","",'Calendario I'!C95)</f>
        <v/>
      </c>
      <c r="D1455" s="44" t="str">
        <f>IF('Calendario I'!D95="","",'Calendario I'!D95)</f>
        <v/>
      </c>
      <c r="E1455" s="45" t="str">
        <f>IF('Calendario I'!E95="","",'Calendario I'!E95)</f>
        <v/>
      </c>
      <c r="F1455" s="138" t="str">
        <f>IF('Calendario I'!F95="","",'Calendario I'!F95)</f>
        <v/>
      </c>
      <c r="G1455" s="124"/>
      <c r="H1455" s="124"/>
      <c r="I1455" s="125"/>
      <c r="J1455" s="202" t="str">
        <f>IF('Calendario I'!J95="","",'Calendario I'!J95)</f>
        <v/>
      </c>
      <c r="K1455" s="201" t="s">
        <v>198</v>
      </c>
      <c r="L1455" s="202" t="str">
        <f>IF('Calendario I'!L95="","",'Calendario I'!L95)</f>
        <v/>
      </c>
      <c r="M1455" s="200"/>
      <c r="N1455" s="200"/>
      <c r="O1455" s="200"/>
      <c r="P1455" s="200"/>
      <c r="Q1455" s="200"/>
      <c r="R1455" s="200"/>
    </row>
    <row r="1456" spans="1:18" ht="15" customHeight="1" x14ac:dyDescent="0.25">
      <c r="A1456" s="133"/>
      <c r="B1456" s="136" t="str">
        <f>IF('Calendario I'!B96="","",'Calendario I'!B96)</f>
        <v/>
      </c>
      <c r="C1456" s="124"/>
      <c r="D1456" s="124"/>
      <c r="E1456" s="124"/>
      <c r="F1456" s="124"/>
      <c r="G1456" s="124"/>
      <c r="H1456" s="125"/>
      <c r="I1456" s="45" t="str">
        <f>IF('Calendario I'!I96="","",'Calendario I'!I96)</f>
        <v/>
      </c>
      <c r="J1456" s="133"/>
      <c r="K1456" s="133"/>
      <c r="L1456" s="133"/>
      <c r="M1456" s="133"/>
      <c r="N1456" s="133"/>
      <c r="O1456" s="133"/>
      <c r="P1456" s="133"/>
      <c r="Q1456" s="133"/>
      <c r="R1456" s="133"/>
    </row>
    <row r="1457" spans="1:18" ht="14.1" customHeight="1" x14ac:dyDescent="0.25">
      <c r="A1457" s="64" t="s">
        <v>193</v>
      </c>
      <c r="B1457" s="169" t="s">
        <v>175</v>
      </c>
      <c r="C1457" s="125"/>
      <c r="D1457" s="169" t="s">
        <v>182</v>
      </c>
      <c r="E1457" s="125"/>
      <c r="F1457" s="64" t="s">
        <v>194</v>
      </c>
      <c r="G1457" s="64" t="s">
        <v>195</v>
      </c>
      <c r="H1457" s="169" t="s">
        <v>196</v>
      </c>
      <c r="I1457" s="125"/>
      <c r="J1457" s="169" t="s">
        <v>197</v>
      </c>
      <c r="K1457" s="124"/>
      <c r="L1457" s="125"/>
      <c r="M1457" s="110" t="s">
        <v>494</v>
      </c>
      <c r="N1457" s="110" t="s">
        <v>495</v>
      </c>
      <c r="O1457" s="110" t="s">
        <v>496</v>
      </c>
      <c r="P1457" s="110" t="s">
        <v>497</v>
      </c>
      <c r="Q1457" s="110" t="s">
        <v>498</v>
      </c>
      <c r="R1457" s="110" t="s">
        <v>499</v>
      </c>
    </row>
    <row r="1458" spans="1:18" ht="21.95" customHeight="1" x14ac:dyDescent="0.25">
      <c r="A1458" s="170">
        <f>IF('Calendario I'!A98="","",'Calendario I'!A98)</f>
        <v>387</v>
      </c>
      <c r="B1458" s="44" t="str">
        <f>IF('Calendario I'!B98="","",'Calendario I'!B98)</f>
        <v/>
      </c>
      <c r="C1458" s="45" t="str">
        <f>IF('Calendario I'!C98="","",'Calendario I'!C98)</f>
        <v/>
      </c>
      <c r="D1458" s="44" t="str">
        <f>IF('Calendario I'!D98="","",'Calendario I'!D98)</f>
        <v/>
      </c>
      <c r="E1458" s="45" t="str">
        <f>IF('Calendario I'!E98="","",'Calendario I'!E98)</f>
        <v/>
      </c>
      <c r="F1458" s="138" t="str">
        <f>IF('Calendario I'!F98="","",'Calendario I'!F98)</f>
        <v/>
      </c>
      <c r="G1458" s="124"/>
      <c r="H1458" s="124"/>
      <c r="I1458" s="125"/>
      <c r="J1458" s="202" t="str">
        <f>IF('Calendario I'!J98="","",'Calendario I'!J98)</f>
        <v/>
      </c>
      <c r="K1458" s="201" t="s">
        <v>198</v>
      </c>
      <c r="L1458" s="202" t="str">
        <f>IF('Calendario I'!L98="","",'Calendario I'!L98)</f>
        <v/>
      </c>
      <c r="M1458" s="200"/>
      <c r="N1458" s="200"/>
      <c r="O1458" s="200"/>
      <c r="P1458" s="200"/>
      <c r="Q1458" s="200"/>
      <c r="R1458" s="200"/>
    </row>
    <row r="1459" spans="1:18" ht="15" customHeight="1" x14ac:dyDescent="0.25">
      <c r="A1459" s="133"/>
      <c r="B1459" s="136" t="str">
        <f>IF('Calendario I'!B99="","",'Calendario I'!B99)</f>
        <v/>
      </c>
      <c r="C1459" s="124"/>
      <c r="D1459" s="124"/>
      <c r="E1459" s="124"/>
      <c r="F1459" s="124"/>
      <c r="G1459" s="124"/>
      <c r="H1459" s="125"/>
      <c r="I1459" s="45" t="str">
        <f>IF('Calendario I'!I99="","",'Calendario I'!I99)</f>
        <v/>
      </c>
      <c r="J1459" s="133"/>
      <c r="K1459" s="133"/>
      <c r="L1459" s="133"/>
      <c r="M1459" s="133"/>
      <c r="N1459" s="133"/>
      <c r="O1459" s="133"/>
      <c r="P1459" s="133"/>
      <c r="Q1459" s="133"/>
      <c r="R1459" s="133"/>
    </row>
    <row r="1460" spans="1:18" ht="14.1" customHeight="1" x14ac:dyDescent="0.25">
      <c r="A1460" s="64" t="s">
        <v>193</v>
      </c>
      <c r="B1460" s="169" t="s">
        <v>175</v>
      </c>
      <c r="C1460" s="125"/>
      <c r="D1460" s="169" t="s">
        <v>182</v>
      </c>
      <c r="E1460" s="125"/>
      <c r="F1460" s="64" t="s">
        <v>194</v>
      </c>
      <c r="G1460" s="64" t="s">
        <v>195</v>
      </c>
      <c r="H1460" s="169" t="s">
        <v>196</v>
      </c>
      <c r="I1460" s="125"/>
      <c r="J1460" s="169" t="s">
        <v>197</v>
      </c>
      <c r="K1460" s="124"/>
      <c r="L1460" s="125"/>
      <c r="M1460" s="110" t="s">
        <v>494</v>
      </c>
      <c r="N1460" s="110" t="s">
        <v>495</v>
      </c>
      <c r="O1460" s="110" t="s">
        <v>496</v>
      </c>
      <c r="P1460" s="110" t="s">
        <v>497</v>
      </c>
      <c r="Q1460" s="110" t="s">
        <v>498</v>
      </c>
      <c r="R1460" s="110" t="s">
        <v>499</v>
      </c>
    </row>
    <row r="1461" spans="1:18" ht="21.95" customHeight="1" x14ac:dyDescent="0.25">
      <c r="A1461" s="170">
        <f>IF('Calendario I'!A101="","",'Calendario I'!A101)</f>
        <v>388</v>
      </c>
      <c r="B1461" s="44" t="str">
        <f>IF('Calendario I'!B101="","",'Calendario I'!B101)</f>
        <v/>
      </c>
      <c r="C1461" s="45" t="str">
        <f>IF('Calendario I'!C101="","",'Calendario I'!C101)</f>
        <v/>
      </c>
      <c r="D1461" s="44" t="str">
        <f>IF('Calendario I'!D101="","",'Calendario I'!D101)</f>
        <v/>
      </c>
      <c r="E1461" s="45" t="str">
        <f>IF('Calendario I'!E101="","",'Calendario I'!E101)</f>
        <v/>
      </c>
      <c r="F1461" s="138" t="str">
        <f>IF('Calendario I'!F101="","",'Calendario I'!F101)</f>
        <v/>
      </c>
      <c r="G1461" s="124"/>
      <c r="H1461" s="124"/>
      <c r="I1461" s="125"/>
      <c r="J1461" s="202" t="str">
        <f>IF('Calendario I'!J101="","",'Calendario I'!J101)</f>
        <v/>
      </c>
      <c r="K1461" s="201" t="s">
        <v>198</v>
      </c>
      <c r="L1461" s="202" t="str">
        <f>IF('Calendario I'!L101="","",'Calendario I'!L101)</f>
        <v/>
      </c>
      <c r="M1461" s="200"/>
      <c r="N1461" s="200"/>
      <c r="O1461" s="200"/>
      <c r="P1461" s="200"/>
      <c r="Q1461" s="200"/>
      <c r="R1461" s="200"/>
    </row>
    <row r="1462" spans="1:18" ht="15" customHeight="1" x14ac:dyDescent="0.25">
      <c r="A1462" s="133"/>
      <c r="B1462" s="136" t="str">
        <f>IF('Calendario I'!B102="","",'Calendario I'!B102)</f>
        <v/>
      </c>
      <c r="C1462" s="124"/>
      <c r="D1462" s="124"/>
      <c r="E1462" s="124"/>
      <c r="F1462" s="124"/>
      <c r="G1462" s="124"/>
      <c r="H1462" s="125"/>
      <c r="I1462" s="45" t="str">
        <f>IF('Calendario I'!I102="","",'Calendario I'!I102)</f>
        <v/>
      </c>
      <c r="J1462" s="133"/>
      <c r="K1462" s="133"/>
      <c r="L1462" s="133"/>
      <c r="M1462" s="133"/>
      <c r="N1462" s="133"/>
      <c r="O1462" s="133"/>
      <c r="P1462" s="133"/>
      <c r="Q1462" s="133"/>
      <c r="R1462" s="133"/>
    </row>
    <row r="1463" spans="1:18" ht="14.1" customHeight="1" x14ac:dyDescent="0.25">
      <c r="A1463" s="64" t="s">
        <v>193</v>
      </c>
      <c r="B1463" s="169" t="s">
        <v>175</v>
      </c>
      <c r="C1463" s="125"/>
      <c r="D1463" s="169" t="s">
        <v>182</v>
      </c>
      <c r="E1463" s="125"/>
      <c r="F1463" s="64" t="s">
        <v>194</v>
      </c>
      <c r="G1463" s="64" t="s">
        <v>195</v>
      </c>
      <c r="H1463" s="169" t="s">
        <v>196</v>
      </c>
      <c r="I1463" s="125"/>
      <c r="J1463" s="169" t="s">
        <v>197</v>
      </c>
      <c r="K1463" s="124"/>
      <c r="L1463" s="125"/>
      <c r="M1463" s="110" t="s">
        <v>494</v>
      </c>
      <c r="N1463" s="110" t="s">
        <v>495</v>
      </c>
      <c r="O1463" s="110" t="s">
        <v>496</v>
      </c>
      <c r="P1463" s="110" t="s">
        <v>497</v>
      </c>
      <c r="Q1463" s="110" t="s">
        <v>498</v>
      </c>
      <c r="R1463" s="110" t="s">
        <v>499</v>
      </c>
    </row>
    <row r="1464" spans="1:18" ht="21.95" customHeight="1" x14ac:dyDescent="0.25">
      <c r="A1464" s="170">
        <f>IF('Calendario I'!A104="","",'Calendario I'!A104)</f>
        <v>389</v>
      </c>
      <c r="B1464" s="44" t="str">
        <f>IF('Calendario I'!B104="","",'Calendario I'!B104)</f>
        <v/>
      </c>
      <c r="C1464" s="45" t="str">
        <f>IF('Calendario I'!C104="","",'Calendario I'!C104)</f>
        <v/>
      </c>
      <c r="D1464" s="44" t="str">
        <f>IF('Calendario I'!D104="","",'Calendario I'!D104)</f>
        <v/>
      </c>
      <c r="E1464" s="45" t="str">
        <f>IF('Calendario I'!E104="","",'Calendario I'!E104)</f>
        <v/>
      </c>
      <c r="F1464" s="138" t="str">
        <f>IF('Calendario I'!F104="","",'Calendario I'!F104)</f>
        <v/>
      </c>
      <c r="G1464" s="124"/>
      <c r="H1464" s="124"/>
      <c r="I1464" s="125"/>
      <c r="J1464" s="202" t="str">
        <f>IF('Calendario I'!J104="","",'Calendario I'!J104)</f>
        <v/>
      </c>
      <c r="K1464" s="201" t="s">
        <v>198</v>
      </c>
      <c r="L1464" s="202" t="str">
        <f>IF('Calendario I'!L104="","",'Calendario I'!L104)</f>
        <v/>
      </c>
      <c r="M1464" s="200"/>
      <c r="N1464" s="200"/>
      <c r="O1464" s="200"/>
      <c r="P1464" s="200"/>
      <c r="Q1464" s="200"/>
      <c r="R1464" s="200"/>
    </row>
    <row r="1465" spans="1:18" ht="15" customHeight="1" x14ac:dyDescent="0.25">
      <c r="A1465" s="133"/>
      <c r="B1465" s="136" t="str">
        <f>IF('Calendario I'!B105="","",'Calendario I'!B105)</f>
        <v/>
      </c>
      <c r="C1465" s="124"/>
      <c r="D1465" s="124"/>
      <c r="E1465" s="124"/>
      <c r="F1465" s="124"/>
      <c r="G1465" s="124"/>
      <c r="H1465" s="125"/>
      <c r="I1465" s="45" t="str">
        <f>IF('Calendario I'!I105="","",'Calendario I'!I105)</f>
        <v/>
      </c>
      <c r="J1465" s="133"/>
      <c r="K1465" s="133"/>
      <c r="L1465" s="133"/>
      <c r="M1465" s="133"/>
      <c r="N1465" s="133"/>
      <c r="O1465" s="133"/>
      <c r="P1465" s="133"/>
      <c r="Q1465" s="133"/>
      <c r="R1465" s="133"/>
    </row>
    <row r="1466" spans="1:18" ht="14.1" customHeight="1" x14ac:dyDescent="0.25">
      <c r="A1466" s="64" t="s">
        <v>193</v>
      </c>
      <c r="B1466" s="169" t="s">
        <v>175</v>
      </c>
      <c r="C1466" s="125"/>
      <c r="D1466" s="169" t="s">
        <v>182</v>
      </c>
      <c r="E1466" s="125"/>
      <c r="F1466" s="64" t="s">
        <v>194</v>
      </c>
      <c r="G1466" s="64" t="s">
        <v>195</v>
      </c>
      <c r="H1466" s="169" t="s">
        <v>196</v>
      </c>
      <c r="I1466" s="125"/>
      <c r="J1466" s="169" t="s">
        <v>197</v>
      </c>
      <c r="K1466" s="124"/>
      <c r="L1466" s="125"/>
      <c r="M1466" s="110" t="s">
        <v>494</v>
      </c>
      <c r="N1466" s="110" t="s">
        <v>495</v>
      </c>
      <c r="O1466" s="110" t="s">
        <v>496</v>
      </c>
      <c r="P1466" s="110" t="s">
        <v>497</v>
      </c>
      <c r="Q1466" s="110" t="s">
        <v>498</v>
      </c>
      <c r="R1466" s="110" t="s">
        <v>499</v>
      </c>
    </row>
    <row r="1467" spans="1:18" ht="21.95" customHeight="1" x14ac:dyDescent="0.25">
      <c r="A1467" s="170">
        <f>IF('Calendario I'!A107="","",'Calendario I'!A107)</f>
        <v>390</v>
      </c>
      <c r="B1467" s="44" t="str">
        <f>IF('Calendario I'!B107="","",'Calendario I'!B107)</f>
        <v/>
      </c>
      <c r="C1467" s="45" t="str">
        <f>IF('Calendario I'!C107="","",'Calendario I'!C107)</f>
        <v/>
      </c>
      <c r="D1467" s="44" t="str">
        <f>IF('Calendario I'!D107="","",'Calendario I'!D107)</f>
        <v/>
      </c>
      <c r="E1467" s="45" t="str">
        <f>IF('Calendario I'!E107="","",'Calendario I'!E107)</f>
        <v/>
      </c>
      <c r="F1467" s="138" t="str">
        <f>IF('Calendario I'!F107="","",'Calendario I'!F107)</f>
        <v/>
      </c>
      <c r="G1467" s="124"/>
      <c r="H1467" s="124"/>
      <c r="I1467" s="125"/>
      <c r="J1467" s="202" t="str">
        <f>IF('Calendario I'!J107="","",'Calendario I'!J107)</f>
        <v/>
      </c>
      <c r="K1467" s="201" t="s">
        <v>198</v>
      </c>
      <c r="L1467" s="202" t="str">
        <f>IF('Calendario I'!L107="","",'Calendario I'!L107)</f>
        <v/>
      </c>
      <c r="M1467" s="200"/>
      <c r="N1467" s="200"/>
      <c r="O1467" s="200"/>
      <c r="P1467" s="200"/>
      <c r="Q1467" s="200"/>
      <c r="R1467" s="200"/>
    </row>
    <row r="1468" spans="1:18" ht="15" customHeight="1" x14ac:dyDescent="0.25">
      <c r="A1468" s="133"/>
      <c r="B1468" s="136" t="str">
        <f>IF('Calendario I'!B108="","",'Calendario I'!B108)</f>
        <v/>
      </c>
      <c r="C1468" s="124"/>
      <c r="D1468" s="124"/>
      <c r="E1468" s="124"/>
      <c r="F1468" s="124"/>
      <c r="G1468" s="124"/>
      <c r="H1468" s="125"/>
      <c r="I1468" s="45" t="str">
        <f>IF('Calendario I'!I108="","",'Calendario I'!I108)</f>
        <v/>
      </c>
      <c r="J1468" s="133"/>
      <c r="K1468" s="133"/>
      <c r="L1468" s="133"/>
      <c r="M1468" s="133"/>
      <c r="N1468" s="133"/>
      <c r="O1468" s="133"/>
      <c r="P1468" s="133"/>
      <c r="Q1468" s="133"/>
      <c r="R1468" s="133"/>
    </row>
    <row r="1470" spans="1:18" ht="20.100000000000001" customHeight="1" x14ac:dyDescent="0.25">
      <c r="A1470" s="63" t="str">
        <f>IF('Calendario I'!A110="","",'Calendario I'!A110)</f>
        <v>7I</v>
      </c>
      <c r="B1470" s="171" t="str">
        <f>IF('Calendario I'!B110="","",'Calendario I'!B110)</f>
        <v>GIORNATA VII - GIRONE I</v>
      </c>
      <c r="C1470" s="124"/>
      <c r="D1470" s="124"/>
      <c r="E1470" s="124"/>
      <c r="F1470" s="124"/>
      <c r="G1470" s="124"/>
      <c r="H1470" s="124"/>
      <c r="I1470" s="124"/>
      <c r="J1470" s="124"/>
      <c r="K1470" s="124"/>
      <c r="L1470" s="125"/>
      <c r="M1470" s="204" t="s">
        <v>492</v>
      </c>
      <c r="N1470" s="124"/>
      <c r="O1470" s="125"/>
      <c r="P1470" s="204" t="s">
        <v>493</v>
      </c>
      <c r="Q1470" s="124"/>
      <c r="R1470" s="125"/>
    </row>
    <row r="1471" spans="1:18" ht="14.1" customHeight="1" x14ac:dyDescent="0.25">
      <c r="A1471" s="64" t="s">
        <v>193</v>
      </c>
      <c r="B1471" s="169" t="s">
        <v>175</v>
      </c>
      <c r="C1471" s="125"/>
      <c r="D1471" s="169" t="s">
        <v>182</v>
      </c>
      <c r="E1471" s="125"/>
      <c r="F1471" s="64" t="s">
        <v>194</v>
      </c>
      <c r="G1471" s="64" t="s">
        <v>195</v>
      </c>
      <c r="H1471" s="169" t="s">
        <v>196</v>
      </c>
      <c r="I1471" s="125"/>
      <c r="J1471" s="169" t="s">
        <v>197</v>
      </c>
      <c r="K1471" s="124"/>
      <c r="L1471" s="125"/>
      <c r="M1471" s="110" t="s">
        <v>494</v>
      </c>
      <c r="N1471" s="110" t="s">
        <v>495</v>
      </c>
      <c r="O1471" s="110" t="s">
        <v>496</v>
      </c>
      <c r="P1471" s="110" t="s">
        <v>497</v>
      </c>
      <c r="Q1471" s="110" t="s">
        <v>498</v>
      </c>
      <c r="R1471" s="110" t="s">
        <v>499</v>
      </c>
    </row>
    <row r="1472" spans="1:18" ht="21.95" customHeight="1" x14ac:dyDescent="0.25">
      <c r="A1472" s="170">
        <f>IF('Calendario I'!A112="","",'Calendario I'!A112)</f>
        <v>391</v>
      </c>
      <c r="B1472" s="44" t="str">
        <f>IF('Calendario I'!B112="","",'Calendario I'!B112)</f>
        <v/>
      </c>
      <c r="C1472" s="45" t="str">
        <f>IF('Calendario I'!C112="","",'Calendario I'!C112)</f>
        <v/>
      </c>
      <c r="D1472" s="44" t="str">
        <f>IF('Calendario I'!D112="","",'Calendario I'!D112)</f>
        <v/>
      </c>
      <c r="E1472" s="45" t="str">
        <f>IF('Calendario I'!E112="","",'Calendario I'!E112)</f>
        <v/>
      </c>
      <c r="F1472" s="138" t="str">
        <f>IF('Calendario I'!F112="","",'Calendario I'!F112)</f>
        <v/>
      </c>
      <c r="G1472" s="124"/>
      <c r="H1472" s="124"/>
      <c r="I1472" s="125"/>
      <c r="J1472" s="202" t="str">
        <f>IF('Calendario I'!J112="","",'Calendario I'!J112)</f>
        <v/>
      </c>
      <c r="K1472" s="201" t="s">
        <v>198</v>
      </c>
      <c r="L1472" s="202" t="str">
        <f>IF('Calendario I'!L112="","",'Calendario I'!L112)</f>
        <v/>
      </c>
      <c r="M1472" s="200"/>
      <c r="N1472" s="200"/>
      <c r="O1472" s="200"/>
      <c r="P1472" s="200"/>
      <c r="Q1472" s="200"/>
      <c r="R1472" s="200"/>
    </row>
    <row r="1473" spans="1:18" ht="15" customHeight="1" x14ac:dyDescent="0.25">
      <c r="A1473" s="133"/>
      <c r="B1473" s="136" t="str">
        <f>IF('Calendario I'!B113="","",'Calendario I'!B113)</f>
        <v/>
      </c>
      <c r="C1473" s="124"/>
      <c r="D1473" s="124"/>
      <c r="E1473" s="124"/>
      <c r="F1473" s="124"/>
      <c r="G1473" s="124"/>
      <c r="H1473" s="125"/>
      <c r="I1473" s="45" t="str">
        <f>IF('Calendario I'!I113="","",'Calendario I'!I113)</f>
        <v/>
      </c>
      <c r="J1473" s="133"/>
      <c r="K1473" s="133"/>
      <c r="L1473" s="133"/>
      <c r="M1473" s="133"/>
      <c r="N1473" s="133"/>
      <c r="O1473" s="133"/>
      <c r="P1473" s="133"/>
      <c r="Q1473" s="133"/>
      <c r="R1473" s="133"/>
    </row>
    <row r="1474" spans="1:18" ht="14.1" customHeight="1" x14ac:dyDescent="0.25">
      <c r="A1474" s="64" t="s">
        <v>193</v>
      </c>
      <c r="B1474" s="169" t="s">
        <v>175</v>
      </c>
      <c r="C1474" s="125"/>
      <c r="D1474" s="169" t="s">
        <v>182</v>
      </c>
      <c r="E1474" s="125"/>
      <c r="F1474" s="64" t="s">
        <v>194</v>
      </c>
      <c r="G1474" s="64" t="s">
        <v>195</v>
      </c>
      <c r="H1474" s="169" t="s">
        <v>196</v>
      </c>
      <c r="I1474" s="125"/>
      <c r="J1474" s="169" t="s">
        <v>197</v>
      </c>
      <c r="K1474" s="124"/>
      <c r="L1474" s="125"/>
      <c r="M1474" s="110" t="s">
        <v>494</v>
      </c>
      <c r="N1474" s="110" t="s">
        <v>495</v>
      </c>
      <c r="O1474" s="110" t="s">
        <v>496</v>
      </c>
      <c r="P1474" s="110" t="s">
        <v>497</v>
      </c>
      <c r="Q1474" s="110" t="s">
        <v>498</v>
      </c>
      <c r="R1474" s="110" t="s">
        <v>499</v>
      </c>
    </row>
    <row r="1475" spans="1:18" ht="21.95" customHeight="1" x14ac:dyDescent="0.25">
      <c r="A1475" s="170">
        <f>IF('Calendario I'!A115="","",'Calendario I'!A115)</f>
        <v>392</v>
      </c>
      <c r="B1475" s="44" t="str">
        <f>IF('Calendario I'!B115="","",'Calendario I'!B115)</f>
        <v/>
      </c>
      <c r="C1475" s="45" t="str">
        <f>IF('Calendario I'!C115="","",'Calendario I'!C115)</f>
        <v/>
      </c>
      <c r="D1475" s="44" t="str">
        <f>IF('Calendario I'!D115="","",'Calendario I'!D115)</f>
        <v/>
      </c>
      <c r="E1475" s="45" t="str">
        <f>IF('Calendario I'!E115="","",'Calendario I'!E115)</f>
        <v/>
      </c>
      <c r="F1475" s="138" t="str">
        <f>IF('Calendario I'!F115="","",'Calendario I'!F115)</f>
        <v/>
      </c>
      <c r="G1475" s="124"/>
      <c r="H1475" s="124"/>
      <c r="I1475" s="125"/>
      <c r="J1475" s="202" t="str">
        <f>IF('Calendario I'!J115="","",'Calendario I'!J115)</f>
        <v/>
      </c>
      <c r="K1475" s="201" t="s">
        <v>198</v>
      </c>
      <c r="L1475" s="202" t="str">
        <f>IF('Calendario I'!L115="","",'Calendario I'!L115)</f>
        <v/>
      </c>
      <c r="M1475" s="200"/>
      <c r="N1475" s="200"/>
      <c r="O1475" s="200"/>
      <c r="P1475" s="200"/>
      <c r="Q1475" s="200"/>
      <c r="R1475" s="200"/>
    </row>
    <row r="1476" spans="1:18" ht="15" customHeight="1" x14ac:dyDescent="0.25">
      <c r="A1476" s="133"/>
      <c r="B1476" s="136" t="str">
        <f>IF('Calendario I'!B116="","",'Calendario I'!B116)</f>
        <v/>
      </c>
      <c r="C1476" s="124"/>
      <c r="D1476" s="124"/>
      <c r="E1476" s="124"/>
      <c r="F1476" s="124"/>
      <c r="G1476" s="124"/>
      <c r="H1476" s="125"/>
      <c r="I1476" s="45" t="str">
        <f>IF('Calendario I'!I116="","",'Calendario I'!I116)</f>
        <v/>
      </c>
      <c r="J1476" s="133"/>
      <c r="K1476" s="133"/>
      <c r="L1476" s="133"/>
      <c r="M1476" s="133"/>
      <c r="N1476" s="133"/>
      <c r="O1476" s="133"/>
      <c r="P1476" s="133"/>
      <c r="Q1476" s="133"/>
      <c r="R1476" s="133"/>
    </row>
    <row r="1477" spans="1:18" ht="14.1" customHeight="1" x14ac:dyDescent="0.25">
      <c r="A1477" s="64" t="s">
        <v>193</v>
      </c>
      <c r="B1477" s="169" t="s">
        <v>175</v>
      </c>
      <c r="C1477" s="125"/>
      <c r="D1477" s="169" t="s">
        <v>182</v>
      </c>
      <c r="E1477" s="125"/>
      <c r="F1477" s="64" t="s">
        <v>194</v>
      </c>
      <c r="G1477" s="64" t="s">
        <v>195</v>
      </c>
      <c r="H1477" s="169" t="s">
        <v>196</v>
      </c>
      <c r="I1477" s="125"/>
      <c r="J1477" s="169" t="s">
        <v>197</v>
      </c>
      <c r="K1477" s="124"/>
      <c r="L1477" s="125"/>
      <c r="M1477" s="110" t="s">
        <v>494</v>
      </c>
      <c r="N1477" s="110" t="s">
        <v>495</v>
      </c>
      <c r="O1477" s="110" t="s">
        <v>496</v>
      </c>
      <c r="P1477" s="110" t="s">
        <v>497</v>
      </c>
      <c r="Q1477" s="110" t="s">
        <v>498</v>
      </c>
      <c r="R1477" s="110" t="s">
        <v>499</v>
      </c>
    </row>
    <row r="1478" spans="1:18" ht="21.95" customHeight="1" x14ac:dyDescent="0.25">
      <c r="A1478" s="170">
        <f>IF('Calendario I'!A118="","",'Calendario I'!A118)</f>
        <v>393</v>
      </c>
      <c r="B1478" s="44" t="str">
        <f>IF('Calendario I'!B118="","",'Calendario I'!B118)</f>
        <v/>
      </c>
      <c r="C1478" s="45" t="str">
        <f>IF('Calendario I'!C118="","",'Calendario I'!C118)</f>
        <v/>
      </c>
      <c r="D1478" s="44" t="str">
        <f>IF('Calendario I'!D118="","",'Calendario I'!D118)</f>
        <v/>
      </c>
      <c r="E1478" s="45" t="str">
        <f>IF('Calendario I'!E118="","",'Calendario I'!E118)</f>
        <v/>
      </c>
      <c r="F1478" s="138" t="str">
        <f>IF('Calendario I'!F118="","",'Calendario I'!F118)</f>
        <v/>
      </c>
      <c r="G1478" s="124"/>
      <c r="H1478" s="124"/>
      <c r="I1478" s="125"/>
      <c r="J1478" s="202" t="str">
        <f>IF('Calendario I'!J118="","",'Calendario I'!J118)</f>
        <v/>
      </c>
      <c r="K1478" s="201" t="s">
        <v>198</v>
      </c>
      <c r="L1478" s="202" t="str">
        <f>IF('Calendario I'!L118="","",'Calendario I'!L118)</f>
        <v/>
      </c>
      <c r="M1478" s="200"/>
      <c r="N1478" s="200"/>
      <c r="O1478" s="200"/>
      <c r="P1478" s="200"/>
      <c r="Q1478" s="200"/>
      <c r="R1478" s="200"/>
    </row>
    <row r="1479" spans="1:18" ht="15" customHeight="1" x14ac:dyDescent="0.25">
      <c r="A1479" s="133"/>
      <c r="B1479" s="136" t="str">
        <f>IF('Calendario I'!B119="","",'Calendario I'!B119)</f>
        <v/>
      </c>
      <c r="C1479" s="124"/>
      <c r="D1479" s="124"/>
      <c r="E1479" s="124"/>
      <c r="F1479" s="124"/>
      <c r="G1479" s="124"/>
      <c r="H1479" s="125"/>
      <c r="I1479" s="45" t="str">
        <f>IF('Calendario I'!I119="","",'Calendario I'!I119)</f>
        <v/>
      </c>
      <c r="J1479" s="133"/>
      <c r="K1479" s="133"/>
      <c r="L1479" s="133"/>
      <c r="M1479" s="133"/>
      <c r="N1479" s="133"/>
      <c r="O1479" s="133"/>
      <c r="P1479" s="133"/>
      <c r="Q1479" s="133"/>
      <c r="R1479" s="133"/>
    </row>
    <row r="1480" spans="1:18" ht="14.1" customHeight="1" x14ac:dyDescent="0.25">
      <c r="A1480" s="64" t="s">
        <v>193</v>
      </c>
      <c r="B1480" s="169" t="s">
        <v>175</v>
      </c>
      <c r="C1480" s="125"/>
      <c r="D1480" s="169" t="s">
        <v>182</v>
      </c>
      <c r="E1480" s="125"/>
      <c r="F1480" s="64" t="s">
        <v>194</v>
      </c>
      <c r="G1480" s="64" t="s">
        <v>195</v>
      </c>
      <c r="H1480" s="169" t="s">
        <v>196</v>
      </c>
      <c r="I1480" s="125"/>
      <c r="J1480" s="169" t="s">
        <v>197</v>
      </c>
      <c r="K1480" s="124"/>
      <c r="L1480" s="125"/>
      <c r="M1480" s="110" t="s">
        <v>494</v>
      </c>
      <c r="N1480" s="110" t="s">
        <v>495</v>
      </c>
      <c r="O1480" s="110" t="s">
        <v>496</v>
      </c>
      <c r="P1480" s="110" t="s">
        <v>497</v>
      </c>
      <c r="Q1480" s="110" t="s">
        <v>498</v>
      </c>
      <c r="R1480" s="110" t="s">
        <v>499</v>
      </c>
    </row>
    <row r="1481" spans="1:18" ht="21.95" customHeight="1" x14ac:dyDescent="0.25">
      <c r="A1481" s="170">
        <f>IF('Calendario I'!A121="","",'Calendario I'!A121)</f>
        <v>394</v>
      </c>
      <c r="B1481" s="44" t="str">
        <f>IF('Calendario I'!B121="","",'Calendario I'!B121)</f>
        <v/>
      </c>
      <c r="C1481" s="45" t="str">
        <f>IF('Calendario I'!C121="","",'Calendario I'!C121)</f>
        <v/>
      </c>
      <c r="D1481" s="44" t="str">
        <f>IF('Calendario I'!D121="","",'Calendario I'!D121)</f>
        <v/>
      </c>
      <c r="E1481" s="45" t="str">
        <f>IF('Calendario I'!E121="","",'Calendario I'!E121)</f>
        <v/>
      </c>
      <c r="F1481" s="138" t="str">
        <f>IF('Calendario I'!F121="","",'Calendario I'!F121)</f>
        <v/>
      </c>
      <c r="G1481" s="124"/>
      <c r="H1481" s="124"/>
      <c r="I1481" s="125"/>
      <c r="J1481" s="202" t="str">
        <f>IF('Calendario I'!J121="","",'Calendario I'!J121)</f>
        <v/>
      </c>
      <c r="K1481" s="201" t="s">
        <v>198</v>
      </c>
      <c r="L1481" s="202" t="str">
        <f>IF('Calendario I'!L121="","",'Calendario I'!L121)</f>
        <v/>
      </c>
      <c r="M1481" s="200"/>
      <c r="N1481" s="200"/>
      <c r="O1481" s="200"/>
      <c r="P1481" s="200"/>
      <c r="Q1481" s="200"/>
      <c r="R1481" s="200"/>
    </row>
    <row r="1482" spans="1:18" ht="15" customHeight="1" x14ac:dyDescent="0.25">
      <c r="A1482" s="133"/>
      <c r="B1482" s="136" t="str">
        <f>IF('Calendario I'!B122="","",'Calendario I'!B122)</f>
        <v/>
      </c>
      <c r="C1482" s="124"/>
      <c r="D1482" s="124"/>
      <c r="E1482" s="124"/>
      <c r="F1482" s="124"/>
      <c r="G1482" s="124"/>
      <c r="H1482" s="125"/>
      <c r="I1482" s="45" t="str">
        <f>IF('Calendario I'!I122="","",'Calendario I'!I122)</f>
        <v/>
      </c>
      <c r="J1482" s="133"/>
      <c r="K1482" s="133"/>
      <c r="L1482" s="133"/>
      <c r="M1482" s="133"/>
      <c r="N1482" s="133"/>
      <c r="O1482" s="133"/>
      <c r="P1482" s="133"/>
      <c r="Q1482" s="133"/>
      <c r="R1482" s="133"/>
    </row>
    <row r="1483" spans="1:18" ht="14.1" customHeight="1" x14ac:dyDescent="0.25">
      <c r="A1483" s="64" t="s">
        <v>193</v>
      </c>
      <c r="B1483" s="169" t="s">
        <v>175</v>
      </c>
      <c r="C1483" s="125"/>
      <c r="D1483" s="169" t="s">
        <v>182</v>
      </c>
      <c r="E1483" s="125"/>
      <c r="F1483" s="64" t="s">
        <v>194</v>
      </c>
      <c r="G1483" s="64" t="s">
        <v>195</v>
      </c>
      <c r="H1483" s="169" t="s">
        <v>196</v>
      </c>
      <c r="I1483" s="125"/>
      <c r="J1483" s="169" t="s">
        <v>197</v>
      </c>
      <c r="K1483" s="124"/>
      <c r="L1483" s="125"/>
      <c r="M1483" s="110" t="s">
        <v>494</v>
      </c>
      <c r="N1483" s="110" t="s">
        <v>495</v>
      </c>
      <c r="O1483" s="110" t="s">
        <v>496</v>
      </c>
      <c r="P1483" s="110" t="s">
        <v>497</v>
      </c>
      <c r="Q1483" s="110" t="s">
        <v>498</v>
      </c>
      <c r="R1483" s="110" t="s">
        <v>499</v>
      </c>
    </row>
    <row r="1484" spans="1:18" ht="21.95" customHeight="1" x14ac:dyDescent="0.25">
      <c r="A1484" s="170">
        <f>IF('Calendario I'!A124="","",'Calendario I'!A124)</f>
        <v>395</v>
      </c>
      <c r="B1484" s="44" t="str">
        <f>IF('Calendario I'!B124="","",'Calendario I'!B124)</f>
        <v/>
      </c>
      <c r="C1484" s="45" t="str">
        <f>IF('Calendario I'!C124="","",'Calendario I'!C124)</f>
        <v/>
      </c>
      <c r="D1484" s="44" t="str">
        <f>IF('Calendario I'!D124="","",'Calendario I'!D124)</f>
        <v/>
      </c>
      <c r="E1484" s="45" t="str">
        <f>IF('Calendario I'!E124="","",'Calendario I'!E124)</f>
        <v/>
      </c>
      <c r="F1484" s="138" t="str">
        <f>IF('Calendario I'!F124="","",'Calendario I'!F124)</f>
        <v/>
      </c>
      <c r="G1484" s="124"/>
      <c r="H1484" s="124"/>
      <c r="I1484" s="125"/>
      <c r="J1484" s="202" t="str">
        <f>IF('Calendario I'!J124="","",'Calendario I'!J124)</f>
        <v/>
      </c>
      <c r="K1484" s="201" t="s">
        <v>198</v>
      </c>
      <c r="L1484" s="202" t="str">
        <f>IF('Calendario I'!L124="","",'Calendario I'!L124)</f>
        <v/>
      </c>
      <c r="M1484" s="200"/>
      <c r="N1484" s="200"/>
      <c r="O1484" s="200"/>
      <c r="P1484" s="200"/>
      <c r="Q1484" s="200"/>
      <c r="R1484" s="200"/>
    </row>
    <row r="1485" spans="1:18" ht="15" customHeight="1" x14ac:dyDescent="0.25">
      <c r="A1485" s="133"/>
      <c r="B1485" s="136" t="str">
        <f>IF('Calendario I'!B125="","",'Calendario I'!B125)</f>
        <v/>
      </c>
      <c r="C1485" s="124"/>
      <c r="D1485" s="124"/>
      <c r="E1485" s="124"/>
      <c r="F1485" s="124"/>
      <c r="G1485" s="124"/>
      <c r="H1485" s="125"/>
      <c r="I1485" s="45" t="str">
        <f>IF('Calendario I'!I125="","",'Calendario I'!I125)</f>
        <v/>
      </c>
      <c r="J1485" s="133"/>
      <c r="K1485" s="133"/>
      <c r="L1485" s="133"/>
      <c r="M1485" s="133"/>
      <c r="N1485" s="133"/>
      <c r="O1485" s="133"/>
      <c r="P1485" s="133"/>
      <c r="Q1485" s="133"/>
      <c r="R1485" s="133"/>
    </row>
    <row r="1487" spans="1:18" ht="20.100000000000001" customHeight="1" x14ac:dyDescent="0.25">
      <c r="A1487" s="63" t="str">
        <f>IF('Calendario I'!A127="","",'Calendario I'!A127)</f>
        <v>8I</v>
      </c>
      <c r="B1487" s="171" t="str">
        <f>IF('Calendario I'!B127="","",'Calendario I'!B127)</f>
        <v>GIORNATA VIII - GIRONE I</v>
      </c>
      <c r="C1487" s="124"/>
      <c r="D1487" s="124"/>
      <c r="E1487" s="124"/>
      <c r="F1487" s="124"/>
      <c r="G1487" s="124"/>
      <c r="H1487" s="124"/>
      <c r="I1487" s="124"/>
      <c r="J1487" s="124"/>
      <c r="K1487" s="124"/>
      <c r="L1487" s="125"/>
      <c r="M1487" s="204" t="s">
        <v>492</v>
      </c>
      <c r="N1487" s="124"/>
      <c r="O1487" s="125"/>
      <c r="P1487" s="204" t="s">
        <v>493</v>
      </c>
      <c r="Q1487" s="124"/>
      <c r="R1487" s="125"/>
    </row>
    <row r="1488" spans="1:18" ht="14.1" customHeight="1" x14ac:dyDescent="0.25">
      <c r="A1488" s="64" t="s">
        <v>193</v>
      </c>
      <c r="B1488" s="169" t="s">
        <v>175</v>
      </c>
      <c r="C1488" s="125"/>
      <c r="D1488" s="169" t="s">
        <v>182</v>
      </c>
      <c r="E1488" s="125"/>
      <c r="F1488" s="64" t="s">
        <v>194</v>
      </c>
      <c r="G1488" s="64" t="s">
        <v>195</v>
      </c>
      <c r="H1488" s="169" t="s">
        <v>196</v>
      </c>
      <c r="I1488" s="125"/>
      <c r="J1488" s="169" t="s">
        <v>197</v>
      </c>
      <c r="K1488" s="124"/>
      <c r="L1488" s="125"/>
      <c r="M1488" s="110" t="s">
        <v>494</v>
      </c>
      <c r="N1488" s="110" t="s">
        <v>495</v>
      </c>
      <c r="O1488" s="110" t="s">
        <v>496</v>
      </c>
      <c r="P1488" s="110" t="s">
        <v>497</v>
      </c>
      <c r="Q1488" s="110" t="s">
        <v>498</v>
      </c>
      <c r="R1488" s="110" t="s">
        <v>499</v>
      </c>
    </row>
    <row r="1489" spans="1:18" ht="21.95" customHeight="1" x14ac:dyDescent="0.25">
      <c r="A1489" s="170">
        <f>IF('Calendario I'!A129="","",'Calendario I'!A129)</f>
        <v>396</v>
      </c>
      <c r="B1489" s="44" t="str">
        <f>IF('Calendario I'!B129="","",'Calendario I'!B129)</f>
        <v/>
      </c>
      <c r="C1489" s="45" t="str">
        <f>IF('Calendario I'!C129="","",'Calendario I'!C129)</f>
        <v/>
      </c>
      <c r="D1489" s="44" t="str">
        <f>IF('Calendario I'!D129="","",'Calendario I'!D129)</f>
        <v/>
      </c>
      <c r="E1489" s="45" t="str">
        <f>IF('Calendario I'!E129="","",'Calendario I'!E129)</f>
        <v/>
      </c>
      <c r="F1489" s="138" t="str">
        <f>IF('Calendario I'!F129="","",'Calendario I'!F129)</f>
        <v/>
      </c>
      <c r="G1489" s="124"/>
      <c r="H1489" s="124"/>
      <c r="I1489" s="125"/>
      <c r="J1489" s="202" t="str">
        <f>IF('Calendario I'!J129="","",'Calendario I'!J129)</f>
        <v/>
      </c>
      <c r="K1489" s="201" t="s">
        <v>198</v>
      </c>
      <c r="L1489" s="202" t="str">
        <f>IF('Calendario I'!L129="","",'Calendario I'!L129)</f>
        <v/>
      </c>
      <c r="M1489" s="200"/>
      <c r="N1489" s="200"/>
      <c r="O1489" s="200"/>
      <c r="P1489" s="200"/>
      <c r="Q1489" s="200"/>
      <c r="R1489" s="200"/>
    </row>
    <row r="1490" spans="1:18" ht="15" customHeight="1" x14ac:dyDescent="0.25">
      <c r="A1490" s="133"/>
      <c r="B1490" s="136" t="str">
        <f>IF('Calendario I'!B130="","",'Calendario I'!B130)</f>
        <v/>
      </c>
      <c r="C1490" s="124"/>
      <c r="D1490" s="124"/>
      <c r="E1490" s="124"/>
      <c r="F1490" s="124"/>
      <c r="G1490" s="124"/>
      <c r="H1490" s="125"/>
      <c r="I1490" s="45" t="str">
        <f>IF('Calendario I'!I130="","",'Calendario I'!I130)</f>
        <v/>
      </c>
      <c r="J1490" s="133"/>
      <c r="K1490" s="133"/>
      <c r="L1490" s="133"/>
      <c r="M1490" s="133"/>
      <c r="N1490" s="133"/>
      <c r="O1490" s="133"/>
      <c r="P1490" s="133"/>
      <c r="Q1490" s="133"/>
      <c r="R1490" s="133"/>
    </row>
    <row r="1491" spans="1:18" ht="14.1" customHeight="1" x14ac:dyDescent="0.25">
      <c r="A1491" s="64" t="s">
        <v>193</v>
      </c>
      <c r="B1491" s="169" t="s">
        <v>175</v>
      </c>
      <c r="C1491" s="125"/>
      <c r="D1491" s="169" t="s">
        <v>182</v>
      </c>
      <c r="E1491" s="125"/>
      <c r="F1491" s="64" t="s">
        <v>194</v>
      </c>
      <c r="G1491" s="64" t="s">
        <v>195</v>
      </c>
      <c r="H1491" s="169" t="s">
        <v>196</v>
      </c>
      <c r="I1491" s="125"/>
      <c r="J1491" s="169" t="s">
        <v>197</v>
      </c>
      <c r="K1491" s="124"/>
      <c r="L1491" s="125"/>
      <c r="M1491" s="110" t="s">
        <v>494</v>
      </c>
      <c r="N1491" s="110" t="s">
        <v>495</v>
      </c>
      <c r="O1491" s="110" t="s">
        <v>496</v>
      </c>
      <c r="P1491" s="110" t="s">
        <v>497</v>
      </c>
      <c r="Q1491" s="110" t="s">
        <v>498</v>
      </c>
      <c r="R1491" s="110" t="s">
        <v>499</v>
      </c>
    </row>
    <row r="1492" spans="1:18" ht="21.95" customHeight="1" x14ac:dyDescent="0.25">
      <c r="A1492" s="170">
        <f>IF('Calendario I'!A132="","",'Calendario I'!A132)</f>
        <v>397</v>
      </c>
      <c r="B1492" s="44" t="str">
        <f>IF('Calendario I'!B132="","",'Calendario I'!B132)</f>
        <v/>
      </c>
      <c r="C1492" s="45" t="str">
        <f>IF('Calendario I'!C132="","",'Calendario I'!C132)</f>
        <v/>
      </c>
      <c r="D1492" s="44" t="str">
        <f>IF('Calendario I'!D132="","",'Calendario I'!D132)</f>
        <v/>
      </c>
      <c r="E1492" s="45" t="str">
        <f>IF('Calendario I'!E132="","",'Calendario I'!E132)</f>
        <v/>
      </c>
      <c r="F1492" s="138" t="str">
        <f>IF('Calendario I'!F132="","",'Calendario I'!F132)</f>
        <v/>
      </c>
      <c r="G1492" s="124"/>
      <c r="H1492" s="124"/>
      <c r="I1492" s="125"/>
      <c r="J1492" s="202" t="str">
        <f>IF('Calendario I'!J132="","",'Calendario I'!J132)</f>
        <v/>
      </c>
      <c r="K1492" s="201" t="s">
        <v>198</v>
      </c>
      <c r="L1492" s="202" t="str">
        <f>IF('Calendario I'!L132="","",'Calendario I'!L132)</f>
        <v/>
      </c>
      <c r="M1492" s="200"/>
      <c r="N1492" s="200"/>
      <c r="O1492" s="200"/>
      <c r="P1492" s="200"/>
      <c r="Q1492" s="200"/>
      <c r="R1492" s="200"/>
    </row>
    <row r="1493" spans="1:18" ht="15" customHeight="1" x14ac:dyDescent="0.25">
      <c r="A1493" s="133"/>
      <c r="B1493" s="136" t="str">
        <f>IF('Calendario I'!B133="","",'Calendario I'!B133)</f>
        <v/>
      </c>
      <c r="C1493" s="124"/>
      <c r="D1493" s="124"/>
      <c r="E1493" s="124"/>
      <c r="F1493" s="124"/>
      <c r="G1493" s="124"/>
      <c r="H1493" s="125"/>
      <c r="I1493" s="45" t="str">
        <f>IF('Calendario I'!I133="","",'Calendario I'!I133)</f>
        <v/>
      </c>
      <c r="J1493" s="133"/>
      <c r="K1493" s="133"/>
      <c r="L1493" s="133"/>
      <c r="M1493" s="133"/>
      <c r="N1493" s="133"/>
      <c r="O1493" s="133"/>
      <c r="P1493" s="133"/>
      <c r="Q1493" s="133"/>
      <c r="R1493" s="133"/>
    </row>
    <row r="1494" spans="1:18" ht="14.1" customHeight="1" x14ac:dyDescent="0.25">
      <c r="A1494" s="64" t="s">
        <v>193</v>
      </c>
      <c r="B1494" s="169" t="s">
        <v>175</v>
      </c>
      <c r="C1494" s="125"/>
      <c r="D1494" s="169" t="s">
        <v>182</v>
      </c>
      <c r="E1494" s="125"/>
      <c r="F1494" s="64" t="s">
        <v>194</v>
      </c>
      <c r="G1494" s="64" t="s">
        <v>195</v>
      </c>
      <c r="H1494" s="169" t="s">
        <v>196</v>
      </c>
      <c r="I1494" s="125"/>
      <c r="J1494" s="169" t="s">
        <v>197</v>
      </c>
      <c r="K1494" s="124"/>
      <c r="L1494" s="125"/>
      <c r="M1494" s="110" t="s">
        <v>494</v>
      </c>
      <c r="N1494" s="110" t="s">
        <v>495</v>
      </c>
      <c r="O1494" s="110" t="s">
        <v>496</v>
      </c>
      <c r="P1494" s="110" t="s">
        <v>497</v>
      </c>
      <c r="Q1494" s="110" t="s">
        <v>498</v>
      </c>
      <c r="R1494" s="110" t="s">
        <v>499</v>
      </c>
    </row>
    <row r="1495" spans="1:18" ht="21.95" customHeight="1" x14ac:dyDescent="0.25">
      <c r="A1495" s="170">
        <f>IF('Calendario I'!A135="","",'Calendario I'!A135)</f>
        <v>398</v>
      </c>
      <c r="B1495" s="44" t="str">
        <f>IF('Calendario I'!B135="","",'Calendario I'!B135)</f>
        <v/>
      </c>
      <c r="C1495" s="45" t="str">
        <f>IF('Calendario I'!C135="","",'Calendario I'!C135)</f>
        <v/>
      </c>
      <c r="D1495" s="44" t="str">
        <f>IF('Calendario I'!D135="","",'Calendario I'!D135)</f>
        <v/>
      </c>
      <c r="E1495" s="45" t="str">
        <f>IF('Calendario I'!E135="","",'Calendario I'!E135)</f>
        <v/>
      </c>
      <c r="F1495" s="138" t="str">
        <f>IF('Calendario I'!F135="","",'Calendario I'!F135)</f>
        <v/>
      </c>
      <c r="G1495" s="124"/>
      <c r="H1495" s="124"/>
      <c r="I1495" s="125"/>
      <c r="J1495" s="202" t="str">
        <f>IF('Calendario I'!J135="","",'Calendario I'!J135)</f>
        <v/>
      </c>
      <c r="K1495" s="201" t="s">
        <v>198</v>
      </c>
      <c r="L1495" s="202" t="str">
        <f>IF('Calendario I'!L135="","",'Calendario I'!L135)</f>
        <v/>
      </c>
      <c r="M1495" s="200"/>
      <c r="N1495" s="200"/>
      <c r="O1495" s="200"/>
      <c r="P1495" s="200"/>
      <c r="Q1495" s="200"/>
      <c r="R1495" s="200"/>
    </row>
    <row r="1496" spans="1:18" ht="15" customHeight="1" x14ac:dyDescent="0.25">
      <c r="A1496" s="133"/>
      <c r="B1496" s="136" t="str">
        <f>IF('Calendario I'!B136="","",'Calendario I'!B136)</f>
        <v/>
      </c>
      <c r="C1496" s="124"/>
      <c r="D1496" s="124"/>
      <c r="E1496" s="124"/>
      <c r="F1496" s="124"/>
      <c r="G1496" s="124"/>
      <c r="H1496" s="125"/>
      <c r="I1496" s="45" t="str">
        <f>IF('Calendario I'!I136="","",'Calendario I'!I136)</f>
        <v/>
      </c>
      <c r="J1496" s="133"/>
      <c r="K1496" s="133"/>
      <c r="L1496" s="133"/>
      <c r="M1496" s="133"/>
      <c r="N1496" s="133"/>
      <c r="O1496" s="133"/>
      <c r="P1496" s="133"/>
      <c r="Q1496" s="133"/>
      <c r="R1496" s="133"/>
    </row>
    <row r="1497" spans="1:18" ht="14.1" customHeight="1" x14ac:dyDescent="0.25">
      <c r="A1497" s="64" t="s">
        <v>193</v>
      </c>
      <c r="B1497" s="169" t="s">
        <v>175</v>
      </c>
      <c r="C1497" s="125"/>
      <c r="D1497" s="169" t="s">
        <v>182</v>
      </c>
      <c r="E1497" s="125"/>
      <c r="F1497" s="64" t="s">
        <v>194</v>
      </c>
      <c r="G1497" s="64" t="s">
        <v>195</v>
      </c>
      <c r="H1497" s="169" t="s">
        <v>196</v>
      </c>
      <c r="I1497" s="125"/>
      <c r="J1497" s="169" t="s">
        <v>197</v>
      </c>
      <c r="K1497" s="124"/>
      <c r="L1497" s="125"/>
      <c r="M1497" s="110" t="s">
        <v>494</v>
      </c>
      <c r="N1497" s="110" t="s">
        <v>495</v>
      </c>
      <c r="O1497" s="110" t="s">
        <v>496</v>
      </c>
      <c r="P1497" s="110" t="s">
        <v>497</v>
      </c>
      <c r="Q1497" s="110" t="s">
        <v>498</v>
      </c>
      <c r="R1497" s="110" t="s">
        <v>499</v>
      </c>
    </row>
    <row r="1498" spans="1:18" ht="21.95" customHeight="1" x14ac:dyDescent="0.25">
      <c r="A1498" s="170">
        <f>IF('Calendario I'!A138="","",'Calendario I'!A138)</f>
        <v>399</v>
      </c>
      <c r="B1498" s="44" t="str">
        <f>IF('Calendario I'!B138="","",'Calendario I'!B138)</f>
        <v/>
      </c>
      <c r="C1498" s="45" t="str">
        <f>IF('Calendario I'!C138="","",'Calendario I'!C138)</f>
        <v/>
      </c>
      <c r="D1498" s="44" t="str">
        <f>IF('Calendario I'!D138="","",'Calendario I'!D138)</f>
        <v/>
      </c>
      <c r="E1498" s="45" t="str">
        <f>IF('Calendario I'!E138="","",'Calendario I'!E138)</f>
        <v/>
      </c>
      <c r="F1498" s="138" t="str">
        <f>IF('Calendario I'!F138="","",'Calendario I'!F138)</f>
        <v/>
      </c>
      <c r="G1498" s="124"/>
      <c r="H1498" s="124"/>
      <c r="I1498" s="125"/>
      <c r="J1498" s="202" t="str">
        <f>IF('Calendario I'!J138="","",'Calendario I'!J138)</f>
        <v/>
      </c>
      <c r="K1498" s="201" t="s">
        <v>198</v>
      </c>
      <c r="L1498" s="202" t="str">
        <f>IF('Calendario I'!L138="","",'Calendario I'!L138)</f>
        <v/>
      </c>
      <c r="M1498" s="200"/>
      <c r="N1498" s="200"/>
      <c r="O1498" s="200"/>
      <c r="P1498" s="200"/>
      <c r="Q1498" s="200"/>
      <c r="R1498" s="200"/>
    </row>
    <row r="1499" spans="1:18" ht="15" customHeight="1" x14ac:dyDescent="0.25">
      <c r="A1499" s="133"/>
      <c r="B1499" s="136" t="str">
        <f>IF('Calendario I'!B139="","",'Calendario I'!B139)</f>
        <v/>
      </c>
      <c r="C1499" s="124"/>
      <c r="D1499" s="124"/>
      <c r="E1499" s="124"/>
      <c r="F1499" s="124"/>
      <c r="G1499" s="124"/>
      <c r="H1499" s="125"/>
      <c r="I1499" s="45" t="str">
        <f>IF('Calendario I'!I139="","",'Calendario I'!I139)</f>
        <v/>
      </c>
      <c r="J1499" s="133"/>
      <c r="K1499" s="133"/>
      <c r="L1499" s="133"/>
      <c r="M1499" s="133"/>
      <c r="N1499" s="133"/>
      <c r="O1499" s="133"/>
      <c r="P1499" s="133"/>
      <c r="Q1499" s="133"/>
      <c r="R1499" s="133"/>
    </row>
    <row r="1500" spans="1:18" ht="14.1" customHeight="1" x14ac:dyDescent="0.25">
      <c r="A1500" s="64" t="s">
        <v>193</v>
      </c>
      <c r="B1500" s="169" t="s">
        <v>175</v>
      </c>
      <c r="C1500" s="125"/>
      <c r="D1500" s="169" t="s">
        <v>182</v>
      </c>
      <c r="E1500" s="125"/>
      <c r="F1500" s="64" t="s">
        <v>194</v>
      </c>
      <c r="G1500" s="64" t="s">
        <v>195</v>
      </c>
      <c r="H1500" s="169" t="s">
        <v>196</v>
      </c>
      <c r="I1500" s="125"/>
      <c r="J1500" s="169" t="s">
        <v>197</v>
      </c>
      <c r="K1500" s="124"/>
      <c r="L1500" s="125"/>
      <c r="M1500" s="110" t="s">
        <v>494</v>
      </c>
      <c r="N1500" s="110" t="s">
        <v>495</v>
      </c>
      <c r="O1500" s="110" t="s">
        <v>496</v>
      </c>
      <c r="P1500" s="110" t="s">
        <v>497</v>
      </c>
      <c r="Q1500" s="110" t="s">
        <v>498</v>
      </c>
      <c r="R1500" s="110" t="s">
        <v>499</v>
      </c>
    </row>
    <row r="1501" spans="1:18" ht="21.95" customHeight="1" x14ac:dyDescent="0.25">
      <c r="A1501" s="170">
        <f>IF('Calendario I'!A141="","",'Calendario I'!A141)</f>
        <v>400</v>
      </c>
      <c r="B1501" s="44" t="str">
        <f>IF('Calendario I'!B141="","",'Calendario I'!B141)</f>
        <v/>
      </c>
      <c r="C1501" s="45" t="str">
        <f>IF('Calendario I'!C141="","",'Calendario I'!C141)</f>
        <v/>
      </c>
      <c r="D1501" s="44" t="str">
        <f>IF('Calendario I'!D141="","",'Calendario I'!D141)</f>
        <v/>
      </c>
      <c r="E1501" s="45" t="str">
        <f>IF('Calendario I'!E141="","",'Calendario I'!E141)</f>
        <v/>
      </c>
      <c r="F1501" s="138" t="str">
        <f>IF('Calendario I'!F141="","",'Calendario I'!F141)</f>
        <v/>
      </c>
      <c r="G1501" s="124"/>
      <c r="H1501" s="124"/>
      <c r="I1501" s="125"/>
      <c r="J1501" s="202" t="str">
        <f>IF('Calendario I'!J141="","",'Calendario I'!J141)</f>
        <v/>
      </c>
      <c r="K1501" s="201" t="s">
        <v>198</v>
      </c>
      <c r="L1501" s="202" t="str">
        <f>IF('Calendario I'!L141="","",'Calendario I'!L141)</f>
        <v/>
      </c>
      <c r="M1501" s="200"/>
      <c r="N1501" s="200"/>
      <c r="O1501" s="200"/>
      <c r="P1501" s="200"/>
      <c r="Q1501" s="200"/>
      <c r="R1501" s="200"/>
    </row>
    <row r="1502" spans="1:18" ht="15" customHeight="1" x14ac:dyDescent="0.25">
      <c r="A1502" s="133"/>
      <c r="B1502" s="136" t="str">
        <f>IF('Calendario I'!B142="","",'Calendario I'!B142)</f>
        <v/>
      </c>
      <c r="C1502" s="124"/>
      <c r="D1502" s="124"/>
      <c r="E1502" s="124"/>
      <c r="F1502" s="124"/>
      <c r="G1502" s="124"/>
      <c r="H1502" s="125"/>
      <c r="I1502" s="45" t="str">
        <f>IF('Calendario I'!I142="","",'Calendario I'!I142)</f>
        <v/>
      </c>
      <c r="J1502" s="133"/>
      <c r="K1502" s="133"/>
      <c r="L1502" s="133"/>
      <c r="M1502" s="133"/>
      <c r="N1502" s="133"/>
      <c r="O1502" s="133"/>
      <c r="P1502" s="133"/>
      <c r="Q1502" s="133"/>
      <c r="R1502" s="133"/>
    </row>
    <row r="1504" spans="1:18" ht="20.100000000000001" customHeight="1" x14ac:dyDescent="0.25">
      <c r="A1504" s="63" t="str">
        <f>IF('Calendario I'!A144="","",'Calendario I'!A144)</f>
        <v>9I</v>
      </c>
      <c r="B1504" s="171" t="str">
        <f>IF('Calendario I'!B144="","",'Calendario I'!B144)</f>
        <v>GIORNATA IX - GIRONE I</v>
      </c>
      <c r="C1504" s="124"/>
      <c r="D1504" s="124"/>
      <c r="E1504" s="124"/>
      <c r="F1504" s="124"/>
      <c r="G1504" s="124"/>
      <c r="H1504" s="124"/>
      <c r="I1504" s="124"/>
      <c r="J1504" s="124"/>
      <c r="K1504" s="124"/>
      <c r="L1504" s="125"/>
      <c r="M1504" s="204" t="s">
        <v>492</v>
      </c>
      <c r="N1504" s="124"/>
      <c r="O1504" s="125"/>
      <c r="P1504" s="204" t="s">
        <v>493</v>
      </c>
      <c r="Q1504" s="124"/>
      <c r="R1504" s="125"/>
    </row>
    <row r="1505" spans="1:18" ht="14.1" customHeight="1" x14ac:dyDescent="0.25">
      <c r="A1505" s="64" t="s">
        <v>193</v>
      </c>
      <c r="B1505" s="169" t="s">
        <v>175</v>
      </c>
      <c r="C1505" s="125"/>
      <c r="D1505" s="169" t="s">
        <v>182</v>
      </c>
      <c r="E1505" s="125"/>
      <c r="F1505" s="64" t="s">
        <v>194</v>
      </c>
      <c r="G1505" s="64" t="s">
        <v>195</v>
      </c>
      <c r="H1505" s="169" t="s">
        <v>196</v>
      </c>
      <c r="I1505" s="125"/>
      <c r="J1505" s="169" t="s">
        <v>197</v>
      </c>
      <c r="K1505" s="124"/>
      <c r="L1505" s="125"/>
      <c r="M1505" s="110" t="s">
        <v>494</v>
      </c>
      <c r="N1505" s="110" t="s">
        <v>495</v>
      </c>
      <c r="O1505" s="110" t="s">
        <v>496</v>
      </c>
      <c r="P1505" s="110" t="s">
        <v>497</v>
      </c>
      <c r="Q1505" s="110" t="s">
        <v>498</v>
      </c>
      <c r="R1505" s="110" t="s">
        <v>499</v>
      </c>
    </row>
    <row r="1506" spans="1:18" ht="21.95" customHeight="1" x14ac:dyDescent="0.25">
      <c r="A1506" s="170">
        <f>IF('Calendario I'!A146="","",'Calendario I'!A146)</f>
        <v>401</v>
      </c>
      <c r="B1506" s="44" t="str">
        <f>IF('Calendario I'!B146="","",'Calendario I'!B146)</f>
        <v/>
      </c>
      <c r="C1506" s="45" t="str">
        <f>IF('Calendario I'!C146="","",'Calendario I'!C146)</f>
        <v/>
      </c>
      <c r="D1506" s="44" t="str">
        <f>IF('Calendario I'!D146="","",'Calendario I'!D146)</f>
        <v/>
      </c>
      <c r="E1506" s="45" t="str">
        <f>IF('Calendario I'!E146="","",'Calendario I'!E146)</f>
        <v/>
      </c>
      <c r="F1506" s="138" t="str">
        <f>IF('Calendario I'!F146="","",'Calendario I'!F146)</f>
        <v/>
      </c>
      <c r="G1506" s="124"/>
      <c r="H1506" s="124"/>
      <c r="I1506" s="125"/>
      <c r="J1506" s="202" t="str">
        <f>IF('Calendario I'!J146="","",'Calendario I'!J146)</f>
        <v/>
      </c>
      <c r="K1506" s="201" t="s">
        <v>198</v>
      </c>
      <c r="L1506" s="202" t="str">
        <f>IF('Calendario I'!L146="","",'Calendario I'!L146)</f>
        <v/>
      </c>
      <c r="M1506" s="200"/>
      <c r="N1506" s="200"/>
      <c r="O1506" s="200"/>
      <c r="P1506" s="200"/>
      <c r="Q1506" s="200"/>
      <c r="R1506" s="200"/>
    </row>
    <row r="1507" spans="1:18" ht="15" customHeight="1" x14ac:dyDescent="0.25">
      <c r="A1507" s="133"/>
      <c r="B1507" s="136" t="str">
        <f>IF('Calendario I'!B147="","",'Calendario I'!B147)</f>
        <v/>
      </c>
      <c r="C1507" s="124"/>
      <c r="D1507" s="124"/>
      <c r="E1507" s="124"/>
      <c r="F1507" s="124"/>
      <c r="G1507" s="124"/>
      <c r="H1507" s="125"/>
      <c r="I1507" s="45" t="str">
        <f>IF('Calendario I'!I147="","",'Calendario I'!I147)</f>
        <v/>
      </c>
      <c r="J1507" s="133"/>
      <c r="K1507" s="133"/>
      <c r="L1507" s="133"/>
      <c r="M1507" s="133"/>
      <c r="N1507" s="133"/>
      <c r="O1507" s="133"/>
      <c r="P1507" s="133"/>
      <c r="Q1507" s="133"/>
      <c r="R1507" s="133"/>
    </row>
    <row r="1508" spans="1:18" ht="14.1" customHeight="1" x14ac:dyDescent="0.25">
      <c r="A1508" s="64" t="s">
        <v>193</v>
      </c>
      <c r="B1508" s="169" t="s">
        <v>175</v>
      </c>
      <c r="C1508" s="125"/>
      <c r="D1508" s="169" t="s">
        <v>182</v>
      </c>
      <c r="E1508" s="125"/>
      <c r="F1508" s="64" t="s">
        <v>194</v>
      </c>
      <c r="G1508" s="64" t="s">
        <v>195</v>
      </c>
      <c r="H1508" s="169" t="s">
        <v>196</v>
      </c>
      <c r="I1508" s="125"/>
      <c r="J1508" s="169" t="s">
        <v>197</v>
      </c>
      <c r="K1508" s="124"/>
      <c r="L1508" s="125"/>
      <c r="M1508" s="110" t="s">
        <v>494</v>
      </c>
      <c r="N1508" s="110" t="s">
        <v>495</v>
      </c>
      <c r="O1508" s="110" t="s">
        <v>496</v>
      </c>
      <c r="P1508" s="110" t="s">
        <v>497</v>
      </c>
      <c r="Q1508" s="110" t="s">
        <v>498</v>
      </c>
      <c r="R1508" s="110" t="s">
        <v>499</v>
      </c>
    </row>
    <row r="1509" spans="1:18" ht="21.95" customHeight="1" x14ac:dyDescent="0.25">
      <c r="A1509" s="170">
        <f>IF('Calendario I'!A149="","",'Calendario I'!A149)</f>
        <v>402</v>
      </c>
      <c r="B1509" s="44" t="str">
        <f>IF('Calendario I'!B149="","",'Calendario I'!B149)</f>
        <v/>
      </c>
      <c r="C1509" s="45" t="str">
        <f>IF('Calendario I'!C149="","",'Calendario I'!C149)</f>
        <v/>
      </c>
      <c r="D1509" s="44" t="str">
        <f>IF('Calendario I'!D149="","",'Calendario I'!D149)</f>
        <v/>
      </c>
      <c r="E1509" s="45" t="str">
        <f>IF('Calendario I'!E149="","",'Calendario I'!E149)</f>
        <v/>
      </c>
      <c r="F1509" s="138" t="str">
        <f>IF('Calendario I'!F149="","",'Calendario I'!F149)</f>
        <v/>
      </c>
      <c r="G1509" s="124"/>
      <c r="H1509" s="124"/>
      <c r="I1509" s="125"/>
      <c r="J1509" s="202" t="str">
        <f>IF('Calendario I'!J149="","",'Calendario I'!J149)</f>
        <v/>
      </c>
      <c r="K1509" s="201" t="s">
        <v>198</v>
      </c>
      <c r="L1509" s="202" t="str">
        <f>IF('Calendario I'!L149="","",'Calendario I'!L149)</f>
        <v/>
      </c>
      <c r="M1509" s="200"/>
      <c r="N1509" s="200"/>
      <c r="O1509" s="200"/>
      <c r="P1509" s="200"/>
      <c r="Q1509" s="200"/>
      <c r="R1509" s="200"/>
    </row>
    <row r="1510" spans="1:18" ht="15" customHeight="1" x14ac:dyDescent="0.25">
      <c r="A1510" s="133"/>
      <c r="B1510" s="136" t="str">
        <f>IF('Calendario I'!B150="","",'Calendario I'!B150)</f>
        <v/>
      </c>
      <c r="C1510" s="124"/>
      <c r="D1510" s="124"/>
      <c r="E1510" s="124"/>
      <c r="F1510" s="124"/>
      <c r="G1510" s="124"/>
      <c r="H1510" s="125"/>
      <c r="I1510" s="45" t="str">
        <f>IF('Calendario I'!I150="","",'Calendario I'!I150)</f>
        <v/>
      </c>
      <c r="J1510" s="133"/>
      <c r="K1510" s="133"/>
      <c r="L1510" s="133"/>
      <c r="M1510" s="133"/>
      <c r="N1510" s="133"/>
      <c r="O1510" s="133"/>
      <c r="P1510" s="133"/>
      <c r="Q1510" s="133"/>
      <c r="R1510" s="133"/>
    </row>
    <row r="1511" spans="1:18" ht="14.1" customHeight="1" x14ac:dyDescent="0.25">
      <c r="A1511" s="64" t="s">
        <v>193</v>
      </c>
      <c r="B1511" s="169" t="s">
        <v>175</v>
      </c>
      <c r="C1511" s="125"/>
      <c r="D1511" s="169" t="s">
        <v>182</v>
      </c>
      <c r="E1511" s="125"/>
      <c r="F1511" s="64" t="s">
        <v>194</v>
      </c>
      <c r="G1511" s="64" t="s">
        <v>195</v>
      </c>
      <c r="H1511" s="169" t="s">
        <v>196</v>
      </c>
      <c r="I1511" s="125"/>
      <c r="J1511" s="169" t="s">
        <v>197</v>
      </c>
      <c r="K1511" s="124"/>
      <c r="L1511" s="125"/>
      <c r="M1511" s="110" t="s">
        <v>494</v>
      </c>
      <c r="N1511" s="110" t="s">
        <v>495</v>
      </c>
      <c r="O1511" s="110" t="s">
        <v>496</v>
      </c>
      <c r="P1511" s="110" t="s">
        <v>497</v>
      </c>
      <c r="Q1511" s="110" t="s">
        <v>498</v>
      </c>
      <c r="R1511" s="110" t="s">
        <v>499</v>
      </c>
    </row>
    <row r="1512" spans="1:18" ht="21.95" customHeight="1" x14ac:dyDescent="0.25">
      <c r="A1512" s="170">
        <f>IF('Calendario I'!A152="","",'Calendario I'!A152)</f>
        <v>403</v>
      </c>
      <c r="B1512" s="44" t="str">
        <f>IF('Calendario I'!B152="","",'Calendario I'!B152)</f>
        <v/>
      </c>
      <c r="C1512" s="45" t="str">
        <f>IF('Calendario I'!C152="","",'Calendario I'!C152)</f>
        <v/>
      </c>
      <c r="D1512" s="44" t="str">
        <f>IF('Calendario I'!D152="","",'Calendario I'!D152)</f>
        <v/>
      </c>
      <c r="E1512" s="45" t="str">
        <f>IF('Calendario I'!E152="","",'Calendario I'!E152)</f>
        <v/>
      </c>
      <c r="F1512" s="138" t="str">
        <f>IF('Calendario I'!F152="","",'Calendario I'!F152)</f>
        <v/>
      </c>
      <c r="G1512" s="124"/>
      <c r="H1512" s="124"/>
      <c r="I1512" s="125"/>
      <c r="J1512" s="202" t="str">
        <f>IF('Calendario I'!J152="","",'Calendario I'!J152)</f>
        <v/>
      </c>
      <c r="K1512" s="201" t="s">
        <v>198</v>
      </c>
      <c r="L1512" s="202" t="str">
        <f>IF('Calendario I'!L152="","",'Calendario I'!L152)</f>
        <v/>
      </c>
      <c r="M1512" s="200"/>
      <c r="N1512" s="200"/>
      <c r="O1512" s="200"/>
      <c r="P1512" s="200"/>
      <c r="Q1512" s="200"/>
      <c r="R1512" s="200"/>
    </row>
    <row r="1513" spans="1:18" ht="15" customHeight="1" x14ac:dyDescent="0.25">
      <c r="A1513" s="133"/>
      <c r="B1513" s="136" t="str">
        <f>IF('Calendario I'!B153="","",'Calendario I'!B153)</f>
        <v/>
      </c>
      <c r="C1513" s="124"/>
      <c r="D1513" s="124"/>
      <c r="E1513" s="124"/>
      <c r="F1513" s="124"/>
      <c r="G1513" s="124"/>
      <c r="H1513" s="125"/>
      <c r="I1513" s="45" t="str">
        <f>IF('Calendario I'!I153="","",'Calendario I'!I153)</f>
        <v/>
      </c>
      <c r="J1513" s="133"/>
      <c r="K1513" s="133"/>
      <c r="L1513" s="133"/>
      <c r="M1513" s="133"/>
      <c r="N1513" s="133"/>
      <c r="O1513" s="133"/>
      <c r="P1513" s="133"/>
      <c r="Q1513" s="133"/>
      <c r="R1513" s="133"/>
    </row>
    <row r="1514" spans="1:18" ht="14.1" customHeight="1" x14ac:dyDescent="0.25">
      <c r="A1514" s="64" t="s">
        <v>193</v>
      </c>
      <c r="B1514" s="169" t="s">
        <v>175</v>
      </c>
      <c r="C1514" s="125"/>
      <c r="D1514" s="169" t="s">
        <v>182</v>
      </c>
      <c r="E1514" s="125"/>
      <c r="F1514" s="64" t="s">
        <v>194</v>
      </c>
      <c r="G1514" s="64" t="s">
        <v>195</v>
      </c>
      <c r="H1514" s="169" t="s">
        <v>196</v>
      </c>
      <c r="I1514" s="125"/>
      <c r="J1514" s="169" t="s">
        <v>197</v>
      </c>
      <c r="K1514" s="124"/>
      <c r="L1514" s="125"/>
      <c r="M1514" s="110" t="s">
        <v>494</v>
      </c>
      <c r="N1514" s="110" t="s">
        <v>495</v>
      </c>
      <c r="O1514" s="110" t="s">
        <v>496</v>
      </c>
      <c r="P1514" s="110" t="s">
        <v>497</v>
      </c>
      <c r="Q1514" s="110" t="s">
        <v>498</v>
      </c>
      <c r="R1514" s="110" t="s">
        <v>499</v>
      </c>
    </row>
    <row r="1515" spans="1:18" ht="21.95" customHeight="1" x14ac:dyDescent="0.25">
      <c r="A1515" s="170">
        <f>IF('Calendario I'!A155="","",'Calendario I'!A155)</f>
        <v>404</v>
      </c>
      <c r="B1515" s="44" t="str">
        <f>IF('Calendario I'!B155="","",'Calendario I'!B155)</f>
        <v/>
      </c>
      <c r="C1515" s="45" t="str">
        <f>IF('Calendario I'!C155="","",'Calendario I'!C155)</f>
        <v/>
      </c>
      <c r="D1515" s="44" t="str">
        <f>IF('Calendario I'!D155="","",'Calendario I'!D155)</f>
        <v/>
      </c>
      <c r="E1515" s="45" t="str">
        <f>IF('Calendario I'!E155="","",'Calendario I'!E155)</f>
        <v/>
      </c>
      <c r="F1515" s="138" t="str">
        <f>IF('Calendario I'!F155="","",'Calendario I'!F155)</f>
        <v/>
      </c>
      <c r="G1515" s="124"/>
      <c r="H1515" s="124"/>
      <c r="I1515" s="125"/>
      <c r="J1515" s="202" t="str">
        <f>IF('Calendario I'!J155="","",'Calendario I'!J155)</f>
        <v/>
      </c>
      <c r="K1515" s="201" t="s">
        <v>198</v>
      </c>
      <c r="L1515" s="202" t="str">
        <f>IF('Calendario I'!L155="","",'Calendario I'!L155)</f>
        <v/>
      </c>
      <c r="M1515" s="200"/>
      <c r="N1515" s="200"/>
      <c r="O1515" s="200"/>
      <c r="P1515" s="200"/>
      <c r="Q1515" s="200"/>
      <c r="R1515" s="200"/>
    </row>
    <row r="1516" spans="1:18" ht="15" customHeight="1" x14ac:dyDescent="0.25">
      <c r="A1516" s="133"/>
      <c r="B1516" s="136" t="str">
        <f>IF('Calendario I'!B156="","",'Calendario I'!B156)</f>
        <v/>
      </c>
      <c r="C1516" s="124"/>
      <c r="D1516" s="124"/>
      <c r="E1516" s="124"/>
      <c r="F1516" s="124"/>
      <c r="G1516" s="124"/>
      <c r="H1516" s="125"/>
      <c r="I1516" s="45" t="str">
        <f>IF('Calendario I'!I156="","",'Calendario I'!I156)</f>
        <v/>
      </c>
      <c r="J1516" s="133"/>
      <c r="K1516" s="133"/>
      <c r="L1516" s="133"/>
      <c r="M1516" s="133"/>
      <c r="N1516" s="133"/>
      <c r="O1516" s="133"/>
      <c r="P1516" s="133"/>
      <c r="Q1516" s="133"/>
      <c r="R1516" s="133"/>
    </row>
    <row r="1517" spans="1:18" ht="14.1" customHeight="1" x14ac:dyDescent="0.25">
      <c r="A1517" s="64" t="s">
        <v>193</v>
      </c>
      <c r="B1517" s="169" t="s">
        <v>175</v>
      </c>
      <c r="C1517" s="125"/>
      <c r="D1517" s="169" t="s">
        <v>182</v>
      </c>
      <c r="E1517" s="125"/>
      <c r="F1517" s="64" t="s">
        <v>194</v>
      </c>
      <c r="G1517" s="64" t="s">
        <v>195</v>
      </c>
      <c r="H1517" s="169" t="s">
        <v>196</v>
      </c>
      <c r="I1517" s="125"/>
      <c r="J1517" s="169" t="s">
        <v>197</v>
      </c>
      <c r="K1517" s="124"/>
      <c r="L1517" s="125"/>
      <c r="M1517" s="110" t="s">
        <v>494</v>
      </c>
      <c r="N1517" s="110" t="s">
        <v>495</v>
      </c>
      <c r="O1517" s="110" t="s">
        <v>496</v>
      </c>
      <c r="P1517" s="110" t="s">
        <v>497</v>
      </c>
      <c r="Q1517" s="110" t="s">
        <v>498</v>
      </c>
      <c r="R1517" s="110" t="s">
        <v>499</v>
      </c>
    </row>
    <row r="1518" spans="1:18" ht="21.95" customHeight="1" x14ac:dyDescent="0.25">
      <c r="A1518" s="170">
        <f>IF('Calendario I'!A158="","",'Calendario I'!A158)</f>
        <v>405</v>
      </c>
      <c r="B1518" s="44" t="str">
        <f>IF('Calendario I'!B158="","",'Calendario I'!B158)</f>
        <v/>
      </c>
      <c r="C1518" s="45" t="str">
        <f>IF('Calendario I'!C158="","",'Calendario I'!C158)</f>
        <v/>
      </c>
      <c r="D1518" s="44" t="str">
        <f>IF('Calendario I'!D158="","",'Calendario I'!D158)</f>
        <v/>
      </c>
      <c r="E1518" s="45" t="str">
        <f>IF('Calendario I'!E158="","",'Calendario I'!E158)</f>
        <v/>
      </c>
      <c r="F1518" s="138" t="str">
        <f>IF('Calendario I'!F158="","",'Calendario I'!F158)</f>
        <v/>
      </c>
      <c r="G1518" s="124"/>
      <c r="H1518" s="124"/>
      <c r="I1518" s="125"/>
      <c r="J1518" s="202" t="str">
        <f>IF('Calendario I'!J158="","",'Calendario I'!J158)</f>
        <v/>
      </c>
      <c r="K1518" s="201" t="s">
        <v>198</v>
      </c>
      <c r="L1518" s="202" t="str">
        <f>IF('Calendario I'!L158="","",'Calendario I'!L158)</f>
        <v/>
      </c>
      <c r="M1518" s="200"/>
      <c r="N1518" s="200"/>
      <c r="O1518" s="200"/>
      <c r="P1518" s="200"/>
      <c r="Q1518" s="200"/>
      <c r="R1518" s="200"/>
    </row>
    <row r="1519" spans="1:18" ht="15" customHeight="1" x14ac:dyDescent="0.25">
      <c r="A1519" s="133"/>
      <c r="B1519" s="136" t="str">
        <f>IF('Calendario I'!B159="","",'Calendario I'!B159)</f>
        <v/>
      </c>
      <c r="C1519" s="124"/>
      <c r="D1519" s="124"/>
      <c r="E1519" s="124"/>
      <c r="F1519" s="124"/>
      <c r="G1519" s="124"/>
      <c r="H1519" s="125"/>
      <c r="I1519" s="45" t="str">
        <f>IF('Calendario I'!I159="","",'Calendario I'!I159)</f>
        <v/>
      </c>
      <c r="J1519" s="133"/>
      <c r="K1519" s="133"/>
      <c r="L1519" s="133"/>
      <c r="M1519" s="133"/>
      <c r="N1519" s="133"/>
      <c r="O1519" s="133"/>
      <c r="P1519" s="133"/>
      <c r="Q1519" s="133"/>
      <c r="R1519" s="133"/>
    </row>
    <row r="1538" spans="1:18" ht="20.100000000000001" customHeight="1" x14ac:dyDescent="0.25">
      <c r="A1538" s="65" t="str">
        <f>IF('Calendario J'!A8="","",'Calendario J'!A8)</f>
        <v>1J</v>
      </c>
      <c r="B1538" s="175" t="str">
        <f>IF('Calendario J'!B8="","",'Calendario J'!B8)</f>
        <v>GIORNATA I - GIRONE J</v>
      </c>
      <c r="C1538" s="124"/>
      <c r="D1538" s="124"/>
      <c r="E1538" s="124"/>
      <c r="F1538" s="124"/>
      <c r="G1538" s="124"/>
      <c r="H1538" s="124"/>
      <c r="I1538" s="124"/>
      <c r="J1538" s="124"/>
      <c r="K1538" s="124"/>
      <c r="L1538" s="125"/>
      <c r="M1538" s="211" t="s">
        <v>492</v>
      </c>
      <c r="N1538" s="124"/>
      <c r="O1538" s="125"/>
      <c r="P1538" s="211" t="s">
        <v>493</v>
      </c>
      <c r="Q1538" s="124"/>
      <c r="R1538" s="125"/>
    </row>
    <row r="1539" spans="1:18" ht="14.1" customHeight="1" x14ac:dyDescent="0.25">
      <c r="A1539" s="66" t="s">
        <v>193</v>
      </c>
      <c r="B1539" s="173" t="s">
        <v>175</v>
      </c>
      <c r="C1539" s="125"/>
      <c r="D1539" s="173" t="s">
        <v>182</v>
      </c>
      <c r="E1539" s="125"/>
      <c r="F1539" s="66" t="s">
        <v>194</v>
      </c>
      <c r="G1539" s="66" t="s">
        <v>195</v>
      </c>
      <c r="H1539" s="173" t="s">
        <v>196</v>
      </c>
      <c r="I1539" s="125"/>
      <c r="J1539" s="173" t="s">
        <v>197</v>
      </c>
      <c r="K1539" s="124"/>
      <c r="L1539" s="125"/>
      <c r="M1539" s="111" t="s">
        <v>494</v>
      </c>
      <c r="N1539" s="111" t="s">
        <v>495</v>
      </c>
      <c r="O1539" s="111" t="s">
        <v>496</v>
      </c>
      <c r="P1539" s="111" t="s">
        <v>497</v>
      </c>
      <c r="Q1539" s="111" t="s">
        <v>498</v>
      </c>
      <c r="R1539" s="111" t="s">
        <v>499</v>
      </c>
    </row>
    <row r="1540" spans="1:18" ht="21.95" customHeight="1" x14ac:dyDescent="0.25">
      <c r="A1540" s="174">
        <f>IF('Calendario J'!A10="","",'Calendario J'!A10)</f>
        <v>406</v>
      </c>
      <c r="B1540" s="44" t="str">
        <f>IF('Calendario J'!B10="","",'Calendario J'!B10)</f>
        <v/>
      </c>
      <c r="C1540" s="45" t="str">
        <f>IF('Calendario J'!C10="","",'Calendario J'!C10)</f>
        <v/>
      </c>
      <c r="D1540" s="44" t="str">
        <f>IF('Calendario J'!D10="","",'Calendario J'!D10)</f>
        <v/>
      </c>
      <c r="E1540" s="45" t="str">
        <f>IF('Calendario J'!E10="","",'Calendario J'!E10)</f>
        <v/>
      </c>
      <c r="F1540" s="138" t="str">
        <f>IF('Calendario J'!F10="","",'Calendario J'!F10)</f>
        <v/>
      </c>
      <c r="G1540" s="124"/>
      <c r="H1540" s="124"/>
      <c r="I1540" s="125"/>
      <c r="J1540" s="202" t="str">
        <f>IF('Calendario J'!J10="","",'Calendario J'!J10)</f>
        <v/>
      </c>
      <c r="K1540" s="201" t="s">
        <v>198</v>
      </c>
      <c r="L1540" s="202" t="str">
        <f>IF('Calendario J'!L10="","",'Calendario J'!L10)</f>
        <v/>
      </c>
      <c r="M1540" s="200"/>
      <c r="N1540" s="200"/>
      <c r="O1540" s="200"/>
      <c r="P1540" s="200"/>
      <c r="Q1540" s="200"/>
      <c r="R1540" s="200"/>
    </row>
    <row r="1541" spans="1:18" ht="15" customHeight="1" x14ac:dyDescent="0.25">
      <c r="A1541" s="133"/>
      <c r="B1541" s="136" t="str">
        <f>IF('Calendario J'!B11="","",'Calendario J'!B11)</f>
        <v/>
      </c>
      <c r="C1541" s="124"/>
      <c r="D1541" s="124"/>
      <c r="E1541" s="124"/>
      <c r="F1541" s="124"/>
      <c r="G1541" s="124"/>
      <c r="H1541" s="125"/>
      <c r="I1541" s="45" t="str">
        <f>IF('Calendario J'!I11="","",'Calendario J'!I11)</f>
        <v/>
      </c>
      <c r="J1541" s="133"/>
      <c r="K1541" s="133"/>
      <c r="L1541" s="133"/>
      <c r="M1541" s="133"/>
      <c r="N1541" s="133"/>
      <c r="O1541" s="133"/>
      <c r="P1541" s="133"/>
      <c r="Q1541" s="133"/>
      <c r="R1541" s="133"/>
    </row>
    <row r="1542" spans="1:18" ht="14.1" customHeight="1" x14ac:dyDescent="0.25">
      <c r="A1542" s="66" t="s">
        <v>193</v>
      </c>
      <c r="B1542" s="173" t="s">
        <v>175</v>
      </c>
      <c r="C1542" s="125"/>
      <c r="D1542" s="173" t="s">
        <v>182</v>
      </c>
      <c r="E1542" s="125"/>
      <c r="F1542" s="66" t="s">
        <v>194</v>
      </c>
      <c r="G1542" s="66" t="s">
        <v>195</v>
      </c>
      <c r="H1542" s="173" t="s">
        <v>196</v>
      </c>
      <c r="I1542" s="125"/>
      <c r="J1542" s="173" t="s">
        <v>197</v>
      </c>
      <c r="K1542" s="124"/>
      <c r="L1542" s="125"/>
      <c r="M1542" s="111" t="s">
        <v>494</v>
      </c>
      <c r="N1542" s="111" t="s">
        <v>495</v>
      </c>
      <c r="O1542" s="111" t="s">
        <v>496</v>
      </c>
      <c r="P1542" s="111" t="s">
        <v>497</v>
      </c>
      <c r="Q1542" s="111" t="s">
        <v>498</v>
      </c>
      <c r="R1542" s="111" t="s">
        <v>499</v>
      </c>
    </row>
    <row r="1543" spans="1:18" ht="21.95" customHeight="1" x14ac:dyDescent="0.25">
      <c r="A1543" s="174">
        <f>IF('Calendario J'!A13="","",'Calendario J'!A13)</f>
        <v>407</v>
      </c>
      <c r="B1543" s="44" t="str">
        <f>IF('Calendario J'!B13="","",'Calendario J'!B13)</f>
        <v/>
      </c>
      <c r="C1543" s="45" t="str">
        <f>IF('Calendario J'!C13="","",'Calendario J'!C13)</f>
        <v/>
      </c>
      <c r="D1543" s="44" t="str">
        <f>IF('Calendario J'!D13="","",'Calendario J'!D13)</f>
        <v/>
      </c>
      <c r="E1543" s="45" t="str">
        <f>IF('Calendario J'!E13="","",'Calendario J'!E13)</f>
        <v/>
      </c>
      <c r="F1543" s="138" t="str">
        <f>IF('Calendario J'!F13="","",'Calendario J'!F13)</f>
        <v/>
      </c>
      <c r="G1543" s="124"/>
      <c r="H1543" s="124"/>
      <c r="I1543" s="125"/>
      <c r="J1543" s="202" t="str">
        <f>IF('Calendario J'!J13="","",'Calendario J'!J13)</f>
        <v/>
      </c>
      <c r="K1543" s="201" t="s">
        <v>198</v>
      </c>
      <c r="L1543" s="202" t="str">
        <f>IF('Calendario J'!L13="","",'Calendario J'!L13)</f>
        <v/>
      </c>
      <c r="M1543" s="200"/>
      <c r="N1543" s="200"/>
      <c r="O1543" s="200"/>
      <c r="P1543" s="200"/>
      <c r="Q1543" s="200"/>
      <c r="R1543" s="200"/>
    </row>
    <row r="1544" spans="1:18" ht="15" customHeight="1" x14ac:dyDescent="0.25">
      <c r="A1544" s="133"/>
      <c r="B1544" s="136" t="str">
        <f>IF('Calendario J'!B14="","",'Calendario J'!B14)</f>
        <v/>
      </c>
      <c r="C1544" s="124"/>
      <c r="D1544" s="124"/>
      <c r="E1544" s="124"/>
      <c r="F1544" s="124"/>
      <c r="G1544" s="124"/>
      <c r="H1544" s="125"/>
      <c r="I1544" s="45" t="str">
        <f>IF('Calendario J'!I14="","",'Calendario J'!I14)</f>
        <v/>
      </c>
      <c r="J1544" s="133"/>
      <c r="K1544" s="133"/>
      <c r="L1544" s="133"/>
      <c r="M1544" s="133"/>
      <c r="N1544" s="133"/>
      <c r="O1544" s="133"/>
      <c r="P1544" s="133"/>
      <c r="Q1544" s="133"/>
      <c r="R1544" s="133"/>
    </row>
    <row r="1545" spans="1:18" ht="14.1" customHeight="1" x14ac:dyDescent="0.25">
      <c r="A1545" s="66" t="s">
        <v>193</v>
      </c>
      <c r="B1545" s="173" t="s">
        <v>175</v>
      </c>
      <c r="C1545" s="125"/>
      <c r="D1545" s="173" t="s">
        <v>182</v>
      </c>
      <c r="E1545" s="125"/>
      <c r="F1545" s="66" t="s">
        <v>194</v>
      </c>
      <c r="G1545" s="66" t="s">
        <v>195</v>
      </c>
      <c r="H1545" s="173" t="s">
        <v>196</v>
      </c>
      <c r="I1545" s="125"/>
      <c r="J1545" s="173" t="s">
        <v>197</v>
      </c>
      <c r="K1545" s="124"/>
      <c r="L1545" s="125"/>
      <c r="M1545" s="111" t="s">
        <v>494</v>
      </c>
      <c r="N1545" s="111" t="s">
        <v>495</v>
      </c>
      <c r="O1545" s="111" t="s">
        <v>496</v>
      </c>
      <c r="P1545" s="111" t="s">
        <v>497</v>
      </c>
      <c r="Q1545" s="111" t="s">
        <v>498</v>
      </c>
      <c r="R1545" s="111" t="s">
        <v>499</v>
      </c>
    </row>
    <row r="1546" spans="1:18" ht="21.95" customHeight="1" x14ac:dyDescent="0.25">
      <c r="A1546" s="174">
        <f>IF('Calendario J'!A16="","",'Calendario J'!A16)</f>
        <v>408</v>
      </c>
      <c r="B1546" s="44" t="str">
        <f>IF('Calendario J'!B16="","",'Calendario J'!B16)</f>
        <v/>
      </c>
      <c r="C1546" s="45" t="str">
        <f>IF('Calendario J'!C16="","",'Calendario J'!C16)</f>
        <v/>
      </c>
      <c r="D1546" s="44" t="str">
        <f>IF('Calendario J'!D16="","",'Calendario J'!D16)</f>
        <v/>
      </c>
      <c r="E1546" s="45" t="str">
        <f>IF('Calendario J'!E16="","",'Calendario J'!E16)</f>
        <v/>
      </c>
      <c r="F1546" s="138" t="str">
        <f>IF('Calendario J'!F16="","",'Calendario J'!F16)</f>
        <v/>
      </c>
      <c r="G1546" s="124"/>
      <c r="H1546" s="124"/>
      <c r="I1546" s="125"/>
      <c r="J1546" s="202" t="str">
        <f>IF('Calendario J'!J16="","",'Calendario J'!J16)</f>
        <v/>
      </c>
      <c r="K1546" s="201" t="s">
        <v>198</v>
      </c>
      <c r="L1546" s="202" t="str">
        <f>IF('Calendario J'!L16="","",'Calendario J'!L16)</f>
        <v/>
      </c>
      <c r="M1546" s="200"/>
      <c r="N1546" s="200"/>
      <c r="O1546" s="200"/>
      <c r="P1546" s="200"/>
      <c r="Q1546" s="200"/>
      <c r="R1546" s="200"/>
    </row>
    <row r="1547" spans="1:18" ht="15" customHeight="1" x14ac:dyDescent="0.25">
      <c r="A1547" s="133"/>
      <c r="B1547" s="136" t="str">
        <f>IF('Calendario J'!B17="","",'Calendario J'!B17)</f>
        <v/>
      </c>
      <c r="C1547" s="124"/>
      <c r="D1547" s="124"/>
      <c r="E1547" s="124"/>
      <c r="F1547" s="124"/>
      <c r="G1547" s="124"/>
      <c r="H1547" s="125"/>
      <c r="I1547" s="45" t="str">
        <f>IF('Calendario J'!I17="","",'Calendario J'!I17)</f>
        <v/>
      </c>
      <c r="J1547" s="133"/>
      <c r="K1547" s="133"/>
      <c r="L1547" s="133"/>
      <c r="M1547" s="133"/>
      <c r="N1547" s="133"/>
      <c r="O1547" s="133"/>
      <c r="P1547" s="133"/>
      <c r="Q1547" s="133"/>
      <c r="R1547" s="133"/>
    </row>
    <row r="1548" spans="1:18" ht="14.1" customHeight="1" x14ac:dyDescent="0.25">
      <c r="A1548" s="66" t="s">
        <v>193</v>
      </c>
      <c r="B1548" s="173" t="s">
        <v>175</v>
      </c>
      <c r="C1548" s="125"/>
      <c r="D1548" s="173" t="s">
        <v>182</v>
      </c>
      <c r="E1548" s="125"/>
      <c r="F1548" s="66" t="s">
        <v>194</v>
      </c>
      <c r="G1548" s="66" t="s">
        <v>195</v>
      </c>
      <c r="H1548" s="173" t="s">
        <v>196</v>
      </c>
      <c r="I1548" s="125"/>
      <c r="J1548" s="173" t="s">
        <v>197</v>
      </c>
      <c r="K1548" s="124"/>
      <c r="L1548" s="125"/>
      <c r="M1548" s="111" t="s">
        <v>494</v>
      </c>
      <c r="N1548" s="111" t="s">
        <v>495</v>
      </c>
      <c r="O1548" s="111" t="s">
        <v>496</v>
      </c>
      <c r="P1548" s="111" t="s">
        <v>497</v>
      </c>
      <c r="Q1548" s="111" t="s">
        <v>498</v>
      </c>
      <c r="R1548" s="111" t="s">
        <v>499</v>
      </c>
    </row>
    <row r="1549" spans="1:18" ht="21.95" customHeight="1" x14ac:dyDescent="0.25">
      <c r="A1549" s="174">
        <f>IF('Calendario J'!A19="","",'Calendario J'!A19)</f>
        <v>409</v>
      </c>
      <c r="B1549" s="44" t="str">
        <f>IF('Calendario J'!B19="","",'Calendario J'!B19)</f>
        <v/>
      </c>
      <c r="C1549" s="45" t="str">
        <f>IF('Calendario J'!C19="","",'Calendario J'!C19)</f>
        <v/>
      </c>
      <c r="D1549" s="44" t="str">
        <f>IF('Calendario J'!D19="","",'Calendario J'!D19)</f>
        <v/>
      </c>
      <c r="E1549" s="45" t="str">
        <f>IF('Calendario J'!E19="","",'Calendario J'!E19)</f>
        <v/>
      </c>
      <c r="F1549" s="138" t="str">
        <f>IF('Calendario J'!F19="","",'Calendario J'!F19)</f>
        <v/>
      </c>
      <c r="G1549" s="124"/>
      <c r="H1549" s="124"/>
      <c r="I1549" s="125"/>
      <c r="J1549" s="202" t="str">
        <f>IF('Calendario J'!J19="","",'Calendario J'!J19)</f>
        <v/>
      </c>
      <c r="K1549" s="201" t="s">
        <v>198</v>
      </c>
      <c r="L1549" s="202" t="str">
        <f>IF('Calendario J'!L19="","",'Calendario J'!L19)</f>
        <v/>
      </c>
      <c r="M1549" s="200"/>
      <c r="N1549" s="200"/>
      <c r="O1549" s="200"/>
      <c r="P1549" s="200"/>
      <c r="Q1549" s="200"/>
      <c r="R1549" s="200"/>
    </row>
    <row r="1550" spans="1:18" ht="15" customHeight="1" x14ac:dyDescent="0.25">
      <c r="A1550" s="133"/>
      <c r="B1550" s="136" t="str">
        <f>IF('Calendario J'!B20="","",'Calendario J'!B20)</f>
        <v/>
      </c>
      <c r="C1550" s="124"/>
      <c r="D1550" s="124"/>
      <c r="E1550" s="124"/>
      <c r="F1550" s="124"/>
      <c r="G1550" s="124"/>
      <c r="H1550" s="125"/>
      <c r="I1550" s="45" t="str">
        <f>IF('Calendario J'!I20="","",'Calendario J'!I20)</f>
        <v/>
      </c>
      <c r="J1550" s="133"/>
      <c r="K1550" s="133"/>
      <c r="L1550" s="133"/>
      <c r="M1550" s="133"/>
      <c r="N1550" s="133"/>
      <c r="O1550" s="133"/>
      <c r="P1550" s="133"/>
      <c r="Q1550" s="133"/>
      <c r="R1550" s="133"/>
    </row>
    <row r="1551" spans="1:18" ht="14.1" customHeight="1" x14ac:dyDescent="0.25">
      <c r="A1551" s="66" t="s">
        <v>193</v>
      </c>
      <c r="B1551" s="173" t="s">
        <v>175</v>
      </c>
      <c r="C1551" s="125"/>
      <c r="D1551" s="173" t="s">
        <v>182</v>
      </c>
      <c r="E1551" s="125"/>
      <c r="F1551" s="66" t="s">
        <v>194</v>
      </c>
      <c r="G1551" s="66" t="s">
        <v>195</v>
      </c>
      <c r="H1551" s="173" t="s">
        <v>196</v>
      </c>
      <c r="I1551" s="125"/>
      <c r="J1551" s="173" t="s">
        <v>197</v>
      </c>
      <c r="K1551" s="124"/>
      <c r="L1551" s="125"/>
      <c r="M1551" s="111" t="s">
        <v>494</v>
      </c>
      <c r="N1551" s="111" t="s">
        <v>495</v>
      </c>
      <c r="O1551" s="111" t="s">
        <v>496</v>
      </c>
      <c r="P1551" s="111" t="s">
        <v>497</v>
      </c>
      <c r="Q1551" s="111" t="s">
        <v>498</v>
      </c>
      <c r="R1551" s="111" t="s">
        <v>499</v>
      </c>
    </row>
    <row r="1552" spans="1:18" ht="21.95" customHeight="1" x14ac:dyDescent="0.25">
      <c r="A1552" s="174">
        <f>IF('Calendario J'!A22="","",'Calendario J'!A22)</f>
        <v>410</v>
      </c>
      <c r="B1552" s="44" t="str">
        <f>IF('Calendario J'!B22="","",'Calendario J'!B22)</f>
        <v/>
      </c>
      <c r="C1552" s="45" t="str">
        <f>IF('Calendario J'!C22="","",'Calendario J'!C22)</f>
        <v/>
      </c>
      <c r="D1552" s="44" t="str">
        <f>IF('Calendario J'!D22="","",'Calendario J'!D22)</f>
        <v/>
      </c>
      <c r="E1552" s="45" t="str">
        <f>IF('Calendario J'!E22="","",'Calendario J'!E22)</f>
        <v/>
      </c>
      <c r="F1552" s="138" t="str">
        <f>IF('Calendario J'!F22="","",'Calendario J'!F22)</f>
        <v/>
      </c>
      <c r="G1552" s="124"/>
      <c r="H1552" s="124"/>
      <c r="I1552" s="125"/>
      <c r="J1552" s="202" t="str">
        <f>IF('Calendario J'!J22="","",'Calendario J'!J22)</f>
        <v/>
      </c>
      <c r="K1552" s="201" t="s">
        <v>198</v>
      </c>
      <c r="L1552" s="202" t="str">
        <f>IF('Calendario J'!L22="","",'Calendario J'!L22)</f>
        <v/>
      </c>
      <c r="M1552" s="200"/>
      <c r="N1552" s="200"/>
      <c r="O1552" s="200"/>
      <c r="P1552" s="200"/>
      <c r="Q1552" s="200"/>
      <c r="R1552" s="200"/>
    </row>
    <row r="1553" spans="1:18" ht="15" customHeight="1" x14ac:dyDescent="0.25">
      <c r="A1553" s="133"/>
      <c r="B1553" s="136" t="str">
        <f>IF('Calendario J'!B23="","",'Calendario J'!B23)</f>
        <v/>
      </c>
      <c r="C1553" s="124"/>
      <c r="D1553" s="124"/>
      <c r="E1553" s="124"/>
      <c r="F1553" s="124"/>
      <c r="G1553" s="124"/>
      <c r="H1553" s="125"/>
      <c r="I1553" s="45" t="str">
        <f>IF('Calendario J'!I23="","",'Calendario J'!I23)</f>
        <v/>
      </c>
      <c r="J1553" s="133"/>
      <c r="K1553" s="133"/>
      <c r="L1553" s="133"/>
      <c r="M1553" s="133"/>
      <c r="N1553" s="133"/>
      <c r="O1553" s="133"/>
      <c r="P1553" s="133"/>
      <c r="Q1553" s="133"/>
      <c r="R1553" s="133"/>
    </row>
    <row r="1555" spans="1:18" ht="20.100000000000001" customHeight="1" x14ac:dyDescent="0.25">
      <c r="A1555" s="65" t="str">
        <f>IF('Calendario J'!A25="","",'Calendario J'!A25)</f>
        <v>2J</v>
      </c>
      <c r="B1555" s="175" t="str">
        <f>IF('Calendario J'!B25="","",'Calendario J'!B25)</f>
        <v>GIORNATA II - GIRONE J</v>
      </c>
      <c r="C1555" s="124"/>
      <c r="D1555" s="124"/>
      <c r="E1555" s="124"/>
      <c r="F1555" s="124"/>
      <c r="G1555" s="124"/>
      <c r="H1555" s="124"/>
      <c r="I1555" s="124"/>
      <c r="J1555" s="124"/>
      <c r="K1555" s="124"/>
      <c r="L1555" s="125"/>
      <c r="M1555" s="211" t="s">
        <v>492</v>
      </c>
      <c r="N1555" s="124"/>
      <c r="O1555" s="125"/>
      <c r="P1555" s="211" t="s">
        <v>493</v>
      </c>
      <c r="Q1555" s="124"/>
      <c r="R1555" s="125"/>
    </row>
    <row r="1556" spans="1:18" ht="14.1" customHeight="1" x14ac:dyDescent="0.25">
      <c r="A1556" s="66" t="s">
        <v>193</v>
      </c>
      <c r="B1556" s="173" t="s">
        <v>175</v>
      </c>
      <c r="C1556" s="125"/>
      <c r="D1556" s="173" t="s">
        <v>182</v>
      </c>
      <c r="E1556" s="125"/>
      <c r="F1556" s="66" t="s">
        <v>194</v>
      </c>
      <c r="G1556" s="66" t="s">
        <v>195</v>
      </c>
      <c r="H1556" s="173" t="s">
        <v>196</v>
      </c>
      <c r="I1556" s="125"/>
      <c r="J1556" s="173" t="s">
        <v>197</v>
      </c>
      <c r="K1556" s="124"/>
      <c r="L1556" s="125"/>
      <c r="M1556" s="111" t="s">
        <v>494</v>
      </c>
      <c r="N1556" s="111" t="s">
        <v>495</v>
      </c>
      <c r="O1556" s="111" t="s">
        <v>496</v>
      </c>
      <c r="P1556" s="111" t="s">
        <v>497</v>
      </c>
      <c r="Q1556" s="111" t="s">
        <v>498</v>
      </c>
      <c r="R1556" s="111" t="s">
        <v>499</v>
      </c>
    </row>
    <row r="1557" spans="1:18" ht="21.95" customHeight="1" x14ac:dyDescent="0.25">
      <c r="A1557" s="174">
        <f>IF('Calendario J'!A27="","",'Calendario J'!A27)</f>
        <v>411</v>
      </c>
      <c r="B1557" s="44" t="str">
        <f>IF('Calendario J'!B27="","",'Calendario J'!B27)</f>
        <v/>
      </c>
      <c r="C1557" s="45" t="str">
        <f>IF('Calendario J'!C27="","",'Calendario J'!C27)</f>
        <v/>
      </c>
      <c r="D1557" s="44" t="str">
        <f>IF('Calendario J'!D27="","",'Calendario J'!D27)</f>
        <v/>
      </c>
      <c r="E1557" s="45" t="str">
        <f>IF('Calendario J'!E27="","",'Calendario J'!E27)</f>
        <v/>
      </c>
      <c r="F1557" s="138" t="str">
        <f>IF('Calendario J'!F27="","",'Calendario J'!F27)</f>
        <v/>
      </c>
      <c r="G1557" s="124"/>
      <c r="H1557" s="124"/>
      <c r="I1557" s="125"/>
      <c r="J1557" s="202" t="str">
        <f>IF('Calendario J'!J27="","",'Calendario J'!J27)</f>
        <v/>
      </c>
      <c r="K1557" s="201" t="s">
        <v>198</v>
      </c>
      <c r="L1557" s="202" t="str">
        <f>IF('Calendario J'!L27="","",'Calendario J'!L27)</f>
        <v/>
      </c>
      <c r="M1557" s="200"/>
      <c r="N1557" s="200"/>
      <c r="O1557" s="200"/>
      <c r="P1557" s="200"/>
      <c r="Q1557" s="200"/>
      <c r="R1557" s="200"/>
    </row>
    <row r="1558" spans="1:18" ht="15" customHeight="1" x14ac:dyDescent="0.25">
      <c r="A1558" s="133"/>
      <c r="B1558" s="136" t="str">
        <f>IF('Calendario J'!B28="","",'Calendario J'!B28)</f>
        <v/>
      </c>
      <c r="C1558" s="124"/>
      <c r="D1558" s="124"/>
      <c r="E1558" s="124"/>
      <c r="F1558" s="124"/>
      <c r="G1558" s="124"/>
      <c r="H1558" s="125"/>
      <c r="I1558" s="45" t="str">
        <f>IF('Calendario J'!I28="","",'Calendario J'!I28)</f>
        <v/>
      </c>
      <c r="J1558" s="133"/>
      <c r="K1558" s="133"/>
      <c r="L1558" s="133"/>
      <c r="M1558" s="133"/>
      <c r="N1558" s="133"/>
      <c r="O1558" s="133"/>
      <c r="P1558" s="133"/>
      <c r="Q1558" s="133"/>
      <c r="R1558" s="133"/>
    </row>
    <row r="1559" spans="1:18" ht="14.1" customHeight="1" x14ac:dyDescent="0.25">
      <c r="A1559" s="66" t="s">
        <v>193</v>
      </c>
      <c r="B1559" s="173" t="s">
        <v>175</v>
      </c>
      <c r="C1559" s="125"/>
      <c r="D1559" s="173" t="s">
        <v>182</v>
      </c>
      <c r="E1559" s="125"/>
      <c r="F1559" s="66" t="s">
        <v>194</v>
      </c>
      <c r="G1559" s="66" t="s">
        <v>195</v>
      </c>
      <c r="H1559" s="173" t="s">
        <v>196</v>
      </c>
      <c r="I1559" s="125"/>
      <c r="J1559" s="173" t="s">
        <v>197</v>
      </c>
      <c r="K1559" s="124"/>
      <c r="L1559" s="125"/>
      <c r="M1559" s="111" t="s">
        <v>494</v>
      </c>
      <c r="N1559" s="111" t="s">
        <v>495</v>
      </c>
      <c r="O1559" s="111" t="s">
        <v>496</v>
      </c>
      <c r="P1559" s="111" t="s">
        <v>497</v>
      </c>
      <c r="Q1559" s="111" t="s">
        <v>498</v>
      </c>
      <c r="R1559" s="111" t="s">
        <v>499</v>
      </c>
    </row>
    <row r="1560" spans="1:18" ht="21.95" customHeight="1" x14ac:dyDescent="0.25">
      <c r="A1560" s="174">
        <f>IF('Calendario J'!A30="","",'Calendario J'!A30)</f>
        <v>412</v>
      </c>
      <c r="B1560" s="44" t="str">
        <f>IF('Calendario J'!B30="","",'Calendario J'!B30)</f>
        <v/>
      </c>
      <c r="C1560" s="45" t="str">
        <f>IF('Calendario J'!C30="","",'Calendario J'!C30)</f>
        <v/>
      </c>
      <c r="D1560" s="44" t="str">
        <f>IF('Calendario J'!D30="","",'Calendario J'!D30)</f>
        <v/>
      </c>
      <c r="E1560" s="45" t="str">
        <f>IF('Calendario J'!E30="","",'Calendario J'!E30)</f>
        <v/>
      </c>
      <c r="F1560" s="138" t="str">
        <f>IF('Calendario J'!F30="","",'Calendario J'!F30)</f>
        <v/>
      </c>
      <c r="G1560" s="124"/>
      <c r="H1560" s="124"/>
      <c r="I1560" s="125"/>
      <c r="J1560" s="202" t="str">
        <f>IF('Calendario J'!J30="","",'Calendario J'!J30)</f>
        <v/>
      </c>
      <c r="K1560" s="201" t="s">
        <v>198</v>
      </c>
      <c r="L1560" s="202" t="str">
        <f>IF('Calendario J'!L30="","",'Calendario J'!L30)</f>
        <v/>
      </c>
      <c r="M1560" s="200"/>
      <c r="N1560" s="200"/>
      <c r="O1560" s="200"/>
      <c r="P1560" s="200"/>
      <c r="Q1560" s="200"/>
      <c r="R1560" s="200"/>
    </row>
    <row r="1561" spans="1:18" ht="15" customHeight="1" x14ac:dyDescent="0.25">
      <c r="A1561" s="133"/>
      <c r="B1561" s="136" t="str">
        <f>IF('Calendario J'!B31="","",'Calendario J'!B31)</f>
        <v/>
      </c>
      <c r="C1561" s="124"/>
      <c r="D1561" s="124"/>
      <c r="E1561" s="124"/>
      <c r="F1561" s="124"/>
      <c r="G1561" s="124"/>
      <c r="H1561" s="125"/>
      <c r="I1561" s="45" t="str">
        <f>IF('Calendario J'!I31="","",'Calendario J'!I31)</f>
        <v/>
      </c>
      <c r="J1561" s="133"/>
      <c r="K1561" s="133"/>
      <c r="L1561" s="133"/>
      <c r="M1561" s="133"/>
      <c r="N1561" s="133"/>
      <c r="O1561" s="133"/>
      <c r="P1561" s="133"/>
      <c r="Q1561" s="133"/>
      <c r="R1561" s="133"/>
    </row>
    <row r="1562" spans="1:18" ht="14.1" customHeight="1" x14ac:dyDescent="0.25">
      <c r="A1562" s="66" t="s">
        <v>193</v>
      </c>
      <c r="B1562" s="173" t="s">
        <v>175</v>
      </c>
      <c r="C1562" s="125"/>
      <c r="D1562" s="173" t="s">
        <v>182</v>
      </c>
      <c r="E1562" s="125"/>
      <c r="F1562" s="66" t="s">
        <v>194</v>
      </c>
      <c r="G1562" s="66" t="s">
        <v>195</v>
      </c>
      <c r="H1562" s="173" t="s">
        <v>196</v>
      </c>
      <c r="I1562" s="125"/>
      <c r="J1562" s="173" t="s">
        <v>197</v>
      </c>
      <c r="K1562" s="124"/>
      <c r="L1562" s="125"/>
      <c r="M1562" s="111" t="s">
        <v>494</v>
      </c>
      <c r="N1562" s="111" t="s">
        <v>495</v>
      </c>
      <c r="O1562" s="111" t="s">
        <v>496</v>
      </c>
      <c r="P1562" s="111" t="s">
        <v>497</v>
      </c>
      <c r="Q1562" s="111" t="s">
        <v>498</v>
      </c>
      <c r="R1562" s="111" t="s">
        <v>499</v>
      </c>
    </row>
    <row r="1563" spans="1:18" ht="21.95" customHeight="1" x14ac:dyDescent="0.25">
      <c r="A1563" s="174">
        <f>IF('Calendario J'!A33="","",'Calendario J'!A33)</f>
        <v>413</v>
      </c>
      <c r="B1563" s="44" t="str">
        <f>IF('Calendario J'!B33="","",'Calendario J'!B33)</f>
        <v/>
      </c>
      <c r="C1563" s="45" t="str">
        <f>IF('Calendario J'!C33="","",'Calendario J'!C33)</f>
        <v/>
      </c>
      <c r="D1563" s="44" t="str">
        <f>IF('Calendario J'!D33="","",'Calendario J'!D33)</f>
        <v/>
      </c>
      <c r="E1563" s="45" t="str">
        <f>IF('Calendario J'!E33="","",'Calendario J'!E33)</f>
        <v/>
      </c>
      <c r="F1563" s="138" t="str">
        <f>IF('Calendario J'!F33="","",'Calendario J'!F33)</f>
        <v/>
      </c>
      <c r="G1563" s="124"/>
      <c r="H1563" s="124"/>
      <c r="I1563" s="125"/>
      <c r="J1563" s="202" t="str">
        <f>IF('Calendario J'!J33="","",'Calendario J'!J33)</f>
        <v/>
      </c>
      <c r="K1563" s="201" t="s">
        <v>198</v>
      </c>
      <c r="L1563" s="202" t="str">
        <f>IF('Calendario J'!L33="","",'Calendario J'!L33)</f>
        <v/>
      </c>
      <c r="M1563" s="200"/>
      <c r="N1563" s="200"/>
      <c r="O1563" s="200"/>
      <c r="P1563" s="200"/>
      <c r="Q1563" s="200"/>
      <c r="R1563" s="200"/>
    </row>
    <row r="1564" spans="1:18" ht="15" customHeight="1" x14ac:dyDescent="0.25">
      <c r="A1564" s="133"/>
      <c r="B1564" s="136" t="str">
        <f>IF('Calendario J'!B34="","",'Calendario J'!B34)</f>
        <v/>
      </c>
      <c r="C1564" s="124"/>
      <c r="D1564" s="124"/>
      <c r="E1564" s="124"/>
      <c r="F1564" s="124"/>
      <c r="G1564" s="124"/>
      <c r="H1564" s="125"/>
      <c r="I1564" s="45" t="str">
        <f>IF('Calendario J'!I34="","",'Calendario J'!I34)</f>
        <v/>
      </c>
      <c r="J1564" s="133"/>
      <c r="K1564" s="133"/>
      <c r="L1564" s="133"/>
      <c r="M1564" s="133"/>
      <c r="N1564" s="133"/>
      <c r="O1564" s="133"/>
      <c r="P1564" s="133"/>
      <c r="Q1564" s="133"/>
      <c r="R1564" s="133"/>
    </row>
    <row r="1565" spans="1:18" ht="14.1" customHeight="1" x14ac:dyDescent="0.25">
      <c r="A1565" s="66" t="s">
        <v>193</v>
      </c>
      <c r="B1565" s="173" t="s">
        <v>175</v>
      </c>
      <c r="C1565" s="125"/>
      <c r="D1565" s="173" t="s">
        <v>182</v>
      </c>
      <c r="E1565" s="125"/>
      <c r="F1565" s="66" t="s">
        <v>194</v>
      </c>
      <c r="G1565" s="66" t="s">
        <v>195</v>
      </c>
      <c r="H1565" s="173" t="s">
        <v>196</v>
      </c>
      <c r="I1565" s="125"/>
      <c r="J1565" s="173" t="s">
        <v>197</v>
      </c>
      <c r="K1565" s="124"/>
      <c r="L1565" s="125"/>
      <c r="M1565" s="111" t="s">
        <v>494</v>
      </c>
      <c r="N1565" s="111" t="s">
        <v>495</v>
      </c>
      <c r="O1565" s="111" t="s">
        <v>496</v>
      </c>
      <c r="P1565" s="111" t="s">
        <v>497</v>
      </c>
      <c r="Q1565" s="111" t="s">
        <v>498</v>
      </c>
      <c r="R1565" s="111" t="s">
        <v>499</v>
      </c>
    </row>
    <row r="1566" spans="1:18" ht="21.95" customHeight="1" x14ac:dyDescent="0.25">
      <c r="A1566" s="174">
        <f>IF('Calendario J'!A36="","",'Calendario J'!A36)</f>
        <v>414</v>
      </c>
      <c r="B1566" s="44" t="str">
        <f>IF('Calendario J'!B36="","",'Calendario J'!B36)</f>
        <v/>
      </c>
      <c r="C1566" s="45" t="str">
        <f>IF('Calendario J'!C36="","",'Calendario J'!C36)</f>
        <v/>
      </c>
      <c r="D1566" s="44" t="str">
        <f>IF('Calendario J'!D36="","",'Calendario J'!D36)</f>
        <v/>
      </c>
      <c r="E1566" s="45" t="str">
        <f>IF('Calendario J'!E36="","",'Calendario J'!E36)</f>
        <v/>
      </c>
      <c r="F1566" s="138" t="str">
        <f>IF('Calendario J'!F36="","",'Calendario J'!F36)</f>
        <v/>
      </c>
      <c r="G1566" s="124"/>
      <c r="H1566" s="124"/>
      <c r="I1566" s="125"/>
      <c r="J1566" s="202" t="str">
        <f>IF('Calendario J'!J36="","",'Calendario J'!J36)</f>
        <v/>
      </c>
      <c r="K1566" s="201" t="s">
        <v>198</v>
      </c>
      <c r="L1566" s="202" t="str">
        <f>IF('Calendario J'!L36="","",'Calendario J'!L36)</f>
        <v/>
      </c>
      <c r="M1566" s="200"/>
      <c r="N1566" s="200"/>
      <c r="O1566" s="200"/>
      <c r="P1566" s="200"/>
      <c r="Q1566" s="200"/>
      <c r="R1566" s="200"/>
    </row>
    <row r="1567" spans="1:18" ht="15" customHeight="1" x14ac:dyDescent="0.25">
      <c r="A1567" s="133"/>
      <c r="B1567" s="136" t="str">
        <f>IF('Calendario J'!B37="","",'Calendario J'!B37)</f>
        <v/>
      </c>
      <c r="C1567" s="124"/>
      <c r="D1567" s="124"/>
      <c r="E1567" s="124"/>
      <c r="F1567" s="124"/>
      <c r="G1567" s="124"/>
      <c r="H1567" s="125"/>
      <c r="I1567" s="45" t="str">
        <f>IF('Calendario J'!I37="","",'Calendario J'!I37)</f>
        <v/>
      </c>
      <c r="J1567" s="133"/>
      <c r="K1567" s="133"/>
      <c r="L1567" s="133"/>
      <c r="M1567" s="133"/>
      <c r="N1567" s="133"/>
      <c r="O1567" s="133"/>
      <c r="P1567" s="133"/>
      <c r="Q1567" s="133"/>
      <c r="R1567" s="133"/>
    </row>
    <row r="1568" spans="1:18" ht="14.1" customHeight="1" x14ac:dyDescent="0.25">
      <c r="A1568" s="66" t="s">
        <v>193</v>
      </c>
      <c r="B1568" s="173" t="s">
        <v>175</v>
      </c>
      <c r="C1568" s="125"/>
      <c r="D1568" s="173" t="s">
        <v>182</v>
      </c>
      <c r="E1568" s="125"/>
      <c r="F1568" s="66" t="s">
        <v>194</v>
      </c>
      <c r="G1568" s="66" t="s">
        <v>195</v>
      </c>
      <c r="H1568" s="173" t="s">
        <v>196</v>
      </c>
      <c r="I1568" s="125"/>
      <c r="J1568" s="173" t="s">
        <v>197</v>
      </c>
      <c r="K1568" s="124"/>
      <c r="L1568" s="125"/>
      <c r="M1568" s="111" t="s">
        <v>494</v>
      </c>
      <c r="N1568" s="111" t="s">
        <v>495</v>
      </c>
      <c r="O1568" s="111" t="s">
        <v>496</v>
      </c>
      <c r="P1568" s="111" t="s">
        <v>497</v>
      </c>
      <c r="Q1568" s="111" t="s">
        <v>498</v>
      </c>
      <c r="R1568" s="111" t="s">
        <v>499</v>
      </c>
    </row>
    <row r="1569" spans="1:18" ht="21.95" customHeight="1" x14ac:dyDescent="0.25">
      <c r="A1569" s="174">
        <f>IF('Calendario J'!A39="","",'Calendario J'!A39)</f>
        <v>415</v>
      </c>
      <c r="B1569" s="44" t="str">
        <f>IF('Calendario J'!B39="","",'Calendario J'!B39)</f>
        <v/>
      </c>
      <c r="C1569" s="45" t="str">
        <f>IF('Calendario J'!C39="","",'Calendario J'!C39)</f>
        <v/>
      </c>
      <c r="D1569" s="44" t="str">
        <f>IF('Calendario J'!D39="","",'Calendario J'!D39)</f>
        <v/>
      </c>
      <c r="E1569" s="45" t="str">
        <f>IF('Calendario J'!E39="","",'Calendario J'!E39)</f>
        <v/>
      </c>
      <c r="F1569" s="138" t="str">
        <f>IF('Calendario J'!F39="","",'Calendario J'!F39)</f>
        <v/>
      </c>
      <c r="G1569" s="124"/>
      <c r="H1569" s="124"/>
      <c r="I1569" s="125"/>
      <c r="J1569" s="202" t="str">
        <f>IF('Calendario J'!J39="","",'Calendario J'!J39)</f>
        <v/>
      </c>
      <c r="K1569" s="201" t="s">
        <v>198</v>
      </c>
      <c r="L1569" s="202" t="str">
        <f>IF('Calendario J'!L39="","",'Calendario J'!L39)</f>
        <v/>
      </c>
      <c r="M1569" s="200"/>
      <c r="N1569" s="200"/>
      <c r="O1569" s="200"/>
      <c r="P1569" s="200"/>
      <c r="Q1569" s="200"/>
      <c r="R1569" s="200"/>
    </row>
    <row r="1570" spans="1:18" ht="15" customHeight="1" x14ac:dyDescent="0.25">
      <c r="A1570" s="133"/>
      <c r="B1570" s="136" t="str">
        <f>IF('Calendario J'!B40="","",'Calendario J'!B40)</f>
        <v/>
      </c>
      <c r="C1570" s="124"/>
      <c r="D1570" s="124"/>
      <c r="E1570" s="124"/>
      <c r="F1570" s="124"/>
      <c r="G1570" s="124"/>
      <c r="H1570" s="125"/>
      <c r="I1570" s="45" t="str">
        <f>IF('Calendario J'!I40="","",'Calendario J'!I40)</f>
        <v/>
      </c>
      <c r="J1570" s="133"/>
      <c r="K1570" s="133"/>
      <c r="L1570" s="133"/>
      <c r="M1570" s="133"/>
      <c r="N1570" s="133"/>
      <c r="O1570" s="133"/>
      <c r="P1570" s="133"/>
      <c r="Q1570" s="133"/>
      <c r="R1570" s="133"/>
    </row>
    <row r="1572" spans="1:18" ht="20.100000000000001" customHeight="1" x14ac:dyDescent="0.25">
      <c r="A1572" s="65" t="str">
        <f>IF('Calendario J'!A42="","",'Calendario J'!A42)</f>
        <v>3J</v>
      </c>
      <c r="B1572" s="175" t="str">
        <f>IF('Calendario J'!B42="","",'Calendario J'!B42)</f>
        <v>GIORNATA III - GIRONE J</v>
      </c>
      <c r="C1572" s="124"/>
      <c r="D1572" s="124"/>
      <c r="E1572" s="124"/>
      <c r="F1572" s="124"/>
      <c r="G1572" s="124"/>
      <c r="H1572" s="124"/>
      <c r="I1572" s="124"/>
      <c r="J1572" s="124"/>
      <c r="K1572" s="124"/>
      <c r="L1572" s="125"/>
      <c r="M1572" s="211" t="s">
        <v>492</v>
      </c>
      <c r="N1572" s="124"/>
      <c r="O1572" s="125"/>
      <c r="P1572" s="211" t="s">
        <v>493</v>
      </c>
      <c r="Q1572" s="124"/>
      <c r="R1572" s="125"/>
    </row>
    <row r="1573" spans="1:18" ht="14.1" customHeight="1" x14ac:dyDescent="0.25">
      <c r="A1573" s="66" t="s">
        <v>193</v>
      </c>
      <c r="B1573" s="173" t="s">
        <v>175</v>
      </c>
      <c r="C1573" s="125"/>
      <c r="D1573" s="173" t="s">
        <v>182</v>
      </c>
      <c r="E1573" s="125"/>
      <c r="F1573" s="66" t="s">
        <v>194</v>
      </c>
      <c r="G1573" s="66" t="s">
        <v>195</v>
      </c>
      <c r="H1573" s="173" t="s">
        <v>196</v>
      </c>
      <c r="I1573" s="125"/>
      <c r="J1573" s="173" t="s">
        <v>197</v>
      </c>
      <c r="K1573" s="124"/>
      <c r="L1573" s="125"/>
      <c r="M1573" s="111" t="s">
        <v>494</v>
      </c>
      <c r="N1573" s="111" t="s">
        <v>495</v>
      </c>
      <c r="O1573" s="111" t="s">
        <v>496</v>
      </c>
      <c r="P1573" s="111" t="s">
        <v>497</v>
      </c>
      <c r="Q1573" s="111" t="s">
        <v>498</v>
      </c>
      <c r="R1573" s="111" t="s">
        <v>499</v>
      </c>
    </row>
    <row r="1574" spans="1:18" ht="21.95" customHeight="1" x14ac:dyDescent="0.25">
      <c r="A1574" s="174">
        <f>IF('Calendario J'!A44="","",'Calendario J'!A44)</f>
        <v>416</v>
      </c>
      <c r="B1574" s="44" t="str">
        <f>IF('Calendario J'!B44="","",'Calendario J'!B44)</f>
        <v/>
      </c>
      <c r="C1574" s="45" t="str">
        <f>IF('Calendario J'!C44="","",'Calendario J'!C44)</f>
        <v/>
      </c>
      <c r="D1574" s="44" t="str">
        <f>IF('Calendario J'!D44="","",'Calendario J'!D44)</f>
        <v/>
      </c>
      <c r="E1574" s="45" t="str">
        <f>IF('Calendario J'!E44="","",'Calendario J'!E44)</f>
        <v/>
      </c>
      <c r="F1574" s="138" t="str">
        <f>IF('Calendario J'!F44="","",'Calendario J'!F44)</f>
        <v/>
      </c>
      <c r="G1574" s="124"/>
      <c r="H1574" s="124"/>
      <c r="I1574" s="125"/>
      <c r="J1574" s="202" t="str">
        <f>IF('Calendario J'!J44="","",'Calendario J'!J44)</f>
        <v/>
      </c>
      <c r="K1574" s="201" t="s">
        <v>198</v>
      </c>
      <c r="L1574" s="202" t="str">
        <f>IF('Calendario J'!L44="","",'Calendario J'!L44)</f>
        <v/>
      </c>
      <c r="M1574" s="200"/>
      <c r="N1574" s="200"/>
      <c r="O1574" s="200"/>
      <c r="P1574" s="200"/>
      <c r="Q1574" s="200"/>
      <c r="R1574" s="200"/>
    </row>
    <row r="1575" spans="1:18" ht="15" customHeight="1" x14ac:dyDescent="0.25">
      <c r="A1575" s="133"/>
      <c r="B1575" s="136" t="str">
        <f>IF('Calendario J'!B45="","",'Calendario J'!B45)</f>
        <v/>
      </c>
      <c r="C1575" s="124"/>
      <c r="D1575" s="124"/>
      <c r="E1575" s="124"/>
      <c r="F1575" s="124"/>
      <c r="G1575" s="124"/>
      <c r="H1575" s="125"/>
      <c r="I1575" s="45" t="str">
        <f>IF('Calendario J'!I45="","",'Calendario J'!I45)</f>
        <v/>
      </c>
      <c r="J1575" s="133"/>
      <c r="K1575" s="133"/>
      <c r="L1575" s="133"/>
      <c r="M1575" s="133"/>
      <c r="N1575" s="133"/>
      <c r="O1575" s="133"/>
      <c r="P1575" s="133"/>
      <c r="Q1575" s="133"/>
      <c r="R1575" s="133"/>
    </row>
    <row r="1576" spans="1:18" ht="14.1" customHeight="1" x14ac:dyDescent="0.25">
      <c r="A1576" s="66" t="s">
        <v>193</v>
      </c>
      <c r="B1576" s="173" t="s">
        <v>175</v>
      </c>
      <c r="C1576" s="125"/>
      <c r="D1576" s="173" t="s">
        <v>182</v>
      </c>
      <c r="E1576" s="125"/>
      <c r="F1576" s="66" t="s">
        <v>194</v>
      </c>
      <c r="G1576" s="66" t="s">
        <v>195</v>
      </c>
      <c r="H1576" s="173" t="s">
        <v>196</v>
      </c>
      <c r="I1576" s="125"/>
      <c r="J1576" s="173" t="s">
        <v>197</v>
      </c>
      <c r="K1576" s="124"/>
      <c r="L1576" s="125"/>
      <c r="M1576" s="111" t="s">
        <v>494</v>
      </c>
      <c r="N1576" s="111" t="s">
        <v>495</v>
      </c>
      <c r="O1576" s="111" t="s">
        <v>496</v>
      </c>
      <c r="P1576" s="111" t="s">
        <v>497</v>
      </c>
      <c r="Q1576" s="111" t="s">
        <v>498</v>
      </c>
      <c r="R1576" s="111" t="s">
        <v>499</v>
      </c>
    </row>
    <row r="1577" spans="1:18" ht="21.95" customHeight="1" x14ac:dyDescent="0.25">
      <c r="A1577" s="174">
        <f>IF('Calendario J'!A47="","",'Calendario J'!A47)</f>
        <v>417</v>
      </c>
      <c r="B1577" s="44" t="str">
        <f>IF('Calendario J'!B47="","",'Calendario J'!B47)</f>
        <v/>
      </c>
      <c r="C1577" s="45" t="str">
        <f>IF('Calendario J'!C47="","",'Calendario J'!C47)</f>
        <v/>
      </c>
      <c r="D1577" s="44" t="str">
        <f>IF('Calendario J'!D47="","",'Calendario J'!D47)</f>
        <v/>
      </c>
      <c r="E1577" s="45" t="str">
        <f>IF('Calendario J'!E47="","",'Calendario J'!E47)</f>
        <v/>
      </c>
      <c r="F1577" s="138" t="str">
        <f>IF('Calendario J'!F47="","",'Calendario J'!F47)</f>
        <v/>
      </c>
      <c r="G1577" s="124"/>
      <c r="H1577" s="124"/>
      <c r="I1577" s="125"/>
      <c r="J1577" s="202" t="str">
        <f>IF('Calendario J'!J47="","",'Calendario J'!J47)</f>
        <v/>
      </c>
      <c r="K1577" s="201" t="s">
        <v>198</v>
      </c>
      <c r="L1577" s="202" t="str">
        <f>IF('Calendario J'!L47="","",'Calendario J'!L47)</f>
        <v/>
      </c>
      <c r="M1577" s="200"/>
      <c r="N1577" s="200"/>
      <c r="O1577" s="200"/>
      <c r="P1577" s="200"/>
      <c r="Q1577" s="200"/>
      <c r="R1577" s="200"/>
    </row>
    <row r="1578" spans="1:18" ht="15" customHeight="1" x14ac:dyDescent="0.25">
      <c r="A1578" s="133"/>
      <c r="B1578" s="136" t="str">
        <f>IF('Calendario J'!B48="","",'Calendario J'!B48)</f>
        <v/>
      </c>
      <c r="C1578" s="124"/>
      <c r="D1578" s="124"/>
      <c r="E1578" s="124"/>
      <c r="F1578" s="124"/>
      <c r="G1578" s="124"/>
      <c r="H1578" s="125"/>
      <c r="I1578" s="45" t="str">
        <f>IF('Calendario J'!I48="","",'Calendario J'!I48)</f>
        <v/>
      </c>
      <c r="J1578" s="133"/>
      <c r="K1578" s="133"/>
      <c r="L1578" s="133"/>
      <c r="M1578" s="133"/>
      <c r="N1578" s="133"/>
      <c r="O1578" s="133"/>
      <c r="P1578" s="133"/>
      <c r="Q1578" s="133"/>
      <c r="R1578" s="133"/>
    </row>
    <row r="1579" spans="1:18" ht="14.1" customHeight="1" x14ac:dyDescent="0.25">
      <c r="A1579" s="66" t="s">
        <v>193</v>
      </c>
      <c r="B1579" s="173" t="s">
        <v>175</v>
      </c>
      <c r="C1579" s="125"/>
      <c r="D1579" s="173" t="s">
        <v>182</v>
      </c>
      <c r="E1579" s="125"/>
      <c r="F1579" s="66" t="s">
        <v>194</v>
      </c>
      <c r="G1579" s="66" t="s">
        <v>195</v>
      </c>
      <c r="H1579" s="173" t="s">
        <v>196</v>
      </c>
      <c r="I1579" s="125"/>
      <c r="J1579" s="173" t="s">
        <v>197</v>
      </c>
      <c r="K1579" s="124"/>
      <c r="L1579" s="125"/>
      <c r="M1579" s="111" t="s">
        <v>494</v>
      </c>
      <c r="N1579" s="111" t="s">
        <v>495</v>
      </c>
      <c r="O1579" s="111" t="s">
        <v>496</v>
      </c>
      <c r="P1579" s="111" t="s">
        <v>497</v>
      </c>
      <c r="Q1579" s="111" t="s">
        <v>498</v>
      </c>
      <c r="R1579" s="111" t="s">
        <v>499</v>
      </c>
    </row>
    <row r="1580" spans="1:18" ht="21.95" customHeight="1" x14ac:dyDescent="0.25">
      <c r="A1580" s="174">
        <f>IF('Calendario J'!A50="","",'Calendario J'!A50)</f>
        <v>418</v>
      </c>
      <c r="B1580" s="44" t="str">
        <f>IF('Calendario J'!B50="","",'Calendario J'!B50)</f>
        <v/>
      </c>
      <c r="C1580" s="45" t="str">
        <f>IF('Calendario J'!C50="","",'Calendario J'!C50)</f>
        <v/>
      </c>
      <c r="D1580" s="44" t="str">
        <f>IF('Calendario J'!D50="","",'Calendario J'!D50)</f>
        <v/>
      </c>
      <c r="E1580" s="45" t="str">
        <f>IF('Calendario J'!E50="","",'Calendario J'!E50)</f>
        <v/>
      </c>
      <c r="F1580" s="138" t="str">
        <f>IF('Calendario J'!F50="","",'Calendario J'!F50)</f>
        <v/>
      </c>
      <c r="G1580" s="124"/>
      <c r="H1580" s="124"/>
      <c r="I1580" s="125"/>
      <c r="J1580" s="202" t="str">
        <f>IF('Calendario J'!J50="","",'Calendario J'!J50)</f>
        <v/>
      </c>
      <c r="K1580" s="201" t="s">
        <v>198</v>
      </c>
      <c r="L1580" s="202" t="str">
        <f>IF('Calendario J'!L50="","",'Calendario J'!L50)</f>
        <v/>
      </c>
      <c r="M1580" s="200"/>
      <c r="N1580" s="200"/>
      <c r="O1580" s="200"/>
      <c r="P1580" s="200"/>
      <c r="Q1580" s="200"/>
      <c r="R1580" s="200"/>
    </row>
    <row r="1581" spans="1:18" ht="15" customHeight="1" x14ac:dyDescent="0.25">
      <c r="A1581" s="133"/>
      <c r="B1581" s="136" t="str">
        <f>IF('Calendario J'!B51="","",'Calendario J'!B51)</f>
        <v/>
      </c>
      <c r="C1581" s="124"/>
      <c r="D1581" s="124"/>
      <c r="E1581" s="124"/>
      <c r="F1581" s="124"/>
      <c r="G1581" s="124"/>
      <c r="H1581" s="125"/>
      <c r="I1581" s="45" t="str">
        <f>IF('Calendario J'!I51="","",'Calendario J'!I51)</f>
        <v/>
      </c>
      <c r="J1581" s="133"/>
      <c r="K1581" s="133"/>
      <c r="L1581" s="133"/>
      <c r="M1581" s="133"/>
      <c r="N1581" s="133"/>
      <c r="O1581" s="133"/>
      <c r="P1581" s="133"/>
      <c r="Q1581" s="133"/>
      <c r="R1581" s="133"/>
    </row>
    <row r="1582" spans="1:18" ht="14.1" customHeight="1" x14ac:dyDescent="0.25">
      <c r="A1582" s="66" t="s">
        <v>193</v>
      </c>
      <c r="B1582" s="173" t="s">
        <v>175</v>
      </c>
      <c r="C1582" s="125"/>
      <c r="D1582" s="173" t="s">
        <v>182</v>
      </c>
      <c r="E1582" s="125"/>
      <c r="F1582" s="66" t="s">
        <v>194</v>
      </c>
      <c r="G1582" s="66" t="s">
        <v>195</v>
      </c>
      <c r="H1582" s="173" t="s">
        <v>196</v>
      </c>
      <c r="I1582" s="125"/>
      <c r="J1582" s="173" t="s">
        <v>197</v>
      </c>
      <c r="K1582" s="124"/>
      <c r="L1582" s="125"/>
      <c r="M1582" s="111" t="s">
        <v>494</v>
      </c>
      <c r="N1582" s="111" t="s">
        <v>495</v>
      </c>
      <c r="O1582" s="111" t="s">
        <v>496</v>
      </c>
      <c r="P1582" s="111" t="s">
        <v>497</v>
      </c>
      <c r="Q1582" s="111" t="s">
        <v>498</v>
      </c>
      <c r="R1582" s="111" t="s">
        <v>499</v>
      </c>
    </row>
    <row r="1583" spans="1:18" ht="21.95" customHeight="1" x14ac:dyDescent="0.25">
      <c r="A1583" s="174">
        <f>IF('Calendario J'!A53="","",'Calendario J'!A53)</f>
        <v>419</v>
      </c>
      <c r="B1583" s="44" t="str">
        <f>IF('Calendario J'!B53="","",'Calendario J'!B53)</f>
        <v/>
      </c>
      <c r="C1583" s="45" t="str">
        <f>IF('Calendario J'!C53="","",'Calendario J'!C53)</f>
        <v/>
      </c>
      <c r="D1583" s="44" t="str">
        <f>IF('Calendario J'!D53="","",'Calendario J'!D53)</f>
        <v/>
      </c>
      <c r="E1583" s="45" t="str">
        <f>IF('Calendario J'!E53="","",'Calendario J'!E53)</f>
        <v/>
      </c>
      <c r="F1583" s="138" t="str">
        <f>IF('Calendario J'!F53="","",'Calendario J'!F53)</f>
        <v/>
      </c>
      <c r="G1583" s="124"/>
      <c r="H1583" s="124"/>
      <c r="I1583" s="125"/>
      <c r="J1583" s="202" t="str">
        <f>IF('Calendario J'!J53="","",'Calendario J'!J53)</f>
        <v/>
      </c>
      <c r="K1583" s="201" t="s">
        <v>198</v>
      </c>
      <c r="L1583" s="202" t="str">
        <f>IF('Calendario J'!L53="","",'Calendario J'!L53)</f>
        <v/>
      </c>
      <c r="M1583" s="200"/>
      <c r="N1583" s="200"/>
      <c r="O1583" s="200"/>
      <c r="P1583" s="200"/>
      <c r="Q1583" s="200"/>
      <c r="R1583" s="200"/>
    </row>
    <row r="1584" spans="1:18" ht="15" customHeight="1" x14ac:dyDescent="0.25">
      <c r="A1584" s="133"/>
      <c r="B1584" s="136" t="str">
        <f>IF('Calendario J'!B54="","",'Calendario J'!B54)</f>
        <v/>
      </c>
      <c r="C1584" s="124"/>
      <c r="D1584" s="124"/>
      <c r="E1584" s="124"/>
      <c r="F1584" s="124"/>
      <c r="G1584" s="124"/>
      <c r="H1584" s="125"/>
      <c r="I1584" s="45" t="str">
        <f>IF('Calendario J'!I54="","",'Calendario J'!I54)</f>
        <v/>
      </c>
      <c r="J1584" s="133"/>
      <c r="K1584" s="133"/>
      <c r="L1584" s="133"/>
      <c r="M1584" s="133"/>
      <c r="N1584" s="133"/>
      <c r="O1584" s="133"/>
      <c r="P1584" s="133"/>
      <c r="Q1584" s="133"/>
      <c r="R1584" s="133"/>
    </row>
    <row r="1585" spans="1:18" ht="14.1" customHeight="1" x14ac:dyDescent="0.25">
      <c r="A1585" s="66" t="s">
        <v>193</v>
      </c>
      <c r="B1585" s="173" t="s">
        <v>175</v>
      </c>
      <c r="C1585" s="125"/>
      <c r="D1585" s="173" t="s">
        <v>182</v>
      </c>
      <c r="E1585" s="125"/>
      <c r="F1585" s="66" t="s">
        <v>194</v>
      </c>
      <c r="G1585" s="66" t="s">
        <v>195</v>
      </c>
      <c r="H1585" s="173" t="s">
        <v>196</v>
      </c>
      <c r="I1585" s="125"/>
      <c r="J1585" s="173" t="s">
        <v>197</v>
      </c>
      <c r="K1585" s="124"/>
      <c r="L1585" s="125"/>
      <c r="M1585" s="111" t="s">
        <v>494</v>
      </c>
      <c r="N1585" s="111" t="s">
        <v>495</v>
      </c>
      <c r="O1585" s="111" t="s">
        <v>496</v>
      </c>
      <c r="P1585" s="111" t="s">
        <v>497</v>
      </c>
      <c r="Q1585" s="111" t="s">
        <v>498</v>
      </c>
      <c r="R1585" s="111" t="s">
        <v>499</v>
      </c>
    </row>
    <row r="1586" spans="1:18" ht="21.95" customHeight="1" x14ac:dyDescent="0.25">
      <c r="A1586" s="174">
        <f>IF('Calendario J'!A56="","",'Calendario J'!A56)</f>
        <v>420</v>
      </c>
      <c r="B1586" s="44" t="str">
        <f>IF('Calendario J'!B56="","",'Calendario J'!B56)</f>
        <v/>
      </c>
      <c r="C1586" s="45" t="str">
        <f>IF('Calendario J'!C56="","",'Calendario J'!C56)</f>
        <v/>
      </c>
      <c r="D1586" s="44" t="str">
        <f>IF('Calendario J'!D56="","",'Calendario J'!D56)</f>
        <v/>
      </c>
      <c r="E1586" s="45" t="str">
        <f>IF('Calendario J'!E56="","",'Calendario J'!E56)</f>
        <v/>
      </c>
      <c r="F1586" s="138" t="str">
        <f>IF('Calendario J'!F56="","",'Calendario J'!F56)</f>
        <v/>
      </c>
      <c r="G1586" s="124"/>
      <c r="H1586" s="124"/>
      <c r="I1586" s="125"/>
      <c r="J1586" s="202" t="str">
        <f>IF('Calendario J'!J56="","",'Calendario J'!J56)</f>
        <v/>
      </c>
      <c r="K1586" s="201" t="s">
        <v>198</v>
      </c>
      <c r="L1586" s="202" t="str">
        <f>IF('Calendario J'!L56="","",'Calendario J'!L56)</f>
        <v/>
      </c>
      <c r="M1586" s="200"/>
      <c r="N1586" s="200"/>
      <c r="O1586" s="200"/>
      <c r="P1586" s="200"/>
      <c r="Q1586" s="200"/>
      <c r="R1586" s="200"/>
    </row>
    <row r="1587" spans="1:18" ht="15" customHeight="1" x14ac:dyDescent="0.25">
      <c r="A1587" s="133"/>
      <c r="B1587" s="136" t="str">
        <f>IF('Calendario J'!B57="","",'Calendario J'!B57)</f>
        <v/>
      </c>
      <c r="C1587" s="124"/>
      <c r="D1587" s="124"/>
      <c r="E1587" s="124"/>
      <c r="F1587" s="124"/>
      <c r="G1587" s="124"/>
      <c r="H1587" s="125"/>
      <c r="I1587" s="45" t="str">
        <f>IF('Calendario J'!I57="","",'Calendario J'!I57)</f>
        <v/>
      </c>
      <c r="J1587" s="133"/>
      <c r="K1587" s="133"/>
      <c r="L1587" s="133"/>
      <c r="M1587" s="133"/>
      <c r="N1587" s="133"/>
      <c r="O1587" s="133"/>
      <c r="P1587" s="133"/>
      <c r="Q1587" s="133"/>
      <c r="R1587" s="133"/>
    </row>
    <row r="1589" spans="1:18" ht="20.100000000000001" customHeight="1" x14ac:dyDescent="0.25">
      <c r="A1589" s="65" t="str">
        <f>IF('Calendario J'!A59="","",'Calendario J'!A59)</f>
        <v>4J</v>
      </c>
      <c r="B1589" s="175" t="str">
        <f>IF('Calendario J'!B59="","",'Calendario J'!B59)</f>
        <v>GIORNATA IV - GIRONE J</v>
      </c>
      <c r="C1589" s="124"/>
      <c r="D1589" s="124"/>
      <c r="E1589" s="124"/>
      <c r="F1589" s="124"/>
      <c r="G1589" s="124"/>
      <c r="H1589" s="124"/>
      <c r="I1589" s="124"/>
      <c r="J1589" s="124"/>
      <c r="K1589" s="124"/>
      <c r="L1589" s="125"/>
      <c r="M1589" s="211" t="s">
        <v>492</v>
      </c>
      <c r="N1589" s="124"/>
      <c r="O1589" s="125"/>
      <c r="P1589" s="211" t="s">
        <v>493</v>
      </c>
      <c r="Q1589" s="124"/>
      <c r="R1589" s="125"/>
    </row>
    <row r="1590" spans="1:18" ht="14.1" customHeight="1" x14ac:dyDescent="0.25">
      <c r="A1590" s="66" t="s">
        <v>193</v>
      </c>
      <c r="B1590" s="173" t="s">
        <v>175</v>
      </c>
      <c r="C1590" s="125"/>
      <c r="D1590" s="173" t="s">
        <v>182</v>
      </c>
      <c r="E1590" s="125"/>
      <c r="F1590" s="66" t="s">
        <v>194</v>
      </c>
      <c r="G1590" s="66" t="s">
        <v>195</v>
      </c>
      <c r="H1590" s="173" t="s">
        <v>196</v>
      </c>
      <c r="I1590" s="125"/>
      <c r="J1590" s="173" t="s">
        <v>197</v>
      </c>
      <c r="K1590" s="124"/>
      <c r="L1590" s="125"/>
      <c r="M1590" s="111" t="s">
        <v>494</v>
      </c>
      <c r="N1590" s="111" t="s">
        <v>495</v>
      </c>
      <c r="O1590" s="111" t="s">
        <v>496</v>
      </c>
      <c r="P1590" s="111" t="s">
        <v>497</v>
      </c>
      <c r="Q1590" s="111" t="s">
        <v>498</v>
      </c>
      <c r="R1590" s="111" t="s">
        <v>499</v>
      </c>
    </row>
    <row r="1591" spans="1:18" ht="21.95" customHeight="1" x14ac:dyDescent="0.25">
      <c r="A1591" s="174">
        <f>IF('Calendario J'!A61="","",'Calendario J'!A61)</f>
        <v>421</v>
      </c>
      <c r="B1591" s="44" t="str">
        <f>IF('Calendario J'!B61="","",'Calendario J'!B61)</f>
        <v/>
      </c>
      <c r="C1591" s="45" t="str">
        <f>IF('Calendario J'!C61="","",'Calendario J'!C61)</f>
        <v/>
      </c>
      <c r="D1591" s="44" t="str">
        <f>IF('Calendario J'!D61="","",'Calendario J'!D61)</f>
        <v/>
      </c>
      <c r="E1591" s="45" t="str">
        <f>IF('Calendario J'!E61="","",'Calendario J'!E61)</f>
        <v/>
      </c>
      <c r="F1591" s="138" t="str">
        <f>IF('Calendario J'!F61="","",'Calendario J'!F61)</f>
        <v/>
      </c>
      <c r="G1591" s="124"/>
      <c r="H1591" s="124"/>
      <c r="I1591" s="125"/>
      <c r="J1591" s="202" t="str">
        <f>IF('Calendario J'!J61="","",'Calendario J'!J61)</f>
        <v/>
      </c>
      <c r="K1591" s="201" t="s">
        <v>198</v>
      </c>
      <c r="L1591" s="202" t="str">
        <f>IF('Calendario J'!L61="","",'Calendario J'!L61)</f>
        <v/>
      </c>
      <c r="M1591" s="200"/>
      <c r="N1591" s="200"/>
      <c r="O1591" s="200"/>
      <c r="P1591" s="200"/>
      <c r="Q1591" s="200"/>
      <c r="R1591" s="200"/>
    </row>
    <row r="1592" spans="1:18" ht="15" customHeight="1" x14ac:dyDescent="0.25">
      <c r="A1592" s="133"/>
      <c r="B1592" s="136" t="str">
        <f>IF('Calendario J'!B62="","",'Calendario J'!B62)</f>
        <v/>
      </c>
      <c r="C1592" s="124"/>
      <c r="D1592" s="124"/>
      <c r="E1592" s="124"/>
      <c r="F1592" s="124"/>
      <c r="G1592" s="124"/>
      <c r="H1592" s="125"/>
      <c r="I1592" s="45" t="str">
        <f>IF('Calendario J'!I62="","",'Calendario J'!I62)</f>
        <v/>
      </c>
      <c r="J1592" s="133"/>
      <c r="K1592" s="133"/>
      <c r="L1592" s="133"/>
      <c r="M1592" s="133"/>
      <c r="N1592" s="133"/>
      <c r="O1592" s="133"/>
      <c r="P1592" s="133"/>
      <c r="Q1592" s="133"/>
      <c r="R1592" s="133"/>
    </row>
    <row r="1593" spans="1:18" ht="14.1" customHeight="1" x14ac:dyDescent="0.25">
      <c r="A1593" s="66" t="s">
        <v>193</v>
      </c>
      <c r="B1593" s="173" t="s">
        <v>175</v>
      </c>
      <c r="C1593" s="125"/>
      <c r="D1593" s="173" t="s">
        <v>182</v>
      </c>
      <c r="E1593" s="125"/>
      <c r="F1593" s="66" t="s">
        <v>194</v>
      </c>
      <c r="G1593" s="66" t="s">
        <v>195</v>
      </c>
      <c r="H1593" s="173" t="s">
        <v>196</v>
      </c>
      <c r="I1593" s="125"/>
      <c r="J1593" s="173" t="s">
        <v>197</v>
      </c>
      <c r="K1593" s="124"/>
      <c r="L1593" s="125"/>
      <c r="M1593" s="111" t="s">
        <v>494</v>
      </c>
      <c r="N1593" s="111" t="s">
        <v>495</v>
      </c>
      <c r="O1593" s="111" t="s">
        <v>496</v>
      </c>
      <c r="P1593" s="111" t="s">
        <v>497</v>
      </c>
      <c r="Q1593" s="111" t="s">
        <v>498</v>
      </c>
      <c r="R1593" s="111" t="s">
        <v>499</v>
      </c>
    </row>
    <row r="1594" spans="1:18" ht="21.95" customHeight="1" x14ac:dyDescent="0.25">
      <c r="A1594" s="174">
        <f>IF('Calendario J'!A64="","",'Calendario J'!A64)</f>
        <v>422</v>
      </c>
      <c r="B1594" s="44" t="str">
        <f>IF('Calendario J'!B64="","",'Calendario J'!B64)</f>
        <v/>
      </c>
      <c r="C1594" s="45" t="str">
        <f>IF('Calendario J'!C64="","",'Calendario J'!C64)</f>
        <v/>
      </c>
      <c r="D1594" s="44" t="str">
        <f>IF('Calendario J'!D64="","",'Calendario J'!D64)</f>
        <v/>
      </c>
      <c r="E1594" s="45" t="str">
        <f>IF('Calendario J'!E64="","",'Calendario J'!E64)</f>
        <v/>
      </c>
      <c r="F1594" s="138" t="str">
        <f>IF('Calendario J'!F64="","",'Calendario J'!F64)</f>
        <v/>
      </c>
      <c r="G1594" s="124"/>
      <c r="H1594" s="124"/>
      <c r="I1594" s="125"/>
      <c r="J1594" s="202" t="str">
        <f>IF('Calendario J'!J64="","",'Calendario J'!J64)</f>
        <v/>
      </c>
      <c r="K1594" s="201" t="s">
        <v>198</v>
      </c>
      <c r="L1594" s="202" t="str">
        <f>IF('Calendario J'!L64="","",'Calendario J'!L64)</f>
        <v/>
      </c>
      <c r="M1594" s="200"/>
      <c r="N1594" s="200"/>
      <c r="O1594" s="200"/>
      <c r="P1594" s="200"/>
      <c r="Q1594" s="200"/>
      <c r="R1594" s="200"/>
    </row>
    <row r="1595" spans="1:18" ht="15" customHeight="1" x14ac:dyDescent="0.25">
      <c r="A1595" s="133"/>
      <c r="B1595" s="136" t="str">
        <f>IF('Calendario J'!B65="","",'Calendario J'!B65)</f>
        <v/>
      </c>
      <c r="C1595" s="124"/>
      <c r="D1595" s="124"/>
      <c r="E1595" s="124"/>
      <c r="F1595" s="124"/>
      <c r="G1595" s="124"/>
      <c r="H1595" s="125"/>
      <c r="I1595" s="45" t="str">
        <f>IF('Calendario J'!I65="","",'Calendario J'!I65)</f>
        <v/>
      </c>
      <c r="J1595" s="133"/>
      <c r="K1595" s="133"/>
      <c r="L1595" s="133"/>
      <c r="M1595" s="133"/>
      <c r="N1595" s="133"/>
      <c r="O1595" s="133"/>
      <c r="P1595" s="133"/>
      <c r="Q1595" s="133"/>
      <c r="R1595" s="133"/>
    </row>
    <row r="1596" spans="1:18" ht="14.1" customHeight="1" x14ac:dyDescent="0.25">
      <c r="A1596" s="66" t="s">
        <v>193</v>
      </c>
      <c r="B1596" s="173" t="s">
        <v>175</v>
      </c>
      <c r="C1596" s="125"/>
      <c r="D1596" s="173" t="s">
        <v>182</v>
      </c>
      <c r="E1596" s="125"/>
      <c r="F1596" s="66" t="s">
        <v>194</v>
      </c>
      <c r="G1596" s="66" t="s">
        <v>195</v>
      </c>
      <c r="H1596" s="173" t="s">
        <v>196</v>
      </c>
      <c r="I1596" s="125"/>
      <c r="J1596" s="173" t="s">
        <v>197</v>
      </c>
      <c r="K1596" s="124"/>
      <c r="L1596" s="125"/>
      <c r="M1596" s="111" t="s">
        <v>494</v>
      </c>
      <c r="N1596" s="111" t="s">
        <v>495</v>
      </c>
      <c r="O1596" s="111" t="s">
        <v>496</v>
      </c>
      <c r="P1596" s="111" t="s">
        <v>497</v>
      </c>
      <c r="Q1596" s="111" t="s">
        <v>498</v>
      </c>
      <c r="R1596" s="111" t="s">
        <v>499</v>
      </c>
    </row>
    <row r="1597" spans="1:18" ht="21.95" customHeight="1" x14ac:dyDescent="0.25">
      <c r="A1597" s="174">
        <f>IF('Calendario J'!A67="","",'Calendario J'!A67)</f>
        <v>423</v>
      </c>
      <c r="B1597" s="44" t="str">
        <f>IF('Calendario J'!B67="","",'Calendario J'!B67)</f>
        <v/>
      </c>
      <c r="C1597" s="45" t="str">
        <f>IF('Calendario J'!C67="","",'Calendario J'!C67)</f>
        <v/>
      </c>
      <c r="D1597" s="44" t="str">
        <f>IF('Calendario J'!D67="","",'Calendario J'!D67)</f>
        <v/>
      </c>
      <c r="E1597" s="45" t="str">
        <f>IF('Calendario J'!E67="","",'Calendario J'!E67)</f>
        <v/>
      </c>
      <c r="F1597" s="138" t="str">
        <f>IF('Calendario J'!F67="","",'Calendario J'!F67)</f>
        <v/>
      </c>
      <c r="G1597" s="124"/>
      <c r="H1597" s="124"/>
      <c r="I1597" s="125"/>
      <c r="J1597" s="202" t="str">
        <f>IF('Calendario J'!J67="","",'Calendario J'!J67)</f>
        <v/>
      </c>
      <c r="K1597" s="201" t="s">
        <v>198</v>
      </c>
      <c r="L1597" s="202" t="str">
        <f>IF('Calendario J'!L67="","",'Calendario J'!L67)</f>
        <v/>
      </c>
      <c r="M1597" s="200"/>
      <c r="N1597" s="200"/>
      <c r="O1597" s="200"/>
      <c r="P1597" s="200"/>
      <c r="Q1597" s="200"/>
      <c r="R1597" s="200"/>
    </row>
    <row r="1598" spans="1:18" ht="15" customHeight="1" x14ac:dyDescent="0.25">
      <c r="A1598" s="133"/>
      <c r="B1598" s="136" t="str">
        <f>IF('Calendario J'!B68="","",'Calendario J'!B68)</f>
        <v/>
      </c>
      <c r="C1598" s="124"/>
      <c r="D1598" s="124"/>
      <c r="E1598" s="124"/>
      <c r="F1598" s="124"/>
      <c r="G1598" s="124"/>
      <c r="H1598" s="125"/>
      <c r="I1598" s="45" t="str">
        <f>IF('Calendario J'!I68="","",'Calendario J'!I68)</f>
        <v/>
      </c>
      <c r="J1598" s="133"/>
      <c r="K1598" s="133"/>
      <c r="L1598" s="133"/>
      <c r="M1598" s="133"/>
      <c r="N1598" s="133"/>
      <c r="O1598" s="133"/>
      <c r="P1598" s="133"/>
      <c r="Q1598" s="133"/>
      <c r="R1598" s="133"/>
    </row>
    <row r="1599" spans="1:18" ht="14.1" customHeight="1" x14ac:dyDescent="0.25">
      <c r="A1599" s="66" t="s">
        <v>193</v>
      </c>
      <c r="B1599" s="173" t="s">
        <v>175</v>
      </c>
      <c r="C1599" s="125"/>
      <c r="D1599" s="173" t="s">
        <v>182</v>
      </c>
      <c r="E1599" s="125"/>
      <c r="F1599" s="66" t="s">
        <v>194</v>
      </c>
      <c r="G1599" s="66" t="s">
        <v>195</v>
      </c>
      <c r="H1599" s="173" t="s">
        <v>196</v>
      </c>
      <c r="I1599" s="125"/>
      <c r="J1599" s="173" t="s">
        <v>197</v>
      </c>
      <c r="K1599" s="124"/>
      <c r="L1599" s="125"/>
      <c r="M1599" s="111" t="s">
        <v>494</v>
      </c>
      <c r="N1599" s="111" t="s">
        <v>495</v>
      </c>
      <c r="O1599" s="111" t="s">
        <v>496</v>
      </c>
      <c r="P1599" s="111" t="s">
        <v>497</v>
      </c>
      <c r="Q1599" s="111" t="s">
        <v>498</v>
      </c>
      <c r="R1599" s="111" t="s">
        <v>499</v>
      </c>
    </row>
    <row r="1600" spans="1:18" ht="21.95" customHeight="1" x14ac:dyDescent="0.25">
      <c r="A1600" s="174">
        <f>IF('Calendario J'!A70="","",'Calendario J'!A70)</f>
        <v>424</v>
      </c>
      <c r="B1600" s="44" t="str">
        <f>IF('Calendario J'!B70="","",'Calendario J'!B70)</f>
        <v/>
      </c>
      <c r="C1600" s="45" t="str">
        <f>IF('Calendario J'!C70="","",'Calendario J'!C70)</f>
        <v/>
      </c>
      <c r="D1600" s="44" t="str">
        <f>IF('Calendario J'!D70="","",'Calendario J'!D70)</f>
        <v/>
      </c>
      <c r="E1600" s="45" t="str">
        <f>IF('Calendario J'!E70="","",'Calendario J'!E70)</f>
        <v/>
      </c>
      <c r="F1600" s="138" t="str">
        <f>IF('Calendario J'!F70="","",'Calendario J'!F70)</f>
        <v/>
      </c>
      <c r="G1600" s="124"/>
      <c r="H1600" s="124"/>
      <c r="I1600" s="125"/>
      <c r="J1600" s="202" t="str">
        <f>IF('Calendario J'!J70="","",'Calendario J'!J70)</f>
        <v/>
      </c>
      <c r="K1600" s="201" t="s">
        <v>198</v>
      </c>
      <c r="L1600" s="202" t="str">
        <f>IF('Calendario J'!L70="","",'Calendario J'!L70)</f>
        <v/>
      </c>
      <c r="M1600" s="200"/>
      <c r="N1600" s="200"/>
      <c r="O1600" s="200"/>
      <c r="P1600" s="200"/>
      <c r="Q1600" s="200"/>
      <c r="R1600" s="200"/>
    </row>
    <row r="1601" spans="1:18" ht="15" customHeight="1" x14ac:dyDescent="0.25">
      <c r="A1601" s="133"/>
      <c r="B1601" s="136" t="str">
        <f>IF('Calendario J'!B71="","",'Calendario J'!B71)</f>
        <v/>
      </c>
      <c r="C1601" s="124"/>
      <c r="D1601" s="124"/>
      <c r="E1601" s="124"/>
      <c r="F1601" s="124"/>
      <c r="G1601" s="124"/>
      <c r="H1601" s="125"/>
      <c r="I1601" s="45" t="str">
        <f>IF('Calendario J'!I71="","",'Calendario J'!I71)</f>
        <v/>
      </c>
      <c r="J1601" s="133"/>
      <c r="K1601" s="133"/>
      <c r="L1601" s="133"/>
      <c r="M1601" s="133"/>
      <c r="N1601" s="133"/>
      <c r="O1601" s="133"/>
      <c r="P1601" s="133"/>
      <c r="Q1601" s="133"/>
      <c r="R1601" s="133"/>
    </row>
    <row r="1602" spans="1:18" ht="14.1" customHeight="1" x14ac:dyDescent="0.25">
      <c r="A1602" s="66" t="s">
        <v>193</v>
      </c>
      <c r="B1602" s="173" t="s">
        <v>175</v>
      </c>
      <c r="C1602" s="125"/>
      <c r="D1602" s="173" t="s">
        <v>182</v>
      </c>
      <c r="E1602" s="125"/>
      <c r="F1602" s="66" t="s">
        <v>194</v>
      </c>
      <c r="G1602" s="66" t="s">
        <v>195</v>
      </c>
      <c r="H1602" s="173" t="s">
        <v>196</v>
      </c>
      <c r="I1602" s="125"/>
      <c r="J1602" s="173" t="s">
        <v>197</v>
      </c>
      <c r="K1602" s="124"/>
      <c r="L1602" s="125"/>
      <c r="M1602" s="111" t="s">
        <v>494</v>
      </c>
      <c r="N1602" s="111" t="s">
        <v>495</v>
      </c>
      <c r="O1602" s="111" t="s">
        <v>496</v>
      </c>
      <c r="P1602" s="111" t="s">
        <v>497</v>
      </c>
      <c r="Q1602" s="111" t="s">
        <v>498</v>
      </c>
      <c r="R1602" s="111" t="s">
        <v>499</v>
      </c>
    </row>
    <row r="1603" spans="1:18" ht="21.95" customHeight="1" x14ac:dyDescent="0.25">
      <c r="A1603" s="174">
        <f>IF('Calendario J'!A73="","",'Calendario J'!A73)</f>
        <v>425</v>
      </c>
      <c r="B1603" s="44" t="str">
        <f>IF('Calendario J'!B73="","",'Calendario J'!B73)</f>
        <v/>
      </c>
      <c r="C1603" s="45" t="str">
        <f>IF('Calendario J'!C73="","",'Calendario J'!C73)</f>
        <v/>
      </c>
      <c r="D1603" s="44" t="str">
        <f>IF('Calendario J'!D73="","",'Calendario J'!D73)</f>
        <v/>
      </c>
      <c r="E1603" s="45" t="str">
        <f>IF('Calendario J'!E73="","",'Calendario J'!E73)</f>
        <v/>
      </c>
      <c r="F1603" s="138" t="str">
        <f>IF('Calendario J'!F73="","",'Calendario J'!F73)</f>
        <v/>
      </c>
      <c r="G1603" s="124"/>
      <c r="H1603" s="124"/>
      <c r="I1603" s="125"/>
      <c r="J1603" s="202" t="str">
        <f>IF('Calendario J'!J73="","",'Calendario J'!J73)</f>
        <v/>
      </c>
      <c r="K1603" s="201" t="s">
        <v>198</v>
      </c>
      <c r="L1603" s="202" t="str">
        <f>IF('Calendario J'!L73="","",'Calendario J'!L73)</f>
        <v/>
      </c>
      <c r="M1603" s="200"/>
      <c r="N1603" s="200"/>
      <c r="O1603" s="200"/>
      <c r="P1603" s="200"/>
      <c r="Q1603" s="200"/>
      <c r="R1603" s="200"/>
    </row>
    <row r="1604" spans="1:18" ht="15" customHeight="1" x14ac:dyDescent="0.25">
      <c r="A1604" s="133"/>
      <c r="B1604" s="136" t="str">
        <f>IF('Calendario J'!B74="","",'Calendario J'!B74)</f>
        <v/>
      </c>
      <c r="C1604" s="124"/>
      <c r="D1604" s="124"/>
      <c r="E1604" s="124"/>
      <c r="F1604" s="124"/>
      <c r="G1604" s="124"/>
      <c r="H1604" s="125"/>
      <c r="I1604" s="45" t="str">
        <f>IF('Calendario J'!I74="","",'Calendario J'!I74)</f>
        <v/>
      </c>
      <c r="J1604" s="133"/>
      <c r="K1604" s="133"/>
      <c r="L1604" s="133"/>
      <c r="M1604" s="133"/>
      <c r="N1604" s="133"/>
      <c r="O1604" s="133"/>
      <c r="P1604" s="133"/>
      <c r="Q1604" s="133"/>
      <c r="R1604" s="133"/>
    </row>
    <row r="1606" spans="1:18" ht="20.100000000000001" customHeight="1" x14ac:dyDescent="0.25">
      <c r="A1606" s="65" t="str">
        <f>IF('Calendario J'!A76="","",'Calendario J'!A76)</f>
        <v>5J</v>
      </c>
      <c r="B1606" s="175" t="str">
        <f>IF('Calendario J'!B76="","",'Calendario J'!B76)</f>
        <v>GIORNATA V - GIRONE J</v>
      </c>
      <c r="C1606" s="124"/>
      <c r="D1606" s="124"/>
      <c r="E1606" s="124"/>
      <c r="F1606" s="124"/>
      <c r="G1606" s="124"/>
      <c r="H1606" s="124"/>
      <c r="I1606" s="124"/>
      <c r="J1606" s="124"/>
      <c r="K1606" s="124"/>
      <c r="L1606" s="125"/>
      <c r="M1606" s="211" t="s">
        <v>492</v>
      </c>
      <c r="N1606" s="124"/>
      <c r="O1606" s="125"/>
      <c r="P1606" s="211" t="s">
        <v>493</v>
      </c>
      <c r="Q1606" s="124"/>
      <c r="R1606" s="125"/>
    </row>
    <row r="1607" spans="1:18" ht="14.1" customHeight="1" x14ac:dyDescent="0.25">
      <c r="A1607" s="66" t="s">
        <v>193</v>
      </c>
      <c r="B1607" s="173" t="s">
        <v>175</v>
      </c>
      <c r="C1607" s="125"/>
      <c r="D1607" s="173" t="s">
        <v>182</v>
      </c>
      <c r="E1607" s="125"/>
      <c r="F1607" s="66" t="s">
        <v>194</v>
      </c>
      <c r="G1607" s="66" t="s">
        <v>195</v>
      </c>
      <c r="H1607" s="173" t="s">
        <v>196</v>
      </c>
      <c r="I1607" s="125"/>
      <c r="J1607" s="173" t="s">
        <v>197</v>
      </c>
      <c r="K1607" s="124"/>
      <c r="L1607" s="125"/>
      <c r="M1607" s="111" t="s">
        <v>494</v>
      </c>
      <c r="N1607" s="111" t="s">
        <v>495</v>
      </c>
      <c r="O1607" s="111" t="s">
        <v>496</v>
      </c>
      <c r="P1607" s="111" t="s">
        <v>497</v>
      </c>
      <c r="Q1607" s="111" t="s">
        <v>498</v>
      </c>
      <c r="R1607" s="111" t="s">
        <v>499</v>
      </c>
    </row>
    <row r="1608" spans="1:18" ht="21.95" customHeight="1" x14ac:dyDescent="0.25">
      <c r="A1608" s="174">
        <f>IF('Calendario J'!A78="","",'Calendario J'!A78)</f>
        <v>426</v>
      </c>
      <c r="B1608" s="44" t="str">
        <f>IF('Calendario J'!B78="","",'Calendario J'!B78)</f>
        <v/>
      </c>
      <c r="C1608" s="45" t="str">
        <f>IF('Calendario J'!C78="","",'Calendario J'!C78)</f>
        <v/>
      </c>
      <c r="D1608" s="44" t="str">
        <f>IF('Calendario J'!D78="","",'Calendario J'!D78)</f>
        <v/>
      </c>
      <c r="E1608" s="45" t="str">
        <f>IF('Calendario J'!E78="","",'Calendario J'!E78)</f>
        <v/>
      </c>
      <c r="F1608" s="138" t="str">
        <f>IF('Calendario J'!F78="","",'Calendario J'!F78)</f>
        <v/>
      </c>
      <c r="G1608" s="124"/>
      <c r="H1608" s="124"/>
      <c r="I1608" s="125"/>
      <c r="J1608" s="202" t="str">
        <f>IF('Calendario J'!J78="","",'Calendario J'!J78)</f>
        <v/>
      </c>
      <c r="K1608" s="201" t="s">
        <v>198</v>
      </c>
      <c r="L1608" s="202" t="str">
        <f>IF('Calendario J'!L78="","",'Calendario J'!L78)</f>
        <v/>
      </c>
      <c r="M1608" s="200"/>
      <c r="N1608" s="200"/>
      <c r="O1608" s="200"/>
      <c r="P1608" s="200"/>
      <c r="Q1608" s="200"/>
      <c r="R1608" s="200"/>
    </row>
    <row r="1609" spans="1:18" ht="15" customHeight="1" x14ac:dyDescent="0.25">
      <c r="A1609" s="133"/>
      <c r="B1609" s="136" t="str">
        <f>IF('Calendario J'!B79="","",'Calendario J'!B79)</f>
        <v/>
      </c>
      <c r="C1609" s="124"/>
      <c r="D1609" s="124"/>
      <c r="E1609" s="124"/>
      <c r="F1609" s="124"/>
      <c r="G1609" s="124"/>
      <c r="H1609" s="125"/>
      <c r="I1609" s="45" t="str">
        <f>IF('Calendario J'!I79="","",'Calendario J'!I79)</f>
        <v/>
      </c>
      <c r="J1609" s="133"/>
      <c r="K1609" s="133"/>
      <c r="L1609" s="133"/>
      <c r="M1609" s="133"/>
      <c r="N1609" s="133"/>
      <c r="O1609" s="133"/>
      <c r="P1609" s="133"/>
      <c r="Q1609" s="133"/>
      <c r="R1609" s="133"/>
    </row>
    <row r="1610" spans="1:18" ht="14.1" customHeight="1" x14ac:dyDescent="0.25">
      <c r="A1610" s="66" t="s">
        <v>193</v>
      </c>
      <c r="B1610" s="173" t="s">
        <v>175</v>
      </c>
      <c r="C1610" s="125"/>
      <c r="D1610" s="173" t="s">
        <v>182</v>
      </c>
      <c r="E1610" s="125"/>
      <c r="F1610" s="66" t="s">
        <v>194</v>
      </c>
      <c r="G1610" s="66" t="s">
        <v>195</v>
      </c>
      <c r="H1610" s="173" t="s">
        <v>196</v>
      </c>
      <c r="I1610" s="125"/>
      <c r="J1610" s="173" t="s">
        <v>197</v>
      </c>
      <c r="K1610" s="124"/>
      <c r="L1610" s="125"/>
      <c r="M1610" s="111" t="s">
        <v>494</v>
      </c>
      <c r="N1610" s="111" t="s">
        <v>495</v>
      </c>
      <c r="O1610" s="111" t="s">
        <v>496</v>
      </c>
      <c r="P1610" s="111" t="s">
        <v>497</v>
      </c>
      <c r="Q1610" s="111" t="s">
        <v>498</v>
      </c>
      <c r="R1610" s="111" t="s">
        <v>499</v>
      </c>
    </row>
    <row r="1611" spans="1:18" ht="21.95" customHeight="1" x14ac:dyDescent="0.25">
      <c r="A1611" s="174">
        <f>IF('Calendario J'!A81="","",'Calendario J'!A81)</f>
        <v>427</v>
      </c>
      <c r="B1611" s="44" t="str">
        <f>IF('Calendario J'!B81="","",'Calendario J'!B81)</f>
        <v/>
      </c>
      <c r="C1611" s="45" t="str">
        <f>IF('Calendario J'!C81="","",'Calendario J'!C81)</f>
        <v/>
      </c>
      <c r="D1611" s="44" t="str">
        <f>IF('Calendario J'!D81="","",'Calendario J'!D81)</f>
        <v/>
      </c>
      <c r="E1611" s="45" t="str">
        <f>IF('Calendario J'!E81="","",'Calendario J'!E81)</f>
        <v/>
      </c>
      <c r="F1611" s="138" t="str">
        <f>IF('Calendario J'!F81="","",'Calendario J'!F81)</f>
        <v/>
      </c>
      <c r="G1611" s="124"/>
      <c r="H1611" s="124"/>
      <c r="I1611" s="125"/>
      <c r="J1611" s="202" t="str">
        <f>IF('Calendario J'!J81="","",'Calendario J'!J81)</f>
        <v/>
      </c>
      <c r="K1611" s="201" t="s">
        <v>198</v>
      </c>
      <c r="L1611" s="202" t="str">
        <f>IF('Calendario J'!L81="","",'Calendario J'!L81)</f>
        <v/>
      </c>
      <c r="M1611" s="200"/>
      <c r="N1611" s="200"/>
      <c r="O1611" s="200"/>
      <c r="P1611" s="200"/>
      <c r="Q1611" s="200"/>
      <c r="R1611" s="200"/>
    </row>
    <row r="1612" spans="1:18" ht="15" customHeight="1" x14ac:dyDescent="0.25">
      <c r="A1612" s="133"/>
      <c r="B1612" s="136" t="str">
        <f>IF('Calendario J'!B82="","",'Calendario J'!B82)</f>
        <v/>
      </c>
      <c r="C1612" s="124"/>
      <c r="D1612" s="124"/>
      <c r="E1612" s="124"/>
      <c r="F1612" s="124"/>
      <c r="G1612" s="124"/>
      <c r="H1612" s="125"/>
      <c r="I1612" s="45" t="str">
        <f>IF('Calendario J'!I82="","",'Calendario J'!I82)</f>
        <v/>
      </c>
      <c r="J1612" s="133"/>
      <c r="K1612" s="133"/>
      <c r="L1612" s="133"/>
      <c r="M1612" s="133"/>
      <c r="N1612" s="133"/>
      <c r="O1612" s="133"/>
      <c r="P1612" s="133"/>
      <c r="Q1612" s="133"/>
      <c r="R1612" s="133"/>
    </row>
    <row r="1613" spans="1:18" ht="14.1" customHeight="1" x14ac:dyDescent="0.25">
      <c r="A1613" s="66" t="s">
        <v>193</v>
      </c>
      <c r="B1613" s="173" t="s">
        <v>175</v>
      </c>
      <c r="C1613" s="125"/>
      <c r="D1613" s="173" t="s">
        <v>182</v>
      </c>
      <c r="E1613" s="125"/>
      <c r="F1613" s="66" t="s">
        <v>194</v>
      </c>
      <c r="G1613" s="66" t="s">
        <v>195</v>
      </c>
      <c r="H1613" s="173" t="s">
        <v>196</v>
      </c>
      <c r="I1613" s="125"/>
      <c r="J1613" s="173" t="s">
        <v>197</v>
      </c>
      <c r="K1613" s="124"/>
      <c r="L1613" s="125"/>
      <c r="M1613" s="111" t="s">
        <v>494</v>
      </c>
      <c r="N1613" s="111" t="s">
        <v>495</v>
      </c>
      <c r="O1613" s="111" t="s">
        <v>496</v>
      </c>
      <c r="P1613" s="111" t="s">
        <v>497</v>
      </c>
      <c r="Q1613" s="111" t="s">
        <v>498</v>
      </c>
      <c r="R1613" s="111" t="s">
        <v>499</v>
      </c>
    </row>
    <row r="1614" spans="1:18" ht="21.95" customHeight="1" x14ac:dyDescent="0.25">
      <c r="A1614" s="174">
        <f>IF('Calendario J'!A84="","",'Calendario J'!A84)</f>
        <v>428</v>
      </c>
      <c r="B1614" s="44" t="str">
        <f>IF('Calendario J'!B84="","",'Calendario J'!B84)</f>
        <v/>
      </c>
      <c r="C1614" s="45" t="str">
        <f>IF('Calendario J'!C84="","",'Calendario J'!C84)</f>
        <v/>
      </c>
      <c r="D1614" s="44" t="str">
        <f>IF('Calendario J'!D84="","",'Calendario J'!D84)</f>
        <v/>
      </c>
      <c r="E1614" s="45" t="str">
        <f>IF('Calendario J'!E84="","",'Calendario J'!E84)</f>
        <v/>
      </c>
      <c r="F1614" s="138" t="str">
        <f>IF('Calendario J'!F84="","",'Calendario J'!F84)</f>
        <v/>
      </c>
      <c r="G1614" s="124"/>
      <c r="H1614" s="124"/>
      <c r="I1614" s="125"/>
      <c r="J1614" s="202" t="str">
        <f>IF('Calendario J'!J84="","",'Calendario J'!J84)</f>
        <v/>
      </c>
      <c r="K1614" s="201" t="s">
        <v>198</v>
      </c>
      <c r="L1614" s="202" t="str">
        <f>IF('Calendario J'!L84="","",'Calendario J'!L84)</f>
        <v/>
      </c>
      <c r="M1614" s="200"/>
      <c r="N1614" s="200"/>
      <c r="O1614" s="200"/>
      <c r="P1614" s="200"/>
      <c r="Q1614" s="200"/>
      <c r="R1614" s="200"/>
    </row>
    <row r="1615" spans="1:18" ht="15" customHeight="1" x14ac:dyDescent="0.25">
      <c r="A1615" s="133"/>
      <c r="B1615" s="136" t="str">
        <f>IF('Calendario J'!B85="","",'Calendario J'!B85)</f>
        <v/>
      </c>
      <c r="C1615" s="124"/>
      <c r="D1615" s="124"/>
      <c r="E1615" s="124"/>
      <c r="F1615" s="124"/>
      <c r="G1615" s="124"/>
      <c r="H1615" s="125"/>
      <c r="I1615" s="45" t="str">
        <f>IF('Calendario J'!I85="","",'Calendario J'!I85)</f>
        <v/>
      </c>
      <c r="J1615" s="133"/>
      <c r="K1615" s="133"/>
      <c r="L1615" s="133"/>
      <c r="M1615" s="133"/>
      <c r="N1615" s="133"/>
      <c r="O1615" s="133"/>
      <c r="P1615" s="133"/>
      <c r="Q1615" s="133"/>
      <c r="R1615" s="133"/>
    </row>
    <row r="1616" spans="1:18" ht="14.1" customHeight="1" x14ac:dyDescent="0.25">
      <c r="A1616" s="66" t="s">
        <v>193</v>
      </c>
      <c r="B1616" s="173" t="s">
        <v>175</v>
      </c>
      <c r="C1616" s="125"/>
      <c r="D1616" s="173" t="s">
        <v>182</v>
      </c>
      <c r="E1616" s="125"/>
      <c r="F1616" s="66" t="s">
        <v>194</v>
      </c>
      <c r="G1616" s="66" t="s">
        <v>195</v>
      </c>
      <c r="H1616" s="173" t="s">
        <v>196</v>
      </c>
      <c r="I1616" s="125"/>
      <c r="J1616" s="173" t="s">
        <v>197</v>
      </c>
      <c r="K1616" s="124"/>
      <c r="L1616" s="125"/>
      <c r="M1616" s="111" t="s">
        <v>494</v>
      </c>
      <c r="N1616" s="111" t="s">
        <v>495</v>
      </c>
      <c r="O1616" s="111" t="s">
        <v>496</v>
      </c>
      <c r="P1616" s="111" t="s">
        <v>497</v>
      </c>
      <c r="Q1616" s="111" t="s">
        <v>498</v>
      </c>
      <c r="R1616" s="111" t="s">
        <v>499</v>
      </c>
    </row>
    <row r="1617" spans="1:18" ht="21.95" customHeight="1" x14ac:dyDescent="0.25">
      <c r="A1617" s="174">
        <f>IF('Calendario J'!A87="","",'Calendario J'!A87)</f>
        <v>429</v>
      </c>
      <c r="B1617" s="44" t="str">
        <f>IF('Calendario J'!B87="","",'Calendario J'!B87)</f>
        <v/>
      </c>
      <c r="C1617" s="45" t="str">
        <f>IF('Calendario J'!C87="","",'Calendario J'!C87)</f>
        <v/>
      </c>
      <c r="D1617" s="44" t="str">
        <f>IF('Calendario J'!D87="","",'Calendario J'!D87)</f>
        <v/>
      </c>
      <c r="E1617" s="45" t="str">
        <f>IF('Calendario J'!E87="","",'Calendario J'!E87)</f>
        <v/>
      </c>
      <c r="F1617" s="138" t="str">
        <f>IF('Calendario J'!F87="","",'Calendario J'!F87)</f>
        <v/>
      </c>
      <c r="G1617" s="124"/>
      <c r="H1617" s="124"/>
      <c r="I1617" s="125"/>
      <c r="J1617" s="202" t="str">
        <f>IF('Calendario J'!J87="","",'Calendario J'!J87)</f>
        <v/>
      </c>
      <c r="K1617" s="201" t="s">
        <v>198</v>
      </c>
      <c r="L1617" s="202" t="str">
        <f>IF('Calendario J'!L87="","",'Calendario J'!L87)</f>
        <v/>
      </c>
      <c r="M1617" s="200"/>
      <c r="N1617" s="200"/>
      <c r="O1617" s="200"/>
      <c r="P1617" s="200"/>
      <c r="Q1617" s="200"/>
      <c r="R1617" s="200"/>
    </row>
    <row r="1618" spans="1:18" ht="15" customHeight="1" x14ac:dyDescent="0.25">
      <c r="A1618" s="133"/>
      <c r="B1618" s="136" t="str">
        <f>IF('Calendario J'!B88="","",'Calendario J'!B88)</f>
        <v/>
      </c>
      <c r="C1618" s="124"/>
      <c r="D1618" s="124"/>
      <c r="E1618" s="124"/>
      <c r="F1618" s="124"/>
      <c r="G1618" s="124"/>
      <c r="H1618" s="125"/>
      <c r="I1618" s="45" t="str">
        <f>IF('Calendario J'!I88="","",'Calendario J'!I88)</f>
        <v/>
      </c>
      <c r="J1618" s="133"/>
      <c r="K1618" s="133"/>
      <c r="L1618" s="133"/>
      <c r="M1618" s="133"/>
      <c r="N1618" s="133"/>
      <c r="O1618" s="133"/>
      <c r="P1618" s="133"/>
      <c r="Q1618" s="133"/>
      <c r="R1618" s="133"/>
    </row>
    <row r="1619" spans="1:18" ht="14.1" customHeight="1" x14ac:dyDescent="0.25">
      <c r="A1619" s="66" t="s">
        <v>193</v>
      </c>
      <c r="B1619" s="173" t="s">
        <v>175</v>
      </c>
      <c r="C1619" s="125"/>
      <c r="D1619" s="173" t="s">
        <v>182</v>
      </c>
      <c r="E1619" s="125"/>
      <c r="F1619" s="66" t="s">
        <v>194</v>
      </c>
      <c r="G1619" s="66" t="s">
        <v>195</v>
      </c>
      <c r="H1619" s="173" t="s">
        <v>196</v>
      </c>
      <c r="I1619" s="125"/>
      <c r="J1619" s="173" t="s">
        <v>197</v>
      </c>
      <c r="K1619" s="124"/>
      <c r="L1619" s="125"/>
      <c r="M1619" s="111" t="s">
        <v>494</v>
      </c>
      <c r="N1619" s="111" t="s">
        <v>495</v>
      </c>
      <c r="O1619" s="111" t="s">
        <v>496</v>
      </c>
      <c r="P1619" s="111" t="s">
        <v>497</v>
      </c>
      <c r="Q1619" s="111" t="s">
        <v>498</v>
      </c>
      <c r="R1619" s="111" t="s">
        <v>499</v>
      </c>
    </row>
    <row r="1620" spans="1:18" ht="21.95" customHeight="1" x14ac:dyDescent="0.25">
      <c r="A1620" s="174">
        <f>IF('Calendario J'!A90="","",'Calendario J'!A90)</f>
        <v>430</v>
      </c>
      <c r="B1620" s="44" t="str">
        <f>IF('Calendario J'!B90="","",'Calendario J'!B90)</f>
        <v/>
      </c>
      <c r="C1620" s="45" t="str">
        <f>IF('Calendario J'!C90="","",'Calendario J'!C90)</f>
        <v/>
      </c>
      <c r="D1620" s="44" t="str">
        <f>IF('Calendario J'!D90="","",'Calendario J'!D90)</f>
        <v/>
      </c>
      <c r="E1620" s="45" t="str">
        <f>IF('Calendario J'!E90="","",'Calendario J'!E90)</f>
        <v/>
      </c>
      <c r="F1620" s="138" t="str">
        <f>IF('Calendario J'!F90="","",'Calendario J'!F90)</f>
        <v/>
      </c>
      <c r="G1620" s="124"/>
      <c r="H1620" s="124"/>
      <c r="I1620" s="125"/>
      <c r="J1620" s="202" t="str">
        <f>IF('Calendario J'!J90="","",'Calendario J'!J90)</f>
        <v/>
      </c>
      <c r="K1620" s="201" t="s">
        <v>198</v>
      </c>
      <c r="L1620" s="202" t="str">
        <f>IF('Calendario J'!L90="","",'Calendario J'!L90)</f>
        <v/>
      </c>
      <c r="M1620" s="200"/>
      <c r="N1620" s="200"/>
      <c r="O1620" s="200"/>
      <c r="P1620" s="200"/>
      <c r="Q1620" s="200"/>
      <c r="R1620" s="200"/>
    </row>
    <row r="1621" spans="1:18" ht="15" customHeight="1" x14ac:dyDescent="0.25">
      <c r="A1621" s="133"/>
      <c r="B1621" s="136" t="str">
        <f>IF('Calendario J'!B91="","",'Calendario J'!B91)</f>
        <v/>
      </c>
      <c r="C1621" s="124"/>
      <c r="D1621" s="124"/>
      <c r="E1621" s="124"/>
      <c r="F1621" s="124"/>
      <c r="G1621" s="124"/>
      <c r="H1621" s="125"/>
      <c r="I1621" s="45" t="str">
        <f>IF('Calendario J'!I91="","",'Calendario J'!I91)</f>
        <v/>
      </c>
      <c r="J1621" s="133"/>
      <c r="K1621" s="133"/>
      <c r="L1621" s="133"/>
      <c r="M1621" s="133"/>
      <c r="N1621" s="133"/>
      <c r="O1621" s="133"/>
      <c r="P1621" s="133"/>
      <c r="Q1621" s="133"/>
      <c r="R1621" s="133"/>
    </row>
    <row r="1623" spans="1:18" ht="20.100000000000001" customHeight="1" x14ac:dyDescent="0.25">
      <c r="A1623" s="65" t="str">
        <f>IF('Calendario J'!A93="","",'Calendario J'!A93)</f>
        <v>6J</v>
      </c>
      <c r="B1623" s="175" t="str">
        <f>IF('Calendario J'!B93="","",'Calendario J'!B93)</f>
        <v>GIORNATA VI - GIRONE J</v>
      </c>
      <c r="C1623" s="124"/>
      <c r="D1623" s="124"/>
      <c r="E1623" s="124"/>
      <c r="F1623" s="124"/>
      <c r="G1623" s="124"/>
      <c r="H1623" s="124"/>
      <c r="I1623" s="124"/>
      <c r="J1623" s="124"/>
      <c r="K1623" s="124"/>
      <c r="L1623" s="125"/>
      <c r="M1623" s="211" t="s">
        <v>492</v>
      </c>
      <c r="N1623" s="124"/>
      <c r="O1623" s="125"/>
      <c r="P1623" s="211" t="s">
        <v>493</v>
      </c>
      <c r="Q1623" s="124"/>
      <c r="R1623" s="125"/>
    </row>
    <row r="1624" spans="1:18" ht="14.1" customHeight="1" x14ac:dyDescent="0.25">
      <c r="A1624" s="66" t="s">
        <v>193</v>
      </c>
      <c r="B1624" s="173" t="s">
        <v>175</v>
      </c>
      <c r="C1624" s="125"/>
      <c r="D1624" s="173" t="s">
        <v>182</v>
      </c>
      <c r="E1624" s="125"/>
      <c r="F1624" s="66" t="s">
        <v>194</v>
      </c>
      <c r="G1624" s="66" t="s">
        <v>195</v>
      </c>
      <c r="H1624" s="173" t="s">
        <v>196</v>
      </c>
      <c r="I1624" s="125"/>
      <c r="J1624" s="173" t="s">
        <v>197</v>
      </c>
      <c r="K1624" s="124"/>
      <c r="L1624" s="125"/>
      <c r="M1624" s="111" t="s">
        <v>494</v>
      </c>
      <c r="N1624" s="111" t="s">
        <v>495</v>
      </c>
      <c r="O1624" s="111" t="s">
        <v>496</v>
      </c>
      <c r="P1624" s="111" t="s">
        <v>497</v>
      </c>
      <c r="Q1624" s="111" t="s">
        <v>498</v>
      </c>
      <c r="R1624" s="111" t="s">
        <v>499</v>
      </c>
    </row>
    <row r="1625" spans="1:18" ht="21.95" customHeight="1" x14ac:dyDescent="0.25">
      <c r="A1625" s="174">
        <f>IF('Calendario J'!A95="","",'Calendario J'!A95)</f>
        <v>431</v>
      </c>
      <c r="B1625" s="44" t="str">
        <f>IF('Calendario J'!B95="","",'Calendario J'!B95)</f>
        <v/>
      </c>
      <c r="C1625" s="45" t="str">
        <f>IF('Calendario J'!C95="","",'Calendario J'!C95)</f>
        <v/>
      </c>
      <c r="D1625" s="44" t="str">
        <f>IF('Calendario J'!D95="","",'Calendario J'!D95)</f>
        <v/>
      </c>
      <c r="E1625" s="45" t="str">
        <f>IF('Calendario J'!E95="","",'Calendario J'!E95)</f>
        <v/>
      </c>
      <c r="F1625" s="138" t="str">
        <f>IF('Calendario J'!F95="","",'Calendario J'!F95)</f>
        <v/>
      </c>
      <c r="G1625" s="124"/>
      <c r="H1625" s="124"/>
      <c r="I1625" s="125"/>
      <c r="J1625" s="202" t="str">
        <f>IF('Calendario J'!J95="","",'Calendario J'!J95)</f>
        <v/>
      </c>
      <c r="K1625" s="201" t="s">
        <v>198</v>
      </c>
      <c r="L1625" s="202" t="str">
        <f>IF('Calendario J'!L95="","",'Calendario J'!L95)</f>
        <v/>
      </c>
      <c r="M1625" s="200"/>
      <c r="N1625" s="200"/>
      <c r="O1625" s="200"/>
      <c r="P1625" s="200"/>
      <c r="Q1625" s="200"/>
      <c r="R1625" s="200"/>
    </row>
    <row r="1626" spans="1:18" ht="15" customHeight="1" x14ac:dyDescent="0.25">
      <c r="A1626" s="133"/>
      <c r="B1626" s="136" t="str">
        <f>IF('Calendario J'!B96="","",'Calendario J'!B96)</f>
        <v/>
      </c>
      <c r="C1626" s="124"/>
      <c r="D1626" s="124"/>
      <c r="E1626" s="124"/>
      <c r="F1626" s="124"/>
      <c r="G1626" s="124"/>
      <c r="H1626" s="125"/>
      <c r="I1626" s="45" t="str">
        <f>IF('Calendario J'!I96="","",'Calendario J'!I96)</f>
        <v/>
      </c>
      <c r="J1626" s="133"/>
      <c r="K1626" s="133"/>
      <c r="L1626" s="133"/>
      <c r="M1626" s="133"/>
      <c r="N1626" s="133"/>
      <c r="O1626" s="133"/>
      <c r="P1626" s="133"/>
      <c r="Q1626" s="133"/>
      <c r="R1626" s="133"/>
    </row>
    <row r="1627" spans="1:18" ht="14.1" customHeight="1" x14ac:dyDescent="0.25">
      <c r="A1627" s="66" t="s">
        <v>193</v>
      </c>
      <c r="B1627" s="173" t="s">
        <v>175</v>
      </c>
      <c r="C1627" s="125"/>
      <c r="D1627" s="173" t="s">
        <v>182</v>
      </c>
      <c r="E1627" s="125"/>
      <c r="F1627" s="66" t="s">
        <v>194</v>
      </c>
      <c r="G1627" s="66" t="s">
        <v>195</v>
      </c>
      <c r="H1627" s="173" t="s">
        <v>196</v>
      </c>
      <c r="I1627" s="125"/>
      <c r="J1627" s="173" t="s">
        <v>197</v>
      </c>
      <c r="K1627" s="124"/>
      <c r="L1627" s="125"/>
      <c r="M1627" s="111" t="s">
        <v>494</v>
      </c>
      <c r="N1627" s="111" t="s">
        <v>495</v>
      </c>
      <c r="O1627" s="111" t="s">
        <v>496</v>
      </c>
      <c r="P1627" s="111" t="s">
        <v>497</v>
      </c>
      <c r="Q1627" s="111" t="s">
        <v>498</v>
      </c>
      <c r="R1627" s="111" t="s">
        <v>499</v>
      </c>
    </row>
    <row r="1628" spans="1:18" ht="21.95" customHeight="1" x14ac:dyDescent="0.25">
      <c r="A1628" s="174">
        <f>IF('Calendario J'!A98="","",'Calendario J'!A98)</f>
        <v>432</v>
      </c>
      <c r="B1628" s="44" t="str">
        <f>IF('Calendario J'!B98="","",'Calendario J'!B98)</f>
        <v/>
      </c>
      <c r="C1628" s="45" t="str">
        <f>IF('Calendario J'!C98="","",'Calendario J'!C98)</f>
        <v/>
      </c>
      <c r="D1628" s="44" t="str">
        <f>IF('Calendario J'!D98="","",'Calendario J'!D98)</f>
        <v/>
      </c>
      <c r="E1628" s="45" t="str">
        <f>IF('Calendario J'!E98="","",'Calendario J'!E98)</f>
        <v/>
      </c>
      <c r="F1628" s="138" t="str">
        <f>IF('Calendario J'!F98="","",'Calendario J'!F98)</f>
        <v/>
      </c>
      <c r="G1628" s="124"/>
      <c r="H1628" s="124"/>
      <c r="I1628" s="125"/>
      <c r="J1628" s="202" t="str">
        <f>IF('Calendario J'!J98="","",'Calendario J'!J98)</f>
        <v/>
      </c>
      <c r="K1628" s="201" t="s">
        <v>198</v>
      </c>
      <c r="L1628" s="202" t="str">
        <f>IF('Calendario J'!L98="","",'Calendario J'!L98)</f>
        <v/>
      </c>
      <c r="M1628" s="200"/>
      <c r="N1628" s="200"/>
      <c r="O1628" s="200"/>
      <c r="P1628" s="200"/>
      <c r="Q1628" s="200"/>
      <c r="R1628" s="200"/>
    </row>
    <row r="1629" spans="1:18" ht="15" customHeight="1" x14ac:dyDescent="0.25">
      <c r="A1629" s="133"/>
      <c r="B1629" s="136" t="str">
        <f>IF('Calendario J'!B99="","",'Calendario J'!B99)</f>
        <v/>
      </c>
      <c r="C1629" s="124"/>
      <c r="D1629" s="124"/>
      <c r="E1629" s="124"/>
      <c r="F1629" s="124"/>
      <c r="G1629" s="124"/>
      <c r="H1629" s="125"/>
      <c r="I1629" s="45" t="str">
        <f>IF('Calendario J'!I99="","",'Calendario J'!I99)</f>
        <v/>
      </c>
      <c r="J1629" s="133"/>
      <c r="K1629" s="133"/>
      <c r="L1629" s="133"/>
      <c r="M1629" s="133"/>
      <c r="N1629" s="133"/>
      <c r="O1629" s="133"/>
      <c r="P1629" s="133"/>
      <c r="Q1629" s="133"/>
      <c r="R1629" s="133"/>
    </row>
    <row r="1630" spans="1:18" ht="14.1" customHeight="1" x14ac:dyDescent="0.25">
      <c r="A1630" s="66" t="s">
        <v>193</v>
      </c>
      <c r="B1630" s="173" t="s">
        <v>175</v>
      </c>
      <c r="C1630" s="125"/>
      <c r="D1630" s="173" t="s">
        <v>182</v>
      </c>
      <c r="E1630" s="125"/>
      <c r="F1630" s="66" t="s">
        <v>194</v>
      </c>
      <c r="G1630" s="66" t="s">
        <v>195</v>
      </c>
      <c r="H1630" s="173" t="s">
        <v>196</v>
      </c>
      <c r="I1630" s="125"/>
      <c r="J1630" s="173" t="s">
        <v>197</v>
      </c>
      <c r="K1630" s="124"/>
      <c r="L1630" s="125"/>
      <c r="M1630" s="111" t="s">
        <v>494</v>
      </c>
      <c r="N1630" s="111" t="s">
        <v>495</v>
      </c>
      <c r="O1630" s="111" t="s">
        <v>496</v>
      </c>
      <c r="P1630" s="111" t="s">
        <v>497</v>
      </c>
      <c r="Q1630" s="111" t="s">
        <v>498</v>
      </c>
      <c r="R1630" s="111" t="s">
        <v>499</v>
      </c>
    </row>
    <row r="1631" spans="1:18" ht="21.95" customHeight="1" x14ac:dyDescent="0.25">
      <c r="A1631" s="174">
        <f>IF('Calendario J'!A101="","",'Calendario J'!A101)</f>
        <v>433</v>
      </c>
      <c r="B1631" s="44" t="str">
        <f>IF('Calendario J'!B101="","",'Calendario J'!B101)</f>
        <v/>
      </c>
      <c r="C1631" s="45" t="str">
        <f>IF('Calendario J'!C101="","",'Calendario J'!C101)</f>
        <v/>
      </c>
      <c r="D1631" s="44" t="str">
        <f>IF('Calendario J'!D101="","",'Calendario J'!D101)</f>
        <v/>
      </c>
      <c r="E1631" s="45" t="str">
        <f>IF('Calendario J'!E101="","",'Calendario J'!E101)</f>
        <v/>
      </c>
      <c r="F1631" s="138" t="str">
        <f>IF('Calendario J'!F101="","",'Calendario J'!F101)</f>
        <v/>
      </c>
      <c r="G1631" s="124"/>
      <c r="H1631" s="124"/>
      <c r="I1631" s="125"/>
      <c r="J1631" s="202" t="str">
        <f>IF('Calendario J'!J101="","",'Calendario J'!J101)</f>
        <v/>
      </c>
      <c r="K1631" s="201" t="s">
        <v>198</v>
      </c>
      <c r="L1631" s="202" t="str">
        <f>IF('Calendario J'!L101="","",'Calendario J'!L101)</f>
        <v/>
      </c>
      <c r="M1631" s="200"/>
      <c r="N1631" s="200"/>
      <c r="O1631" s="200"/>
      <c r="P1631" s="200"/>
      <c r="Q1631" s="200"/>
      <c r="R1631" s="200"/>
    </row>
    <row r="1632" spans="1:18" ht="15" customHeight="1" x14ac:dyDescent="0.25">
      <c r="A1632" s="133"/>
      <c r="B1632" s="136" t="str">
        <f>IF('Calendario J'!B102="","",'Calendario J'!B102)</f>
        <v/>
      </c>
      <c r="C1632" s="124"/>
      <c r="D1632" s="124"/>
      <c r="E1632" s="124"/>
      <c r="F1632" s="124"/>
      <c r="G1632" s="124"/>
      <c r="H1632" s="125"/>
      <c r="I1632" s="45" t="str">
        <f>IF('Calendario J'!I102="","",'Calendario J'!I102)</f>
        <v/>
      </c>
      <c r="J1632" s="133"/>
      <c r="K1632" s="133"/>
      <c r="L1632" s="133"/>
      <c r="M1632" s="133"/>
      <c r="N1632" s="133"/>
      <c r="O1632" s="133"/>
      <c r="P1632" s="133"/>
      <c r="Q1632" s="133"/>
      <c r="R1632" s="133"/>
    </row>
    <row r="1633" spans="1:18" ht="14.1" customHeight="1" x14ac:dyDescent="0.25">
      <c r="A1633" s="66" t="s">
        <v>193</v>
      </c>
      <c r="B1633" s="173" t="s">
        <v>175</v>
      </c>
      <c r="C1633" s="125"/>
      <c r="D1633" s="173" t="s">
        <v>182</v>
      </c>
      <c r="E1633" s="125"/>
      <c r="F1633" s="66" t="s">
        <v>194</v>
      </c>
      <c r="G1633" s="66" t="s">
        <v>195</v>
      </c>
      <c r="H1633" s="173" t="s">
        <v>196</v>
      </c>
      <c r="I1633" s="125"/>
      <c r="J1633" s="173" t="s">
        <v>197</v>
      </c>
      <c r="K1633" s="124"/>
      <c r="L1633" s="125"/>
      <c r="M1633" s="111" t="s">
        <v>494</v>
      </c>
      <c r="N1633" s="111" t="s">
        <v>495</v>
      </c>
      <c r="O1633" s="111" t="s">
        <v>496</v>
      </c>
      <c r="P1633" s="111" t="s">
        <v>497</v>
      </c>
      <c r="Q1633" s="111" t="s">
        <v>498</v>
      </c>
      <c r="R1633" s="111" t="s">
        <v>499</v>
      </c>
    </row>
    <row r="1634" spans="1:18" ht="21.95" customHeight="1" x14ac:dyDescent="0.25">
      <c r="A1634" s="174">
        <f>IF('Calendario J'!A104="","",'Calendario J'!A104)</f>
        <v>434</v>
      </c>
      <c r="B1634" s="44" t="str">
        <f>IF('Calendario J'!B104="","",'Calendario J'!B104)</f>
        <v/>
      </c>
      <c r="C1634" s="45" t="str">
        <f>IF('Calendario J'!C104="","",'Calendario J'!C104)</f>
        <v/>
      </c>
      <c r="D1634" s="44" t="str">
        <f>IF('Calendario J'!D104="","",'Calendario J'!D104)</f>
        <v/>
      </c>
      <c r="E1634" s="45" t="str">
        <f>IF('Calendario J'!E104="","",'Calendario J'!E104)</f>
        <v/>
      </c>
      <c r="F1634" s="138" t="str">
        <f>IF('Calendario J'!F104="","",'Calendario J'!F104)</f>
        <v/>
      </c>
      <c r="G1634" s="124"/>
      <c r="H1634" s="124"/>
      <c r="I1634" s="125"/>
      <c r="J1634" s="202" t="str">
        <f>IF('Calendario J'!J104="","",'Calendario J'!J104)</f>
        <v/>
      </c>
      <c r="K1634" s="201" t="s">
        <v>198</v>
      </c>
      <c r="L1634" s="202" t="str">
        <f>IF('Calendario J'!L104="","",'Calendario J'!L104)</f>
        <v/>
      </c>
      <c r="M1634" s="200"/>
      <c r="N1634" s="200"/>
      <c r="O1634" s="200"/>
      <c r="P1634" s="200"/>
      <c r="Q1634" s="200"/>
      <c r="R1634" s="200"/>
    </row>
    <row r="1635" spans="1:18" ht="15" customHeight="1" x14ac:dyDescent="0.25">
      <c r="A1635" s="133"/>
      <c r="B1635" s="136" t="str">
        <f>IF('Calendario J'!B105="","",'Calendario J'!B105)</f>
        <v/>
      </c>
      <c r="C1635" s="124"/>
      <c r="D1635" s="124"/>
      <c r="E1635" s="124"/>
      <c r="F1635" s="124"/>
      <c r="G1635" s="124"/>
      <c r="H1635" s="125"/>
      <c r="I1635" s="45" t="str">
        <f>IF('Calendario J'!I105="","",'Calendario J'!I105)</f>
        <v/>
      </c>
      <c r="J1635" s="133"/>
      <c r="K1635" s="133"/>
      <c r="L1635" s="133"/>
      <c r="M1635" s="133"/>
      <c r="N1635" s="133"/>
      <c r="O1635" s="133"/>
      <c r="P1635" s="133"/>
      <c r="Q1635" s="133"/>
      <c r="R1635" s="133"/>
    </row>
    <row r="1636" spans="1:18" ht="14.1" customHeight="1" x14ac:dyDescent="0.25">
      <c r="A1636" s="66" t="s">
        <v>193</v>
      </c>
      <c r="B1636" s="173" t="s">
        <v>175</v>
      </c>
      <c r="C1636" s="125"/>
      <c r="D1636" s="173" t="s">
        <v>182</v>
      </c>
      <c r="E1636" s="125"/>
      <c r="F1636" s="66" t="s">
        <v>194</v>
      </c>
      <c r="G1636" s="66" t="s">
        <v>195</v>
      </c>
      <c r="H1636" s="173" t="s">
        <v>196</v>
      </c>
      <c r="I1636" s="125"/>
      <c r="J1636" s="173" t="s">
        <v>197</v>
      </c>
      <c r="K1636" s="124"/>
      <c r="L1636" s="125"/>
      <c r="M1636" s="111" t="s">
        <v>494</v>
      </c>
      <c r="N1636" s="111" t="s">
        <v>495</v>
      </c>
      <c r="O1636" s="111" t="s">
        <v>496</v>
      </c>
      <c r="P1636" s="111" t="s">
        <v>497</v>
      </c>
      <c r="Q1636" s="111" t="s">
        <v>498</v>
      </c>
      <c r="R1636" s="111" t="s">
        <v>499</v>
      </c>
    </row>
    <row r="1637" spans="1:18" ht="21.95" customHeight="1" x14ac:dyDescent="0.25">
      <c r="A1637" s="174">
        <f>IF('Calendario J'!A107="","",'Calendario J'!A107)</f>
        <v>435</v>
      </c>
      <c r="B1637" s="44" t="str">
        <f>IF('Calendario J'!B107="","",'Calendario J'!B107)</f>
        <v/>
      </c>
      <c r="C1637" s="45" t="str">
        <f>IF('Calendario J'!C107="","",'Calendario J'!C107)</f>
        <v/>
      </c>
      <c r="D1637" s="44" t="str">
        <f>IF('Calendario J'!D107="","",'Calendario J'!D107)</f>
        <v/>
      </c>
      <c r="E1637" s="45" t="str">
        <f>IF('Calendario J'!E107="","",'Calendario J'!E107)</f>
        <v/>
      </c>
      <c r="F1637" s="138" t="str">
        <f>IF('Calendario J'!F107="","",'Calendario J'!F107)</f>
        <v/>
      </c>
      <c r="G1637" s="124"/>
      <c r="H1637" s="124"/>
      <c r="I1637" s="125"/>
      <c r="J1637" s="202" t="str">
        <f>IF('Calendario J'!J107="","",'Calendario J'!J107)</f>
        <v/>
      </c>
      <c r="K1637" s="201" t="s">
        <v>198</v>
      </c>
      <c r="L1637" s="202" t="str">
        <f>IF('Calendario J'!L107="","",'Calendario J'!L107)</f>
        <v/>
      </c>
      <c r="M1637" s="200"/>
      <c r="N1637" s="200"/>
      <c r="O1637" s="200"/>
      <c r="P1637" s="200"/>
      <c r="Q1637" s="200"/>
      <c r="R1637" s="200"/>
    </row>
    <row r="1638" spans="1:18" ht="15" customHeight="1" x14ac:dyDescent="0.25">
      <c r="A1638" s="133"/>
      <c r="B1638" s="136" t="str">
        <f>IF('Calendario J'!B108="","",'Calendario J'!B108)</f>
        <v/>
      </c>
      <c r="C1638" s="124"/>
      <c r="D1638" s="124"/>
      <c r="E1638" s="124"/>
      <c r="F1638" s="124"/>
      <c r="G1638" s="124"/>
      <c r="H1638" s="125"/>
      <c r="I1638" s="45" t="str">
        <f>IF('Calendario J'!I108="","",'Calendario J'!I108)</f>
        <v/>
      </c>
      <c r="J1638" s="133"/>
      <c r="K1638" s="133"/>
      <c r="L1638" s="133"/>
      <c r="M1638" s="133"/>
      <c r="N1638" s="133"/>
      <c r="O1638" s="133"/>
      <c r="P1638" s="133"/>
      <c r="Q1638" s="133"/>
      <c r="R1638" s="133"/>
    </row>
    <row r="1640" spans="1:18" ht="20.100000000000001" customHeight="1" x14ac:dyDescent="0.25">
      <c r="A1640" s="65" t="str">
        <f>IF('Calendario J'!A110="","",'Calendario J'!A110)</f>
        <v>7J</v>
      </c>
      <c r="B1640" s="175" t="str">
        <f>IF('Calendario J'!B110="","",'Calendario J'!B110)</f>
        <v>GIORNATA VII - GIRONE J</v>
      </c>
      <c r="C1640" s="124"/>
      <c r="D1640" s="124"/>
      <c r="E1640" s="124"/>
      <c r="F1640" s="124"/>
      <c r="G1640" s="124"/>
      <c r="H1640" s="124"/>
      <c r="I1640" s="124"/>
      <c r="J1640" s="124"/>
      <c r="K1640" s="124"/>
      <c r="L1640" s="125"/>
      <c r="M1640" s="211" t="s">
        <v>492</v>
      </c>
      <c r="N1640" s="124"/>
      <c r="O1640" s="125"/>
      <c r="P1640" s="211" t="s">
        <v>493</v>
      </c>
      <c r="Q1640" s="124"/>
      <c r="R1640" s="125"/>
    </row>
    <row r="1641" spans="1:18" ht="14.1" customHeight="1" x14ac:dyDescent="0.25">
      <c r="A1641" s="66" t="s">
        <v>193</v>
      </c>
      <c r="B1641" s="173" t="s">
        <v>175</v>
      </c>
      <c r="C1641" s="125"/>
      <c r="D1641" s="173" t="s">
        <v>182</v>
      </c>
      <c r="E1641" s="125"/>
      <c r="F1641" s="66" t="s">
        <v>194</v>
      </c>
      <c r="G1641" s="66" t="s">
        <v>195</v>
      </c>
      <c r="H1641" s="173" t="s">
        <v>196</v>
      </c>
      <c r="I1641" s="125"/>
      <c r="J1641" s="173" t="s">
        <v>197</v>
      </c>
      <c r="K1641" s="124"/>
      <c r="L1641" s="125"/>
      <c r="M1641" s="111" t="s">
        <v>494</v>
      </c>
      <c r="N1641" s="111" t="s">
        <v>495</v>
      </c>
      <c r="O1641" s="111" t="s">
        <v>496</v>
      </c>
      <c r="P1641" s="111" t="s">
        <v>497</v>
      </c>
      <c r="Q1641" s="111" t="s">
        <v>498</v>
      </c>
      <c r="R1641" s="111" t="s">
        <v>499</v>
      </c>
    </row>
    <row r="1642" spans="1:18" ht="21.95" customHeight="1" x14ac:dyDescent="0.25">
      <c r="A1642" s="174">
        <f>IF('Calendario J'!A112="","",'Calendario J'!A112)</f>
        <v>436</v>
      </c>
      <c r="B1642" s="44" t="str">
        <f>IF('Calendario J'!B112="","",'Calendario J'!B112)</f>
        <v/>
      </c>
      <c r="C1642" s="45" t="str">
        <f>IF('Calendario J'!C112="","",'Calendario J'!C112)</f>
        <v/>
      </c>
      <c r="D1642" s="44" t="str">
        <f>IF('Calendario J'!D112="","",'Calendario J'!D112)</f>
        <v/>
      </c>
      <c r="E1642" s="45" t="str">
        <f>IF('Calendario J'!E112="","",'Calendario J'!E112)</f>
        <v/>
      </c>
      <c r="F1642" s="138" t="str">
        <f>IF('Calendario J'!F112="","",'Calendario J'!F112)</f>
        <v/>
      </c>
      <c r="G1642" s="124"/>
      <c r="H1642" s="124"/>
      <c r="I1642" s="125"/>
      <c r="J1642" s="202" t="str">
        <f>IF('Calendario J'!J112="","",'Calendario J'!J112)</f>
        <v/>
      </c>
      <c r="K1642" s="201" t="s">
        <v>198</v>
      </c>
      <c r="L1642" s="202" t="str">
        <f>IF('Calendario J'!L112="","",'Calendario J'!L112)</f>
        <v/>
      </c>
      <c r="M1642" s="200"/>
      <c r="N1642" s="200"/>
      <c r="O1642" s="200"/>
      <c r="P1642" s="200"/>
      <c r="Q1642" s="200"/>
      <c r="R1642" s="200"/>
    </row>
    <row r="1643" spans="1:18" ht="15" customHeight="1" x14ac:dyDescent="0.25">
      <c r="A1643" s="133"/>
      <c r="B1643" s="136" t="str">
        <f>IF('Calendario J'!B113="","",'Calendario J'!B113)</f>
        <v/>
      </c>
      <c r="C1643" s="124"/>
      <c r="D1643" s="124"/>
      <c r="E1643" s="124"/>
      <c r="F1643" s="124"/>
      <c r="G1643" s="124"/>
      <c r="H1643" s="125"/>
      <c r="I1643" s="45" t="str">
        <f>IF('Calendario J'!I113="","",'Calendario J'!I113)</f>
        <v/>
      </c>
      <c r="J1643" s="133"/>
      <c r="K1643" s="133"/>
      <c r="L1643" s="133"/>
      <c r="M1643" s="133"/>
      <c r="N1643" s="133"/>
      <c r="O1643" s="133"/>
      <c r="P1643" s="133"/>
      <c r="Q1643" s="133"/>
      <c r="R1643" s="133"/>
    </row>
    <row r="1644" spans="1:18" ht="14.1" customHeight="1" x14ac:dyDescent="0.25">
      <c r="A1644" s="66" t="s">
        <v>193</v>
      </c>
      <c r="B1644" s="173" t="s">
        <v>175</v>
      </c>
      <c r="C1644" s="125"/>
      <c r="D1644" s="173" t="s">
        <v>182</v>
      </c>
      <c r="E1644" s="125"/>
      <c r="F1644" s="66" t="s">
        <v>194</v>
      </c>
      <c r="G1644" s="66" t="s">
        <v>195</v>
      </c>
      <c r="H1644" s="173" t="s">
        <v>196</v>
      </c>
      <c r="I1644" s="125"/>
      <c r="J1644" s="173" t="s">
        <v>197</v>
      </c>
      <c r="K1644" s="124"/>
      <c r="L1644" s="125"/>
      <c r="M1644" s="111" t="s">
        <v>494</v>
      </c>
      <c r="N1644" s="111" t="s">
        <v>495</v>
      </c>
      <c r="O1644" s="111" t="s">
        <v>496</v>
      </c>
      <c r="P1644" s="111" t="s">
        <v>497</v>
      </c>
      <c r="Q1644" s="111" t="s">
        <v>498</v>
      </c>
      <c r="R1644" s="111" t="s">
        <v>499</v>
      </c>
    </row>
    <row r="1645" spans="1:18" ht="21.95" customHeight="1" x14ac:dyDescent="0.25">
      <c r="A1645" s="174">
        <f>IF('Calendario J'!A115="","",'Calendario J'!A115)</f>
        <v>437</v>
      </c>
      <c r="B1645" s="44" t="str">
        <f>IF('Calendario J'!B115="","",'Calendario J'!B115)</f>
        <v/>
      </c>
      <c r="C1645" s="45" t="str">
        <f>IF('Calendario J'!C115="","",'Calendario J'!C115)</f>
        <v/>
      </c>
      <c r="D1645" s="44" t="str">
        <f>IF('Calendario J'!D115="","",'Calendario J'!D115)</f>
        <v/>
      </c>
      <c r="E1645" s="45" t="str">
        <f>IF('Calendario J'!E115="","",'Calendario J'!E115)</f>
        <v/>
      </c>
      <c r="F1645" s="138" t="str">
        <f>IF('Calendario J'!F115="","",'Calendario J'!F115)</f>
        <v/>
      </c>
      <c r="G1645" s="124"/>
      <c r="H1645" s="124"/>
      <c r="I1645" s="125"/>
      <c r="J1645" s="202" t="str">
        <f>IF('Calendario J'!J115="","",'Calendario J'!J115)</f>
        <v/>
      </c>
      <c r="K1645" s="201" t="s">
        <v>198</v>
      </c>
      <c r="L1645" s="202" t="str">
        <f>IF('Calendario J'!L115="","",'Calendario J'!L115)</f>
        <v/>
      </c>
      <c r="M1645" s="200"/>
      <c r="N1645" s="200"/>
      <c r="O1645" s="200"/>
      <c r="P1645" s="200"/>
      <c r="Q1645" s="200"/>
      <c r="R1645" s="200"/>
    </row>
    <row r="1646" spans="1:18" ht="15" customHeight="1" x14ac:dyDescent="0.25">
      <c r="A1646" s="133"/>
      <c r="B1646" s="136" t="str">
        <f>IF('Calendario J'!B116="","",'Calendario J'!B116)</f>
        <v/>
      </c>
      <c r="C1646" s="124"/>
      <c r="D1646" s="124"/>
      <c r="E1646" s="124"/>
      <c r="F1646" s="124"/>
      <c r="G1646" s="124"/>
      <c r="H1646" s="125"/>
      <c r="I1646" s="45" t="str">
        <f>IF('Calendario J'!I116="","",'Calendario J'!I116)</f>
        <v/>
      </c>
      <c r="J1646" s="133"/>
      <c r="K1646" s="133"/>
      <c r="L1646" s="133"/>
      <c r="M1646" s="133"/>
      <c r="N1646" s="133"/>
      <c r="O1646" s="133"/>
      <c r="P1646" s="133"/>
      <c r="Q1646" s="133"/>
      <c r="R1646" s="133"/>
    </row>
    <row r="1647" spans="1:18" ht="14.1" customHeight="1" x14ac:dyDescent="0.25">
      <c r="A1647" s="66" t="s">
        <v>193</v>
      </c>
      <c r="B1647" s="173" t="s">
        <v>175</v>
      </c>
      <c r="C1647" s="125"/>
      <c r="D1647" s="173" t="s">
        <v>182</v>
      </c>
      <c r="E1647" s="125"/>
      <c r="F1647" s="66" t="s">
        <v>194</v>
      </c>
      <c r="G1647" s="66" t="s">
        <v>195</v>
      </c>
      <c r="H1647" s="173" t="s">
        <v>196</v>
      </c>
      <c r="I1647" s="125"/>
      <c r="J1647" s="173" t="s">
        <v>197</v>
      </c>
      <c r="K1647" s="124"/>
      <c r="L1647" s="125"/>
      <c r="M1647" s="111" t="s">
        <v>494</v>
      </c>
      <c r="N1647" s="111" t="s">
        <v>495</v>
      </c>
      <c r="O1647" s="111" t="s">
        <v>496</v>
      </c>
      <c r="P1647" s="111" t="s">
        <v>497</v>
      </c>
      <c r="Q1647" s="111" t="s">
        <v>498</v>
      </c>
      <c r="R1647" s="111" t="s">
        <v>499</v>
      </c>
    </row>
    <row r="1648" spans="1:18" ht="21.95" customHeight="1" x14ac:dyDescent="0.25">
      <c r="A1648" s="174">
        <f>IF('Calendario J'!A118="","",'Calendario J'!A118)</f>
        <v>438</v>
      </c>
      <c r="B1648" s="44" t="str">
        <f>IF('Calendario J'!B118="","",'Calendario J'!B118)</f>
        <v/>
      </c>
      <c r="C1648" s="45" t="str">
        <f>IF('Calendario J'!C118="","",'Calendario J'!C118)</f>
        <v/>
      </c>
      <c r="D1648" s="44" t="str">
        <f>IF('Calendario J'!D118="","",'Calendario J'!D118)</f>
        <v/>
      </c>
      <c r="E1648" s="45" t="str">
        <f>IF('Calendario J'!E118="","",'Calendario J'!E118)</f>
        <v/>
      </c>
      <c r="F1648" s="138" t="str">
        <f>IF('Calendario J'!F118="","",'Calendario J'!F118)</f>
        <v/>
      </c>
      <c r="G1648" s="124"/>
      <c r="H1648" s="124"/>
      <c r="I1648" s="125"/>
      <c r="J1648" s="202" t="str">
        <f>IF('Calendario J'!J118="","",'Calendario J'!J118)</f>
        <v/>
      </c>
      <c r="K1648" s="201" t="s">
        <v>198</v>
      </c>
      <c r="L1648" s="202" t="str">
        <f>IF('Calendario J'!L118="","",'Calendario J'!L118)</f>
        <v/>
      </c>
      <c r="M1648" s="200"/>
      <c r="N1648" s="200"/>
      <c r="O1648" s="200"/>
      <c r="P1648" s="200"/>
      <c r="Q1648" s="200"/>
      <c r="R1648" s="200"/>
    </row>
    <row r="1649" spans="1:18" ht="15" customHeight="1" x14ac:dyDescent="0.25">
      <c r="A1649" s="133"/>
      <c r="B1649" s="136" t="str">
        <f>IF('Calendario J'!B119="","",'Calendario J'!B119)</f>
        <v/>
      </c>
      <c r="C1649" s="124"/>
      <c r="D1649" s="124"/>
      <c r="E1649" s="124"/>
      <c r="F1649" s="124"/>
      <c r="G1649" s="124"/>
      <c r="H1649" s="125"/>
      <c r="I1649" s="45" t="str">
        <f>IF('Calendario J'!I119="","",'Calendario J'!I119)</f>
        <v/>
      </c>
      <c r="J1649" s="133"/>
      <c r="K1649" s="133"/>
      <c r="L1649" s="133"/>
      <c r="M1649" s="133"/>
      <c r="N1649" s="133"/>
      <c r="O1649" s="133"/>
      <c r="P1649" s="133"/>
      <c r="Q1649" s="133"/>
      <c r="R1649" s="133"/>
    </row>
    <row r="1650" spans="1:18" ht="14.1" customHeight="1" x14ac:dyDescent="0.25">
      <c r="A1650" s="66" t="s">
        <v>193</v>
      </c>
      <c r="B1650" s="173" t="s">
        <v>175</v>
      </c>
      <c r="C1650" s="125"/>
      <c r="D1650" s="173" t="s">
        <v>182</v>
      </c>
      <c r="E1650" s="125"/>
      <c r="F1650" s="66" t="s">
        <v>194</v>
      </c>
      <c r="G1650" s="66" t="s">
        <v>195</v>
      </c>
      <c r="H1650" s="173" t="s">
        <v>196</v>
      </c>
      <c r="I1650" s="125"/>
      <c r="J1650" s="173" t="s">
        <v>197</v>
      </c>
      <c r="K1650" s="124"/>
      <c r="L1650" s="125"/>
      <c r="M1650" s="111" t="s">
        <v>494</v>
      </c>
      <c r="N1650" s="111" t="s">
        <v>495</v>
      </c>
      <c r="O1650" s="111" t="s">
        <v>496</v>
      </c>
      <c r="P1650" s="111" t="s">
        <v>497</v>
      </c>
      <c r="Q1650" s="111" t="s">
        <v>498</v>
      </c>
      <c r="R1650" s="111" t="s">
        <v>499</v>
      </c>
    </row>
    <row r="1651" spans="1:18" ht="21.95" customHeight="1" x14ac:dyDescent="0.25">
      <c r="A1651" s="174">
        <f>IF('Calendario J'!A121="","",'Calendario J'!A121)</f>
        <v>439</v>
      </c>
      <c r="B1651" s="44" t="str">
        <f>IF('Calendario J'!B121="","",'Calendario J'!B121)</f>
        <v/>
      </c>
      <c r="C1651" s="45" t="str">
        <f>IF('Calendario J'!C121="","",'Calendario J'!C121)</f>
        <v/>
      </c>
      <c r="D1651" s="44" t="str">
        <f>IF('Calendario J'!D121="","",'Calendario J'!D121)</f>
        <v/>
      </c>
      <c r="E1651" s="45" t="str">
        <f>IF('Calendario J'!E121="","",'Calendario J'!E121)</f>
        <v/>
      </c>
      <c r="F1651" s="138" t="str">
        <f>IF('Calendario J'!F121="","",'Calendario J'!F121)</f>
        <v/>
      </c>
      <c r="G1651" s="124"/>
      <c r="H1651" s="124"/>
      <c r="I1651" s="125"/>
      <c r="J1651" s="202" t="str">
        <f>IF('Calendario J'!J121="","",'Calendario J'!J121)</f>
        <v/>
      </c>
      <c r="K1651" s="201" t="s">
        <v>198</v>
      </c>
      <c r="L1651" s="202" t="str">
        <f>IF('Calendario J'!L121="","",'Calendario J'!L121)</f>
        <v/>
      </c>
      <c r="M1651" s="200"/>
      <c r="N1651" s="200"/>
      <c r="O1651" s="200"/>
      <c r="P1651" s="200"/>
      <c r="Q1651" s="200"/>
      <c r="R1651" s="200"/>
    </row>
    <row r="1652" spans="1:18" ht="15" customHeight="1" x14ac:dyDescent="0.25">
      <c r="A1652" s="133"/>
      <c r="B1652" s="136" t="str">
        <f>IF('Calendario J'!B122="","",'Calendario J'!B122)</f>
        <v/>
      </c>
      <c r="C1652" s="124"/>
      <c r="D1652" s="124"/>
      <c r="E1652" s="124"/>
      <c r="F1652" s="124"/>
      <c r="G1652" s="124"/>
      <c r="H1652" s="125"/>
      <c r="I1652" s="45" t="str">
        <f>IF('Calendario J'!I122="","",'Calendario J'!I122)</f>
        <v/>
      </c>
      <c r="J1652" s="133"/>
      <c r="K1652" s="133"/>
      <c r="L1652" s="133"/>
      <c r="M1652" s="133"/>
      <c r="N1652" s="133"/>
      <c r="O1652" s="133"/>
      <c r="P1652" s="133"/>
      <c r="Q1652" s="133"/>
      <c r="R1652" s="133"/>
    </row>
    <row r="1653" spans="1:18" ht="14.1" customHeight="1" x14ac:dyDescent="0.25">
      <c r="A1653" s="66" t="s">
        <v>193</v>
      </c>
      <c r="B1653" s="173" t="s">
        <v>175</v>
      </c>
      <c r="C1653" s="125"/>
      <c r="D1653" s="173" t="s">
        <v>182</v>
      </c>
      <c r="E1653" s="125"/>
      <c r="F1653" s="66" t="s">
        <v>194</v>
      </c>
      <c r="G1653" s="66" t="s">
        <v>195</v>
      </c>
      <c r="H1653" s="173" t="s">
        <v>196</v>
      </c>
      <c r="I1653" s="125"/>
      <c r="J1653" s="173" t="s">
        <v>197</v>
      </c>
      <c r="K1653" s="124"/>
      <c r="L1653" s="125"/>
      <c r="M1653" s="111" t="s">
        <v>494</v>
      </c>
      <c r="N1653" s="111" t="s">
        <v>495</v>
      </c>
      <c r="O1653" s="111" t="s">
        <v>496</v>
      </c>
      <c r="P1653" s="111" t="s">
        <v>497</v>
      </c>
      <c r="Q1653" s="111" t="s">
        <v>498</v>
      </c>
      <c r="R1653" s="111" t="s">
        <v>499</v>
      </c>
    </row>
    <row r="1654" spans="1:18" ht="21.95" customHeight="1" x14ac:dyDescent="0.25">
      <c r="A1654" s="174">
        <f>IF('Calendario J'!A124="","",'Calendario J'!A124)</f>
        <v>440</v>
      </c>
      <c r="B1654" s="44" t="str">
        <f>IF('Calendario J'!B124="","",'Calendario J'!B124)</f>
        <v/>
      </c>
      <c r="C1654" s="45" t="str">
        <f>IF('Calendario J'!C124="","",'Calendario J'!C124)</f>
        <v/>
      </c>
      <c r="D1654" s="44" t="str">
        <f>IF('Calendario J'!D124="","",'Calendario J'!D124)</f>
        <v/>
      </c>
      <c r="E1654" s="45" t="str">
        <f>IF('Calendario J'!E124="","",'Calendario J'!E124)</f>
        <v/>
      </c>
      <c r="F1654" s="138" t="str">
        <f>IF('Calendario J'!F124="","",'Calendario J'!F124)</f>
        <v/>
      </c>
      <c r="G1654" s="124"/>
      <c r="H1654" s="124"/>
      <c r="I1654" s="125"/>
      <c r="J1654" s="202" t="str">
        <f>IF('Calendario J'!J124="","",'Calendario J'!J124)</f>
        <v/>
      </c>
      <c r="K1654" s="201" t="s">
        <v>198</v>
      </c>
      <c r="L1654" s="202" t="str">
        <f>IF('Calendario J'!L124="","",'Calendario J'!L124)</f>
        <v/>
      </c>
      <c r="M1654" s="200"/>
      <c r="N1654" s="200"/>
      <c r="O1654" s="200"/>
      <c r="P1654" s="200"/>
      <c r="Q1654" s="200"/>
      <c r="R1654" s="200"/>
    </row>
    <row r="1655" spans="1:18" ht="15" customHeight="1" x14ac:dyDescent="0.25">
      <c r="A1655" s="133"/>
      <c r="B1655" s="136" t="str">
        <f>IF('Calendario J'!B125="","",'Calendario J'!B125)</f>
        <v/>
      </c>
      <c r="C1655" s="124"/>
      <c r="D1655" s="124"/>
      <c r="E1655" s="124"/>
      <c r="F1655" s="124"/>
      <c r="G1655" s="124"/>
      <c r="H1655" s="125"/>
      <c r="I1655" s="45" t="str">
        <f>IF('Calendario J'!I125="","",'Calendario J'!I125)</f>
        <v/>
      </c>
      <c r="J1655" s="133"/>
      <c r="K1655" s="133"/>
      <c r="L1655" s="133"/>
      <c r="M1655" s="133"/>
      <c r="N1655" s="133"/>
      <c r="O1655" s="133"/>
      <c r="P1655" s="133"/>
      <c r="Q1655" s="133"/>
      <c r="R1655" s="133"/>
    </row>
    <row r="1657" spans="1:18" ht="20.100000000000001" customHeight="1" x14ac:dyDescent="0.25">
      <c r="A1657" s="65" t="str">
        <f>IF('Calendario J'!A127="","",'Calendario J'!A127)</f>
        <v>8J</v>
      </c>
      <c r="B1657" s="175" t="str">
        <f>IF('Calendario J'!B127="","",'Calendario J'!B127)</f>
        <v>GIORNATA VIII - GIRONE J</v>
      </c>
      <c r="C1657" s="124"/>
      <c r="D1657" s="124"/>
      <c r="E1657" s="124"/>
      <c r="F1657" s="124"/>
      <c r="G1657" s="124"/>
      <c r="H1657" s="124"/>
      <c r="I1657" s="124"/>
      <c r="J1657" s="124"/>
      <c r="K1657" s="124"/>
      <c r="L1657" s="125"/>
      <c r="M1657" s="211" t="s">
        <v>492</v>
      </c>
      <c r="N1657" s="124"/>
      <c r="O1657" s="125"/>
      <c r="P1657" s="211" t="s">
        <v>493</v>
      </c>
      <c r="Q1657" s="124"/>
      <c r="R1657" s="125"/>
    </row>
    <row r="1658" spans="1:18" ht="14.1" customHeight="1" x14ac:dyDescent="0.25">
      <c r="A1658" s="66" t="s">
        <v>193</v>
      </c>
      <c r="B1658" s="173" t="s">
        <v>175</v>
      </c>
      <c r="C1658" s="125"/>
      <c r="D1658" s="173" t="s">
        <v>182</v>
      </c>
      <c r="E1658" s="125"/>
      <c r="F1658" s="66" t="s">
        <v>194</v>
      </c>
      <c r="G1658" s="66" t="s">
        <v>195</v>
      </c>
      <c r="H1658" s="173" t="s">
        <v>196</v>
      </c>
      <c r="I1658" s="125"/>
      <c r="J1658" s="173" t="s">
        <v>197</v>
      </c>
      <c r="K1658" s="124"/>
      <c r="L1658" s="125"/>
      <c r="M1658" s="111" t="s">
        <v>494</v>
      </c>
      <c r="N1658" s="111" t="s">
        <v>495</v>
      </c>
      <c r="O1658" s="111" t="s">
        <v>496</v>
      </c>
      <c r="P1658" s="111" t="s">
        <v>497</v>
      </c>
      <c r="Q1658" s="111" t="s">
        <v>498</v>
      </c>
      <c r="R1658" s="111" t="s">
        <v>499</v>
      </c>
    </row>
    <row r="1659" spans="1:18" ht="21.95" customHeight="1" x14ac:dyDescent="0.25">
      <c r="A1659" s="174">
        <f>IF('Calendario J'!A129="","",'Calendario J'!A129)</f>
        <v>441</v>
      </c>
      <c r="B1659" s="44" t="str">
        <f>IF('Calendario J'!B129="","",'Calendario J'!B129)</f>
        <v/>
      </c>
      <c r="C1659" s="45" t="str">
        <f>IF('Calendario J'!C129="","",'Calendario J'!C129)</f>
        <v/>
      </c>
      <c r="D1659" s="44" t="str">
        <f>IF('Calendario J'!D129="","",'Calendario J'!D129)</f>
        <v/>
      </c>
      <c r="E1659" s="45" t="str">
        <f>IF('Calendario J'!E129="","",'Calendario J'!E129)</f>
        <v/>
      </c>
      <c r="F1659" s="138" t="str">
        <f>IF('Calendario J'!F129="","",'Calendario J'!F129)</f>
        <v/>
      </c>
      <c r="G1659" s="124"/>
      <c r="H1659" s="124"/>
      <c r="I1659" s="125"/>
      <c r="J1659" s="202" t="str">
        <f>IF('Calendario J'!J129="","",'Calendario J'!J129)</f>
        <v/>
      </c>
      <c r="K1659" s="201" t="s">
        <v>198</v>
      </c>
      <c r="L1659" s="202" t="str">
        <f>IF('Calendario J'!L129="","",'Calendario J'!L129)</f>
        <v/>
      </c>
      <c r="M1659" s="200"/>
      <c r="N1659" s="200"/>
      <c r="O1659" s="200"/>
      <c r="P1659" s="200"/>
      <c r="Q1659" s="200"/>
      <c r="R1659" s="200"/>
    </row>
    <row r="1660" spans="1:18" ht="15" customHeight="1" x14ac:dyDescent="0.25">
      <c r="A1660" s="133"/>
      <c r="B1660" s="136" t="str">
        <f>IF('Calendario J'!B130="","",'Calendario J'!B130)</f>
        <v/>
      </c>
      <c r="C1660" s="124"/>
      <c r="D1660" s="124"/>
      <c r="E1660" s="124"/>
      <c r="F1660" s="124"/>
      <c r="G1660" s="124"/>
      <c r="H1660" s="125"/>
      <c r="I1660" s="45" t="str">
        <f>IF('Calendario J'!I130="","",'Calendario J'!I130)</f>
        <v/>
      </c>
      <c r="J1660" s="133"/>
      <c r="K1660" s="133"/>
      <c r="L1660" s="133"/>
      <c r="M1660" s="133"/>
      <c r="N1660" s="133"/>
      <c r="O1660" s="133"/>
      <c r="P1660" s="133"/>
      <c r="Q1660" s="133"/>
      <c r="R1660" s="133"/>
    </row>
    <row r="1661" spans="1:18" ht="14.1" customHeight="1" x14ac:dyDescent="0.25">
      <c r="A1661" s="66" t="s">
        <v>193</v>
      </c>
      <c r="B1661" s="173" t="s">
        <v>175</v>
      </c>
      <c r="C1661" s="125"/>
      <c r="D1661" s="173" t="s">
        <v>182</v>
      </c>
      <c r="E1661" s="125"/>
      <c r="F1661" s="66" t="s">
        <v>194</v>
      </c>
      <c r="G1661" s="66" t="s">
        <v>195</v>
      </c>
      <c r="H1661" s="173" t="s">
        <v>196</v>
      </c>
      <c r="I1661" s="125"/>
      <c r="J1661" s="173" t="s">
        <v>197</v>
      </c>
      <c r="K1661" s="124"/>
      <c r="L1661" s="125"/>
      <c r="M1661" s="111" t="s">
        <v>494</v>
      </c>
      <c r="N1661" s="111" t="s">
        <v>495</v>
      </c>
      <c r="O1661" s="111" t="s">
        <v>496</v>
      </c>
      <c r="P1661" s="111" t="s">
        <v>497</v>
      </c>
      <c r="Q1661" s="111" t="s">
        <v>498</v>
      </c>
      <c r="R1661" s="111" t="s">
        <v>499</v>
      </c>
    </row>
    <row r="1662" spans="1:18" ht="21.95" customHeight="1" x14ac:dyDescent="0.25">
      <c r="A1662" s="174">
        <f>IF('Calendario J'!A132="","",'Calendario J'!A132)</f>
        <v>442</v>
      </c>
      <c r="B1662" s="44" t="str">
        <f>IF('Calendario J'!B132="","",'Calendario J'!B132)</f>
        <v/>
      </c>
      <c r="C1662" s="45" t="str">
        <f>IF('Calendario J'!C132="","",'Calendario J'!C132)</f>
        <v/>
      </c>
      <c r="D1662" s="44" t="str">
        <f>IF('Calendario J'!D132="","",'Calendario J'!D132)</f>
        <v/>
      </c>
      <c r="E1662" s="45" t="str">
        <f>IF('Calendario J'!E132="","",'Calendario J'!E132)</f>
        <v/>
      </c>
      <c r="F1662" s="138" t="str">
        <f>IF('Calendario J'!F132="","",'Calendario J'!F132)</f>
        <v/>
      </c>
      <c r="G1662" s="124"/>
      <c r="H1662" s="124"/>
      <c r="I1662" s="125"/>
      <c r="J1662" s="202" t="str">
        <f>IF('Calendario J'!J132="","",'Calendario J'!J132)</f>
        <v/>
      </c>
      <c r="K1662" s="201" t="s">
        <v>198</v>
      </c>
      <c r="L1662" s="202" t="str">
        <f>IF('Calendario J'!L132="","",'Calendario J'!L132)</f>
        <v/>
      </c>
      <c r="M1662" s="200"/>
      <c r="N1662" s="200"/>
      <c r="O1662" s="200"/>
      <c r="P1662" s="200"/>
      <c r="Q1662" s="200"/>
      <c r="R1662" s="200"/>
    </row>
    <row r="1663" spans="1:18" ht="15" customHeight="1" x14ac:dyDescent="0.25">
      <c r="A1663" s="133"/>
      <c r="B1663" s="136" t="str">
        <f>IF('Calendario J'!B133="","",'Calendario J'!B133)</f>
        <v/>
      </c>
      <c r="C1663" s="124"/>
      <c r="D1663" s="124"/>
      <c r="E1663" s="124"/>
      <c r="F1663" s="124"/>
      <c r="G1663" s="124"/>
      <c r="H1663" s="125"/>
      <c r="I1663" s="45" t="str">
        <f>IF('Calendario J'!I133="","",'Calendario J'!I133)</f>
        <v/>
      </c>
      <c r="J1663" s="133"/>
      <c r="K1663" s="133"/>
      <c r="L1663" s="133"/>
      <c r="M1663" s="133"/>
      <c r="N1663" s="133"/>
      <c r="O1663" s="133"/>
      <c r="P1663" s="133"/>
      <c r="Q1663" s="133"/>
      <c r="R1663" s="133"/>
    </row>
    <row r="1664" spans="1:18" ht="14.1" customHeight="1" x14ac:dyDescent="0.25">
      <c r="A1664" s="66" t="s">
        <v>193</v>
      </c>
      <c r="B1664" s="173" t="s">
        <v>175</v>
      </c>
      <c r="C1664" s="125"/>
      <c r="D1664" s="173" t="s">
        <v>182</v>
      </c>
      <c r="E1664" s="125"/>
      <c r="F1664" s="66" t="s">
        <v>194</v>
      </c>
      <c r="G1664" s="66" t="s">
        <v>195</v>
      </c>
      <c r="H1664" s="173" t="s">
        <v>196</v>
      </c>
      <c r="I1664" s="125"/>
      <c r="J1664" s="173" t="s">
        <v>197</v>
      </c>
      <c r="K1664" s="124"/>
      <c r="L1664" s="125"/>
      <c r="M1664" s="111" t="s">
        <v>494</v>
      </c>
      <c r="N1664" s="111" t="s">
        <v>495</v>
      </c>
      <c r="O1664" s="111" t="s">
        <v>496</v>
      </c>
      <c r="P1664" s="111" t="s">
        <v>497</v>
      </c>
      <c r="Q1664" s="111" t="s">
        <v>498</v>
      </c>
      <c r="R1664" s="111" t="s">
        <v>499</v>
      </c>
    </row>
    <row r="1665" spans="1:18" ht="21.95" customHeight="1" x14ac:dyDescent="0.25">
      <c r="A1665" s="174">
        <f>IF('Calendario J'!A135="","",'Calendario J'!A135)</f>
        <v>443</v>
      </c>
      <c r="B1665" s="44" t="str">
        <f>IF('Calendario J'!B135="","",'Calendario J'!B135)</f>
        <v/>
      </c>
      <c r="C1665" s="45" t="str">
        <f>IF('Calendario J'!C135="","",'Calendario J'!C135)</f>
        <v/>
      </c>
      <c r="D1665" s="44" t="str">
        <f>IF('Calendario J'!D135="","",'Calendario J'!D135)</f>
        <v/>
      </c>
      <c r="E1665" s="45" t="str">
        <f>IF('Calendario J'!E135="","",'Calendario J'!E135)</f>
        <v/>
      </c>
      <c r="F1665" s="138" t="str">
        <f>IF('Calendario J'!F135="","",'Calendario J'!F135)</f>
        <v/>
      </c>
      <c r="G1665" s="124"/>
      <c r="H1665" s="124"/>
      <c r="I1665" s="125"/>
      <c r="J1665" s="202" t="str">
        <f>IF('Calendario J'!J135="","",'Calendario J'!J135)</f>
        <v/>
      </c>
      <c r="K1665" s="201" t="s">
        <v>198</v>
      </c>
      <c r="L1665" s="202" t="str">
        <f>IF('Calendario J'!L135="","",'Calendario J'!L135)</f>
        <v/>
      </c>
      <c r="M1665" s="200"/>
      <c r="N1665" s="200"/>
      <c r="O1665" s="200"/>
      <c r="P1665" s="200"/>
      <c r="Q1665" s="200"/>
      <c r="R1665" s="200"/>
    </row>
    <row r="1666" spans="1:18" ht="15" customHeight="1" x14ac:dyDescent="0.25">
      <c r="A1666" s="133"/>
      <c r="B1666" s="136" t="str">
        <f>IF('Calendario J'!B136="","",'Calendario J'!B136)</f>
        <v/>
      </c>
      <c r="C1666" s="124"/>
      <c r="D1666" s="124"/>
      <c r="E1666" s="124"/>
      <c r="F1666" s="124"/>
      <c r="G1666" s="124"/>
      <c r="H1666" s="125"/>
      <c r="I1666" s="45" t="str">
        <f>IF('Calendario J'!I136="","",'Calendario J'!I136)</f>
        <v/>
      </c>
      <c r="J1666" s="133"/>
      <c r="K1666" s="133"/>
      <c r="L1666" s="133"/>
      <c r="M1666" s="133"/>
      <c r="N1666" s="133"/>
      <c r="O1666" s="133"/>
      <c r="P1666" s="133"/>
      <c r="Q1666" s="133"/>
      <c r="R1666" s="133"/>
    </row>
    <row r="1667" spans="1:18" ht="14.1" customHeight="1" x14ac:dyDescent="0.25">
      <c r="A1667" s="66" t="s">
        <v>193</v>
      </c>
      <c r="B1667" s="173" t="s">
        <v>175</v>
      </c>
      <c r="C1667" s="125"/>
      <c r="D1667" s="173" t="s">
        <v>182</v>
      </c>
      <c r="E1667" s="125"/>
      <c r="F1667" s="66" t="s">
        <v>194</v>
      </c>
      <c r="G1667" s="66" t="s">
        <v>195</v>
      </c>
      <c r="H1667" s="173" t="s">
        <v>196</v>
      </c>
      <c r="I1667" s="125"/>
      <c r="J1667" s="173" t="s">
        <v>197</v>
      </c>
      <c r="K1667" s="124"/>
      <c r="L1667" s="125"/>
      <c r="M1667" s="111" t="s">
        <v>494</v>
      </c>
      <c r="N1667" s="111" t="s">
        <v>495</v>
      </c>
      <c r="O1667" s="111" t="s">
        <v>496</v>
      </c>
      <c r="P1667" s="111" t="s">
        <v>497</v>
      </c>
      <c r="Q1667" s="111" t="s">
        <v>498</v>
      </c>
      <c r="R1667" s="111" t="s">
        <v>499</v>
      </c>
    </row>
    <row r="1668" spans="1:18" ht="21.95" customHeight="1" x14ac:dyDescent="0.25">
      <c r="A1668" s="174">
        <f>IF('Calendario J'!A138="","",'Calendario J'!A138)</f>
        <v>444</v>
      </c>
      <c r="B1668" s="44" t="str">
        <f>IF('Calendario J'!B138="","",'Calendario J'!B138)</f>
        <v/>
      </c>
      <c r="C1668" s="45" t="str">
        <f>IF('Calendario J'!C138="","",'Calendario J'!C138)</f>
        <v/>
      </c>
      <c r="D1668" s="44" t="str">
        <f>IF('Calendario J'!D138="","",'Calendario J'!D138)</f>
        <v/>
      </c>
      <c r="E1668" s="45" t="str">
        <f>IF('Calendario J'!E138="","",'Calendario J'!E138)</f>
        <v/>
      </c>
      <c r="F1668" s="138" t="str">
        <f>IF('Calendario J'!F138="","",'Calendario J'!F138)</f>
        <v/>
      </c>
      <c r="G1668" s="124"/>
      <c r="H1668" s="124"/>
      <c r="I1668" s="125"/>
      <c r="J1668" s="202" t="str">
        <f>IF('Calendario J'!J138="","",'Calendario J'!J138)</f>
        <v/>
      </c>
      <c r="K1668" s="201" t="s">
        <v>198</v>
      </c>
      <c r="L1668" s="202" t="str">
        <f>IF('Calendario J'!L138="","",'Calendario J'!L138)</f>
        <v/>
      </c>
      <c r="M1668" s="200"/>
      <c r="N1668" s="200"/>
      <c r="O1668" s="200"/>
      <c r="P1668" s="200"/>
      <c r="Q1668" s="200"/>
      <c r="R1668" s="200"/>
    </row>
    <row r="1669" spans="1:18" ht="15" customHeight="1" x14ac:dyDescent="0.25">
      <c r="A1669" s="133"/>
      <c r="B1669" s="136" t="str">
        <f>IF('Calendario J'!B139="","",'Calendario J'!B139)</f>
        <v/>
      </c>
      <c r="C1669" s="124"/>
      <c r="D1669" s="124"/>
      <c r="E1669" s="124"/>
      <c r="F1669" s="124"/>
      <c r="G1669" s="124"/>
      <c r="H1669" s="125"/>
      <c r="I1669" s="45" t="str">
        <f>IF('Calendario J'!I139="","",'Calendario J'!I139)</f>
        <v/>
      </c>
      <c r="J1669" s="133"/>
      <c r="K1669" s="133"/>
      <c r="L1669" s="133"/>
      <c r="M1669" s="133"/>
      <c r="N1669" s="133"/>
      <c r="O1669" s="133"/>
      <c r="P1669" s="133"/>
      <c r="Q1669" s="133"/>
      <c r="R1669" s="133"/>
    </row>
    <row r="1670" spans="1:18" ht="14.1" customHeight="1" x14ac:dyDescent="0.25">
      <c r="A1670" s="66" t="s">
        <v>193</v>
      </c>
      <c r="B1670" s="173" t="s">
        <v>175</v>
      </c>
      <c r="C1670" s="125"/>
      <c r="D1670" s="173" t="s">
        <v>182</v>
      </c>
      <c r="E1670" s="125"/>
      <c r="F1670" s="66" t="s">
        <v>194</v>
      </c>
      <c r="G1670" s="66" t="s">
        <v>195</v>
      </c>
      <c r="H1670" s="173" t="s">
        <v>196</v>
      </c>
      <c r="I1670" s="125"/>
      <c r="J1670" s="173" t="s">
        <v>197</v>
      </c>
      <c r="K1670" s="124"/>
      <c r="L1670" s="125"/>
      <c r="M1670" s="111" t="s">
        <v>494</v>
      </c>
      <c r="N1670" s="111" t="s">
        <v>495</v>
      </c>
      <c r="O1670" s="111" t="s">
        <v>496</v>
      </c>
      <c r="P1670" s="111" t="s">
        <v>497</v>
      </c>
      <c r="Q1670" s="111" t="s">
        <v>498</v>
      </c>
      <c r="R1670" s="111" t="s">
        <v>499</v>
      </c>
    </row>
    <row r="1671" spans="1:18" ht="21.95" customHeight="1" x14ac:dyDescent="0.25">
      <c r="A1671" s="174">
        <f>IF('Calendario J'!A141="","",'Calendario J'!A141)</f>
        <v>445</v>
      </c>
      <c r="B1671" s="44" t="str">
        <f>IF('Calendario J'!B141="","",'Calendario J'!B141)</f>
        <v/>
      </c>
      <c r="C1671" s="45" t="str">
        <f>IF('Calendario J'!C141="","",'Calendario J'!C141)</f>
        <v/>
      </c>
      <c r="D1671" s="44" t="str">
        <f>IF('Calendario J'!D141="","",'Calendario J'!D141)</f>
        <v/>
      </c>
      <c r="E1671" s="45" t="str">
        <f>IF('Calendario J'!E141="","",'Calendario J'!E141)</f>
        <v/>
      </c>
      <c r="F1671" s="138" t="str">
        <f>IF('Calendario J'!F141="","",'Calendario J'!F141)</f>
        <v/>
      </c>
      <c r="G1671" s="124"/>
      <c r="H1671" s="124"/>
      <c r="I1671" s="125"/>
      <c r="J1671" s="202" t="str">
        <f>IF('Calendario J'!J141="","",'Calendario J'!J141)</f>
        <v/>
      </c>
      <c r="K1671" s="201" t="s">
        <v>198</v>
      </c>
      <c r="L1671" s="202" t="str">
        <f>IF('Calendario J'!L141="","",'Calendario J'!L141)</f>
        <v/>
      </c>
      <c r="M1671" s="200"/>
      <c r="N1671" s="200"/>
      <c r="O1671" s="200"/>
      <c r="P1671" s="200"/>
      <c r="Q1671" s="200"/>
      <c r="R1671" s="200"/>
    </row>
    <row r="1672" spans="1:18" ht="15" customHeight="1" x14ac:dyDescent="0.25">
      <c r="A1672" s="133"/>
      <c r="B1672" s="136" t="str">
        <f>IF('Calendario J'!B142="","",'Calendario J'!B142)</f>
        <v/>
      </c>
      <c r="C1672" s="124"/>
      <c r="D1672" s="124"/>
      <c r="E1672" s="124"/>
      <c r="F1672" s="124"/>
      <c r="G1672" s="124"/>
      <c r="H1672" s="125"/>
      <c r="I1672" s="45" t="str">
        <f>IF('Calendario J'!I142="","",'Calendario J'!I142)</f>
        <v/>
      </c>
      <c r="J1672" s="133"/>
      <c r="K1672" s="133"/>
      <c r="L1672" s="133"/>
      <c r="M1672" s="133"/>
      <c r="N1672" s="133"/>
      <c r="O1672" s="133"/>
      <c r="P1672" s="133"/>
      <c r="Q1672" s="133"/>
      <c r="R1672" s="133"/>
    </row>
    <row r="1674" spans="1:18" ht="20.100000000000001" customHeight="1" x14ac:dyDescent="0.25">
      <c r="A1674" s="65" t="str">
        <f>IF('Calendario J'!A144="","",'Calendario J'!A144)</f>
        <v>9J</v>
      </c>
      <c r="B1674" s="175" t="str">
        <f>IF('Calendario J'!B144="","",'Calendario J'!B144)</f>
        <v>GIORNATA IX - GIRONE J</v>
      </c>
      <c r="C1674" s="124"/>
      <c r="D1674" s="124"/>
      <c r="E1674" s="124"/>
      <c r="F1674" s="124"/>
      <c r="G1674" s="124"/>
      <c r="H1674" s="124"/>
      <c r="I1674" s="124"/>
      <c r="J1674" s="124"/>
      <c r="K1674" s="124"/>
      <c r="L1674" s="125"/>
      <c r="M1674" s="211" t="s">
        <v>492</v>
      </c>
      <c r="N1674" s="124"/>
      <c r="O1674" s="125"/>
      <c r="P1674" s="211" t="s">
        <v>493</v>
      </c>
      <c r="Q1674" s="124"/>
      <c r="R1674" s="125"/>
    </row>
    <row r="1675" spans="1:18" ht="14.1" customHeight="1" x14ac:dyDescent="0.25">
      <c r="A1675" s="66" t="s">
        <v>193</v>
      </c>
      <c r="B1675" s="173" t="s">
        <v>175</v>
      </c>
      <c r="C1675" s="125"/>
      <c r="D1675" s="173" t="s">
        <v>182</v>
      </c>
      <c r="E1675" s="125"/>
      <c r="F1675" s="66" t="s">
        <v>194</v>
      </c>
      <c r="G1675" s="66" t="s">
        <v>195</v>
      </c>
      <c r="H1675" s="173" t="s">
        <v>196</v>
      </c>
      <c r="I1675" s="125"/>
      <c r="J1675" s="173" t="s">
        <v>197</v>
      </c>
      <c r="K1675" s="124"/>
      <c r="L1675" s="125"/>
      <c r="M1675" s="111" t="s">
        <v>494</v>
      </c>
      <c r="N1675" s="111" t="s">
        <v>495</v>
      </c>
      <c r="O1675" s="111" t="s">
        <v>496</v>
      </c>
      <c r="P1675" s="111" t="s">
        <v>497</v>
      </c>
      <c r="Q1675" s="111" t="s">
        <v>498</v>
      </c>
      <c r="R1675" s="111" t="s">
        <v>499</v>
      </c>
    </row>
    <row r="1676" spans="1:18" ht="21.95" customHeight="1" x14ac:dyDescent="0.25">
      <c r="A1676" s="174">
        <f>IF('Calendario J'!A146="","",'Calendario J'!A146)</f>
        <v>446</v>
      </c>
      <c r="B1676" s="44" t="str">
        <f>IF('Calendario J'!B146="","",'Calendario J'!B146)</f>
        <v/>
      </c>
      <c r="C1676" s="45" t="str">
        <f>IF('Calendario J'!C146="","",'Calendario J'!C146)</f>
        <v/>
      </c>
      <c r="D1676" s="44" t="str">
        <f>IF('Calendario J'!D146="","",'Calendario J'!D146)</f>
        <v/>
      </c>
      <c r="E1676" s="45" t="str">
        <f>IF('Calendario J'!E146="","",'Calendario J'!E146)</f>
        <v/>
      </c>
      <c r="F1676" s="138" t="str">
        <f>IF('Calendario J'!F146="","",'Calendario J'!F146)</f>
        <v/>
      </c>
      <c r="G1676" s="124"/>
      <c r="H1676" s="124"/>
      <c r="I1676" s="125"/>
      <c r="J1676" s="202" t="str">
        <f>IF('Calendario J'!J146="","",'Calendario J'!J146)</f>
        <v/>
      </c>
      <c r="K1676" s="201" t="s">
        <v>198</v>
      </c>
      <c r="L1676" s="202" t="str">
        <f>IF('Calendario J'!L146="","",'Calendario J'!L146)</f>
        <v/>
      </c>
      <c r="M1676" s="200"/>
      <c r="N1676" s="200"/>
      <c r="O1676" s="200"/>
      <c r="P1676" s="200"/>
      <c r="Q1676" s="200"/>
      <c r="R1676" s="200"/>
    </row>
    <row r="1677" spans="1:18" ht="15" customHeight="1" x14ac:dyDescent="0.25">
      <c r="A1677" s="133"/>
      <c r="B1677" s="136" t="str">
        <f>IF('Calendario J'!B147="","",'Calendario J'!B147)</f>
        <v/>
      </c>
      <c r="C1677" s="124"/>
      <c r="D1677" s="124"/>
      <c r="E1677" s="124"/>
      <c r="F1677" s="124"/>
      <c r="G1677" s="124"/>
      <c r="H1677" s="125"/>
      <c r="I1677" s="45" t="str">
        <f>IF('Calendario J'!I147="","",'Calendario J'!I147)</f>
        <v/>
      </c>
      <c r="J1677" s="133"/>
      <c r="K1677" s="133"/>
      <c r="L1677" s="133"/>
      <c r="M1677" s="133"/>
      <c r="N1677" s="133"/>
      <c r="O1677" s="133"/>
      <c r="P1677" s="133"/>
      <c r="Q1677" s="133"/>
      <c r="R1677" s="133"/>
    </row>
    <row r="1678" spans="1:18" ht="14.1" customHeight="1" x14ac:dyDescent="0.25">
      <c r="A1678" s="66" t="s">
        <v>193</v>
      </c>
      <c r="B1678" s="173" t="s">
        <v>175</v>
      </c>
      <c r="C1678" s="125"/>
      <c r="D1678" s="173" t="s">
        <v>182</v>
      </c>
      <c r="E1678" s="125"/>
      <c r="F1678" s="66" t="s">
        <v>194</v>
      </c>
      <c r="G1678" s="66" t="s">
        <v>195</v>
      </c>
      <c r="H1678" s="173" t="s">
        <v>196</v>
      </c>
      <c r="I1678" s="125"/>
      <c r="J1678" s="173" t="s">
        <v>197</v>
      </c>
      <c r="K1678" s="124"/>
      <c r="L1678" s="125"/>
      <c r="M1678" s="111" t="s">
        <v>494</v>
      </c>
      <c r="N1678" s="111" t="s">
        <v>495</v>
      </c>
      <c r="O1678" s="111" t="s">
        <v>496</v>
      </c>
      <c r="P1678" s="111" t="s">
        <v>497</v>
      </c>
      <c r="Q1678" s="111" t="s">
        <v>498</v>
      </c>
      <c r="R1678" s="111" t="s">
        <v>499</v>
      </c>
    </row>
    <row r="1679" spans="1:18" ht="21.95" customHeight="1" x14ac:dyDescent="0.25">
      <c r="A1679" s="174">
        <f>IF('Calendario J'!A149="","",'Calendario J'!A149)</f>
        <v>447</v>
      </c>
      <c r="B1679" s="44" t="str">
        <f>IF('Calendario J'!B149="","",'Calendario J'!B149)</f>
        <v/>
      </c>
      <c r="C1679" s="45" t="str">
        <f>IF('Calendario J'!C149="","",'Calendario J'!C149)</f>
        <v/>
      </c>
      <c r="D1679" s="44" t="str">
        <f>IF('Calendario J'!D149="","",'Calendario J'!D149)</f>
        <v/>
      </c>
      <c r="E1679" s="45" t="str">
        <f>IF('Calendario J'!E149="","",'Calendario J'!E149)</f>
        <v/>
      </c>
      <c r="F1679" s="138" t="str">
        <f>IF('Calendario J'!F149="","",'Calendario J'!F149)</f>
        <v/>
      </c>
      <c r="G1679" s="124"/>
      <c r="H1679" s="124"/>
      <c r="I1679" s="125"/>
      <c r="J1679" s="202" t="str">
        <f>IF('Calendario J'!J149="","",'Calendario J'!J149)</f>
        <v/>
      </c>
      <c r="K1679" s="201" t="s">
        <v>198</v>
      </c>
      <c r="L1679" s="202" t="str">
        <f>IF('Calendario J'!L149="","",'Calendario J'!L149)</f>
        <v/>
      </c>
      <c r="M1679" s="200"/>
      <c r="N1679" s="200"/>
      <c r="O1679" s="200"/>
      <c r="P1679" s="200"/>
      <c r="Q1679" s="200"/>
      <c r="R1679" s="200"/>
    </row>
    <row r="1680" spans="1:18" ht="15" customHeight="1" x14ac:dyDescent="0.25">
      <c r="A1680" s="133"/>
      <c r="B1680" s="136" t="str">
        <f>IF('Calendario J'!B150="","",'Calendario J'!B150)</f>
        <v/>
      </c>
      <c r="C1680" s="124"/>
      <c r="D1680" s="124"/>
      <c r="E1680" s="124"/>
      <c r="F1680" s="124"/>
      <c r="G1680" s="124"/>
      <c r="H1680" s="125"/>
      <c r="I1680" s="45" t="str">
        <f>IF('Calendario J'!I150="","",'Calendario J'!I150)</f>
        <v/>
      </c>
      <c r="J1680" s="133"/>
      <c r="K1680" s="133"/>
      <c r="L1680" s="133"/>
      <c r="M1680" s="133"/>
      <c r="N1680" s="133"/>
      <c r="O1680" s="133"/>
      <c r="P1680" s="133"/>
      <c r="Q1680" s="133"/>
      <c r="R1680" s="133"/>
    </row>
    <row r="1681" spans="1:18" ht="14.1" customHeight="1" x14ac:dyDescent="0.25">
      <c r="A1681" s="66" t="s">
        <v>193</v>
      </c>
      <c r="B1681" s="173" t="s">
        <v>175</v>
      </c>
      <c r="C1681" s="125"/>
      <c r="D1681" s="173" t="s">
        <v>182</v>
      </c>
      <c r="E1681" s="125"/>
      <c r="F1681" s="66" t="s">
        <v>194</v>
      </c>
      <c r="G1681" s="66" t="s">
        <v>195</v>
      </c>
      <c r="H1681" s="173" t="s">
        <v>196</v>
      </c>
      <c r="I1681" s="125"/>
      <c r="J1681" s="173" t="s">
        <v>197</v>
      </c>
      <c r="K1681" s="124"/>
      <c r="L1681" s="125"/>
      <c r="M1681" s="111" t="s">
        <v>494</v>
      </c>
      <c r="N1681" s="111" t="s">
        <v>495</v>
      </c>
      <c r="O1681" s="111" t="s">
        <v>496</v>
      </c>
      <c r="P1681" s="111" t="s">
        <v>497</v>
      </c>
      <c r="Q1681" s="111" t="s">
        <v>498</v>
      </c>
      <c r="R1681" s="111" t="s">
        <v>499</v>
      </c>
    </row>
    <row r="1682" spans="1:18" ht="21.95" customHeight="1" x14ac:dyDescent="0.25">
      <c r="A1682" s="174">
        <f>IF('Calendario J'!A152="","",'Calendario J'!A152)</f>
        <v>448</v>
      </c>
      <c r="B1682" s="44" t="str">
        <f>IF('Calendario J'!B152="","",'Calendario J'!B152)</f>
        <v/>
      </c>
      <c r="C1682" s="45" t="str">
        <f>IF('Calendario J'!C152="","",'Calendario J'!C152)</f>
        <v/>
      </c>
      <c r="D1682" s="44" t="str">
        <f>IF('Calendario J'!D152="","",'Calendario J'!D152)</f>
        <v/>
      </c>
      <c r="E1682" s="45" t="str">
        <f>IF('Calendario J'!E152="","",'Calendario J'!E152)</f>
        <v/>
      </c>
      <c r="F1682" s="138" t="str">
        <f>IF('Calendario J'!F152="","",'Calendario J'!F152)</f>
        <v/>
      </c>
      <c r="G1682" s="124"/>
      <c r="H1682" s="124"/>
      <c r="I1682" s="125"/>
      <c r="J1682" s="202" t="str">
        <f>IF('Calendario J'!J152="","",'Calendario J'!J152)</f>
        <v/>
      </c>
      <c r="K1682" s="201" t="s">
        <v>198</v>
      </c>
      <c r="L1682" s="202" t="str">
        <f>IF('Calendario J'!L152="","",'Calendario J'!L152)</f>
        <v/>
      </c>
      <c r="M1682" s="200"/>
      <c r="N1682" s="200"/>
      <c r="O1682" s="200"/>
      <c r="P1682" s="200"/>
      <c r="Q1682" s="200"/>
      <c r="R1682" s="200"/>
    </row>
    <row r="1683" spans="1:18" ht="15" customHeight="1" x14ac:dyDescent="0.25">
      <c r="A1683" s="133"/>
      <c r="B1683" s="136" t="str">
        <f>IF('Calendario J'!B153="","",'Calendario J'!B153)</f>
        <v/>
      </c>
      <c r="C1683" s="124"/>
      <c r="D1683" s="124"/>
      <c r="E1683" s="124"/>
      <c r="F1683" s="124"/>
      <c r="G1683" s="124"/>
      <c r="H1683" s="125"/>
      <c r="I1683" s="45" t="str">
        <f>IF('Calendario J'!I153="","",'Calendario J'!I153)</f>
        <v/>
      </c>
      <c r="J1683" s="133"/>
      <c r="K1683" s="133"/>
      <c r="L1683" s="133"/>
      <c r="M1683" s="133"/>
      <c r="N1683" s="133"/>
      <c r="O1683" s="133"/>
      <c r="P1683" s="133"/>
      <c r="Q1683" s="133"/>
      <c r="R1683" s="133"/>
    </row>
    <row r="1684" spans="1:18" ht="14.1" customHeight="1" x14ac:dyDescent="0.25">
      <c r="A1684" s="66" t="s">
        <v>193</v>
      </c>
      <c r="B1684" s="173" t="s">
        <v>175</v>
      </c>
      <c r="C1684" s="125"/>
      <c r="D1684" s="173" t="s">
        <v>182</v>
      </c>
      <c r="E1684" s="125"/>
      <c r="F1684" s="66" t="s">
        <v>194</v>
      </c>
      <c r="G1684" s="66" t="s">
        <v>195</v>
      </c>
      <c r="H1684" s="173" t="s">
        <v>196</v>
      </c>
      <c r="I1684" s="125"/>
      <c r="J1684" s="173" t="s">
        <v>197</v>
      </c>
      <c r="K1684" s="124"/>
      <c r="L1684" s="125"/>
      <c r="M1684" s="111" t="s">
        <v>494</v>
      </c>
      <c r="N1684" s="111" t="s">
        <v>495</v>
      </c>
      <c r="O1684" s="111" t="s">
        <v>496</v>
      </c>
      <c r="P1684" s="111" t="s">
        <v>497</v>
      </c>
      <c r="Q1684" s="111" t="s">
        <v>498</v>
      </c>
      <c r="R1684" s="111" t="s">
        <v>499</v>
      </c>
    </row>
    <row r="1685" spans="1:18" ht="21.95" customHeight="1" x14ac:dyDescent="0.25">
      <c r="A1685" s="174">
        <f>IF('Calendario J'!A155="","",'Calendario J'!A155)</f>
        <v>449</v>
      </c>
      <c r="B1685" s="44" t="str">
        <f>IF('Calendario J'!B155="","",'Calendario J'!B155)</f>
        <v/>
      </c>
      <c r="C1685" s="45" t="str">
        <f>IF('Calendario J'!C155="","",'Calendario J'!C155)</f>
        <v/>
      </c>
      <c r="D1685" s="44" t="str">
        <f>IF('Calendario J'!D155="","",'Calendario J'!D155)</f>
        <v/>
      </c>
      <c r="E1685" s="45" t="str">
        <f>IF('Calendario J'!E155="","",'Calendario J'!E155)</f>
        <v/>
      </c>
      <c r="F1685" s="138" t="str">
        <f>IF('Calendario J'!F155="","",'Calendario J'!F155)</f>
        <v/>
      </c>
      <c r="G1685" s="124"/>
      <c r="H1685" s="124"/>
      <c r="I1685" s="125"/>
      <c r="J1685" s="202" t="str">
        <f>IF('Calendario J'!J155="","",'Calendario J'!J155)</f>
        <v/>
      </c>
      <c r="K1685" s="201" t="s">
        <v>198</v>
      </c>
      <c r="L1685" s="202" t="str">
        <f>IF('Calendario J'!L155="","",'Calendario J'!L155)</f>
        <v/>
      </c>
      <c r="M1685" s="200"/>
      <c r="N1685" s="200"/>
      <c r="O1685" s="200"/>
      <c r="P1685" s="200"/>
      <c r="Q1685" s="200"/>
      <c r="R1685" s="200"/>
    </row>
    <row r="1686" spans="1:18" ht="15" customHeight="1" x14ac:dyDescent="0.25">
      <c r="A1686" s="133"/>
      <c r="B1686" s="136" t="str">
        <f>IF('Calendario J'!B156="","",'Calendario J'!B156)</f>
        <v/>
      </c>
      <c r="C1686" s="124"/>
      <c r="D1686" s="124"/>
      <c r="E1686" s="124"/>
      <c r="F1686" s="124"/>
      <c r="G1686" s="124"/>
      <c r="H1686" s="125"/>
      <c r="I1686" s="45" t="str">
        <f>IF('Calendario J'!I156="","",'Calendario J'!I156)</f>
        <v/>
      </c>
      <c r="J1686" s="133"/>
      <c r="K1686" s="133"/>
      <c r="L1686" s="133"/>
      <c r="M1686" s="133"/>
      <c r="N1686" s="133"/>
      <c r="O1686" s="133"/>
      <c r="P1686" s="133"/>
      <c r="Q1686" s="133"/>
      <c r="R1686" s="133"/>
    </row>
    <row r="1687" spans="1:18" ht="14.1" customHeight="1" x14ac:dyDescent="0.25">
      <c r="A1687" s="66" t="s">
        <v>193</v>
      </c>
      <c r="B1687" s="173" t="s">
        <v>175</v>
      </c>
      <c r="C1687" s="125"/>
      <c r="D1687" s="173" t="s">
        <v>182</v>
      </c>
      <c r="E1687" s="125"/>
      <c r="F1687" s="66" t="s">
        <v>194</v>
      </c>
      <c r="G1687" s="66" t="s">
        <v>195</v>
      </c>
      <c r="H1687" s="173" t="s">
        <v>196</v>
      </c>
      <c r="I1687" s="125"/>
      <c r="J1687" s="173" t="s">
        <v>197</v>
      </c>
      <c r="K1687" s="124"/>
      <c r="L1687" s="125"/>
      <c r="M1687" s="111" t="s">
        <v>494</v>
      </c>
      <c r="N1687" s="111" t="s">
        <v>495</v>
      </c>
      <c r="O1687" s="111" t="s">
        <v>496</v>
      </c>
      <c r="P1687" s="111" t="s">
        <v>497</v>
      </c>
      <c r="Q1687" s="111" t="s">
        <v>498</v>
      </c>
      <c r="R1687" s="111" t="s">
        <v>499</v>
      </c>
    </row>
    <row r="1688" spans="1:18" ht="21.95" customHeight="1" x14ac:dyDescent="0.25">
      <c r="A1688" s="174">
        <f>IF('Calendario J'!A158="","",'Calendario J'!A158)</f>
        <v>450</v>
      </c>
      <c r="B1688" s="44" t="str">
        <f>IF('Calendario J'!B158="","",'Calendario J'!B158)</f>
        <v/>
      </c>
      <c r="C1688" s="45" t="str">
        <f>IF('Calendario J'!C158="","",'Calendario J'!C158)</f>
        <v/>
      </c>
      <c r="D1688" s="44" t="str">
        <f>IF('Calendario J'!D158="","",'Calendario J'!D158)</f>
        <v/>
      </c>
      <c r="E1688" s="45" t="str">
        <f>IF('Calendario J'!E158="","",'Calendario J'!E158)</f>
        <v/>
      </c>
      <c r="F1688" s="138" t="str">
        <f>IF('Calendario J'!F158="","",'Calendario J'!F158)</f>
        <v/>
      </c>
      <c r="G1688" s="124"/>
      <c r="H1688" s="124"/>
      <c r="I1688" s="125"/>
      <c r="J1688" s="202" t="str">
        <f>IF('Calendario J'!J158="","",'Calendario J'!J158)</f>
        <v/>
      </c>
      <c r="K1688" s="201" t="s">
        <v>198</v>
      </c>
      <c r="L1688" s="202" t="str">
        <f>IF('Calendario J'!L158="","",'Calendario J'!L158)</f>
        <v/>
      </c>
      <c r="M1688" s="200"/>
      <c r="N1688" s="200"/>
      <c r="O1688" s="200"/>
      <c r="P1688" s="200"/>
      <c r="Q1688" s="200"/>
      <c r="R1688" s="200"/>
    </row>
    <row r="1689" spans="1:18" ht="15" customHeight="1" x14ac:dyDescent="0.25">
      <c r="A1689" s="133"/>
      <c r="B1689" s="136" t="str">
        <f>IF('Calendario J'!B159="","",'Calendario J'!B159)</f>
        <v/>
      </c>
      <c r="C1689" s="124"/>
      <c r="D1689" s="124"/>
      <c r="E1689" s="124"/>
      <c r="F1689" s="124"/>
      <c r="G1689" s="124"/>
      <c r="H1689" s="125"/>
      <c r="I1689" s="45" t="str">
        <f>IF('Calendario J'!I159="","",'Calendario J'!I159)</f>
        <v/>
      </c>
      <c r="J1689" s="133"/>
      <c r="K1689" s="133"/>
      <c r="L1689" s="133"/>
      <c r="M1689" s="133"/>
      <c r="N1689" s="133"/>
      <c r="O1689" s="133"/>
      <c r="P1689" s="133"/>
      <c r="Q1689" s="133"/>
      <c r="R1689" s="133"/>
    </row>
    <row r="1708" spans="1:18" ht="20.100000000000001" customHeight="1" x14ac:dyDescent="0.25">
      <c r="A1708" s="112" t="str">
        <f>IF(Playoff!A8="","",Playoff!A8)</f>
        <v/>
      </c>
      <c r="B1708" s="178" t="str">
        <f>IF(Playoff!B8="","",Playoff!B8)</f>
        <v>PLAYOFF OTTAVI DI FINALE</v>
      </c>
      <c r="C1708" s="124"/>
      <c r="D1708" s="124"/>
      <c r="E1708" s="124"/>
      <c r="F1708" s="124"/>
      <c r="G1708" s="124"/>
      <c r="H1708" s="124"/>
      <c r="I1708" s="124"/>
      <c r="J1708" s="124"/>
      <c r="K1708" s="124"/>
      <c r="L1708" s="125"/>
      <c r="M1708" s="210" t="s">
        <v>492</v>
      </c>
      <c r="N1708" s="124"/>
      <c r="O1708" s="125"/>
      <c r="P1708" s="210" t="s">
        <v>493</v>
      </c>
      <c r="Q1708" s="124"/>
      <c r="R1708" s="125"/>
    </row>
    <row r="1709" spans="1:18" ht="14.1" customHeight="1" x14ac:dyDescent="0.25">
      <c r="A1709" s="67" t="s">
        <v>193</v>
      </c>
      <c r="B1709" s="177" t="s">
        <v>175</v>
      </c>
      <c r="C1709" s="125"/>
      <c r="D1709" s="177" t="s">
        <v>182</v>
      </c>
      <c r="E1709" s="125"/>
      <c r="F1709" s="67" t="s">
        <v>194</v>
      </c>
      <c r="G1709" s="67" t="s">
        <v>195</v>
      </c>
      <c r="H1709" s="177" t="s">
        <v>196</v>
      </c>
      <c r="I1709" s="125"/>
      <c r="J1709" s="177" t="s">
        <v>197</v>
      </c>
      <c r="K1709" s="124"/>
      <c r="L1709" s="125"/>
      <c r="M1709" s="113" t="s">
        <v>494</v>
      </c>
      <c r="N1709" s="113" t="s">
        <v>495</v>
      </c>
      <c r="O1709" s="113" t="s">
        <v>496</v>
      </c>
      <c r="P1709" s="113" t="s">
        <v>497</v>
      </c>
      <c r="Q1709" s="113" t="s">
        <v>498</v>
      </c>
      <c r="R1709" s="113" t="s">
        <v>499</v>
      </c>
    </row>
    <row r="1710" spans="1:18" ht="21.95" customHeight="1" x14ac:dyDescent="0.25">
      <c r="A1710" s="179">
        <f>IF(Playoff!A10="","",Playoff!A10)</f>
        <v>451</v>
      </c>
      <c r="B1710" s="44" t="str">
        <f>IF(Playoff!B10="","",Playoff!B10)</f>
        <v>(A1)</v>
      </c>
      <c r="C1710" s="45" t="str">
        <f>IF(Playoff!C10="","",Playoff!C10)</f>
        <v>A1</v>
      </c>
      <c r="D1710" s="44" t="str">
        <f>IF(Playoff!D10="","",Playoff!D10)</f>
        <v>(H2)</v>
      </c>
      <c r="E1710" s="45" t="str">
        <f>IF(Playoff!E10="","",Playoff!E10)</f>
        <v>H2</v>
      </c>
      <c r="F1710" s="138" t="str">
        <f>IF(Playoff!F10="","",Playoff!F10)</f>
        <v/>
      </c>
      <c r="G1710" s="124"/>
      <c r="H1710" s="124"/>
      <c r="I1710" s="125"/>
      <c r="J1710" s="202" t="str">
        <f>IF(Playoff!J10="","",Playoff!J10)</f>
        <v/>
      </c>
      <c r="K1710" s="201" t="s">
        <v>198</v>
      </c>
      <c r="L1710" s="202" t="str">
        <f>IF(Playoff!L10="","",Playoff!L10)</f>
        <v/>
      </c>
      <c r="M1710" s="200"/>
      <c r="N1710" s="200"/>
      <c r="O1710" s="200"/>
      <c r="P1710" s="200"/>
      <c r="Q1710" s="200"/>
      <c r="R1710" s="200"/>
    </row>
    <row r="1711" spans="1:18" ht="15" customHeight="1" x14ac:dyDescent="0.25">
      <c r="A1711" s="133"/>
      <c r="B1711" s="136" t="str">
        <f>IF(Playoff!B11="","",Playoff!B11)</f>
        <v>DA DEFINIRE</v>
      </c>
      <c r="C1711" s="124"/>
      <c r="D1711" s="124"/>
      <c r="E1711" s="124"/>
      <c r="F1711" s="124"/>
      <c r="G1711" s="124"/>
      <c r="H1711" s="125"/>
      <c r="I1711" s="45" t="str">
        <f>IF(Playoff!I11="","",Playoff!I11)</f>
        <v>TBD</v>
      </c>
      <c r="J1711" s="133"/>
      <c r="K1711" s="133"/>
      <c r="L1711" s="133"/>
      <c r="M1711" s="133"/>
      <c r="N1711" s="133"/>
      <c r="O1711" s="133"/>
      <c r="P1711" s="133"/>
      <c r="Q1711" s="133"/>
      <c r="R1711" s="133"/>
    </row>
    <row r="1712" spans="1:18" ht="14.1" customHeight="1" x14ac:dyDescent="0.25">
      <c r="A1712" s="67" t="s">
        <v>193</v>
      </c>
      <c r="B1712" s="177" t="s">
        <v>175</v>
      </c>
      <c r="C1712" s="125"/>
      <c r="D1712" s="177" t="s">
        <v>182</v>
      </c>
      <c r="E1712" s="125"/>
      <c r="F1712" s="67" t="s">
        <v>194</v>
      </c>
      <c r="G1712" s="67" t="s">
        <v>195</v>
      </c>
      <c r="H1712" s="177" t="s">
        <v>196</v>
      </c>
      <c r="I1712" s="125"/>
      <c r="J1712" s="177" t="s">
        <v>197</v>
      </c>
      <c r="K1712" s="124"/>
      <c r="L1712" s="125"/>
      <c r="M1712" s="113" t="s">
        <v>494</v>
      </c>
      <c r="N1712" s="113" t="s">
        <v>495</v>
      </c>
      <c r="O1712" s="113" t="s">
        <v>496</v>
      </c>
      <c r="P1712" s="113" t="s">
        <v>497</v>
      </c>
      <c r="Q1712" s="113" t="s">
        <v>498</v>
      </c>
      <c r="R1712" s="113" t="s">
        <v>499</v>
      </c>
    </row>
    <row r="1713" spans="1:18" ht="21.95" customHeight="1" x14ac:dyDescent="0.25">
      <c r="A1713" s="179">
        <f>IF(Playoff!A13="","",Playoff!A13)</f>
        <v>452</v>
      </c>
      <c r="B1713" s="44" t="str">
        <f>IF(Playoff!B13="","",Playoff!B13)</f>
        <v>(B1)</v>
      </c>
      <c r="C1713" s="45" t="str">
        <f>IF(Playoff!C13="","",Playoff!C13)</f>
        <v>B1</v>
      </c>
      <c r="D1713" s="44" t="str">
        <f>IF(Playoff!D13="","",Playoff!D13)</f>
        <v>(G2)</v>
      </c>
      <c r="E1713" s="45" t="str">
        <f>IF(Playoff!E13="","",Playoff!E13)</f>
        <v>G2</v>
      </c>
      <c r="F1713" s="138" t="str">
        <f>IF(Playoff!F13="","",Playoff!F13)</f>
        <v/>
      </c>
      <c r="G1713" s="124"/>
      <c r="H1713" s="124"/>
      <c r="I1713" s="125"/>
      <c r="J1713" s="202" t="str">
        <f>IF(Playoff!J13="","",Playoff!J13)</f>
        <v/>
      </c>
      <c r="K1713" s="201" t="s">
        <v>198</v>
      </c>
      <c r="L1713" s="202" t="str">
        <f>IF(Playoff!L13="","",Playoff!L13)</f>
        <v/>
      </c>
      <c r="M1713" s="200"/>
      <c r="N1713" s="200"/>
      <c r="O1713" s="200"/>
      <c r="P1713" s="200"/>
      <c r="Q1713" s="200"/>
      <c r="R1713" s="200"/>
    </row>
    <row r="1714" spans="1:18" ht="15" customHeight="1" x14ac:dyDescent="0.25">
      <c r="A1714" s="133"/>
      <c r="B1714" s="136" t="str">
        <f>IF(Playoff!B14="","",Playoff!B14)</f>
        <v>DA DEFINIRE</v>
      </c>
      <c r="C1714" s="124"/>
      <c r="D1714" s="124"/>
      <c r="E1714" s="124"/>
      <c r="F1714" s="124"/>
      <c r="G1714" s="124"/>
      <c r="H1714" s="125"/>
      <c r="I1714" s="45" t="str">
        <f>IF(Playoff!I14="","",Playoff!I14)</f>
        <v>TBD</v>
      </c>
      <c r="J1714" s="133"/>
      <c r="K1714" s="133"/>
      <c r="L1714" s="133"/>
      <c r="M1714" s="133"/>
      <c r="N1714" s="133"/>
      <c r="O1714" s="133"/>
      <c r="P1714" s="133"/>
      <c r="Q1714" s="133"/>
      <c r="R1714" s="133"/>
    </row>
    <row r="1715" spans="1:18" ht="14.1" customHeight="1" x14ac:dyDescent="0.25">
      <c r="A1715" s="67" t="s">
        <v>193</v>
      </c>
      <c r="B1715" s="177" t="s">
        <v>175</v>
      </c>
      <c r="C1715" s="125"/>
      <c r="D1715" s="177" t="s">
        <v>182</v>
      </c>
      <c r="E1715" s="125"/>
      <c r="F1715" s="67" t="s">
        <v>194</v>
      </c>
      <c r="G1715" s="67" t="s">
        <v>195</v>
      </c>
      <c r="H1715" s="177" t="s">
        <v>196</v>
      </c>
      <c r="I1715" s="125"/>
      <c r="J1715" s="177" t="s">
        <v>197</v>
      </c>
      <c r="K1715" s="124"/>
      <c r="L1715" s="125"/>
      <c r="M1715" s="113" t="s">
        <v>494</v>
      </c>
      <c r="N1715" s="113" t="s">
        <v>495</v>
      </c>
      <c r="O1715" s="113" t="s">
        <v>496</v>
      </c>
      <c r="P1715" s="113" t="s">
        <v>497</v>
      </c>
      <c r="Q1715" s="113" t="s">
        <v>498</v>
      </c>
      <c r="R1715" s="113" t="s">
        <v>499</v>
      </c>
    </row>
    <row r="1716" spans="1:18" ht="21.95" customHeight="1" x14ac:dyDescent="0.25">
      <c r="A1716" s="179">
        <f>IF(Playoff!A16="","",Playoff!A16)</f>
        <v>453</v>
      </c>
      <c r="B1716" s="44" t="str">
        <f>IF(Playoff!B16="","",Playoff!B16)</f>
        <v>(C1)</v>
      </c>
      <c r="C1716" s="45" t="str">
        <f>IF(Playoff!C16="","",Playoff!C16)</f>
        <v>C1</v>
      </c>
      <c r="D1716" s="44" t="str">
        <f>IF(Playoff!D16="","",Playoff!D16)</f>
        <v>(F2)</v>
      </c>
      <c r="E1716" s="45" t="str">
        <f>IF(Playoff!E16="","",Playoff!E16)</f>
        <v>F2</v>
      </c>
      <c r="F1716" s="138" t="str">
        <f>IF(Playoff!F16="","",Playoff!F16)</f>
        <v/>
      </c>
      <c r="G1716" s="124"/>
      <c r="H1716" s="124"/>
      <c r="I1716" s="125"/>
      <c r="J1716" s="202" t="str">
        <f>IF(Playoff!J16="","",Playoff!J16)</f>
        <v/>
      </c>
      <c r="K1716" s="201" t="s">
        <v>198</v>
      </c>
      <c r="L1716" s="202" t="str">
        <f>IF(Playoff!L16="","",Playoff!L16)</f>
        <v/>
      </c>
      <c r="M1716" s="200"/>
      <c r="N1716" s="200"/>
      <c r="O1716" s="200"/>
      <c r="P1716" s="200"/>
      <c r="Q1716" s="200"/>
      <c r="R1716" s="200"/>
    </row>
    <row r="1717" spans="1:18" ht="15" customHeight="1" x14ac:dyDescent="0.25">
      <c r="A1717" s="133"/>
      <c r="B1717" s="136" t="str">
        <f>IF(Playoff!B17="","",Playoff!B17)</f>
        <v>DA DEFINIRE</v>
      </c>
      <c r="C1717" s="124"/>
      <c r="D1717" s="124"/>
      <c r="E1717" s="124"/>
      <c r="F1717" s="124"/>
      <c r="G1717" s="124"/>
      <c r="H1717" s="125"/>
      <c r="I1717" s="45" t="str">
        <f>IF(Playoff!I17="","",Playoff!I17)</f>
        <v>TBD</v>
      </c>
      <c r="J1717" s="133"/>
      <c r="K1717" s="133"/>
      <c r="L1717" s="133"/>
      <c r="M1717" s="133"/>
      <c r="N1717" s="133"/>
      <c r="O1717" s="133"/>
      <c r="P1717" s="133"/>
      <c r="Q1717" s="133"/>
      <c r="R1717" s="133"/>
    </row>
    <row r="1718" spans="1:18" ht="14.1" customHeight="1" x14ac:dyDescent="0.25">
      <c r="A1718" s="67" t="s">
        <v>193</v>
      </c>
      <c r="B1718" s="177" t="s">
        <v>175</v>
      </c>
      <c r="C1718" s="125"/>
      <c r="D1718" s="177" t="s">
        <v>182</v>
      </c>
      <c r="E1718" s="125"/>
      <c r="F1718" s="67" t="s">
        <v>194</v>
      </c>
      <c r="G1718" s="67" t="s">
        <v>195</v>
      </c>
      <c r="H1718" s="177" t="s">
        <v>196</v>
      </c>
      <c r="I1718" s="125"/>
      <c r="J1718" s="177" t="s">
        <v>197</v>
      </c>
      <c r="K1718" s="124"/>
      <c r="L1718" s="125"/>
      <c r="M1718" s="113" t="s">
        <v>494</v>
      </c>
      <c r="N1718" s="113" t="s">
        <v>495</v>
      </c>
      <c r="O1718" s="113" t="s">
        <v>496</v>
      </c>
      <c r="P1718" s="113" t="s">
        <v>497</v>
      </c>
      <c r="Q1718" s="113" t="s">
        <v>498</v>
      </c>
      <c r="R1718" s="113" t="s">
        <v>499</v>
      </c>
    </row>
    <row r="1719" spans="1:18" ht="21.95" customHeight="1" x14ac:dyDescent="0.25">
      <c r="A1719" s="179">
        <f>IF(Playoff!A19="","",Playoff!A19)</f>
        <v>454</v>
      </c>
      <c r="B1719" s="44" t="str">
        <f>IF(Playoff!B19="","",Playoff!B19)</f>
        <v>(D1)</v>
      </c>
      <c r="C1719" s="45" t="str">
        <f>IF(Playoff!C19="","",Playoff!C19)</f>
        <v>D1</v>
      </c>
      <c r="D1719" s="44" t="str">
        <f>IF(Playoff!D19="","",Playoff!D19)</f>
        <v>(E2)</v>
      </c>
      <c r="E1719" s="45" t="str">
        <f>IF(Playoff!E19="","",Playoff!E19)</f>
        <v>E2</v>
      </c>
      <c r="F1719" s="138" t="str">
        <f>IF(Playoff!F19="","",Playoff!F19)</f>
        <v/>
      </c>
      <c r="G1719" s="124"/>
      <c r="H1719" s="124"/>
      <c r="I1719" s="125"/>
      <c r="J1719" s="202" t="str">
        <f>IF(Playoff!J19="","",Playoff!J19)</f>
        <v/>
      </c>
      <c r="K1719" s="201" t="s">
        <v>198</v>
      </c>
      <c r="L1719" s="202" t="str">
        <f>IF(Playoff!L19="","",Playoff!L19)</f>
        <v/>
      </c>
      <c r="M1719" s="200"/>
      <c r="N1719" s="200"/>
      <c r="O1719" s="200"/>
      <c r="P1719" s="200"/>
      <c r="Q1719" s="200"/>
      <c r="R1719" s="200"/>
    </row>
    <row r="1720" spans="1:18" ht="15" customHeight="1" x14ac:dyDescent="0.25">
      <c r="A1720" s="133"/>
      <c r="B1720" s="136" t="str">
        <f>IF(Playoff!B20="","",Playoff!B20)</f>
        <v>DA DEFINIRE</v>
      </c>
      <c r="C1720" s="124"/>
      <c r="D1720" s="124"/>
      <c r="E1720" s="124"/>
      <c r="F1720" s="124"/>
      <c r="G1720" s="124"/>
      <c r="H1720" s="125"/>
      <c r="I1720" s="45" t="str">
        <f>IF(Playoff!I20="","",Playoff!I20)</f>
        <v>TBD</v>
      </c>
      <c r="J1720" s="133"/>
      <c r="K1720" s="133"/>
      <c r="L1720" s="133"/>
      <c r="M1720" s="133"/>
      <c r="N1720" s="133"/>
      <c r="O1720" s="133"/>
      <c r="P1720" s="133"/>
      <c r="Q1720" s="133"/>
      <c r="R1720" s="133"/>
    </row>
    <row r="1721" spans="1:18" ht="14.1" customHeight="1" x14ac:dyDescent="0.25">
      <c r="A1721" s="67" t="s">
        <v>193</v>
      </c>
      <c r="B1721" s="177" t="s">
        <v>175</v>
      </c>
      <c r="C1721" s="125"/>
      <c r="D1721" s="177" t="s">
        <v>182</v>
      </c>
      <c r="E1721" s="125"/>
      <c r="F1721" s="67" t="s">
        <v>194</v>
      </c>
      <c r="G1721" s="67" t="s">
        <v>195</v>
      </c>
      <c r="H1721" s="177" t="s">
        <v>196</v>
      </c>
      <c r="I1721" s="125"/>
      <c r="J1721" s="177" t="s">
        <v>197</v>
      </c>
      <c r="K1721" s="124"/>
      <c r="L1721" s="125"/>
      <c r="M1721" s="113" t="s">
        <v>494</v>
      </c>
      <c r="N1721" s="113" t="s">
        <v>495</v>
      </c>
      <c r="O1721" s="113" t="s">
        <v>496</v>
      </c>
      <c r="P1721" s="113" t="s">
        <v>497</v>
      </c>
      <c r="Q1721" s="113" t="s">
        <v>498</v>
      </c>
      <c r="R1721" s="113" t="s">
        <v>499</v>
      </c>
    </row>
    <row r="1722" spans="1:18" ht="21.95" customHeight="1" x14ac:dyDescent="0.25">
      <c r="A1722" s="179">
        <f>IF(Playoff!A22="","",Playoff!A22)</f>
        <v>455</v>
      </c>
      <c r="B1722" s="44" t="str">
        <f>IF(Playoff!B22="","",Playoff!B22)</f>
        <v>(E1)</v>
      </c>
      <c r="C1722" s="45" t="str">
        <f>IF(Playoff!C22="","",Playoff!C22)</f>
        <v>E1</v>
      </c>
      <c r="D1722" s="44" t="str">
        <f>IF(Playoff!D22="","",Playoff!D22)</f>
        <v>(D2)</v>
      </c>
      <c r="E1722" s="45" t="str">
        <f>IF(Playoff!E22="","",Playoff!E22)</f>
        <v>D2</v>
      </c>
      <c r="F1722" s="138" t="str">
        <f>IF(Playoff!F22="","",Playoff!F22)</f>
        <v/>
      </c>
      <c r="G1722" s="124"/>
      <c r="H1722" s="124"/>
      <c r="I1722" s="125"/>
      <c r="J1722" s="202" t="str">
        <f>IF(Playoff!J22="","",Playoff!J22)</f>
        <v/>
      </c>
      <c r="K1722" s="201" t="s">
        <v>198</v>
      </c>
      <c r="L1722" s="202" t="str">
        <f>IF(Playoff!L22="","",Playoff!L22)</f>
        <v/>
      </c>
      <c r="M1722" s="200"/>
      <c r="N1722" s="200"/>
      <c r="O1722" s="200"/>
      <c r="P1722" s="200"/>
      <c r="Q1722" s="200"/>
      <c r="R1722" s="200"/>
    </row>
    <row r="1723" spans="1:18" ht="15" customHeight="1" x14ac:dyDescent="0.25">
      <c r="A1723" s="133"/>
      <c r="B1723" s="136" t="str">
        <f>IF(Playoff!B23="","",Playoff!B23)</f>
        <v>DA DEFINIRE</v>
      </c>
      <c r="C1723" s="124"/>
      <c r="D1723" s="124"/>
      <c r="E1723" s="124"/>
      <c r="F1723" s="124"/>
      <c r="G1723" s="124"/>
      <c r="H1723" s="125"/>
      <c r="I1723" s="45" t="str">
        <f>IF(Playoff!I23="","",Playoff!I23)</f>
        <v>TBD</v>
      </c>
      <c r="J1723" s="133"/>
      <c r="K1723" s="133"/>
      <c r="L1723" s="133"/>
      <c r="M1723" s="133"/>
      <c r="N1723" s="133"/>
      <c r="O1723" s="133"/>
      <c r="P1723" s="133"/>
      <c r="Q1723" s="133"/>
      <c r="R1723" s="133"/>
    </row>
    <row r="1724" spans="1:18" ht="14.1" customHeight="1" x14ac:dyDescent="0.25">
      <c r="A1724" s="67" t="s">
        <v>193</v>
      </c>
      <c r="B1724" s="177" t="s">
        <v>175</v>
      </c>
      <c r="C1724" s="125"/>
      <c r="D1724" s="177" t="s">
        <v>182</v>
      </c>
      <c r="E1724" s="125"/>
      <c r="F1724" s="67" t="s">
        <v>194</v>
      </c>
      <c r="G1724" s="67" t="s">
        <v>195</v>
      </c>
      <c r="H1724" s="177" t="s">
        <v>196</v>
      </c>
      <c r="I1724" s="125"/>
      <c r="J1724" s="177" t="s">
        <v>197</v>
      </c>
      <c r="K1724" s="124"/>
      <c r="L1724" s="125"/>
      <c r="M1724" s="113" t="s">
        <v>494</v>
      </c>
      <c r="N1724" s="113" t="s">
        <v>495</v>
      </c>
      <c r="O1724" s="113" t="s">
        <v>496</v>
      </c>
      <c r="P1724" s="113" t="s">
        <v>497</v>
      </c>
      <c r="Q1724" s="113" t="s">
        <v>498</v>
      </c>
      <c r="R1724" s="113" t="s">
        <v>499</v>
      </c>
    </row>
    <row r="1725" spans="1:18" ht="21.95" customHeight="1" x14ac:dyDescent="0.25">
      <c r="A1725" s="179">
        <f>IF(Playoff!A25="","",Playoff!A25)</f>
        <v>456</v>
      </c>
      <c r="B1725" s="44" t="str">
        <f>IF(Playoff!B25="","",Playoff!B25)</f>
        <v>(F1)</v>
      </c>
      <c r="C1725" s="45" t="str">
        <f>IF(Playoff!C25="","",Playoff!C25)</f>
        <v>F1</v>
      </c>
      <c r="D1725" s="44" t="str">
        <f>IF(Playoff!D25="","",Playoff!D25)</f>
        <v>(C2)</v>
      </c>
      <c r="E1725" s="45" t="str">
        <f>IF(Playoff!E25="","",Playoff!E25)</f>
        <v>C2</v>
      </c>
      <c r="F1725" s="138" t="str">
        <f>IF(Playoff!F25="","",Playoff!F25)</f>
        <v/>
      </c>
      <c r="G1725" s="124"/>
      <c r="H1725" s="124"/>
      <c r="I1725" s="125"/>
      <c r="J1725" s="202" t="str">
        <f>IF(Playoff!J25="","",Playoff!J25)</f>
        <v/>
      </c>
      <c r="K1725" s="201" t="s">
        <v>198</v>
      </c>
      <c r="L1725" s="202" t="str">
        <f>IF(Playoff!L25="","",Playoff!L25)</f>
        <v/>
      </c>
      <c r="M1725" s="200"/>
      <c r="N1725" s="200"/>
      <c r="O1725" s="200"/>
      <c r="P1725" s="200"/>
      <c r="Q1725" s="200"/>
      <c r="R1725" s="200"/>
    </row>
    <row r="1726" spans="1:18" ht="15" customHeight="1" x14ac:dyDescent="0.25">
      <c r="A1726" s="133"/>
      <c r="B1726" s="136" t="str">
        <f>IF(Playoff!B26="","",Playoff!B26)</f>
        <v>DA DEFINIRE</v>
      </c>
      <c r="C1726" s="124"/>
      <c r="D1726" s="124"/>
      <c r="E1726" s="124"/>
      <c r="F1726" s="124"/>
      <c r="G1726" s="124"/>
      <c r="H1726" s="125"/>
      <c r="I1726" s="45" t="str">
        <f>IF(Playoff!I26="","",Playoff!I26)</f>
        <v>TBD</v>
      </c>
      <c r="J1726" s="133"/>
      <c r="K1726" s="133"/>
      <c r="L1726" s="133"/>
      <c r="M1726" s="133"/>
      <c r="N1726" s="133"/>
      <c r="O1726" s="133"/>
      <c r="P1726" s="133"/>
      <c r="Q1726" s="133"/>
      <c r="R1726" s="133"/>
    </row>
    <row r="1727" spans="1:18" ht="14.1" customHeight="1" x14ac:dyDescent="0.25">
      <c r="A1727" s="67" t="s">
        <v>193</v>
      </c>
      <c r="B1727" s="177" t="s">
        <v>175</v>
      </c>
      <c r="C1727" s="125"/>
      <c r="D1727" s="177" t="s">
        <v>182</v>
      </c>
      <c r="E1727" s="125"/>
      <c r="F1727" s="67" t="s">
        <v>194</v>
      </c>
      <c r="G1727" s="67" t="s">
        <v>195</v>
      </c>
      <c r="H1727" s="177" t="s">
        <v>196</v>
      </c>
      <c r="I1727" s="125"/>
      <c r="J1727" s="177" t="s">
        <v>197</v>
      </c>
      <c r="K1727" s="124"/>
      <c r="L1727" s="125"/>
      <c r="M1727" s="113" t="s">
        <v>494</v>
      </c>
      <c r="N1727" s="113" t="s">
        <v>495</v>
      </c>
      <c r="O1727" s="113" t="s">
        <v>496</v>
      </c>
      <c r="P1727" s="113" t="s">
        <v>497</v>
      </c>
      <c r="Q1727" s="113" t="s">
        <v>498</v>
      </c>
      <c r="R1727" s="113" t="s">
        <v>499</v>
      </c>
    </row>
    <row r="1728" spans="1:18" ht="21.95" customHeight="1" x14ac:dyDescent="0.25">
      <c r="A1728" s="179">
        <f>IF(Playoff!A28="","",Playoff!A28)</f>
        <v>457</v>
      </c>
      <c r="B1728" s="44" t="str">
        <f>IF(Playoff!B28="","",Playoff!B28)</f>
        <v>(G1)</v>
      </c>
      <c r="C1728" s="45" t="str">
        <f>IF(Playoff!C28="","",Playoff!C28)</f>
        <v>G1</v>
      </c>
      <c r="D1728" s="44" t="str">
        <f>IF(Playoff!D28="","",Playoff!D28)</f>
        <v>(B2)</v>
      </c>
      <c r="E1728" s="45" t="str">
        <f>IF(Playoff!E28="","",Playoff!E28)</f>
        <v>B2</v>
      </c>
      <c r="F1728" s="138" t="str">
        <f>IF(Playoff!F28="","",Playoff!F28)</f>
        <v/>
      </c>
      <c r="G1728" s="124"/>
      <c r="H1728" s="124"/>
      <c r="I1728" s="125"/>
      <c r="J1728" s="202" t="str">
        <f>IF(Playoff!J28="","",Playoff!J28)</f>
        <v/>
      </c>
      <c r="K1728" s="201" t="s">
        <v>198</v>
      </c>
      <c r="L1728" s="202" t="str">
        <f>IF(Playoff!L28="","",Playoff!L28)</f>
        <v/>
      </c>
      <c r="M1728" s="200"/>
      <c r="N1728" s="200"/>
      <c r="O1728" s="200"/>
      <c r="P1728" s="200"/>
      <c r="Q1728" s="200"/>
      <c r="R1728" s="200"/>
    </row>
    <row r="1729" spans="1:18" ht="15" customHeight="1" x14ac:dyDescent="0.25">
      <c r="A1729" s="133"/>
      <c r="B1729" s="136" t="str">
        <f>IF(Playoff!B29="","",Playoff!B29)</f>
        <v>DA DEFINIRE</v>
      </c>
      <c r="C1729" s="124"/>
      <c r="D1729" s="124"/>
      <c r="E1729" s="124"/>
      <c r="F1729" s="124"/>
      <c r="G1729" s="124"/>
      <c r="H1729" s="125"/>
      <c r="I1729" s="45" t="str">
        <f>IF(Playoff!I29="","",Playoff!I29)</f>
        <v>TBD</v>
      </c>
      <c r="J1729" s="133"/>
      <c r="K1729" s="133"/>
      <c r="L1729" s="133"/>
      <c r="M1729" s="133"/>
      <c r="N1729" s="133"/>
      <c r="O1729" s="133"/>
      <c r="P1729" s="133"/>
      <c r="Q1729" s="133"/>
      <c r="R1729" s="133"/>
    </row>
    <row r="1730" spans="1:18" ht="14.1" customHeight="1" x14ac:dyDescent="0.25">
      <c r="A1730" s="67" t="s">
        <v>193</v>
      </c>
      <c r="B1730" s="177" t="s">
        <v>175</v>
      </c>
      <c r="C1730" s="125"/>
      <c r="D1730" s="177" t="s">
        <v>182</v>
      </c>
      <c r="E1730" s="125"/>
      <c r="F1730" s="67" t="s">
        <v>194</v>
      </c>
      <c r="G1730" s="67" t="s">
        <v>195</v>
      </c>
      <c r="H1730" s="177" t="s">
        <v>196</v>
      </c>
      <c r="I1730" s="125"/>
      <c r="J1730" s="177" t="s">
        <v>197</v>
      </c>
      <c r="K1730" s="124"/>
      <c r="L1730" s="125"/>
      <c r="M1730" s="113" t="s">
        <v>494</v>
      </c>
      <c r="N1730" s="113" t="s">
        <v>495</v>
      </c>
      <c r="O1730" s="113" t="s">
        <v>496</v>
      </c>
      <c r="P1730" s="113" t="s">
        <v>497</v>
      </c>
      <c r="Q1730" s="113" t="s">
        <v>498</v>
      </c>
      <c r="R1730" s="113" t="s">
        <v>499</v>
      </c>
    </row>
    <row r="1731" spans="1:18" ht="21.95" customHeight="1" x14ac:dyDescent="0.25">
      <c r="A1731" s="179">
        <f>IF(Playoff!A31="","",Playoff!A31)</f>
        <v>458</v>
      </c>
      <c r="B1731" s="44" t="str">
        <f>IF(Playoff!B31="","",Playoff!B31)</f>
        <v>(H1)</v>
      </c>
      <c r="C1731" s="45" t="str">
        <f>IF(Playoff!C31="","",Playoff!C31)</f>
        <v>H1</v>
      </c>
      <c r="D1731" s="44" t="str">
        <f>IF(Playoff!D31="","",Playoff!D31)</f>
        <v>(A2)</v>
      </c>
      <c r="E1731" s="45" t="str">
        <f>IF(Playoff!E31="","",Playoff!E31)</f>
        <v>A2</v>
      </c>
      <c r="F1731" s="138" t="str">
        <f>IF(Playoff!F31="","",Playoff!F31)</f>
        <v/>
      </c>
      <c r="G1731" s="124"/>
      <c r="H1731" s="124"/>
      <c r="I1731" s="125"/>
      <c r="J1731" s="202" t="str">
        <f>IF(Playoff!J31="","",Playoff!J31)</f>
        <v/>
      </c>
      <c r="K1731" s="201" t="s">
        <v>198</v>
      </c>
      <c r="L1731" s="202" t="str">
        <f>IF(Playoff!L31="","",Playoff!L31)</f>
        <v/>
      </c>
      <c r="M1731" s="200"/>
      <c r="N1731" s="200"/>
      <c r="O1731" s="200"/>
      <c r="P1731" s="200"/>
      <c r="Q1731" s="200"/>
      <c r="R1731" s="200"/>
    </row>
    <row r="1732" spans="1:18" ht="15" customHeight="1" x14ac:dyDescent="0.25">
      <c r="A1732" s="133"/>
      <c r="B1732" s="136" t="str">
        <f>IF(Playoff!B32="","",Playoff!B32)</f>
        <v>DA DEFINIRE</v>
      </c>
      <c r="C1732" s="124"/>
      <c r="D1732" s="124"/>
      <c r="E1732" s="124"/>
      <c r="F1732" s="124"/>
      <c r="G1732" s="124"/>
      <c r="H1732" s="125"/>
      <c r="I1732" s="45" t="str">
        <f>IF(Playoff!I32="","",Playoff!I32)</f>
        <v>TBD</v>
      </c>
      <c r="J1732" s="133"/>
      <c r="K1732" s="133"/>
      <c r="L1732" s="133"/>
      <c r="M1732" s="133"/>
      <c r="N1732" s="133"/>
      <c r="O1732" s="133"/>
      <c r="P1732" s="133"/>
      <c r="Q1732" s="133"/>
      <c r="R1732" s="133"/>
    </row>
    <row r="1734" spans="1:18" ht="20.100000000000001" customHeight="1" x14ac:dyDescent="0.25">
      <c r="A1734" s="112" t="str">
        <f>IF(Playoff!A34="","",Playoff!A34)</f>
        <v/>
      </c>
      <c r="B1734" s="178" t="str">
        <f>IF(Playoff!B34="","",Playoff!B34)</f>
        <v>PLAYOFF QUARTI DI FINALE</v>
      </c>
      <c r="C1734" s="124"/>
      <c r="D1734" s="124"/>
      <c r="E1734" s="124"/>
      <c r="F1734" s="124"/>
      <c r="G1734" s="124"/>
      <c r="H1734" s="124"/>
      <c r="I1734" s="124"/>
      <c r="J1734" s="124"/>
      <c r="K1734" s="124"/>
      <c r="L1734" s="125"/>
      <c r="M1734" s="210" t="s">
        <v>492</v>
      </c>
      <c r="N1734" s="124"/>
      <c r="O1734" s="125"/>
      <c r="P1734" s="210" t="s">
        <v>493</v>
      </c>
      <c r="Q1734" s="124"/>
      <c r="R1734" s="125"/>
    </row>
    <row r="1735" spans="1:18" ht="14.1" customHeight="1" x14ac:dyDescent="0.25">
      <c r="A1735" s="67" t="s">
        <v>193</v>
      </c>
      <c r="B1735" s="177" t="s">
        <v>175</v>
      </c>
      <c r="C1735" s="125"/>
      <c r="D1735" s="177" t="s">
        <v>182</v>
      </c>
      <c r="E1735" s="125"/>
      <c r="F1735" s="67" t="s">
        <v>194</v>
      </c>
      <c r="G1735" s="67" t="s">
        <v>195</v>
      </c>
      <c r="H1735" s="177" t="s">
        <v>196</v>
      </c>
      <c r="I1735" s="125"/>
      <c r="J1735" s="177" t="s">
        <v>197</v>
      </c>
      <c r="K1735" s="124"/>
      <c r="L1735" s="125"/>
      <c r="M1735" s="113" t="s">
        <v>494</v>
      </c>
      <c r="N1735" s="113" t="s">
        <v>495</v>
      </c>
      <c r="O1735" s="113" t="s">
        <v>496</v>
      </c>
      <c r="P1735" s="113" t="s">
        <v>497</v>
      </c>
      <c r="Q1735" s="113" t="s">
        <v>498</v>
      </c>
      <c r="R1735" s="113" t="s">
        <v>499</v>
      </c>
    </row>
    <row r="1736" spans="1:18" ht="21.95" customHeight="1" x14ac:dyDescent="0.25">
      <c r="A1736" s="179">
        <f>IF(Playoff!A36="","",Playoff!A36)</f>
        <v>459</v>
      </c>
      <c r="B1736" s="44" t="str">
        <f>IF(Playoff!B36="","",Playoff!B36)</f>
        <v>(Vincente)</v>
      </c>
      <c r="C1736" s="45">
        <f>IF(Playoff!C36="","",Playoff!C36)</f>
        <v>451</v>
      </c>
      <c r="D1736" s="44" t="str">
        <f>IF(Playoff!D36="","",Playoff!D36)</f>
        <v>(Vincente)</v>
      </c>
      <c r="E1736" s="45">
        <f>IF(Playoff!E36="","",Playoff!E36)</f>
        <v>458</v>
      </c>
      <c r="F1736" s="138" t="str">
        <f>IF(Playoff!F36="","",Playoff!F36)</f>
        <v/>
      </c>
      <c r="G1736" s="124"/>
      <c r="H1736" s="124"/>
      <c r="I1736" s="125"/>
      <c r="J1736" s="202" t="str">
        <f>IF(Playoff!J36="","",Playoff!J36)</f>
        <v/>
      </c>
      <c r="K1736" s="201" t="s">
        <v>198</v>
      </c>
      <c r="L1736" s="202" t="str">
        <f>IF(Playoff!L36="","",Playoff!L36)</f>
        <v/>
      </c>
      <c r="M1736" s="200"/>
      <c r="N1736" s="200"/>
      <c r="O1736" s="200"/>
      <c r="P1736" s="200"/>
      <c r="Q1736" s="200"/>
      <c r="R1736" s="200"/>
    </row>
    <row r="1737" spans="1:18" ht="15" customHeight="1" x14ac:dyDescent="0.25">
      <c r="A1737" s="133"/>
      <c r="B1737" s="136" t="str">
        <f>IF(Playoff!B37="","",Playoff!B37)</f>
        <v>DA DEFINIRE</v>
      </c>
      <c r="C1737" s="124"/>
      <c r="D1737" s="124"/>
      <c r="E1737" s="124"/>
      <c r="F1737" s="124"/>
      <c r="G1737" s="124"/>
      <c r="H1737" s="125"/>
      <c r="I1737" s="45" t="str">
        <f>IF(Playoff!I37="","",Playoff!I37)</f>
        <v>TBD</v>
      </c>
      <c r="J1737" s="133"/>
      <c r="K1737" s="133"/>
      <c r="L1737" s="133"/>
      <c r="M1737" s="133"/>
      <c r="N1737" s="133"/>
      <c r="O1737" s="133"/>
      <c r="P1737" s="133"/>
      <c r="Q1737" s="133"/>
      <c r="R1737" s="133"/>
    </row>
    <row r="1738" spans="1:18" ht="14.1" customHeight="1" x14ac:dyDescent="0.25">
      <c r="A1738" s="67" t="s">
        <v>193</v>
      </c>
      <c r="B1738" s="177" t="s">
        <v>175</v>
      </c>
      <c r="C1738" s="125"/>
      <c r="D1738" s="177" t="s">
        <v>182</v>
      </c>
      <c r="E1738" s="125"/>
      <c r="F1738" s="67" t="s">
        <v>194</v>
      </c>
      <c r="G1738" s="67" t="s">
        <v>195</v>
      </c>
      <c r="H1738" s="177" t="s">
        <v>196</v>
      </c>
      <c r="I1738" s="125"/>
      <c r="J1738" s="177" t="s">
        <v>197</v>
      </c>
      <c r="K1738" s="124"/>
      <c r="L1738" s="125"/>
      <c r="M1738" s="113" t="s">
        <v>494</v>
      </c>
      <c r="N1738" s="113" t="s">
        <v>495</v>
      </c>
      <c r="O1738" s="113" t="s">
        <v>496</v>
      </c>
      <c r="P1738" s="113" t="s">
        <v>497</v>
      </c>
      <c r="Q1738" s="113" t="s">
        <v>498</v>
      </c>
      <c r="R1738" s="113" t="s">
        <v>499</v>
      </c>
    </row>
    <row r="1739" spans="1:18" ht="21.95" customHeight="1" x14ac:dyDescent="0.25">
      <c r="A1739" s="179">
        <f>IF(Playoff!A39="","",Playoff!A39)</f>
        <v>460</v>
      </c>
      <c r="B1739" s="44" t="str">
        <f>IF(Playoff!B39="","",Playoff!B39)</f>
        <v>(Vincente)</v>
      </c>
      <c r="C1739" s="45">
        <f>IF(Playoff!C39="","",Playoff!C39)</f>
        <v>452</v>
      </c>
      <c r="D1739" s="44" t="str">
        <f>IF(Playoff!D39="","",Playoff!D39)</f>
        <v>(Vincente)</v>
      </c>
      <c r="E1739" s="45">
        <f>IF(Playoff!E39="","",Playoff!E39)</f>
        <v>457</v>
      </c>
      <c r="F1739" s="138" t="str">
        <f>IF(Playoff!F39="","",Playoff!F39)</f>
        <v/>
      </c>
      <c r="G1739" s="124"/>
      <c r="H1739" s="124"/>
      <c r="I1739" s="125"/>
      <c r="J1739" s="202" t="str">
        <f>IF(Playoff!J39="","",Playoff!J39)</f>
        <v/>
      </c>
      <c r="K1739" s="201" t="s">
        <v>198</v>
      </c>
      <c r="L1739" s="202" t="str">
        <f>IF(Playoff!L39="","",Playoff!L39)</f>
        <v/>
      </c>
      <c r="M1739" s="200"/>
      <c r="N1739" s="200"/>
      <c r="O1739" s="200"/>
      <c r="P1739" s="200"/>
      <c r="Q1739" s="200"/>
      <c r="R1739" s="200"/>
    </row>
    <row r="1740" spans="1:18" ht="15" customHeight="1" x14ac:dyDescent="0.25">
      <c r="A1740" s="133"/>
      <c r="B1740" s="136" t="str">
        <f>IF(Playoff!B40="","",Playoff!B40)</f>
        <v>DA DEFINIRE</v>
      </c>
      <c r="C1740" s="124"/>
      <c r="D1740" s="124"/>
      <c r="E1740" s="124"/>
      <c r="F1740" s="124"/>
      <c r="G1740" s="124"/>
      <c r="H1740" s="125"/>
      <c r="I1740" s="45" t="str">
        <f>IF(Playoff!I40="","",Playoff!I40)</f>
        <v>TBD</v>
      </c>
      <c r="J1740" s="133"/>
      <c r="K1740" s="133"/>
      <c r="L1740" s="133"/>
      <c r="M1740" s="133"/>
      <c r="N1740" s="133"/>
      <c r="O1740" s="133"/>
      <c r="P1740" s="133"/>
      <c r="Q1740" s="133"/>
      <c r="R1740" s="133"/>
    </row>
    <row r="1741" spans="1:18" ht="14.1" customHeight="1" x14ac:dyDescent="0.25">
      <c r="A1741" s="67" t="s">
        <v>193</v>
      </c>
      <c r="B1741" s="177" t="s">
        <v>175</v>
      </c>
      <c r="C1741" s="125"/>
      <c r="D1741" s="177" t="s">
        <v>182</v>
      </c>
      <c r="E1741" s="125"/>
      <c r="F1741" s="67" t="s">
        <v>194</v>
      </c>
      <c r="G1741" s="67" t="s">
        <v>195</v>
      </c>
      <c r="H1741" s="177" t="s">
        <v>196</v>
      </c>
      <c r="I1741" s="125"/>
      <c r="J1741" s="177" t="s">
        <v>197</v>
      </c>
      <c r="K1741" s="124"/>
      <c r="L1741" s="125"/>
      <c r="M1741" s="113" t="s">
        <v>494</v>
      </c>
      <c r="N1741" s="113" t="s">
        <v>495</v>
      </c>
      <c r="O1741" s="113" t="s">
        <v>496</v>
      </c>
      <c r="P1741" s="113" t="s">
        <v>497</v>
      </c>
      <c r="Q1741" s="113" t="s">
        <v>498</v>
      </c>
      <c r="R1741" s="113" t="s">
        <v>499</v>
      </c>
    </row>
    <row r="1742" spans="1:18" ht="21.95" customHeight="1" x14ac:dyDescent="0.25">
      <c r="A1742" s="179">
        <f>IF(Playoff!A42="","",Playoff!A42)</f>
        <v>461</v>
      </c>
      <c r="B1742" s="44" t="str">
        <f>IF(Playoff!B42="","",Playoff!B42)</f>
        <v>(Vincente)</v>
      </c>
      <c r="C1742" s="45">
        <f>IF(Playoff!C42="","",Playoff!C42)</f>
        <v>453</v>
      </c>
      <c r="D1742" s="44" t="str">
        <f>IF(Playoff!D42="","",Playoff!D42)</f>
        <v>(Vincente)</v>
      </c>
      <c r="E1742" s="45">
        <f>IF(Playoff!E42="","",Playoff!E42)</f>
        <v>456</v>
      </c>
      <c r="F1742" s="138" t="str">
        <f>IF(Playoff!F42="","",Playoff!F42)</f>
        <v/>
      </c>
      <c r="G1742" s="124"/>
      <c r="H1742" s="124"/>
      <c r="I1742" s="125"/>
      <c r="J1742" s="202" t="str">
        <f>IF(Playoff!J42="","",Playoff!J42)</f>
        <v/>
      </c>
      <c r="K1742" s="201" t="s">
        <v>198</v>
      </c>
      <c r="L1742" s="202" t="str">
        <f>IF(Playoff!L42="","",Playoff!L42)</f>
        <v/>
      </c>
      <c r="M1742" s="200"/>
      <c r="N1742" s="200"/>
      <c r="O1742" s="200"/>
      <c r="P1742" s="200"/>
      <c r="Q1742" s="200"/>
      <c r="R1742" s="200"/>
    </row>
    <row r="1743" spans="1:18" ht="15" customHeight="1" x14ac:dyDescent="0.25">
      <c r="A1743" s="133"/>
      <c r="B1743" s="136" t="str">
        <f>IF(Playoff!B43="","",Playoff!B43)</f>
        <v>DA DEFINIRE</v>
      </c>
      <c r="C1743" s="124"/>
      <c r="D1743" s="124"/>
      <c r="E1743" s="124"/>
      <c r="F1743" s="124"/>
      <c r="G1743" s="124"/>
      <c r="H1743" s="125"/>
      <c r="I1743" s="45" t="str">
        <f>IF(Playoff!I43="","",Playoff!I43)</f>
        <v>TBD</v>
      </c>
      <c r="J1743" s="133"/>
      <c r="K1743" s="133"/>
      <c r="L1743" s="133"/>
      <c r="M1743" s="133"/>
      <c r="N1743" s="133"/>
      <c r="O1743" s="133"/>
      <c r="P1743" s="133"/>
      <c r="Q1743" s="133"/>
      <c r="R1743" s="133"/>
    </row>
    <row r="1744" spans="1:18" ht="14.1" customHeight="1" x14ac:dyDescent="0.25">
      <c r="A1744" s="67" t="s">
        <v>193</v>
      </c>
      <c r="B1744" s="177" t="s">
        <v>175</v>
      </c>
      <c r="C1744" s="125"/>
      <c r="D1744" s="177" t="s">
        <v>182</v>
      </c>
      <c r="E1744" s="125"/>
      <c r="F1744" s="67" t="s">
        <v>194</v>
      </c>
      <c r="G1744" s="67" t="s">
        <v>195</v>
      </c>
      <c r="H1744" s="177" t="s">
        <v>196</v>
      </c>
      <c r="I1744" s="125"/>
      <c r="J1744" s="177" t="s">
        <v>197</v>
      </c>
      <c r="K1744" s="124"/>
      <c r="L1744" s="125"/>
      <c r="M1744" s="113" t="s">
        <v>494</v>
      </c>
      <c r="N1744" s="113" t="s">
        <v>495</v>
      </c>
      <c r="O1744" s="113" t="s">
        <v>496</v>
      </c>
      <c r="P1744" s="113" t="s">
        <v>497</v>
      </c>
      <c r="Q1744" s="113" t="s">
        <v>498</v>
      </c>
      <c r="R1744" s="113" t="s">
        <v>499</v>
      </c>
    </row>
    <row r="1745" spans="1:18" ht="21.95" customHeight="1" x14ac:dyDescent="0.25">
      <c r="A1745" s="179">
        <f>IF(Playoff!A45="","",Playoff!A45)</f>
        <v>462</v>
      </c>
      <c r="B1745" s="44" t="str">
        <f>IF(Playoff!B45="","",Playoff!B45)</f>
        <v>(Vincente)</v>
      </c>
      <c r="C1745" s="45">
        <f>IF(Playoff!C45="","",Playoff!C45)</f>
        <v>454</v>
      </c>
      <c r="D1745" s="44" t="str">
        <f>IF(Playoff!D45="","",Playoff!D45)</f>
        <v>(Vincente)</v>
      </c>
      <c r="E1745" s="45">
        <f>IF(Playoff!E45="","",Playoff!E45)</f>
        <v>455</v>
      </c>
      <c r="F1745" s="138" t="str">
        <f>IF(Playoff!F45="","",Playoff!F45)</f>
        <v/>
      </c>
      <c r="G1745" s="124"/>
      <c r="H1745" s="124"/>
      <c r="I1745" s="125"/>
      <c r="J1745" s="202" t="str">
        <f>IF(Playoff!J45="","",Playoff!J45)</f>
        <v/>
      </c>
      <c r="K1745" s="201" t="s">
        <v>198</v>
      </c>
      <c r="L1745" s="202" t="str">
        <f>IF(Playoff!L45="","",Playoff!L45)</f>
        <v/>
      </c>
      <c r="M1745" s="200"/>
      <c r="N1745" s="200"/>
      <c r="O1745" s="200"/>
      <c r="P1745" s="200"/>
      <c r="Q1745" s="200"/>
      <c r="R1745" s="200"/>
    </row>
    <row r="1746" spans="1:18" ht="15" customHeight="1" x14ac:dyDescent="0.25">
      <c r="A1746" s="133"/>
      <c r="B1746" s="136" t="str">
        <f>IF(Playoff!B46="","",Playoff!B46)</f>
        <v>DA DEFINIRE</v>
      </c>
      <c r="C1746" s="124"/>
      <c r="D1746" s="124"/>
      <c r="E1746" s="124"/>
      <c r="F1746" s="124"/>
      <c r="G1746" s="124"/>
      <c r="H1746" s="125"/>
      <c r="I1746" s="45" t="str">
        <f>IF(Playoff!I46="","",Playoff!I46)</f>
        <v>TBD</v>
      </c>
      <c r="J1746" s="133"/>
      <c r="K1746" s="133"/>
      <c r="L1746" s="133"/>
      <c r="M1746" s="133"/>
      <c r="N1746" s="133"/>
      <c r="O1746" s="133"/>
      <c r="P1746" s="133"/>
      <c r="Q1746" s="133"/>
      <c r="R1746" s="133"/>
    </row>
    <row r="1748" spans="1:18" ht="20.100000000000001" customHeight="1" x14ac:dyDescent="0.25">
      <c r="A1748" s="112" t="str">
        <f>IF(Playoff!A48="","",Playoff!A48)</f>
        <v/>
      </c>
      <c r="B1748" s="178" t="str">
        <f>IF(Playoff!B48="","",Playoff!B48)</f>
        <v>PLAYOFF SEMIFINALI</v>
      </c>
      <c r="C1748" s="124"/>
      <c r="D1748" s="124"/>
      <c r="E1748" s="124"/>
      <c r="F1748" s="124"/>
      <c r="G1748" s="124"/>
      <c r="H1748" s="124"/>
      <c r="I1748" s="124"/>
      <c r="J1748" s="124"/>
      <c r="K1748" s="124"/>
      <c r="L1748" s="125"/>
      <c r="M1748" s="210" t="s">
        <v>492</v>
      </c>
      <c r="N1748" s="124"/>
      <c r="O1748" s="125"/>
      <c r="P1748" s="210" t="s">
        <v>493</v>
      </c>
      <c r="Q1748" s="124"/>
      <c r="R1748" s="125"/>
    </row>
    <row r="1749" spans="1:18" ht="14.1" customHeight="1" x14ac:dyDescent="0.25">
      <c r="A1749" s="67" t="s">
        <v>193</v>
      </c>
      <c r="B1749" s="177" t="s">
        <v>175</v>
      </c>
      <c r="C1749" s="125"/>
      <c r="D1749" s="177" t="s">
        <v>182</v>
      </c>
      <c r="E1749" s="125"/>
      <c r="F1749" s="67" t="s">
        <v>194</v>
      </c>
      <c r="G1749" s="67" t="s">
        <v>195</v>
      </c>
      <c r="H1749" s="177" t="s">
        <v>196</v>
      </c>
      <c r="I1749" s="125"/>
      <c r="J1749" s="177" t="s">
        <v>197</v>
      </c>
      <c r="K1749" s="124"/>
      <c r="L1749" s="125"/>
      <c r="M1749" s="113" t="s">
        <v>494</v>
      </c>
      <c r="N1749" s="113" t="s">
        <v>495</v>
      </c>
      <c r="O1749" s="113" t="s">
        <v>496</v>
      </c>
      <c r="P1749" s="113" t="s">
        <v>497</v>
      </c>
      <c r="Q1749" s="113" t="s">
        <v>498</v>
      </c>
      <c r="R1749" s="113" t="s">
        <v>499</v>
      </c>
    </row>
    <row r="1750" spans="1:18" ht="21.95" customHeight="1" x14ac:dyDescent="0.25">
      <c r="A1750" s="179">
        <f>IF(Playoff!A50="","",Playoff!A50)</f>
        <v>463</v>
      </c>
      <c r="B1750" s="44" t="str">
        <f>IF(Playoff!B50="","",Playoff!B50)</f>
        <v>(Vincente)</v>
      </c>
      <c r="C1750" s="45">
        <f>IF(Playoff!C50="","",Playoff!C50)</f>
        <v>459</v>
      </c>
      <c r="D1750" s="44" t="str">
        <f>IF(Playoff!D50="","",Playoff!D50)</f>
        <v>(Vincente)</v>
      </c>
      <c r="E1750" s="45">
        <f>IF(Playoff!E50="","",Playoff!E50)</f>
        <v>462</v>
      </c>
      <c r="F1750" s="138" t="str">
        <f>IF(Playoff!F50="","",Playoff!F50)</f>
        <v/>
      </c>
      <c r="G1750" s="124"/>
      <c r="H1750" s="124"/>
      <c r="I1750" s="125"/>
      <c r="J1750" s="202" t="str">
        <f>IF(Playoff!J50="","",Playoff!J50)</f>
        <v/>
      </c>
      <c r="K1750" s="201" t="s">
        <v>198</v>
      </c>
      <c r="L1750" s="202" t="str">
        <f>IF(Playoff!L50="","",Playoff!L50)</f>
        <v/>
      </c>
      <c r="M1750" s="200"/>
      <c r="N1750" s="200"/>
      <c r="O1750" s="200"/>
      <c r="P1750" s="200"/>
      <c r="Q1750" s="200"/>
      <c r="R1750" s="200"/>
    </row>
    <row r="1751" spans="1:18" ht="15" customHeight="1" x14ac:dyDescent="0.25">
      <c r="A1751" s="133"/>
      <c r="B1751" s="136" t="str">
        <f>IF(Playoff!B51="","",Playoff!B51)</f>
        <v>DA DEFINIRE</v>
      </c>
      <c r="C1751" s="124"/>
      <c r="D1751" s="124"/>
      <c r="E1751" s="124"/>
      <c r="F1751" s="124"/>
      <c r="G1751" s="124"/>
      <c r="H1751" s="125"/>
      <c r="I1751" s="45" t="str">
        <f>IF(Playoff!I51="","",Playoff!I51)</f>
        <v>TBD</v>
      </c>
      <c r="J1751" s="133"/>
      <c r="K1751" s="133"/>
      <c r="L1751" s="133"/>
      <c r="M1751" s="133"/>
      <c r="N1751" s="133"/>
      <c r="O1751" s="133"/>
      <c r="P1751" s="133"/>
      <c r="Q1751" s="133"/>
      <c r="R1751" s="133"/>
    </row>
    <row r="1752" spans="1:18" ht="14.1" customHeight="1" x14ac:dyDescent="0.25">
      <c r="A1752" s="67" t="s">
        <v>193</v>
      </c>
      <c r="B1752" s="177" t="s">
        <v>175</v>
      </c>
      <c r="C1752" s="125"/>
      <c r="D1752" s="177" t="s">
        <v>182</v>
      </c>
      <c r="E1752" s="125"/>
      <c r="F1752" s="67" t="s">
        <v>194</v>
      </c>
      <c r="G1752" s="67" t="s">
        <v>195</v>
      </c>
      <c r="H1752" s="177" t="s">
        <v>196</v>
      </c>
      <c r="I1752" s="125"/>
      <c r="J1752" s="177" t="s">
        <v>197</v>
      </c>
      <c r="K1752" s="124"/>
      <c r="L1752" s="125"/>
      <c r="M1752" s="113" t="s">
        <v>494</v>
      </c>
      <c r="N1752" s="113" t="s">
        <v>495</v>
      </c>
      <c r="O1752" s="113" t="s">
        <v>496</v>
      </c>
      <c r="P1752" s="113" t="s">
        <v>497</v>
      </c>
      <c r="Q1752" s="113" t="s">
        <v>498</v>
      </c>
      <c r="R1752" s="113" t="s">
        <v>499</v>
      </c>
    </row>
    <row r="1753" spans="1:18" ht="21.95" customHeight="1" x14ac:dyDescent="0.25">
      <c r="A1753" s="179">
        <f>IF(Playoff!A53="","",Playoff!A53)</f>
        <v>464</v>
      </c>
      <c r="B1753" s="44" t="str">
        <f>IF(Playoff!B53="","",Playoff!B53)</f>
        <v>(Vincente)</v>
      </c>
      <c r="C1753" s="45">
        <f>IF(Playoff!C53="","",Playoff!C53)</f>
        <v>460</v>
      </c>
      <c r="D1753" s="44" t="str">
        <f>IF(Playoff!D53="","",Playoff!D53)</f>
        <v>(Vincente)</v>
      </c>
      <c r="E1753" s="45">
        <f>IF(Playoff!E53="","",Playoff!E53)</f>
        <v>461</v>
      </c>
      <c r="F1753" s="138" t="str">
        <f>IF(Playoff!F53="","",Playoff!F53)</f>
        <v/>
      </c>
      <c r="G1753" s="124"/>
      <c r="H1753" s="124"/>
      <c r="I1753" s="125"/>
      <c r="J1753" s="202" t="str">
        <f>IF(Playoff!J53="","",Playoff!J53)</f>
        <v/>
      </c>
      <c r="K1753" s="201" t="s">
        <v>198</v>
      </c>
      <c r="L1753" s="202" t="str">
        <f>IF(Playoff!L53="","",Playoff!L53)</f>
        <v/>
      </c>
      <c r="M1753" s="200"/>
      <c r="N1753" s="200"/>
      <c r="O1753" s="200"/>
      <c r="P1753" s="200"/>
      <c r="Q1753" s="200"/>
      <c r="R1753" s="200"/>
    </row>
    <row r="1754" spans="1:18" ht="15" customHeight="1" x14ac:dyDescent="0.25">
      <c r="A1754" s="133"/>
      <c r="B1754" s="136" t="str">
        <f>IF(Playoff!B54="","",Playoff!B54)</f>
        <v>DA DEFINIRE</v>
      </c>
      <c r="C1754" s="124"/>
      <c r="D1754" s="124"/>
      <c r="E1754" s="124"/>
      <c r="F1754" s="124"/>
      <c r="G1754" s="124"/>
      <c r="H1754" s="125"/>
      <c r="I1754" s="45" t="str">
        <f>IF(Playoff!I54="","",Playoff!I54)</f>
        <v>TBD</v>
      </c>
      <c r="J1754" s="133"/>
      <c r="K1754" s="133"/>
      <c r="L1754" s="133"/>
      <c r="M1754" s="133"/>
      <c r="N1754" s="133"/>
      <c r="O1754" s="133"/>
      <c r="P1754" s="133"/>
      <c r="Q1754" s="133"/>
      <c r="R1754" s="133"/>
    </row>
    <row r="1756" spans="1:18" ht="20.100000000000001" customHeight="1" x14ac:dyDescent="0.25">
      <c r="A1756" s="112" t="str">
        <f>IF(Playoff!A56="","",Playoff!A56)</f>
        <v/>
      </c>
      <c r="B1756" s="178" t="str">
        <f>IF(Playoff!B56="","",Playoff!B56)</f>
        <v>PLAYOFF FINALI</v>
      </c>
      <c r="C1756" s="124"/>
      <c r="D1756" s="124"/>
      <c r="E1756" s="124"/>
      <c r="F1756" s="124"/>
      <c r="G1756" s="124"/>
      <c r="H1756" s="124"/>
      <c r="I1756" s="124"/>
      <c r="J1756" s="124"/>
      <c r="K1756" s="124"/>
      <c r="L1756" s="125"/>
      <c r="M1756" s="210" t="s">
        <v>492</v>
      </c>
      <c r="N1756" s="124"/>
      <c r="O1756" s="125"/>
      <c r="P1756" s="210" t="s">
        <v>493</v>
      </c>
      <c r="Q1756" s="124"/>
      <c r="R1756" s="125"/>
    </row>
    <row r="1757" spans="1:18" ht="14.1" customHeight="1" x14ac:dyDescent="0.25">
      <c r="A1757" s="67" t="s">
        <v>193</v>
      </c>
      <c r="B1757" s="177" t="s">
        <v>175</v>
      </c>
      <c r="C1757" s="125"/>
      <c r="D1757" s="177" t="s">
        <v>182</v>
      </c>
      <c r="E1757" s="125"/>
      <c r="F1757" s="67" t="s">
        <v>194</v>
      </c>
      <c r="G1757" s="67" t="s">
        <v>195</v>
      </c>
      <c r="H1757" s="177" t="s">
        <v>196</v>
      </c>
      <c r="I1757" s="125"/>
      <c r="J1757" s="177" t="s">
        <v>197</v>
      </c>
      <c r="K1757" s="124"/>
      <c r="L1757" s="125"/>
      <c r="M1757" s="113" t="s">
        <v>494</v>
      </c>
      <c r="N1757" s="113" t="s">
        <v>495</v>
      </c>
      <c r="O1757" s="113" t="s">
        <v>496</v>
      </c>
      <c r="P1757" s="113" t="s">
        <v>497</v>
      </c>
      <c r="Q1757" s="113" t="s">
        <v>498</v>
      </c>
      <c r="R1757" s="113" t="s">
        <v>499</v>
      </c>
    </row>
    <row r="1758" spans="1:18" ht="21.95" customHeight="1" x14ac:dyDescent="0.25">
      <c r="A1758" s="179">
        <f>IF(Playoff!A58="","",Playoff!A58)</f>
        <v>465</v>
      </c>
      <c r="B1758" s="44" t="str">
        <f>IF(Playoff!B58="","",Playoff!B58)</f>
        <v>(Perdente)</v>
      </c>
      <c r="C1758" s="45">
        <f>IF(Playoff!C58="","",Playoff!C58)</f>
        <v>463</v>
      </c>
      <c r="D1758" s="44" t="str">
        <f>IF(Playoff!D58="","",Playoff!D58)</f>
        <v>(Perdente)</v>
      </c>
      <c r="E1758" s="45">
        <f>IF(Playoff!E58="","",Playoff!E58)</f>
        <v>464</v>
      </c>
      <c r="F1758" s="138" t="str">
        <f>IF(Playoff!F58="","",Playoff!F58)</f>
        <v/>
      </c>
      <c r="G1758" s="124"/>
      <c r="H1758" s="124"/>
      <c r="I1758" s="125"/>
      <c r="J1758" s="202" t="str">
        <f>IF(Playoff!J58="","",Playoff!J58)</f>
        <v/>
      </c>
      <c r="K1758" s="201" t="s">
        <v>198</v>
      </c>
      <c r="L1758" s="202" t="str">
        <f>IF(Playoff!L58="","",Playoff!L58)</f>
        <v/>
      </c>
      <c r="M1758" s="200"/>
      <c r="N1758" s="200"/>
      <c r="O1758" s="200"/>
      <c r="P1758" s="200"/>
      <c r="Q1758" s="200"/>
      <c r="R1758" s="200"/>
    </row>
    <row r="1759" spans="1:18" ht="15" customHeight="1" x14ac:dyDescent="0.25">
      <c r="A1759" s="133"/>
      <c r="B1759" s="136" t="str">
        <f>IF(Playoff!B59="","",Playoff!B59)</f>
        <v>DA DEFINIRE</v>
      </c>
      <c r="C1759" s="124"/>
      <c r="D1759" s="124"/>
      <c r="E1759" s="124"/>
      <c r="F1759" s="124"/>
      <c r="G1759" s="124"/>
      <c r="H1759" s="125"/>
      <c r="I1759" s="45" t="str">
        <f>IF(Playoff!I59="","",Playoff!I59)</f>
        <v>TBD</v>
      </c>
      <c r="J1759" s="133"/>
      <c r="K1759" s="133"/>
      <c r="L1759" s="133"/>
      <c r="M1759" s="133"/>
      <c r="N1759" s="133"/>
      <c r="O1759" s="133"/>
      <c r="P1759" s="133"/>
      <c r="Q1759" s="133"/>
      <c r="R1759" s="133"/>
    </row>
    <row r="1760" spans="1:18" ht="14.1" customHeight="1" x14ac:dyDescent="0.25">
      <c r="A1760" s="67" t="s">
        <v>193</v>
      </c>
      <c r="B1760" s="177" t="s">
        <v>175</v>
      </c>
      <c r="C1760" s="125"/>
      <c r="D1760" s="177" t="s">
        <v>182</v>
      </c>
      <c r="E1760" s="125"/>
      <c r="F1760" s="67" t="s">
        <v>194</v>
      </c>
      <c r="G1760" s="67" t="s">
        <v>195</v>
      </c>
      <c r="H1760" s="177" t="s">
        <v>196</v>
      </c>
      <c r="I1760" s="125"/>
      <c r="J1760" s="177" t="s">
        <v>197</v>
      </c>
      <c r="K1760" s="124"/>
      <c r="L1760" s="125"/>
      <c r="M1760" s="113" t="s">
        <v>494</v>
      </c>
      <c r="N1760" s="113" t="s">
        <v>495</v>
      </c>
      <c r="O1760" s="113" t="s">
        <v>496</v>
      </c>
      <c r="P1760" s="113" t="s">
        <v>497</v>
      </c>
      <c r="Q1760" s="113" t="s">
        <v>498</v>
      </c>
      <c r="R1760" s="113" t="s">
        <v>499</v>
      </c>
    </row>
    <row r="1761" spans="1:18" ht="21.95" customHeight="1" x14ac:dyDescent="0.25">
      <c r="A1761" s="179">
        <f>IF(Playoff!A61="","",Playoff!A61)</f>
        <v>466</v>
      </c>
      <c r="B1761" s="44" t="str">
        <f>IF(Playoff!B61="","",Playoff!B61)</f>
        <v>(Vincente)</v>
      </c>
      <c r="C1761" s="45">
        <f>IF(Playoff!C61="","",Playoff!C61)</f>
        <v>463</v>
      </c>
      <c r="D1761" s="44" t="str">
        <f>IF(Playoff!D61="","",Playoff!D61)</f>
        <v>(Vincente)</v>
      </c>
      <c r="E1761" s="45">
        <f>IF(Playoff!E61="","",Playoff!E61)</f>
        <v>464</v>
      </c>
      <c r="F1761" s="138" t="str">
        <f>IF(Playoff!F61="","",Playoff!F61)</f>
        <v/>
      </c>
      <c r="G1761" s="124"/>
      <c r="H1761" s="124"/>
      <c r="I1761" s="125"/>
      <c r="J1761" s="202" t="str">
        <f>IF(Playoff!J61="","",Playoff!J61)</f>
        <v/>
      </c>
      <c r="K1761" s="201" t="s">
        <v>198</v>
      </c>
      <c r="L1761" s="202" t="str">
        <f>IF(Playoff!L61="","",Playoff!L61)</f>
        <v/>
      </c>
      <c r="M1761" s="200"/>
      <c r="N1761" s="200"/>
      <c r="O1761" s="200"/>
      <c r="P1761" s="200"/>
      <c r="Q1761" s="200"/>
      <c r="R1761" s="200"/>
    </row>
    <row r="1762" spans="1:18" ht="15" customHeight="1" x14ac:dyDescent="0.25">
      <c r="A1762" s="133"/>
      <c r="B1762" s="136" t="str">
        <f>IF(Playoff!B62="","",Playoff!B62)</f>
        <v>DA DEFINIRE</v>
      </c>
      <c r="C1762" s="124"/>
      <c r="D1762" s="124"/>
      <c r="E1762" s="124"/>
      <c r="F1762" s="124"/>
      <c r="G1762" s="124"/>
      <c r="H1762" s="125"/>
      <c r="I1762" s="45" t="str">
        <f>IF(Playoff!I62="","",Playoff!I62)</f>
        <v>TBD</v>
      </c>
      <c r="J1762" s="133"/>
      <c r="K1762" s="133"/>
      <c r="L1762" s="133"/>
      <c r="M1762" s="133"/>
      <c r="N1762" s="133"/>
      <c r="O1762" s="133"/>
      <c r="P1762" s="133"/>
      <c r="Q1762" s="133"/>
      <c r="R1762" s="133"/>
    </row>
    <row r="1767" spans="1:18" x14ac:dyDescent="0.25">
      <c r="A1767" s="39" t="s">
        <v>500</v>
      </c>
    </row>
    <row r="1768" spans="1:18" x14ac:dyDescent="0.25">
      <c r="A1768" s="39" t="s">
        <v>501</v>
      </c>
    </row>
  </sheetData>
  <mergeCells count="7740"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P716:P71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O36:O37"/>
    <mergeCell ref="B184:H184"/>
    <mergeCell ref="F1047:I1047"/>
    <mergeCell ref="O135:O136"/>
    <mergeCell ref="H497:I497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103:L1103"/>
    <mergeCell ref="L359:L360"/>
    <mergeCell ref="L1033:L1034"/>
    <mergeCell ref="F231:I231"/>
    <mergeCell ref="Q923:Q924"/>
    <mergeCell ref="R265:R266"/>
    <mergeCell ref="P127:R127"/>
    <mergeCell ref="H655:I655"/>
    <mergeCell ref="F1161:I1161"/>
    <mergeCell ref="J418:J419"/>
    <mergeCell ref="M722:O722"/>
    <mergeCell ref="F1042:I1042"/>
    <mergeCell ref="N1424:N1425"/>
    <mergeCell ref="K1056:K1057"/>
    <mergeCell ref="B324:C324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J1718:L1718"/>
    <mergeCell ref="N1713:N1714"/>
    <mergeCell ref="A1662:A1663"/>
    <mergeCell ref="F1461:I1461"/>
    <mergeCell ref="J565:L565"/>
    <mergeCell ref="B643:H643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L478:L479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P923:P924"/>
    <mergeCell ref="K1158:K1159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A90:A91"/>
    <mergeCell ref="Q1648:Q1649"/>
    <mergeCell ref="F1580:I1580"/>
    <mergeCell ref="P940:P941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D1049:E1049"/>
    <mergeCell ref="M189:M190"/>
    <mergeCell ref="J1518:J1519"/>
    <mergeCell ref="O1441:O1442"/>
    <mergeCell ref="F894:I894"/>
    <mergeCell ref="B467:L467"/>
    <mergeCell ref="K1492:K1493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R1478:R1479"/>
    <mergeCell ref="J1724:L1724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N1637:N1638"/>
    <mergeCell ref="J1262:L1262"/>
    <mergeCell ref="H1341:I1341"/>
    <mergeCell ref="R1495:R1496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Q1637:Q1638"/>
    <mergeCell ref="N418:N419"/>
    <mergeCell ref="H579:I579"/>
    <mergeCell ref="B386:C386"/>
    <mergeCell ref="L234:L235"/>
    <mergeCell ref="R1489:R1490"/>
    <mergeCell ref="O733:O734"/>
    <mergeCell ref="K141:K142"/>
    <mergeCell ref="H1641:I1641"/>
    <mergeCell ref="O359:O360"/>
    <mergeCell ref="F248:I248"/>
    <mergeCell ref="O1033:O1034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K115:K116"/>
    <mergeCell ref="A880:A881"/>
    <mergeCell ref="F1728:I1728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F645:I645"/>
    <mergeCell ref="L447:L448"/>
    <mergeCell ref="J1444:J1445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J132:J133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D1474:E1474"/>
    <mergeCell ref="N996:N997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A1005:A1006"/>
    <mergeCell ref="M115:M116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J114:L114"/>
    <mergeCell ref="D114:E114"/>
    <mergeCell ref="O387:O388"/>
    <mergeCell ref="Q665:Q666"/>
    <mergeCell ref="D740:E740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J1433:J1434"/>
    <mergeCell ref="B1650:C1650"/>
    <mergeCell ref="Q1002:Q1003"/>
    <mergeCell ref="B1256:C1256"/>
    <mergeCell ref="L1410:L1411"/>
    <mergeCell ref="N413:N414"/>
    <mergeCell ref="B1562:C1562"/>
    <mergeCell ref="Q1302:Q1303"/>
    <mergeCell ref="B1556:C1556"/>
    <mergeCell ref="D559:E559"/>
    <mergeCell ref="K835:K836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K1410:K1411"/>
    <mergeCell ref="M413:M414"/>
    <mergeCell ref="J403:L403"/>
    <mergeCell ref="M965:M966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O1731:O1732"/>
    <mergeCell ref="D1730:E1730"/>
    <mergeCell ref="M713:M714"/>
    <mergeCell ref="F1631:I1631"/>
    <mergeCell ref="R761:R762"/>
    <mergeCell ref="B813:H813"/>
    <mergeCell ref="F1543:I1543"/>
    <mergeCell ref="Q1725:Q1726"/>
    <mergeCell ref="K1557:K1558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J1722:J1723"/>
    <mergeCell ref="D259:E259"/>
    <mergeCell ref="L1710:L1711"/>
    <mergeCell ref="B258:H258"/>
    <mergeCell ref="N713:N714"/>
    <mergeCell ref="O1594:O1595"/>
    <mergeCell ref="A282:A283"/>
    <mergeCell ref="A651:A652"/>
    <mergeCell ref="J893:L893"/>
    <mergeCell ref="A716:A717"/>
    <mergeCell ref="O812:O813"/>
    <mergeCell ref="B714:H714"/>
    <mergeCell ref="D599:E599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J56:J57"/>
    <mergeCell ref="J214:J215"/>
    <mergeCell ref="L1302:L1303"/>
    <mergeCell ref="J1633:L1633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753:J754"/>
    <mergeCell ref="Q1345:Q134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K67:K68"/>
    <mergeCell ref="B1035:C1035"/>
    <mergeCell ref="J60:L60"/>
    <mergeCell ref="J692:L692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H375:I375"/>
    <mergeCell ref="Q1101:Q1102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L1603:L1604"/>
    <mergeCell ref="B1130:L1130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K1603:K1604"/>
    <mergeCell ref="J596:L596"/>
    <mergeCell ref="L945:L946"/>
    <mergeCell ref="D426:E426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N367:N368"/>
    <mergeCell ref="Q1260:Q1261"/>
    <mergeCell ref="H528:I528"/>
    <mergeCell ref="B1283:L128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322:A323"/>
    <mergeCell ref="J205:L205"/>
    <mergeCell ref="B1343:H1343"/>
    <mergeCell ref="A583:A584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F920:I920"/>
    <mergeCell ref="P1314:P1315"/>
    <mergeCell ref="F495:I495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B1213:H1213"/>
    <mergeCell ref="B117:C117"/>
    <mergeCell ref="J1110:J1111"/>
    <mergeCell ref="H953:I953"/>
    <mergeCell ref="M263:O263"/>
    <mergeCell ref="J716:J717"/>
    <mergeCell ref="J1268:J1269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R438:R43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J933:L933"/>
    <mergeCell ref="Q112:Q113"/>
    <mergeCell ref="J152:J153"/>
    <mergeCell ref="J1565:L1565"/>
    <mergeCell ref="O1739:O1740"/>
    <mergeCell ref="N401:N402"/>
    <mergeCell ref="J1239:L1239"/>
    <mergeCell ref="J1233:L1233"/>
    <mergeCell ref="K271:K272"/>
    <mergeCell ref="O1036:O1037"/>
    <mergeCell ref="K571:K572"/>
    <mergeCell ref="O1336:O1337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B667:C667"/>
    <mergeCell ref="A639:A640"/>
    <mergeCell ref="B998:C998"/>
    <mergeCell ref="A1308:A1309"/>
    <mergeCell ref="D1058:E1058"/>
    <mergeCell ref="D1216:E1216"/>
    <mergeCell ref="P373:P374"/>
    <mergeCell ref="P1716:P1717"/>
    <mergeCell ref="Q427:Q428"/>
    <mergeCell ref="J1158:J1159"/>
    <mergeCell ref="O1081:O1082"/>
    <mergeCell ref="R574:R575"/>
    <mergeCell ref="K733:K734"/>
    <mergeCell ref="N1070:N1071"/>
    <mergeCell ref="B553:C553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M1059:M1060"/>
    <mergeCell ref="B708:H708"/>
    <mergeCell ref="K1033:K1034"/>
    <mergeCell ref="J325:J326"/>
    <mergeCell ref="R1444:R1445"/>
    <mergeCell ref="K1484:K1485"/>
    <mergeCell ref="F560:I560"/>
    <mergeCell ref="N945:N946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F1753:I1753"/>
    <mergeCell ref="M688:O688"/>
    <mergeCell ref="L532:L533"/>
    <mergeCell ref="L690:L691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R308:R309"/>
    <mergeCell ref="B134:C134"/>
    <mergeCell ref="P263:R263"/>
    <mergeCell ref="R203:R204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L53:L54"/>
    <mergeCell ref="H1460:I1460"/>
    <mergeCell ref="O1115:O1116"/>
    <mergeCell ref="B831:C831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A1620:A1621"/>
    <mergeCell ref="B587:C587"/>
    <mergeCell ref="Q1087:Q1088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N1382:N1383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D151:E151"/>
    <mergeCell ref="J1237:J1238"/>
    <mergeCell ref="L240:L241"/>
    <mergeCell ref="B873:H873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P294:P295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N217:N218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J1373:J1374"/>
    <mergeCell ref="L376:L377"/>
    <mergeCell ref="H15:I15"/>
    <mergeCell ref="B1417:H1417"/>
    <mergeCell ref="K954:K955"/>
    <mergeCell ref="M22:M23"/>
    <mergeCell ref="O1110:O1111"/>
    <mergeCell ref="A1257:A1258"/>
    <mergeCell ref="K257:K258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J1124:J1125"/>
    <mergeCell ref="R1399:R1400"/>
    <mergeCell ref="D1627:E1627"/>
    <mergeCell ref="B694:H694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K308:K309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K1716:K1717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J1151:L1151"/>
    <mergeCell ref="M1379:M1380"/>
    <mergeCell ref="P1164:R1164"/>
    <mergeCell ref="O1314:O1315"/>
    <mergeCell ref="P1433:P1434"/>
    <mergeCell ref="N546:N547"/>
    <mergeCell ref="N659:N660"/>
    <mergeCell ref="H304:I304"/>
    <mergeCell ref="M404:M405"/>
    <mergeCell ref="F934:I934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B29:C29"/>
    <mergeCell ref="H1284:I1284"/>
    <mergeCell ref="M1005:M1006"/>
    <mergeCell ref="D273:E273"/>
    <mergeCell ref="M999:M1000"/>
    <mergeCell ref="H522:I522"/>
    <mergeCell ref="M1305:M1306"/>
    <mergeCell ref="O308:O309"/>
    <mergeCell ref="H1279:I1279"/>
    <mergeCell ref="B1272:H1272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N733:N734"/>
    <mergeCell ref="M1478:M1479"/>
    <mergeCell ref="L1206:L1207"/>
    <mergeCell ref="L1200:L1201"/>
    <mergeCell ref="Q1580:Q1581"/>
    <mergeCell ref="P790:R790"/>
    <mergeCell ref="F1030:I1030"/>
    <mergeCell ref="Q818:Q819"/>
    <mergeCell ref="P427:P428"/>
    <mergeCell ref="B1147:L1147"/>
    <mergeCell ref="K1597:K1598"/>
    <mergeCell ref="J590:L590"/>
    <mergeCell ref="N574:N575"/>
    <mergeCell ref="B655:C655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P1198:R1198"/>
    <mergeCell ref="N319:N320"/>
    <mergeCell ref="J940:J941"/>
    <mergeCell ref="O438:O439"/>
    <mergeCell ref="L744:L745"/>
    <mergeCell ref="F22:I22"/>
    <mergeCell ref="K36:K37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K1648:K1649"/>
    <mergeCell ref="M1124:M1125"/>
    <mergeCell ref="J726:L726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J379:J380"/>
    <mergeCell ref="J712:L712"/>
    <mergeCell ref="M880:M881"/>
    <mergeCell ref="B994:L994"/>
    <mergeCell ref="B586:L586"/>
    <mergeCell ref="B1604:H1604"/>
    <mergeCell ref="M1178:M1179"/>
    <mergeCell ref="M455:M456"/>
    <mergeCell ref="N1336:N1337"/>
    <mergeCell ref="O699:O700"/>
    <mergeCell ref="K1206:K1207"/>
    <mergeCell ref="J199:L199"/>
    <mergeCell ref="D29:E29"/>
    <mergeCell ref="M1271:M1272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K1719:K1720"/>
    <mergeCell ref="A1237:A1238"/>
    <mergeCell ref="A948:A949"/>
    <mergeCell ref="A121:A122"/>
    <mergeCell ref="A115:A116"/>
    <mergeCell ref="H735:I735"/>
    <mergeCell ref="A996:A997"/>
    <mergeCell ref="A605:A606"/>
    <mergeCell ref="A665:A666"/>
    <mergeCell ref="D89:E89"/>
    <mergeCell ref="D420:E420"/>
    <mergeCell ref="A812:A813"/>
    <mergeCell ref="F730:I730"/>
    <mergeCell ref="J571:J572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N1098:N1099"/>
    <mergeCell ref="P775:P776"/>
    <mergeCell ref="A231:A232"/>
    <mergeCell ref="P1407:P1408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L282:L283"/>
    <mergeCell ref="F1586:I1586"/>
    <mergeCell ref="L1540:L1541"/>
    <mergeCell ref="F818:I818"/>
    <mergeCell ref="N1169:N1170"/>
    <mergeCell ref="K413:K414"/>
    <mergeCell ref="M1039:M1040"/>
    <mergeCell ref="J277:J278"/>
    <mergeCell ref="H556:I556"/>
    <mergeCell ref="J324:L324"/>
    <mergeCell ref="J1240:J1241"/>
    <mergeCell ref="H1471:I1471"/>
    <mergeCell ref="B389:C389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B1726:H1726"/>
    <mergeCell ref="B810:H810"/>
    <mergeCell ref="J1463:L1463"/>
    <mergeCell ref="J1132:J1133"/>
    <mergeCell ref="J713:J714"/>
    <mergeCell ref="J460:L460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R971:R972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B695:C695"/>
    <mergeCell ref="F373:I373"/>
    <mergeCell ref="J494:L494"/>
    <mergeCell ref="M1081:M1082"/>
    <mergeCell ref="P1424:P1425"/>
    <mergeCell ref="D324:E324"/>
    <mergeCell ref="J825:L825"/>
    <mergeCell ref="N206:N207"/>
    <mergeCell ref="H1123:I1123"/>
    <mergeCell ref="H1117:I1117"/>
    <mergeCell ref="A350:A351"/>
    <mergeCell ref="J760:L760"/>
    <mergeCell ref="Q1679:Q1680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F56:I56"/>
    <mergeCell ref="K1115:K1116"/>
    <mergeCell ref="J1093:J1094"/>
    <mergeCell ref="N203:N204"/>
    <mergeCell ref="N243:N244"/>
    <mergeCell ref="F61:I61"/>
    <mergeCell ref="Q492:Q493"/>
    <mergeCell ref="P699:P700"/>
    <mergeCell ref="B881:H881"/>
    <mergeCell ref="L656:L657"/>
    <mergeCell ref="D879:E879"/>
    <mergeCell ref="K532:K533"/>
    <mergeCell ref="K690:K691"/>
    <mergeCell ref="J35:L35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L1382:L1383"/>
    <mergeCell ref="N1447:N1448"/>
    <mergeCell ref="J1375:L1375"/>
    <mergeCell ref="J1293:L1293"/>
    <mergeCell ref="J1506:J1507"/>
    <mergeCell ref="P1254:P1255"/>
    <mergeCell ref="J1348:J1349"/>
    <mergeCell ref="L1413:L1414"/>
    <mergeCell ref="O1455:O1456"/>
    <mergeCell ref="H457:I457"/>
    <mergeCell ref="P546:P547"/>
    <mergeCell ref="A588:A589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J180:J181"/>
    <mergeCell ref="M648:M649"/>
    <mergeCell ref="K1302:K1303"/>
    <mergeCell ref="M305:M306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R1430:R1431"/>
    <mergeCell ref="Q608:Q609"/>
    <mergeCell ref="F546:I546"/>
    <mergeCell ref="F1178:I117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K611:K612"/>
    <mergeCell ref="D1131:E1131"/>
    <mergeCell ref="L1008:L1009"/>
    <mergeCell ref="J1600:J1601"/>
    <mergeCell ref="H199:I199"/>
    <mergeCell ref="L1665:L1666"/>
    <mergeCell ref="F444:I444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K322:K323"/>
    <mergeCell ref="P886:P887"/>
    <mergeCell ref="P124:P125"/>
    <mergeCell ref="O1387:O1388"/>
    <mergeCell ref="D1273:E1273"/>
    <mergeCell ref="A1223:A1224"/>
    <mergeCell ref="J990:L990"/>
    <mergeCell ref="D814:E814"/>
    <mergeCell ref="J203:J204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Q1583:Q1584"/>
    <mergeCell ref="R1370:R1371"/>
    <mergeCell ref="R189:R190"/>
    <mergeCell ref="F744:I744"/>
    <mergeCell ref="J1290:L1290"/>
    <mergeCell ref="O1492:O1493"/>
    <mergeCell ref="P821:P822"/>
    <mergeCell ref="N141:N142"/>
    <mergeCell ref="Q299:Q300"/>
    <mergeCell ref="M1574:M1575"/>
    <mergeCell ref="F376:I376"/>
    <mergeCell ref="N889:N890"/>
    <mergeCell ref="N883:N884"/>
    <mergeCell ref="J1205:L1205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M1110:M1111"/>
    <mergeCell ref="L288:L289"/>
    <mergeCell ref="R614:R615"/>
    <mergeCell ref="D185:E185"/>
    <mergeCell ref="H760:I760"/>
    <mergeCell ref="J1591:J1592"/>
    <mergeCell ref="O571:O572"/>
    <mergeCell ref="L719:L720"/>
    <mergeCell ref="R914:R915"/>
    <mergeCell ref="J954:J95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22:K23"/>
    <mergeCell ref="A934:A935"/>
    <mergeCell ref="A1234:A123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B1275:H1275"/>
    <mergeCell ref="M892:O892"/>
    <mergeCell ref="A815:A816"/>
    <mergeCell ref="Q271:Q272"/>
    <mergeCell ref="J1225:L1225"/>
    <mergeCell ref="A1370:A1371"/>
    <mergeCell ref="A707:A708"/>
    <mergeCell ref="D1035:E1035"/>
    <mergeCell ref="F574:I574"/>
    <mergeCell ref="K588:K589"/>
    <mergeCell ref="O1421:O1422"/>
    <mergeCell ref="J1416:J1417"/>
    <mergeCell ref="A1059:A1060"/>
    <mergeCell ref="L571:L572"/>
    <mergeCell ref="B723:C723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66:E66"/>
    <mergeCell ref="O583:O584"/>
    <mergeCell ref="H1072:I1072"/>
    <mergeCell ref="M818:M819"/>
    <mergeCell ref="P1161:P1162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M1467:M1468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O520:O521"/>
    <mergeCell ref="H1497:I1497"/>
    <mergeCell ref="L809:L810"/>
    <mergeCell ref="O1308:O1309"/>
    <mergeCell ref="B1179:H1179"/>
    <mergeCell ref="B1449:C1449"/>
    <mergeCell ref="O1472:O1473"/>
    <mergeCell ref="J835:J836"/>
    <mergeCell ref="H1131:I1131"/>
    <mergeCell ref="B918:H918"/>
    <mergeCell ref="P991:P992"/>
    <mergeCell ref="A413:A414"/>
    <mergeCell ref="D1083:E1083"/>
    <mergeCell ref="A1475:A1476"/>
    <mergeCell ref="F206:I206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M1368:O1368"/>
    <mergeCell ref="P1073:P1074"/>
    <mergeCell ref="D525:E525"/>
    <mergeCell ref="F648:I648"/>
    <mergeCell ref="B1289:H1289"/>
    <mergeCell ref="L155:L156"/>
    <mergeCell ref="N285:N286"/>
    <mergeCell ref="K574:K575"/>
    <mergeCell ref="J906:J907"/>
    <mergeCell ref="M399:O399"/>
    <mergeCell ref="L243:L244"/>
    <mergeCell ref="B420:C420"/>
    <mergeCell ref="B395:C395"/>
    <mergeCell ref="P492:P49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A223:A224"/>
    <mergeCell ref="A529:A530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A1758:A1759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H1273:I1273"/>
    <mergeCell ref="J253:L253"/>
    <mergeCell ref="D1454:E1454"/>
    <mergeCell ref="F642:I642"/>
    <mergeCell ref="P611:P612"/>
    <mergeCell ref="M243:M244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F1509:I1509"/>
    <mergeCell ref="O937:O938"/>
    <mergeCell ref="B1378:C1378"/>
    <mergeCell ref="B122:H122"/>
    <mergeCell ref="J444:J445"/>
    <mergeCell ref="K651:K652"/>
    <mergeCell ref="J1341:L1341"/>
    <mergeCell ref="B238:H238"/>
    <mergeCell ref="P322:P323"/>
    <mergeCell ref="D1488:E1488"/>
    <mergeCell ref="N1450:N1451"/>
    <mergeCell ref="B538:H538"/>
    <mergeCell ref="M628:M629"/>
    <mergeCell ref="D1602:E160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O1728:O1729"/>
    <mergeCell ref="M183:M184"/>
    <mergeCell ref="O248:O249"/>
    <mergeCell ref="B150:H150"/>
    <mergeCell ref="L1577:L1578"/>
    <mergeCell ref="R311:R312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M1668:M1669"/>
    <mergeCell ref="H1160:I1160"/>
    <mergeCell ref="P1453:R1453"/>
    <mergeCell ref="H1318:I1318"/>
    <mergeCell ref="Q1047:Q1048"/>
    <mergeCell ref="B1276:C1276"/>
    <mergeCell ref="J761:J762"/>
    <mergeCell ref="B242:C242"/>
    <mergeCell ref="B397:H397"/>
    <mergeCell ref="K1679:K1680"/>
    <mergeCell ref="H1730:I1730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R1008:R1009"/>
    <mergeCell ref="R1166:R1167"/>
    <mergeCell ref="R1557:R1558"/>
    <mergeCell ref="Q730:Q731"/>
    <mergeCell ref="Q1030:Q1031"/>
    <mergeCell ref="J1641:L1641"/>
    <mergeCell ref="K863:K864"/>
    <mergeCell ref="P622:P623"/>
    <mergeCell ref="F784:I784"/>
    <mergeCell ref="P753:P754"/>
    <mergeCell ref="M928:M929"/>
    <mergeCell ref="J155:J156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O1620:O1621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P1679:P1680"/>
    <mergeCell ref="N1484:N1485"/>
    <mergeCell ref="J1738:L1738"/>
    <mergeCell ref="M1657:O1657"/>
    <mergeCell ref="F1084:I1084"/>
    <mergeCell ref="Q872:Q873"/>
    <mergeCell ref="Q311:Q312"/>
    <mergeCell ref="Q622:Q623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B1295:H1295"/>
    <mergeCell ref="M869:M870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N1577:N1578"/>
    <mergeCell ref="M1543:M1544"/>
    <mergeCell ref="H1607:I1607"/>
    <mergeCell ref="J1370:J1371"/>
    <mergeCell ref="P1385:R1385"/>
    <mergeCell ref="F214:I214"/>
    <mergeCell ref="A835:A83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/>
      </c>
    </row>
    <row r="2" spans="1:15" ht="15.75" x14ac:dyDescent="0.25">
      <c r="A2" s="114" t="str">
        <f>"Arbitri - Stagione "&amp;constStagionaCampionato</f>
        <v xml:space="preserve">Arbitri - Stagione </v>
      </c>
    </row>
    <row r="4" spans="1:15" ht="26.1" customHeight="1" x14ac:dyDescent="0.25">
      <c r="D4" s="3" t="s">
        <v>502</v>
      </c>
      <c r="E4" s="3" t="s">
        <v>503</v>
      </c>
      <c r="L4" s="3" t="s">
        <v>504</v>
      </c>
      <c r="M4" s="3" t="s">
        <v>494</v>
      </c>
      <c r="N4" s="3" t="s">
        <v>495</v>
      </c>
      <c r="O4" s="3" t="s">
        <v>505</v>
      </c>
    </row>
    <row r="5" spans="1:15" x14ac:dyDescent="0.25">
      <c r="C5" s="214" t="s">
        <v>492</v>
      </c>
      <c r="D5" s="6"/>
      <c r="E5" s="115"/>
      <c r="L5" s="46" t="str">
        <f t="shared" ref="L5:L36" si="0">IF($D5="","",SUM(M5:O5))</f>
        <v/>
      </c>
      <c r="M5" s="46" t="str">
        <f>IF($D5="","",COUNTIF(DESIGNAZIONI!M$8:M$1772,$D5))</f>
        <v/>
      </c>
      <c r="N5" s="46" t="str">
        <f>IF($D5="","",COUNTIF(DESIGNAZIONI!N$8:N$1772,$D5))</f>
        <v/>
      </c>
      <c r="O5" s="46" t="str">
        <f>IF($D5="","",COUNTIF(DESIGNAZIONI!O$8:O$1772,$D5))</f>
        <v/>
      </c>
    </row>
    <row r="6" spans="1:15" x14ac:dyDescent="0.25">
      <c r="C6" s="215"/>
      <c r="D6" s="6"/>
      <c r="E6" s="115"/>
      <c r="L6" s="46" t="str">
        <f t="shared" si="0"/>
        <v/>
      </c>
      <c r="M6" s="46" t="str">
        <f>IF($D6="","",COUNTIF(DESIGNAZIONI!M$8:M$1772,$D6))</f>
        <v/>
      </c>
      <c r="N6" s="46" t="str">
        <f>IF($D6="","",COUNTIF(DESIGNAZIONI!N$8:N$1772,$D6))</f>
        <v/>
      </c>
      <c r="O6" s="46" t="str">
        <f>IF($D6="","",COUNTIF(DESIGNAZIONI!O$8:O$1772,$D6))</f>
        <v/>
      </c>
    </row>
    <row r="7" spans="1:15" x14ac:dyDescent="0.25">
      <c r="C7" s="215"/>
      <c r="D7" s="6"/>
      <c r="E7" s="115"/>
      <c r="L7" s="46" t="str">
        <f t="shared" si="0"/>
        <v/>
      </c>
      <c r="M7" s="46" t="str">
        <f>IF($D7="","",COUNTIF(DESIGNAZIONI!M$8:M$1772,$D7))</f>
        <v/>
      </c>
      <c r="N7" s="46" t="str">
        <f>IF($D7="","",COUNTIF(DESIGNAZIONI!N$8:N$1772,$D7))</f>
        <v/>
      </c>
      <c r="O7" s="46" t="str">
        <f>IF($D7="","",COUNTIF(DESIGNAZIONI!O$8:O$1772,$D7))</f>
        <v/>
      </c>
    </row>
    <row r="8" spans="1:15" x14ac:dyDescent="0.25">
      <c r="C8" s="215"/>
      <c r="D8" s="6"/>
      <c r="E8" s="115"/>
      <c r="L8" s="46" t="str">
        <f t="shared" si="0"/>
        <v/>
      </c>
      <c r="M8" s="46" t="str">
        <f>IF($D8="","",COUNTIF(DESIGNAZIONI!M$8:M$1772,$D8))</f>
        <v/>
      </c>
      <c r="N8" s="46" t="str">
        <f>IF($D8="","",COUNTIF(DESIGNAZIONI!N$8:N$1772,$D8))</f>
        <v/>
      </c>
      <c r="O8" s="46" t="str">
        <f>IF($D8="","",COUNTIF(DESIGNAZIONI!O$8:O$1772,$D8))</f>
        <v/>
      </c>
    </row>
    <row r="9" spans="1:15" x14ac:dyDescent="0.25">
      <c r="C9" s="215"/>
      <c r="D9" s="6"/>
      <c r="E9" s="115"/>
      <c r="L9" s="46" t="str">
        <f t="shared" si="0"/>
        <v/>
      </c>
      <c r="M9" s="46" t="str">
        <f>IF($D9="","",COUNTIF(DESIGNAZIONI!M$8:M$1772,$D9))</f>
        <v/>
      </c>
      <c r="N9" s="46" t="str">
        <f>IF($D9="","",COUNTIF(DESIGNAZIONI!N$8:N$1772,$D9))</f>
        <v/>
      </c>
      <c r="O9" s="46" t="str">
        <f>IF($D9="","",COUNTIF(DESIGNAZIONI!O$8:O$1772,$D9))</f>
        <v/>
      </c>
    </row>
    <row r="10" spans="1:15" x14ac:dyDescent="0.25">
      <c r="C10" s="215"/>
      <c r="D10" s="6"/>
      <c r="E10" s="115"/>
      <c r="L10" s="46" t="str">
        <f t="shared" si="0"/>
        <v/>
      </c>
      <c r="M10" s="46" t="str">
        <f>IF($D10="","",COUNTIF(DESIGNAZIONI!M$8:M$1772,$D10))</f>
        <v/>
      </c>
      <c r="N10" s="46" t="str">
        <f>IF($D10="","",COUNTIF(DESIGNAZIONI!N$8:N$1772,$D10))</f>
        <v/>
      </c>
      <c r="O10" s="46" t="str">
        <f>IF($D10="","",COUNTIF(DESIGNAZIONI!O$8:O$1772,$D10))</f>
        <v/>
      </c>
    </row>
    <row r="11" spans="1:15" x14ac:dyDescent="0.25">
      <c r="C11" s="215"/>
      <c r="D11" s="6"/>
      <c r="E11" s="115"/>
      <c r="L11" s="46" t="str">
        <f t="shared" si="0"/>
        <v/>
      </c>
      <c r="M11" s="46" t="str">
        <f>IF($D11="","",COUNTIF(DESIGNAZIONI!M$8:M$1772,$D11))</f>
        <v/>
      </c>
      <c r="N11" s="46" t="str">
        <f>IF($D11="","",COUNTIF(DESIGNAZIONI!N$8:N$1772,$D11))</f>
        <v/>
      </c>
      <c r="O11" s="46" t="str">
        <f>IF($D11="","",COUNTIF(DESIGNAZIONI!O$8:O$1772,$D11))</f>
        <v/>
      </c>
    </row>
    <row r="12" spans="1:15" x14ac:dyDescent="0.25">
      <c r="C12" s="215"/>
      <c r="D12" s="6"/>
      <c r="E12" s="115"/>
      <c r="L12" s="46" t="str">
        <f t="shared" si="0"/>
        <v/>
      </c>
      <c r="M12" s="46" t="str">
        <f>IF($D12="","",COUNTIF(DESIGNAZIONI!M$8:M$1772,$D12))</f>
        <v/>
      </c>
      <c r="N12" s="46" t="str">
        <f>IF($D12="","",COUNTIF(DESIGNAZIONI!N$8:N$1772,$D12))</f>
        <v/>
      </c>
      <c r="O12" s="46" t="str">
        <f>IF($D12="","",COUNTIF(DESIGNAZIONI!O$8:O$1772,$D12))</f>
        <v/>
      </c>
    </row>
    <row r="13" spans="1:15" x14ac:dyDescent="0.25">
      <c r="C13" s="215"/>
      <c r="D13" s="6"/>
      <c r="E13" s="115"/>
      <c r="L13" s="46" t="str">
        <f t="shared" si="0"/>
        <v/>
      </c>
      <c r="M13" s="46" t="str">
        <f>IF($D13="","",COUNTIF(DESIGNAZIONI!M$8:M$1772,$D13))</f>
        <v/>
      </c>
      <c r="N13" s="46" t="str">
        <f>IF($D13="","",COUNTIF(DESIGNAZIONI!N$8:N$1772,$D13))</f>
        <v/>
      </c>
      <c r="O13" s="46" t="str">
        <f>IF($D13="","",COUNTIF(DESIGNAZIONI!O$8:O$1772,$D13))</f>
        <v/>
      </c>
    </row>
    <row r="14" spans="1:15" x14ac:dyDescent="0.25">
      <c r="C14" s="215"/>
      <c r="D14" s="6"/>
      <c r="E14" s="115"/>
      <c r="L14" s="46" t="str">
        <f t="shared" si="0"/>
        <v/>
      </c>
      <c r="M14" s="46" t="str">
        <f>IF($D14="","",COUNTIF(DESIGNAZIONI!M$8:M$1772,$D14))</f>
        <v/>
      </c>
      <c r="N14" s="46" t="str">
        <f>IF($D14="","",COUNTIF(DESIGNAZIONI!N$8:N$1772,$D14))</f>
        <v/>
      </c>
      <c r="O14" s="46" t="str">
        <f>IF($D14="","",COUNTIF(DESIGNAZIONI!O$8:O$1772,$D14))</f>
        <v/>
      </c>
    </row>
    <row r="15" spans="1:15" x14ac:dyDescent="0.25">
      <c r="C15" s="215"/>
      <c r="D15" s="6"/>
      <c r="E15" s="115"/>
      <c r="L15" s="46" t="str">
        <f t="shared" si="0"/>
        <v/>
      </c>
      <c r="M15" s="46" t="str">
        <f>IF($D15="","",COUNTIF(DESIGNAZIONI!M$8:M$1772,$D15))</f>
        <v/>
      </c>
      <c r="N15" s="46" t="str">
        <f>IF($D15="","",COUNTIF(DESIGNAZIONI!N$8:N$1772,$D15))</f>
        <v/>
      </c>
      <c r="O15" s="46" t="str">
        <f>IF($D15="","",COUNTIF(DESIGNAZIONI!O$8:O$1772,$D15))</f>
        <v/>
      </c>
    </row>
    <row r="16" spans="1:15" x14ac:dyDescent="0.25">
      <c r="C16" s="215"/>
      <c r="D16" s="6"/>
      <c r="E16" s="115"/>
      <c r="L16" s="46" t="str">
        <f t="shared" si="0"/>
        <v/>
      </c>
      <c r="M16" s="46" t="str">
        <f>IF($D16="","",COUNTIF(DESIGNAZIONI!M$8:M$1772,$D16))</f>
        <v/>
      </c>
      <c r="N16" s="46" t="str">
        <f>IF($D16="","",COUNTIF(DESIGNAZIONI!N$8:N$1772,$D16))</f>
        <v/>
      </c>
      <c r="O16" s="46" t="str">
        <f>IF($D16="","",COUNTIF(DESIGNAZIONI!O$8:O$1772,$D16))</f>
        <v/>
      </c>
    </row>
    <row r="17" spans="3:15" x14ac:dyDescent="0.25">
      <c r="C17" s="215"/>
      <c r="D17" s="6"/>
      <c r="E17" s="115"/>
      <c r="L17" s="46" t="str">
        <f t="shared" si="0"/>
        <v/>
      </c>
      <c r="M17" s="46" t="str">
        <f>IF($D17="","",COUNTIF(DESIGNAZIONI!M$8:M$1772,$D17))</f>
        <v/>
      </c>
      <c r="N17" s="46" t="str">
        <f>IF($D17="","",COUNTIF(DESIGNAZIONI!N$8:N$1772,$D17))</f>
        <v/>
      </c>
      <c r="O17" s="46" t="str">
        <f>IF($D17="","",COUNTIF(DESIGNAZIONI!O$8:O$1772,$D17))</f>
        <v/>
      </c>
    </row>
    <row r="18" spans="3:15" x14ac:dyDescent="0.25">
      <c r="C18" s="215"/>
      <c r="D18" s="6"/>
      <c r="E18" s="115"/>
      <c r="L18" s="46" t="str">
        <f t="shared" si="0"/>
        <v/>
      </c>
      <c r="M18" s="46" t="str">
        <f>IF($D18="","",COUNTIF(DESIGNAZIONI!M$8:M$1772,$D18))</f>
        <v/>
      </c>
      <c r="N18" s="46" t="str">
        <f>IF($D18="","",COUNTIF(DESIGNAZIONI!N$8:N$1772,$D18))</f>
        <v/>
      </c>
      <c r="O18" s="46" t="str">
        <f>IF($D18="","",COUNTIF(DESIGNAZIONI!O$8:O$1772,$D18))</f>
        <v/>
      </c>
    </row>
    <row r="19" spans="3:15" x14ac:dyDescent="0.25">
      <c r="C19" s="215"/>
      <c r="D19" s="6"/>
      <c r="E19" s="115"/>
      <c r="L19" s="46" t="str">
        <f t="shared" si="0"/>
        <v/>
      </c>
      <c r="M19" s="46" t="str">
        <f>IF($D19="","",COUNTIF(DESIGNAZIONI!M$8:M$1772,$D19))</f>
        <v/>
      </c>
      <c r="N19" s="46" t="str">
        <f>IF($D19="","",COUNTIF(DESIGNAZIONI!N$8:N$1772,$D19))</f>
        <v/>
      </c>
      <c r="O19" s="46" t="str">
        <f>IF($D19="","",COUNTIF(DESIGNAZIONI!O$8:O$1772,$D19))</f>
        <v/>
      </c>
    </row>
    <row r="20" spans="3:15" x14ac:dyDescent="0.25">
      <c r="C20" s="215"/>
      <c r="D20" s="6"/>
      <c r="E20" s="115"/>
      <c r="L20" s="46" t="str">
        <f t="shared" si="0"/>
        <v/>
      </c>
      <c r="M20" s="46" t="str">
        <f>IF($D20="","",COUNTIF(DESIGNAZIONI!M$8:M$1772,$D20))</f>
        <v/>
      </c>
      <c r="N20" s="46" t="str">
        <f>IF($D20="","",COUNTIF(DESIGNAZIONI!N$8:N$1772,$D20))</f>
        <v/>
      </c>
      <c r="O20" s="46" t="str">
        <f>IF($D20="","",COUNTIF(DESIGNAZIONI!O$8:O$1772,$D20))</f>
        <v/>
      </c>
    </row>
    <row r="21" spans="3:15" x14ac:dyDescent="0.25">
      <c r="C21" s="215"/>
      <c r="D21" s="6"/>
      <c r="E21" s="115"/>
      <c r="L21" s="46" t="str">
        <f t="shared" si="0"/>
        <v/>
      </c>
      <c r="M21" s="46" t="str">
        <f>IF($D21="","",COUNTIF(DESIGNAZIONI!M$8:M$1772,$D21))</f>
        <v/>
      </c>
      <c r="N21" s="46" t="str">
        <f>IF($D21="","",COUNTIF(DESIGNAZIONI!N$8:N$1772,$D21))</f>
        <v/>
      </c>
      <c r="O21" s="46" t="str">
        <f>IF($D21="","",COUNTIF(DESIGNAZIONI!O$8:O$1772,$D21))</f>
        <v/>
      </c>
    </row>
    <row r="22" spans="3:15" x14ac:dyDescent="0.25">
      <c r="C22" s="215"/>
      <c r="D22" s="6"/>
      <c r="E22" s="115"/>
      <c r="L22" s="46" t="str">
        <f t="shared" si="0"/>
        <v/>
      </c>
      <c r="M22" s="46" t="str">
        <f>IF($D22="","",COUNTIF(DESIGNAZIONI!M$8:M$1772,$D22))</f>
        <v/>
      </c>
      <c r="N22" s="46" t="str">
        <f>IF($D22="","",COUNTIF(DESIGNAZIONI!N$8:N$1772,$D22))</f>
        <v/>
      </c>
      <c r="O22" s="46" t="str">
        <f>IF($D22="","",COUNTIF(DESIGNAZIONI!O$8:O$1772,$D22))</f>
        <v/>
      </c>
    </row>
    <row r="23" spans="3:15" x14ac:dyDescent="0.25">
      <c r="C23" s="215"/>
      <c r="D23" s="6"/>
      <c r="E23" s="115"/>
      <c r="L23" s="46" t="str">
        <f t="shared" si="0"/>
        <v/>
      </c>
      <c r="M23" s="46" t="str">
        <f>IF($D23="","",COUNTIF(DESIGNAZIONI!M$8:M$1772,$D23))</f>
        <v/>
      </c>
      <c r="N23" s="46" t="str">
        <f>IF($D23="","",COUNTIF(DESIGNAZIONI!N$8:N$1772,$D23))</f>
        <v/>
      </c>
      <c r="O23" s="46" t="str">
        <f>IF($D23="","",COUNTIF(DESIGNAZIONI!O$8:O$1772,$D23))</f>
        <v/>
      </c>
    </row>
    <row r="24" spans="3:15" x14ac:dyDescent="0.25">
      <c r="C24" s="215"/>
      <c r="D24" s="6"/>
      <c r="E24" s="115"/>
      <c r="L24" s="46" t="str">
        <f t="shared" si="0"/>
        <v/>
      </c>
      <c r="M24" s="46" t="str">
        <f>IF($D24="","",COUNTIF(DESIGNAZIONI!M$8:M$1772,$D24))</f>
        <v/>
      </c>
      <c r="N24" s="46" t="str">
        <f>IF($D24="","",COUNTIF(DESIGNAZIONI!N$8:N$1772,$D24))</f>
        <v/>
      </c>
      <c r="O24" s="46" t="str">
        <f>IF($D24="","",COUNTIF(DESIGNAZIONI!O$8:O$1772,$D24))</f>
        <v/>
      </c>
    </row>
    <row r="25" spans="3:15" x14ac:dyDescent="0.25">
      <c r="C25" s="215"/>
      <c r="D25" s="6"/>
      <c r="E25" s="115"/>
      <c r="L25" s="46" t="str">
        <f t="shared" si="0"/>
        <v/>
      </c>
      <c r="M25" s="46" t="str">
        <f>IF($D25="","",COUNTIF(DESIGNAZIONI!M$8:M$1772,$D25))</f>
        <v/>
      </c>
      <c r="N25" s="46" t="str">
        <f>IF($D25="","",COUNTIF(DESIGNAZIONI!N$8:N$1772,$D25))</f>
        <v/>
      </c>
      <c r="O25" s="46" t="str">
        <f>IF($D25="","",COUNTIF(DESIGNAZIONI!O$8:O$1772,$D25))</f>
        <v/>
      </c>
    </row>
    <row r="26" spans="3:15" x14ac:dyDescent="0.25">
      <c r="C26" s="215"/>
      <c r="D26" s="6"/>
      <c r="E26" s="115"/>
      <c r="L26" s="46" t="str">
        <f t="shared" si="0"/>
        <v/>
      </c>
      <c r="M26" s="46" t="str">
        <f>IF($D26="","",COUNTIF(DESIGNAZIONI!M$8:M$1772,$D26))</f>
        <v/>
      </c>
      <c r="N26" s="46" t="str">
        <f>IF($D26="","",COUNTIF(DESIGNAZIONI!N$8:N$1772,$D26))</f>
        <v/>
      </c>
      <c r="O26" s="46" t="str">
        <f>IF($D26="","",COUNTIF(DESIGNAZIONI!O$8:O$1772,$D26))</f>
        <v/>
      </c>
    </row>
    <row r="27" spans="3:15" x14ac:dyDescent="0.25">
      <c r="C27" s="215"/>
      <c r="D27" s="6"/>
      <c r="E27" s="115"/>
      <c r="L27" s="46" t="str">
        <f t="shared" si="0"/>
        <v/>
      </c>
      <c r="M27" s="46" t="str">
        <f>IF($D27="","",COUNTIF(DESIGNAZIONI!M$8:M$1772,$D27))</f>
        <v/>
      </c>
      <c r="N27" s="46" t="str">
        <f>IF($D27="","",COUNTIF(DESIGNAZIONI!N$8:N$1772,$D27))</f>
        <v/>
      </c>
      <c r="O27" s="46" t="str">
        <f>IF($D27="","",COUNTIF(DESIGNAZIONI!O$8:O$1772,$D27))</f>
        <v/>
      </c>
    </row>
    <row r="28" spans="3:15" x14ac:dyDescent="0.25">
      <c r="C28" s="215"/>
      <c r="D28" s="6"/>
      <c r="E28" s="115"/>
      <c r="L28" s="46" t="str">
        <f t="shared" si="0"/>
        <v/>
      </c>
      <c r="M28" s="46" t="str">
        <f>IF($D28="","",COUNTIF(DESIGNAZIONI!M$8:M$1772,$D28))</f>
        <v/>
      </c>
      <c r="N28" s="46" t="str">
        <f>IF($D28="","",COUNTIF(DESIGNAZIONI!N$8:N$1772,$D28))</f>
        <v/>
      </c>
      <c r="O28" s="46" t="str">
        <f>IF($D28="","",COUNTIF(DESIGNAZIONI!O$8:O$1772,$D28))</f>
        <v/>
      </c>
    </row>
    <row r="29" spans="3:15" x14ac:dyDescent="0.25">
      <c r="C29" s="215"/>
      <c r="D29" s="6"/>
      <c r="E29" s="115"/>
      <c r="L29" s="46" t="str">
        <f t="shared" si="0"/>
        <v/>
      </c>
      <c r="M29" s="46" t="str">
        <f>IF($D29="","",COUNTIF(DESIGNAZIONI!M$8:M$1772,$D29))</f>
        <v/>
      </c>
      <c r="N29" s="46" t="str">
        <f>IF($D29="","",COUNTIF(DESIGNAZIONI!N$8:N$1772,$D29))</f>
        <v/>
      </c>
      <c r="O29" s="46" t="str">
        <f>IF($D29="","",COUNTIF(DESIGNAZIONI!O$8:O$1772,$D29))</f>
        <v/>
      </c>
    </row>
    <row r="30" spans="3:15" x14ac:dyDescent="0.25">
      <c r="C30" s="215"/>
      <c r="D30" s="6"/>
      <c r="E30" s="115"/>
      <c r="L30" s="46" t="str">
        <f t="shared" si="0"/>
        <v/>
      </c>
      <c r="M30" s="46" t="str">
        <f>IF($D30="","",COUNTIF(DESIGNAZIONI!M$8:M$1772,$D30))</f>
        <v/>
      </c>
      <c r="N30" s="46" t="str">
        <f>IF($D30="","",COUNTIF(DESIGNAZIONI!N$8:N$1772,$D30))</f>
        <v/>
      </c>
      <c r="O30" s="46" t="str">
        <f>IF($D30="","",COUNTIF(DESIGNAZIONI!O$8:O$1772,$D30))</f>
        <v/>
      </c>
    </row>
    <row r="31" spans="3:15" x14ac:dyDescent="0.25">
      <c r="C31" s="215"/>
      <c r="D31" s="6"/>
      <c r="E31" s="115"/>
      <c r="L31" s="46" t="str">
        <f t="shared" si="0"/>
        <v/>
      </c>
      <c r="M31" s="46" t="str">
        <f>IF($D31="","",COUNTIF(DESIGNAZIONI!M$8:M$1772,$D31))</f>
        <v/>
      </c>
      <c r="N31" s="46" t="str">
        <f>IF($D31="","",COUNTIF(DESIGNAZIONI!N$8:N$1772,$D31))</f>
        <v/>
      </c>
      <c r="O31" s="46" t="str">
        <f>IF($D31="","",COUNTIF(DESIGNAZIONI!O$8:O$1772,$D31))</f>
        <v/>
      </c>
    </row>
    <row r="32" spans="3:15" x14ac:dyDescent="0.25">
      <c r="C32" s="215"/>
      <c r="D32" s="6"/>
      <c r="E32" s="115"/>
      <c r="L32" s="46" t="str">
        <f t="shared" si="0"/>
        <v/>
      </c>
      <c r="M32" s="46" t="str">
        <f>IF($D32="","",COUNTIF(DESIGNAZIONI!M$8:M$1772,$D32))</f>
        <v/>
      </c>
      <c r="N32" s="46" t="str">
        <f>IF($D32="","",COUNTIF(DESIGNAZIONI!N$8:N$1772,$D32))</f>
        <v/>
      </c>
      <c r="O32" s="46" t="str">
        <f>IF($D32="","",COUNTIF(DESIGNAZIONI!O$8:O$1772,$D32))</f>
        <v/>
      </c>
    </row>
    <row r="33" spans="3:15" x14ac:dyDescent="0.25">
      <c r="C33" s="215"/>
      <c r="D33" s="6"/>
      <c r="E33" s="115"/>
      <c r="L33" s="46" t="str">
        <f t="shared" si="0"/>
        <v/>
      </c>
      <c r="M33" s="46" t="str">
        <f>IF($D33="","",COUNTIF(DESIGNAZIONI!M$8:M$1772,$D33))</f>
        <v/>
      </c>
      <c r="N33" s="46" t="str">
        <f>IF($D33="","",COUNTIF(DESIGNAZIONI!N$8:N$1772,$D33))</f>
        <v/>
      </c>
      <c r="O33" s="46" t="str">
        <f>IF($D33="","",COUNTIF(DESIGNAZIONI!O$8:O$1772,$D33))</f>
        <v/>
      </c>
    </row>
    <row r="34" spans="3:15" x14ac:dyDescent="0.25">
      <c r="C34" s="215"/>
      <c r="D34" s="6"/>
      <c r="E34" s="115"/>
      <c r="L34" s="46" t="str">
        <f t="shared" si="0"/>
        <v/>
      </c>
      <c r="M34" s="46" t="str">
        <f>IF($D34="","",COUNTIF(DESIGNAZIONI!M$8:M$1772,$D34))</f>
        <v/>
      </c>
      <c r="N34" s="46" t="str">
        <f>IF($D34="","",COUNTIF(DESIGNAZIONI!N$8:N$1772,$D34))</f>
        <v/>
      </c>
      <c r="O34" s="46" t="str">
        <f>IF($D34="","",COUNTIF(DESIGNAZIONI!O$8:O$1772,$D34))</f>
        <v/>
      </c>
    </row>
    <row r="35" spans="3:15" x14ac:dyDescent="0.25">
      <c r="C35" s="215"/>
      <c r="D35" s="6"/>
      <c r="E35" s="115"/>
      <c r="L35" s="46" t="str">
        <f t="shared" si="0"/>
        <v/>
      </c>
      <c r="M35" s="46" t="str">
        <f>IF($D35="","",COUNTIF(DESIGNAZIONI!M$8:M$1772,$D35))</f>
        <v/>
      </c>
      <c r="N35" s="46" t="str">
        <f>IF($D35="","",COUNTIF(DESIGNAZIONI!N$8:N$1772,$D35))</f>
        <v/>
      </c>
      <c r="O35" s="46" t="str">
        <f>IF($D35="","",COUNTIF(DESIGNAZIONI!O$8:O$1772,$D35))</f>
        <v/>
      </c>
    </row>
    <row r="36" spans="3:15" x14ac:dyDescent="0.25">
      <c r="C36" s="215"/>
      <c r="D36" s="6"/>
      <c r="E36" s="115"/>
      <c r="L36" s="46" t="str">
        <f t="shared" si="0"/>
        <v/>
      </c>
      <c r="M36" s="46" t="str">
        <f>IF($D36="","",COUNTIF(DESIGNAZIONI!M$8:M$1772,$D36))</f>
        <v/>
      </c>
      <c r="N36" s="46" t="str">
        <f>IF($D36="","",COUNTIF(DESIGNAZIONI!N$8:N$1772,$D36))</f>
        <v/>
      </c>
      <c r="O36" s="46" t="str">
        <f>IF($D36="","",COUNTIF(DESIGNAZIONI!O$8:O$1772,$D36))</f>
        <v/>
      </c>
    </row>
    <row r="37" spans="3:15" x14ac:dyDescent="0.25">
      <c r="C37" s="215"/>
      <c r="D37" s="6"/>
      <c r="E37" s="115"/>
      <c r="L37" s="46" t="str">
        <f t="shared" ref="L37:L68" si="1">IF($D37="","",SUM(M37:O37))</f>
        <v/>
      </c>
      <c r="M37" s="46" t="str">
        <f>IF($D37="","",COUNTIF(DESIGNAZIONI!M$8:M$1772,$D37))</f>
        <v/>
      </c>
      <c r="N37" s="46" t="str">
        <f>IF($D37="","",COUNTIF(DESIGNAZIONI!N$8:N$1772,$D37))</f>
        <v/>
      </c>
      <c r="O37" s="46" t="str">
        <f>IF($D37="","",COUNTIF(DESIGNAZIONI!O$8:O$1772,$D37))</f>
        <v/>
      </c>
    </row>
    <row r="38" spans="3:15" x14ac:dyDescent="0.25">
      <c r="C38" s="215"/>
      <c r="D38" s="6"/>
      <c r="E38" s="115"/>
      <c r="L38" s="46" t="str">
        <f t="shared" si="1"/>
        <v/>
      </c>
      <c r="M38" s="46" t="str">
        <f>IF($D38="","",COUNTIF(DESIGNAZIONI!M$8:M$1772,$D38))</f>
        <v/>
      </c>
      <c r="N38" s="46" t="str">
        <f>IF($D38="","",COUNTIF(DESIGNAZIONI!N$8:N$1772,$D38))</f>
        <v/>
      </c>
      <c r="O38" s="46" t="str">
        <f>IF($D38="","",COUNTIF(DESIGNAZIONI!O$8:O$1772,$D38))</f>
        <v/>
      </c>
    </row>
    <row r="39" spans="3:15" x14ac:dyDescent="0.25">
      <c r="C39" s="215"/>
      <c r="D39" s="6"/>
      <c r="E39" s="115"/>
      <c r="L39" s="46" t="str">
        <f t="shared" si="1"/>
        <v/>
      </c>
      <c r="M39" s="46" t="str">
        <f>IF($D39="","",COUNTIF(DESIGNAZIONI!M$8:M$1772,$D39))</f>
        <v/>
      </c>
      <c r="N39" s="46" t="str">
        <f>IF($D39="","",COUNTIF(DESIGNAZIONI!N$8:N$1772,$D39))</f>
        <v/>
      </c>
      <c r="O39" s="46" t="str">
        <f>IF($D39="","",COUNTIF(DESIGNAZIONI!O$8:O$1772,$D39))</f>
        <v/>
      </c>
    </row>
    <row r="40" spans="3:15" x14ac:dyDescent="0.25">
      <c r="C40" s="215"/>
      <c r="D40" s="6"/>
      <c r="E40" s="115"/>
      <c r="L40" s="46" t="str">
        <f t="shared" si="1"/>
        <v/>
      </c>
      <c r="M40" s="46" t="str">
        <f>IF($D40="","",COUNTIF(DESIGNAZIONI!M$8:M$1772,$D40))</f>
        <v/>
      </c>
      <c r="N40" s="46" t="str">
        <f>IF($D40="","",COUNTIF(DESIGNAZIONI!N$8:N$1772,$D40))</f>
        <v/>
      </c>
      <c r="O40" s="46" t="str">
        <f>IF($D40="","",COUNTIF(DESIGNAZIONI!O$8:O$1772,$D40))</f>
        <v/>
      </c>
    </row>
    <row r="41" spans="3:15" x14ac:dyDescent="0.25">
      <c r="C41" s="215"/>
      <c r="D41" s="6"/>
      <c r="E41" s="115"/>
      <c r="L41" s="46" t="str">
        <f t="shared" si="1"/>
        <v/>
      </c>
      <c r="M41" s="46" t="str">
        <f>IF($D41="","",COUNTIF(DESIGNAZIONI!M$8:M$1772,$D41))</f>
        <v/>
      </c>
      <c r="N41" s="46" t="str">
        <f>IF($D41="","",COUNTIF(DESIGNAZIONI!N$8:N$1772,$D41))</f>
        <v/>
      </c>
      <c r="O41" s="46" t="str">
        <f>IF($D41="","",COUNTIF(DESIGNAZIONI!O$8:O$1772,$D41))</f>
        <v/>
      </c>
    </row>
    <row r="42" spans="3:15" x14ac:dyDescent="0.25">
      <c r="C42" s="215"/>
      <c r="D42" s="6"/>
      <c r="E42" s="115"/>
      <c r="L42" s="46" t="str">
        <f t="shared" si="1"/>
        <v/>
      </c>
      <c r="M42" s="46" t="str">
        <f>IF($D42="","",COUNTIF(DESIGNAZIONI!M$8:M$1772,$D42))</f>
        <v/>
      </c>
      <c r="N42" s="46" t="str">
        <f>IF($D42="","",COUNTIF(DESIGNAZIONI!N$8:N$1772,$D42))</f>
        <v/>
      </c>
      <c r="O42" s="46" t="str">
        <f>IF($D42="","",COUNTIF(DESIGNAZIONI!O$8:O$1772,$D42))</f>
        <v/>
      </c>
    </row>
    <row r="43" spans="3:15" x14ac:dyDescent="0.25">
      <c r="C43" s="215"/>
      <c r="D43" s="6"/>
      <c r="E43" s="115"/>
      <c r="L43" s="46" t="str">
        <f t="shared" si="1"/>
        <v/>
      </c>
      <c r="M43" s="46" t="str">
        <f>IF($D43="","",COUNTIF(DESIGNAZIONI!M$8:M$1772,$D43))</f>
        <v/>
      </c>
      <c r="N43" s="46" t="str">
        <f>IF($D43="","",COUNTIF(DESIGNAZIONI!N$8:N$1772,$D43))</f>
        <v/>
      </c>
      <c r="O43" s="46" t="str">
        <f>IF($D43="","",COUNTIF(DESIGNAZIONI!O$8:O$1772,$D43))</f>
        <v/>
      </c>
    </row>
    <row r="44" spans="3:15" x14ac:dyDescent="0.25">
      <c r="C44" s="215"/>
      <c r="D44" s="6"/>
      <c r="E44" s="115"/>
      <c r="L44" s="46" t="str">
        <f t="shared" si="1"/>
        <v/>
      </c>
      <c r="M44" s="46" t="str">
        <f>IF($D44="","",COUNTIF(DESIGNAZIONI!M$8:M$1772,$D44))</f>
        <v/>
      </c>
      <c r="N44" s="46" t="str">
        <f>IF($D44="","",COUNTIF(DESIGNAZIONI!N$8:N$1772,$D44))</f>
        <v/>
      </c>
      <c r="O44" s="46" t="str">
        <f>IF($D44="","",COUNTIF(DESIGNAZIONI!O$8:O$1772,$D44))</f>
        <v/>
      </c>
    </row>
    <row r="45" spans="3:15" x14ac:dyDescent="0.25">
      <c r="C45" s="215"/>
      <c r="D45" s="6"/>
      <c r="E45" s="115"/>
      <c r="L45" s="46" t="str">
        <f t="shared" si="1"/>
        <v/>
      </c>
      <c r="M45" s="46" t="str">
        <f>IF($D45="","",COUNTIF(DESIGNAZIONI!M$8:M$1772,$D45))</f>
        <v/>
      </c>
      <c r="N45" s="46" t="str">
        <f>IF($D45="","",COUNTIF(DESIGNAZIONI!N$8:N$1772,$D45))</f>
        <v/>
      </c>
      <c r="O45" s="46" t="str">
        <f>IF($D45="","",COUNTIF(DESIGNAZIONI!O$8:O$1772,$D45))</f>
        <v/>
      </c>
    </row>
    <row r="46" spans="3:15" x14ac:dyDescent="0.25">
      <c r="C46" s="215"/>
      <c r="D46" s="6"/>
      <c r="E46" s="115"/>
      <c r="L46" s="46" t="str">
        <f t="shared" si="1"/>
        <v/>
      </c>
      <c r="M46" s="46" t="str">
        <f>IF($D46="","",COUNTIF(DESIGNAZIONI!M$8:M$1772,$D46))</f>
        <v/>
      </c>
      <c r="N46" s="46" t="str">
        <f>IF($D46="","",COUNTIF(DESIGNAZIONI!N$8:N$1772,$D46))</f>
        <v/>
      </c>
      <c r="O46" s="46" t="str">
        <f>IF($D46="","",COUNTIF(DESIGNAZIONI!O$8:O$1772,$D46))</f>
        <v/>
      </c>
    </row>
    <row r="47" spans="3:15" x14ac:dyDescent="0.25">
      <c r="C47" s="215"/>
      <c r="D47" s="6"/>
      <c r="E47" s="115"/>
      <c r="L47" s="46" t="str">
        <f t="shared" si="1"/>
        <v/>
      </c>
      <c r="M47" s="46" t="str">
        <f>IF($D47="","",COUNTIF(DESIGNAZIONI!M$8:M$1772,$D47))</f>
        <v/>
      </c>
      <c r="N47" s="46" t="str">
        <f>IF($D47="","",COUNTIF(DESIGNAZIONI!N$8:N$1772,$D47))</f>
        <v/>
      </c>
      <c r="O47" s="46" t="str">
        <f>IF($D47="","",COUNTIF(DESIGNAZIONI!O$8:O$1772,$D47))</f>
        <v/>
      </c>
    </row>
    <row r="48" spans="3:15" x14ac:dyDescent="0.25">
      <c r="C48" s="215"/>
      <c r="D48" s="6"/>
      <c r="E48" s="115"/>
      <c r="L48" s="46" t="str">
        <f t="shared" si="1"/>
        <v/>
      </c>
      <c r="M48" s="46" t="str">
        <f>IF($D48="","",COUNTIF(DESIGNAZIONI!M$8:M$1772,$D48))</f>
        <v/>
      </c>
      <c r="N48" s="46" t="str">
        <f>IF($D48="","",COUNTIF(DESIGNAZIONI!N$8:N$1772,$D48))</f>
        <v/>
      </c>
      <c r="O48" s="46" t="str">
        <f>IF($D48="","",COUNTIF(DESIGNAZIONI!O$8:O$1772,$D48))</f>
        <v/>
      </c>
    </row>
    <row r="49" spans="3:15" x14ac:dyDescent="0.25">
      <c r="C49" s="215"/>
      <c r="D49" s="6"/>
      <c r="E49" s="115"/>
      <c r="L49" s="46" t="str">
        <f t="shared" si="1"/>
        <v/>
      </c>
      <c r="M49" s="46" t="str">
        <f>IF($D49="","",COUNTIF(DESIGNAZIONI!M$8:M$1772,$D49))</f>
        <v/>
      </c>
      <c r="N49" s="46" t="str">
        <f>IF($D49="","",COUNTIF(DESIGNAZIONI!N$8:N$1772,$D49))</f>
        <v/>
      </c>
      <c r="O49" s="46" t="str">
        <f>IF($D49="","",COUNTIF(DESIGNAZIONI!O$8:O$1772,$D49))</f>
        <v/>
      </c>
    </row>
    <row r="50" spans="3:15" x14ac:dyDescent="0.25">
      <c r="C50" s="215"/>
      <c r="D50" s="6"/>
      <c r="E50" s="115"/>
      <c r="L50" s="46" t="str">
        <f t="shared" si="1"/>
        <v/>
      </c>
      <c r="M50" s="46" t="str">
        <f>IF($D50="","",COUNTIF(DESIGNAZIONI!M$8:M$1772,$D50))</f>
        <v/>
      </c>
      <c r="N50" s="46" t="str">
        <f>IF($D50="","",COUNTIF(DESIGNAZIONI!N$8:N$1772,$D50))</f>
        <v/>
      </c>
      <c r="O50" s="46" t="str">
        <f>IF($D50="","",COUNTIF(DESIGNAZIONI!O$8:O$1772,$D50))</f>
        <v/>
      </c>
    </row>
    <row r="51" spans="3:15" x14ac:dyDescent="0.25">
      <c r="C51" s="215"/>
      <c r="D51" s="6"/>
      <c r="E51" s="115"/>
      <c r="L51" s="46" t="str">
        <f t="shared" si="1"/>
        <v/>
      </c>
      <c r="M51" s="46" t="str">
        <f>IF($D51="","",COUNTIF(DESIGNAZIONI!M$8:M$1772,$D51))</f>
        <v/>
      </c>
      <c r="N51" s="46" t="str">
        <f>IF($D51="","",COUNTIF(DESIGNAZIONI!N$8:N$1772,$D51))</f>
        <v/>
      </c>
      <c r="O51" s="46" t="str">
        <f>IF($D51="","",COUNTIF(DESIGNAZIONI!O$8:O$1772,$D51))</f>
        <v/>
      </c>
    </row>
    <row r="52" spans="3:15" x14ac:dyDescent="0.25">
      <c r="C52" s="215"/>
      <c r="D52" s="6"/>
      <c r="E52" s="115"/>
      <c r="L52" s="46" t="str">
        <f t="shared" si="1"/>
        <v/>
      </c>
      <c r="M52" s="46" t="str">
        <f>IF($D52="","",COUNTIF(DESIGNAZIONI!M$8:M$1772,$D52))</f>
        <v/>
      </c>
      <c r="N52" s="46" t="str">
        <f>IF($D52="","",COUNTIF(DESIGNAZIONI!N$8:N$1772,$D52))</f>
        <v/>
      </c>
      <c r="O52" s="46" t="str">
        <f>IF($D52="","",COUNTIF(DESIGNAZIONI!O$8:O$1772,$D52))</f>
        <v/>
      </c>
    </row>
    <row r="53" spans="3:15" x14ac:dyDescent="0.25">
      <c r="C53" s="215"/>
      <c r="D53" s="6"/>
      <c r="E53" s="115"/>
      <c r="L53" s="46" t="str">
        <f t="shared" si="1"/>
        <v/>
      </c>
      <c r="M53" s="46" t="str">
        <f>IF($D53="","",COUNTIF(DESIGNAZIONI!M$8:M$1772,$D53))</f>
        <v/>
      </c>
      <c r="N53" s="46" t="str">
        <f>IF($D53="","",COUNTIF(DESIGNAZIONI!N$8:N$1772,$D53))</f>
        <v/>
      </c>
      <c r="O53" s="46" t="str">
        <f>IF($D53="","",COUNTIF(DESIGNAZIONI!O$8:O$1772,$D53))</f>
        <v/>
      </c>
    </row>
    <row r="54" spans="3:15" x14ac:dyDescent="0.25">
      <c r="C54" s="215"/>
      <c r="D54" s="6"/>
      <c r="E54" s="115"/>
      <c r="L54" s="46" t="str">
        <f t="shared" si="1"/>
        <v/>
      </c>
      <c r="M54" s="46" t="str">
        <f>IF($D54="","",COUNTIF(DESIGNAZIONI!M$8:M$1772,$D54))</f>
        <v/>
      </c>
      <c r="N54" s="46" t="str">
        <f>IF($D54="","",COUNTIF(DESIGNAZIONI!N$8:N$1772,$D54))</f>
        <v/>
      </c>
      <c r="O54" s="46" t="str">
        <f>IF($D54="","",COUNTIF(DESIGNAZIONI!O$8:O$1772,$D54))</f>
        <v/>
      </c>
    </row>
    <row r="55" spans="3:15" x14ac:dyDescent="0.25">
      <c r="C55" s="215"/>
      <c r="D55" s="6"/>
      <c r="E55" s="115"/>
      <c r="L55" s="46" t="str">
        <f t="shared" si="1"/>
        <v/>
      </c>
      <c r="M55" s="46" t="str">
        <f>IF($D55="","",COUNTIF(DESIGNAZIONI!M$8:M$1772,$D55))</f>
        <v/>
      </c>
      <c r="N55" s="46" t="str">
        <f>IF($D55="","",COUNTIF(DESIGNAZIONI!N$8:N$1772,$D55))</f>
        <v/>
      </c>
      <c r="O55" s="46" t="str">
        <f>IF($D55="","",COUNTIF(DESIGNAZIONI!O$8:O$1772,$D55))</f>
        <v/>
      </c>
    </row>
    <row r="56" spans="3:15" x14ac:dyDescent="0.25">
      <c r="C56" s="215"/>
      <c r="D56" s="6"/>
      <c r="E56" s="115"/>
      <c r="L56" s="46" t="str">
        <f t="shared" si="1"/>
        <v/>
      </c>
      <c r="M56" s="46" t="str">
        <f>IF($D56="","",COUNTIF(DESIGNAZIONI!M$8:M$1772,$D56))</f>
        <v/>
      </c>
      <c r="N56" s="46" t="str">
        <f>IF($D56="","",COUNTIF(DESIGNAZIONI!N$8:N$1772,$D56))</f>
        <v/>
      </c>
      <c r="O56" s="46" t="str">
        <f>IF($D56="","",COUNTIF(DESIGNAZIONI!O$8:O$1772,$D56))</f>
        <v/>
      </c>
    </row>
    <row r="57" spans="3:15" x14ac:dyDescent="0.25">
      <c r="C57" s="215"/>
      <c r="D57" s="6"/>
      <c r="E57" s="115"/>
      <c r="L57" s="46" t="str">
        <f t="shared" si="1"/>
        <v/>
      </c>
      <c r="M57" s="46" t="str">
        <f>IF($D57="","",COUNTIF(DESIGNAZIONI!M$8:M$1772,$D57))</f>
        <v/>
      </c>
      <c r="N57" s="46" t="str">
        <f>IF($D57="","",COUNTIF(DESIGNAZIONI!N$8:N$1772,$D57))</f>
        <v/>
      </c>
      <c r="O57" s="46" t="str">
        <f>IF($D57="","",COUNTIF(DESIGNAZIONI!O$8:O$1772,$D57))</f>
        <v/>
      </c>
    </row>
    <row r="58" spans="3:15" x14ac:dyDescent="0.25">
      <c r="C58" s="215"/>
      <c r="D58" s="6"/>
      <c r="E58" s="115"/>
      <c r="L58" s="46" t="str">
        <f t="shared" si="1"/>
        <v/>
      </c>
      <c r="M58" s="46" t="str">
        <f>IF($D58="","",COUNTIF(DESIGNAZIONI!M$8:M$1772,$D58))</f>
        <v/>
      </c>
      <c r="N58" s="46" t="str">
        <f>IF($D58="","",COUNTIF(DESIGNAZIONI!N$8:N$1772,$D58))</f>
        <v/>
      </c>
      <c r="O58" s="46" t="str">
        <f>IF($D58="","",COUNTIF(DESIGNAZIONI!O$8:O$1772,$D58))</f>
        <v/>
      </c>
    </row>
    <row r="59" spans="3:15" x14ac:dyDescent="0.25">
      <c r="C59" s="215"/>
      <c r="D59" s="6"/>
      <c r="E59" s="115"/>
      <c r="L59" s="46" t="str">
        <f t="shared" si="1"/>
        <v/>
      </c>
      <c r="M59" s="46" t="str">
        <f>IF($D59="","",COUNTIF(DESIGNAZIONI!M$8:M$1772,$D59))</f>
        <v/>
      </c>
      <c r="N59" s="46" t="str">
        <f>IF($D59="","",COUNTIF(DESIGNAZIONI!N$8:N$1772,$D59))</f>
        <v/>
      </c>
      <c r="O59" s="46" t="str">
        <f>IF($D59="","",COUNTIF(DESIGNAZIONI!O$8:O$1772,$D59))</f>
        <v/>
      </c>
    </row>
    <row r="60" spans="3:15" x14ac:dyDescent="0.25">
      <c r="C60" s="215"/>
      <c r="D60" s="6"/>
      <c r="E60" s="115"/>
      <c r="L60" s="46" t="str">
        <f t="shared" si="1"/>
        <v/>
      </c>
      <c r="M60" s="46" t="str">
        <f>IF($D60="","",COUNTIF(DESIGNAZIONI!M$8:M$1772,$D60))</f>
        <v/>
      </c>
      <c r="N60" s="46" t="str">
        <f>IF($D60="","",COUNTIF(DESIGNAZIONI!N$8:N$1772,$D60))</f>
        <v/>
      </c>
      <c r="O60" s="46" t="str">
        <f>IF($D60="","",COUNTIF(DESIGNAZIONI!O$8:O$1772,$D60))</f>
        <v/>
      </c>
    </row>
    <row r="61" spans="3:15" x14ac:dyDescent="0.25">
      <c r="C61" s="215"/>
      <c r="D61" s="6"/>
      <c r="E61" s="115"/>
      <c r="L61" s="46" t="str">
        <f t="shared" si="1"/>
        <v/>
      </c>
      <c r="M61" s="46" t="str">
        <f>IF($D61="","",COUNTIF(DESIGNAZIONI!M$8:M$1772,$D61))</f>
        <v/>
      </c>
      <c r="N61" s="46" t="str">
        <f>IF($D61="","",COUNTIF(DESIGNAZIONI!N$8:N$1772,$D61))</f>
        <v/>
      </c>
      <c r="O61" s="46" t="str">
        <f>IF($D61="","",COUNTIF(DESIGNAZIONI!O$8:O$1772,$D61))</f>
        <v/>
      </c>
    </row>
    <row r="62" spans="3:15" x14ac:dyDescent="0.25">
      <c r="C62" s="215"/>
      <c r="D62" s="6"/>
      <c r="E62" s="115"/>
      <c r="L62" s="46" t="str">
        <f t="shared" si="1"/>
        <v/>
      </c>
      <c r="M62" s="46" t="str">
        <f>IF($D62="","",COUNTIF(DESIGNAZIONI!M$8:M$1772,$D62))</f>
        <v/>
      </c>
      <c r="N62" s="46" t="str">
        <f>IF($D62="","",COUNTIF(DESIGNAZIONI!N$8:N$1772,$D62))</f>
        <v/>
      </c>
      <c r="O62" s="46" t="str">
        <f>IF($D62="","",COUNTIF(DESIGNAZIONI!O$8:O$1772,$D62))</f>
        <v/>
      </c>
    </row>
    <row r="63" spans="3:15" x14ac:dyDescent="0.25">
      <c r="C63" s="215"/>
      <c r="D63" s="6"/>
      <c r="E63" s="115"/>
      <c r="L63" s="46" t="str">
        <f t="shared" si="1"/>
        <v/>
      </c>
      <c r="M63" s="46" t="str">
        <f>IF($D63="","",COUNTIF(DESIGNAZIONI!M$8:M$1772,$D63))</f>
        <v/>
      </c>
      <c r="N63" s="46" t="str">
        <f>IF($D63="","",COUNTIF(DESIGNAZIONI!N$8:N$1772,$D63))</f>
        <v/>
      </c>
      <c r="O63" s="46" t="str">
        <f>IF($D63="","",COUNTIF(DESIGNAZIONI!O$8:O$1772,$D63))</f>
        <v/>
      </c>
    </row>
    <row r="64" spans="3:15" x14ac:dyDescent="0.25">
      <c r="C64" s="215"/>
      <c r="D64" s="6"/>
      <c r="E64" s="115"/>
      <c r="L64" s="46" t="str">
        <f t="shared" si="1"/>
        <v/>
      </c>
      <c r="M64" s="46" t="str">
        <f>IF($D64="","",COUNTIF(DESIGNAZIONI!M$8:M$1772,$D64))</f>
        <v/>
      </c>
      <c r="N64" s="46" t="str">
        <f>IF($D64="","",COUNTIF(DESIGNAZIONI!N$8:N$1772,$D64))</f>
        <v/>
      </c>
      <c r="O64" s="46" t="str">
        <f>IF($D64="","",COUNTIF(DESIGNAZIONI!O$8:O$1772,$D64))</f>
        <v/>
      </c>
    </row>
    <row r="65" spans="3:15" x14ac:dyDescent="0.25">
      <c r="C65" s="215"/>
      <c r="D65" s="6"/>
      <c r="E65" s="115"/>
      <c r="L65" s="46" t="str">
        <f t="shared" si="1"/>
        <v/>
      </c>
      <c r="M65" s="46" t="str">
        <f>IF($D65="","",COUNTIF(DESIGNAZIONI!M$8:M$1772,$D65))</f>
        <v/>
      </c>
      <c r="N65" s="46" t="str">
        <f>IF($D65="","",COUNTIF(DESIGNAZIONI!N$8:N$1772,$D65))</f>
        <v/>
      </c>
      <c r="O65" s="46" t="str">
        <f>IF($D65="","",COUNTIF(DESIGNAZIONI!O$8:O$1772,$D65))</f>
        <v/>
      </c>
    </row>
    <row r="66" spans="3:15" x14ac:dyDescent="0.25">
      <c r="C66" s="215"/>
      <c r="D66" s="6"/>
      <c r="E66" s="115"/>
      <c r="L66" s="46" t="str">
        <f t="shared" si="1"/>
        <v/>
      </c>
      <c r="M66" s="46" t="str">
        <f>IF($D66="","",COUNTIF(DESIGNAZIONI!M$8:M$1772,$D66))</f>
        <v/>
      </c>
      <c r="N66" s="46" t="str">
        <f>IF($D66="","",COUNTIF(DESIGNAZIONI!N$8:N$1772,$D66))</f>
        <v/>
      </c>
      <c r="O66" s="46" t="str">
        <f>IF($D66="","",COUNTIF(DESIGNAZIONI!O$8:O$1772,$D66))</f>
        <v/>
      </c>
    </row>
    <row r="67" spans="3:15" x14ac:dyDescent="0.25">
      <c r="C67" s="215"/>
      <c r="D67" s="6"/>
      <c r="E67" s="115"/>
      <c r="L67" s="46" t="str">
        <f t="shared" si="1"/>
        <v/>
      </c>
      <c r="M67" s="46" t="str">
        <f>IF($D67="","",COUNTIF(DESIGNAZIONI!M$8:M$1772,$D67))</f>
        <v/>
      </c>
      <c r="N67" s="46" t="str">
        <f>IF($D67="","",COUNTIF(DESIGNAZIONI!N$8:N$1772,$D67))</f>
        <v/>
      </c>
      <c r="O67" s="46" t="str">
        <f>IF($D67="","",COUNTIF(DESIGNAZIONI!O$8:O$1772,$D67))</f>
        <v/>
      </c>
    </row>
    <row r="68" spans="3:15" x14ac:dyDescent="0.25">
      <c r="C68" s="215"/>
      <c r="D68" s="6"/>
      <c r="E68" s="115"/>
      <c r="L68" s="46" t="str">
        <f t="shared" si="1"/>
        <v/>
      </c>
      <c r="M68" s="46" t="str">
        <f>IF($D68="","",COUNTIF(DESIGNAZIONI!M$8:M$1772,$D68))</f>
        <v/>
      </c>
      <c r="N68" s="46" t="str">
        <f>IF($D68="","",COUNTIF(DESIGNAZIONI!N$8:N$1772,$D68))</f>
        <v/>
      </c>
      <c r="O68" s="46" t="str">
        <f>IF($D68="","",COUNTIF(DESIGNAZIONI!O$8:O$1772,$D68))</f>
        <v/>
      </c>
    </row>
    <row r="69" spans="3:15" x14ac:dyDescent="0.25">
      <c r="C69" s="215"/>
      <c r="D69" s="6"/>
      <c r="E69" s="115"/>
      <c r="L69" s="46" t="str">
        <f t="shared" ref="L69:L100" si="2">IF($D69="","",SUM(M69:O69))</f>
        <v/>
      </c>
      <c r="M69" s="46" t="str">
        <f>IF($D69="","",COUNTIF(DESIGNAZIONI!M$8:M$1772,$D69))</f>
        <v/>
      </c>
      <c r="N69" s="46" t="str">
        <f>IF($D69="","",COUNTIF(DESIGNAZIONI!N$8:N$1772,$D69))</f>
        <v/>
      </c>
      <c r="O69" s="46" t="str">
        <f>IF($D69="","",COUNTIF(DESIGNAZIONI!O$8:O$1772,$D69))</f>
        <v/>
      </c>
    </row>
    <row r="70" spans="3:15" x14ac:dyDescent="0.25">
      <c r="C70" s="215"/>
      <c r="D70" s="6"/>
      <c r="E70" s="115"/>
      <c r="L70" s="46" t="str">
        <f t="shared" si="2"/>
        <v/>
      </c>
      <c r="M70" s="46" t="str">
        <f>IF($D70="","",COUNTIF(DESIGNAZIONI!M$8:M$1772,$D70))</f>
        <v/>
      </c>
      <c r="N70" s="46" t="str">
        <f>IF($D70="","",COUNTIF(DESIGNAZIONI!N$8:N$1772,$D70))</f>
        <v/>
      </c>
      <c r="O70" s="46" t="str">
        <f>IF($D70="","",COUNTIF(DESIGNAZIONI!O$8:O$1772,$D70))</f>
        <v/>
      </c>
    </row>
    <row r="71" spans="3:15" x14ac:dyDescent="0.25">
      <c r="C71" s="215"/>
      <c r="D71" s="6"/>
      <c r="E71" s="115"/>
      <c r="L71" s="46" t="str">
        <f t="shared" si="2"/>
        <v/>
      </c>
      <c r="M71" s="46" t="str">
        <f>IF($D71="","",COUNTIF(DESIGNAZIONI!M$8:M$1772,$D71))</f>
        <v/>
      </c>
      <c r="N71" s="46" t="str">
        <f>IF($D71="","",COUNTIF(DESIGNAZIONI!N$8:N$1772,$D71))</f>
        <v/>
      </c>
      <c r="O71" s="46" t="str">
        <f>IF($D71="","",COUNTIF(DESIGNAZIONI!O$8:O$1772,$D71))</f>
        <v/>
      </c>
    </row>
    <row r="72" spans="3:15" x14ac:dyDescent="0.25">
      <c r="C72" s="215"/>
      <c r="D72" s="6"/>
      <c r="E72" s="115"/>
      <c r="L72" s="46" t="str">
        <f t="shared" si="2"/>
        <v/>
      </c>
      <c r="M72" s="46" t="str">
        <f>IF($D72="","",COUNTIF(DESIGNAZIONI!M$8:M$1772,$D72))</f>
        <v/>
      </c>
      <c r="N72" s="46" t="str">
        <f>IF($D72="","",COUNTIF(DESIGNAZIONI!N$8:N$1772,$D72))</f>
        <v/>
      </c>
      <c r="O72" s="46" t="str">
        <f>IF($D72="","",COUNTIF(DESIGNAZIONI!O$8:O$1772,$D72))</f>
        <v/>
      </c>
    </row>
    <row r="73" spans="3:15" x14ac:dyDescent="0.25">
      <c r="C73" s="215"/>
      <c r="D73" s="6"/>
      <c r="E73" s="115"/>
      <c r="L73" s="46" t="str">
        <f t="shared" si="2"/>
        <v/>
      </c>
      <c r="M73" s="46" t="str">
        <f>IF($D73="","",COUNTIF(DESIGNAZIONI!M$8:M$1772,$D73))</f>
        <v/>
      </c>
      <c r="N73" s="46" t="str">
        <f>IF($D73="","",COUNTIF(DESIGNAZIONI!N$8:N$1772,$D73))</f>
        <v/>
      </c>
      <c r="O73" s="46" t="str">
        <f>IF($D73="","",COUNTIF(DESIGNAZIONI!O$8:O$1772,$D73))</f>
        <v/>
      </c>
    </row>
    <row r="74" spans="3:15" x14ac:dyDescent="0.25">
      <c r="C74" s="215"/>
      <c r="D74" s="6"/>
      <c r="E74" s="115"/>
      <c r="L74" s="46" t="str">
        <f t="shared" si="2"/>
        <v/>
      </c>
      <c r="M74" s="46" t="str">
        <f>IF($D74="","",COUNTIF(DESIGNAZIONI!M$8:M$1772,$D74))</f>
        <v/>
      </c>
      <c r="N74" s="46" t="str">
        <f>IF($D74="","",COUNTIF(DESIGNAZIONI!N$8:N$1772,$D74))</f>
        <v/>
      </c>
      <c r="O74" s="46" t="str">
        <f>IF($D74="","",COUNTIF(DESIGNAZIONI!O$8:O$1772,$D74))</f>
        <v/>
      </c>
    </row>
    <row r="75" spans="3:15" x14ac:dyDescent="0.25">
      <c r="C75" s="215"/>
      <c r="D75" s="6"/>
      <c r="E75" s="115"/>
      <c r="L75" s="46" t="str">
        <f t="shared" si="2"/>
        <v/>
      </c>
      <c r="M75" s="46" t="str">
        <f>IF($D75="","",COUNTIF(DESIGNAZIONI!M$8:M$1772,$D75))</f>
        <v/>
      </c>
      <c r="N75" s="46" t="str">
        <f>IF($D75="","",COUNTIF(DESIGNAZIONI!N$8:N$1772,$D75))</f>
        <v/>
      </c>
      <c r="O75" s="46" t="str">
        <f>IF($D75="","",COUNTIF(DESIGNAZIONI!O$8:O$1772,$D75))</f>
        <v/>
      </c>
    </row>
    <row r="76" spans="3:15" x14ac:dyDescent="0.25">
      <c r="C76" s="215"/>
      <c r="D76" s="6"/>
      <c r="E76" s="115"/>
      <c r="L76" s="46" t="str">
        <f t="shared" si="2"/>
        <v/>
      </c>
      <c r="M76" s="46" t="str">
        <f>IF($D76="","",COUNTIF(DESIGNAZIONI!M$8:M$1772,$D76))</f>
        <v/>
      </c>
      <c r="N76" s="46" t="str">
        <f>IF($D76="","",COUNTIF(DESIGNAZIONI!N$8:N$1772,$D76))</f>
        <v/>
      </c>
      <c r="O76" s="46" t="str">
        <f>IF($D76="","",COUNTIF(DESIGNAZIONI!O$8:O$1772,$D76))</f>
        <v/>
      </c>
    </row>
    <row r="77" spans="3:15" x14ac:dyDescent="0.25">
      <c r="C77" s="215"/>
      <c r="D77" s="6"/>
      <c r="E77" s="115"/>
      <c r="L77" s="46" t="str">
        <f t="shared" si="2"/>
        <v/>
      </c>
      <c r="M77" s="46" t="str">
        <f>IF($D77="","",COUNTIF(DESIGNAZIONI!M$8:M$1772,$D77))</f>
        <v/>
      </c>
      <c r="N77" s="46" t="str">
        <f>IF($D77="","",COUNTIF(DESIGNAZIONI!N$8:N$1772,$D77))</f>
        <v/>
      </c>
      <c r="O77" s="46" t="str">
        <f>IF($D77="","",COUNTIF(DESIGNAZIONI!O$8:O$1772,$D77))</f>
        <v/>
      </c>
    </row>
    <row r="78" spans="3:15" x14ac:dyDescent="0.25">
      <c r="C78" s="215"/>
      <c r="D78" s="6"/>
      <c r="E78" s="115"/>
      <c r="L78" s="46" t="str">
        <f t="shared" si="2"/>
        <v/>
      </c>
      <c r="M78" s="46" t="str">
        <f>IF($D78="","",COUNTIF(DESIGNAZIONI!M$8:M$1772,$D78))</f>
        <v/>
      </c>
      <c r="N78" s="46" t="str">
        <f>IF($D78="","",COUNTIF(DESIGNAZIONI!N$8:N$1772,$D78))</f>
        <v/>
      </c>
      <c r="O78" s="46" t="str">
        <f>IF($D78="","",COUNTIF(DESIGNAZIONI!O$8:O$1772,$D78))</f>
        <v/>
      </c>
    </row>
    <row r="79" spans="3:15" x14ac:dyDescent="0.25">
      <c r="C79" s="215"/>
      <c r="D79" s="6"/>
      <c r="E79" s="115"/>
      <c r="L79" s="46" t="str">
        <f t="shared" si="2"/>
        <v/>
      </c>
      <c r="M79" s="46" t="str">
        <f>IF($D79="","",COUNTIF(DESIGNAZIONI!M$8:M$1772,$D79))</f>
        <v/>
      </c>
      <c r="N79" s="46" t="str">
        <f>IF($D79="","",COUNTIF(DESIGNAZIONI!N$8:N$1772,$D79))</f>
        <v/>
      </c>
      <c r="O79" s="46" t="str">
        <f>IF($D79="","",COUNTIF(DESIGNAZIONI!O$8:O$1772,$D79))</f>
        <v/>
      </c>
    </row>
    <row r="80" spans="3:15" x14ac:dyDescent="0.25">
      <c r="C80" s="215"/>
      <c r="D80" s="6"/>
      <c r="E80" s="115"/>
      <c r="L80" s="46" t="str">
        <f t="shared" si="2"/>
        <v/>
      </c>
      <c r="M80" s="46" t="str">
        <f>IF($D80="","",COUNTIF(DESIGNAZIONI!M$8:M$1772,$D80))</f>
        <v/>
      </c>
      <c r="N80" s="46" t="str">
        <f>IF($D80="","",COUNTIF(DESIGNAZIONI!N$8:N$1772,$D80))</f>
        <v/>
      </c>
      <c r="O80" s="46" t="str">
        <f>IF($D80="","",COUNTIF(DESIGNAZIONI!O$8:O$1772,$D80))</f>
        <v/>
      </c>
    </row>
    <row r="81" spans="3:15" x14ac:dyDescent="0.25">
      <c r="C81" s="215"/>
      <c r="D81" s="6"/>
      <c r="E81" s="115"/>
      <c r="L81" s="46" t="str">
        <f t="shared" si="2"/>
        <v/>
      </c>
      <c r="M81" s="46" t="str">
        <f>IF($D81="","",COUNTIF(DESIGNAZIONI!M$8:M$1772,$D81))</f>
        <v/>
      </c>
      <c r="N81" s="46" t="str">
        <f>IF($D81="","",COUNTIF(DESIGNAZIONI!N$8:N$1772,$D81))</f>
        <v/>
      </c>
      <c r="O81" s="46" t="str">
        <f>IF($D81="","",COUNTIF(DESIGNAZIONI!O$8:O$1772,$D81))</f>
        <v/>
      </c>
    </row>
    <row r="82" spans="3:15" x14ac:dyDescent="0.25">
      <c r="C82" s="215"/>
      <c r="D82" s="6"/>
      <c r="E82" s="115"/>
      <c r="L82" s="46" t="str">
        <f t="shared" si="2"/>
        <v/>
      </c>
      <c r="M82" s="46" t="str">
        <f>IF($D82="","",COUNTIF(DESIGNAZIONI!M$8:M$1772,$D82))</f>
        <v/>
      </c>
      <c r="N82" s="46" t="str">
        <f>IF($D82="","",COUNTIF(DESIGNAZIONI!N$8:N$1772,$D82))</f>
        <v/>
      </c>
      <c r="O82" s="46" t="str">
        <f>IF($D82="","",COUNTIF(DESIGNAZIONI!O$8:O$1772,$D82))</f>
        <v/>
      </c>
    </row>
    <row r="83" spans="3:15" x14ac:dyDescent="0.25">
      <c r="C83" s="215"/>
      <c r="D83" s="6"/>
      <c r="E83" s="115"/>
      <c r="L83" s="46" t="str">
        <f t="shared" si="2"/>
        <v/>
      </c>
      <c r="M83" s="46" t="str">
        <f>IF($D83="","",COUNTIF(DESIGNAZIONI!M$8:M$1772,$D83))</f>
        <v/>
      </c>
      <c r="N83" s="46" t="str">
        <f>IF($D83="","",COUNTIF(DESIGNAZIONI!N$8:N$1772,$D83))</f>
        <v/>
      </c>
      <c r="O83" s="46" t="str">
        <f>IF($D83="","",COUNTIF(DESIGNAZIONI!O$8:O$1772,$D83))</f>
        <v/>
      </c>
    </row>
    <row r="84" spans="3:15" x14ac:dyDescent="0.25">
      <c r="C84" s="215"/>
      <c r="D84" s="6"/>
      <c r="E84" s="115"/>
      <c r="L84" s="46" t="str">
        <f t="shared" si="2"/>
        <v/>
      </c>
      <c r="M84" s="46" t="str">
        <f>IF($D84="","",COUNTIF(DESIGNAZIONI!M$8:M$1772,$D84))</f>
        <v/>
      </c>
      <c r="N84" s="46" t="str">
        <f>IF($D84="","",COUNTIF(DESIGNAZIONI!N$8:N$1772,$D84))</f>
        <v/>
      </c>
      <c r="O84" s="46" t="str">
        <f>IF($D84="","",COUNTIF(DESIGNAZIONI!O$8:O$1772,$D84))</f>
        <v/>
      </c>
    </row>
    <row r="85" spans="3:15" x14ac:dyDescent="0.25">
      <c r="C85" s="215"/>
      <c r="D85" s="6"/>
      <c r="E85" s="115"/>
      <c r="L85" s="46" t="str">
        <f t="shared" si="2"/>
        <v/>
      </c>
      <c r="M85" s="46" t="str">
        <f>IF($D85="","",COUNTIF(DESIGNAZIONI!M$8:M$1772,$D85))</f>
        <v/>
      </c>
      <c r="N85" s="46" t="str">
        <f>IF($D85="","",COUNTIF(DESIGNAZIONI!N$8:N$1772,$D85))</f>
        <v/>
      </c>
      <c r="O85" s="46" t="str">
        <f>IF($D85="","",COUNTIF(DESIGNAZIONI!O$8:O$1772,$D85))</f>
        <v/>
      </c>
    </row>
    <row r="86" spans="3:15" x14ac:dyDescent="0.25">
      <c r="C86" s="215"/>
      <c r="D86" s="6"/>
      <c r="E86" s="115"/>
      <c r="L86" s="46" t="str">
        <f t="shared" si="2"/>
        <v/>
      </c>
      <c r="M86" s="46" t="str">
        <f>IF($D86="","",COUNTIF(DESIGNAZIONI!M$8:M$1772,$D86))</f>
        <v/>
      </c>
      <c r="N86" s="46" t="str">
        <f>IF($D86="","",COUNTIF(DESIGNAZIONI!N$8:N$1772,$D86))</f>
        <v/>
      </c>
      <c r="O86" s="46" t="str">
        <f>IF($D86="","",COUNTIF(DESIGNAZIONI!O$8:O$1772,$D86))</f>
        <v/>
      </c>
    </row>
    <row r="87" spans="3:15" x14ac:dyDescent="0.25">
      <c r="C87" s="215"/>
      <c r="D87" s="6"/>
      <c r="E87" s="115"/>
      <c r="L87" s="46" t="str">
        <f t="shared" si="2"/>
        <v/>
      </c>
      <c r="M87" s="46" t="str">
        <f>IF($D87="","",COUNTIF(DESIGNAZIONI!M$8:M$1772,$D87))</f>
        <v/>
      </c>
      <c r="N87" s="46" t="str">
        <f>IF($D87="","",COUNTIF(DESIGNAZIONI!N$8:N$1772,$D87))</f>
        <v/>
      </c>
      <c r="O87" s="46" t="str">
        <f>IF($D87="","",COUNTIF(DESIGNAZIONI!O$8:O$1772,$D87))</f>
        <v/>
      </c>
    </row>
    <row r="88" spans="3:15" x14ac:dyDescent="0.25">
      <c r="C88" s="215"/>
      <c r="D88" s="6"/>
      <c r="E88" s="115"/>
      <c r="L88" s="46" t="str">
        <f t="shared" si="2"/>
        <v/>
      </c>
      <c r="M88" s="46" t="str">
        <f>IF($D88="","",COUNTIF(DESIGNAZIONI!M$8:M$1772,$D88))</f>
        <v/>
      </c>
      <c r="N88" s="46" t="str">
        <f>IF($D88="","",COUNTIF(DESIGNAZIONI!N$8:N$1772,$D88))</f>
        <v/>
      </c>
      <c r="O88" s="46" t="str">
        <f>IF($D88="","",COUNTIF(DESIGNAZIONI!O$8:O$1772,$D88))</f>
        <v/>
      </c>
    </row>
    <row r="89" spans="3:15" x14ac:dyDescent="0.25">
      <c r="C89" s="215"/>
      <c r="D89" s="6"/>
      <c r="E89" s="115"/>
      <c r="L89" s="46" t="str">
        <f t="shared" si="2"/>
        <v/>
      </c>
      <c r="M89" s="46" t="str">
        <f>IF($D89="","",COUNTIF(DESIGNAZIONI!M$8:M$1772,$D89))</f>
        <v/>
      </c>
      <c r="N89" s="46" t="str">
        <f>IF($D89="","",COUNTIF(DESIGNAZIONI!N$8:N$1772,$D89))</f>
        <v/>
      </c>
      <c r="O89" s="46" t="str">
        <f>IF($D89="","",COUNTIF(DESIGNAZIONI!O$8:O$1772,$D89))</f>
        <v/>
      </c>
    </row>
    <row r="90" spans="3:15" x14ac:dyDescent="0.25">
      <c r="C90" s="215"/>
      <c r="D90" s="6"/>
      <c r="E90" s="115"/>
      <c r="L90" s="46" t="str">
        <f t="shared" si="2"/>
        <v/>
      </c>
      <c r="M90" s="46" t="str">
        <f>IF($D90="","",COUNTIF(DESIGNAZIONI!M$8:M$1772,$D90))</f>
        <v/>
      </c>
      <c r="N90" s="46" t="str">
        <f>IF($D90="","",COUNTIF(DESIGNAZIONI!N$8:N$1772,$D90))</f>
        <v/>
      </c>
      <c r="O90" s="46" t="str">
        <f>IF($D90="","",COUNTIF(DESIGNAZIONI!O$8:O$1772,$D90))</f>
        <v/>
      </c>
    </row>
    <row r="91" spans="3:15" x14ac:dyDescent="0.25">
      <c r="C91" s="215"/>
      <c r="D91" s="6"/>
      <c r="E91" s="115"/>
      <c r="L91" s="46" t="str">
        <f t="shared" si="2"/>
        <v/>
      </c>
      <c r="M91" s="46" t="str">
        <f>IF($D91="","",COUNTIF(DESIGNAZIONI!M$8:M$1772,$D91))</f>
        <v/>
      </c>
      <c r="N91" s="46" t="str">
        <f>IF($D91="","",COUNTIF(DESIGNAZIONI!N$8:N$1772,$D91))</f>
        <v/>
      </c>
      <c r="O91" s="46" t="str">
        <f>IF($D91="","",COUNTIF(DESIGNAZIONI!O$8:O$1772,$D91))</f>
        <v/>
      </c>
    </row>
    <row r="92" spans="3:15" x14ac:dyDescent="0.25">
      <c r="C92" s="215"/>
      <c r="D92" s="6"/>
      <c r="E92" s="115"/>
      <c r="L92" s="46" t="str">
        <f t="shared" si="2"/>
        <v/>
      </c>
      <c r="M92" s="46" t="str">
        <f>IF($D92="","",COUNTIF(DESIGNAZIONI!M$8:M$1772,$D92))</f>
        <v/>
      </c>
      <c r="N92" s="46" t="str">
        <f>IF($D92="","",COUNTIF(DESIGNAZIONI!N$8:N$1772,$D92))</f>
        <v/>
      </c>
      <c r="O92" s="46" t="str">
        <f>IF($D92="","",COUNTIF(DESIGNAZIONI!O$8:O$1772,$D92))</f>
        <v/>
      </c>
    </row>
    <row r="93" spans="3:15" x14ac:dyDescent="0.25">
      <c r="C93" s="215"/>
      <c r="D93" s="6"/>
      <c r="E93" s="115"/>
      <c r="L93" s="46" t="str">
        <f t="shared" si="2"/>
        <v/>
      </c>
      <c r="M93" s="46" t="str">
        <f>IF($D93="","",COUNTIF(DESIGNAZIONI!M$8:M$1772,$D93))</f>
        <v/>
      </c>
      <c r="N93" s="46" t="str">
        <f>IF($D93="","",COUNTIF(DESIGNAZIONI!N$8:N$1772,$D93))</f>
        <v/>
      </c>
      <c r="O93" s="46" t="str">
        <f>IF($D93="","",COUNTIF(DESIGNAZIONI!O$8:O$1772,$D93))</f>
        <v/>
      </c>
    </row>
    <row r="94" spans="3:15" x14ac:dyDescent="0.25">
      <c r="C94" s="215"/>
      <c r="D94" s="6"/>
      <c r="E94" s="115"/>
      <c r="L94" s="46" t="str">
        <f t="shared" si="2"/>
        <v/>
      </c>
      <c r="M94" s="46" t="str">
        <f>IF($D94="","",COUNTIF(DESIGNAZIONI!M$8:M$1772,$D94))</f>
        <v/>
      </c>
      <c r="N94" s="46" t="str">
        <f>IF($D94="","",COUNTIF(DESIGNAZIONI!N$8:N$1772,$D94))</f>
        <v/>
      </c>
      <c r="O94" s="46" t="str">
        <f>IF($D94="","",COUNTIF(DESIGNAZIONI!O$8:O$1772,$D94))</f>
        <v/>
      </c>
    </row>
    <row r="95" spans="3:15" x14ac:dyDescent="0.25">
      <c r="C95" s="215"/>
      <c r="D95" s="6"/>
      <c r="E95" s="115"/>
      <c r="L95" s="46" t="str">
        <f t="shared" si="2"/>
        <v/>
      </c>
      <c r="M95" s="46" t="str">
        <f>IF($D95="","",COUNTIF(DESIGNAZIONI!M$8:M$1772,$D95))</f>
        <v/>
      </c>
      <c r="N95" s="46" t="str">
        <f>IF($D95="","",COUNTIF(DESIGNAZIONI!N$8:N$1772,$D95))</f>
        <v/>
      </c>
      <c r="O95" s="46" t="str">
        <f>IF($D95="","",COUNTIF(DESIGNAZIONI!O$8:O$1772,$D95))</f>
        <v/>
      </c>
    </row>
    <row r="96" spans="3:15" x14ac:dyDescent="0.25">
      <c r="C96" s="215"/>
      <c r="D96" s="6"/>
      <c r="E96" s="115"/>
      <c r="L96" s="46" t="str">
        <f t="shared" si="2"/>
        <v/>
      </c>
      <c r="M96" s="46" t="str">
        <f>IF($D96="","",COUNTIF(DESIGNAZIONI!M$8:M$1772,$D96))</f>
        <v/>
      </c>
      <c r="N96" s="46" t="str">
        <f>IF($D96="","",COUNTIF(DESIGNAZIONI!N$8:N$1772,$D96))</f>
        <v/>
      </c>
      <c r="O96" s="46" t="str">
        <f>IF($D96="","",COUNTIF(DESIGNAZIONI!O$8:O$1772,$D96))</f>
        <v/>
      </c>
    </row>
    <row r="97" spans="3:15" x14ac:dyDescent="0.25">
      <c r="C97" s="215"/>
      <c r="D97" s="6"/>
      <c r="E97" s="115"/>
      <c r="L97" s="46" t="str">
        <f t="shared" si="2"/>
        <v/>
      </c>
      <c r="M97" s="46" t="str">
        <f>IF($D97="","",COUNTIF(DESIGNAZIONI!M$8:M$1772,$D97))</f>
        <v/>
      </c>
      <c r="N97" s="46" t="str">
        <f>IF($D97="","",COUNTIF(DESIGNAZIONI!N$8:N$1772,$D97))</f>
        <v/>
      </c>
      <c r="O97" s="46" t="str">
        <f>IF($D97="","",COUNTIF(DESIGNAZIONI!O$8:O$1772,$D97))</f>
        <v/>
      </c>
    </row>
    <row r="98" spans="3:15" x14ac:dyDescent="0.25">
      <c r="C98" s="215"/>
      <c r="D98" s="6"/>
      <c r="E98" s="115"/>
      <c r="L98" s="46" t="str">
        <f t="shared" si="2"/>
        <v/>
      </c>
      <c r="M98" s="46" t="str">
        <f>IF($D98="","",COUNTIF(DESIGNAZIONI!M$8:M$1772,$D98))</f>
        <v/>
      </c>
      <c r="N98" s="46" t="str">
        <f>IF($D98="","",COUNTIF(DESIGNAZIONI!N$8:N$1772,$D98))</f>
        <v/>
      </c>
      <c r="O98" s="46" t="str">
        <f>IF($D98="","",COUNTIF(DESIGNAZIONI!O$8:O$1772,$D98))</f>
        <v/>
      </c>
    </row>
    <row r="99" spans="3:15" x14ac:dyDescent="0.25">
      <c r="C99" s="215"/>
      <c r="D99" s="6"/>
      <c r="E99" s="115"/>
      <c r="L99" s="46" t="str">
        <f t="shared" si="2"/>
        <v/>
      </c>
      <c r="M99" s="46" t="str">
        <f>IF($D99="","",COUNTIF(DESIGNAZIONI!M$8:M$1772,$D99))</f>
        <v/>
      </c>
      <c r="N99" s="46" t="str">
        <f>IF($D99="","",COUNTIF(DESIGNAZIONI!N$8:N$1772,$D99))</f>
        <v/>
      </c>
      <c r="O99" s="46" t="str">
        <f>IF($D99="","",COUNTIF(DESIGNAZIONI!O$8:O$1772,$D99))</f>
        <v/>
      </c>
    </row>
    <row r="100" spans="3:15" x14ac:dyDescent="0.25">
      <c r="C100" s="215"/>
      <c r="D100" s="6"/>
      <c r="E100" s="115"/>
      <c r="L100" s="46" t="str">
        <f t="shared" si="2"/>
        <v/>
      </c>
      <c r="M100" s="46" t="str">
        <f>IF($D100="","",COUNTIF(DESIGNAZIONI!M$8:M$1772,$D100))</f>
        <v/>
      </c>
      <c r="N100" s="46" t="str">
        <f>IF($D100="","",COUNTIF(DESIGNAZIONI!N$8:N$1772,$D100))</f>
        <v/>
      </c>
      <c r="O100" s="46" t="str">
        <f>IF($D100="","",COUNTIF(DESIGNAZIONI!O$8:O$1772,$D100))</f>
        <v/>
      </c>
    </row>
    <row r="101" spans="3:15" x14ac:dyDescent="0.25">
      <c r="C101" s="215"/>
      <c r="D101" s="6"/>
      <c r="E101" s="115"/>
      <c r="L101" s="46" t="str">
        <f t="shared" ref="L101:L104" si="3">IF($D101="","",SUM(M101:O101))</f>
        <v/>
      </c>
      <c r="M101" s="46" t="str">
        <f>IF($D101="","",COUNTIF(DESIGNAZIONI!M$8:M$1772,$D101))</f>
        <v/>
      </c>
      <c r="N101" s="46" t="str">
        <f>IF($D101="","",COUNTIF(DESIGNAZIONI!N$8:N$1772,$D101))</f>
        <v/>
      </c>
      <c r="O101" s="46" t="str">
        <f>IF($D101="","",COUNTIF(DESIGNAZIONI!O$8:O$1772,$D101))</f>
        <v/>
      </c>
    </row>
    <row r="102" spans="3:15" x14ac:dyDescent="0.25">
      <c r="C102" s="215"/>
      <c r="D102" s="6"/>
      <c r="E102" s="115"/>
      <c r="L102" s="46" t="str">
        <f t="shared" si="3"/>
        <v/>
      </c>
      <c r="M102" s="46" t="str">
        <f>IF($D102="","",COUNTIF(DESIGNAZIONI!M$8:M$1772,$D102))</f>
        <v/>
      </c>
      <c r="N102" s="46" t="str">
        <f>IF($D102="","",COUNTIF(DESIGNAZIONI!N$8:N$1772,$D102))</f>
        <v/>
      </c>
      <c r="O102" s="46" t="str">
        <f>IF($D102="","",COUNTIF(DESIGNAZIONI!O$8:O$1772,$D102))</f>
        <v/>
      </c>
    </row>
    <row r="103" spans="3:15" x14ac:dyDescent="0.25">
      <c r="C103" s="215"/>
      <c r="D103" s="6"/>
      <c r="E103" s="115"/>
      <c r="L103" s="46" t="str">
        <f t="shared" si="3"/>
        <v/>
      </c>
      <c r="M103" s="46" t="str">
        <f>IF($D103="","",COUNTIF(DESIGNAZIONI!M$8:M$1772,$D103))</f>
        <v/>
      </c>
      <c r="N103" s="46" t="str">
        <f>IF($D103="","",COUNTIF(DESIGNAZIONI!N$8:N$1772,$D103))</f>
        <v/>
      </c>
      <c r="O103" s="46" t="str">
        <f>IF($D103="","",COUNTIF(DESIGNAZIONI!O$8:O$1772,$D103))</f>
        <v/>
      </c>
    </row>
    <row r="104" spans="3:15" x14ac:dyDescent="0.25">
      <c r="C104" s="133"/>
      <c r="D104" s="6"/>
      <c r="E104" s="115"/>
      <c r="L104" s="46" t="str">
        <f t="shared" si="3"/>
        <v/>
      </c>
      <c r="M104" s="46" t="str">
        <f>IF($D104="","",COUNTIF(DESIGNAZIONI!M$8:M$1772,$D104))</f>
        <v/>
      </c>
      <c r="N104" s="46" t="str">
        <f>IF($D104="","",COUNTIF(DESIGNAZIONI!N$8:N$1772,$D104))</f>
        <v/>
      </c>
      <c r="O104" s="46" t="str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/>
      </c>
    </row>
    <row r="2" spans="1:15" ht="15.75" x14ac:dyDescent="0.25">
      <c r="A2" s="114" t="str">
        <f>"Ufficiali di campo - Stagione "&amp;constStagionaCampionato</f>
        <v xml:space="preserve">Ufficiali di campo - Stagione </v>
      </c>
    </row>
    <row r="4" spans="1:15" ht="26.1" customHeight="1" x14ac:dyDescent="0.25">
      <c r="D4" s="3" t="s">
        <v>502</v>
      </c>
      <c r="E4" s="3" t="s">
        <v>503</v>
      </c>
      <c r="L4" s="3" t="s">
        <v>504</v>
      </c>
      <c r="M4" s="3" t="s">
        <v>497</v>
      </c>
      <c r="N4" s="3" t="s">
        <v>498</v>
      </c>
      <c r="O4" s="3" t="s">
        <v>499</v>
      </c>
    </row>
    <row r="5" spans="1:15" x14ac:dyDescent="0.25">
      <c r="C5" s="214" t="s">
        <v>493</v>
      </c>
      <c r="D5" s="6"/>
      <c r="E5" s="115"/>
      <c r="L5" s="46" t="str">
        <f t="shared" ref="L5:L36" si="0">IF($D5="","",SUM(M5:O5))</f>
        <v/>
      </c>
      <c r="M5" s="46" t="str">
        <f>IF($D5="","",COUNTIF(DESIGNAZIONI!P$8:P$1772,$D5))</f>
        <v/>
      </c>
      <c r="N5" s="46" t="str">
        <f>IF($D5="","",COUNTIF(DESIGNAZIONI!Q$8:Q$1772,$D5))</f>
        <v/>
      </c>
      <c r="O5" s="46" t="str">
        <f>IF($D5="","",COUNTIF(DESIGNAZIONI!R$8:R$1772,$D5))</f>
        <v/>
      </c>
    </row>
    <row r="6" spans="1:15" x14ac:dyDescent="0.25">
      <c r="C6" s="215"/>
      <c r="D6" s="6"/>
      <c r="E6" s="115"/>
      <c r="L6" s="46" t="str">
        <f t="shared" si="0"/>
        <v/>
      </c>
      <c r="M6" s="46" t="str">
        <f>IF($D6="","",COUNTIF(DESIGNAZIONI!P$8:P$1772,$D6))</f>
        <v/>
      </c>
      <c r="N6" s="46" t="str">
        <f>IF($D6="","",COUNTIF(DESIGNAZIONI!Q$8:Q$1772,$D6))</f>
        <v/>
      </c>
      <c r="O6" s="46" t="str">
        <f>IF($D6="","",COUNTIF(DESIGNAZIONI!R$8:R$1772,$D6))</f>
        <v/>
      </c>
    </row>
    <row r="7" spans="1:15" x14ac:dyDescent="0.25">
      <c r="C7" s="215"/>
      <c r="D7" s="6"/>
      <c r="E7" s="115"/>
      <c r="L7" s="46" t="str">
        <f t="shared" si="0"/>
        <v/>
      </c>
      <c r="M7" s="46" t="str">
        <f>IF($D7="","",COUNTIF(DESIGNAZIONI!P$8:P$1772,$D7))</f>
        <v/>
      </c>
      <c r="N7" s="46" t="str">
        <f>IF($D7="","",COUNTIF(DESIGNAZIONI!Q$8:Q$1772,$D7))</f>
        <v/>
      </c>
      <c r="O7" s="46" t="str">
        <f>IF($D7="","",COUNTIF(DESIGNAZIONI!R$8:R$1772,$D7))</f>
        <v/>
      </c>
    </row>
    <row r="8" spans="1:15" x14ac:dyDescent="0.25">
      <c r="C8" s="215"/>
      <c r="D8" s="6"/>
      <c r="E8" s="115"/>
      <c r="L8" s="46" t="str">
        <f t="shared" si="0"/>
        <v/>
      </c>
      <c r="M8" s="46" t="str">
        <f>IF($D8="","",COUNTIF(DESIGNAZIONI!P$8:P$1772,$D8))</f>
        <v/>
      </c>
      <c r="N8" s="46" t="str">
        <f>IF($D8="","",COUNTIF(DESIGNAZIONI!Q$8:Q$1772,$D8))</f>
        <v/>
      </c>
      <c r="O8" s="46" t="str">
        <f>IF($D8="","",COUNTIF(DESIGNAZIONI!R$8:R$1772,$D8))</f>
        <v/>
      </c>
    </row>
    <row r="9" spans="1:15" x14ac:dyDescent="0.25">
      <c r="C9" s="215"/>
      <c r="D9" s="6"/>
      <c r="E9" s="115"/>
      <c r="L9" s="46" t="str">
        <f t="shared" si="0"/>
        <v/>
      </c>
      <c r="M9" s="46" t="str">
        <f>IF($D9="","",COUNTIF(DESIGNAZIONI!P$8:P$1772,$D9))</f>
        <v/>
      </c>
      <c r="N9" s="46" t="str">
        <f>IF($D9="","",COUNTIF(DESIGNAZIONI!Q$8:Q$1772,$D9))</f>
        <v/>
      </c>
      <c r="O9" s="46" t="str">
        <f>IF($D9="","",COUNTIF(DESIGNAZIONI!R$8:R$1772,$D9))</f>
        <v/>
      </c>
    </row>
    <row r="10" spans="1:15" x14ac:dyDescent="0.25">
      <c r="C10" s="215"/>
      <c r="D10" s="6"/>
      <c r="E10" s="115"/>
      <c r="L10" s="46" t="str">
        <f t="shared" si="0"/>
        <v/>
      </c>
      <c r="M10" s="46" t="str">
        <f>IF($D10="","",COUNTIF(DESIGNAZIONI!P$8:P$1772,$D10))</f>
        <v/>
      </c>
      <c r="N10" s="46" t="str">
        <f>IF($D10="","",COUNTIF(DESIGNAZIONI!Q$8:Q$1772,$D10))</f>
        <v/>
      </c>
      <c r="O10" s="46" t="str">
        <f>IF($D10="","",COUNTIF(DESIGNAZIONI!R$8:R$1772,$D10))</f>
        <v/>
      </c>
    </row>
    <row r="11" spans="1:15" x14ac:dyDescent="0.25">
      <c r="C11" s="215"/>
      <c r="D11" s="6"/>
      <c r="E11" s="115"/>
      <c r="L11" s="46" t="str">
        <f t="shared" si="0"/>
        <v/>
      </c>
      <c r="M11" s="46" t="str">
        <f>IF($D11="","",COUNTIF(DESIGNAZIONI!P$8:P$1772,$D11))</f>
        <v/>
      </c>
      <c r="N11" s="46" t="str">
        <f>IF($D11="","",COUNTIF(DESIGNAZIONI!Q$8:Q$1772,$D11))</f>
        <v/>
      </c>
      <c r="O11" s="46" t="str">
        <f>IF($D11="","",COUNTIF(DESIGNAZIONI!R$8:R$1772,$D11))</f>
        <v/>
      </c>
    </row>
    <row r="12" spans="1:15" x14ac:dyDescent="0.25">
      <c r="C12" s="215"/>
      <c r="D12" s="6"/>
      <c r="E12" s="115"/>
      <c r="L12" s="46" t="str">
        <f t="shared" si="0"/>
        <v/>
      </c>
      <c r="M12" s="46" t="str">
        <f>IF($D12="","",COUNTIF(DESIGNAZIONI!P$8:P$1772,$D12))</f>
        <v/>
      </c>
      <c r="N12" s="46" t="str">
        <f>IF($D12="","",COUNTIF(DESIGNAZIONI!Q$8:Q$1772,$D12))</f>
        <v/>
      </c>
      <c r="O12" s="46" t="str">
        <f>IF($D12="","",COUNTIF(DESIGNAZIONI!R$8:R$1772,$D12))</f>
        <v/>
      </c>
    </row>
    <row r="13" spans="1:15" x14ac:dyDescent="0.25">
      <c r="C13" s="215"/>
      <c r="D13" s="6"/>
      <c r="E13" s="115"/>
      <c r="L13" s="46" t="str">
        <f t="shared" si="0"/>
        <v/>
      </c>
      <c r="M13" s="46" t="str">
        <f>IF($D13="","",COUNTIF(DESIGNAZIONI!P$8:P$1772,$D13))</f>
        <v/>
      </c>
      <c r="N13" s="46" t="str">
        <f>IF($D13="","",COUNTIF(DESIGNAZIONI!Q$8:Q$1772,$D13))</f>
        <v/>
      </c>
      <c r="O13" s="46" t="str">
        <f>IF($D13="","",COUNTIF(DESIGNAZIONI!R$8:R$1772,$D13))</f>
        <v/>
      </c>
    </row>
    <row r="14" spans="1:15" x14ac:dyDescent="0.25">
      <c r="C14" s="215"/>
      <c r="D14" s="6"/>
      <c r="E14" s="115"/>
      <c r="L14" s="46" t="str">
        <f t="shared" si="0"/>
        <v/>
      </c>
      <c r="M14" s="46" t="str">
        <f>IF($D14="","",COUNTIF(DESIGNAZIONI!P$8:P$1772,$D14))</f>
        <v/>
      </c>
      <c r="N14" s="46" t="str">
        <f>IF($D14="","",COUNTIF(DESIGNAZIONI!Q$8:Q$1772,$D14))</f>
        <v/>
      </c>
      <c r="O14" s="46" t="str">
        <f>IF($D14="","",COUNTIF(DESIGNAZIONI!R$8:R$1772,$D14))</f>
        <v/>
      </c>
    </row>
    <row r="15" spans="1:15" x14ac:dyDescent="0.25">
      <c r="C15" s="215"/>
      <c r="D15" s="6"/>
      <c r="E15" s="115"/>
      <c r="L15" s="46" t="str">
        <f t="shared" si="0"/>
        <v/>
      </c>
      <c r="M15" s="46" t="str">
        <f>IF($D15="","",COUNTIF(DESIGNAZIONI!P$8:P$1772,$D15))</f>
        <v/>
      </c>
      <c r="N15" s="46" t="str">
        <f>IF($D15="","",COUNTIF(DESIGNAZIONI!Q$8:Q$1772,$D15))</f>
        <v/>
      </c>
      <c r="O15" s="46" t="str">
        <f>IF($D15="","",COUNTIF(DESIGNAZIONI!R$8:R$1772,$D15))</f>
        <v/>
      </c>
    </row>
    <row r="16" spans="1:15" x14ac:dyDescent="0.25">
      <c r="C16" s="215"/>
      <c r="D16" s="6"/>
      <c r="E16" s="115"/>
      <c r="L16" s="46" t="str">
        <f t="shared" si="0"/>
        <v/>
      </c>
      <c r="M16" s="46" t="str">
        <f>IF($D16="","",COUNTIF(DESIGNAZIONI!P$8:P$1772,$D16))</f>
        <v/>
      </c>
      <c r="N16" s="46" t="str">
        <f>IF($D16="","",COUNTIF(DESIGNAZIONI!Q$8:Q$1772,$D16))</f>
        <v/>
      </c>
      <c r="O16" s="46" t="str">
        <f>IF($D16="","",COUNTIF(DESIGNAZIONI!R$8:R$1772,$D16))</f>
        <v/>
      </c>
    </row>
    <row r="17" spans="3:15" x14ac:dyDescent="0.25">
      <c r="C17" s="215"/>
      <c r="D17" s="6"/>
      <c r="E17" s="115"/>
      <c r="L17" s="46" t="str">
        <f t="shared" si="0"/>
        <v/>
      </c>
      <c r="M17" s="46" t="str">
        <f>IF($D17="","",COUNTIF(DESIGNAZIONI!P$8:P$1772,$D17))</f>
        <v/>
      </c>
      <c r="N17" s="46" t="str">
        <f>IF($D17="","",COUNTIF(DESIGNAZIONI!Q$8:Q$1772,$D17))</f>
        <v/>
      </c>
      <c r="O17" s="46" t="str">
        <f>IF($D17="","",COUNTIF(DESIGNAZIONI!R$8:R$1772,$D17))</f>
        <v/>
      </c>
    </row>
    <row r="18" spans="3:15" x14ac:dyDescent="0.25">
      <c r="C18" s="215"/>
      <c r="D18" s="6"/>
      <c r="E18" s="115"/>
      <c r="L18" s="46" t="str">
        <f t="shared" si="0"/>
        <v/>
      </c>
      <c r="M18" s="46" t="str">
        <f>IF($D18="","",COUNTIF(DESIGNAZIONI!P$8:P$1772,$D18))</f>
        <v/>
      </c>
      <c r="N18" s="46" t="str">
        <f>IF($D18="","",COUNTIF(DESIGNAZIONI!Q$8:Q$1772,$D18))</f>
        <v/>
      </c>
      <c r="O18" s="46" t="str">
        <f>IF($D18="","",COUNTIF(DESIGNAZIONI!R$8:R$1772,$D18))</f>
        <v/>
      </c>
    </row>
    <row r="19" spans="3:15" x14ac:dyDescent="0.25">
      <c r="C19" s="215"/>
      <c r="D19" s="6"/>
      <c r="E19" s="115"/>
      <c r="L19" s="46" t="str">
        <f t="shared" si="0"/>
        <v/>
      </c>
      <c r="M19" s="46" t="str">
        <f>IF($D19="","",COUNTIF(DESIGNAZIONI!P$8:P$1772,$D19))</f>
        <v/>
      </c>
      <c r="N19" s="46" t="str">
        <f>IF($D19="","",COUNTIF(DESIGNAZIONI!Q$8:Q$1772,$D19))</f>
        <v/>
      </c>
      <c r="O19" s="46" t="str">
        <f>IF($D19="","",COUNTIF(DESIGNAZIONI!R$8:R$1772,$D19))</f>
        <v/>
      </c>
    </row>
    <row r="20" spans="3:15" x14ac:dyDescent="0.25">
      <c r="C20" s="215"/>
      <c r="D20" s="6"/>
      <c r="E20" s="115"/>
      <c r="L20" s="46" t="str">
        <f t="shared" si="0"/>
        <v/>
      </c>
      <c r="M20" s="46" t="str">
        <f>IF($D20="","",COUNTIF(DESIGNAZIONI!P$8:P$1772,$D20))</f>
        <v/>
      </c>
      <c r="N20" s="46" t="str">
        <f>IF($D20="","",COUNTIF(DESIGNAZIONI!Q$8:Q$1772,$D20))</f>
        <v/>
      </c>
      <c r="O20" s="46" t="str">
        <f>IF($D20="","",COUNTIF(DESIGNAZIONI!R$8:R$1772,$D20))</f>
        <v/>
      </c>
    </row>
    <row r="21" spans="3:15" x14ac:dyDescent="0.25">
      <c r="C21" s="215"/>
      <c r="D21" s="6"/>
      <c r="E21" s="115"/>
      <c r="L21" s="46" t="str">
        <f t="shared" si="0"/>
        <v/>
      </c>
      <c r="M21" s="46" t="str">
        <f>IF($D21="","",COUNTIF(DESIGNAZIONI!P$8:P$1772,$D21))</f>
        <v/>
      </c>
      <c r="N21" s="46" t="str">
        <f>IF($D21="","",COUNTIF(DESIGNAZIONI!Q$8:Q$1772,$D21))</f>
        <v/>
      </c>
      <c r="O21" s="46" t="str">
        <f>IF($D21="","",COUNTIF(DESIGNAZIONI!R$8:R$1772,$D21))</f>
        <v/>
      </c>
    </row>
    <row r="22" spans="3:15" x14ac:dyDescent="0.25">
      <c r="C22" s="215"/>
      <c r="D22" s="6"/>
      <c r="E22" s="115"/>
      <c r="L22" s="46" t="str">
        <f t="shared" si="0"/>
        <v/>
      </c>
      <c r="M22" s="46" t="str">
        <f>IF($D22="","",COUNTIF(DESIGNAZIONI!P$8:P$1772,$D22))</f>
        <v/>
      </c>
      <c r="N22" s="46" t="str">
        <f>IF($D22="","",COUNTIF(DESIGNAZIONI!Q$8:Q$1772,$D22))</f>
        <v/>
      </c>
      <c r="O22" s="46" t="str">
        <f>IF($D22="","",COUNTIF(DESIGNAZIONI!R$8:R$1772,$D22))</f>
        <v/>
      </c>
    </row>
    <row r="23" spans="3:15" x14ac:dyDescent="0.25">
      <c r="C23" s="215"/>
      <c r="D23" s="6"/>
      <c r="E23" s="115"/>
      <c r="L23" s="46" t="str">
        <f t="shared" si="0"/>
        <v/>
      </c>
      <c r="M23" s="46" t="str">
        <f>IF($D23="","",COUNTIF(DESIGNAZIONI!P$8:P$1772,$D23))</f>
        <v/>
      </c>
      <c r="N23" s="46" t="str">
        <f>IF($D23="","",COUNTIF(DESIGNAZIONI!Q$8:Q$1772,$D23))</f>
        <v/>
      </c>
      <c r="O23" s="46" t="str">
        <f>IF($D23="","",COUNTIF(DESIGNAZIONI!R$8:R$1772,$D23))</f>
        <v/>
      </c>
    </row>
    <row r="24" spans="3:15" x14ac:dyDescent="0.25">
      <c r="C24" s="215"/>
      <c r="D24" s="6"/>
      <c r="E24" s="115"/>
      <c r="L24" s="46" t="str">
        <f t="shared" si="0"/>
        <v/>
      </c>
      <c r="M24" s="46" t="str">
        <f>IF($D24="","",COUNTIF(DESIGNAZIONI!P$8:P$1772,$D24))</f>
        <v/>
      </c>
      <c r="N24" s="46" t="str">
        <f>IF($D24="","",COUNTIF(DESIGNAZIONI!Q$8:Q$1772,$D24))</f>
        <v/>
      </c>
      <c r="O24" s="46" t="str">
        <f>IF($D24="","",COUNTIF(DESIGNAZIONI!R$8:R$1772,$D24))</f>
        <v/>
      </c>
    </row>
    <row r="25" spans="3:15" x14ac:dyDescent="0.25">
      <c r="C25" s="215"/>
      <c r="D25" s="6"/>
      <c r="E25" s="115"/>
      <c r="L25" s="46" t="str">
        <f t="shared" si="0"/>
        <v/>
      </c>
      <c r="M25" s="46" t="str">
        <f>IF($D25="","",COUNTIF(DESIGNAZIONI!P$8:P$1772,$D25))</f>
        <v/>
      </c>
      <c r="N25" s="46" t="str">
        <f>IF($D25="","",COUNTIF(DESIGNAZIONI!Q$8:Q$1772,$D25))</f>
        <v/>
      </c>
      <c r="O25" s="46" t="str">
        <f>IF($D25="","",COUNTIF(DESIGNAZIONI!R$8:R$1772,$D25))</f>
        <v/>
      </c>
    </row>
    <row r="26" spans="3:15" x14ac:dyDescent="0.25">
      <c r="C26" s="215"/>
      <c r="D26" s="6"/>
      <c r="E26" s="115"/>
      <c r="L26" s="46" t="str">
        <f t="shared" si="0"/>
        <v/>
      </c>
      <c r="M26" s="46" t="str">
        <f>IF($D26="","",COUNTIF(DESIGNAZIONI!P$8:P$1772,$D26))</f>
        <v/>
      </c>
      <c r="N26" s="46" t="str">
        <f>IF($D26="","",COUNTIF(DESIGNAZIONI!Q$8:Q$1772,$D26))</f>
        <v/>
      </c>
      <c r="O26" s="46" t="str">
        <f>IF($D26="","",COUNTIF(DESIGNAZIONI!R$8:R$1772,$D26))</f>
        <v/>
      </c>
    </row>
    <row r="27" spans="3:15" x14ac:dyDescent="0.25">
      <c r="C27" s="215"/>
      <c r="D27" s="6"/>
      <c r="E27" s="115"/>
      <c r="L27" s="46" t="str">
        <f t="shared" si="0"/>
        <v/>
      </c>
      <c r="M27" s="46" t="str">
        <f>IF($D27="","",COUNTIF(DESIGNAZIONI!P$8:P$1772,$D27))</f>
        <v/>
      </c>
      <c r="N27" s="46" t="str">
        <f>IF($D27="","",COUNTIF(DESIGNAZIONI!Q$8:Q$1772,$D27))</f>
        <v/>
      </c>
      <c r="O27" s="46" t="str">
        <f>IF($D27="","",COUNTIF(DESIGNAZIONI!R$8:R$1772,$D27))</f>
        <v/>
      </c>
    </row>
    <row r="28" spans="3:15" x14ac:dyDescent="0.25">
      <c r="C28" s="215"/>
      <c r="D28" s="6"/>
      <c r="E28" s="115"/>
      <c r="L28" s="46" t="str">
        <f t="shared" si="0"/>
        <v/>
      </c>
      <c r="M28" s="46" t="str">
        <f>IF($D28="","",COUNTIF(DESIGNAZIONI!P$8:P$1772,$D28))</f>
        <v/>
      </c>
      <c r="N28" s="46" t="str">
        <f>IF($D28="","",COUNTIF(DESIGNAZIONI!Q$8:Q$1772,$D28))</f>
        <v/>
      </c>
      <c r="O28" s="46" t="str">
        <f>IF($D28="","",COUNTIF(DESIGNAZIONI!R$8:R$1772,$D28))</f>
        <v/>
      </c>
    </row>
    <row r="29" spans="3:15" x14ac:dyDescent="0.25">
      <c r="C29" s="215"/>
      <c r="D29" s="6"/>
      <c r="E29" s="115"/>
      <c r="L29" s="46" t="str">
        <f t="shared" si="0"/>
        <v/>
      </c>
      <c r="M29" s="46" t="str">
        <f>IF($D29="","",COUNTIF(DESIGNAZIONI!P$8:P$1772,$D29))</f>
        <v/>
      </c>
      <c r="N29" s="46" t="str">
        <f>IF($D29="","",COUNTIF(DESIGNAZIONI!Q$8:Q$1772,$D29))</f>
        <v/>
      </c>
      <c r="O29" s="46" t="str">
        <f>IF($D29="","",COUNTIF(DESIGNAZIONI!R$8:R$1772,$D29))</f>
        <v/>
      </c>
    </row>
    <row r="30" spans="3:15" x14ac:dyDescent="0.25">
      <c r="C30" s="215"/>
      <c r="D30" s="6"/>
      <c r="E30" s="115"/>
      <c r="L30" s="46" t="str">
        <f t="shared" si="0"/>
        <v/>
      </c>
      <c r="M30" s="46" t="str">
        <f>IF($D30="","",COUNTIF(DESIGNAZIONI!P$8:P$1772,$D30))</f>
        <v/>
      </c>
      <c r="N30" s="46" t="str">
        <f>IF($D30="","",COUNTIF(DESIGNAZIONI!Q$8:Q$1772,$D30))</f>
        <v/>
      </c>
      <c r="O30" s="46" t="str">
        <f>IF($D30="","",COUNTIF(DESIGNAZIONI!R$8:R$1772,$D30))</f>
        <v/>
      </c>
    </row>
    <row r="31" spans="3:15" x14ac:dyDescent="0.25">
      <c r="C31" s="215"/>
      <c r="D31" s="6"/>
      <c r="E31" s="115"/>
      <c r="L31" s="46" t="str">
        <f t="shared" si="0"/>
        <v/>
      </c>
      <c r="M31" s="46" t="str">
        <f>IF($D31="","",COUNTIF(DESIGNAZIONI!P$8:P$1772,$D31))</f>
        <v/>
      </c>
      <c r="N31" s="46" t="str">
        <f>IF($D31="","",COUNTIF(DESIGNAZIONI!Q$8:Q$1772,$D31))</f>
        <v/>
      </c>
      <c r="O31" s="46" t="str">
        <f>IF($D31="","",COUNTIF(DESIGNAZIONI!R$8:R$1772,$D31))</f>
        <v/>
      </c>
    </row>
    <row r="32" spans="3:15" x14ac:dyDescent="0.25">
      <c r="C32" s="215"/>
      <c r="D32" s="6"/>
      <c r="E32" s="115"/>
      <c r="L32" s="46" t="str">
        <f t="shared" si="0"/>
        <v/>
      </c>
      <c r="M32" s="46" t="str">
        <f>IF($D32="","",COUNTIF(DESIGNAZIONI!P$8:P$1772,$D32))</f>
        <v/>
      </c>
      <c r="N32" s="46" t="str">
        <f>IF($D32="","",COUNTIF(DESIGNAZIONI!Q$8:Q$1772,$D32))</f>
        <v/>
      </c>
      <c r="O32" s="46" t="str">
        <f>IF($D32="","",COUNTIF(DESIGNAZIONI!R$8:R$1772,$D32))</f>
        <v/>
      </c>
    </row>
    <row r="33" spans="3:15" x14ac:dyDescent="0.25">
      <c r="C33" s="215"/>
      <c r="D33" s="6"/>
      <c r="E33" s="115"/>
      <c r="L33" s="46" t="str">
        <f t="shared" si="0"/>
        <v/>
      </c>
      <c r="M33" s="46" t="str">
        <f>IF($D33="","",COUNTIF(DESIGNAZIONI!P$8:P$1772,$D33))</f>
        <v/>
      </c>
      <c r="N33" s="46" t="str">
        <f>IF($D33="","",COUNTIF(DESIGNAZIONI!Q$8:Q$1772,$D33))</f>
        <v/>
      </c>
      <c r="O33" s="46" t="str">
        <f>IF($D33="","",COUNTIF(DESIGNAZIONI!R$8:R$1772,$D33))</f>
        <v/>
      </c>
    </row>
    <row r="34" spans="3:15" x14ac:dyDescent="0.25">
      <c r="C34" s="215"/>
      <c r="D34" s="6"/>
      <c r="E34" s="115"/>
      <c r="L34" s="46" t="str">
        <f t="shared" si="0"/>
        <v/>
      </c>
      <c r="M34" s="46" t="str">
        <f>IF($D34="","",COUNTIF(DESIGNAZIONI!P$8:P$1772,$D34))</f>
        <v/>
      </c>
      <c r="N34" s="46" t="str">
        <f>IF($D34="","",COUNTIF(DESIGNAZIONI!Q$8:Q$1772,$D34))</f>
        <v/>
      </c>
      <c r="O34" s="46" t="str">
        <f>IF($D34="","",COUNTIF(DESIGNAZIONI!R$8:R$1772,$D34))</f>
        <v/>
      </c>
    </row>
    <row r="35" spans="3:15" x14ac:dyDescent="0.25">
      <c r="C35" s="215"/>
      <c r="D35" s="6"/>
      <c r="E35" s="115"/>
      <c r="L35" s="46" t="str">
        <f t="shared" si="0"/>
        <v/>
      </c>
      <c r="M35" s="46" t="str">
        <f>IF($D35="","",COUNTIF(DESIGNAZIONI!P$8:P$1772,$D35))</f>
        <v/>
      </c>
      <c r="N35" s="46" t="str">
        <f>IF($D35="","",COUNTIF(DESIGNAZIONI!Q$8:Q$1772,$D35))</f>
        <v/>
      </c>
      <c r="O35" s="46" t="str">
        <f>IF($D35="","",COUNTIF(DESIGNAZIONI!R$8:R$1772,$D35))</f>
        <v/>
      </c>
    </row>
    <row r="36" spans="3:15" x14ac:dyDescent="0.25">
      <c r="C36" s="215"/>
      <c r="D36" s="6"/>
      <c r="E36" s="115"/>
      <c r="L36" s="46" t="str">
        <f t="shared" si="0"/>
        <v/>
      </c>
      <c r="M36" s="46" t="str">
        <f>IF($D36="","",COUNTIF(DESIGNAZIONI!P$8:P$1772,$D36))</f>
        <v/>
      </c>
      <c r="N36" s="46" t="str">
        <f>IF($D36="","",COUNTIF(DESIGNAZIONI!Q$8:Q$1772,$D36))</f>
        <v/>
      </c>
      <c r="O36" s="46" t="str">
        <f>IF($D36="","",COUNTIF(DESIGNAZIONI!R$8:R$1772,$D36))</f>
        <v/>
      </c>
    </row>
    <row r="37" spans="3:15" x14ac:dyDescent="0.25">
      <c r="C37" s="215"/>
      <c r="D37" s="6"/>
      <c r="E37" s="115"/>
      <c r="L37" s="46" t="str">
        <f t="shared" ref="L37:L68" si="1">IF($D37="","",SUM(M37:O37))</f>
        <v/>
      </c>
      <c r="M37" s="46" t="str">
        <f>IF($D37="","",COUNTIF(DESIGNAZIONI!P$8:P$1772,$D37))</f>
        <v/>
      </c>
      <c r="N37" s="46" t="str">
        <f>IF($D37="","",COUNTIF(DESIGNAZIONI!Q$8:Q$1772,$D37))</f>
        <v/>
      </c>
      <c r="O37" s="46" t="str">
        <f>IF($D37="","",COUNTIF(DESIGNAZIONI!R$8:R$1772,$D37))</f>
        <v/>
      </c>
    </row>
    <row r="38" spans="3:15" x14ac:dyDescent="0.25">
      <c r="C38" s="215"/>
      <c r="D38" s="6"/>
      <c r="E38" s="115"/>
      <c r="L38" s="46" t="str">
        <f t="shared" si="1"/>
        <v/>
      </c>
      <c r="M38" s="46" t="str">
        <f>IF($D38="","",COUNTIF(DESIGNAZIONI!P$8:P$1772,$D38))</f>
        <v/>
      </c>
      <c r="N38" s="46" t="str">
        <f>IF($D38="","",COUNTIF(DESIGNAZIONI!Q$8:Q$1772,$D38))</f>
        <v/>
      </c>
      <c r="O38" s="46" t="str">
        <f>IF($D38="","",COUNTIF(DESIGNAZIONI!R$8:R$1772,$D38))</f>
        <v/>
      </c>
    </row>
    <row r="39" spans="3:15" x14ac:dyDescent="0.25">
      <c r="C39" s="215"/>
      <c r="D39" s="6"/>
      <c r="E39" s="115"/>
      <c r="L39" s="46" t="str">
        <f t="shared" si="1"/>
        <v/>
      </c>
      <c r="M39" s="46" t="str">
        <f>IF($D39="","",COUNTIF(DESIGNAZIONI!P$8:P$1772,$D39))</f>
        <v/>
      </c>
      <c r="N39" s="46" t="str">
        <f>IF($D39="","",COUNTIF(DESIGNAZIONI!Q$8:Q$1772,$D39))</f>
        <v/>
      </c>
      <c r="O39" s="46" t="str">
        <f>IF($D39="","",COUNTIF(DESIGNAZIONI!R$8:R$1772,$D39))</f>
        <v/>
      </c>
    </row>
    <row r="40" spans="3:15" x14ac:dyDescent="0.25">
      <c r="C40" s="215"/>
      <c r="D40" s="6"/>
      <c r="E40" s="115"/>
      <c r="L40" s="46" t="str">
        <f t="shared" si="1"/>
        <v/>
      </c>
      <c r="M40" s="46" t="str">
        <f>IF($D40="","",COUNTIF(DESIGNAZIONI!P$8:P$1772,$D40))</f>
        <v/>
      </c>
      <c r="N40" s="46" t="str">
        <f>IF($D40="","",COUNTIF(DESIGNAZIONI!Q$8:Q$1772,$D40))</f>
        <v/>
      </c>
      <c r="O40" s="46" t="str">
        <f>IF($D40="","",COUNTIF(DESIGNAZIONI!R$8:R$1772,$D40))</f>
        <v/>
      </c>
    </row>
    <row r="41" spans="3:15" x14ac:dyDescent="0.25">
      <c r="C41" s="215"/>
      <c r="D41" s="6"/>
      <c r="E41" s="115"/>
      <c r="L41" s="46" t="str">
        <f t="shared" si="1"/>
        <v/>
      </c>
      <c r="M41" s="46" t="str">
        <f>IF($D41="","",COUNTIF(DESIGNAZIONI!P$8:P$1772,$D41))</f>
        <v/>
      </c>
      <c r="N41" s="46" t="str">
        <f>IF($D41="","",COUNTIF(DESIGNAZIONI!Q$8:Q$1772,$D41))</f>
        <v/>
      </c>
      <c r="O41" s="46" t="str">
        <f>IF($D41="","",COUNTIF(DESIGNAZIONI!R$8:R$1772,$D41))</f>
        <v/>
      </c>
    </row>
    <row r="42" spans="3:15" x14ac:dyDescent="0.25">
      <c r="C42" s="215"/>
      <c r="D42" s="6"/>
      <c r="E42" s="115"/>
      <c r="L42" s="46" t="str">
        <f t="shared" si="1"/>
        <v/>
      </c>
      <c r="M42" s="46" t="str">
        <f>IF($D42="","",COUNTIF(DESIGNAZIONI!P$8:P$1772,$D42))</f>
        <v/>
      </c>
      <c r="N42" s="46" t="str">
        <f>IF($D42="","",COUNTIF(DESIGNAZIONI!Q$8:Q$1772,$D42))</f>
        <v/>
      </c>
      <c r="O42" s="46" t="str">
        <f>IF($D42="","",COUNTIF(DESIGNAZIONI!R$8:R$1772,$D42))</f>
        <v/>
      </c>
    </row>
    <row r="43" spans="3:15" x14ac:dyDescent="0.25">
      <c r="C43" s="215"/>
      <c r="D43" s="6"/>
      <c r="E43" s="115"/>
      <c r="L43" s="46" t="str">
        <f t="shared" si="1"/>
        <v/>
      </c>
      <c r="M43" s="46" t="str">
        <f>IF($D43="","",COUNTIF(DESIGNAZIONI!P$8:P$1772,$D43))</f>
        <v/>
      </c>
      <c r="N43" s="46" t="str">
        <f>IF($D43="","",COUNTIF(DESIGNAZIONI!Q$8:Q$1772,$D43))</f>
        <v/>
      </c>
      <c r="O43" s="46" t="str">
        <f>IF($D43="","",COUNTIF(DESIGNAZIONI!R$8:R$1772,$D43))</f>
        <v/>
      </c>
    </row>
    <row r="44" spans="3:15" x14ac:dyDescent="0.25">
      <c r="C44" s="215"/>
      <c r="D44" s="6"/>
      <c r="E44" s="115"/>
      <c r="L44" s="46" t="str">
        <f t="shared" si="1"/>
        <v/>
      </c>
      <c r="M44" s="46" t="str">
        <f>IF($D44="","",COUNTIF(DESIGNAZIONI!P$8:P$1772,$D44))</f>
        <v/>
      </c>
      <c r="N44" s="46" t="str">
        <f>IF($D44="","",COUNTIF(DESIGNAZIONI!Q$8:Q$1772,$D44))</f>
        <v/>
      </c>
      <c r="O44" s="46" t="str">
        <f>IF($D44="","",COUNTIF(DESIGNAZIONI!R$8:R$1772,$D44))</f>
        <v/>
      </c>
    </row>
    <row r="45" spans="3:15" x14ac:dyDescent="0.25">
      <c r="C45" s="215"/>
      <c r="D45" s="6"/>
      <c r="E45" s="115"/>
      <c r="L45" s="46" t="str">
        <f t="shared" si="1"/>
        <v/>
      </c>
      <c r="M45" s="46" t="str">
        <f>IF($D45="","",COUNTIF(DESIGNAZIONI!P$8:P$1772,$D45))</f>
        <v/>
      </c>
      <c r="N45" s="46" t="str">
        <f>IF($D45="","",COUNTIF(DESIGNAZIONI!Q$8:Q$1772,$D45))</f>
        <v/>
      </c>
      <c r="O45" s="46" t="str">
        <f>IF($D45="","",COUNTIF(DESIGNAZIONI!R$8:R$1772,$D45))</f>
        <v/>
      </c>
    </row>
    <row r="46" spans="3:15" x14ac:dyDescent="0.25">
      <c r="C46" s="215"/>
      <c r="D46" s="6"/>
      <c r="E46" s="115"/>
      <c r="L46" s="46" t="str">
        <f t="shared" si="1"/>
        <v/>
      </c>
      <c r="M46" s="46" t="str">
        <f>IF($D46="","",COUNTIF(DESIGNAZIONI!P$8:P$1772,$D46))</f>
        <v/>
      </c>
      <c r="N46" s="46" t="str">
        <f>IF($D46="","",COUNTIF(DESIGNAZIONI!Q$8:Q$1772,$D46))</f>
        <v/>
      </c>
      <c r="O46" s="46" t="str">
        <f>IF($D46="","",COUNTIF(DESIGNAZIONI!R$8:R$1772,$D46))</f>
        <v/>
      </c>
    </row>
    <row r="47" spans="3:15" x14ac:dyDescent="0.25">
      <c r="C47" s="215"/>
      <c r="D47" s="6"/>
      <c r="E47" s="115"/>
      <c r="L47" s="46" t="str">
        <f t="shared" si="1"/>
        <v/>
      </c>
      <c r="M47" s="46" t="str">
        <f>IF($D47="","",COUNTIF(DESIGNAZIONI!P$8:P$1772,$D47))</f>
        <v/>
      </c>
      <c r="N47" s="46" t="str">
        <f>IF($D47="","",COUNTIF(DESIGNAZIONI!Q$8:Q$1772,$D47))</f>
        <v/>
      </c>
      <c r="O47" s="46" t="str">
        <f>IF($D47="","",COUNTIF(DESIGNAZIONI!R$8:R$1772,$D47))</f>
        <v/>
      </c>
    </row>
    <row r="48" spans="3:15" x14ac:dyDescent="0.25">
      <c r="C48" s="215"/>
      <c r="D48" s="6"/>
      <c r="E48" s="115"/>
      <c r="L48" s="46" t="str">
        <f t="shared" si="1"/>
        <v/>
      </c>
      <c r="M48" s="46" t="str">
        <f>IF($D48="","",COUNTIF(DESIGNAZIONI!P$8:P$1772,$D48))</f>
        <v/>
      </c>
      <c r="N48" s="46" t="str">
        <f>IF($D48="","",COUNTIF(DESIGNAZIONI!Q$8:Q$1772,$D48))</f>
        <v/>
      </c>
      <c r="O48" s="46" t="str">
        <f>IF($D48="","",COUNTIF(DESIGNAZIONI!R$8:R$1772,$D48))</f>
        <v/>
      </c>
    </row>
    <row r="49" spans="3:15" x14ac:dyDescent="0.25">
      <c r="C49" s="215"/>
      <c r="D49" s="6"/>
      <c r="E49" s="115"/>
      <c r="L49" s="46" t="str">
        <f t="shared" si="1"/>
        <v/>
      </c>
      <c r="M49" s="46" t="str">
        <f>IF($D49="","",COUNTIF(DESIGNAZIONI!P$8:P$1772,$D49))</f>
        <v/>
      </c>
      <c r="N49" s="46" t="str">
        <f>IF($D49="","",COUNTIF(DESIGNAZIONI!Q$8:Q$1772,$D49))</f>
        <v/>
      </c>
      <c r="O49" s="46" t="str">
        <f>IF($D49="","",COUNTIF(DESIGNAZIONI!R$8:R$1772,$D49))</f>
        <v/>
      </c>
    </row>
    <row r="50" spans="3:15" x14ac:dyDescent="0.25">
      <c r="C50" s="215"/>
      <c r="D50" s="6"/>
      <c r="E50" s="115"/>
      <c r="L50" s="46" t="str">
        <f t="shared" si="1"/>
        <v/>
      </c>
      <c r="M50" s="46" t="str">
        <f>IF($D50="","",COUNTIF(DESIGNAZIONI!P$8:P$1772,$D50))</f>
        <v/>
      </c>
      <c r="N50" s="46" t="str">
        <f>IF($D50="","",COUNTIF(DESIGNAZIONI!Q$8:Q$1772,$D50))</f>
        <v/>
      </c>
      <c r="O50" s="46" t="str">
        <f>IF($D50="","",COUNTIF(DESIGNAZIONI!R$8:R$1772,$D50))</f>
        <v/>
      </c>
    </row>
    <row r="51" spans="3:15" x14ac:dyDescent="0.25">
      <c r="C51" s="215"/>
      <c r="D51" s="6"/>
      <c r="E51" s="115"/>
      <c r="L51" s="46" t="str">
        <f t="shared" si="1"/>
        <v/>
      </c>
      <c r="M51" s="46" t="str">
        <f>IF($D51="","",COUNTIF(DESIGNAZIONI!P$8:P$1772,$D51))</f>
        <v/>
      </c>
      <c r="N51" s="46" t="str">
        <f>IF($D51="","",COUNTIF(DESIGNAZIONI!Q$8:Q$1772,$D51))</f>
        <v/>
      </c>
      <c r="O51" s="46" t="str">
        <f>IF($D51="","",COUNTIF(DESIGNAZIONI!R$8:R$1772,$D51))</f>
        <v/>
      </c>
    </row>
    <row r="52" spans="3:15" x14ac:dyDescent="0.25">
      <c r="C52" s="215"/>
      <c r="D52" s="6"/>
      <c r="E52" s="115"/>
      <c r="L52" s="46" t="str">
        <f t="shared" si="1"/>
        <v/>
      </c>
      <c r="M52" s="46" t="str">
        <f>IF($D52="","",COUNTIF(DESIGNAZIONI!P$8:P$1772,$D52))</f>
        <v/>
      </c>
      <c r="N52" s="46" t="str">
        <f>IF($D52="","",COUNTIF(DESIGNAZIONI!Q$8:Q$1772,$D52))</f>
        <v/>
      </c>
      <c r="O52" s="46" t="str">
        <f>IF($D52="","",COUNTIF(DESIGNAZIONI!R$8:R$1772,$D52))</f>
        <v/>
      </c>
    </row>
    <row r="53" spans="3:15" x14ac:dyDescent="0.25">
      <c r="C53" s="215"/>
      <c r="D53" s="6"/>
      <c r="E53" s="115"/>
      <c r="L53" s="46" t="str">
        <f t="shared" si="1"/>
        <v/>
      </c>
      <c r="M53" s="46" t="str">
        <f>IF($D53="","",COUNTIF(DESIGNAZIONI!P$8:P$1772,$D53))</f>
        <v/>
      </c>
      <c r="N53" s="46" t="str">
        <f>IF($D53="","",COUNTIF(DESIGNAZIONI!Q$8:Q$1772,$D53))</f>
        <v/>
      </c>
      <c r="O53" s="46" t="str">
        <f>IF($D53="","",COUNTIF(DESIGNAZIONI!R$8:R$1772,$D53))</f>
        <v/>
      </c>
    </row>
    <row r="54" spans="3:15" x14ac:dyDescent="0.25">
      <c r="C54" s="215"/>
      <c r="D54" s="6"/>
      <c r="E54" s="115"/>
      <c r="L54" s="46" t="str">
        <f t="shared" si="1"/>
        <v/>
      </c>
      <c r="M54" s="46" t="str">
        <f>IF($D54="","",COUNTIF(DESIGNAZIONI!P$8:P$1772,$D54))</f>
        <v/>
      </c>
      <c r="N54" s="46" t="str">
        <f>IF($D54="","",COUNTIF(DESIGNAZIONI!Q$8:Q$1772,$D54))</f>
        <v/>
      </c>
      <c r="O54" s="46" t="str">
        <f>IF($D54="","",COUNTIF(DESIGNAZIONI!R$8:R$1772,$D54))</f>
        <v/>
      </c>
    </row>
    <row r="55" spans="3:15" x14ac:dyDescent="0.25">
      <c r="C55" s="215"/>
      <c r="D55" s="6"/>
      <c r="E55" s="115"/>
      <c r="L55" s="46" t="str">
        <f t="shared" si="1"/>
        <v/>
      </c>
      <c r="M55" s="46" t="str">
        <f>IF($D55="","",COUNTIF(DESIGNAZIONI!P$8:P$1772,$D55))</f>
        <v/>
      </c>
      <c r="N55" s="46" t="str">
        <f>IF($D55="","",COUNTIF(DESIGNAZIONI!Q$8:Q$1772,$D55))</f>
        <v/>
      </c>
      <c r="O55" s="46" t="str">
        <f>IF($D55="","",COUNTIF(DESIGNAZIONI!R$8:R$1772,$D55))</f>
        <v/>
      </c>
    </row>
    <row r="56" spans="3:15" x14ac:dyDescent="0.25">
      <c r="C56" s="215"/>
      <c r="D56" s="6"/>
      <c r="E56" s="115"/>
      <c r="L56" s="46" t="str">
        <f t="shared" si="1"/>
        <v/>
      </c>
      <c r="M56" s="46" t="str">
        <f>IF($D56="","",COUNTIF(DESIGNAZIONI!P$8:P$1772,$D56))</f>
        <v/>
      </c>
      <c r="N56" s="46" t="str">
        <f>IF($D56="","",COUNTIF(DESIGNAZIONI!Q$8:Q$1772,$D56))</f>
        <v/>
      </c>
      <c r="O56" s="46" t="str">
        <f>IF($D56="","",COUNTIF(DESIGNAZIONI!R$8:R$1772,$D56))</f>
        <v/>
      </c>
    </row>
    <row r="57" spans="3:15" x14ac:dyDescent="0.25">
      <c r="C57" s="215"/>
      <c r="D57" s="6"/>
      <c r="E57" s="115"/>
      <c r="L57" s="46" t="str">
        <f t="shared" si="1"/>
        <v/>
      </c>
      <c r="M57" s="46" t="str">
        <f>IF($D57="","",COUNTIF(DESIGNAZIONI!P$8:P$1772,$D57))</f>
        <v/>
      </c>
      <c r="N57" s="46" t="str">
        <f>IF($D57="","",COUNTIF(DESIGNAZIONI!Q$8:Q$1772,$D57))</f>
        <v/>
      </c>
      <c r="O57" s="46" t="str">
        <f>IF($D57="","",COUNTIF(DESIGNAZIONI!R$8:R$1772,$D57))</f>
        <v/>
      </c>
    </row>
    <row r="58" spans="3:15" x14ac:dyDescent="0.25">
      <c r="C58" s="215"/>
      <c r="D58" s="6"/>
      <c r="E58" s="115"/>
      <c r="L58" s="46" t="str">
        <f t="shared" si="1"/>
        <v/>
      </c>
      <c r="M58" s="46" t="str">
        <f>IF($D58="","",COUNTIF(DESIGNAZIONI!P$8:P$1772,$D58))</f>
        <v/>
      </c>
      <c r="N58" s="46" t="str">
        <f>IF($D58="","",COUNTIF(DESIGNAZIONI!Q$8:Q$1772,$D58))</f>
        <v/>
      </c>
      <c r="O58" s="46" t="str">
        <f>IF($D58="","",COUNTIF(DESIGNAZIONI!R$8:R$1772,$D58))</f>
        <v/>
      </c>
    </row>
    <row r="59" spans="3:15" x14ac:dyDescent="0.25">
      <c r="C59" s="215"/>
      <c r="D59" s="6"/>
      <c r="E59" s="115"/>
      <c r="L59" s="46" t="str">
        <f t="shared" si="1"/>
        <v/>
      </c>
      <c r="M59" s="46" t="str">
        <f>IF($D59="","",COUNTIF(DESIGNAZIONI!P$8:P$1772,$D59))</f>
        <v/>
      </c>
      <c r="N59" s="46" t="str">
        <f>IF($D59="","",COUNTIF(DESIGNAZIONI!Q$8:Q$1772,$D59))</f>
        <v/>
      </c>
      <c r="O59" s="46" t="str">
        <f>IF($D59="","",COUNTIF(DESIGNAZIONI!R$8:R$1772,$D59))</f>
        <v/>
      </c>
    </row>
    <row r="60" spans="3:15" x14ac:dyDescent="0.25">
      <c r="C60" s="215"/>
      <c r="D60" s="6"/>
      <c r="E60" s="115"/>
      <c r="L60" s="46" t="str">
        <f t="shared" si="1"/>
        <v/>
      </c>
      <c r="M60" s="46" t="str">
        <f>IF($D60="","",COUNTIF(DESIGNAZIONI!P$8:P$1772,$D60))</f>
        <v/>
      </c>
      <c r="N60" s="46" t="str">
        <f>IF($D60="","",COUNTIF(DESIGNAZIONI!Q$8:Q$1772,$D60))</f>
        <v/>
      </c>
      <c r="O60" s="46" t="str">
        <f>IF($D60="","",COUNTIF(DESIGNAZIONI!R$8:R$1772,$D60))</f>
        <v/>
      </c>
    </row>
    <row r="61" spans="3:15" x14ac:dyDescent="0.25">
      <c r="C61" s="215"/>
      <c r="D61" s="6"/>
      <c r="E61" s="115"/>
      <c r="L61" s="46" t="str">
        <f t="shared" si="1"/>
        <v/>
      </c>
      <c r="M61" s="46" t="str">
        <f>IF($D61="","",COUNTIF(DESIGNAZIONI!P$8:P$1772,$D61))</f>
        <v/>
      </c>
      <c r="N61" s="46" t="str">
        <f>IF($D61="","",COUNTIF(DESIGNAZIONI!Q$8:Q$1772,$D61))</f>
        <v/>
      </c>
      <c r="O61" s="46" t="str">
        <f>IF($D61="","",COUNTIF(DESIGNAZIONI!R$8:R$1772,$D61))</f>
        <v/>
      </c>
    </row>
    <row r="62" spans="3:15" x14ac:dyDescent="0.25">
      <c r="C62" s="215"/>
      <c r="D62" s="6"/>
      <c r="E62" s="115"/>
      <c r="L62" s="46" t="str">
        <f t="shared" si="1"/>
        <v/>
      </c>
      <c r="M62" s="46" t="str">
        <f>IF($D62="","",COUNTIF(DESIGNAZIONI!P$8:P$1772,$D62))</f>
        <v/>
      </c>
      <c r="N62" s="46" t="str">
        <f>IF($D62="","",COUNTIF(DESIGNAZIONI!Q$8:Q$1772,$D62))</f>
        <v/>
      </c>
      <c r="O62" s="46" t="str">
        <f>IF($D62="","",COUNTIF(DESIGNAZIONI!R$8:R$1772,$D62))</f>
        <v/>
      </c>
    </row>
    <row r="63" spans="3:15" x14ac:dyDescent="0.25">
      <c r="C63" s="215"/>
      <c r="D63" s="6"/>
      <c r="E63" s="115"/>
      <c r="L63" s="46" t="str">
        <f t="shared" si="1"/>
        <v/>
      </c>
      <c r="M63" s="46" t="str">
        <f>IF($D63="","",COUNTIF(DESIGNAZIONI!P$8:P$1772,$D63))</f>
        <v/>
      </c>
      <c r="N63" s="46" t="str">
        <f>IF($D63="","",COUNTIF(DESIGNAZIONI!Q$8:Q$1772,$D63))</f>
        <v/>
      </c>
      <c r="O63" s="46" t="str">
        <f>IF($D63="","",COUNTIF(DESIGNAZIONI!R$8:R$1772,$D63))</f>
        <v/>
      </c>
    </row>
    <row r="64" spans="3:15" x14ac:dyDescent="0.25">
      <c r="C64" s="215"/>
      <c r="D64" s="6"/>
      <c r="E64" s="115"/>
      <c r="L64" s="46" t="str">
        <f t="shared" si="1"/>
        <v/>
      </c>
      <c r="M64" s="46" t="str">
        <f>IF($D64="","",COUNTIF(DESIGNAZIONI!P$8:P$1772,$D64))</f>
        <v/>
      </c>
      <c r="N64" s="46" t="str">
        <f>IF($D64="","",COUNTIF(DESIGNAZIONI!Q$8:Q$1772,$D64))</f>
        <v/>
      </c>
      <c r="O64" s="46" t="str">
        <f>IF($D64="","",COUNTIF(DESIGNAZIONI!R$8:R$1772,$D64))</f>
        <v/>
      </c>
    </row>
    <row r="65" spans="3:15" x14ac:dyDescent="0.25">
      <c r="C65" s="215"/>
      <c r="D65" s="6"/>
      <c r="E65" s="115"/>
      <c r="L65" s="46" t="str">
        <f t="shared" si="1"/>
        <v/>
      </c>
      <c r="M65" s="46" t="str">
        <f>IF($D65="","",COUNTIF(DESIGNAZIONI!P$8:P$1772,$D65))</f>
        <v/>
      </c>
      <c r="N65" s="46" t="str">
        <f>IF($D65="","",COUNTIF(DESIGNAZIONI!Q$8:Q$1772,$D65))</f>
        <v/>
      </c>
      <c r="O65" s="46" t="str">
        <f>IF($D65="","",COUNTIF(DESIGNAZIONI!R$8:R$1772,$D65))</f>
        <v/>
      </c>
    </row>
    <row r="66" spans="3:15" x14ac:dyDescent="0.25">
      <c r="C66" s="215"/>
      <c r="D66" s="6"/>
      <c r="E66" s="115"/>
      <c r="L66" s="46" t="str">
        <f t="shared" si="1"/>
        <v/>
      </c>
      <c r="M66" s="46" t="str">
        <f>IF($D66="","",COUNTIF(DESIGNAZIONI!P$8:P$1772,$D66))</f>
        <v/>
      </c>
      <c r="N66" s="46" t="str">
        <f>IF($D66="","",COUNTIF(DESIGNAZIONI!Q$8:Q$1772,$D66))</f>
        <v/>
      </c>
      <c r="O66" s="46" t="str">
        <f>IF($D66="","",COUNTIF(DESIGNAZIONI!R$8:R$1772,$D66))</f>
        <v/>
      </c>
    </row>
    <row r="67" spans="3:15" x14ac:dyDescent="0.25">
      <c r="C67" s="215"/>
      <c r="D67" s="6"/>
      <c r="E67" s="115"/>
      <c r="L67" s="46" t="str">
        <f t="shared" si="1"/>
        <v/>
      </c>
      <c r="M67" s="46" t="str">
        <f>IF($D67="","",COUNTIF(DESIGNAZIONI!P$8:P$1772,$D67))</f>
        <v/>
      </c>
      <c r="N67" s="46" t="str">
        <f>IF($D67="","",COUNTIF(DESIGNAZIONI!Q$8:Q$1772,$D67))</f>
        <v/>
      </c>
      <c r="O67" s="46" t="str">
        <f>IF($D67="","",COUNTIF(DESIGNAZIONI!R$8:R$1772,$D67))</f>
        <v/>
      </c>
    </row>
    <row r="68" spans="3:15" x14ac:dyDescent="0.25">
      <c r="C68" s="215"/>
      <c r="D68" s="6"/>
      <c r="E68" s="115"/>
      <c r="L68" s="46" t="str">
        <f t="shared" si="1"/>
        <v/>
      </c>
      <c r="M68" s="46" t="str">
        <f>IF($D68="","",COUNTIF(DESIGNAZIONI!P$8:P$1772,$D68))</f>
        <v/>
      </c>
      <c r="N68" s="46" t="str">
        <f>IF($D68="","",COUNTIF(DESIGNAZIONI!Q$8:Q$1772,$D68))</f>
        <v/>
      </c>
      <c r="O68" s="46" t="str">
        <f>IF($D68="","",COUNTIF(DESIGNAZIONI!R$8:R$1772,$D68))</f>
        <v/>
      </c>
    </row>
    <row r="69" spans="3:15" x14ac:dyDescent="0.25">
      <c r="C69" s="215"/>
      <c r="D69" s="6"/>
      <c r="E69" s="115"/>
      <c r="L69" s="46" t="str">
        <f t="shared" ref="L69:L100" si="2">IF($D69="","",SUM(M69:O69))</f>
        <v/>
      </c>
      <c r="M69" s="46" t="str">
        <f>IF($D69="","",COUNTIF(DESIGNAZIONI!P$8:P$1772,$D69))</f>
        <v/>
      </c>
      <c r="N69" s="46" t="str">
        <f>IF($D69="","",COUNTIF(DESIGNAZIONI!Q$8:Q$1772,$D69))</f>
        <v/>
      </c>
      <c r="O69" s="46" t="str">
        <f>IF($D69="","",COUNTIF(DESIGNAZIONI!R$8:R$1772,$D69))</f>
        <v/>
      </c>
    </row>
    <row r="70" spans="3:15" x14ac:dyDescent="0.25">
      <c r="C70" s="215"/>
      <c r="D70" s="6"/>
      <c r="E70" s="115"/>
      <c r="L70" s="46" t="str">
        <f t="shared" si="2"/>
        <v/>
      </c>
      <c r="M70" s="46" t="str">
        <f>IF($D70="","",COUNTIF(DESIGNAZIONI!P$8:P$1772,$D70))</f>
        <v/>
      </c>
      <c r="N70" s="46" t="str">
        <f>IF($D70="","",COUNTIF(DESIGNAZIONI!Q$8:Q$1772,$D70))</f>
        <v/>
      </c>
      <c r="O70" s="46" t="str">
        <f>IF($D70="","",COUNTIF(DESIGNAZIONI!R$8:R$1772,$D70))</f>
        <v/>
      </c>
    </row>
    <row r="71" spans="3:15" x14ac:dyDescent="0.25">
      <c r="C71" s="215"/>
      <c r="D71" s="6"/>
      <c r="E71" s="115"/>
      <c r="L71" s="46" t="str">
        <f t="shared" si="2"/>
        <v/>
      </c>
      <c r="M71" s="46" t="str">
        <f>IF($D71="","",COUNTIF(DESIGNAZIONI!P$8:P$1772,$D71))</f>
        <v/>
      </c>
      <c r="N71" s="46" t="str">
        <f>IF($D71="","",COUNTIF(DESIGNAZIONI!Q$8:Q$1772,$D71))</f>
        <v/>
      </c>
      <c r="O71" s="46" t="str">
        <f>IF($D71="","",COUNTIF(DESIGNAZIONI!R$8:R$1772,$D71))</f>
        <v/>
      </c>
    </row>
    <row r="72" spans="3:15" x14ac:dyDescent="0.25">
      <c r="C72" s="215"/>
      <c r="D72" s="6"/>
      <c r="E72" s="115"/>
      <c r="L72" s="46" t="str">
        <f t="shared" si="2"/>
        <v/>
      </c>
      <c r="M72" s="46" t="str">
        <f>IF($D72="","",COUNTIF(DESIGNAZIONI!P$8:P$1772,$D72))</f>
        <v/>
      </c>
      <c r="N72" s="46" t="str">
        <f>IF($D72="","",COUNTIF(DESIGNAZIONI!Q$8:Q$1772,$D72))</f>
        <v/>
      </c>
      <c r="O72" s="46" t="str">
        <f>IF($D72="","",COUNTIF(DESIGNAZIONI!R$8:R$1772,$D72))</f>
        <v/>
      </c>
    </row>
    <row r="73" spans="3:15" x14ac:dyDescent="0.25">
      <c r="C73" s="215"/>
      <c r="D73" s="6"/>
      <c r="E73" s="115"/>
      <c r="L73" s="46" t="str">
        <f t="shared" si="2"/>
        <v/>
      </c>
      <c r="M73" s="46" t="str">
        <f>IF($D73="","",COUNTIF(DESIGNAZIONI!P$8:P$1772,$D73))</f>
        <v/>
      </c>
      <c r="N73" s="46" t="str">
        <f>IF($D73="","",COUNTIF(DESIGNAZIONI!Q$8:Q$1772,$D73))</f>
        <v/>
      </c>
      <c r="O73" s="46" t="str">
        <f>IF($D73="","",COUNTIF(DESIGNAZIONI!R$8:R$1772,$D73))</f>
        <v/>
      </c>
    </row>
    <row r="74" spans="3:15" x14ac:dyDescent="0.25">
      <c r="C74" s="215"/>
      <c r="D74" s="6"/>
      <c r="E74" s="115"/>
      <c r="L74" s="46" t="str">
        <f t="shared" si="2"/>
        <v/>
      </c>
      <c r="M74" s="46" t="str">
        <f>IF($D74="","",COUNTIF(DESIGNAZIONI!P$8:P$1772,$D74))</f>
        <v/>
      </c>
      <c r="N74" s="46" t="str">
        <f>IF($D74="","",COUNTIF(DESIGNAZIONI!Q$8:Q$1772,$D74))</f>
        <v/>
      </c>
      <c r="O74" s="46" t="str">
        <f>IF($D74="","",COUNTIF(DESIGNAZIONI!R$8:R$1772,$D74))</f>
        <v/>
      </c>
    </row>
    <row r="75" spans="3:15" x14ac:dyDescent="0.25">
      <c r="C75" s="215"/>
      <c r="D75" s="6"/>
      <c r="E75" s="115"/>
      <c r="L75" s="46" t="str">
        <f t="shared" si="2"/>
        <v/>
      </c>
      <c r="M75" s="46" t="str">
        <f>IF($D75="","",COUNTIF(DESIGNAZIONI!P$8:P$1772,$D75))</f>
        <v/>
      </c>
      <c r="N75" s="46" t="str">
        <f>IF($D75="","",COUNTIF(DESIGNAZIONI!Q$8:Q$1772,$D75))</f>
        <v/>
      </c>
      <c r="O75" s="46" t="str">
        <f>IF($D75="","",COUNTIF(DESIGNAZIONI!R$8:R$1772,$D75))</f>
        <v/>
      </c>
    </row>
    <row r="76" spans="3:15" x14ac:dyDescent="0.25">
      <c r="C76" s="215"/>
      <c r="D76" s="6"/>
      <c r="E76" s="115"/>
      <c r="L76" s="46" t="str">
        <f t="shared" si="2"/>
        <v/>
      </c>
      <c r="M76" s="46" t="str">
        <f>IF($D76="","",COUNTIF(DESIGNAZIONI!P$8:P$1772,$D76))</f>
        <v/>
      </c>
      <c r="N76" s="46" t="str">
        <f>IF($D76="","",COUNTIF(DESIGNAZIONI!Q$8:Q$1772,$D76))</f>
        <v/>
      </c>
      <c r="O76" s="46" t="str">
        <f>IF($D76="","",COUNTIF(DESIGNAZIONI!R$8:R$1772,$D76))</f>
        <v/>
      </c>
    </row>
    <row r="77" spans="3:15" x14ac:dyDescent="0.25">
      <c r="C77" s="215"/>
      <c r="D77" s="6"/>
      <c r="E77" s="115"/>
      <c r="L77" s="46" t="str">
        <f t="shared" si="2"/>
        <v/>
      </c>
      <c r="M77" s="46" t="str">
        <f>IF($D77="","",COUNTIF(DESIGNAZIONI!P$8:P$1772,$D77))</f>
        <v/>
      </c>
      <c r="N77" s="46" t="str">
        <f>IF($D77="","",COUNTIF(DESIGNAZIONI!Q$8:Q$1772,$D77))</f>
        <v/>
      </c>
      <c r="O77" s="46" t="str">
        <f>IF($D77="","",COUNTIF(DESIGNAZIONI!R$8:R$1772,$D77))</f>
        <v/>
      </c>
    </row>
    <row r="78" spans="3:15" x14ac:dyDescent="0.25">
      <c r="C78" s="215"/>
      <c r="D78" s="6"/>
      <c r="E78" s="115"/>
      <c r="L78" s="46" t="str">
        <f t="shared" si="2"/>
        <v/>
      </c>
      <c r="M78" s="46" t="str">
        <f>IF($D78="","",COUNTIF(DESIGNAZIONI!P$8:P$1772,$D78))</f>
        <v/>
      </c>
      <c r="N78" s="46" t="str">
        <f>IF($D78="","",COUNTIF(DESIGNAZIONI!Q$8:Q$1772,$D78))</f>
        <v/>
      </c>
      <c r="O78" s="46" t="str">
        <f>IF($D78="","",COUNTIF(DESIGNAZIONI!R$8:R$1772,$D78))</f>
        <v/>
      </c>
    </row>
    <row r="79" spans="3:15" x14ac:dyDescent="0.25">
      <c r="C79" s="215"/>
      <c r="D79" s="6"/>
      <c r="E79" s="115"/>
      <c r="L79" s="46" t="str">
        <f t="shared" si="2"/>
        <v/>
      </c>
      <c r="M79" s="46" t="str">
        <f>IF($D79="","",COUNTIF(DESIGNAZIONI!P$8:P$1772,$D79))</f>
        <v/>
      </c>
      <c r="N79" s="46" t="str">
        <f>IF($D79="","",COUNTIF(DESIGNAZIONI!Q$8:Q$1772,$D79))</f>
        <v/>
      </c>
      <c r="O79" s="46" t="str">
        <f>IF($D79="","",COUNTIF(DESIGNAZIONI!R$8:R$1772,$D79))</f>
        <v/>
      </c>
    </row>
    <row r="80" spans="3:15" x14ac:dyDescent="0.25">
      <c r="C80" s="215"/>
      <c r="D80" s="6"/>
      <c r="E80" s="115"/>
      <c r="L80" s="46" t="str">
        <f t="shared" si="2"/>
        <v/>
      </c>
      <c r="M80" s="46" t="str">
        <f>IF($D80="","",COUNTIF(DESIGNAZIONI!P$8:P$1772,$D80))</f>
        <v/>
      </c>
      <c r="N80" s="46" t="str">
        <f>IF($D80="","",COUNTIF(DESIGNAZIONI!Q$8:Q$1772,$D80))</f>
        <v/>
      </c>
      <c r="O80" s="46" t="str">
        <f>IF($D80="","",COUNTIF(DESIGNAZIONI!R$8:R$1772,$D80))</f>
        <v/>
      </c>
    </row>
    <row r="81" spans="3:15" x14ac:dyDescent="0.25">
      <c r="C81" s="215"/>
      <c r="D81" s="6"/>
      <c r="E81" s="115"/>
      <c r="L81" s="46" t="str">
        <f t="shared" si="2"/>
        <v/>
      </c>
      <c r="M81" s="46" t="str">
        <f>IF($D81="","",COUNTIF(DESIGNAZIONI!P$8:P$1772,$D81))</f>
        <v/>
      </c>
      <c r="N81" s="46" t="str">
        <f>IF($D81="","",COUNTIF(DESIGNAZIONI!Q$8:Q$1772,$D81))</f>
        <v/>
      </c>
      <c r="O81" s="46" t="str">
        <f>IF($D81="","",COUNTIF(DESIGNAZIONI!R$8:R$1772,$D81))</f>
        <v/>
      </c>
    </row>
    <row r="82" spans="3:15" x14ac:dyDescent="0.25">
      <c r="C82" s="215"/>
      <c r="D82" s="6"/>
      <c r="E82" s="115"/>
      <c r="L82" s="46" t="str">
        <f t="shared" si="2"/>
        <v/>
      </c>
      <c r="M82" s="46" t="str">
        <f>IF($D82="","",COUNTIF(DESIGNAZIONI!P$8:P$1772,$D82))</f>
        <v/>
      </c>
      <c r="N82" s="46" t="str">
        <f>IF($D82="","",COUNTIF(DESIGNAZIONI!Q$8:Q$1772,$D82))</f>
        <v/>
      </c>
      <c r="O82" s="46" t="str">
        <f>IF($D82="","",COUNTIF(DESIGNAZIONI!R$8:R$1772,$D82))</f>
        <v/>
      </c>
    </row>
    <row r="83" spans="3:15" x14ac:dyDescent="0.25">
      <c r="C83" s="215"/>
      <c r="D83" s="6"/>
      <c r="E83" s="115"/>
      <c r="L83" s="46" t="str">
        <f t="shared" si="2"/>
        <v/>
      </c>
      <c r="M83" s="46" t="str">
        <f>IF($D83="","",COUNTIF(DESIGNAZIONI!P$8:P$1772,$D83))</f>
        <v/>
      </c>
      <c r="N83" s="46" t="str">
        <f>IF($D83="","",COUNTIF(DESIGNAZIONI!Q$8:Q$1772,$D83))</f>
        <v/>
      </c>
      <c r="O83" s="46" t="str">
        <f>IF($D83="","",COUNTIF(DESIGNAZIONI!R$8:R$1772,$D83))</f>
        <v/>
      </c>
    </row>
    <row r="84" spans="3:15" x14ac:dyDescent="0.25">
      <c r="C84" s="215"/>
      <c r="D84" s="6"/>
      <c r="E84" s="115"/>
      <c r="L84" s="46" t="str">
        <f t="shared" si="2"/>
        <v/>
      </c>
      <c r="M84" s="46" t="str">
        <f>IF($D84="","",COUNTIF(DESIGNAZIONI!P$8:P$1772,$D84))</f>
        <v/>
      </c>
      <c r="N84" s="46" t="str">
        <f>IF($D84="","",COUNTIF(DESIGNAZIONI!Q$8:Q$1772,$D84))</f>
        <v/>
      </c>
      <c r="O84" s="46" t="str">
        <f>IF($D84="","",COUNTIF(DESIGNAZIONI!R$8:R$1772,$D84))</f>
        <v/>
      </c>
    </row>
    <row r="85" spans="3:15" x14ac:dyDescent="0.25">
      <c r="C85" s="215"/>
      <c r="D85" s="6"/>
      <c r="E85" s="115"/>
      <c r="L85" s="46" t="str">
        <f t="shared" si="2"/>
        <v/>
      </c>
      <c r="M85" s="46" t="str">
        <f>IF($D85="","",COUNTIF(DESIGNAZIONI!P$8:P$1772,$D85))</f>
        <v/>
      </c>
      <c r="N85" s="46" t="str">
        <f>IF($D85="","",COUNTIF(DESIGNAZIONI!Q$8:Q$1772,$D85))</f>
        <v/>
      </c>
      <c r="O85" s="46" t="str">
        <f>IF($D85="","",COUNTIF(DESIGNAZIONI!R$8:R$1772,$D85))</f>
        <v/>
      </c>
    </row>
    <row r="86" spans="3:15" x14ac:dyDescent="0.25">
      <c r="C86" s="215"/>
      <c r="D86" s="6"/>
      <c r="E86" s="115"/>
      <c r="L86" s="46" t="str">
        <f t="shared" si="2"/>
        <v/>
      </c>
      <c r="M86" s="46" t="str">
        <f>IF($D86="","",COUNTIF(DESIGNAZIONI!P$8:P$1772,$D86))</f>
        <v/>
      </c>
      <c r="N86" s="46" t="str">
        <f>IF($D86="","",COUNTIF(DESIGNAZIONI!Q$8:Q$1772,$D86))</f>
        <v/>
      </c>
      <c r="O86" s="46" t="str">
        <f>IF($D86="","",COUNTIF(DESIGNAZIONI!R$8:R$1772,$D86))</f>
        <v/>
      </c>
    </row>
    <row r="87" spans="3:15" x14ac:dyDescent="0.25">
      <c r="C87" s="215"/>
      <c r="D87" s="6"/>
      <c r="E87" s="115"/>
      <c r="L87" s="46" t="str">
        <f t="shared" si="2"/>
        <v/>
      </c>
      <c r="M87" s="46" t="str">
        <f>IF($D87="","",COUNTIF(DESIGNAZIONI!P$8:P$1772,$D87))</f>
        <v/>
      </c>
      <c r="N87" s="46" t="str">
        <f>IF($D87="","",COUNTIF(DESIGNAZIONI!Q$8:Q$1772,$D87))</f>
        <v/>
      </c>
      <c r="O87" s="46" t="str">
        <f>IF($D87="","",COUNTIF(DESIGNAZIONI!R$8:R$1772,$D87))</f>
        <v/>
      </c>
    </row>
    <row r="88" spans="3:15" x14ac:dyDescent="0.25">
      <c r="C88" s="215"/>
      <c r="D88" s="6"/>
      <c r="E88" s="115"/>
      <c r="L88" s="46" t="str">
        <f t="shared" si="2"/>
        <v/>
      </c>
      <c r="M88" s="46" t="str">
        <f>IF($D88="","",COUNTIF(DESIGNAZIONI!P$8:P$1772,$D88))</f>
        <v/>
      </c>
      <c r="N88" s="46" t="str">
        <f>IF($D88="","",COUNTIF(DESIGNAZIONI!Q$8:Q$1772,$D88))</f>
        <v/>
      </c>
      <c r="O88" s="46" t="str">
        <f>IF($D88="","",COUNTIF(DESIGNAZIONI!R$8:R$1772,$D88))</f>
        <v/>
      </c>
    </row>
    <row r="89" spans="3:15" x14ac:dyDescent="0.25">
      <c r="C89" s="215"/>
      <c r="D89" s="6"/>
      <c r="E89" s="115"/>
      <c r="L89" s="46" t="str">
        <f t="shared" si="2"/>
        <v/>
      </c>
      <c r="M89" s="46" t="str">
        <f>IF($D89="","",COUNTIF(DESIGNAZIONI!P$8:P$1772,$D89))</f>
        <v/>
      </c>
      <c r="N89" s="46" t="str">
        <f>IF($D89="","",COUNTIF(DESIGNAZIONI!Q$8:Q$1772,$D89))</f>
        <v/>
      </c>
      <c r="O89" s="46" t="str">
        <f>IF($D89="","",COUNTIF(DESIGNAZIONI!R$8:R$1772,$D89))</f>
        <v/>
      </c>
    </row>
    <row r="90" spans="3:15" x14ac:dyDescent="0.25">
      <c r="C90" s="215"/>
      <c r="D90" s="6"/>
      <c r="E90" s="115"/>
      <c r="L90" s="46" t="str">
        <f t="shared" si="2"/>
        <v/>
      </c>
      <c r="M90" s="46" t="str">
        <f>IF($D90="","",COUNTIF(DESIGNAZIONI!P$8:P$1772,$D90))</f>
        <v/>
      </c>
      <c r="N90" s="46" t="str">
        <f>IF($D90="","",COUNTIF(DESIGNAZIONI!Q$8:Q$1772,$D90))</f>
        <v/>
      </c>
      <c r="O90" s="46" t="str">
        <f>IF($D90="","",COUNTIF(DESIGNAZIONI!R$8:R$1772,$D90))</f>
        <v/>
      </c>
    </row>
    <row r="91" spans="3:15" x14ac:dyDescent="0.25">
      <c r="C91" s="215"/>
      <c r="D91" s="6"/>
      <c r="E91" s="115"/>
      <c r="L91" s="46" t="str">
        <f t="shared" si="2"/>
        <v/>
      </c>
      <c r="M91" s="46" t="str">
        <f>IF($D91="","",COUNTIF(DESIGNAZIONI!P$8:P$1772,$D91))</f>
        <v/>
      </c>
      <c r="N91" s="46" t="str">
        <f>IF($D91="","",COUNTIF(DESIGNAZIONI!Q$8:Q$1772,$D91))</f>
        <v/>
      </c>
      <c r="O91" s="46" t="str">
        <f>IF($D91="","",COUNTIF(DESIGNAZIONI!R$8:R$1772,$D91))</f>
        <v/>
      </c>
    </row>
    <row r="92" spans="3:15" x14ac:dyDescent="0.25">
      <c r="C92" s="215"/>
      <c r="D92" s="6"/>
      <c r="E92" s="115"/>
      <c r="L92" s="46" t="str">
        <f t="shared" si="2"/>
        <v/>
      </c>
      <c r="M92" s="46" t="str">
        <f>IF($D92="","",COUNTIF(DESIGNAZIONI!P$8:P$1772,$D92))</f>
        <v/>
      </c>
      <c r="N92" s="46" t="str">
        <f>IF($D92="","",COUNTIF(DESIGNAZIONI!Q$8:Q$1772,$D92))</f>
        <v/>
      </c>
      <c r="O92" s="46" t="str">
        <f>IF($D92="","",COUNTIF(DESIGNAZIONI!R$8:R$1772,$D92))</f>
        <v/>
      </c>
    </row>
    <row r="93" spans="3:15" x14ac:dyDescent="0.25">
      <c r="C93" s="215"/>
      <c r="D93" s="6"/>
      <c r="E93" s="115"/>
      <c r="L93" s="46" t="str">
        <f t="shared" si="2"/>
        <v/>
      </c>
      <c r="M93" s="46" t="str">
        <f>IF($D93="","",COUNTIF(DESIGNAZIONI!P$8:P$1772,$D93))</f>
        <v/>
      </c>
      <c r="N93" s="46" t="str">
        <f>IF($D93="","",COUNTIF(DESIGNAZIONI!Q$8:Q$1772,$D93))</f>
        <v/>
      </c>
      <c r="O93" s="46" t="str">
        <f>IF($D93="","",COUNTIF(DESIGNAZIONI!R$8:R$1772,$D93))</f>
        <v/>
      </c>
    </row>
    <row r="94" spans="3:15" x14ac:dyDescent="0.25">
      <c r="C94" s="215"/>
      <c r="D94" s="6"/>
      <c r="E94" s="115"/>
      <c r="L94" s="46" t="str">
        <f t="shared" si="2"/>
        <v/>
      </c>
      <c r="M94" s="46" t="str">
        <f>IF($D94="","",COUNTIF(DESIGNAZIONI!P$8:P$1772,$D94))</f>
        <v/>
      </c>
      <c r="N94" s="46" t="str">
        <f>IF($D94="","",COUNTIF(DESIGNAZIONI!Q$8:Q$1772,$D94))</f>
        <v/>
      </c>
      <c r="O94" s="46" t="str">
        <f>IF($D94="","",COUNTIF(DESIGNAZIONI!R$8:R$1772,$D94))</f>
        <v/>
      </c>
    </row>
    <row r="95" spans="3:15" x14ac:dyDescent="0.25">
      <c r="C95" s="215"/>
      <c r="D95" s="6"/>
      <c r="E95" s="115"/>
      <c r="L95" s="46" t="str">
        <f t="shared" si="2"/>
        <v/>
      </c>
      <c r="M95" s="46" t="str">
        <f>IF($D95="","",COUNTIF(DESIGNAZIONI!P$8:P$1772,$D95))</f>
        <v/>
      </c>
      <c r="N95" s="46" t="str">
        <f>IF($D95="","",COUNTIF(DESIGNAZIONI!Q$8:Q$1772,$D95))</f>
        <v/>
      </c>
      <c r="O95" s="46" t="str">
        <f>IF($D95="","",COUNTIF(DESIGNAZIONI!R$8:R$1772,$D95))</f>
        <v/>
      </c>
    </row>
    <row r="96" spans="3:15" x14ac:dyDescent="0.25">
      <c r="C96" s="215"/>
      <c r="D96" s="6"/>
      <c r="E96" s="115"/>
      <c r="L96" s="46" t="str">
        <f t="shared" si="2"/>
        <v/>
      </c>
      <c r="M96" s="46" t="str">
        <f>IF($D96="","",COUNTIF(DESIGNAZIONI!P$8:P$1772,$D96))</f>
        <v/>
      </c>
      <c r="N96" s="46" t="str">
        <f>IF($D96="","",COUNTIF(DESIGNAZIONI!Q$8:Q$1772,$D96))</f>
        <v/>
      </c>
      <c r="O96" s="46" t="str">
        <f>IF($D96="","",COUNTIF(DESIGNAZIONI!R$8:R$1772,$D96))</f>
        <v/>
      </c>
    </row>
    <row r="97" spans="3:15" x14ac:dyDescent="0.25">
      <c r="C97" s="215"/>
      <c r="D97" s="6"/>
      <c r="E97" s="115"/>
      <c r="L97" s="46" t="str">
        <f t="shared" si="2"/>
        <v/>
      </c>
      <c r="M97" s="46" t="str">
        <f>IF($D97="","",COUNTIF(DESIGNAZIONI!P$8:P$1772,$D97))</f>
        <v/>
      </c>
      <c r="N97" s="46" t="str">
        <f>IF($D97="","",COUNTIF(DESIGNAZIONI!Q$8:Q$1772,$D97))</f>
        <v/>
      </c>
      <c r="O97" s="46" t="str">
        <f>IF($D97="","",COUNTIF(DESIGNAZIONI!R$8:R$1772,$D97))</f>
        <v/>
      </c>
    </row>
    <row r="98" spans="3:15" x14ac:dyDescent="0.25">
      <c r="C98" s="215"/>
      <c r="D98" s="6"/>
      <c r="E98" s="115"/>
      <c r="L98" s="46" t="str">
        <f t="shared" si="2"/>
        <v/>
      </c>
      <c r="M98" s="46" t="str">
        <f>IF($D98="","",COUNTIF(DESIGNAZIONI!P$8:P$1772,$D98))</f>
        <v/>
      </c>
      <c r="N98" s="46" t="str">
        <f>IF($D98="","",COUNTIF(DESIGNAZIONI!Q$8:Q$1772,$D98))</f>
        <v/>
      </c>
      <c r="O98" s="46" t="str">
        <f>IF($D98="","",COUNTIF(DESIGNAZIONI!R$8:R$1772,$D98))</f>
        <v/>
      </c>
    </row>
    <row r="99" spans="3:15" x14ac:dyDescent="0.25">
      <c r="C99" s="215"/>
      <c r="D99" s="6"/>
      <c r="E99" s="115"/>
      <c r="L99" s="46" t="str">
        <f t="shared" si="2"/>
        <v/>
      </c>
      <c r="M99" s="46" t="str">
        <f>IF($D99="","",COUNTIF(DESIGNAZIONI!P$8:P$1772,$D99))</f>
        <v/>
      </c>
      <c r="N99" s="46" t="str">
        <f>IF($D99="","",COUNTIF(DESIGNAZIONI!Q$8:Q$1772,$D99))</f>
        <v/>
      </c>
      <c r="O99" s="46" t="str">
        <f>IF($D99="","",COUNTIF(DESIGNAZIONI!R$8:R$1772,$D99))</f>
        <v/>
      </c>
    </row>
    <row r="100" spans="3:15" x14ac:dyDescent="0.25">
      <c r="C100" s="215"/>
      <c r="D100" s="6"/>
      <c r="E100" s="115"/>
      <c r="L100" s="46" t="str">
        <f t="shared" si="2"/>
        <v/>
      </c>
      <c r="M100" s="46" t="str">
        <f>IF($D100="","",COUNTIF(DESIGNAZIONI!P$8:P$1772,$D100))</f>
        <v/>
      </c>
      <c r="N100" s="46" t="str">
        <f>IF($D100="","",COUNTIF(DESIGNAZIONI!Q$8:Q$1772,$D100))</f>
        <v/>
      </c>
      <c r="O100" s="46" t="str">
        <f>IF($D100="","",COUNTIF(DESIGNAZIONI!R$8:R$1772,$D100))</f>
        <v/>
      </c>
    </row>
    <row r="101" spans="3:15" x14ac:dyDescent="0.25">
      <c r="C101" s="215"/>
      <c r="D101" s="6"/>
      <c r="E101" s="115"/>
      <c r="L101" s="46" t="str">
        <f t="shared" ref="L101:L104" si="3">IF($D101="","",SUM(M101:O101))</f>
        <v/>
      </c>
      <c r="M101" s="46" t="str">
        <f>IF($D101="","",COUNTIF(DESIGNAZIONI!P$8:P$1772,$D101))</f>
        <v/>
      </c>
      <c r="N101" s="46" t="str">
        <f>IF($D101="","",COUNTIF(DESIGNAZIONI!Q$8:Q$1772,$D101))</f>
        <v/>
      </c>
      <c r="O101" s="46" t="str">
        <f>IF($D101="","",COUNTIF(DESIGNAZIONI!R$8:R$1772,$D101))</f>
        <v/>
      </c>
    </row>
    <row r="102" spans="3:15" x14ac:dyDescent="0.25">
      <c r="C102" s="215"/>
      <c r="D102" s="6"/>
      <c r="E102" s="115"/>
      <c r="L102" s="46" t="str">
        <f t="shared" si="3"/>
        <v/>
      </c>
      <c r="M102" s="46" t="str">
        <f>IF($D102="","",COUNTIF(DESIGNAZIONI!P$8:P$1772,$D102))</f>
        <v/>
      </c>
      <c r="N102" s="46" t="str">
        <f>IF($D102="","",COUNTIF(DESIGNAZIONI!Q$8:Q$1772,$D102))</f>
        <v/>
      </c>
      <c r="O102" s="46" t="str">
        <f>IF($D102="","",COUNTIF(DESIGNAZIONI!R$8:R$1772,$D102))</f>
        <v/>
      </c>
    </row>
    <row r="103" spans="3:15" x14ac:dyDescent="0.25">
      <c r="C103" s="215"/>
      <c r="D103" s="6"/>
      <c r="E103" s="115"/>
      <c r="L103" s="46" t="str">
        <f t="shared" si="3"/>
        <v/>
      </c>
      <c r="M103" s="46" t="str">
        <f>IF($D103="","",COUNTIF(DESIGNAZIONI!P$8:P$1772,$D103))</f>
        <v/>
      </c>
      <c r="N103" s="46" t="str">
        <f>IF($D103="","",COUNTIF(DESIGNAZIONI!Q$8:Q$1772,$D103))</f>
        <v/>
      </c>
      <c r="O103" s="46" t="str">
        <f>IF($D103="","",COUNTIF(DESIGNAZIONI!R$8:R$1772,$D103))</f>
        <v/>
      </c>
    </row>
    <row r="104" spans="3:15" x14ac:dyDescent="0.25">
      <c r="C104" s="133"/>
      <c r="D104" s="6"/>
      <c r="E104" s="115"/>
      <c r="L104" s="46" t="str">
        <f t="shared" si="3"/>
        <v/>
      </c>
      <c r="M104" s="46" t="str">
        <f>IF($D104="","",COUNTIF(DESIGNAZIONI!P$8:P$1772,$D104))</f>
        <v/>
      </c>
      <c r="N104" s="46" t="str">
        <f>IF($D104="","",COUNTIF(DESIGNAZIONI!Q$8:Q$1772,$D104))</f>
        <v/>
      </c>
      <c r="O104" s="46" t="str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0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0" t="s">
        <v>506</v>
      </c>
    </row>
    <row r="3" spans="1:1" x14ac:dyDescent="0.25">
      <c r="A3" s="118" t="s">
        <v>507</v>
      </c>
    </row>
    <row r="4" spans="1:1" x14ac:dyDescent="0.25">
      <c r="A4" s="119" t="s">
        <v>508</v>
      </c>
    </row>
    <row r="5" spans="1:1" ht="25.5" x14ac:dyDescent="0.25">
      <c r="A5" s="118" t="s">
        <v>509</v>
      </c>
    </row>
    <row r="6" spans="1:1" ht="25.5" x14ac:dyDescent="0.25">
      <c r="A6" s="118" t="s">
        <v>510</v>
      </c>
    </row>
    <row r="7" spans="1:1" ht="25.5" x14ac:dyDescent="0.25">
      <c r="A7" s="118" t="s">
        <v>511</v>
      </c>
    </row>
    <row r="8" spans="1:1" x14ac:dyDescent="0.25">
      <c r="A8" s="118" t="s">
        <v>512</v>
      </c>
    </row>
    <row r="9" spans="1:1" x14ac:dyDescent="0.25">
      <c r="A9" s="118" t="s">
        <v>513</v>
      </c>
    </row>
    <row r="10" spans="1:1" x14ac:dyDescent="0.25">
      <c r="A10" s="118" t="s">
        <v>514</v>
      </c>
    </row>
    <row r="11" spans="1:1" x14ac:dyDescent="0.25">
      <c r="A11" s="118" t="s">
        <v>515</v>
      </c>
    </row>
    <row r="12" spans="1:1" x14ac:dyDescent="0.25">
      <c r="A12" s="118" t="s">
        <v>516</v>
      </c>
    </row>
    <row r="13" spans="1:1" x14ac:dyDescent="0.25">
      <c r="A13" s="118" t="s">
        <v>517</v>
      </c>
    </row>
    <row r="14" spans="1:1" x14ac:dyDescent="0.25">
      <c r="A14" s="118" t="s">
        <v>518</v>
      </c>
    </row>
    <row r="15" spans="1:1" x14ac:dyDescent="0.25">
      <c r="A15" s="118" t="s">
        <v>519</v>
      </c>
    </row>
    <row r="16" spans="1:1" x14ac:dyDescent="0.25">
      <c r="A16" s="118" t="s">
        <v>520</v>
      </c>
    </row>
    <row r="17" spans="1:1" x14ac:dyDescent="0.25">
      <c r="A17" s="118" t="s">
        <v>521</v>
      </c>
    </row>
    <row r="18" spans="1:1" x14ac:dyDescent="0.25">
      <c r="A18" s="118" t="s">
        <v>522</v>
      </c>
    </row>
    <row r="19" spans="1:1" x14ac:dyDescent="0.25">
      <c r="A19" s="118" t="s">
        <v>523</v>
      </c>
    </row>
    <row r="20" spans="1:1" x14ac:dyDescent="0.25">
      <c r="A20" s="118" t="s">
        <v>524</v>
      </c>
    </row>
    <row r="21" spans="1:1" x14ac:dyDescent="0.25">
      <c r="A21" s="118" t="s">
        <v>525</v>
      </c>
    </row>
    <row r="22" spans="1:1" x14ac:dyDescent="0.25">
      <c r="A22" s="118" t="s">
        <v>526</v>
      </c>
    </row>
    <row r="23" spans="1:1" x14ac:dyDescent="0.25">
      <c r="A23" s="118" t="s">
        <v>527</v>
      </c>
    </row>
    <row r="24" spans="1:1" x14ac:dyDescent="0.25">
      <c r="A24" s="118" t="s">
        <v>528</v>
      </c>
    </row>
    <row r="25" spans="1:1" x14ac:dyDescent="0.25">
      <c r="A25" s="118" t="s">
        <v>529</v>
      </c>
    </row>
    <row r="26" spans="1:1" x14ac:dyDescent="0.25">
      <c r="A26" s="118" t="s">
        <v>530</v>
      </c>
    </row>
    <row r="27" spans="1:1" x14ac:dyDescent="0.25">
      <c r="A27" s="118" t="s">
        <v>531</v>
      </c>
    </row>
    <row r="28" spans="1:1" x14ac:dyDescent="0.25">
      <c r="A28" s="118" t="s">
        <v>532</v>
      </c>
    </row>
    <row r="29" spans="1:1" x14ac:dyDescent="0.25">
      <c r="A29" s="118" t="s">
        <v>533</v>
      </c>
    </row>
    <row r="30" spans="1:1" x14ac:dyDescent="0.25">
      <c r="A30" s="118" t="s">
        <v>534</v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48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535</v>
      </c>
      <c r="C1" s="41" t="s">
        <v>536</v>
      </c>
      <c r="D1" s="41" t="s">
        <v>537</v>
      </c>
      <c r="E1" s="41" t="s">
        <v>538</v>
      </c>
      <c r="F1" s="41" t="s">
        <v>539</v>
      </c>
      <c r="G1" s="41" t="s">
        <v>540</v>
      </c>
      <c r="H1" s="41" t="s">
        <v>541</v>
      </c>
      <c r="I1" s="41" t="s">
        <v>542</v>
      </c>
    </row>
    <row r="2" spans="1:9" x14ac:dyDescent="0.25">
      <c r="A2" s="48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48" t="str">
        <f>IF('Calendario A'!$B10="","",'Calendario A'!$B10&amp;" vs "&amp;'Calendario A'!$D10&amp;" "&amp;'Calendario A'!$AC10)</f>
        <v/>
      </c>
      <c r="C2" s="116" t="str">
        <f>IF($B2="","",DATE(YEAR('Calendario A'!$F10),MONTH('Calendario A'!$F10),DAY('Calendario A'!$F10)))</f>
        <v/>
      </c>
      <c r="D2" s="117" t="str">
        <f>IF($B2="","",TIME(HOUR('Calendario A'!$F10),MINUTE('Calendario A'!$F10),0))</f>
        <v/>
      </c>
      <c r="E2" s="116" t="str">
        <f>IF($B2="","",DATE(YEAR('Calendario A'!$F10),MONTH('Calendario A'!$F10),DAY('Calendario A'!$F10)))</f>
        <v/>
      </c>
      <c r="F2" s="117" t="str">
        <f>IF($B2="","",TIME(HOUR('Calendario A'!$F10)+2,MINUTE('Calendario A'!$F10),0))</f>
        <v/>
      </c>
      <c r="G2" s="48" t="str">
        <f>IF($B2="","",'Calendario A'!$B11)</f>
        <v/>
      </c>
      <c r="H2" s="48" t="str">
        <f>IF($B2="","",Campionato!$D$2&amp;" "&amp;Campionato!$D$6)</f>
        <v/>
      </c>
      <c r="I2" s="48"/>
    </row>
    <row r="3" spans="1:9" x14ac:dyDescent="0.25">
      <c r="A3" s="48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48" t="str">
        <f>IF('Calendario A'!$B13="","",'Calendario A'!$B13&amp;" vs "&amp;'Calendario A'!$D13&amp;" "&amp;'Calendario A'!$AC13)</f>
        <v/>
      </c>
      <c r="C3" s="116" t="str">
        <f>IF($B3="","",DATE(YEAR('Calendario A'!$F13),MONTH('Calendario A'!$F13),DAY('Calendario A'!$F13)))</f>
        <v/>
      </c>
      <c r="D3" s="117" t="str">
        <f>IF($B3="","",TIME(HOUR('Calendario A'!$F13),MINUTE('Calendario A'!$F13),0))</f>
        <v/>
      </c>
      <c r="E3" s="116" t="str">
        <f>IF($B3="","",DATE(YEAR('Calendario A'!$F13),MONTH('Calendario A'!$F13),DAY('Calendario A'!$F13)))</f>
        <v/>
      </c>
      <c r="F3" s="117" t="str">
        <f>IF($B3="","",TIME(HOUR('Calendario A'!$F13)+2,MINUTE('Calendario A'!$F13),0))</f>
        <v/>
      </c>
      <c r="G3" s="48" t="str">
        <f>IF($B3="","",'Calendario A'!$B14)</f>
        <v/>
      </c>
      <c r="H3" s="48" t="str">
        <f>IF($B3="","",Campionato!$D$2&amp;" "&amp;Campionato!$D$6)</f>
        <v/>
      </c>
      <c r="I3" s="48"/>
    </row>
    <row r="4" spans="1:9" x14ac:dyDescent="0.25">
      <c r="A4" s="48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48" t="str">
        <f>IF('Calendario A'!$B16="","",'Calendario A'!$B16&amp;" vs "&amp;'Calendario A'!$D16&amp;" "&amp;'Calendario A'!$AC16)</f>
        <v/>
      </c>
      <c r="C4" s="116" t="str">
        <f>IF($B4="","",DATE(YEAR('Calendario A'!$F16),MONTH('Calendario A'!$F16),DAY('Calendario A'!$F16)))</f>
        <v/>
      </c>
      <c r="D4" s="117" t="str">
        <f>IF($B4="","",TIME(HOUR('Calendario A'!$F16),MINUTE('Calendario A'!$F16),0))</f>
        <v/>
      </c>
      <c r="E4" s="116" t="str">
        <f>IF($B4="","",DATE(YEAR('Calendario A'!$F16),MONTH('Calendario A'!$F16),DAY('Calendario A'!$F16)))</f>
        <v/>
      </c>
      <c r="F4" s="117" t="str">
        <f>IF($B4="","",TIME(HOUR('Calendario A'!$F16)+2,MINUTE('Calendario A'!$F16),0))</f>
        <v/>
      </c>
      <c r="G4" s="48" t="str">
        <f>IF($B4="","",'Calendario A'!$B17)</f>
        <v/>
      </c>
      <c r="H4" s="48" t="str">
        <f>IF($B4="","",Campionato!$D$2&amp;" "&amp;Campionato!$D$6)</f>
        <v/>
      </c>
      <c r="I4" s="48"/>
    </row>
    <row r="5" spans="1:9" x14ac:dyDescent="0.25">
      <c r="A5" s="48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48" t="str">
        <f>IF('Calendario A'!$B19="","",'Calendario A'!$B19&amp;" vs "&amp;'Calendario A'!$D19&amp;" "&amp;'Calendario A'!$AC19)</f>
        <v/>
      </c>
      <c r="C5" s="116" t="str">
        <f>IF($B5="","",DATE(YEAR('Calendario A'!$F19),MONTH('Calendario A'!$F19),DAY('Calendario A'!$F19)))</f>
        <v/>
      </c>
      <c r="D5" s="117" t="str">
        <f>IF($B5="","",TIME(HOUR('Calendario A'!$F19),MINUTE('Calendario A'!$F19),0))</f>
        <v/>
      </c>
      <c r="E5" s="116" t="str">
        <f>IF($B5="","",DATE(YEAR('Calendario A'!$F19),MONTH('Calendario A'!$F19),DAY('Calendario A'!$F19)))</f>
        <v/>
      </c>
      <c r="F5" s="117" t="str">
        <f>IF($B5="","",TIME(HOUR('Calendario A'!$F19)+2,MINUTE('Calendario A'!$F19),0))</f>
        <v/>
      </c>
      <c r="G5" s="48" t="str">
        <f>IF($B5="","",'Calendario A'!$B20)</f>
        <v/>
      </c>
      <c r="H5" s="48" t="str">
        <f>IF($B5="","",Campionato!$D$2&amp;" "&amp;Campionato!$D$6)</f>
        <v/>
      </c>
      <c r="I5" s="48"/>
    </row>
    <row r="6" spans="1:9" x14ac:dyDescent="0.25">
      <c r="A6" s="48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48" t="str">
        <f>IF('Calendario A'!$B22="","",'Calendario A'!$B22&amp;" vs "&amp;'Calendario A'!$D22&amp;" "&amp;'Calendario A'!$AC22)</f>
        <v/>
      </c>
      <c r="C6" s="116" t="str">
        <f>IF($B6="","",DATE(YEAR('Calendario A'!$F22),MONTH('Calendario A'!$F22),DAY('Calendario A'!$F22)))</f>
        <v/>
      </c>
      <c r="D6" s="117" t="str">
        <f>IF($B6="","",TIME(HOUR('Calendario A'!$F22),MINUTE('Calendario A'!$F22),0))</f>
        <v/>
      </c>
      <c r="E6" s="116" t="str">
        <f>IF($B6="","",DATE(YEAR('Calendario A'!$F22),MONTH('Calendario A'!$F22),DAY('Calendario A'!$F22)))</f>
        <v/>
      </c>
      <c r="F6" s="117" t="str">
        <f>IF($B6="","",TIME(HOUR('Calendario A'!$F22)+2,MINUTE('Calendario A'!$F22),0))</f>
        <v/>
      </c>
      <c r="G6" s="48" t="str">
        <f>IF($B6="","",'Calendario A'!$B23)</f>
        <v/>
      </c>
      <c r="H6" s="48" t="str">
        <f>IF($B6="","",Campionato!$D$2&amp;" "&amp;Campionato!$D$6)</f>
        <v/>
      </c>
      <c r="I6" s="48"/>
    </row>
    <row r="7" spans="1:9" x14ac:dyDescent="0.25">
      <c r="A7" s="48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48" t="str">
        <f>IF('Calendario A'!$B27="","",'Calendario A'!$B27&amp;" vs "&amp;'Calendario A'!$D27&amp;" "&amp;'Calendario A'!$AC27)</f>
        <v/>
      </c>
      <c r="C7" s="116" t="str">
        <f>IF($B7="","",DATE(YEAR('Calendario A'!$F27),MONTH('Calendario A'!$F27),DAY('Calendario A'!$F27)))</f>
        <v/>
      </c>
      <c r="D7" s="117" t="str">
        <f>IF($B7="","",TIME(HOUR('Calendario A'!$F27),MINUTE('Calendario A'!$F27),0))</f>
        <v/>
      </c>
      <c r="E7" s="116" t="str">
        <f>IF($B7="","",DATE(YEAR('Calendario A'!$F27),MONTH('Calendario A'!$F27),DAY('Calendario A'!$F27)))</f>
        <v/>
      </c>
      <c r="F7" s="117" t="str">
        <f>IF($B7="","",TIME(HOUR('Calendario A'!$F27)+2,MINUTE('Calendario A'!$F27),0))</f>
        <v/>
      </c>
      <c r="G7" s="48" t="str">
        <f>IF($B7="","",'Calendario A'!$B28)</f>
        <v/>
      </c>
      <c r="H7" s="48" t="str">
        <f>IF($B7="","",Campionato!$D$2&amp;" "&amp;Campionato!$D$6)</f>
        <v/>
      </c>
      <c r="I7" s="48"/>
    </row>
    <row r="8" spans="1:9" x14ac:dyDescent="0.25">
      <c r="A8" s="48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48" t="str">
        <f>IF('Calendario A'!$B30="","",'Calendario A'!$B30&amp;" vs "&amp;'Calendario A'!$D30&amp;" "&amp;'Calendario A'!$AC30)</f>
        <v/>
      </c>
      <c r="C8" s="116" t="str">
        <f>IF($B8="","",DATE(YEAR('Calendario A'!$F30),MONTH('Calendario A'!$F30),DAY('Calendario A'!$F30)))</f>
        <v/>
      </c>
      <c r="D8" s="117" t="str">
        <f>IF($B8="","",TIME(HOUR('Calendario A'!$F30),MINUTE('Calendario A'!$F30),0))</f>
        <v/>
      </c>
      <c r="E8" s="116" t="str">
        <f>IF($B8="","",DATE(YEAR('Calendario A'!$F30),MONTH('Calendario A'!$F30),DAY('Calendario A'!$F30)))</f>
        <v/>
      </c>
      <c r="F8" s="117" t="str">
        <f>IF($B8="","",TIME(HOUR('Calendario A'!$F30)+2,MINUTE('Calendario A'!$F30),0))</f>
        <v/>
      </c>
      <c r="G8" s="48" t="str">
        <f>IF($B8="","",'Calendario A'!$B31)</f>
        <v/>
      </c>
      <c r="H8" s="48" t="str">
        <f>IF($B8="","",Campionato!$D$2&amp;" "&amp;Campionato!$D$6)</f>
        <v/>
      </c>
      <c r="I8" s="48"/>
    </row>
    <row r="9" spans="1:9" x14ac:dyDescent="0.25">
      <c r="A9" s="48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48" t="str">
        <f>IF('Calendario A'!$B33="","",'Calendario A'!$B33&amp;" vs "&amp;'Calendario A'!$D33&amp;" "&amp;'Calendario A'!$AC33)</f>
        <v/>
      </c>
      <c r="C9" s="116" t="str">
        <f>IF($B9="","",DATE(YEAR('Calendario A'!$F33),MONTH('Calendario A'!$F33),DAY('Calendario A'!$F33)))</f>
        <v/>
      </c>
      <c r="D9" s="117" t="str">
        <f>IF($B9="","",TIME(HOUR('Calendario A'!$F33),MINUTE('Calendario A'!$F33),0))</f>
        <v/>
      </c>
      <c r="E9" s="116" t="str">
        <f>IF($B9="","",DATE(YEAR('Calendario A'!$F33),MONTH('Calendario A'!$F33),DAY('Calendario A'!$F33)))</f>
        <v/>
      </c>
      <c r="F9" s="117" t="str">
        <f>IF($B9="","",TIME(HOUR('Calendario A'!$F33)+2,MINUTE('Calendario A'!$F33),0))</f>
        <v/>
      </c>
      <c r="G9" s="48" t="str">
        <f>IF($B9="","",'Calendario A'!$B34)</f>
        <v/>
      </c>
      <c r="H9" s="48" t="str">
        <f>IF($B9="","",Campionato!$D$2&amp;" "&amp;Campionato!$D$6)</f>
        <v/>
      </c>
      <c r="I9" s="48"/>
    </row>
    <row r="10" spans="1:9" x14ac:dyDescent="0.25">
      <c r="A10" s="48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48" t="str">
        <f>IF('Calendario A'!$B36="","",'Calendario A'!$B36&amp;" vs "&amp;'Calendario A'!$D36&amp;" "&amp;'Calendario A'!$AC36)</f>
        <v/>
      </c>
      <c r="C10" s="116" t="str">
        <f>IF($B10="","",DATE(YEAR('Calendario A'!$F36),MONTH('Calendario A'!$F36),DAY('Calendario A'!$F36)))</f>
        <v/>
      </c>
      <c r="D10" s="117" t="str">
        <f>IF($B10="","",TIME(HOUR('Calendario A'!$F36),MINUTE('Calendario A'!$F36),0))</f>
        <v/>
      </c>
      <c r="E10" s="116" t="str">
        <f>IF($B10="","",DATE(YEAR('Calendario A'!$F36),MONTH('Calendario A'!$F36),DAY('Calendario A'!$F36)))</f>
        <v/>
      </c>
      <c r="F10" s="117" t="str">
        <f>IF($B10="","",TIME(HOUR('Calendario A'!$F36)+2,MINUTE('Calendario A'!$F36),0))</f>
        <v/>
      </c>
      <c r="G10" s="48" t="str">
        <f>IF($B10="","",'Calendario A'!$B37)</f>
        <v/>
      </c>
      <c r="H10" s="48" t="str">
        <f>IF($B10="","",Campionato!$D$2&amp;" "&amp;Campionato!$D$6)</f>
        <v/>
      </c>
      <c r="I10" s="48"/>
    </row>
    <row r="11" spans="1:9" x14ac:dyDescent="0.25">
      <c r="A11" s="48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48" t="str">
        <f>IF('Calendario A'!$B39="","",'Calendario A'!$B39&amp;" vs "&amp;'Calendario A'!$D39&amp;" "&amp;'Calendario A'!$AC39)</f>
        <v/>
      </c>
      <c r="C11" s="116" t="str">
        <f>IF($B11="","",DATE(YEAR('Calendario A'!$F39),MONTH('Calendario A'!$F39),DAY('Calendario A'!$F39)))</f>
        <v/>
      </c>
      <c r="D11" s="117" t="str">
        <f>IF($B11="","",TIME(HOUR('Calendario A'!$F39),MINUTE('Calendario A'!$F39),0))</f>
        <v/>
      </c>
      <c r="E11" s="116" t="str">
        <f>IF($B11="","",DATE(YEAR('Calendario A'!$F39),MONTH('Calendario A'!$F39),DAY('Calendario A'!$F39)))</f>
        <v/>
      </c>
      <c r="F11" s="117" t="str">
        <f>IF($B11="","",TIME(HOUR('Calendario A'!$F39)+2,MINUTE('Calendario A'!$F39),0))</f>
        <v/>
      </c>
      <c r="G11" s="48" t="str">
        <f>IF($B11="","",'Calendario A'!$B40)</f>
        <v/>
      </c>
      <c r="H11" s="48" t="str">
        <f>IF($B11="","",Campionato!$D$2&amp;" "&amp;Campionato!$D$6)</f>
        <v/>
      </c>
      <c r="I11" s="48"/>
    </row>
    <row r="12" spans="1:9" x14ac:dyDescent="0.25">
      <c r="A12" s="48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48" t="str">
        <f>IF('Calendario A'!$B44="","",'Calendario A'!$B44&amp;" vs "&amp;'Calendario A'!$D44&amp;" "&amp;'Calendario A'!$AC44)</f>
        <v/>
      </c>
      <c r="C12" s="116" t="str">
        <f>IF($B12="","",DATE(YEAR('Calendario A'!$F44),MONTH('Calendario A'!$F44),DAY('Calendario A'!$F44)))</f>
        <v/>
      </c>
      <c r="D12" s="117" t="str">
        <f>IF($B12="","",TIME(HOUR('Calendario A'!$F44),MINUTE('Calendario A'!$F44),0))</f>
        <v/>
      </c>
      <c r="E12" s="116" t="str">
        <f>IF($B12="","",DATE(YEAR('Calendario A'!$F44),MONTH('Calendario A'!$F44),DAY('Calendario A'!$F44)))</f>
        <v/>
      </c>
      <c r="F12" s="117" t="str">
        <f>IF($B12="","",TIME(HOUR('Calendario A'!$F44)+2,MINUTE('Calendario A'!$F44),0))</f>
        <v/>
      </c>
      <c r="G12" s="48" t="str">
        <f>IF($B12="","",'Calendario A'!$B45)</f>
        <v/>
      </c>
      <c r="H12" s="48" t="str">
        <f>IF($B12="","",Campionato!$D$2&amp;" "&amp;Campionato!$D$6)</f>
        <v/>
      </c>
      <c r="I12" s="48"/>
    </row>
    <row r="13" spans="1:9" x14ac:dyDescent="0.25">
      <c r="A13" s="48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48" t="str">
        <f>IF('Calendario A'!$B47="","",'Calendario A'!$B47&amp;" vs "&amp;'Calendario A'!$D47&amp;" "&amp;'Calendario A'!$AC47)</f>
        <v/>
      </c>
      <c r="C13" s="116" t="str">
        <f>IF($B13="","",DATE(YEAR('Calendario A'!$F47),MONTH('Calendario A'!$F47),DAY('Calendario A'!$F47)))</f>
        <v/>
      </c>
      <c r="D13" s="117" t="str">
        <f>IF($B13="","",TIME(HOUR('Calendario A'!$F47),MINUTE('Calendario A'!$F47),0))</f>
        <v/>
      </c>
      <c r="E13" s="116" t="str">
        <f>IF($B13="","",DATE(YEAR('Calendario A'!$F47),MONTH('Calendario A'!$F47),DAY('Calendario A'!$F47)))</f>
        <v/>
      </c>
      <c r="F13" s="117" t="str">
        <f>IF($B13="","",TIME(HOUR('Calendario A'!$F47)+2,MINUTE('Calendario A'!$F47),0))</f>
        <v/>
      </c>
      <c r="G13" s="48" t="str">
        <f>IF($B13="","",'Calendario A'!$B48)</f>
        <v/>
      </c>
      <c r="H13" s="48" t="str">
        <f>IF($B13="","",Campionato!$D$2&amp;" "&amp;Campionato!$D$6)</f>
        <v/>
      </c>
      <c r="I13" s="48"/>
    </row>
    <row r="14" spans="1:9" x14ac:dyDescent="0.25">
      <c r="A14" s="48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48" t="str">
        <f>IF('Calendario A'!$B50="","",'Calendario A'!$B50&amp;" vs "&amp;'Calendario A'!$D50&amp;" "&amp;'Calendario A'!$AC50)</f>
        <v/>
      </c>
      <c r="C14" s="116" t="str">
        <f>IF($B14="","",DATE(YEAR('Calendario A'!$F50),MONTH('Calendario A'!$F50),DAY('Calendario A'!$F50)))</f>
        <v/>
      </c>
      <c r="D14" s="117" t="str">
        <f>IF($B14="","",TIME(HOUR('Calendario A'!$F50),MINUTE('Calendario A'!$F50),0))</f>
        <v/>
      </c>
      <c r="E14" s="116" t="str">
        <f>IF($B14="","",DATE(YEAR('Calendario A'!$F50),MONTH('Calendario A'!$F50),DAY('Calendario A'!$F50)))</f>
        <v/>
      </c>
      <c r="F14" s="117" t="str">
        <f>IF($B14="","",TIME(HOUR('Calendario A'!$F50)+2,MINUTE('Calendario A'!$F50),0))</f>
        <v/>
      </c>
      <c r="G14" s="48" t="str">
        <f>IF($B14="","",'Calendario A'!$B51)</f>
        <v/>
      </c>
      <c r="H14" s="48" t="str">
        <f>IF($B14="","",Campionato!$D$2&amp;" "&amp;Campionato!$D$6)</f>
        <v/>
      </c>
      <c r="I14" s="48"/>
    </row>
    <row r="15" spans="1:9" x14ac:dyDescent="0.25">
      <c r="A15" s="48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48" t="str">
        <f>IF('Calendario A'!$B53="","",'Calendario A'!$B53&amp;" vs "&amp;'Calendario A'!$D53&amp;" "&amp;'Calendario A'!$AC53)</f>
        <v/>
      </c>
      <c r="C15" s="116" t="str">
        <f>IF($B15="","",DATE(YEAR('Calendario A'!$F53),MONTH('Calendario A'!$F53),DAY('Calendario A'!$F53)))</f>
        <v/>
      </c>
      <c r="D15" s="117" t="str">
        <f>IF($B15="","",TIME(HOUR('Calendario A'!$F53),MINUTE('Calendario A'!$F53),0))</f>
        <v/>
      </c>
      <c r="E15" s="116" t="str">
        <f>IF($B15="","",DATE(YEAR('Calendario A'!$F53),MONTH('Calendario A'!$F53),DAY('Calendario A'!$F53)))</f>
        <v/>
      </c>
      <c r="F15" s="117" t="str">
        <f>IF($B15="","",TIME(HOUR('Calendario A'!$F53)+2,MINUTE('Calendario A'!$F53),0))</f>
        <v/>
      </c>
      <c r="G15" s="48" t="str">
        <f>IF($B15="","",'Calendario A'!$B54)</f>
        <v/>
      </c>
      <c r="H15" s="48" t="str">
        <f>IF($B15="","",Campionato!$D$2&amp;" "&amp;Campionato!$D$6)</f>
        <v/>
      </c>
      <c r="I15" s="48"/>
    </row>
    <row r="16" spans="1:9" x14ac:dyDescent="0.25">
      <c r="A16" s="48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48" t="str">
        <f>IF('Calendario A'!$B56="","",'Calendario A'!$B56&amp;" vs "&amp;'Calendario A'!$D56&amp;" "&amp;'Calendario A'!$AC56)</f>
        <v/>
      </c>
      <c r="C16" s="116" t="str">
        <f>IF($B16="","",DATE(YEAR('Calendario A'!$F56),MONTH('Calendario A'!$F56),DAY('Calendario A'!$F56)))</f>
        <v/>
      </c>
      <c r="D16" s="117" t="str">
        <f>IF($B16="","",TIME(HOUR('Calendario A'!$F56),MINUTE('Calendario A'!$F56),0))</f>
        <v/>
      </c>
      <c r="E16" s="116" t="str">
        <f>IF($B16="","",DATE(YEAR('Calendario A'!$F56),MONTH('Calendario A'!$F56),DAY('Calendario A'!$F56)))</f>
        <v/>
      </c>
      <c r="F16" s="117" t="str">
        <f>IF($B16="","",TIME(HOUR('Calendario A'!$F56)+2,MINUTE('Calendario A'!$F56),0))</f>
        <v/>
      </c>
      <c r="G16" s="48" t="str">
        <f>IF($B16="","",'Calendario A'!$B57)</f>
        <v/>
      </c>
      <c r="H16" s="48" t="str">
        <f>IF($B16="","",Campionato!$D$2&amp;" "&amp;Campionato!$D$6)</f>
        <v/>
      </c>
      <c r="I16" s="48"/>
    </row>
    <row r="17" spans="1:9" x14ac:dyDescent="0.25">
      <c r="A17" s="48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48" t="str">
        <f>IF('Calendario A'!$B61="","",'Calendario A'!$B61&amp;" vs "&amp;'Calendario A'!$D61&amp;" "&amp;'Calendario A'!$AC61)</f>
        <v/>
      </c>
      <c r="C17" s="116" t="str">
        <f>IF($B17="","",DATE(YEAR('Calendario A'!$F61),MONTH('Calendario A'!$F61),DAY('Calendario A'!$F61)))</f>
        <v/>
      </c>
      <c r="D17" s="117" t="str">
        <f>IF($B17="","",TIME(HOUR('Calendario A'!$F61),MINUTE('Calendario A'!$F61),0))</f>
        <v/>
      </c>
      <c r="E17" s="116" t="str">
        <f>IF($B17="","",DATE(YEAR('Calendario A'!$F61),MONTH('Calendario A'!$F61),DAY('Calendario A'!$F61)))</f>
        <v/>
      </c>
      <c r="F17" s="117" t="str">
        <f>IF($B17="","",TIME(HOUR('Calendario A'!$F61)+2,MINUTE('Calendario A'!$F61),0))</f>
        <v/>
      </c>
      <c r="G17" s="48" t="str">
        <f>IF($B17="","",'Calendario A'!$B62)</f>
        <v/>
      </c>
      <c r="H17" s="48" t="str">
        <f>IF($B17="","",Campionato!$D$2&amp;" "&amp;Campionato!$D$6)</f>
        <v/>
      </c>
      <c r="I17" s="48"/>
    </row>
    <row r="18" spans="1:9" x14ac:dyDescent="0.25">
      <c r="A18" s="48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48" t="str">
        <f>IF('Calendario A'!$B64="","",'Calendario A'!$B64&amp;" vs "&amp;'Calendario A'!$D64&amp;" "&amp;'Calendario A'!$AC64)</f>
        <v/>
      </c>
      <c r="C18" s="116" t="str">
        <f>IF($B18="","",DATE(YEAR('Calendario A'!$F64),MONTH('Calendario A'!$F64),DAY('Calendario A'!$F64)))</f>
        <v/>
      </c>
      <c r="D18" s="117" t="str">
        <f>IF($B18="","",TIME(HOUR('Calendario A'!$F64),MINUTE('Calendario A'!$F64),0))</f>
        <v/>
      </c>
      <c r="E18" s="116" t="str">
        <f>IF($B18="","",DATE(YEAR('Calendario A'!$F64),MONTH('Calendario A'!$F64),DAY('Calendario A'!$F64)))</f>
        <v/>
      </c>
      <c r="F18" s="117" t="str">
        <f>IF($B18="","",TIME(HOUR('Calendario A'!$F64)+2,MINUTE('Calendario A'!$F64),0))</f>
        <v/>
      </c>
      <c r="G18" s="48" t="str">
        <f>IF($B18="","",'Calendario A'!$B65)</f>
        <v/>
      </c>
      <c r="H18" s="48" t="str">
        <f>IF($B18="","",Campionato!$D$2&amp;" "&amp;Campionato!$D$6)</f>
        <v/>
      </c>
      <c r="I18" s="48"/>
    </row>
    <row r="19" spans="1:9" x14ac:dyDescent="0.25">
      <c r="A19" s="48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48" t="str">
        <f>IF('Calendario A'!$B67="","",'Calendario A'!$B67&amp;" vs "&amp;'Calendario A'!$D67&amp;" "&amp;'Calendario A'!$AC67)</f>
        <v/>
      </c>
      <c r="C19" s="116" t="str">
        <f>IF($B19="","",DATE(YEAR('Calendario A'!$F67),MONTH('Calendario A'!$F67),DAY('Calendario A'!$F67)))</f>
        <v/>
      </c>
      <c r="D19" s="117" t="str">
        <f>IF($B19="","",TIME(HOUR('Calendario A'!$F67),MINUTE('Calendario A'!$F67),0))</f>
        <v/>
      </c>
      <c r="E19" s="116" t="str">
        <f>IF($B19="","",DATE(YEAR('Calendario A'!$F67),MONTH('Calendario A'!$F67),DAY('Calendario A'!$F67)))</f>
        <v/>
      </c>
      <c r="F19" s="117" t="str">
        <f>IF($B19="","",TIME(HOUR('Calendario A'!$F67)+2,MINUTE('Calendario A'!$F67),0))</f>
        <v/>
      </c>
      <c r="G19" s="48" t="str">
        <f>IF($B19="","",'Calendario A'!$B68)</f>
        <v/>
      </c>
      <c r="H19" s="48" t="str">
        <f>IF($B19="","",Campionato!$D$2&amp;" "&amp;Campionato!$D$6)</f>
        <v/>
      </c>
      <c r="I19" s="48"/>
    </row>
    <row r="20" spans="1:9" x14ac:dyDescent="0.25">
      <c r="A20" s="48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48" t="str">
        <f>IF('Calendario A'!$B70="","",'Calendario A'!$B70&amp;" vs "&amp;'Calendario A'!$D70&amp;" "&amp;'Calendario A'!$AC70)</f>
        <v/>
      </c>
      <c r="C20" s="116" t="str">
        <f>IF($B20="","",DATE(YEAR('Calendario A'!$F70),MONTH('Calendario A'!$F70),DAY('Calendario A'!$F70)))</f>
        <v/>
      </c>
      <c r="D20" s="117" t="str">
        <f>IF($B20="","",TIME(HOUR('Calendario A'!$F70),MINUTE('Calendario A'!$F70),0))</f>
        <v/>
      </c>
      <c r="E20" s="116" t="str">
        <f>IF($B20="","",DATE(YEAR('Calendario A'!$F70),MONTH('Calendario A'!$F70),DAY('Calendario A'!$F70)))</f>
        <v/>
      </c>
      <c r="F20" s="117" t="str">
        <f>IF($B20="","",TIME(HOUR('Calendario A'!$F70)+2,MINUTE('Calendario A'!$F70),0))</f>
        <v/>
      </c>
      <c r="G20" s="48" t="str">
        <f>IF($B20="","",'Calendario A'!$B71)</f>
        <v/>
      </c>
      <c r="H20" s="48" t="str">
        <f>IF($B20="","",Campionato!$D$2&amp;" "&amp;Campionato!$D$6)</f>
        <v/>
      </c>
      <c r="I20" s="48"/>
    </row>
    <row r="21" spans="1:9" x14ac:dyDescent="0.25">
      <c r="A21" s="48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48" t="str">
        <f>IF('Calendario A'!$B73="","",'Calendario A'!$B73&amp;" vs "&amp;'Calendario A'!$D73&amp;" "&amp;'Calendario A'!$AC73)</f>
        <v/>
      </c>
      <c r="C21" s="116" t="str">
        <f>IF($B21="","",DATE(YEAR('Calendario A'!$F73),MONTH('Calendario A'!$F73),DAY('Calendario A'!$F73)))</f>
        <v/>
      </c>
      <c r="D21" s="117" t="str">
        <f>IF($B21="","",TIME(HOUR('Calendario A'!$F73),MINUTE('Calendario A'!$F73),0))</f>
        <v/>
      </c>
      <c r="E21" s="116" t="str">
        <f>IF($B21="","",DATE(YEAR('Calendario A'!$F73),MONTH('Calendario A'!$F73),DAY('Calendario A'!$F73)))</f>
        <v/>
      </c>
      <c r="F21" s="117" t="str">
        <f>IF($B21="","",TIME(HOUR('Calendario A'!$F73)+2,MINUTE('Calendario A'!$F73),0))</f>
        <v/>
      </c>
      <c r="G21" s="48" t="str">
        <f>IF($B21="","",'Calendario A'!$B74)</f>
        <v/>
      </c>
      <c r="H21" s="48" t="str">
        <f>IF($B21="","",Campionato!$D$2&amp;" "&amp;Campionato!$D$6)</f>
        <v/>
      </c>
      <c r="I21" s="48"/>
    </row>
    <row r="22" spans="1:9" x14ac:dyDescent="0.25">
      <c r="A22" s="48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48" t="str">
        <f>IF('Calendario A'!$B78="","",'Calendario A'!$B78&amp;" vs "&amp;'Calendario A'!$D78&amp;" "&amp;'Calendario A'!$AC78)</f>
        <v/>
      </c>
      <c r="C22" s="116" t="str">
        <f>IF($B22="","",DATE(YEAR('Calendario A'!$F78),MONTH('Calendario A'!$F78),DAY('Calendario A'!$F78)))</f>
        <v/>
      </c>
      <c r="D22" s="117" t="str">
        <f>IF($B22="","",TIME(HOUR('Calendario A'!$F78),MINUTE('Calendario A'!$F78),0))</f>
        <v/>
      </c>
      <c r="E22" s="116" t="str">
        <f>IF($B22="","",DATE(YEAR('Calendario A'!$F78),MONTH('Calendario A'!$F78),DAY('Calendario A'!$F78)))</f>
        <v/>
      </c>
      <c r="F22" s="117" t="str">
        <f>IF($B22="","",TIME(HOUR('Calendario A'!$F78)+2,MINUTE('Calendario A'!$F78),0))</f>
        <v/>
      </c>
      <c r="G22" s="48" t="str">
        <f>IF($B22="","",'Calendario A'!$B79)</f>
        <v/>
      </c>
      <c r="H22" s="48" t="str">
        <f>IF($B22="","",Campionato!$D$2&amp;" "&amp;Campionato!$D$6)</f>
        <v/>
      </c>
      <c r="I22" s="48"/>
    </row>
    <row r="23" spans="1:9" x14ac:dyDescent="0.25">
      <c r="A23" s="48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48" t="str">
        <f>IF('Calendario A'!$B81="","",'Calendario A'!$B81&amp;" vs "&amp;'Calendario A'!$D81&amp;" "&amp;'Calendario A'!$AC81)</f>
        <v/>
      </c>
      <c r="C23" s="116" t="str">
        <f>IF($B23="","",DATE(YEAR('Calendario A'!$F81),MONTH('Calendario A'!$F81),DAY('Calendario A'!$F81)))</f>
        <v/>
      </c>
      <c r="D23" s="117" t="str">
        <f>IF($B23="","",TIME(HOUR('Calendario A'!$F81),MINUTE('Calendario A'!$F81),0))</f>
        <v/>
      </c>
      <c r="E23" s="116" t="str">
        <f>IF($B23="","",DATE(YEAR('Calendario A'!$F81),MONTH('Calendario A'!$F81),DAY('Calendario A'!$F81)))</f>
        <v/>
      </c>
      <c r="F23" s="117" t="str">
        <f>IF($B23="","",TIME(HOUR('Calendario A'!$F81)+2,MINUTE('Calendario A'!$F81),0))</f>
        <v/>
      </c>
      <c r="G23" s="48" t="str">
        <f>IF($B23="","",'Calendario A'!$B82)</f>
        <v/>
      </c>
      <c r="H23" s="48" t="str">
        <f>IF($B23="","",Campionato!$D$2&amp;" "&amp;Campionato!$D$6)</f>
        <v/>
      </c>
      <c r="I23" s="48"/>
    </row>
    <row r="24" spans="1:9" x14ac:dyDescent="0.25">
      <c r="A24" s="48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48" t="str">
        <f>IF('Calendario A'!$B84="","",'Calendario A'!$B84&amp;" vs "&amp;'Calendario A'!$D84&amp;" "&amp;'Calendario A'!$AC84)</f>
        <v/>
      </c>
      <c r="C24" s="116" t="str">
        <f>IF($B24="","",DATE(YEAR('Calendario A'!$F84),MONTH('Calendario A'!$F84),DAY('Calendario A'!$F84)))</f>
        <v/>
      </c>
      <c r="D24" s="117" t="str">
        <f>IF($B24="","",TIME(HOUR('Calendario A'!$F84),MINUTE('Calendario A'!$F84),0))</f>
        <v/>
      </c>
      <c r="E24" s="116" t="str">
        <f>IF($B24="","",DATE(YEAR('Calendario A'!$F84),MONTH('Calendario A'!$F84),DAY('Calendario A'!$F84)))</f>
        <v/>
      </c>
      <c r="F24" s="117" t="str">
        <f>IF($B24="","",TIME(HOUR('Calendario A'!$F84)+2,MINUTE('Calendario A'!$F84),0))</f>
        <v/>
      </c>
      <c r="G24" s="48" t="str">
        <f>IF($B24="","",'Calendario A'!$B85)</f>
        <v/>
      </c>
      <c r="H24" s="48" t="str">
        <f>IF($B24="","",Campionato!$D$2&amp;" "&amp;Campionato!$D$6)</f>
        <v/>
      </c>
      <c r="I24" s="48"/>
    </row>
    <row r="25" spans="1:9" x14ac:dyDescent="0.25">
      <c r="A25" s="48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48" t="str">
        <f>IF('Calendario A'!$B87="","",'Calendario A'!$B87&amp;" vs "&amp;'Calendario A'!$D87&amp;" "&amp;'Calendario A'!$AC87)</f>
        <v/>
      </c>
      <c r="C25" s="116" t="str">
        <f>IF($B25="","",DATE(YEAR('Calendario A'!$F87),MONTH('Calendario A'!$F87),DAY('Calendario A'!$F87)))</f>
        <v/>
      </c>
      <c r="D25" s="117" t="str">
        <f>IF($B25="","",TIME(HOUR('Calendario A'!$F87),MINUTE('Calendario A'!$F87),0))</f>
        <v/>
      </c>
      <c r="E25" s="116" t="str">
        <f>IF($B25="","",DATE(YEAR('Calendario A'!$F87),MONTH('Calendario A'!$F87),DAY('Calendario A'!$F87)))</f>
        <v/>
      </c>
      <c r="F25" s="117" t="str">
        <f>IF($B25="","",TIME(HOUR('Calendario A'!$F87)+2,MINUTE('Calendario A'!$F87),0))</f>
        <v/>
      </c>
      <c r="G25" s="48" t="str">
        <f>IF($B25="","",'Calendario A'!$B88)</f>
        <v/>
      </c>
      <c r="H25" s="48" t="str">
        <f>IF($B25="","",Campionato!$D$2&amp;" "&amp;Campionato!$D$6)</f>
        <v/>
      </c>
      <c r="I25" s="48"/>
    </row>
    <row r="26" spans="1:9" x14ac:dyDescent="0.25">
      <c r="A26" s="48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48" t="str">
        <f>IF('Calendario A'!$B90="","",'Calendario A'!$B90&amp;" vs "&amp;'Calendario A'!$D90&amp;" "&amp;'Calendario A'!$AC90)</f>
        <v/>
      </c>
      <c r="C26" s="116" t="str">
        <f>IF($B26="","",DATE(YEAR('Calendario A'!$F90),MONTH('Calendario A'!$F90),DAY('Calendario A'!$F90)))</f>
        <v/>
      </c>
      <c r="D26" s="117" t="str">
        <f>IF($B26="","",TIME(HOUR('Calendario A'!$F90),MINUTE('Calendario A'!$F90),0))</f>
        <v/>
      </c>
      <c r="E26" s="116" t="str">
        <f>IF($B26="","",DATE(YEAR('Calendario A'!$F90),MONTH('Calendario A'!$F90),DAY('Calendario A'!$F90)))</f>
        <v/>
      </c>
      <c r="F26" s="117" t="str">
        <f>IF($B26="","",TIME(HOUR('Calendario A'!$F90)+2,MINUTE('Calendario A'!$F90),0))</f>
        <v/>
      </c>
      <c r="G26" s="48" t="str">
        <f>IF($B26="","",'Calendario A'!$B91)</f>
        <v/>
      </c>
      <c r="H26" s="48" t="str">
        <f>IF($B26="","",Campionato!$D$2&amp;" "&amp;Campionato!$D$6)</f>
        <v/>
      </c>
      <c r="I26" s="48"/>
    </row>
    <row r="27" spans="1:9" x14ac:dyDescent="0.25">
      <c r="A27" s="48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48" t="str">
        <f>IF('Calendario A'!$B95="","",'Calendario A'!$B95&amp;" vs "&amp;'Calendario A'!$D95&amp;" "&amp;'Calendario A'!$AC95)</f>
        <v/>
      </c>
      <c r="C27" s="116" t="str">
        <f>IF($B27="","",DATE(YEAR('Calendario A'!$F95),MONTH('Calendario A'!$F95),DAY('Calendario A'!$F95)))</f>
        <v/>
      </c>
      <c r="D27" s="117" t="str">
        <f>IF($B27="","",TIME(HOUR('Calendario A'!$F95),MINUTE('Calendario A'!$F95),0))</f>
        <v/>
      </c>
      <c r="E27" s="116" t="str">
        <f>IF($B27="","",DATE(YEAR('Calendario A'!$F95),MONTH('Calendario A'!$F95),DAY('Calendario A'!$F95)))</f>
        <v/>
      </c>
      <c r="F27" s="117" t="str">
        <f>IF($B27="","",TIME(HOUR('Calendario A'!$F95)+2,MINUTE('Calendario A'!$F95),0))</f>
        <v/>
      </c>
      <c r="G27" s="48" t="str">
        <f>IF($B27="","",'Calendario A'!$B96)</f>
        <v/>
      </c>
      <c r="H27" s="48" t="str">
        <f>IF($B27="","",Campionato!$D$2&amp;" "&amp;Campionato!$D$6)</f>
        <v/>
      </c>
      <c r="I27" s="48"/>
    </row>
    <row r="28" spans="1:9" x14ac:dyDescent="0.25">
      <c r="A28" s="48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48" t="str">
        <f>IF('Calendario A'!$B98="","",'Calendario A'!$B98&amp;" vs "&amp;'Calendario A'!$D98&amp;" "&amp;'Calendario A'!$AC98)</f>
        <v/>
      </c>
      <c r="C28" s="116" t="str">
        <f>IF($B28="","",DATE(YEAR('Calendario A'!$F98),MONTH('Calendario A'!$F98),DAY('Calendario A'!$F98)))</f>
        <v/>
      </c>
      <c r="D28" s="117" t="str">
        <f>IF($B28="","",TIME(HOUR('Calendario A'!$F98),MINUTE('Calendario A'!$F98),0))</f>
        <v/>
      </c>
      <c r="E28" s="116" t="str">
        <f>IF($B28="","",DATE(YEAR('Calendario A'!$F98),MONTH('Calendario A'!$F98),DAY('Calendario A'!$F98)))</f>
        <v/>
      </c>
      <c r="F28" s="117" t="str">
        <f>IF($B28="","",TIME(HOUR('Calendario A'!$F98)+2,MINUTE('Calendario A'!$F98),0))</f>
        <v/>
      </c>
      <c r="G28" s="48" t="str">
        <f>IF($B28="","",'Calendario A'!$B99)</f>
        <v/>
      </c>
      <c r="H28" s="48" t="str">
        <f>IF($B28="","",Campionato!$D$2&amp;" "&amp;Campionato!$D$6)</f>
        <v/>
      </c>
      <c r="I28" s="48"/>
    </row>
    <row r="29" spans="1:9" x14ac:dyDescent="0.25">
      <c r="A29" s="48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48" t="str">
        <f>IF('Calendario A'!$B101="","",'Calendario A'!$B101&amp;" vs "&amp;'Calendario A'!$D101&amp;" "&amp;'Calendario A'!$AC101)</f>
        <v/>
      </c>
      <c r="C29" s="116" t="str">
        <f>IF($B29="","",DATE(YEAR('Calendario A'!$F101),MONTH('Calendario A'!$F101),DAY('Calendario A'!$F101)))</f>
        <v/>
      </c>
      <c r="D29" s="117" t="str">
        <f>IF($B29="","",TIME(HOUR('Calendario A'!$F101),MINUTE('Calendario A'!$F101),0))</f>
        <v/>
      </c>
      <c r="E29" s="116" t="str">
        <f>IF($B29="","",DATE(YEAR('Calendario A'!$F101),MONTH('Calendario A'!$F101),DAY('Calendario A'!$F101)))</f>
        <v/>
      </c>
      <c r="F29" s="117" t="str">
        <f>IF($B29="","",TIME(HOUR('Calendario A'!$F101)+2,MINUTE('Calendario A'!$F101),0))</f>
        <v/>
      </c>
      <c r="G29" s="48" t="str">
        <f>IF($B29="","",'Calendario A'!$B102)</f>
        <v/>
      </c>
      <c r="H29" s="48" t="str">
        <f>IF($B29="","",Campionato!$D$2&amp;" "&amp;Campionato!$D$6)</f>
        <v/>
      </c>
      <c r="I29" s="48"/>
    </row>
    <row r="30" spans="1:9" x14ac:dyDescent="0.25">
      <c r="A30" s="48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48" t="str">
        <f>IF('Calendario A'!$B104="","",'Calendario A'!$B104&amp;" vs "&amp;'Calendario A'!$D104&amp;" "&amp;'Calendario A'!$AC104)</f>
        <v/>
      </c>
      <c r="C30" s="116" t="str">
        <f>IF($B30="","",DATE(YEAR('Calendario A'!$F104),MONTH('Calendario A'!$F104),DAY('Calendario A'!$F104)))</f>
        <v/>
      </c>
      <c r="D30" s="117" t="str">
        <f>IF($B30="","",TIME(HOUR('Calendario A'!$F104),MINUTE('Calendario A'!$F104),0))</f>
        <v/>
      </c>
      <c r="E30" s="116" t="str">
        <f>IF($B30="","",DATE(YEAR('Calendario A'!$F104),MONTH('Calendario A'!$F104),DAY('Calendario A'!$F104)))</f>
        <v/>
      </c>
      <c r="F30" s="117" t="str">
        <f>IF($B30="","",TIME(HOUR('Calendario A'!$F104)+2,MINUTE('Calendario A'!$F104),0))</f>
        <v/>
      </c>
      <c r="G30" s="48" t="str">
        <f>IF($B30="","",'Calendario A'!$B105)</f>
        <v/>
      </c>
      <c r="H30" s="48" t="str">
        <f>IF($B30="","",Campionato!$D$2&amp;" "&amp;Campionato!$D$6)</f>
        <v/>
      </c>
      <c r="I30" s="48"/>
    </row>
    <row r="31" spans="1:9" x14ac:dyDescent="0.25">
      <c r="A31" s="48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48" t="str">
        <f>IF('Calendario A'!$B107="","",'Calendario A'!$B107&amp;" vs "&amp;'Calendario A'!$D107&amp;" "&amp;'Calendario A'!$AC107)</f>
        <v/>
      </c>
      <c r="C31" s="116" t="str">
        <f>IF($B31="","",DATE(YEAR('Calendario A'!$F107),MONTH('Calendario A'!$F107),DAY('Calendario A'!$F107)))</f>
        <v/>
      </c>
      <c r="D31" s="117" t="str">
        <f>IF($B31="","",TIME(HOUR('Calendario A'!$F107),MINUTE('Calendario A'!$F107),0))</f>
        <v/>
      </c>
      <c r="E31" s="116" t="str">
        <f>IF($B31="","",DATE(YEAR('Calendario A'!$F107),MONTH('Calendario A'!$F107),DAY('Calendario A'!$F107)))</f>
        <v/>
      </c>
      <c r="F31" s="117" t="str">
        <f>IF($B31="","",TIME(HOUR('Calendario A'!$F107)+2,MINUTE('Calendario A'!$F107),0))</f>
        <v/>
      </c>
      <c r="G31" s="48" t="str">
        <f>IF($B31="","",'Calendario A'!$B108)</f>
        <v/>
      </c>
      <c r="H31" s="48" t="str">
        <f>IF($B31="","",Campionato!$D$2&amp;" "&amp;Campionato!$D$6)</f>
        <v/>
      </c>
      <c r="I31" s="48"/>
    </row>
    <row r="32" spans="1:9" x14ac:dyDescent="0.25">
      <c r="A32" s="48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48" t="str">
        <f>IF('Calendario A'!$B112="","",'Calendario A'!$B112&amp;" vs "&amp;'Calendario A'!$D112&amp;" "&amp;'Calendario A'!$AC112)</f>
        <v/>
      </c>
      <c r="C32" s="116" t="str">
        <f>IF($B32="","",DATE(YEAR('Calendario A'!$F112),MONTH('Calendario A'!$F112),DAY('Calendario A'!$F112)))</f>
        <v/>
      </c>
      <c r="D32" s="117" t="str">
        <f>IF($B32="","",TIME(HOUR('Calendario A'!$F112),MINUTE('Calendario A'!$F112),0))</f>
        <v/>
      </c>
      <c r="E32" s="116" t="str">
        <f>IF($B32="","",DATE(YEAR('Calendario A'!$F112),MONTH('Calendario A'!$F112),DAY('Calendario A'!$F112)))</f>
        <v/>
      </c>
      <c r="F32" s="117" t="str">
        <f>IF($B32="","",TIME(HOUR('Calendario A'!$F112)+2,MINUTE('Calendario A'!$F112),0))</f>
        <v/>
      </c>
      <c r="G32" s="48" t="str">
        <f>IF($B32="","",'Calendario A'!$B113)</f>
        <v/>
      </c>
      <c r="H32" s="48" t="str">
        <f>IF($B32="","",Campionato!$D$2&amp;" "&amp;Campionato!$D$6)</f>
        <v/>
      </c>
      <c r="I32" s="48"/>
    </row>
    <row r="33" spans="1:9" x14ac:dyDescent="0.25">
      <c r="A33" s="48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48" t="str">
        <f>IF('Calendario A'!$B115="","",'Calendario A'!$B115&amp;" vs "&amp;'Calendario A'!$D115&amp;" "&amp;'Calendario A'!$AC115)</f>
        <v/>
      </c>
      <c r="C33" s="116" t="str">
        <f>IF($B33="","",DATE(YEAR('Calendario A'!$F115),MONTH('Calendario A'!$F115),DAY('Calendario A'!$F115)))</f>
        <v/>
      </c>
      <c r="D33" s="117" t="str">
        <f>IF($B33="","",TIME(HOUR('Calendario A'!$F115),MINUTE('Calendario A'!$F115),0))</f>
        <v/>
      </c>
      <c r="E33" s="116" t="str">
        <f>IF($B33="","",DATE(YEAR('Calendario A'!$F115),MONTH('Calendario A'!$F115),DAY('Calendario A'!$F115)))</f>
        <v/>
      </c>
      <c r="F33" s="117" t="str">
        <f>IF($B33="","",TIME(HOUR('Calendario A'!$F115)+2,MINUTE('Calendario A'!$F115),0))</f>
        <v/>
      </c>
      <c r="G33" s="48" t="str">
        <f>IF($B33="","",'Calendario A'!$B116)</f>
        <v/>
      </c>
      <c r="H33" s="48" t="str">
        <f>IF($B33="","",Campionato!$D$2&amp;" "&amp;Campionato!$D$6)</f>
        <v/>
      </c>
      <c r="I33" s="48"/>
    </row>
    <row r="34" spans="1:9" x14ac:dyDescent="0.25">
      <c r="A34" s="48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48" t="str">
        <f>IF('Calendario A'!$B118="","",'Calendario A'!$B118&amp;" vs "&amp;'Calendario A'!$D118&amp;" "&amp;'Calendario A'!$AC118)</f>
        <v/>
      </c>
      <c r="C34" s="116" t="str">
        <f>IF($B34="","",DATE(YEAR('Calendario A'!$F118),MONTH('Calendario A'!$F118),DAY('Calendario A'!$F118)))</f>
        <v/>
      </c>
      <c r="D34" s="117" t="str">
        <f>IF($B34="","",TIME(HOUR('Calendario A'!$F118),MINUTE('Calendario A'!$F118),0))</f>
        <v/>
      </c>
      <c r="E34" s="116" t="str">
        <f>IF($B34="","",DATE(YEAR('Calendario A'!$F118),MONTH('Calendario A'!$F118),DAY('Calendario A'!$F118)))</f>
        <v/>
      </c>
      <c r="F34" s="117" t="str">
        <f>IF($B34="","",TIME(HOUR('Calendario A'!$F118)+2,MINUTE('Calendario A'!$F118),0))</f>
        <v/>
      </c>
      <c r="G34" s="48" t="str">
        <f>IF($B34="","",'Calendario A'!$B119)</f>
        <v/>
      </c>
      <c r="H34" s="48" t="str">
        <f>IF($B34="","",Campionato!$D$2&amp;" "&amp;Campionato!$D$6)</f>
        <v/>
      </c>
      <c r="I34" s="48"/>
    </row>
    <row r="35" spans="1:9" x14ac:dyDescent="0.25">
      <c r="A35" s="48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48" t="str">
        <f>IF('Calendario A'!$B121="","",'Calendario A'!$B121&amp;" vs "&amp;'Calendario A'!$D121&amp;" "&amp;'Calendario A'!$AC121)</f>
        <v/>
      </c>
      <c r="C35" s="116" t="str">
        <f>IF($B35="","",DATE(YEAR('Calendario A'!$F121),MONTH('Calendario A'!$F121),DAY('Calendario A'!$F121)))</f>
        <v/>
      </c>
      <c r="D35" s="117" t="str">
        <f>IF($B35="","",TIME(HOUR('Calendario A'!$F121),MINUTE('Calendario A'!$F121),0))</f>
        <v/>
      </c>
      <c r="E35" s="116" t="str">
        <f>IF($B35="","",DATE(YEAR('Calendario A'!$F121),MONTH('Calendario A'!$F121),DAY('Calendario A'!$F121)))</f>
        <v/>
      </c>
      <c r="F35" s="117" t="str">
        <f>IF($B35="","",TIME(HOUR('Calendario A'!$F121)+2,MINUTE('Calendario A'!$F121),0))</f>
        <v/>
      </c>
      <c r="G35" s="48" t="str">
        <f>IF($B35="","",'Calendario A'!$B122)</f>
        <v/>
      </c>
      <c r="H35" s="48" t="str">
        <f>IF($B35="","",Campionato!$D$2&amp;" "&amp;Campionato!$D$6)</f>
        <v/>
      </c>
      <c r="I35" s="48"/>
    </row>
    <row r="36" spans="1:9" x14ac:dyDescent="0.25">
      <c r="A36" s="48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48" t="str">
        <f>IF('Calendario A'!$B124="","",'Calendario A'!$B124&amp;" vs "&amp;'Calendario A'!$D124&amp;" "&amp;'Calendario A'!$AC124)</f>
        <v/>
      </c>
      <c r="C36" s="116" t="str">
        <f>IF($B36="","",DATE(YEAR('Calendario A'!$F124),MONTH('Calendario A'!$F124),DAY('Calendario A'!$F124)))</f>
        <v/>
      </c>
      <c r="D36" s="117" t="str">
        <f>IF($B36="","",TIME(HOUR('Calendario A'!$F124),MINUTE('Calendario A'!$F124),0))</f>
        <v/>
      </c>
      <c r="E36" s="116" t="str">
        <f>IF($B36="","",DATE(YEAR('Calendario A'!$F124),MONTH('Calendario A'!$F124),DAY('Calendario A'!$F124)))</f>
        <v/>
      </c>
      <c r="F36" s="117" t="str">
        <f>IF($B36="","",TIME(HOUR('Calendario A'!$F124)+2,MINUTE('Calendario A'!$F124),0))</f>
        <v/>
      </c>
      <c r="G36" s="48" t="str">
        <f>IF($B36="","",'Calendario A'!$B125)</f>
        <v/>
      </c>
      <c r="H36" s="48" t="str">
        <f>IF($B36="","",Campionato!$D$2&amp;" "&amp;Campionato!$D$6)</f>
        <v/>
      </c>
      <c r="I36" s="48"/>
    </row>
    <row r="37" spans="1:9" x14ac:dyDescent="0.25">
      <c r="A37" s="48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48" t="str">
        <f>IF('Calendario A'!$B129="","",'Calendario A'!$B129&amp;" vs "&amp;'Calendario A'!$D129&amp;" "&amp;'Calendario A'!$AC129)</f>
        <v/>
      </c>
      <c r="C37" s="116" t="str">
        <f>IF($B37="","",DATE(YEAR('Calendario A'!$F129),MONTH('Calendario A'!$F129),DAY('Calendario A'!$F129)))</f>
        <v/>
      </c>
      <c r="D37" s="117" t="str">
        <f>IF($B37="","",TIME(HOUR('Calendario A'!$F129),MINUTE('Calendario A'!$F129),0))</f>
        <v/>
      </c>
      <c r="E37" s="116" t="str">
        <f>IF($B37="","",DATE(YEAR('Calendario A'!$F129),MONTH('Calendario A'!$F129),DAY('Calendario A'!$F129)))</f>
        <v/>
      </c>
      <c r="F37" s="117" t="str">
        <f>IF($B37="","",TIME(HOUR('Calendario A'!$F129)+2,MINUTE('Calendario A'!$F129),0))</f>
        <v/>
      </c>
      <c r="G37" s="48" t="str">
        <f>IF($B37="","",'Calendario A'!$B130)</f>
        <v/>
      </c>
      <c r="H37" s="48" t="str">
        <f>IF($B37="","",Campionato!$D$2&amp;" "&amp;Campionato!$D$6)</f>
        <v/>
      </c>
      <c r="I37" s="48"/>
    </row>
    <row r="38" spans="1:9" x14ac:dyDescent="0.25">
      <c r="A38" s="48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48" t="str">
        <f>IF('Calendario A'!$B132="","",'Calendario A'!$B132&amp;" vs "&amp;'Calendario A'!$D132&amp;" "&amp;'Calendario A'!$AC132)</f>
        <v/>
      </c>
      <c r="C38" s="116" t="str">
        <f>IF($B38="","",DATE(YEAR('Calendario A'!$F132),MONTH('Calendario A'!$F132),DAY('Calendario A'!$F132)))</f>
        <v/>
      </c>
      <c r="D38" s="117" t="str">
        <f>IF($B38="","",TIME(HOUR('Calendario A'!$F132),MINUTE('Calendario A'!$F132),0))</f>
        <v/>
      </c>
      <c r="E38" s="116" t="str">
        <f>IF($B38="","",DATE(YEAR('Calendario A'!$F132),MONTH('Calendario A'!$F132),DAY('Calendario A'!$F132)))</f>
        <v/>
      </c>
      <c r="F38" s="117" t="str">
        <f>IF($B38="","",TIME(HOUR('Calendario A'!$F132)+2,MINUTE('Calendario A'!$F132),0))</f>
        <v/>
      </c>
      <c r="G38" s="48" t="str">
        <f>IF($B38="","",'Calendario A'!$B133)</f>
        <v/>
      </c>
      <c r="H38" s="48" t="str">
        <f>IF($B38="","",Campionato!$D$2&amp;" "&amp;Campionato!$D$6)</f>
        <v/>
      </c>
      <c r="I38" s="48"/>
    </row>
    <row r="39" spans="1:9" x14ac:dyDescent="0.25">
      <c r="A39" s="48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48" t="str">
        <f>IF('Calendario A'!$B135="","",'Calendario A'!$B135&amp;" vs "&amp;'Calendario A'!$D135&amp;" "&amp;'Calendario A'!$AC135)</f>
        <v/>
      </c>
      <c r="C39" s="116" t="str">
        <f>IF($B39="","",DATE(YEAR('Calendario A'!$F135),MONTH('Calendario A'!$F135),DAY('Calendario A'!$F135)))</f>
        <v/>
      </c>
      <c r="D39" s="117" t="str">
        <f>IF($B39="","",TIME(HOUR('Calendario A'!$F135),MINUTE('Calendario A'!$F135),0))</f>
        <v/>
      </c>
      <c r="E39" s="116" t="str">
        <f>IF($B39="","",DATE(YEAR('Calendario A'!$F135),MONTH('Calendario A'!$F135),DAY('Calendario A'!$F135)))</f>
        <v/>
      </c>
      <c r="F39" s="117" t="str">
        <f>IF($B39="","",TIME(HOUR('Calendario A'!$F135)+2,MINUTE('Calendario A'!$F135),0))</f>
        <v/>
      </c>
      <c r="G39" s="48" t="str">
        <f>IF($B39="","",'Calendario A'!$B136)</f>
        <v/>
      </c>
      <c r="H39" s="48" t="str">
        <f>IF($B39="","",Campionato!$D$2&amp;" "&amp;Campionato!$D$6)</f>
        <v/>
      </c>
      <c r="I39" s="48"/>
    </row>
    <row r="40" spans="1:9" x14ac:dyDescent="0.25">
      <c r="A40" s="48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48" t="str">
        <f>IF('Calendario A'!$B138="","",'Calendario A'!$B138&amp;" vs "&amp;'Calendario A'!$D138&amp;" "&amp;'Calendario A'!$AC138)</f>
        <v/>
      </c>
      <c r="C40" s="116" t="str">
        <f>IF($B40="","",DATE(YEAR('Calendario A'!$F138),MONTH('Calendario A'!$F138),DAY('Calendario A'!$F138)))</f>
        <v/>
      </c>
      <c r="D40" s="117" t="str">
        <f>IF($B40="","",TIME(HOUR('Calendario A'!$F138),MINUTE('Calendario A'!$F138),0))</f>
        <v/>
      </c>
      <c r="E40" s="116" t="str">
        <f>IF($B40="","",DATE(YEAR('Calendario A'!$F138),MONTH('Calendario A'!$F138),DAY('Calendario A'!$F138)))</f>
        <v/>
      </c>
      <c r="F40" s="117" t="str">
        <f>IF($B40="","",TIME(HOUR('Calendario A'!$F138)+2,MINUTE('Calendario A'!$F138),0))</f>
        <v/>
      </c>
      <c r="G40" s="48" t="str">
        <f>IF($B40="","",'Calendario A'!$B139)</f>
        <v/>
      </c>
      <c r="H40" s="48" t="str">
        <f>IF($B40="","",Campionato!$D$2&amp;" "&amp;Campionato!$D$6)</f>
        <v/>
      </c>
      <c r="I40" s="48"/>
    </row>
    <row r="41" spans="1:9" x14ac:dyDescent="0.25">
      <c r="A41" s="48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48" t="str">
        <f>IF('Calendario A'!$B141="","",'Calendario A'!$B141&amp;" vs "&amp;'Calendario A'!$D141&amp;" "&amp;'Calendario A'!$AC141)</f>
        <v/>
      </c>
      <c r="C41" s="116" t="str">
        <f>IF($B41="","",DATE(YEAR('Calendario A'!$F141),MONTH('Calendario A'!$F141),DAY('Calendario A'!$F141)))</f>
        <v/>
      </c>
      <c r="D41" s="117" t="str">
        <f>IF($B41="","",TIME(HOUR('Calendario A'!$F141),MINUTE('Calendario A'!$F141),0))</f>
        <v/>
      </c>
      <c r="E41" s="116" t="str">
        <f>IF($B41="","",DATE(YEAR('Calendario A'!$F141),MONTH('Calendario A'!$F141),DAY('Calendario A'!$F141)))</f>
        <v/>
      </c>
      <c r="F41" s="117" t="str">
        <f>IF($B41="","",TIME(HOUR('Calendario A'!$F141)+2,MINUTE('Calendario A'!$F141),0))</f>
        <v/>
      </c>
      <c r="G41" s="48" t="str">
        <f>IF($B41="","",'Calendario A'!$B142)</f>
        <v/>
      </c>
      <c r="H41" s="48" t="str">
        <f>IF($B41="","",Campionato!$D$2&amp;" "&amp;Campionato!$D$6)</f>
        <v/>
      </c>
      <c r="I41" s="48"/>
    </row>
    <row r="42" spans="1:9" x14ac:dyDescent="0.25">
      <c r="A42" s="48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48" t="str">
        <f>IF('Calendario A'!$B146="","",'Calendario A'!$B146&amp;" vs "&amp;'Calendario A'!$D146&amp;" "&amp;'Calendario A'!$AC146)</f>
        <v/>
      </c>
      <c r="C42" s="116" t="str">
        <f>IF($B42="","",DATE(YEAR('Calendario A'!$F146),MONTH('Calendario A'!$F146),DAY('Calendario A'!$F146)))</f>
        <v/>
      </c>
      <c r="D42" s="117" t="str">
        <f>IF($B42="","",TIME(HOUR('Calendario A'!$F146),MINUTE('Calendario A'!$F146),0))</f>
        <v/>
      </c>
      <c r="E42" s="116" t="str">
        <f>IF($B42="","",DATE(YEAR('Calendario A'!$F146),MONTH('Calendario A'!$F146),DAY('Calendario A'!$F146)))</f>
        <v/>
      </c>
      <c r="F42" s="117" t="str">
        <f>IF($B42="","",TIME(HOUR('Calendario A'!$F146)+2,MINUTE('Calendario A'!$F146),0))</f>
        <v/>
      </c>
      <c r="G42" s="48" t="str">
        <f>IF($B42="","",'Calendario A'!$B147)</f>
        <v/>
      </c>
      <c r="H42" s="48" t="str">
        <f>IF($B42="","",Campionato!$D$2&amp;" "&amp;Campionato!$D$6)</f>
        <v/>
      </c>
      <c r="I42" s="48"/>
    </row>
    <row r="43" spans="1:9" x14ac:dyDescent="0.25">
      <c r="A43" s="48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48" t="str">
        <f>IF('Calendario A'!$B149="","",'Calendario A'!$B149&amp;" vs "&amp;'Calendario A'!$D149&amp;" "&amp;'Calendario A'!$AC149)</f>
        <v/>
      </c>
      <c r="C43" s="116" t="str">
        <f>IF($B43="","",DATE(YEAR('Calendario A'!$F149),MONTH('Calendario A'!$F149),DAY('Calendario A'!$F149)))</f>
        <v/>
      </c>
      <c r="D43" s="117" t="str">
        <f>IF($B43="","",TIME(HOUR('Calendario A'!$F149),MINUTE('Calendario A'!$F149),0))</f>
        <v/>
      </c>
      <c r="E43" s="116" t="str">
        <f>IF($B43="","",DATE(YEAR('Calendario A'!$F149),MONTH('Calendario A'!$F149),DAY('Calendario A'!$F149)))</f>
        <v/>
      </c>
      <c r="F43" s="117" t="str">
        <f>IF($B43="","",TIME(HOUR('Calendario A'!$F149)+2,MINUTE('Calendario A'!$F149),0))</f>
        <v/>
      </c>
      <c r="G43" s="48" t="str">
        <f>IF($B43="","",'Calendario A'!$B150)</f>
        <v/>
      </c>
      <c r="H43" s="48" t="str">
        <f>IF($B43="","",Campionato!$D$2&amp;" "&amp;Campionato!$D$6)</f>
        <v/>
      </c>
      <c r="I43" s="48"/>
    </row>
    <row r="44" spans="1:9" x14ac:dyDescent="0.25">
      <c r="A44" s="48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48" t="str">
        <f>IF('Calendario A'!$B152="","",'Calendario A'!$B152&amp;" vs "&amp;'Calendario A'!$D152&amp;" "&amp;'Calendario A'!$AC152)</f>
        <v/>
      </c>
      <c r="C44" s="116" t="str">
        <f>IF($B44="","",DATE(YEAR('Calendario A'!$F152),MONTH('Calendario A'!$F152),DAY('Calendario A'!$F152)))</f>
        <v/>
      </c>
      <c r="D44" s="117" t="str">
        <f>IF($B44="","",TIME(HOUR('Calendario A'!$F152),MINUTE('Calendario A'!$F152),0))</f>
        <v/>
      </c>
      <c r="E44" s="116" t="str">
        <f>IF($B44="","",DATE(YEAR('Calendario A'!$F152),MONTH('Calendario A'!$F152),DAY('Calendario A'!$F152)))</f>
        <v/>
      </c>
      <c r="F44" s="117" t="str">
        <f>IF($B44="","",TIME(HOUR('Calendario A'!$F152)+2,MINUTE('Calendario A'!$F152),0))</f>
        <v/>
      </c>
      <c r="G44" s="48" t="str">
        <f>IF($B44="","",'Calendario A'!$B153)</f>
        <v/>
      </c>
      <c r="H44" s="48" t="str">
        <f>IF($B44="","",Campionato!$D$2&amp;" "&amp;Campionato!$D$6)</f>
        <v/>
      </c>
      <c r="I44" s="48"/>
    </row>
    <row r="45" spans="1:9" x14ac:dyDescent="0.25">
      <c r="A45" s="48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48" t="str">
        <f>IF('Calendario A'!$B155="","",'Calendario A'!$B155&amp;" vs "&amp;'Calendario A'!$D155&amp;" "&amp;'Calendario A'!$AC155)</f>
        <v/>
      </c>
      <c r="C45" s="116" t="str">
        <f>IF($B45="","",DATE(YEAR('Calendario A'!$F155),MONTH('Calendario A'!$F155),DAY('Calendario A'!$F155)))</f>
        <v/>
      </c>
      <c r="D45" s="117" t="str">
        <f>IF($B45="","",TIME(HOUR('Calendario A'!$F155),MINUTE('Calendario A'!$F155),0))</f>
        <v/>
      </c>
      <c r="E45" s="116" t="str">
        <f>IF($B45="","",DATE(YEAR('Calendario A'!$F155),MONTH('Calendario A'!$F155),DAY('Calendario A'!$F155)))</f>
        <v/>
      </c>
      <c r="F45" s="117" t="str">
        <f>IF($B45="","",TIME(HOUR('Calendario A'!$F155)+2,MINUTE('Calendario A'!$F155),0))</f>
        <v/>
      </c>
      <c r="G45" s="48" t="str">
        <f>IF($B45="","",'Calendario A'!$B156)</f>
        <v/>
      </c>
      <c r="H45" s="48" t="str">
        <f>IF($B45="","",Campionato!$D$2&amp;" "&amp;Campionato!$D$6)</f>
        <v/>
      </c>
      <c r="I45" s="48"/>
    </row>
    <row r="46" spans="1:9" x14ac:dyDescent="0.25">
      <c r="A46" s="48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48" t="str">
        <f>IF('Calendario A'!$B158="","",'Calendario A'!$B158&amp;" vs "&amp;'Calendario A'!$D158&amp;" "&amp;'Calendario A'!$AC158)</f>
        <v/>
      </c>
      <c r="C46" s="116" t="str">
        <f>IF($B46="","",DATE(YEAR('Calendario A'!$F158),MONTH('Calendario A'!$F158),DAY('Calendario A'!$F158)))</f>
        <v/>
      </c>
      <c r="D46" s="117" t="str">
        <f>IF($B46="","",TIME(HOUR('Calendario A'!$F158),MINUTE('Calendario A'!$F158),0))</f>
        <v/>
      </c>
      <c r="E46" s="116" t="str">
        <f>IF($B46="","",DATE(YEAR('Calendario A'!$F158),MONTH('Calendario A'!$F158),DAY('Calendario A'!$F158)))</f>
        <v/>
      </c>
      <c r="F46" s="117" t="str">
        <f>IF($B46="","",TIME(HOUR('Calendario A'!$F158)+2,MINUTE('Calendario A'!$F158),0))</f>
        <v/>
      </c>
      <c r="G46" s="48" t="str">
        <f>IF($B46="","",'Calendario A'!$B159)</f>
        <v/>
      </c>
      <c r="H46" s="48" t="str">
        <f>IF($B46="","",Campionato!$D$2&amp;" "&amp;Campionato!$D$6)</f>
        <v/>
      </c>
      <c r="I46" s="48"/>
    </row>
    <row r="47" spans="1:9" x14ac:dyDescent="0.25">
      <c r="A47" s="48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48" t="str">
        <f>IF('Calendario B'!$B10="","",'Calendario B'!$B10&amp;" vs "&amp;'Calendario B'!$D10&amp;" "&amp;'Calendario B'!$AC10)</f>
        <v/>
      </c>
      <c r="C47" s="116" t="str">
        <f>IF($B47="","",DATE(YEAR('Calendario B'!$F10),MONTH('Calendario B'!$F10),DAY('Calendario B'!$F10)))</f>
        <v/>
      </c>
      <c r="D47" s="117" t="str">
        <f>IF($B47="","",TIME(HOUR('Calendario B'!$F10),MINUTE('Calendario B'!$F10),0))</f>
        <v/>
      </c>
      <c r="E47" s="116" t="str">
        <f>IF($B47="","",DATE(YEAR('Calendario B'!$F10),MONTH('Calendario B'!$F10),DAY('Calendario B'!$F10)))</f>
        <v/>
      </c>
      <c r="F47" s="117" t="str">
        <f>IF($B47="","",TIME(HOUR('Calendario B'!$F10)+2,MINUTE('Calendario B'!$F10),0))</f>
        <v/>
      </c>
      <c r="G47" s="48" t="str">
        <f>IF($B47="","",'Calendario B'!$B11)</f>
        <v/>
      </c>
      <c r="H47" s="48" t="str">
        <f>IF($B47="","",Campionato!$D$2&amp;" "&amp;Campionato!$D$6)</f>
        <v/>
      </c>
      <c r="I47" s="48"/>
    </row>
    <row r="48" spans="1:9" x14ac:dyDescent="0.25">
      <c r="A48" s="48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48" t="str">
        <f>IF('Calendario B'!$B13="","",'Calendario B'!$B13&amp;" vs "&amp;'Calendario B'!$D13&amp;" "&amp;'Calendario B'!$AC13)</f>
        <v/>
      </c>
      <c r="C48" s="116" t="str">
        <f>IF($B48="","",DATE(YEAR('Calendario B'!$F13),MONTH('Calendario B'!$F13),DAY('Calendario B'!$F13)))</f>
        <v/>
      </c>
      <c r="D48" s="117" t="str">
        <f>IF($B48="","",TIME(HOUR('Calendario B'!$F13),MINUTE('Calendario B'!$F13),0))</f>
        <v/>
      </c>
      <c r="E48" s="116" t="str">
        <f>IF($B48="","",DATE(YEAR('Calendario B'!$F13),MONTH('Calendario B'!$F13),DAY('Calendario B'!$F13)))</f>
        <v/>
      </c>
      <c r="F48" s="117" t="str">
        <f>IF($B48="","",TIME(HOUR('Calendario B'!$F13)+2,MINUTE('Calendario B'!$F13),0))</f>
        <v/>
      </c>
      <c r="G48" s="48" t="str">
        <f>IF($B48="","",'Calendario B'!$B14)</f>
        <v/>
      </c>
      <c r="H48" s="48" t="str">
        <f>IF($B48="","",Campionato!$D$2&amp;" "&amp;Campionato!$D$6)</f>
        <v/>
      </c>
      <c r="I48" s="48"/>
    </row>
    <row r="49" spans="1:9" x14ac:dyDescent="0.25">
      <c r="A49" s="48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48" t="str">
        <f>IF('Calendario B'!$B16="","",'Calendario B'!$B16&amp;" vs "&amp;'Calendario B'!$D16&amp;" "&amp;'Calendario B'!$AC16)</f>
        <v/>
      </c>
      <c r="C49" s="116" t="str">
        <f>IF($B49="","",DATE(YEAR('Calendario B'!$F16),MONTH('Calendario B'!$F16),DAY('Calendario B'!$F16)))</f>
        <v/>
      </c>
      <c r="D49" s="117" t="str">
        <f>IF($B49="","",TIME(HOUR('Calendario B'!$F16),MINUTE('Calendario B'!$F16),0))</f>
        <v/>
      </c>
      <c r="E49" s="116" t="str">
        <f>IF($B49="","",DATE(YEAR('Calendario B'!$F16),MONTH('Calendario B'!$F16),DAY('Calendario B'!$F16)))</f>
        <v/>
      </c>
      <c r="F49" s="117" t="str">
        <f>IF($B49="","",TIME(HOUR('Calendario B'!$F16)+2,MINUTE('Calendario B'!$F16),0))</f>
        <v/>
      </c>
      <c r="G49" s="48" t="str">
        <f>IF($B49="","",'Calendario B'!$B17)</f>
        <v/>
      </c>
      <c r="H49" s="48" t="str">
        <f>IF($B49="","",Campionato!$D$2&amp;" "&amp;Campionato!$D$6)</f>
        <v/>
      </c>
      <c r="I49" s="48"/>
    </row>
    <row r="50" spans="1:9" x14ac:dyDescent="0.25">
      <c r="A50" s="48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48" t="str">
        <f>IF('Calendario B'!$B19="","",'Calendario B'!$B19&amp;" vs "&amp;'Calendario B'!$D19&amp;" "&amp;'Calendario B'!$AC19)</f>
        <v/>
      </c>
      <c r="C50" s="116" t="str">
        <f>IF($B50="","",DATE(YEAR('Calendario B'!$F19),MONTH('Calendario B'!$F19),DAY('Calendario B'!$F19)))</f>
        <v/>
      </c>
      <c r="D50" s="117" t="str">
        <f>IF($B50="","",TIME(HOUR('Calendario B'!$F19),MINUTE('Calendario B'!$F19),0))</f>
        <v/>
      </c>
      <c r="E50" s="116" t="str">
        <f>IF($B50="","",DATE(YEAR('Calendario B'!$F19),MONTH('Calendario B'!$F19),DAY('Calendario B'!$F19)))</f>
        <v/>
      </c>
      <c r="F50" s="117" t="str">
        <f>IF($B50="","",TIME(HOUR('Calendario B'!$F19)+2,MINUTE('Calendario B'!$F19),0))</f>
        <v/>
      </c>
      <c r="G50" s="48" t="str">
        <f>IF($B50="","",'Calendario B'!$B20)</f>
        <v/>
      </c>
      <c r="H50" s="48" t="str">
        <f>IF($B50="","",Campionato!$D$2&amp;" "&amp;Campionato!$D$6)</f>
        <v/>
      </c>
      <c r="I50" s="48"/>
    </row>
    <row r="51" spans="1:9" x14ac:dyDescent="0.25">
      <c r="A51" s="48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48" t="str">
        <f>IF('Calendario B'!$B22="","",'Calendario B'!$B22&amp;" vs "&amp;'Calendario B'!$D22&amp;" "&amp;'Calendario B'!$AC22)</f>
        <v/>
      </c>
      <c r="C51" s="116" t="str">
        <f>IF($B51="","",DATE(YEAR('Calendario B'!$F22),MONTH('Calendario B'!$F22),DAY('Calendario B'!$F22)))</f>
        <v/>
      </c>
      <c r="D51" s="117" t="str">
        <f>IF($B51="","",TIME(HOUR('Calendario B'!$F22),MINUTE('Calendario B'!$F22),0))</f>
        <v/>
      </c>
      <c r="E51" s="116" t="str">
        <f>IF($B51="","",DATE(YEAR('Calendario B'!$F22),MONTH('Calendario B'!$F22),DAY('Calendario B'!$F22)))</f>
        <v/>
      </c>
      <c r="F51" s="117" t="str">
        <f>IF($B51="","",TIME(HOUR('Calendario B'!$F22)+2,MINUTE('Calendario B'!$F22),0))</f>
        <v/>
      </c>
      <c r="G51" s="48" t="str">
        <f>IF($B51="","",'Calendario B'!$B23)</f>
        <v/>
      </c>
      <c r="H51" s="48" t="str">
        <f>IF($B51="","",Campionato!$D$2&amp;" "&amp;Campionato!$D$6)</f>
        <v/>
      </c>
      <c r="I51" s="48"/>
    </row>
    <row r="52" spans="1:9" x14ac:dyDescent="0.25">
      <c r="A52" s="48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48" t="str">
        <f>IF('Calendario B'!$B27="","",'Calendario B'!$B27&amp;" vs "&amp;'Calendario B'!$D27&amp;" "&amp;'Calendario B'!$AC27)</f>
        <v/>
      </c>
      <c r="C52" s="116" t="str">
        <f>IF($B52="","",DATE(YEAR('Calendario B'!$F27),MONTH('Calendario B'!$F27),DAY('Calendario B'!$F27)))</f>
        <v/>
      </c>
      <c r="D52" s="117" t="str">
        <f>IF($B52="","",TIME(HOUR('Calendario B'!$F27),MINUTE('Calendario B'!$F27),0))</f>
        <v/>
      </c>
      <c r="E52" s="116" t="str">
        <f>IF($B52="","",DATE(YEAR('Calendario B'!$F27),MONTH('Calendario B'!$F27),DAY('Calendario B'!$F27)))</f>
        <v/>
      </c>
      <c r="F52" s="117" t="str">
        <f>IF($B52="","",TIME(HOUR('Calendario B'!$F27)+2,MINUTE('Calendario B'!$F27),0))</f>
        <v/>
      </c>
      <c r="G52" s="48" t="str">
        <f>IF($B52="","",'Calendario B'!$B28)</f>
        <v/>
      </c>
      <c r="H52" s="48" t="str">
        <f>IF($B52="","",Campionato!$D$2&amp;" "&amp;Campionato!$D$6)</f>
        <v/>
      </c>
      <c r="I52" s="48"/>
    </row>
    <row r="53" spans="1:9" x14ac:dyDescent="0.25">
      <c r="A53" s="48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48" t="str">
        <f>IF('Calendario B'!$B30="","",'Calendario B'!$B30&amp;" vs "&amp;'Calendario B'!$D30&amp;" "&amp;'Calendario B'!$AC30)</f>
        <v/>
      </c>
      <c r="C53" s="116" t="str">
        <f>IF($B53="","",DATE(YEAR('Calendario B'!$F30),MONTH('Calendario B'!$F30),DAY('Calendario B'!$F30)))</f>
        <v/>
      </c>
      <c r="D53" s="117" t="str">
        <f>IF($B53="","",TIME(HOUR('Calendario B'!$F30),MINUTE('Calendario B'!$F30),0))</f>
        <v/>
      </c>
      <c r="E53" s="116" t="str">
        <f>IF($B53="","",DATE(YEAR('Calendario B'!$F30),MONTH('Calendario B'!$F30),DAY('Calendario B'!$F30)))</f>
        <v/>
      </c>
      <c r="F53" s="117" t="str">
        <f>IF($B53="","",TIME(HOUR('Calendario B'!$F30)+2,MINUTE('Calendario B'!$F30),0))</f>
        <v/>
      </c>
      <c r="G53" s="48" t="str">
        <f>IF($B53="","",'Calendario B'!$B31)</f>
        <v/>
      </c>
      <c r="H53" s="48" t="str">
        <f>IF($B53="","",Campionato!$D$2&amp;" "&amp;Campionato!$D$6)</f>
        <v/>
      </c>
      <c r="I53" s="48"/>
    </row>
    <row r="54" spans="1:9" x14ac:dyDescent="0.25">
      <c r="A54" s="48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48" t="str">
        <f>IF('Calendario B'!$B33="","",'Calendario B'!$B33&amp;" vs "&amp;'Calendario B'!$D33&amp;" "&amp;'Calendario B'!$AC33)</f>
        <v/>
      </c>
      <c r="C54" s="116" t="str">
        <f>IF($B54="","",DATE(YEAR('Calendario B'!$F33),MONTH('Calendario B'!$F33),DAY('Calendario B'!$F33)))</f>
        <v/>
      </c>
      <c r="D54" s="117" t="str">
        <f>IF($B54="","",TIME(HOUR('Calendario B'!$F33),MINUTE('Calendario B'!$F33),0))</f>
        <v/>
      </c>
      <c r="E54" s="116" t="str">
        <f>IF($B54="","",DATE(YEAR('Calendario B'!$F33),MONTH('Calendario B'!$F33),DAY('Calendario B'!$F33)))</f>
        <v/>
      </c>
      <c r="F54" s="117" t="str">
        <f>IF($B54="","",TIME(HOUR('Calendario B'!$F33)+2,MINUTE('Calendario B'!$F33),0))</f>
        <v/>
      </c>
      <c r="G54" s="48" t="str">
        <f>IF($B54="","",'Calendario B'!$B34)</f>
        <v/>
      </c>
      <c r="H54" s="48" t="str">
        <f>IF($B54="","",Campionato!$D$2&amp;" "&amp;Campionato!$D$6)</f>
        <v/>
      </c>
      <c r="I54" s="48"/>
    </row>
    <row r="55" spans="1:9" x14ac:dyDescent="0.25">
      <c r="A55" s="48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48" t="str">
        <f>IF('Calendario B'!$B36="","",'Calendario B'!$B36&amp;" vs "&amp;'Calendario B'!$D36&amp;" "&amp;'Calendario B'!$AC36)</f>
        <v/>
      </c>
      <c r="C55" s="116" t="str">
        <f>IF($B55="","",DATE(YEAR('Calendario B'!$F36),MONTH('Calendario B'!$F36),DAY('Calendario B'!$F36)))</f>
        <v/>
      </c>
      <c r="D55" s="117" t="str">
        <f>IF($B55="","",TIME(HOUR('Calendario B'!$F36),MINUTE('Calendario B'!$F36),0))</f>
        <v/>
      </c>
      <c r="E55" s="116" t="str">
        <f>IF($B55="","",DATE(YEAR('Calendario B'!$F36),MONTH('Calendario B'!$F36),DAY('Calendario B'!$F36)))</f>
        <v/>
      </c>
      <c r="F55" s="117" t="str">
        <f>IF($B55="","",TIME(HOUR('Calendario B'!$F36)+2,MINUTE('Calendario B'!$F36),0))</f>
        <v/>
      </c>
      <c r="G55" s="48" t="str">
        <f>IF($B55="","",'Calendario B'!$B37)</f>
        <v/>
      </c>
      <c r="H55" s="48" t="str">
        <f>IF($B55="","",Campionato!$D$2&amp;" "&amp;Campionato!$D$6)</f>
        <v/>
      </c>
      <c r="I55" s="48"/>
    </row>
    <row r="56" spans="1:9" x14ac:dyDescent="0.25">
      <c r="A56" s="48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48" t="str">
        <f>IF('Calendario B'!$B39="","",'Calendario B'!$B39&amp;" vs "&amp;'Calendario B'!$D39&amp;" "&amp;'Calendario B'!$AC39)</f>
        <v/>
      </c>
      <c r="C56" s="116" t="str">
        <f>IF($B56="","",DATE(YEAR('Calendario B'!$F39),MONTH('Calendario B'!$F39),DAY('Calendario B'!$F39)))</f>
        <v/>
      </c>
      <c r="D56" s="117" t="str">
        <f>IF($B56="","",TIME(HOUR('Calendario B'!$F39),MINUTE('Calendario B'!$F39),0))</f>
        <v/>
      </c>
      <c r="E56" s="116" t="str">
        <f>IF($B56="","",DATE(YEAR('Calendario B'!$F39),MONTH('Calendario B'!$F39),DAY('Calendario B'!$F39)))</f>
        <v/>
      </c>
      <c r="F56" s="117" t="str">
        <f>IF($B56="","",TIME(HOUR('Calendario B'!$F39)+2,MINUTE('Calendario B'!$F39),0))</f>
        <v/>
      </c>
      <c r="G56" s="48" t="str">
        <f>IF($B56="","",'Calendario B'!$B40)</f>
        <v/>
      </c>
      <c r="H56" s="48" t="str">
        <f>IF($B56="","",Campionato!$D$2&amp;" "&amp;Campionato!$D$6)</f>
        <v/>
      </c>
      <c r="I56" s="48"/>
    </row>
    <row r="57" spans="1:9" x14ac:dyDescent="0.25">
      <c r="A57" s="48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48" t="str">
        <f>IF('Calendario B'!$B44="","",'Calendario B'!$B44&amp;" vs "&amp;'Calendario B'!$D44&amp;" "&amp;'Calendario B'!$AC44)</f>
        <v/>
      </c>
      <c r="C57" s="116" t="str">
        <f>IF($B57="","",DATE(YEAR('Calendario B'!$F44),MONTH('Calendario B'!$F44),DAY('Calendario B'!$F44)))</f>
        <v/>
      </c>
      <c r="D57" s="117" t="str">
        <f>IF($B57="","",TIME(HOUR('Calendario B'!$F44),MINUTE('Calendario B'!$F44),0))</f>
        <v/>
      </c>
      <c r="E57" s="116" t="str">
        <f>IF($B57="","",DATE(YEAR('Calendario B'!$F44),MONTH('Calendario B'!$F44),DAY('Calendario B'!$F44)))</f>
        <v/>
      </c>
      <c r="F57" s="117" t="str">
        <f>IF($B57="","",TIME(HOUR('Calendario B'!$F44)+2,MINUTE('Calendario B'!$F44),0))</f>
        <v/>
      </c>
      <c r="G57" s="48" t="str">
        <f>IF($B57="","",'Calendario B'!$B45)</f>
        <v/>
      </c>
      <c r="H57" s="48" t="str">
        <f>IF($B57="","",Campionato!$D$2&amp;" "&amp;Campionato!$D$6)</f>
        <v/>
      </c>
      <c r="I57" s="48"/>
    </row>
    <row r="58" spans="1:9" x14ac:dyDescent="0.25">
      <c r="A58" s="48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48" t="str">
        <f>IF('Calendario B'!$B47="","",'Calendario B'!$B47&amp;" vs "&amp;'Calendario B'!$D47&amp;" "&amp;'Calendario B'!$AC47)</f>
        <v/>
      </c>
      <c r="C58" s="116" t="str">
        <f>IF($B58="","",DATE(YEAR('Calendario B'!$F47),MONTH('Calendario B'!$F47),DAY('Calendario B'!$F47)))</f>
        <v/>
      </c>
      <c r="D58" s="117" t="str">
        <f>IF($B58="","",TIME(HOUR('Calendario B'!$F47),MINUTE('Calendario B'!$F47),0))</f>
        <v/>
      </c>
      <c r="E58" s="116" t="str">
        <f>IF($B58="","",DATE(YEAR('Calendario B'!$F47),MONTH('Calendario B'!$F47),DAY('Calendario B'!$F47)))</f>
        <v/>
      </c>
      <c r="F58" s="117" t="str">
        <f>IF($B58="","",TIME(HOUR('Calendario B'!$F47)+2,MINUTE('Calendario B'!$F47),0))</f>
        <v/>
      </c>
      <c r="G58" s="48" t="str">
        <f>IF($B58="","",'Calendario B'!$B48)</f>
        <v/>
      </c>
      <c r="H58" s="48" t="str">
        <f>IF($B58="","",Campionato!$D$2&amp;" "&amp;Campionato!$D$6)</f>
        <v/>
      </c>
      <c r="I58" s="48"/>
    </row>
    <row r="59" spans="1:9" x14ac:dyDescent="0.25">
      <c r="A59" s="48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48" t="str">
        <f>IF('Calendario B'!$B50="","",'Calendario B'!$B50&amp;" vs "&amp;'Calendario B'!$D50&amp;" "&amp;'Calendario B'!$AC50)</f>
        <v/>
      </c>
      <c r="C59" s="116" t="str">
        <f>IF($B59="","",DATE(YEAR('Calendario B'!$F50),MONTH('Calendario B'!$F50),DAY('Calendario B'!$F50)))</f>
        <v/>
      </c>
      <c r="D59" s="117" t="str">
        <f>IF($B59="","",TIME(HOUR('Calendario B'!$F50),MINUTE('Calendario B'!$F50),0))</f>
        <v/>
      </c>
      <c r="E59" s="116" t="str">
        <f>IF($B59="","",DATE(YEAR('Calendario B'!$F50),MONTH('Calendario B'!$F50),DAY('Calendario B'!$F50)))</f>
        <v/>
      </c>
      <c r="F59" s="117" t="str">
        <f>IF($B59="","",TIME(HOUR('Calendario B'!$F50)+2,MINUTE('Calendario B'!$F50),0))</f>
        <v/>
      </c>
      <c r="G59" s="48" t="str">
        <f>IF($B59="","",'Calendario B'!$B51)</f>
        <v/>
      </c>
      <c r="H59" s="48" t="str">
        <f>IF($B59="","",Campionato!$D$2&amp;" "&amp;Campionato!$D$6)</f>
        <v/>
      </c>
      <c r="I59" s="48"/>
    </row>
    <row r="60" spans="1:9" x14ac:dyDescent="0.25">
      <c r="A60" s="48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48" t="str">
        <f>IF('Calendario B'!$B53="","",'Calendario B'!$B53&amp;" vs "&amp;'Calendario B'!$D53&amp;" "&amp;'Calendario B'!$AC53)</f>
        <v/>
      </c>
      <c r="C60" s="116" t="str">
        <f>IF($B60="","",DATE(YEAR('Calendario B'!$F53),MONTH('Calendario B'!$F53),DAY('Calendario B'!$F53)))</f>
        <v/>
      </c>
      <c r="D60" s="117" t="str">
        <f>IF($B60="","",TIME(HOUR('Calendario B'!$F53),MINUTE('Calendario B'!$F53),0))</f>
        <v/>
      </c>
      <c r="E60" s="116" t="str">
        <f>IF($B60="","",DATE(YEAR('Calendario B'!$F53),MONTH('Calendario B'!$F53),DAY('Calendario B'!$F53)))</f>
        <v/>
      </c>
      <c r="F60" s="117" t="str">
        <f>IF($B60="","",TIME(HOUR('Calendario B'!$F53)+2,MINUTE('Calendario B'!$F53),0))</f>
        <v/>
      </c>
      <c r="G60" s="48" t="str">
        <f>IF($B60="","",'Calendario B'!$B54)</f>
        <v/>
      </c>
      <c r="H60" s="48" t="str">
        <f>IF($B60="","",Campionato!$D$2&amp;" "&amp;Campionato!$D$6)</f>
        <v/>
      </c>
      <c r="I60" s="48"/>
    </row>
    <row r="61" spans="1:9" x14ac:dyDescent="0.25">
      <c r="A61" s="48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48" t="str">
        <f>IF('Calendario B'!$B56="","",'Calendario B'!$B56&amp;" vs "&amp;'Calendario B'!$D56&amp;" "&amp;'Calendario B'!$AC56)</f>
        <v/>
      </c>
      <c r="C61" s="116" t="str">
        <f>IF($B61="","",DATE(YEAR('Calendario B'!$F56),MONTH('Calendario B'!$F56),DAY('Calendario B'!$F56)))</f>
        <v/>
      </c>
      <c r="D61" s="117" t="str">
        <f>IF($B61="","",TIME(HOUR('Calendario B'!$F56),MINUTE('Calendario B'!$F56),0))</f>
        <v/>
      </c>
      <c r="E61" s="116" t="str">
        <f>IF($B61="","",DATE(YEAR('Calendario B'!$F56),MONTH('Calendario B'!$F56),DAY('Calendario B'!$F56)))</f>
        <v/>
      </c>
      <c r="F61" s="117" t="str">
        <f>IF($B61="","",TIME(HOUR('Calendario B'!$F56)+2,MINUTE('Calendario B'!$F56),0))</f>
        <v/>
      </c>
      <c r="G61" s="48" t="str">
        <f>IF($B61="","",'Calendario B'!$B57)</f>
        <v/>
      </c>
      <c r="H61" s="48" t="str">
        <f>IF($B61="","",Campionato!$D$2&amp;" "&amp;Campionato!$D$6)</f>
        <v/>
      </c>
      <c r="I61" s="48"/>
    </row>
    <row r="62" spans="1:9" x14ac:dyDescent="0.25">
      <c r="A62" s="48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48" t="str">
        <f>IF('Calendario B'!$B61="","",'Calendario B'!$B61&amp;" vs "&amp;'Calendario B'!$D61&amp;" "&amp;'Calendario B'!$AC61)</f>
        <v/>
      </c>
      <c r="C62" s="116" t="str">
        <f>IF($B62="","",DATE(YEAR('Calendario B'!$F61),MONTH('Calendario B'!$F61),DAY('Calendario B'!$F61)))</f>
        <v/>
      </c>
      <c r="D62" s="117" t="str">
        <f>IF($B62="","",TIME(HOUR('Calendario B'!$F61),MINUTE('Calendario B'!$F61),0))</f>
        <v/>
      </c>
      <c r="E62" s="116" t="str">
        <f>IF($B62="","",DATE(YEAR('Calendario B'!$F61),MONTH('Calendario B'!$F61),DAY('Calendario B'!$F61)))</f>
        <v/>
      </c>
      <c r="F62" s="117" t="str">
        <f>IF($B62="","",TIME(HOUR('Calendario B'!$F61)+2,MINUTE('Calendario B'!$F61),0))</f>
        <v/>
      </c>
      <c r="G62" s="48" t="str">
        <f>IF($B62="","",'Calendario B'!$B62)</f>
        <v/>
      </c>
      <c r="H62" s="48" t="str">
        <f>IF($B62="","",Campionato!$D$2&amp;" "&amp;Campionato!$D$6)</f>
        <v/>
      </c>
      <c r="I62" s="48"/>
    </row>
    <row r="63" spans="1:9" x14ac:dyDescent="0.25">
      <c r="A63" s="48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48" t="str">
        <f>IF('Calendario B'!$B64="","",'Calendario B'!$B64&amp;" vs "&amp;'Calendario B'!$D64&amp;" "&amp;'Calendario B'!$AC64)</f>
        <v/>
      </c>
      <c r="C63" s="116" t="str">
        <f>IF($B63="","",DATE(YEAR('Calendario B'!$F64),MONTH('Calendario B'!$F64),DAY('Calendario B'!$F64)))</f>
        <v/>
      </c>
      <c r="D63" s="117" t="str">
        <f>IF($B63="","",TIME(HOUR('Calendario B'!$F64),MINUTE('Calendario B'!$F64),0))</f>
        <v/>
      </c>
      <c r="E63" s="116" t="str">
        <f>IF($B63="","",DATE(YEAR('Calendario B'!$F64),MONTH('Calendario B'!$F64),DAY('Calendario B'!$F64)))</f>
        <v/>
      </c>
      <c r="F63" s="117" t="str">
        <f>IF($B63="","",TIME(HOUR('Calendario B'!$F64)+2,MINUTE('Calendario B'!$F64),0))</f>
        <v/>
      </c>
      <c r="G63" s="48" t="str">
        <f>IF($B63="","",'Calendario B'!$B65)</f>
        <v/>
      </c>
      <c r="H63" s="48" t="str">
        <f>IF($B63="","",Campionato!$D$2&amp;" "&amp;Campionato!$D$6)</f>
        <v/>
      </c>
      <c r="I63" s="48"/>
    </row>
    <row r="64" spans="1:9" x14ac:dyDescent="0.25">
      <c r="A64" s="48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48" t="str">
        <f>IF('Calendario B'!$B67="","",'Calendario B'!$B67&amp;" vs "&amp;'Calendario B'!$D67&amp;" "&amp;'Calendario B'!$AC67)</f>
        <v/>
      </c>
      <c r="C64" s="116" t="str">
        <f>IF($B64="","",DATE(YEAR('Calendario B'!$F67),MONTH('Calendario B'!$F67),DAY('Calendario B'!$F67)))</f>
        <v/>
      </c>
      <c r="D64" s="117" t="str">
        <f>IF($B64="","",TIME(HOUR('Calendario B'!$F67),MINUTE('Calendario B'!$F67),0))</f>
        <v/>
      </c>
      <c r="E64" s="116" t="str">
        <f>IF($B64="","",DATE(YEAR('Calendario B'!$F67),MONTH('Calendario B'!$F67),DAY('Calendario B'!$F67)))</f>
        <v/>
      </c>
      <c r="F64" s="117" t="str">
        <f>IF($B64="","",TIME(HOUR('Calendario B'!$F67)+2,MINUTE('Calendario B'!$F67),0))</f>
        <v/>
      </c>
      <c r="G64" s="48" t="str">
        <f>IF($B64="","",'Calendario B'!$B68)</f>
        <v/>
      </c>
      <c r="H64" s="48" t="str">
        <f>IF($B64="","",Campionato!$D$2&amp;" "&amp;Campionato!$D$6)</f>
        <v/>
      </c>
      <c r="I64" s="48"/>
    </row>
    <row r="65" spans="1:9" x14ac:dyDescent="0.25">
      <c r="A65" s="48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48" t="str">
        <f>IF('Calendario B'!$B70="","",'Calendario B'!$B70&amp;" vs "&amp;'Calendario B'!$D70&amp;" "&amp;'Calendario B'!$AC70)</f>
        <v/>
      </c>
      <c r="C65" s="116" t="str">
        <f>IF($B65="","",DATE(YEAR('Calendario B'!$F70),MONTH('Calendario B'!$F70),DAY('Calendario B'!$F70)))</f>
        <v/>
      </c>
      <c r="D65" s="117" t="str">
        <f>IF($B65="","",TIME(HOUR('Calendario B'!$F70),MINUTE('Calendario B'!$F70),0))</f>
        <v/>
      </c>
      <c r="E65" s="116" t="str">
        <f>IF($B65="","",DATE(YEAR('Calendario B'!$F70),MONTH('Calendario B'!$F70),DAY('Calendario B'!$F70)))</f>
        <v/>
      </c>
      <c r="F65" s="117" t="str">
        <f>IF($B65="","",TIME(HOUR('Calendario B'!$F70)+2,MINUTE('Calendario B'!$F70),0))</f>
        <v/>
      </c>
      <c r="G65" s="48" t="str">
        <f>IF($B65="","",'Calendario B'!$B71)</f>
        <v/>
      </c>
      <c r="H65" s="48" t="str">
        <f>IF($B65="","",Campionato!$D$2&amp;" "&amp;Campionato!$D$6)</f>
        <v/>
      </c>
      <c r="I65" s="48"/>
    </row>
    <row r="66" spans="1:9" x14ac:dyDescent="0.25">
      <c r="A66" s="48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48" t="str">
        <f>IF('Calendario B'!$B73="","",'Calendario B'!$B73&amp;" vs "&amp;'Calendario B'!$D73&amp;" "&amp;'Calendario B'!$AC73)</f>
        <v/>
      </c>
      <c r="C66" s="116" t="str">
        <f>IF($B66="","",DATE(YEAR('Calendario B'!$F73),MONTH('Calendario B'!$F73),DAY('Calendario B'!$F73)))</f>
        <v/>
      </c>
      <c r="D66" s="117" t="str">
        <f>IF($B66="","",TIME(HOUR('Calendario B'!$F73),MINUTE('Calendario B'!$F73),0))</f>
        <v/>
      </c>
      <c r="E66" s="116" t="str">
        <f>IF($B66="","",DATE(YEAR('Calendario B'!$F73),MONTH('Calendario B'!$F73),DAY('Calendario B'!$F73)))</f>
        <v/>
      </c>
      <c r="F66" s="117" t="str">
        <f>IF($B66="","",TIME(HOUR('Calendario B'!$F73)+2,MINUTE('Calendario B'!$F73),0))</f>
        <v/>
      </c>
      <c r="G66" s="48" t="str">
        <f>IF($B66="","",'Calendario B'!$B74)</f>
        <v/>
      </c>
      <c r="H66" s="48" t="str">
        <f>IF($B66="","",Campionato!$D$2&amp;" "&amp;Campionato!$D$6)</f>
        <v/>
      </c>
      <c r="I66" s="48"/>
    </row>
    <row r="67" spans="1:9" x14ac:dyDescent="0.25">
      <c r="A67" s="48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48" t="str">
        <f>IF('Calendario B'!$B78="","",'Calendario B'!$B78&amp;" vs "&amp;'Calendario B'!$D78&amp;" "&amp;'Calendario B'!$AC78)</f>
        <v/>
      </c>
      <c r="C67" s="116" t="str">
        <f>IF($B67="","",DATE(YEAR('Calendario B'!$F78),MONTH('Calendario B'!$F78),DAY('Calendario B'!$F78)))</f>
        <v/>
      </c>
      <c r="D67" s="117" t="str">
        <f>IF($B67="","",TIME(HOUR('Calendario B'!$F78),MINUTE('Calendario B'!$F78),0))</f>
        <v/>
      </c>
      <c r="E67" s="116" t="str">
        <f>IF($B67="","",DATE(YEAR('Calendario B'!$F78),MONTH('Calendario B'!$F78),DAY('Calendario B'!$F78)))</f>
        <v/>
      </c>
      <c r="F67" s="117" t="str">
        <f>IF($B67="","",TIME(HOUR('Calendario B'!$F78)+2,MINUTE('Calendario B'!$F78),0))</f>
        <v/>
      </c>
      <c r="G67" s="48" t="str">
        <f>IF($B67="","",'Calendario B'!$B79)</f>
        <v/>
      </c>
      <c r="H67" s="48" t="str">
        <f>IF($B67="","",Campionato!$D$2&amp;" "&amp;Campionato!$D$6)</f>
        <v/>
      </c>
      <c r="I67" s="48"/>
    </row>
    <row r="68" spans="1:9" x14ac:dyDescent="0.25">
      <c r="A68" s="48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48" t="str">
        <f>IF('Calendario B'!$B81="","",'Calendario B'!$B81&amp;" vs "&amp;'Calendario B'!$D81&amp;" "&amp;'Calendario B'!$AC81)</f>
        <v/>
      </c>
      <c r="C68" s="116" t="str">
        <f>IF($B68="","",DATE(YEAR('Calendario B'!$F81),MONTH('Calendario B'!$F81),DAY('Calendario B'!$F81)))</f>
        <v/>
      </c>
      <c r="D68" s="117" t="str">
        <f>IF($B68="","",TIME(HOUR('Calendario B'!$F81),MINUTE('Calendario B'!$F81),0))</f>
        <v/>
      </c>
      <c r="E68" s="116" t="str">
        <f>IF($B68="","",DATE(YEAR('Calendario B'!$F81),MONTH('Calendario B'!$F81),DAY('Calendario B'!$F81)))</f>
        <v/>
      </c>
      <c r="F68" s="117" t="str">
        <f>IF($B68="","",TIME(HOUR('Calendario B'!$F81)+2,MINUTE('Calendario B'!$F81),0))</f>
        <v/>
      </c>
      <c r="G68" s="48" t="str">
        <f>IF($B68="","",'Calendario B'!$B82)</f>
        <v/>
      </c>
      <c r="H68" s="48" t="str">
        <f>IF($B68="","",Campionato!$D$2&amp;" "&amp;Campionato!$D$6)</f>
        <v/>
      </c>
      <c r="I68" s="48"/>
    </row>
    <row r="69" spans="1:9" x14ac:dyDescent="0.25">
      <c r="A69" s="48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48" t="str">
        <f>IF('Calendario B'!$B84="","",'Calendario B'!$B84&amp;" vs "&amp;'Calendario B'!$D84&amp;" "&amp;'Calendario B'!$AC84)</f>
        <v/>
      </c>
      <c r="C69" s="116" t="str">
        <f>IF($B69="","",DATE(YEAR('Calendario B'!$F84),MONTH('Calendario B'!$F84),DAY('Calendario B'!$F84)))</f>
        <v/>
      </c>
      <c r="D69" s="117" t="str">
        <f>IF($B69="","",TIME(HOUR('Calendario B'!$F84),MINUTE('Calendario B'!$F84),0))</f>
        <v/>
      </c>
      <c r="E69" s="116" t="str">
        <f>IF($B69="","",DATE(YEAR('Calendario B'!$F84),MONTH('Calendario B'!$F84),DAY('Calendario B'!$F84)))</f>
        <v/>
      </c>
      <c r="F69" s="117" t="str">
        <f>IF($B69="","",TIME(HOUR('Calendario B'!$F84)+2,MINUTE('Calendario B'!$F84),0))</f>
        <v/>
      </c>
      <c r="G69" s="48" t="str">
        <f>IF($B69="","",'Calendario B'!$B85)</f>
        <v/>
      </c>
      <c r="H69" s="48" t="str">
        <f>IF($B69="","",Campionato!$D$2&amp;" "&amp;Campionato!$D$6)</f>
        <v/>
      </c>
      <c r="I69" s="48"/>
    </row>
    <row r="70" spans="1:9" x14ac:dyDescent="0.25">
      <c r="A70" s="48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48" t="str">
        <f>IF('Calendario B'!$B87="","",'Calendario B'!$B87&amp;" vs "&amp;'Calendario B'!$D87&amp;" "&amp;'Calendario B'!$AC87)</f>
        <v/>
      </c>
      <c r="C70" s="116" t="str">
        <f>IF($B70="","",DATE(YEAR('Calendario B'!$F87),MONTH('Calendario B'!$F87),DAY('Calendario B'!$F87)))</f>
        <v/>
      </c>
      <c r="D70" s="117" t="str">
        <f>IF($B70="","",TIME(HOUR('Calendario B'!$F87),MINUTE('Calendario B'!$F87),0))</f>
        <v/>
      </c>
      <c r="E70" s="116" t="str">
        <f>IF($B70="","",DATE(YEAR('Calendario B'!$F87),MONTH('Calendario B'!$F87),DAY('Calendario B'!$F87)))</f>
        <v/>
      </c>
      <c r="F70" s="117" t="str">
        <f>IF($B70="","",TIME(HOUR('Calendario B'!$F87)+2,MINUTE('Calendario B'!$F87),0))</f>
        <v/>
      </c>
      <c r="G70" s="48" t="str">
        <f>IF($B70="","",'Calendario B'!$B88)</f>
        <v/>
      </c>
      <c r="H70" s="48" t="str">
        <f>IF($B70="","",Campionato!$D$2&amp;" "&amp;Campionato!$D$6)</f>
        <v/>
      </c>
      <c r="I70" s="48"/>
    </row>
    <row r="71" spans="1:9" x14ac:dyDescent="0.25">
      <c r="A71" s="48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48" t="str">
        <f>IF('Calendario B'!$B90="","",'Calendario B'!$B90&amp;" vs "&amp;'Calendario B'!$D90&amp;" "&amp;'Calendario B'!$AC90)</f>
        <v/>
      </c>
      <c r="C71" s="116" t="str">
        <f>IF($B71="","",DATE(YEAR('Calendario B'!$F90),MONTH('Calendario B'!$F90),DAY('Calendario B'!$F90)))</f>
        <v/>
      </c>
      <c r="D71" s="117" t="str">
        <f>IF($B71="","",TIME(HOUR('Calendario B'!$F90),MINUTE('Calendario B'!$F90),0))</f>
        <v/>
      </c>
      <c r="E71" s="116" t="str">
        <f>IF($B71="","",DATE(YEAR('Calendario B'!$F90),MONTH('Calendario B'!$F90),DAY('Calendario B'!$F90)))</f>
        <v/>
      </c>
      <c r="F71" s="117" t="str">
        <f>IF($B71="","",TIME(HOUR('Calendario B'!$F90)+2,MINUTE('Calendario B'!$F90),0))</f>
        <v/>
      </c>
      <c r="G71" s="48" t="str">
        <f>IF($B71="","",'Calendario B'!$B91)</f>
        <v/>
      </c>
      <c r="H71" s="48" t="str">
        <f>IF($B71="","",Campionato!$D$2&amp;" "&amp;Campionato!$D$6)</f>
        <v/>
      </c>
      <c r="I71" s="48"/>
    </row>
    <row r="72" spans="1:9" x14ac:dyDescent="0.25">
      <c r="A72" s="48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48" t="str">
        <f>IF('Calendario B'!$B95="","",'Calendario B'!$B95&amp;" vs "&amp;'Calendario B'!$D95&amp;" "&amp;'Calendario B'!$AC95)</f>
        <v/>
      </c>
      <c r="C72" s="116" t="str">
        <f>IF($B72="","",DATE(YEAR('Calendario B'!$F95),MONTH('Calendario B'!$F95),DAY('Calendario B'!$F95)))</f>
        <v/>
      </c>
      <c r="D72" s="117" t="str">
        <f>IF($B72="","",TIME(HOUR('Calendario B'!$F95),MINUTE('Calendario B'!$F95),0))</f>
        <v/>
      </c>
      <c r="E72" s="116" t="str">
        <f>IF($B72="","",DATE(YEAR('Calendario B'!$F95),MONTH('Calendario B'!$F95),DAY('Calendario B'!$F95)))</f>
        <v/>
      </c>
      <c r="F72" s="117" t="str">
        <f>IF($B72="","",TIME(HOUR('Calendario B'!$F95)+2,MINUTE('Calendario B'!$F95),0))</f>
        <v/>
      </c>
      <c r="G72" s="48" t="str">
        <f>IF($B72="","",'Calendario B'!$B96)</f>
        <v/>
      </c>
      <c r="H72" s="48" t="str">
        <f>IF($B72="","",Campionato!$D$2&amp;" "&amp;Campionato!$D$6)</f>
        <v/>
      </c>
      <c r="I72" s="48"/>
    </row>
    <row r="73" spans="1:9" x14ac:dyDescent="0.25">
      <c r="A73" s="48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48" t="str">
        <f>IF('Calendario B'!$B98="","",'Calendario B'!$B98&amp;" vs "&amp;'Calendario B'!$D98&amp;" "&amp;'Calendario B'!$AC98)</f>
        <v/>
      </c>
      <c r="C73" s="116" t="str">
        <f>IF($B73="","",DATE(YEAR('Calendario B'!$F98),MONTH('Calendario B'!$F98),DAY('Calendario B'!$F98)))</f>
        <v/>
      </c>
      <c r="D73" s="117" t="str">
        <f>IF($B73="","",TIME(HOUR('Calendario B'!$F98),MINUTE('Calendario B'!$F98),0))</f>
        <v/>
      </c>
      <c r="E73" s="116" t="str">
        <f>IF($B73="","",DATE(YEAR('Calendario B'!$F98),MONTH('Calendario B'!$F98),DAY('Calendario B'!$F98)))</f>
        <v/>
      </c>
      <c r="F73" s="117" t="str">
        <f>IF($B73="","",TIME(HOUR('Calendario B'!$F98)+2,MINUTE('Calendario B'!$F98),0))</f>
        <v/>
      </c>
      <c r="G73" s="48" t="str">
        <f>IF($B73="","",'Calendario B'!$B99)</f>
        <v/>
      </c>
      <c r="H73" s="48" t="str">
        <f>IF($B73="","",Campionato!$D$2&amp;" "&amp;Campionato!$D$6)</f>
        <v/>
      </c>
      <c r="I73" s="48"/>
    </row>
    <row r="74" spans="1:9" x14ac:dyDescent="0.25">
      <c r="A74" s="48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48" t="str">
        <f>IF('Calendario B'!$B101="","",'Calendario B'!$B101&amp;" vs "&amp;'Calendario B'!$D101&amp;" "&amp;'Calendario B'!$AC101)</f>
        <v/>
      </c>
      <c r="C74" s="116" t="str">
        <f>IF($B74="","",DATE(YEAR('Calendario B'!$F101),MONTH('Calendario B'!$F101),DAY('Calendario B'!$F101)))</f>
        <v/>
      </c>
      <c r="D74" s="117" t="str">
        <f>IF($B74="","",TIME(HOUR('Calendario B'!$F101),MINUTE('Calendario B'!$F101),0))</f>
        <v/>
      </c>
      <c r="E74" s="116" t="str">
        <f>IF($B74="","",DATE(YEAR('Calendario B'!$F101),MONTH('Calendario B'!$F101),DAY('Calendario B'!$F101)))</f>
        <v/>
      </c>
      <c r="F74" s="117" t="str">
        <f>IF($B74="","",TIME(HOUR('Calendario B'!$F101)+2,MINUTE('Calendario B'!$F101),0))</f>
        <v/>
      </c>
      <c r="G74" s="48" t="str">
        <f>IF($B74="","",'Calendario B'!$B102)</f>
        <v/>
      </c>
      <c r="H74" s="48" t="str">
        <f>IF($B74="","",Campionato!$D$2&amp;" "&amp;Campionato!$D$6)</f>
        <v/>
      </c>
      <c r="I74" s="48"/>
    </row>
    <row r="75" spans="1:9" x14ac:dyDescent="0.25">
      <c r="A75" s="48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48" t="str">
        <f>IF('Calendario B'!$B104="","",'Calendario B'!$B104&amp;" vs "&amp;'Calendario B'!$D104&amp;" "&amp;'Calendario B'!$AC104)</f>
        <v/>
      </c>
      <c r="C75" s="116" t="str">
        <f>IF($B75="","",DATE(YEAR('Calendario B'!$F104),MONTH('Calendario B'!$F104),DAY('Calendario B'!$F104)))</f>
        <v/>
      </c>
      <c r="D75" s="117" t="str">
        <f>IF($B75="","",TIME(HOUR('Calendario B'!$F104),MINUTE('Calendario B'!$F104),0))</f>
        <v/>
      </c>
      <c r="E75" s="116" t="str">
        <f>IF($B75="","",DATE(YEAR('Calendario B'!$F104),MONTH('Calendario B'!$F104),DAY('Calendario B'!$F104)))</f>
        <v/>
      </c>
      <c r="F75" s="117" t="str">
        <f>IF($B75="","",TIME(HOUR('Calendario B'!$F104)+2,MINUTE('Calendario B'!$F104),0))</f>
        <v/>
      </c>
      <c r="G75" s="48" t="str">
        <f>IF($B75="","",'Calendario B'!$B105)</f>
        <v/>
      </c>
      <c r="H75" s="48" t="str">
        <f>IF($B75="","",Campionato!$D$2&amp;" "&amp;Campionato!$D$6)</f>
        <v/>
      </c>
      <c r="I75" s="48"/>
    </row>
    <row r="76" spans="1:9" x14ac:dyDescent="0.25">
      <c r="A76" s="48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48" t="str">
        <f>IF('Calendario B'!$B107="","",'Calendario B'!$B107&amp;" vs "&amp;'Calendario B'!$D107&amp;" "&amp;'Calendario B'!$AC107)</f>
        <v/>
      </c>
      <c r="C76" s="116" t="str">
        <f>IF($B76="","",DATE(YEAR('Calendario B'!$F107),MONTH('Calendario B'!$F107),DAY('Calendario B'!$F107)))</f>
        <v/>
      </c>
      <c r="D76" s="117" t="str">
        <f>IF($B76="","",TIME(HOUR('Calendario B'!$F107),MINUTE('Calendario B'!$F107),0))</f>
        <v/>
      </c>
      <c r="E76" s="116" t="str">
        <f>IF($B76="","",DATE(YEAR('Calendario B'!$F107),MONTH('Calendario B'!$F107),DAY('Calendario B'!$F107)))</f>
        <v/>
      </c>
      <c r="F76" s="117" t="str">
        <f>IF($B76="","",TIME(HOUR('Calendario B'!$F107)+2,MINUTE('Calendario B'!$F107),0))</f>
        <v/>
      </c>
      <c r="G76" s="48" t="str">
        <f>IF($B76="","",'Calendario B'!$B108)</f>
        <v/>
      </c>
      <c r="H76" s="48" t="str">
        <f>IF($B76="","",Campionato!$D$2&amp;" "&amp;Campionato!$D$6)</f>
        <v/>
      </c>
      <c r="I76" s="48"/>
    </row>
    <row r="77" spans="1:9" x14ac:dyDescent="0.25">
      <c r="A77" s="48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48" t="str">
        <f>IF('Calendario B'!$B112="","",'Calendario B'!$B112&amp;" vs "&amp;'Calendario B'!$D112&amp;" "&amp;'Calendario B'!$AC112)</f>
        <v/>
      </c>
      <c r="C77" s="116" t="str">
        <f>IF($B77="","",DATE(YEAR('Calendario B'!$F112),MONTH('Calendario B'!$F112),DAY('Calendario B'!$F112)))</f>
        <v/>
      </c>
      <c r="D77" s="117" t="str">
        <f>IF($B77="","",TIME(HOUR('Calendario B'!$F112),MINUTE('Calendario B'!$F112),0))</f>
        <v/>
      </c>
      <c r="E77" s="116" t="str">
        <f>IF($B77="","",DATE(YEAR('Calendario B'!$F112),MONTH('Calendario B'!$F112),DAY('Calendario B'!$F112)))</f>
        <v/>
      </c>
      <c r="F77" s="117" t="str">
        <f>IF($B77="","",TIME(HOUR('Calendario B'!$F112)+2,MINUTE('Calendario B'!$F112),0))</f>
        <v/>
      </c>
      <c r="G77" s="48" t="str">
        <f>IF($B77="","",'Calendario B'!$B113)</f>
        <v/>
      </c>
      <c r="H77" s="48" t="str">
        <f>IF($B77="","",Campionato!$D$2&amp;" "&amp;Campionato!$D$6)</f>
        <v/>
      </c>
      <c r="I77" s="48"/>
    </row>
    <row r="78" spans="1:9" x14ac:dyDescent="0.25">
      <c r="A78" s="48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48" t="str">
        <f>IF('Calendario B'!$B115="","",'Calendario B'!$B115&amp;" vs "&amp;'Calendario B'!$D115&amp;" "&amp;'Calendario B'!$AC115)</f>
        <v/>
      </c>
      <c r="C78" s="116" t="str">
        <f>IF($B78="","",DATE(YEAR('Calendario B'!$F115),MONTH('Calendario B'!$F115),DAY('Calendario B'!$F115)))</f>
        <v/>
      </c>
      <c r="D78" s="117" t="str">
        <f>IF($B78="","",TIME(HOUR('Calendario B'!$F115),MINUTE('Calendario B'!$F115),0))</f>
        <v/>
      </c>
      <c r="E78" s="116" t="str">
        <f>IF($B78="","",DATE(YEAR('Calendario B'!$F115),MONTH('Calendario B'!$F115),DAY('Calendario B'!$F115)))</f>
        <v/>
      </c>
      <c r="F78" s="117" t="str">
        <f>IF($B78="","",TIME(HOUR('Calendario B'!$F115)+2,MINUTE('Calendario B'!$F115),0))</f>
        <v/>
      </c>
      <c r="G78" s="48" t="str">
        <f>IF($B78="","",'Calendario B'!$B116)</f>
        <v/>
      </c>
      <c r="H78" s="48" t="str">
        <f>IF($B78="","",Campionato!$D$2&amp;" "&amp;Campionato!$D$6)</f>
        <v/>
      </c>
      <c r="I78" s="48"/>
    </row>
    <row r="79" spans="1:9" x14ac:dyDescent="0.25">
      <c r="A79" s="48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48" t="str">
        <f>IF('Calendario B'!$B118="","",'Calendario B'!$B118&amp;" vs "&amp;'Calendario B'!$D118&amp;" "&amp;'Calendario B'!$AC118)</f>
        <v/>
      </c>
      <c r="C79" s="116" t="str">
        <f>IF($B79="","",DATE(YEAR('Calendario B'!$F118),MONTH('Calendario B'!$F118),DAY('Calendario B'!$F118)))</f>
        <v/>
      </c>
      <c r="D79" s="117" t="str">
        <f>IF($B79="","",TIME(HOUR('Calendario B'!$F118),MINUTE('Calendario B'!$F118),0))</f>
        <v/>
      </c>
      <c r="E79" s="116" t="str">
        <f>IF($B79="","",DATE(YEAR('Calendario B'!$F118),MONTH('Calendario B'!$F118),DAY('Calendario B'!$F118)))</f>
        <v/>
      </c>
      <c r="F79" s="117" t="str">
        <f>IF($B79="","",TIME(HOUR('Calendario B'!$F118)+2,MINUTE('Calendario B'!$F118),0))</f>
        <v/>
      </c>
      <c r="G79" s="48" t="str">
        <f>IF($B79="","",'Calendario B'!$B119)</f>
        <v/>
      </c>
      <c r="H79" s="48" t="str">
        <f>IF($B79="","",Campionato!$D$2&amp;" "&amp;Campionato!$D$6)</f>
        <v/>
      </c>
      <c r="I79" s="48"/>
    </row>
    <row r="80" spans="1:9" x14ac:dyDescent="0.25">
      <c r="A80" s="48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48" t="str">
        <f>IF('Calendario B'!$B121="","",'Calendario B'!$B121&amp;" vs "&amp;'Calendario B'!$D121&amp;" "&amp;'Calendario B'!$AC121)</f>
        <v/>
      </c>
      <c r="C80" s="116" t="str">
        <f>IF($B80="","",DATE(YEAR('Calendario B'!$F121),MONTH('Calendario B'!$F121),DAY('Calendario B'!$F121)))</f>
        <v/>
      </c>
      <c r="D80" s="117" t="str">
        <f>IF($B80="","",TIME(HOUR('Calendario B'!$F121),MINUTE('Calendario B'!$F121),0))</f>
        <v/>
      </c>
      <c r="E80" s="116" t="str">
        <f>IF($B80="","",DATE(YEAR('Calendario B'!$F121),MONTH('Calendario B'!$F121),DAY('Calendario B'!$F121)))</f>
        <v/>
      </c>
      <c r="F80" s="117" t="str">
        <f>IF($B80="","",TIME(HOUR('Calendario B'!$F121)+2,MINUTE('Calendario B'!$F121),0))</f>
        <v/>
      </c>
      <c r="G80" s="48" t="str">
        <f>IF($B80="","",'Calendario B'!$B122)</f>
        <v/>
      </c>
      <c r="H80" s="48" t="str">
        <f>IF($B80="","",Campionato!$D$2&amp;" "&amp;Campionato!$D$6)</f>
        <v/>
      </c>
      <c r="I80" s="48"/>
    </row>
    <row r="81" spans="1:9" x14ac:dyDescent="0.25">
      <c r="A81" s="48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48" t="str">
        <f>IF('Calendario B'!$B124="","",'Calendario B'!$B124&amp;" vs "&amp;'Calendario B'!$D124&amp;" "&amp;'Calendario B'!$AC124)</f>
        <v/>
      </c>
      <c r="C81" s="116" t="str">
        <f>IF($B81="","",DATE(YEAR('Calendario B'!$F124),MONTH('Calendario B'!$F124),DAY('Calendario B'!$F124)))</f>
        <v/>
      </c>
      <c r="D81" s="117" t="str">
        <f>IF($B81="","",TIME(HOUR('Calendario B'!$F124),MINUTE('Calendario B'!$F124),0))</f>
        <v/>
      </c>
      <c r="E81" s="116" t="str">
        <f>IF($B81="","",DATE(YEAR('Calendario B'!$F124),MONTH('Calendario B'!$F124),DAY('Calendario B'!$F124)))</f>
        <v/>
      </c>
      <c r="F81" s="117" t="str">
        <f>IF($B81="","",TIME(HOUR('Calendario B'!$F124)+2,MINUTE('Calendario B'!$F124),0))</f>
        <v/>
      </c>
      <c r="G81" s="48" t="str">
        <f>IF($B81="","",'Calendario B'!$B125)</f>
        <v/>
      </c>
      <c r="H81" s="48" t="str">
        <f>IF($B81="","",Campionato!$D$2&amp;" "&amp;Campionato!$D$6)</f>
        <v/>
      </c>
      <c r="I81" s="48"/>
    </row>
    <row r="82" spans="1:9" x14ac:dyDescent="0.25">
      <c r="A82" s="48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48" t="str">
        <f>IF('Calendario B'!$B129="","",'Calendario B'!$B129&amp;" vs "&amp;'Calendario B'!$D129&amp;" "&amp;'Calendario B'!$AC129)</f>
        <v/>
      </c>
      <c r="C82" s="116" t="str">
        <f>IF($B82="","",DATE(YEAR('Calendario B'!$F129),MONTH('Calendario B'!$F129),DAY('Calendario B'!$F129)))</f>
        <v/>
      </c>
      <c r="D82" s="117" t="str">
        <f>IF($B82="","",TIME(HOUR('Calendario B'!$F129),MINUTE('Calendario B'!$F129),0))</f>
        <v/>
      </c>
      <c r="E82" s="116" t="str">
        <f>IF($B82="","",DATE(YEAR('Calendario B'!$F129),MONTH('Calendario B'!$F129),DAY('Calendario B'!$F129)))</f>
        <v/>
      </c>
      <c r="F82" s="117" t="str">
        <f>IF($B82="","",TIME(HOUR('Calendario B'!$F129)+2,MINUTE('Calendario B'!$F129),0))</f>
        <v/>
      </c>
      <c r="G82" s="48" t="str">
        <f>IF($B82="","",'Calendario B'!$B130)</f>
        <v/>
      </c>
      <c r="H82" s="48" t="str">
        <f>IF($B82="","",Campionato!$D$2&amp;" "&amp;Campionato!$D$6)</f>
        <v/>
      </c>
      <c r="I82" s="48"/>
    </row>
    <row r="83" spans="1:9" x14ac:dyDescent="0.25">
      <c r="A83" s="48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48" t="str">
        <f>IF('Calendario B'!$B132="","",'Calendario B'!$B132&amp;" vs "&amp;'Calendario B'!$D132&amp;" "&amp;'Calendario B'!$AC132)</f>
        <v/>
      </c>
      <c r="C83" s="116" t="str">
        <f>IF($B83="","",DATE(YEAR('Calendario B'!$F132),MONTH('Calendario B'!$F132),DAY('Calendario B'!$F132)))</f>
        <v/>
      </c>
      <c r="D83" s="117" t="str">
        <f>IF($B83="","",TIME(HOUR('Calendario B'!$F132),MINUTE('Calendario B'!$F132),0))</f>
        <v/>
      </c>
      <c r="E83" s="116" t="str">
        <f>IF($B83="","",DATE(YEAR('Calendario B'!$F132),MONTH('Calendario B'!$F132),DAY('Calendario B'!$F132)))</f>
        <v/>
      </c>
      <c r="F83" s="117" t="str">
        <f>IF($B83="","",TIME(HOUR('Calendario B'!$F132)+2,MINUTE('Calendario B'!$F132),0))</f>
        <v/>
      </c>
      <c r="G83" s="48" t="str">
        <f>IF($B83="","",'Calendario B'!$B133)</f>
        <v/>
      </c>
      <c r="H83" s="48" t="str">
        <f>IF($B83="","",Campionato!$D$2&amp;" "&amp;Campionato!$D$6)</f>
        <v/>
      </c>
      <c r="I83" s="48"/>
    </row>
    <row r="84" spans="1:9" x14ac:dyDescent="0.25">
      <c r="A84" s="48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48" t="str">
        <f>IF('Calendario B'!$B135="","",'Calendario B'!$B135&amp;" vs "&amp;'Calendario B'!$D135&amp;" "&amp;'Calendario B'!$AC135)</f>
        <v/>
      </c>
      <c r="C84" s="116" t="str">
        <f>IF($B84="","",DATE(YEAR('Calendario B'!$F135),MONTH('Calendario B'!$F135),DAY('Calendario B'!$F135)))</f>
        <v/>
      </c>
      <c r="D84" s="117" t="str">
        <f>IF($B84="","",TIME(HOUR('Calendario B'!$F135),MINUTE('Calendario B'!$F135),0))</f>
        <v/>
      </c>
      <c r="E84" s="116" t="str">
        <f>IF($B84="","",DATE(YEAR('Calendario B'!$F135),MONTH('Calendario B'!$F135),DAY('Calendario B'!$F135)))</f>
        <v/>
      </c>
      <c r="F84" s="117" t="str">
        <f>IF($B84="","",TIME(HOUR('Calendario B'!$F135)+2,MINUTE('Calendario B'!$F135),0))</f>
        <v/>
      </c>
      <c r="G84" s="48" t="str">
        <f>IF($B84="","",'Calendario B'!$B136)</f>
        <v/>
      </c>
      <c r="H84" s="48" t="str">
        <f>IF($B84="","",Campionato!$D$2&amp;" "&amp;Campionato!$D$6)</f>
        <v/>
      </c>
      <c r="I84" s="48"/>
    </row>
    <row r="85" spans="1:9" x14ac:dyDescent="0.25">
      <c r="A85" s="48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48" t="str">
        <f>IF('Calendario B'!$B138="","",'Calendario B'!$B138&amp;" vs "&amp;'Calendario B'!$D138&amp;" "&amp;'Calendario B'!$AC138)</f>
        <v/>
      </c>
      <c r="C85" s="116" t="str">
        <f>IF($B85="","",DATE(YEAR('Calendario B'!$F138),MONTH('Calendario B'!$F138),DAY('Calendario B'!$F138)))</f>
        <v/>
      </c>
      <c r="D85" s="117" t="str">
        <f>IF($B85="","",TIME(HOUR('Calendario B'!$F138),MINUTE('Calendario B'!$F138),0))</f>
        <v/>
      </c>
      <c r="E85" s="116" t="str">
        <f>IF($B85="","",DATE(YEAR('Calendario B'!$F138),MONTH('Calendario B'!$F138),DAY('Calendario B'!$F138)))</f>
        <v/>
      </c>
      <c r="F85" s="117" t="str">
        <f>IF($B85="","",TIME(HOUR('Calendario B'!$F138)+2,MINUTE('Calendario B'!$F138),0))</f>
        <v/>
      </c>
      <c r="G85" s="48" t="str">
        <f>IF($B85="","",'Calendario B'!$B139)</f>
        <v/>
      </c>
      <c r="H85" s="48" t="str">
        <f>IF($B85="","",Campionato!$D$2&amp;" "&amp;Campionato!$D$6)</f>
        <v/>
      </c>
      <c r="I85" s="48"/>
    </row>
    <row r="86" spans="1:9" x14ac:dyDescent="0.25">
      <c r="A86" s="48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48" t="str">
        <f>IF('Calendario B'!$B141="","",'Calendario B'!$B141&amp;" vs "&amp;'Calendario B'!$D141&amp;" "&amp;'Calendario B'!$AC141)</f>
        <v/>
      </c>
      <c r="C86" s="116" t="str">
        <f>IF($B86="","",DATE(YEAR('Calendario B'!$F141),MONTH('Calendario B'!$F141),DAY('Calendario B'!$F141)))</f>
        <v/>
      </c>
      <c r="D86" s="117" t="str">
        <f>IF($B86="","",TIME(HOUR('Calendario B'!$F141),MINUTE('Calendario B'!$F141),0))</f>
        <v/>
      </c>
      <c r="E86" s="116" t="str">
        <f>IF($B86="","",DATE(YEAR('Calendario B'!$F141),MONTH('Calendario B'!$F141),DAY('Calendario B'!$F141)))</f>
        <v/>
      </c>
      <c r="F86" s="117" t="str">
        <f>IF($B86="","",TIME(HOUR('Calendario B'!$F141)+2,MINUTE('Calendario B'!$F141),0))</f>
        <v/>
      </c>
      <c r="G86" s="48" t="str">
        <f>IF($B86="","",'Calendario B'!$B142)</f>
        <v/>
      </c>
      <c r="H86" s="48" t="str">
        <f>IF($B86="","",Campionato!$D$2&amp;" "&amp;Campionato!$D$6)</f>
        <v/>
      </c>
      <c r="I86" s="48"/>
    </row>
    <row r="87" spans="1:9" x14ac:dyDescent="0.25">
      <c r="A87" s="48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48" t="str">
        <f>IF('Calendario B'!$B146="","",'Calendario B'!$B146&amp;" vs "&amp;'Calendario B'!$D146&amp;" "&amp;'Calendario B'!$AC146)</f>
        <v/>
      </c>
      <c r="C87" s="116" t="str">
        <f>IF($B87="","",DATE(YEAR('Calendario B'!$F146),MONTH('Calendario B'!$F146),DAY('Calendario B'!$F146)))</f>
        <v/>
      </c>
      <c r="D87" s="117" t="str">
        <f>IF($B87="","",TIME(HOUR('Calendario B'!$F146),MINUTE('Calendario B'!$F146),0))</f>
        <v/>
      </c>
      <c r="E87" s="116" t="str">
        <f>IF($B87="","",DATE(YEAR('Calendario B'!$F146),MONTH('Calendario B'!$F146),DAY('Calendario B'!$F146)))</f>
        <v/>
      </c>
      <c r="F87" s="117" t="str">
        <f>IF($B87="","",TIME(HOUR('Calendario B'!$F146)+2,MINUTE('Calendario B'!$F146),0))</f>
        <v/>
      </c>
      <c r="G87" s="48" t="str">
        <f>IF($B87="","",'Calendario B'!$B147)</f>
        <v/>
      </c>
      <c r="H87" s="48" t="str">
        <f>IF($B87="","",Campionato!$D$2&amp;" "&amp;Campionato!$D$6)</f>
        <v/>
      </c>
      <c r="I87" s="48"/>
    </row>
    <row r="88" spans="1:9" x14ac:dyDescent="0.25">
      <c r="A88" s="48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48" t="str">
        <f>IF('Calendario B'!$B149="","",'Calendario B'!$B149&amp;" vs "&amp;'Calendario B'!$D149&amp;" "&amp;'Calendario B'!$AC149)</f>
        <v/>
      </c>
      <c r="C88" s="116" t="str">
        <f>IF($B88="","",DATE(YEAR('Calendario B'!$F149),MONTH('Calendario B'!$F149),DAY('Calendario B'!$F149)))</f>
        <v/>
      </c>
      <c r="D88" s="117" t="str">
        <f>IF($B88="","",TIME(HOUR('Calendario B'!$F149),MINUTE('Calendario B'!$F149),0))</f>
        <v/>
      </c>
      <c r="E88" s="116" t="str">
        <f>IF($B88="","",DATE(YEAR('Calendario B'!$F149),MONTH('Calendario B'!$F149),DAY('Calendario B'!$F149)))</f>
        <v/>
      </c>
      <c r="F88" s="117" t="str">
        <f>IF($B88="","",TIME(HOUR('Calendario B'!$F149)+2,MINUTE('Calendario B'!$F149),0))</f>
        <v/>
      </c>
      <c r="G88" s="48" t="str">
        <f>IF($B88="","",'Calendario B'!$B150)</f>
        <v/>
      </c>
      <c r="H88" s="48" t="str">
        <f>IF($B88="","",Campionato!$D$2&amp;" "&amp;Campionato!$D$6)</f>
        <v/>
      </c>
      <c r="I88" s="48"/>
    </row>
    <row r="89" spans="1:9" x14ac:dyDescent="0.25">
      <c r="A89" s="48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48" t="str">
        <f>IF('Calendario B'!$B152="","",'Calendario B'!$B152&amp;" vs "&amp;'Calendario B'!$D152&amp;" "&amp;'Calendario B'!$AC152)</f>
        <v/>
      </c>
      <c r="C89" s="116" t="str">
        <f>IF($B89="","",DATE(YEAR('Calendario B'!$F152),MONTH('Calendario B'!$F152),DAY('Calendario B'!$F152)))</f>
        <v/>
      </c>
      <c r="D89" s="117" t="str">
        <f>IF($B89="","",TIME(HOUR('Calendario B'!$F152),MINUTE('Calendario B'!$F152),0))</f>
        <v/>
      </c>
      <c r="E89" s="116" t="str">
        <f>IF($B89="","",DATE(YEAR('Calendario B'!$F152),MONTH('Calendario B'!$F152),DAY('Calendario B'!$F152)))</f>
        <v/>
      </c>
      <c r="F89" s="117" t="str">
        <f>IF($B89="","",TIME(HOUR('Calendario B'!$F152)+2,MINUTE('Calendario B'!$F152),0))</f>
        <v/>
      </c>
      <c r="G89" s="48" t="str">
        <f>IF($B89="","",'Calendario B'!$B153)</f>
        <v/>
      </c>
      <c r="H89" s="48" t="str">
        <f>IF($B89="","",Campionato!$D$2&amp;" "&amp;Campionato!$D$6)</f>
        <v/>
      </c>
      <c r="I89" s="48"/>
    </row>
    <row r="90" spans="1:9" x14ac:dyDescent="0.25">
      <c r="A90" s="48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48" t="str">
        <f>IF('Calendario B'!$B155="","",'Calendario B'!$B155&amp;" vs "&amp;'Calendario B'!$D155&amp;" "&amp;'Calendario B'!$AC155)</f>
        <v/>
      </c>
      <c r="C90" s="116" t="str">
        <f>IF($B90="","",DATE(YEAR('Calendario B'!$F155),MONTH('Calendario B'!$F155),DAY('Calendario B'!$F155)))</f>
        <v/>
      </c>
      <c r="D90" s="117" t="str">
        <f>IF($B90="","",TIME(HOUR('Calendario B'!$F155),MINUTE('Calendario B'!$F155),0))</f>
        <v/>
      </c>
      <c r="E90" s="116" t="str">
        <f>IF($B90="","",DATE(YEAR('Calendario B'!$F155),MONTH('Calendario B'!$F155),DAY('Calendario B'!$F155)))</f>
        <v/>
      </c>
      <c r="F90" s="117" t="str">
        <f>IF($B90="","",TIME(HOUR('Calendario B'!$F155)+2,MINUTE('Calendario B'!$F155),0))</f>
        <v/>
      </c>
      <c r="G90" s="48" t="str">
        <f>IF($B90="","",'Calendario B'!$B156)</f>
        <v/>
      </c>
      <c r="H90" s="48" t="str">
        <f>IF($B90="","",Campionato!$D$2&amp;" "&amp;Campionato!$D$6)</f>
        <v/>
      </c>
      <c r="I90" s="48"/>
    </row>
    <row r="91" spans="1:9" x14ac:dyDescent="0.25">
      <c r="A91" s="48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48" t="str">
        <f>IF('Calendario B'!$B158="","",'Calendario B'!$B158&amp;" vs "&amp;'Calendario B'!$D158&amp;" "&amp;'Calendario B'!$AC158)</f>
        <v/>
      </c>
      <c r="C91" s="116" t="str">
        <f>IF($B91="","",DATE(YEAR('Calendario B'!$F158),MONTH('Calendario B'!$F158),DAY('Calendario B'!$F158)))</f>
        <v/>
      </c>
      <c r="D91" s="117" t="str">
        <f>IF($B91="","",TIME(HOUR('Calendario B'!$F158),MINUTE('Calendario B'!$F158),0))</f>
        <v/>
      </c>
      <c r="E91" s="116" t="str">
        <f>IF($B91="","",DATE(YEAR('Calendario B'!$F158),MONTH('Calendario B'!$F158),DAY('Calendario B'!$F158)))</f>
        <v/>
      </c>
      <c r="F91" s="117" t="str">
        <f>IF($B91="","",TIME(HOUR('Calendario B'!$F158)+2,MINUTE('Calendario B'!$F158),0))</f>
        <v/>
      </c>
      <c r="G91" s="48" t="str">
        <f>IF($B91="","",'Calendario B'!$B159)</f>
        <v/>
      </c>
      <c r="H91" s="48" t="str">
        <f>IF($B91="","",Campionato!$D$2&amp;" "&amp;Campionato!$D$6)</f>
        <v/>
      </c>
      <c r="I91" s="48"/>
    </row>
    <row r="92" spans="1:9" x14ac:dyDescent="0.25">
      <c r="A92" s="48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48" t="str">
        <f>IF('Calendario C'!$B10="","",'Calendario C'!$B10&amp;" vs "&amp;'Calendario C'!$D10&amp;" "&amp;'Calendario C'!$AC10)</f>
        <v/>
      </c>
      <c r="C92" s="116" t="str">
        <f>IF($B92="","",DATE(YEAR('Calendario C'!$F10),MONTH('Calendario C'!$F10),DAY('Calendario C'!$F10)))</f>
        <v/>
      </c>
      <c r="D92" s="117" t="str">
        <f>IF($B92="","",TIME(HOUR('Calendario C'!$F10),MINUTE('Calendario C'!$F10),0))</f>
        <v/>
      </c>
      <c r="E92" s="116" t="str">
        <f>IF($B92="","",DATE(YEAR('Calendario C'!$F10),MONTH('Calendario C'!$F10),DAY('Calendario C'!$F10)))</f>
        <v/>
      </c>
      <c r="F92" s="117" t="str">
        <f>IF($B92="","",TIME(HOUR('Calendario C'!$F10)+2,MINUTE('Calendario C'!$F10),0))</f>
        <v/>
      </c>
      <c r="G92" s="48" t="str">
        <f>IF($B92="","",'Calendario C'!$B11)</f>
        <v/>
      </c>
      <c r="H92" s="48" t="str">
        <f>IF($B92="","",Campionato!$D$2&amp;" "&amp;Campionato!$D$6)</f>
        <v/>
      </c>
      <c r="I92" s="48"/>
    </row>
    <row r="93" spans="1:9" x14ac:dyDescent="0.25">
      <c r="A93" s="48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48" t="str">
        <f>IF('Calendario C'!$B13="","",'Calendario C'!$B13&amp;" vs "&amp;'Calendario C'!$D13&amp;" "&amp;'Calendario C'!$AC13)</f>
        <v/>
      </c>
      <c r="C93" s="116" t="str">
        <f>IF($B93="","",DATE(YEAR('Calendario C'!$F13),MONTH('Calendario C'!$F13),DAY('Calendario C'!$F13)))</f>
        <v/>
      </c>
      <c r="D93" s="117" t="str">
        <f>IF($B93="","",TIME(HOUR('Calendario C'!$F13),MINUTE('Calendario C'!$F13),0))</f>
        <v/>
      </c>
      <c r="E93" s="116" t="str">
        <f>IF($B93="","",DATE(YEAR('Calendario C'!$F13),MONTH('Calendario C'!$F13),DAY('Calendario C'!$F13)))</f>
        <v/>
      </c>
      <c r="F93" s="117" t="str">
        <f>IF($B93="","",TIME(HOUR('Calendario C'!$F13)+2,MINUTE('Calendario C'!$F13),0))</f>
        <v/>
      </c>
      <c r="G93" s="48" t="str">
        <f>IF($B93="","",'Calendario C'!$B14)</f>
        <v/>
      </c>
      <c r="H93" s="48" t="str">
        <f>IF($B93="","",Campionato!$D$2&amp;" "&amp;Campionato!$D$6)</f>
        <v/>
      </c>
      <c r="I93" s="48"/>
    </row>
    <row r="94" spans="1:9" x14ac:dyDescent="0.25">
      <c r="A94" s="48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48" t="str">
        <f>IF('Calendario C'!$B16="","",'Calendario C'!$B16&amp;" vs "&amp;'Calendario C'!$D16&amp;" "&amp;'Calendario C'!$AC16)</f>
        <v/>
      </c>
      <c r="C94" s="116" t="str">
        <f>IF($B94="","",DATE(YEAR('Calendario C'!$F16),MONTH('Calendario C'!$F16),DAY('Calendario C'!$F16)))</f>
        <v/>
      </c>
      <c r="D94" s="117" t="str">
        <f>IF($B94="","",TIME(HOUR('Calendario C'!$F16),MINUTE('Calendario C'!$F16),0))</f>
        <v/>
      </c>
      <c r="E94" s="116" t="str">
        <f>IF($B94="","",DATE(YEAR('Calendario C'!$F16),MONTH('Calendario C'!$F16),DAY('Calendario C'!$F16)))</f>
        <v/>
      </c>
      <c r="F94" s="117" t="str">
        <f>IF($B94="","",TIME(HOUR('Calendario C'!$F16)+2,MINUTE('Calendario C'!$F16),0))</f>
        <v/>
      </c>
      <c r="G94" s="48" t="str">
        <f>IF($B94="","",'Calendario C'!$B17)</f>
        <v/>
      </c>
      <c r="H94" s="48" t="str">
        <f>IF($B94="","",Campionato!$D$2&amp;" "&amp;Campionato!$D$6)</f>
        <v/>
      </c>
      <c r="I94" s="48"/>
    </row>
    <row r="95" spans="1:9" x14ac:dyDescent="0.25">
      <c r="A95" s="48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48" t="str">
        <f>IF('Calendario C'!$B19="","",'Calendario C'!$B19&amp;" vs "&amp;'Calendario C'!$D19&amp;" "&amp;'Calendario C'!$AC19)</f>
        <v/>
      </c>
      <c r="C95" s="116" t="str">
        <f>IF($B95="","",DATE(YEAR('Calendario C'!$F19),MONTH('Calendario C'!$F19),DAY('Calendario C'!$F19)))</f>
        <v/>
      </c>
      <c r="D95" s="117" t="str">
        <f>IF($B95="","",TIME(HOUR('Calendario C'!$F19),MINUTE('Calendario C'!$F19),0))</f>
        <v/>
      </c>
      <c r="E95" s="116" t="str">
        <f>IF($B95="","",DATE(YEAR('Calendario C'!$F19),MONTH('Calendario C'!$F19),DAY('Calendario C'!$F19)))</f>
        <v/>
      </c>
      <c r="F95" s="117" t="str">
        <f>IF($B95="","",TIME(HOUR('Calendario C'!$F19)+2,MINUTE('Calendario C'!$F19),0))</f>
        <v/>
      </c>
      <c r="G95" s="48" t="str">
        <f>IF($B95="","",'Calendario C'!$B20)</f>
        <v/>
      </c>
      <c r="H95" s="48" t="str">
        <f>IF($B95="","",Campionato!$D$2&amp;" "&amp;Campionato!$D$6)</f>
        <v/>
      </c>
      <c r="I95" s="48"/>
    </row>
    <row r="96" spans="1:9" x14ac:dyDescent="0.25">
      <c r="A96" s="48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48" t="str">
        <f>IF('Calendario C'!$B22="","",'Calendario C'!$B22&amp;" vs "&amp;'Calendario C'!$D22&amp;" "&amp;'Calendario C'!$AC22)</f>
        <v/>
      </c>
      <c r="C96" s="116" t="str">
        <f>IF($B96="","",DATE(YEAR('Calendario C'!$F22),MONTH('Calendario C'!$F22),DAY('Calendario C'!$F22)))</f>
        <v/>
      </c>
      <c r="D96" s="117" t="str">
        <f>IF($B96="","",TIME(HOUR('Calendario C'!$F22),MINUTE('Calendario C'!$F22),0))</f>
        <v/>
      </c>
      <c r="E96" s="116" t="str">
        <f>IF($B96="","",DATE(YEAR('Calendario C'!$F22),MONTH('Calendario C'!$F22),DAY('Calendario C'!$F22)))</f>
        <v/>
      </c>
      <c r="F96" s="117" t="str">
        <f>IF($B96="","",TIME(HOUR('Calendario C'!$F22)+2,MINUTE('Calendario C'!$F22),0))</f>
        <v/>
      </c>
      <c r="G96" s="48" t="str">
        <f>IF($B96="","",'Calendario C'!$B23)</f>
        <v/>
      </c>
      <c r="H96" s="48" t="str">
        <f>IF($B96="","",Campionato!$D$2&amp;" "&amp;Campionato!$D$6)</f>
        <v/>
      </c>
      <c r="I96" s="48"/>
    </row>
    <row r="97" spans="1:9" x14ac:dyDescent="0.25">
      <c r="A97" s="48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48" t="str">
        <f>IF('Calendario C'!$B27="","",'Calendario C'!$B27&amp;" vs "&amp;'Calendario C'!$D27&amp;" "&amp;'Calendario C'!$AC27)</f>
        <v/>
      </c>
      <c r="C97" s="116" t="str">
        <f>IF($B97="","",DATE(YEAR('Calendario C'!$F27),MONTH('Calendario C'!$F27),DAY('Calendario C'!$F27)))</f>
        <v/>
      </c>
      <c r="D97" s="117" t="str">
        <f>IF($B97="","",TIME(HOUR('Calendario C'!$F27),MINUTE('Calendario C'!$F27),0))</f>
        <v/>
      </c>
      <c r="E97" s="116" t="str">
        <f>IF($B97="","",DATE(YEAR('Calendario C'!$F27),MONTH('Calendario C'!$F27),DAY('Calendario C'!$F27)))</f>
        <v/>
      </c>
      <c r="F97" s="117" t="str">
        <f>IF($B97="","",TIME(HOUR('Calendario C'!$F27)+2,MINUTE('Calendario C'!$F27),0))</f>
        <v/>
      </c>
      <c r="G97" s="48" t="str">
        <f>IF($B97="","",'Calendario C'!$B28)</f>
        <v/>
      </c>
      <c r="H97" s="48" t="str">
        <f>IF($B97="","",Campionato!$D$2&amp;" "&amp;Campionato!$D$6)</f>
        <v/>
      </c>
      <c r="I97" s="48"/>
    </row>
    <row r="98" spans="1:9" x14ac:dyDescent="0.25">
      <c r="A98" s="48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48" t="str">
        <f>IF('Calendario C'!$B30="","",'Calendario C'!$B30&amp;" vs "&amp;'Calendario C'!$D30&amp;" "&amp;'Calendario C'!$AC30)</f>
        <v/>
      </c>
      <c r="C98" s="116" t="str">
        <f>IF($B98="","",DATE(YEAR('Calendario C'!$F30),MONTH('Calendario C'!$F30),DAY('Calendario C'!$F30)))</f>
        <v/>
      </c>
      <c r="D98" s="117" t="str">
        <f>IF($B98="","",TIME(HOUR('Calendario C'!$F30),MINUTE('Calendario C'!$F30),0))</f>
        <v/>
      </c>
      <c r="E98" s="116" t="str">
        <f>IF($B98="","",DATE(YEAR('Calendario C'!$F30),MONTH('Calendario C'!$F30),DAY('Calendario C'!$F30)))</f>
        <v/>
      </c>
      <c r="F98" s="117" t="str">
        <f>IF($B98="","",TIME(HOUR('Calendario C'!$F30)+2,MINUTE('Calendario C'!$F30),0))</f>
        <v/>
      </c>
      <c r="G98" s="48" t="str">
        <f>IF($B98="","",'Calendario C'!$B31)</f>
        <v/>
      </c>
      <c r="H98" s="48" t="str">
        <f>IF($B98="","",Campionato!$D$2&amp;" "&amp;Campionato!$D$6)</f>
        <v/>
      </c>
      <c r="I98" s="48"/>
    </row>
    <row r="99" spans="1:9" x14ac:dyDescent="0.25">
      <c r="A99" s="48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48" t="str">
        <f>IF('Calendario C'!$B33="","",'Calendario C'!$B33&amp;" vs "&amp;'Calendario C'!$D33&amp;" "&amp;'Calendario C'!$AC33)</f>
        <v/>
      </c>
      <c r="C99" s="116" t="str">
        <f>IF($B99="","",DATE(YEAR('Calendario C'!$F33),MONTH('Calendario C'!$F33),DAY('Calendario C'!$F33)))</f>
        <v/>
      </c>
      <c r="D99" s="117" t="str">
        <f>IF($B99="","",TIME(HOUR('Calendario C'!$F33),MINUTE('Calendario C'!$F33),0))</f>
        <v/>
      </c>
      <c r="E99" s="116" t="str">
        <f>IF($B99="","",DATE(YEAR('Calendario C'!$F33),MONTH('Calendario C'!$F33),DAY('Calendario C'!$F33)))</f>
        <v/>
      </c>
      <c r="F99" s="117" t="str">
        <f>IF($B99="","",TIME(HOUR('Calendario C'!$F33)+2,MINUTE('Calendario C'!$F33),0))</f>
        <v/>
      </c>
      <c r="G99" s="48" t="str">
        <f>IF($B99="","",'Calendario C'!$B34)</f>
        <v/>
      </c>
      <c r="H99" s="48" t="str">
        <f>IF($B99="","",Campionato!$D$2&amp;" "&amp;Campionato!$D$6)</f>
        <v/>
      </c>
      <c r="I99" s="48"/>
    </row>
    <row r="100" spans="1:9" x14ac:dyDescent="0.25">
      <c r="A100" s="48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48" t="str">
        <f>IF('Calendario C'!$B36="","",'Calendario C'!$B36&amp;" vs "&amp;'Calendario C'!$D36&amp;" "&amp;'Calendario C'!$AC36)</f>
        <v/>
      </c>
      <c r="C100" s="116" t="str">
        <f>IF($B100="","",DATE(YEAR('Calendario C'!$F36),MONTH('Calendario C'!$F36),DAY('Calendario C'!$F36)))</f>
        <v/>
      </c>
      <c r="D100" s="117" t="str">
        <f>IF($B100="","",TIME(HOUR('Calendario C'!$F36),MINUTE('Calendario C'!$F36),0))</f>
        <v/>
      </c>
      <c r="E100" s="116" t="str">
        <f>IF($B100="","",DATE(YEAR('Calendario C'!$F36),MONTH('Calendario C'!$F36),DAY('Calendario C'!$F36)))</f>
        <v/>
      </c>
      <c r="F100" s="117" t="str">
        <f>IF($B100="","",TIME(HOUR('Calendario C'!$F36)+2,MINUTE('Calendario C'!$F36),0))</f>
        <v/>
      </c>
      <c r="G100" s="48" t="str">
        <f>IF($B100="","",'Calendario C'!$B37)</f>
        <v/>
      </c>
      <c r="H100" s="48" t="str">
        <f>IF($B100="","",Campionato!$D$2&amp;" "&amp;Campionato!$D$6)</f>
        <v/>
      </c>
      <c r="I100" s="48"/>
    </row>
    <row r="101" spans="1:9" x14ac:dyDescent="0.25">
      <c r="A101" s="48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48" t="str">
        <f>IF('Calendario C'!$B39="","",'Calendario C'!$B39&amp;" vs "&amp;'Calendario C'!$D39&amp;" "&amp;'Calendario C'!$AC39)</f>
        <v/>
      </c>
      <c r="C101" s="116" t="str">
        <f>IF($B101="","",DATE(YEAR('Calendario C'!$F39),MONTH('Calendario C'!$F39),DAY('Calendario C'!$F39)))</f>
        <v/>
      </c>
      <c r="D101" s="117" t="str">
        <f>IF($B101="","",TIME(HOUR('Calendario C'!$F39),MINUTE('Calendario C'!$F39),0))</f>
        <v/>
      </c>
      <c r="E101" s="116" t="str">
        <f>IF($B101="","",DATE(YEAR('Calendario C'!$F39),MONTH('Calendario C'!$F39),DAY('Calendario C'!$F39)))</f>
        <v/>
      </c>
      <c r="F101" s="117" t="str">
        <f>IF($B101="","",TIME(HOUR('Calendario C'!$F39)+2,MINUTE('Calendario C'!$F39),0))</f>
        <v/>
      </c>
      <c r="G101" s="48" t="str">
        <f>IF($B101="","",'Calendario C'!$B40)</f>
        <v/>
      </c>
      <c r="H101" s="48" t="str">
        <f>IF($B101="","",Campionato!$D$2&amp;" "&amp;Campionato!$D$6)</f>
        <v/>
      </c>
      <c r="I101" s="48"/>
    </row>
    <row r="102" spans="1:9" x14ac:dyDescent="0.25">
      <c r="A102" s="48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48" t="str">
        <f>IF('Calendario C'!$B44="","",'Calendario C'!$B44&amp;" vs "&amp;'Calendario C'!$D44&amp;" "&amp;'Calendario C'!$AC44)</f>
        <v/>
      </c>
      <c r="C102" s="116" t="str">
        <f>IF($B102="","",DATE(YEAR('Calendario C'!$F44),MONTH('Calendario C'!$F44),DAY('Calendario C'!$F44)))</f>
        <v/>
      </c>
      <c r="D102" s="117" t="str">
        <f>IF($B102="","",TIME(HOUR('Calendario C'!$F44),MINUTE('Calendario C'!$F44),0))</f>
        <v/>
      </c>
      <c r="E102" s="116" t="str">
        <f>IF($B102="","",DATE(YEAR('Calendario C'!$F44),MONTH('Calendario C'!$F44),DAY('Calendario C'!$F44)))</f>
        <v/>
      </c>
      <c r="F102" s="117" t="str">
        <f>IF($B102="","",TIME(HOUR('Calendario C'!$F44)+2,MINUTE('Calendario C'!$F44),0))</f>
        <v/>
      </c>
      <c r="G102" s="48" t="str">
        <f>IF($B102="","",'Calendario C'!$B45)</f>
        <v/>
      </c>
      <c r="H102" s="48" t="str">
        <f>IF($B102="","",Campionato!$D$2&amp;" "&amp;Campionato!$D$6)</f>
        <v/>
      </c>
      <c r="I102" s="48"/>
    </row>
    <row r="103" spans="1:9" x14ac:dyDescent="0.25">
      <c r="A103" s="48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48" t="str">
        <f>IF('Calendario C'!$B47="","",'Calendario C'!$B47&amp;" vs "&amp;'Calendario C'!$D47&amp;" "&amp;'Calendario C'!$AC47)</f>
        <v/>
      </c>
      <c r="C103" s="116" t="str">
        <f>IF($B103="","",DATE(YEAR('Calendario C'!$F47),MONTH('Calendario C'!$F47),DAY('Calendario C'!$F47)))</f>
        <v/>
      </c>
      <c r="D103" s="117" t="str">
        <f>IF($B103="","",TIME(HOUR('Calendario C'!$F47),MINUTE('Calendario C'!$F47),0))</f>
        <v/>
      </c>
      <c r="E103" s="116" t="str">
        <f>IF($B103="","",DATE(YEAR('Calendario C'!$F47),MONTH('Calendario C'!$F47),DAY('Calendario C'!$F47)))</f>
        <v/>
      </c>
      <c r="F103" s="117" t="str">
        <f>IF($B103="","",TIME(HOUR('Calendario C'!$F47)+2,MINUTE('Calendario C'!$F47),0))</f>
        <v/>
      </c>
      <c r="G103" s="48" t="str">
        <f>IF($B103="","",'Calendario C'!$B48)</f>
        <v/>
      </c>
      <c r="H103" s="48" t="str">
        <f>IF($B103="","",Campionato!$D$2&amp;" "&amp;Campionato!$D$6)</f>
        <v/>
      </c>
      <c r="I103" s="48"/>
    </row>
    <row r="104" spans="1:9" x14ac:dyDescent="0.25">
      <c r="A104" s="48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48" t="str">
        <f>IF('Calendario C'!$B50="","",'Calendario C'!$B50&amp;" vs "&amp;'Calendario C'!$D50&amp;" "&amp;'Calendario C'!$AC50)</f>
        <v/>
      </c>
      <c r="C104" s="116" t="str">
        <f>IF($B104="","",DATE(YEAR('Calendario C'!$F50),MONTH('Calendario C'!$F50),DAY('Calendario C'!$F50)))</f>
        <v/>
      </c>
      <c r="D104" s="117" t="str">
        <f>IF($B104="","",TIME(HOUR('Calendario C'!$F50),MINUTE('Calendario C'!$F50),0))</f>
        <v/>
      </c>
      <c r="E104" s="116" t="str">
        <f>IF($B104="","",DATE(YEAR('Calendario C'!$F50),MONTH('Calendario C'!$F50),DAY('Calendario C'!$F50)))</f>
        <v/>
      </c>
      <c r="F104" s="117" t="str">
        <f>IF($B104="","",TIME(HOUR('Calendario C'!$F50)+2,MINUTE('Calendario C'!$F50),0))</f>
        <v/>
      </c>
      <c r="G104" s="48" t="str">
        <f>IF($B104="","",'Calendario C'!$B51)</f>
        <v/>
      </c>
      <c r="H104" s="48" t="str">
        <f>IF($B104="","",Campionato!$D$2&amp;" "&amp;Campionato!$D$6)</f>
        <v/>
      </c>
      <c r="I104" s="48"/>
    </row>
    <row r="105" spans="1:9" x14ac:dyDescent="0.25">
      <c r="A105" s="48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48" t="str">
        <f>IF('Calendario C'!$B53="","",'Calendario C'!$B53&amp;" vs "&amp;'Calendario C'!$D53&amp;" "&amp;'Calendario C'!$AC53)</f>
        <v/>
      </c>
      <c r="C105" s="116" t="str">
        <f>IF($B105="","",DATE(YEAR('Calendario C'!$F53),MONTH('Calendario C'!$F53),DAY('Calendario C'!$F53)))</f>
        <v/>
      </c>
      <c r="D105" s="117" t="str">
        <f>IF($B105="","",TIME(HOUR('Calendario C'!$F53),MINUTE('Calendario C'!$F53),0))</f>
        <v/>
      </c>
      <c r="E105" s="116" t="str">
        <f>IF($B105="","",DATE(YEAR('Calendario C'!$F53),MONTH('Calendario C'!$F53),DAY('Calendario C'!$F53)))</f>
        <v/>
      </c>
      <c r="F105" s="117" t="str">
        <f>IF($B105="","",TIME(HOUR('Calendario C'!$F53)+2,MINUTE('Calendario C'!$F53),0))</f>
        <v/>
      </c>
      <c r="G105" s="48" t="str">
        <f>IF($B105="","",'Calendario C'!$B54)</f>
        <v/>
      </c>
      <c r="H105" s="48" t="str">
        <f>IF($B105="","",Campionato!$D$2&amp;" "&amp;Campionato!$D$6)</f>
        <v/>
      </c>
      <c r="I105" s="48"/>
    </row>
    <row r="106" spans="1:9" x14ac:dyDescent="0.25">
      <c r="A106" s="48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48" t="str">
        <f>IF('Calendario C'!$B56="","",'Calendario C'!$B56&amp;" vs "&amp;'Calendario C'!$D56&amp;" "&amp;'Calendario C'!$AC56)</f>
        <v/>
      </c>
      <c r="C106" s="116" t="str">
        <f>IF($B106="","",DATE(YEAR('Calendario C'!$F56),MONTH('Calendario C'!$F56),DAY('Calendario C'!$F56)))</f>
        <v/>
      </c>
      <c r="D106" s="117" t="str">
        <f>IF($B106="","",TIME(HOUR('Calendario C'!$F56),MINUTE('Calendario C'!$F56),0))</f>
        <v/>
      </c>
      <c r="E106" s="116" t="str">
        <f>IF($B106="","",DATE(YEAR('Calendario C'!$F56),MONTH('Calendario C'!$F56),DAY('Calendario C'!$F56)))</f>
        <v/>
      </c>
      <c r="F106" s="117" t="str">
        <f>IF($B106="","",TIME(HOUR('Calendario C'!$F56)+2,MINUTE('Calendario C'!$F56),0))</f>
        <v/>
      </c>
      <c r="G106" s="48" t="str">
        <f>IF($B106="","",'Calendario C'!$B57)</f>
        <v/>
      </c>
      <c r="H106" s="48" t="str">
        <f>IF($B106="","",Campionato!$D$2&amp;" "&amp;Campionato!$D$6)</f>
        <v/>
      </c>
      <c r="I106" s="48"/>
    </row>
    <row r="107" spans="1:9" x14ac:dyDescent="0.25">
      <c r="A107" s="48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48" t="str">
        <f>IF('Calendario C'!$B61="","",'Calendario C'!$B61&amp;" vs "&amp;'Calendario C'!$D61&amp;" "&amp;'Calendario C'!$AC61)</f>
        <v/>
      </c>
      <c r="C107" s="116" t="str">
        <f>IF($B107="","",DATE(YEAR('Calendario C'!$F61),MONTH('Calendario C'!$F61),DAY('Calendario C'!$F61)))</f>
        <v/>
      </c>
      <c r="D107" s="117" t="str">
        <f>IF($B107="","",TIME(HOUR('Calendario C'!$F61),MINUTE('Calendario C'!$F61),0))</f>
        <v/>
      </c>
      <c r="E107" s="116" t="str">
        <f>IF($B107="","",DATE(YEAR('Calendario C'!$F61),MONTH('Calendario C'!$F61),DAY('Calendario C'!$F61)))</f>
        <v/>
      </c>
      <c r="F107" s="117" t="str">
        <f>IF($B107="","",TIME(HOUR('Calendario C'!$F61)+2,MINUTE('Calendario C'!$F61),0))</f>
        <v/>
      </c>
      <c r="G107" s="48" t="str">
        <f>IF($B107="","",'Calendario C'!$B62)</f>
        <v/>
      </c>
      <c r="H107" s="48" t="str">
        <f>IF($B107="","",Campionato!$D$2&amp;" "&amp;Campionato!$D$6)</f>
        <v/>
      </c>
      <c r="I107" s="48"/>
    </row>
    <row r="108" spans="1:9" x14ac:dyDescent="0.25">
      <c r="A108" s="48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48" t="str">
        <f>IF('Calendario C'!$B64="","",'Calendario C'!$B64&amp;" vs "&amp;'Calendario C'!$D64&amp;" "&amp;'Calendario C'!$AC64)</f>
        <v/>
      </c>
      <c r="C108" s="116" t="str">
        <f>IF($B108="","",DATE(YEAR('Calendario C'!$F64),MONTH('Calendario C'!$F64),DAY('Calendario C'!$F64)))</f>
        <v/>
      </c>
      <c r="D108" s="117" t="str">
        <f>IF($B108="","",TIME(HOUR('Calendario C'!$F64),MINUTE('Calendario C'!$F64),0))</f>
        <v/>
      </c>
      <c r="E108" s="116" t="str">
        <f>IF($B108="","",DATE(YEAR('Calendario C'!$F64),MONTH('Calendario C'!$F64),DAY('Calendario C'!$F64)))</f>
        <v/>
      </c>
      <c r="F108" s="117" t="str">
        <f>IF($B108="","",TIME(HOUR('Calendario C'!$F64)+2,MINUTE('Calendario C'!$F64),0))</f>
        <v/>
      </c>
      <c r="G108" s="48" t="str">
        <f>IF($B108="","",'Calendario C'!$B65)</f>
        <v/>
      </c>
      <c r="H108" s="48" t="str">
        <f>IF($B108="","",Campionato!$D$2&amp;" "&amp;Campionato!$D$6)</f>
        <v/>
      </c>
      <c r="I108" s="48"/>
    </row>
    <row r="109" spans="1:9" x14ac:dyDescent="0.25">
      <c r="A109" s="48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48" t="str">
        <f>IF('Calendario C'!$B67="","",'Calendario C'!$B67&amp;" vs "&amp;'Calendario C'!$D67&amp;" "&amp;'Calendario C'!$AC67)</f>
        <v/>
      </c>
      <c r="C109" s="116" t="str">
        <f>IF($B109="","",DATE(YEAR('Calendario C'!$F67),MONTH('Calendario C'!$F67),DAY('Calendario C'!$F67)))</f>
        <v/>
      </c>
      <c r="D109" s="117" t="str">
        <f>IF($B109="","",TIME(HOUR('Calendario C'!$F67),MINUTE('Calendario C'!$F67),0))</f>
        <v/>
      </c>
      <c r="E109" s="116" t="str">
        <f>IF($B109="","",DATE(YEAR('Calendario C'!$F67),MONTH('Calendario C'!$F67),DAY('Calendario C'!$F67)))</f>
        <v/>
      </c>
      <c r="F109" s="117" t="str">
        <f>IF($B109="","",TIME(HOUR('Calendario C'!$F67)+2,MINUTE('Calendario C'!$F67),0))</f>
        <v/>
      </c>
      <c r="G109" s="48" t="str">
        <f>IF($B109="","",'Calendario C'!$B68)</f>
        <v/>
      </c>
      <c r="H109" s="48" t="str">
        <f>IF($B109="","",Campionato!$D$2&amp;" "&amp;Campionato!$D$6)</f>
        <v/>
      </c>
      <c r="I109" s="48"/>
    </row>
    <row r="110" spans="1:9" x14ac:dyDescent="0.25">
      <c r="A110" s="48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48" t="str">
        <f>IF('Calendario C'!$B70="","",'Calendario C'!$B70&amp;" vs "&amp;'Calendario C'!$D70&amp;" "&amp;'Calendario C'!$AC70)</f>
        <v/>
      </c>
      <c r="C110" s="116" t="str">
        <f>IF($B110="","",DATE(YEAR('Calendario C'!$F70),MONTH('Calendario C'!$F70),DAY('Calendario C'!$F70)))</f>
        <v/>
      </c>
      <c r="D110" s="117" t="str">
        <f>IF($B110="","",TIME(HOUR('Calendario C'!$F70),MINUTE('Calendario C'!$F70),0))</f>
        <v/>
      </c>
      <c r="E110" s="116" t="str">
        <f>IF($B110="","",DATE(YEAR('Calendario C'!$F70),MONTH('Calendario C'!$F70),DAY('Calendario C'!$F70)))</f>
        <v/>
      </c>
      <c r="F110" s="117" t="str">
        <f>IF($B110="","",TIME(HOUR('Calendario C'!$F70)+2,MINUTE('Calendario C'!$F70),0))</f>
        <v/>
      </c>
      <c r="G110" s="48" t="str">
        <f>IF($B110="","",'Calendario C'!$B71)</f>
        <v/>
      </c>
      <c r="H110" s="48" t="str">
        <f>IF($B110="","",Campionato!$D$2&amp;" "&amp;Campionato!$D$6)</f>
        <v/>
      </c>
      <c r="I110" s="48"/>
    </row>
    <row r="111" spans="1:9" x14ac:dyDescent="0.25">
      <c r="A111" s="48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48" t="str">
        <f>IF('Calendario C'!$B73="","",'Calendario C'!$B73&amp;" vs "&amp;'Calendario C'!$D73&amp;" "&amp;'Calendario C'!$AC73)</f>
        <v/>
      </c>
      <c r="C111" s="116" t="str">
        <f>IF($B111="","",DATE(YEAR('Calendario C'!$F73),MONTH('Calendario C'!$F73),DAY('Calendario C'!$F73)))</f>
        <v/>
      </c>
      <c r="D111" s="117" t="str">
        <f>IF($B111="","",TIME(HOUR('Calendario C'!$F73),MINUTE('Calendario C'!$F73),0))</f>
        <v/>
      </c>
      <c r="E111" s="116" t="str">
        <f>IF($B111="","",DATE(YEAR('Calendario C'!$F73),MONTH('Calendario C'!$F73),DAY('Calendario C'!$F73)))</f>
        <v/>
      </c>
      <c r="F111" s="117" t="str">
        <f>IF($B111="","",TIME(HOUR('Calendario C'!$F73)+2,MINUTE('Calendario C'!$F73),0))</f>
        <v/>
      </c>
      <c r="G111" s="48" t="str">
        <f>IF($B111="","",'Calendario C'!$B74)</f>
        <v/>
      </c>
      <c r="H111" s="48" t="str">
        <f>IF($B111="","",Campionato!$D$2&amp;" "&amp;Campionato!$D$6)</f>
        <v/>
      </c>
      <c r="I111" s="48"/>
    </row>
    <row r="112" spans="1:9" x14ac:dyDescent="0.25">
      <c r="A112" s="48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48" t="str">
        <f>IF('Calendario C'!$B78="","",'Calendario C'!$B78&amp;" vs "&amp;'Calendario C'!$D78&amp;" "&amp;'Calendario C'!$AC78)</f>
        <v/>
      </c>
      <c r="C112" s="116" t="str">
        <f>IF($B112="","",DATE(YEAR('Calendario C'!$F78),MONTH('Calendario C'!$F78),DAY('Calendario C'!$F78)))</f>
        <v/>
      </c>
      <c r="D112" s="117" t="str">
        <f>IF($B112="","",TIME(HOUR('Calendario C'!$F78),MINUTE('Calendario C'!$F78),0))</f>
        <v/>
      </c>
      <c r="E112" s="116" t="str">
        <f>IF($B112="","",DATE(YEAR('Calendario C'!$F78),MONTH('Calendario C'!$F78),DAY('Calendario C'!$F78)))</f>
        <v/>
      </c>
      <c r="F112" s="117" t="str">
        <f>IF($B112="","",TIME(HOUR('Calendario C'!$F78)+2,MINUTE('Calendario C'!$F78),0))</f>
        <v/>
      </c>
      <c r="G112" s="48" t="str">
        <f>IF($B112="","",'Calendario C'!$B79)</f>
        <v/>
      </c>
      <c r="H112" s="48" t="str">
        <f>IF($B112="","",Campionato!$D$2&amp;" "&amp;Campionato!$D$6)</f>
        <v/>
      </c>
      <c r="I112" s="48"/>
    </row>
    <row r="113" spans="1:9" x14ac:dyDescent="0.25">
      <c r="A113" s="48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48" t="str">
        <f>IF('Calendario C'!$B81="","",'Calendario C'!$B81&amp;" vs "&amp;'Calendario C'!$D81&amp;" "&amp;'Calendario C'!$AC81)</f>
        <v/>
      </c>
      <c r="C113" s="116" t="str">
        <f>IF($B113="","",DATE(YEAR('Calendario C'!$F81),MONTH('Calendario C'!$F81),DAY('Calendario C'!$F81)))</f>
        <v/>
      </c>
      <c r="D113" s="117" t="str">
        <f>IF($B113="","",TIME(HOUR('Calendario C'!$F81),MINUTE('Calendario C'!$F81),0))</f>
        <v/>
      </c>
      <c r="E113" s="116" t="str">
        <f>IF($B113="","",DATE(YEAR('Calendario C'!$F81),MONTH('Calendario C'!$F81),DAY('Calendario C'!$F81)))</f>
        <v/>
      </c>
      <c r="F113" s="117" t="str">
        <f>IF($B113="","",TIME(HOUR('Calendario C'!$F81)+2,MINUTE('Calendario C'!$F81),0))</f>
        <v/>
      </c>
      <c r="G113" s="48" t="str">
        <f>IF($B113="","",'Calendario C'!$B82)</f>
        <v/>
      </c>
      <c r="H113" s="48" t="str">
        <f>IF($B113="","",Campionato!$D$2&amp;" "&amp;Campionato!$D$6)</f>
        <v/>
      </c>
      <c r="I113" s="48"/>
    </row>
    <row r="114" spans="1:9" x14ac:dyDescent="0.25">
      <c r="A114" s="48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48" t="str">
        <f>IF('Calendario C'!$B84="","",'Calendario C'!$B84&amp;" vs "&amp;'Calendario C'!$D84&amp;" "&amp;'Calendario C'!$AC84)</f>
        <v/>
      </c>
      <c r="C114" s="116" t="str">
        <f>IF($B114="","",DATE(YEAR('Calendario C'!$F84),MONTH('Calendario C'!$F84),DAY('Calendario C'!$F84)))</f>
        <v/>
      </c>
      <c r="D114" s="117" t="str">
        <f>IF($B114="","",TIME(HOUR('Calendario C'!$F84),MINUTE('Calendario C'!$F84),0))</f>
        <v/>
      </c>
      <c r="E114" s="116" t="str">
        <f>IF($B114="","",DATE(YEAR('Calendario C'!$F84),MONTH('Calendario C'!$F84),DAY('Calendario C'!$F84)))</f>
        <v/>
      </c>
      <c r="F114" s="117" t="str">
        <f>IF($B114="","",TIME(HOUR('Calendario C'!$F84)+2,MINUTE('Calendario C'!$F84),0))</f>
        <v/>
      </c>
      <c r="G114" s="48" t="str">
        <f>IF($B114="","",'Calendario C'!$B85)</f>
        <v/>
      </c>
      <c r="H114" s="48" t="str">
        <f>IF($B114="","",Campionato!$D$2&amp;" "&amp;Campionato!$D$6)</f>
        <v/>
      </c>
      <c r="I114" s="48"/>
    </row>
    <row r="115" spans="1:9" x14ac:dyDescent="0.25">
      <c r="A115" s="48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48" t="str">
        <f>IF('Calendario C'!$B87="","",'Calendario C'!$B87&amp;" vs "&amp;'Calendario C'!$D87&amp;" "&amp;'Calendario C'!$AC87)</f>
        <v/>
      </c>
      <c r="C115" s="116" t="str">
        <f>IF($B115="","",DATE(YEAR('Calendario C'!$F87),MONTH('Calendario C'!$F87),DAY('Calendario C'!$F87)))</f>
        <v/>
      </c>
      <c r="D115" s="117" t="str">
        <f>IF($B115="","",TIME(HOUR('Calendario C'!$F87),MINUTE('Calendario C'!$F87),0))</f>
        <v/>
      </c>
      <c r="E115" s="116" t="str">
        <f>IF($B115="","",DATE(YEAR('Calendario C'!$F87),MONTH('Calendario C'!$F87),DAY('Calendario C'!$F87)))</f>
        <v/>
      </c>
      <c r="F115" s="117" t="str">
        <f>IF($B115="","",TIME(HOUR('Calendario C'!$F87)+2,MINUTE('Calendario C'!$F87),0))</f>
        <v/>
      </c>
      <c r="G115" s="48" t="str">
        <f>IF($B115="","",'Calendario C'!$B88)</f>
        <v/>
      </c>
      <c r="H115" s="48" t="str">
        <f>IF($B115="","",Campionato!$D$2&amp;" "&amp;Campionato!$D$6)</f>
        <v/>
      </c>
      <c r="I115" s="48"/>
    </row>
    <row r="116" spans="1:9" x14ac:dyDescent="0.25">
      <c r="A116" s="48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48" t="str">
        <f>IF('Calendario C'!$B90="","",'Calendario C'!$B90&amp;" vs "&amp;'Calendario C'!$D90&amp;" "&amp;'Calendario C'!$AC90)</f>
        <v/>
      </c>
      <c r="C116" s="116" t="str">
        <f>IF($B116="","",DATE(YEAR('Calendario C'!$F90),MONTH('Calendario C'!$F90),DAY('Calendario C'!$F90)))</f>
        <v/>
      </c>
      <c r="D116" s="117" t="str">
        <f>IF($B116="","",TIME(HOUR('Calendario C'!$F90),MINUTE('Calendario C'!$F90),0))</f>
        <v/>
      </c>
      <c r="E116" s="116" t="str">
        <f>IF($B116="","",DATE(YEAR('Calendario C'!$F90),MONTH('Calendario C'!$F90),DAY('Calendario C'!$F90)))</f>
        <v/>
      </c>
      <c r="F116" s="117" t="str">
        <f>IF($B116="","",TIME(HOUR('Calendario C'!$F90)+2,MINUTE('Calendario C'!$F90),0))</f>
        <v/>
      </c>
      <c r="G116" s="48" t="str">
        <f>IF($B116="","",'Calendario C'!$B91)</f>
        <v/>
      </c>
      <c r="H116" s="48" t="str">
        <f>IF($B116="","",Campionato!$D$2&amp;" "&amp;Campionato!$D$6)</f>
        <v/>
      </c>
      <c r="I116" s="48"/>
    </row>
    <row r="117" spans="1:9" x14ac:dyDescent="0.25">
      <c r="A117" s="48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48" t="str">
        <f>IF('Calendario C'!$B95="","",'Calendario C'!$B95&amp;" vs "&amp;'Calendario C'!$D95&amp;" "&amp;'Calendario C'!$AC95)</f>
        <v/>
      </c>
      <c r="C117" s="116" t="str">
        <f>IF($B117="","",DATE(YEAR('Calendario C'!$F95),MONTH('Calendario C'!$F95),DAY('Calendario C'!$F95)))</f>
        <v/>
      </c>
      <c r="D117" s="117" t="str">
        <f>IF($B117="","",TIME(HOUR('Calendario C'!$F95),MINUTE('Calendario C'!$F95),0))</f>
        <v/>
      </c>
      <c r="E117" s="116" t="str">
        <f>IF($B117="","",DATE(YEAR('Calendario C'!$F95),MONTH('Calendario C'!$F95),DAY('Calendario C'!$F95)))</f>
        <v/>
      </c>
      <c r="F117" s="117" t="str">
        <f>IF($B117="","",TIME(HOUR('Calendario C'!$F95)+2,MINUTE('Calendario C'!$F95),0))</f>
        <v/>
      </c>
      <c r="G117" s="48" t="str">
        <f>IF($B117="","",'Calendario C'!$B96)</f>
        <v/>
      </c>
      <c r="H117" s="48" t="str">
        <f>IF($B117="","",Campionato!$D$2&amp;" "&amp;Campionato!$D$6)</f>
        <v/>
      </c>
      <c r="I117" s="48"/>
    </row>
    <row r="118" spans="1:9" x14ac:dyDescent="0.25">
      <c r="A118" s="48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48" t="str">
        <f>IF('Calendario C'!$B98="","",'Calendario C'!$B98&amp;" vs "&amp;'Calendario C'!$D98&amp;" "&amp;'Calendario C'!$AC98)</f>
        <v/>
      </c>
      <c r="C118" s="116" t="str">
        <f>IF($B118="","",DATE(YEAR('Calendario C'!$F98),MONTH('Calendario C'!$F98),DAY('Calendario C'!$F98)))</f>
        <v/>
      </c>
      <c r="D118" s="117" t="str">
        <f>IF($B118="","",TIME(HOUR('Calendario C'!$F98),MINUTE('Calendario C'!$F98),0))</f>
        <v/>
      </c>
      <c r="E118" s="116" t="str">
        <f>IF($B118="","",DATE(YEAR('Calendario C'!$F98),MONTH('Calendario C'!$F98),DAY('Calendario C'!$F98)))</f>
        <v/>
      </c>
      <c r="F118" s="117" t="str">
        <f>IF($B118="","",TIME(HOUR('Calendario C'!$F98)+2,MINUTE('Calendario C'!$F98),0))</f>
        <v/>
      </c>
      <c r="G118" s="48" t="str">
        <f>IF($B118="","",'Calendario C'!$B99)</f>
        <v/>
      </c>
      <c r="H118" s="48" t="str">
        <f>IF($B118="","",Campionato!$D$2&amp;" "&amp;Campionato!$D$6)</f>
        <v/>
      </c>
      <c r="I118" s="48"/>
    </row>
    <row r="119" spans="1:9" x14ac:dyDescent="0.25">
      <c r="A119" s="48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48" t="str">
        <f>IF('Calendario C'!$B101="","",'Calendario C'!$B101&amp;" vs "&amp;'Calendario C'!$D101&amp;" "&amp;'Calendario C'!$AC101)</f>
        <v/>
      </c>
      <c r="C119" s="116" t="str">
        <f>IF($B119="","",DATE(YEAR('Calendario C'!$F101),MONTH('Calendario C'!$F101),DAY('Calendario C'!$F101)))</f>
        <v/>
      </c>
      <c r="D119" s="117" t="str">
        <f>IF($B119="","",TIME(HOUR('Calendario C'!$F101),MINUTE('Calendario C'!$F101),0))</f>
        <v/>
      </c>
      <c r="E119" s="116" t="str">
        <f>IF($B119="","",DATE(YEAR('Calendario C'!$F101),MONTH('Calendario C'!$F101),DAY('Calendario C'!$F101)))</f>
        <v/>
      </c>
      <c r="F119" s="117" t="str">
        <f>IF($B119="","",TIME(HOUR('Calendario C'!$F101)+2,MINUTE('Calendario C'!$F101),0))</f>
        <v/>
      </c>
      <c r="G119" s="48" t="str">
        <f>IF($B119="","",'Calendario C'!$B102)</f>
        <v/>
      </c>
      <c r="H119" s="48" t="str">
        <f>IF($B119="","",Campionato!$D$2&amp;" "&amp;Campionato!$D$6)</f>
        <v/>
      </c>
      <c r="I119" s="48"/>
    </row>
    <row r="120" spans="1:9" x14ac:dyDescent="0.25">
      <c r="A120" s="48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48" t="str">
        <f>IF('Calendario C'!$B104="","",'Calendario C'!$B104&amp;" vs "&amp;'Calendario C'!$D104&amp;" "&amp;'Calendario C'!$AC104)</f>
        <v/>
      </c>
      <c r="C120" s="116" t="str">
        <f>IF($B120="","",DATE(YEAR('Calendario C'!$F104),MONTH('Calendario C'!$F104),DAY('Calendario C'!$F104)))</f>
        <v/>
      </c>
      <c r="D120" s="117" t="str">
        <f>IF($B120="","",TIME(HOUR('Calendario C'!$F104),MINUTE('Calendario C'!$F104),0))</f>
        <v/>
      </c>
      <c r="E120" s="116" t="str">
        <f>IF($B120="","",DATE(YEAR('Calendario C'!$F104),MONTH('Calendario C'!$F104),DAY('Calendario C'!$F104)))</f>
        <v/>
      </c>
      <c r="F120" s="117" t="str">
        <f>IF($B120="","",TIME(HOUR('Calendario C'!$F104)+2,MINUTE('Calendario C'!$F104),0))</f>
        <v/>
      </c>
      <c r="G120" s="48" t="str">
        <f>IF($B120="","",'Calendario C'!$B105)</f>
        <v/>
      </c>
      <c r="H120" s="48" t="str">
        <f>IF($B120="","",Campionato!$D$2&amp;" "&amp;Campionato!$D$6)</f>
        <v/>
      </c>
      <c r="I120" s="48"/>
    </row>
    <row r="121" spans="1:9" x14ac:dyDescent="0.25">
      <c r="A121" s="48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48" t="str">
        <f>IF('Calendario C'!$B107="","",'Calendario C'!$B107&amp;" vs "&amp;'Calendario C'!$D107&amp;" "&amp;'Calendario C'!$AC107)</f>
        <v/>
      </c>
      <c r="C121" s="116" t="str">
        <f>IF($B121="","",DATE(YEAR('Calendario C'!$F107),MONTH('Calendario C'!$F107),DAY('Calendario C'!$F107)))</f>
        <v/>
      </c>
      <c r="D121" s="117" t="str">
        <f>IF($B121="","",TIME(HOUR('Calendario C'!$F107),MINUTE('Calendario C'!$F107),0))</f>
        <v/>
      </c>
      <c r="E121" s="116" t="str">
        <f>IF($B121="","",DATE(YEAR('Calendario C'!$F107),MONTH('Calendario C'!$F107),DAY('Calendario C'!$F107)))</f>
        <v/>
      </c>
      <c r="F121" s="117" t="str">
        <f>IF($B121="","",TIME(HOUR('Calendario C'!$F107)+2,MINUTE('Calendario C'!$F107),0))</f>
        <v/>
      </c>
      <c r="G121" s="48" t="str">
        <f>IF($B121="","",'Calendario C'!$B108)</f>
        <v/>
      </c>
      <c r="H121" s="48" t="str">
        <f>IF($B121="","",Campionato!$D$2&amp;" "&amp;Campionato!$D$6)</f>
        <v/>
      </c>
      <c r="I121" s="48"/>
    </row>
    <row r="122" spans="1:9" x14ac:dyDescent="0.25">
      <c r="A122" s="48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48" t="str">
        <f>IF('Calendario C'!$B112="","",'Calendario C'!$B112&amp;" vs "&amp;'Calendario C'!$D112&amp;" "&amp;'Calendario C'!$AC112)</f>
        <v/>
      </c>
      <c r="C122" s="116" t="str">
        <f>IF($B122="","",DATE(YEAR('Calendario C'!$F112),MONTH('Calendario C'!$F112),DAY('Calendario C'!$F112)))</f>
        <v/>
      </c>
      <c r="D122" s="117" t="str">
        <f>IF($B122="","",TIME(HOUR('Calendario C'!$F112),MINUTE('Calendario C'!$F112),0))</f>
        <v/>
      </c>
      <c r="E122" s="116" t="str">
        <f>IF($B122="","",DATE(YEAR('Calendario C'!$F112),MONTH('Calendario C'!$F112),DAY('Calendario C'!$F112)))</f>
        <v/>
      </c>
      <c r="F122" s="117" t="str">
        <f>IF($B122="","",TIME(HOUR('Calendario C'!$F112)+2,MINUTE('Calendario C'!$F112),0))</f>
        <v/>
      </c>
      <c r="G122" s="48" t="str">
        <f>IF($B122="","",'Calendario C'!$B113)</f>
        <v/>
      </c>
      <c r="H122" s="48" t="str">
        <f>IF($B122="","",Campionato!$D$2&amp;" "&amp;Campionato!$D$6)</f>
        <v/>
      </c>
      <c r="I122" s="48"/>
    </row>
    <row r="123" spans="1:9" x14ac:dyDescent="0.25">
      <c r="A123" s="48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48" t="str">
        <f>IF('Calendario C'!$B115="","",'Calendario C'!$B115&amp;" vs "&amp;'Calendario C'!$D115&amp;" "&amp;'Calendario C'!$AC115)</f>
        <v/>
      </c>
      <c r="C123" s="116" t="str">
        <f>IF($B123="","",DATE(YEAR('Calendario C'!$F115),MONTH('Calendario C'!$F115),DAY('Calendario C'!$F115)))</f>
        <v/>
      </c>
      <c r="D123" s="117" t="str">
        <f>IF($B123="","",TIME(HOUR('Calendario C'!$F115),MINUTE('Calendario C'!$F115),0))</f>
        <v/>
      </c>
      <c r="E123" s="116" t="str">
        <f>IF($B123="","",DATE(YEAR('Calendario C'!$F115),MONTH('Calendario C'!$F115),DAY('Calendario C'!$F115)))</f>
        <v/>
      </c>
      <c r="F123" s="117" t="str">
        <f>IF($B123="","",TIME(HOUR('Calendario C'!$F115)+2,MINUTE('Calendario C'!$F115),0))</f>
        <v/>
      </c>
      <c r="G123" s="48" t="str">
        <f>IF($B123="","",'Calendario C'!$B116)</f>
        <v/>
      </c>
      <c r="H123" s="48" t="str">
        <f>IF($B123="","",Campionato!$D$2&amp;" "&amp;Campionato!$D$6)</f>
        <v/>
      </c>
      <c r="I123" s="48"/>
    </row>
    <row r="124" spans="1:9" x14ac:dyDescent="0.25">
      <c r="A124" s="48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48" t="str">
        <f>IF('Calendario C'!$B118="","",'Calendario C'!$B118&amp;" vs "&amp;'Calendario C'!$D118&amp;" "&amp;'Calendario C'!$AC118)</f>
        <v/>
      </c>
      <c r="C124" s="116" t="str">
        <f>IF($B124="","",DATE(YEAR('Calendario C'!$F118),MONTH('Calendario C'!$F118),DAY('Calendario C'!$F118)))</f>
        <v/>
      </c>
      <c r="D124" s="117" t="str">
        <f>IF($B124="","",TIME(HOUR('Calendario C'!$F118),MINUTE('Calendario C'!$F118),0))</f>
        <v/>
      </c>
      <c r="E124" s="116" t="str">
        <f>IF($B124="","",DATE(YEAR('Calendario C'!$F118),MONTH('Calendario C'!$F118),DAY('Calendario C'!$F118)))</f>
        <v/>
      </c>
      <c r="F124" s="117" t="str">
        <f>IF($B124="","",TIME(HOUR('Calendario C'!$F118)+2,MINUTE('Calendario C'!$F118),0))</f>
        <v/>
      </c>
      <c r="G124" s="48" t="str">
        <f>IF($B124="","",'Calendario C'!$B119)</f>
        <v/>
      </c>
      <c r="H124" s="48" t="str">
        <f>IF($B124="","",Campionato!$D$2&amp;" "&amp;Campionato!$D$6)</f>
        <v/>
      </c>
      <c r="I124" s="48"/>
    </row>
    <row r="125" spans="1:9" x14ac:dyDescent="0.25">
      <c r="A125" s="48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48" t="str">
        <f>IF('Calendario C'!$B121="","",'Calendario C'!$B121&amp;" vs "&amp;'Calendario C'!$D121&amp;" "&amp;'Calendario C'!$AC121)</f>
        <v/>
      </c>
      <c r="C125" s="116" t="str">
        <f>IF($B125="","",DATE(YEAR('Calendario C'!$F121),MONTH('Calendario C'!$F121),DAY('Calendario C'!$F121)))</f>
        <v/>
      </c>
      <c r="D125" s="117" t="str">
        <f>IF($B125="","",TIME(HOUR('Calendario C'!$F121),MINUTE('Calendario C'!$F121),0))</f>
        <v/>
      </c>
      <c r="E125" s="116" t="str">
        <f>IF($B125="","",DATE(YEAR('Calendario C'!$F121),MONTH('Calendario C'!$F121),DAY('Calendario C'!$F121)))</f>
        <v/>
      </c>
      <c r="F125" s="117" t="str">
        <f>IF($B125="","",TIME(HOUR('Calendario C'!$F121)+2,MINUTE('Calendario C'!$F121),0))</f>
        <v/>
      </c>
      <c r="G125" s="48" t="str">
        <f>IF($B125="","",'Calendario C'!$B122)</f>
        <v/>
      </c>
      <c r="H125" s="48" t="str">
        <f>IF($B125="","",Campionato!$D$2&amp;" "&amp;Campionato!$D$6)</f>
        <v/>
      </c>
      <c r="I125" s="48"/>
    </row>
    <row r="126" spans="1:9" x14ac:dyDescent="0.25">
      <c r="A126" s="48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48" t="str">
        <f>IF('Calendario C'!$B124="","",'Calendario C'!$B124&amp;" vs "&amp;'Calendario C'!$D124&amp;" "&amp;'Calendario C'!$AC124)</f>
        <v/>
      </c>
      <c r="C126" s="116" t="str">
        <f>IF($B126="","",DATE(YEAR('Calendario C'!$F124),MONTH('Calendario C'!$F124),DAY('Calendario C'!$F124)))</f>
        <v/>
      </c>
      <c r="D126" s="117" t="str">
        <f>IF($B126="","",TIME(HOUR('Calendario C'!$F124),MINUTE('Calendario C'!$F124),0))</f>
        <v/>
      </c>
      <c r="E126" s="116" t="str">
        <f>IF($B126="","",DATE(YEAR('Calendario C'!$F124),MONTH('Calendario C'!$F124),DAY('Calendario C'!$F124)))</f>
        <v/>
      </c>
      <c r="F126" s="117" t="str">
        <f>IF($B126="","",TIME(HOUR('Calendario C'!$F124)+2,MINUTE('Calendario C'!$F124),0))</f>
        <v/>
      </c>
      <c r="G126" s="48" t="str">
        <f>IF($B126="","",'Calendario C'!$B125)</f>
        <v/>
      </c>
      <c r="H126" s="48" t="str">
        <f>IF($B126="","",Campionato!$D$2&amp;" "&amp;Campionato!$D$6)</f>
        <v/>
      </c>
      <c r="I126" s="48"/>
    </row>
    <row r="127" spans="1:9" x14ac:dyDescent="0.25">
      <c r="A127" s="48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48" t="str">
        <f>IF('Calendario C'!$B129="","",'Calendario C'!$B129&amp;" vs "&amp;'Calendario C'!$D129&amp;" "&amp;'Calendario C'!$AC129)</f>
        <v/>
      </c>
      <c r="C127" s="116" t="str">
        <f>IF($B127="","",DATE(YEAR('Calendario C'!$F129),MONTH('Calendario C'!$F129),DAY('Calendario C'!$F129)))</f>
        <v/>
      </c>
      <c r="D127" s="117" t="str">
        <f>IF($B127="","",TIME(HOUR('Calendario C'!$F129),MINUTE('Calendario C'!$F129),0))</f>
        <v/>
      </c>
      <c r="E127" s="116" t="str">
        <f>IF($B127="","",DATE(YEAR('Calendario C'!$F129),MONTH('Calendario C'!$F129),DAY('Calendario C'!$F129)))</f>
        <v/>
      </c>
      <c r="F127" s="117" t="str">
        <f>IF($B127="","",TIME(HOUR('Calendario C'!$F129)+2,MINUTE('Calendario C'!$F129),0))</f>
        <v/>
      </c>
      <c r="G127" s="48" t="str">
        <f>IF($B127="","",'Calendario C'!$B130)</f>
        <v/>
      </c>
      <c r="H127" s="48" t="str">
        <f>IF($B127="","",Campionato!$D$2&amp;" "&amp;Campionato!$D$6)</f>
        <v/>
      </c>
      <c r="I127" s="48"/>
    </row>
    <row r="128" spans="1:9" x14ac:dyDescent="0.25">
      <c r="A128" s="48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48" t="str">
        <f>IF('Calendario C'!$B132="","",'Calendario C'!$B132&amp;" vs "&amp;'Calendario C'!$D132&amp;" "&amp;'Calendario C'!$AC132)</f>
        <v/>
      </c>
      <c r="C128" s="116" t="str">
        <f>IF($B128="","",DATE(YEAR('Calendario C'!$F132),MONTH('Calendario C'!$F132),DAY('Calendario C'!$F132)))</f>
        <v/>
      </c>
      <c r="D128" s="117" t="str">
        <f>IF($B128="","",TIME(HOUR('Calendario C'!$F132),MINUTE('Calendario C'!$F132),0))</f>
        <v/>
      </c>
      <c r="E128" s="116" t="str">
        <f>IF($B128="","",DATE(YEAR('Calendario C'!$F132),MONTH('Calendario C'!$F132),DAY('Calendario C'!$F132)))</f>
        <v/>
      </c>
      <c r="F128" s="117" t="str">
        <f>IF($B128="","",TIME(HOUR('Calendario C'!$F132)+2,MINUTE('Calendario C'!$F132),0))</f>
        <v/>
      </c>
      <c r="G128" s="48" t="str">
        <f>IF($B128="","",'Calendario C'!$B133)</f>
        <v/>
      </c>
      <c r="H128" s="48" t="str">
        <f>IF($B128="","",Campionato!$D$2&amp;" "&amp;Campionato!$D$6)</f>
        <v/>
      </c>
      <c r="I128" s="48"/>
    </row>
    <row r="129" spans="1:9" x14ac:dyDescent="0.25">
      <c r="A129" s="48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48" t="str">
        <f>IF('Calendario C'!$B135="","",'Calendario C'!$B135&amp;" vs "&amp;'Calendario C'!$D135&amp;" "&amp;'Calendario C'!$AC135)</f>
        <v/>
      </c>
      <c r="C129" s="116" t="str">
        <f>IF($B129="","",DATE(YEAR('Calendario C'!$F135),MONTH('Calendario C'!$F135),DAY('Calendario C'!$F135)))</f>
        <v/>
      </c>
      <c r="D129" s="117" t="str">
        <f>IF($B129="","",TIME(HOUR('Calendario C'!$F135),MINUTE('Calendario C'!$F135),0))</f>
        <v/>
      </c>
      <c r="E129" s="116" t="str">
        <f>IF($B129="","",DATE(YEAR('Calendario C'!$F135),MONTH('Calendario C'!$F135),DAY('Calendario C'!$F135)))</f>
        <v/>
      </c>
      <c r="F129" s="117" t="str">
        <f>IF($B129="","",TIME(HOUR('Calendario C'!$F135)+2,MINUTE('Calendario C'!$F135),0))</f>
        <v/>
      </c>
      <c r="G129" s="48" t="str">
        <f>IF($B129="","",'Calendario C'!$B136)</f>
        <v/>
      </c>
      <c r="H129" s="48" t="str">
        <f>IF($B129="","",Campionato!$D$2&amp;" "&amp;Campionato!$D$6)</f>
        <v/>
      </c>
      <c r="I129" s="48"/>
    </row>
    <row r="130" spans="1:9" x14ac:dyDescent="0.25">
      <c r="A130" s="48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48" t="str">
        <f>IF('Calendario C'!$B138="","",'Calendario C'!$B138&amp;" vs "&amp;'Calendario C'!$D138&amp;" "&amp;'Calendario C'!$AC138)</f>
        <v/>
      </c>
      <c r="C130" s="116" t="str">
        <f>IF($B130="","",DATE(YEAR('Calendario C'!$F138),MONTH('Calendario C'!$F138),DAY('Calendario C'!$F138)))</f>
        <v/>
      </c>
      <c r="D130" s="117" t="str">
        <f>IF($B130="","",TIME(HOUR('Calendario C'!$F138),MINUTE('Calendario C'!$F138),0))</f>
        <v/>
      </c>
      <c r="E130" s="116" t="str">
        <f>IF($B130="","",DATE(YEAR('Calendario C'!$F138),MONTH('Calendario C'!$F138),DAY('Calendario C'!$F138)))</f>
        <v/>
      </c>
      <c r="F130" s="117" t="str">
        <f>IF($B130="","",TIME(HOUR('Calendario C'!$F138)+2,MINUTE('Calendario C'!$F138),0))</f>
        <v/>
      </c>
      <c r="G130" s="48" t="str">
        <f>IF($B130="","",'Calendario C'!$B139)</f>
        <v/>
      </c>
      <c r="H130" s="48" t="str">
        <f>IF($B130="","",Campionato!$D$2&amp;" "&amp;Campionato!$D$6)</f>
        <v/>
      </c>
      <c r="I130" s="48"/>
    </row>
    <row r="131" spans="1:9" x14ac:dyDescent="0.25">
      <c r="A131" s="48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48" t="str">
        <f>IF('Calendario C'!$B141="","",'Calendario C'!$B141&amp;" vs "&amp;'Calendario C'!$D141&amp;" "&amp;'Calendario C'!$AC141)</f>
        <v/>
      </c>
      <c r="C131" s="116" t="str">
        <f>IF($B131="","",DATE(YEAR('Calendario C'!$F141),MONTH('Calendario C'!$F141),DAY('Calendario C'!$F141)))</f>
        <v/>
      </c>
      <c r="D131" s="117" t="str">
        <f>IF($B131="","",TIME(HOUR('Calendario C'!$F141),MINUTE('Calendario C'!$F141),0))</f>
        <v/>
      </c>
      <c r="E131" s="116" t="str">
        <f>IF($B131="","",DATE(YEAR('Calendario C'!$F141),MONTH('Calendario C'!$F141),DAY('Calendario C'!$F141)))</f>
        <v/>
      </c>
      <c r="F131" s="117" t="str">
        <f>IF($B131="","",TIME(HOUR('Calendario C'!$F141)+2,MINUTE('Calendario C'!$F141),0))</f>
        <v/>
      </c>
      <c r="G131" s="48" t="str">
        <f>IF($B131="","",'Calendario C'!$B142)</f>
        <v/>
      </c>
      <c r="H131" s="48" t="str">
        <f>IF($B131="","",Campionato!$D$2&amp;" "&amp;Campionato!$D$6)</f>
        <v/>
      </c>
      <c r="I131" s="48"/>
    </row>
    <row r="132" spans="1:9" x14ac:dyDescent="0.25">
      <c r="A132" s="48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48" t="str">
        <f>IF('Calendario C'!$B146="","",'Calendario C'!$B146&amp;" vs "&amp;'Calendario C'!$D146&amp;" "&amp;'Calendario C'!$AC146)</f>
        <v/>
      </c>
      <c r="C132" s="116" t="str">
        <f>IF($B132="","",DATE(YEAR('Calendario C'!$F146),MONTH('Calendario C'!$F146),DAY('Calendario C'!$F146)))</f>
        <v/>
      </c>
      <c r="D132" s="117" t="str">
        <f>IF($B132="","",TIME(HOUR('Calendario C'!$F146),MINUTE('Calendario C'!$F146),0))</f>
        <v/>
      </c>
      <c r="E132" s="116" t="str">
        <f>IF($B132="","",DATE(YEAR('Calendario C'!$F146),MONTH('Calendario C'!$F146),DAY('Calendario C'!$F146)))</f>
        <v/>
      </c>
      <c r="F132" s="117" t="str">
        <f>IF($B132="","",TIME(HOUR('Calendario C'!$F146)+2,MINUTE('Calendario C'!$F146),0))</f>
        <v/>
      </c>
      <c r="G132" s="48" t="str">
        <f>IF($B132="","",'Calendario C'!$B147)</f>
        <v/>
      </c>
      <c r="H132" s="48" t="str">
        <f>IF($B132="","",Campionato!$D$2&amp;" "&amp;Campionato!$D$6)</f>
        <v/>
      </c>
      <c r="I132" s="48"/>
    </row>
    <row r="133" spans="1:9" x14ac:dyDescent="0.25">
      <c r="A133" s="48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48" t="str">
        <f>IF('Calendario C'!$B149="","",'Calendario C'!$B149&amp;" vs "&amp;'Calendario C'!$D149&amp;" "&amp;'Calendario C'!$AC149)</f>
        <v/>
      </c>
      <c r="C133" s="116" t="str">
        <f>IF($B133="","",DATE(YEAR('Calendario C'!$F149),MONTH('Calendario C'!$F149),DAY('Calendario C'!$F149)))</f>
        <v/>
      </c>
      <c r="D133" s="117" t="str">
        <f>IF($B133="","",TIME(HOUR('Calendario C'!$F149),MINUTE('Calendario C'!$F149),0))</f>
        <v/>
      </c>
      <c r="E133" s="116" t="str">
        <f>IF($B133="","",DATE(YEAR('Calendario C'!$F149),MONTH('Calendario C'!$F149),DAY('Calendario C'!$F149)))</f>
        <v/>
      </c>
      <c r="F133" s="117" t="str">
        <f>IF($B133="","",TIME(HOUR('Calendario C'!$F149)+2,MINUTE('Calendario C'!$F149),0))</f>
        <v/>
      </c>
      <c r="G133" s="48" t="str">
        <f>IF($B133="","",'Calendario C'!$B150)</f>
        <v/>
      </c>
      <c r="H133" s="48" t="str">
        <f>IF($B133="","",Campionato!$D$2&amp;" "&amp;Campionato!$D$6)</f>
        <v/>
      </c>
      <c r="I133" s="48"/>
    </row>
    <row r="134" spans="1:9" x14ac:dyDescent="0.25">
      <c r="A134" s="48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48" t="str">
        <f>IF('Calendario C'!$B152="","",'Calendario C'!$B152&amp;" vs "&amp;'Calendario C'!$D152&amp;" "&amp;'Calendario C'!$AC152)</f>
        <v/>
      </c>
      <c r="C134" s="116" t="str">
        <f>IF($B134="","",DATE(YEAR('Calendario C'!$F152),MONTH('Calendario C'!$F152),DAY('Calendario C'!$F152)))</f>
        <v/>
      </c>
      <c r="D134" s="117" t="str">
        <f>IF($B134="","",TIME(HOUR('Calendario C'!$F152),MINUTE('Calendario C'!$F152),0))</f>
        <v/>
      </c>
      <c r="E134" s="116" t="str">
        <f>IF($B134="","",DATE(YEAR('Calendario C'!$F152),MONTH('Calendario C'!$F152),DAY('Calendario C'!$F152)))</f>
        <v/>
      </c>
      <c r="F134" s="117" t="str">
        <f>IF($B134="","",TIME(HOUR('Calendario C'!$F152)+2,MINUTE('Calendario C'!$F152),0))</f>
        <v/>
      </c>
      <c r="G134" s="48" t="str">
        <f>IF($B134="","",'Calendario C'!$B153)</f>
        <v/>
      </c>
      <c r="H134" s="48" t="str">
        <f>IF($B134="","",Campionato!$D$2&amp;" "&amp;Campionato!$D$6)</f>
        <v/>
      </c>
      <c r="I134" s="48"/>
    </row>
    <row r="135" spans="1:9" x14ac:dyDescent="0.25">
      <c r="A135" s="48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48" t="str">
        <f>IF('Calendario C'!$B155="","",'Calendario C'!$B155&amp;" vs "&amp;'Calendario C'!$D155&amp;" "&amp;'Calendario C'!$AC155)</f>
        <v/>
      </c>
      <c r="C135" s="116" t="str">
        <f>IF($B135="","",DATE(YEAR('Calendario C'!$F155),MONTH('Calendario C'!$F155),DAY('Calendario C'!$F155)))</f>
        <v/>
      </c>
      <c r="D135" s="117" t="str">
        <f>IF($B135="","",TIME(HOUR('Calendario C'!$F155),MINUTE('Calendario C'!$F155),0))</f>
        <v/>
      </c>
      <c r="E135" s="116" t="str">
        <f>IF($B135="","",DATE(YEAR('Calendario C'!$F155),MONTH('Calendario C'!$F155),DAY('Calendario C'!$F155)))</f>
        <v/>
      </c>
      <c r="F135" s="117" t="str">
        <f>IF($B135="","",TIME(HOUR('Calendario C'!$F155)+2,MINUTE('Calendario C'!$F155),0))</f>
        <v/>
      </c>
      <c r="G135" s="48" t="str">
        <f>IF($B135="","",'Calendario C'!$B156)</f>
        <v/>
      </c>
      <c r="H135" s="48" t="str">
        <f>IF($B135="","",Campionato!$D$2&amp;" "&amp;Campionato!$D$6)</f>
        <v/>
      </c>
      <c r="I135" s="48"/>
    </row>
    <row r="136" spans="1:9" x14ac:dyDescent="0.25">
      <c r="A136" s="48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48" t="str">
        <f>IF('Calendario C'!$B158="","",'Calendario C'!$B158&amp;" vs "&amp;'Calendario C'!$D158&amp;" "&amp;'Calendario C'!$AC158)</f>
        <v/>
      </c>
      <c r="C136" s="116" t="str">
        <f>IF($B136="","",DATE(YEAR('Calendario C'!$F158),MONTH('Calendario C'!$F158),DAY('Calendario C'!$F158)))</f>
        <v/>
      </c>
      <c r="D136" s="117" t="str">
        <f>IF($B136="","",TIME(HOUR('Calendario C'!$F158),MINUTE('Calendario C'!$F158),0))</f>
        <v/>
      </c>
      <c r="E136" s="116" t="str">
        <f>IF($B136="","",DATE(YEAR('Calendario C'!$F158),MONTH('Calendario C'!$F158),DAY('Calendario C'!$F158)))</f>
        <v/>
      </c>
      <c r="F136" s="117" t="str">
        <f>IF($B136="","",TIME(HOUR('Calendario C'!$F158)+2,MINUTE('Calendario C'!$F158),0))</f>
        <v/>
      </c>
      <c r="G136" s="48" t="str">
        <f>IF($B136="","",'Calendario C'!$B159)</f>
        <v/>
      </c>
      <c r="H136" s="48" t="str">
        <f>IF($B136="","",Campionato!$D$2&amp;" "&amp;Campionato!$D$6)</f>
        <v/>
      </c>
      <c r="I136" s="48"/>
    </row>
    <row r="137" spans="1:9" x14ac:dyDescent="0.25">
      <c r="A137" s="48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48" t="str">
        <f>IF('Calendario D'!$B10="","",'Calendario D'!$B10&amp;" vs "&amp;'Calendario D'!$D10&amp;" "&amp;'Calendario D'!$AC10)</f>
        <v/>
      </c>
      <c r="C137" s="116" t="str">
        <f>IF($B137="","",DATE(YEAR('Calendario D'!$F10),MONTH('Calendario D'!$F10),DAY('Calendario D'!$F10)))</f>
        <v/>
      </c>
      <c r="D137" s="117" t="str">
        <f>IF($B137="","",TIME(HOUR('Calendario D'!$F10),MINUTE('Calendario D'!$F10),0))</f>
        <v/>
      </c>
      <c r="E137" s="116" t="str">
        <f>IF($B137="","",DATE(YEAR('Calendario D'!$F10),MONTH('Calendario D'!$F10),DAY('Calendario D'!$F10)))</f>
        <v/>
      </c>
      <c r="F137" s="117" t="str">
        <f>IF($B137="","",TIME(HOUR('Calendario D'!$F10)+2,MINUTE('Calendario D'!$F10),0))</f>
        <v/>
      </c>
      <c r="G137" s="48" t="str">
        <f>IF($B137="","",'Calendario D'!$B11)</f>
        <v/>
      </c>
      <c r="H137" s="48" t="str">
        <f>IF($B137="","",Campionato!$D$2&amp;" "&amp;Campionato!$D$6)</f>
        <v/>
      </c>
      <c r="I137" s="48"/>
    </row>
    <row r="138" spans="1:9" x14ac:dyDescent="0.25">
      <c r="A138" s="48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48" t="str">
        <f>IF('Calendario D'!$B13="","",'Calendario D'!$B13&amp;" vs "&amp;'Calendario D'!$D13&amp;" "&amp;'Calendario D'!$AC13)</f>
        <v/>
      </c>
      <c r="C138" s="116" t="str">
        <f>IF($B138="","",DATE(YEAR('Calendario D'!$F13),MONTH('Calendario D'!$F13),DAY('Calendario D'!$F13)))</f>
        <v/>
      </c>
      <c r="D138" s="117" t="str">
        <f>IF($B138="","",TIME(HOUR('Calendario D'!$F13),MINUTE('Calendario D'!$F13),0))</f>
        <v/>
      </c>
      <c r="E138" s="116" t="str">
        <f>IF($B138="","",DATE(YEAR('Calendario D'!$F13),MONTH('Calendario D'!$F13),DAY('Calendario D'!$F13)))</f>
        <v/>
      </c>
      <c r="F138" s="117" t="str">
        <f>IF($B138="","",TIME(HOUR('Calendario D'!$F13)+2,MINUTE('Calendario D'!$F13),0))</f>
        <v/>
      </c>
      <c r="G138" s="48" t="str">
        <f>IF($B138="","",'Calendario D'!$B14)</f>
        <v/>
      </c>
      <c r="H138" s="48" t="str">
        <f>IF($B138="","",Campionato!$D$2&amp;" "&amp;Campionato!$D$6)</f>
        <v/>
      </c>
      <c r="I138" s="48"/>
    </row>
    <row r="139" spans="1:9" x14ac:dyDescent="0.25">
      <c r="A139" s="48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48" t="str">
        <f>IF('Calendario D'!$B16="","",'Calendario D'!$B16&amp;" vs "&amp;'Calendario D'!$D16&amp;" "&amp;'Calendario D'!$AC16)</f>
        <v/>
      </c>
      <c r="C139" s="116" t="str">
        <f>IF($B139="","",DATE(YEAR('Calendario D'!$F16),MONTH('Calendario D'!$F16),DAY('Calendario D'!$F16)))</f>
        <v/>
      </c>
      <c r="D139" s="117" t="str">
        <f>IF($B139="","",TIME(HOUR('Calendario D'!$F16),MINUTE('Calendario D'!$F16),0))</f>
        <v/>
      </c>
      <c r="E139" s="116" t="str">
        <f>IF($B139="","",DATE(YEAR('Calendario D'!$F16),MONTH('Calendario D'!$F16),DAY('Calendario D'!$F16)))</f>
        <v/>
      </c>
      <c r="F139" s="117" t="str">
        <f>IF($B139="","",TIME(HOUR('Calendario D'!$F16)+2,MINUTE('Calendario D'!$F16),0))</f>
        <v/>
      </c>
      <c r="G139" s="48" t="str">
        <f>IF($B139="","",'Calendario D'!$B17)</f>
        <v/>
      </c>
      <c r="H139" s="48" t="str">
        <f>IF($B139="","",Campionato!$D$2&amp;" "&amp;Campionato!$D$6)</f>
        <v/>
      </c>
      <c r="I139" s="48"/>
    </row>
    <row r="140" spans="1:9" x14ac:dyDescent="0.25">
      <c r="A140" s="48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48" t="str">
        <f>IF('Calendario D'!$B19="","",'Calendario D'!$B19&amp;" vs "&amp;'Calendario D'!$D19&amp;" "&amp;'Calendario D'!$AC19)</f>
        <v/>
      </c>
      <c r="C140" s="116" t="str">
        <f>IF($B140="","",DATE(YEAR('Calendario D'!$F19),MONTH('Calendario D'!$F19),DAY('Calendario D'!$F19)))</f>
        <v/>
      </c>
      <c r="D140" s="117" t="str">
        <f>IF($B140="","",TIME(HOUR('Calendario D'!$F19),MINUTE('Calendario D'!$F19),0))</f>
        <v/>
      </c>
      <c r="E140" s="116" t="str">
        <f>IF($B140="","",DATE(YEAR('Calendario D'!$F19),MONTH('Calendario D'!$F19),DAY('Calendario D'!$F19)))</f>
        <v/>
      </c>
      <c r="F140" s="117" t="str">
        <f>IF($B140="","",TIME(HOUR('Calendario D'!$F19)+2,MINUTE('Calendario D'!$F19),0))</f>
        <v/>
      </c>
      <c r="G140" s="48" t="str">
        <f>IF($B140="","",'Calendario D'!$B20)</f>
        <v/>
      </c>
      <c r="H140" s="48" t="str">
        <f>IF($B140="","",Campionato!$D$2&amp;" "&amp;Campionato!$D$6)</f>
        <v/>
      </c>
      <c r="I140" s="48"/>
    </row>
    <row r="141" spans="1:9" x14ac:dyDescent="0.25">
      <c r="A141" s="48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48" t="str">
        <f>IF('Calendario D'!$B22="","",'Calendario D'!$B22&amp;" vs "&amp;'Calendario D'!$D22&amp;" "&amp;'Calendario D'!$AC22)</f>
        <v/>
      </c>
      <c r="C141" s="116" t="str">
        <f>IF($B141="","",DATE(YEAR('Calendario D'!$F22),MONTH('Calendario D'!$F22),DAY('Calendario D'!$F22)))</f>
        <v/>
      </c>
      <c r="D141" s="117" t="str">
        <f>IF($B141="","",TIME(HOUR('Calendario D'!$F22),MINUTE('Calendario D'!$F22),0))</f>
        <v/>
      </c>
      <c r="E141" s="116" t="str">
        <f>IF($B141="","",DATE(YEAR('Calendario D'!$F22),MONTH('Calendario D'!$F22),DAY('Calendario D'!$F22)))</f>
        <v/>
      </c>
      <c r="F141" s="117" t="str">
        <f>IF($B141="","",TIME(HOUR('Calendario D'!$F22)+2,MINUTE('Calendario D'!$F22),0))</f>
        <v/>
      </c>
      <c r="G141" s="48" t="str">
        <f>IF($B141="","",'Calendario D'!$B23)</f>
        <v/>
      </c>
      <c r="H141" s="48" t="str">
        <f>IF($B141="","",Campionato!$D$2&amp;" "&amp;Campionato!$D$6)</f>
        <v/>
      </c>
      <c r="I141" s="48"/>
    </row>
    <row r="142" spans="1:9" x14ac:dyDescent="0.25">
      <c r="A142" s="48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48" t="str">
        <f>IF('Calendario D'!$B27="","",'Calendario D'!$B27&amp;" vs "&amp;'Calendario D'!$D27&amp;" "&amp;'Calendario D'!$AC27)</f>
        <v/>
      </c>
      <c r="C142" s="116" t="str">
        <f>IF($B142="","",DATE(YEAR('Calendario D'!$F27),MONTH('Calendario D'!$F27),DAY('Calendario D'!$F27)))</f>
        <v/>
      </c>
      <c r="D142" s="117" t="str">
        <f>IF($B142="","",TIME(HOUR('Calendario D'!$F27),MINUTE('Calendario D'!$F27),0))</f>
        <v/>
      </c>
      <c r="E142" s="116" t="str">
        <f>IF($B142="","",DATE(YEAR('Calendario D'!$F27),MONTH('Calendario D'!$F27),DAY('Calendario D'!$F27)))</f>
        <v/>
      </c>
      <c r="F142" s="117" t="str">
        <f>IF($B142="","",TIME(HOUR('Calendario D'!$F27)+2,MINUTE('Calendario D'!$F27),0))</f>
        <v/>
      </c>
      <c r="G142" s="48" t="str">
        <f>IF($B142="","",'Calendario D'!$B28)</f>
        <v/>
      </c>
      <c r="H142" s="48" t="str">
        <f>IF($B142="","",Campionato!$D$2&amp;" "&amp;Campionato!$D$6)</f>
        <v/>
      </c>
      <c r="I142" s="48"/>
    </row>
    <row r="143" spans="1:9" x14ac:dyDescent="0.25">
      <c r="A143" s="48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48" t="str">
        <f>IF('Calendario D'!$B30="","",'Calendario D'!$B30&amp;" vs "&amp;'Calendario D'!$D30&amp;" "&amp;'Calendario D'!$AC30)</f>
        <v/>
      </c>
      <c r="C143" s="116" t="str">
        <f>IF($B143="","",DATE(YEAR('Calendario D'!$F30),MONTH('Calendario D'!$F30),DAY('Calendario D'!$F30)))</f>
        <v/>
      </c>
      <c r="D143" s="117" t="str">
        <f>IF($B143="","",TIME(HOUR('Calendario D'!$F30),MINUTE('Calendario D'!$F30),0))</f>
        <v/>
      </c>
      <c r="E143" s="116" t="str">
        <f>IF($B143="","",DATE(YEAR('Calendario D'!$F30),MONTH('Calendario D'!$F30),DAY('Calendario D'!$F30)))</f>
        <v/>
      </c>
      <c r="F143" s="117" t="str">
        <f>IF($B143="","",TIME(HOUR('Calendario D'!$F30)+2,MINUTE('Calendario D'!$F30),0))</f>
        <v/>
      </c>
      <c r="G143" s="48" t="str">
        <f>IF($B143="","",'Calendario D'!$B31)</f>
        <v/>
      </c>
      <c r="H143" s="48" t="str">
        <f>IF($B143="","",Campionato!$D$2&amp;" "&amp;Campionato!$D$6)</f>
        <v/>
      </c>
      <c r="I143" s="48"/>
    </row>
    <row r="144" spans="1:9" x14ac:dyDescent="0.25">
      <c r="A144" s="48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48" t="str">
        <f>IF('Calendario D'!$B33="","",'Calendario D'!$B33&amp;" vs "&amp;'Calendario D'!$D33&amp;" "&amp;'Calendario D'!$AC33)</f>
        <v/>
      </c>
      <c r="C144" s="116" t="str">
        <f>IF($B144="","",DATE(YEAR('Calendario D'!$F33),MONTH('Calendario D'!$F33),DAY('Calendario D'!$F33)))</f>
        <v/>
      </c>
      <c r="D144" s="117" t="str">
        <f>IF($B144="","",TIME(HOUR('Calendario D'!$F33),MINUTE('Calendario D'!$F33),0))</f>
        <v/>
      </c>
      <c r="E144" s="116" t="str">
        <f>IF($B144="","",DATE(YEAR('Calendario D'!$F33),MONTH('Calendario D'!$F33),DAY('Calendario D'!$F33)))</f>
        <v/>
      </c>
      <c r="F144" s="117" t="str">
        <f>IF($B144="","",TIME(HOUR('Calendario D'!$F33)+2,MINUTE('Calendario D'!$F33),0))</f>
        <v/>
      </c>
      <c r="G144" s="48" t="str">
        <f>IF($B144="","",'Calendario D'!$B34)</f>
        <v/>
      </c>
      <c r="H144" s="48" t="str">
        <f>IF($B144="","",Campionato!$D$2&amp;" "&amp;Campionato!$D$6)</f>
        <v/>
      </c>
      <c r="I144" s="48"/>
    </row>
    <row r="145" spans="1:9" x14ac:dyDescent="0.25">
      <c r="A145" s="48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48" t="str">
        <f>IF('Calendario D'!$B36="","",'Calendario D'!$B36&amp;" vs "&amp;'Calendario D'!$D36&amp;" "&amp;'Calendario D'!$AC36)</f>
        <v/>
      </c>
      <c r="C145" s="116" t="str">
        <f>IF($B145="","",DATE(YEAR('Calendario D'!$F36),MONTH('Calendario D'!$F36),DAY('Calendario D'!$F36)))</f>
        <v/>
      </c>
      <c r="D145" s="117" t="str">
        <f>IF($B145="","",TIME(HOUR('Calendario D'!$F36),MINUTE('Calendario D'!$F36),0))</f>
        <v/>
      </c>
      <c r="E145" s="116" t="str">
        <f>IF($B145="","",DATE(YEAR('Calendario D'!$F36),MONTH('Calendario D'!$F36),DAY('Calendario D'!$F36)))</f>
        <v/>
      </c>
      <c r="F145" s="117" t="str">
        <f>IF($B145="","",TIME(HOUR('Calendario D'!$F36)+2,MINUTE('Calendario D'!$F36),0))</f>
        <v/>
      </c>
      <c r="G145" s="48" t="str">
        <f>IF($B145="","",'Calendario D'!$B37)</f>
        <v/>
      </c>
      <c r="H145" s="48" t="str">
        <f>IF($B145="","",Campionato!$D$2&amp;" "&amp;Campionato!$D$6)</f>
        <v/>
      </c>
      <c r="I145" s="48"/>
    </row>
    <row r="146" spans="1:9" x14ac:dyDescent="0.25">
      <c r="A146" s="48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48" t="str">
        <f>IF('Calendario D'!$B39="","",'Calendario D'!$B39&amp;" vs "&amp;'Calendario D'!$D39&amp;" "&amp;'Calendario D'!$AC39)</f>
        <v/>
      </c>
      <c r="C146" s="116" t="str">
        <f>IF($B146="","",DATE(YEAR('Calendario D'!$F39),MONTH('Calendario D'!$F39),DAY('Calendario D'!$F39)))</f>
        <v/>
      </c>
      <c r="D146" s="117" t="str">
        <f>IF($B146="","",TIME(HOUR('Calendario D'!$F39),MINUTE('Calendario D'!$F39),0))</f>
        <v/>
      </c>
      <c r="E146" s="116" t="str">
        <f>IF($B146="","",DATE(YEAR('Calendario D'!$F39),MONTH('Calendario D'!$F39),DAY('Calendario D'!$F39)))</f>
        <v/>
      </c>
      <c r="F146" s="117" t="str">
        <f>IF($B146="","",TIME(HOUR('Calendario D'!$F39)+2,MINUTE('Calendario D'!$F39),0))</f>
        <v/>
      </c>
      <c r="G146" s="48" t="str">
        <f>IF($B146="","",'Calendario D'!$B40)</f>
        <v/>
      </c>
      <c r="H146" s="48" t="str">
        <f>IF($B146="","",Campionato!$D$2&amp;" "&amp;Campionato!$D$6)</f>
        <v/>
      </c>
      <c r="I146" s="48"/>
    </row>
    <row r="147" spans="1:9" x14ac:dyDescent="0.25">
      <c r="A147" s="48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48" t="str">
        <f>IF('Calendario D'!$B44="","",'Calendario D'!$B44&amp;" vs "&amp;'Calendario D'!$D44&amp;" "&amp;'Calendario D'!$AC44)</f>
        <v/>
      </c>
      <c r="C147" s="116" t="str">
        <f>IF($B147="","",DATE(YEAR('Calendario D'!$F44),MONTH('Calendario D'!$F44),DAY('Calendario D'!$F44)))</f>
        <v/>
      </c>
      <c r="D147" s="117" t="str">
        <f>IF($B147="","",TIME(HOUR('Calendario D'!$F44),MINUTE('Calendario D'!$F44),0))</f>
        <v/>
      </c>
      <c r="E147" s="116" t="str">
        <f>IF($B147="","",DATE(YEAR('Calendario D'!$F44),MONTH('Calendario D'!$F44),DAY('Calendario D'!$F44)))</f>
        <v/>
      </c>
      <c r="F147" s="117" t="str">
        <f>IF($B147="","",TIME(HOUR('Calendario D'!$F44)+2,MINUTE('Calendario D'!$F44),0))</f>
        <v/>
      </c>
      <c r="G147" s="48" t="str">
        <f>IF($B147="","",'Calendario D'!$B45)</f>
        <v/>
      </c>
      <c r="H147" s="48" t="str">
        <f>IF($B147="","",Campionato!$D$2&amp;" "&amp;Campionato!$D$6)</f>
        <v/>
      </c>
      <c r="I147" s="48"/>
    </row>
    <row r="148" spans="1:9" x14ac:dyDescent="0.25">
      <c r="A148" s="48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48" t="str">
        <f>IF('Calendario D'!$B47="","",'Calendario D'!$B47&amp;" vs "&amp;'Calendario D'!$D47&amp;" "&amp;'Calendario D'!$AC47)</f>
        <v/>
      </c>
      <c r="C148" s="116" t="str">
        <f>IF($B148="","",DATE(YEAR('Calendario D'!$F47),MONTH('Calendario D'!$F47),DAY('Calendario D'!$F47)))</f>
        <v/>
      </c>
      <c r="D148" s="117" t="str">
        <f>IF($B148="","",TIME(HOUR('Calendario D'!$F47),MINUTE('Calendario D'!$F47),0))</f>
        <v/>
      </c>
      <c r="E148" s="116" t="str">
        <f>IF($B148="","",DATE(YEAR('Calendario D'!$F47),MONTH('Calendario D'!$F47),DAY('Calendario D'!$F47)))</f>
        <v/>
      </c>
      <c r="F148" s="117" t="str">
        <f>IF($B148="","",TIME(HOUR('Calendario D'!$F47)+2,MINUTE('Calendario D'!$F47),0))</f>
        <v/>
      </c>
      <c r="G148" s="48" t="str">
        <f>IF($B148="","",'Calendario D'!$B48)</f>
        <v/>
      </c>
      <c r="H148" s="48" t="str">
        <f>IF($B148="","",Campionato!$D$2&amp;" "&amp;Campionato!$D$6)</f>
        <v/>
      </c>
      <c r="I148" s="48"/>
    </row>
    <row r="149" spans="1:9" x14ac:dyDescent="0.25">
      <c r="A149" s="48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48" t="str">
        <f>IF('Calendario D'!$B50="","",'Calendario D'!$B50&amp;" vs "&amp;'Calendario D'!$D50&amp;" "&amp;'Calendario D'!$AC50)</f>
        <v/>
      </c>
      <c r="C149" s="116" t="str">
        <f>IF($B149="","",DATE(YEAR('Calendario D'!$F50),MONTH('Calendario D'!$F50),DAY('Calendario D'!$F50)))</f>
        <v/>
      </c>
      <c r="D149" s="117" t="str">
        <f>IF($B149="","",TIME(HOUR('Calendario D'!$F50),MINUTE('Calendario D'!$F50),0))</f>
        <v/>
      </c>
      <c r="E149" s="116" t="str">
        <f>IF($B149="","",DATE(YEAR('Calendario D'!$F50),MONTH('Calendario D'!$F50),DAY('Calendario D'!$F50)))</f>
        <v/>
      </c>
      <c r="F149" s="117" t="str">
        <f>IF($B149="","",TIME(HOUR('Calendario D'!$F50)+2,MINUTE('Calendario D'!$F50),0))</f>
        <v/>
      </c>
      <c r="G149" s="48" t="str">
        <f>IF($B149="","",'Calendario D'!$B51)</f>
        <v/>
      </c>
      <c r="H149" s="48" t="str">
        <f>IF($B149="","",Campionato!$D$2&amp;" "&amp;Campionato!$D$6)</f>
        <v/>
      </c>
      <c r="I149" s="48"/>
    </row>
    <row r="150" spans="1:9" x14ac:dyDescent="0.25">
      <c r="A150" s="48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48" t="str">
        <f>IF('Calendario D'!$B53="","",'Calendario D'!$B53&amp;" vs "&amp;'Calendario D'!$D53&amp;" "&amp;'Calendario D'!$AC53)</f>
        <v/>
      </c>
      <c r="C150" s="116" t="str">
        <f>IF($B150="","",DATE(YEAR('Calendario D'!$F53),MONTH('Calendario D'!$F53),DAY('Calendario D'!$F53)))</f>
        <v/>
      </c>
      <c r="D150" s="117" t="str">
        <f>IF($B150="","",TIME(HOUR('Calendario D'!$F53),MINUTE('Calendario D'!$F53),0))</f>
        <v/>
      </c>
      <c r="E150" s="116" t="str">
        <f>IF($B150="","",DATE(YEAR('Calendario D'!$F53),MONTH('Calendario D'!$F53),DAY('Calendario D'!$F53)))</f>
        <v/>
      </c>
      <c r="F150" s="117" t="str">
        <f>IF($B150="","",TIME(HOUR('Calendario D'!$F53)+2,MINUTE('Calendario D'!$F53),0))</f>
        <v/>
      </c>
      <c r="G150" s="48" t="str">
        <f>IF($B150="","",'Calendario D'!$B54)</f>
        <v/>
      </c>
      <c r="H150" s="48" t="str">
        <f>IF($B150="","",Campionato!$D$2&amp;" "&amp;Campionato!$D$6)</f>
        <v/>
      </c>
      <c r="I150" s="48"/>
    </row>
    <row r="151" spans="1:9" x14ac:dyDescent="0.25">
      <c r="A151" s="48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48" t="str">
        <f>IF('Calendario D'!$B56="","",'Calendario D'!$B56&amp;" vs "&amp;'Calendario D'!$D56&amp;" "&amp;'Calendario D'!$AC56)</f>
        <v/>
      </c>
      <c r="C151" s="116" t="str">
        <f>IF($B151="","",DATE(YEAR('Calendario D'!$F56),MONTH('Calendario D'!$F56),DAY('Calendario D'!$F56)))</f>
        <v/>
      </c>
      <c r="D151" s="117" t="str">
        <f>IF($B151="","",TIME(HOUR('Calendario D'!$F56),MINUTE('Calendario D'!$F56),0))</f>
        <v/>
      </c>
      <c r="E151" s="116" t="str">
        <f>IF($B151="","",DATE(YEAR('Calendario D'!$F56),MONTH('Calendario D'!$F56),DAY('Calendario D'!$F56)))</f>
        <v/>
      </c>
      <c r="F151" s="117" t="str">
        <f>IF($B151="","",TIME(HOUR('Calendario D'!$F56)+2,MINUTE('Calendario D'!$F56),0))</f>
        <v/>
      </c>
      <c r="G151" s="48" t="str">
        <f>IF($B151="","",'Calendario D'!$B57)</f>
        <v/>
      </c>
      <c r="H151" s="48" t="str">
        <f>IF($B151="","",Campionato!$D$2&amp;" "&amp;Campionato!$D$6)</f>
        <v/>
      </c>
      <c r="I151" s="48"/>
    </row>
    <row r="152" spans="1:9" x14ac:dyDescent="0.25">
      <c r="A152" s="48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48" t="str">
        <f>IF('Calendario D'!$B61="","",'Calendario D'!$B61&amp;" vs "&amp;'Calendario D'!$D61&amp;" "&amp;'Calendario D'!$AC61)</f>
        <v/>
      </c>
      <c r="C152" s="116" t="str">
        <f>IF($B152="","",DATE(YEAR('Calendario D'!$F61),MONTH('Calendario D'!$F61),DAY('Calendario D'!$F61)))</f>
        <v/>
      </c>
      <c r="D152" s="117" t="str">
        <f>IF($B152="","",TIME(HOUR('Calendario D'!$F61),MINUTE('Calendario D'!$F61),0))</f>
        <v/>
      </c>
      <c r="E152" s="116" t="str">
        <f>IF($B152="","",DATE(YEAR('Calendario D'!$F61),MONTH('Calendario D'!$F61),DAY('Calendario D'!$F61)))</f>
        <v/>
      </c>
      <c r="F152" s="117" t="str">
        <f>IF($B152="","",TIME(HOUR('Calendario D'!$F61)+2,MINUTE('Calendario D'!$F61),0))</f>
        <v/>
      </c>
      <c r="G152" s="48" t="str">
        <f>IF($B152="","",'Calendario D'!$B62)</f>
        <v/>
      </c>
      <c r="H152" s="48" t="str">
        <f>IF($B152="","",Campionato!$D$2&amp;" "&amp;Campionato!$D$6)</f>
        <v/>
      </c>
      <c r="I152" s="48"/>
    </row>
    <row r="153" spans="1:9" x14ac:dyDescent="0.25">
      <c r="A153" s="48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48" t="str">
        <f>IF('Calendario D'!$B64="","",'Calendario D'!$B64&amp;" vs "&amp;'Calendario D'!$D64&amp;" "&amp;'Calendario D'!$AC64)</f>
        <v/>
      </c>
      <c r="C153" s="116" t="str">
        <f>IF($B153="","",DATE(YEAR('Calendario D'!$F64),MONTH('Calendario D'!$F64),DAY('Calendario D'!$F64)))</f>
        <v/>
      </c>
      <c r="D153" s="117" t="str">
        <f>IF($B153="","",TIME(HOUR('Calendario D'!$F64),MINUTE('Calendario D'!$F64),0))</f>
        <v/>
      </c>
      <c r="E153" s="116" t="str">
        <f>IF($B153="","",DATE(YEAR('Calendario D'!$F64),MONTH('Calendario D'!$F64),DAY('Calendario D'!$F64)))</f>
        <v/>
      </c>
      <c r="F153" s="117" t="str">
        <f>IF($B153="","",TIME(HOUR('Calendario D'!$F64)+2,MINUTE('Calendario D'!$F64),0))</f>
        <v/>
      </c>
      <c r="G153" s="48" t="str">
        <f>IF($B153="","",'Calendario D'!$B65)</f>
        <v/>
      </c>
      <c r="H153" s="48" t="str">
        <f>IF($B153="","",Campionato!$D$2&amp;" "&amp;Campionato!$D$6)</f>
        <v/>
      </c>
      <c r="I153" s="48"/>
    </row>
    <row r="154" spans="1:9" x14ac:dyDescent="0.25">
      <c r="A154" s="48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48" t="str">
        <f>IF('Calendario D'!$B67="","",'Calendario D'!$B67&amp;" vs "&amp;'Calendario D'!$D67&amp;" "&amp;'Calendario D'!$AC67)</f>
        <v/>
      </c>
      <c r="C154" s="116" t="str">
        <f>IF($B154="","",DATE(YEAR('Calendario D'!$F67),MONTH('Calendario D'!$F67),DAY('Calendario D'!$F67)))</f>
        <v/>
      </c>
      <c r="D154" s="117" t="str">
        <f>IF($B154="","",TIME(HOUR('Calendario D'!$F67),MINUTE('Calendario D'!$F67),0))</f>
        <v/>
      </c>
      <c r="E154" s="116" t="str">
        <f>IF($B154="","",DATE(YEAR('Calendario D'!$F67),MONTH('Calendario D'!$F67),DAY('Calendario D'!$F67)))</f>
        <v/>
      </c>
      <c r="F154" s="117" t="str">
        <f>IF($B154="","",TIME(HOUR('Calendario D'!$F67)+2,MINUTE('Calendario D'!$F67),0))</f>
        <v/>
      </c>
      <c r="G154" s="48" t="str">
        <f>IF($B154="","",'Calendario D'!$B68)</f>
        <v/>
      </c>
      <c r="H154" s="48" t="str">
        <f>IF($B154="","",Campionato!$D$2&amp;" "&amp;Campionato!$D$6)</f>
        <v/>
      </c>
      <c r="I154" s="48"/>
    </row>
    <row r="155" spans="1:9" x14ac:dyDescent="0.25">
      <c r="A155" s="48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48" t="str">
        <f>IF('Calendario D'!$B70="","",'Calendario D'!$B70&amp;" vs "&amp;'Calendario D'!$D70&amp;" "&amp;'Calendario D'!$AC70)</f>
        <v/>
      </c>
      <c r="C155" s="116" t="str">
        <f>IF($B155="","",DATE(YEAR('Calendario D'!$F70),MONTH('Calendario D'!$F70),DAY('Calendario D'!$F70)))</f>
        <v/>
      </c>
      <c r="D155" s="117" t="str">
        <f>IF($B155="","",TIME(HOUR('Calendario D'!$F70),MINUTE('Calendario D'!$F70),0))</f>
        <v/>
      </c>
      <c r="E155" s="116" t="str">
        <f>IF($B155="","",DATE(YEAR('Calendario D'!$F70),MONTH('Calendario D'!$F70),DAY('Calendario D'!$F70)))</f>
        <v/>
      </c>
      <c r="F155" s="117" t="str">
        <f>IF($B155="","",TIME(HOUR('Calendario D'!$F70)+2,MINUTE('Calendario D'!$F70),0))</f>
        <v/>
      </c>
      <c r="G155" s="48" t="str">
        <f>IF($B155="","",'Calendario D'!$B71)</f>
        <v/>
      </c>
      <c r="H155" s="48" t="str">
        <f>IF($B155="","",Campionato!$D$2&amp;" "&amp;Campionato!$D$6)</f>
        <v/>
      </c>
      <c r="I155" s="48"/>
    </row>
    <row r="156" spans="1:9" x14ac:dyDescent="0.25">
      <c r="A156" s="48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48" t="str">
        <f>IF('Calendario D'!$B73="","",'Calendario D'!$B73&amp;" vs "&amp;'Calendario D'!$D73&amp;" "&amp;'Calendario D'!$AC73)</f>
        <v/>
      </c>
      <c r="C156" s="116" t="str">
        <f>IF($B156="","",DATE(YEAR('Calendario D'!$F73),MONTH('Calendario D'!$F73),DAY('Calendario D'!$F73)))</f>
        <v/>
      </c>
      <c r="D156" s="117" t="str">
        <f>IF($B156="","",TIME(HOUR('Calendario D'!$F73),MINUTE('Calendario D'!$F73),0))</f>
        <v/>
      </c>
      <c r="E156" s="116" t="str">
        <f>IF($B156="","",DATE(YEAR('Calendario D'!$F73),MONTH('Calendario D'!$F73),DAY('Calendario D'!$F73)))</f>
        <v/>
      </c>
      <c r="F156" s="117" t="str">
        <f>IF($B156="","",TIME(HOUR('Calendario D'!$F73)+2,MINUTE('Calendario D'!$F73),0))</f>
        <v/>
      </c>
      <c r="G156" s="48" t="str">
        <f>IF($B156="","",'Calendario D'!$B74)</f>
        <v/>
      </c>
      <c r="H156" s="48" t="str">
        <f>IF($B156="","",Campionato!$D$2&amp;" "&amp;Campionato!$D$6)</f>
        <v/>
      </c>
      <c r="I156" s="48"/>
    </row>
    <row r="157" spans="1:9" x14ac:dyDescent="0.25">
      <c r="A157" s="48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48" t="str">
        <f>IF('Calendario D'!$B78="","",'Calendario D'!$B78&amp;" vs "&amp;'Calendario D'!$D78&amp;" "&amp;'Calendario D'!$AC78)</f>
        <v/>
      </c>
      <c r="C157" s="116" t="str">
        <f>IF($B157="","",DATE(YEAR('Calendario D'!$F78),MONTH('Calendario D'!$F78),DAY('Calendario D'!$F78)))</f>
        <v/>
      </c>
      <c r="D157" s="117" t="str">
        <f>IF($B157="","",TIME(HOUR('Calendario D'!$F78),MINUTE('Calendario D'!$F78),0))</f>
        <v/>
      </c>
      <c r="E157" s="116" t="str">
        <f>IF($B157="","",DATE(YEAR('Calendario D'!$F78),MONTH('Calendario D'!$F78),DAY('Calendario D'!$F78)))</f>
        <v/>
      </c>
      <c r="F157" s="117" t="str">
        <f>IF($B157="","",TIME(HOUR('Calendario D'!$F78)+2,MINUTE('Calendario D'!$F78),0))</f>
        <v/>
      </c>
      <c r="G157" s="48" t="str">
        <f>IF($B157="","",'Calendario D'!$B79)</f>
        <v/>
      </c>
      <c r="H157" s="48" t="str">
        <f>IF($B157="","",Campionato!$D$2&amp;" "&amp;Campionato!$D$6)</f>
        <v/>
      </c>
      <c r="I157" s="48"/>
    </row>
    <row r="158" spans="1:9" x14ac:dyDescent="0.25">
      <c r="A158" s="48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48" t="str">
        <f>IF('Calendario D'!$B81="","",'Calendario D'!$B81&amp;" vs "&amp;'Calendario D'!$D81&amp;" "&amp;'Calendario D'!$AC81)</f>
        <v/>
      </c>
      <c r="C158" s="116" t="str">
        <f>IF($B158="","",DATE(YEAR('Calendario D'!$F81),MONTH('Calendario D'!$F81),DAY('Calendario D'!$F81)))</f>
        <v/>
      </c>
      <c r="D158" s="117" t="str">
        <f>IF($B158="","",TIME(HOUR('Calendario D'!$F81),MINUTE('Calendario D'!$F81),0))</f>
        <v/>
      </c>
      <c r="E158" s="116" t="str">
        <f>IF($B158="","",DATE(YEAR('Calendario D'!$F81),MONTH('Calendario D'!$F81),DAY('Calendario D'!$F81)))</f>
        <v/>
      </c>
      <c r="F158" s="117" t="str">
        <f>IF($B158="","",TIME(HOUR('Calendario D'!$F81)+2,MINUTE('Calendario D'!$F81),0))</f>
        <v/>
      </c>
      <c r="G158" s="48" t="str">
        <f>IF($B158="","",'Calendario D'!$B82)</f>
        <v/>
      </c>
      <c r="H158" s="48" t="str">
        <f>IF($B158="","",Campionato!$D$2&amp;" "&amp;Campionato!$D$6)</f>
        <v/>
      </c>
      <c r="I158" s="48"/>
    </row>
    <row r="159" spans="1:9" x14ac:dyDescent="0.25">
      <c r="A159" s="48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48" t="str">
        <f>IF('Calendario D'!$B84="","",'Calendario D'!$B84&amp;" vs "&amp;'Calendario D'!$D84&amp;" "&amp;'Calendario D'!$AC84)</f>
        <v/>
      </c>
      <c r="C159" s="116" t="str">
        <f>IF($B159="","",DATE(YEAR('Calendario D'!$F84),MONTH('Calendario D'!$F84),DAY('Calendario D'!$F84)))</f>
        <v/>
      </c>
      <c r="D159" s="117" t="str">
        <f>IF($B159="","",TIME(HOUR('Calendario D'!$F84),MINUTE('Calendario D'!$F84),0))</f>
        <v/>
      </c>
      <c r="E159" s="116" t="str">
        <f>IF($B159="","",DATE(YEAR('Calendario D'!$F84),MONTH('Calendario D'!$F84),DAY('Calendario D'!$F84)))</f>
        <v/>
      </c>
      <c r="F159" s="117" t="str">
        <f>IF($B159="","",TIME(HOUR('Calendario D'!$F84)+2,MINUTE('Calendario D'!$F84),0))</f>
        <v/>
      </c>
      <c r="G159" s="48" t="str">
        <f>IF($B159="","",'Calendario D'!$B85)</f>
        <v/>
      </c>
      <c r="H159" s="48" t="str">
        <f>IF($B159="","",Campionato!$D$2&amp;" "&amp;Campionato!$D$6)</f>
        <v/>
      </c>
      <c r="I159" s="48"/>
    </row>
    <row r="160" spans="1:9" x14ac:dyDescent="0.25">
      <c r="A160" s="48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48" t="str">
        <f>IF('Calendario D'!$B87="","",'Calendario D'!$B87&amp;" vs "&amp;'Calendario D'!$D87&amp;" "&amp;'Calendario D'!$AC87)</f>
        <v/>
      </c>
      <c r="C160" s="116" t="str">
        <f>IF($B160="","",DATE(YEAR('Calendario D'!$F87),MONTH('Calendario D'!$F87),DAY('Calendario D'!$F87)))</f>
        <v/>
      </c>
      <c r="D160" s="117" t="str">
        <f>IF($B160="","",TIME(HOUR('Calendario D'!$F87),MINUTE('Calendario D'!$F87),0))</f>
        <v/>
      </c>
      <c r="E160" s="116" t="str">
        <f>IF($B160="","",DATE(YEAR('Calendario D'!$F87),MONTH('Calendario D'!$F87),DAY('Calendario D'!$F87)))</f>
        <v/>
      </c>
      <c r="F160" s="117" t="str">
        <f>IF($B160="","",TIME(HOUR('Calendario D'!$F87)+2,MINUTE('Calendario D'!$F87),0))</f>
        <v/>
      </c>
      <c r="G160" s="48" t="str">
        <f>IF($B160="","",'Calendario D'!$B88)</f>
        <v/>
      </c>
      <c r="H160" s="48" t="str">
        <f>IF($B160="","",Campionato!$D$2&amp;" "&amp;Campionato!$D$6)</f>
        <v/>
      </c>
      <c r="I160" s="48"/>
    </row>
    <row r="161" spans="1:9" x14ac:dyDescent="0.25">
      <c r="A161" s="48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48" t="str">
        <f>IF('Calendario D'!$B90="","",'Calendario D'!$B90&amp;" vs "&amp;'Calendario D'!$D90&amp;" "&amp;'Calendario D'!$AC90)</f>
        <v/>
      </c>
      <c r="C161" s="116" t="str">
        <f>IF($B161="","",DATE(YEAR('Calendario D'!$F90),MONTH('Calendario D'!$F90),DAY('Calendario D'!$F90)))</f>
        <v/>
      </c>
      <c r="D161" s="117" t="str">
        <f>IF($B161="","",TIME(HOUR('Calendario D'!$F90),MINUTE('Calendario D'!$F90),0))</f>
        <v/>
      </c>
      <c r="E161" s="116" t="str">
        <f>IF($B161="","",DATE(YEAR('Calendario D'!$F90),MONTH('Calendario D'!$F90),DAY('Calendario D'!$F90)))</f>
        <v/>
      </c>
      <c r="F161" s="117" t="str">
        <f>IF($B161="","",TIME(HOUR('Calendario D'!$F90)+2,MINUTE('Calendario D'!$F90),0))</f>
        <v/>
      </c>
      <c r="G161" s="48" t="str">
        <f>IF($B161="","",'Calendario D'!$B91)</f>
        <v/>
      </c>
      <c r="H161" s="48" t="str">
        <f>IF($B161="","",Campionato!$D$2&amp;" "&amp;Campionato!$D$6)</f>
        <v/>
      </c>
      <c r="I161" s="48"/>
    </row>
    <row r="162" spans="1:9" x14ac:dyDescent="0.25">
      <c r="A162" s="48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48" t="str">
        <f>IF('Calendario D'!$B95="","",'Calendario D'!$B95&amp;" vs "&amp;'Calendario D'!$D95&amp;" "&amp;'Calendario D'!$AC95)</f>
        <v/>
      </c>
      <c r="C162" s="116" t="str">
        <f>IF($B162="","",DATE(YEAR('Calendario D'!$F95),MONTH('Calendario D'!$F95),DAY('Calendario D'!$F95)))</f>
        <v/>
      </c>
      <c r="D162" s="117" t="str">
        <f>IF($B162="","",TIME(HOUR('Calendario D'!$F95),MINUTE('Calendario D'!$F95),0))</f>
        <v/>
      </c>
      <c r="E162" s="116" t="str">
        <f>IF($B162="","",DATE(YEAR('Calendario D'!$F95),MONTH('Calendario D'!$F95),DAY('Calendario D'!$F95)))</f>
        <v/>
      </c>
      <c r="F162" s="117" t="str">
        <f>IF($B162="","",TIME(HOUR('Calendario D'!$F95)+2,MINUTE('Calendario D'!$F95),0))</f>
        <v/>
      </c>
      <c r="G162" s="48" t="str">
        <f>IF($B162="","",'Calendario D'!$B96)</f>
        <v/>
      </c>
      <c r="H162" s="48" t="str">
        <f>IF($B162="","",Campionato!$D$2&amp;" "&amp;Campionato!$D$6)</f>
        <v/>
      </c>
      <c r="I162" s="48"/>
    </row>
    <row r="163" spans="1:9" x14ac:dyDescent="0.25">
      <c r="A163" s="48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48" t="str">
        <f>IF('Calendario D'!$B98="","",'Calendario D'!$B98&amp;" vs "&amp;'Calendario D'!$D98&amp;" "&amp;'Calendario D'!$AC98)</f>
        <v/>
      </c>
      <c r="C163" s="116" t="str">
        <f>IF($B163="","",DATE(YEAR('Calendario D'!$F98),MONTH('Calendario D'!$F98),DAY('Calendario D'!$F98)))</f>
        <v/>
      </c>
      <c r="D163" s="117" t="str">
        <f>IF($B163="","",TIME(HOUR('Calendario D'!$F98),MINUTE('Calendario D'!$F98),0))</f>
        <v/>
      </c>
      <c r="E163" s="116" t="str">
        <f>IF($B163="","",DATE(YEAR('Calendario D'!$F98),MONTH('Calendario D'!$F98),DAY('Calendario D'!$F98)))</f>
        <v/>
      </c>
      <c r="F163" s="117" t="str">
        <f>IF($B163="","",TIME(HOUR('Calendario D'!$F98)+2,MINUTE('Calendario D'!$F98),0))</f>
        <v/>
      </c>
      <c r="G163" s="48" t="str">
        <f>IF($B163="","",'Calendario D'!$B99)</f>
        <v/>
      </c>
      <c r="H163" s="48" t="str">
        <f>IF($B163="","",Campionato!$D$2&amp;" "&amp;Campionato!$D$6)</f>
        <v/>
      </c>
      <c r="I163" s="48"/>
    </row>
    <row r="164" spans="1:9" x14ac:dyDescent="0.25">
      <c r="A164" s="48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48" t="str">
        <f>IF('Calendario D'!$B101="","",'Calendario D'!$B101&amp;" vs "&amp;'Calendario D'!$D101&amp;" "&amp;'Calendario D'!$AC101)</f>
        <v/>
      </c>
      <c r="C164" s="116" t="str">
        <f>IF($B164="","",DATE(YEAR('Calendario D'!$F101),MONTH('Calendario D'!$F101),DAY('Calendario D'!$F101)))</f>
        <v/>
      </c>
      <c r="D164" s="117" t="str">
        <f>IF($B164="","",TIME(HOUR('Calendario D'!$F101),MINUTE('Calendario D'!$F101),0))</f>
        <v/>
      </c>
      <c r="E164" s="116" t="str">
        <f>IF($B164="","",DATE(YEAR('Calendario D'!$F101),MONTH('Calendario D'!$F101),DAY('Calendario D'!$F101)))</f>
        <v/>
      </c>
      <c r="F164" s="117" t="str">
        <f>IF($B164="","",TIME(HOUR('Calendario D'!$F101)+2,MINUTE('Calendario D'!$F101),0))</f>
        <v/>
      </c>
      <c r="G164" s="48" t="str">
        <f>IF($B164="","",'Calendario D'!$B102)</f>
        <v/>
      </c>
      <c r="H164" s="48" t="str">
        <f>IF($B164="","",Campionato!$D$2&amp;" "&amp;Campionato!$D$6)</f>
        <v/>
      </c>
      <c r="I164" s="48"/>
    </row>
    <row r="165" spans="1:9" x14ac:dyDescent="0.25">
      <c r="A165" s="48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48" t="str">
        <f>IF('Calendario D'!$B104="","",'Calendario D'!$B104&amp;" vs "&amp;'Calendario D'!$D104&amp;" "&amp;'Calendario D'!$AC104)</f>
        <v/>
      </c>
      <c r="C165" s="116" t="str">
        <f>IF($B165="","",DATE(YEAR('Calendario D'!$F104),MONTH('Calendario D'!$F104),DAY('Calendario D'!$F104)))</f>
        <v/>
      </c>
      <c r="D165" s="117" t="str">
        <f>IF($B165="","",TIME(HOUR('Calendario D'!$F104),MINUTE('Calendario D'!$F104),0))</f>
        <v/>
      </c>
      <c r="E165" s="116" t="str">
        <f>IF($B165="","",DATE(YEAR('Calendario D'!$F104),MONTH('Calendario D'!$F104),DAY('Calendario D'!$F104)))</f>
        <v/>
      </c>
      <c r="F165" s="117" t="str">
        <f>IF($B165="","",TIME(HOUR('Calendario D'!$F104)+2,MINUTE('Calendario D'!$F104),0))</f>
        <v/>
      </c>
      <c r="G165" s="48" t="str">
        <f>IF($B165="","",'Calendario D'!$B105)</f>
        <v/>
      </c>
      <c r="H165" s="48" t="str">
        <f>IF($B165="","",Campionato!$D$2&amp;" "&amp;Campionato!$D$6)</f>
        <v/>
      </c>
      <c r="I165" s="48"/>
    </row>
    <row r="166" spans="1:9" x14ac:dyDescent="0.25">
      <c r="A166" s="48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48" t="str">
        <f>IF('Calendario D'!$B107="","",'Calendario D'!$B107&amp;" vs "&amp;'Calendario D'!$D107&amp;" "&amp;'Calendario D'!$AC107)</f>
        <v/>
      </c>
      <c r="C166" s="116" t="str">
        <f>IF($B166="","",DATE(YEAR('Calendario D'!$F107),MONTH('Calendario D'!$F107),DAY('Calendario D'!$F107)))</f>
        <v/>
      </c>
      <c r="D166" s="117" t="str">
        <f>IF($B166="","",TIME(HOUR('Calendario D'!$F107),MINUTE('Calendario D'!$F107),0))</f>
        <v/>
      </c>
      <c r="E166" s="116" t="str">
        <f>IF($B166="","",DATE(YEAR('Calendario D'!$F107),MONTH('Calendario D'!$F107),DAY('Calendario D'!$F107)))</f>
        <v/>
      </c>
      <c r="F166" s="117" t="str">
        <f>IF($B166="","",TIME(HOUR('Calendario D'!$F107)+2,MINUTE('Calendario D'!$F107),0))</f>
        <v/>
      </c>
      <c r="G166" s="48" t="str">
        <f>IF($B166="","",'Calendario D'!$B108)</f>
        <v/>
      </c>
      <c r="H166" s="48" t="str">
        <f>IF($B166="","",Campionato!$D$2&amp;" "&amp;Campionato!$D$6)</f>
        <v/>
      </c>
      <c r="I166" s="48"/>
    </row>
    <row r="167" spans="1:9" x14ac:dyDescent="0.25">
      <c r="A167" s="48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48" t="str">
        <f>IF('Calendario D'!$B112="","",'Calendario D'!$B112&amp;" vs "&amp;'Calendario D'!$D112&amp;" "&amp;'Calendario D'!$AC112)</f>
        <v/>
      </c>
      <c r="C167" s="116" t="str">
        <f>IF($B167="","",DATE(YEAR('Calendario D'!$F112),MONTH('Calendario D'!$F112),DAY('Calendario D'!$F112)))</f>
        <v/>
      </c>
      <c r="D167" s="117" t="str">
        <f>IF($B167="","",TIME(HOUR('Calendario D'!$F112),MINUTE('Calendario D'!$F112),0))</f>
        <v/>
      </c>
      <c r="E167" s="116" t="str">
        <f>IF($B167="","",DATE(YEAR('Calendario D'!$F112),MONTH('Calendario D'!$F112),DAY('Calendario D'!$F112)))</f>
        <v/>
      </c>
      <c r="F167" s="117" t="str">
        <f>IF($B167="","",TIME(HOUR('Calendario D'!$F112)+2,MINUTE('Calendario D'!$F112),0))</f>
        <v/>
      </c>
      <c r="G167" s="48" t="str">
        <f>IF($B167="","",'Calendario D'!$B113)</f>
        <v/>
      </c>
      <c r="H167" s="48" t="str">
        <f>IF($B167="","",Campionato!$D$2&amp;" "&amp;Campionato!$D$6)</f>
        <v/>
      </c>
      <c r="I167" s="48"/>
    </row>
    <row r="168" spans="1:9" x14ac:dyDescent="0.25">
      <c r="A168" s="48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48" t="str">
        <f>IF('Calendario D'!$B115="","",'Calendario D'!$B115&amp;" vs "&amp;'Calendario D'!$D115&amp;" "&amp;'Calendario D'!$AC115)</f>
        <v/>
      </c>
      <c r="C168" s="116" t="str">
        <f>IF($B168="","",DATE(YEAR('Calendario D'!$F115),MONTH('Calendario D'!$F115),DAY('Calendario D'!$F115)))</f>
        <v/>
      </c>
      <c r="D168" s="117" t="str">
        <f>IF($B168="","",TIME(HOUR('Calendario D'!$F115),MINUTE('Calendario D'!$F115),0))</f>
        <v/>
      </c>
      <c r="E168" s="116" t="str">
        <f>IF($B168="","",DATE(YEAR('Calendario D'!$F115),MONTH('Calendario D'!$F115),DAY('Calendario D'!$F115)))</f>
        <v/>
      </c>
      <c r="F168" s="117" t="str">
        <f>IF($B168="","",TIME(HOUR('Calendario D'!$F115)+2,MINUTE('Calendario D'!$F115),0))</f>
        <v/>
      </c>
      <c r="G168" s="48" t="str">
        <f>IF($B168="","",'Calendario D'!$B116)</f>
        <v/>
      </c>
      <c r="H168" s="48" t="str">
        <f>IF($B168="","",Campionato!$D$2&amp;" "&amp;Campionato!$D$6)</f>
        <v/>
      </c>
      <c r="I168" s="48"/>
    </row>
    <row r="169" spans="1:9" x14ac:dyDescent="0.25">
      <c r="A169" s="48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48" t="str">
        <f>IF('Calendario D'!$B118="","",'Calendario D'!$B118&amp;" vs "&amp;'Calendario D'!$D118&amp;" "&amp;'Calendario D'!$AC118)</f>
        <v/>
      </c>
      <c r="C169" s="116" t="str">
        <f>IF($B169="","",DATE(YEAR('Calendario D'!$F118),MONTH('Calendario D'!$F118),DAY('Calendario D'!$F118)))</f>
        <v/>
      </c>
      <c r="D169" s="117" t="str">
        <f>IF($B169="","",TIME(HOUR('Calendario D'!$F118),MINUTE('Calendario D'!$F118),0))</f>
        <v/>
      </c>
      <c r="E169" s="116" t="str">
        <f>IF($B169="","",DATE(YEAR('Calendario D'!$F118),MONTH('Calendario D'!$F118),DAY('Calendario D'!$F118)))</f>
        <v/>
      </c>
      <c r="F169" s="117" t="str">
        <f>IF($B169="","",TIME(HOUR('Calendario D'!$F118)+2,MINUTE('Calendario D'!$F118),0))</f>
        <v/>
      </c>
      <c r="G169" s="48" t="str">
        <f>IF($B169="","",'Calendario D'!$B119)</f>
        <v/>
      </c>
      <c r="H169" s="48" t="str">
        <f>IF($B169="","",Campionato!$D$2&amp;" "&amp;Campionato!$D$6)</f>
        <v/>
      </c>
      <c r="I169" s="48"/>
    </row>
    <row r="170" spans="1:9" x14ac:dyDescent="0.25">
      <c r="A170" s="48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48" t="str">
        <f>IF('Calendario D'!$B121="","",'Calendario D'!$B121&amp;" vs "&amp;'Calendario D'!$D121&amp;" "&amp;'Calendario D'!$AC121)</f>
        <v/>
      </c>
      <c r="C170" s="116" t="str">
        <f>IF($B170="","",DATE(YEAR('Calendario D'!$F121),MONTH('Calendario D'!$F121),DAY('Calendario D'!$F121)))</f>
        <v/>
      </c>
      <c r="D170" s="117" t="str">
        <f>IF($B170="","",TIME(HOUR('Calendario D'!$F121),MINUTE('Calendario D'!$F121),0))</f>
        <v/>
      </c>
      <c r="E170" s="116" t="str">
        <f>IF($B170="","",DATE(YEAR('Calendario D'!$F121),MONTH('Calendario D'!$F121),DAY('Calendario D'!$F121)))</f>
        <v/>
      </c>
      <c r="F170" s="117" t="str">
        <f>IF($B170="","",TIME(HOUR('Calendario D'!$F121)+2,MINUTE('Calendario D'!$F121),0))</f>
        <v/>
      </c>
      <c r="G170" s="48" t="str">
        <f>IF($B170="","",'Calendario D'!$B122)</f>
        <v/>
      </c>
      <c r="H170" s="48" t="str">
        <f>IF($B170="","",Campionato!$D$2&amp;" "&amp;Campionato!$D$6)</f>
        <v/>
      </c>
      <c r="I170" s="48"/>
    </row>
    <row r="171" spans="1:9" x14ac:dyDescent="0.25">
      <c r="A171" s="48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48" t="str">
        <f>IF('Calendario D'!$B124="","",'Calendario D'!$B124&amp;" vs "&amp;'Calendario D'!$D124&amp;" "&amp;'Calendario D'!$AC124)</f>
        <v/>
      </c>
      <c r="C171" s="116" t="str">
        <f>IF($B171="","",DATE(YEAR('Calendario D'!$F124),MONTH('Calendario D'!$F124),DAY('Calendario D'!$F124)))</f>
        <v/>
      </c>
      <c r="D171" s="117" t="str">
        <f>IF($B171="","",TIME(HOUR('Calendario D'!$F124),MINUTE('Calendario D'!$F124),0))</f>
        <v/>
      </c>
      <c r="E171" s="116" t="str">
        <f>IF($B171="","",DATE(YEAR('Calendario D'!$F124),MONTH('Calendario D'!$F124),DAY('Calendario D'!$F124)))</f>
        <v/>
      </c>
      <c r="F171" s="117" t="str">
        <f>IF($B171="","",TIME(HOUR('Calendario D'!$F124)+2,MINUTE('Calendario D'!$F124),0))</f>
        <v/>
      </c>
      <c r="G171" s="48" t="str">
        <f>IF($B171="","",'Calendario D'!$B125)</f>
        <v/>
      </c>
      <c r="H171" s="48" t="str">
        <f>IF($B171="","",Campionato!$D$2&amp;" "&amp;Campionato!$D$6)</f>
        <v/>
      </c>
      <c r="I171" s="48"/>
    </row>
    <row r="172" spans="1:9" x14ac:dyDescent="0.25">
      <c r="A172" s="48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48" t="str">
        <f>IF('Calendario D'!$B129="","",'Calendario D'!$B129&amp;" vs "&amp;'Calendario D'!$D129&amp;" "&amp;'Calendario D'!$AC129)</f>
        <v/>
      </c>
      <c r="C172" s="116" t="str">
        <f>IF($B172="","",DATE(YEAR('Calendario D'!$F129),MONTH('Calendario D'!$F129),DAY('Calendario D'!$F129)))</f>
        <v/>
      </c>
      <c r="D172" s="117" t="str">
        <f>IF($B172="","",TIME(HOUR('Calendario D'!$F129),MINUTE('Calendario D'!$F129),0))</f>
        <v/>
      </c>
      <c r="E172" s="116" t="str">
        <f>IF($B172="","",DATE(YEAR('Calendario D'!$F129),MONTH('Calendario D'!$F129),DAY('Calendario D'!$F129)))</f>
        <v/>
      </c>
      <c r="F172" s="117" t="str">
        <f>IF($B172="","",TIME(HOUR('Calendario D'!$F129)+2,MINUTE('Calendario D'!$F129),0))</f>
        <v/>
      </c>
      <c r="G172" s="48" t="str">
        <f>IF($B172="","",'Calendario D'!$B130)</f>
        <v/>
      </c>
      <c r="H172" s="48" t="str">
        <f>IF($B172="","",Campionato!$D$2&amp;" "&amp;Campionato!$D$6)</f>
        <v/>
      </c>
      <c r="I172" s="48"/>
    </row>
    <row r="173" spans="1:9" x14ac:dyDescent="0.25">
      <c r="A173" s="48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48" t="str">
        <f>IF('Calendario D'!$B132="","",'Calendario D'!$B132&amp;" vs "&amp;'Calendario D'!$D132&amp;" "&amp;'Calendario D'!$AC132)</f>
        <v/>
      </c>
      <c r="C173" s="116" t="str">
        <f>IF($B173="","",DATE(YEAR('Calendario D'!$F132),MONTH('Calendario D'!$F132),DAY('Calendario D'!$F132)))</f>
        <v/>
      </c>
      <c r="D173" s="117" t="str">
        <f>IF($B173="","",TIME(HOUR('Calendario D'!$F132),MINUTE('Calendario D'!$F132),0))</f>
        <v/>
      </c>
      <c r="E173" s="116" t="str">
        <f>IF($B173="","",DATE(YEAR('Calendario D'!$F132),MONTH('Calendario D'!$F132),DAY('Calendario D'!$F132)))</f>
        <v/>
      </c>
      <c r="F173" s="117" t="str">
        <f>IF($B173="","",TIME(HOUR('Calendario D'!$F132)+2,MINUTE('Calendario D'!$F132),0))</f>
        <v/>
      </c>
      <c r="G173" s="48" t="str">
        <f>IF($B173="","",'Calendario D'!$B133)</f>
        <v/>
      </c>
      <c r="H173" s="48" t="str">
        <f>IF($B173="","",Campionato!$D$2&amp;" "&amp;Campionato!$D$6)</f>
        <v/>
      </c>
      <c r="I173" s="48"/>
    </row>
    <row r="174" spans="1:9" x14ac:dyDescent="0.25">
      <c r="A174" s="48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48" t="str">
        <f>IF('Calendario D'!$B135="","",'Calendario D'!$B135&amp;" vs "&amp;'Calendario D'!$D135&amp;" "&amp;'Calendario D'!$AC135)</f>
        <v/>
      </c>
      <c r="C174" s="116" t="str">
        <f>IF($B174="","",DATE(YEAR('Calendario D'!$F135),MONTH('Calendario D'!$F135),DAY('Calendario D'!$F135)))</f>
        <v/>
      </c>
      <c r="D174" s="117" t="str">
        <f>IF($B174="","",TIME(HOUR('Calendario D'!$F135),MINUTE('Calendario D'!$F135),0))</f>
        <v/>
      </c>
      <c r="E174" s="116" t="str">
        <f>IF($B174="","",DATE(YEAR('Calendario D'!$F135),MONTH('Calendario D'!$F135),DAY('Calendario D'!$F135)))</f>
        <v/>
      </c>
      <c r="F174" s="117" t="str">
        <f>IF($B174="","",TIME(HOUR('Calendario D'!$F135)+2,MINUTE('Calendario D'!$F135),0))</f>
        <v/>
      </c>
      <c r="G174" s="48" t="str">
        <f>IF($B174="","",'Calendario D'!$B136)</f>
        <v/>
      </c>
      <c r="H174" s="48" t="str">
        <f>IF($B174="","",Campionato!$D$2&amp;" "&amp;Campionato!$D$6)</f>
        <v/>
      </c>
      <c r="I174" s="48"/>
    </row>
    <row r="175" spans="1:9" x14ac:dyDescent="0.25">
      <c r="A175" s="48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48" t="str">
        <f>IF('Calendario D'!$B138="","",'Calendario D'!$B138&amp;" vs "&amp;'Calendario D'!$D138&amp;" "&amp;'Calendario D'!$AC138)</f>
        <v/>
      </c>
      <c r="C175" s="116" t="str">
        <f>IF($B175="","",DATE(YEAR('Calendario D'!$F138),MONTH('Calendario D'!$F138),DAY('Calendario D'!$F138)))</f>
        <v/>
      </c>
      <c r="D175" s="117" t="str">
        <f>IF($B175="","",TIME(HOUR('Calendario D'!$F138),MINUTE('Calendario D'!$F138),0))</f>
        <v/>
      </c>
      <c r="E175" s="116" t="str">
        <f>IF($B175="","",DATE(YEAR('Calendario D'!$F138),MONTH('Calendario D'!$F138),DAY('Calendario D'!$F138)))</f>
        <v/>
      </c>
      <c r="F175" s="117" t="str">
        <f>IF($B175="","",TIME(HOUR('Calendario D'!$F138)+2,MINUTE('Calendario D'!$F138),0))</f>
        <v/>
      </c>
      <c r="G175" s="48" t="str">
        <f>IF($B175="","",'Calendario D'!$B139)</f>
        <v/>
      </c>
      <c r="H175" s="48" t="str">
        <f>IF($B175="","",Campionato!$D$2&amp;" "&amp;Campionato!$D$6)</f>
        <v/>
      </c>
      <c r="I175" s="48"/>
    </row>
    <row r="176" spans="1:9" x14ac:dyDescent="0.25">
      <c r="A176" s="48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48" t="str">
        <f>IF('Calendario D'!$B141="","",'Calendario D'!$B141&amp;" vs "&amp;'Calendario D'!$D141&amp;" "&amp;'Calendario D'!$AC141)</f>
        <v/>
      </c>
      <c r="C176" s="116" t="str">
        <f>IF($B176="","",DATE(YEAR('Calendario D'!$F141),MONTH('Calendario D'!$F141),DAY('Calendario D'!$F141)))</f>
        <v/>
      </c>
      <c r="D176" s="117" t="str">
        <f>IF($B176="","",TIME(HOUR('Calendario D'!$F141),MINUTE('Calendario D'!$F141),0))</f>
        <v/>
      </c>
      <c r="E176" s="116" t="str">
        <f>IF($B176="","",DATE(YEAR('Calendario D'!$F141),MONTH('Calendario D'!$F141),DAY('Calendario D'!$F141)))</f>
        <v/>
      </c>
      <c r="F176" s="117" t="str">
        <f>IF($B176="","",TIME(HOUR('Calendario D'!$F141)+2,MINUTE('Calendario D'!$F141),0))</f>
        <v/>
      </c>
      <c r="G176" s="48" t="str">
        <f>IF($B176="","",'Calendario D'!$B142)</f>
        <v/>
      </c>
      <c r="H176" s="48" t="str">
        <f>IF($B176="","",Campionato!$D$2&amp;" "&amp;Campionato!$D$6)</f>
        <v/>
      </c>
      <c r="I176" s="48"/>
    </row>
    <row r="177" spans="1:9" x14ac:dyDescent="0.25">
      <c r="A177" s="48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48" t="str">
        <f>IF('Calendario D'!$B146="","",'Calendario D'!$B146&amp;" vs "&amp;'Calendario D'!$D146&amp;" "&amp;'Calendario D'!$AC146)</f>
        <v/>
      </c>
      <c r="C177" s="116" t="str">
        <f>IF($B177="","",DATE(YEAR('Calendario D'!$F146),MONTH('Calendario D'!$F146),DAY('Calendario D'!$F146)))</f>
        <v/>
      </c>
      <c r="D177" s="117" t="str">
        <f>IF($B177="","",TIME(HOUR('Calendario D'!$F146),MINUTE('Calendario D'!$F146),0))</f>
        <v/>
      </c>
      <c r="E177" s="116" t="str">
        <f>IF($B177="","",DATE(YEAR('Calendario D'!$F146),MONTH('Calendario D'!$F146),DAY('Calendario D'!$F146)))</f>
        <v/>
      </c>
      <c r="F177" s="117" t="str">
        <f>IF($B177="","",TIME(HOUR('Calendario D'!$F146)+2,MINUTE('Calendario D'!$F146),0))</f>
        <v/>
      </c>
      <c r="G177" s="48" t="str">
        <f>IF($B177="","",'Calendario D'!$B147)</f>
        <v/>
      </c>
      <c r="H177" s="48" t="str">
        <f>IF($B177="","",Campionato!$D$2&amp;" "&amp;Campionato!$D$6)</f>
        <v/>
      </c>
      <c r="I177" s="48"/>
    </row>
    <row r="178" spans="1:9" x14ac:dyDescent="0.25">
      <c r="A178" s="48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48" t="str">
        <f>IF('Calendario D'!$B149="","",'Calendario D'!$B149&amp;" vs "&amp;'Calendario D'!$D149&amp;" "&amp;'Calendario D'!$AC149)</f>
        <v/>
      </c>
      <c r="C178" s="116" t="str">
        <f>IF($B178="","",DATE(YEAR('Calendario D'!$F149),MONTH('Calendario D'!$F149),DAY('Calendario D'!$F149)))</f>
        <v/>
      </c>
      <c r="D178" s="117" t="str">
        <f>IF($B178="","",TIME(HOUR('Calendario D'!$F149),MINUTE('Calendario D'!$F149),0))</f>
        <v/>
      </c>
      <c r="E178" s="116" t="str">
        <f>IF($B178="","",DATE(YEAR('Calendario D'!$F149),MONTH('Calendario D'!$F149),DAY('Calendario D'!$F149)))</f>
        <v/>
      </c>
      <c r="F178" s="117" t="str">
        <f>IF($B178="","",TIME(HOUR('Calendario D'!$F149)+2,MINUTE('Calendario D'!$F149),0))</f>
        <v/>
      </c>
      <c r="G178" s="48" t="str">
        <f>IF($B178="","",'Calendario D'!$B150)</f>
        <v/>
      </c>
      <c r="H178" s="48" t="str">
        <f>IF($B178="","",Campionato!$D$2&amp;" "&amp;Campionato!$D$6)</f>
        <v/>
      </c>
      <c r="I178" s="48"/>
    </row>
    <row r="179" spans="1:9" x14ac:dyDescent="0.25">
      <c r="A179" s="48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48" t="str">
        <f>IF('Calendario D'!$B152="","",'Calendario D'!$B152&amp;" vs "&amp;'Calendario D'!$D152&amp;" "&amp;'Calendario D'!$AC152)</f>
        <v/>
      </c>
      <c r="C179" s="116" t="str">
        <f>IF($B179="","",DATE(YEAR('Calendario D'!$F152),MONTH('Calendario D'!$F152),DAY('Calendario D'!$F152)))</f>
        <v/>
      </c>
      <c r="D179" s="117" t="str">
        <f>IF($B179="","",TIME(HOUR('Calendario D'!$F152),MINUTE('Calendario D'!$F152),0))</f>
        <v/>
      </c>
      <c r="E179" s="116" t="str">
        <f>IF($B179="","",DATE(YEAR('Calendario D'!$F152),MONTH('Calendario D'!$F152),DAY('Calendario D'!$F152)))</f>
        <v/>
      </c>
      <c r="F179" s="117" t="str">
        <f>IF($B179="","",TIME(HOUR('Calendario D'!$F152)+2,MINUTE('Calendario D'!$F152),0))</f>
        <v/>
      </c>
      <c r="G179" s="48" t="str">
        <f>IF($B179="","",'Calendario D'!$B153)</f>
        <v/>
      </c>
      <c r="H179" s="48" t="str">
        <f>IF($B179="","",Campionato!$D$2&amp;" "&amp;Campionato!$D$6)</f>
        <v/>
      </c>
      <c r="I179" s="48"/>
    </row>
    <row r="180" spans="1:9" x14ac:dyDescent="0.25">
      <c r="A180" s="48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48" t="str">
        <f>IF('Calendario D'!$B155="","",'Calendario D'!$B155&amp;" vs "&amp;'Calendario D'!$D155&amp;" "&amp;'Calendario D'!$AC155)</f>
        <v/>
      </c>
      <c r="C180" s="116" t="str">
        <f>IF($B180="","",DATE(YEAR('Calendario D'!$F155),MONTH('Calendario D'!$F155),DAY('Calendario D'!$F155)))</f>
        <v/>
      </c>
      <c r="D180" s="117" t="str">
        <f>IF($B180="","",TIME(HOUR('Calendario D'!$F155),MINUTE('Calendario D'!$F155),0))</f>
        <v/>
      </c>
      <c r="E180" s="116" t="str">
        <f>IF($B180="","",DATE(YEAR('Calendario D'!$F155),MONTH('Calendario D'!$F155),DAY('Calendario D'!$F155)))</f>
        <v/>
      </c>
      <c r="F180" s="117" t="str">
        <f>IF($B180="","",TIME(HOUR('Calendario D'!$F155)+2,MINUTE('Calendario D'!$F155),0))</f>
        <v/>
      </c>
      <c r="G180" s="48" t="str">
        <f>IF($B180="","",'Calendario D'!$B156)</f>
        <v/>
      </c>
      <c r="H180" s="48" t="str">
        <f>IF($B180="","",Campionato!$D$2&amp;" "&amp;Campionato!$D$6)</f>
        <v/>
      </c>
      <c r="I180" s="48"/>
    </row>
    <row r="181" spans="1:9" x14ac:dyDescent="0.25">
      <c r="A181" s="48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48" t="str">
        <f>IF('Calendario D'!$B158="","",'Calendario D'!$B158&amp;" vs "&amp;'Calendario D'!$D158&amp;" "&amp;'Calendario D'!$AC158)</f>
        <v/>
      </c>
      <c r="C181" s="116" t="str">
        <f>IF($B181="","",DATE(YEAR('Calendario D'!$F158),MONTH('Calendario D'!$F158),DAY('Calendario D'!$F158)))</f>
        <v/>
      </c>
      <c r="D181" s="117" t="str">
        <f>IF($B181="","",TIME(HOUR('Calendario D'!$F158),MINUTE('Calendario D'!$F158),0))</f>
        <v/>
      </c>
      <c r="E181" s="116" t="str">
        <f>IF($B181="","",DATE(YEAR('Calendario D'!$F158),MONTH('Calendario D'!$F158),DAY('Calendario D'!$F158)))</f>
        <v/>
      </c>
      <c r="F181" s="117" t="str">
        <f>IF($B181="","",TIME(HOUR('Calendario D'!$F158)+2,MINUTE('Calendario D'!$F158),0))</f>
        <v/>
      </c>
      <c r="G181" s="48" t="str">
        <f>IF($B181="","",'Calendario D'!$B159)</f>
        <v/>
      </c>
      <c r="H181" s="48" t="str">
        <f>IF($B181="","",Campionato!$D$2&amp;" "&amp;Campionato!$D$6)</f>
        <v/>
      </c>
      <c r="I181" s="48"/>
    </row>
    <row r="182" spans="1:9" x14ac:dyDescent="0.25">
      <c r="A182" s="48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48" t="str">
        <f>IF('Calendario E'!$B10="","",'Calendario E'!$B10&amp;" vs "&amp;'Calendario E'!$D10&amp;" "&amp;'Calendario E'!$AC10)</f>
        <v/>
      </c>
      <c r="C182" s="116" t="str">
        <f>IF($B182="","",DATE(YEAR('Calendario E'!$F10),MONTH('Calendario E'!$F10),DAY('Calendario E'!$F10)))</f>
        <v/>
      </c>
      <c r="D182" s="117" t="str">
        <f>IF($B182="","",TIME(HOUR('Calendario E'!$F10),MINUTE('Calendario E'!$F10),0))</f>
        <v/>
      </c>
      <c r="E182" s="116" t="str">
        <f>IF($B182="","",DATE(YEAR('Calendario E'!$F10),MONTH('Calendario E'!$F10),DAY('Calendario E'!$F10)))</f>
        <v/>
      </c>
      <c r="F182" s="117" t="str">
        <f>IF($B182="","",TIME(HOUR('Calendario E'!$F10)+2,MINUTE('Calendario E'!$F10),0))</f>
        <v/>
      </c>
      <c r="G182" s="48" t="str">
        <f>IF($B182="","",'Calendario E'!$B11)</f>
        <v/>
      </c>
      <c r="H182" s="48" t="str">
        <f>IF($B182="","",Campionato!$D$2&amp;" "&amp;Campionato!$D$6)</f>
        <v/>
      </c>
      <c r="I182" s="48"/>
    </row>
    <row r="183" spans="1:9" x14ac:dyDescent="0.25">
      <c r="A183" s="48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48" t="str">
        <f>IF('Calendario E'!$B13="","",'Calendario E'!$B13&amp;" vs "&amp;'Calendario E'!$D13&amp;" "&amp;'Calendario E'!$AC13)</f>
        <v/>
      </c>
      <c r="C183" s="116" t="str">
        <f>IF($B183="","",DATE(YEAR('Calendario E'!$F13),MONTH('Calendario E'!$F13),DAY('Calendario E'!$F13)))</f>
        <v/>
      </c>
      <c r="D183" s="117" t="str">
        <f>IF($B183="","",TIME(HOUR('Calendario E'!$F13),MINUTE('Calendario E'!$F13),0))</f>
        <v/>
      </c>
      <c r="E183" s="116" t="str">
        <f>IF($B183="","",DATE(YEAR('Calendario E'!$F13),MONTH('Calendario E'!$F13),DAY('Calendario E'!$F13)))</f>
        <v/>
      </c>
      <c r="F183" s="117" t="str">
        <f>IF($B183="","",TIME(HOUR('Calendario E'!$F13)+2,MINUTE('Calendario E'!$F13),0))</f>
        <v/>
      </c>
      <c r="G183" s="48" t="str">
        <f>IF($B183="","",'Calendario E'!$B14)</f>
        <v/>
      </c>
      <c r="H183" s="48" t="str">
        <f>IF($B183="","",Campionato!$D$2&amp;" "&amp;Campionato!$D$6)</f>
        <v/>
      </c>
      <c r="I183" s="48"/>
    </row>
    <row r="184" spans="1:9" x14ac:dyDescent="0.25">
      <c r="A184" s="48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48" t="str">
        <f>IF('Calendario E'!$B16="","",'Calendario E'!$B16&amp;" vs "&amp;'Calendario E'!$D16&amp;" "&amp;'Calendario E'!$AC16)</f>
        <v/>
      </c>
      <c r="C184" s="116" t="str">
        <f>IF($B184="","",DATE(YEAR('Calendario E'!$F16),MONTH('Calendario E'!$F16),DAY('Calendario E'!$F16)))</f>
        <v/>
      </c>
      <c r="D184" s="117" t="str">
        <f>IF($B184="","",TIME(HOUR('Calendario E'!$F16),MINUTE('Calendario E'!$F16),0))</f>
        <v/>
      </c>
      <c r="E184" s="116" t="str">
        <f>IF($B184="","",DATE(YEAR('Calendario E'!$F16),MONTH('Calendario E'!$F16),DAY('Calendario E'!$F16)))</f>
        <v/>
      </c>
      <c r="F184" s="117" t="str">
        <f>IF($B184="","",TIME(HOUR('Calendario E'!$F16)+2,MINUTE('Calendario E'!$F16),0))</f>
        <v/>
      </c>
      <c r="G184" s="48" t="str">
        <f>IF($B184="","",'Calendario E'!$B17)</f>
        <v/>
      </c>
      <c r="H184" s="48" t="str">
        <f>IF($B184="","",Campionato!$D$2&amp;" "&amp;Campionato!$D$6)</f>
        <v/>
      </c>
      <c r="I184" s="48"/>
    </row>
    <row r="185" spans="1:9" x14ac:dyDescent="0.25">
      <c r="A185" s="48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48" t="str">
        <f>IF('Calendario E'!$B19="","",'Calendario E'!$B19&amp;" vs "&amp;'Calendario E'!$D19&amp;" "&amp;'Calendario E'!$AC19)</f>
        <v/>
      </c>
      <c r="C185" s="116" t="str">
        <f>IF($B185="","",DATE(YEAR('Calendario E'!$F19),MONTH('Calendario E'!$F19),DAY('Calendario E'!$F19)))</f>
        <v/>
      </c>
      <c r="D185" s="117" t="str">
        <f>IF($B185="","",TIME(HOUR('Calendario E'!$F19),MINUTE('Calendario E'!$F19),0))</f>
        <v/>
      </c>
      <c r="E185" s="116" t="str">
        <f>IF($B185="","",DATE(YEAR('Calendario E'!$F19),MONTH('Calendario E'!$F19),DAY('Calendario E'!$F19)))</f>
        <v/>
      </c>
      <c r="F185" s="117" t="str">
        <f>IF($B185="","",TIME(HOUR('Calendario E'!$F19)+2,MINUTE('Calendario E'!$F19),0))</f>
        <v/>
      </c>
      <c r="G185" s="48" t="str">
        <f>IF($B185="","",'Calendario E'!$B20)</f>
        <v/>
      </c>
      <c r="H185" s="48" t="str">
        <f>IF($B185="","",Campionato!$D$2&amp;" "&amp;Campionato!$D$6)</f>
        <v/>
      </c>
      <c r="I185" s="48"/>
    </row>
    <row r="186" spans="1:9" x14ac:dyDescent="0.25">
      <c r="A186" s="48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48" t="str">
        <f>IF('Calendario E'!$B22="","",'Calendario E'!$B22&amp;" vs "&amp;'Calendario E'!$D22&amp;" "&amp;'Calendario E'!$AC22)</f>
        <v/>
      </c>
      <c r="C186" s="116" t="str">
        <f>IF($B186="","",DATE(YEAR('Calendario E'!$F22),MONTH('Calendario E'!$F22),DAY('Calendario E'!$F22)))</f>
        <v/>
      </c>
      <c r="D186" s="117" t="str">
        <f>IF($B186="","",TIME(HOUR('Calendario E'!$F22),MINUTE('Calendario E'!$F22),0))</f>
        <v/>
      </c>
      <c r="E186" s="116" t="str">
        <f>IF($B186="","",DATE(YEAR('Calendario E'!$F22),MONTH('Calendario E'!$F22),DAY('Calendario E'!$F22)))</f>
        <v/>
      </c>
      <c r="F186" s="117" t="str">
        <f>IF($B186="","",TIME(HOUR('Calendario E'!$F22)+2,MINUTE('Calendario E'!$F22),0))</f>
        <v/>
      </c>
      <c r="G186" s="48" t="str">
        <f>IF($B186="","",'Calendario E'!$B23)</f>
        <v/>
      </c>
      <c r="H186" s="48" t="str">
        <f>IF($B186="","",Campionato!$D$2&amp;" "&amp;Campionato!$D$6)</f>
        <v/>
      </c>
      <c r="I186" s="48"/>
    </row>
    <row r="187" spans="1:9" x14ac:dyDescent="0.25">
      <c r="A187" s="48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48" t="str">
        <f>IF('Calendario E'!$B27="","",'Calendario E'!$B27&amp;" vs "&amp;'Calendario E'!$D27&amp;" "&amp;'Calendario E'!$AC27)</f>
        <v/>
      </c>
      <c r="C187" s="116" t="str">
        <f>IF($B187="","",DATE(YEAR('Calendario E'!$F27),MONTH('Calendario E'!$F27),DAY('Calendario E'!$F27)))</f>
        <v/>
      </c>
      <c r="D187" s="117" t="str">
        <f>IF($B187="","",TIME(HOUR('Calendario E'!$F27),MINUTE('Calendario E'!$F27),0))</f>
        <v/>
      </c>
      <c r="E187" s="116" t="str">
        <f>IF($B187="","",DATE(YEAR('Calendario E'!$F27),MONTH('Calendario E'!$F27),DAY('Calendario E'!$F27)))</f>
        <v/>
      </c>
      <c r="F187" s="117" t="str">
        <f>IF($B187="","",TIME(HOUR('Calendario E'!$F27)+2,MINUTE('Calendario E'!$F27),0))</f>
        <v/>
      </c>
      <c r="G187" s="48" t="str">
        <f>IF($B187="","",'Calendario E'!$B28)</f>
        <v/>
      </c>
      <c r="H187" s="48" t="str">
        <f>IF($B187="","",Campionato!$D$2&amp;" "&amp;Campionato!$D$6)</f>
        <v/>
      </c>
      <c r="I187" s="48"/>
    </row>
    <row r="188" spans="1:9" x14ac:dyDescent="0.25">
      <c r="A188" s="48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48" t="str">
        <f>IF('Calendario E'!$B30="","",'Calendario E'!$B30&amp;" vs "&amp;'Calendario E'!$D30&amp;" "&amp;'Calendario E'!$AC30)</f>
        <v/>
      </c>
      <c r="C188" s="116" t="str">
        <f>IF($B188="","",DATE(YEAR('Calendario E'!$F30),MONTH('Calendario E'!$F30),DAY('Calendario E'!$F30)))</f>
        <v/>
      </c>
      <c r="D188" s="117" t="str">
        <f>IF($B188="","",TIME(HOUR('Calendario E'!$F30),MINUTE('Calendario E'!$F30),0))</f>
        <v/>
      </c>
      <c r="E188" s="116" t="str">
        <f>IF($B188="","",DATE(YEAR('Calendario E'!$F30),MONTH('Calendario E'!$F30),DAY('Calendario E'!$F30)))</f>
        <v/>
      </c>
      <c r="F188" s="117" t="str">
        <f>IF($B188="","",TIME(HOUR('Calendario E'!$F30)+2,MINUTE('Calendario E'!$F30),0))</f>
        <v/>
      </c>
      <c r="G188" s="48" t="str">
        <f>IF($B188="","",'Calendario E'!$B31)</f>
        <v/>
      </c>
      <c r="H188" s="48" t="str">
        <f>IF($B188="","",Campionato!$D$2&amp;" "&amp;Campionato!$D$6)</f>
        <v/>
      </c>
      <c r="I188" s="48"/>
    </row>
    <row r="189" spans="1:9" x14ac:dyDescent="0.25">
      <c r="A189" s="48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48" t="str">
        <f>IF('Calendario E'!$B33="","",'Calendario E'!$B33&amp;" vs "&amp;'Calendario E'!$D33&amp;" "&amp;'Calendario E'!$AC33)</f>
        <v/>
      </c>
      <c r="C189" s="116" t="str">
        <f>IF($B189="","",DATE(YEAR('Calendario E'!$F33),MONTH('Calendario E'!$F33),DAY('Calendario E'!$F33)))</f>
        <v/>
      </c>
      <c r="D189" s="117" t="str">
        <f>IF($B189="","",TIME(HOUR('Calendario E'!$F33),MINUTE('Calendario E'!$F33),0))</f>
        <v/>
      </c>
      <c r="E189" s="116" t="str">
        <f>IF($B189="","",DATE(YEAR('Calendario E'!$F33),MONTH('Calendario E'!$F33),DAY('Calendario E'!$F33)))</f>
        <v/>
      </c>
      <c r="F189" s="117" t="str">
        <f>IF($B189="","",TIME(HOUR('Calendario E'!$F33)+2,MINUTE('Calendario E'!$F33),0))</f>
        <v/>
      </c>
      <c r="G189" s="48" t="str">
        <f>IF($B189="","",'Calendario E'!$B34)</f>
        <v/>
      </c>
      <c r="H189" s="48" t="str">
        <f>IF($B189="","",Campionato!$D$2&amp;" "&amp;Campionato!$D$6)</f>
        <v/>
      </c>
      <c r="I189" s="48"/>
    </row>
    <row r="190" spans="1:9" x14ac:dyDescent="0.25">
      <c r="A190" s="48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48" t="str">
        <f>IF('Calendario E'!$B36="","",'Calendario E'!$B36&amp;" vs "&amp;'Calendario E'!$D36&amp;" "&amp;'Calendario E'!$AC36)</f>
        <v/>
      </c>
      <c r="C190" s="116" t="str">
        <f>IF($B190="","",DATE(YEAR('Calendario E'!$F36),MONTH('Calendario E'!$F36),DAY('Calendario E'!$F36)))</f>
        <v/>
      </c>
      <c r="D190" s="117" t="str">
        <f>IF($B190="","",TIME(HOUR('Calendario E'!$F36),MINUTE('Calendario E'!$F36),0))</f>
        <v/>
      </c>
      <c r="E190" s="116" t="str">
        <f>IF($B190="","",DATE(YEAR('Calendario E'!$F36),MONTH('Calendario E'!$F36),DAY('Calendario E'!$F36)))</f>
        <v/>
      </c>
      <c r="F190" s="117" t="str">
        <f>IF($B190="","",TIME(HOUR('Calendario E'!$F36)+2,MINUTE('Calendario E'!$F36),0))</f>
        <v/>
      </c>
      <c r="G190" s="48" t="str">
        <f>IF($B190="","",'Calendario E'!$B37)</f>
        <v/>
      </c>
      <c r="H190" s="48" t="str">
        <f>IF($B190="","",Campionato!$D$2&amp;" "&amp;Campionato!$D$6)</f>
        <v/>
      </c>
      <c r="I190" s="48"/>
    </row>
    <row r="191" spans="1:9" x14ac:dyDescent="0.25">
      <c r="A191" s="48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48" t="str">
        <f>IF('Calendario E'!$B39="","",'Calendario E'!$B39&amp;" vs "&amp;'Calendario E'!$D39&amp;" "&amp;'Calendario E'!$AC39)</f>
        <v/>
      </c>
      <c r="C191" s="116" t="str">
        <f>IF($B191="","",DATE(YEAR('Calendario E'!$F39),MONTH('Calendario E'!$F39),DAY('Calendario E'!$F39)))</f>
        <v/>
      </c>
      <c r="D191" s="117" t="str">
        <f>IF($B191="","",TIME(HOUR('Calendario E'!$F39),MINUTE('Calendario E'!$F39),0))</f>
        <v/>
      </c>
      <c r="E191" s="116" t="str">
        <f>IF($B191="","",DATE(YEAR('Calendario E'!$F39),MONTH('Calendario E'!$F39),DAY('Calendario E'!$F39)))</f>
        <v/>
      </c>
      <c r="F191" s="117" t="str">
        <f>IF($B191="","",TIME(HOUR('Calendario E'!$F39)+2,MINUTE('Calendario E'!$F39),0))</f>
        <v/>
      </c>
      <c r="G191" s="48" t="str">
        <f>IF($B191="","",'Calendario E'!$B40)</f>
        <v/>
      </c>
      <c r="H191" s="48" t="str">
        <f>IF($B191="","",Campionato!$D$2&amp;" "&amp;Campionato!$D$6)</f>
        <v/>
      </c>
      <c r="I191" s="48"/>
    </row>
    <row r="192" spans="1:9" x14ac:dyDescent="0.25">
      <c r="A192" s="48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48" t="str">
        <f>IF('Calendario E'!$B44="","",'Calendario E'!$B44&amp;" vs "&amp;'Calendario E'!$D44&amp;" "&amp;'Calendario E'!$AC44)</f>
        <v/>
      </c>
      <c r="C192" s="116" t="str">
        <f>IF($B192="","",DATE(YEAR('Calendario E'!$F44),MONTH('Calendario E'!$F44),DAY('Calendario E'!$F44)))</f>
        <v/>
      </c>
      <c r="D192" s="117" t="str">
        <f>IF($B192="","",TIME(HOUR('Calendario E'!$F44),MINUTE('Calendario E'!$F44),0))</f>
        <v/>
      </c>
      <c r="E192" s="116" t="str">
        <f>IF($B192="","",DATE(YEAR('Calendario E'!$F44),MONTH('Calendario E'!$F44),DAY('Calendario E'!$F44)))</f>
        <v/>
      </c>
      <c r="F192" s="117" t="str">
        <f>IF($B192="","",TIME(HOUR('Calendario E'!$F44)+2,MINUTE('Calendario E'!$F44),0))</f>
        <v/>
      </c>
      <c r="G192" s="48" t="str">
        <f>IF($B192="","",'Calendario E'!$B45)</f>
        <v/>
      </c>
      <c r="H192" s="48" t="str">
        <f>IF($B192="","",Campionato!$D$2&amp;" "&amp;Campionato!$D$6)</f>
        <v/>
      </c>
      <c r="I192" s="48"/>
    </row>
    <row r="193" spans="1:9" x14ac:dyDescent="0.25">
      <c r="A193" s="48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48" t="str">
        <f>IF('Calendario E'!$B47="","",'Calendario E'!$B47&amp;" vs "&amp;'Calendario E'!$D47&amp;" "&amp;'Calendario E'!$AC47)</f>
        <v/>
      </c>
      <c r="C193" s="116" t="str">
        <f>IF($B193="","",DATE(YEAR('Calendario E'!$F47),MONTH('Calendario E'!$F47),DAY('Calendario E'!$F47)))</f>
        <v/>
      </c>
      <c r="D193" s="117" t="str">
        <f>IF($B193="","",TIME(HOUR('Calendario E'!$F47),MINUTE('Calendario E'!$F47),0))</f>
        <v/>
      </c>
      <c r="E193" s="116" t="str">
        <f>IF($B193="","",DATE(YEAR('Calendario E'!$F47),MONTH('Calendario E'!$F47),DAY('Calendario E'!$F47)))</f>
        <v/>
      </c>
      <c r="F193" s="117" t="str">
        <f>IF($B193="","",TIME(HOUR('Calendario E'!$F47)+2,MINUTE('Calendario E'!$F47),0))</f>
        <v/>
      </c>
      <c r="G193" s="48" t="str">
        <f>IF($B193="","",'Calendario E'!$B48)</f>
        <v/>
      </c>
      <c r="H193" s="48" t="str">
        <f>IF($B193="","",Campionato!$D$2&amp;" "&amp;Campionato!$D$6)</f>
        <v/>
      </c>
      <c r="I193" s="48"/>
    </row>
    <row r="194" spans="1:9" x14ac:dyDescent="0.25">
      <c r="A194" s="48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48" t="str">
        <f>IF('Calendario E'!$B50="","",'Calendario E'!$B50&amp;" vs "&amp;'Calendario E'!$D50&amp;" "&amp;'Calendario E'!$AC50)</f>
        <v/>
      </c>
      <c r="C194" s="116" t="str">
        <f>IF($B194="","",DATE(YEAR('Calendario E'!$F50),MONTH('Calendario E'!$F50),DAY('Calendario E'!$F50)))</f>
        <v/>
      </c>
      <c r="D194" s="117" t="str">
        <f>IF($B194="","",TIME(HOUR('Calendario E'!$F50),MINUTE('Calendario E'!$F50),0))</f>
        <v/>
      </c>
      <c r="E194" s="116" t="str">
        <f>IF($B194="","",DATE(YEAR('Calendario E'!$F50),MONTH('Calendario E'!$F50),DAY('Calendario E'!$F50)))</f>
        <v/>
      </c>
      <c r="F194" s="117" t="str">
        <f>IF($B194="","",TIME(HOUR('Calendario E'!$F50)+2,MINUTE('Calendario E'!$F50),0))</f>
        <v/>
      </c>
      <c r="G194" s="48" t="str">
        <f>IF($B194="","",'Calendario E'!$B51)</f>
        <v/>
      </c>
      <c r="H194" s="48" t="str">
        <f>IF($B194="","",Campionato!$D$2&amp;" "&amp;Campionato!$D$6)</f>
        <v/>
      </c>
      <c r="I194" s="48"/>
    </row>
    <row r="195" spans="1:9" x14ac:dyDescent="0.25">
      <c r="A195" s="48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48" t="str">
        <f>IF('Calendario E'!$B53="","",'Calendario E'!$B53&amp;" vs "&amp;'Calendario E'!$D53&amp;" "&amp;'Calendario E'!$AC53)</f>
        <v/>
      </c>
      <c r="C195" s="116" t="str">
        <f>IF($B195="","",DATE(YEAR('Calendario E'!$F53),MONTH('Calendario E'!$F53),DAY('Calendario E'!$F53)))</f>
        <v/>
      </c>
      <c r="D195" s="117" t="str">
        <f>IF($B195="","",TIME(HOUR('Calendario E'!$F53),MINUTE('Calendario E'!$F53),0))</f>
        <v/>
      </c>
      <c r="E195" s="116" t="str">
        <f>IF($B195="","",DATE(YEAR('Calendario E'!$F53),MONTH('Calendario E'!$F53),DAY('Calendario E'!$F53)))</f>
        <v/>
      </c>
      <c r="F195" s="117" t="str">
        <f>IF($B195="","",TIME(HOUR('Calendario E'!$F53)+2,MINUTE('Calendario E'!$F53),0))</f>
        <v/>
      </c>
      <c r="G195" s="48" t="str">
        <f>IF($B195="","",'Calendario E'!$B54)</f>
        <v/>
      </c>
      <c r="H195" s="48" t="str">
        <f>IF($B195="","",Campionato!$D$2&amp;" "&amp;Campionato!$D$6)</f>
        <v/>
      </c>
      <c r="I195" s="48"/>
    </row>
    <row r="196" spans="1:9" x14ac:dyDescent="0.25">
      <c r="A196" s="48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48" t="str">
        <f>IF('Calendario E'!$B56="","",'Calendario E'!$B56&amp;" vs "&amp;'Calendario E'!$D56&amp;" "&amp;'Calendario E'!$AC56)</f>
        <v/>
      </c>
      <c r="C196" s="116" t="str">
        <f>IF($B196="","",DATE(YEAR('Calendario E'!$F56),MONTH('Calendario E'!$F56),DAY('Calendario E'!$F56)))</f>
        <v/>
      </c>
      <c r="D196" s="117" t="str">
        <f>IF($B196="","",TIME(HOUR('Calendario E'!$F56),MINUTE('Calendario E'!$F56),0))</f>
        <v/>
      </c>
      <c r="E196" s="116" t="str">
        <f>IF($B196="","",DATE(YEAR('Calendario E'!$F56),MONTH('Calendario E'!$F56),DAY('Calendario E'!$F56)))</f>
        <v/>
      </c>
      <c r="F196" s="117" t="str">
        <f>IF($B196="","",TIME(HOUR('Calendario E'!$F56)+2,MINUTE('Calendario E'!$F56),0))</f>
        <v/>
      </c>
      <c r="G196" s="48" t="str">
        <f>IF($B196="","",'Calendario E'!$B57)</f>
        <v/>
      </c>
      <c r="H196" s="48" t="str">
        <f>IF($B196="","",Campionato!$D$2&amp;" "&amp;Campionato!$D$6)</f>
        <v/>
      </c>
      <c r="I196" s="48"/>
    </row>
    <row r="197" spans="1:9" x14ac:dyDescent="0.25">
      <c r="A197" s="48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48" t="str">
        <f>IF('Calendario E'!$B61="","",'Calendario E'!$B61&amp;" vs "&amp;'Calendario E'!$D61&amp;" "&amp;'Calendario E'!$AC61)</f>
        <v/>
      </c>
      <c r="C197" s="116" t="str">
        <f>IF($B197="","",DATE(YEAR('Calendario E'!$F61),MONTH('Calendario E'!$F61),DAY('Calendario E'!$F61)))</f>
        <v/>
      </c>
      <c r="D197" s="117" t="str">
        <f>IF($B197="","",TIME(HOUR('Calendario E'!$F61),MINUTE('Calendario E'!$F61),0))</f>
        <v/>
      </c>
      <c r="E197" s="116" t="str">
        <f>IF($B197="","",DATE(YEAR('Calendario E'!$F61),MONTH('Calendario E'!$F61),DAY('Calendario E'!$F61)))</f>
        <v/>
      </c>
      <c r="F197" s="117" t="str">
        <f>IF($B197="","",TIME(HOUR('Calendario E'!$F61)+2,MINUTE('Calendario E'!$F61),0))</f>
        <v/>
      </c>
      <c r="G197" s="48" t="str">
        <f>IF($B197="","",'Calendario E'!$B62)</f>
        <v/>
      </c>
      <c r="H197" s="48" t="str">
        <f>IF($B197="","",Campionato!$D$2&amp;" "&amp;Campionato!$D$6)</f>
        <v/>
      </c>
      <c r="I197" s="48"/>
    </row>
    <row r="198" spans="1:9" x14ac:dyDescent="0.25">
      <c r="A198" s="48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48" t="str">
        <f>IF('Calendario E'!$B64="","",'Calendario E'!$B64&amp;" vs "&amp;'Calendario E'!$D64&amp;" "&amp;'Calendario E'!$AC64)</f>
        <v/>
      </c>
      <c r="C198" s="116" t="str">
        <f>IF($B198="","",DATE(YEAR('Calendario E'!$F64),MONTH('Calendario E'!$F64),DAY('Calendario E'!$F64)))</f>
        <v/>
      </c>
      <c r="D198" s="117" t="str">
        <f>IF($B198="","",TIME(HOUR('Calendario E'!$F64),MINUTE('Calendario E'!$F64),0))</f>
        <v/>
      </c>
      <c r="E198" s="116" t="str">
        <f>IF($B198="","",DATE(YEAR('Calendario E'!$F64),MONTH('Calendario E'!$F64),DAY('Calendario E'!$F64)))</f>
        <v/>
      </c>
      <c r="F198" s="117" t="str">
        <f>IF($B198="","",TIME(HOUR('Calendario E'!$F64)+2,MINUTE('Calendario E'!$F64),0))</f>
        <v/>
      </c>
      <c r="G198" s="48" t="str">
        <f>IF($B198="","",'Calendario E'!$B65)</f>
        <v/>
      </c>
      <c r="H198" s="48" t="str">
        <f>IF($B198="","",Campionato!$D$2&amp;" "&amp;Campionato!$D$6)</f>
        <v/>
      </c>
      <c r="I198" s="48"/>
    </row>
    <row r="199" spans="1:9" x14ac:dyDescent="0.25">
      <c r="A199" s="48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48" t="str">
        <f>IF('Calendario E'!$B67="","",'Calendario E'!$B67&amp;" vs "&amp;'Calendario E'!$D67&amp;" "&amp;'Calendario E'!$AC67)</f>
        <v/>
      </c>
      <c r="C199" s="116" t="str">
        <f>IF($B199="","",DATE(YEAR('Calendario E'!$F67),MONTH('Calendario E'!$F67),DAY('Calendario E'!$F67)))</f>
        <v/>
      </c>
      <c r="D199" s="117" t="str">
        <f>IF($B199="","",TIME(HOUR('Calendario E'!$F67),MINUTE('Calendario E'!$F67),0))</f>
        <v/>
      </c>
      <c r="E199" s="116" t="str">
        <f>IF($B199="","",DATE(YEAR('Calendario E'!$F67),MONTH('Calendario E'!$F67),DAY('Calendario E'!$F67)))</f>
        <v/>
      </c>
      <c r="F199" s="117" t="str">
        <f>IF($B199="","",TIME(HOUR('Calendario E'!$F67)+2,MINUTE('Calendario E'!$F67),0))</f>
        <v/>
      </c>
      <c r="G199" s="48" t="str">
        <f>IF($B199="","",'Calendario E'!$B68)</f>
        <v/>
      </c>
      <c r="H199" s="48" t="str">
        <f>IF($B199="","",Campionato!$D$2&amp;" "&amp;Campionato!$D$6)</f>
        <v/>
      </c>
      <c r="I199" s="48"/>
    </row>
    <row r="200" spans="1:9" x14ac:dyDescent="0.25">
      <c r="A200" s="48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48" t="str">
        <f>IF('Calendario E'!$B70="","",'Calendario E'!$B70&amp;" vs "&amp;'Calendario E'!$D70&amp;" "&amp;'Calendario E'!$AC70)</f>
        <v/>
      </c>
      <c r="C200" s="116" t="str">
        <f>IF($B200="","",DATE(YEAR('Calendario E'!$F70),MONTH('Calendario E'!$F70),DAY('Calendario E'!$F70)))</f>
        <v/>
      </c>
      <c r="D200" s="117" t="str">
        <f>IF($B200="","",TIME(HOUR('Calendario E'!$F70),MINUTE('Calendario E'!$F70),0))</f>
        <v/>
      </c>
      <c r="E200" s="116" t="str">
        <f>IF($B200="","",DATE(YEAR('Calendario E'!$F70),MONTH('Calendario E'!$F70),DAY('Calendario E'!$F70)))</f>
        <v/>
      </c>
      <c r="F200" s="117" t="str">
        <f>IF($B200="","",TIME(HOUR('Calendario E'!$F70)+2,MINUTE('Calendario E'!$F70),0))</f>
        <v/>
      </c>
      <c r="G200" s="48" t="str">
        <f>IF($B200="","",'Calendario E'!$B71)</f>
        <v/>
      </c>
      <c r="H200" s="48" t="str">
        <f>IF($B200="","",Campionato!$D$2&amp;" "&amp;Campionato!$D$6)</f>
        <v/>
      </c>
      <c r="I200" s="48"/>
    </row>
    <row r="201" spans="1:9" x14ac:dyDescent="0.25">
      <c r="A201" s="48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48" t="str">
        <f>IF('Calendario E'!$B73="","",'Calendario E'!$B73&amp;" vs "&amp;'Calendario E'!$D73&amp;" "&amp;'Calendario E'!$AC73)</f>
        <v/>
      </c>
      <c r="C201" s="116" t="str">
        <f>IF($B201="","",DATE(YEAR('Calendario E'!$F73),MONTH('Calendario E'!$F73),DAY('Calendario E'!$F73)))</f>
        <v/>
      </c>
      <c r="D201" s="117" t="str">
        <f>IF($B201="","",TIME(HOUR('Calendario E'!$F73),MINUTE('Calendario E'!$F73),0))</f>
        <v/>
      </c>
      <c r="E201" s="116" t="str">
        <f>IF($B201="","",DATE(YEAR('Calendario E'!$F73),MONTH('Calendario E'!$F73),DAY('Calendario E'!$F73)))</f>
        <v/>
      </c>
      <c r="F201" s="117" t="str">
        <f>IF($B201="","",TIME(HOUR('Calendario E'!$F73)+2,MINUTE('Calendario E'!$F73),0))</f>
        <v/>
      </c>
      <c r="G201" s="48" t="str">
        <f>IF($B201="","",'Calendario E'!$B74)</f>
        <v/>
      </c>
      <c r="H201" s="48" t="str">
        <f>IF($B201="","",Campionato!$D$2&amp;" "&amp;Campionato!$D$6)</f>
        <v/>
      </c>
      <c r="I201" s="48"/>
    </row>
    <row r="202" spans="1:9" x14ac:dyDescent="0.25">
      <c r="A202" s="48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48" t="str">
        <f>IF('Calendario E'!$B78="","",'Calendario E'!$B78&amp;" vs "&amp;'Calendario E'!$D78&amp;" "&amp;'Calendario E'!$AC78)</f>
        <v/>
      </c>
      <c r="C202" s="116" t="str">
        <f>IF($B202="","",DATE(YEAR('Calendario E'!$F78),MONTH('Calendario E'!$F78),DAY('Calendario E'!$F78)))</f>
        <v/>
      </c>
      <c r="D202" s="117" t="str">
        <f>IF($B202="","",TIME(HOUR('Calendario E'!$F78),MINUTE('Calendario E'!$F78),0))</f>
        <v/>
      </c>
      <c r="E202" s="116" t="str">
        <f>IF($B202="","",DATE(YEAR('Calendario E'!$F78),MONTH('Calendario E'!$F78),DAY('Calendario E'!$F78)))</f>
        <v/>
      </c>
      <c r="F202" s="117" t="str">
        <f>IF($B202="","",TIME(HOUR('Calendario E'!$F78)+2,MINUTE('Calendario E'!$F78),0))</f>
        <v/>
      </c>
      <c r="G202" s="48" t="str">
        <f>IF($B202="","",'Calendario E'!$B79)</f>
        <v/>
      </c>
      <c r="H202" s="48" t="str">
        <f>IF($B202="","",Campionato!$D$2&amp;" "&amp;Campionato!$D$6)</f>
        <v/>
      </c>
      <c r="I202" s="48"/>
    </row>
    <row r="203" spans="1:9" x14ac:dyDescent="0.25">
      <c r="A203" s="48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48" t="str">
        <f>IF('Calendario E'!$B81="","",'Calendario E'!$B81&amp;" vs "&amp;'Calendario E'!$D81&amp;" "&amp;'Calendario E'!$AC81)</f>
        <v/>
      </c>
      <c r="C203" s="116" t="str">
        <f>IF($B203="","",DATE(YEAR('Calendario E'!$F81),MONTH('Calendario E'!$F81),DAY('Calendario E'!$F81)))</f>
        <v/>
      </c>
      <c r="D203" s="117" t="str">
        <f>IF($B203="","",TIME(HOUR('Calendario E'!$F81),MINUTE('Calendario E'!$F81),0))</f>
        <v/>
      </c>
      <c r="E203" s="116" t="str">
        <f>IF($B203="","",DATE(YEAR('Calendario E'!$F81),MONTH('Calendario E'!$F81),DAY('Calendario E'!$F81)))</f>
        <v/>
      </c>
      <c r="F203" s="117" t="str">
        <f>IF($B203="","",TIME(HOUR('Calendario E'!$F81)+2,MINUTE('Calendario E'!$F81),0))</f>
        <v/>
      </c>
      <c r="G203" s="48" t="str">
        <f>IF($B203="","",'Calendario E'!$B82)</f>
        <v/>
      </c>
      <c r="H203" s="48" t="str">
        <f>IF($B203="","",Campionato!$D$2&amp;" "&amp;Campionato!$D$6)</f>
        <v/>
      </c>
      <c r="I203" s="48"/>
    </row>
    <row r="204" spans="1:9" x14ac:dyDescent="0.25">
      <c r="A204" s="48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48" t="str">
        <f>IF('Calendario E'!$B84="","",'Calendario E'!$B84&amp;" vs "&amp;'Calendario E'!$D84&amp;" "&amp;'Calendario E'!$AC84)</f>
        <v/>
      </c>
      <c r="C204" s="116" t="str">
        <f>IF($B204="","",DATE(YEAR('Calendario E'!$F84),MONTH('Calendario E'!$F84),DAY('Calendario E'!$F84)))</f>
        <v/>
      </c>
      <c r="D204" s="117" t="str">
        <f>IF($B204="","",TIME(HOUR('Calendario E'!$F84),MINUTE('Calendario E'!$F84),0))</f>
        <v/>
      </c>
      <c r="E204" s="116" t="str">
        <f>IF($B204="","",DATE(YEAR('Calendario E'!$F84),MONTH('Calendario E'!$F84),DAY('Calendario E'!$F84)))</f>
        <v/>
      </c>
      <c r="F204" s="117" t="str">
        <f>IF($B204="","",TIME(HOUR('Calendario E'!$F84)+2,MINUTE('Calendario E'!$F84),0))</f>
        <v/>
      </c>
      <c r="G204" s="48" t="str">
        <f>IF($B204="","",'Calendario E'!$B85)</f>
        <v/>
      </c>
      <c r="H204" s="48" t="str">
        <f>IF($B204="","",Campionato!$D$2&amp;" "&amp;Campionato!$D$6)</f>
        <v/>
      </c>
      <c r="I204" s="48"/>
    </row>
    <row r="205" spans="1:9" x14ac:dyDescent="0.25">
      <c r="A205" s="48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48" t="str">
        <f>IF('Calendario E'!$B87="","",'Calendario E'!$B87&amp;" vs "&amp;'Calendario E'!$D87&amp;" "&amp;'Calendario E'!$AC87)</f>
        <v/>
      </c>
      <c r="C205" s="116" t="str">
        <f>IF($B205="","",DATE(YEAR('Calendario E'!$F87),MONTH('Calendario E'!$F87),DAY('Calendario E'!$F87)))</f>
        <v/>
      </c>
      <c r="D205" s="117" t="str">
        <f>IF($B205="","",TIME(HOUR('Calendario E'!$F87),MINUTE('Calendario E'!$F87),0))</f>
        <v/>
      </c>
      <c r="E205" s="116" t="str">
        <f>IF($B205="","",DATE(YEAR('Calendario E'!$F87),MONTH('Calendario E'!$F87),DAY('Calendario E'!$F87)))</f>
        <v/>
      </c>
      <c r="F205" s="117" t="str">
        <f>IF($B205="","",TIME(HOUR('Calendario E'!$F87)+2,MINUTE('Calendario E'!$F87),0))</f>
        <v/>
      </c>
      <c r="G205" s="48" t="str">
        <f>IF($B205="","",'Calendario E'!$B88)</f>
        <v/>
      </c>
      <c r="H205" s="48" t="str">
        <f>IF($B205="","",Campionato!$D$2&amp;" "&amp;Campionato!$D$6)</f>
        <v/>
      </c>
      <c r="I205" s="48"/>
    </row>
    <row r="206" spans="1:9" x14ac:dyDescent="0.25">
      <c r="A206" s="48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48" t="str">
        <f>IF('Calendario E'!$B90="","",'Calendario E'!$B90&amp;" vs "&amp;'Calendario E'!$D90&amp;" "&amp;'Calendario E'!$AC90)</f>
        <v/>
      </c>
      <c r="C206" s="116" t="str">
        <f>IF($B206="","",DATE(YEAR('Calendario E'!$F90),MONTH('Calendario E'!$F90),DAY('Calendario E'!$F90)))</f>
        <v/>
      </c>
      <c r="D206" s="117" t="str">
        <f>IF($B206="","",TIME(HOUR('Calendario E'!$F90),MINUTE('Calendario E'!$F90),0))</f>
        <v/>
      </c>
      <c r="E206" s="116" t="str">
        <f>IF($B206="","",DATE(YEAR('Calendario E'!$F90),MONTH('Calendario E'!$F90),DAY('Calendario E'!$F90)))</f>
        <v/>
      </c>
      <c r="F206" s="117" t="str">
        <f>IF($B206="","",TIME(HOUR('Calendario E'!$F90)+2,MINUTE('Calendario E'!$F90),0))</f>
        <v/>
      </c>
      <c r="G206" s="48" t="str">
        <f>IF($B206="","",'Calendario E'!$B91)</f>
        <v/>
      </c>
      <c r="H206" s="48" t="str">
        <f>IF($B206="","",Campionato!$D$2&amp;" "&amp;Campionato!$D$6)</f>
        <v/>
      </c>
      <c r="I206" s="48"/>
    </row>
    <row r="207" spans="1:9" x14ac:dyDescent="0.25">
      <c r="A207" s="48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48" t="str">
        <f>IF('Calendario E'!$B95="","",'Calendario E'!$B95&amp;" vs "&amp;'Calendario E'!$D95&amp;" "&amp;'Calendario E'!$AC95)</f>
        <v/>
      </c>
      <c r="C207" s="116" t="str">
        <f>IF($B207="","",DATE(YEAR('Calendario E'!$F95),MONTH('Calendario E'!$F95),DAY('Calendario E'!$F95)))</f>
        <v/>
      </c>
      <c r="D207" s="117" t="str">
        <f>IF($B207="","",TIME(HOUR('Calendario E'!$F95),MINUTE('Calendario E'!$F95),0))</f>
        <v/>
      </c>
      <c r="E207" s="116" t="str">
        <f>IF($B207="","",DATE(YEAR('Calendario E'!$F95),MONTH('Calendario E'!$F95),DAY('Calendario E'!$F95)))</f>
        <v/>
      </c>
      <c r="F207" s="117" t="str">
        <f>IF($B207="","",TIME(HOUR('Calendario E'!$F95)+2,MINUTE('Calendario E'!$F95),0))</f>
        <v/>
      </c>
      <c r="G207" s="48" t="str">
        <f>IF($B207="","",'Calendario E'!$B96)</f>
        <v/>
      </c>
      <c r="H207" s="48" t="str">
        <f>IF($B207="","",Campionato!$D$2&amp;" "&amp;Campionato!$D$6)</f>
        <v/>
      </c>
      <c r="I207" s="48"/>
    </row>
    <row r="208" spans="1:9" x14ac:dyDescent="0.25">
      <c r="A208" s="48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48" t="str">
        <f>IF('Calendario E'!$B98="","",'Calendario E'!$B98&amp;" vs "&amp;'Calendario E'!$D98&amp;" "&amp;'Calendario E'!$AC98)</f>
        <v/>
      </c>
      <c r="C208" s="116" t="str">
        <f>IF($B208="","",DATE(YEAR('Calendario E'!$F98),MONTH('Calendario E'!$F98),DAY('Calendario E'!$F98)))</f>
        <v/>
      </c>
      <c r="D208" s="117" t="str">
        <f>IF($B208="","",TIME(HOUR('Calendario E'!$F98),MINUTE('Calendario E'!$F98),0))</f>
        <v/>
      </c>
      <c r="E208" s="116" t="str">
        <f>IF($B208="","",DATE(YEAR('Calendario E'!$F98),MONTH('Calendario E'!$F98),DAY('Calendario E'!$F98)))</f>
        <v/>
      </c>
      <c r="F208" s="117" t="str">
        <f>IF($B208="","",TIME(HOUR('Calendario E'!$F98)+2,MINUTE('Calendario E'!$F98),0))</f>
        <v/>
      </c>
      <c r="G208" s="48" t="str">
        <f>IF($B208="","",'Calendario E'!$B99)</f>
        <v/>
      </c>
      <c r="H208" s="48" t="str">
        <f>IF($B208="","",Campionato!$D$2&amp;" "&amp;Campionato!$D$6)</f>
        <v/>
      </c>
      <c r="I208" s="48"/>
    </row>
    <row r="209" spans="1:9" x14ac:dyDescent="0.25">
      <c r="A209" s="48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48" t="str">
        <f>IF('Calendario E'!$B101="","",'Calendario E'!$B101&amp;" vs "&amp;'Calendario E'!$D101&amp;" "&amp;'Calendario E'!$AC101)</f>
        <v/>
      </c>
      <c r="C209" s="116" t="str">
        <f>IF($B209="","",DATE(YEAR('Calendario E'!$F101),MONTH('Calendario E'!$F101),DAY('Calendario E'!$F101)))</f>
        <v/>
      </c>
      <c r="D209" s="117" t="str">
        <f>IF($B209="","",TIME(HOUR('Calendario E'!$F101),MINUTE('Calendario E'!$F101),0))</f>
        <v/>
      </c>
      <c r="E209" s="116" t="str">
        <f>IF($B209="","",DATE(YEAR('Calendario E'!$F101),MONTH('Calendario E'!$F101),DAY('Calendario E'!$F101)))</f>
        <v/>
      </c>
      <c r="F209" s="117" t="str">
        <f>IF($B209="","",TIME(HOUR('Calendario E'!$F101)+2,MINUTE('Calendario E'!$F101),0))</f>
        <v/>
      </c>
      <c r="G209" s="48" t="str">
        <f>IF($B209="","",'Calendario E'!$B102)</f>
        <v/>
      </c>
      <c r="H209" s="48" t="str">
        <f>IF($B209="","",Campionato!$D$2&amp;" "&amp;Campionato!$D$6)</f>
        <v/>
      </c>
      <c r="I209" s="48"/>
    </row>
    <row r="210" spans="1:9" x14ac:dyDescent="0.25">
      <c r="A210" s="48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48" t="str">
        <f>IF('Calendario E'!$B104="","",'Calendario E'!$B104&amp;" vs "&amp;'Calendario E'!$D104&amp;" "&amp;'Calendario E'!$AC104)</f>
        <v/>
      </c>
      <c r="C210" s="116" t="str">
        <f>IF($B210="","",DATE(YEAR('Calendario E'!$F104),MONTH('Calendario E'!$F104),DAY('Calendario E'!$F104)))</f>
        <v/>
      </c>
      <c r="D210" s="117" t="str">
        <f>IF($B210="","",TIME(HOUR('Calendario E'!$F104),MINUTE('Calendario E'!$F104),0))</f>
        <v/>
      </c>
      <c r="E210" s="116" t="str">
        <f>IF($B210="","",DATE(YEAR('Calendario E'!$F104),MONTH('Calendario E'!$F104),DAY('Calendario E'!$F104)))</f>
        <v/>
      </c>
      <c r="F210" s="117" t="str">
        <f>IF($B210="","",TIME(HOUR('Calendario E'!$F104)+2,MINUTE('Calendario E'!$F104),0))</f>
        <v/>
      </c>
      <c r="G210" s="48" t="str">
        <f>IF($B210="","",'Calendario E'!$B105)</f>
        <v/>
      </c>
      <c r="H210" s="48" t="str">
        <f>IF($B210="","",Campionato!$D$2&amp;" "&amp;Campionato!$D$6)</f>
        <v/>
      </c>
      <c r="I210" s="48"/>
    </row>
    <row r="211" spans="1:9" x14ac:dyDescent="0.25">
      <c r="A211" s="48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48" t="str">
        <f>IF('Calendario E'!$B107="","",'Calendario E'!$B107&amp;" vs "&amp;'Calendario E'!$D107&amp;" "&amp;'Calendario E'!$AC107)</f>
        <v/>
      </c>
      <c r="C211" s="116" t="str">
        <f>IF($B211="","",DATE(YEAR('Calendario E'!$F107),MONTH('Calendario E'!$F107),DAY('Calendario E'!$F107)))</f>
        <v/>
      </c>
      <c r="D211" s="117" t="str">
        <f>IF($B211="","",TIME(HOUR('Calendario E'!$F107),MINUTE('Calendario E'!$F107),0))</f>
        <v/>
      </c>
      <c r="E211" s="116" t="str">
        <f>IF($B211="","",DATE(YEAR('Calendario E'!$F107),MONTH('Calendario E'!$F107),DAY('Calendario E'!$F107)))</f>
        <v/>
      </c>
      <c r="F211" s="117" t="str">
        <f>IF($B211="","",TIME(HOUR('Calendario E'!$F107)+2,MINUTE('Calendario E'!$F107),0))</f>
        <v/>
      </c>
      <c r="G211" s="48" t="str">
        <f>IF($B211="","",'Calendario E'!$B108)</f>
        <v/>
      </c>
      <c r="H211" s="48" t="str">
        <f>IF($B211="","",Campionato!$D$2&amp;" "&amp;Campionato!$D$6)</f>
        <v/>
      </c>
      <c r="I211" s="48"/>
    </row>
    <row r="212" spans="1:9" x14ac:dyDescent="0.25">
      <c r="A212" s="48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48" t="str">
        <f>IF('Calendario E'!$B112="","",'Calendario E'!$B112&amp;" vs "&amp;'Calendario E'!$D112&amp;" "&amp;'Calendario E'!$AC112)</f>
        <v/>
      </c>
      <c r="C212" s="116" t="str">
        <f>IF($B212="","",DATE(YEAR('Calendario E'!$F112),MONTH('Calendario E'!$F112),DAY('Calendario E'!$F112)))</f>
        <v/>
      </c>
      <c r="D212" s="117" t="str">
        <f>IF($B212="","",TIME(HOUR('Calendario E'!$F112),MINUTE('Calendario E'!$F112),0))</f>
        <v/>
      </c>
      <c r="E212" s="116" t="str">
        <f>IF($B212="","",DATE(YEAR('Calendario E'!$F112),MONTH('Calendario E'!$F112),DAY('Calendario E'!$F112)))</f>
        <v/>
      </c>
      <c r="F212" s="117" t="str">
        <f>IF($B212="","",TIME(HOUR('Calendario E'!$F112)+2,MINUTE('Calendario E'!$F112),0))</f>
        <v/>
      </c>
      <c r="G212" s="48" t="str">
        <f>IF($B212="","",'Calendario E'!$B113)</f>
        <v/>
      </c>
      <c r="H212" s="48" t="str">
        <f>IF($B212="","",Campionato!$D$2&amp;" "&amp;Campionato!$D$6)</f>
        <v/>
      </c>
      <c r="I212" s="48"/>
    </row>
    <row r="213" spans="1:9" x14ac:dyDescent="0.25">
      <c r="A213" s="48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48" t="str">
        <f>IF('Calendario E'!$B115="","",'Calendario E'!$B115&amp;" vs "&amp;'Calendario E'!$D115&amp;" "&amp;'Calendario E'!$AC115)</f>
        <v/>
      </c>
      <c r="C213" s="116" t="str">
        <f>IF($B213="","",DATE(YEAR('Calendario E'!$F115),MONTH('Calendario E'!$F115),DAY('Calendario E'!$F115)))</f>
        <v/>
      </c>
      <c r="D213" s="117" t="str">
        <f>IF($B213="","",TIME(HOUR('Calendario E'!$F115),MINUTE('Calendario E'!$F115),0))</f>
        <v/>
      </c>
      <c r="E213" s="116" t="str">
        <f>IF($B213="","",DATE(YEAR('Calendario E'!$F115),MONTH('Calendario E'!$F115),DAY('Calendario E'!$F115)))</f>
        <v/>
      </c>
      <c r="F213" s="117" t="str">
        <f>IF($B213="","",TIME(HOUR('Calendario E'!$F115)+2,MINUTE('Calendario E'!$F115),0))</f>
        <v/>
      </c>
      <c r="G213" s="48" t="str">
        <f>IF($B213="","",'Calendario E'!$B116)</f>
        <v/>
      </c>
      <c r="H213" s="48" t="str">
        <f>IF($B213="","",Campionato!$D$2&amp;" "&amp;Campionato!$D$6)</f>
        <v/>
      </c>
      <c r="I213" s="48"/>
    </row>
    <row r="214" spans="1:9" x14ac:dyDescent="0.25">
      <c r="A214" s="48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48" t="str">
        <f>IF('Calendario E'!$B118="","",'Calendario E'!$B118&amp;" vs "&amp;'Calendario E'!$D118&amp;" "&amp;'Calendario E'!$AC118)</f>
        <v/>
      </c>
      <c r="C214" s="116" t="str">
        <f>IF($B214="","",DATE(YEAR('Calendario E'!$F118),MONTH('Calendario E'!$F118),DAY('Calendario E'!$F118)))</f>
        <v/>
      </c>
      <c r="D214" s="117" t="str">
        <f>IF($B214="","",TIME(HOUR('Calendario E'!$F118),MINUTE('Calendario E'!$F118),0))</f>
        <v/>
      </c>
      <c r="E214" s="116" t="str">
        <f>IF($B214="","",DATE(YEAR('Calendario E'!$F118),MONTH('Calendario E'!$F118),DAY('Calendario E'!$F118)))</f>
        <v/>
      </c>
      <c r="F214" s="117" t="str">
        <f>IF($B214="","",TIME(HOUR('Calendario E'!$F118)+2,MINUTE('Calendario E'!$F118),0))</f>
        <v/>
      </c>
      <c r="G214" s="48" t="str">
        <f>IF($B214="","",'Calendario E'!$B119)</f>
        <v/>
      </c>
      <c r="H214" s="48" t="str">
        <f>IF($B214="","",Campionato!$D$2&amp;" "&amp;Campionato!$D$6)</f>
        <v/>
      </c>
      <c r="I214" s="48"/>
    </row>
    <row r="215" spans="1:9" x14ac:dyDescent="0.25">
      <c r="A215" s="48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48" t="str">
        <f>IF('Calendario E'!$B121="","",'Calendario E'!$B121&amp;" vs "&amp;'Calendario E'!$D121&amp;" "&amp;'Calendario E'!$AC121)</f>
        <v/>
      </c>
      <c r="C215" s="116" t="str">
        <f>IF($B215="","",DATE(YEAR('Calendario E'!$F121),MONTH('Calendario E'!$F121),DAY('Calendario E'!$F121)))</f>
        <v/>
      </c>
      <c r="D215" s="117" t="str">
        <f>IF($B215="","",TIME(HOUR('Calendario E'!$F121),MINUTE('Calendario E'!$F121),0))</f>
        <v/>
      </c>
      <c r="E215" s="116" t="str">
        <f>IF($B215="","",DATE(YEAR('Calendario E'!$F121),MONTH('Calendario E'!$F121),DAY('Calendario E'!$F121)))</f>
        <v/>
      </c>
      <c r="F215" s="117" t="str">
        <f>IF($B215="","",TIME(HOUR('Calendario E'!$F121)+2,MINUTE('Calendario E'!$F121),0))</f>
        <v/>
      </c>
      <c r="G215" s="48" t="str">
        <f>IF($B215="","",'Calendario E'!$B122)</f>
        <v/>
      </c>
      <c r="H215" s="48" t="str">
        <f>IF($B215="","",Campionato!$D$2&amp;" "&amp;Campionato!$D$6)</f>
        <v/>
      </c>
      <c r="I215" s="48"/>
    </row>
    <row r="216" spans="1:9" x14ac:dyDescent="0.25">
      <c r="A216" s="48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48" t="str">
        <f>IF('Calendario E'!$B124="","",'Calendario E'!$B124&amp;" vs "&amp;'Calendario E'!$D124&amp;" "&amp;'Calendario E'!$AC124)</f>
        <v/>
      </c>
      <c r="C216" s="116" t="str">
        <f>IF($B216="","",DATE(YEAR('Calendario E'!$F124),MONTH('Calendario E'!$F124),DAY('Calendario E'!$F124)))</f>
        <v/>
      </c>
      <c r="D216" s="117" t="str">
        <f>IF($B216="","",TIME(HOUR('Calendario E'!$F124),MINUTE('Calendario E'!$F124),0))</f>
        <v/>
      </c>
      <c r="E216" s="116" t="str">
        <f>IF($B216="","",DATE(YEAR('Calendario E'!$F124),MONTH('Calendario E'!$F124),DAY('Calendario E'!$F124)))</f>
        <v/>
      </c>
      <c r="F216" s="117" t="str">
        <f>IF($B216="","",TIME(HOUR('Calendario E'!$F124)+2,MINUTE('Calendario E'!$F124),0))</f>
        <v/>
      </c>
      <c r="G216" s="48" t="str">
        <f>IF($B216="","",'Calendario E'!$B125)</f>
        <v/>
      </c>
      <c r="H216" s="48" t="str">
        <f>IF($B216="","",Campionato!$D$2&amp;" "&amp;Campionato!$D$6)</f>
        <v/>
      </c>
      <c r="I216" s="48"/>
    </row>
    <row r="217" spans="1:9" x14ac:dyDescent="0.25">
      <c r="A217" s="48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48" t="str">
        <f>IF('Calendario E'!$B129="","",'Calendario E'!$B129&amp;" vs "&amp;'Calendario E'!$D129&amp;" "&amp;'Calendario E'!$AC129)</f>
        <v/>
      </c>
      <c r="C217" s="116" t="str">
        <f>IF($B217="","",DATE(YEAR('Calendario E'!$F129),MONTH('Calendario E'!$F129),DAY('Calendario E'!$F129)))</f>
        <v/>
      </c>
      <c r="D217" s="117" t="str">
        <f>IF($B217="","",TIME(HOUR('Calendario E'!$F129),MINUTE('Calendario E'!$F129),0))</f>
        <v/>
      </c>
      <c r="E217" s="116" t="str">
        <f>IF($B217="","",DATE(YEAR('Calendario E'!$F129),MONTH('Calendario E'!$F129),DAY('Calendario E'!$F129)))</f>
        <v/>
      </c>
      <c r="F217" s="117" t="str">
        <f>IF($B217="","",TIME(HOUR('Calendario E'!$F129)+2,MINUTE('Calendario E'!$F129),0))</f>
        <v/>
      </c>
      <c r="G217" s="48" t="str">
        <f>IF($B217="","",'Calendario E'!$B130)</f>
        <v/>
      </c>
      <c r="H217" s="48" t="str">
        <f>IF($B217="","",Campionato!$D$2&amp;" "&amp;Campionato!$D$6)</f>
        <v/>
      </c>
      <c r="I217" s="48"/>
    </row>
    <row r="218" spans="1:9" x14ac:dyDescent="0.25">
      <c r="A218" s="48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48" t="str">
        <f>IF('Calendario E'!$B132="","",'Calendario E'!$B132&amp;" vs "&amp;'Calendario E'!$D132&amp;" "&amp;'Calendario E'!$AC132)</f>
        <v/>
      </c>
      <c r="C218" s="116" t="str">
        <f>IF($B218="","",DATE(YEAR('Calendario E'!$F132),MONTH('Calendario E'!$F132),DAY('Calendario E'!$F132)))</f>
        <v/>
      </c>
      <c r="D218" s="117" t="str">
        <f>IF($B218="","",TIME(HOUR('Calendario E'!$F132),MINUTE('Calendario E'!$F132),0))</f>
        <v/>
      </c>
      <c r="E218" s="116" t="str">
        <f>IF($B218="","",DATE(YEAR('Calendario E'!$F132),MONTH('Calendario E'!$F132),DAY('Calendario E'!$F132)))</f>
        <v/>
      </c>
      <c r="F218" s="117" t="str">
        <f>IF($B218="","",TIME(HOUR('Calendario E'!$F132)+2,MINUTE('Calendario E'!$F132),0))</f>
        <v/>
      </c>
      <c r="G218" s="48" t="str">
        <f>IF($B218="","",'Calendario E'!$B133)</f>
        <v/>
      </c>
      <c r="H218" s="48" t="str">
        <f>IF($B218="","",Campionato!$D$2&amp;" "&amp;Campionato!$D$6)</f>
        <v/>
      </c>
      <c r="I218" s="48"/>
    </row>
    <row r="219" spans="1:9" x14ac:dyDescent="0.25">
      <c r="A219" s="48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48" t="str">
        <f>IF('Calendario E'!$B135="","",'Calendario E'!$B135&amp;" vs "&amp;'Calendario E'!$D135&amp;" "&amp;'Calendario E'!$AC135)</f>
        <v/>
      </c>
      <c r="C219" s="116" t="str">
        <f>IF($B219="","",DATE(YEAR('Calendario E'!$F135),MONTH('Calendario E'!$F135),DAY('Calendario E'!$F135)))</f>
        <v/>
      </c>
      <c r="D219" s="117" t="str">
        <f>IF($B219="","",TIME(HOUR('Calendario E'!$F135),MINUTE('Calendario E'!$F135),0))</f>
        <v/>
      </c>
      <c r="E219" s="116" t="str">
        <f>IF($B219="","",DATE(YEAR('Calendario E'!$F135),MONTH('Calendario E'!$F135),DAY('Calendario E'!$F135)))</f>
        <v/>
      </c>
      <c r="F219" s="117" t="str">
        <f>IF($B219="","",TIME(HOUR('Calendario E'!$F135)+2,MINUTE('Calendario E'!$F135),0))</f>
        <v/>
      </c>
      <c r="G219" s="48" t="str">
        <f>IF($B219="","",'Calendario E'!$B136)</f>
        <v/>
      </c>
      <c r="H219" s="48" t="str">
        <f>IF($B219="","",Campionato!$D$2&amp;" "&amp;Campionato!$D$6)</f>
        <v/>
      </c>
      <c r="I219" s="48"/>
    </row>
    <row r="220" spans="1:9" x14ac:dyDescent="0.25">
      <c r="A220" s="48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48" t="str">
        <f>IF('Calendario E'!$B138="","",'Calendario E'!$B138&amp;" vs "&amp;'Calendario E'!$D138&amp;" "&amp;'Calendario E'!$AC138)</f>
        <v/>
      </c>
      <c r="C220" s="116" t="str">
        <f>IF($B220="","",DATE(YEAR('Calendario E'!$F138),MONTH('Calendario E'!$F138),DAY('Calendario E'!$F138)))</f>
        <v/>
      </c>
      <c r="D220" s="117" t="str">
        <f>IF($B220="","",TIME(HOUR('Calendario E'!$F138),MINUTE('Calendario E'!$F138),0))</f>
        <v/>
      </c>
      <c r="E220" s="116" t="str">
        <f>IF($B220="","",DATE(YEAR('Calendario E'!$F138),MONTH('Calendario E'!$F138),DAY('Calendario E'!$F138)))</f>
        <v/>
      </c>
      <c r="F220" s="117" t="str">
        <f>IF($B220="","",TIME(HOUR('Calendario E'!$F138)+2,MINUTE('Calendario E'!$F138),0))</f>
        <v/>
      </c>
      <c r="G220" s="48" t="str">
        <f>IF($B220="","",'Calendario E'!$B139)</f>
        <v/>
      </c>
      <c r="H220" s="48" t="str">
        <f>IF($B220="","",Campionato!$D$2&amp;" "&amp;Campionato!$D$6)</f>
        <v/>
      </c>
      <c r="I220" s="48"/>
    </row>
    <row r="221" spans="1:9" x14ac:dyDescent="0.25">
      <c r="A221" s="48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48" t="str">
        <f>IF('Calendario E'!$B141="","",'Calendario E'!$B141&amp;" vs "&amp;'Calendario E'!$D141&amp;" "&amp;'Calendario E'!$AC141)</f>
        <v/>
      </c>
      <c r="C221" s="116" t="str">
        <f>IF($B221="","",DATE(YEAR('Calendario E'!$F141),MONTH('Calendario E'!$F141),DAY('Calendario E'!$F141)))</f>
        <v/>
      </c>
      <c r="D221" s="117" t="str">
        <f>IF($B221="","",TIME(HOUR('Calendario E'!$F141),MINUTE('Calendario E'!$F141),0))</f>
        <v/>
      </c>
      <c r="E221" s="116" t="str">
        <f>IF($B221="","",DATE(YEAR('Calendario E'!$F141),MONTH('Calendario E'!$F141),DAY('Calendario E'!$F141)))</f>
        <v/>
      </c>
      <c r="F221" s="117" t="str">
        <f>IF($B221="","",TIME(HOUR('Calendario E'!$F141)+2,MINUTE('Calendario E'!$F141),0))</f>
        <v/>
      </c>
      <c r="G221" s="48" t="str">
        <f>IF($B221="","",'Calendario E'!$B142)</f>
        <v/>
      </c>
      <c r="H221" s="48" t="str">
        <f>IF($B221="","",Campionato!$D$2&amp;" "&amp;Campionato!$D$6)</f>
        <v/>
      </c>
      <c r="I221" s="48"/>
    </row>
    <row r="222" spans="1:9" x14ac:dyDescent="0.25">
      <c r="A222" s="48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48" t="str">
        <f>IF('Calendario E'!$B146="","",'Calendario E'!$B146&amp;" vs "&amp;'Calendario E'!$D146&amp;" "&amp;'Calendario E'!$AC146)</f>
        <v/>
      </c>
      <c r="C222" s="116" t="str">
        <f>IF($B222="","",DATE(YEAR('Calendario E'!$F146),MONTH('Calendario E'!$F146),DAY('Calendario E'!$F146)))</f>
        <v/>
      </c>
      <c r="D222" s="117" t="str">
        <f>IF($B222="","",TIME(HOUR('Calendario E'!$F146),MINUTE('Calendario E'!$F146),0))</f>
        <v/>
      </c>
      <c r="E222" s="116" t="str">
        <f>IF($B222="","",DATE(YEAR('Calendario E'!$F146),MONTH('Calendario E'!$F146),DAY('Calendario E'!$F146)))</f>
        <v/>
      </c>
      <c r="F222" s="117" t="str">
        <f>IF($B222="","",TIME(HOUR('Calendario E'!$F146)+2,MINUTE('Calendario E'!$F146),0))</f>
        <v/>
      </c>
      <c r="G222" s="48" t="str">
        <f>IF($B222="","",'Calendario E'!$B147)</f>
        <v/>
      </c>
      <c r="H222" s="48" t="str">
        <f>IF($B222="","",Campionato!$D$2&amp;" "&amp;Campionato!$D$6)</f>
        <v/>
      </c>
      <c r="I222" s="48"/>
    </row>
    <row r="223" spans="1:9" x14ac:dyDescent="0.25">
      <c r="A223" s="48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48" t="str">
        <f>IF('Calendario E'!$B149="","",'Calendario E'!$B149&amp;" vs "&amp;'Calendario E'!$D149&amp;" "&amp;'Calendario E'!$AC149)</f>
        <v/>
      </c>
      <c r="C223" s="116" t="str">
        <f>IF($B223="","",DATE(YEAR('Calendario E'!$F149),MONTH('Calendario E'!$F149),DAY('Calendario E'!$F149)))</f>
        <v/>
      </c>
      <c r="D223" s="117" t="str">
        <f>IF($B223="","",TIME(HOUR('Calendario E'!$F149),MINUTE('Calendario E'!$F149),0))</f>
        <v/>
      </c>
      <c r="E223" s="116" t="str">
        <f>IF($B223="","",DATE(YEAR('Calendario E'!$F149),MONTH('Calendario E'!$F149),DAY('Calendario E'!$F149)))</f>
        <v/>
      </c>
      <c r="F223" s="117" t="str">
        <f>IF($B223="","",TIME(HOUR('Calendario E'!$F149)+2,MINUTE('Calendario E'!$F149),0))</f>
        <v/>
      </c>
      <c r="G223" s="48" t="str">
        <f>IF($B223="","",'Calendario E'!$B150)</f>
        <v/>
      </c>
      <c r="H223" s="48" t="str">
        <f>IF($B223="","",Campionato!$D$2&amp;" "&amp;Campionato!$D$6)</f>
        <v/>
      </c>
      <c r="I223" s="48"/>
    </row>
    <row r="224" spans="1:9" x14ac:dyDescent="0.25">
      <c r="A224" s="48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48" t="str">
        <f>IF('Calendario E'!$B152="","",'Calendario E'!$B152&amp;" vs "&amp;'Calendario E'!$D152&amp;" "&amp;'Calendario E'!$AC152)</f>
        <v/>
      </c>
      <c r="C224" s="116" t="str">
        <f>IF($B224="","",DATE(YEAR('Calendario E'!$F152),MONTH('Calendario E'!$F152),DAY('Calendario E'!$F152)))</f>
        <v/>
      </c>
      <c r="D224" s="117" t="str">
        <f>IF($B224="","",TIME(HOUR('Calendario E'!$F152),MINUTE('Calendario E'!$F152),0))</f>
        <v/>
      </c>
      <c r="E224" s="116" t="str">
        <f>IF($B224="","",DATE(YEAR('Calendario E'!$F152),MONTH('Calendario E'!$F152),DAY('Calendario E'!$F152)))</f>
        <v/>
      </c>
      <c r="F224" s="117" t="str">
        <f>IF($B224="","",TIME(HOUR('Calendario E'!$F152)+2,MINUTE('Calendario E'!$F152),0))</f>
        <v/>
      </c>
      <c r="G224" s="48" t="str">
        <f>IF($B224="","",'Calendario E'!$B153)</f>
        <v/>
      </c>
      <c r="H224" s="48" t="str">
        <f>IF($B224="","",Campionato!$D$2&amp;" "&amp;Campionato!$D$6)</f>
        <v/>
      </c>
      <c r="I224" s="48"/>
    </row>
    <row r="225" spans="1:9" x14ac:dyDescent="0.25">
      <c r="A225" s="48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48" t="str">
        <f>IF('Calendario E'!$B155="","",'Calendario E'!$B155&amp;" vs "&amp;'Calendario E'!$D155&amp;" "&amp;'Calendario E'!$AC155)</f>
        <v/>
      </c>
      <c r="C225" s="116" t="str">
        <f>IF($B225="","",DATE(YEAR('Calendario E'!$F155),MONTH('Calendario E'!$F155),DAY('Calendario E'!$F155)))</f>
        <v/>
      </c>
      <c r="D225" s="117" t="str">
        <f>IF($B225="","",TIME(HOUR('Calendario E'!$F155),MINUTE('Calendario E'!$F155),0))</f>
        <v/>
      </c>
      <c r="E225" s="116" t="str">
        <f>IF($B225="","",DATE(YEAR('Calendario E'!$F155),MONTH('Calendario E'!$F155),DAY('Calendario E'!$F155)))</f>
        <v/>
      </c>
      <c r="F225" s="117" t="str">
        <f>IF($B225="","",TIME(HOUR('Calendario E'!$F155)+2,MINUTE('Calendario E'!$F155),0))</f>
        <v/>
      </c>
      <c r="G225" s="48" t="str">
        <f>IF($B225="","",'Calendario E'!$B156)</f>
        <v/>
      </c>
      <c r="H225" s="48" t="str">
        <f>IF($B225="","",Campionato!$D$2&amp;" "&amp;Campionato!$D$6)</f>
        <v/>
      </c>
      <c r="I225" s="48"/>
    </row>
    <row r="226" spans="1:9" x14ac:dyDescent="0.25">
      <c r="A226" s="48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48" t="str">
        <f>IF('Calendario E'!$B158="","",'Calendario E'!$B158&amp;" vs "&amp;'Calendario E'!$D158&amp;" "&amp;'Calendario E'!$AC158)</f>
        <v/>
      </c>
      <c r="C226" s="116" t="str">
        <f>IF($B226="","",DATE(YEAR('Calendario E'!$F158),MONTH('Calendario E'!$F158),DAY('Calendario E'!$F158)))</f>
        <v/>
      </c>
      <c r="D226" s="117" t="str">
        <f>IF($B226="","",TIME(HOUR('Calendario E'!$F158),MINUTE('Calendario E'!$F158),0))</f>
        <v/>
      </c>
      <c r="E226" s="116" t="str">
        <f>IF($B226="","",DATE(YEAR('Calendario E'!$F158),MONTH('Calendario E'!$F158),DAY('Calendario E'!$F158)))</f>
        <v/>
      </c>
      <c r="F226" s="117" t="str">
        <f>IF($B226="","",TIME(HOUR('Calendario E'!$F158)+2,MINUTE('Calendario E'!$F158),0))</f>
        <v/>
      </c>
      <c r="G226" s="48" t="str">
        <f>IF($B226="","",'Calendario E'!$B159)</f>
        <v/>
      </c>
      <c r="H226" s="48" t="str">
        <f>IF($B226="","",Campionato!$D$2&amp;" "&amp;Campionato!$D$6)</f>
        <v/>
      </c>
      <c r="I226" s="48"/>
    </row>
    <row r="227" spans="1:9" x14ac:dyDescent="0.25">
      <c r="A227" s="48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48" t="str">
        <f>IF('Calendario F'!$B10="","",'Calendario F'!$B10&amp;" vs "&amp;'Calendario F'!$D10&amp;" "&amp;'Calendario F'!$AC10)</f>
        <v/>
      </c>
      <c r="C227" s="116" t="str">
        <f>IF($B227="","",DATE(YEAR('Calendario F'!$F10),MONTH('Calendario F'!$F10),DAY('Calendario F'!$F10)))</f>
        <v/>
      </c>
      <c r="D227" s="117" t="str">
        <f>IF($B227="","",TIME(HOUR('Calendario F'!$F10),MINUTE('Calendario F'!$F10),0))</f>
        <v/>
      </c>
      <c r="E227" s="116" t="str">
        <f>IF($B227="","",DATE(YEAR('Calendario F'!$F10),MONTH('Calendario F'!$F10),DAY('Calendario F'!$F10)))</f>
        <v/>
      </c>
      <c r="F227" s="117" t="str">
        <f>IF($B227="","",TIME(HOUR('Calendario F'!$F10)+2,MINUTE('Calendario F'!$F10),0))</f>
        <v/>
      </c>
      <c r="G227" s="48" t="str">
        <f>IF($B227="","",'Calendario F'!$B11)</f>
        <v/>
      </c>
      <c r="H227" s="48" t="str">
        <f>IF($B227="","",Campionato!$D$2&amp;" "&amp;Campionato!$D$6)</f>
        <v/>
      </c>
      <c r="I227" s="48"/>
    </row>
    <row r="228" spans="1:9" x14ac:dyDescent="0.25">
      <c r="A228" s="48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48" t="str">
        <f>IF('Calendario F'!$B13="","",'Calendario F'!$B13&amp;" vs "&amp;'Calendario F'!$D13&amp;" "&amp;'Calendario F'!$AC13)</f>
        <v/>
      </c>
      <c r="C228" s="116" t="str">
        <f>IF($B228="","",DATE(YEAR('Calendario F'!$F13),MONTH('Calendario F'!$F13),DAY('Calendario F'!$F13)))</f>
        <v/>
      </c>
      <c r="D228" s="117" t="str">
        <f>IF($B228="","",TIME(HOUR('Calendario F'!$F13),MINUTE('Calendario F'!$F13),0))</f>
        <v/>
      </c>
      <c r="E228" s="116" t="str">
        <f>IF($B228="","",DATE(YEAR('Calendario F'!$F13),MONTH('Calendario F'!$F13),DAY('Calendario F'!$F13)))</f>
        <v/>
      </c>
      <c r="F228" s="117" t="str">
        <f>IF($B228="","",TIME(HOUR('Calendario F'!$F13)+2,MINUTE('Calendario F'!$F13),0))</f>
        <v/>
      </c>
      <c r="G228" s="48" t="str">
        <f>IF($B228="","",'Calendario F'!$B14)</f>
        <v/>
      </c>
      <c r="H228" s="48" t="str">
        <f>IF($B228="","",Campionato!$D$2&amp;" "&amp;Campionato!$D$6)</f>
        <v/>
      </c>
      <c r="I228" s="48"/>
    </row>
    <row r="229" spans="1:9" x14ac:dyDescent="0.25">
      <c r="A229" s="48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48" t="str">
        <f>IF('Calendario F'!$B16="","",'Calendario F'!$B16&amp;" vs "&amp;'Calendario F'!$D16&amp;" "&amp;'Calendario F'!$AC16)</f>
        <v/>
      </c>
      <c r="C229" s="116" t="str">
        <f>IF($B229="","",DATE(YEAR('Calendario F'!$F16),MONTH('Calendario F'!$F16),DAY('Calendario F'!$F16)))</f>
        <v/>
      </c>
      <c r="D229" s="117" t="str">
        <f>IF($B229="","",TIME(HOUR('Calendario F'!$F16),MINUTE('Calendario F'!$F16),0))</f>
        <v/>
      </c>
      <c r="E229" s="116" t="str">
        <f>IF($B229="","",DATE(YEAR('Calendario F'!$F16),MONTH('Calendario F'!$F16),DAY('Calendario F'!$F16)))</f>
        <v/>
      </c>
      <c r="F229" s="117" t="str">
        <f>IF($B229="","",TIME(HOUR('Calendario F'!$F16)+2,MINUTE('Calendario F'!$F16),0))</f>
        <v/>
      </c>
      <c r="G229" s="48" t="str">
        <f>IF($B229="","",'Calendario F'!$B17)</f>
        <v/>
      </c>
      <c r="H229" s="48" t="str">
        <f>IF($B229="","",Campionato!$D$2&amp;" "&amp;Campionato!$D$6)</f>
        <v/>
      </c>
      <c r="I229" s="48"/>
    </row>
    <row r="230" spans="1:9" x14ac:dyDescent="0.25">
      <c r="A230" s="48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48" t="str">
        <f>IF('Calendario F'!$B19="","",'Calendario F'!$B19&amp;" vs "&amp;'Calendario F'!$D19&amp;" "&amp;'Calendario F'!$AC19)</f>
        <v/>
      </c>
      <c r="C230" s="116" t="str">
        <f>IF($B230="","",DATE(YEAR('Calendario F'!$F19),MONTH('Calendario F'!$F19),DAY('Calendario F'!$F19)))</f>
        <v/>
      </c>
      <c r="D230" s="117" t="str">
        <f>IF($B230="","",TIME(HOUR('Calendario F'!$F19),MINUTE('Calendario F'!$F19),0))</f>
        <v/>
      </c>
      <c r="E230" s="116" t="str">
        <f>IF($B230="","",DATE(YEAR('Calendario F'!$F19),MONTH('Calendario F'!$F19),DAY('Calendario F'!$F19)))</f>
        <v/>
      </c>
      <c r="F230" s="117" t="str">
        <f>IF($B230="","",TIME(HOUR('Calendario F'!$F19)+2,MINUTE('Calendario F'!$F19),0))</f>
        <v/>
      </c>
      <c r="G230" s="48" t="str">
        <f>IF($B230="","",'Calendario F'!$B20)</f>
        <v/>
      </c>
      <c r="H230" s="48" t="str">
        <f>IF($B230="","",Campionato!$D$2&amp;" "&amp;Campionato!$D$6)</f>
        <v/>
      </c>
      <c r="I230" s="48"/>
    </row>
    <row r="231" spans="1:9" x14ac:dyDescent="0.25">
      <c r="A231" s="48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48" t="str">
        <f>IF('Calendario F'!$B22="","",'Calendario F'!$B22&amp;" vs "&amp;'Calendario F'!$D22&amp;" "&amp;'Calendario F'!$AC22)</f>
        <v/>
      </c>
      <c r="C231" s="116" t="str">
        <f>IF($B231="","",DATE(YEAR('Calendario F'!$F22),MONTH('Calendario F'!$F22),DAY('Calendario F'!$F22)))</f>
        <v/>
      </c>
      <c r="D231" s="117" t="str">
        <f>IF($B231="","",TIME(HOUR('Calendario F'!$F22),MINUTE('Calendario F'!$F22),0))</f>
        <v/>
      </c>
      <c r="E231" s="116" t="str">
        <f>IF($B231="","",DATE(YEAR('Calendario F'!$F22),MONTH('Calendario F'!$F22),DAY('Calendario F'!$F22)))</f>
        <v/>
      </c>
      <c r="F231" s="117" t="str">
        <f>IF($B231="","",TIME(HOUR('Calendario F'!$F22)+2,MINUTE('Calendario F'!$F22),0))</f>
        <v/>
      </c>
      <c r="G231" s="48" t="str">
        <f>IF($B231="","",'Calendario F'!$B23)</f>
        <v/>
      </c>
      <c r="H231" s="48" t="str">
        <f>IF($B231="","",Campionato!$D$2&amp;" "&amp;Campionato!$D$6)</f>
        <v/>
      </c>
      <c r="I231" s="48"/>
    </row>
    <row r="232" spans="1:9" x14ac:dyDescent="0.25">
      <c r="A232" s="48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48" t="str">
        <f>IF('Calendario F'!$B27="","",'Calendario F'!$B27&amp;" vs "&amp;'Calendario F'!$D27&amp;" "&amp;'Calendario F'!$AC27)</f>
        <v/>
      </c>
      <c r="C232" s="116" t="str">
        <f>IF($B232="","",DATE(YEAR('Calendario F'!$F27),MONTH('Calendario F'!$F27),DAY('Calendario F'!$F27)))</f>
        <v/>
      </c>
      <c r="D232" s="117" t="str">
        <f>IF($B232="","",TIME(HOUR('Calendario F'!$F27),MINUTE('Calendario F'!$F27),0))</f>
        <v/>
      </c>
      <c r="E232" s="116" t="str">
        <f>IF($B232="","",DATE(YEAR('Calendario F'!$F27),MONTH('Calendario F'!$F27),DAY('Calendario F'!$F27)))</f>
        <v/>
      </c>
      <c r="F232" s="117" t="str">
        <f>IF($B232="","",TIME(HOUR('Calendario F'!$F27)+2,MINUTE('Calendario F'!$F27),0))</f>
        <v/>
      </c>
      <c r="G232" s="48" t="str">
        <f>IF($B232="","",'Calendario F'!$B28)</f>
        <v/>
      </c>
      <c r="H232" s="48" t="str">
        <f>IF($B232="","",Campionato!$D$2&amp;" "&amp;Campionato!$D$6)</f>
        <v/>
      </c>
      <c r="I232" s="48"/>
    </row>
    <row r="233" spans="1:9" x14ac:dyDescent="0.25">
      <c r="A233" s="48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48" t="str">
        <f>IF('Calendario F'!$B30="","",'Calendario F'!$B30&amp;" vs "&amp;'Calendario F'!$D30&amp;" "&amp;'Calendario F'!$AC30)</f>
        <v/>
      </c>
      <c r="C233" s="116" t="str">
        <f>IF($B233="","",DATE(YEAR('Calendario F'!$F30),MONTH('Calendario F'!$F30),DAY('Calendario F'!$F30)))</f>
        <v/>
      </c>
      <c r="D233" s="117" t="str">
        <f>IF($B233="","",TIME(HOUR('Calendario F'!$F30),MINUTE('Calendario F'!$F30),0))</f>
        <v/>
      </c>
      <c r="E233" s="116" t="str">
        <f>IF($B233="","",DATE(YEAR('Calendario F'!$F30),MONTH('Calendario F'!$F30),DAY('Calendario F'!$F30)))</f>
        <v/>
      </c>
      <c r="F233" s="117" t="str">
        <f>IF($B233="","",TIME(HOUR('Calendario F'!$F30)+2,MINUTE('Calendario F'!$F30),0))</f>
        <v/>
      </c>
      <c r="G233" s="48" t="str">
        <f>IF($B233="","",'Calendario F'!$B31)</f>
        <v/>
      </c>
      <c r="H233" s="48" t="str">
        <f>IF($B233="","",Campionato!$D$2&amp;" "&amp;Campionato!$D$6)</f>
        <v/>
      </c>
      <c r="I233" s="48"/>
    </row>
    <row r="234" spans="1:9" x14ac:dyDescent="0.25">
      <c r="A234" s="48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48" t="str">
        <f>IF('Calendario F'!$B33="","",'Calendario F'!$B33&amp;" vs "&amp;'Calendario F'!$D33&amp;" "&amp;'Calendario F'!$AC33)</f>
        <v/>
      </c>
      <c r="C234" s="116" t="str">
        <f>IF($B234="","",DATE(YEAR('Calendario F'!$F33),MONTH('Calendario F'!$F33),DAY('Calendario F'!$F33)))</f>
        <v/>
      </c>
      <c r="D234" s="117" t="str">
        <f>IF($B234="","",TIME(HOUR('Calendario F'!$F33),MINUTE('Calendario F'!$F33),0))</f>
        <v/>
      </c>
      <c r="E234" s="116" t="str">
        <f>IF($B234="","",DATE(YEAR('Calendario F'!$F33),MONTH('Calendario F'!$F33),DAY('Calendario F'!$F33)))</f>
        <v/>
      </c>
      <c r="F234" s="117" t="str">
        <f>IF($B234="","",TIME(HOUR('Calendario F'!$F33)+2,MINUTE('Calendario F'!$F33),0))</f>
        <v/>
      </c>
      <c r="G234" s="48" t="str">
        <f>IF($B234="","",'Calendario F'!$B34)</f>
        <v/>
      </c>
      <c r="H234" s="48" t="str">
        <f>IF($B234="","",Campionato!$D$2&amp;" "&amp;Campionato!$D$6)</f>
        <v/>
      </c>
      <c r="I234" s="48"/>
    </row>
    <row r="235" spans="1:9" x14ac:dyDescent="0.25">
      <c r="A235" s="48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48" t="str">
        <f>IF('Calendario F'!$B36="","",'Calendario F'!$B36&amp;" vs "&amp;'Calendario F'!$D36&amp;" "&amp;'Calendario F'!$AC36)</f>
        <v/>
      </c>
      <c r="C235" s="116" t="str">
        <f>IF($B235="","",DATE(YEAR('Calendario F'!$F36),MONTH('Calendario F'!$F36),DAY('Calendario F'!$F36)))</f>
        <v/>
      </c>
      <c r="D235" s="117" t="str">
        <f>IF($B235="","",TIME(HOUR('Calendario F'!$F36),MINUTE('Calendario F'!$F36),0))</f>
        <v/>
      </c>
      <c r="E235" s="116" t="str">
        <f>IF($B235="","",DATE(YEAR('Calendario F'!$F36),MONTH('Calendario F'!$F36),DAY('Calendario F'!$F36)))</f>
        <v/>
      </c>
      <c r="F235" s="117" t="str">
        <f>IF($B235="","",TIME(HOUR('Calendario F'!$F36)+2,MINUTE('Calendario F'!$F36),0))</f>
        <v/>
      </c>
      <c r="G235" s="48" t="str">
        <f>IF($B235="","",'Calendario F'!$B37)</f>
        <v/>
      </c>
      <c r="H235" s="48" t="str">
        <f>IF($B235="","",Campionato!$D$2&amp;" "&amp;Campionato!$D$6)</f>
        <v/>
      </c>
      <c r="I235" s="48"/>
    </row>
    <row r="236" spans="1:9" x14ac:dyDescent="0.25">
      <c r="A236" s="48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48" t="str">
        <f>IF('Calendario F'!$B39="","",'Calendario F'!$B39&amp;" vs "&amp;'Calendario F'!$D39&amp;" "&amp;'Calendario F'!$AC39)</f>
        <v/>
      </c>
      <c r="C236" s="116" t="str">
        <f>IF($B236="","",DATE(YEAR('Calendario F'!$F39),MONTH('Calendario F'!$F39),DAY('Calendario F'!$F39)))</f>
        <v/>
      </c>
      <c r="D236" s="117" t="str">
        <f>IF($B236="","",TIME(HOUR('Calendario F'!$F39),MINUTE('Calendario F'!$F39),0))</f>
        <v/>
      </c>
      <c r="E236" s="116" t="str">
        <f>IF($B236="","",DATE(YEAR('Calendario F'!$F39),MONTH('Calendario F'!$F39),DAY('Calendario F'!$F39)))</f>
        <v/>
      </c>
      <c r="F236" s="117" t="str">
        <f>IF($B236="","",TIME(HOUR('Calendario F'!$F39)+2,MINUTE('Calendario F'!$F39),0))</f>
        <v/>
      </c>
      <c r="G236" s="48" t="str">
        <f>IF($B236="","",'Calendario F'!$B40)</f>
        <v/>
      </c>
      <c r="H236" s="48" t="str">
        <f>IF($B236="","",Campionato!$D$2&amp;" "&amp;Campionato!$D$6)</f>
        <v/>
      </c>
      <c r="I236" s="48"/>
    </row>
    <row r="237" spans="1:9" x14ac:dyDescent="0.25">
      <c r="A237" s="48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48" t="str">
        <f>IF('Calendario F'!$B44="","",'Calendario F'!$B44&amp;" vs "&amp;'Calendario F'!$D44&amp;" "&amp;'Calendario F'!$AC44)</f>
        <v/>
      </c>
      <c r="C237" s="116" t="str">
        <f>IF($B237="","",DATE(YEAR('Calendario F'!$F44),MONTH('Calendario F'!$F44),DAY('Calendario F'!$F44)))</f>
        <v/>
      </c>
      <c r="D237" s="117" t="str">
        <f>IF($B237="","",TIME(HOUR('Calendario F'!$F44),MINUTE('Calendario F'!$F44),0))</f>
        <v/>
      </c>
      <c r="E237" s="116" t="str">
        <f>IF($B237="","",DATE(YEAR('Calendario F'!$F44),MONTH('Calendario F'!$F44),DAY('Calendario F'!$F44)))</f>
        <v/>
      </c>
      <c r="F237" s="117" t="str">
        <f>IF($B237="","",TIME(HOUR('Calendario F'!$F44)+2,MINUTE('Calendario F'!$F44),0))</f>
        <v/>
      </c>
      <c r="G237" s="48" t="str">
        <f>IF($B237="","",'Calendario F'!$B45)</f>
        <v/>
      </c>
      <c r="H237" s="48" t="str">
        <f>IF($B237="","",Campionato!$D$2&amp;" "&amp;Campionato!$D$6)</f>
        <v/>
      </c>
      <c r="I237" s="48"/>
    </row>
    <row r="238" spans="1:9" x14ac:dyDescent="0.25">
      <c r="A238" s="48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48" t="str">
        <f>IF('Calendario F'!$B47="","",'Calendario F'!$B47&amp;" vs "&amp;'Calendario F'!$D47&amp;" "&amp;'Calendario F'!$AC47)</f>
        <v/>
      </c>
      <c r="C238" s="116" t="str">
        <f>IF($B238="","",DATE(YEAR('Calendario F'!$F47),MONTH('Calendario F'!$F47),DAY('Calendario F'!$F47)))</f>
        <v/>
      </c>
      <c r="D238" s="117" t="str">
        <f>IF($B238="","",TIME(HOUR('Calendario F'!$F47),MINUTE('Calendario F'!$F47),0))</f>
        <v/>
      </c>
      <c r="E238" s="116" t="str">
        <f>IF($B238="","",DATE(YEAR('Calendario F'!$F47),MONTH('Calendario F'!$F47),DAY('Calendario F'!$F47)))</f>
        <v/>
      </c>
      <c r="F238" s="117" t="str">
        <f>IF($B238="","",TIME(HOUR('Calendario F'!$F47)+2,MINUTE('Calendario F'!$F47),0))</f>
        <v/>
      </c>
      <c r="G238" s="48" t="str">
        <f>IF($B238="","",'Calendario F'!$B48)</f>
        <v/>
      </c>
      <c r="H238" s="48" t="str">
        <f>IF($B238="","",Campionato!$D$2&amp;" "&amp;Campionato!$D$6)</f>
        <v/>
      </c>
      <c r="I238" s="48"/>
    </row>
    <row r="239" spans="1:9" x14ac:dyDescent="0.25">
      <c r="A239" s="48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48" t="str">
        <f>IF('Calendario F'!$B50="","",'Calendario F'!$B50&amp;" vs "&amp;'Calendario F'!$D50&amp;" "&amp;'Calendario F'!$AC50)</f>
        <v/>
      </c>
      <c r="C239" s="116" t="str">
        <f>IF($B239="","",DATE(YEAR('Calendario F'!$F50),MONTH('Calendario F'!$F50),DAY('Calendario F'!$F50)))</f>
        <v/>
      </c>
      <c r="D239" s="117" t="str">
        <f>IF($B239="","",TIME(HOUR('Calendario F'!$F50),MINUTE('Calendario F'!$F50),0))</f>
        <v/>
      </c>
      <c r="E239" s="116" t="str">
        <f>IF($B239="","",DATE(YEAR('Calendario F'!$F50),MONTH('Calendario F'!$F50),DAY('Calendario F'!$F50)))</f>
        <v/>
      </c>
      <c r="F239" s="117" t="str">
        <f>IF($B239="","",TIME(HOUR('Calendario F'!$F50)+2,MINUTE('Calendario F'!$F50),0))</f>
        <v/>
      </c>
      <c r="G239" s="48" t="str">
        <f>IF($B239="","",'Calendario F'!$B51)</f>
        <v/>
      </c>
      <c r="H239" s="48" t="str">
        <f>IF($B239="","",Campionato!$D$2&amp;" "&amp;Campionato!$D$6)</f>
        <v/>
      </c>
      <c r="I239" s="48"/>
    </row>
    <row r="240" spans="1:9" x14ac:dyDescent="0.25">
      <c r="A240" s="48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48" t="str">
        <f>IF('Calendario F'!$B53="","",'Calendario F'!$B53&amp;" vs "&amp;'Calendario F'!$D53&amp;" "&amp;'Calendario F'!$AC53)</f>
        <v/>
      </c>
      <c r="C240" s="116" t="str">
        <f>IF($B240="","",DATE(YEAR('Calendario F'!$F53),MONTH('Calendario F'!$F53),DAY('Calendario F'!$F53)))</f>
        <v/>
      </c>
      <c r="D240" s="117" t="str">
        <f>IF($B240="","",TIME(HOUR('Calendario F'!$F53),MINUTE('Calendario F'!$F53),0))</f>
        <v/>
      </c>
      <c r="E240" s="116" t="str">
        <f>IF($B240="","",DATE(YEAR('Calendario F'!$F53),MONTH('Calendario F'!$F53),DAY('Calendario F'!$F53)))</f>
        <v/>
      </c>
      <c r="F240" s="117" t="str">
        <f>IF($B240="","",TIME(HOUR('Calendario F'!$F53)+2,MINUTE('Calendario F'!$F53),0))</f>
        <v/>
      </c>
      <c r="G240" s="48" t="str">
        <f>IF($B240="","",'Calendario F'!$B54)</f>
        <v/>
      </c>
      <c r="H240" s="48" t="str">
        <f>IF($B240="","",Campionato!$D$2&amp;" "&amp;Campionato!$D$6)</f>
        <v/>
      </c>
      <c r="I240" s="48"/>
    </row>
    <row r="241" spans="1:9" x14ac:dyDescent="0.25">
      <c r="A241" s="48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48" t="str">
        <f>IF('Calendario F'!$B56="","",'Calendario F'!$B56&amp;" vs "&amp;'Calendario F'!$D56&amp;" "&amp;'Calendario F'!$AC56)</f>
        <v/>
      </c>
      <c r="C241" s="116" t="str">
        <f>IF($B241="","",DATE(YEAR('Calendario F'!$F56),MONTH('Calendario F'!$F56),DAY('Calendario F'!$F56)))</f>
        <v/>
      </c>
      <c r="D241" s="117" t="str">
        <f>IF($B241="","",TIME(HOUR('Calendario F'!$F56),MINUTE('Calendario F'!$F56),0))</f>
        <v/>
      </c>
      <c r="E241" s="116" t="str">
        <f>IF($B241="","",DATE(YEAR('Calendario F'!$F56),MONTH('Calendario F'!$F56),DAY('Calendario F'!$F56)))</f>
        <v/>
      </c>
      <c r="F241" s="117" t="str">
        <f>IF($B241="","",TIME(HOUR('Calendario F'!$F56)+2,MINUTE('Calendario F'!$F56),0))</f>
        <v/>
      </c>
      <c r="G241" s="48" t="str">
        <f>IF($B241="","",'Calendario F'!$B57)</f>
        <v/>
      </c>
      <c r="H241" s="48" t="str">
        <f>IF($B241="","",Campionato!$D$2&amp;" "&amp;Campionato!$D$6)</f>
        <v/>
      </c>
      <c r="I241" s="48"/>
    </row>
    <row r="242" spans="1:9" x14ac:dyDescent="0.25">
      <c r="A242" s="48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48" t="str">
        <f>IF('Calendario F'!$B61="","",'Calendario F'!$B61&amp;" vs "&amp;'Calendario F'!$D61&amp;" "&amp;'Calendario F'!$AC61)</f>
        <v/>
      </c>
      <c r="C242" s="116" t="str">
        <f>IF($B242="","",DATE(YEAR('Calendario F'!$F61),MONTH('Calendario F'!$F61),DAY('Calendario F'!$F61)))</f>
        <v/>
      </c>
      <c r="D242" s="117" t="str">
        <f>IF($B242="","",TIME(HOUR('Calendario F'!$F61),MINUTE('Calendario F'!$F61),0))</f>
        <v/>
      </c>
      <c r="E242" s="116" t="str">
        <f>IF($B242="","",DATE(YEAR('Calendario F'!$F61),MONTH('Calendario F'!$F61),DAY('Calendario F'!$F61)))</f>
        <v/>
      </c>
      <c r="F242" s="117" t="str">
        <f>IF($B242="","",TIME(HOUR('Calendario F'!$F61)+2,MINUTE('Calendario F'!$F61),0))</f>
        <v/>
      </c>
      <c r="G242" s="48" t="str">
        <f>IF($B242="","",'Calendario F'!$B62)</f>
        <v/>
      </c>
      <c r="H242" s="48" t="str">
        <f>IF($B242="","",Campionato!$D$2&amp;" "&amp;Campionato!$D$6)</f>
        <v/>
      </c>
      <c r="I242" s="48"/>
    </row>
    <row r="243" spans="1:9" x14ac:dyDescent="0.25">
      <c r="A243" s="48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48" t="str">
        <f>IF('Calendario F'!$B64="","",'Calendario F'!$B64&amp;" vs "&amp;'Calendario F'!$D64&amp;" "&amp;'Calendario F'!$AC64)</f>
        <v/>
      </c>
      <c r="C243" s="116" t="str">
        <f>IF($B243="","",DATE(YEAR('Calendario F'!$F64),MONTH('Calendario F'!$F64),DAY('Calendario F'!$F64)))</f>
        <v/>
      </c>
      <c r="D243" s="117" t="str">
        <f>IF($B243="","",TIME(HOUR('Calendario F'!$F64),MINUTE('Calendario F'!$F64),0))</f>
        <v/>
      </c>
      <c r="E243" s="116" t="str">
        <f>IF($B243="","",DATE(YEAR('Calendario F'!$F64),MONTH('Calendario F'!$F64),DAY('Calendario F'!$F64)))</f>
        <v/>
      </c>
      <c r="F243" s="117" t="str">
        <f>IF($B243="","",TIME(HOUR('Calendario F'!$F64)+2,MINUTE('Calendario F'!$F64),0))</f>
        <v/>
      </c>
      <c r="G243" s="48" t="str">
        <f>IF($B243="","",'Calendario F'!$B65)</f>
        <v/>
      </c>
      <c r="H243" s="48" t="str">
        <f>IF($B243="","",Campionato!$D$2&amp;" "&amp;Campionato!$D$6)</f>
        <v/>
      </c>
      <c r="I243" s="48"/>
    </row>
    <row r="244" spans="1:9" x14ac:dyDescent="0.25">
      <c r="A244" s="48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48" t="str">
        <f>IF('Calendario F'!$B67="","",'Calendario F'!$B67&amp;" vs "&amp;'Calendario F'!$D67&amp;" "&amp;'Calendario F'!$AC67)</f>
        <v/>
      </c>
      <c r="C244" s="116" t="str">
        <f>IF($B244="","",DATE(YEAR('Calendario F'!$F67),MONTH('Calendario F'!$F67),DAY('Calendario F'!$F67)))</f>
        <v/>
      </c>
      <c r="D244" s="117" t="str">
        <f>IF($B244="","",TIME(HOUR('Calendario F'!$F67),MINUTE('Calendario F'!$F67),0))</f>
        <v/>
      </c>
      <c r="E244" s="116" t="str">
        <f>IF($B244="","",DATE(YEAR('Calendario F'!$F67),MONTH('Calendario F'!$F67),DAY('Calendario F'!$F67)))</f>
        <v/>
      </c>
      <c r="F244" s="117" t="str">
        <f>IF($B244="","",TIME(HOUR('Calendario F'!$F67)+2,MINUTE('Calendario F'!$F67),0))</f>
        <v/>
      </c>
      <c r="G244" s="48" t="str">
        <f>IF($B244="","",'Calendario F'!$B68)</f>
        <v/>
      </c>
      <c r="H244" s="48" t="str">
        <f>IF($B244="","",Campionato!$D$2&amp;" "&amp;Campionato!$D$6)</f>
        <v/>
      </c>
      <c r="I244" s="48"/>
    </row>
    <row r="245" spans="1:9" x14ac:dyDescent="0.25">
      <c r="A245" s="48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48" t="str">
        <f>IF('Calendario F'!$B70="","",'Calendario F'!$B70&amp;" vs "&amp;'Calendario F'!$D70&amp;" "&amp;'Calendario F'!$AC70)</f>
        <v/>
      </c>
      <c r="C245" s="116" t="str">
        <f>IF($B245="","",DATE(YEAR('Calendario F'!$F70),MONTH('Calendario F'!$F70),DAY('Calendario F'!$F70)))</f>
        <v/>
      </c>
      <c r="D245" s="117" t="str">
        <f>IF($B245="","",TIME(HOUR('Calendario F'!$F70),MINUTE('Calendario F'!$F70),0))</f>
        <v/>
      </c>
      <c r="E245" s="116" t="str">
        <f>IF($B245="","",DATE(YEAR('Calendario F'!$F70),MONTH('Calendario F'!$F70),DAY('Calendario F'!$F70)))</f>
        <v/>
      </c>
      <c r="F245" s="117" t="str">
        <f>IF($B245="","",TIME(HOUR('Calendario F'!$F70)+2,MINUTE('Calendario F'!$F70),0))</f>
        <v/>
      </c>
      <c r="G245" s="48" t="str">
        <f>IF($B245="","",'Calendario F'!$B71)</f>
        <v/>
      </c>
      <c r="H245" s="48" t="str">
        <f>IF($B245="","",Campionato!$D$2&amp;" "&amp;Campionato!$D$6)</f>
        <v/>
      </c>
      <c r="I245" s="48"/>
    </row>
    <row r="246" spans="1:9" x14ac:dyDescent="0.25">
      <c r="A246" s="48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48" t="str">
        <f>IF('Calendario F'!$B73="","",'Calendario F'!$B73&amp;" vs "&amp;'Calendario F'!$D73&amp;" "&amp;'Calendario F'!$AC73)</f>
        <v/>
      </c>
      <c r="C246" s="116" t="str">
        <f>IF($B246="","",DATE(YEAR('Calendario F'!$F73),MONTH('Calendario F'!$F73),DAY('Calendario F'!$F73)))</f>
        <v/>
      </c>
      <c r="D246" s="117" t="str">
        <f>IF($B246="","",TIME(HOUR('Calendario F'!$F73),MINUTE('Calendario F'!$F73),0))</f>
        <v/>
      </c>
      <c r="E246" s="116" t="str">
        <f>IF($B246="","",DATE(YEAR('Calendario F'!$F73),MONTH('Calendario F'!$F73),DAY('Calendario F'!$F73)))</f>
        <v/>
      </c>
      <c r="F246" s="117" t="str">
        <f>IF($B246="","",TIME(HOUR('Calendario F'!$F73)+2,MINUTE('Calendario F'!$F73),0))</f>
        <v/>
      </c>
      <c r="G246" s="48" t="str">
        <f>IF($B246="","",'Calendario F'!$B74)</f>
        <v/>
      </c>
      <c r="H246" s="48" t="str">
        <f>IF($B246="","",Campionato!$D$2&amp;" "&amp;Campionato!$D$6)</f>
        <v/>
      </c>
      <c r="I246" s="48"/>
    </row>
    <row r="247" spans="1:9" x14ac:dyDescent="0.25">
      <c r="A247" s="48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48" t="str">
        <f>IF('Calendario F'!$B78="","",'Calendario F'!$B78&amp;" vs "&amp;'Calendario F'!$D78&amp;" "&amp;'Calendario F'!$AC78)</f>
        <v/>
      </c>
      <c r="C247" s="116" t="str">
        <f>IF($B247="","",DATE(YEAR('Calendario F'!$F78),MONTH('Calendario F'!$F78),DAY('Calendario F'!$F78)))</f>
        <v/>
      </c>
      <c r="D247" s="117" t="str">
        <f>IF($B247="","",TIME(HOUR('Calendario F'!$F78),MINUTE('Calendario F'!$F78),0))</f>
        <v/>
      </c>
      <c r="E247" s="116" t="str">
        <f>IF($B247="","",DATE(YEAR('Calendario F'!$F78),MONTH('Calendario F'!$F78),DAY('Calendario F'!$F78)))</f>
        <v/>
      </c>
      <c r="F247" s="117" t="str">
        <f>IF($B247="","",TIME(HOUR('Calendario F'!$F78)+2,MINUTE('Calendario F'!$F78),0))</f>
        <v/>
      </c>
      <c r="G247" s="48" t="str">
        <f>IF($B247="","",'Calendario F'!$B79)</f>
        <v/>
      </c>
      <c r="H247" s="48" t="str">
        <f>IF($B247="","",Campionato!$D$2&amp;" "&amp;Campionato!$D$6)</f>
        <v/>
      </c>
      <c r="I247" s="48"/>
    </row>
    <row r="248" spans="1:9" x14ac:dyDescent="0.25">
      <c r="A248" s="48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48" t="str">
        <f>IF('Calendario F'!$B81="","",'Calendario F'!$B81&amp;" vs "&amp;'Calendario F'!$D81&amp;" "&amp;'Calendario F'!$AC81)</f>
        <v/>
      </c>
      <c r="C248" s="116" t="str">
        <f>IF($B248="","",DATE(YEAR('Calendario F'!$F81),MONTH('Calendario F'!$F81),DAY('Calendario F'!$F81)))</f>
        <v/>
      </c>
      <c r="D248" s="117" t="str">
        <f>IF($B248="","",TIME(HOUR('Calendario F'!$F81),MINUTE('Calendario F'!$F81),0))</f>
        <v/>
      </c>
      <c r="E248" s="116" t="str">
        <f>IF($B248="","",DATE(YEAR('Calendario F'!$F81),MONTH('Calendario F'!$F81),DAY('Calendario F'!$F81)))</f>
        <v/>
      </c>
      <c r="F248" s="117" t="str">
        <f>IF($B248="","",TIME(HOUR('Calendario F'!$F81)+2,MINUTE('Calendario F'!$F81),0))</f>
        <v/>
      </c>
      <c r="G248" s="48" t="str">
        <f>IF($B248="","",'Calendario F'!$B82)</f>
        <v/>
      </c>
      <c r="H248" s="48" t="str">
        <f>IF($B248="","",Campionato!$D$2&amp;" "&amp;Campionato!$D$6)</f>
        <v/>
      </c>
      <c r="I248" s="48"/>
    </row>
    <row r="249" spans="1:9" x14ac:dyDescent="0.25">
      <c r="A249" s="48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48" t="str">
        <f>IF('Calendario F'!$B84="","",'Calendario F'!$B84&amp;" vs "&amp;'Calendario F'!$D84&amp;" "&amp;'Calendario F'!$AC84)</f>
        <v/>
      </c>
      <c r="C249" s="116" t="str">
        <f>IF($B249="","",DATE(YEAR('Calendario F'!$F84),MONTH('Calendario F'!$F84),DAY('Calendario F'!$F84)))</f>
        <v/>
      </c>
      <c r="D249" s="117" t="str">
        <f>IF($B249="","",TIME(HOUR('Calendario F'!$F84),MINUTE('Calendario F'!$F84),0))</f>
        <v/>
      </c>
      <c r="E249" s="116" t="str">
        <f>IF($B249="","",DATE(YEAR('Calendario F'!$F84),MONTH('Calendario F'!$F84),DAY('Calendario F'!$F84)))</f>
        <v/>
      </c>
      <c r="F249" s="117" t="str">
        <f>IF($B249="","",TIME(HOUR('Calendario F'!$F84)+2,MINUTE('Calendario F'!$F84),0))</f>
        <v/>
      </c>
      <c r="G249" s="48" t="str">
        <f>IF($B249="","",'Calendario F'!$B85)</f>
        <v/>
      </c>
      <c r="H249" s="48" t="str">
        <f>IF($B249="","",Campionato!$D$2&amp;" "&amp;Campionato!$D$6)</f>
        <v/>
      </c>
      <c r="I249" s="48"/>
    </row>
    <row r="250" spans="1:9" x14ac:dyDescent="0.25">
      <c r="A250" s="48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48" t="str">
        <f>IF('Calendario F'!$B87="","",'Calendario F'!$B87&amp;" vs "&amp;'Calendario F'!$D87&amp;" "&amp;'Calendario F'!$AC87)</f>
        <v/>
      </c>
      <c r="C250" s="116" t="str">
        <f>IF($B250="","",DATE(YEAR('Calendario F'!$F87),MONTH('Calendario F'!$F87),DAY('Calendario F'!$F87)))</f>
        <v/>
      </c>
      <c r="D250" s="117" t="str">
        <f>IF($B250="","",TIME(HOUR('Calendario F'!$F87),MINUTE('Calendario F'!$F87),0))</f>
        <v/>
      </c>
      <c r="E250" s="116" t="str">
        <f>IF($B250="","",DATE(YEAR('Calendario F'!$F87),MONTH('Calendario F'!$F87),DAY('Calendario F'!$F87)))</f>
        <v/>
      </c>
      <c r="F250" s="117" t="str">
        <f>IF($B250="","",TIME(HOUR('Calendario F'!$F87)+2,MINUTE('Calendario F'!$F87),0))</f>
        <v/>
      </c>
      <c r="G250" s="48" t="str">
        <f>IF($B250="","",'Calendario F'!$B88)</f>
        <v/>
      </c>
      <c r="H250" s="48" t="str">
        <f>IF($B250="","",Campionato!$D$2&amp;" "&amp;Campionato!$D$6)</f>
        <v/>
      </c>
      <c r="I250" s="48"/>
    </row>
    <row r="251" spans="1:9" x14ac:dyDescent="0.25">
      <c r="A251" s="48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48" t="str">
        <f>IF('Calendario F'!$B90="","",'Calendario F'!$B90&amp;" vs "&amp;'Calendario F'!$D90&amp;" "&amp;'Calendario F'!$AC90)</f>
        <v/>
      </c>
      <c r="C251" s="116" t="str">
        <f>IF($B251="","",DATE(YEAR('Calendario F'!$F90),MONTH('Calendario F'!$F90),DAY('Calendario F'!$F90)))</f>
        <v/>
      </c>
      <c r="D251" s="117" t="str">
        <f>IF($B251="","",TIME(HOUR('Calendario F'!$F90),MINUTE('Calendario F'!$F90),0))</f>
        <v/>
      </c>
      <c r="E251" s="116" t="str">
        <f>IF($B251="","",DATE(YEAR('Calendario F'!$F90),MONTH('Calendario F'!$F90),DAY('Calendario F'!$F90)))</f>
        <v/>
      </c>
      <c r="F251" s="117" t="str">
        <f>IF($B251="","",TIME(HOUR('Calendario F'!$F90)+2,MINUTE('Calendario F'!$F90),0))</f>
        <v/>
      </c>
      <c r="G251" s="48" t="str">
        <f>IF($B251="","",'Calendario F'!$B91)</f>
        <v/>
      </c>
      <c r="H251" s="48" t="str">
        <f>IF($B251="","",Campionato!$D$2&amp;" "&amp;Campionato!$D$6)</f>
        <v/>
      </c>
      <c r="I251" s="48"/>
    </row>
    <row r="252" spans="1:9" x14ac:dyDescent="0.25">
      <c r="A252" s="48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48" t="str">
        <f>IF('Calendario F'!$B95="","",'Calendario F'!$B95&amp;" vs "&amp;'Calendario F'!$D95&amp;" "&amp;'Calendario F'!$AC95)</f>
        <v/>
      </c>
      <c r="C252" s="116" t="str">
        <f>IF($B252="","",DATE(YEAR('Calendario F'!$F95),MONTH('Calendario F'!$F95),DAY('Calendario F'!$F95)))</f>
        <v/>
      </c>
      <c r="D252" s="117" t="str">
        <f>IF($B252="","",TIME(HOUR('Calendario F'!$F95),MINUTE('Calendario F'!$F95),0))</f>
        <v/>
      </c>
      <c r="E252" s="116" t="str">
        <f>IF($B252="","",DATE(YEAR('Calendario F'!$F95),MONTH('Calendario F'!$F95),DAY('Calendario F'!$F95)))</f>
        <v/>
      </c>
      <c r="F252" s="117" t="str">
        <f>IF($B252="","",TIME(HOUR('Calendario F'!$F95)+2,MINUTE('Calendario F'!$F95),0))</f>
        <v/>
      </c>
      <c r="G252" s="48" t="str">
        <f>IF($B252="","",'Calendario F'!$B96)</f>
        <v/>
      </c>
      <c r="H252" s="48" t="str">
        <f>IF($B252="","",Campionato!$D$2&amp;" "&amp;Campionato!$D$6)</f>
        <v/>
      </c>
      <c r="I252" s="48"/>
    </row>
    <row r="253" spans="1:9" x14ac:dyDescent="0.25">
      <c r="A253" s="48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48" t="str">
        <f>IF('Calendario F'!$B98="","",'Calendario F'!$B98&amp;" vs "&amp;'Calendario F'!$D98&amp;" "&amp;'Calendario F'!$AC98)</f>
        <v/>
      </c>
      <c r="C253" s="116" t="str">
        <f>IF($B253="","",DATE(YEAR('Calendario F'!$F98),MONTH('Calendario F'!$F98),DAY('Calendario F'!$F98)))</f>
        <v/>
      </c>
      <c r="D253" s="117" t="str">
        <f>IF($B253="","",TIME(HOUR('Calendario F'!$F98),MINUTE('Calendario F'!$F98),0))</f>
        <v/>
      </c>
      <c r="E253" s="116" t="str">
        <f>IF($B253="","",DATE(YEAR('Calendario F'!$F98),MONTH('Calendario F'!$F98),DAY('Calendario F'!$F98)))</f>
        <v/>
      </c>
      <c r="F253" s="117" t="str">
        <f>IF($B253="","",TIME(HOUR('Calendario F'!$F98)+2,MINUTE('Calendario F'!$F98),0))</f>
        <v/>
      </c>
      <c r="G253" s="48" t="str">
        <f>IF($B253="","",'Calendario F'!$B99)</f>
        <v/>
      </c>
      <c r="H253" s="48" t="str">
        <f>IF($B253="","",Campionato!$D$2&amp;" "&amp;Campionato!$D$6)</f>
        <v/>
      </c>
      <c r="I253" s="48"/>
    </row>
    <row r="254" spans="1:9" x14ac:dyDescent="0.25">
      <c r="A254" s="48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48" t="str">
        <f>IF('Calendario F'!$B101="","",'Calendario F'!$B101&amp;" vs "&amp;'Calendario F'!$D101&amp;" "&amp;'Calendario F'!$AC101)</f>
        <v/>
      </c>
      <c r="C254" s="116" t="str">
        <f>IF($B254="","",DATE(YEAR('Calendario F'!$F101),MONTH('Calendario F'!$F101),DAY('Calendario F'!$F101)))</f>
        <v/>
      </c>
      <c r="D254" s="117" t="str">
        <f>IF($B254="","",TIME(HOUR('Calendario F'!$F101),MINUTE('Calendario F'!$F101),0))</f>
        <v/>
      </c>
      <c r="E254" s="116" t="str">
        <f>IF($B254="","",DATE(YEAR('Calendario F'!$F101),MONTH('Calendario F'!$F101),DAY('Calendario F'!$F101)))</f>
        <v/>
      </c>
      <c r="F254" s="117" t="str">
        <f>IF($B254="","",TIME(HOUR('Calendario F'!$F101)+2,MINUTE('Calendario F'!$F101),0))</f>
        <v/>
      </c>
      <c r="G254" s="48" t="str">
        <f>IF($B254="","",'Calendario F'!$B102)</f>
        <v/>
      </c>
      <c r="H254" s="48" t="str">
        <f>IF($B254="","",Campionato!$D$2&amp;" "&amp;Campionato!$D$6)</f>
        <v/>
      </c>
      <c r="I254" s="48"/>
    </row>
    <row r="255" spans="1:9" x14ac:dyDescent="0.25">
      <c r="A255" s="48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48" t="str">
        <f>IF('Calendario F'!$B104="","",'Calendario F'!$B104&amp;" vs "&amp;'Calendario F'!$D104&amp;" "&amp;'Calendario F'!$AC104)</f>
        <v/>
      </c>
      <c r="C255" s="116" t="str">
        <f>IF($B255="","",DATE(YEAR('Calendario F'!$F104),MONTH('Calendario F'!$F104),DAY('Calendario F'!$F104)))</f>
        <v/>
      </c>
      <c r="D255" s="117" t="str">
        <f>IF($B255="","",TIME(HOUR('Calendario F'!$F104),MINUTE('Calendario F'!$F104),0))</f>
        <v/>
      </c>
      <c r="E255" s="116" t="str">
        <f>IF($B255="","",DATE(YEAR('Calendario F'!$F104),MONTH('Calendario F'!$F104),DAY('Calendario F'!$F104)))</f>
        <v/>
      </c>
      <c r="F255" s="117" t="str">
        <f>IF($B255="","",TIME(HOUR('Calendario F'!$F104)+2,MINUTE('Calendario F'!$F104),0))</f>
        <v/>
      </c>
      <c r="G255" s="48" t="str">
        <f>IF($B255="","",'Calendario F'!$B105)</f>
        <v/>
      </c>
      <c r="H255" s="48" t="str">
        <f>IF($B255="","",Campionato!$D$2&amp;" "&amp;Campionato!$D$6)</f>
        <v/>
      </c>
      <c r="I255" s="48"/>
    </row>
    <row r="256" spans="1:9" x14ac:dyDescent="0.25">
      <c r="A256" s="48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48" t="str">
        <f>IF('Calendario F'!$B107="","",'Calendario F'!$B107&amp;" vs "&amp;'Calendario F'!$D107&amp;" "&amp;'Calendario F'!$AC107)</f>
        <v/>
      </c>
      <c r="C256" s="116" t="str">
        <f>IF($B256="","",DATE(YEAR('Calendario F'!$F107),MONTH('Calendario F'!$F107),DAY('Calendario F'!$F107)))</f>
        <v/>
      </c>
      <c r="D256" s="117" t="str">
        <f>IF($B256="","",TIME(HOUR('Calendario F'!$F107),MINUTE('Calendario F'!$F107),0))</f>
        <v/>
      </c>
      <c r="E256" s="116" t="str">
        <f>IF($B256="","",DATE(YEAR('Calendario F'!$F107),MONTH('Calendario F'!$F107),DAY('Calendario F'!$F107)))</f>
        <v/>
      </c>
      <c r="F256" s="117" t="str">
        <f>IF($B256="","",TIME(HOUR('Calendario F'!$F107)+2,MINUTE('Calendario F'!$F107),0))</f>
        <v/>
      </c>
      <c r="G256" s="48" t="str">
        <f>IF($B256="","",'Calendario F'!$B108)</f>
        <v/>
      </c>
      <c r="H256" s="48" t="str">
        <f>IF($B256="","",Campionato!$D$2&amp;" "&amp;Campionato!$D$6)</f>
        <v/>
      </c>
      <c r="I256" s="48"/>
    </row>
    <row r="257" spans="1:9" x14ac:dyDescent="0.25">
      <c r="A257" s="48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48" t="str">
        <f>IF('Calendario F'!$B112="","",'Calendario F'!$B112&amp;" vs "&amp;'Calendario F'!$D112&amp;" "&amp;'Calendario F'!$AC112)</f>
        <v/>
      </c>
      <c r="C257" s="116" t="str">
        <f>IF($B257="","",DATE(YEAR('Calendario F'!$F112),MONTH('Calendario F'!$F112),DAY('Calendario F'!$F112)))</f>
        <v/>
      </c>
      <c r="D257" s="117" t="str">
        <f>IF($B257="","",TIME(HOUR('Calendario F'!$F112),MINUTE('Calendario F'!$F112),0))</f>
        <v/>
      </c>
      <c r="E257" s="116" t="str">
        <f>IF($B257="","",DATE(YEAR('Calendario F'!$F112),MONTH('Calendario F'!$F112),DAY('Calendario F'!$F112)))</f>
        <v/>
      </c>
      <c r="F257" s="117" t="str">
        <f>IF($B257="","",TIME(HOUR('Calendario F'!$F112)+2,MINUTE('Calendario F'!$F112),0))</f>
        <v/>
      </c>
      <c r="G257" s="48" t="str">
        <f>IF($B257="","",'Calendario F'!$B113)</f>
        <v/>
      </c>
      <c r="H257" s="48" t="str">
        <f>IF($B257="","",Campionato!$D$2&amp;" "&amp;Campionato!$D$6)</f>
        <v/>
      </c>
      <c r="I257" s="48"/>
    </row>
    <row r="258" spans="1:9" x14ac:dyDescent="0.25">
      <c r="A258" s="48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48" t="str">
        <f>IF('Calendario F'!$B115="","",'Calendario F'!$B115&amp;" vs "&amp;'Calendario F'!$D115&amp;" "&amp;'Calendario F'!$AC115)</f>
        <v/>
      </c>
      <c r="C258" s="116" t="str">
        <f>IF($B258="","",DATE(YEAR('Calendario F'!$F115),MONTH('Calendario F'!$F115),DAY('Calendario F'!$F115)))</f>
        <v/>
      </c>
      <c r="D258" s="117" t="str">
        <f>IF($B258="","",TIME(HOUR('Calendario F'!$F115),MINUTE('Calendario F'!$F115),0))</f>
        <v/>
      </c>
      <c r="E258" s="116" t="str">
        <f>IF($B258="","",DATE(YEAR('Calendario F'!$F115),MONTH('Calendario F'!$F115),DAY('Calendario F'!$F115)))</f>
        <v/>
      </c>
      <c r="F258" s="117" t="str">
        <f>IF($B258="","",TIME(HOUR('Calendario F'!$F115)+2,MINUTE('Calendario F'!$F115),0))</f>
        <v/>
      </c>
      <c r="G258" s="48" t="str">
        <f>IF($B258="","",'Calendario F'!$B116)</f>
        <v/>
      </c>
      <c r="H258" s="48" t="str">
        <f>IF($B258="","",Campionato!$D$2&amp;" "&amp;Campionato!$D$6)</f>
        <v/>
      </c>
      <c r="I258" s="48"/>
    </row>
    <row r="259" spans="1:9" x14ac:dyDescent="0.25">
      <c r="A259" s="48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48" t="str">
        <f>IF('Calendario F'!$B118="","",'Calendario F'!$B118&amp;" vs "&amp;'Calendario F'!$D118&amp;" "&amp;'Calendario F'!$AC118)</f>
        <v/>
      </c>
      <c r="C259" s="116" t="str">
        <f>IF($B259="","",DATE(YEAR('Calendario F'!$F118),MONTH('Calendario F'!$F118),DAY('Calendario F'!$F118)))</f>
        <v/>
      </c>
      <c r="D259" s="117" t="str">
        <f>IF($B259="","",TIME(HOUR('Calendario F'!$F118),MINUTE('Calendario F'!$F118),0))</f>
        <v/>
      </c>
      <c r="E259" s="116" t="str">
        <f>IF($B259="","",DATE(YEAR('Calendario F'!$F118),MONTH('Calendario F'!$F118),DAY('Calendario F'!$F118)))</f>
        <v/>
      </c>
      <c r="F259" s="117" t="str">
        <f>IF($B259="","",TIME(HOUR('Calendario F'!$F118)+2,MINUTE('Calendario F'!$F118),0))</f>
        <v/>
      </c>
      <c r="G259" s="48" t="str">
        <f>IF($B259="","",'Calendario F'!$B119)</f>
        <v/>
      </c>
      <c r="H259" s="48" t="str">
        <f>IF($B259="","",Campionato!$D$2&amp;" "&amp;Campionato!$D$6)</f>
        <v/>
      </c>
      <c r="I259" s="48"/>
    </row>
    <row r="260" spans="1:9" x14ac:dyDescent="0.25">
      <c r="A260" s="48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48" t="str">
        <f>IF('Calendario F'!$B121="","",'Calendario F'!$B121&amp;" vs "&amp;'Calendario F'!$D121&amp;" "&amp;'Calendario F'!$AC121)</f>
        <v/>
      </c>
      <c r="C260" s="116" t="str">
        <f>IF($B260="","",DATE(YEAR('Calendario F'!$F121),MONTH('Calendario F'!$F121),DAY('Calendario F'!$F121)))</f>
        <v/>
      </c>
      <c r="D260" s="117" t="str">
        <f>IF($B260="","",TIME(HOUR('Calendario F'!$F121),MINUTE('Calendario F'!$F121),0))</f>
        <v/>
      </c>
      <c r="E260" s="116" t="str">
        <f>IF($B260="","",DATE(YEAR('Calendario F'!$F121),MONTH('Calendario F'!$F121),DAY('Calendario F'!$F121)))</f>
        <v/>
      </c>
      <c r="F260" s="117" t="str">
        <f>IF($B260="","",TIME(HOUR('Calendario F'!$F121)+2,MINUTE('Calendario F'!$F121),0))</f>
        <v/>
      </c>
      <c r="G260" s="48" t="str">
        <f>IF($B260="","",'Calendario F'!$B122)</f>
        <v/>
      </c>
      <c r="H260" s="48" t="str">
        <f>IF($B260="","",Campionato!$D$2&amp;" "&amp;Campionato!$D$6)</f>
        <v/>
      </c>
      <c r="I260" s="48"/>
    </row>
    <row r="261" spans="1:9" x14ac:dyDescent="0.25">
      <c r="A261" s="48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48" t="str">
        <f>IF('Calendario F'!$B124="","",'Calendario F'!$B124&amp;" vs "&amp;'Calendario F'!$D124&amp;" "&amp;'Calendario F'!$AC124)</f>
        <v/>
      </c>
      <c r="C261" s="116" t="str">
        <f>IF($B261="","",DATE(YEAR('Calendario F'!$F124),MONTH('Calendario F'!$F124),DAY('Calendario F'!$F124)))</f>
        <v/>
      </c>
      <c r="D261" s="117" t="str">
        <f>IF($B261="","",TIME(HOUR('Calendario F'!$F124),MINUTE('Calendario F'!$F124),0))</f>
        <v/>
      </c>
      <c r="E261" s="116" t="str">
        <f>IF($B261="","",DATE(YEAR('Calendario F'!$F124),MONTH('Calendario F'!$F124),DAY('Calendario F'!$F124)))</f>
        <v/>
      </c>
      <c r="F261" s="117" t="str">
        <f>IF($B261="","",TIME(HOUR('Calendario F'!$F124)+2,MINUTE('Calendario F'!$F124),0))</f>
        <v/>
      </c>
      <c r="G261" s="48" t="str">
        <f>IF($B261="","",'Calendario F'!$B125)</f>
        <v/>
      </c>
      <c r="H261" s="48" t="str">
        <f>IF($B261="","",Campionato!$D$2&amp;" "&amp;Campionato!$D$6)</f>
        <v/>
      </c>
      <c r="I261" s="48"/>
    </row>
    <row r="262" spans="1:9" x14ac:dyDescent="0.25">
      <c r="A262" s="48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48" t="str">
        <f>IF('Calendario F'!$B129="","",'Calendario F'!$B129&amp;" vs "&amp;'Calendario F'!$D129&amp;" "&amp;'Calendario F'!$AC129)</f>
        <v/>
      </c>
      <c r="C262" s="116" t="str">
        <f>IF($B262="","",DATE(YEAR('Calendario F'!$F129),MONTH('Calendario F'!$F129),DAY('Calendario F'!$F129)))</f>
        <v/>
      </c>
      <c r="D262" s="117" t="str">
        <f>IF($B262="","",TIME(HOUR('Calendario F'!$F129),MINUTE('Calendario F'!$F129),0))</f>
        <v/>
      </c>
      <c r="E262" s="116" t="str">
        <f>IF($B262="","",DATE(YEAR('Calendario F'!$F129),MONTH('Calendario F'!$F129),DAY('Calendario F'!$F129)))</f>
        <v/>
      </c>
      <c r="F262" s="117" t="str">
        <f>IF($B262="","",TIME(HOUR('Calendario F'!$F129)+2,MINUTE('Calendario F'!$F129),0))</f>
        <v/>
      </c>
      <c r="G262" s="48" t="str">
        <f>IF($B262="","",'Calendario F'!$B130)</f>
        <v/>
      </c>
      <c r="H262" s="48" t="str">
        <f>IF($B262="","",Campionato!$D$2&amp;" "&amp;Campionato!$D$6)</f>
        <v/>
      </c>
      <c r="I262" s="48"/>
    </row>
    <row r="263" spans="1:9" x14ac:dyDescent="0.25">
      <c r="A263" s="48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48" t="str">
        <f>IF('Calendario F'!$B132="","",'Calendario F'!$B132&amp;" vs "&amp;'Calendario F'!$D132&amp;" "&amp;'Calendario F'!$AC132)</f>
        <v/>
      </c>
      <c r="C263" s="116" t="str">
        <f>IF($B263="","",DATE(YEAR('Calendario F'!$F132),MONTH('Calendario F'!$F132),DAY('Calendario F'!$F132)))</f>
        <v/>
      </c>
      <c r="D263" s="117" t="str">
        <f>IF($B263="","",TIME(HOUR('Calendario F'!$F132),MINUTE('Calendario F'!$F132),0))</f>
        <v/>
      </c>
      <c r="E263" s="116" t="str">
        <f>IF($B263="","",DATE(YEAR('Calendario F'!$F132),MONTH('Calendario F'!$F132),DAY('Calendario F'!$F132)))</f>
        <v/>
      </c>
      <c r="F263" s="117" t="str">
        <f>IF($B263="","",TIME(HOUR('Calendario F'!$F132)+2,MINUTE('Calendario F'!$F132),0))</f>
        <v/>
      </c>
      <c r="G263" s="48" t="str">
        <f>IF($B263="","",'Calendario F'!$B133)</f>
        <v/>
      </c>
      <c r="H263" s="48" t="str">
        <f>IF($B263="","",Campionato!$D$2&amp;" "&amp;Campionato!$D$6)</f>
        <v/>
      </c>
      <c r="I263" s="48"/>
    </row>
    <row r="264" spans="1:9" x14ac:dyDescent="0.25">
      <c r="A264" s="48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48" t="str">
        <f>IF('Calendario F'!$B135="","",'Calendario F'!$B135&amp;" vs "&amp;'Calendario F'!$D135&amp;" "&amp;'Calendario F'!$AC135)</f>
        <v/>
      </c>
      <c r="C264" s="116" t="str">
        <f>IF($B264="","",DATE(YEAR('Calendario F'!$F135),MONTH('Calendario F'!$F135),DAY('Calendario F'!$F135)))</f>
        <v/>
      </c>
      <c r="D264" s="117" t="str">
        <f>IF($B264="","",TIME(HOUR('Calendario F'!$F135),MINUTE('Calendario F'!$F135),0))</f>
        <v/>
      </c>
      <c r="E264" s="116" t="str">
        <f>IF($B264="","",DATE(YEAR('Calendario F'!$F135),MONTH('Calendario F'!$F135),DAY('Calendario F'!$F135)))</f>
        <v/>
      </c>
      <c r="F264" s="117" t="str">
        <f>IF($B264="","",TIME(HOUR('Calendario F'!$F135)+2,MINUTE('Calendario F'!$F135),0))</f>
        <v/>
      </c>
      <c r="G264" s="48" t="str">
        <f>IF($B264="","",'Calendario F'!$B136)</f>
        <v/>
      </c>
      <c r="H264" s="48" t="str">
        <f>IF($B264="","",Campionato!$D$2&amp;" "&amp;Campionato!$D$6)</f>
        <v/>
      </c>
      <c r="I264" s="48"/>
    </row>
    <row r="265" spans="1:9" x14ac:dyDescent="0.25">
      <c r="A265" s="48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48" t="str">
        <f>IF('Calendario F'!$B138="","",'Calendario F'!$B138&amp;" vs "&amp;'Calendario F'!$D138&amp;" "&amp;'Calendario F'!$AC138)</f>
        <v/>
      </c>
      <c r="C265" s="116" t="str">
        <f>IF($B265="","",DATE(YEAR('Calendario F'!$F138),MONTH('Calendario F'!$F138),DAY('Calendario F'!$F138)))</f>
        <v/>
      </c>
      <c r="D265" s="117" t="str">
        <f>IF($B265="","",TIME(HOUR('Calendario F'!$F138),MINUTE('Calendario F'!$F138),0))</f>
        <v/>
      </c>
      <c r="E265" s="116" t="str">
        <f>IF($B265="","",DATE(YEAR('Calendario F'!$F138),MONTH('Calendario F'!$F138),DAY('Calendario F'!$F138)))</f>
        <v/>
      </c>
      <c r="F265" s="117" t="str">
        <f>IF($B265="","",TIME(HOUR('Calendario F'!$F138)+2,MINUTE('Calendario F'!$F138),0))</f>
        <v/>
      </c>
      <c r="G265" s="48" t="str">
        <f>IF($B265="","",'Calendario F'!$B139)</f>
        <v/>
      </c>
      <c r="H265" s="48" t="str">
        <f>IF($B265="","",Campionato!$D$2&amp;" "&amp;Campionato!$D$6)</f>
        <v/>
      </c>
      <c r="I265" s="48"/>
    </row>
    <row r="266" spans="1:9" x14ac:dyDescent="0.25">
      <c r="A266" s="48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48" t="str">
        <f>IF('Calendario F'!$B141="","",'Calendario F'!$B141&amp;" vs "&amp;'Calendario F'!$D141&amp;" "&amp;'Calendario F'!$AC141)</f>
        <v/>
      </c>
      <c r="C266" s="116" t="str">
        <f>IF($B266="","",DATE(YEAR('Calendario F'!$F141),MONTH('Calendario F'!$F141),DAY('Calendario F'!$F141)))</f>
        <v/>
      </c>
      <c r="D266" s="117" t="str">
        <f>IF($B266="","",TIME(HOUR('Calendario F'!$F141),MINUTE('Calendario F'!$F141),0))</f>
        <v/>
      </c>
      <c r="E266" s="116" t="str">
        <f>IF($B266="","",DATE(YEAR('Calendario F'!$F141),MONTH('Calendario F'!$F141),DAY('Calendario F'!$F141)))</f>
        <v/>
      </c>
      <c r="F266" s="117" t="str">
        <f>IF($B266="","",TIME(HOUR('Calendario F'!$F141)+2,MINUTE('Calendario F'!$F141),0))</f>
        <v/>
      </c>
      <c r="G266" s="48" t="str">
        <f>IF($B266="","",'Calendario F'!$B142)</f>
        <v/>
      </c>
      <c r="H266" s="48" t="str">
        <f>IF($B266="","",Campionato!$D$2&amp;" "&amp;Campionato!$D$6)</f>
        <v/>
      </c>
      <c r="I266" s="48"/>
    </row>
    <row r="267" spans="1:9" x14ac:dyDescent="0.25">
      <c r="A267" s="48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48" t="str">
        <f>IF('Calendario F'!$B146="","",'Calendario F'!$B146&amp;" vs "&amp;'Calendario F'!$D146&amp;" "&amp;'Calendario F'!$AC146)</f>
        <v/>
      </c>
      <c r="C267" s="116" t="str">
        <f>IF($B267="","",DATE(YEAR('Calendario F'!$F146),MONTH('Calendario F'!$F146),DAY('Calendario F'!$F146)))</f>
        <v/>
      </c>
      <c r="D267" s="117" t="str">
        <f>IF($B267="","",TIME(HOUR('Calendario F'!$F146),MINUTE('Calendario F'!$F146),0))</f>
        <v/>
      </c>
      <c r="E267" s="116" t="str">
        <f>IF($B267="","",DATE(YEAR('Calendario F'!$F146),MONTH('Calendario F'!$F146),DAY('Calendario F'!$F146)))</f>
        <v/>
      </c>
      <c r="F267" s="117" t="str">
        <f>IF($B267="","",TIME(HOUR('Calendario F'!$F146)+2,MINUTE('Calendario F'!$F146),0))</f>
        <v/>
      </c>
      <c r="G267" s="48" t="str">
        <f>IF($B267="","",'Calendario F'!$B147)</f>
        <v/>
      </c>
      <c r="H267" s="48" t="str">
        <f>IF($B267="","",Campionato!$D$2&amp;" "&amp;Campionato!$D$6)</f>
        <v/>
      </c>
      <c r="I267" s="48"/>
    </row>
    <row r="268" spans="1:9" x14ac:dyDescent="0.25">
      <c r="A268" s="48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48" t="str">
        <f>IF('Calendario F'!$B149="","",'Calendario F'!$B149&amp;" vs "&amp;'Calendario F'!$D149&amp;" "&amp;'Calendario F'!$AC149)</f>
        <v/>
      </c>
      <c r="C268" s="116" t="str">
        <f>IF($B268="","",DATE(YEAR('Calendario F'!$F149),MONTH('Calendario F'!$F149),DAY('Calendario F'!$F149)))</f>
        <v/>
      </c>
      <c r="D268" s="117" t="str">
        <f>IF($B268="","",TIME(HOUR('Calendario F'!$F149),MINUTE('Calendario F'!$F149),0))</f>
        <v/>
      </c>
      <c r="E268" s="116" t="str">
        <f>IF($B268="","",DATE(YEAR('Calendario F'!$F149),MONTH('Calendario F'!$F149),DAY('Calendario F'!$F149)))</f>
        <v/>
      </c>
      <c r="F268" s="117" t="str">
        <f>IF($B268="","",TIME(HOUR('Calendario F'!$F149)+2,MINUTE('Calendario F'!$F149),0))</f>
        <v/>
      </c>
      <c r="G268" s="48" t="str">
        <f>IF($B268="","",'Calendario F'!$B150)</f>
        <v/>
      </c>
      <c r="H268" s="48" t="str">
        <f>IF($B268="","",Campionato!$D$2&amp;" "&amp;Campionato!$D$6)</f>
        <v/>
      </c>
      <c r="I268" s="48"/>
    </row>
    <row r="269" spans="1:9" x14ac:dyDescent="0.25">
      <c r="A269" s="48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48" t="str">
        <f>IF('Calendario F'!$B152="","",'Calendario F'!$B152&amp;" vs "&amp;'Calendario F'!$D152&amp;" "&amp;'Calendario F'!$AC152)</f>
        <v/>
      </c>
      <c r="C269" s="116" t="str">
        <f>IF($B269="","",DATE(YEAR('Calendario F'!$F152),MONTH('Calendario F'!$F152),DAY('Calendario F'!$F152)))</f>
        <v/>
      </c>
      <c r="D269" s="117" t="str">
        <f>IF($B269="","",TIME(HOUR('Calendario F'!$F152),MINUTE('Calendario F'!$F152),0))</f>
        <v/>
      </c>
      <c r="E269" s="116" t="str">
        <f>IF($B269="","",DATE(YEAR('Calendario F'!$F152),MONTH('Calendario F'!$F152),DAY('Calendario F'!$F152)))</f>
        <v/>
      </c>
      <c r="F269" s="117" t="str">
        <f>IF($B269="","",TIME(HOUR('Calendario F'!$F152)+2,MINUTE('Calendario F'!$F152),0))</f>
        <v/>
      </c>
      <c r="G269" s="48" t="str">
        <f>IF($B269="","",'Calendario F'!$B153)</f>
        <v/>
      </c>
      <c r="H269" s="48" t="str">
        <f>IF($B269="","",Campionato!$D$2&amp;" "&amp;Campionato!$D$6)</f>
        <v/>
      </c>
      <c r="I269" s="48"/>
    </row>
    <row r="270" spans="1:9" x14ac:dyDescent="0.25">
      <c r="A270" s="48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48" t="str">
        <f>IF('Calendario F'!$B155="","",'Calendario F'!$B155&amp;" vs "&amp;'Calendario F'!$D155&amp;" "&amp;'Calendario F'!$AC155)</f>
        <v/>
      </c>
      <c r="C270" s="116" t="str">
        <f>IF($B270="","",DATE(YEAR('Calendario F'!$F155),MONTH('Calendario F'!$F155),DAY('Calendario F'!$F155)))</f>
        <v/>
      </c>
      <c r="D270" s="117" t="str">
        <f>IF($B270="","",TIME(HOUR('Calendario F'!$F155),MINUTE('Calendario F'!$F155),0))</f>
        <v/>
      </c>
      <c r="E270" s="116" t="str">
        <f>IF($B270="","",DATE(YEAR('Calendario F'!$F155),MONTH('Calendario F'!$F155),DAY('Calendario F'!$F155)))</f>
        <v/>
      </c>
      <c r="F270" s="117" t="str">
        <f>IF($B270="","",TIME(HOUR('Calendario F'!$F155)+2,MINUTE('Calendario F'!$F155),0))</f>
        <v/>
      </c>
      <c r="G270" s="48" t="str">
        <f>IF($B270="","",'Calendario F'!$B156)</f>
        <v/>
      </c>
      <c r="H270" s="48" t="str">
        <f>IF($B270="","",Campionato!$D$2&amp;" "&amp;Campionato!$D$6)</f>
        <v/>
      </c>
      <c r="I270" s="48"/>
    </row>
    <row r="271" spans="1:9" x14ac:dyDescent="0.25">
      <c r="A271" s="48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48" t="str">
        <f>IF('Calendario F'!$B158="","",'Calendario F'!$B158&amp;" vs "&amp;'Calendario F'!$D158&amp;" "&amp;'Calendario F'!$AC158)</f>
        <v/>
      </c>
      <c r="C271" s="116" t="str">
        <f>IF($B271="","",DATE(YEAR('Calendario F'!$F158),MONTH('Calendario F'!$F158),DAY('Calendario F'!$F158)))</f>
        <v/>
      </c>
      <c r="D271" s="117" t="str">
        <f>IF($B271="","",TIME(HOUR('Calendario F'!$F158),MINUTE('Calendario F'!$F158),0))</f>
        <v/>
      </c>
      <c r="E271" s="116" t="str">
        <f>IF($B271="","",DATE(YEAR('Calendario F'!$F158),MONTH('Calendario F'!$F158),DAY('Calendario F'!$F158)))</f>
        <v/>
      </c>
      <c r="F271" s="117" t="str">
        <f>IF($B271="","",TIME(HOUR('Calendario F'!$F158)+2,MINUTE('Calendario F'!$F158),0))</f>
        <v/>
      </c>
      <c r="G271" s="48" t="str">
        <f>IF($B271="","",'Calendario F'!$B159)</f>
        <v/>
      </c>
      <c r="H271" s="48" t="str">
        <f>IF($B271="","",Campionato!$D$2&amp;" "&amp;Campionato!$D$6)</f>
        <v/>
      </c>
      <c r="I271" s="48"/>
    </row>
    <row r="272" spans="1:9" x14ac:dyDescent="0.25">
      <c r="A272" s="48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48" t="str">
        <f>IF('Calendario G'!$B10="","",'Calendario G'!$B10&amp;" vs "&amp;'Calendario G'!$D10&amp;" "&amp;'Calendario G'!$AC10)</f>
        <v/>
      </c>
      <c r="C272" s="116" t="str">
        <f>IF($B272="","",DATE(YEAR('Calendario G'!$F10),MONTH('Calendario G'!$F10),DAY('Calendario G'!$F10)))</f>
        <v/>
      </c>
      <c r="D272" s="117" t="str">
        <f>IF($B272="","",TIME(HOUR('Calendario G'!$F10),MINUTE('Calendario G'!$F10),0))</f>
        <v/>
      </c>
      <c r="E272" s="116" t="str">
        <f>IF($B272="","",DATE(YEAR('Calendario G'!$F10),MONTH('Calendario G'!$F10),DAY('Calendario G'!$F10)))</f>
        <v/>
      </c>
      <c r="F272" s="117" t="str">
        <f>IF($B272="","",TIME(HOUR('Calendario G'!$F10)+2,MINUTE('Calendario G'!$F10),0))</f>
        <v/>
      </c>
      <c r="G272" s="48" t="str">
        <f>IF($B272="","",'Calendario G'!$B11)</f>
        <v/>
      </c>
      <c r="H272" s="48" t="str">
        <f>IF($B272="","",Campionato!$D$2&amp;" "&amp;Campionato!$D$6)</f>
        <v/>
      </c>
      <c r="I272" s="48"/>
    </row>
    <row r="273" spans="1:9" x14ac:dyDescent="0.25">
      <c r="A273" s="48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48" t="str">
        <f>IF('Calendario G'!$B13="","",'Calendario G'!$B13&amp;" vs "&amp;'Calendario G'!$D13&amp;" "&amp;'Calendario G'!$AC13)</f>
        <v/>
      </c>
      <c r="C273" s="116" t="str">
        <f>IF($B273="","",DATE(YEAR('Calendario G'!$F13),MONTH('Calendario G'!$F13),DAY('Calendario G'!$F13)))</f>
        <v/>
      </c>
      <c r="D273" s="117" t="str">
        <f>IF($B273="","",TIME(HOUR('Calendario G'!$F13),MINUTE('Calendario G'!$F13),0))</f>
        <v/>
      </c>
      <c r="E273" s="116" t="str">
        <f>IF($B273="","",DATE(YEAR('Calendario G'!$F13),MONTH('Calendario G'!$F13),DAY('Calendario G'!$F13)))</f>
        <v/>
      </c>
      <c r="F273" s="117" t="str">
        <f>IF($B273="","",TIME(HOUR('Calendario G'!$F13)+2,MINUTE('Calendario G'!$F13),0))</f>
        <v/>
      </c>
      <c r="G273" s="48" t="str">
        <f>IF($B273="","",'Calendario G'!$B14)</f>
        <v/>
      </c>
      <c r="H273" s="48" t="str">
        <f>IF($B273="","",Campionato!$D$2&amp;" "&amp;Campionato!$D$6)</f>
        <v/>
      </c>
      <c r="I273" s="48"/>
    </row>
    <row r="274" spans="1:9" x14ac:dyDescent="0.25">
      <c r="A274" s="48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48" t="str">
        <f>IF('Calendario G'!$B16="","",'Calendario G'!$B16&amp;" vs "&amp;'Calendario G'!$D16&amp;" "&amp;'Calendario G'!$AC16)</f>
        <v/>
      </c>
      <c r="C274" s="116" t="str">
        <f>IF($B274="","",DATE(YEAR('Calendario G'!$F16),MONTH('Calendario G'!$F16),DAY('Calendario G'!$F16)))</f>
        <v/>
      </c>
      <c r="D274" s="117" t="str">
        <f>IF($B274="","",TIME(HOUR('Calendario G'!$F16),MINUTE('Calendario G'!$F16),0))</f>
        <v/>
      </c>
      <c r="E274" s="116" t="str">
        <f>IF($B274="","",DATE(YEAR('Calendario G'!$F16),MONTH('Calendario G'!$F16),DAY('Calendario G'!$F16)))</f>
        <v/>
      </c>
      <c r="F274" s="117" t="str">
        <f>IF($B274="","",TIME(HOUR('Calendario G'!$F16)+2,MINUTE('Calendario G'!$F16),0))</f>
        <v/>
      </c>
      <c r="G274" s="48" t="str">
        <f>IF($B274="","",'Calendario G'!$B17)</f>
        <v/>
      </c>
      <c r="H274" s="48" t="str">
        <f>IF($B274="","",Campionato!$D$2&amp;" "&amp;Campionato!$D$6)</f>
        <v/>
      </c>
      <c r="I274" s="48"/>
    </row>
    <row r="275" spans="1:9" x14ac:dyDescent="0.25">
      <c r="A275" s="48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48" t="str">
        <f>IF('Calendario G'!$B19="","",'Calendario G'!$B19&amp;" vs "&amp;'Calendario G'!$D19&amp;" "&amp;'Calendario G'!$AC19)</f>
        <v/>
      </c>
      <c r="C275" s="116" t="str">
        <f>IF($B275="","",DATE(YEAR('Calendario G'!$F19),MONTH('Calendario G'!$F19),DAY('Calendario G'!$F19)))</f>
        <v/>
      </c>
      <c r="D275" s="117" t="str">
        <f>IF($B275="","",TIME(HOUR('Calendario G'!$F19),MINUTE('Calendario G'!$F19),0))</f>
        <v/>
      </c>
      <c r="E275" s="116" t="str">
        <f>IF($B275="","",DATE(YEAR('Calendario G'!$F19),MONTH('Calendario G'!$F19),DAY('Calendario G'!$F19)))</f>
        <v/>
      </c>
      <c r="F275" s="117" t="str">
        <f>IF($B275="","",TIME(HOUR('Calendario G'!$F19)+2,MINUTE('Calendario G'!$F19),0))</f>
        <v/>
      </c>
      <c r="G275" s="48" t="str">
        <f>IF($B275="","",'Calendario G'!$B20)</f>
        <v/>
      </c>
      <c r="H275" s="48" t="str">
        <f>IF($B275="","",Campionato!$D$2&amp;" "&amp;Campionato!$D$6)</f>
        <v/>
      </c>
      <c r="I275" s="48"/>
    </row>
    <row r="276" spans="1:9" x14ac:dyDescent="0.25">
      <c r="A276" s="48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48" t="str">
        <f>IF('Calendario G'!$B22="","",'Calendario G'!$B22&amp;" vs "&amp;'Calendario G'!$D22&amp;" "&amp;'Calendario G'!$AC22)</f>
        <v/>
      </c>
      <c r="C276" s="116" t="str">
        <f>IF($B276="","",DATE(YEAR('Calendario G'!$F22),MONTH('Calendario G'!$F22),DAY('Calendario G'!$F22)))</f>
        <v/>
      </c>
      <c r="D276" s="117" t="str">
        <f>IF($B276="","",TIME(HOUR('Calendario G'!$F22),MINUTE('Calendario G'!$F22),0))</f>
        <v/>
      </c>
      <c r="E276" s="116" t="str">
        <f>IF($B276="","",DATE(YEAR('Calendario G'!$F22),MONTH('Calendario G'!$F22),DAY('Calendario G'!$F22)))</f>
        <v/>
      </c>
      <c r="F276" s="117" t="str">
        <f>IF($B276="","",TIME(HOUR('Calendario G'!$F22)+2,MINUTE('Calendario G'!$F22),0))</f>
        <v/>
      </c>
      <c r="G276" s="48" t="str">
        <f>IF($B276="","",'Calendario G'!$B23)</f>
        <v/>
      </c>
      <c r="H276" s="48" t="str">
        <f>IF($B276="","",Campionato!$D$2&amp;" "&amp;Campionato!$D$6)</f>
        <v/>
      </c>
      <c r="I276" s="48"/>
    </row>
    <row r="277" spans="1:9" x14ac:dyDescent="0.25">
      <c r="A277" s="48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48" t="str">
        <f>IF('Calendario G'!$B27="","",'Calendario G'!$B27&amp;" vs "&amp;'Calendario G'!$D27&amp;" "&amp;'Calendario G'!$AC27)</f>
        <v/>
      </c>
      <c r="C277" s="116" t="str">
        <f>IF($B277="","",DATE(YEAR('Calendario G'!$F27),MONTH('Calendario G'!$F27),DAY('Calendario G'!$F27)))</f>
        <v/>
      </c>
      <c r="D277" s="117" t="str">
        <f>IF($B277="","",TIME(HOUR('Calendario G'!$F27),MINUTE('Calendario G'!$F27),0))</f>
        <v/>
      </c>
      <c r="E277" s="116" t="str">
        <f>IF($B277="","",DATE(YEAR('Calendario G'!$F27),MONTH('Calendario G'!$F27),DAY('Calendario G'!$F27)))</f>
        <v/>
      </c>
      <c r="F277" s="117" t="str">
        <f>IF($B277="","",TIME(HOUR('Calendario G'!$F27)+2,MINUTE('Calendario G'!$F27),0))</f>
        <v/>
      </c>
      <c r="G277" s="48" t="str">
        <f>IF($B277="","",'Calendario G'!$B28)</f>
        <v/>
      </c>
      <c r="H277" s="48" t="str">
        <f>IF($B277="","",Campionato!$D$2&amp;" "&amp;Campionato!$D$6)</f>
        <v/>
      </c>
      <c r="I277" s="48"/>
    </row>
    <row r="278" spans="1:9" x14ac:dyDescent="0.25">
      <c r="A278" s="48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48" t="str">
        <f>IF('Calendario G'!$B30="","",'Calendario G'!$B30&amp;" vs "&amp;'Calendario G'!$D30&amp;" "&amp;'Calendario G'!$AC30)</f>
        <v/>
      </c>
      <c r="C278" s="116" t="str">
        <f>IF($B278="","",DATE(YEAR('Calendario G'!$F30),MONTH('Calendario G'!$F30),DAY('Calendario G'!$F30)))</f>
        <v/>
      </c>
      <c r="D278" s="117" t="str">
        <f>IF($B278="","",TIME(HOUR('Calendario G'!$F30),MINUTE('Calendario G'!$F30),0))</f>
        <v/>
      </c>
      <c r="E278" s="116" t="str">
        <f>IF($B278="","",DATE(YEAR('Calendario G'!$F30),MONTH('Calendario G'!$F30),DAY('Calendario G'!$F30)))</f>
        <v/>
      </c>
      <c r="F278" s="117" t="str">
        <f>IF($B278="","",TIME(HOUR('Calendario G'!$F30)+2,MINUTE('Calendario G'!$F30),0))</f>
        <v/>
      </c>
      <c r="G278" s="48" t="str">
        <f>IF($B278="","",'Calendario G'!$B31)</f>
        <v/>
      </c>
      <c r="H278" s="48" t="str">
        <f>IF($B278="","",Campionato!$D$2&amp;" "&amp;Campionato!$D$6)</f>
        <v/>
      </c>
      <c r="I278" s="48"/>
    </row>
    <row r="279" spans="1:9" x14ac:dyDescent="0.25">
      <c r="A279" s="48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48" t="str">
        <f>IF('Calendario G'!$B33="","",'Calendario G'!$B33&amp;" vs "&amp;'Calendario G'!$D33&amp;" "&amp;'Calendario G'!$AC33)</f>
        <v/>
      </c>
      <c r="C279" s="116" t="str">
        <f>IF($B279="","",DATE(YEAR('Calendario G'!$F33),MONTH('Calendario G'!$F33),DAY('Calendario G'!$F33)))</f>
        <v/>
      </c>
      <c r="D279" s="117" t="str">
        <f>IF($B279="","",TIME(HOUR('Calendario G'!$F33),MINUTE('Calendario G'!$F33),0))</f>
        <v/>
      </c>
      <c r="E279" s="116" t="str">
        <f>IF($B279="","",DATE(YEAR('Calendario G'!$F33),MONTH('Calendario G'!$F33),DAY('Calendario G'!$F33)))</f>
        <v/>
      </c>
      <c r="F279" s="117" t="str">
        <f>IF($B279="","",TIME(HOUR('Calendario G'!$F33)+2,MINUTE('Calendario G'!$F33),0))</f>
        <v/>
      </c>
      <c r="G279" s="48" t="str">
        <f>IF($B279="","",'Calendario G'!$B34)</f>
        <v/>
      </c>
      <c r="H279" s="48" t="str">
        <f>IF($B279="","",Campionato!$D$2&amp;" "&amp;Campionato!$D$6)</f>
        <v/>
      </c>
      <c r="I279" s="48"/>
    </row>
    <row r="280" spans="1:9" x14ac:dyDescent="0.25">
      <c r="A280" s="48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48" t="str">
        <f>IF('Calendario G'!$B36="","",'Calendario G'!$B36&amp;" vs "&amp;'Calendario G'!$D36&amp;" "&amp;'Calendario G'!$AC36)</f>
        <v/>
      </c>
      <c r="C280" s="116" t="str">
        <f>IF($B280="","",DATE(YEAR('Calendario G'!$F36),MONTH('Calendario G'!$F36),DAY('Calendario G'!$F36)))</f>
        <v/>
      </c>
      <c r="D280" s="117" t="str">
        <f>IF($B280="","",TIME(HOUR('Calendario G'!$F36),MINUTE('Calendario G'!$F36),0))</f>
        <v/>
      </c>
      <c r="E280" s="116" t="str">
        <f>IF($B280="","",DATE(YEAR('Calendario G'!$F36),MONTH('Calendario G'!$F36),DAY('Calendario G'!$F36)))</f>
        <v/>
      </c>
      <c r="F280" s="117" t="str">
        <f>IF($B280="","",TIME(HOUR('Calendario G'!$F36)+2,MINUTE('Calendario G'!$F36),0))</f>
        <v/>
      </c>
      <c r="G280" s="48" t="str">
        <f>IF($B280="","",'Calendario G'!$B37)</f>
        <v/>
      </c>
      <c r="H280" s="48" t="str">
        <f>IF($B280="","",Campionato!$D$2&amp;" "&amp;Campionato!$D$6)</f>
        <v/>
      </c>
      <c r="I280" s="48"/>
    </row>
    <row r="281" spans="1:9" x14ac:dyDescent="0.25">
      <c r="A281" s="48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48" t="str">
        <f>IF('Calendario G'!$B39="","",'Calendario G'!$B39&amp;" vs "&amp;'Calendario G'!$D39&amp;" "&amp;'Calendario G'!$AC39)</f>
        <v/>
      </c>
      <c r="C281" s="116" t="str">
        <f>IF($B281="","",DATE(YEAR('Calendario G'!$F39),MONTH('Calendario G'!$F39),DAY('Calendario G'!$F39)))</f>
        <v/>
      </c>
      <c r="D281" s="117" t="str">
        <f>IF($B281="","",TIME(HOUR('Calendario G'!$F39),MINUTE('Calendario G'!$F39),0))</f>
        <v/>
      </c>
      <c r="E281" s="116" t="str">
        <f>IF($B281="","",DATE(YEAR('Calendario G'!$F39),MONTH('Calendario G'!$F39),DAY('Calendario G'!$F39)))</f>
        <v/>
      </c>
      <c r="F281" s="117" t="str">
        <f>IF($B281="","",TIME(HOUR('Calendario G'!$F39)+2,MINUTE('Calendario G'!$F39),0))</f>
        <v/>
      </c>
      <c r="G281" s="48" t="str">
        <f>IF($B281="","",'Calendario G'!$B40)</f>
        <v/>
      </c>
      <c r="H281" s="48" t="str">
        <f>IF($B281="","",Campionato!$D$2&amp;" "&amp;Campionato!$D$6)</f>
        <v/>
      </c>
      <c r="I281" s="48"/>
    </row>
    <row r="282" spans="1:9" x14ac:dyDescent="0.25">
      <c r="A282" s="48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48" t="str">
        <f>IF('Calendario G'!$B44="","",'Calendario G'!$B44&amp;" vs "&amp;'Calendario G'!$D44&amp;" "&amp;'Calendario G'!$AC44)</f>
        <v/>
      </c>
      <c r="C282" s="116" t="str">
        <f>IF($B282="","",DATE(YEAR('Calendario G'!$F44),MONTH('Calendario G'!$F44),DAY('Calendario G'!$F44)))</f>
        <v/>
      </c>
      <c r="D282" s="117" t="str">
        <f>IF($B282="","",TIME(HOUR('Calendario G'!$F44),MINUTE('Calendario G'!$F44),0))</f>
        <v/>
      </c>
      <c r="E282" s="116" t="str">
        <f>IF($B282="","",DATE(YEAR('Calendario G'!$F44),MONTH('Calendario G'!$F44),DAY('Calendario G'!$F44)))</f>
        <v/>
      </c>
      <c r="F282" s="117" t="str">
        <f>IF($B282="","",TIME(HOUR('Calendario G'!$F44)+2,MINUTE('Calendario G'!$F44),0))</f>
        <v/>
      </c>
      <c r="G282" s="48" t="str">
        <f>IF($B282="","",'Calendario G'!$B45)</f>
        <v/>
      </c>
      <c r="H282" s="48" t="str">
        <f>IF($B282="","",Campionato!$D$2&amp;" "&amp;Campionato!$D$6)</f>
        <v/>
      </c>
      <c r="I282" s="48"/>
    </row>
    <row r="283" spans="1:9" x14ac:dyDescent="0.25">
      <c r="A283" s="48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48" t="str">
        <f>IF('Calendario G'!$B47="","",'Calendario G'!$B47&amp;" vs "&amp;'Calendario G'!$D47&amp;" "&amp;'Calendario G'!$AC47)</f>
        <v/>
      </c>
      <c r="C283" s="116" t="str">
        <f>IF($B283="","",DATE(YEAR('Calendario G'!$F47),MONTH('Calendario G'!$F47),DAY('Calendario G'!$F47)))</f>
        <v/>
      </c>
      <c r="D283" s="117" t="str">
        <f>IF($B283="","",TIME(HOUR('Calendario G'!$F47),MINUTE('Calendario G'!$F47),0))</f>
        <v/>
      </c>
      <c r="E283" s="116" t="str">
        <f>IF($B283="","",DATE(YEAR('Calendario G'!$F47),MONTH('Calendario G'!$F47),DAY('Calendario G'!$F47)))</f>
        <v/>
      </c>
      <c r="F283" s="117" t="str">
        <f>IF($B283="","",TIME(HOUR('Calendario G'!$F47)+2,MINUTE('Calendario G'!$F47),0))</f>
        <v/>
      </c>
      <c r="G283" s="48" t="str">
        <f>IF($B283="","",'Calendario G'!$B48)</f>
        <v/>
      </c>
      <c r="H283" s="48" t="str">
        <f>IF($B283="","",Campionato!$D$2&amp;" "&amp;Campionato!$D$6)</f>
        <v/>
      </c>
      <c r="I283" s="48"/>
    </row>
    <row r="284" spans="1:9" x14ac:dyDescent="0.25">
      <c r="A284" s="48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48" t="str">
        <f>IF('Calendario G'!$B50="","",'Calendario G'!$B50&amp;" vs "&amp;'Calendario G'!$D50&amp;" "&amp;'Calendario G'!$AC50)</f>
        <v/>
      </c>
      <c r="C284" s="116" t="str">
        <f>IF($B284="","",DATE(YEAR('Calendario G'!$F50),MONTH('Calendario G'!$F50),DAY('Calendario G'!$F50)))</f>
        <v/>
      </c>
      <c r="D284" s="117" t="str">
        <f>IF($B284="","",TIME(HOUR('Calendario G'!$F50),MINUTE('Calendario G'!$F50),0))</f>
        <v/>
      </c>
      <c r="E284" s="116" t="str">
        <f>IF($B284="","",DATE(YEAR('Calendario G'!$F50),MONTH('Calendario G'!$F50),DAY('Calendario G'!$F50)))</f>
        <v/>
      </c>
      <c r="F284" s="117" t="str">
        <f>IF($B284="","",TIME(HOUR('Calendario G'!$F50)+2,MINUTE('Calendario G'!$F50),0))</f>
        <v/>
      </c>
      <c r="G284" s="48" t="str">
        <f>IF($B284="","",'Calendario G'!$B51)</f>
        <v/>
      </c>
      <c r="H284" s="48" t="str">
        <f>IF($B284="","",Campionato!$D$2&amp;" "&amp;Campionato!$D$6)</f>
        <v/>
      </c>
      <c r="I284" s="48"/>
    </row>
    <row r="285" spans="1:9" x14ac:dyDescent="0.25">
      <c r="A285" s="48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48" t="str">
        <f>IF('Calendario G'!$B53="","",'Calendario G'!$B53&amp;" vs "&amp;'Calendario G'!$D53&amp;" "&amp;'Calendario G'!$AC53)</f>
        <v/>
      </c>
      <c r="C285" s="116" t="str">
        <f>IF($B285="","",DATE(YEAR('Calendario G'!$F53),MONTH('Calendario G'!$F53),DAY('Calendario G'!$F53)))</f>
        <v/>
      </c>
      <c r="D285" s="117" t="str">
        <f>IF($B285="","",TIME(HOUR('Calendario G'!$F53),MINUTE('Calendario G'!$F53),0))</f>
        <v/>
      </c>
      <c r="E285" s="116" t="str">
        <f>IF($B285="","",DATE(YEAR('Calendario G'!$F53),MONTH('Calendario G'!$F53),DAY('Calendario G'!$F53)))</f>
        <v/>
      </c>
      <c r="F285" s="117" t="str">
        <f>IF($B285="","",TIME(HOUR('Calendario G'!$F53)+2,MINUTE('Calendario G'!$F53),0))</f>
        <v/>
      </c>
      <c r="G285" s="48" t="str">
        <f>IF($B285="","",'Calendario G'!$B54)</f>
        <v/>
      </c>
      <c r="H285" s="48" t="str">
        <f>IF($B285="","",Campionato!$D$2&amp;" "&amp;Campionato!$D$6)</f>
        <v/>
      </c>
      <c r="I285" s="48"/>
    </row>
    <row r="286" spans="1:9" x14ac:dyDescent="0.25">
      <c r="A286" s="48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48" t="str">
        <f>IF('Calendario G'!$B56="","",'Calendario G'!$B56&amp;" vs "&amp;'Calendario G'!$D56&amp;" "&amp;'Calendario G'!$AC56)</f>
        <v/>
      </c>
      <c r="C286" s="116" t="str">
        <f>IF($B286="","",DATE(YEAR('Calendario G'!$F56),MONTH('Calendario G'!$F56),DAY('Calendario G'!$F56)))</f>
        <v/>
      </c>
      <c r="D286" s="117" t="str">
        <f>IF($B286="","",TIME(HOUR('Calendario G'!$F56),MINUTE('Calendario G'!$F56),0))</f>
        <v/>
      </c>
      <c r="E286" s="116" t="str">
        <f>IF($B286="","",DATE(YEAR('Calendario G'!$F56),MONTH('Calendario G'!$F56),DAY('Calendario G'!$F56)))</f>
        <v/>
      </c>
      <c r="F286" s="117" t="str">
        <f>IF($B286="","",TIME(HOUR('Calendario G'!$F56)+2,MINUTE('Calendario G'!$F56),0))</f>
        <v/>
      </c>
      <c r="G286" s="48" t="str">
        <f>IF($B286="","",'Calendario G'!$B57)</f>
        <v/>
      </c>
      <c r="H286" s="48" t="str">
        <f>IF($B286="","",Campionato!$D$2&amp;" "&amp;Campionato!$D$6)</f>
        <v/>
      </c>
      <c r="I286" s="48"/>
    </row>
    <row r="287" spans="1:9" x14ac:dyDescent="0.25">
      <c r="A287" s="48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48" t="str">
        <f>IF('Calendario G'!$B61="","",'Calendario G'!$B61&amp;" vs "&amp;'Calendario G'!$D61&amp;" "&amp;'Calendario G'!$AC61)</f>
        <v/>
      </c>
      <c r="C287" s="116" t="str">
        <f>IF($B287="","",DATE(YEAR('Calendario G'!$F61),MONTH('Calendario G'!$F61),DAY('Calendario G'!$F61)))</f>
        <v/>
      </c>
      <c r="D287" s="117" t="str">
        <f>IF($B287="","",TIME(HOUR('Calendario G'!$F61),MINUTE('Calendario G'!$F61),0))</f>
        <v/>
      </c>
      <c r="E287" s="116" t="str">
        <f>IF($B287="","",DATE(YEAR('Calendario G'!$F61),MONTH('Calendario G'!$F61),DAY('Calendario G'!$F61)))</f>
        <v/>
      </c>
      <c r="F287" s="117" t="str">
        <f>IF($B287="","",TIME(HOUR('Calendario G'!$F61)+2,MINUTE('Calendario G'!$F61),0))</f>
        <v/>
      </c>
      <c r="G287" s="48" t="str">
        <f>IF($B287="","",'Calendario G'!$B62)</f>
        <v/>
      </c>
      <c r="H287" s="48" t="str">
        <f>IF($B287="","",Campionato!$D$2&amp;" "&amp;Campionato!$D$6)</f>
        <v/>
      </c>
      <c r="I287" s="48"/>
    </row>
    <row r="288" spans="1:9" x14ac:dyDescent="0.25">
      <c r="A288" s="48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48" t="str">
        <f>IF('Calendario G'!$B64="","",'Calendario G'!$B64&amp;" vs "&amp;'Calendario G'!$D64&amp;" "&amp;'Calendario G'!$AC64)</f>
        <v/>
      </c>
      <c r="C288" s="116" t="str">
        <f>IF($B288="","",DATE(YEAR('Calendario G'!$F64),MONTH('Calendario G'!$F64),DAY('Calendario G'!$F64)))</f>
        <v/>
      </c>
      <c r="D288" s="117" t="str">
        <f>IF($B288="","",TIME(HOUR('Calendario G'!$F64),MINUTE('Calendario G'!$F64),0))</f>
        <v/>
      </c>
      <c r="E288" s="116" t="str">
        <f>IF($B288="","",DATE(YEAR('Calendario G'!$F64),MONTH('Calendario G'!$F64),DAY('Calendario G'!$F64)))</f>
        <v/>
      </c>
      <c r="F288" s="117" t="str">
        <f>IF($B288="","",TIME(HOUR('Calendario G'!$F64)+2,MINUTE('Calendario G'!$F64),0))</f>
        <v/>
      </c>
      <c r="G288" s="48" t="str">
        <f>IF($B288="","",'Calendario G'!$B65)</f>
        <v/>
      </c>
      <c r="H288" s="48" t="str">
        <f>IF($B288="","",Campionato!$D$2&amp;" "&amp;Campionato!$D$6)</f>
        <v/>
      </c>
      <c r="I288" s="48"/>
    </row>
    <row r="289" spans="1:9" x14ac:dyDescent="0.25">
      <c r="A289" s="48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48" t="str">
        <f>IF('Calendario G'!$B67="","",'Calendario G'!$B67&amp;" vs "&amp;'Calendario G'!$D67&amp;" "&amp;'Calendario G'!$AC67)</f>
        <v/>
      </c>
      <c r="C289" s="116" t="str">
        <f>IF($B289="","",DATE(YEAR('Calendario G'!$F67),MONTH('Calendario G'!$F67),DAY('Calendario G'!$F67)))</f>
        <v/>
      </c>
      <c r="D289" s="117" t="str">
        <f>IF($B289="","",TIME(HOUR('Calendario G'!$F67),MINUTE('Calendario G'!$F67),0))</f>
        <v/>
      </c>
      <c r="E289" s="116" t="str">
        <f>IF($B289="","",DATE(YEAR('Calendario G'!$F67),MONTH('Calendario G'!$F67),DAY('Calendario G'!$F67)))</f>
        <v/>
      </c>
      <c r="F289" s="117" t="str">
        <f>IF($B289="","",TIME(HOUR('Calendario G'!$F67)+2,MINUTE('Calendario G'!$F67),0))</f>
        <v/>
      </c>
      <c r="G289" s="48" t="str">
        <f>IF($B289="","",'Calendario G'!$B68)</f>
        <v/>
      </c>
      <c r="H289" s="48" t="str">
        <f>IF($B289="","",Campionato!$D$2&amp;" "&amp;Campionato!$D$6)</f>
        <v/>
      </c>
      <c r="I289" s="48"/>
    </row>
    <row r="290" spans="1:9" x14ac:dyDescent="0.25">
      <c r="A290" s="48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48" t="str">
        <f>IF('Calendario G'!$B70="","",'Calendario G'!$B70&amp;" vs "&amp;'Calendario G'!$D70&amp;" "&amp;'Calendario G'!$AC70)</f>
        <v/>
      </c>
      <c r="C290" s="116" t="str">
        <f>IF($B290="","",DATE(YEAR('Calendario G'!$F70),MONTH('Calendario G'!$F70),DAY('Calendario G'!$F70)))</f>
        <v/>
      </c>
      <c r="D290" s="117" t="str">
        <f>IF($B290="","",TIME(HOUR('Calendario G'!$F70),MINUTE('Calendario G'!$F70),0))</f>
        <v/>
      </c>
      <c r="E290" s="116" t="str">
        <f>IF($B290="","",DATE(YEAR('Calendario G'!$F70),MONTH('Calendario G'!$F70),DAY('Calendario G'!$F70)))</f>
        <v/>
      </c>
      <c r="F290" s="117" t="str">
        <f>IF($B290="","",TIME(HOUR('Calendario G'!$F70)+2,MINUTE('Calendario G'!$F70),0))</f>
        <v/>
      </c>
      <c r="G290" s="48" t="str">
        <f>IF($B290="","",'Calendario G'!$B71)</f>
        <v/>
      </c>
      <c r="H290" s="48" t="str">
        <f>IF($B290="","",Campionato!$D$2&amp;" "&amp;Campionato!$D$6)</f>
        <v/>
      </c>
      <c r="I290" s="48"/>
    </row>
    <row r="291" spans="1:9" x14ac:dyDescent="0.25">
      <c r="A291" s="48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48" t="str">
        <f>IF('Calendario G'!$B73="","",'Calendario G'!$B73&amp;" vs "&amp;'Calendario G'!$D73&amp;" "&amp;'Calendario G'!$AC73)</f>
        <v/>
      </c>
      <c r="C291" s="116" t="str">
        <f>IF($B291="","",DATE(YEAR('Calendario G'!$F73),MONTH('Calendario G'!$F73),DAY('Calendario G'!$F73)))</f>
        <v/>
      </c>
      <c r="D291" s="117" t="str">
        <f>IF($B291="","",TIME(HOUR('Calendario G'!$F73),MINUTE('Calendario G'!$F73),0))</f>
        <v/>
      </c>
      <c r="E291" s="116" t="str">
        <f>IF($B291="","",DATE(YEAR('Calendario G'!$F73),MONTH('Calendario G'!$F73),DAY('Calendario G'!$F73)))</f>
        <v/>
      </c>
      <c r="F291" s="117" t="str">
        <f>IF($B291="","",TIME(HOUR('Calendario G'!$F73)+2,MINUTE('Calendario G'!$F73),0))</f>
        <v/>
      </c>
      <c r="G291" s="48" t="str">
        <f>IF($B291="","",'Calendario G'!$B74)</f>
        <v/>
      </c>
      <c r="H291" s="48" t="str">
        <f>IF($B291="","",Campionato!$D$2&amp;" "&amp;Campionato!$D$6)</f>
        <v/>
      </c>
      <c r="I291" s="48"/>
    </row>
    <row r="292" spans="1:9" x14ac:dyDescent="0.25">
      <c r="A292" s="48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48" t="str">
        <f>IF('Calendario G'!$B78="","",'Calendario G'!$B78&amp;" vs "&amp;'Calendario G'!$D78&amp;" "&amp;'Calendario G'!$AC78)</f>
        <v/>
      </c>
      <c r="C292" s="116" t="str">
        <f>IF($B292="","",DATE(YEAR('Calendario G'!$F78),MONTH('Calendario G'!$F78),DAY('Calendario G'!$F78)))</f>
        <v/>
      </c>
      <c r="D292" s="117" t="str">
        <f>IF($B292="","",TIME(HOUR('Calendario G'!$F78),MINUTE('Calendario G'!$F78),0))</f>
        <v/>
      </c>
      <c r="E292" s="116" t="str">
        <f>IF($B292="","",DATE(YEAR('Calendario G'!$F78),MONTH('Calendario G'!$F78),DAY('Calendario G'!$F78)))</f>
        <v/>
      </c>
      <c r="F292" s="117" t="str">
        <f>IF($B292="","",TIME(HOUR('Calendario G'!$F78)+2,MINUTE('Calendario G'!$F78),0))</f>
        <v/>
      </c>
      <c r="G292" s="48" t="str">
        <f>IF($B292="","",'Calendario G'!$B79)</f>
        <v/>
      </c>
      <c r="H292" s="48" t="str">
        <f>IF($B292="","",Campionato!$D$2&amp;" "&amp;Campionato!$D$6)</f>
        <v/>
      </c>
      <c r="I292" s="48"/>
    </row>
    <row r="293" spans="1:9" x14ac:dyDescent="0.25">
      <c r="A293" s="48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48" t="str">
        <f>IF('Calendario G'!$B81="","",'Calendario G'!$B81&amp;" vs "&amp;'Calendario G'!$D81&amp;" "&amp;'Calendario G'!$AC81)</f>
        <v/>
      </c>
      <c r="C293" s="116" t="str">
        <f>IF($B293="","",DATE(YEAR('Calendario G'!$F81),MONTH('Calendario G'!$F81),DAY('Calendario G'!$F81)))</f>
        <v/>
      </c>
      <c r="D293" s="117" t="str">
        <f>IF($B293="","",TIME(HOUR('Calendario G'!$F81),MINUTE('Calendario G'!$F81),0))</f>
        <v/>
      </c>
      <c r="E293" s="116" t="str">
        <f>IF($B293="","",DATE(YEAR('Calendario G'!$F81),MONTH('Calendario G'!$F81),DAY('Calendario G'!$F81)))</f>
        <v/>
      </c>
      <c r="F293" s="117" t="str">
        <f>IF($B293="","",TIME(HOUR('Calendario G'!$F81)+2,MINUTE('Calendario G'!$F81),0))</f>
        <v/>
      </c>
      <c r="G293" s="48" t="str">
        <f>IF($B293="","",'Calendario G'!$B82)</f>
        <v/>
      </c>
      <c r="H293" s="48" t="str">
        <f>IF($B293="","",Campionato!$D$2&amp;" "&amp;Campionato!$D$6)</f>
        <v/>
      </c>
      <c r="I293" s="48"/>
    </row>
    <row r="294" spans="1:9" x14ac:dyDescent="0.25">
      <c r="A294" s="48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48" t="str">
        <f>IF('Calendario G'!$B84="","",'Calendario G'!$B84&amp;" vs "&amp;'Calendario G'!$D84&amp;" "&amp;'Calendario G'!$AC84)</f>
        <v/>
      </c>
      <c r="C294" s="116" t="str">
        <f>IF($B294="","",DATE(YEAR('Calendario G'!$F84),MONTH('Calendario G'!$F84),DAY('Calendario G'!$F84)))</f>
        <v/>
      </c>
      <c r="D294" s="117" t="str">
        <f>IF($B294="","",TIME(HOUR('Calendario G'!$F84),MINUTE('Calendario G'!$F84),0))</f>
        <v/>
      </c>
      <c r="E294" s="116" t="str">
        <f>IF($B294="","",DATE(YEAR('Calendario G'!$F84),MONTH('Calendario G'!$F84),DAY('Calendario G'!$F84)))</f>
        <v/>
      </c>
      <c r="F294" s="117" t="str">
        <f>IF($B294="","",TIME(HOUR('Calendario G'!$F84)+2,MINUTE('Calendario G'!$F84),0))</f>
        <v/>
      </c>
      <c r="G294" s="48" t="str">
        <f>IF($B294="","",'Calendario G'!$B85)</f>
        <v/>
      </c>
      <c r="H294" s="48" t="str">
        <f>IF($B294="","",Campionato!$D$2&amp;" "&amp;Campionato!$D$6)</f>
        <v/>
      </c>
      <c r="I294" s="48"/>
    </row>
    <row r="295" spans="1:9" x14ac:dyDescent="0.25">
      <c r="A295" s="48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48" t="str">
        <f>IF('Calendario G'!$B87="","",'Calendario G'!$B87&amp;" vs "&amp;'Calendario G'!$D87&amp;" "&amp;'Calendario G'!$AC87)</f>
        <v/>
      </c>
      <c r="C295" s="116" t="str">
        <f>IF($B295="","",DATE(YEAR('Calendario G'!$F87),MONTH('Calendario G'!$F87),DAY('Calendario G'!$F87)))</f>
        <v/>
      </c>
      <c r="D295" s="117" t="str">
        <f>IF($B295="","",TIME(HOUR('Calendario G'!$F87),MINUTE('Calendario G'!$F87),0))</f>
        <v/>
      </c>
      <c r="E295" s="116" t="str">
        <f>IF($B295="","",DATE(YEAR('Calendario G'!$F87),MONTH('Calendario G'!$F87),DAY('Calendario G'!$F87)))</f>
        <v/>
      </c>
      <c r="F295" s="117" t="str">
        <f>IF($B295="","",TIME(HOUR('Calendario G'!$F87)+2,MINUTE('Calendario G'!$F87),0))</f>
        <v/>
      </c>
      <c r="G295" s="48" t="str">
        <f>IF($B295="","",'Calendario G'!$B88)</f>
        <v/>
      </c>
      <c r="H295" s="48" t="str">
        <f>IF($B295="","",Campionato!$D$2&amp;" "&amp;Campionato!$D$6)</f>
        <v/>
      </c>
      <c r="I295" s="48"/>
    </row>
    <row r="296" spans="1:9" x14ac:dyDescent="0.25">
      <c r="A296" s="48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48" t="str">
        <f>IF('Calendario G'!$B90="","",'Calendario G'!$B90&amp;" vs "&amp;'Calendario G'!$D90&amp;" "&amp;'Calendario G'!$AC90)</f>
        <v/>
      </c>
      <c r="C296" s="116" t="str">
        <f>IF($B296="","",DATE(YEAR('Calendario G'!$F90),MONTH('Calendario G'!$F90),DAY('Calendario G'!$F90)))</f>
        <v/>
      </c>
      <c r="D296" s="117" t="str">
        <f>IF($B296="","",TIME(HOUR('Calendario G'!$F90),MINUTE('Calendario G'!$F90),0))</f>
        <v/>
      </c>
      <c r="E296" s="116" t="str">
        <f>IF($B296="","",DATE(YEAR('Calendario G'!$F90),MONTH('Calendario G'!$F90),DAY('Calendario G'!$F90)))</f>
        <v/>
      </c>
      <c r="F296" s="117" t="str">
        <f>IF($B296="","",TIME(HOUR('Calendario G'!$F90)+2,MINUTE('Calendario G'!$F90),0))</f>
        <v/>
      </c>
      <c r="G296" s="48" t="str">
        <f>IF($B296="","",'Calendario G'!$B91)</f>
        <v/>
      </c>
      <c r="H296" s="48" t="str">
        <f>IF($B296="","",Campionato!$D$2&amp;" "&amp;Campionato!$D$6)</f>
        <v/>
      </c>
      <c r="I296" s="48"/>
    </row>
    <row r="297" spans="1:9" x14ac:dyDescent="0.25">
      <c r="A297" s="48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48" t="str">
        <f>IF('Calendario G'!$B95="","",'Calendario G'!$B95&amp;" vs "&amp;'Calendario G'!$D95&amp;" "&amp;'Calendario G'!$AC95)</f>
        <v/>
      </c>
      <c r="C297" s="116" t="str">
        <f>IF($B297="","",DATE(YEAR('Calendario G'!$F95),MONTH('Calendario G'!$F95),DAY('Calendario G'!$F95)))</f>
        <v/>
      </c>
      <c r="D297" s="117" t="str">
        <f>IF($B297="","",TIME(HOUR('Calendario G'!$F95),MINUTE('Calendario G'!$F95),0))</f>
        <v/>
      </c>
      <c r="E297" s="116" t="str">
        <f>IF($B297="","",DATE(YEAR('Calendario G'!$F95),MONTH('Calendario G'!$F95),DAY('Calendario G'!$F95)))</f>
        <v/>
      </c>
      <c r="F297" s="117" t="str">
        <f>IF($B297="","",TIME(HOUR('Calendario G'!$F95)+2,MINUTE('Calendario G'!$F95),0))</f>
        <v/>
      </c>
      <c r="G297" s="48" t="str">
        <f>IF($B297="","",'Calendario G'!$B96)</f>
        <v/>
      </c>
      <c r="H297" s="48" t="str">
        <f>IF($B297="","",Campionato!$D$2&amp;" "&amp;Campionato!$D$6)</f>
        <v/>
      </c>
      <c r="I297" s="48"/>
    </row>
    <row r="298" spans="1:9" x14ac:dyDescent="0.25">
      <c r="A298" s="48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48" t="str">
        <f>IF('Calendario G'!$B98="","",'Calendario G'!$B98&amp;" vs "&amp;'Calendario G'!$D98&amp;" "&amp;'Calendario G'!$AC98)</f>
        <v/>
      </c>
      <c r="C298" s="116" t="str">
        <f>IF($B298="","",DATE(YEAR('Calendario G'!$F98),MONTH('Calendario G'!$F98),DAY('Calendario G'!$F98)))</f>
        <v/>
      </c>
      <c r="D298" s="117" t="str">
        <f>IF($B298="","",TIME(HOUR('Calendario G'!$F98),MINUTE('Calendario G'!$F98),0))</f>
        <v/>
      </c>
      <c r="E298" s="116" t="str">
        <f>IF($B298="","",DATE(YEAR('Calendario G'!$F98),MONTH('Calendario G'!$F98),DAY('Calendario G'!$F98)))</f>
        <v/>
      </c>
      <c r="F298" s="117" t="str">
        <f>IF($B298="","",TIME(HOUR('Calendario G'!$F98)+2,MINUTE('Calendario G'!$F98),0))</f>
        <v/>
      </c>
      <c r="G298" s="48" t="str">
        <f>IF($B298="","",'Calendario G'!$B99)</f>
        <v/>
      </c>
      <c r="H298" s="48" t="str">
        <f>IF($B298="","",Campionato!$D$2&amp;" "&amp;Campionato!$D$6)</f>
        <v/>
      </c>
      <c r="I298" s="48"/>
    </row>
    <row r="299" spans="1:9" x14ac:dyDescent="0.25">
      <c r="A299" s="48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48" t="str">
        <f>IF('Calendario G'!$B101="","",'Calendario G'!$B101&amp;" vs "&amp;'Calendario G'!$D101&amp;" "&amp;'Calendario G'!$AC101)</f>
        <v/>
      </c>
      <c r="C299" s="116" t="str">
        <f>IF($B299="","",DATE(YEAR('Calendario G'!$F101),MONTH('Calendario G'!$F101),DAY('Calendario G'!$F101)))</f>
        <v/>
      </c>
      <c r="D299" s="117" t="str">
        <f>IF($B299="","",TIME(HOUR('Calendario G'!$F101),MINUTE('Calendario G'!$F101),0))</f>
        <v/>
      </c>
      <c r="E299" s="116" t="str">
        <f>IF($B299="","",DATE(YEAR('Calendario G'!$F101),MONTH('Calendario G'!$F101),DAY('Calendario G'!$F101)))</f>
        <v/>
      </c>
      <c r="F299" s="117" t="str">
        <f>IF($B299="","",TIME(HOUR('Calendario G'!$F101)+2,MINUTE('Calendario G'!$F101),0))</f>
        <v/>
      </c>
      <c r="G299" s="48" t="str">
        <f>IF($B299="","",'Calendario G'!$B102)</f>
        <v/>
      </c>
      <c r="H299" s="48" t="str">
        <f>IF($B299="","",Campionato!$D$2&amp;" "&amp;Campionato!$D$6)</f>
        <v/>
      </c>
      <c r="I299" s="48"/>
    </row>
    <row r="300" spans="1:9" x14ac:dyDescent="0.25">
      <c r="A300" s="48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48" t="str">
        <f>IF('Calendario G'!$B104="","",'Calendario G'!$B104&amp;" vs "&amp;'Calendario G'!$D104&amp;" "&amp;'Calendario G'!$AC104)</f>
        <v/>
      </c>
      <c r="C300" s="116" t="str">
        <f>IF($B300="","",DATE(YEAR('Calendario G'!$F104),MONTH('Calendario G'!$F104),DAY('Calendario G'!$F104)))</f>
        <v/>
      </c>
      <c r="D300" s="117" t="str">
        <f>IF($B300="","",TIME(HOUR('Calendario G'!$F104),MINUTE('Calendario G'!$F104),0))</f>
        <v/>
      </c>
      <c r="E300" s="116" t="str">
        <f>IF($B300="","",DATE(YEAR('Calendario G'!$F104),MONTH('Calendario G'!$F104),DAY('Calendario G'!$F104)))</f>
        <v/>
      </c>
      <c r="F300" s="117" t="str">
        <f>IF($B300="","",TIME(HOUR('Calendario G'!$F104)+2,MINUTE('Calendario G'!$F104),0))</f>
        <v/>
      </c>
      <c r="G300" s="48" t="str">
        <f>IF($B300="","",'Calendario G'!$B105)</f>
        <v/>
      </c>
      <c r="H300" s="48" t="str">
        <f>IF($B300="","",Campionato!$D$2&amp;" "&amp;Campionato!$D$6)</f>
        <v/>
      </c>
      <c r="I300" s="48"/>
    </row>
    <row r="301" spans="1:9" x14ac:dyDescent="0.25">
      <c r="A301" s="48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48" t="str">
        <f>IF('Calendario G'!$B107="","",'Calendario G'!$B107&amp;" vs "&amp;'Calendario G'!$D107&amp;" "&amp;'Calendario G'!$AC107)</f>
        <v/>
      </c>
      <c r="C301" s="116" t="str">
        <f>IF($B301="","",DATE(YEAR('Calendario G'!$F107),MONTH('Calendario G'!$F107),DAY('Calendario G'!$F107)))</f>
        <v/>
      </c>
      <c r="D301" s="117" t="str">
        <f>IF($B301="","",TIME(HOUR('Calendario G'!$F107),MINUTE('Calendario G'!$F107),0))</f>
        <v/>
      </c>
      <c r="E301" s="116" t="str">
        <f>IF($B301="","",DATE(YEAR('Calendario G'!$F107),MONTH('Calendario G'!$F107),DAY('Calendario G'!$F107)))</f>
        <v/>
      </c>
      <c r="F301" s="117" t="str">
        <f>IF($B301="","",TIME(HOUR('Calendario G'!$F107)+2,MINUTE('Calendario G'!$F107),0))</f>
        <v/>
      </c>
      <c r="G301" s="48" t="str">
        <f>IF($B301="","",'Calendario G'!$B108)</f>
        <v/>
      </c>
      <c r="H301" s="48" t="str">
        <f>IF($B301="","",Campionato!$D$2&amp;" "&amp;Campionato!$D$6)</f>
        <v/>
      </c>
      <c r="I301" s="48"/>
    </row>
    <row r="302" spans="1:9" x14ac:dyDescent="0.25">
      <c r="A302" s="48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48" t="str">
        <f>IF('Calendario G'!$B112="","",'Calendario G'!$B112&amp;" vs "&amp;'Calendario G'!$D112&amp;" "&amp;'Calendario G'!$AC112)</f>
        <v/>
      </c>
      <c r="C302" s="116" t="str">
        <f>IF($B302="","",DATE(YEAR('Calendario G'!$F112),MONTH('Calendario G'!$F112),DAY('Calendario G'!$F112)))</f>
        <v/>
      </c>
      <c r="D302" s="117" t="str">
        <f>IF($B302="","",TIME(HOUR('Calendario G'!$F112),MINUTE('Calendario G'!$F112),0))</f>
        <v/>
      </c>
      <c r="E302" s="116" t="str">
        <f>IF($B302="","",DATE(YEAR('Calendario G'!$F112),MONTH('Calendario G'!$F112),DAY('Calendario G'!$F112)))</f>
        <v/>
      </c>
      <c r="F302" s="117" t="str">
        <f>IF($B302="","",TIME(HOUR('Calendario G'!$F112)+2,MINUTE('Calendario G'!$F112),0))</f>
        <v/>
      </c>
      <c r="G302" s="48" t="str">
        <f>IF($B302="","",'Calendario G'!$B113)</f>
        <v/>
      </c>
      <c r="H302" s="48" t="str">
        <f>IF($B302="","",Campionato!$D$2&amp;" "&amp;Campionato!$D$6)</f>
        <v/>
      </c>
      <c r="I302" s="48"/>
    </row>
    <row r="303" spans="1:9" x14ac:dyDescent="0.25">
      <c r="A303" s="48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48" t="str">
        <f>IF('Calendario G'!$B115="","",'Calendario G'!$B115&amp;" vs "&amp;'Calendario G'!$D115&amp;" "&amp;'Calendario G'!$AC115)</f>
        <v/>
      </c>
      <c r="C303" s="116" t="str">
        <f>IF($B303="","",DATE(YEAR('Calendario G'!$F115),MONTH('Calendario G'!$F115),DAY('Calendario G'!$F115)))</f>
        <v/>
      </c>
      <c r="D303" s="117" t="str">
        <f>IF($B303="","",TIME(HOUR('Calendario G'!$F115),MINUTE('Calendario G'!$F115),0))</f>
        <v/>
      </c>
      <c r="E303" s="116" t="str">
        <f>IF($B303="","",DATE(YEAR('Calendario G'!$F115),MONTH('Calendario G'!$F115),DAY('Calendario G'!$F115)))</f>
        <v/>
      </c>
      <c r="F303" s="117" t="str">
        <f>IF($B303="","",TIME(HOUR('Calendario G'!$F115)+2,MINUTE('Calendario G'!$F115),0))</f>
        <v/>
      </c>
      <c r="G303" s="48" t="str">
        <f>IF($B303="","",'Calendario G'!$B116)</f>
        <v/>
      </c>
      <c r="H303" s="48" t="str">
        <f>IF($B303="","",Campionato!$D$2&amp;" "&amp;Campionato!$D$6)</f>
        <v/>
      </c>
      <c r="I303" s="48"/>
    </row>
    <row r="304" spans="1:9" x14ac:dyDescent="0.25">
      <c r="A304" s="48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48" t="str">
        <f>IF('Calendario G'!$B118="","",'Calendario G'!$B118&amp;" vs "&amp;'Calendario G'!$D118&amp;" "&amp;'Calendario G'!$AC118)</f>
        <v/>
      </c>
      <c r="C304" s="116" t="str">
        <f>IF($B304="","",DATE(YEAR('Calendario G'!$F118),MONTH('Calendario G'!$F118),DAY('Calendario G'!$F118)))</f>
        <v/>
      </c>
      <c r="D304" s="117" t="str">
        <f>IF($B304="","",TIME(HOUR('Calendario G'!$F118),MINUTE('Calendario G'!$F118),0))</f>
        <v/>
      </c>
      <c r="E304" s="116" t="str">
        <f>IF($B304="","",DATE(YEAR('Calendario G'!$F118),MONTH('Calendario G'!$F118),DAY('Calendario G'!$F118)))</f>
        <v/>
      </c>
      <c r="F304" s="117" t="str">
        <f>IF($B304="","",TIME(HOUR('Calendario G'!$F118)+2,MINUTE('Calendario G'!$F118),0))</f>
        <v/>
      </c>
      <c r="G304" s="48" t="str">
        <f>IF($B304="","",'Calendario G'!$B119)</f>
        <v/>
      </c>
      <c r="H304" s="48" t="str">
        <f>IF($B304="","",Campionato!$D$2&amp;" "&amp;Campionato!$D$6)</f>
        <v/>
      </c>
      <c r="I304" s="48"/>
    </row>
    <row r="305" spans="1:9" x14ac:dyDescent="0.25">
      <c r="A305" s="48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48" t="str">
        <f>IF('Calendario G'!$B121="","",'Calendario G'!$B121&amp;" vs "&amp;'Calendario G'!$D121&amp;" "&amp;'Calendario G'!$AC121)</f>
        <v/>
      </c>
      <c r="C305" s="116" t="str">
        <f>IF($B305="","",DATE(YEAR('Calendario G'!$F121),MONTH('Calendario G'!$F121),DAY('Calendario G'!$F121)))</f>
        <v/>
      </c>
      <c r="D305" s="117" t="str">
        <f>IF($B305="","",TIME(HOUR('Calendario G'!$F121),MINUTE('Calendario G'!$F121),0))</f>
        <v/>
      </c>
      <c r="E305" s="116" t="str">
        <f>IF($B305="","",DATE(YEAR('Calendario G'!$F121),MONTH('Calendario G'!$F121),DAY('Calendario G'!$F121)))</f>
        <v/>
      </c>
      <c r="F305" s="117" t="str">
        <f>IF($B305="","",TIME(HOUR('Calendario G'!$F121)+2,MINUTE('Calendario G'!$F121),0))</f>
        <v/>
      </c>
      <c r="G305" s="48" t="str">
        <f>IF($B305="","",'Calendario G'!$B122)</f>
        <v/>
      </c>
      <c r="H305" s="48" t="str">
        <f>IF($B305="","",Campionato!$D$2&amp;" "&amp;Campionato!$D$6)</f>
        <v/>
      </c>
      <c r="I305" s="48"/>
    </row>
    <row r="306" spans="1:9" x14ac:dyDescent="0.25">
      <c r="A306" s="48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48" t="str">
        <f>IF('Calendario G'!$B124="","",'Calendario G'!$B124&amp;" vs "&amp;'Calendario G'!$D124&amp;" "&amp;'Calendario G'!$AC124)</f>
        <v/>
      </c>
      <c r="C306" s="116" t="str">
        <f>IF($B306="","",DATE(YEAR('Calendario G'!$F124),MONTH('Calendario G'!$F124),DAY('Calendario G'!$F124)))</f>
        <v/>
      </c>
      <c r="D306" s="117" t="str">
        <f>IF($B306="","",TIME(HOUR('Calendario G'!$F124),MINUTE('Calendario G'!$F124),0))</f>
        <v/>
      </c>
      <c r="E306" s="116" t="str">
        <f>IF($B306="","",DATE(YEAR('Calendario G'!$F124),MONTH('Calendario G'!$F124),DAY('Calendario G'!$F124)))</f>
        <v/>
      </c>
      <c r="F306" s="117" t="str">
        <f>IF($B306="","",TIME(HOUR('Calendario G'!$F124)+2,MINUTE('Calendario G'!$F124),0))</f>
        <v/>
      </c>
      <c r="G306" s="48" t="str">
        <f>IF($B306="","",'Calendario G'!$B125)</f>
        <v/>
      </c>
      <c r="H306" s="48" t="str">
        <f>IF($B306="","",Campionato!$D$2&amp;" "&amp;Campionato!$D$6)</f>
        <v/>
      </c>
      <c r="I306" s="48"/>
    </row>
    <row r="307" spans="1:9" x14ac:dyDescent="0.25">
      <c r="A307" s="48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48" t="str">
        <f>IF('Calendario G'!$B129="","",'Calendario G'!$B129&amp;" vs "&amp;'Calendario G'!$D129&amp;" "&amp;'Calendario G'!$AC129)</f>
        <v/>
      </c>
      <c r="C307" s="116" t="str">
        <f>IF($B307="","",DATE(YEAR('Calendario G'!$F129),MONTH('Calendario G'!$F129),DAY('Calendario G'!$F129)))</f>
        <v/>
      </c>
      <c r="D307" s="117" t="str">
        <f>IF($B307="","",TIME(HOUR('Calendario G'!$F129),MINUTE('Calendario G'!$F129),0))</f>
        <v/>
      </c>
      <c r="E307" s="116" t="str">
        <f>IF($B307="","",DATE(YEAR('Calendario G'!$F129),MONTH('Calendario G'!$F129),DAY('Calendario G'!$F129)))</f>
        <v/>
      </c>
      <c r="F307" s="117" t="str">
        <f>IF($B307="","",TIME(HOUR('Calendario G'!$F129)+2,MINUTE('Calendario G'!$F129),0))</f>
        <v/>
      </c>
      <c r="G307" s="48" t="str">
        <f>IF($B307="","",'Calendario G'!$B130)</f>
        <v/>
      </c>
      <c r="H307" s="48" t="str">
        <f>IF($B307="","",Campionato!$D$2&amp;" "&amp;Campionato!$D$6)</f>
        <v/>
      </c>
      <c r="I307" s="48"/>
    </row>
    <row r="308" spans="1:9" x14ac:dyDescent="0.25">
      <c r="A308" s="48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48" t="str">
        <f>IF('Calendario G'!$B132="","",'Calendario G'!$B132&amp;" vs "&amp;'Calendario G'!$D132&amp;" "&amp;'Calendario G'!$AC132)</f>
        <v/>
      </c>
      <c r="C308" s="116" t="str">
        <f>IF($B308="","",DATE(YEAR('Calendario G'!$F132),MONTH('Calendario G'!$F132),DAY('Calendario G'!$F132)))</f>
        <v/>
      </c>
      <c r="D308" s="117" t="str">
        <f>IF($B308="","",TIME(HOUR('Calendario G'!$F132),MINUTE('Calendario G'!$F132),0))</f>
        <v/>
      </c>
      <c r="E308" s="116" t="str">
        <f>IF($B308="","",DATE(YEAR('Calendario G'!$F132),MONTH('Calendario G'!$F132),DAY('Calendario G'!$F132)))</f>
        <v/>
      </c>
      <c r="F308" s="117" t="str">
        <f>IF($B308="","",TIME(HOUR('Calendario G'!$F132)+2,MINUTE('Calendario G'!$F132),0))</f>
        <v/>
      </c>
      <c r="G308" s="48" t="str">
        <f>IF($B308="","",'Calendario G'!$B133)</f>
        <v/>
      </c>
      <c r="H308" s="48" t="str">
        <f>IF($B308="","",Campionato!$D$2&amp;" "&amp;Campionato!$D$6)</f>
        <v/>
      </c>
      <c r="I308" s="48"/>
    </row>
    <row r="309" spans="1:9" x14ac:dyDescent="0.25">
      <c r="A309" s="48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48" t="str">
        <f>IF('Calendario G'!$B135="","",'Calendario G'!$B135&amp;" vs "&amp;'Calendario G'!$D135&amp;" "&amp;'Calendario G'!$AC135)</f>
        <v/>
      </c>
      <c r="C309" s="116" t="str">
        <f>IF($B309="","",DATE(YEAR('Calendario G'!$F135),MONTH('Calendario G'!$F135),DAY('Calendario G'!$F135)))</f>
        <v/>
      </c>
      <c r="D309" s="117" t="str">
        <f>IF($B309="","",TIME(HOUR('Calendario G'!$F135),MINUTE('Calendario G'!$F135),0))</f>
        <v/>
      </c>
      <c r="E309" s="116" t="str">
        <f>IF($B309="","",DATE(YEAR('Calendario G'!$F135),MONTH('Calendario G'!$F135),DAY('Calendario G'!$F135)))</f>
        <v/>
      </c>
      <c r="F309" s="117" t="str">
        <f>IF($B309="","",TIME(HOUR('Calendario G'!$F135)+2,MINUTE('Calendario G'!$F135),0))</f>
        <v/>
      </c>
      <c r="G309" s="48" t="str">
        <f>IF($B309="","",'Calendario G'!$B136)</f>
        <v/>
      </c>
      <c r="H309" s="48" t="str">
        <f>IF($B309="","",Campionato!$D$2&amp;" "&amp;Campionato!$D$6)</f>
        <v/>
      </c>
      <c r="I309" s="48"/>
    </row>
    <row r="310" spans="1:9" x14ac:dyDescent="0.25">
      <c r="A310" s="48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48" t="str">
        <f>IF('Calendario G'!$B138="","",'Calendario G'!$B138&amp;" vs "&amp;'Calendario G'!$D138&amp;" "&amp;'Calendario G'!$AC138)</f>
        <v/>
      </c>
      <c r="C310" s="116" t="str">
        <f>IF($B310="","",DATE(YEAR('Calendario G'!$F138),MONTH('Calendario G'!$F138),DAY('Calendario G'!$F138)))</f>
        <v/>
      </c>
      <c r="D310" s="117" t="str">
        <f>IF($B310="","",TIME(HOUR('Calendario G'!$F138),MINUTE('Calendario G'!$F138),0))</f>
        <v/>
      </c>
      <c r="E310" s="116" t="str">
        <f>IF($B310="","",DATE(YEAR('Calendario G'!$F138),MONTH('Calendario G'!$F138),DAY('Calendario G'!$F138)))</f>
        <v/>
      </c>
      <c r="F310" s="117" t="str">
        <f>IF($B310="","",TIME(HOUR('Calendario G'!$F138)+2,MINUTE('Calendario G'!$F138),0))</f>
        <v/>
      </c>
      <c r="G310" s="48" t="str">
        <f>IF($B310="","",'Calendario G'!$B139)</f>
        <v/>
      </c>
      <c r="H310" s="48" t="str">
        <f>IF($B310="","",Campionato!$D$2&amp;" "&amp;Campionato!$D$6)</f>
        <v/>
      </c>
      <c r="I310" s="48"/>
    </row>
    <row r="311" spans="1:9" x14ac:dyDescent="0.25">
      <c r="A311" s="48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48" t="str">
        <f>IF('Calendario G'!$B141="","",'Calendario G'!$B141&amp;" vs "&amp;'Calendario G'!$D141&amp;" "&amp;'Calendario G'!$AC141)</f>
        <v/>
      </c>
      <c r="C311" s="116" t="str">
        <f>IF($B311="","",DATE(YEAR('Calendario G'!$F141),MONTH('Calendario G'!$F141),DAY('Calendario G'!$F141)))</f>
        <v/>
      </c>
      <c r="D311" s="117" t="str">
        <f>IF($B311="","",TIME(HOUR('Calendario G'!$F141),MINUTE('Calendario G'!$F141),0))</f>
        <v/>
      </c>
      <c r="E311" s="116" t="str">
        <f>IF($B311="","",DATE(YEAR('Calendario G'!$F141),MONTH('Calendario G'!$F141),DAY('Calendario G'!$F141)))</f>
        <v/>
      </c>
      <c r="F311" s="117" t="str">
        <f>IF($B311="","",TIME(HOUR('Calendario G'!$F141)+2,MINUTE('Calendario G'!$F141),0))</f>
        <v/>
      </c>
      <c r="G311" s="48" t="str">
        <f>IF($B311="","",'Calendario G'!$B142)</f>
        <v/>
      </c>
      <c r="H311" s="48" t="str">
        <f>IF($B311="","",Campionato!$D$2&amp;" "&amp;Campionato!$D$6)</f>
        <v/>
      </c>
      <c r="I311" s="48"/>
    </row>
    <row r="312" spans="1:9" x14ac:dyDescent="0.25">
      <c r="A312" s="48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48" t="str">
        <f>IF('Calendario G'!$B146="","",'Calendario G'!$B146&amp;" vs "&amp;'Calendario G'!$D146&amp;" "&amp;'Calendario G'!$AC146)</f>
        <v/>
      </c>
      <c r="C312" s="116" t="str">
        <f>IF($B312="","",DATE(YEAR('Calendario G'!$F146),MONTH('Calendario G'!$F146),DAY('Calendario G'!$F146)))</f>
        <v/>
      </c>
      <c r="D312" s="117" t="str">
        <f>IF($B312="","",TIME(HOUR('Calendario G'!$F146),MINUTE('Calendario G'!$F146),0))</f>
        <v/>
      </c>
      <c r="E312" s="116" t="str">
        <f>IF($B312="","",DATE(YEAR('Calendario G'!$F146),MONTH('Calendario G'!$F146),DAY('Calendario G'!$F146)))</f>
        <v/>
      </c>
      <c r="F312" s="117" t="str">
        <f>IF($B312="","",TIME(HOUR('Calendario G'!$F146)+2,MINUTE('Calendario G'!$F146),0))</f>
        <v/>
      </c>
      <c r="G312" s="48" t="str">
        <f>IF($B312="","",'Calendario G'!$B147)</f>
        <v/>
      </c>
      <c r="H312" s="48" t="str">
        <f>IF($B312="","",Campionato!$D$2&amp;" "&amp;Campionato!$D$6)</f>
        <v/>
      </c>
      <c r="I312" s="48"/>
    </row>
    <row r="313" spans="1:9" x14ac:dyDescent="0.25">
      <c r="A313" s="48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48" t="str">
        <f>IF('Calendario G'!$B149="","",'Calendario G'!$B149&amp;" vs "&amp;'Calendario G'!$D149&amp;" "&amp;'Calendario G'!$AC149)</f>
        <v/>
      </c>
      <c r="C313" s="116" t="str">
        <f>IF($B313="","",DATE(YEAR('Calendario G'!$F149),MONTH('Calendario G'!$F149),DAY('Calendario G'!$F149)))</f>
        <v/>
      </c>
      <c r="D313" s="117" t="str">
        <f>IF($B313="","",TIME(HOUR('Calendario G'!$F149),MINUTE('Calendario G'!$F149),0))</f>
        <v/>
      </c>
      <c r="E313" s="116" t="str">
        <f>IF($B313="","",DATE(YEAR('Calendario G'!$F149),MONTH('Calendario G'!$F149),DAY('Calendario G'!$F149)))</f>
        <v/>
      </c>
      <c r="F313" s="117" t="str">
        <f>IF($B313="","",TIME(HOUR('Calendario G'!$F149)+2,MINUTE('Calendario G'!$F149),0))</f>
        <v/>
      </c>
      <c r="G313" s="48" t="str">
        <f>IF($B313="","",'Calendario G'!$B150)</f>
        <v/>
      </c>
      <c r="H313" s="48" t="str">
        <f>IF($B313="","",Campionato!$D$2&amp;" "&amp;Campionato!$D$6)</f>
        <v/>
      </c>
      <c r="I313" s="48"/>
    </row>
    <row r="314" spans="1:9" x14ac:dyDescent="0.25">
      <c r="A314" s="48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48" t="str">
        <f>IF('Calendario G'!$B152="","",'Calendario G'!$B152&amp;" vs "&amp;'Calendario G'!$D152&amp;" "&amp;'Calendario G'!$AC152)</f>
        <v/>
      </c>
      <c r="C314" s="116" t="str">
        <f>IF($B314="","",DATE(YEAR('Calendario G'!$F152),MONTH('Calendario G'!$F152),DAY('Calendario G'!$F152)))</f>
        <v/>
      </c>
      <c r="D314" s="117" t="str">
        <f>IF($B314="","",TIME(HOUR('Calendario G'!$F152),MINUTE('Calendario G'!$F152),0))</f>
        <v/>
      </c>
      <c r="E314" s="116" t="str">
        <f>IF($B314="","",DATE(YEAR('Calendario G'!$F152),MONTH('Calendario G'!$F152),DAY('Calendario G'!$F152)))</f>
        <v/>
      </c>
      <c r="F314" s="117" t="str">
        <f>IF($B314="","",TIME(HOUR('Calendario G'!$F152)+2,MINUTE('Calendario G'!$F152),0))</f>
        <v/>
      </c>
      <c r="G314" s="48" t="str">
        <f>IF($B314="","",'Calendario G'!$B153)</f>
        <v/>
      </c>
      <c r="H314" s="48" t="str">
        <f>IF($B314="","",Campionato!$D$2&amp;" "&amp;Campionato!$D$6)</f>
        <v/>
      </c>
      <c r="I314" s="48"/>
    </row>
    <row r="315" spans="1:9" x14ac:dyDescent="0.25">
      <c r="A315" s="48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48" t="str">
        <f>IF('Calendario G'!$B155="","",'Calendario G'!$B155&amp;" vs "&amp;'Calendario G'!$D155&amp;" "&amp;'Calendario G'!$AC155)</f>
        <v/>
      </c>
      <c r="C315" s="116" t="str">
        <f>IF($B315="","",DATE(YEAR('Calendario G'!$F155),MONTH('Calendario G'!$F155),DAY('Calendario G'!$F155)))</f>
        <v/>
      </c>
      <c r="D315" s="117" t="str">
        <f>IF($B315="","",TIME(HOUR('Calendario G'!$F155),MINUTE('Calendario G'!$F155),0))</f>
        <v/>
      </c>
      <c r="E315" s="116" t="str">
        <f>IF($B315="","",DATE(YEAR('Calendario G'!$F155),MONTH('Calendario G'!$F155),DAY('Calendario G'!$F155)))</f>
        <v/>
      </c>
      <c r="F315" s="117" t="str">
        <f>IF($B315="","",TIME(HOUR('Calendario G'!$F155)+2,MINUTE('Calendario G'!$F155),0))</f>
        <v/>
      </c>
      <c r="G315" s="48" t="str">
        <f>IF($B315="","",'Calendario G'!$B156)</f>
        <v/>
      </c>
      <c r="H315" s="48" t="str">
        <f>IF($B315="","",Campionato!$D$2&amp;" "&amp;Campionato!$D$6)</f>
        <v/>
      </c>
      <c r="I315" s="48"/>
    </row>
    <row r="316" spans="1:9" x14ac:dyDescent="0.25">
      <c r="A316" s="48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48" t="str">
        <f>IF('Calendario G'!$B158="","",'Calendario G'!$B158&amp;" vs "&amp;'Calendario G'!$D158&amp;" "&amp;'Calendario G'!$AC158)</f>
        <v/>
      </c>
      <c r="C316" s="116" t="str">
        <f>IF($B316="","",DATE(YEAR('Calendario G'!$F158),MONTH('Calendario G'!$F158),DAY('Calendario G'!$F158)))</f>
        <v/>
      </c>
      <c r="D316" s="117" t="str">
        <f>IF($B316="","",TIME(HOUR('Calendario G'!$F158),MINUTE('Calendario G'!$F158),0))</f>
        <v/>
      </c>
      <c r="E316" s="116" t="str">
        <f>IF($B316="","",DATE(YEAR('Calendario G'!$F158),MONTH('Calendario G'!$F158),DAY('Calendario G'!$F158)))</f>
        <v/>
      </c>
      <c r="F316" s="117" t="str">
        <f>IF($B316="","",TIME(HOUR('Calendario G'!$F158)+2,MINUTE('Calendario G'!$F158),0))</f>
        <v/>
      </c>
      <c r="G316" s="48" t="str">
        <f>IF($B316="","",'Calendario G'!$B159)</f>
        <v/>
      </c>
      <c r="H316" s="48" t="str">
        <f>IF($B316="","",Campionato!$D$2&amp;" "&amp;Campionato!$D$6)</f>
        <v/>
      </c>
      <c r="I316" s="48"/>
    </row>
    <row r="317" spans="1:9" x14ac:dyDescent="0.25">
      <c r="A317" s="48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48" t="str">
        <f>IF('Calendario H'!$B10="","",'Calendario H'!$B10&amp;" vs "&amp;'Calendario H'!$D10&amp;" "&amp;'Calendario H'!$AC10)</f>
        <v/>
      </c>
      <c r="C317" s="116" t="str">
        <f>IF($B317="","",DATE(YEAR('Calendario H'!$F10),MONTH('Calendario H'!$F10),DAY('Calendario H'!$F10)))</f>
        <v/>
      </c>
      <c r="D317" s="117" t="str">
        <f>IF($B317="","",TIME(HOUR('Calendario H'!$F10),MINUTE('Calendario H'!$F10),0))</f>
        <v/>
      </c>
      <c r="E317" s="116" t="str">
        <f>IF($B317="","",DATE(YEAR('Calendario H'!$F10),MONTH('Calendario H'!$F10),DAY('Calendario H'!$F10)))</f>
        <v/>
      </c>
      <c r="F317" s="117" t="str">
        <f>IF($B317="","",TIME(HOUR('Calendario H'!$F10)+2,MINUTE('Calendario H'!$F10),0))</f>
        <v/>
      </c>
      <c r="G317" s="48" t="str">
        <f>IF($B317="","",'Calendario H'!$B11)</f>
        <v/>
      </c>
      <c r="H317" s="48" t="str">
        <f>IF($B317="","",Campionato!$D$2&amp;" "&amp;Campionato!$D$6)</f>
        <v/>
      </c>
      <c r="I317" s="48"/>
    </row>
    <row r="318" spans="1:9" x14ac:dyDescent="0.25">
      <c r="A318" s="48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48" t="str">
        <f>IF('Calendario H'!$B13="","",'Calendario H'!$B13&amp;" vs "&amp;'Calendario H'!$D13&amp;" "&amp;'Calendario H'!$AC13)</f>
        <v/>
      </c>
      <c r="C318" s="116" t="str">
        <f>IF($B318="","",DATE(YEAR('Calendario H'!$F13),MONTH('Calendario H'!$F13),DAY('Calendario H'!$F13)))</f>
        <v/>
      </c>
      <c r="D318" s="117" t="str">
        <f>IF($B318="","",TIME(HOUR('Calendario H'!$F13),MINUTE('Calendario H'!$F13),0))</f>
        <v/>
      </c>
      <c r="E318" s="116" t="str">
        <f>IF($B318="","",DATE(YEAR('Calendario H'!$F13),MONTH('Calendario H'!$F13),DAY('Calendario H'!$F13)))</f>
        <v/>
      </c>
      <c r="F318" s="117" t="str">
        <f>IF($B318="","",TIME(HOUR('Calendario H'!$F13)+2,MINUTE('Calendario H'!$F13),0))</f>
        <v/>
      </c>
      <c r="G318" s="48" t="str">
        <f>IF($B318="","",'Calendario H'!$B14)</f>
        <v/>
      </c>
      <c r="H318" s="48" t="str">
        <f>IF($B318="","",Campionato!$D$2&amp;" "&amp;Campionato!$D$6)</f>
        <v/>
      </c>
      <c r="I318" s="48"/>
    </row>
    <row r="319" spans="1:9" x14ac:dyDescent="0.25">
      <c r="A319" s="48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48" t="str">
        <f>IF('Calendario H'!$B16="","",'Calendario H'!$B16&amp;" vs "&amp;'Calendario H'!$D16&amp;" "&amp;'Calendario H'!$AC16)</f>
        <v/>
      </c>
      <c r="C319" s="116" t="str">
        <f>IF($B319="","",DATE(YEAR('Calendario H'!$F16),MONTH('Calendario H'!$F16),DAY('Calendario H'!$F16)))</f>
        <v/>
      </c>
      <c r="D319" s="117" t="str">
        <f>IF($B319="","",TIME(HOUR('Calendario H'!$F16),MINUTE('Calendario H'!$F16),0))</f>
        <v/>
      </c>
      <c r="E319" s="116" t="str">
        <f>IF($B319="","",DATE(YEAR('Calendario H'!$F16),MONTH('Calendario H'!$F16),DAY('Calendario H'!$F16)))</f>
        <v/>
      </c>
      <c r="F319" s="117" t="str">
        <f>IF($B319="","",TIME(HOUR('Calendario H'!$F16)+2,MINUTE('Calendario H'!$F16),0))</f>
        <v/>
      </c>
      <c r="G319" s="48" t="str">
        <f>IF($B319="","",'Calendario H'!$B17)</f>
        <v/>
      </c>
      <c r="H319" s="48" t="str">
        <f>IF($B319="","",Campionato!$D$2&amp;" "&amp;Campionato!$D$6)</f>
        <v/>
      </c>
      <c r="I319" s="48"/>
    </row>
    <row r="320" spans="1:9" x14ac:dyDescent="0.25">
      <c r="A320" s="48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48" t="str">
        <f>IF('Calendario H'!$B19="","",'Calendario H'!$B19&amp;" vs "&amp;'Calendario H'!$D19&amp;" "&amp;'Calendario H'!$AC19)</f>
        <v/>
      </c>
      <c r="C320" s="116" t="str">
        <f>IF($B320="","",DATE(YEAR('Calendario H'!$F19),MONTH('Calendario H'!$F19),DAY('Calendario H'!$F19)))</f>
        <v/>
      </c>
      <c r="D320" s="117" t="str">
        <f>IF($B320="","",TIME(HOUR('Calendario H'!$F19),MINUTE('Calendario H'!$F19),0))</f>
        <v/>
      </c>
      <c r="E320" s="116" t="str">
        <f>IF($B320="","",DATE(YEAR('Calendario H'!$F19),MONTH('Calendario H'!$F19),DAY('Calendario H'!$F19)))</f>
        <v/>
      </c>
      <c r="F320" s="117" t="str">
        <f>IF($B320="","",TIME(HOUR('Calendario H'!$F19)+2,MINUTE('Calendario H'!$F19),0))</f>
        <v/>
      </c>
      <c r="G320" s="48" t="str">
        <f>IF($B320="","",'Calendario H'!$B20)</f>
        <v/>
      </c>
      <c r="H320" s="48" t="str">
        <f>IF($B320="","",Campionato!$D$2&amp;" "&amp;Campionato!$D$6)</f>
        <v/>
      </c>
      <c r="I320" s="48"/>
    </row>
    <row r="321" spans="1:9" x14ac:dyDescent="0.25">
      <c r="A321" s="48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48" t="str">
        <f>IF('Calendario H'!$B22="","",'Calendario H'!$B22&amp;" vs "&amp;'Calendario H'!$D22&amp;" "&amp;'Calendario H'!$AC22)</f>
        <v/>
      </c>
      <c r="C321" s="116" t="str">
        <f>IF($B321="","",DATE(YEAR('Calendario H'!$F22),MONTH('Calendario H'!$F22),DAY('Calendario H'!$F22)))</f>
        <v/>
      </c>
      <c r="D321" s="117" t="str">
        <f>IF($B321="","",TIME(HOUR('Calendario H'!$F22),MINUTE('Calendario H'!$F22),0))</f>
        <v/>
      </c>
      <c r="E321" s="116" t="str">
        <f>IF($B321="","",DATE(YEAR('Calendario H'!$F22),MONTH('Calendario H'!$F22),DAY('Calendario H'!$F22)))</f>
        <v/>
      </c>
      <c r="F321" s="117" t="str">
        <f>IF($B321="","",TIME(HOUR('Calendario H'!$F22)+2,MINUTE('Calendario H'!$F22),0))</f>
        <v/>
      </c>
      <c r="G321" s="48" t="str">
        <f>IF($B321="","",'Calendario H'!$B23)</f>
        <v/>
      </c>
      <c r="H321" s="48" t="str">
        <f>IF($B321="","",Campionato!$D$2&amp;" "&amp;Campionato!$D$6)</f>
        <v/>
      </c>
      <c r="I321" s="48"/>
    </row>
    <row r="322" spans="1:9" x14ac:dyDescent="0.25">
      <c r="A322" s="48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48" t="str">
        <f>IF('Calendario H'!$B27="","",'Calendario H'!$B27&amp;" vs "&amp;'Calendario H'!$D27&amp;" "&amp;'Calendario H'!$AC27)</f>
        <v/>
      </c>
      <c r="C322" s="116" t="str">
        <f>IF($B322="","",DATE(YEAR('Calendario H'!$F27),MONTH('Calendario H'!$F27),DAY('Calendario H'!$F27)))</f>
        <v/>
      </c>
      <c r="D322" s="117" t="str">
        <f>IF($B322="","",TIME(HOUR('Calendario H'!$F27),MINUTE('Calendario H'!$F27),0))</f>
        <v/>
      </c>
      <c r="E322" s="116" t="str">
        <f>IF($B322="","",DATE(YEAR('Calendario H'!$F27),MONTH('Calendario H'!$F27),DAY('Calendario H'!$F27)))</f>
        <v/>
      </c>
      <c r="F322" s="117" t="str">
        <f>IF($B322="","",TIME(HOUR('Calendario H'!$F27)+2,MINUTE('Calendario H'!$F27),0))</f>
        <v/>
      </c>
      <c r="G322" s="48" t="str">
        <f>IF($B322="","",'Calendario H'!$B28)</f>
        <v/>
      </c>
      <c r="H322" s="48" t="str">
        <f>IF($B322="","",Campionato!$D$2&amp;" "&amp;Campionato!$D$6)</f>
        <v/>
      </c>
      <c r="I322" s="48"/>
    </row>
    <row r="323" spans="1:9" x14ac:dyDescent="0.25">
      <c r="A323" s="48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48" t="str">
        <f>IF('Calendario H'!$B30="","",'Calendario H'!$B30&amp;" vs "&amp;'Calendario H'!$D30&amp;" "&amp;'Calendario H'!$AC30)</f>
        <v/>
      </c>
      <c r="C323" s="116" t="str">
        <f>IF($B323="","",DATE(YEAR('Calendario H'!$F30),MONTH('Calendario H'!$F30),DAY('Calendario H'!$F30)))</f>
        <v/>
      </c>
      <c r="D323" s="117" t="str">
        <f>IF($B323="","",TIME(HOUR('Calendario H'!$F30),MINUTE('Calendario H'!$F30),0))</f>
        <v/>
      </c>
      <c r="E323" s="116" t="str">
        <f>IF($B323="","",DATE(YEAR('Calendario H'!$F30),MONTH('Calendario H'!$F30),DAY('Calendario H'!$F30)))</f>
        <v/>
      </c>
      <c r="F323" s="117" t="str">
        <f>IF($B323="","",TIME(HOUR('Calendario H'!$F30)+2,MINUTE('Calendario H'!$F30),0))</f>
        <v/>
      </c>
      <c r="G323" s="48" t="str">
        <f>IF($B323="","",'Calendario H'!$B31)</f>
        <v/>
      </c>
      <c r="H323" s="48" t="str">
        <f>IF($B323="","",Campionato!$D$2&amp;" "&amp;Campionato!$D$6)</f>
        <v/>
      </c>
      <c r="I323" s="48"/>
    </row>
    <row r="324" spans="1:9" x14ac:dyDescent="0.25">
      <c r="A324" s="48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48" t="str">
        <f>IF('Calendario H'!$B33="","",'Calendario H'!$B33&amp;" vs "&amp;'Calendario H'!$D33&amp;" "&amp;'Calendario H'!$AC33)</f>
        <v/>
      </c>
      <c r="C324" s="116" t="str">
        <f>IF($B324="","",DATE(YEAR('Calendario H'!$F33),MONTH('Calendario H'!$F33),DAY('Calendario H'!$F33)))</f>
        <v/>
      </c>
      <c r="D324" s="117" t="str">
        <f>IF($B324="","",TIME(HOUR('Calendario H'!$F33),MINUTE('Calendario H'!$F33),0))</f>
        <v/>
      </c>
      <c r="E324" s="116" t="str">
        <f>IF($B324="","",DATE(YEAR('Calendario H'!$F33),MONTH('Calendario H'!$F33),DAY('Calendario H'!$F33)))</f>
        <v/>
      </c>
      <c r="F324" s="117" t="str">
        <f>IF($B324="","",TIME(HOUR('Calendario H'!$F33)+2,MINUTE('Calendario H'!$F33),0))</f>
        <v/>
      </c>
      <c r="G324" s="48" t="str">
        <f>IF($B324="","",'Calendario H'!$B34)</f>
        <v/>
      </c>
      <c r="H324" s="48" t="str">
        <f>IF($B324="","",Campionato!$D$2&amp;" "&amp;Campionato!$D$6)</f>
        <v/>
      </c>
      <c r="I324" s="48"/>
    </row>
    <row r="325" spans="1:9" x14ac:dyDescent="0.25">
      <c r="A325" s="48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48" t="str">
        <f>IF('Calendario H'!$B36="","",'Calendario H'!$B36&amp;" vs "&amp;'Calendario H'!$D36&amp;" "&amp;'Calendario H'!$AC36)</f>
        <v/>
      </c>
      <c r="C325" s="116" t="str">
        <f>IF($B325="","",DATE(YEAR('Calendario H'!$F36),MONTH('Calendario H'!$F36),DAY('Calendario H'!$F36)))</f>
        <v/>
      </c>
      <c r="D325" s="117" t="str">
        <f>IF($B325="","",TIME(HOUR('Calendario H'!$F36),MINUTE('Calendario H'!$F36),0))</f>
        <v/>
      </c>
      <c r="E325" s="116" t="str">
        <f>IF($B325="","",DATE(YEAR('Calendario H'!$F36),MONTH('Calendario H'!$F36),DAY('Calendario H'!$F36)))</f>
        <v/>
      </c>
      <c r="F325" s="117" t="str">
        <f>IF($B325="","",TIME(HOUR('Calendario H'!$F36)+2,MINUTE('Calendario H'!$F36),0))</f>
        <v/>
      </c>
      <c r="G325" s="48" t="str">
        <f>IF($B325="","",'Calendario H'!$B37)</f>
        <v/>
      </c>
      <c r="H325" s="48" t="str">
        <f>IF($B325="","",Campionato!$D$2&amp;" "&amp;Campionato!$D$6)</f>
        <v/>
      </c>
      <c r="I325" s="48"/>
    </row>
    <row r="326" spans="1:9" x14ac:dyDescent="0.25">
      <c r="A326" s="48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48" t="str">
        <f>IF('Calendario H'!$B39="","",'Calendario H'!$B39&amp;" vs "&amp;'Calendario H'!$D39&amp;" "&amp;'Calendario H'!$AC39)</f>
        <v/>
      </c>
      <c r="C326" s="116" t="str">
        <f>IF($B326="","",DATE(YEAR('Calendario H'!$F39),MONTH('Calendario H'!$F39),DAY('Calendario H'!$F39)))</f>
        <v/>
      </c>
      <c r="D326" s="117" t="str">
        <f>IF($B326="","",TIME(HOUR('Calendario H'!$F39),MINUTE('Calendario H'!$F39),0))</f>
        <v/>
      </c>
      <c r="E326" s="116" t="str">
        <f>IF($B326="","",DATE(YEAR('Calendario H'!$F39),MONTH('Calendario H'!$F39),DAY('Calendario H'!$F39)))</f>
        <v/>
      </c>
      <c r="F326" s="117" t="str">
        <f>IF($B326="","",TIME(HOUR('Calendario H'!$F39)+2,MINUTE('Calendario H'!$F39),0))</f>
        <v/>
      </c>
      <c r="G326" s="48" t="str">
        <f>IF($B326="","",'Calendario H'!$B40)</f>
        <v/>
      </c>
      <c r="H326" s="48" t="str">
        <f>IF($B326="","",Campionato!$D$2&amp;" "&amp;Campionato!$D$6)</f>
        <v/>
      </c>
      <c r="I326" s="48"/>
    </row>
    <row r="327" spans="1:9" x14ac:dyDescent="0.25">
      <c r="A327" s="48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48" t="str">
        <f>IF('Calendario H'!$B44="","",'Calendario H'!$B44&amp;" vs "&amp;'Calendario H'!$D44&amp;" "&amp;'Calendario H'!$AC44)</f>
        <v/>
      </c>
      <c r="C327" s="116" t="str">
        <f>IF($B327="","",DATE(YEAR('Calendario H'!$F44),MONTH('Calendario H'!$F44),DAY('Calendario H'!$F44)))</f>
        <v/>
      </c>
      <c r="D327" s="117" t="str">
        <f>IF($B327="","",TIME(HOUR('Calendario H'!$F44),MINUTE('Calendario H'!$F44),0))</f>
        <v/>
      </c>
      <c r="E327" s="116" t="str">
        <f>IF($B327="","",DATE(YEAR('Calendario H'!$F44),MONTH('Calendario H'!$F44),DAY('Calendario H'!$F44)))</f>
        <v/>
      </c>
      <c r="F327" s="117" t="str">
        <f>IF($B327="","",TIME(HOUR('Calendario H'!$F44)+2,MINUTE('Calendario H'!$F44),0))</f>
        <v/>
      </c>
      <c r="G327" s="48" t="str">
        <f>IF($B327="","",'Calendario H'!$B45)</f>
        <v/>
      </c>
      <c r="H327" s="48" t="str">
        <f>IF($B327="","",Campionato!$D$2&amp;" "&amp;Campionato!$D$6)</f>
        <v/>
      </c>
      <c r="I327" s="48"/>
    </row>
    <row r="328" spans="1:9" x14ac:dyDescent="0.25">
      <c r="A328" s="48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48" t="str">
        <f>IF('Calendario H'!$B47="","",'Calendario H'!$B47&amp;" vs "&amp;'Calendario H'!$D47&amp;" "&amp;'Calendario H'!$AC47)</f>
        <v/>
      </c>
      <c r="C328" s="116" t="str">
        <f>IF($B328="","",DATE(YEAR('Calendario H'!$F47),MONTH('Calendario H'!$F47),DAY('Calendario H'!$F47)))</f>
        <v/>
      </c>
      <c r="D328" s="117" t="str">
        <f>IF($B328="","",TIME(HOUR('Calendario H'!$F47),MINUTE('Calendario H'!$F47),0))</f>
        <v/>
      </c>
      <c r="E328" s="116" t="str">
        <f>IF($B328="","",DATE(YEAR('Calendario H'!$F47),MONTH('Calendario H'!$F47),DAY('Calendario H'!$F47)))</f>
        <v/>
      </c>
      <c r="F328" s="117" t="str">
        <f>IF($B328="","",TIME(HOUR('Calendario H'!$F47)+2,MINUTE('Calendario H'!$F47),0))</f>
        <v/>
      </c>
      <c r="G328" s="48" t="str">
        <f>IF($B328="","",'Calendario H'!$B48)</f>
        <v/>
      </c>
      <c r="H328" s="48" t="str">
        <f>IF($B328="","",Campionato!$D$2&amp;" "&amp;Campionato!$D$6)</f>
        <v/>
      </c>
      <c r="I328" s="48"/>
    </row>
    <row r="329" spans="1:9" x14ac:dyDescent="0.25">
      <c r="A329" s="48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48" t="str">
        <f>IF('Calendario H'!$B50="","",'Calendario H'!$B50&amp;" vs "&amp;'Calendario H'!$D50&amp;" "&amp;'Calendario H'!$AC50)</f>
        <v/>
      </c>
      <c r="C329" s="116" t="str">
        <f>IF($B329="","",DATE(YEAR('Calendario H'!$F50),MONTH('Calendario H'!$F50),DAY('Calendario H'!$F50)))</f>
        <v/>
      </c>
      <c r="D329" s="117" t="str">
        <f>IF($B329="","",TIME(HOUR('Calendario H'!$F50),MINUTE('Calendario H'!$F50),0))</f>
        <v/>
      </c>
      <c r="E329" s="116" t="str">
        <f>IF($B329="","",DATE(YEAR('Calendario H'!$F50),MONTH('Calendario H'!$F50),DAY('Calendario H'!$F50)))</f>
        <v/>
      </c>
      <c r="F329" s="117" t="str">
        <f>IF($B329="","",TIME(HOUR('Calendario H'!$F50)+2,MINUTE('Calendario H'!$F50),0))</f>
        <v/>
      </c>
      <c r="G329" s="48" t="str">
        <f>IF($B329="","",'Calendario H'!$B51)</f>
        <v/>
      </c>
      <c r="H329" s="48" t="str">
        <f>IF($B329="","",Campionato!$D$2&amp;" "&amp;Campionato!$D$6)</f>
        <v/>
      </c>
      <c r="I329" s="48"/>
    </row>
    <row r="330" spans="1:9" x14ac:dyDescent="0.25">
      <c r="A330" s="48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48" t="str">
        <f>IF('Calendario H'!$B53="","",'Calendario H'!$B53&amp;" vs "&amp;'Calendario H'!$D53&amp;" "&amp;'Calendario H'!$AC53)</f>
        <v/>
      </c>
      <c r="C330" s="116" t="str">
        <f>IF($B330="","",DATE(YEAR('Calendario H'!$F53),MONTH('Calendario H'!$F53),DAY('Calendario H'!$F53)))</f>
        <v/>
      </c>
      <c r="D330" s="117" t="str">
        <f>IF($B330="","",TIME(HOUR('Calendario H'!$F53),MINUTE('Calendario H'!$F53),0))</f>
        <v/>
      </c>
      <c r="E330" s="116" t="str">
        <f>IF($B330="","",DATE(YEAR('Calendario H'!$F53),MONTH('Calendario H'!$F53),DAY('Calendario H'!$F53)))</f>
        <v/>
      </c>
      <c r="F330" s="117" t="str">
        <f>IF($B330="","",TIME(HOUR('Calendario H'!$F53)+2,MINUTE('Calendario H'!$F53),0))</f>
        <v/>
      </c>
      <c r="G330" s="48" t="str">
        <f>IF($B330="","",'Calendario H'!$B54)</f>
        <v/>
      </c>
      <c r="H330" s="48" t="str">
        <f>IF($B330="","",Campionato!$D$2&amp;" "&amp;Campionato!$D$6)</f>
        <v/>
      </c>
      <c r="I330" s="48"/>
    </row>
    <row r="331" spans="1:9" x14ac:dyDescent="0.25">
      <c r="A331" s="48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48" t="str">
        <f>IF('Calendario H'!$B56="","",'Calendario H'!$B56&amp;" vs "&amp;'Calendario H'!$D56&amp;" "&amp;'Calendario H'!$AC56)</f>
        <v/>
      </c>
      <c r="C331" s="116" t="str">
        <f>IF($B331="","",DATE(YEAR('Calendario H'!$F56),MONTH('Calendario H'!$F56),DAY('Calendario H'!$F56)))</f>
        <v/>
      </c>
      <c r="D331" s="117" t="str">
        <f>IF($B331="","",TIME(HOUR('Calendario H'!$F56),MINUTE('Calendario H'!$F56),0))</f>
        <v/>
      </c>
      <c r="E331" s="116" t="str">
        <f>IF($B331="","",DATE(YEAR('Calendario H'!$F56),MONTH('Calendario H'!$F56),DAY('Calendario H'!$F56)))</f>
        <v/>
      </c>
      <c r="F331" s="117" t="str">
        <f>IF($B331="","",TIME(HOUR('Calendario H'!$F56)+2,MINUTE('Calendario H'!$F56),0))</f>
        <v/>
      </c>
      <c r="G331" s="48" t="str">
        <f>IF($B331="","",'Calendario H'!$B57)</f>
        <v/>
      </c>
      <c r="H331" s="48" t="str">
        <f>IF($B331="","",Campionato!$D$2&amp;" "&amp;Campionato!$D$6)</f>
        <v/>
      </c>
      <c r="I331" s="48"/>
    </row>
    <row r="332" spans="1:9" x14ac:dyDescent="0.25">
      <c r="A332" s="48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48" t="str">
        <f>IF('Calendario H'!$B61="","",'Calendario H'!$B61&amp;" vs "&amp;'Calendario H'!$D61&amp;" "&amp;'Calendario H'!$AC61)</f>
        <v/>
      </c>
      <c r="C332" s="116" t="str">
        <f>IF($B332="","",DATE(YEAR('Calendario H'!$F61),MONTH('Calendario H'!$F61),DAY('Calendario H'!$F61)))</f>
        <v/>
      </c>
      <c r="D332" s="117" t="str">
        <f>IF($B332="","",TIME(HOUR('Calendario H'!$F61),MINUTE('Calendario H'!$F61),0))</f>
        <v/>
      </c>
      <c r="E332" s="116" t="str">
        <f>IF($B332="","",DATE(YEAR('Calendario H'!$F61),MONTH('Calendario H'!$F61),DAY('Calendario H'!$F61)))</f>
        <v/>
      </c>
      <c r="F332" s="117" t="str">
        <f>IF($B332="","",TIME(HOUR('Calendario H'!$F61)+2,MINUTE('Calendario H'!$F61),0))</f>
        <v/>
      </c>
      <c r="G332" s="48" t="str">
        <f>IF($B332="","",'Calendario H'!$B62)</f>
        <v/>
      </c>
      <c r="H332" s="48" t="str">
        <f>IF($B332="","",Campionato!$D$2&amp;" "&amp;Campionato!$D$6)</f>
        <v/>
      </c>
      <c r="I332" s="48"/>
    </row>
    <row r="333" spans="1:9" x14ac:dyDescent="0.25">
      <c r="A333" s="48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48" t="str">
        <f>IF('Calendario H'!$B64="","",'Calendario H'!$B64&amp;" vs "&amp;'Calendario H'!$D64&amp;" "&amp;'Calendario H'!$AC64)</f>
        <v/>
      </c>
      <c r="C333" s="116" t="str">
        <f>IF($B333="","",DATE(YEAR('Calendario H'!$F64),MONTH('Calendario H'!$F64),DAY('Calendario H'!$F64)))</f>
        <v/>
      </c>
      <c r="D333" s="117" t="str">
        <f>IF($B333="","",TIME(HOUR('Calendario H'!$F64),MINUTE('Calendario H'!$F64),0))</f>
        <v/>
      </c>
      <c r="E333" s="116" t="str">
        <f>IF($B333="","",DATE(YEAR('Calendario H'!$F64),MONTH('Calendario H'!$F64),DAY('Calendario H'!$F64)))</f>
        <v/>
      </c>
      <c r="F333" s="117" t="str">
        <f>IF($B333="","",TIME(HOUR('Calendario H'!$F64)+2,MINUTE('Calendario H'!$F64),0))</f>
        <v/>
      </c>
      <c r="G333" s="48" t="str">
        <f>IF($B333="","",'Calendario H'!$B65)</f>
        <v/>
      </c>
      <c r="H333" s="48" t="str">
        <f>IF($B333="","",Campionato!$D$2&amp;" "&amp;Campionato!$D$6)</f>
        <v/>
      </c>
      <c r="I333" s="48"/>
    </row>
    <row r="334" spans="1:9" x14ac:dyDescent="0.25">
      <c r="A334" s="48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48" t="str">
        <f>IF('Calendario H'!$B67="","",'Calendario H'!$B67&amp;" vs "&amp;'Calendario H'!$D67&amp;" "&amp;'Calendario H'!$AC67)</f>
        <v/>
      </c>
      <c r="C334" s="116" t="str">
        <f>IF($B334="","",DATE(YEAR('Calendario H'!$F67),MONTH('Calendario H'!$F67),DAY('Calendario H'!$F67)))</f>
        <v/>
      </c>
      <c r="D334" s="117" t="str">
        <f>IF($B334="","",TIME(HOUR('Calendario H'!$F67),MINUTE('Calendario H'!$F67),0))</f>
        <v/>
      </c>
      <c r="E334" s="116" t="str">
        <f>IF($B334="","",DATE(YEAR('Calendario H'!$F67),MONTH('Calendario H'!$F67),DAY('Calendario H'!$F67)))</f>
        <v/>
      </c>
      <c r="F334" s="117" t="str">
        <f>IF($B334="","",TIME(HOUR('Calendario H'!$F67)+2,MINUTE('Calendario H'!$F67),0))</f>
        <v/>
      </c>
      <c r="G334" s="48" t="str">
        <f>IF($B334="","",'Calendario H'!$B68)</f>
        <v/>
      </c>
      <c r="H334" s="48" t="str">
        <f>IF($B334="","",Campionato!$D$2&amp;" "&amp;Campionato!$D$6)</f>
        <v/>
      </c>
      <c r="I334" s="48"/>
    </row>
    <row r="335" spans="1:9" x14ac:dyDescent="0.25">
      <c r="A335" s="48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48" t="str">
        <f>IF('Calendario H'!$B70="","",'Calendario H'!$B70&amp;" vs "&amp;'Calendario H'!$D70&amp;" "&amp;'Calendario H'!$AC70)</f>
        <v/>
      </c>
      <c r="C335" s="116" t="str">
        <f>IF($B335="","",DATE(YEAR('Calendario H'!$F70),MONTH('Calendario H'!$F70),DAY('Calendario H'!$F70)))</f>
        <v/>
      </c>
      <c r="D335" s="117" t="str">
        <f>IF($B335="","",TIME(HOUR('Calendario H'!$F70),MINUTE('Calendario H'!$F70),0))</f>
        <v/>
      </c>
      <c r="E335" s="116" t="str">
        <f>IF($B335="","",DATE(YEAR('Calendario H'!$F70),MONTH('Calendario H'!$F70),DAY('Calendario H'!$F70)))</f>
        <v/>
      </c>
      <c r="F335" s="117" t="str">
        <f>IF($B335="","",TIME(HOUR('Calendario H'!$F70)+2,MINUTE('Calendario H'!$F70),0))</f>
        <v/>
      </c>
      <c r="G335" s="48" t="str">
        <f>IF($B335="","",'Calendario H'!$B71)</f>
        <v/>
      </c>
      <c r="H335" s="48" t="str">
        <f>IF($B335="","",Campionato!$D$2&amp;" "&amp;Campionato!$D$6)</f>
        <v/>
      </c>
      <c r="I335" s="48"/>
    </row>
    <row r="336" spans="1:9" x14ac:dyDescent="0.25">
      <c r="A336" s="48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48" t="str">
        <f>IF('Calendario H'!$B73="","",'Calendario H'!$B73&amp;" vs "&amp;'Calendario H'!$D73&amp;" "&amp;'Calendario H'!$AC73)</f>
        <v/>
      </c>
      <c r="C336" s="116" t="str">
        <f>IF($B336="","",DATE(YEAR('Calendario H'!$F73),MONTH('Calendario H'!$F73),DAY('Calendario H'!$F73)))</f>
        <v/>
      </c>
      <c r="D336" s="117" t="str">
        <f>IF($B336="","",TIME(HOUR('Calendario H'!$F73),MINUTE('Calendario H'!$F73),0))</f>
        <v/>
      </c>
      <c r="E336" s="116" t="str">
        <f>IF($B336="","",DATE(YEAR('Calendario H'!$F73),MONTH('Calendario H'!$F73),DAY('Calendario H'!$F73)))</f>
        <v/>
      </c>
      <c r="F336" s="117" t="str">
        <f>IF($B336="","",TIME(HOUR('Calendario H'!$F73)+2,MINUTE('Calendario H'!$F73),0))</f>
        <v/>
      </c>
      <c r="G336" s="48" t="str">
        <f>IF($B336="","",'Calendario H'!$B74)</f>
        <v/>
      </c>
      <c r="H336" s="48" t="str">
        <f>IF($B336="","",Campionato!$D$2&amp;" "&amp;Campionato!$D$6)</f>
        <v/>
      </c>
      <c r="I336" s="48"/>
    </row>
    <row r="337" spans="1:9" x14ac:dyDescent="0.25">
      <c r="A337" s="48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48" t="str">
        <f>IF('Calendario H'!$B78="","",'Calendario H'!$B78&amp;" vs "&amp;'Calendario H'!$D78&amp;" "&amp;'Calendario H'!$AC78)</f>
        <v/>
      </c>
      <c r="C337" s="116" t="str">
        <f>IF($B337="","",DATE(YEAR('Calendario H'!$F78),MONTH('Calendario H'!$F78),DAY('Calendario H'!$F78)))</f>
        <v/>
      </c>
      <c r="D337" s="117" t="str">
        <f>IF($B337="","",TIME(HOUR('Calendario H'!$F78),MINUTE('Calendario H'!$F78),0))</f>
        <v/>
      </c>
      <c r="E337" s="116" t="str">
        <f>IF($B337="","",DATE(YEAR('Calendario H'!$F78),MONTH('Calendario H'!$F78),DAY('Calendario H'!$F78)))</f>
        <v/>
      </c>
      <c r="F337" s="117" t="str">
        <f>IF($B337="","",TIME(HOUR('Calendario H'!$F78)+2,MINUTE('Calendario H'!$F78),0))</f>
        <v/>
      </c>
      <c r="G337" s="48" t="str">
        <f>IF($B337="","",'Calendario H'!$B79)</f>
        <v/>
      </c>
      <c r="H337" s="48" t="str">
        <f>IF($B337="","",Campionato!$D$2&amp;" "&amp;Campionato!$D$6)</f>
        <v/>
      </c>
      <c r="I337" s="48"/>
    </row>
    <row r="338" spans="1:9" x14ac:dyDescent="0.25">
      <c r="A338" s="48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48" t="str">
        <f>IF('Calendario H'!$B81="","",'Calendario H'!$B81&amp;" vs "&amp;'Calendario H'!$D81&amp;" "&amp;'Calendario H'!$AC81)</f>
        <v/>
      </c>
      <c r="C338" s="116" t="str">
        <f>IF($B338="","",DATE(YEAR('Calendario H'!$F81),MONTH('Calendario H'!$F81),DAY('Calendario H'!$F81)))</f>
        <v/>
      </c>
      <c r="D338" s="117" t="str">
        <f>IF($B338="","",TIME(HOUR('Calendario H'!$F81),MINUTE('Calendario H'!$F81),0))</f>
        <v/>
      </c>
      <c r="E338" s="116" t="str">
        <f>IF($B338="","",DATE(YEAR('Calendario H'!$F81),MONTH('Calendario H'!$F81),DAY('Calendario H'!$F81)))</f>
        <v/>
      </c>
      <c r="F338" s="117" t="str">
        <f>IF($B338="","",TIME(HOUR('Calendario H'!$F81)+2,MINUTE('Calendario H'!$F81),0))</f>
        <v/>
      </c>
      <c r="G338" s="48" t="str">
        <f>IF($B338="","",'Calendario H'!$B82)</f>
        <v/>
      </c>
      <c r="H338" s="48" t="str">
        <f>IF($B338="","",Campionato!$D$2&amp;" "&amp;Campionato!$D$6)</f>
        <v/>
      </c>
      <c r="I338" s="48"/>
    </row>
    <row r="339" spans="1:9" x14ac:dyDescent="0.25">
      <c r="A339" s="48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48" t="str">
        <f>IF('Calendario H'!$B84="","",'Calendario H'!$B84&amp;" vs "&amp;'Calendario H'!$D84&amp;" "&amp;'Calendario H'!$AC84)</f>
        <v/>
      </c>
      <c r="C339" s="116" t="str">
        <f>IF($B339="","",DATE(YEAR('Calendario H'!$F84),MONTH('Calendario H'!$F84),DAY('Calendario H'!$F84)))</f>
        <v/>
      </c>
      <c r="D339" s="117" t="str">
        <f>IF($B339="","",TIME(HOUR('Calendario H'!$F84),MINUTE('Calendario H'!$F84),0))</f>
        <v/>
      </c>
      <c r="E339" s="116" t="str">
        <f>IF($B339="","",DATE(YEAR('Calendario H'!$F84),MONTH('Calendario H'!$F84),DAY('Calendario H'!$F84)))</f>
        <v/>
      </c>
      <c r="F339" s="117" t="str">
        <f>IF($B339="","",TIME(HOUR('Calendario H'!$F84)+2,MINUTE('Calendario H'!$F84),0))</f>
        <v/>
      </c>
      <c r="G339" s="48" t="str">
        <f>IF($B339="","",'Calendario H'!$B85)</f>
        <v/>
      </c>
      <c r="H339" s="48" t="str">
        <f>IF($B339="","",Campionato!$D$2&amp;" "&amp;Campionato!$D$6)</f>
        <v/>
      </c>
      <c r="I339" s="48"/>
    </row>
    <row r="340" spans="1:9" x14ac:dyDescent="0.25">
      <c r="A340" s="48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48" t="str">
        <f>IF('Calendario H'!$B87="","",'Calendario H'!$B87&amp;" vs "&amp;'Calendario H'!$D87&amp;" "&amp;'Calendario H'!$AC87)</f>
        <v/>
      </c>
      <c r="C340" s="116" t="str">
        <f>IF($B340="","",DATE(YEAR('Calendario H'!$F87),MONTH('Calendario H'!$F87),DAY('Calendario H'!$F87)))</f>
        <v/>
      </c>
      <c r="D340" s="117" t="str">
        <f>IF($B340="","",TIME(HOUR('Calendario H'!$F87),MINUTE('Calendario H'!$F87),0))</f>
        <v/>
      </c>
      <c r="E340" s="116" t="str">
        <f>IF($B340="","",DATE(YEAR('Calendario H'!$F87),MONTH('Calendario H'!$F87),DAY('Calendario H'!$F87)))</f>
        <v/>
      </c>
      <c r="F340" s="117" t="str">
        <f>IF($B340="","",TIME(HOUR('Calendario H'!$F87)+2,MINUTE('Calendario H'!$F87),0))</f>
        <v/>
      </c>
      <c r="G340" s="48" t="str">
        <f>IF($B340="","",'Calendario H'!$B88)</f>
        <v/>
      </c>
      <c r="H340" s="48" t="str">
        <f>IF($B340="","",Campionato!$D$2&amp;" "&amp;Campionato!$D$6)</f>
        <v/>
      </c>
      <c r="I340" s="48"/>
    </row>
    <row r="341" spans="1:9" x14ac:dyDescent="0.25">
      <c r="A341" s="48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48" t="str">
        <f>IF('Calendario H'!$B90="","",'Calendario H'!$B90&amp;" vs "&amp;'Calendario H'!$D90&amp;" "&amp;'Calendario H'!$AC90)</f>
        <v/>
      </c>
      <c r="C341" s="116" t="str">
        <f>IF($B341="","",DATE(YEAR('Calendario H'!$F90),MONTH('Calendario H'!$F90),DAY('Calendario H'!$F90)))</f>
        <v/>
      </c>
      <c r="D341" s="117" t="str">
        <f>IF($B341="","",TIME(HOUR('Calendario H'!$F90),MINUTE('Calendario H'!$F90),0))</f>
        <v/>
      </c>
      <c r="E341" s="116" t="str">
        <f>IF($B341="","",DATE(YEAR('Calendario H'!$F90),MONTH('Calendario H'!$F90),DAY('Calendario H'!$F90)))</f>
        <v/>
      </c>
      <c r="F341" s="117" t="str">
        <f>IF($B341="","",TIME(HOUR('Calendario H'!$F90)+2,MINUTE('Calendario H'!$F90),0))</f>
        <v/>
      </c>
      <c r="G341" s="48" t="str">
        <f>IF($B341="","",'Calendario H'!$B91)</f>
        <v/>
      </c>
      <c r="H341" s="48" t="str">
        <f>IF($B341="","",Campionato!$D$2&amp;" "&amp;Campionato!$D$6)</f>
        <v/>
      </c>
      <c r="I341" s="48"/>
    </row>
    <row r="342" spans="1:9" x14ac:dyDescent="0.25">
      <c r="A342" s="48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48" t="str">
        <f>IF('Calendario H'!$B95="","",'Calendario H'!$B95&amp;" vs "&amp;'Calendario H'!$D95&amp;" "&amp;'Calendario H'!$AC95)</f>
        <v/>
      </c>
      <c r="C342" s="116" t="str">
        <f>IF($B342="","",DATE(YEAR('Calendario H'!$F95),MONTH('Calendario H'!$F95),DAY('Calendario H'!$F95)))</f>
        <v/>
      </c>
      <c r="D342" s="117" t="str">
        <f>IF($B342="","",TIME(HOUR('Calendario H'!$F95),MINUTE('Calendario H'!$F95),0))</f>
        <v/>
      </c>
      <c r="E342" s="116" t="str">
        <f>IF($B342="","",DATE(YEAR('Calendario H'!$F95),MONTH('Calendario H'!$F95),DAY('Calendario H'!$F95)))</f>
        <v/>
      </c>
      <c r="F342" s="117" t="str">
        <f>IF($B342="","",TIME(HOUR('Calendario H'!$F95)+2,MINUTE('Calendario H'!$F95),0))</f>
        <v/>
      </c>
      <c r="G342" s="48" t="str">
        <f>IF($B342="","",'Calendario H'!$B96)</f>
        <v/>
      </c>
      <c r="H342" s="48" t="str">
        <f>IF($B342="","",Campionato!$D$2&amp;" "&amp;Campionato!$D$6)</f>
        <v/>
      </c>
      <c r="I342" s="48"/>
    </row>
    <row r="343" spans="1:9" x14ac:dyDescent="0.25">
      <c r="A343" s="48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48" t="str">
        <f>IF('Calendario H'!$B98="","",'Calendario H'!$B98&amp;" vs "&amp;'Calendario H'!$D98&amp;" "&amp;'Calendario H'!$AC98)</f>
        <v/>
      </c>
      <c r="C343" s="116" t="str">
        <f>IF($B343="","",DATE(YEAR('Calendario H'!$F98),MONTH('Calendario H'!$F98),DAY('Calendario H'!$F98)))</f>
        <v/>
      </c>
      <c r="D343" s="117" t="str">
        <f>IF($B343="","",TIME(HOUR('Calendario H'!$F98),MINUTE('Calendario H'!$F98),0))</f>
        <v/>
      </c>
      <c r="E343" s="116" t="str">
        <f>IF($B343="","",DATE(YEAR('Calendario H'!$F98),MONTH('Calendario H'!$F98),DAY('Calendario H'!$F98)))</f>
        <v/>
      </c>
      <c r="F343" s="117" t="str">
        <f>IF($B343="","",TIME(HOUR('Calendario H'!$F98)+2,MINUTE('Calendario H'!$F98),0))</f>
        <v/>
      </c>
      <c r="G343" s="48" t="str">
        <f>IF($B343="","",'Calendario H'!$B99)</f>
        <v/>
      </c>
      <c r="H343" s="48" t="str">
        <f>IF($B343="","",Campionato!$D$2&amp;" "&amp;Campionato!$D$6)</f>
        <v/>
      </c>
      <c r="I343" s="48"/>
    </row>
    <row r="344" spans="1:9" x14ac:dyDescent="0.25">
      <c r="A344" s="48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48" t="str">
        <f>IF('Calendario H'!$B101="","",'Calendario H'!$B101&amp;" vs "&amp;'Calendario H'!$D101&amp;" "&amp;'Calendario H'!$AC101)</f>
        <v/>
      </c>
      <c r="C344" s="116" t="str">
        <f>IF($B344="","",DATE(YEAR('Calendario H'!$F101),MONTH('Calendario H'!$F101),DAY('Calendario H'!$F101)))</f>
        <v/>
      </c>
      <c r="D344" s="117" t="str">
        <f>IF($B344="","",TIME(HOUR('Calendario H'!$F101),MINUTE('Calendario H'!$F101),0))</f>
        <v/>
      </c>
      <c r="E344" s="116" t="str">
        <f>IF($B344="","",DATE(YEAR('Calendario H'!$F101),MONTH('Calendario H'!$F101),DAY('Calendario H'!$F101)))</f>
        <v/>
      </c>
      <c r="F344" s="117" t="str">
        <f>IF($B344="","",TIME(HOUR('Calendario H'!$F101)+2,MINUTE('Calendario H'!$F101),0))</f>
        <v/>
      </c>
      <c r="G344" s="48" t="str">
        <f>IF($B344="","",'Calendario H'!$B102)</f>
        <v/>
      </c>
      <c r="H344" s="48" t="str">
        <f>IF($B344="","",Campionato!$D$2&amp;" "&amp;Campionato!$D$6)</f>
        <v/>
      </c>
      <c r="I344" s="48"/>
    </row>
    <row r="345" spans="1:9" x14ac:dyDescent="0.25">
      <c r="A345" s="48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48" t="str">
        <f>IF('Calendario H'!$B104="","",'Calendario H'!$B104&amp;" vs "&amp;'Calendario H'!$D104&amp;" "&amp;'Calendario H'!$AC104)</f>
        <v/>
      </c>
      <c r="C345" s="116" t="str">
        <f>IF($B345="","",DATE(YEAR('Calendario H'!$F104),MONTH('Calendario H'!$F104),DAY('Calendario H'!$F104)))</f>
        <v/>
      </c>
      <c r="D345" s="117" t="str">
        <f>IF($B345="","",TIME(HOUR('Calendario H'!$F104),MINUTE('Calendario H'!$F104),0))</f>
        <v/>
      </c>
      <c r="E345" s="116" t="str">
        <f>IF($B345="","",DATE(YEAR('Calendario H'!$F104),MONTH('Calendario H'!$F104),DAY('Calendario H'!$F104)))</f>
        <v/>
      </c>
      <c r="F345" s="117" t="str">
        <f>IF($B345="","",TIME(HOUR('Calendario H'!$F104)+2,MINUTE('Calendario H'!$F104),0))</f>
        <v/>
      </c>
      <c r="G345" s="48" t="str">
        <f>IF($B345="","",'Calendario H'!$B105)</f>
        <v/>
      </c>
      <c r="H345" s="48" t="str">
        <f>IF($B345="","",Campionato!$D$2&amp;" "&amp;Campionato!$D$6)</f>
        <v/>
      </c>
      <c r="I345" s="48"/>
    </row>
    <row r="346" spans="1:9" x14ac:dyDescent="0.25">
      <c r="A346" s="48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48" t="str">
        <f>IF('Calendario H'!$B107="","",'Calendario H'!$B107&amp;" vs "&amp;'Calendario H'!$D107&amp;" "&amp;'Calendario H'!$AC107)</f>
        <v/>
      </c>
      <c r="C346" s="116" t="str">
        <f>IF($B346="","",DATE(YEAR('Calendario H'!$F107),MONTH('Calendario H'!$F107),DAY('Calendario H'!$F107)))</f>
        <v/>
      </c>
      <c r="D346" s="117" t="str">
        <f>IF($B346="","",TIME(HOUR('Calendario H'!$F107),MINUTE('Calendario H'!$F107),0))</f>
        <v/>
      </c>
      <c r="E346" s="116" t="str">
        <f>IF($B346="","",DATE(YEAR('Calendario H'!$F107),MONTH('Calendario H'!$F107),DAY('Calendario H'!$F107)))</f>
        <v/>
      </c>
      <c r="F346" s="117" t="str">
        <f>IF($B346="","",TIME(HOUR('Calendario H'!$F107)+2,MINUTE('Calendario H'!$F107),0))</f>
        <v/>
      </c>
      <c r="G346" s="48" t="str">
        <f>IF($B346="","",'Calendario H'!$B108)</f>
        <v/>
      </c>
      <c r="H346" s="48" t="str">
        <f>IF($B346="","",Campionato!$D$2&amp;" "&amp;Campionato!$D$6)</f>
        <v/>
      </c>
      <c r="I346" s="48"/>
    </row>
    <row r="347" spans="1:9" x14ac:dyDescent="0.25">
      <c r="A347" s="48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48" t="str">
        <f>IF('Calendario H'!$B112="","",'Calendario H'!$B112&amp;" vs "&amp;'Calendario H'!$D112&amp;" "&amp;'Calendario H'!$AC112)</f>
        <v/>
      </c>
      <c r="C347" s="116" t="str">
        <f>IF($B347="","",DATE(YEAR('Calendario H'!$F112),MONTH('Calendario H'!$F112),DAY('Calendario H'!$F112)))</f>
        <v/>
      </c>
      <c r="D347" s="117" t="str">
        <f>IF($B347="","",TIME(HOUR('Calendario H'!$F112),MINUTE('Calendario H'!$F112),0))</f>
        <v/>
      </c>
      <c r="E347" s="116" t="str">
        <f>IF($B347="","",DATE(YEAR('Calendario H'!$F112),MONTH('Calendario H'!$F112),DAY('Calendario H'!$F112)))</f>
        <v/>
      </c>
      <c r="F347" s="117" t="str">
        <f>IF($B347="","",TIME(HOUR('Calendario H'!$F112)+2,MINUTE('Calendario H'!$F112),0))</f>
        <v/>
      </c>
      <c r="G347" s="48" t="str">
        <f>IF($B347="","",'Calendario H'!$B113)</f>
        <v/>
      </c>
      <c r="H347" s="48" t="str">
        <f>IF($B347="","",Campionato!$D$2&amp;" "&amp;Campionato!$D$6)</f>
        <v/>
      </c>
      <c r="I347" s="48"/>
    </row>
    <row r="348" spans="1:9" x14ac:dyDescent="0.25">
      <c r="A348" s="48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48" t="str">
        <f>IF('Calendario H'!$B115="","",'Calendario H'!$B115&amp;" vs "&amp;'Calendario H'!$D115&amp;" "&amp;'Calendario H'!$AC115)</f>
        <v/>
      </c>
      <c r="C348" s="116" t="str">
        <f>IF($B348="","",DATE(YEAR('Calendario H'!$F115),MONTH('Calendario H'!$F115),DAY('Calendario H'!$F115)))</f>
        <v/>
      </c>
      <c r="D348" s="117" t="str">
        <f>IF($B348="","",TIME(HOUR('Calendario H'!$F115),MINUTE('Calendario H'!$F115),0))</f>
        <v/>
      </c>
      <c r="E348" s="116" t="str">
        <f>IF($B348="","",DATE(YEAR('Calendario H'!$F115),MONTH('Calendario H'!$F115),DAY('Calendario H'!$F115)))</f>
        <v/>
      </c>
      <c r="F348" s="117" t="str">
        <f>IF($B348="","",TIME(HOUR('Calendario H'!$F115)+2,MINUTE('Calendario H'!$F115),0))</f>
        <v/>
      </c>
      <c r="G348" s="48" t="str">
        <f>IF($B348="","",'Calendario H'!$B116)</f>
        <v/>
      </c>
      <c r="H348" s="48" t="str">
        <f>IF($B348="","",Campionato!$D$2&amp;" "&amp;Campionato!$D$6)</f>
        <v/>
      </c>
      <c r="I348" s="48"/>
    </row>
    <row r="349" spans="1:9" x14ac:dyDescent="0.25">
      <c r="A349" s="48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48" t="str">
        <f>IF('Calendario H'!$B118="","",'Calendario H'!$B118&amp;" vs "&amp;'Calendario H'!$D118&amp;" "&amp;'Calendario H'!$AC118)</f>
        <v/>
      </c>
      <c r="C349" s="116" t="str">
        <f>IF($B349="","",DATE(YEAR('Calendario H'!$F118),MONTH('Calendario H'!$F118),DAY('Calendario H'!$F118)))</f>
        <v/>
      </c>
      <c r="D349" s="117" t="str">
        <f>IF($B349="","",TIME(HOUR('Calendario H'!$F118),MINUTE('Calendario H'!$F118),0))</f>
        <v/>
      </c>
      <c r="E349" s="116" t="str">
        <f>IF($B349="","",DATE(YEAR('Calendario H'!$F118),MONTH('Calendario H'!$F118),DAY('Calendario H'!$F118)))</f>
        <v/>
      </c>
      <c r="F349" s="117" t="str">
        <f>IF($B349="","",TIME(HOUR('Calendario H'!$F118)+2,MINUTE('Calendario H'!$F118),0))</f>
        <v/>
      </c>
      <c r="G349" s="48" t="str">
        <f>IF($B349="","",'Calendario H'!$B119)</f>
        <v/>
      </c>
      <c r="H349" s="48" t="str">
        <f>IF($B349="","",Campionato!$D$2&amp;" "&amp;Campionato!$D$6)</f>
        <v/>
      </c>
      <c r="I349" s="48"/>
    </row>
    <row r="350" spans="1:9" x14ac:dyDescent="0.25">
      <c r="A350" s="48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48" t="str">
        <f>IF('Calendario H'!$B121="","",'Calendario H'!$B121&amp;" vs "&amp;'Calendario H'!$D121&amp;" "&amp;'Calendario H'!$AC121)</f>
        <v/>
      </c>
      <c r="C350" s="116" t="str">
        <f>IF($B350="","",DATE(YEAR('Calendario H'!$F121),MONTH('Calendario H'!$F121),DAY('Calendario H'!$F121)))</f>
        <v/>
      </c>
      <c r="D350" s="117" t="str">
        <f>IF($B350="","",TIME(HOUR('Calendario H'!$F121),MINUTE('Calendario H'!$F121),0))</f>
        <v/>
      </c>
      <c r="E350" s="116" t="str">
        <f>IF($B350="","",DATE(YEAR('Calendario H'!$F121),MONTH('Calendario H'!$F121),DAY('Calendario H'!$F121)))</f>
        <v/>
      </c>
      <c r="F350" s="117" t="str">
        <f>IF($B350="","",TIME(HOUR('Calendario H'!$F121)+2,MINUTE('Calendario H'!$F121),0))</f>
        <v/>
      </c>
      <c r="G350" s="48" t="str">
        <f>IF($B350="","",'Calendario H'!$B122)</f>
        <v/>
      </c>
      <c r="H350" s="48" t="str">
        <f>IF($B350="","",Campionato!$D$2&amp;" "&amp;Campionato!$D$6)</f>
        <v/>
      </c>
      <c r="I350" s="48"/>
    </row>
    <row r="351" spans="1:9" x14ac:dyDescent="0.25">
      <c r="A351" s="48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48" t="str">
        <f>IF('Calendario H'!$B124="","",'Calendario H'!$B124&amp;" vs "&amp;'Calendario H'!$D124&amp;" "&amp;'Calendario H'!$AC124)</f>
        <v/>
      </c>
      <c r="C351" s="116" t="str">
        <f>IF($B351="","",DATE(YEAR('Calendario H'!$F124),MONTH('Calendario H'!$F124),DAY('Calendario H'!$F124)))</f>
        <v/>
      </c>
      <c r="D351" s="117" t="str">
        <f>IF($B351="","",TIME(HOUR('Calendario H'!$F124),MINUTE('Calendario H'!$F124),0))</f>
        <v/>
      </c>
      <c r="E351" s="116" t="str">
        <f>IF($B351="","",DATE(YEAR('Calendario H'!$F124),MONTH('Calendario H'!$F124),DAY('Calendario H'!$F124)))</f>
        <v/>
      </c>
      <c r="F351" s="117" t="str">
        <f>IF($B351="","",TIME(HOUR('Calendario H'!$F124)+2,MINUTE('Calendario H'!$F124),0))</f>
        <v/>
      </c>
      <c r="G351" s="48" t="str">
        <f>IF($B351="","",'Calendario H'!$B125)</f>
        <v/>
      </c>
      <c r="H351" s="48" t="str">
        <f>IF($B351="","",Campionato!$D$2&amp;" "&amp;Campionato!$D$6)</f>
        <v/>
      </c>
      <c r="I351" s="48"/>
    </row>
    <row r="352" spans="1:9" x14ac:dyDescent="0.25">
      <c r="A352" s="48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48" t="str">
        <f>IF('Calendario H'!$B129="","",'Calendario H'!$B129&amp;" vs "&amp;'Calendario H'!$D129&amp;" "&amp;'Calendario H'!$AC129)</f>
        <v/>
      </c>
      <c r="C352" s="116" t="str">
        <f>IF($B352="","",DATE(YEAR('Calendario H'!$F129),MONTH('Calendario H'!$F129),DAY('Calendario H'!$F129)))</f>
        <v/>
      </c>
      <c r="D352" s="117" t="str">
        <f>IF($B352="","",TIME(HOUR('Calendario H'!$F129),MINUTE('Calendario H'!$F129),0))</f>
        <v/>
      </c>
      <c r="E352" s="116" t="str">
        <f>IF($B352="","",DATE(YEAR('Calendario H'!$F129),MONTH('Calendario H'!$F129),DAY('Calendario H'!$F129)))</f>
        <v/>
      </c>
      <c r="F352" s="117" t="str">
        <f>IF($B352="","",TIME(HOUR('Calendario H'!$F129)+2,MINUTE('Calendario H'!$F129),0))</f>
        <v/>
      </c>
      <c r="G352" s="48" t="str">
        <f>IF($B352="","",'Calendario H'!$B130)</f>
        <v/>
      </c>
      <c r="H352" s="48" t="str">
        <f>IF($B352="","",Campionato!$D$2&amp;" "&amp;Campionato!$D$6)</f>
        <v/>
      </c>
      <c r="I352" s="48"/>
    </row>
    <row r="353" spans="1:9" x14ac:dyDescent="0.25">
      <c r="A353" s="48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48" t="str">
        <f>IF('Calendario H'!$B132="","",'Calendario H'!$B132&amp;" vs "&amp;'Calendario H'!$D132&amp;" "&amp;'Calendario H'!$AC132)</f>
        <v/>
      </c>
      <c r="C353" s="116" t="str">
        <f>IF($B353="","",DATE(YEAR('Calendario H'!$F132),MONTH('Calendario H'!$F132),DAY('Calendario H'!$F132)))</f>
        <v/>
      </c>
      <c r="D353" s="117" t="str">
        <f>IF($B353="","",TIME(HOUR('Calendario H'!$F132),MINUTE('Calendario H'!$F132),0))</f>
        <v/>
      </c>
      <c r="E353" s="116" t="str">
        <f>IF($B353="","",DATE(YEAR('Calendario H'!$F132),MONTH('Calendario H'!$F132),DAY('Calendario H'!$F132)))</f>
        <v/>
      </c>
      <c r="F353" s="117" t="str">
        <f>IF($B353="","",TIME(HOUR('Calendario H'!$F132)+2,MINUTE('Calendario H'!$F132),0))</f>
        <v/>
      </c>
      <c r="G353" s="48" t="str">
        <f>IF($B353="","",'Calendario H'!$B133)</f>
        <v/>
      </c>
      <c r="H353" s="48" t="str">
        <f>IF($B353="","",Campionato!$D$2&amp;" "&amp;Campionato!$D$6)</f>
        <v/>
      </c>
      <c r="I353" s="48"/>
    </row>
    <row r="354" spans="1:9" x14ac:dyDescent="0.25">
      <c r="A354" s="48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48" t="str">
        <f>IF('Calendario H'!$B135="","",'Calendario H'!$B135&amp;" vs "&amp;'Calendario H'!$D135&amp;" "&amp;'Calendario H'!$AC135)</f>
        <v/>
      </c>
      <c r="C354" s="116" t="str">
        <f>IF($B354="","",DATE(YEAR('Calendario H'!$F135),MONTH('Calendario H'!$F135),DAY('Calendario H'!$F135)))</f>
        <v/>
      </c>
      <c r="D354" s="117" t="str">
        <f>IF($B354="","",TIME(HOUR('Calendario H'!$F135),MINUTE('Calendario H'!$F135),0))</f>
        <v/>
      </c>
      <c r="E354" s="116" t="str">
        <f>IF($B354="","",DATE(YEAR('Calendario H'!$F135),MONTH('Calendario H'!$F135),DAY('Calendario H'!$F135)))</f>
        <v/>
      </c>
      <c r="F354" s="117" t="str">
        <f>IF($B354="","",TIME(HOUR('Calendario H'!$F135)+2,MINUTE('Calendario H'!$F135),0))</f>
        <v/>
      </c>
      <c r="G354" s="48" t="str">
        <f>IF($B354="","",'Calendario H'!$B136)</f>
        <v/>
      </c>
      <c r="H354" s="48" t="str">
        <f>IF($B354="","",Campionato!$D$2&amp;" "&amp;Campionato!$D$6)</f>
        <v/>
      </c>
      <c r="I354" s="48"/>
    </row>
    <row r="355" spans="1:9" x14ac:dyDescent="0.25">
      <c r="A355" s="48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48" t="str">
        <f>IF('Calendario H'!$B138="","",'Calendario H'!$B138&amp;" vs "&amp;'Calendario H'!$D138&amp;" "&amp;'Calendario H'!$AC138)</f>
        <v/>
      </c>
      <c r="C355" s="116" t="str">
        <f>IF($B355="","",DATE(YEAR('Calendario H'!$F138),MONTH('Calendario H'!$F138),DAY('Calendario H'!$F138)))</f>
        <v/>
      </c>
      <c r="D355" s="117" t="str">
        <f>IF($B355="","",TIME(HOUR('Calendario H'!$F138),MINUTE('Calendario H'!$F138),0))</f>
        <v/>
      </c>
      <c r="E355" s="116" t="str">
        <f>IF($B355="","",DATE(YEAR('Calendario H'!$F138),MONTH('Calendario H'!$F138),DAY('Calendario H'!$F138)))</f>
        <v/>
      </c>
      <c r="F355" s="117" t="str">
        <f>IF($B355="","",TIME(HOUR('Calendario H'!$F138)+2,MINUTE('Calendario H'!$F138),0))</f>
        <v/>
      </c>
      <c r="G355" s="48" t="str">
        <f>IF($B355="","",'Calendario H'!$B139)</f>
        <v/>
      </c>
      <c r="H355" s="48" t="str">
        <f>IF($B355="","",Campionato!$D$2&amp;" "&amp;Campionato!$D$6)</f>
        <v/>
      </c>
      <c r="I355" s="48"/>
    </row>
    <row r="356" spans="1:9" x14ac:dyDescent="0.25">
      <c r="A356" s="48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48" t="str">
        <f>IF('Calendario H'!$B141="","",'Calendario H'!$B141&amp;" vs "&amp;'Calendario H'!$D141&amp;" "&amp;'Calendario H'!$AC141)</f>
        <v/>
      </c>
      <c r="C356" s="116" t="str">
        <f>IF($B356="","",DATE(YEAR('Calendario H'!$F141),MONTH('Calendario H'!$F141),DAY('Calendario H'!$F141)))</f>
        <v/>
      </c>
      <c r="D356" s="117" t="str">
        <f>IF($B356="","",TIME(HOUR('Calendario H'!$F141),MINUTE('Calendario H'!$F141),0))</f>
        <v/>
      </c>
      <c r="E356" s="116" t="str">
        <f>IF($B356="","",DATE(YEAR('Calendario H'!$F141),MONTH('Calendario H'!$F141),DAY('Calendario H'!$F141)))</f>
        <v/>
      </c>
      <c r="F356" s="117" t="str">
        <f>IF($B356="","",TIME(HOUR('Calendario H'!$F141)+2,MINUTE('Calendario H'!$F141),0))</f>
        <v/>
      </c>
      <c r="G356" s="48" t="str">
        <f>IF($B356="","",'Calendario H'!$B142)</f>
        <v/>
      </c>
      <c r="H356" s="48" t="str">
        <f>IF($B356="","",Campionato!$D$2&amp;" "&amp;Campionato!$D$6)</f>
        <v/>
      </c>
      <c r="I356" s="48"/>
    </row>
    <row r="357" spans="1:9" x14ac:dyDescent="0.25">
      <c r="A357" s="48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48" t="str">
        <f>IF('Calendario H'!$B146="","",'Calendario H'!$B146&amp;" vs "&amp;'Calendario H'!$D146&amp;" "&amp;'Calendario H'!$AC146)</f>
        <v/>
      </c>
      <c r="C357" s="116" t="str">
        <f>IF($B357="","",DATE(YEAR('Calendario H'!$F146),MONTH('Calendario H'!$F146),DAY('Calendario H'!$F146)))</f>
        <v/>
      </c>
      <c r="D357" s="117" t="str">
        <f>IF($B357="","",TIME(HOUR('Calendario H'!$F146),MINUTE('Calendario H'!$F146),0))</f>
        <v/>
      </c>
      <c r="E357" s="116" t="str">
        <f>IF($B357="","",DATE(YEAR('Calendario H'!$F146),MONTH('Calendario H'!$F146),DAY('Calendario H'!$F146)))</f>
        <v/>
      </c>
      <c r="F357" s="117" t="str">
        <f>IF($B357="","",TIME(HOUR('Calendario H'!$F146)+2,MINUTE('Calendario H'!$F146),0))</f>
        <v/>
      </c>
      <c r="G357" s="48" t="str">
        <f>IF($B357="","",'Calendario H'!$B147)</f>
        <v/>
      </c>
      <c r="H357" s="48" t="str">
        <f>IF($B357="","",Campionato!$D$2&amp;" "&amp;Campionato!$D$6)</f>
        <v/>
      </c>
      <c r="I357" s="48"/>
    </row>
    <row r="358" spans="1:9" x14ac:dyDescent="0.25">
      <c r="A358" s="48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48" t="str">
        <f>IF('Calendario H'!$B149="","",'Calendario H'!$B149&amp;" vs "&amp;'Calendario H'!$D149&amp;" "&amp;'Calendario H'!$AC149)</f>
        <v/>
      </c>
      <c r="C358" s="116" t="str">
        <f>IF($B358="","",DATE(YEAR('Calendario H'!$F149),MONTH('Calendario H'!$F149),DAY('Calendario H'!$F149)))</f>
        <v/>
      </c>
      <c r="D358" s="117" t="str">
        <f>IF($B358="","",TIME(HOUR('Calendario H'!$F149),MINUTE('Calendario H'!$F149),0))</f>
        <v/>
      </c>
      <c r="E358" s="116" t="str">
        <f>IF($B358="","",DATE(YEAR('Calendario H'!$F149),MONTH('Calendario H'!$F149),DAY('Calendario H'!$F149)))</f>
        <v/>
      </c>
      <c r="F358" s="117" t="str">
        <f>IF($B358="","",TIME(HOUR('Calendario H'!$F149)+2,MINUTE('Calendario H'!$F149),0))</f>
        <v/>
      </c>
      <c r="G358" s="48" t="str">
        <f>IF($B358="","",'Calendario H'!$B150)</f>
        <v/>
      </c>
      <c r="H358" s="48" t="str">
        <f>IF($B358="","",Campionato!$D$2&amp;" "&amp;Campionato!$D$6)</f>
        <v/>
      </c>
      <c r="I358" s="48"/>
    </row>
    <row r="359" spans="1:9" x14ac:dyDescent="0.25">
      <c r="A359" s="48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48" t="str">
        <f>IF('Calendario H'!$B152="","",'Calendario H'!$B152&amp;" vs "&amp;'Calendario H'!$D152&amp;" "&amp;'Calendario H'!$AC152)</f>
        <v/>
      </c>
      <c r="C359" s="116" t="str">
        <f>IF($B359="","",DATE(YEAR('Calendario H'!$F152),MONTH('Calendario H'!$F152),DAY('Calendario H'!$F152)))</f>
        <v/>
      </c>
      <c r="D359" s="117" t="str">
        <f>IF($B359="","",TIME(HOUR('Calendario H'!$F152),MINUTE('Calendario H'!$F152),0))</f>
        <v/>
      </c>
      <c r="E359" s="116" t="str">
        <f>IF($B359="","",DATE(YEAR('Calendario H'!$F152),MONTH('Calendario H'!$F152),DAY('Calendario H'!$F152)))</f>
        <v/>
      </c>
      <c r="F359" s="117" t="str">
        <f>IF($B359="","",TIME(HOUR('Calendario H'!$F152)+2,MINUTE('Calendario H'!$F152),0))</f>
        <v/>
      </c>
      <c r="G359" s="48" t="str">
        <f>IF($B359="","",'Calendario H'!$B153)</f>
        <v/>
      </c>
      <c r="H359" s="48" t="str">
        <f>IF($B359="","",Campionato!$D$2&amp;" "&amp;Campionato!$D$6)</f>
        <v/>
      </c>
      <c r="I359" s="48"/>
    </row>
    <row r="360" spans="1:9" x14ac:dyDescent="0.25">
      <c r="A360" s="48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48" t="str">
        <f>IF('Calendario H'!$B155="","",'Calendario H'!$B155&amp;" vs "&amp;'Calendario H'!$D155&amp;" "&amp;'Calendario H'!$AC155)</f>
        <v/>
      </c>
      <c r="C360" s="116" t="str">
        <f>IF($B360="","",DATE(YEAR('Calendario H'!$F155),MONTH('Calendario H'!$F155),DAY('Calendario H'!$F155)))</f>
        <v/>
      </c>
      <c r="D360" s="117" t="str">
        <f>IF($B360="","",TIME(HOUR('Calendario H'!$F155),MINUTE('Calendario H'!$F155),0))</f>
        <v/>
      </c>
      <c r="E360" s="116" t="str">
        <f>IF($B360="","",DATE(YEAR('Calendario H'!$F155),MONTH('Calendario H'!$F155),DAY('Calendario H'!$F155)))</f>
        <v/>
      </c>
      <c r="F360" s="117" t="str">
        <f>IF($B360="","",TIME(HOUR('Calendario H'!$F155)+2,MINUTE('Calendario H'!$F155),0))</f>
        <v/>
      </c>
      <c r="G360" s="48" t="str">
        <f>IF($B360="","",'Calendario H'!$B156)</f>
        <v/>
      </c>
      <c r="H360" s="48" t="str">
        <f>IF($B360="","",Campionato!$D$2&amp;" "&amp;Campionato!$D$6)</f>
        <v/>
      </c>
      <c r="I360" s="48"/>
    </row>
    <row r="361" spans="1:9" x14ac:dyDescent="0.25">
      <c r="A361" s="48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48" t="str">
        <f>IF('Calendario H'!$B158="","",'Calendario H'!$B158&amp;" vs "&amp;'Calendario H'!$D158&amp;" "&amp;'Calendario H'!$AC158)</f>
        <v/>
      </c>
      <c r="C361" s="116" t="str">
        <f>IF($B361="","",DATE(YEAR('Calendario H'!$F158),MONTH('Calendario H'!$F158),DAY('Calendario H'!$F158)))</f>
        <v/>
      </c>
      <c r="D361" s="117" t="str">
        <f>IF($B361="","",TIME(HOUR('Calendario H'!$F158),MINUTE('Calendario H'!$F158),0))</f>
        <v/>
      </c>
      <c r="E361" s="116" t="str">
        <f>IF($B361="","",DATE(YEAR('Calendario H'!$F158),MONTH('Calendario H'!$F158),DAY('Calendario H'!$F158)))</f>
        <v/>
      </c>
      <c r="F361" s="117" t="str">
        <f>IF($B361="","",TIME(HOUR('Calendario H'!$F158)+2,MINUTE('Calendario H'!$F158),0))</f>
        <v/>
      </c>
      <c r="G361" s="48" t="str">
        <f>IF($B361="","",'Calendario H'!$B159)</f>
        <v/>
      </c>
      <c r="H361" s="48" t="str">
        <f>IF($B361="","",Campionato!$D$2&amp;" "&amp;Campionato!$D$6)</f>
        <v/>
      </c>
      <c r="I361" s="48"/>
    </row>
    <row r="362" spans="1:9" x14ac:dyDescent="0.25">
      <c r="A362" s="48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48" t="str">
        <f>IF('Calendario I'!$B10="","",'Calendario I'!$B10&amp;" vs "&amp;'Calendario I'!$D10&amp;" "&amp;'Calendario I'!$AC10)</f>
        <v/>
      </c>
      <c r="C362" s="116" t="str">
        <f>IF($B362="","",DATE(YEAR('Calendario I'!$F10),MONTH('Calendario I'!$F10),DAY('Calendario I'!$F10)))</f>
        <v/>
      </c>
      <c r="D362" s="117" t="str">
        <f>IF($B362="","",TIME(HOUR('Calendario I'!$F10),MINUTE('Calendario I'!$F10),0))</f>
        <v/>
      </c>
      <c r="E362" s="116" t="str">
        <f>IF($B362="","",DATE(YEAR('Calendario I'!$F10),MONTH('Calendario I'!$F10),DAY('Calendario I'!$F10)))</f>
        <v/>
      </c>
      <c r="F362" s="117" t="str">
        <f>IF($B362="","",TIME(HOUR('Calendario I'!$F10)+2,MINUTE('Calendario I'!$F10),0))</f>
        <v/>
      </c>
      <c r="G362" s="48" t="str">
        <f>IF($B362="","",'Calendario I'!$B11)</f>
        <v/>
      </c>
      <c r="H362" s="48" t="str">
        <f>IF($B362="","",Campionato!$D$2&amp;" "&amp;Campionato!$D$6)</f>
        <v/>
      </c>
      <c r="I362" s="48"/>
    </row>
    <row r="363" spans="1:9" x14ac:dyDescent="0.25">
      <c r="A363" s="48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48" t="str">
        <f>IF('Calendario I'!$B13="","",'Calendario I'!$B13&amp;" vs "&amp;'Calendario I'!$D13&amp;" "&amp;'Calendario I'!$AC13)</f>
        <v/>
      </c>
      <c r="C363" s="116" t="str">
        <f>IF($B363="","",DATE(YEAR('Calendario I'!$F13),MONTH('Calendario I'!$F13),DAY('Calendario I'!$F13)))</f>
        <v/>
      </c>
      <c r="D363" s="117" t="str">
        <f>IF($B363="","",TIME(HOUR('Calendario I'!$F13),MINUTE('Calendario I'!$F13),0))</f>
        <v/>
      </c>
      <c r="E363" s="116" t="str">
        <f>IF($B363="","",DATE(YEAR('Calendario I'!$F13),MONTH('Calendario I'!$F13),DAY('Calendario I'!$F13)))</f>
        <v/>
      </c>
      <c r="F363" s="117" t="str">
        <f>IF($B363="","",TIME(HOUR('Calendario I'!$F13)+2,MINUTE('Calendario I'!$F13),0))</f>
        <v/>
      </c>
      <c r="G363" s="48" t="str">
        <f>IF($B363="","",'Calendario I'!$B14)</f>
        <v/>
      </c>
      <c r="H363" s="48" t="str">
        <f>IF($B363="","",Campionato!$D$2&amp;" "&amp;Campionato!$D$6)</f>
        <v/>
      </c>
      <c r="I363" s="48"/>
    </row>
    <row r="364" spans="1:9" x14ac:dyDescent="0.25">
      <c r="A364" s="48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48" t="str">
        <f>IF('Calendario I'!$B16="","",'Calendario I'!$B16&amp;" vs "&amp;'Calendario I'!$D16&amp;" "&amp;'Calendario I'!$AC16)</f>
        <v/>
      </c>
      <c r="C364" s="116" t="str">
        <f>IF($B364="","",DATE(YEAR('Calendario I'!$F16),MONTH('Calendario I'!$F16),DAY('Calendario I'!$F16)))</f>
        <v/>
      </c>
      <c r="D364" s="117" t="str">
        <f>IF($B364="","",TIME(HOUR('Calendario I'!$F16),MINUTE('Calendario I'!$F16),0))</f>
        <v/>
      </c>
      <c r="E364" s="116" t="str">
        <f>IF($B364="","",DATE(YEAR('Calendario I'!$F16),MONTH('Calendario I'!$F16),DAY('Calendario I'!$F16)))</f>
        <v/>
      </c>
      <c r="F364" s="117" t="str">
        <f>IF($B364="","",TIME(HOUR('Calendario I'!$F16)+2,MINUTE('Calendario I'!$F16),0))</f>
        <v/>
      </c>
      <c r="G364" s="48" t="str">
        <f>IF($B364="","",'Calendario I'!$B17)</f>
        <v/>
      </c>
      <c r="H364" s="48" t="str">
        <f>IF($B364="","",Campionato!$D$2&amp;" "&amp;Campionato!$D$6)</f>
        <v/>
      </c>
      <c r="I364" s="48"/>
    </row>
    <row r="365" spans="1:9" x14ac:dyDescent="0.25">
      <c r="A365" s="48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48" t="str">
        <f>IF('Calendario I'!$B19="","",'Calendario I'!$B19&amp;" vs "&amp;'Calendario I'!$D19&amp;" "&amp;'Calendario I'!$AC19)</f>
        <v/>
      </c>
      <c r="C365" s="116" t="str">
        <f>IF($B365="","",DATE(YEAR('Calendario I'!$F19),MONTH('Calendario I'!$F19),DAY('Calendario I'!$F19)))</f>
        <v/>
      </c>
      <c r="D365" s="117" t="str">
        <f>IF($B365="","",TIME(HOUR('Calendario I'!$F19),MINUTE('Calendario I'!$F19),0))</f>
        <v/>
      </c>
      <c r="E365" s="116" t="str">
        <f>IF($B365="","",DATE(YEAR('Calendario I'!$F19),MONTH('Calendario I'!$F19),DAY('Calendario I'!$F19)))</f>
        <v/>
      </c>
      <c r="F365" s="117" t="str">
        <f>IF($B365="","",TIME(HOUR('Calendario I'!$F19)+2,MINUTE('Calendario I'!$F19),0))</f>
        <v/>
      </c>
      <c r="G365" s="48" t="str">
        <f>IF($B365="","",'Calendario I'!$B20)</f>
        <v/>
      </c>
      <c r="H365" s="48" t="str">
        <f>IF($B365="","",Campionato!$D$2&amp;" "&amp;Campionato!$D$6)</f>
        <v/>
      </c>
      <c r="I365" s="48"/>
    </row>
    <row r="366" spans="1:9" x14ac:dyDescent="0.25">
      <c r="A366" s="48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48" t="str">
        <f>IF('Calendario I'!$B22="","",'Calendario I'!$B22&amp;" vs "&amp;'Calendario I'!$D22&amp;" "&amp;'Calendario I'!$AC22)</f>
        <v/>
      </c>
      <c r="C366" s="116" t="str">
        <f>IF($B366="","",DATE(YEAR('Calendario I'!$F22),MONTH('Calendario I'!$F22),DAY('Calendario I'!$F22)))</f>
        <v/>
      </c>
      <c r="D366" s="117" t="str">
        <f>IF($B366="","",TIME(HOUR('Calendario I'!$F22),MINUTE('Calendario I'!$F22),0))</f>
        <v/>
      </c>
      <c r="E366" s="116" t="str">
        <f>IF($B366="","",DATE(YEAR('Calendario I'!$F22),MONTH('Calendario I'!$F22),DAY('Calendario I'!$F22)))</f>
        <v/>
      </c>
      <c r="F366" s="117" t="str">
        <f>IF($B366="","",TIME(HOUR('Calendario I'!$F22)+2,MINUTE('Calendario I'!$F22),0))</f>
        <v/>
      </c>
      <c r="G366" s="48" t="str">
        <f>IF($B366="","",'Calendario I'!$B23)</f>
        <v/>
      </c>
      <c r="H366" s="48" t="str">
        <f>IF($B366="","",Campionato!$D$2&amp;" "&amp;Campionato!$D$6)</f>
        <v/>
      </c>
      <c r="I366" s="48"/>
    </row>
    <row r="367" spans="1:9" x14ac:dyDescent="0.25">
      <c r="A367" s="48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48" t="str">
        <f>IF('Calendario I'!$B27="","",'Calendario I'!$B27&amp;" vs "&amp;'Calendario I'!$D27&amp;" "&amp;'Calendario I'!$AC27)</f>
        <v/>
      </c>
      <c r="C367" s="116" t="str">
        <f>IF($B367="","",DATE(YEAR('Calendario I'!$F27),MONTH('Calendario I'!$F27),DAY('Calendario I'!$F27)))</f>
        <v/>
      </c>
      <c r="D367" s="117" t="str">
        <f>IF($B367="","",TIME(HOUR('Calendario I'!$F27),MINUTE('Calendario I'!$F27),0))</f>
        <v/>
      </c>
      <c r="E367" s="116" t="str">
        <f>IF($B367="","",DATE(YEAR('Calendario I'!$F27),MONTH('Calendario I'!$F27),DAY('Calendario I'!$F27)))</f>
        <v/>
      </c>
      <c r="F367" s="117" t="str">
        <f>IF($B367="","",TIME(HOUR('Calendario I'!$F27)+2,MINUTE('Calendario I'!$F27),0))</f>
        <v/>
      </c>
      <c r="G367" s="48" t="str">
        <f>IF($B367="","",'Calendario I'!$B28)</f>
        <v/>
      </c>
      <c r="H367" s="48" t="str">
        <f>IF($B367="","",Campionato!$D$2&amp;" "&amp;Campionato!$D$6)</f>
        <v/>
      </c>
      <c r="I367" s="48"/>
    </row>
    <row r="368" spans="1:9" x14ac:dyDescent="0.25">
      <c r="A368" s="48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48" t="str">
        <f>IF('Calendario I'!$B30="","",'Calendario I'!$B30&amp;" vs "&amp;'Calendario I'!$D30&amp;" "&amp;'Calendario I'!$AC30)</f>
        <v/>
      </c>
      <c r="C368" s="116" t="str">
        <f>IF($B368="","",DATE(YEAR('Calendario I'!$F30),MONTH('Calendario I'!$F30),DAY('Calendario I'!$F30)))</f>
        <v/>
      </c>
      <c r="D368" s="117" t="str">
        <f>IF($B368="","",TIME(HOUR('Calendario I'!$F30),MINUTE('Calendario I'!$F30),0))</f>
        <v/>
      </c>
      <c r="E368" s="116" t="str">
        <f>IF($B368="","",DATE(YEAR('Calendario I'!$F30),MONTH('Calendario I'!$F30),DAY('Calendario I'!$F30)))</f>
        <v/>
      </c>
      <c r="F368" s="117" t="str">
        <f>IF($B368="","",TIME(HOUR('Calendario I'!$F30)+2,MINUTE('Calendario I'!$F30),0))</f>
        <v/>
      </c>
      <c r="G368" s="48" t="str">
        <f>IF($B368="","",'Calendario I'!$B31)</f>
        <v/>
      </c>
      <c r="H368" s="48" t="str">
        <f>IF($B368="","",Campionato!$D$2&amp;" "&amp;Campionato!$D$6)</f>
        <v/>
      </c>
      <c r="I368" s="48"/>
    </row>
    <row r="369" spans="1:9" x14ac:dyDescent="0.25">
      <c r="A369" s="48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48" t="str">
        <f>IF('Calendario I'!$B33="","",'Calendario I'!$B33&amp;" vs "&amp;'Calendario I'!$D33&amp;" "&amp;'Calendario I'!$AC33)</f>
        <v/>
      </c>
      <c r="C369" s="116" t="str">
        <f>IF($B369="","",DATE(YEAR('Calendario I'!$F33),MONTH('Calendario I'!$F33),DAY('Calendario I'!$F33)))</f>
        <v/>
      </c>
      <c r="D369" s="117" t="str">
        <f>IF($B369="","",TIME(HOUR('Calendario I'!$F33),MINUTE('Calendario I'!$F33),0))</f>
        <v/>
      </c>
      <c r="E369" s="116" t="str">
        <f>IF($B369="","",DATE(YEAR('Calendario I'!$F33),MONTH('Calendario I'!$F33),DAY('Calendario I'!$F33)))</f>
        <v/>
      </c>
      <c r="F369" s="117" t="str">
        <f>IF($B369="","",TIME(HOUR('Calendario I'!$F33)+2,MINUTE('Calendario I'!$F33),0))</f>
        <v/>
      </c>
      <c r="G369" s="48" t="str">
        <f>IF($B369="","",'Calendario I'!$B34)</f>
        <v/>
      </c>
      <c r="H369" s="48" t="str">
        <f>IF($B369="","",Campionato!$D$2&amp;" "&amp;Campionato!$D$6)</f>
        <v/>
      </c>
      <c r="I369" s="48"/>
    </row>
    <row r="370" spans="1:9" x14ac:dyDescent="0.25">
      <c r="A370" s="48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48" t="str">
        <f>IF('Calendario I'!$B36="","",'Calendario I'!$B36&amp;" vs "&amp;'Calendario I'!$D36&amp;" "&amp;'Calendario I'!$AC36)</f>
        <v/>
      </c>
      <c r="C370" s="116" t="str">
        <f>IF($B370="","",DATE(YEAR('Calendario I'!$F36),MONTH('Calendario I'!$F36),DAY('Calendario I'!$F36)))</f>
        <v/>
      </c>
      <c r="D370" s="117" t="str">
        <f>IF($B370="","",TIME(HOUR('Calendario I'!$F36),MINUTE('Calendario I'!$F36),0))</f>
        <v/>
      </c>
      <c r="E370" s="116" t="str">
        <f>IF($B370="","",DATE(YEAR('Calendario I'!$F36),MONTH('Calendario I'!$F36),DAY('Calendario I'!$F36)))</f>
        <v/>
      </c>
      <c r="F370" s="117" t="str">
        <f>IF($B370="","",TIME(HOUR('Calendario I'!$F36)+2,MINUTE('Calendario I'!$F36),0))</f>
        <v/>
      </c>
      <c r="G370" s="48" t="str">
        <f>IF($B370="","",'Calendario I'!$B37)</f>
        <v/>
      </c>
      <c r="H370" s="48" t="str">
        <f>IF($B370="","",Campionato!$D$2&amp;" "&amp;Campionato!$D$6)</f>
        <v/>
      </c>
      <c r="I370" s="48"/>
    </row>
    <row r="371" spans="1:9" x14ac:dyDescent="0.25">
      <c r="A371" s="48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48" t="str">
        <f>IF('Calendario I'!$B39="","",'Calendario I'!$B39&amp;" vs "&amp;'Calendario I'!$D39&amp;" "&amp;'Calendario I'!$AC39)</f>
        <v/>
      </c>
      <c r="C371" s="116" t="str">
        <f>IF($B371="","",DATE(YEAR('Calendario I'!$F39),MONTH('Calendario I'!$F39),DAY('Calendario I'!$F39)))</f>
        <v/>
      </c>
      <c r="D371" s="117" t="str">
        <f>IF($B371="","",TIME(HOUR('Calendario I'!$F39),MINUTE('Calendario I'!$F39),0))</f>
        <v/>
      </c>
      <c r="E371" s="116" t="str">
        <f>IF($B371="","",DATE(YEAR('Calendario I'!$F39),MONTH('Calendario I'!$F39),DAY('Calendario I'!$F39)))</f>
        <v/>
      </c>
      <c r="F371" s="117" t="str">
        <f>IF($B371="","",TIME(HOUR('Calendario I'!$F39)+2,MINUTE('Calendario I'!$F39),0))</f>
        <v/>
      </c>
      <c r="G371" s="48" t="str">
        <f>IF($B371="","",'Calendario I'!$B40)</f>
        <v/>
      </c>
      <c r="H371" s="48" t="str">
        <f>IF($B371="","",Campionato!$D$2&amp;" "&amp;Campionato!$D$6)</f>
        <v/>
      </c>
      <c r="I371" s="48"/>
    </row>
    <row r="372" spans="1:9" x14ac:dyDescent="0.25">
      <c r="A372" s="48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48" t="str">
        <f>IF('Calendario I'!$B44="","",'Calendario I'!$B44&amp;" vs "&amp;'Calendario I'!$D44&amp;" "&amp;'Calendario I'!$AC44)</f>
        <v/>
      </c>
      <c r="C372" s="116" t="str">
        <f>IF($B372="","",DATE(YEAR('Calendario I'!$F44),MONTH('Calendario I'!$F44),DAY('Calendario I'!$F44)))</f>
        <v/>
      </c>
      <c r="D372" s="117" t="str">
        <f>IF($B372="","",TIME(HOUR('Calendario I'!$F44),MINUTE('Calendario I'!$F44),0))</f>
        <v/>
      </c>
      <c r="E372" s="116" t="str">
        <f>IF($B372="","",DATE(YEAR('Calendario I'!$F44),MONTH('Calendario I'!$F44),DAY('Calendario I'!$F44)))</f>
        <v/>
      </c>
      <c r="F372" s="117" t="str">
        <f>IF($B372="","",TIME(HOUR('Calendario I'!$F44)+2,MINUTE('Calendario I'!$F44),0))</f>
        <v/>
      </c>
      <c r="G372" s="48" t="str">
        <f>IF($B372="","",'Calendario I'!$B45)</f>
        <v/>
      </c>
      <c r="H372" s="48" t="str">
        <f>IF($B372="","",Campionato!$D$2&amp;" "&amp;Campionato!$D$6)</f>
        <v/>
      </c>
      <c r="I372" s="48"/>
    </row>
    <row r="373" spans="1:9" x14ac:dyDescent="0.25">
      <c r="A373" s="48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48" t="str">
        <f>IF('Calendario I'!$B47="","",'Calendario I'!$B47&amp;" vs "&amp;'Calendario I'!$D47&amp;" "&amp;'Calendario I'!$AC47)</f>
        <v/>
      </c>
      <c r="C373" s="116" t="str">
        <f>IF($B373="","",DATE(YEAR('Calendario I'!$F47),MONTH('Calendario I'!$F47),DAY('Calendario I'!$F47)))</f>
        <v/>
      </c>
      <c r="D373" s="117" t="str">
        <f>IF($B373="","",TIME(HOUR('Calendario I'!$F47),MINUTE('Calendario I'!$F47),0))</f>
        <v/>
      </c>
      <c r="E373" s="116" t="str">
        <f>IF($B373="","",DATE(YEAR('Calendario I'!$F47),MONTH('Calendario I'!$F47),DAY('Calendario I'!$F47)))</f>
        <v/>
      </c>
      <c r="F373" s="117" t="str">
        <f>IF($B373="","",TIME(HOUR('Calendario I'!$F47)+2,MINUTE('Calendario I'!$F47),0))</f>
        <v/>
      </c>
      <c r="G373" s="48" t="str">
        <f>IF($B373="","",'Calendario I'!$B48)</f>
        <v/>
      </c>
      <c r="H373" s="48" t="str">
        <f>IF($B373="","",Campionato!$D$2&amp;" "&amp;Campionato!$D$6)</f>
        <v/>
      </c>
      <c r="I373" s="48"/>
    </row>
    <row r="374" spans="1:9" x14ac:dyDescent="0.25">
      <c r="A374" s="48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48" t="str">
        <f>IF('Calendario I'!$B50="","",'Calendario I'!$B50&amp;" vs "&amp;'Calendario I'!$D50&amp;" "&amp;'Calendario I'!$AC50)</f>
        <v/>
      </c>
      <c r="C374" s="116" t="str">
        <f>IF($B374="","",DATE(YEAR('Calendario I'!$F50),MONTH('Calendario I'!$F50),DAY('Calendario I'!$F50)))</f>
        <v/>
      </c>
      <c r="D374" s="117" t="str">
        <f>IF($B374="","",TIME(HOUR('Calendario I'!$F50),MINUTE('Calendario I'!$F50),0))</f>
        <v/>
      </c>
      <c r="E374" s="116" t="str">
        <f>IF($B374="","",DATE(YEAR('Calendario I'!$F50),MONTH('Calendario I'!$F50),DAY('Calendario I'!$F50)))</f>
        <v/>
      </c>
      <c r="F374" s="117" t="str">
        <f>IF($B374="","",TIME(HOUR('Calendario I'!$F50)+2,MINUTE('Calendario I'!$F50),0))</f>
        <v/>
      </c>
      <c r="G374" s="48" t="str">
        <f>IF($B374="","",'Calendario I'!$B51)</f>
        <v/>
      </c>
      <c r="H374" s="48" t="str">
        <f>IF($B374="","",Campionato!$D$2&amp;" "&amp;Campionato!$D$6)</f>
        <v/>
      </c>
      <c r="I374" s="48"/>
    </row>
    <row r="375" spans="1:9" x14ac:dyDescent="0.25">
      <c r="A375" s="48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48" t="str">
        <f>IF('Calendario I'!$B53="","",'Calendario I'!$B53&amp;" vs "&amp;'Calendario I'!$D53&amp;" "&amp;'Calendario I'!$AC53)</f>
        <v/>
      </c>
      <c r="C375" s="116" t="str">
        <f>IF($B375="","",DATE(YEAR('Calendario I'!$F53),MONTH('Calendario I'!$F53),DAY('Calendario I'!$F53)))</f>
        <v/>
      </c>
      <c r="D375" s="117" t="str">
        <f>IF($B375="","",TIME(HOUR('Calendario I'!$F53),MINUTE('Calendario I'!$F53),0))</f>
        <v/>
      </c>
      <c r="E375" s="116" t="str">
        <f>IF($B375="","",DATE(YEAR('Calendario I'!$F53),MONTH('Calendario I'!$F53),DAY('Calendario I'!$F53)))</f>
        <v/>
      </c>
      <c r="F375" s="117" t="str">
        <f>IF($B375="","",TIME(HOUR('Calendario I'!$F53)+2,MINUTE('Calendario I'!$F53),0))</f>
        <v/>
      </c>
      <c r="G375" s="48" t="str">
        <f>IF($B375="","",'Calendario I'!$B54)</f>
        <v/>
      </c>
      <c r="H375" s="48" t="str">
        <f>IF($B375="","",Campionato!$D$2&amp;" "&amp;Campionato!$D$6)</f>
        <v/>
      </c>
      <c r="I375" s="48"/>
    </row>
    <row r="376" spans="1:9" x14ac:dyDescent="0.25">
      <c r="A376" s="48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48" t="str">
        <f>IF('Calendario I'!$B56="","",'Calendario I'!$B56&amp;" vs "&amp;'Calendario I'!$D56&amp;" "&amp;'Calendario I'!$AC56)</f>
        <v/>
      </c>
      <c r="C376" s="116" t="str">
        <f>IF($B376="","",DATE(YEAR('Calendario I'!$F56),MONTH('Calendario I'!$F56),DAY('Calendario I'!$F56)))</f>
        <v/>
      </c>
      <c r="D376" s="117" t="str">
        <f>IF($B376="","",TIME(HOUR('Calendario I'!$F56),MINUTE('Calendario I'!$F56),0))</f>
        <v/>
      </c>
      <c r="E376" s="116" t="str">
        <f>IF($B376="","",DATE(YEAR('Calendario I'!$F56),MONTH('Calendario I'!$F56),DAY('Calendario I'!$F56)))</f>
        <v/>
      </c>
      <c r="F376" s="117" t="str">
        <f>IF($B376="","",TIME(HOUR('Calendario I'!$F56)+2,MINUTE('Calendario I'!$F56),0))</f>
        <v/>
      </c>
      <c r="G376" s="48" t="str">
        <f>IF($B376="","",'Calendario I'!$B57)</f>
        <v/>
      </c>
      <c r="H376" s="48" t="str">
        <f>IF($B376="","",Campionato!$D$2&amp;" "&amp;Campionato!$D$6)</f>
        <v/>
      </c>
      <c r="I376" s="48"/>
    </row>
    <row r="377" spans="1:9" x14ac:dyDescent="0.25">
      <c r="A377" s="48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48" t="str">
        <f>IF('Calendario I'!$B61="","",'Calendario I'!$B61&amp;" vs "&amp;'Calendario I'!$D61&amp;" "&amp;'Calendario I'!$AC61)</f>
        <v/>
      </c>
      <c r="C377" s="116" t="str">
        <f>IF($B377="","",DATE(YEAR('Calendario I'!$F61),MONTH('Calendario I'!$F61),DAY('Calendario I'!$F61)))</f>
        <v/>
      </c>
      <c r="D377" s="117" t="str">
        <f>IF($B377="","",TIME(HOUR('Calendario I'!$F61),MINUTE('Calendario I'!$F61),0))</f>
        <v/>
      </c>
      <c r="E377" s="116" t="str">
        <f>IF($B377="","",DATE(YEAR('Calendario I'!$F61),MONTH('Calendario I'!$F61),DAY('Calendario I'!$F61)))</f>
        <v/>
      </c>
      <c r="F377" s="117" t="str">
        <f>IF($B377="","",TIME(HOUR('Calendario I'!$F61)+2,MINUTE('Calendario I'!$F61),0))</f>
        <v/>
      </c>
      <c r="G377" s="48" t="str">
        <f>IF($B377="","",'Calendario I'!$B62)</f>
        <v/>
      </c>
      <c r="H377" s="48" t="str">
        <f>IF($B377="","",Campionato!$D$2&amp;" "&amp;Campionato!$D$6)</f>
        <v/>
      </c>
      <c r="I377" s="48"/>
    </row>
    <row r="378" spans="1:9" x14ac:dyDescent="0.25">
      <c r="A378" s="48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48" t="str">
        <f>IF('Calendario I'!$B64="","",'Calendario I'!$B64&amp;" vs "&amp;'Calendario I'!$D64&amp;" "&amp;'Calendario I'!$AC64)</f>
        <v/>
      </c>
      <c r="C378" s="116" t="str">
        <f>IF($B378="","",DATE(YEAR('Calendario I'!$F64),MONTH('Calendario I'!$F64),DAY('Calendario I'!$F64)))</f>
        <v/>
      </c>
      <c r="D378" s="117" t="str">
        <f>IF($B378="","",TIME(HOUR('Calendario I'!$F64),MINUTE('Calendario I'!$F64),0))</f>
        <v/>
      </c>
      <c r="E378" s="116" t="str">
        <f>IF($B378="","",DATE(YEAR('Calendario I'!$F64),MONTH('Calendario I'!$F64),DAY('Calendario I'!$F64)))</f>
        <v/>
      </c>
      <c r="F378" s="117" t="str">
        <f>IF($B378="","",TIME(HOUR('Calendario I'!$F64)+2,MINUTE('Calendario I'!$F64),0))</f>
        <v/>
      </c>
      <c r="G378" s="48" t="str">
        <f>IF($B378="","",'Calendario I'!$B65)</f>
        <v/>
      </c>
      <c r="H378" s="48" t="str">
        <f>IF($B378="","",Campionato!$D$2&amp;" "&amp;Campionato!$D$6)</f>
        <v/>
      </c>
      <c r="I378" s="48"/>
    </row>
    <row r="379" spans="1:9" x14ac:dyDescent="0.25">
      <c r="A379" s="48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48" t="str">
        <f>IF('Calendario I'!$B67="","",'Calendario I'!$B67&amp;" vs "&amp;'Calendario I'!$D67&amp;" "&amp;'Calendario I'!$AC67)</f>
        <v/>
      </c>
      <c r="C379" s="116" t="str">
        <f>IF($B379="","",DATE(YEAR('Calendario I'!$F67),MONTH('Calendario I'!$F67),DAY('Calendario I'!$F67)))</f>
        <v/>
      </c>
      <c r="D379" s="117" t="str">
        <f>IF($B379="","",TIME(HOUR('Calendario I'!$F67),MINUTE('Calendario I'!$F67),0))</f>
        <v/>
      </c>
      <c r="E379" s="116" t="str">
        <f>IF($B379="","",DATE(YEAR('Calendario I'!$F67),MONTH('Calendario I'!$F67),DAY('Calendario I'!$F67)))</f>
        <v/>
      </c>
      <c r="F379" s="117" t="str">
        <f>IF($B379="","",TIME(HOUR('Calendario I'!$F67)+2,MINUTE('Calendario I'!$F67),0))</f>
        <v/>
      </c>
      <c r="G379" s="48" t="str">
        <f>IF($B379="","",'Calendario I'!$B68)</f>
        <v/>
      </c>
      <c r="H379" s="48" t="str">
        <f>IF($B379="","",Campionato!$D$2&amp;" "&amp;Campionato!$D$6)</f>
        <v/>
      </c>
      <c r="I379" s="48"/>
    </row>
    <row r="380" spans="1:9" x14ac:dyDescent="0.25">
      <c r="A380" s="48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48" t="str">
        <f>IF('Calendario I'!$B70="","",'Calendario I'!$B70&amp;" vs "&amp;'Calendario I'!$D70&amp;" "&amp;'Calendario I'!$AC70)</f>
        <v/>
      </c>
      <c r="C380" s="116" t="str">
        <f>IF($B380="","",DATE(YEAR('Calendario I'!$F70),MONTH('Calendario I'!$F70),DAY('Calendario I'!$F70)))</f>
        <v/>
      </c>
      <c r="D380" s="117" t="str">
        <f>IF($B380="","",TIME(HOUR('Calendario I'!$F70),MINUTE('Calendario I'!$F70),0))</f>
        <v/>
      </c>
      <c r="E380" s="116" t="str">
        <f>IF($B380="","",DATE(YEAR('Calendario I'!$F70),MONTH('Calendario I'!$F70),DAY('Calendario I'!$F70)))</f>
        <v/>
      </c>
      <c r="F380" s="117" t="str">
        <f>IF($B380="","",TIME(HOUR('Calendario I'!$F70)+2,MINUTE('Calendario I'!$F70),0))</f>
        <v/>
      </c>
      <c r="G380" s="48" t="str">
        <f>IF($B380="","",'Calendario I'!$B71)</f>
        <v/>
      </c>
      <c r="H380" s="48" t="str">
        <f>IF($B380="","",Campionato!$D$2&amp;" "&amp;Campionato!$D$6)</f>
        <v/>
      </c>
      <c r="I380" s="48"/>
    </row>
    <row r="381" spans="1:9" x14ac:dyDescent="0.25">
      <c r="A381" s="48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48" t="str">
        <f>IF('Calendario I'!$B73="","",'Calendario I'!$B73&amp;" vs "&amp;'Calendario I'!$D73&amp;" "&amp;'Calendario I'!$AC73)</f>
        <v/>
      </c>
      <c r="C381" s="116" t="str">
        <f>IF($B381="","",DATE(YEAR('Calendario I'!$F73),MONTH('Calendario I'!$F73),DAY('Calendario I'!$F73)))</f>
        <v/>
      </c>
      <c r="D381" s="117" t="str">
        <f>IF($B381="","",TIME(HOUR('Calendario I'!$F73),MINUTE('Calendario I'!$F73),0))</f>
        <v/>
      </c>
      <c r="E381" s="116" t="str">
        <f>IF($B381="","",DATE(YEAR('Calendario I'!$F73),MONTH('Calendario I'!$F73),DAY('Calendario I'!$F73)))</f>
        <v/>
      </c>
      <c r="F381" s="117" t="str">
        <f>IF($B381="","",TIME(HOUR('Calendario I'!$F73)+2,MINUTE('Calendario I'!$F73),0))</f>
        <v/>
      </c>
      <c r="G381" s="48" t="str">
        <f>IF($B381="","",'Calendario I'!$B74)</f>
        <v/>
      </c>
      <c r="H381" s="48" t="str">
        <f>IF($B381="","",Campionato!$D$2&amp;" "&amp;Campionato!$D$6)</f>
        <v/>
      </c>
      <c r="I381" s="48"/>
    </row>
    <row r="382" spans="1:9" x14ac:dyDescent="0.25">
      <c r="A382" s="48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48" t="str">
        <f>IF('Calendario I'!$B78="","",'Calendario I'!$B78&amp;" vs "&amp;'Calendario I'!$D78&amp;" "&amp;'Calendario I'!$AC78)</f>
        <v/>
      </c>
      <c r="C382" s="116" t="str">
        <f>IF($B382="","",DATE(YEAR('Calendario I'!$F78),MONTH('Calendario I'!$F78),DAY('Calendario I'!$F78)))</f>
        <v/>
      </c>
      <c r="D382" s="117" t="str">
        <f>IF($B382="","",TIME(HOUR('Calendario I'!$F78),MINUTE('Calendario I'!$F78),0))</f>
        <v/>
      </c>
      <c r="E382" s="116" t="str">
        <f>IF($B382="","",DATE(YEAR('Calendario I'!$F78),MONTH('Calendario I'!$F78),DAY('Calendario I'!$F78)))</f>
        <v/>
      </c>
      <c r="F382" s="117" t="str">
        <f>IF($B382="","",TIME(HOUR('Calendario I'!$F78)+2,MINUTE('Calendario I'!$F78),0))</f>
        <v/>
      </c>
      <c r="G382" s="48" t="str">
        <f>IF($B382="","",'Calendario I'!$B79)</f>
        <v/>
      </c>
      <c r="H382" s="48" t="str">
        <f>IF($B382="","",Campionato!$D$2&amp;" "&amp;Campionato!$D$6)</f>
        <v/>
      </c>
      <c r="I382" s="48"/>
    </row>
    <row r="383" spans="1:9" x14ac:dyDescent="0.25">
      <c r="A383" s="48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48" t="str">
        <f>IF('Calendario I'!$B81="","",'Calendario I'!$B81&amp;" vs "&amp;'Calendario I'!$D81&amp;" "&amp;'Calendario I'!$AC81)</f>
        <v/>
      </c>
      <c r="C383" s="116" t="str">
        <f>IF($B383="","",DATE(YEAR('Calendario I'!$F81),MONTH('Calendario I'!$F81),DAY('Calendario I'!$F81)))</f>
        <v/>
      </c>
      <c r="D383" s="117" t="str">
        <f>IF($B383="","",TIME(HOUR('Calendario I'!$F81),MINUTE('Calendario I'!$F81),0))</f>
        <v/>
      </c>
      <c r="E383" s="116" t="str">
        <f>IF($B383="","",DATE(YEAR('Calendario I'!$F81),MONTH('Calendario I'!$F81),DAY('Calendario I'!$F81)))</f>
        <v/>
      </c>
      <c r="F383" s="117" t="str">
        <f>IF($B383="","",TIME(HOUR('Calendario I'!$F81)+2,MINUTE('Calendario I'!$F81),0))</f>
        <v/>
      </c>
      <c r="G383" s="48" t="str">
        <f>IF($B383="","",'Calendario I'!$B82)</f>
        <v/>
      </c>
      <c r="H383" s="48" t="str">
        <f>IF($B383="","",Campionato!$D$2&amp;" "&amp;Campionato!$D$6)</f>
        <v/>
      </c>
      <c r="I383" s="48"/>
    </row>
    <row r="384" spans="1:9" x14ac:dyDescent="0.25">
      <c r="A384" s="48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48" t="str">
        <f>IF('Calendario I'!$B84="","",'Calendario I'!$B84&amp;" vs "&amp;'Calendario I'!$D84&amp;" "&amp;'Calendario I'!$AC84)</f>
        <v/>
      </c>
      <c r="C384" s="116" t="str">
        <f>IF($B384="","",DATE(YEAR('Calendario I'!$F84),MONTH('Calendario I'!$F84),DAY('Calendario I'!$F84)))</f>
        <v/>
      </c>
      <c r="D384" s="117" t="str">
        <f>IF($B384="","",TIME(HOUR('Calendario I'!$F84),MINUTE('Calendario I'!$F84),0))</f>
        <v/>
      </c>
      <c r="E384" s="116" t="str">
        <f>IF($B384="","",DATE(YEAR('Calendario I'!$F84),MONTH('Calendario I'!$F84),DAY('Calendario I'!$F84)))</f>
        <v/>
      </c>
      <c r="F384" s="117" t="str">
        <f>IF($B384="","",TIME(HOUR('Calendario I'!$F84)+2,MINUTE('Calendario I'!$F84),0))</f>
        <v/>
      </c>
      <c r="G384" s="48" t="str">
        <f>IF($B384="","",'Calendario I'!$B85)</f>
        <v/>
      </c>
      <c r="H384" s="48" t="str">
        <f>IF($B384="","",Campionato!$D$2&amp;" "&amp;Campionato!$D$6)</f>
        <v/>
      </c>
      <c r="I384" s="48"/>
    </row>
    <row r="385" spans="1:9" x14ac:dyDescent="0.25">
      <c r="A385" s="48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48" t="str">
        <f>IF('Calendario I'!$B87="","",'Calendario I'!$B87&amp;" vs "&amp;'Calendario I'!$D87&amp;" "&amp;'Calendario I'!$AC87)</f>
        <v/>
      </c>
      <c r="C385" s="116" t="str">
        <f>IF($B385="","",DATE(YEAR('Calendario I'!$F87),MONTH('Calendario I'!$F87),DAY('Calendario I'!$F87)))</f>
        <v/>
      </c>
      <c r="D385" s="117" t="str">
        <f>IF($B385="","",TIME(HOUR('Calendario I'!$F87),MINUTE('Calendario I'!$F87),0))</f>
        <v/>
      </c>
      <c r="E385" s="116" t="str">
        <f>IF($B385="","",DATE(YEAR('Calendario I'!$F87),MONTH('Calendario I'!$F87),DAY('Calendario I'!$F87)))</f>
        <v/>
      </c>
      <c r="F385" s="117" t="str">
        <f>IF($B385="","",TIME(HOUR('Calendario I'!$F87)+2,MINUTE('Calendario I'!$F87),0))</f>
        <v/>
      </c>
      <c r="G385" s="48" t="str">
        <f>IF($B385="","",'Calendario I'!$B88)</f>
        <v/>
      </c>
      <c r="H385" s="48" t="str">
        <f>IF($B385="","",Campionato!$D$2&amp;" "&amp;Campionato!$D$6)</f>
        <v/>
      </c>
      <c r="I385" s="48"/>
    </row>
    <row r="386" spans="1:9" x14ac:dyDescent="0.25">
      <c r="A386" s="48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48" t="str">
        <f>IF('Calendario I'!$B90="","",'Calendario I'!$B90&amp;" vs "&amp;'Calendario I'!$D90&amp;" "&amp;'Calendario I'!$AC90)</f>
        <v/>
      </c>
      <c r="C386" s="116" t="str">
        <f>IF($B386="","",DATE(YEAR('Calendario I'!$F90),MONTH('Calendario I'!$F90),DAY('Calendario I'!$F90)))</f>
        <v/>
      </c>
      <c r="D386" s="117" t="str">
        <f>IF($B386="","",TIME(HOUR('Calendario I'!$F90),MINUTE('Calendario I'!$F90),0))</f>
        <v/>
      </c>
      <c r="E386" s="116" t="str">
        <f>IF($B386="","",DATE(YEAR('Calendario I'!$F90),MONTH('Calendario I'!$F90),DAY('Calendario I'!$F90)))</f>
        <v/>
      </c>
      <c r="F386" s="117" t="str">
        <f>IF($B386="","",TIME(HOUR('Calendario I'!$F90)+2,MINUTE('Calendario I'!$F90),0))</f>
        <v/>
      </c>
      <c r="G386" s="48" t="str">
        <f>IF($B386="","",'Calendario I'!$B91)</f>
        <v/>
      </c>
      <c r="H386" s="48" t="str">
        <f>IF($B386="","",Campionato!$D$2&amp;" "&amp;Campionato!$D$6)</f>
        <v/>
      </c>
      <c r="I386" s="48"/>
    </row>
    <row r="387" spans="1:9" x14ac:dyDescent="0.25">
      <c r="A387" s="48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48" t="str">
        <f>IF('Calendario I'!$B95="","",'Calendario I'!$B95&amp;" vs "&amp;'Calendario I'!$D95&amp;" "&amp;'Calendario I'!$AC95)</f>
        <v/>
      </c>
      <c r="C387" s="116" t="str">
        <f>IF($B387="","",DATE(YEAR('Calendario I'!$F95),MONTH('Calendario I'!$F95),DAY('Calendario I'!$F95)))</f>
        <v/>
      </c>
      <c r="D387" s="117" t="str">
        <f>IF($B387="","",TIME(HOUR('Calendario I'!$F95),MINUTE('Calendario I'!$F95),0))</f>
        <v/>
      </c>
      <c r="E387" s="116" t="str">
        <f>IF($B387="","",DATE(YEAR('Calendario I'!$F95),MONTH('Calendario I'!$F95),DAY('Calendario I'!$F95)))</f>
        <v/>
      </c>
      <c r="F387" s="117" t="str">
        <f>IF($B387="","",TIME(HOUR('Calendario I'!$F95)+2,MINUTE('Calendario I'!$F95),0))</f>
        <v/>
      </c>
      <c r="G387" s="48" t="str">
        <f>IF($B387="","",'Calendario I'!$B96)</f>
        <v/>
      </c>
      <c r="H387" s="48" t="str">
        <f>IF($B387="","",Campionato!$D$2&amp;" "&amp;Campionato!$D$6)</f>
        <v/>
      </c>
      <c r="I387" s="48"/>
    </row>
    <row r="388" spans="1:9" x14ac:dyDescent="0.25">
      <c r="A388" s="48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48" t="str">
        <f>IF('Calendario I'!$B98="","",'Calendario I'!$B98&amp;" vs "&amp;'Calendario I'!$D98&amp;" "&amp;'Calendario I'!$AC98)</f>
        <v/>
      </c>
      <c r="C388" s="116" t="str">
        <f>IF($B388="","",DATE(YEAR('Calendario I'!$F98),MONTH('Calendario I'!$F98),DAY('Calendario I'!$F98)))</f>
        <v/>
      </c>
      <c r="D388" s="117" t="str">
        <f>IF($B388="","",TIME(HOUR('Calendario I'!$F98),MINUTE('Calendario I'!$F98),0))</f>
        <v/>
      </c>
      <c r="E388" s="116" t="str">
        <f>IF($B388="","",DATE(YEAR('Calendario I'!$F98),MONTH('Calendario I'!$F98),DAY('Calendario I'!$F98)))</f>
        <v/>
      </c>
      <c r="F388" s="117" t="str">
        <f>IF($B388="","",TIME(HOUR('Calendario I'!$F98)+2,MINUTE('Calendario I'!$F98),0))</f>
        <v/>
      </c>
      <c r="G388" s="48" t="str">
        <f>IF($B388="","",'Calendario I'!$B99)</f>
        <v/>
      </c>
      <c r="H388" s="48" t="str">
        <f>IF($B388="","",Campionato!$D$2&amp;" "&amp;Campionato!$D$6)</f>
        <v/>
      </c>
      <c r="I388" s="48"/>
    </row>
    <row r="389" spans="1:9" x14ac:dyDescent="0.25">
      <c r="A389" s="48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48" t="str">
        <f>IF('Calendario I'!$B101="","",'Calendario I'!$B101&amp;" vs "&amp;'Calendario I'!$D101&amp;" "&amp;'Calendario I'!$AC101)</f>
        <v/>
      </c>
      <c r="C389" s="116" t="str">
        <f>IF($B389="","",DATE(YEAR('Calendario I'!$F101),MONTH('Calendario I'!$F101),DAY('Calendario I'!$F101)))</f>
        <v/>
      </c>
      <c r="D389" s="117" t="str">
        <f>IF($B389="","",TIME(HOUR('Calendario I'!$F101),MINUTE('Calendario I'!$F101),0))</f>
        <v/>
      </c>
      <c r="E389" s="116" t="str">
        <f>IF($B389="","",DATE(YEAR('Calendario I'!$F101),MONTH('Calendario I'!$F101),DAY('Calendario I'!$F101)))</f>
        <v/>
      </c>
      <c r="F389" s="117" t="str">
        <f>IF($B389="","",TIME(HOUR('Calendario I'!$F101)+2,MINUTE('Calendario I'!$F101),0))</f>
        <v/>
      </c>
      <c r="G389" s="48" t="str">
        <f>IF($B389="","",'Calendario I'!$B102)</f>
        <v/>
      </c>
      <c r="H389" s="48" t="str">
        <f>IF($B389="","",Campionato!$D$2&amp;" "&amp;Campionato!$D$6)</f>
        <v/>
      </c>
      <c r="I389" s="48"/>
    </row>
    <row r="390" spans="1:9" x14ac:dyDescent="0.25">
      <c r="A390" s="48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48" t="str">
        <f>IF('Calendario I'!$B104="","",'Calendario I'!$B104&amp;" vs "&amp;'Calendario I'!$D104&amp;" "&amp;'Calendario I'!$AC104)</f>
        <v/>
      </c>
      <c r="C390" s="116" t="str">
        <f>IF($B390="","",DATE(YEAR('Calendario I'!$F104),MONTH('Calendario I'!$F104),DAY('Calendario I'!$F104)))</f>
        <v/>
      </c>
      <c r="D390" s="117" t="str">
        <f>IF($B390="","",TIME(HOUR('Calendario I'!$F104),MINUTE('Calendario I'!$F104),0))</f>
        <v/>
      </c>
      <c r="E390" s="116" t="str">
        <f>IF($B390="","",DATE(YEAR('Calendario I'!$F104),MONTH('Calendario I'!$F104),DAY('Calendario I'!$F104)))</f>
        <v/>
      </c>
      <c r="F390" s="117" t="str">
        <f>IF($B390="","",TIME(HOUR('Calendario I'!$F104)+2,MINUTE('Calendario I'!$F104),0))</f>
        <v/>
      </c>
      <c r="G390" s="48" t="str">
        <f>IF($B390="","",'Calendario I'!$B105)</f>
        <v/>
      </c>
      <c r="H390" s="48" t="str">
        <f>IF($B390="","",Campionato!$D$2&amp;" "&amp;Campionato!$D$6)</f>
        <v/>
      </c>
      <c r="I390" s="48"/>
    </row>
    <row r="391" spans="1:9" x14ac:dyDescent="0.25">
      <c r="A391" s="48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48" t="str">
        <f>IF('Calendario I'!$B107="","",'Calendario I'!$B107&amp;" vs "&amp;'Calendario I'!$D107&amp;" "&amp;'Calendario I'!$AC107)</f>
        <v/>
      </c>
      <c r="C391" s="116" t="str">
        <f>IF($B391="","",DATE(YEAR('Calendario I'!$F107),MONTH('Calendario I'!$F107),DAY('Calendario I'!$F107)))</f>
        <v/>
      </c>
      <c r="D391" s="117" t="str">
        <f>IF($B391="","",TIME(HOUR('Calendario I'!$F107),MINUTE('Calendario I'!$F107),0))</f>
        <v/>
      </c>
      <c r="E391" s="116" t="str">
        <f>IF($B391="","",DATE(YEAR('Calendario I'!$F107),MONTH('Calendario I'!$F107),DAY('Calendario I'!$F107)))</f>
        <v/>
      </c>
      <c r="F391" s="117" t="str">
        <f>IF($B391="","",TIME(HOUR('Calendario I'!$F107)+2,MINUTE('Calendario I'!$F107),0))</f>
        <v/>
      </c>
      <c r="G391" s="48" t="str">
        <f>IF($B391="","",'Calendario I'!$B108)</f>
        <v/>
      </c>
      <c r="H391" s="48" t="str">
        <f>IF($B391="","",Campionato!$D$2&amp;" "&amp;Campionato!$D$6)</f>
        <v/>
      </c>
      <c r="I391" s="48"/>
    </row>
    <row r="392" spans="1:9" x14ac:dyDescent="0.25">
      <c r="A392" s="48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48" t="str">
        <f>IF('Calendario I'!$B112="","",'Calendario I'!$B112&amp;" vs "&amp;'Calendario I'!$D112&amp;" "&amp;'Calendario I'!$AC112)</f>
        <v/>
      </c>
      <c r="C392" s="116" t="str">
        <f>IF($B392="","",DATE(YEAR('Calendario I'!$F112),MONTH('Calendario I'!$F112),DAY('Calendario I'!$F112)))</f>
        <v/>
      </c>
      <c r="D392" s="117" t="str">
        <f>IF($B392="","",TIME(HOUR('Calendario I'!$F112),MINUTE('Calendario I'!$F112),0))</f>
        <v/>
      </c>
      <c r="E392" s="116" t="str">
        <f>IF($B392="","",DATE(YEAR('Calendario I'!$F112),MONTH('Calendario I'!$F112),DAY('Calendario I'!$F112)))</f>
        <v/>
      </c>
      <c r="F392" s="117" t="str">
        <f>IF($B392="","",TIME(HOUR('Calendario I'!$F112)+2,MINUTE('Calendario I'!$F112),0))</f>
        <v/>
      </c>
      <c r="G392" s="48" t="str">
        <f>IF($B392="","",'Calendario I'!$B113)</f>
        <v/>
      </c>
      <c r="H392" s="48" t="str">
        <f>IF($B392="","",Campionato!$D$2&amp;" "&amp;Campionato!$D$6)</f>
        <v/>
      </c>
      <c r="I392" s="48"/>
    </row>
    <row r="393" spans="1:9" x14ac:dyDescent="0.25">
      <c r="A393" s="48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48" t="str">
        <f>IF('Calendario I'!$B115="","",'Calendario I'!$B115&amp;" vs "&amp;'Calendario I'!$D115&amp;" "&amp;'Calendario I'!$AC115)</f>
        <v/>
      </c>
      <c r="C393" s="116" t="str">
        <f>IF($B393="","",DATE(YEAR('Calendario I'!$F115),MONTH('Calendario I'!$F115),DAY('Calendario I'!$F115)))</f>
        <v/>
      </c>
      <c r="D393" s="117" t="str">
        <f>IF($B393="","",TIME(HOUR('Calendario I'!$F115),MINUTE('Calendario I'!$F115),0))</f>
        <v/>
      </c>
      <c r="E393" s="116" t="str">
        <f>IF($B393="","",DATE(YEAR('Calendario I'!$F115),MONTH('Calendario I'!$F115),DAY('Calendario I'!$F115)))</f>
        <v/>
      </c>
      <c r="F393" s="117" t="str">
        <f>IF($B393="","",TIME(HOUR('Calendario I'!$F115)+2,MINUTE('Calendario I'!$F115),0))</f>
        <v/>
      </c>
      <c r="G393" s="48" t="str">
        <f>IF($B393="","",'Calendario I'!$B116)</f>
        <v/>
      </c>
      <c r="H393" s="48" t="str">
        <f>IF($B393="","",Campionato!$D$2&amp;" "&amp;Campionato!$D$6)</f>
        <v/>
      </c>
      <c r="I393" s="48"/>
    </row>
    <row r="394" spans="1:9" x14ac:dyDescent="0.25">
      <c r="A394" s="48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48" t="str">
        <f>IF('Calendario I'!$B118="","",'Calendario I'!$B118&amp;" vs "&amp;'Calendario I'!$D118&amp;" "&amp;'Calendario I'!$AC118)</f>
        <v/>
      </c>
      <c r="C394" s="116" t="str">
        <f>IF($B394="","",DATE(YEAR('Calendario I'!$F118),MONTH('Calendario I'!$F118),DAY('Calendario I'!$F118)))</f>
        <v/>
      </c>
      <c r="D394" s="117" t="str">
        <f>IF($B394="","",TIME(HOUR('Calendario I'!$F118),MINUTE('Calendario I'!$F118),0))</f>
        <v/>
      </c>
      <c r="E394" s="116" t="str">
        <f>IF($B394="","",DATE(YEAR('Calendario I'!$F118),MONTH('Calendario I'!$F118),DAY('Calendario I'!$F118)))</f>
        <v/>
      </c>
      <c r="F394" s="117" t="str">
        <f>IF($B394="","",TIME(HOUR('Calendario I'!$F118)+2,MINUTE('Calendario I'!$F118),0))</f>
        <v/>
      </c>
      <c r="G394" s="48" t="str">
        <f>IF($B394="","",'Calendario I'!$B119)</f>
        <v/>
      </c>
      <c r="H394" s="48" t="str">
        <f>IF($B394="","",Campionato!$D$2&amp;" "&amp;Campionato!$D$6)</f>
        <v/>
      </c>
      <c r="I394" s="48"/>
    </row>
    <row r="395" spans="1:9" x14ac:dyDescent="0.25">
      <c r="A395" s="48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48" t="str">
        <f>IF('Calendario I'!$B121="","",'Calendario I'!$B121&amp;" vs "&amp;'Calendario I'!$D121&amp;" "&amp;'Calendario I'!$AC121)</f>
        <v/>
      </c>
      <c r="C395" s="116" t="str">
        <f>IF($B395="","",DATE(YEAR('Calendario I'!$F121),MONTH('Calendario I'!$F121),DAY('Calendario I'!$F121)))</f>
        <v/>
      </c>
      <c r="D395" s="117" t="str">
        <f>IF($B395="","",TIME(HOUR('Calendario I'!$F121),MINUTE('Calendario I'!$F121),0))</f>
        <v/>
      </c>
      <c r="E395" s="116" t="str">
        <f>IF($B395="","",DATE(YEAR('Calendario I'!$F121),MONTH('Calendario I'!$F121),DAY('Calendario I'!$F121)))</f>
        <v/>
      </c>
      <c r="F395" s="117" t="str">
        <f>IF($B395="","",TIME(HOUR('Calendario I'!$F121)+2,MINUTE('Calendario I'!$F121),0))</f>
        <v/>
      </c>
      <c r="G395" s="48" t="str">
        <f>IF($B395="","",'Calendario I'!$B122)</f>
        <v/>
      </c>
      <c r="H395" s="48" t="str">
        <f>IF($B395="","",Campionato!$D$2&amp;" "&amp;Campionato!$D$6)</f>
        <v/>
      </c>
      <c r="I395" s="48"/>
    </row>
    <row r="396" spans="1:9" x14ac:dyDescent="0.25">
      <c r="A396" s="48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48" t="str">
        <f>IF('Calendario I'!$B124="","",'Calendario I'!$B124&amp;" vs "&amp;'Calendario I'!$D124&amp;" "&amp;'Calendario I'!$AC124)</f>
        <v/>
      </c>
      <c r="C396" s="116" t="str">
        <f>IF($B396="","",DATE(YEAR('Calendario I'!$F124),MONTH('Calendario I'!$F124),DAY('Calendario I'!$F124)))</f>
        <v/>
      </c>
      <c r="D396" s="117" t="str">
        <f>IF($B396="","",TIME(HOUR('Calendario I'!$F124),MINUTE('Calendario I'!$F124),0))</f>
        <v/>
      </c>
      <c r="E396" s="116" t="str">
        <f>IF($B396="","",DATE(YEAR('Calendario I'!$F124),MONTH('Calendario I'!$F124),DAY('Calendario I'!$F124)))</f>
        <v/>
      </c>
      <c r="F396" s="117" t="str">
        <f>IF($B396="","",TIME(HOUR('Calendario I'!$F124)+2,MINUTE('Calendario I'!$F124),0))</f>
        <v/>
      </c>
      <c r="G396" s="48" t="str">
        <f>IF($B396="","",'Calendario I'!$B125)</f>
        <v/>
      </c>
      <c r="H396" s="48" t="str">
        <f>IF($B396="","",Campionato!$D$2&amp;" "&amp;Campionato!$D$6)</f>
        <v/>
      </c>
      <c r="I396" s="48"/>
    </row>
    <row r="397" spans="1:9" x14ac:dyDescent="0.25">
      <c r="A397" s="48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48" t="str">
        <f>IF('Calendario I'!$B129="","",'Calendario I'!$B129&amp;" vs "&amp;'Calendario I'!$D129&amp;" "&amp;'Calendario I'!$AC129)</f>
        <v/>
      </c>
      <c r="C397" s="116" t="str">
        <f>IF($B397="","",DATE(YEAR('Calendario I'!$F129),MONTH('Calendario I'!$F129),DAY('Calendario I'!$F129)))</f>
        <v/>
      </c>
      <c r="D397" s="117" t="str">
        <f>IF($B397="","",TIME(HOUR('Calendario I'!$F129),MINUTE('Calendario I'!$F129),0))</f>
        <v/>
      </c>
      <c r="E397" s="116" t="str">
        <f>IF($B397="","",DATE(YEAR('Calendario I'!$F129),MONTH('Calendario I'!$F129),DAY('Calendario I'!$F129)))</f>
        <v/>
      </c>
      <c r="F397" s="117" t="str">
        <f>IF($B397="","",TIME(HOUR('Calendario I'!$F129)+2,MINUTE('Calendario I'!$F129),0))</f>
        <v/>
      </c>
      <c r="G397" s="48" t="str">
        <f>IF($B397="","",'Calendario I'!$B130)</f>
        <v/>
      </c>
      <c r="H397" s="48" t="str">
        <f>IF($B397="","",Campionato!$D$2&amp;" "&amp;Campionato!$D$6)</f>
        <v/>
      </c>
      <c r="I397" s="48"/>
    </row>
    <row r="398" spans="1:9" x14ac:dyDescent="0.25">
      <c r="A398" s="48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48" t="str">
        <f>IF('Calendario I'!$B132="","",'Calendario I'!$B132&amp;" vs "&amp;'Calendario I'!$D132&amp;" "&amp;'Calendario I'!$AC132)</f>
        <v/>
      </c>
      <c r="C398" s="116" t="str">
        <f>IF($B398="","",DATE(YEAR('Calendario I'!$F132),MONTH('Calendario I'!$F132),DAY('Calendario I'!$F132)))</f>
        <v/>
      </c>
      <c r="D398" s="117" t="str">
        <f>IF($B398="","",TIME(HOUR('Calendario I'!$F132),MINUTE('Calendario I'!$F132),0))</f>
        <v/>
      </c>
      <c r="E398" s="116" t="str">
        <f>IF($B398="","",DATE(YEAR('Calendario I'!$F132),MONTH('Calendario I'!$F132),DAY('Calendario I'!$F132)))</f>
        <v/>
      </c>
      <c r="F398" s="117" t="str">
        <f>IF($B398="","",TIME(HOUR('Calendario I'!$F132)+2,MINUTE('Calendario I'!$F132),0))</f>
        <v/>
      </c>
      <c r="G398" s="48" t="str">
        <f>IF($B398="","",'Calendario I'!$B133)</f>
        <v/>
      </c>
      <c r="H398" s="48" t="str">
        <f>IF($B398="","",Campionato!$D$2&amp;" "&amp;Campionato!$D$6)</f>
        <v/>
      </c>
      <c r="I398" s="48"/>
    </row>
    <row r="399" spans="1:9" x14ac:dyDescent="0.25">
      <c r="A399" s="48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48" t="str">
        <f>IF('Calendario I'!$B135="","",'Calendario I'!$B135&amp;" vs "&amp;'Calendario I'!$D135&amp;" "&amp;'Calendario I'!$AC135)</f>
        <v/>
      </c>
      <c r="C399" s="116" t="str">
        <f>IF($B399="","",DATE(YEAR('Calendario I'!$F135),MONTH('Calendario I'!$F135),DAY('Calendario I'!$F135)))</f>
        <v/>
      </c>
      <c r="D399" s="117" t="str">
        <f>IF($B399="","",TIME(HOUR('Calendario I'!$F135),MINUTE('Calendario I'!$F135),0))</f>
        <v/>
      </c>
      <c r="E399" s="116" t="str">
        <f>IF($B399="","",DATE(YEAR('Calendario I'!$F135),MONTH('Calendario I'!$F135),DAY('Calendario I'!$F135)))</f>
        <v/>
      </c>
      <c r="F399" s="117" t="str">
        <f>IF($B399="","",TIME(HOUR('Calendario I'!$F135)+2,MINUTE('Calendario I'!$F135),0))</f>
        <v/>
      </c>
      <c r="G399" s="48" t="str">
        <f>IF($B399="","",'Calendario I'!$B136)</f>
        <v/>
      </c>
      <c r="H399" s="48" t="str">
        <f>IF($B399="","",Campionato!$D$2&amp;" "&amp;Campionato!$D$6)</f>
        <v/>
      </c>
      <c r="I399" s="48"/>
    </row>
    <row r="400" spans="1:9" x14ac:dyDescent="0.25">
      <c r="A400" s="48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48" t="str">
        <f>IF('Calendario I'!$B138="","",'Calendario I'!$B138&amp;" vs "&amp;'Calendario I'!$D138&amp;" "&amp;'Calendario I'!$AC138)</f>
        <v/>
      </c>
      <c r="C400" s="116" t="str">
        <f>IF($B400="","",DATE(YEAR('Calendario I'!$F138),MONTH('Calendario I'!$F138),DAY('Calendario I'!$F138)))</f>
        <v/>
      </c>
      <c r="D400" s="117" t="str">
        <f>IF($B400="","",TIME(HOUR('Calendario I'!$F138),MINUTE('Calendario I'!$F138),0))</f>
        <v/>
      </c>
      <c r="E400" s="116" t="str">
        <f>IF($B400="","",DATE(YEAR('Calendario I'!$F138),MONTH('Calendario I'!$F138),DAY('Calendario I'!$F138)))</f>
        <v/>
      </c>
      <c r="F400" s="117" t="str">
        <f>IF($B400="","",TIME(HOUR('Calendario I'!$F138)+2,MINUTE('Calendario I'!$F138),0))</f>
        <v/>
      </c>
      <c r="G400" s="48" t="str">
        <f>IF($B400="","",'Calendario I'!$B139)</f>
        <v/>
      </c>
      <c r="H400" s="48" t="str">
        <f>IF($B400="","",Campionato!$D$2&amp;" "&amp;Campionato!$D$6)</f>
        <v/>
      </c>
      <c r="I400" s="48"/>
    </row>
    <row r="401" spans="1:9" x14ac:dyDescent="0.25">
      <c r="A401" s="48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48" t="str">
        <f>IF('Calendario I'!$B141="","",'Calendario I'!$B141&amp;" vs "&amp;'Calendario I'!$D141&amp;" "&amp;'Calendario I'!$AC141)</f>
        <v/>
      </c>
      <c r="C401" s="116" t="str">
        <f>IF($B401="","",DATE(YEAR('Calendario I'!$F141),MONTH('Calendario I'!$F141),DAY('Calendario I'!$F141)))</f>
        <v/>
      </c>
      <c r="D401" s="117" t="str">
        <f>IF($B401="","",TIME(HOUR('Calendario I'!$F141),MINUTE('Calendario I'!$F141),0))</f>
        <v/>
      </c>
      <c r="E401" s="116" t="str">
        <f>IF($B401="","",DATE(YEAR('Calendario I'!$F141),MONTH('Calendario I'!$F141),DAY('Calendario I'!$F141)))</f>
        <v/>
      </c>
      <c r="F401" s="117" t="str">
        <f>IF($B401="","",TIME(HOUR('Calendario I'!$F141)+2,MINUTE('Calendario I'!$F141),0))</f>
        <v/>
      </c>
      <c r="G401" s="48" t="str">
        <f>IF($B401="","",'Calendario I'!$B142)</f>
        <v/>
      </c>
      <c r="H401" s="48" t="str">
        <f>IF($B401="","",Campionato!$D$2&amp;" "&amp;Campionato!$D$6)</f>
        <v/>
      </c>
      <c r="I401" s="48"/>
    </row>
    <row r="402" spans="1:9" x14ac:dyDescent="0.25">
      <c r="A402" s="48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48" t="str">
        <f>IF('Calendario I'!$B146="","",'Calendario I'!$B146&amp;" vs "&amp;'Calendario I'!$D146&amp;" "&amp;'Calendario I'!$AC146)</f>
        <v/>
      </c>
      <c r="C402" s="116" t="str">
        <f>IF($B402="","",DATE(YEAR('Calendario I'!$F146),MONTH('Calendario I'!$F146),DAY('Calendario I'!$F146)))</f>
        <v/>
      </c>
      <c r="D402" s="117" t="str">
        <f>IF($B402="","",TIME(HOUR('Calendario I'!$F146),MINUTE('Calendario I'!$F146),0))</f>
        <v/>
      </c>
      <c r="E402" s="116" t="str">
        <f>IF($B402="","",DATE(YEAR('Calendario I'!$F146),MONTH('Calendario I'!$F146),DAY('Calendario I'!$F146)))</f>
        <v/>
      </c>
      <c r="F402" s="117" t="str">
        <f>IF($B402="","",TIME(HOUR('Calendario I'!$F146)+2,MINUTE('Calendario I'!$F146),0))</f>
        <v/>
      </c>
      <c r="G402" s="48" t="str">
        <f>IF($B402="","",'Calendario I'!$B147)</f>
        <v/>
      </c>
      <c r="H402" s="48" t="str">
        <f>IF($B402="","",Campionato!$D$2&amp;" "&amp;Campionato!$D$6)</f>
        <v/>
      </c>
      <c r="I402" s="48"/>
    </row>
    <row r="403" spans="1:9" x14ac:dyDescent="0.25">
      <c r="A403" s="48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48" t="str">
        <f>IF('Calendario I'!$B149="","",'Calendario I'!$B149&amp;" vs "&amp;'Calendario I'!$D149&amp;" "&amp;'Calendario I'!$AC149)</f>
        <v/>
      </c>
      <c r="C403" s="116" t="str">
        <f>IF($B403="","",DATE(YEAR('Calendario I'!$F149),MONTH('Calendario I'!$F149),DAY('Calendario I'!$F149)))</f>
        <v/>
      </c>
      <c r="D403" s="117" t="str">
        <f>IF($B403="","",TIME(HOUR('Calendario I'!$F149),MINUTE('Calendario I'!$F149),0))</f>
        <v/>
      </c>
      <c r="E403" s="116" t="str">
        <f>IF($B403="","",DATE(YEAR('Calendario I'!$F149),MONTH('Calendario I'!$F149),DAY('Calendario I'!$F149)))</f>
        <v/>
      </c>
      <c r="F403" s="117" t="str">
        <f>IF($B403="","",TIME(HOUR('Calendario I'!$F149)+2,MINUTE('Calendario I'!$F149),0))</f>
        <v/>
      </c>
      <c r="G403" s="48" t="str">
        <f>IF($B403="","",'Calendario I'!$B150)</f>
        <v/>
      </c>
      <c r="H403" s="48" t="str">
        <f>IF($B403="","",Campionato!$D$2&amp;" "&amp;Campionato!$D$6)</f>
        <v/>
      </c>
      <c r="I403" s="48"/>
    </row>
    <row r="404" spans="1:9" x14ac:dyDescent="0.25">
      <c r="A404" s="48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48" t="str">
        <f>IF('Calendario I'!$B152="","",'Calendario I'!$B152&amp;" vs "&amp;'Calendario I'!$D152&amp;" "&amp;'Calendario I'!$AC152)</f>
        <v/>
      </c>
      <c r="C404" s="116" t="str">
        <f>IF($B404="","",DATE(YEAR('Calendario I'!$F152),MONTH('Calendario I'!$F152),DAY('Calendario I'!$F152)))</f>
        <v/>
      </c>
      <c r="D404" s="117" t="str">
        <f>IF($B404="","",TIME(HOUR('Calendario I'!$F152),MINUTE('Calendario I'!$F152),0))</f>
        <v/>
      </c>
      <c r="E404" s="116" t="str">
        <f>IF($B404="","",DATE(YEAR('Calendario I'!$F152),MONTH('Calendario I'!$F152),DAY('Calendario I'!$F152)))</f>
        <v/>
      </c>
      <c r="F404" s="117" t="str">
        <f>IF($B404="","",TIME(HOUR('Calendario I'!$F152)+2,MINUTE('Calendario I'!$F152),0))</f>
        <v/>
      </c>
      <c r="G404" s="48" t="str">
        <f>IF($B404="","",'Calendario I'!$B153)</f>
        <v/>
      </c>
      <c r="H404" s="48" t="str">
        <f>IF($B404="","",Campionato!$D$2&amp;" "&amp;Campionato!$D$6)</f>
        <v/>
      </c>
      <c r="I404" s="48"/>
    </row>
    <row r="405" spans="1:9" x14ac:dyDescent="0.25">
      <c r="A405" s="48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48" t="str">
        <f>IF('Calendario I'!$B155="","",'Calendario I'!$B155&amp;" vs "&amp;'Calendario I'!$D155&amp;" "&amp;'Calendario I'!$AC155)</f>
        <v/>
      </c>
      <c r="C405" s="116" t="str">
        <f>IF($B405="","",DATE(YEAR('Calendario I'!$F155),MONTH('Calendario I'!$F155),DAY('Calendario I'!$F155)))</f>
        <v/>
      </c>
      <c r="D405" s="117" t="str">
        <f>IF($B405="","",TIME(HOUR('Calendario I'!$F155),MINUTE('Calendario I'!$F155),0))</f>
        <v/>
      </c>
      <c r="E405" s="116" t="str">
        <f>IF($B405="","",DATE(YEAR('Calendario I'!$F155),MONTH('Calendario I'!$F155),DAY('Calendario I'!$F155)))</f>
        <v/>
      </c>
      <c r="F405" s="117" t="str">
        <f>IF($B405="","",TIME(HOUR('Calendario I'!$F155)+2,MINUTE('Calendario I'!$F155),0))</f>
        <v/>
      </c>
      <c r="G405" s="48" t="str">
        <f>IF($B405="","",'Calendario I'!$B156)</f>
        <v/>
      </c>
      <c r="H405" s="48" t="str">
        <f>IF($B405="","",Campionato!$D$2&amp;" "&amp;Campionato!$D$6)</f>
        <v/>
      </c>
      <c r="I405" s="48"/>
    </row>
    <row r="406" spans="1:9" x14ac:dyDescent="0.25">
      <c r="A406" s="48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48" t="str">
        <f>IF('Calendario I'!$B158="","",'Calendario I'!$B158&amp;" vs "&amp;'Calendario I'!$D158&amp;" "&amp;'Calendario I'!$AC158)</f>
        <v/>
      </c>
      <c r="C406" s="116" t="str">
        <f>IF($B406="","",DATE(YEAR('Calendario I'!$F158),MONTH('Calendario I'!$F158),DAY('Calendario I'!$F158)))</f>
        <v/>
      </c>
      <c r="D406" s="117" t="str">
        <f>IF($B406="","",TIME(HOUR('Calendario I'!$F158),MINUTE('Calendario I'!$F158),0))</f>
        <v/>
      </c>
      <c r="E406" s="116" t="str">
        <f>IF($B406="","",DATE(YEAR('Calendario I'!$F158),MONTH('Calendario I'!$F158),DAY('Calendario I'!$F158)))</f>
        <v/>
      </c>
      <c r="F406" s="117" t="str">
        <f>IF($B406="","",TIME(HOUR('Calendario I'!$F158)+2,MINUTE('Calendario I'!$F158),0))</f>
        <v/>
      </c>
      <c r="G406" s="48" t="str">
        <f>IF($B406="","",'Calendario I'!$B159)</f>
        <v/>
      </c>
      <c r="H406" s="48" t="str">
        <f>IF($B406="","",Campionato!$D$2&amp;" "&amp;Campionato!$D$6)</f>
        <v/>
      </c>
      <c r="I406" s="48"/>
    </row>
    <row r="407" spans="1:9" x14ac:dyDescent="0.25">
      <c r="A407" s="48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48" t="str">
        <f>IF('Calendario J'!$B10="","",'Calendario J'!$B10&amp;" vs "&amp;'Calendario J'!$D10&amp;" "&amp;'Calendario J'!$AC10)</f>
        <v/>
      </c>
      <c r="C407" s="116" t="str">
        <f>IF($B407="","",DATE(YEAR('Calendario J'!$F10),MONTH('Calendario J'!$F10),DAY('Calendario J'!$F10)))</f>
        <v/>
      </c>
      <c r="D407" s="117" t="str">
        <f>IF($B407="","",TIME(HOUR('Calendario J'!$F10),MINUTE('Calendario J'!$F10),0))</f>
        <v/>
      </c>
      <c r="E407" s="116" t="str">
        <f>IF($B407="","",DATE(YEAR('Calendario J'!$F10),MONTH('Calendario J'!$F10),DAY('Calendario J'!$F10)))</f>
        <v/>
      </c>
      <c r="F407" s="117" t="str">
        <f>IF($B407="","",TIME(HOUR('Calendario J'!$F10)+2,MINUTE('Calendario J'!$F10),0))</f>
        <v/>
      </c>
      <c r="G407" s="48" t="str">
        <f>IF($B407="","",'Calendario J'!$B11)</f>
        <v/>
      </c>
      <c r="H407" s="48" t="str">
        <f>IF($B407="","",Campionato!$D$2&amp;" "&amp;Campionato!$D$6)</f>
        <v/>
      </c>
      <c r="I407" s="48"/>
    </row>
    <row r="408" spans="1:9" x14ac:dyDescent="0.25">
      <c r="A408" s="48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48" t="str">
        <f>IF('Calendario J'!$B13="","",'Calendario J'!$B13&amp;" vs "&amp;'Calendario J'!$D13&amp;" "&amp;'Calendario J'!$AC13)</f>
        <v/>
      </c>
      <c r="C408" s="116" t="str">
        <f>IF($B408="","",DATE(YEAR('Calendario J'!$F13),MONTH('Calendario J'!$F13),DAY('Calendario J'!$F13)))</f>
        <v/>
      </c>
      <c r="D408" s="117" t="str">
        <f>IF($B408="","",TIME(HOUR('Calendario J'!$F13),MINUTE('Calendario J'!$F13),0))</f>
        <v/>
      </c>
      <c r="E408" s="116" t="str">
        <f>IF($B408="","",DATE(YEAR('Calendario J'!$F13),MONTH('Calendario J'!$F13),DAY('Calendario J'!$F13)))</f>
        <v/>
      </c>
      <c r="F408" s="117" t="str">
        <f>IF($B408="","",TIME(HOUR('Calendario J'!$F13)+2,MINUTE('Calendario J'!$F13),0))</f>
        <v/>
      </c>
      <c r="G408" s="48" t="str">
        <f>IF($B408="","",'Calendario J'!$B14)</f>
        <v/>
      </c>
      <c r="H408" s="48" t="str">
        <f>IF($B408="","",Campionato!$D$2&amp;" "&amp;Campionato!$D$6)</f>
        <v/>
      </c>
      <c r="I408" s="48"/>
    </row>
    <row r="409" spans="1:9" x14ac:dyDescent="0.25">
      <c r="A409" s="48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48" t="str">
        <f>IF('Calendario J'!$B16="","",'Calendario J'!$B16&amp;" vs "&amp;'Calendario J'!$D16&amp;" "&amp;'Calendario J'!$AC16)</f>
        <v/>
      </c>
      <c r="C409" s="116" t="str">
        <f>IF($B409="","",DATE(YEAR('Calendario J'!$F16),MONTH('Calendario J'!$F16),DAY('Calendario J'!$F16)))</f>
        <v/>
      </c>
      <c r="D409" s="117" t="str">
        <f>IF($B409="","",TIME(HOUR('Calendario J'!$F16),MINUTE('Calendario J'!$F16),0))</f>
        <v/>
      </c>
      <c r="E409" s="116" t="str">
        <f>IF($B409="","",DATE(YEAR('Calendario J'!$F16),MONTH('Calendario J'!$F16),DAY('Calendario J'!$F16)))</f>
        <v/>
      </c>
      <c r="F409" s="117" t="str">
        <f>IF($B409="","",TIME(HOUR('Calendario J'!$F16)+2,MINUTE('Calendario J'!$F16),0))</f>
        <v/>
      </c>
      <c r="G409" s="48" t="str">
        <f>IF($B409="","",'Calendario J'!$B17)</f>
        <v/>
      </c>
      <c r="H409" s="48" t="str">
        <f>IF($B409="","",Campionato!$D$2&amp;" "&amp;Campionato!$D$6)</f>
        <v/>
      </c>
      <c r="I409" s="48"/>
    </row>
    <row r="410" spans="1:9" x14ac:dyDescent="0.25">
      <c r="A410" s="48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48" t="str">
        <f>IF('Calendario J'!$B19="","",'Calendario J'!$B19&amp;" vs "&amp;'Calendario J'!$D19&amp;" "&amp;'Calendario J'!$AC19)</f>
        <v/>
      </c>
      <c r="C410" s="116" t="str">
        <f>IF($B410="","",DATE(YEAR('Calendario J'!$F19),MONTH('Calendario J'!$F19),DAY('Calendario J'!$F19)))</f>
        <v/>
      </c>
      <c r="D410" s="117" t="str">
        <f>IF($B410="","",TIME(HOUR('Calendario J'!$F19),MINUTE('Calendario J'!$F19),0))</f>
        <v/>
      </c>
      <c r="E410" s="116" t="str">
        <f>IF($B410="","",DATE(YEAR('Calendario J'!$F19),MONTH('Calendario J'!$F19),DAY('Calendario J'!$F19)))</f>
        <v/>
      </c>
      <c r="F410" s="117" t="str">
        <f>IF($B410="","",TIME(HOUR('Calendario J'!$F19)+2,MINUTE('Calendario J'!$F19),0))</f>
        <v/>
      </c>
      <c r="G410" s="48" t="str">
        <f>IF($B410="","",'Calendario J'!$B20)</f>
        <v/>
      </c>
      <c r="H410" s="48" t="str">
        <f>IF($B410="","",Campionato!$D$2&amp;" "&amp;Campionato!$D$6)</f>
        <v/>
      </c>
      <c r="I410" s="48"/>
    </row>
    <row r="411" spans="1:9" x14ac:dyDescent="0.25">
      <c r="A411" s="48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48" t="str">
        <f>IF('Calendario J'!$B22="","",'Calendario J'!$B22&amp;" vs "&amp;'Calendario J'!$D22&amp;" "&amp;'Calendario J'!$AC22)</f>
        <v/>
      </c>
      <c r="C411" s="116" t="str">
        <f>IF($B411="","",DATE(YEAR('Calendario J'!$F22),MONTH('Calendario J'!$F22),DAY('Calendario J'!$F22)))</f>
        <v/>
      </c>
      <c r="D411" s="117" t="str">
        <f>IF($B411="","",TIME(HOUR('Calendario J'!$F22),MINUTE('Calendario J'!$F22),0))</f>
        <v/>
      </c>
      <c r="E411" s="116" t="str">
        <f>IF($B411="","",DATE(YEAR('Calendario J'!$F22),MONTH('Calendario J'!$F22),DAY('Calendario J'!$F22)))</f>
        <v/>
      </c>
      <c r="F411" s="117" t="str">
        <f>IF($B411="","",TIME(HOUR('Calendario J'!$F22)+2,MINUTE('Calendario J'!$F22),0))</f>
        <v/>
      </c>
      <c r="G411" s="48" t="str">
        <f>IF($B411="","",'Calendario J'!$B23)</f>
        <v/>
      </c>
      <c r="H411" s="48" t="str">
        <f>IF($B411="","",Campionato!$D$2&amp;" "&amp;Campionato!$D$6)</f>
        <v/>
      </c>
      <c r="I411" s="48"/>
    </row>
    <row r="412" spans="1:9" x14ac:dyDescent="0.25">
      <c r="A412" s="48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48" t="str">
        <f>IF('Calendario J'!$B27="","",'Calendario J'!$B27&amp;" vs "&amp;'Calendario J'!$D27&amp;" "&amp;'Calendario J'!$AC27)</f>
        <v/>
      </c>
      <c r="C412" s="116" t="str">
        <f>IF($B412="","",DATE(YEAR('Calendario J'!$F27),MONTH('Calendario J'!$F27),DAY('Calendario J'!$F27)))</f>
        <v/>
      </c>
      <c r="D412" s="117" t="str">
        <f>IF($B412="","",TIME(HOUR('Calendario J'!$F27),MINUTE('Calendario J'!$F27),0))</f>
        <v/>
      </c>
      <c r="E412" s="116" t="str">
        <f>IF($B412="","",DATE(YEAR('Calendario J'!$F27),MONTH('Calendario J'!$F27),DAY('Calendario J'!$F27)))</f>
        <v/>
      </c>
      <c r="F412" s="117" t="str">
        <f>IF($B412="","",TIME(HOUR('Calendario J'!$F27)+2,MINUTE('Calendario J'!$F27),0))</f>
        <v/>
      </c>
      <c r="G412" s="48" t="str">
        <f>IF($B412="","",'Calendario J'!$B28)</f>
        <v/>
      </c>
      <c r="H412" s="48" t="str">
        <f>IF($B412="","",Campionato!$D$2&amp;" "&amp;Campionato!$D$6)</f>
        <v/>
      </c>
      <c r="I412" s="48"/>
    </row>
    <row r="413" spans="1:9" x14ac:dyDescent="0.25">
      <c r="A413" s="48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48" t="str">
        <f>IF('Calendario J'!$B30="","",'Calendario J'!$B30&amp;" vs "&amp;'Calendario J'!$D30&amp;" "&amp;'Calendario J'!$AC30)</f>
        <v/>
      </c>
      <c r="C413" s="116" t="str">
        <f>IF($B413="","",DATE(YEAR('Calendario J'!$F30),MONTH('Calendario J'!$F30),DAY('Calendario J'!$F30)))</f>
        <v/>
      </c>
      <c r="D413" s="117" t="str">
        <f>IF($B413="","",TIME(HOUR('Calendario J'!$F30),MINUTE('Calendario J'!$F30),0))</f>
        <v/>
      </c>
      <c r="E413" s="116" t="str">
        <f>IF($B413="","",DATE(YEAR('Calendario J'!$F30),MONTH('Calendario J'!$F30),DAY('Calendario J'!$F30)))</f>
        <v/>
      </c>
      <c r="F413" s="117" t="str">
        <f>IF($B413="","",TIME(HOUR('Calendario J'!$F30)+2,MINUTE('Calendario J'!$F30),0))</f>
        <v/>
      </c>
      <c r="G413" s="48" t="str">
        <f>IF($B413="","",'Calendario J'!$B31)</f>
        <v/>
      </c>
      <c r="H413" s="48" t="str">
        <f>IF($B413="","",Campionato!$D$2&amp;" "&amp;Campionato!$D$6)</f>
        <v/>
      </c>
      <c r="I413" s="48"/>
    </row>
    <row r="414" spans="1:9" x14ac:dyDescent="0.25">
      <c r="A414" s="48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48" t="str">
        <f>IF('Calendario J'!$B33="","",'Calendario J'!$B33&amp;" vs "&amp;'Calendario J'!$D33&amp;" "&amp;'Calendario J'!$AC33)</f>
        <v/>
      </c>
      <c r="C414" s="116" t="str">
        <f>IF($B414="","",DATE(YEAR('Calendario J'!$F33),MONTH('Calendario J'!$F33),DAY('Calendario J'!$F33)))</f>
        <v/>
      </c>
      <c r="D414" s="117" t="str">
        <f>IF($B414="","",TIME(HOUR('Calendario J'!$F33),MINUTE('Calendario J'!$F33),0))</f>
        <v/>
      </c>
      <c r="E414" s="116" t="str">
        <f>IF($B414="","",DATE(YEAR('Calendario J'!$F33),MONTH('Calendario J'!$F33),DAY('Calendario J'!$F33)))</f>
        <v/>
      </c>
      <c r="F414" s="117" t="str">
        <f>IF($B414="","",TIME(HOUR('Calendario J'!$F33)+2,MINUTE('Calendario J'!$F33),0))</f>
        <v/>
      </c>
      <c r="G414" s="48" t="str">
        <f>IF($B414="","",'Calendario J'!$B34)</f>
        <v/>
      </c>
      <c r="H414" s="48" t="str">
        <f>IF($B414="","",Campionato!$D$2&amp;" "&amp;Campionato!$D$6)</f>
        <v/>
      </c>
      <c r="I414" s="48"/>
    </row>
    <row r="415" spans="1:9" x14ac:dyDescent="0.25">
      <c r="A415" s="48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48" t="str">
        <f>IF('Calendario J'!$B36="","",'Calendario J'!$B36&amp;" vs "&amp;'Calendario J'!$D36&amp;" "&amp;'Calendario J'!$AC36)</f>
        <v/>
      </c>
      <c r="C415" s="116" t="str">
        <f>IF($B415="","",DATE(YEAR('Calendario J'!$F36),MONTH('Calendario J'!$F36),DAY('Calendario J'!$F36)))</f>
        <v/>
      </c>
      <c r="D415" s="117" t="str">
        <f>IF($B415="","",TIME(HOUR('Calendario J'!$F36),MINUTE('Calendario J'!$F36),0))</f>
        <v/>
      </c>
      <c r="E415" s="116" t="str">
        <f>IF($B415="","",DATE(YEAR('Calendario J'!$F36),MONTH('Calendario J'!$F36),DAY('Calendario J'!$F36)))</f>
        <v/>
      </c>
      <c r="F415" s="117" t="str">
        <f>IF($B415="","",TIME(HOUR('Calendario J'!$F36)+2,MINUTE('Calendario J'!$F36),0))</f>
        <v/>
      </c>
      <c r="G415" s="48" t="str">
        <f>IF($B415="","",'Calendario J'!$B37)</f>
        <v/>
      </c>
      <c r="H415" s="48" t="str">
        <f>IF($B415="","",Campionato!$D$2&amp;" "&amp;Campionato!$D$6)</f>
        <v/>
      </c>
      <c r="I415" s="48"/>
    </row>
    <row r="416" spans="1:9" x14ac:dyDescent="0.25">
      <c r="A416" s="48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48" t="str">
        <f>IF('Calendario J'!$B39="","",'Calendario J'!$B39&amp;" vs "&amp;'Calendario J'!$D39&amp;" "&amp;'Calendario J'!$AC39)</f>
        <v/>
      </c>
      <c r="C416" s="116" t="str">
        <f>IF($B416="","",DATE(YEAR('Calendario J'!$F39),MONTH('Calendario J'!$F39),DAY('Calendario J'!$F39)))</f>
        <v/>
      </c>
      <c r="D416" s="117" t="str">
        <f>IF($B416="","",TIME(HOUR('Calendario J'!$F39),MINUTE('Calendario J'!$F39),0))</f>
        <v/>
      </c>
      <c r="E416" s="116" t="str">
        <f>IF($B416="","",DATE(YEAR('Calendario J'!$F39),MONTH('Calendario J'!$F39),DAY('Calendario J'!$F39)))</f>
        <v/>
      </c>
      <c r="F416" s="117" t="str">
        <f>IF($B416="","",TIME(HOUR('Calendario J'!$F39)+2,MINUTE('Calendario J'!$F39),0))</f>
        <v/>
      </c>
      <c r="G416" s="48" t="str">
        <f>IF($B416="","",'Calendario J'!$B40)</f>
        <v/>
      </c>
      <c r="H416" s="48" t="str">
        <f>IF($B416="","",Campionato!$D$2&amp;" "&amp;Campionato!$D$6)</f>
        <v/>
      </c>
      <c r="I416" s="48"/>
    </row>
    <row r="417" spans="1:9" x14ac:dyDescent="0.25">
      <c r="A417" s="48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48" t="str">
        <f>IF('Calendario J'!$B44="","",'Calendario J'!$B44&amp;" vs "&amp;'Calendario J'!$D44&amp;" "&amp;'Calendario J'!$AC44)</f>
        <v/>
      </c>
      <c r="C417" s="116" t="str">
        <f>IF($B417="","",DATE(YEAR('Calendario J'!$F44),MONTH('Calendario J'!$F44),DAY('Calendario J'!$F44)))</f>
        <v/>
      </c>
      <c r="D417" s="117" t="str">
        <f>IF($B417="","",TIME(HOUR('Calendario J'!$F44),MINUTE('Calendario J'!$F44),0))</f>
        <v/>
      </c>
      <c r="E417" s="116" t="str">
        <f>IF($B417="","",DATE(YEAR('Calendario J'!$F44),MONTH('Calendario J'!$F44),DAY('Calendario J'!$F44)))</f>
        <v/>
      </c>
      <c r="F417" s="117" t="str">
        <f>IF($B417="","",TIME(HOUR('Calendario J'!$F44)+2,MINUTE('Calendario J'!$F44),0))</f>
        <v/>
      </c>
      <c r="G417" s="48" t="str">
        <f>IF($B417="","",'Calendario J'!$B45)</f>
        <v/>
      </c>
      <c r="H417" s="48" t="str">
        <f>IF($B417="","",Campionato!$D$2&amp;" "&amp;Campionato!$D$6)</f>
        <v/>
      </c>
      <c r="I417" s="48"/>
    </row>
    <row r="418" spans="1:9" x14ac:dyDescent="0.25">
      <c r="A418" s="48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48" t="str">
        <f>IF('Calendario J'!$B47="","",'Calendario J'!$B47&amp;" vs "&amp;'Calendario J'!$D47&amp;" "&amp;'Calendario J'!$AC47)</f>
        <v/>
      </c>
      <c r="C418" s="116" t="str">
        <f>IF($B418="","",DATE(YEAR('Calendario J'!$F47),MONTH('Calendario J'!$F47),DAY('Calendario J'!$F47)))</f>
        <v/>
      </c>
      <c r="D418" s="117" t="str">
        <f>IF($B418="","",TIME(HOUR('Calendario J'!$F47),MINUTE('Calendario J'!$F47),0))</f>
        <v/>
      </c>
      <c r="E418" s="116" t="str">
        <f>IF($B418="","",DATE(YEAR('Calendario J'!$F47),MONTH('Calendario J'!$F47),DAY('Calendario J'!$F47)))</f>
        <v/>
      </c>
      <c r="F418" s="117" t="str">
        <f>IF($B418="","",TIME(HOUR('Calendario J'!$F47)+2,MINUTE('Calendario J'!$F47),0))</f>
        <v/>
      </c>
      <c r="G418" s="48" t="str">
        <f>IF($B418="","",'Calendario J'!$B48)</f>
        <v/>
      </c>
      <c r="H418" s="48" t="str">
        <f>IF($B418="","",Campionato!$D$2&amp;" "&amp;Campionato!$D$6)</f>
        <v/>
      </c>
      <c r="I418" s="48"/>
    </row>
    <row r="419" spans="1:9" x14ac:dyDescent="0.25">
      <c r="A419" s="48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48" t="str">
        <f>IF('Calendario J'!$B50="","",'Calendario J'!$B50&amp;" vs "&amp;'Calendario J'!$D50&amp;" "&amp;'Calendario J'!$AC50)</f>
        <v/>
      </c>
      <c r="C419" s="116" t="str">
        <f>IF($B419="","",DATE(YEAR('Calendario J'!$F50),MONTH('Calendario J'!$F50),DAY('Calendario J'!$F50)))</f>
        <v/>
      </c>
      <c r="D419" s="117" t="str">
        <f>IF($B419="","",TIME(HOUR('Calendario J'!$F50),MINUTE('Calendario J'!$F50),0))</f>
        <v/>
      </c>
      <c r="E419" s="116" t="str">
        <f>IF($B419="","",DATE(YEAR('Calendario J'!$F50),MONTH('Calendario J'!$F50),DAY('Calendario J'!$F50)))</f>
        <v/>
      </c>
      <c r="F419" s="117" t="str">
        <f>IF($B419="","",TIME(HOUR('Calendario J'!$F50)+2,MINUTE('Calendario J'!$F50),0))</f>
        <v/>
      </c>
      <c r="G419" s="48" t="str">
        <f>IF($B419="","",'Calendario J'!$B51)</f>
        <v/>
      </c>
      <c r="H419" s="48" t="str">
        <f>IF($B419="","",Campionato!$D$2&amp;" "&amp;Campionato!$D$6)</f>
        <v/>
      </c>
      <c r="I419" s="48"/>
    </row>
    <row r="420" spans="1:9" x14ac:dyDescent="0.25">
      <c r="A420" s="48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48" t="str">
        <f>IF('Calendario J'!$B53="","",'Calendario J'!$B53&amp;" vs "&amp;'Calendario J'!$D53&amp;" "&amp;'Calendario J'!$AC53)</f>
        <v/>
      </c>
      <c r="C420" s="116" t="str">
        <f>IF($B420="","",DATE(YEAR('Calendario J'!$F53),MONTH('Calendario J'!$F53),DAY('Calendario J'!$F53)))</f>
        <v/>
      </c>
      <c r="D420" s="117" t="str">
        <f>IF($B420="","",TIME(HOUR('Calendario J'!$F53),MINUTE('Calendario J'!$F53),0))</f>
        <v/>
      </c>
      <c r="E420" s="116" t="str">
        <f>IF($B420="","",DATE(YEAR('Calendario J'!$F53),MONTH('Calendario J'!$F53),DAY('Calendario J'!$F53)))</f>
        <v/>
      </c>
      <c r="F420" s="117" t="str">
        <f>IF($B420="","",TIME(HOUR('Calendario J'!$F53)+2,MINUTE('Calendario J'!$F53),0))</f>
        <v/>
      </c>
      <c r="G420" s="48" t="str">
        <f>IF($B420="","",'Calendario J'!$B54)</f>
        <v/>
      </c>
      <c r="H420" s="48" t="str">
        <f>IF($B420="","",Campionato!$D$2&amp;" "&amp;Campionato!$D$6)</f>
        <v/>
      </c>
      <c r="I420" s="48"/>
    </row>
    <row r="421" spans="1:9" x14ac:dyDescent="0.25">
      <c r="A421" s="48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48" t="str">
        <f>IF('Calendario J'!$B56="","",'Calendario J'!$B56&amp;" vs "&amp;'Calendario J'!$D56&amp;" "&amp;'Calendario J'!$AC56)</f>
        <v/>
      </c>
      <c r="C421" s="116" t="str">
        <f>IF($B421="","",DATE(YEAR('Calendario J'!$F56),MONTH('Calendario J'!$F56),DAY('Calendario J'!$F56)))</f>
        <v/>
      </c>
      <c r="D421" s="117" t="str">
        <f>IF($B421="","",TIME(HOUR('Calendario J'!$F56),MINUTE('Calendario J'!$F56),0))</f>
        <v/>
      </c>
      <c r="E421" s="116" t="str">
        <f>IF($B421="","",DATE(YEAR('Calendario J'!$F56),MONTH('Calendario J'!$F56),DAY('Calendario J'!$F56)))</f>
        <v/>
      </c>
      <c r="F421" s="117" t="str">
        <f>IF($B421="","",TIME(HOUR('Calendario J'!$F56)+2,MINUTE('Calendario J'!$F56),0))</f>
        <v/>
      </c>
      <c r="G421" s="48" t="str">
        <f>IF($B421="","",'Calendario J'!$B57)</f>
        <v/>
      </c>
      <c r="H421" s="48" t="str">
        <f>IF($B421="","",Campionato!$D$2&amp;" "&amp;Campionato!$D$6)</f>
        <v/>
      </c>
      <c r="I421" s="48"/>
    </row>
    <row r="422" spans="1:9" x14ac:dyDescent="0.25">
      <c r="A422" s="48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48" t="str">
        <f>IF('Calendario J'!$B61="","",'Calendario J'!$B61&amp;" vs "&amp;'Calendario J'!$D61&amp;" "&amp;'Calendario J'!$AC61)</f>
        <v/>
      </c>
      <c r="C422" s="116" t="str">
        <f>IF($B422="","",DATE(YEAR('Calendario J'!$F61),MONTH('Calendario J'!$F61),DAY('Calendario J'!$F61)))</f>
        <v/>
      </c>
      <c r="D422" s="117" t="str">
        <f>IF($B422="","",TIME(HOUR('Calendario J'!$F61),MINUTE('Calendario J'!$F61),0))</f>
        <v/>
      </c>
      <c r="E422" s="116" t="str">
        <f>IF($B422="","",DATE(YEAR('Calendario J'!$F61),MONTH('Calendario J'!$F61),DAY('Calendario J'!$F61)))</f>
        <v/>
      </c>
      <c r="F422" s="117" t="str">
        <f>IF($B422="","",TIME(HOUR('Calendario J'!$F61)+2,MINUTE('Calendario J'!$F61),0))</f>
        <v/>
      </c>
      <c r="G422" s="48" t="str">
        <f>IF($B422="","",'Calendario J'!$B62)</f>
        <v/>
      </c>
      <c r="H422" s="48" t="str">
        <f>IF($B422="","",Campionato!$D$2&amp;" "&amp;Campionato!$D$6)</f>
        <v/>
      </c>
      <c r="I422" s="48"/>
    </row>
    <row r="423" spans="1:9" x14ac:dyDescent="0.25">
      <c r="A423" s="48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48" t="str">
        <f>IF('Calendario J'!$B64="","",'Calendario J'!$B64&amp;" vs "&amp;'Calendario J'!$D64&amp;" "&amp;'Calendario J'!$AC64)</f>
        <v/>
      </c>
      <c r="C423" s="116" t="str">
        <f>IF($B423="","",DATE(YEAR('Calendario J'!$F64),MONTH('Calendario J'!$F64),DAY('Calendario J'!$F64)))</f>
        <v/>
      </c>
      <c r="D423" s="117" t="str">
        <f>IF($B423="","",TIME(HOUR('Calendario J'!$F64),MINUTE('Calendario J'!$F64),0))</f>
        <v/>
      </c>
      <c r="E423" s="116" t="str">
        <f>IF($B423="","",DATE(YEAR('Calendario J'!$F64),MONTH('Calendario J'!$F64),DAY('Calendario J'!$F64)))</f>
        <v/>
      </c>
      <c r="F423" s="117" t="str">
        <f>IF($B423="","",TIME(HOUR('Calendario J'!$F64)+2,MINUTE('Calendario J'!$F64),0))</f>
        <v/>
      </c>
      <c r="G423" s="48" t="str">
        <f>IF($B423="","",'Calendario J'!$B65)</f>
        <v/>
      </c>
      <c r="H423" s="48" t="str">
        <f>IF($B423="","",Campionato!$D$2&amp;" "&amp;Campionato!$D$6)</f>
        <v/>
      </c>
      <c r="I423" s="48"/>
    </row>
    <row r="424" spans="1:9" x14ac:dyDescent="0.25">
      <c r="A424" s="48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48" t="str">
        <f>IF('Calendario J'!$B67="","",'Calendario J'!$B67&amp;" vs "&amp;'Calendario J'!$D67&amp;" "&amp;'Calendario J'!$AC67)</f>
        <v/>
      </c>
      <c r="C424" s="116" t="str">
        <f>IF($B424="","",DATE(YEAR('Calendario J'!$F67),MONTH('Calendario J'!$F67),DAY('Calendario J'!$F67)))</f>
        <v/>
      </c>
      <c r="D424" s="117" t="str">
        <f>IF($B424="","",TIME(HOUR('Calendario J'!$F67),MINUTE('Calendario J'!$F67),0))</f>
        <v/>
      </c>
      <c r="E424" s="116" t="str">
        <f>IF($B424="","",DATE(YEAR('Calendario J'!$F67),MONTH('Calendario J'!$F67),DAY('Calendario J'!$F67)))</f>
        <v/>
      </c>
      <c r="F424" s="117" t="str">
        <f>IF($B424="","",TIME(HOUR('Calendario J'!$F67)+2,MINUTE('Calendario J'!$F67),0))</f>
        <v/>
      </c>
      <c r="G424" s="48" t="str">
        <f>IF($B424="","",'Calendario J'!$B68)</f>
        <v/>
      </c>
      <c r="H424" s="48" t="str">
        <f>IF($B424="","",Campionato!$D$2&amp;" "&amp;Campionato!$D$6)</f>
        <v/>
      </c>
      <c r="I424" s="48"/>
    </row>
    <row r="425" spans="1:9" x14ac:dyDescent="0.25">
      <c r="A425" s="48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48" t="str">
        <f>IF('Calendario J'!$B70="","",'Calendario J'!$B70&amp;" vs "&amp;'Calendario J'!$D70&amp;" "&amp;'Calendario J'!$AC70)</f>
        <v/>
      </c>
      <c r="C425" s="116" t="str">
        <f>IF($B425="","",DATE(YEAR('Calendario J'!$F70),MONTH('Calendario J'!$F70),DAY('Calendario J'!$F70)))</f>
        <v/>
      </c>
      <c r="D425" s="117" t="str">
        <f>IF($B425="","",TIME(HOUR('Calendario J'!$F70),MINUTE('Calendario J'!$F70),0))</f>
        <v/>
      </c>
      <c r="E425" s="116" t="str">
        <f>IF($B425="","",DATE(YEAR('Calendario J'!$F70),MONTH('Calendario J'!$F70),DAY('Calendario J'!$F70)))</f>
        <v/>
      </c>
      <c r="F425" s="117" t="str">
        <f>IF($B425="","",TIME(HOUR('Calendario J'!$F70)+2,MINUTE('Calendario J'!$F70),0))</f>
        <v/>
      </c>
      <c r="G425" s="48" t="str">
        <f>IF($B425="","",'Calendario J'!$B71)</f>
        <v/>
      </c>
      <c r="H425" s="48" t="str">
        <f>IF($B425="","",Campionato!$D$2&amp;" "&amp;Campionato!$D$6)</f>
        <v/>
      </c>
      <c r="I425" s="48"/>
    </row>
    <row r="426" spans="1:9" x14ac:dyDescent="0.25">
      <c r="A426" s="48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48" t="str">
        <f>IF('Calendario J'!$B73="","",'Calendario J'!$B73&amp;" vs "&amp;'Calendario J'!$D73&amp;" "&amp;'Calendario J'!$AC73)</f>
        <v/>
      </c>
      <c r="C426" s="116" t="str">
        <f>IF($B426="","",DATE(YEAR('Calendario J'!$F73),MONTH('Calendario J'!$F73),DAY('Calendario J'!$F73)))</f>
        <v/>
      </c>
      <c r="D426" s="117" t="str">
        <f>IF($B426="","",TIME(HOUR('Calendario J'!$F73),MINUTE('Calendario J'!$F73),0))</f>
        <v/>
      </c>
      <c r="E426" s="116" t="str">
        <f>IF($B426="","",DATE(YEAR('Calendario J'!$F73),MONTH('Calendario J'!$F73),DAY('Calendario J'!$F73)))</f>
        <v/>
      </c>
      <c r="F426" s="117" t="str">
        <f>IF($B426="","",TIME(HOUR('Calendario J'!$F73)+2,MINUTE('Calendario J'!$F73),0))</f>
        <v/>
      </c>
      <c r="G426" s="48" t="str">
        <f>IF($B426="","",'Calendario J'!$B74)</f>
        <v/>
      </c>
      <c r="H426" s="48" t="str">
        <f>IF($B426="","",Campionato!$D$2&amp;" "&amp;Campionato!$D$6)</f>
        <v/>
      </c>
      <c r="I426" s="48"/>
    </row>
    <row r="427" spans="1:9" x14ac:dyDescent="0.25">
      <c r="A427" s="48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48" t="str">
        <f>IF('Calendario J'!$B78="","",'Calendario J'!$B78&amp;" vs "&amp;'Calendario J'!$D78&amp;" "&amp;'Calendario J'!$AC78)</f>
        <v/>
      </c>
      <c r="C427" s="116" t="str">
        <f>IF($B427="","",DATE(YEAR('Calendario J'!$F78),MONTH('Calendario J'!$F78),DAY('Calendario J'!$F78)))</f>
        <v/>
      </c>
      <c r="D427" s="117" t="str">
        <f>IF($B427="","",TIME(HOUR('Calendario J'!$F78),MINUTE('Calendario J'!$F78),0))</f>
        <v/>
      </c>
      <c r="E427" s="116" t="str">
        <f>IF($B427="","",DATE(YEAR('Calendario J'!$F78),MONTH('Calendario J'!$F78),DAY('Calendario J'!$F78)))</f>
        <v/>
      </c>
      <c r="F427" s="117" t="str">
        <f>IF($B427="","",TIME(HOUR('Calendario J'!$F78)+2,MINUTE('Calendario J'!$F78),0))</f>
        <v/>
      </c>
      <c r="G427" s="48" t="str">
        <f>IF($B427="","",'Calendario J'!$B79)</f>
        <v/>
      </c>
      <c r="H427" s="48" t="str">
        <f>IF($B427="","",Campionato!$D$2&amp;" "&amp;Campionato!$D$6)</f>
        <v/>
      </c>
      <c r="I427" s="48"/>
    </row>
    <row r="428" spans="1:9" x14ac:dyDescent="0.25">
      <c r="A428" s="48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48" t="str">
        <f>IF('Calendario J'!$B81="","",'Calendario J'!$B81&amp;" vs "&amp;'Calendario J'!$D81&amp;" "&amp;'Calendario J'!$AC81)</f>
        <v/>
      </c>
      <c r="C428" s="116" t="str">
        <f>IF($B428="","",DATE(YEAR('Calendario J'!$F81),MONTH('Calendario J'!$F81),DAY('Calendario J'!$F81)))</f>
        <v/>
      </c>
      <c r="D428" s="117" t="str">
        <f>IF($B428="","",TIME(HOUR('Calendario J'!$F81),MINUTE('Calendario J'!$F81),0))</f>
        <v/>
      </c>
      <c r="E428" s="116" t="str">
        <f>IF($B428="","",DATE(YEAR('Calendario J'!$F81),MONTH('Calendario J'!$F81),DAY('Calendario J'!$F81)))</f>
        <v/>
      </c>
      <c r="F428" s="117" t="str">
        <f>IF($B428="","",TIME(HOUR('Calendario J'!$F81)+2,MINUTE('Calendario J'!$F81),0))</f>
        <v/>
      </c>
      <c r="G428" s="48" t="str">
        <f>IF($B428="","",'Calendario J'!$B82)</f>
        <v/>
      </c>
      <c r="H428" s="48" t="str">
        <f>IF($B428="","",Campionato!$D$2&amp;" "&amp;Campionato!$D$6)</f>
        <v/>
      </c>
      <c r="I428" s="48"/>
    </row>
    <row r="429" spans="1:9" x14ac:dyDescent="0.25">
      <c r="A429" s="48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48" t="str">
        <f>IF('Calendario J'!$B84="","",'Calendario J'!$B84&amp;" vs "&amp;'Calendario J'!$D84&amp;" "&amp;'Calendario J'!$AC84)</f>
        <v/>
      </c>
      <c r="C429" s="116" t="str">
        <f>IF($B429="","",DATE(YEAR('Calendario J'!$F84),MONTH('Calendario J'!$F84),DAY('Calendario J'!$F84)))</f>
        <v/>
      </c>
      <c r="D429" s="117" t="str">
        <f>IF($B429="","",TIME(HOUR('Calendario J'!$F84),MINUTE('Calendario J'!$F84),0))</f>
        <v/>
      </c>
      <c r="E429" s="116" t="str">
        <f>IF($B429="","",DATE(YEAR('Calendario J'!$F84),MONTH('Calendario J'!$F84),DAY('Calendario J'!$F84)))</f>
        <v/>
      </c>
      <c r="F429" s="117" t="str">
        <f>IF($B429="","",TIME(HOUR('Calendario J'!$F84)+2,MINUTE('Calendario J'!$F84),0))</f>
        <v/>
      </c>
      <c r="G429" s="48" t="str">
        <f>IF($B429="","",'Calendario J'!$B85)</f>
        <v/>
      </c>
      <c r="H429" s="48" t="str">
        <f>IF($B429="","",Campionato!$D$2&amp;" "&amp;Campionato!$D$6)</f>
        <v/>
      </c>
      <c r="I429" s="48"/>
    </row>
    <row r="430" spans="1:9" x14ac:dyDescent="0.25">
      <c r="A430" s="48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48" t="str">
        <f>IF('Calendario J'!$B87="","",'Calendario J'!$B87&amp;" vs "&amp;'Calendario J'!$D87&amp;" "&amp;'Calendario J'!$AC87)</f>
        <v/>
      </c>
      <c r="C430" s="116" t="str">
        <f>IF($B430="","",DATE(YEAR('Calendario J'!$F87),MONTH('Calendario J'!$F87),DAY('Calendario J'!$F87)))</f>
        <v/>
      </c>
      <c r="D430" s="117" t="str">
        <f>IF($B430="","",TIME(HOUR('Calendario J'!$F87),MINUTE('Calendario J'!$F87),0))</f>
        <v/>
      </c>
      <c r="E430" s="116" t="str">
        <f>IF($B430="","",DATE(YEAR('Calendario J'!$F87),MONTH('Calendario J'!$F87),DAY('Calendario J'!$F87)))</f>
        <v/>
      </c>
      <c r="F430" s="117" t="str">
        <f>IF($B430="","",TIME(HOUR('Calendario J'!$F87)+2,MINUTE('Calendario J'!$F87),0))</f>
        <v/>
      </c>
      <c r="G430" s="48" t="str">
        <f>IF($B430="","",'Calendario J'!$B88)</f>
        <v/>
      </c>
      <c r="H430" s="48" t="str">
        <f>IF($B430="","",Campionato!$D$2&amp;" "&amp;Campionato!$D$6)</f>
        <v/>
      </c>
      <c r="I430" s="48"/>
    </row>
    <row r="431" spans="1:9" x14ac:dyDescent="0.25">
      <c r="A431" s="48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48" t="str">
        <f>IF('Calendario J'!$B90="","",'Calendario J'!$B90&amp;" vs "&amp;'Calendario J'!$D90&amp;" "&amp;'Calendario J'!$AC90)</f>
        <v/>
      </c>
      <c r="C431" s="116" t="str">
        <f>IF($B431="","",DATE(YEAR('Calendario J'!$F90),MONTH('Calendario J'!$F90),DAY('Calendario J'!$F90)))</f>
        <v/>
      </c>
      <c r="D431" s="117" t="str">
        <f>IF($B431="","",TIME(HOUR('Calendario J'!$F90),MINUTE('Calendario J'!$F90),0))</f>
        <v/>
      </c>
      <c r="E431" s="116" t="str">
        <f>IF($B431="","",DATE(YEAR('Calendario J'!$F90),MONTH('Calendario J'!$F90),DAY('Calendario J'!$F90)))</f>
        <v/>
      </c>
      <c r="F431" s="117" t="str">
        <f>IF($B431="","",TIME(HOUR('Calendario J'!$F90)+2,MINUTE('Calendario J'!$F90),0))</f>
        <v/>
      </c>
      <c r="G431" s="48" t="str">
        <f>IF($B431="","",'Calendario J'!$B91)</f>
        <v/>
      </c>
      <c r="H431" s="48" t="str">
        <f>IF($B431="","",Campionato!$D$2&amp;" "&amp;Campionato!$D$6)</f>
        <v/>
      </c>
      <c r="I431" s="48"/>
    </row>
    <row r="432" spans="1:9" x14ac:dyDescent="0.25">
      <c r="A432" s="48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48" t="str">
        <f>IF('Calendario J'!$B95="","",'Calendario J'!$B95&amp;" vs "&amp;'Calendario J'!$D95&amp;" "&amp;'Calendario J'!$AC95)</f>
        <v/>
      </c>
      <c r="C432" s="116" t="str">
        <f>IF($B432="","",DATE(YEAR('Calendario J'!$F95),MONTH('Calendario J'!$F95),DAY('Calendario J'!$F95)))</f>
        <v/>
      </c>
      <c r="D432" s="117" t="str">
        <f>IF($B432="","",TIME(HOUR('Calendario J'!$F95),MINUTE('Calendario J'!$F95),0))</f>
        <v/>
      </c>
      <c r="E432" s="116" t="str">
        <f>IF($B432="","",DATE(YEAR('Calendario J'!$F95),MONTH('Calendario J'!$F95),DAY('Calendario J'!$F95)))</f>
        <v/>
      </c>
      <c r="F432" s="117" t="str">
        <f>IF($B432="","",TIME(HOUR('Calendario J'!$F95)+2,MINUTE('Calendario J'!$F95),0))</f>
        <v/>
      </c>
      <c r="G432" s="48" t="str">
        <f>IF($B432="","",'Calendario J'!$B96)</f>
        <v/>
      </c>
      <c r="H432" s="48" t="str">
        <f>IF($B432="","",Campionato!$D$2&amp;" "&amp;Campionato!$D$6)</f>
        <v/>
      </c>
      <c r="I432" s="48"/>
    </row>
    <row r="433" spans="1:9" x14ac:dyDescent="0.25">
      <c r="A433" s="48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48" t="str">
        <f>IF('Calendario J'!$B98="","",'Calendario J'!$B98&amp;" vs "&amp;'Calendario J'!$D98&amp;" "&amp;'Calendario J'!$AC98)</f>
        <v/>
      </c>
      <c r="C433" s="116" t="str">
        <f>IF($B433="","",DATE(YEAR('Calendario J'!$F98),MONTH('Calendario J'!$F98),DAY('Calendario J'!$F98)))</f>
        <v/>
      </c>
      <c r="D433" s="117" t="str">
        <f>IF($B433="","",TIME(HOUR('Calendario J'!$F98),MINUTE('Calendario J'!$F98),0))</f>
        <v/>
      </c>
      <c r="E433" s="116" t="str">
        <f>IF($B433="","",DATE(YEAR('Calendario J'!$F98),MONTH('Calendario J'!$F98),DAY('Calendario J'!$F98)))</f>
        <v/>
      </c>
      <c r="F433" s="117" t="str">
        <f>IF($B433="","",TIME(HOUR('Calendario J'!$F98)+2,MINUTE('Calendario J'!$F98),0))</f>
        <v/>
      </c>
      <c r="G433" s="48" t="str">
        <f>IF($B433="","",'Calendario J'!$B99)</f>
        <v/>
      </c>
      <c r="H433" s="48" t="str">
        <f>IF($B433="","",Campionato!$D$2&amp;" "&amp;Campionato!$D$6)</f>
        <v/>
      </c>
      <c r="I433" s="48"/>
    </row>
    <row r="434" spans="1:9" x14ac:dyDescent="0.25">
      <c r="A434" s="48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48" t="str">
        <f>IF('Calendario J'!$B101="","",'Calendario J'!$B101&amp;" vs "&amp;'Calendario J'!$D101&amp;" "&amp;'Calendario J'!$AC101)</f>
        <v/>
      </c>
      <c r="C434" s="116" t="str">
        <f>IF($B434="","",DATE(YEAR('Calendario J'!$F101),MONTH('Calendario J'!$F101),DAY('Calendario J'!$F101)))</f>
        <v/>
      </c>
      <c r="D434" s="117" t="str">
        <f>IF($B434="","",TIME(HOUR('Calendario J'!$F101),MINUTE('Calendario J'!$F101),0))</f>
        <v/>
      </c>
      <c r="E434" s="116" t="str">
        <f>IF($B434="","",DATE(YEAR('Calendario J'!$F101),MONTH('Calendario J'!$F101),DAY('Calendario J'!$F101)))</f>
        <v/>
      </c>
      <c r="F434" s="117" t="str">
        <f>IF($B434="","",TIME(HOUR('Calendario J'!$F101)+2,MINUTE('Calendario J'!$F101),0))</f>
        <v/>
      </c>
      <c r="G434" s="48" t="str">
        <f>IF($B434="","",'Calendario J'!$B102)</f>
        <v/>
      </c>
      <c r="H434" s="48" t="str">
        <f>IF($B434="","",Campionato!$D$2&amp;" "&amp;Campionato!$D$6)</f>
        <v/>
      </c>
      <c r="I434" s="48"/>
    </row>
    <row r="435" spans="1:9" x14ac:dyDescent="0.25">
      <c r="A435" s="48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48" t="str">
        <f>IF('Calendario J'!$B104="","",'Calendario J'!$B104&amp;" vs "&amp;'Calendario J'!$D104&amp;" "&amp;'Calendario J'!$AC104)</f>
        <v/>
      </c>
      <c r="C435" s="116" t="str">
        <f>IF($B435="","",DATE(YEAR('Calendario J'!$F104),MONTH('Calendario J'!$F104),DAY('Calendario J'!$F104)))</f>
        <v/>
      </c>
      <c r="D435" s="117" t="str">
        <f>IF($B435="","",TIME(HOUR('Calendario J'!$F104),MINUTE('Calendario J'!$F104),0))</f>
        <v/>
      </c>
      <c r="E435" s="116" t="str">
        <f>IF($B435="","",DATE(YEAR('Calendario J'!$F104),MONTH('Calendario J'!$F104),DAY('Calendario J'!$F104)))</f>
        <v/>
      </c>
      <c r="F435" s="117" t="str">
        <f>IF($B435="","",TIME(HOUR('Calendario J'!$F104)+2,MINUTE('Calendario J'!$F104),0))</f>
        <v/>
      </c>
      <c r="G435" s="48" t="str">
        <f>IF($B435="","",'Calendario J'!$B105)</f>
        <v/>
      </c>
      <c r="H435" s="48" t="str">
        <f>IF($B435="","",Campionato!$D$2&amp;" "&amp;Campionato!$D$6)</f>
        <v/>
      </c>
      <c r="I435" s="48"/>
    </row>
    <row r="436" spans="1:9" x14ac:dyDescent="0.25">
      <c r="A436" s="48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48" t="str">
        <f>IF('Calendario J'!$B107="","",'Calendario J'!$B107&amp;" vs "&amp;'Calendario J'!$D107&amp;" "&amp;'Calendario J'!$AC107)</f>
        <v/>
      </c>
      <c r="C436" s="116" t="str">
        <f>IF($B436="","",DATE(YEAR('Calendario J'!$F107),MONTH('Calendario J'!$F107),DAY('Calendario J'!$F107)))</f>
        <v/>
      </c>
      <c r="D436" s="117" t="str">
        <f>IF($B436="","",TIME(HOUR('Calendario J'!$F107),MINUTE('Calendario J'!$F107),0))</f>
        <v/>
      </c>
      <c r="E436" s="116" t="str">
        <f>IF($B436="","",DATE(YEAR('Calendario J'!$F107),MONTH('Calendario J'!$F107),DAY('Calendario J'!$F107)))</f>
        <v/>
      </c>
      <c r="F436" s="117" t="str">
        <f>IF($B436="","",TIME(HOUR('Calendario J'!$F107)+2,MINUTE('Calendario J'!$F107),0))</f>
        <v/>
      </c>
      <c r="G436" s="48" t="str">
        <f>IF($B436="","",'Calendario J'!$B108)</f>
        <v/>
      </c>
      <c r="H436" s="48" t="str">
        <f>IF($B436="","",Campionato!$D$2&amp;" "&amp;Campionato!$D$6)</f>
        <v/>
      </c>
      <c r="I436" s="48"/>
    </row>
    <row r="437" spans="1:9" x14ac:dyDescent="0.25">
      <c r="A437" s="48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48" t="str">
        <f>IF('Calendario J'!$B112="","",'Calendario J'!$B112&amp;" vs "&amp;'Calendario J'!$D112&amp;" "&amp;'Calendario J'!$AC112)</f>
        <v/>
      </c>
      <c r="C437" s="116" t="str">
        <f>IF($B437="","",DATE(YEAR('Calendario J'!$F112),MONTH('Calendario J'!$F112),DAY('Calendario J'!$F112)))</f>
        <v/>
      </c>
      <c r="D437" s="117" t="str">
        <f>IF($B437="","",TIME(HOUR('Calendario J'!$F112),MINUTE('Calendario J'!$F112),0))</f>
        <v/>
      </c>
      <c r="E437" s="116" t="str">
        <f>IF($B437="","",DATE(YEAR('Calendario J'!$F112),MONTH('Calendario J'!$F112),DAY('Calendario J'!$F112)))</f>
        <v/>
      </c>
      <c r="F437" s="117" t="str">
        <f>IF($B437="","",TIME(HOUR('Calendario J'!$F112)+2,MINUTE('Calendario J'!$F112),0))</f>
        <v/>
      </c>
      <c r="G437" s="48" t="str">
        <f>IF($B437="","",'Calendario J'!$B113)</f>
        <v/>
      </c>
      <c r="H437" s="48" t="str">
        <f>IF($B437="","",Campionato!$D$2&amp;" "&amp;Campionato!$D$6)</f>
        <v/>
      </c>
      <c r="I437" s="48"/>
    </row>
    <row r="438" spans="1:9" x14ac:dyDescent="0.25">
      <c r="A438" s="48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48" t="str">
        <f>IF('Calendario J'!$B115="","",'Calendario J'!$B115&amp;" vs "&amp;'Calendario J'!$D115&amp;" "&amp;'Calendario J'!$AC115)</f>
        <v/>
      </c>
      <c r="C438" s="116" t="str">
        <f>IF($B438="","",DATE(YEAR('Calendario J'!$F115),MONTH('Calendario J'!$F115),DAY('Calendario J'!$F115)))</f>
        <v/>
      </c>
      <c r="D438" s="117" t="str">
        <f>IF($B438="","",TIME(HOUR('Calendario J'!$F115),MINUTE('Calendario J'!$F115),0))</f>
        <v/>
      </c>
      <c r="E438" s="116" t="str">
        <f>IF($B438="","",DATE(YEAR('Calendario J'!$F115),MONTH('Calendario J'!$F115),DAY('Calendario J'!$F115)))</f>
        <v/>
      </c>
      <c r="F438" s="117" t="str">
        <f>IF($B438="","",TIME(HOUR('Calendario J'!$F115)+2,MINUTE('Calendario J'!$F115),0))</f>
        <v/>
      </c>
      <c r="G438" s="48" t="str">
        <f>IF($B438="","",'Calendario J'!$B116)</f>
        <v/>
      </c>
      <c r="H438" s="48" t="str">
        <f>IF($B438="","",Campionato!$D$2&amp;" "&amp;Campionato!$D$6)</f>
        <v/>
      </c>
      <c r="I438" s="48"/>
    </row>
    <row r="439" spans="1:9" x14ac:dyDescent="0.25">
      <c r="A439" s="48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48" t="str">
        <f>IF('Calendario J'!$B118="","",'Calendario J'!$B118&amp;" vs "&amp;'Calendario J'!$D118&amp;" "&amp;'Calendario J'!$AC118)</f>
        <v/>
      </c>
      <c r="C439" s="116" t="str">
        <f>IF($B439="","",DATE(YEAR('Calendario J'!$F118),MONTH('Calendario J'!$F118),DAY('Calendario J'!$F118)))</f>
        <v/>
      </c>
      <c r="D439" s="117" t="str">
        <f>IF($B439="","",TIME(HOUR('Calendario J'!$F118),MINUTE('Calendario J'!$F118),0))</f>
        <v/>
      </c>
      <c r="E439" s="116" t="str">
        <f>IF($B439="","",DATE(YEAR('Calendario J'!$F118),MONTH('Calendario J'!$F118),DAY('Calendario J'!$F118)))</f>
        <v/>
      </c>
      <c r="F439" s="117" t="str">
        <f>IF($B439="","",TIME(HOUR('Calendario J'!$F118)+2,MINUTE('Calendario J'!$F118),0))</f>
        <v/>
      </c>
      <c r="G439" s="48" t="str">
        <f>IF($B439="","",'Calendario J'!$B119)</f>
        <v/>
      </c>
      <c r="H439" s="48" t="str">
        <f>IF($B439="","",Campionato!$D$2&amp;" "&amp;Campionato!$D$6)</f>
        <v/>
      </c>
      <c r="I439" s="48"/>
    </row>
    <row r="440" spans="1:9" x14ac:dyDescent="0.25">
      <c r="A440" s="48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48" t="str">
        <f>IF('Calendario J'!$B121="","",'Calendario J'!$B121&amp;" vs "&amp;'Calendario J'!$D121&amp;" "&amp;'Calendario J'!$AC121)</f>
        <v/>
      </c>
      <c r="C440" s="116" t="str">
        <f>IF($B440="","",DATE(YEAR('Calendario J'!$F121),MONTH('Calendario J'!$F121),DAY('Calendario J'!$F121)))</f>
        <v/>
      </c>
      <c r="D440" s="117" t="str">
        <f>IF($B440="","",TIME(HOUR('Calendario J'!$F121),MINUTE('Calendario J'!$F121),0))</f>
        <v/>
      </c>
      <c r="E440" s="116" t="str">
        <f>IF($B440="","",DATE(YEAR('Calendario J'!$F121),MONTH('Calendario J'!$F121),DAY('Calendario J'!$F121)))</f>
        <v/>
      </c>
      <c r="F440" s="117" t="str">
        <f>IF($B440="","",TIME(HOUR('Calendario J'!$F121)+2,MINUTE('Calendario J'!$F121),0))</f>
        <v/>
      </c>
      <c r="G440" s="48" t="str">
        <f>IF($B440="","",'Calendario J'!$B122)</f>
        <v/>
      </c>
      <c r="H440" s="48" t="str">
        <f>IF($B440="","",Campionato!$D$2&amp;" "&amp;Campionato!$D$6)</f>
        <v/>
      </c>
      <c r="I440" s="48"/>
    </row>
    <row r="441" spans="1:9" x14ac:dyDescent="0.25">
      <c r="A441" s="48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48" t="str">
        <f>IF('Calendario J'!$B124="","",'Calendario J'!$B124&amp;" vs "&amp;'Calendario J'!$D124&amp;" "&amp;'Calendario J'!$AC124)</f>
        <v/>
      </c>
      <c r="C441" s="116" t="str">
        <f>IF($B441="","",DATE(YEAR('Calendario J'!$F124),MONTH('Calendario J'!$F124),DAY('Calendario J'!$F124)))</f>
        <v/>
      </c>
      <c r="D441" s="117" t="str">
        <f>IF($B441="","",TIME(HOUR('Calendario J'!$F124),MINUTE('Calendario J'!$F124),0))</f>
        <v/>
      </c>
      <c r="E441" s="116" t="str">
        <f>IF($B441="","",DATE(YEAR('Calendario J'!$F124),MONTH('Calendario J'!$F124),DAY('Calendario J'!$F124)))</f>
        <v/>
      </c>
      <c r="F441" s="117" t="str">
        <f>IF($B441="","",TIME(HOUR('Calendario J'!$F124)+2,MINUTE('Calendario J'!$F124),0))</f>
        <v/>
      </c>
      <c r="G441" s="48" t="str">
        <f>IF($B441="","",'Calendario J'!$B125)</f>
        <v/>
      </c>
      <c r="H441" s="48" t="str">
        <f>IF($B441="","",Campionato!$D$2&amp;" "&amp;Campionato!$D$6)</f>
        <v/>
      </c>
      <c r="I441" s="48"/>
    </row>
    <row r="442" spans="1:9" x14ac:dyDescent="0.25">
      <c r="A442" s="48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48" t="str">
        <f>IF('Calendario J'!$B129="","",'Calendario J'!$B129&amp;" vs "&amp;'Calendario J'!$D129&amp;" "&amp;'Calendario J'!$AC129)</f>
        <v/>
      </c>
      <c r="C442" s="116" t="str">
        <f>IF($B442="","",DATE(YEAR('Calendario J'!$F129),MONTH('Calendario J'!$F129),DAY('Calendario J'!$F129)))</f>
        <v/>
      </c>
      <c r="D442" s="117" t="str">
        <f>IF($B442="","",TIME(HOUR('Calendario J'!$F129),MINUTE('Calendario J'!$F129),0))</f>
        <v/>
      </c>
      <c r="E442" s="116" t="str">
        <f>IF($B442="","",DATE(YEAR('Calendario J'!$F129),MONTH('Calendario J'!$F129),DAY('Calendario J'!$F129)))</f>
        <v/>
      </c>
      <c r="F442" s="117" t="str">
        <f>IF($B442="","",TIME(HOUR('Calendario J'!$F129)+2,MINUTE('Calendario J'!$F129),0))</f>
        <v/>
      </c>
      <c r="G442" s="48" t="str">
        <f>IF($B442="","",'Calendario J'!$B130)</f>
        <v/>
      </c>
      <c r="H442" s="48" t="str">
        <f>IF($B442="","",Campionato!$D$2&amp;" "&amp;Campionato!$D$6)</f>
        <v/>
      </c>
      <c r="I442" s="48"/>
    </row>
    <row r="443" spans="1:9" x14ac:dyDescent="0.25">
      <c r="A443" s="48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48" t="str">
        <f>IF('Calendario J'!$B132="","",'Calendario J'!$B132&amp;" vs "&amp;'Calendario J'!$D132&amp;" "&amp;'Calendario J'!$AC132)</f>
        <v/>
      </c>
      <c r="C443" s="116" t="str">
        <f>IF($B443="","",DATE(YEAR('Calendario J'!$F132),MONTH('Calendario J'!$F132),DAY('Calendario J'!$F132)))</f>
        <v/>
      </c>
      <c r="D443" s="117" t="str">
        <f>IF($B443="","",TIME(HOUR('Calendario J'!$F132),MINUTE('Calendario J'!$F132),0))</f>
        <v/>
      </c>
      <c r="E443" s="116" t="str">
        <f>IF($B443="","",DATE(YEAR('Calendario J'!$F132),MONTH('Calendario J'!$F132),DAY('Calendario J'!$F132)))</f>
        <v/>
      </c>
      <c r="F443" s="117" t="str">
        <f>IF($B443="","",TIME(HOUR('Calendario J'!$F132)+2,MINUTE('Calendario J'!$F132),0))</f>
        <v/>
      </c>
      <c r="G443" s="48" t="str">
        <f>IF($B443="","",'Calendario J'!$B133)</f>
        <v/>
      </c>
      <c r="H443" s="48" t="str">
        <f>IF($B443="","",Campionato!$D$2&amp;" "&amp;Campionato!$D$6)</f>
        <v/>
      </c>
      <c r="I443" s="48"/>
    </row>
    <row r="444" spans="1:9" x14ac:dyDescent="0.25">
      <c r="A444" s="48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48" t="str">
        <f>IF('Calendario J'!$B135="","",'Calendario J'!$B135&amp;" vs "&amp;'Calendario J'!$D135&amp;" "&amp;'Calendario J'!$AC135)</f>
        <v/>
      </c>
      <c r="C444" s="116" t="str">
        <f>IF($B444="","",DATE(YEAR('Calendario J'!$F135),MONTH('Calendario J'!$F135),DAY('Calendario J'!$F135)))</f>
        <v/>
      </c>
      <c r="D444" s="117" t="str">
        <f>IF($B444="","",TIME(HOUR('Calendario J'!$F135),MINUTE('Calendario J'!$F135),0))</f>
        <v/>
      </c>
      <c r="E444" s="116" t="str">
        <f>IF($B444="","",DATE(YEAR('Calendario J'!$F135),MONTH('Calendario J'!$F135),DAY('Calendario J'!$F135)))</f>
        <v/>
      </c>
      <c r="F444" s="117" t="str">
        <f>IF($B444="","",TIME(HOUR('Calendario J'!$F135)+2,MINUTE('Calendario J'!$F135),0))</f>
        <v/>
      </c>
      <c r="G444" s="48" t="str">
        <f>IF($B444="","",'Calendario J'!$B136)</f>
        <v/>
      </c>
      <c r="H444" s="48" t="str">
        <f>IF($B444="","",Campionato!$D$2&amp;" "&amp;Campionato!$D$6)</f>
        <v/>
      </c>
      <c r="I444" s="48"/>
    </row>
    <row r="445" spans="1:9" x14ac:dyDescent="0.25">
      <c r="A445" s="48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48" t="str">
        <f>IF('Calendario J'!$B138="","",'Calendario J'!$B138&amp;" vs "&amp;'Calendario J'!$D138&amp;" "&amp;'Calendario J'!$AC138)</f>
        <v/>
      </c>
      <c r="C445" s="116" t="str">
        <f>IF($B445="","",DATE(YEAR('Calendario J'!$F138),MONTH('Calendario J'!$F138),DAY('Calendario J'!$F138)))</f>
        <v/>
      </c>
      <c r="D445" s="117" t="str">
        <f>IF($B445="","",TIME(HOUR('Calendario J'!$F138),MINUTE('Calendario J'!$F138),0))</f>
        <v/>
      </c>
      <c r="E445" s="116" t="str">
        <f>IF($B445="","",DATE(YEAR('Calendario J'!$F138),MONTH('Calendario J'!$F138),DAY('Calendario J'!$F138)))</f>
        <v/>
      </c>
      <c r="F445" s="117" t="str">
        <f>IF($B445="","",TIME(HOUR('Calendario J'!$F138)+2,MINUTE('Calendario J'!$F138),0))</f>
        <v/>
      </c>
      <c r="G445" s="48" t="str">
        <f>IF($B445="","",'Calendario J'!$B139)</f>
        <v/>
      </c>
      <c r="H445" s="48" t="str">
        <f>IF($B445="","",Campionato!$D$2&amp;" "&amp;Campionato!$D$6)</f>
        <v/>
      </c>
      <c r="I445" s="48"/>
    </row>
    <row r="446" spans="1:9" x14ac:dyDescent="0.25">
      <c r="A446" s="48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48" t="str">
        <f>IF('Calendario J'!$B141="","",'Calendario J'!$B141&amp;" vs "&amp;'Calendario J'!$D141&amp;" "&amp;'Calendario J'!$AC141)</f>
        <v/>
      </c>
      <c r="C446" s="116" t="str">
        <f>IF($B446="","",DATE(YEAR('Calendario J'!$F141),MONTH('Calendario J'!$F141),DAY('Calendario J'!$F141)))</f>
        <v/>
      </c>
      <c r="D446" s="117" t="str">
        <f>IF($B446="","",TIME(HOUR('Calendario J'!$F141),MINUTE('Calendario J'!$F141),0))</f>
        <v/>
      </c>
      <c r="E446" s="116" t="str">
        <f>IF($B446="","",DATE(YEAR('Calendario J'!$F141),MONTH('Calendario J'!$F141),DAY('Calendario J'!$F141)))</f>
        <v/>
      </c>
      <c r="F446" s="117" t="str">
        <f>IF($B446="","",TIME(HOUR('Calendario J'!$F141)+2,MINUTE('Calendario J'!$F141),0))</f>
        <v/>
      </c>
      <c r="G446" s="48" t="str">
        <f>IF($B446="","",'Calendario J'!$B142)</f>
        <v/>
      </c>
      <c r="H446" s="48" t="str">
        <f>IF($B446="","",Campionato!$D$2&amp;" "&amp;Campionato!$D$6)</f>
        <v/>
      </c>
      <c r="I446" s="48"/>
    </row>
    <row r="447" spans="1:9" x14ac:dyDescent="0.25">
      <c r="A447" s="48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48" t="str">
        <f>IF('Calendario J'!$B146="","",'Calendario J'!$B146&amp;" vs "&amp;'Calendario J'!$D146&amp;" "&amp;'Calendario J'!$AC146)</f>
        <v/>
      </c>
      <c r="C447" s="116" t="str">
        <f>IF($B447="","",DATE(YEAR('Calendario J'!$F146),MONTH('Calendario J'!$F146),DAY('Calendario J'!$F146)))</f>
        <v/>
      </c>
      <c r="D447" s="117" t="str">
        <f>IF($B447="","",TIME(HOUR('Calendario J'!$F146),MINUTE('Calendario J'!$F146),0))</f>
        <v/>
      </c>
      <c r="E447" s="116" t="str">
        <f>IF($B447="","",DATE(YEAR('Calendario J'!$F146),MONTH('Calendario J'!$F146),DAY('Calendario J'!$F146)))</f>
        <v/>
      </c>
      <c r="F447" s="117" t="str">
        <f>IF($B447="","",TIME(HOUR('Calendario J'!$F146)+2,MINUTE('Calendario J'!$F146),0))</f>
        <v/>
      </c>
      <c r="G447" s="48" t="str">
        <f>IF($B447="","",'Calendario J'!$B147)</f>
        <v/>
      </c>
      <c r="H447" s="48" t="str">
        <f>IF($B447="","",Campionato!$D$2&amp;" "&amp;Campionato!$D$6)</f>
        <v/>
      </c>
      <c r="I447" s="48"/>
    </row>
    <row r="448" spans="1:9" x14ac:dyDescent="0.25">
      <c r="A448" s="48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48" t="str">
        <f>IF('Calendario J'!$B149="","",'Calendario J'!$B149&amp;" vs "&amp;'Calendario J'!$D149&amp;" "&amp;'Calendario J'!$AC149)</f>
        <v/>
      </c>
      <c r="C448" s="116" t="str">
        <f>IF($B448="","",DATE(YEAR('Calendario J'!$F149),MONTH('Calendario J'!$F149),DAY('Calendario J'!$F149)))</f>
        <v/>
      </c>
      <c r="D448" s="117" t="str">
        <f>IF($B448="","",TIME(HOUR('Calendario J'!$F149),MINUTE('Calendario J'!$F149),0))</f>
        <v/>
      </c>
      <c r="E448" s="116" t="str">
        <f>IF($B448="","",DATE(YEAR('Calendario J'!$F149),MONTH('Calendario J'!$F149),DAY('Calendario J'!$F149)))</f>
        <v/>
      </c>
      <c r="F448" s="117" t="str">
        <f>IF($B448="","",TIME(HOUR('Calendario J'!$F149)+2,MINUTE('Calendario J'!$F149),0))</f>
        <v/>
      </c>
      <c r="G448" s="48" t="str">
        <f>IF($B448="","",'Calendario J'!$B150)</f>
        <v/>
      </c>
      <c r="H448" s="48" t="str">
        <f>IF($B448="","",Campionato!$D$2&amp;" "&amp;Campionato!$D$6)</f>
        <v/>
      </c>
      <c r="I448" s="48"/>
    </row>
    <row r="449" spans="1:9" x14ac:dyDescent="0.25">
      <c r="A449" s="48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48" t="str">
        <f>IF('Calendario J'!$B152="","",'Calendario J'!$B152&amp;" vs "&amp;'Calendario J'!$D152&amp;" "&amp;'Calendario J'!$AC152)</f>
        <v/>
      </c>
      <c r="C449" s="116" t="str">
        <f>IF($B449="","",DATE(YEAR('Calendario J'!$F152),MONTH('Calendario J'!$F152),DAY('Calendario J'!$F152)))</f>
        <v/>
      </c>
      <c r="D449" s="117" t="str">
        <f>IF($B449="","",TIME(HOUR('Calendario J'!$F152),MINUTE('Calendario J'!$F152),0))</f>
        <v/>
      </c>
      <c r="E449" s="116" t="str">
        <f>IF($B449="","",DATE(YEAR('Calendario J'!$F152),MONTH('Calendario J'!$F152),DAY('Calendario J'!$F152)))</f>
        <v/>
      </c>
      <c r="F449" s="117" t="str">
        <f>IF($B449="","",TIME(HOUR('Calendario J'!$F152)+2,MINUTE('Calendario J'!$F152),0))</f>
        <v/>
      </c>
      <c r="G449" s="48" t="str">
        <f>IF($B449="","",'Calendario J'!$B153)</f>
        <v/>
      </c>
      <c r="H449" s="48" t="str">
        <f>IF($B449="","",Campionato!$D$2&amp;" "&amp;Campionato!$D$6)</f>
        <v/>
      </c>
      <c r="I449" s="48"/>
    </row>
    <row r="450" spans="1:9" x14ac:dyDescent="0.25">
      <c r="A450" s="48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48" t="str">
        <f>IF('Calendario J'!$B155="","",'Calendario J'!$B155&amp;" vs "&amp;'Calendario J'!$D155&amp;" "&amp;'Calendario J'!$AC155)</f>
        <v/>
      </c>
      <c r="C450" s="116" t="str">
        <f>IF($B450="","",DATE(YEAR('Calendario J'!$F155),MONTH('Calendario J'!$F155),DAY('Calendario J'!$F155)))</f>
        <v/>
      </c>
      <c r="D450" s="117" t="str">
        <f>IF($B450="","",TIME(HOUR('Calendario J'!$F155),MINUTE('Calendario J'!$F155),0))</f>
        <v/>
      </c>
      <c r="E450" s="116" t="str">
        <f>IF($B450="","",DATE(YEAR('Calendario J'!$F155),MONTH('Calendario J'!$F155),DAY('Calendario J'!$F155)))</f>
        <v/>
      </c>
      <c r="F450" s="117" t="str">
        <f>IF($B450="","",TIME(HOUR('Calendario J'!$F155)+2,MINUTE('Calendario J'!$F155),0))</f>
        <v/>
      </c>
      <c r="G450" s="48" t="str">
        <f>IF($B450="","",'Calendario J'!$B156)</f>
        <v/>
      </c>
      <c r="H450" s="48" t="str">
        <f>IF($B450="","",Campionato!$D$2&amp;" "&amp;Campionato!$D$6)</f>
        <v/>
      </c>
      <c r="I450" s="48"/>
    </row>
    <row r="451" spans="1:9" x14ac:dyDescent="0.25">
      <c r="A451" s="48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48" t="str">
        <f>IF('Calendario J'!$B158="","",'Calendario J'!$B158&amp;" vs "&amp;'Calendario J'!$D158&amp;" "&amp;'Calendario J'!$AC158)</f>
        <v/>
      </c>
      <c r="C451" s="116" t="str">
        <f>IF($B451="","",DATE(YEAR('Calendario J'!$F158),MONTH('Calendario J'!$F158),DAY('Calendario J'!$F158)))</f>
        <v/>
      </c>
      <c r="D451" s="117" t="str">
        <f>IF($B451="","",TIME(HOUR('Calendario J'!$F158),MINUTE('Calendario J'!$F158),0))</f>
        <v/>
      </c>
      <c r="E451" s="116" t="str">
        <f>IF($B451="","",DATE(YEAR('Calendario J'!$F158),MONTH('Calendario J'!$F158),DAY('Calendario J'!$F158)))</f>
        <v/>
      </c>
      <c r="F451" s="117" t="str">
        <f>IF($B451="","",TIME(HOUR('Calendario J'!$F158)+2,MINUTE('Calendario J'!$F158),0))</f>
        <v/>
      </c>
      <c r="G451" s="48" t="str">
        <f>IF($B451="","",'Calendario J'!$B159)</f>
        <v/>
      </c>
      <c r="H451" s="48" t="str">
        <f>IF($B451="","",Campionato!$D$2&amp;" "&amp;Campionato!$D$6)</f>
        <v/>
      </c>
      <c r="I451" s="48"/>
    </row>
    <row r="452" spans="1:9" x14ac:dyDescent="0.25">
      <c r="A452" s="48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DTSTART;TZID=Europe/Rome:yyyy01ddT000000
DTEND;TZID=Europe/Rome:yyyy01ddT020000
SUMMARY:(A1) vs (H2) [Ottavi]
LOCATION:DA DEFINIRE
DESCRIPTION: 
END:VEVENT</v>
      </c>
      <c r="B452" s="48" t="str">
        <f>IF(Playoff!$B10="","",Playoff!$B10&amp;" vs "&amp;Playoff!$D10&amp;" "&amp;Playoff!$AC10)</f>
        <v>(A1) vs (H2) [Ottavi]</v>
      </c>
      <c r="C452" s="116">
        <f>IF($B452="","",DATE(YEAR(Playoff!$F10),MONTH(Playoff!$F10),DAY(Playoff!$F10)))</f>
        <v>0</v>
      </c>
      <c r="D452" s="117">
        <f>IF($B452="","",TIME(HOUR(Playoff!$F10),MINUTE(Playoff!$F10),0))</f>
        <v>0</v>
      </c>
      <c r="E452" s="116">
        <f>IF($B452="","",DATE(YEAR(Playoff!$F10),MONTH(Playoff!$F10),DAY(Playoff!$F10)))</f>
        <v>0</v>
      </c>
      <c r="F452" s="117">
        <f>IF($B452="","",TIME(HOUR(Playoff!$F10)+2,MINUTE(Playoff!$F10),0))</f>
        <v>8.3333333333333329E-2</v>
      </c>
      <c r="G452" s="48" t="str">
        <f>IF($B452="","",Playoff!$B11)</f>
        <v>DA DEFINIRE</v>
      </c>
      <c r="H452" s="48" t="str">
        <f>IF($B452="","",Campionato!$D$2&amp;" "&amp;Campionato!$D$6)</f>
        <v xml:space="preserve"> </v>
      </c>
      <c r="I452" s="48"/>
    </row>
    <row r="453" spans="1:9" x14ac:dyDescent="0.25">
      <c r="A453" s="48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DTSTART;TZID=Europe/Rome:yyyy01ddT000000
DTEND;TZID=Europe/Rome:yyyy01ddT020000
SUMMARY:(B1) vs (G2) [Ottavi]
LOCATION:DA DEFINIRE
DESCRIPTION: 
END:VEVENT</v>
      </c>
      <c r="B453" s="48" t="str">
        <f>IF(Playoff!$B13="","",Playoff!$B13&amp;" vs "&amp;Playoff!$D13&amp;" "&amp;Playoff!$AC13)</f>
        <v>(B1) vs (G2) [Ottavi]</v>
      </c>
      <c r="C453" s="116">
        <f>IF($B453="","",DATE(YEAR(Playoff!$F13),MONTH(Playoff!$F13),DAY(Playoff!$F13)))</f>
        <v>0</v>
      </c>
      <c r="D453" s="117">
        <f>IF($B453="","",TIME(HOUR(Playoff!$F13),MINUTE(Playoff!$F13),0))</f>
        <v>0</v>
      </c>
      <c r="E453" s="116">
        <f>IF($B453="","",DATE(YEAR(Playoff!$F13),MONTH(Playoff!$F13),DAY(Playoff!$F13)))</f>
        <v>0</v>
      </c>
      <c r="F453" s="117">
        <f>IF($B453="","",TIME(HOUR(Playoff!$F13)+2,MINUTE(Playoff!$F13),0))</f>
        <v>8.3333333333333329E-2</v>
      </c>
      <c r="G453" s="48" t="str">
        <f>IF($B453="","",Playoff!$B14)</f>
        <v>DA DEFINIRE</v>
      </c>
      <c r="H453" s="48" t="str">
        <f>IF($B453="","",Campionato!$D$2&amp;" "&amp;Campionato!$D$6)</f>
        <v xml:space="preserve"> </v>
      </c>
      <c r="I453" s="48"/>
    </row>
    <row r="454" spans="1:9" x14ac:dyDescent="0.25">
      <c r="A454" s="48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DTSTART;TZID=Europe/Rome:yyyy01ddT000000
DTEND;TZID=Europe/Rome:yyyy01ddT020000
SUMMARY:(C1) vs (F2) [Ottavi]
LOCATION:DA DEFINIRE
DESCRIPTION: 
END:VEVENT</v>
      </c>
      <c r="B454" s="48" t="str">
        <f>IF(Playoff!$B16="","",Playoff!$B16&amp;" vs "&amp;Playoff!$D16&amp;" "&amp;Playoff!$AC16)</f>
        <v>(C1) vs (F2) [Ottavi]</v>
      </c>
      <c r="C454" s="116">
        <f>IF($B454="","",DATE(YEAR(Playoff!$F16),MONTH(Playoff!$F16),DAY(Playoff!$F16)))</f>
        <v>0</v>
      </c>
      <c r="D454" s="117">
        <f>IF($B454="","",TIME(HOUR(Playoff!$F16),MINUTE(Playoff!$F16),0))</f>
        <v>0</v>
      </c>
      <c r="E454" s="116">
        <f>IF($B454="","",DATE(YEAR(Playoff!$F16),MONTH(Playoff!$F16),DAY(Playoff!$F16)))</f>
        <v>0</v>
      </c>
      <c r="F454" s="117">
        <f>IF($B454="","",TIME(HOUR(Playoff!$F16)+2,MINUTE(Playoff!$F16),0))</f>
        <v>8.3333333333333329E-2</v>
      </c>
      <c r="G454" s="48" t="str">
        <f>IF($B454="","",Playoff!$B17)</f>
        <v>DA DEFINIRE</v>
      </c>
      <c r="H454" s="48" t="str">
        <f>IF($B454="","",Campionato!$D$2&amp;" "&amp;Campionato!$D$6)</f>
        <v xml:space="preserve"> </v>
      </c>
      <c r="I454" s="48"/>
    </row>
    <row r="455" spans="1:9" x14ac:dyDescent="0.25">
      <c r="A455" s="48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DTSTART;TZID=Europe/Rome:yyyy01ddT000000
DTEND;TZID=Europe/Rome:yyyy01ddT020000
SUMMARY:(D1) vs (E2) [Ottavi]
LOCATION:DA DEFINIRE
DESCRIPTION: 
END:VEVENT</v>
      </c>
      <c r="B455" s="48" t="str">
        <f>IF(Playoff!$B19="","",Playoff!$B19&amp;" vs "&amp;Playoff!$D19&amp;" "&amp;Playoff!$AC19)</f>
        <v>(D1) vs (E2) [Ottavi]</v>
      </c>
      <c r="C455" s="116">
        <f>IF($B455="","",DATE(YEAR(Playoff!$F19),MONTH(Playoff!$F19),DAY(Playoff!$F19)))</f>
        <v>0</v>
      </c>
      <c r="D455" s="117">
        <f>IF($B455="","",TIME(HOUR(Playoff!$F19),MINUTE(Playoff!$F19),0))</f>
        <v>0</v>
      </c>
      <c r="E455" s="116">
        <f>IF($B455="","",DATE(YEAR(Playoff!$F19),MONTH(Playoff!$F19),DAY(Playoff!$F19)))</f>
        <v>0</v>
      </c>
      <c r="F455" s="117">
        <f>IF($B455="","",TIME(HOUR(Playoff!$F19)+2,MINUTE(Playoff!$F19),0))</f>
        <v>8.3333333333333329E-2</v>
      </c>
      <c r="G455" s="48" t="str">
        <f>IF($B455="","",Playoff!$B20)</f>
        <v>DA DEFINIRE</v>
      </c>
      <c r="H455" s="48" t="str">
        <f>IF($B455="","",Campionato!$D$2&amp;" "&amp;Campionato!$D$6)</f>
        <v xml:space="preserve"> </v>
      </c>
      <c r="I455" s="48"/>
    </row>
    <row r="456" spans="1:9" x14ac:dyDescent="0.25">
      <c r="A456" s="48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DTSTART;TZID=Europe/Rome:yyyy01ddT000000
DTEND;TZID=Europe/Rome:yyyy01ddT020000
SUMMARY:(E1) vs (D2) [Ottavi]
LOCATION:DA DEFINIRE
DESCRIPTION: 
END:VEVENT</v>
      </c>
      <c r="B456" s="48" t="str">
        <f>IF(Playoff!$B22="","",Playoff!$B22&amp;" vs "&amp;Playoff!$D22&amp;" "&amp;Playoff!$AC22)</f>
        <v>(E1) vs (D2) [Ottavi]</v>
      </c>
      <c r="C456" s="116">
        <f>IF($B456="","",DATE(YEAR(Playoff!$F22),MONTH(Playoff!$F22),DAY(Playoff!$F22)))</f>
        <v>0</v>
      </c>
      <c r="D456" s="117">
        <f>IF($B456="","",TIME(HOUR(Playoff!$F22),MINUTE(Playoff!$F22),0))</f>
        <v>0</v>
      </c>
      <c r="E456" s="116">
        <f>IF($B456="","",DATE(YEAR(Playoff!$F22),MONTH(Playoff!$F22),DAY(Playoff!$F22)))</f>
        <v>0</v>
      </c>
      <c r="F456" s="117">
        <f>IF($B456="","",TIME(HOUR(Playoff!$F22)+2,MINUTE(Playoff!$F22),0))</f>
        <v>8.3333333333333329E-2</v>
      </c>
      <c r="G456" s="48" t="str">
        <f>IF($B456="","",Playoff!$B23)</f>
        <v>DA DEFINIRE</v>
      </c>
      <c r="H456" s="48" t="str">
        <f>IF($B456="","",Campionato!$D$2&amp;" "&amp;Campionato!$D$6)</f>
        <v xml:space="preserve"> </v>
      </c>
      <c r="I456" s="48"/>
    </row>
    <row r="457" spans="1:9" x14ac:dyDescent="0.25">
      <c r="A457" s="48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DTSTART;TZID=Europe/Rome:yyyy01ddT000000
DTEND;TZID=Europe/Rome:yyyy01ddT020000
SUMMARY:(F1) vs (C2) [Ottavi]
LOCATION:DA DEFINIRE
DESCRIPTION: 
END:VEVENT</v>
      </c>
      <c r="B457" s="48" t="str">
        <f>IF(Playoff!$B25="","",Playoff!$B25&amp;" vs "&amp;Playoff!$D25&amp;" "&amp;Playoff!$AC25)</f>
        <v>(F1) vs (C2) [Ottavi]</v>
      </c>
      <c r="C457" s="116">
        <f>IF($B457="","",DATE(YEAR(Playoff!$F25),MONTH(Playoff!$F25),DAY(Playoff!$F25)))</f>
        <v>0</v>
      </c>
      <c r="D457" s="117">
        <f>IF($B457="","",TIME(HOUR(Playoff!$F25),MINUTE(Playoff!$F25),0))</f>
        <v>0</v>
      </c>
      <c r="E457" s="116">
        <f>IF($B457="","",DATE(YEAR(Playoff!$F25),MONTH(Playoff!$F25),DAY(Playoff!$F25)))</f>
        <v>0</v>
      </c>
      <c r="F457" s="117">
        <f>IF($B457="","",TIME(HOUR(Playoff!$F25)+2,MINUTE(Playoff!$F25),0))</f>
        <v>8.3333333333333329E-2</v>
      </c>
      <c r="G457" s="48" t="str">
        <f>IF($B457="","",Playoff!$B26)</f>
        <v>DA DEFINIRE</v>
      </c>
      <c r="H457" s="48" t="str">
        <f>IF($B457="","",Campionato!$D$2&amp;" "&amp;Campionato!$D$6)</f>
        <v xml:space="preserve"> </v>
      </c>
      <c r="I457" s="48"/>
    </row>
    <row r="458" spans="1:9" x14ac:dyDescent="0.25">
      <c r="A458" s="48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DTSTART;TZID=Europe/Rome:yyyy01ddT000000
DTEND;TZID=Europe/Rome:yyyy01ddT020000
SUMMARY:(G1) vs (B2) [Ottavi]
LOCATION:DA DEFINIRE
DESCRIPTION: 
END:VEVENT</v>
      </c>
      <c r="B458" s="48" t="str">
        <f>IF(Playoff!$B28="","",Playoff!$B28&amp;" vs "&amp;Playoff!$D28&amp;" "&amp;Playoff!$AC28)</f>
        <v>(G1) vs (B2) [Ottavi]</v>
      </c>
      <c r="C458" s="116">
        <f>IF($B458="","",DATE(YEAR(Playoff!$F28),MONTH(Playoff!$F28),DAY(Playoff!$F28)))</f>
        <v>0</v>
      </c>
      <c r="D458" s="117">
        <f>IF($B458="","",TIME(HOUR(Playoff!$F28),MINUTE(Playoff!$F28),0))</f>
        <v>0</v>
      </c>
      <c r="E458" s="116">
        <f>IF($B458="","",DATE(YEAR(Playoff!$F28),MONTH(Playoff!$F28),DAY(Playoff!$F28)))</f>
        <v>0</v>
      </c>
      <c r="F458" s="117">
        <f>IF($B458="","",TIME(HOUR(Playoff!$F28)+2,MINUTE(Playoff!$F28),0))</f>
        <v>8.3333333333333329E-2</v>
      </c>
      <c r="G458" s="48" t="str">
        <f>IF($B458="","",Playoff!$B29)</f>
        <v>DA DEFINIRE</v>
      </c>
      <c r="H458" s="48" t="str">
        <f>IF($B458="","",Campionato!$D$2&amp;" "&amp;Campionato!$D$6)</f>
        <v xml:space="preserve"> </v>
      </c>
      <c r="I458" s="48"/>
    </row>
    <row r="459" spans="1:9" x14ac:dyDescent="0.25">
      <c r="A459" s="48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DTSTART;TZID=Europe/Rome:yyyy01ddT000000
DTEND;TZID=Europe/Rome:yyyy01ddT020000
SUMMARY:(H1) vs (A2) [Ottavi]
LOCATION:DA DEFINIRE
DESCRIPTION: 
END:VEVENT</v>
      </c>
      <c r="B459" s="48" t="str">
        <f>IF(Playoff!$B31="","",Playoff!$B31&amp;" vs "&amp;Playoff!$D31&amp;" "&amp;Playoff!$AC31)</f>
        <v>(H1) vs (A2) [Ottavi]</v>
      </c>
      <c r="C459" s="116">
        <f>IF($B459="","",DATE(YEAR(Playoff!$F31),MONTH(Playoff!$F31),DAY(Playoff!$F31)))</f>
        <v>0</v>
      </c>
      <c r="D459" s="117">
        <f>IF($B459="","",TIME(HOUR(Playoff!$F31),MINUTE(Playoff!$F31),0))</f>
        <v>0</v>
      </c>
      <c r="E459" s="116">
        <f>IF($B459="","",DATE(YEAR(Playoff!$F31),MONTH(Playoff!$F31),DAY(Playoff!$F31)))</f>
        <v>0</v>
      </c>
      <c r="F459" s="117">
        <f>IF($B459="","",TIME(HOUR(Playoff!$F31)+2,MINUTE(Playoff!$F31),0))</f>
        <v>8.3333333333333329E-2</v>
      </c>
      <c r="G459" s="48" t="str">
        <f>IF($B459="","",Playoff!$B32)</f>
        <v>DA DEFINIRE</v>
      </c>
      <c r="H459" s="48" t="str">
        <f>IF($B459="","",Campionato!$D$2&amp;" "&amp;Campionato!$D$6)</f>
        <v xml:space="preserve"> </v>
      </c>
      <c r="I459" s="48"/>
    </row>
    <row r="460" spans="1:9" x14ac:dyDescent="0.25">
      <c r="A460" s="48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DTSTART;TZID=Europe/Rome:yyyy01ddT000000
DTEND;TZID=Europe/Rome:yyyy01ddT020000
SUMMARY:(Vincente) vs (Vincente) [Quarti]
LOCATION:DA DEFINIRE
DESCRIPTION: 
END:VEVENT</v>
      </c>
      <c r="B460" s="48" t="str">
        <f>IF(Playoff!$B36="","",Playoff!$B36&amp;" vs "&amp;Playoff!$D36&amp;" "&amp;Playoff!$AC36)</f>
        <v>(Vincente) vs (Vincente) [Quarti]</v>
      </c>
      <c r="C460" s="116">
        <f>IF($B460="","",DATE(YEAR(Playoff!$F36),MONTH(Playoff!$F36),DAY(Playoff!$F36)))</f>
        <v>0</v>
      </c>
      <c r="D460" s="117">
        <f>IF($B460="","",TIME(HOUR(Playoff!$F36),MINUTE(Playoff!$F36),0))</f>
        <v>0</v>
      </c>
      <c r="E460" s="116">
        <f>IF($B460="","",DATE(YEAR(Playoff!$F36),MONTH(Playoff!$F36),DAY(Playoff!$F36)))</f>
        <v>0</v>
      </c>
      <c r="F460" s="117">
        <f>IF($B460="","",TIME(HOUR(Playoff!$F36)+2,MINUTE(Playoff!$F36),0))</f>
        <v>8.3333333333333329E-2</v>
      </c>
      <c r="G460" s="48" t="str">
        <f>IF($B460="","",Playoff!$B37)</f>
        <v>DA DEFINIRE</v>
      </c>
      <c r="H460" s="48" t="str">
        <f>IF($B460="","",Campionato!$D$2&amp;" "&amp;Campionato!$D$6)</f>
        <v xml:space="preserve"> </v>
      </c>
      <c r="I460" s="48"/>
    </row>
    <row r="461" spans="1:9" x14ac:dyDescent="0.25">
      <c r="A461" s="48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DTSTART;TZID=Europe/Rome:yyyy01ddT000000
DTEND;TZID=Europe/Rome:yyyy01ddT020000
SUMMARY:(Vincente) vs (Vincente) [Quarti]
LOCATION:DA DEFINIRE
DESCRIPTION: 
END:VEVENT</v>
      </c>
      <c r="B461" s="48" t="str">
        <f>IF(Playoff!$B39="","",Playoff!$B39&amp;" vs "&amp;Playoff!$D39&amp;" "&amp;Playoff!$AC39)</f>
        <v>(Vincente) vs (Vincente) [Quarti]</v>
      </c>
      <c r="C461" s="116">
        <f>IF($B461="","",DATE(YEAR(Playoff!$F39),MONTH(Playoff!$F39),DAY(Playoff!$F39)))</f>
        <v>0</v>
      </c>
      <c r="D461" s="117">
        <f>IF($B461="","",TIME(HOUR(Playoff!$F39),MINUTE(Playoff!$F39),0))</f>
        <v>0</v>
      </c>
      <c r="E461" s="116">
        <f>IF($B461="","",DATE(YEAR(Playoff!$F39),MONTH(Playoff!$F39),DAY(Playoff!$F39)))</f>
        <v>0</v>
      </c>
      <c r="F461" s="117">
        <f>IF($B461="","",TIME(HOUR(Playoff!$F39)+2,MINUTE(Playoff!$F39),0))</f>
        <v>8.3333333333333329E-2</v>
      </c>
      <c r="G461" s="48" t="str">
        <f>IF($B461="","",Playoff!$B40)</f>
        <v>DA DEFINIRE</v>
      </c>
      <c r="H461" s="48" t="str">
        <f>IF($B461="","",Campionato!$D$2&amp;" "&amp;Campionato!$D$6)</f>
        <v xml:space="preserve"> </v>
      </c>
      <c r="I461" s="48"/>
    </row>
    <row r="462" spans="1:9" x14ac:dyDescent="0.25">
      <c r="A462" s="48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DTSTART;TZID=Europe/Rome:yyyy01ddT000000
DTEND;TZID=Europe/Rome:yyyy01ddT020000
SUMMARY:(Vincente) vs (Vincente) [Quarti]
LOCATION:DA DEFINIRE
DESCRIPTION: 
END:VEVENT</v>
      </c>
      <c r="B462" s="48" t="str">
        <f>IF(Playoff!$B42="","",Playoff!$B42&amp;" vs "&amp;Playoff!$D42&amp;" "&amp;Playoff!$AC42)</f>
        <v>(Vincente) vs (Vincente) [Quarti]</v>
      </c>
      <c r="C462" s="116">
        <f>IF($B462="","",DATE(YEAR(Playoff!$F42),MONTH(Playoff!$F42),DAY(Playoff!$F42)))</f>
        <v>0</v>
      </c>
      <c r="D462" s="117">
        <f>IF($B462="","",TIME(HOUR(Playoff!$F42),MINUTE(Playoff!$F42),0))</f>
        <v>0</v>
      </c>
      <c r="E462" s="116">
        <f>IF($B462="","",DATE(YEAR(Playoff!$F42),MONTH(Playoff!$F42),DAY(Playoff!$F42)))</f>
        <v>0</v>
      </c>
      <c r="F462" s="117">
        <f>IF($B462="","",TIME(HOUR(Playoff!$F42)+2,MINUTE(Playoff!$F42),0))</f>
        <v>8.3333333333333329E-2</v>
      </c>
      <c r="G462" s="48" t="str">
        <f>IF($B462="","",Playoff!$B43)</f>
        <v>DA DEFINIRE</v>
      </c>
      <c r="H462" s="48" t="str">
        <f>IF($B462="","",Campionato!$D$2&amp;" "&amp;Campionato!$D$6)</f>
        <v xml:space="preserve"> </v>
      </c>
      <c r="I462" s="48"/>
    </row>
    <row r="463" spans="1:9" x14ac:dyDescent="0.25">
      <c r="A463" s="48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DTSTART;TZID=Europe/Rome:yyyy01ddT000000
DTEND;TZID=Europe/Rome:yyyy01ddT020000
SUMMARY:(Vincente) vs (Vincente) [Quarti]
LOCATION:DA DEFINIRE
DESCRIPTION: 
END:VEVENT</v>
      </c>
      <c r="B463" s="48" t="str">
        <f>IF(Playoff!$B45="","",Playoff!$B45&amp;" vs "&amp;Playoff!$D45&amp;" "&amp;Playoff!$AC45)</f>
        <v>(Vincente) vs (Vincente) [Quarti]</v>
      </c>
      <c r="C463" s="116">
        <f>IF($B463="","",DATE(YEAR(Playoff!$F45),MONTH(Playoff!$F45),DAY(Playoff!$F45)))</f>
        <v>0</v>
      </c>
      <c r="D463" s="117">
        <f>IF($B463="","",TIME(HOUR(Playoff!$F45),MINUTE(Playoff!$F45),0))</f>
        <v>0</v>
      </c>
      <c r="E463" s="116">
        <f>IF($B463="","",DATE(YEAR(Playoff!$F45),MONTH(Playoff!$F45),DAY(Playoff!$F45)))</f>
        <v>0</v>
      </c>
      <c r="F463" s="117">
        <f>IF($B463="","",TIME(HOUR(Playoff!$F45)+2,MINUTE(Playoff!$F45),0))</f>
        <v>8.3333333333333329E-2</v>
      </c>
      <c r="G463" s="48" t="str">
        <f>IF($B463="","",Playoff!$B46)</f>
        <v>DA DEFINIRE</v>
      </c>
      <c r="H463" s="48" t="str">
        <f>IF($B463="","",Campionato!$D$2&amp;" "&amp;Campionato!$D$6)</f>
        <v xml:space="preserve"> </v>
      </c>
      <c r="I463" s="48"/>
    </row>
    <row r="464" spans="1:9" x14ac:dyDescent="0.25">
      <c r="A464" s="48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DTSTART;TZID=Europe/Rome:yyyy01ddT000000
DTEND;TZID=Europe/Rome:yyyy01ddT020000
SUMMARY:(Vincente) vs (Vincente) [Semifinali]
LOCATION:DA DEFINIRE
DESCRIPTION: 
END:VEVENT</v>
      </c>
      <c r="B464" s="48" t="str">
        <f>IF(Playoff!$B50="","",Playoff!$B50&amp;" vs "&amp;Playoff!$D50&amp;" "&amp;Playoff!$AC50)</f>
        <v>(Vincente) vs (Vincente) [Semifinali]</v>
      </c>
      <c r="C464" s="116">
        <f>IF($B464="","",DATE(YEAR(Playoff!$F50),MONTH(Playoff!$F50),DAY(Playoff!$F50)))</f>
        <v>0</v>
      </c>
      <c r="D464" s="117">
        <f>IF($B464="","",TIME(HOUR(Playoff!$F50),MINUTE(Playoff!$F50),0))</f>
        <v>0</v>
      </c>
      <c r="E464" s="116">
        <f>IF($B464="","",DATE(YEAR(Playoff!$F50),MONTH(Playoff!$F50),DAY(Playoff!$F50)))</f>
        <v>0</v>
      </c>
      <c r="F464" s="117">
        <f>IF($B464="","",TIME(HOUR(Playoff!$F50)+2,MINUTE(Playoff!$F50),0))</f>
        <v>8.3333333333333329E-2</v>
      </c>
      <c r="G464" s="48" t="str">
        <f>IF($B464="","",Playoff!$B51)</f>
        <v>DA DEFINIRE</v>
      </c>
      <c r="H464" s="48" t="str">
        <f>IF($B464="","",Campionato!$D$2&amp;" "&amp;Campionato!$D$6)</f>
        <v xml:space="preserve"> </v>
      </c>
      <c r="I464" s="48"/>
    </row>
    <row r="465" spans="1:9" x14ac:dyDescent="0.25">
      <c r="A465" s="48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DTSTART;TZID=Europe/Rome:yyyy01ddT000000
DTEND;TZID=Europe/Rome:yyyy01ddT020000
SUMMARY:(Vincente) vs (Vincente) [Semifinali]
LOCATION:DA DEFINIRE
DESCRIPTION: 
END:VEVENT</v>
      </c>
      <c r="B465" s="48" t="str">
        <f>IF(Playoff!$B53="","",Playoff!$B53&amp;" vs "&amp;Playoff!$D53&amp;" "&amp;Playoff!$AC53)</f>
        <v>(Vincente) vs (Vincente) [Semifinali]</v>
      </c>
      <c r="C465" s="116">
        <f>IF($B465="","",DATE(YEAR(Playoff!$F53),MONTH(Playoff!$F53),DAY(Playoff!$F53)))</f>
        <v>0</v>
      </c>
      <c r="D465" s="117">
        <f>IF($B465="","",TIME(HOUR(Playoff!$F53),MINUTE(Playoff!$F53),0))</f>
        <v>0</v>
      </c>
      <c r="E465" s="116">
        <f>IF($B465="","",DATE(YEAR(Playoff!$F53),MONTH(Playoff!$F53),DAY(Playoff!$F53)))</f>
        <v>0</v>
      </c>
      <c r="F465" s="117">
        <f>IF($B465="","",TIME(HOUR(Playoff!$F53)+2,MINUTE(Playoff!$F53),0))</f>
        <v>8.3333333333333329E-2</v>
      </c>
      <c r="G465" s="48" t="str">
        <f>IF($B465="","",Playoff!$B54)</f>
        <v>DA DEFINIRE</v>
      </c>
      <c r="H465" s="48" t="str">
        <f>IF($B465="","",Campionato!$D$2&amp;" "&amp;Campionato!$D$6)</f>
        <v xml:space="preserve"> </v>
      </c>
      <c r="I465" s="48"/>
    </row>
    <row r="466" spans="1:9" x14ac:dyDescent="0.25">
      <c r="A466" s="48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DTSTART;TZID=Europe/Rome:yyyy01ddT000000
DTEND;TZID=Europe/Rome:yyyy01ddT020000
SUMMARY:(Perdente) vs (Perdente) [Finale 3-4]
LOCATION:DA DEFINIRE
DESCRIPTION: 
END:VEVENT</v>
      </c>
      <c r="B466" s="48" t="str">
        <f>IF(Playoff!$B58="","",Playoff!$B58&amp;" vs "&amp;Playoff!$D58&amp;" "&amp;Playoff!$AC58)</f>
        <v>(Perdente) vs (Perdente) [Finale 3-4]</v>
      </c>
      <c r="C466" s="116">
        <f>IF($B466="","",DATE(YEAR(Playoff!$F58),MONTH(Playoff!$F58),DAY(Playoff!$F58)))</f>
        <v>0</v>
      </c>
      <c r="D466" s="117">
        <f>IF($B466="","",TIME(HOUR(Playoff!$F58),MINUTE(Playoff!$F58),0))</f>
        <v>0</v>
      </c>
      <c r="E466" s="116">
        <f>IF($B466="","",DATE(YEAR(Playoff!$F58),MONTH(Playoff!$F58),DAY(Playoff!$F58)))</f>
        <v>0</v>
      </c>
      <c r="F466" s="117">
        <f>IF($B466="","",TIME(HOUR(Playoff!$F58)+2,MINUTE(Playoff!$F58),0))</f>
        <v>8.3333333333333329E-2</v>
      </c>
      <c r="G466" s="48" t="str">
        <f>IF($B466="","",Playoff!$B59)</f>
        <v>DA DEFINIRE</v>
      </c>
      <c r="H466" s="48" t="str">
        <f>IF($B466="","",Campionato!$D$2&amp;" "&amp;Campionato!$D$6)</f>
        <v xml:space="preserve"> </v>
      </c>
      <c r="I466" s="48"/>
    </row>
    <row r="467" spans="1:9" x14ac:dyDescent="0.25">
      <c r="A467" s="48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DTSTART;TZID=Europe/Rome:yyyy01ddT000000
DTEND;TZID=Europe/Rome:yyyy01ddT020000
SUMMARY:(Vincente) vs (Vincente) [Finale 1-2]
LOCATION:DA DEFINIRE
DESCRIPTION: 
END:VEVENT</v>
      </c>
      <c r="B467" s="48" t="str">
        <f>IF(Playoff!$B61="","",Playoff!$B61&amp;" vs "&amp;Playoff!$D61&amp;" "&amp;Playoff!$AC61)</f>
        <v>(Vincente) vs (Vincente) [Finale 1-2]</v>
      </c>
      <c r="C467" s="116">
        <f>IF($B467="","",DATE(YEAR(Playoff!$F61),MONTH(Playoff!$F61),DAY(Playoff!$F61)))</f>
        <v>0</v>
      </c>
      <c r="D467" s="117">
        <f>IF($B467="","",TIME(HOUR(Playoff!$F61),MINUTE(Playoff!$F61),0))</f>
        <v>0</v>
      </c>
      <c r="E467" s="116">
        <f>IF($B467="","",DATE(YEAR(Playoff!$F61),MONTH(Playoff!$F61),DAY(Playoff!$F61)))</f>
        <v>0</v>
      </c>
      <c r="F467" s="117">
        <f>IF($B467="","",TIME(HOUR(Playoff!$F61)+2,MINUTE(Playoff!$F61),0))</f>
        <v>8.3333333333333329E-2</v>
      </c>
      <c r="G467" s="48" t="str">
        <f>IF($B467="","",Playoff!$B62)</f>
        <v>DA DEFINIRE</v>
      </c>
      <c r="H467" s="48" t="str">
        <f>IF($B467="","",Campionato!$D$2&amp;" "&amp;Campionato!$D$6)</f>
        <v xml:space="preserve"> </v>
      </c>
      <c r="I467" s="48"/>
    </row>
    <row r="469" spans="1:9" x14ac:dyDescent="0.25">
      <c r="A469" s="48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1" t="s">
        <v>175</v>
      </c>
      <c r="B1" s="41" t="s">
        <v>176</v>
      </c>
      <c r="C1" s="41" t="s">
        <v>177</v>
      </c>
      <c r="D1" s="41" t="s">
        <v>178</v>
      </c>
      <c r="E1" s="41" t="s">
        <v>179</v>
      </c>
      <c r="F1" s="41" t="s">
        <v>180</v>
      </c>
      <c r="G1" s="41" t="s">
        <v>543</v>
      </c>
      <c r="H1" s="41" t="s">
        <v>182</v>
      </c>
      <c r="I1" s="41" t="s">
        <v>183</v>
      </c>
      <c r="J1" s="41" t="s">
        <v>184</v>
      </c>
      <c r="K1" s="41" t="s">
        <v>185</v>
      </c>
      <c r="L1" s="41" t="s">
        <v>186</v>
      </c>
      <c r="M1" s="41" t="s">
        <v>187</v>
      </c>
      <c r="N1" s="41" t="s">
        <v>544</v>
      </c>
      <c r="P1" s="39" t="s">
        <v>545</v>
      </c>
    </row>
    <row r="2" spans="1:16" x14ac:dyDescent="0.25">
      <c r="A2" s="48" t="str">
        <f>'Calendario A'!M10</f>
        <v>(Squadra A)</v>
      </c>
      <c r="B2" s="48">
        <f>'Calendario A'!N10</f>
        <v>0</v>
      </c>
      <c r="C2" s="48">
        <f>'Calendario A'!O10</f>
        <v>0</v>
      </c>
      <c r="D2" s="48">
        <f>'Calendario A'!P10</f>
        <v>0</v>
      </c>
      <c r="E2" s="48">
        <f>'Calendario A'!Q10</f>
        <v>0</v>
      </c>
      <c r="F2" s="48">
        <f>'Calendario A'!R10</f>
        <v>0</v>
      </c>
      <c r="G2" s="48">
        <f>'Calendario A'!S10</f>
        <v>0</v>
      </c>
      <c r="H2" s="48" t="str">
        <f>'Calendario A'!T10</f>
        <v>(Squadra B)</v>
      </c>
      <c r="I2" s="48">
        <f>'Calendario A'!U10</f>
        <v>0</v>
      </c>
      <c r="J2" s="48">
        <f>'Calendario A'!V10</f>
        <v>0</v>
      </c>
      <c r="K2" s="48">
        <f>'Calendario A'!W10</f>
        <v>0</v>
      </c>
      <c r="L2" s="48">
        <f>'Calendario A'!X10</f>
        <v>0</v>
      </c>
      <c r="M2" s="48">
        <f>'Calendario A'!Y10</f>
        <v>0</v>
      </c>
      <c r="N2" s="48">
        <f>'Calendario A'!Z10</f>
        <v>0</v>
      </c>
    </row>
    <row r="3" spans="1:16" x14ac:dyDescent="0.25">
      <c r="A3" s="48" t="str">
        <f>'Calendario A'!M13</f>
        <v>(Squadra A)</v>
      </c>
      <c r="B3" s="48">
        <f>'Calendario A'!N13</f>
        <v>0</v>
      </c>
      <c r="C3" s="48">
        <f>'Calendario A'!O13</f>
        <v>0</v>
      </c>
      <c r="D3" s="48">
        <f>'Calendario A'!P13</f>
        <v>0</v>
      </c>
      <c r="E3" s="48">
        <f>'Calendario A'!Q13</f>
        <v>0</v>
      </c>
      <c r="F3" s="48">
        <f>'Calendario A'!R13</f>
        <v>0</v>
      </c>
      <c r="G3" s="48">
        <f>'Calendario A'!S13</f>
        <v>0</v>
      </c>
      <c r="H3" s="48" t="str">
        <f>'Calendario A'!T13</f>
        <v>(Squadra B)</v>
      </c>
      <c r="I3" s="48">
        <f>'Calendario A'!U13</f>
        <v>0</v>
      </c>
      <c r="J3" s="48">
        <f>'Calendario A'!V13</f>
        <v>0</v>
      </c>
      <c r="K3" s="48">
        <f>'Calendario A'!W13</f>
        <v>0</v>
      </c>
      <c r="L3" s="48">
        <f>'Calendario A'!X13</f>
        <v>0</v>
      </c>
      <c r="M3" s="48">
        <f>'Calendario A'!Y13</f>
        <v>0</v>
      </c>
      <c r="N3" s="48">
        <f>'Calendario A'!Z13</f>
        <v>0</v>
      </c>
    </row>
    <row r="4" spans="1:16" x14ac:dyDescent="0.25">
      <c r="A4" s="48" t="str">
        <f>'Calendario A'!M16</f>
        <v>(Squadra A)</v>
      </c>
      <c r="B4" s="48">
        <f>'Calendario A'!N16</f>
        <v>0</v>
      </c>
      <c r="C4" s="48">
        <f>'Calendario A'!O16</f>
        <v>0</v>
      </c>
      <c r="D4" s="48">
        <f>'Calendario A'!P16</f>
        <v>0</v>
      </c>
      <c r="E4" s="48">
        <f>'Calendario A'!Q16</f>
        <v>0</v>
      </c>
      <c r="F4" s="48">
        <f>'Calendario A'!R16</f>
        <v>0</v>
      </c>
      <c r="G4" s="48">
        <f>'Calendario A'!S16</f>
        <v>0</v>
      </c>
      <c r="H4" s="48" t="str">
        <f>'Calendario A'!T16</f>
        <v>(Squadra B)</v>
      </c>
      <c r="I4" s="48">
        <f>'Calendario A'!U16</f>
        <v>0</v>
      </c>
      <c r="J4" s="48">
        <f>'Calendario A'!V16</f>
        <v>0</v>
      </c>
      <c r="K4" s="48">
        <f>'Calendario A'!W16</f>
        <v>0</v>
      </c>
      <c r="L4" s="48">
        <f>'Calendario A'!X16</f>
        <v>0</v>
      </c>
      <c r="M4" s="48">
        <f>'Calendario A'!Y16</f>
        <v>0</v>
      </c>
      <c r="N4" s="48">
        <f>'Calendario A'!Z16</f>
        <v>0</v>
      </c>
    </row>
    <row r="5" spans="1:16" x14ac:dyDescent="0.25">
      <c r="A5" s="48" t="str">
        <f>'Calendario A'!M19</f>
        <v>(Squadra A)</v>
      </c>
      <c r="B5" s="48">
        <f>'Calendario A'!N19</f>
        <v>0</v>
      </c>
      <c r="C5" s="48">
        <f>'Calendario A'!O19</f>
        <v>0</v>
      </c>
      <c r="D5" s="48">
        <f>'Calendario A'!P19</f>
        <v>0</v>
      </c>
      <c r="E5" s="48">
        <f>'Calendario A'!Q19</f>
        <v>0</v>
      </c>
      <c r="F5" s="48">
        <f>'Calendario A'!R19</f>
        <v>0</v>
      </c>
      <c r="G5" s="48">
        <f>'Calendario A'!S19</f>
        <v>0</v>
      </c>
      <c r="H5" s="48" t="str">
        <f>'Calendario A'!T19</f>
        <v>(Squadra B)</v>
      </c>
      <c r="I5" s="48">
        <f>'Calendario A'!U19</f>
        <v>0</v>
      </c>
      <c r="J5" s="48">
        <f>'Calendario A'!V19</f>
        <v>0</v>
      </c>
      <c r="K5" s="48">
        <f>'Calendario A'!W19</f>
        <v>0</v>
      </c>
      <c r="L5" s="48">
        <f>'Calendario A'!X19</f>
        <v>0</v>
      </c>
      <c r="M5" s="48">
        <f>'Calendario A'!Y19</f>
        <v>0</v>
      </c>
      <c r="N5" s="48">
        <f>'Calendario A'!Z19</f>
        <v>0</v>
      </c>
    </row>
    <row r="6" spans="1:16" x14ac:dyDescent="0.25">
      <c r="A6" s="48" t="str">
        <f>'Calendario A'!M22</f>
        <v>(Squadra A)</v>
      </c>
      <c r="B6" s="48">
        <f>'Calendario A'!N22</f>
        <v>0</v>
      </c>
      <c r="C6" s="48">
        <f>'Calendario A'!O22</f>
        <v>0</v>
      </c>
      <c r="D6" s="48">
        <f>'Calendario A'!P22</f>
        <v>0</v>
      </c>
      <c r="E6" s="48">
        <f>'Calendario A'!Q22</f>
        <v>0</v>
      </c>
      <c r="F6" s="48">
        <f>'Calendario A'!R22</f>
        <v>0</v>
      </c>
      <c r="G6" s="48">
        <f>'Calendario A'!S22</f>
        <v>0</v>
      </c>
      <c r="H6" s="48" t="str">
        <f>'Calendario A'!T22</f>
        <v>(Squadra B)</v>
      </c>
      <c r="I6" s="48">
        <f>'Calendario A'!U22</f>
        <v>0</v>
      </c>
      <c r="J6" s="48">
        <f>'Calendario A'!V22</f>
        <v>0</v>
      </c>
      <c r="K6" s="48">
        <f>'Calendario A'!W22</f>
        <v>0</v>
      </c>
      <c r="L6" s="48">
        <f>'Calendario A'!X22</f>
        <v>0</v>
      </c>
      <c r="M6" s="48">
        <f>'Calendario A'!Y22</f>
        <v>0</v>
      </c>
      <c r="N6" s="48">
        <f>'Calendario A'!Z22</f>
        <v>0</v>
      </c>
    </row>
    <row r="7" spans="1:16" x14ac:dyDescent="0.25">
      <c r="A7" s="48" t="str">
        <f>'Calendario A'!M27</f>
        <v>(Squadra A)</v>
      </c>
      <c r="B7" s="48">
        <f>'Calendario A'!N27</f>
        <v>0</v>
      </c>
      <c r="C7" s="48">
        <f>'Calendario A'!O27</f>
        <v>0</v>
      </c>
      <c r="D7" s="48">
        <f>'Calendario A'!P27</f>
        <v>0</v>
      </c>
      <c r="E7" s="48">
        <f>'Calendario A'!Q27</f>
        <v>0</v>
      </c>
      <c r="F7" s="48">
        <f>'Calendario A'!R27</f>
        <v>0</v>
      </c>
      <c r="G7" s="48">
        <f>'Calendario A'!S27</f>
        <v>0</v>
      </c>
      <c r="H7" s="48" t="str">
        <f>'Calendario A'!T27</f>
        <v>(Squadra B)</v>
      </c>
      <c r="I7" s="48">
        <f>'Calendario A'!U27</f>
        <v>0</v>
      </c>
      <c r="J7" s="48">
        <f>'Calendario A'!V27</f>
        <v>0</v>
      </c>
      <c r="K7" s="48">
        <f>'Calendario A'!W27</f>
        <v>0</v>
      </c>
      <c r="L7" s="48">
        <f>'Calendario A'!X27</f>
        <v>0</v>
      </c>
      <c r="M7" s="48">
        <f>'Calendario A'!Y27</f>
        <v>0</v>
      </c>
      <c r="N7" s="48">
        <f>'Calendario A'!Z27</f>
        <v>0</v>
      </c>
    </row>
    <row r="8" spans="1:16" x14ac:dyDescent="0.25">
      <c r="A8" s="48" t="str">
        <f>'Calendario A'!M30</f>
        <v>(Squadra A)</v>
      </c>
      <c r="B8" s="48">
        <f>'Calendario A'!N30</f>
        <v>0</v>
      </c>
      <c r="C8" s="48">
        <f>'Calendario A'!O30</f>
        <v>0</v>
      </c>
      <c r="D8" s="48">
        <f>'Calendario A'!P30</f>
        <v>0</v>
      </c>
      <c r="E8" s="48">
        <f>'Calendario A'!Q30</f>
        <v>0</v>
      </c>
      <c r="F8" s="48">
        <f>'Calendario A'!R30</f>
        <v>0</v>
      </c>
      <c r="G8" s="48">
        <f>'Calendario A'!S30</f>
        <v>0</v>
      </c>
      <c r="H8" s="48" t="str">
        <f>'Calendario A'!T30</f>
        <v>(Squadra B)</v>
      </c>
      <c r="I8" s="48">
        <f>'Calendario A'!U30</f>
        <v>0</v>
      </c>
      <c r="J8" s="48">
        <f>'Calendario A'!V30</f>
        <v>0</v>
      </c>
      <c r="K8" s="48">
        <f>'Calendario A'!W30</f>
        <v>0</v>
      </c>
      <c r="L8" s="48">
        <f>'Calendario A'!X30</f>
        <v>0</v>
      </c>
      <c r="M8" s="48">
        <f>'Calendario A'!Y30</f>
        <v>0</v>
      </c>
      <c r="N8" s="48">
        <f>'Calendario A'!Z30</f>
        <v>0</v>
      </c>
    </row>
    <row r="9" spans="1:16" x14ac:dyDescent="0.25">
      <c r="A9" s="48" t="str">
        <f>'Calendario A'!M33</f>
        <v>(Squadra A)</v>
      </c>
      <c r="B9" s="48">
        <f>'Calendario A'!N33</f>
        <v>0</v>
      </c>
      <c r="C9" s="48">
        <f>'Calendario A'!O33</f>
        <v>0</v>
      </c>
      <c r="D9" s="48">
        <f>'Calendario A'!P33</f>
        <v>0</v>
      </c>
      <c r="E9" s="48">
        <f>'Calendario A'!Q33</f>
        <v>0</v>
      </c>
      <c r="F9" s="48">
        <f>'Calendario A'!R33</f>
        <v>0</v>
      </c>
      <c r="G9" s="48">
        <f>'Calendario A'!S33</f>
        <v>0</v>
      </c>
      <c r="H9" s="48" t="str">
        <f>'Calendario A'!T33</f>
        <v>(Squadra B)</v>
      </c>
      <c r="I9" s="48">
        <f>'Calendario A'!U33</f>
        <v>0</v>
      </c>
      <c r="J9" s="48">
        <f>'Calendario A'!V33</f>
        <v>0</v>
      </c>
      <c r="K9" s="48">
        <f>'Calendario A'!W33</f>
        <v>0</v>
      </c>
      <c r="L9" s="48">
        <f>'Calendario A'!X33</f>
        <v>0</v>
      </c>
      <c r="M9" s="48">
        <f>'Calendario A'!Y33</f>
        <v>0</v>
      </c>
      <c r="N9" s="48">
        <f>'Calendario A'!Z33</f>
        <v>0</v>
      </c>
    </row>
    <row r="10" spans="1:16" x14ac:dyDescent="0.25">
      <c r="A10" s="48" t="str">
        <f>'Calendario A'!M36</f>
        <v>(Squadra A)</v>
      </c>
      <c r="B10" s="48">
        <f>'Calendario A'!N36</f>
        <v>0</v>
      </c>
      <c r="C10" s="48">
        <f>'Calendario A'!O36</f>
        <v>0</v>
      </c>
      <c r="D10" s="48">
        <f>'Calendario A'!P36</f>
        <v>0</v>
      </c>
      <c r="E10" s="48">
        <f>'Calendario A'!Q36</f>
        <v>0</v>
      </c>
      <c r="F10" s="48">
        <f>'Calendario A'!R36</f>
        <v>0</v>
      </c>
      <c r="G10" s="48">
        <f>'Calendario A'!S36</f>
        <v>0</v>
      </c>
      <c r="H10" s="48" t="str">
        <f>'Calendario A'!T36</f>
        <v>(Squadra B)</v>
      </c>
      <c r="I10" s="48">
        <f>'Calendario A'!U36</f>
        <v>0</v>
      </c>
      <c r="J10" s="48">
        <f>'Calendario A'!V36</f>
        <v>0</v>
      </c>
      <c r="K10" s="48">
        <f>'Calendario A'!W36</f>
        <v>0</v>
      </c>
      <c r="L10" s="48">
        <f>'Calendario A'!X36</f>
        <v>0</v>
      </c>
      <c r="M10" s="48">
        <f>'Calendario A'!Y36</f>
        <v>0</v>
      </c>
      <c r="N10" s="48">
        <f>'Calendario A'!Z36</f>
        <v>0</v>
      </c>
    </row>
    <row r="11" spans="1:16" x14ac:dyDescent="0.25">
      <c r="A11" s="48" t="str">
        <f>'Calendario A'!M39</f>
        <v>(Squadra A)</v>
      </c>
      <c r="B11" s="48">
        <f>'Calendario A'!N39</f>
        <v>0</v>
      </c>
      <c r="C11" s="48">
        <f>'Calendario A'!O39</f>
        <v>0</v>
      </c>
      <c r="D11" s="48">
        <f>'Calendario A'!P39</f>
        <v>0</v>
      </c>
      <c r="E11" s="48">
        <f>'Calendario A'!Q39</f>
        <v>0</v>
      </c>
      <c r="F11" s="48">
        <f>'Calendario A'!R39</f>
        <v>0</v>
      </c>
      <c r="G11" s="48">
        <f>'Calendario A'!S39</f>
        <v>0</v>
      </c>
      <c r="H11" s="48" t="str">
        <f>'Calendario A'!T39</f>
        <v>(Squadra B)</v>
      </c>
      <c r="I11" s="48">
        <f>'Calendario A'!U39</f>
        <v>0</v>
      </c>
      <c r="J11" s="48">
        <f>'Calendario A'!V39</f>
        <v>0</v>
      </c>
      <c r="K11" s="48">
        <f>'Calendario A'!W39</f>
        <v>0</v>
      </c>
      <c r="L11" s="48">
        <f>'Calendario A'!X39</f>
        <v>0</v>
      </c>
      <c r="M11" s="48">
        <f>'Calendario A'!Y39</f>
        <v>0</v>
      </c>
      <c r="N11" s="48">
        <f>'Calendario A'!Z39</f>
        <v>0</v>
      </c>
    </row>
    <row r="12" spans="1:16" x14ac:dyDescent="0.25">
      <c r="A12" s="48" t="str">
        <f>'Calendario A'!M44</f>
        <v>(Squadra A)</v>
      </c>
      <c r="B12" s="48">
        <f>'Calendario A'!N44</f>
        <v>0</v>
      </c>
      <c r="C12" s="48">
        <f>'Calendario A'!O44</f>
        <v>0</v>
      </c>
      <c r="D12" s="48">
        <f>'Calendario A'!P44</f>
        <v>0</v>
      </c>
      <c r="E12" s="48">
        <f>'Calendario A'!Q44</f>
        <v>0</v>
      </c>
      <c r="F12" s="48">
        <f>'Calendario A'!R44</f>
        <v>0</v>
      </c>
      <c r="G12" s="48">
        <f>'Calendario A'!S44</f>
        <v>0</v>
      </c>
      <c r="H12" s="48" t="str">
        <f>'Calendario A'!T44</f>
        <v>(Squadra B)</v>
      </c>
      <c r="I12" s="48">
        <f>'Calendario A'!U44</f>
        <v>0</v>
      </c>
      <c r="J12" s="48">
        <f>'Calendario A'!V44</f>
        <v>0</v>
      </c>
      <c r="K12" s="48">
        <f>'Calendario A'!W44</f>
        <v>0</v>
      </c>
      <c r="L12" s="48">
        <f>'Calendario A'!X44</f>
        <v>0</v>
      </c>
      <c r="M12" s="48">
        <f>'Calendario A'!Y44</f>
        <v>0</v>
      </c>
      <c r="N12" s="48">
        <f>'Calendario A'!Z44</f>
        <v>0</v>
      </c>
    </row>
    <row r="13" spans="1:16" x14ac:dyDescent="0.25">
      <c r="A13" s="48" t="str">
        <f>'Calendario A'!M47</f>
        <v>(Squadra A)</v>
      </c>
      <c r="B13" s="48">
        <f>'Calendario A'!N47</f>
        <v>0</v>
      </c>
      <c r="C13" s="48">
        <f>'Calendario A'!O47</f>
        <v>0</v>
      </c>
      <c r="D13" s="48">
        <f>'Calendario A'!P47</f>
        <v>0</v>
      </c>
      <c r="E13" s="48">
        <f>'Calendario A'!Q47</f>
        <v>0</v>
      </c>
      <c r="F13" s="48">
        <f>'Calendario A'!R47</f>
        <v>0</v>
      </c>
      <c r="G13" s="48">
        <f>'Calendario A'!S47</f>
        <v>0</v>
      </c>
      <c r="H13" s="48" t="str">
        <f>'Calendario A'!T47</f>
        <v>(Squadra B)</v>
      </c>
      <c r="I13" s="48">
        <f>'Calendario A'!U47</f>
        <v>0</v>
      </c>
      <c r="J13" s="48">
        <f>'Calendario A'!V47</f>
        <v>0</v>
      </c>
      <c r="K13" s="48">
        <f>'Calendario A'!W47</f>
        <v>0</v>
      </c>
      <c r="L13" s="48">
        <f>'Calendario A'!X47</f>
        <v>0</v>
      </c>
      <c r="M13" s="48">
        <f>'Calendario A'!Y47</f>
        <v>0</v>
      </c>
      <c r="N13" s="48">
        <f>'Calendario A'!Z47</f>
        <v>0</v>
      </c>
    </row>
    <row r="14" spans="1:16" x14ac:dyDescent="0.25">
      <c r="A14" s="48" t="str">
        <f>'Calendario A'!M50</f>
        <v>(Squadra A)</v>
      </c>
      <c r="B14" s="48">
        <f>'Calendario A'!N50</f>
        <v>0</v>
      </c>
      <c r="C14" s="48">
        <f>'Calendario A'!O50</f>
        <v>0</v>
      </c>
      <c r="D14" s="48">
        <f>'Calendario A'!P50</f>
        <v>0</v>
      </c>
      <c r="E14" s="48">
        <f>'Calendario A'!Q50</f>
        <v>0</v>
      </c>
      <c r="F14" s="48">
        <f>'Calendario A'!R50</f>
        <v>0</v>
      </c>
      <c r="G14" s="48">
        <f>'Calendario A'!S50</f>
        <v>0</v>
      </c>
      <c r="H14" s="48" t="str">
        <f>'Calendario A'!T50</f>
        <v>(Squadra B)</v>
      </c>
      <c r="I14" s="48">
        <f>'Calendario A'!U50</f>
        <v>0</v>
      </c>
      <c r="J14" s="48">
        <f>'Calendario A'!V50</f>
        <v>0</v>
      </c>
      <c r="K14" s="48">
        <f>'Calendario A'!W50</f>
        <v>0</v>
      </c>
      <c r="L14" s="48">
        <f>'Calendario A'!X50</f>
        <v>0</v>
      </c>
      <c r="M14" s="48">
        <f>'Calendario A'!Y50</f>
        <v>0</v>
      </c>
      <c r="N14" s="48">
        <f>'Calendario A'!Z50</f>
        <v>0</v>
      </c>
    </row>
    <row r="15" spans="1:16" x14ac:dyDescent="0.25">
      <c r="A15" s="48" t="str">
        <f>'Calendario A'!M53</f>
        <v>(Squadra A)</v>
      </c>
      <c r="B15" s="48">
        <f>'Calendario A'!N53</f>
        <v>0</v>
      </c>
      <c r="C15" s="48">
        <f>'Calendario A'!O53</f>
        <v>0</v>
      </c>
      <c r="D15" s="48">
        <f>'Calendario A'!P53</f>
        <v>0</v>
      </c>
      <c r="E15" s="48">
        <f>'Calendario A'!Q53</f>
        <v>0</v>
      </c>
      <c r="F15" s="48">
        <f>'Calendario A'!R53</f>
        <v>0</v>
      </c>
      <c r="G15" s="48">
        <f>'Calendario A'!S53</f>
        <v>0</v>
      </c>
      <c r="H15" s="48" t="str">
        <f>'Calendario A'!T53</f>
        <v>(Squadra B)</v>
      </c>
      <c r="I15" s="48">
        <f>'Calendario A'!U53</f>
        <v>0</v>
      </c>
      <c r="J15" s="48">
        <f>'Calendario A'!V53</f>
        <v>0</v>
      </c>
      <c r="K15" s="48">
        <f>'Calendario A'!W53</f>
        <v>0</v>
      </c>
      <c r="L15" s="48">
        <f>'Calendario A'!X53</f>
        <v>0</v>
      </c>
      <c r="M15" s="48">
        <f>'Calendario A'!Y53</f>
        <v>0</v>
      </c>
      <c r="N15" s="48">
        <f>'Calendario A'!Z53</f>
        <v>0</v>
      </c>
    </row>
    <row r="16" spans="1:16" x14ac:dyDescent="0.25">
      <c r="A16" s="48" t="str">
        <f>'Calendario A'!M56</f>
        <v>(Squadra A)</v>
      </c>
      <c r="B16" s="48">
        <f>'Calendario A'!N56</f>
        <v>0</v>
      </c>
      <c r="C16" s="48">
        <f>'Calendario A'!O56</f>
        <v>0</v>
      </c>
      <c r="D16" s="48">
        <f>'Calendario A'!P56</f>
        <v>0</v>
      </c>
      <c r="E16" s="48">
        <f>'Calendario A'!Q56</f>
        <v>0</v>
      </c>
      <c r="F16" s="48">
        <f>'Calendario A'!R56</f>
        <v>0</v>
      </c>
      <c r="G16" s="48">
        <f>'Calendario A'!S56</f>
        <v>0</v>
      </c>
      <c r="H16" s="48" t="str">
        <f>'Calendario A'!T56</f>
        <v>(Squadra B)</v>
      </c>
      <c r="I16" s="48">
        <f>'Calendario A'!U56</f>
        <v>0</v>
      </c>
      <c r="J16" s="48">
        <f>'Calendario A'!V56</f>
        <v>0</v>
      </c>
      <c r="K16" s="48">
        <f>'Calendario A'!W56</f>
        <v>0</v>
      </c>
      <c r="L16" s="48">
        <f>'Calendario A'!X56</f>
        <v>0</v>
      </c>
      <c r="M16" s="48">
        <f>'Calendario A'!Y56</f>
        <v>0</v>
      </c>
      <c r="N16" s="48">
        <f>'Calendario A'!Z56</f>
        <v>0</v>
      </c>
    </row>
    <row r="17" spans="1:14" x14ac:dyDescent="0.25">
      <c r="A17" s="48" t="str">
        <f>'Calendario A'!M61</f>
        <v>(Squadra A)</v>
      </c>
      <c r="B17" s="48">
        <f>'Calendario A'!N61</f>
        <v>0</v>
      </c>
      <c r="C17" s="48">
        <f>'Calendario A'!O61</f>
        <v>0</v>
      </c>
      <c r="D17" s="48">
        <f>'Calendario A'!P61</f>
        <v>0</v>
      </c>
      <c r="E17" s="48">
        <f>'Calendario A'!Q61</f>
        <v>0</v>
      </c>
      <c r="F17" s="48">
        <f>'Calendario A'!R61</f>
        <v>0</v>
      </c>
      <c r="G17" s="48">
        <f>'Calendario A'!S61</f>
        <v>0</v>
      </c>
      <c r="H17" s="48" t="str">
        <f>'Calendario A'!T61</f>
        <v>(Squadra B)</v>
      </c>
      <c r="I17" s="48">
        <f>'Calendario A'!U61</f>
        <v>0</v>
      </c>
      <c r="J17" s="48">
        <f>'Calendario A'!V61</f>
        <v>0</v>
      </c>
      <c r="K17" s="48">
        <f>'Calendario A'!W61</f>
        <v>0</v>
      </c>
      <c r="L17" s="48">
        <f>'Calendario A'!X61</f>
        <v>0</v>
      </c>
      <c r="M17" s="48">
        <f>'Calendario A'!Y61</f>
        <v>0</v>
      </c>
      <c r="N17" s="48">
        <f>'Calendario A'!Z61</f>
        <v>0</v>
      </c>
    </row>
    <row r="18" spans="1:14" x14ac:dyDescent="0.25">
      <c r="A18" s="48" t="str">
        <f>'Calendario A'!M64</f>
        <v>(Squadra A)</v>
      </c>
      <c r="B18" s="48">
        <f>'Calendario A'!N64</f>
        <v>0</v>
      </c>
      <c r="C18" s="48">
        <f>'Calendario A'!O64</f>
        <v>0</v>
      </c>
      <c r="D18" s="48">
        <f>'Calendario A'!P64</f>
        <v>0</v>
      </c>
      <c r="E18" s="48">
        <f>'Calendario A'!Q64</f>
        <v>0</v>
      </c>
      <c r="F18" s="48">
        <f>'Calendario A'!R64</f>
        <v>0</v>
      </c>
      <c r="G18" s="48">
        <f>'Calendario A'!S64</f>
        <v>0</v>
      </c>
      <c r="H18" s="48" t="str">
        <f>'Calendario A'!T64</f>
        <v>(Squadra B)</v>
      </c>
      <c r="I18" s="48">
        <f>'Calendario A'!U64</f>
        <v>0</v>
      </c>
      <c r="J18" s="48">
        <f>'Calendario A'!V64</f>
        <v>0</v>
      </c>
      <c r="K18" s="48">
        <f>'Calendario A'!W64</f>
        <v>0</v>
      </c>
      <c r="L18" s="48">
        <f>'Calendario A'!X64</f>
        <v>0</v>
      </c>
      <c r="M18" s="48">
        <f>'Calendario A'!Y64</f>
        <v>0</v>
      </c>
      <c r="N18" s="48">
        <f>'Calendario A'!Z64</f>
        <v>0</v>
      </c>
    </row>
    <row r="19" spans="1:14" x14ac:dyDescent="0.25">
      <c r="A19" s="48" t="str">
        <f>'Calendario A'!M67</f>
        <v>(Squadra A)</v>
      </c>
      <c r="B19" s="48">
        <f>'Calendario A'!N67</f>
        <v>0</v>
      </c>
      <c r="C19" s="48">
        <f>'Calendario A'!O67</f>
        <v>0</v>
      </c>
      <c r="D19" s="48">
        <f>'Calendario A'!P67</f>
        <v>0</v>
      </c>
      <c r="E19" s="48">
        <f>'Calendario A'!Q67</f>
        <v>0</v>
      </c>
      <c r="F19" s="48">
        <f>'Calendario A'!R67</f>
        <v>0</v>
      </c>
      <c r="G19" s="48">
        <f>'Calendario A'!S67</f>
        <v>0</v>
      </c>
      <c r="H19" s="48" t="str">
        <f>'Calendario A'!T67</f>
        <v>(Squadra B)</v>
      </c>
      <c r="I19" s="48">
        <f>'Calendario A'!U67</f>
        <v>0</v>
      </c>
      <c r="J19" s="48">
        <f>'Calendario A'!V67</f>
        <v>0</v>
      </c>
      <c r="K19" s="48">
        <f>'Calendario A'!W67</f>
        <v>0</v>
      </c>
      <c r="L19" s="48">
        <f>'Calendario A'!X67</f>
        <v>0</v>
      </c>
      <c r="M19" s="48">
        <f>'Calendario A'!Y67</f>
        <v>0</v>
      </c>
      <c r="N19" s="48">
        <f>'Calendario A'!Z67</f>
        <v>0</v>
      </c>
    </row>
    <row r="20" spans="1:14" x14ac:dyDescent="0.25">
      <c r="A20" s="48" t="str">
        <f>'Calendario A'!M70</f>
        <v>(Squadra A)</v>
      </c>
      <c r="B20" s="48">
        <f>'Calendario A'!N70</f>
        <v>0</v>
      </c>
      <c r="C20" s="48">
        <f>'Calendario A'!O70</f>
        <v>0</v>
      </c>
      <c r="D20" s="48">
        <f>'Calendario A'!P70</f>
        <v>0</v>
      </c>
      <c r="E20" s="48">
        <f>'Calendario A'!Q70</f>
        <v>0</v>
      </c>
      <c r="F20" s="48">
        <f>'Calendario A'!R70</f>
        <v>0</v>
      </c>
      <c r="G20" s="48">
        <f>'Calendario A'!S70</f>
        <v>0</v>
      </c>
      <c r="H20" s="48" t="str">
        <f>'Calendario A'!T70</f>
        <v>(Squadra B)</v>
      </c>
      <c r="I20" s="48">
        <f>'Calendario A'!U70</f>
        <v>0</v>
      </c>
      <c r="J20" s="48">
        <f>'Calendario A'!V70</f>
        <v>0</v>
      </c>
      <c r="K20" s="48">
        <f>'Calendario A'!W70</f>
        <v>0</v>
      </c>
      <c r="L20" s="48">
        <f>'Calendario A'!X70</f>
        <v>0</v>
      </c>
      <c r="M20" s="48">
        <f>'Calendario A'!Y70</f>
        <v>0</v>
      </c>
      <c r="N20" s="48">
        <f>'Calendario A'!Z70</f>
        <v>0</v>
      </c>
    </row>
    <row r="21" spans="1:14" x14ac:dyDescent="0.25">
      <c r="A21" s="48" t="str">
        <f>'Calendario A'!M73</f>
        <v>(Squadra A)</v>
      </c>
      <c r="B21" s="48">
        <f>'Calendario A'!N73</f>
        <v>0</v>
      </c>
      <c r="C21" s="48">
        <f>'Calendario A'!O73</f>
        <v>0</v>
      </c>
      <c r="D21" s="48">
        <f>'Calendario A'!P73</f>
        <v>0</v>
      </c>
      <c r="E21" s="48">
        <f>'Calendario A'!Q73</f>
        <v>0</v>
      </c>
      <c r="F21" s="48">
        <f>'Calendario A'!R73</f>
        <v>0</v>
      </c>
      <c r="G21" s="48">
        <f>'Calendario A'!S73</f>
        <v>0</v>
      </c>
      <c r="H21" s="48" t="str">
        <f>'Calendario A'!T73</f>
        <v>(Squadra B)</v>
      </c>
      <c r="I21" s="48">
        <f>'Calendario A'!U73</f>
        <v>0</v>
      </c>
      <c r="J21" s="48">
        <f>'Calendario A'!V73</f>
        <v>0</v>
      </c>
      <c r="K21" s="48">
        <f>'Calendario A'!W73</f>
        <v>0</v>
      </c>
      <c r="L21" s="48">
        <f>'Calendario A'!X73</f>
        <v>0</v>
      </c>
      <c r="M21" s="48">
        <f>'Calendario A'!Y73</f>
        <v>0</v>
      </c>
      <c r="N21" s="48">
        <f>'Calendario A'!Z73</f>
        <v>0</v>
      </c>
    </row>
    <row r="22" spans="1:14" x14ac:dyDescent="0.25">
      <c r="A22" s="48" t="str">
        <f>'Calendario A'!M78</f>
        <v>(Squadra A)</v>
      </c>
      <c r="B22" s="48">
        <f>'Calendario A'!N78</f>
        <v>0</v>
      </c>
      <c r="C22" s="48">
        <f>'Calendario A'!O78</f>
        <v>0</v>
      </c>
      <c r="D22" s="48">
        <f>'Calendario A'!P78</f>
        <v>0</v>
      </c>
      <c r="E22" s="48">
        <f>'Calendario A'!Q78</f>
        <v>0</v>
      </c>
      <c r="F22" s="48">
        <f>'Calendario A'!R78</f>
        <v>0</v>
      </c>
      <c r="G22" s="48">
        <f>'Calendario A'!S78</f>
        <v>0</v>
      </c>
      <c r="H22" s="48" t="str">
        <f>'Calendario A'!T78</f>
        <v>(Squadra B)</v>
      </c>
      <c r="I22" s="48">
        <f>'Calendario A'!U78</f>
        <v>0</v>
      </c>
      <c r="J22" s="48">
        <f>'Calendario A'!V78</f>
        <v>0</v>
      </c>
      <c r="K22" s="48">
        <f>'Calendario A'!W78</f>
        <v>0</v>
      </c>
      <c r="L22" s="48">
        <f>'Calendario A'!X78</f>
        <v>0</v>
      </c>
      <c r="M22" s="48">
        <f>'Calendario A'!Y78</f>
        <v>0</v>
      </c>
      <c r="N22" s="48">
        <f>'Calendario A'!Z78</f>
        <v>0</v>
      </c>
    </row>
    <row r="23" spans="1:14" x14ac:dyDescent="0.25">
      <c r="A23" s="48" t="str">
        <f>'Calendario A'!M81</f>
        <v>(Squadra A)</v>
      </c>
      <c r="B23" s="48">
        <f>'Calendario A'!N81</f>
        <v>0</v>
      </c>
      <c r="C23" s="48">
        <f>'Calendario A'!O81</f>
        <v>0</v>
      </c>
      <c r="D23" s="48">
        <f>'Calendario A'!P81</f>
        <v>0</v>
      </c>
      <c r="E23" s="48">
        <f>'Calendario A'!Q81</f>
        <v>0</v>
      </c>
      <c r="F23" s="48">
        <f>'Calendario A'!R81</f>
        <v>0</v>
      </c>
      <c r="G23" s="48">
        <f>'Calendario A'!S81</f>
        <v>0</v>
      </c>
      <c r="H23" s="48" t="str">
        <f>'Calendario A'!T81</f>
        <v>(Squadra B)</v>
      </c>
      <c r="I23" s="48">
        <f>'Calendario A'!U81</f>
        <v>0</v>
      </c>
      <c r="J23" s="48">
        <f>'Calendario A'!V81</f>
        <v>0</v>
      </c>
      <c r="K23" s="48">
        <f>'Calendario A'!W81</f>
        <v>0</v>
      </c>
      <c r="L23" s="48">
        <f>'Calendario A'!X81</f>
        <v>0</v>
      </c>
      <c r="M23" s="48">
        <f>'Calendario A'!Y81</f>
        <v>0</v>
      </c>
      <c r="N23" s="48">
        <f>'Calendario A'!Z81</f>
        <v>0</v>
      </c>
    </row>
    <row r="24" spans="1:14" x14ac:dyDescent="0.25">
      <c r="A24" s="48" t="str">
        <f>'Calendario A'!M84</f>
        <v>(Squadra A)</v>
      </c>
      <c r="B24" s="48">
        <f>'Calendario A'!N84</f>
        <v>0</v>
      </c>
      <c r="C24" s="48">
        <f>'Calendario A'!O84</f>
        <v>0</v>
      </c>
      <c r="D24" s="48">
        <f>'Calendario A'!P84</f>
        <v>0</v>
      </c>
      <c r="E24" s="48">
        <f>'Calendario A'!Q84</f>
        <v>0</v>
      </c>
      <c r="F24" s="48">
        <f>'Calendario A'!R84</f>
        <v>0</v>
      </c>
      <c r="G24" s="48">
        <f>'Calendario A'!S84</f>
        <v>0</v>
      </c>
      <c r="H24" s="48" t="str">
        <f>'Calendario A'!T84</f>
        <v>(Squadra B)</v>
      </c>
      <c r="I24" s="48">
        <f>'Calendario A'!U84</f>
        <v>0</v>
      </c>
      <c r="J24" s="48">
        <f>'Calendario A'!V84</f>
        <v>0</v>
      </c>
      <c r="K24" s="48">
        <f>'Calendario A'!W84</f>
        <v>0</v>
      </c>
      <c r="L24" s="48">
        <f>'Calendario A'!X84</f>
        <v>0</v>
      </c>
      <c r="M24" s="48">
        <f>'Calendario A'!Y84</f>
        <v>0</v>
      </c>
      <c r="N24" s="48">
        <f>'Calendario A'!Z84</f>
        <v>0</v>
      </c>
    </row>
    <row r="25" spans="1:14" x14ac:dyDescent="0.25">
      <c r="A25" s="48" t="str">
        <f>'Calendario A'!M87</f>
        <v>(Squadra A)</v>
      </c>
      <c r="B25" s="48">
        <f>'Calendario A'!N87</f>
        <v>0</v>
      </c>
      <c r="C25" s="48">
        <f>'Calendario A'!O87</f>
        <v>0</v>
      </c>
      <c r="D25" s="48">
        <f>'Calendario A'!P87</f>
        <v>0</v>
      </c>
      <c r="E25" s="48">
        <f>'Calendario A'!Q87</f>
        <v>0</v>
      </c>
      <c r="F25" s="48">
        <f>'Calendario A'!R87</f>
        <v>0</v>
      </c>
      <c r="G25" s="48">
        <f>'Calendario A'!S87</f>
        <v>0</v>
      </c>
      <c r="H25" s="48" t="str">
        <f>'Calendario A'!T87</f>
        <v>(Squadra B)</v>
      </c>
      <c r="I25" s="48">
        <f>'Calendario A'!U87</f>
        <v>0</v>
      </c>
      <c r="J25" s="48">
        <f>'Calendario A'!V87</f>
        <v>0</v>
      </c>
      <c r="K25" s="48">
        <f>'Calendario A'!W87</f>
        <v>0</v>
      </c>
      <c r="L25" s="48">
        <f>'Calendario A'!X87</f>
        <v>0</v>
      </c>
      <c r="M25" s="48">
        <f>'Calendario A'!Y87</f>
        <v>0</v>
      </c>
      <c r="N25" s="48">
        <f>'Calendario A'!Z87</f>
        <v>0</v>
      </c>
    </row>
    <row r="26" spans="1:14" x14ac:dyDescent="0.25">
      <c r="A26" s="48" t="str">
        <f>'Calendario A'!M90</f>
        <v>(Squadra A)</v>
      </c>
      <c r="B26" s="48">
        <f>'Calendario A'!N90</f>
        <v>0</v>
      </c>
      <c r="C26" s="48">
        <f>'Calendario A'!O90</f>
        <v>0</v>
      </c>
      <c r="D26" s="48">
        <f>'Calendario A'!P90</f>
        <v>0</v>
      </c>
      <c r="E26" s="48">
        <f>'Calendario A'!Q90</f>
        <v>0</v>
      </c>
      <c r="F26" s="48">
        <f>'Calendario A'!R90</f>
        <v>0</v>
      </c>
      <c r="G26" s="48">
        <f>'Calendario A'!S90</f>
        <v>0</v>
      </c>
      <c r="H26" s="48" t="str">
        <f>'Calendario A'!T90</f>
        <v>(Squadra B)</v>
      </c>
      <c r="I26" s="48">
        <f>'Calendario A'!U90</f>
        <v>0</v>
      </c>
      <c r="J26" s="48">
        <f>'Calendario A'!V90</f>
        <v>0</v>
      </c>
      <c r="K26" s="48">
        <f>'Calendario A'!W90</f>
        <v>0</v>
      </c>
      <c r="L26" s="48">
        <f>'Calendario A'!X90</f>
        <v>0</v>
      </c>
      <c r="M26" s="48">
        <f>'Calendario A'!Y90</f>
        <v>0</v>
      </c>
      <c r="N26" s="48">
        <f>'Calendario A'!Z90</f>
        <v>0</v>
      </c>
    </row>
    <row r="27" spans="1:14" x14ac:dyDescent="0.25">
      <c r="A27" s="48" t="str">
        <f>'Calendario A'!M95</f>
        <v>(Squadra A)</v>
      </c>
      <c r="B27" s="48">
        <f>'Calendario A'!N95</f>
        <v>0</v>
      </c>
      <c r="C27" s="48">
        <f>'Calendario A'!O95</f>
        <v>0</v>
      </c>
      <c r="D27" s="48">
        <f>'Calendario A'!P95</f>
        <v>0</v>
      </c>
      <c r="E27" s="48">
        <f>'Calendario A'!Q95</f>
        <v>0</v>
      </c>
      <c r="F27" s="48">
        <f>'Calendario A'!R95</f>
        <v>0</v>
      </c>
      <c r="G27" s="48">
        <f>'Calendario A'!S95</f>
        <v>0</v>
      </c>
      <c r="H27" s="48" t="str">
        <f>'Calendario A'!T95</f>
        <v>(Squadra B)</v>
      </c>
      <c r="I27" s="48">
        <f>'Calendario A'!U95</f>
        <v>0</v>
      </c>
      <c r="J27" s="48">
        <f>'Calendario A'!V95</f>
        <v>0</v>
      </c>
      <c r="K27" s="48">
        <f>'Calendario A'!W95</f>
        <v>0</v>
      </c>
      <c r="L27" s="48">
        <f>'Calendario A'!X95</f>
        <v>0</v>
      </c>
      <c r="M27" s="48">
        <f>'Calendario A'!Y95</f>
        <v>0</v>
      </c>
      <c r="N27" s="48">
        <f>'Calendario A'!Z95</f>
        <v>0</v>
      </c>
    </row>
    <row r="28" spans="1:14" x14ac:dyDescent="0.25">
      <c r="A28" s="48" t="str">
        <f>'Calendario A'!M98</f>
        <v>(Squadra A)</v>
      </c>
      <c r="B28" s="48">
        <f>'Calendario A'!N98</f>
        <v>0</v>
      </c>
      <c r="C28" s="48">
        <f>'Calendario A'!O98</f>
        <v>0</v>
      </c>
      <c r="D28" s="48">
        <f>'Calendario A'!P98</f>
        <v>0</v>
      </c>
      <c r="E28" s="48">
        <f>'Calendario A'!Q98</f>
        <v>0</v>
      </c>
      <c r="F28" s="48">
        <f>'Calendario A'!R98</f>
        <v>0</v>
      </c>
      <c r="G28" s="48">
        <f>'Calendario A'!S98</f>
        <v>0</v>
      </c>
      <c r="H28" s="48" t="str">
        <f>'Calendario A'!T98</f>
        <v>(Squadra B)</v>
      </c>
      <c r="I28" s="48">
        <f>'Calendario A'!U98</f>
        <v>0</v>
      </c>
      <c r="J28" s="48">
        <f>'Calendario A'!V98</f>
        <v>0</v>
      </c>
      <c r="K28" s="48">
        <f>'Calendario A'!W98</f>
        <v>0</v>
      </c>
      <c r="L28" s="48">
        <f>'Calendario A'!X98</f>
        <v>0</v>
      </c>
      <c r="M28" s="48">
        <f>'Calendario A'!Y98</f>
        <v>0</v>
      </c>
      <c r="N28" s="48">
        <f>'Calendario A'!Z98</f>
        <v>0</v>
      </c>
    </row>
    <row r="29" spans="1:14" x14ac:dyDescent="0.25">
      <c r="A29" s="48" t="str">
        <f>'Calendario A'!M101</f>
        <v>(Squadra A)</v>
      </c>
      <c r="B29" s="48">
        <f>'Calendario A'!N101</f>
        <v>0</v>
      </c>
      <c r="C29" s="48">
        <f>'Calendario A'!O101</f>
        <v>0</v>
      </c>
      <c r="D29" s="48">
        <f>'Calendario A'!P101</f>
        <v>0</v>
      </c>
      <c r="E29" s="48">
        <f>'Calendario A'!Q101</f>
        <v>0</v>
      </c>
      <c r="F29" s="48">
        <f>'Calendario A'!R101</f>
        <v>0</v>
      </c>
      <c r="G29" s="48">
        <f>'Calendario A'!S101</f>
        <v>0</v>
      </c>
      <c r="H29" s="48" t="str">
        <f>'Calendario A'!T101</f>
        <v>(Squadra B)</v>
      </c>
      <c r="I29" s="48">
        <f>'Calendario A'!U101</f>
        <v>0</v>
      </c>
      <c r="J29" s="48">
        <f>'Calendario A'!V101</f>
        <v>0</v>
      </c>
      <c r="K29" s="48">
        <f>'Calendario A'!W101</f>
        <v>0</v>
      </c>
      <c r="L29" s="48">
        <f>'Calendario A'!X101</f>
        <v>0</v>
      </c>
      <c r="M29" s="48">
        <f>'Calendario A'!Y101</f>
        <v>0</v>
      </c>
      <c r="N29" s="48">
        <f>'Calendario A'!Z101</f>
        <v>0</v>
      </c>
    </row>
    <row r="30" spans="1:14" x14ac:dyDescent="0.25">
      <c r="A30" s="48" t="str">
        <f>'Calendario A'!M104</f>
        <v>(Squadra A)</v>
      </c>
      <c r="B30" s="48">
        <f>'Calendario A'!N104</f>
        <v>0</v>
      </c>
      <c r="C30" s="48">
        <f>'Calendario A'!O104</f>
        <v>0</v>
      </c>
      <c r="D30" s="48">
        <f>'Calendario A'!P104</f>
        <v>0</v>
      </c>
      <c r="E30" s="48">
        <f>'Calendario A'!Q104</f>
        <v>0</v>
      </c>
      <c r="F30" s="48">
        <f>'Calendario A'!R104</f>
        <v>0</v>
      </c>
      <c r="G30" s="48">
        <f>'Calendario A'!S104</f>
        <v>0</v>
      </c>
      <c r="H30" s="48" t="str">
        <f>'Calendario A'!T104</f>
        <v>(Squadra B)</v>
      </c>
      <c r="I30" s="48">
        <f>'Calendario A'!U104</f>
        <v>0</v>
      </c>
      <c r="J30" s="48">
        <f>'Calendario A'!V104</f>
        <v>0</v>
      </c>
      <c r="K30" s="48">
        <f>'Calendario A'!W104</f>
        <v>0</v>
      </c>
      <c r="L30" s="48">
        <f>'Calendario A'!X104</f>
        <v>0</v>
      </c>
      <c r="M30" s="48">
        <f>'Calendario A'!Y104</f>
        <v>0</v>
      </c>
      <c r="N30" s="48">
        <f>'Calendario A'!Z104</f>
        <v>0</v>
      </c>
    </row>
    <row r="31" spans="1:14" x14ac:dyDescent="0.25">
      <c r="A31" s="48" t="str">
        <f>'Calendario A'!M107</f>
        <v>(Squadra A)</v>
      </c>
      <c r="B31" s="48">
        <f>'Calendario A'!N107</f>
        <v>0</v>
      </c>
      <c r="C31" s="48">
        <f>'Calendario A'!O107</f>
        <v>0</v>
      </c>
      <c r="D31" s="48">
        <f>'Calendario A'!P107</f>
        <v>0</v>
      </c>
      <c r="E31" s="48">
        <f>'Calendario A'!Q107</f>
        <v>0</v>
      </c>
      <c r="F31" s="48">
        <f>'Calendario A'!R107</f>
        <v>0</v>
      </c>
      <c r="G31" s="48">
        <f>'Calendario A'!S107</f>
        <v>0</v>
      </c>
      <c r="H31" s="48" t="str">
        <f>'Calendario A'!T107</f>
        <v>(Squadra B)</v>
      </c>
      <c r="I31" s="48">
        <f>'Calendario A'!U107</f>
        <v>0</v>
      </c>
      <c r="J31" s="48">
        <f>'Calendario A'!V107</f>
        <v>0</v>
      </c>
      <c r="K31" s="48">
        <f>'Calendario A'!W107</f>
        <v>0</v>
      </c>
      <c r="L31" s="48">
        <f>'Calendario A'!X107</f>
        <v>0</v>
      </c>
      <c r="M31" s="48">
        <f>'Calendario A'!Y107</f>
        <v>0</v>
      </c>
      <c r="N31" s="48">
        <f>'Calendario A'!Z107</f>
        <v>0</v>
      </c>
    </row>
    <row r="32" spans="1:14" x14ac:dyDescent="0.25">
      <c r="A32" s="48" t="str">
        <f>'Calendario A'!M112</f>
        <v>(Squadra A)</v>
      </c>
      <c r="B32" s="48">
        <f>'Calendario A'!N112</f>
        <v>0</v>
      </c>
      <c r="C32" s="48">
        <f>'Calendario A'!O112</f>
        <v>0</v>
      </c>
      <c r="D32" s="48">
        <f>'Calendario A'!P112</f>
        <v>0</v>
      </c>
      <c r="E32" s="48">
        <f>'Calendario A'!Q112</f>
        <v>0</v>
      </c>
      <c r="F32" s="48">
        <f>'Calendario A'!R112</f>
        <v>0</v>
      </c>
      <c r="G32" s="48">
        <f>'Calendario A'!S112</f>
        <v>0</v>
      </c>
      <c r="H32" s="48" t="str">
        <f>'Calendario A'!T112</f>
        <v>(Squadra B)</v>
      </c>
      <c r="I32" s="48">
        <f>'Calendario A'!U112</f>
        <v>0</v>
      </c>
      <c r="J32" s="48">
        <f>'Calendario A'!V112</f>
        <v>0</v>
      </c>
      <c r="K32" s="48">
        <f>'Calendario A'!W112</f>
        <v>0</v>
      </c>
      <c r="L32" s="48">
        <f>'Calendario A'!X112</f>
        <v>0</v>
      </c>
      <c r="M32" s="48">
        <f>'Calendario A'!Y112</f>
        <v>0</v>
      </c>
      <c r="N32" s="48">
        <f>'Calendario A'!Z112</f>
        <v>0</v>
      </c>
    </row>
    <row r="33" spans="1:14" x14ac:dyDescent="0.25">
      <c r="A33" s="48" t="str">
        <f>'Calendario A'!M115</f>
        <v>(Squadra A)</v>
      </c>
      <c r="B33" s="48">
        <f>'Calendario A'!N115</f>
        <v>0</v>
      </c>
      <c r="C33" s="48">
        <f>'Calendario A'!O115</f>
        <v>0</v>
      </c>
      <c r="D33" s="48">
        <f>'Calendario A'!P115</f>
        <v>0</v>
      </c>
      <c r="E33" s="48">
        <f>'Calendario A'!Q115</f>
        <v>0</v>
      </c>
      <c r="F33" s="48">
        <f>'Calendario A'!R115</f>
        <v>0</v>
      </c>
      <c r="G33" s="48">
        <f>'Calendario A'!S115</f>
        <v>0</v>
      </c>
      <c r="H33" s="48" t="str">
        <f>'Calendario A'!T115</f>
        <v>(Squadra B)</v>
      </c>
      <c r="I33" s="48">
        <f>'Calendario A'!U115</f>
        <v>0</v>
      </c>
      <c r="J33" s="48">
        <f>'Calendario A'!V115</f>
        <v>0</v>
      </c>
      <c r="K33" s="48">
        <f>'Calendario A'!W115</f>
        <v>0</v>
      </c>
      <c r="L33" s="48">
        <f>'Calendario A'!X115</f>
        <v>0</v>
      </c>
      <c r="M33" s="48">
        <f>'Calendario A'!Y115</f>
        <v>0</v>
      </c>
      <c r="N33" s="48">
        <f>'Calendario A'!Z115</f>
        <v>0</v>
      </c>
    </row>
    <row r="34" spans="1:14" x14ac:dyDescent="0.25">
      <c r="A34" s="48" t="str">
        <f>'Calendario A'!M118</f>
        <v>(Squadra A)</v>
      </c>
      <c r="B34" s="48">
        <f>'Calendario A'!N118</f>
        <v>0</v>
      </c>
      <c r="C34" s="48">
        <f>'Calendario A'!O118</f>
        <v>0</v>
      </c>
      <c r="D34" s="48">
        <f>'Calendario A'!P118</f>
        <v>0</v>
      </c>
      <c r="E34" s="48">
        <f>'Calendario A'!Q118</f>
        <v>0</v>
      </c>
      <c r="F34" s="48">
        <f>'Calendario A'!R118</f>
        <v>0</v>
      </c>
      <c r="G34" s="48">
        <f>'Calendario A'!S118</f>
        <v>0</v>
      </c>
      <c r="H34" s="48" t="str">
        <f>'Calendario A'!T118</f>
        <v>(Squadra B)</v>
      </c>
      <c r="I34" s="48">
        <f>'Calendario A'!U118</f>
        <v>0</v>
      </c>
      <c r="J34" s="48">
        <f>'Calendario A'!V118</f>
        <v>0</v>
      </c>
      <c r="K34" s="48">
        <f>'Calendario A'!W118</f>
        <v>0</v>
      </c>
      <c r="L34" s="48">
        <f>'Calendario A'!X118</f>
        <v>0</v>
      </c>
      <c r="M34" s="48">
        <f>'Calendario A'!Y118</f>
        <v>0</v>
      </c>
      <c r="N34" s="48">
        <f>'Calendario A'!Z118</f>
        <v>0</v>
      </c>
    </row>
    <row r="35" spans="1:14" x14ac:dyDescent="0.25">
      <c r="A35" s="48" t="str">
        <f>'Calendario A'!M121</f>
        <v>(Squadra A)</v>
      </c>
      <c r="B35" s="48">
        <f>'Calendario A'!N121</f>
        <v>0</v>
      </c>
      <c r="C35" s="48">
        <f>'Calendario A'!O121</f>
        <v>0</v>
      </c>
      <c r="D35" s="48">
        <f>'Calendario A'!P121</f>
        <v>0</v>
      </c>
      <c r="E35" s="48">
        <f>'Calendario A'!Q121</f>
        <v>0</v>
      </c>
      <c r="F35" s="48">
        <f>'Calendario A'!R121</f>
        <v>0</v>
      </c>
      <c r="G35" s="48">
        <f>'Calendario A'!S121</f>
        <v>0</v>
      </c>
      <c r="H35" s="48" t="str">
        <f>'Calendario A'!T121</f>
        <v>(Squadra B)</v>
      </c>
      <c r="I35" s="48">
        <f>'Calendario A'!U121</f>
        <v>0</v>
      </c>
      <c r="J35" s="48">
        <f>'Calendario A'!V121</f>
        <v>0</v>
      </c>
      <c r="K35" s="48">
        <f>'Calendario A'!W121</f>
        <v>0</v>
      </c>
      <c r="L35" s="48">
        <f>'Calendario A'!X121</f>
        <v>0</v>
      </c>
      <c r="M35" s="48">
        <f>'Calendario A'!Y121</f>
        <v>0</v>
      </c>
      <c r="N35" s="48">
        <f>'Calendario A'!Z121</f>
        <v>0</v>
      </c>
    </row>
    <row r="36" spans="1:14" x14ac:dyDescent="0.25">
      <c r="A36" s="48" t="str">
        <f>'Calendario A'!M124</f>
        <v>(Squadra A)</v>
      </c>
      <c r="B36" s="48">
        <f>'Calendario A'!N124</f>
        <v>0</v>
      </c>
      <c r="C36" s="48">
        <f>'Calendario A'!O124</f>
        <v>0</v>
      </c>
      <c r="D36" s="48">
        <f>'Calendario A'!P124</f>
        <v>0</v>
      </c>
      <c r="E36" s="48">
        <f>'Calendario A'!Q124</f>
        <v>0</v>
      </c>
      <c r="F36" s="48">
        <f>'Calendario A'!R124</f>
        <v>0</v>
      </c>
      <c r="G36" s="48">
        <f>'Calendario A'!S124</f>
        <v>0</v>
      </c>
      <c r="H36" s="48" t="str">
        <f>'Calendario A'!T124</f>
        <v>(Squadra B)</v>
      </c>
      <c r="I36" s="48">
        <f>'Calendario A'!U124</f>
        <v>0</v>
      </c>
      <c r="J36" s="48">
        <f>'Calendario A'!V124</f>
        <v>0</v>
      </c>
      <c r="K36" s="48">
        <f>'Calendario A'!W124</f>
        <v>0</v>
      </c>
      <c r="L36" s="48">
        <f>'Calendario A'!X124</f>
        <v>0</v>
      </c>
      <c r="M36" s="48">
        <f>'Calendario A'!Y124</f>
        <v>0</v>
      </c>
      <c r="N36" s="48">
        <f>'Calendario A'!Z124</f>
        <v>0</v>
      </c>
    </row>
    <row r="37" spans="1:14" x14ac:dyDescent="0.25">
      <c r="A37" s="48" t="str">
        <f>'Calendario A'!M129</f>
        <v>(Squadra A)</v>
      </c>
      <c r="B37" s="48">
        <f>'Calendario A'!N129</f>
        <v>0</v>
      </c>
      <c r="C37" s="48">
        <f>'Calendario A'!O129</f>
        <v>0</v>
      </c>
      <c r="D37" s="48">
        <f>'Calendario A'!P129</f>
        <v>0</v>
      </c>
      <c r="E37" s="48">
        <f>'Calendario A'!Q129</f>
        <v>0</v>
      </c>
      <c r="F37" s="48">
        <f>'Calendario A'!R129</f>
        <v>0</v>
      </c>
      <c r="G37" s="48">
        <f>'Calendario A'!S129</f>
        <v>0</v>
      </c>
      <c r="H37" s="48" t="str">
        <f>'Calendario A'!T129</f>
        <v>(Squadra B)</v>
      </c>
      <c r="I37" s="48">
        <f>'Calendario A'!U129</f>
        <v>0</v>
      </c>
      <c r="J37" s="48">
        <f>'Calendario A'!V129</f>
        <v>0</v>
      </c>
      <c r="K37" s="48">
        <f>'Calendario A'!W129</f>
        <v>0</v>
      </c>
      <c r="L37" s="48">
        <f>'Calendario A'!X129</f>
        <v>0</v>
      </c>
      <c r="M37" s="48">
        <f>'Calendario A'!Y129</f>
        <v>0</v>
      </c>
      <c r="N37" s="48">
        <f>'Calendario A'!Z129</f>
        <v>0</v>
      </c>
    </row>
    <row r="38" spans="1:14" x14ac:dyDescent="0.25">
      <c r="A38" s="48" t="str">
        <f>'Calendario A'!M132</f>
        <v>(Squadra A)</v>
      </c>
      <c r="B38" s="48">
        <f>'Calendario A'!N132</f>
        <v>0</v>
      </c>
      <c r="C38" s="48">
        <f>'Calendario A'!O132</f>
        <v>0</v>
      </c>
      <c r="D38" s="48">
        <f>'Calendario A'!P132</f>
        <v>0</v>
      </c>
      <c r="E38" s="48">
        <f>'Calendario A'!Q132</f>
        <v>0</v>
      </c>
      <c r="F38" s="48">
        <f>'Calendario A'!R132</f>
        <v>0</v>
      </c>
      <c r="G38" s="48">
        <f>'Calendario A'!S132</f>
        <v>0</v>
      </c>
      <c r="H38" s="48" t="str">
        <f>'Calendario A'!T132</f>
        <v>(Squadra B)</v>
      </c>
      <c r="I38" s="48">
        <f>'Calendario A'!U132</f>
        <v>0</v>
      </c>
      <c r="J38" s="48">
        <f>'Calendario A'!V132</f>
        <v>0</v>
      </c>
      <c r="K38" s="48">
        <f>'Calendario A'!W132</f>
        <v>0</v>
      </c>
      <c r="L38" s="48">
        <f>'Calendario A'!X132</f>
        <v>0</v>
      </c>
      <c r="M38" s="48">
        <f>'Calendario A'!Y132</f>
        <v>0</v>
      </c>
      <c r="N38" s="48">
        <f>'Calendario A'!Z132</f>
        <v>0</v>
      </c>
    </row>
    <row r="39" spans="1:14" x14ac:dyDescent="0.25">
      <c r="A39" s="48" t="str">
        <f>'Calendario A'!M135</f>
        <v>(Squadra A)</v>
      </c>
      <c r="B39" s="48">
        <f>'Calendario A'!N135</f>
        <v>0</v>
      </c>
      <c r="C39" s="48">
        <f>'Calendario A'!O135</f>
        <v>0</v>
      </c>
      <c r="D39" s="48">
        <f>'Calendario A'!P135</f>
        <v>0</v>
      </c>
      <c r="E39" s="48">
        <f>'Calendario A'!Q135</f>
        <v>0</v>
      </c>
      <c r="F39" s="48">
        <f>'Calendario A'!R135</f>
        <v>0</v>
      </c>
      <c r="G39" s="48">
        <f>'Calendario A'!S135</f>
        <v>0</v>
      </c>
      <c r="H39" s="48" t="str">
        <f>'Calendario A'!T135</f>
        <v>(Squadra B)</v>
      </c>
      <c r="I39" s="48">
        <f>'Calendario A'!U135</f>
        <v>0</v>
      </c>
      <c r="J39" s="48">
        <f>'Calendario A'!V135</f>
        <v>0</v>
      </c>
      <c r="K39" s="48">
        <f>'Calendario A'!W135</f>
        <v>0</v>
      </c>
      <c r="L39" s="48">
        <f>'Calendario A'!X135</f>
        <v>0</v>
      </c>
      <c r="M39" s="48">
        <f>'Calendario A'!Y135</f>
        <v>0</v>
      </c>
      <c r="N39" s="48">
        <f>'Calendario A'!Z135</f>
        <v>0</v>
      </c>
    </row>
    <row r="40" spans="1:14" x14ac:dyDescent="0.25">
      <c r="A40" s="48" t="str">
        <f>'Calendario A'!M138</f>
        <v>(Squadra A)</v>
      </c>
      <c r="B40" s="48">
        <f>'Calendario A'!N138</f>
        <v>0</v>
      </c>
      <c r="C40" s="48">
        <f>'Calendario A'!O138</f>
        <v>0</v>
      </c>
      <c r="D40" s="48">
        <f>'Calendario A'!P138</f>
        <v>0</v>
      </c>
      <c r="E40" s="48">
        <f>'Calendario A'!Q138</f>
        <v>0</v>
      </c>
      <c r="F40" s="48">
        <f>'Calendario A'!R138</f>
        <v>0</v>
      </c>
      <c r="G40" s="48">
        <f>'Calendario A'!S138</f>
        <v>0</v>
      </c>
      <c r="H40" s="48" t="str">
        <f>'Calendario A'!T138</f>
        <v>(Squadra B)</v>
      </c>
      <c r="I40" s="48">
        <f>'Calendario A'!U138</f>
        <v>0</v>
      </c>
      <c r="J40" s="48">
        <f>'Calendario A'!V138</f>
        <v>0</v>
      </c>
      <c r="K40" s="48">
        <f>'Calendario A'!W138</f>
        <v>0</v>
      </c>
      <c r="L40" s="48">
        <f>'Calendario A'!X138</f>
        <v>0</v>
      </c>
      <c r="M40" s="48">
        <f>'Calendario A'!Y138</f>
        <v>0</v>
      </c>
      <c r="N40" s="48">
        <f>'Calendario A'!Z138</f>
        <v>0</v>
      </c>
    </row>
    <row r="41" spans="1:14" x14ac:dyDescent="0.25">
      <c r="A41" s="48" t="str">
        <f>'Calendario A'!M141</f>
        <v>(Squadra A)</v>
      </c>
      <c r="B41" s="48">
        <f>'Calendario A'!N141</f>
        <v>0</v>
      </c>
      <c r="C41" s="48">
        <f>'Calendario A'!O141</f>
        <v>0</v>
      </c>
      <c r="D41" s="48">
        <f>'Calendario A'!P141</f>
        <v>0</v>
      </c>
      <c r="E41" s="48">
        <f>'Calendario A'!Q141</f>
        <v>0</v>
      </c>
      <c r="F41" s="48">
        <f>'Calendario A'!R141</f>
        <v>0</v>
      </c>
      <c r="G41" s="48">
        <f>'Calendario A'!S141</f>
        <v>0</v>
      </c>
      <c r="H41" s="48" t="str">
        <f>'Calendario A'!T141</f>
        <v>(Squadra B)</v>
      </c>
      <c r="I41" s="48">
        <f>'Calendario A'!U141</f>
        <v>0</v>
      </c>
      <c r="J41" s="48">
        <f>'Calendario A'!V141</f>
        <v>0</v>
      </c>
      <c r="K41" s="48">
        <f>'Calendario A'!W141</f>
        <v>0</v>
      </c>
      <c r="L41" s="48">
        <f>'Calendario A'!X141</f>
        <v>0</v>
      </c>
      <c r="M41" s="48">
        <f>'Calendario A'!Y141</f>
        <v>0</v>
      </c>
      <c r="N41" s="48">
        <f>'Calendario A'!Z141</f>
        <v>0</v>
      </c>
    </row>
    <row r="42" spans="1:14" x14ac:dyDescent="0.25">
      <c r="A42" s="48" t="str">
        <f>'Calendario A'!M146</f>
        <v>(Squadra A)</v>
      </c>
      <c r="B42" s="48">
        <f>'Calendario A'!N146</f>
        <v>0</v>
      </c>
      <c r="C42" s="48">
        <f>'Calendario A'!O146</f>
        <v>0</v>
      </c>
      <c r="D42" s="48">
        <f>'Calendario A'!P146</f>
        <v>0</v>
      </c>
      <c r="E42" s="48">
        <f>'Calendario A'!Q146</f>
        <v>0</v>
      </c>
      <c r="F42" s="48">
        <f>'Calendario A'!R146</f>
        <v>0</v>
      </c>
      <c r="G42" s="48">
        <f>'Calendario A'!S146</f>
        <v>0</v>
      </c>
      <c r="H42" s="48" t="str">
        <f>'Calendario A'!T146</f>
        <v>(Squadra B)</v>
      </c>
      <c r="I42" s="48">
        <f>'Calendario A'!U146</f>
        <v>0</v>
      </c>
      <c r="J42" s="48">
        <f>'Calendario A'!V146</f>
        <v>0</v>
      </c>
      <c r="K42" s="48">
        <f>'Calendario A'!W146</f>
        <v>0</v>
      </c>
      <c r="L42" s="48">
        <f>'Calendario A'!X146</f>
        <v>0</v>
      </c>
      <c r="M42" s="48">
        <f>'Calendario A'!Y146</f>
        <v>0</v>
      </c>
      <c r="N42" s="48">
        <f>'Calendario A'!Z146</f>
        <v>0</v>
      </c>
    </row>
    <row r="43" spans="1:14" x14ac:dyDescent="0.25">
      <c r="A43" s="48" t="str">
        <f>'Calendario A'!M149</f>
        <v>(Squadra A)</v>
      </c>
      <c r="B43" s="48">
        <f>'Calendario A'!N149</f>
        <v>0</v>
      </c>
      <c r="C43" s="48">
        <f>'Calendario A'!O149</f>
        <v>0</v>
      </c>
      <c r="D43" s="48">
        <f>'Calendario A'!P149</f>
        <v>0</v>
      </c>
      <c r="E43" s="48">
        <f>'Calendario A'!Q149</f>
        <v>0</v>
      </c>
      <c r="F43" s="48">
        <f>'Calendario A'!R149</f>
        <v>0</v>
      </c>
      <c r="G43" s="48">
        <f>'Calendario A'!S149</f>
        <v>0</v>
      </c>
      <c r="H43" s="48" t="str">
        <f>'Calendario A'!T149</f>
        <v>(Squadra B)</v>
      </c>
      <c r="I43" s="48">
        <f>'Calendario A'!U149</f>
        <v>0</v>
      </c>
      <c r="J43" s="48">
        <f>'Calendario A'!V149</f>
        <v>0</v>
      </c>
      <c r="K43" s="48">
        <f>'Calendario A'!W149</f>
        <v>0</v>
      </c>
      <c r="L43" s="48">
        <f>'Calendario A'!X149</f>
        <v>0</v>
      </c>
      <c r="M43" s="48">
        <f>'Calendario A'!Y149</f>
        <v>0</v>
      </c>
      <c r="N43" s="48">
        <f>'Calendario A'!Z149</f>
        <v>0</v>
      </c>
    </row>
    <row r="44" spans="1:14" x14ac:dyDescent="0.25">
      <c r="A44" s="48" t="str">
        <f>'Calendario A'!M152</f>
        <v>(Squadra A)</v>
      </c>
      <c r="B44" s="48">
        <f>'Calendario A'!N152</f>
        <v>0</v>
      </c>
      <c r="C44" s="48">
        <f>'Calendario A'!O152</f>
        <v>0</v>
      </c>
      <c r="D44" s="48">
        <f>'Calendario A'!P152</f>
        <v>0</v>
      </c>
      <c r="E44" s="48">
        <f>'Calendario A'!Q152</f>
        <v>0</v>
      </c>
      <c r="F44" s="48">
        <f>'Calendario A'!R152</f>
        <v>0</v>
      </c>
      <c r="G44" s="48">
        <f>'Calendario A'!S152</f>
        <v>0</v>
      </c>
      <c r="H44" s="48" t="str">
        <f>'Calendario A'!T152</f>
        <v>(Squadra B)</v>
      </c>
      <c r="I44" s="48">
        <f>'Calendario A'!U152</f>
        <v>0</v>
      </c>
      <c r="J44" s="48">
        <f>'Calendario A'!V152</f>
        <v>0</v>
      </c>
      <c r="K44" s="48">
        <f>'Calendario A'!W152</f>
        <v>0</v>
      </c>
      <c r="L44" s="48">
        <f>'Calendario A'!X152</f>
        <v>0</v>
      </c>
      <c r="M44" s="48">
        <f>'Calendario A'!Y152</f>
        <v>0</v>
      </c>
      <c r="N44" s="48">
        <f>'Calendario A'!Z152</f>
        <v>0</v>
      </c>
    </row>
    <row r="45" spans="1:14" x14ac:dyDescent="0.25">
      <c r="A45" s="48" t="str">
        <f>'Calendario A'!M155</f>
        <v>(Squadra A)</v>
      </c>
      <c r="B45" s="48">
        <f>'Calendario A'!N155</f>
        <v>0</v>
      </c>
      <c r="C45" s="48">
        <f>'Calendario A'!O155</f>
        <v>0</v>
      </c>
      <c r="D45" s="48">
        <f>'Calendario A'!P155</f>
        <v>0</v>
      </c>
      <c r="E45" s="48">
        <f>'Calendario A'!Q155</f>
        <v>0</v>
      </c>
      <c r="F45" s="48">
        <f>'Calendario A'!R155</f>
        <v>0</v>
      </c>
      <c r="G45" s="48">
        <f>'Calendario A'!S155</f>
        <v>0</v>
      </c>
      <c r="H45" s="48" t="str">
        <f>'Calendario A'!T155</f>
        <v>(Squadra B)</v>
      </c>
      <c r="I45" s="48">
        <f>'Calendario A'!U155</f>
        <v>0</v>
      </c>
      <c r="J45" s="48">
        <f>'Calendario A'!V155</f>
        <v>0</v>
      </c>
      <c r="K45" s="48">
        <f>'Calendario A'!W155</f>
        <v>0</v>
      </c>
      <c r="L45" s="48">
        <f>'Calendario A'!X155</f>
        <v>0</v>
      </c>
      <c r="M45" s="48">
        <f>'Calendario A'!Y155</f>
        <v>0</v>
      </c>
      <c r="N45" s="48">
        <f>'Calendario A'!Z155</f>
        <v>0</v>
      </c>
    </row>
    <row r="46" spans="1:14" x14ac:dyDescent="0.25">
      <c r="A46" s="48" t="str">
        <f>'Calendario A'!M158</f>
        <v>(Squadra A)</v>
      </c>
      <c r="B46" s="48">
        <f>'Calendario A'!N158</f>
        <v>0</v>
      </c>
      <c r="C46" s="48">
        <f>'Calendario A'!O158</f>
        <v>0</v>
      </c>
      <c r="D46" s="48">
        <f>'Calendario A'!P158</f>
        <v>0</v>
      </c>
      <c r="E46" s="48">
        <f>'Calendario A'!Q158</f>
        <v>0</v>
      </c>
      <c r="F46" s="48">
        <f>'Calendario A'!R158</f>
        <v>0</v>
      </c>
      <c r="G46" s="48">
        <f>'Calendario A'!S158</f>
        <v>0</v>
      </c>
      <c r="H46" s="48" t="str">
        <f>'Calendario A'!T158</f>
        <v>(Squadra B)</v>
      </c>
      <c r="I46" s="48">
        <f>'Calendario A'!U158</f>
        <v>0</v>
      </c>
      <c r="J46" s="48">
        <f>'Calendario A'!V158</f>
        <v>0</v>
      </c>
      <c r="K46" s="48">
        <f>'Calendario A'!W158</f>
        <v>0</v>
      </c>
      <c r="L46" s="48">
        <f>'Calendario A'!X158</f>
        <v>0</v>
      </c>
      <c r="M46" s="48">
        <f>'Calendario A'!Y158</f>
        <v>0</v>
      </c>
      <c r="N46" s="48">
        <f>'Calendario A'!Z158</f>
        <v>0</v>
      </c>
    </row>
    <row r="47" spans="1:14" x14ac:dyDescent="0.25">
      <c r="A47" s="48" t="str">
        <f>'Calendario B'!M10</f>
        <v>(Squadra A)</v>
      </c>
      <c r="B47" s="48">
        <f>'Calendario B'!N10</f>
        <v>0</v>
      </c>
      <c r="C47" s="48">
        <f>'Calendario B'!O10</f>
        <v>0</v>
      </c>
      <c r="D47" s="48">
        <f>'Calendario B'!P10</f>
        <v>0</v>
      </c>
      <c r="E47" s="48">
        <f>'Calendario B'!Q10</f>
        <v>0</v>
      </c>
      <c r="F47" s="48">
        <f>'Calendario B'!R10</f>
        <v>0</v>
      </c>
      <c r="G47" s="48">
        <f>'Calendario B'!S10</f>
        <v>0</v>
      </c>
      <c r="H47" s="48" t="str">
        <f>'Calendario B'!T10</f>
        <v>(Squadra B)</v>
      </c>
      <c r="I47" s="48">
        <f>'Calendario B'!U10</f>
        <v>0</v>
      </c>
      <c r="J47" s="48">
        <f>'Calendario B'!V10</f>
        <v>0</v>
      </c>
      <c r="K47" s="48">
        <f>'Calendario B'!W10</f>
        <v>0</v>
      </c>
      <c r="L47" s="48">
        <f>'Calendario B'!X10</f>
        <v>0</v>
      </c>
      <c r="M47" s="48">
        <f>'Calendario B'!Y10</f>
        <v>0</v>
      </c>
      <c r="N47" s="48">
        <f>'Calendario B'!Z10</f>
        <v>0</v>
      </c>
    </row>
    <row r="48" spans="1:14" x14ac:dyDescent="0.25">
      <c r="A48" s="48" t="str">
        <f>'Calendario B'!M13</f>
        <v>(Squadra A)</v>
      </c>
      <c r="B48" s="48">
        <f>'Calendario B'!N13</f>
        <v>0</v>
      </c>
      <c r="C48" s="48">
        <f>'Calendario B'!O13</f>
        <v>0</v>
      </c>
      <c r="D48" s="48">
        <f>'Calendario B'!P13</f>
        <v>0</v>
      </c>
      <c r="E48" s="48">
        <f>'Calendario B'!Q13</f>
        <v>0</v>
      </c>
      <c r="F48" s="48">
        <f>'Calendario B'!R13</f>
        <v>0</v>
      </c>
      <c r="G48" s="48">
        <f>'Calendario B'!S13</f>
        <v>0</v>
      </c>
      <c r="H48" s="48" t="str">
        <f>'Calendario B'!T13</f>
        <v>(Squadra B)</v>
      </c>
      <c r="I48" s="48">
        <f>'Calendario B'!U13</f>
        <v>0</v>
      </c>
      <c r="J48" s="48">
        <f>'Calendario B'!V13</f>
        <v>0</v>
      </c>
      <c r="K48" s="48">
        <f>'Calendario B'!W13</f>
        <v>0</v>
      </c>
      <c r="L48" s="48">
        <f>'Calendario B'!X13</f>
        <v>0</v>
      </c>
      <c r="M48" s="48">
        <f>'Calendario B'!Y13</f>
        <v>0</v>
      </c>
      <c r="N48" s="48">
        <f>'Calendario B'!Z13</f>
        <v>0</v>
      </c>
    </row>
    <row r="49" spans="1:14" x14ac:dyDescent="0.25">
      <c r="A49" s="48" t="str">
        <f>'Calendario B'!M16</f>
        <v>(Squadra A)</v>
      </c>
      <c r="B49" s="48">
        <f>'Calendario B'!N16</f>
        <v>0</v>
      </c>
      <c r="C49" s="48">
        <f>'Calendario B'!O16</f>
        <v>0</v>
      </c>
      <c r="D49" s="48">
        <f>'Calendario B'!P16</f>
        <v>0</v>
      </c>
      <c r="E49" s="48">
        <f>'Calendario B'!Q16</f>
        <v>0</v>
      </c>
      <c r="F49" s="48">
        <f>'Calendario B'!R16</f>
        <v>0</v>
      </c>
      <c r="G49" s="48">
        <f>'Calendario B'!S16</f>
        <v>0</v>
      </c>
      <c r="H49" s="48" t="str">
        <f>'Calendario B'!T16</f>
        <v>(Squadra B)</v>
      </c>
      <c r="I49" s="48">
        <f>'Calendario B'!U16</f>
        <v>0</v>
      </c>
      <c r="J49" s="48">
        <f>'Calendario B'!V16</f>
        <v>0</v>
      </c>
      <c r="K49" s="48">
        <f>'Calendario B'!W16</f>
        <v>0</v>
      </c>
      <c r="L49" s="48">
        <f>'Calendario B'!X16</f>
        <v>0</v>
      </c>
      <c r="M49" s="48">
        <f>'Calendario B'!Y16</f>
        <v>0</v>
      </c>
      <c r="N49" s="48">
        <f>'Calendario B'!Z16</f>
        <v>0</v>
      </c>
    </row>
    <row r="50" spans="1:14" x14ac:dyDescent="0.25">
      <c r="A50" s="48" t="str">
        <f>'Calendario B'!M19</f>
        <v>(Squadra A)</v>
      </c>
      <c r="B50" s="48">
        <f>'Calendario B'!N19</f>
        <v>0</v>
      </c>
      <c r="C50" s="48">
        <f>'Calendario B'!O19</f>
        <v>0</v>
      </c>
      <c r="D50" s="48">
        <f>'Calendario B'!P19</f>
        <v>0</v>
      </c>
      <c r="E50" s="48">
        <f>'Calendario B'!Q19</f>
        <v>0</v>
      </c>
      <c r="F50" s="48">
        <f>'Calendario B'!R19</f>
        <v>0</v>
      </c>
      <c r="G50" s="48">
        <f>'Calendario B'!S19</f>
        <v>0</v>
      </c>
      <c r="H50" s="48" t="str">
        <f>'Calendario B'!T19</f>
        <v>(Squadra B)</v>
      </c>
      <c r="I50" s="48">
        <f>'Calendario B'!U19</f>
        <v>0</v>
      </c>
      <c r="J50" s="48">
        <f>'Calendario B'!V19</f>
        <v>0</v>
      </c>
      <c r="K50" s="48">
        <f>'Calendario B'!W19</f>
        <v>0</v>
      </c>
      <c r="L50" s="48">
        <f>'Calendario B'!X19</f>
        <v>0</v>
      </c>
      <c r="M50" s="48">
        <f>'Calendario B'!Y19</f>
        <v>0</v>
      </c>
      <c r="N50" s="48">
        <f>'Calendario B'!Z19</f>
        <v>0</v>
      </c>
    </row>
    <row r="51" spans="1:14" x14ac:dyDescent="0.25">
      <c r="A51" s="48" t="str">
        <f>'Calendario B'!M22</f>
        <v>(Squadra A)</v>
      </c>
      <c r="B51" s="48">
        <f>'Calendario B'!N22</f>
        <v>0</v>
      </c>
      <c r="C51" s="48">
        <f>'Calendario B'!O22</f>
        <v>0</v>
      </c>
      <c r="D51" s="48">
        <f>'Calendario B'!P22</f>
        <v>0</v>
      </c>
      <c r="E51" s="48">
        <f>'Calendario B'!Q22</f>
        <v>0</v>
      </c>
      <c r="F51" s="48">
        <f>'Calendario B'!R22</f>
        <v>0</v>
      </c>
      <c r="G51" s="48">
        <f>'Calendario B'!S22</f>
        <v>0</v>
      </c>
      <c r="H51" s="48" t="str">
        <f>'Calendario B'!T22</f>
        <v>(Squadra B)</v>
      </c>
      <c r="I51" s="48">
        <f>'Calendario B'!U22</f>
        <v>0</v>
      </c>
      <c r="J51" s="48">
        <f>'Calendario B'!V22</f>
        <v>0</v>
      </c>
      <c r="K51" s="48">
        <f>'Calendario B'!W22</f>
        <v>0</v>
      </c>
      <c r="L51" s="48">
        <f>'Calendario B'!X22</f>
        <v>0</v>
      </c>
      <c r="M51" s="48">
        <f>'Calendario B'!Y22</f>
        <v>0</v>
      </c>
      <c r="N51" s="48">
        <f>'Calendario B'!Z22</f>
        <v>0</v>
      </c>
    </row>
    <row r="52" spans="1:14" x14ac:dyDescent="0.25">
      <c r="A52" s="48" t="str">
        <f>'Calendario B'!M27</f>
        <v>(Squadra A)</v>
      </c>
      <c r="B52" s="48">
        <f>'Calendario B'!N27</f>
        <v>0</v>
      </c>
      <c r="C52" s="48">
        <f>'Calendario B'!O27</f>
        <v>0</v>
      </c>
      <c r="D52" s="48">
        <f>'Calendario B'!P27</f>
        <v>0</v>
      </c>
      <c r="E52" s="48">
        <f>'Calendario B'!Q27</f>
        <v>0</v>
      </c>
      <c r="F52" s="48">
        <f>'Calendario B'!R27</f>
        <v>0</v>
      </c>
      <c r="G52" s="48">
        <f>'Calendario B'!S27</f>
        <v>0</v>
      </c>
      <c r="H52" s="48" t="str">
        <f>'Calendario B'!T27</f>
        <v>(Squadra B)</v>
      </c>
      <c r="I52" s="48">
        <f>'Calendario B'!U27</f>
        <v>0</v>
      </c>
      <c r="J52" s="48">
        <f>'Calendario B'!V27</f>
        <v>0</v>
      </c>
      <c r="K52" s="48">
        <f>'Calendario B'!W27</f>
        <v>0</v>
      </c>
      <c r="L52" s="48">
        <f>'Calendario B'!X27</f>
        <v>0</v>
      </c>
      <c r="M52" s="48">
        <f>'Calendario B'!Y27</f>
        <v>0</v>
      </c>
      <c r="N52" s="48">
        <f>'Calendario B'!Z27</f>
        <v>0</v>
      </c>
    </row>
    <row r="53" spans="1:14" x14ac:dyDescent="0.25">
      <c r="A53" s="48" t="str">
        <f>'Calendario B'!M30</f>
        <v>(Squadra A)</v>
      </c>
      <c r="B53" s="48">
        <f>'Calendario B'!N30</f>
        <v>0</v>
      </c>
      <c r="C53" s="48">
        <f>'Calendario B'!O30</f>
        <v>0</v>
      </c>
      <c r="D53" s="48">
        <f>'Calendario B'!P30</f>
        <v>0</v>
      </c>
      <c r="E53" s="48">
        <f>'Calendario B'!Q30</f>
        <v>0</v>
      </c>
      <c r="F53" s="48">
        <f>'Calendario B'!R30</f>
        <v>0</v>
      </c>
      <c r="G53" s="48">
        <f>'Calendario B'!S30</f>
        <v>0</v>
      </c>
      <c r="H53" s="48" t="str">
        <f>'Calendario B'!T30</f>
        <v>(Squadra B)</v>
      </c>
      <c r="I53" s="48">
        <f>'Calendario B'!U30</f>
        <v>0</v>
      </c>
      <c r="J53" s="48">
        <f>'Calendario B'!V30</f>
        <v>0</v>
      </c>
      <c r="K53" s="48">
        <f>'Calendario B'!W30</f>
        <v>0</v>
      </c>
      <c r="L53" s="48">
        <f>'Calendario B'!X30</f>
        <v>0</v>
      </c>
      <c r="M53" s="48">
        <f>'Calendario B'!Y30</f>
        <v>0</v>
      </c>
      <c r="N53" s="48">
        <f>'Calendario B'!Z30</f>
        <v>0</v>
      </c>
    </row>
    <row r="54" spans="1:14" x14ac:dyDescent="0.25">
      <c r="A54" s="48" t="str">
        <f>'Calendario B'!M33</f>
        <v>(Squadra A)</v>
      </c>
      <c r="B54" s="48">
        <f>'Calendario B'!N33</f>
        <v>0</v>
      </c>
      <c r="C54" s="48">
        <f>'Calendario B'!O33</f>
        <v>0</v>
      </c>
      <c r="D54" s="48">
        <f>'Calendario B'!P33</f>
        <v>0</v>
      </c>
      <c r="E54" s="48">
        <f>'Calendario B'!Q33</f>
        <v>0</v>
      </c>
      <c r="F54" s="48">
        <f>'Calendario B'!R33</f>
        <v>0</v>
      </c>
      <c r="G54" s="48">
        <f>'Calendario B'!S33</f>
        <v>0</v>
      </c>
      <c r="H54" s="48" t="str">
        <f>'Calendario B'!T33</f>
        <v>(Squadra B)</v>
      </c>
      <c r="I54" s="48">
        <f>'Calendario B'!U33</f>
        <v>0</v>
      </c>
      <c r="J54" s="48">
        <f>'Calendario B'!V33</f>
        <v>0</v>
      </c>
      <c r="K54" s="48">
        <f>'Calendario B'!W33</f>
        <v>0</v>
      </c>
      <c r="L54" s="48">
        <f>'Calendario B'!X33</f>
        <v>0</v>
      </c>
      <c r="M54" s="48">
        <f>'Calendario B'!Y33</f>
        <v>0</v>
      </c>
      <c r="N54" s="48">
        <f>'Calendario B'!Z33</f>
        <v>0</v>
      </c>
    </row>
    <row r="55" spans="1:14" x14ac:dyDescent="0.25">
      <c r="A55" s="48" t="str">
        <f>'Calendario B'!M36</f>
        <v>(Squadra A)</v>
      </c>
      <c r="B55" s="48">
        <f>'Calendario B'!N36</f>
        <v>0</v>
      </c>
      <c r="C55" s="48">
        <f>'Calendario B'!O36</f>
        <v>0</v>
      </c>
      <c r="D55" s="48">
        <f>'Calendario B'!P36</f>
        <v>0</v>
      </c>
      <c r="E55" s="48">
        <f>'Calendario B'!Q36</f>
        <v>0</v>
      </c>
      <c r="F55" s="48">
        <f>'Calendario B'!R36</f>
        <v>0</v>
      </c>
      <c r="G55" s="48">
        <f>'Calendario B'!S36</f>
        <v>0</v>
      </c>
      <c r="H55" s="48" t="str">
        <f>'Calendario B'!T36</f>
        <v>(Squadra B)</v>
      </c>
      <c r="I55" s="48">
        <f>'Calendario B'!U36</f>
        <v>0</v>
      </c>
      <c r="J55" s="48">
        <f>'Calendario B'!V36</f>
        <v>0</v>
      </c>
      <c r="K55" s="48">
        <f>'Calendario B'!W36</f>
        <v>0</v>
      </c>
      <c r="L55" s="48">
        <f>'Calendario B'!X36</f>
        <v>0</v>
      </c>
      <c r="M55" s="48">
        <f>'Calendario B'!Y36</f>
        <v>0</v>
      </c>
      <c r="N55" s="48">
        <f>'Calendario B'!Z36</f>
        <v>0</v>
      </c>
    </row>
    <row r="56" spans="1:14" x14ac:dyDescent="0.25">
      <c r="A56" s="48" t="str">
        <f>'Calendario B'!M39</f>
        <v>(Squadra A)</v>
      </c>
      <c r="B56" s="48">
        <f>'Calendario B'!N39</f>
        <v>0</v>
      </c>
      <c r="C56" s="48">
        <f>'Calendario B'!O39</f>
        <v>0</v>
      </c>
      <c r="D56" s="48">
        <f>'Calendario B'!P39</f>
        <v>0</v>
      </c>
      <c r="E56" s="48">
        <f>'Calendario B'!Q39</f>
        <v>0</v>
      </c>
      <c r="F56" s="48">
        <f>'Calendario B'!R39</f>
        <v>0</v>
      </c>
      <c r="G56" s="48">
        <f>'Calendario B'!S39</f>
        <v>0</v>
      </c>
      <c r="H56" s="48" t="str">
        <f>'Calendario B'!T39</f>
        <v>(Squadra B)</v>
      </c>
      <c r="I56" s="48">
        <f>'Calendario B'!U39</f>
        <v>0</v>
      </c>
      <c r="J56" s="48">
        <f>'Calendario B'!V39</f>
        <v>0</v>
      </c>
      <c r="K56" s="48">
        <f>'Calendario B'!W39</f>
        <v>0</v>
      </c>
      <c r="L56" s="48">
        <f>'Calendario B'!X39</f>
        <v>0</v>
      </c>
      <c r="M56" s="48">
        <f>'Calendario B'!Y39</f>
        <v>0</v>
      </c>
      <c r="N56" s="48">
        <f>'Calendario B'!Z39</f>
        <v>0</v>
      </c>
    </row>
    <row r="57" spans="1:14" x14ac:dyDescent="0.25">
      <c r="A57" s="48" t="str">
        <f>'Calendario B'!M44</f>
        <v>(Squadra A)</v>
      </c>
      <c r="B57" s="48">
        <f>'Calendario B'!N44</f>
        <v>0</v>
      </c>
      <c r="C57" s="48">
        <f>'Calendario B'!O44</f>
        <v>0</v>
      </c>
      <c r="D57" s="48">
        <f>'Calendario B'!P44</f>
        <v>0</v>
      </c>
      <c r="E57" s="48">
        <f>'Calendario B'!Q44</f>
        <v>0</v>
      </c>
      <c r="F57" s="48">
        <f>'Calendario B'!R44</f>
        <v>0</v>
      </c>
      <c r="G57" s="48">
        <f>'Calendario B'!S44</f>
        <v>0</v>
      </c>
      <c r="H57" s="48" t="str">
        <f>'Calendario B'!T44</f>
        <v>(Squadra B)</v>
      </c>
      <c r="I57" s="48">
        <f>'Calendario B'!U44</f>
        <v>0</v>
      </c>
      <c r="J57" s="48">
        <f>'Calendario B'!V44</f>
        <v>0</v>
      </c>
      <c r="K57" s="48">
        <f>'Calendario B'!W44</f>
        <v>0</v>
      </c>
      <c r="L57" s="48">
        <f>'Calendario B'!X44</f>
        <v>0</v>
      </c>
      <c r="M57" s="48">
        <f>'Calendario B'!Y44</f>
        <v>0</v>
      </c>
      <c r="N57" s="48">
        <f>'Calendario B'!Z44</f>
        <v>0</v>
      </c>
    </row>
    <row r="58" spans="1:14" x14ac:dyDescent="0.25">
      <c r="A58" s="48" t="str">
        <f>'Calendario B'!M47</f>
        <v>(Squadra A)</v>
      </c>
      <c r="B58" s="48">
        <f>'Calendario B'!N47</f>
        <v>0</v>
      </c>
      <c r="C58" s="48">
        <f>'Calendario B'!O47</f>
        <v>0</v>
      </c>
      <c r="D58" s="48">
        <f>'Calendario B'!P47</f>
        <v>0</v>
      </c>
      <c r="E58" s="48">
        <f>'Calendario B'!Q47</f>
        <v>0</v>
      </c>
      <c r="F58" s="48">
        <f>'Calendario B'!R47</f>
        <v>0</v>
      </c>
      <c r="G58" s="48">
        <f>'Calendario B'!S47</f>
        <v>0</v>
      </c>
      <c r="H58" s="48" t="str">
        <f>'Calendario B'!T47</f>
        <v>(Squadra B)</v>
      </c>
      <c r="I58" s="48">
        <f>'Calendario B'!U47</f>
        <v>0</v>
      </c>
      <c r="J58" s="48">
        <f>'Calendario B'!V47</f>
        <v>0</v>
      </c>
      <c r="K58" s="48">
        <f>'Calendario B'!W47</f>
        <v>0</v>
      </c>
      <c r="L58" s="48">
        <f>'Calendario B'!X47</f>
        <v>0</v>
      </c>
      <c r="M58" s="48">
        <f>'Calendario B'!Y47</f>
        <v>0</v>
      </c>
      <c r="N58" s="48">
        <f>'Calendario B'!Z47</f>
        <v>0</v>
      </c>
    </row>
    <row r="59" spans="1:14" x14ac:dyDescent="0.25">
      <c r="A59" s="48" t="str">
        <f>'Calendario B'!M50</f>
        <v>(Squadra A)</v>
      </c>
      <c r="B59" s="48">
        <f>'Calendario B'!N50</f>
        <v>0</v>
      </c>
      <c r="C59" s="48">
        <f>'Calendario B'!O50</f>
        <v>0</v>
      </c>
      <c r="D59" s="48">
        <f>'Calendario B'!P50</f>
        <v>0</v>
      </c>
      <c r="E59" s="48">
        <f>'Calendario B'!Q50</f>
        <v>0</v>
      </c>
      <c r="F59" s="48">
        <f>'Calendario B'!R50</f>
        <v>0</v>
      </c>
      <c r="G59" s="48">
        <f>'Calendario B'!S50</f>
        <v>0</v>
      </c>
      <c r="H59" s="48" t="str">
        <f>'Calendario B'!T50</f>
        <v>(Squadra B)</v>
      </c>
      <c r="I59" s="48">
        <f>'Calendario B'!U50</f>
        <v>0</v>
      </c>
      <c r="J59" s="48">
        <f>'Calendario B'!V50</f>
        <v>0</v>
      </c>
      <c r="K59" s="48">
        <f>'Calendario B'!W50</f>
        <v>0</v>
      </c>
      <c r="L59" s="48">
        <f>'Calendario B'!X50</f>
        <v>0</v>
      </c>
      <c r="M59" s="48">
        <f>'Calendario B'!Y50</f>
        <v>0</v>
      </c>
      <c r="N59" s="48">
        <f>'Calendario B'!Z50</f>
        <v>0</v>
      </c>
    </row>
    <row r="60" spans="1:14" x14ac:dyDescent="0.25">
      <c r="A60" s="48" t="str">
        <f>'Calendario B'!M53</f>
        <v>(Squadra A)</v>
      </c>
      <c r="B60" s="48">
        <f>'Calendario B'!N53</f>
        <v>0</v>
      </c>
      <c r="C60" s="48">
        <f>'Calendario B'!O53</f>
        <v>0</v>
      </c>
      <c r="D60" s="48">
        <f>'Calendario B'!P53</f>
        <v>0</v>
      </c>
      <c r="E60" s="48">
        <f>'Calendario B'!Q53</f>
        <v>0</v>
      </c>
      <c r="F60" s="48">
        <f>'Calendario B'!R53</f>
        <v>0</v>
      </c>
      <c r="G60" s="48">
        <f>'Calendario B'!S53</f>
        <v>0</v>
      </c>
      <c r="H60" s="48" t="str">
        <f>'Calendario B'!T53</f>
        <v>(Squadra B)</v>
      </c>
      <c r="I60" s="48">
        <f>'Calendario B'!U53</f>
        <v>0</v>
      </c>
      <c r="J60" s="48">
        <f>'Calendario B'!V53</f>
        <v>0</v>
      </c>
      <c r="K60" s="48">
        <f>'Calendario B'!W53</f>
        <v>0</v>
      </c>
      <c r="L60" s="48">
        <f>'Calendario B'!X53</f>
        <v>0</v>
      </c>
      <c r="M60" s="48">
        <f>'Calendario B'!Y53</f>
        <v>0</v>
      </c>
      <c r="N60" s="48">
        <f>'Calendario B'!Z53</f>
        <v>0</v>
      </c>
    </row>
    <row r="61" spans="1:14" x14ac:dyDescent="0.25">
      <c r="A61" s="48" t="str">
        <f>'Calendario B'!M56</f>
        <v>(Squadra A)</v>
      </c>
      <c r="B61" s="48">
        <f>'Calendario B'!N56</f>
        <v>0</v>
      </c>
      <c r="C61" s="48">
        <f>'Calendario B'!O56</f>
        <v>0</v>
      </c>
      <c r="D61" s="48">
        <f>'Calendario B'!P56</f>
        <v>0</v>
      </c>
      <c r="E61" s="48">
        <f>'Calendario B'!Q56</f>
        <v>0</v>
      </c>
      <c r="F61" s="48">
        <f>'Calendario B'!R56</f>
        <v>0</v>
      </c>
      <c r="G61" s="48">
        <f>'Calendario B'!S56</f>
        <v>0</v>
      </c>
      <c r="H61" s="48" t="str">
        <f>'Calendario B'!T56</f>
        <v>(Squadra B)</v>
      </c>
      <c r="I61" s="48">
        <f>'Calendario B'!U56</f>
        <v>0</v>
      </c>
      <c r="J61" s="48">
        <f>'Calendario B'!V56</f>
        <v>0</v>
      </c>
      <c r="K61" s="48">
        <f>'Calendario B'!W56</f>
        <v>0</v>
      </c>
      <c r="L61" s="48">
        <f>'Calendario B'!X56</f>
        <v>0</v>
      </c>
      <c r="M61" s="48">
        <f>'Calendario B'!Y56</f>
        <v>0</v>
      </c>
      <c r="N61" s="48">
        <f>'Calendario B'!Z56</f>
        <v>0</v>
      </c>
    </row>
    <row r="62" spans="1:14" x14ac:dyDescent="0.25">
      <c r="A62" s="48" t="str">
        <f>'Calendario B'!M61</f>
        <v>(Squadra A)</v>
      </c>
      <c r="B62" s="48">
        <f>'Calendario B'!N61</f>
        <v>0</v>
      </c>
      <c r="C62" s="48">
        <f>'Calendario B'!O61</f>
        <v>0</v>
      </c>
      <c r="D62" s="48">
        <f>'Calendario B'!P61</f>
        <v>0</v>
      </c>
      <c r="E62" s="48">
        <f>'Calendario B'!Q61</f>
        <v>0</v>
      </c>
      <c r="F62" s="48">
        <f>'Calendario B'!R61</f>
        <v>0</v>
      </c>
      <c r="G62" s="48">
        <f>'Calendario B'!S61</f>
        <v>0</v>
      </c>
      <c r="H62" s="48" t="str">
        <f>'Calendario B'!T61</f>
        <v>(Squadra B)</v>
      </c>
      <c r="I62" s="48">
        <f>'Calendario B'!U61</f>
        <v>0</v>
      </c>
      <c r="J62" s="48">
        <f>'Calendario B'!V61</f>
        <v>0</v>
      </c>
      <c r="K62" s="48">
        <f>'Calendario B'!W61</f>
        <v>0</v>
      </c>
      <c r="L62" s="48">
        <f>'Calendario B'!X61</f>
        <v>0</v>
      </c>
      <c r="M62" s="48">
        <f>'Calendario B'!Y61</f>
        <v>0</v>
      </c>
      <c r="N62" s="48">
        <f>'Calendario B'!Z61</f>
        <v>0</v>
      </c>
    </row>
    <row r="63" spans="1:14" x14ac:dyDescent="0.25">
      <c r="A63" s="48" t="str">
        <f>'Calendario B'!M64</f>
        <v>(Squadra A)</v>
      </c>
      <c r="B63" s="48">
        <f>'Calendario B'!N64</f>
        <v>0</v>
      </c>
      <c r="C63" s="48">
        <f>'Calendario B'!O64</f>
        <v>0</v>
      </c>
      <c r="D63" s="48">
        <f>'Calendario B'!P64</f>
        <v>0</v>
      </c>
      <c r="E63" s="48">
        <f>'Calendario B'!Q64</f>
        <v>0</v>
      </c>
      <c r="F63" s="48">
        <f>'Calendario B'!R64</f>
        <v>0</v>
      </c>
      <c r="G63" s="48">
        <f>'Calendario B'!S64</f>
        <v>0</v>
      </c>
      <c r="H63" s="48" t="str">
        <f>'Calendario B'!T64</f>
        <v>(Squadra B)</v>
      </c>
      <c r="I63" s="48">
        <f>'Calendario B'!U64</f>
        <v>0</v>
      </c>
      <c r="J63" s="48">
        <f>'Calendario B'!V64</f>
        <v>0</v>
      </c>
      <c r="K63" s="48">
        <f>'Calendario B'!W64</f>
        <v>0</v>
      </c>
      <c r="L63" s="48">
        <f>'Calendario B'!X64</f>
        <v>0</v>
      </c>
      <c r="M63" s="48">
        <f>'Calendario B'!Y64</f>
        <v>0</v>
      </c>
      <c r="N63" s="48">
        <f>'Calendario B'!Z64</f>
        <v>0</v>
      </c>
    </row>
    <row r="64" spans="1:14" x14ac:dyDescent="0.25">
      <c r="A64" s="48" t="str">
        <f>'Calendario B'!M67</f>
        <v>(Squadra A)</v>
      </c>
      <c r="B64" s="48">
        <f>'Calendario B'!N67</f>
        <v>0</v>
      </c>
      <c r="C64" s="48">
        <f>'Calendario B'!O67</f>
        <v>0</v>
      </c>
      <c r="D64" s="48">
        <f>'Calendario B'!P67</f>
        <v>0</v>
      </c>
      <c r="E64" s="48">
        <f>'Calendario B'!Q67</f>
        <v>0</v>
      </c>
      <c r="F64" s="48">
        <f>'Calendario B'!R67</f>
        <v>0</v>
      </c>
      <c r="G64" s="48">
        <f>'Calendario B'!S67</f>
        <v>0</v>
      </c>
      <c r="H64" s="48" t="str">
        <f>'Calendario B'!T67</f>
        <v>(Squadra B)</v>
      </c>
      <c r="I64" s="48">
        <f>'Calendario B'!U67</f>
        <v>0</v>
      </c>
      <c r="J64" s="48">
        <f>'Calendario B'!V67</f>
        <v>0</v>
      </c>
      <c r="K64" s="48">
        <f>'Calendario B'!W67</f>
        <v>0</v>
      </c>
      <c r="L64" s="48">
        <f>'Calendario B'!X67</f>
        <v>0</v>
      </c>
      <c r="M64" s="48">
        <f>'Calendario B'!Y67</f>
        <v>0</v>
      </c>
      <c r="N64" s="48">
        <f>'Calendario B'!Z67</f>
        <v>0</v>
      </c>
    </row>
    <row r="65" spans="1:14" x14ac:dyDescent="0.25">
      <c r="A65" s="48" t="str">
        <f>'Calendario B'!M70</f>
        <v>(Squadra A)</v>
      </c>
      <c r="B65" s="48">
        <f>'Calendario B'!N70</f>
        <v>0</v>
      </c>
      <c r="C65" s="48">
        <f>'Calendario B'!O70</f>
        <v>0</v>
      </c>
      <c r="D65" s="48">
        <f>'Calendario B'!P70</f>
        <v>0</v>
      </c>
      <c r="E65" s="48">
        <f>'Calendario B'!Q70</f>
        <v>0</v>
      </c>
      <c r="F65" s="48">
        <f>'Calendario B'!R70</f>
        <v>0</v>
      </c>
      <c r="G65" s="48">
        <f>'Calendario B'!S70</f>
        <v>0</v>
      </c>
      <c r="H65" s="48" t="str">
        <f>'Calendario B'!T70</f>
        <v>(Squadra B)</v>
      </c>
      <c r="I65" s="48">
        <f>'Calendario B'!U70</f>
        <v>0</v>
      </c>
      <c r="J65" s="48">
        <f>'Calendario B'!V70</f>
        <v>0</v>
      </c>
      <c r="K65" s="48">
        <f>'Calendario B'!W70</f>
        <v>0</v>
      </c>
      <c r="L65" s="48">
        <f>'Calendario B'!X70</f>
        <v>0</v>
      </c>
      <c r="M65" s="48">
        <f>'Calendario B'!Y70</f>
        <v>0</v>
      </c>
      <c r="N65" s="48">
        <f>'Calendario B'!Z70</f>
        <v>0</v>
      </c>
    </row>
    <row r="66" spans="1:14" x14ac:dyDescent="0.25">
      <c r="A66" s="48" t="str">
        <f>'Calendario B'!M73</f>
        <v>(Squadra A)</v>
      </c>
      <c r="B66" s="48">
        <f>'Calendario B'!N73</f>
        <v>0</v>
      </c>
      <c r="C66" s="48">
        <f>'Calendario B'!O73</f>
        <v>0</v>
      </c>
      <c r="D66" s="48">
        <f>'Calendario B'!P73</f>
        <v>0</v>
      </c>
      <c r="E66" s="48">
        <f>'Calendario B'!Q73</f>
        <v>0</v>
      </c>
      <c r="F66" s="48">
        <f>'Calendario B'!R73</f>
        <v>0</v>
      </c>
      <c r="G66" s="48">
        <f>'Calendario B'!S73</f>
        <v>0</v>
      </c>
      <c r="H66" s="48" t="str">
        <f>'Calendario B'!T73</f>
        <v>(Squadra B)</v>
      </c>
      <c r="I66" s="48">
        <f>'Calendario B'!U73</f>
        <v>0</v>
      </c>
      <c r="J66" s="48">
        <f>'Calendario B'!V73</f>
        <v>0</v>
      </c>
      <c r="K66" s="48">
        <f>'Calendario B'!W73</f>
        <v>0</v>
      </c>
      <c r="L66" s="48">
        <f>'Calendario B'!X73</f>
        <v>0</v>
      </c>
      <c r="M66" s="48">
        <f>'Calendario B'!Y73</f>
        <v>0</v>
      </c>
      <c r="N66" s="48">
        <f>'Calendario B'!Z73</f>
        <v>0</v>
      </c>
    </row>
    <row r="67" spans="1:14" x14ac:dyDescent="0.25">
      <c r="A67" s="48" t="str">
        <f>'Calendario B'!M78</f>
        <v>(Squadra A)</v>
      </c>
      <c r="B67" s="48">
        <f>'Calendario B'!N78</f>
        <v>0</v>
      </c>
      <c r="C67" s="48">
        <f>'Calendario B'!O78</f>
        <v>0</v>
      </c>
      <c r="D67" s="48">
        <f>'Calendario B'!P78</f>
        <v>0</v>
      </c>
      <c r="E67" s="48">
        <f>'Calendario B'!Q78</f>
        <v>0</v>
      </c>
      <c r="F67" s="48">
        <f>'Calendario B'!R78</f>
        <v>0</v>
      </c>
      <c r="G67" s="48">
        <f>'Calendario B'!S78</f>
        <v>0</v>
      </c>
      <c r="H67" s="48" t="str">
        <f>'Calendario B'!T78</f>
        <v>(Squadra B)</v>
      </c>
      <c r="I67" s="48">
        <f>'Calendario B'!U78</f>
        <v>0</v>
      </c>
      <c r="J67" s="48">
        <f>'Calendario B'!V78</f>
        <v>0</v>
      </c>
      <c r="K67" s="48">
        <f>'Calendario B'!W78</f>
        <v>0</v>
      </c>
      <c r="L67" s="48">
        <f>'Calendario B'!X78</f>
        <v>0</v>
      </c>
      <c r="M67" s="48">
        <f>'Calendario B'!Y78</f>
        <v>0</v>
      </c>
      <c r="N67" s="48">
        <f>'Calendario B'!Z78</f>
        <v>0</v>
      </c>
    </row>
    <row r="68" spans="1:14" x14ac:dyDescent="0.25">
      <c r="A68" s="48" t="str">
        <f>'Calendario B'!M81</f>
        <v>(Squadra A)</v>
      </c>
      <c r="B68" s="48">
        <f>'Calendario B'!N81</f>
        <v>0</v>
      </c>
      <c r="C68" s="48">
        <f>'Calendario B'!O81</f>
        <v>0</v>
      </c>
      <c r="D68" s="48">
        <f>'Calendario B'!P81</f>
        <v>0</v>
      </c>
      <c r="E68" s="48">
        <f>'Calendario B'!Q81</f>
        <v>0</v>
      </c>
      <c r="F68" s="48">
        <f>'Calendario B'!R81</f>
        <v>0</v>
      </c>
      <c r="G68" s="48">
        <f>'Calendario B'!S81</f>
        <v>0</v>
      </c>
      <c r="H68" s="48" t="str">
        <f>'Calendario B'!T81</f>
        <v>(Squadra B)</v>
      </c>
      <c r="I68" s="48">
        <f>'Calendario B'!U81</f>
        <v>0</v>
      </c>
      <c r="J68" s="48">
        <f>'Calendario B'!V81</f>
        <v>0</v>
      </c>
      <c r="K68" s="48">
        <f>'Calendario B'!W81</f>
        <v>0</v>
      </c>
      <c r="L68" s="48">
        <f>'Calendario B'!X81</f>
        <v>0</v>
      </c>
      <c r="M68" s="48">
        <f>'Calendario B'!Y81</f>
        <v>0</v>
      </c>
      <c r="N68" s="48">
        <f>'Calendario B'!Z81</f>
        <v>0</v>
      </c>
    </row>
    <row r="69" spans="1:14" x14ac:dyDescent="0.25">
      <c r="A69" s="48" t="str">
        <f>'Calendario B'!M84</f>
        <v>(Squadra A)</v>
      </c>
      <c r="B69" s="48">
        <f>'Calendario B'!N84</f>
        <v>0</v>
      </c>
      <c r="C69" s="48">
        <f>'Calendario B'!O84</f>
        <v>0</v>
      </c>
      <c r="D69" s="48">
        <f>'Calendario B'!P84</f>
        <v>0</v>
      </c>
      <c r="E69" s="48">
        <f>'Calendario B'!Q84</f>
        <v>0</v>
      </c>
      <c r="F69" s="48">
        <f>'Calendario B'!R84</f>
        <v>0</v>
      </c>
      <c r="G69" s="48">
        <f>'Calendario B'!S84</f>
        <v>0</v>
      </c>
      <c r="H69" s="48" t="str">
        <f>'Calendario B'!T84</f>
        <v>(Squadra B)</v>
      </c>
      <c r="I69" s="48">
        <f>'Calendario B'!U84</f>
        <v>0</v>
      </c>
      <c r="J69" s="48">
        <f>'Calendario B'!V84</f>
        <v>0</v>
      </c>
      <c r="K69" s="48">
        <f>'Calendario B'!W84</f>
        <v>0</v>
      </c>
      <c r="L69" s="48">
        <f>'Calendario B'!X84</f>
        <v>0</v>
      </c>
      <c r="M69" s="48">
        <f>'Calendario B'!Y84</f>
        <v>0</v>
      </c>
      <c r="N69" s="48">
        <f>'Calendario B'!Z84</f>
        <v>0</v>
      </c>
    </row>
    <row r="70" spans="1:14" x14ac:dyDescent="0.25">
      <c r="A70" s="48" t="str">
        <f>'Calendario B'!M87</f>
        <v>(Squadra A)</v>
      </c>
      <c r="B70" s="48">
        <f>'Calendario B'!N87</f>
        <v>0</v>
      </c>
      <c r="C70" s="48">
        <f>'Calendario B'!O87</f>
        <v>0</v>
      </c>
      <c r="D70" s="48">
        <f>'Calendario B'!P87</f>
        <v>0</v>
      </c>
      <c r="E70" s="48">
        <f>'Calendario B'!Q87</f>
        <v>0</v>
      </c>
      <c r="F70" s="48">
        <f>'Calendario B'!R87</f>
        <v>0</v>
      </c>
      <c r="G70" s="48">
        <f>'Calendario B'!S87</f>
        <v>0</v>
      </c>
      <c r="H70" s="48" t="str">
        <f>'Calendario B'!T87</f>
        <v>(Squadra B)</v>
      </c>
      <c r="I70" s="48">
        <f>'Calendario B'!U87</f>
        <v>0</v>
      </c>
      <c r="J70" s="48">
        <f>'Calendario B'!V87</f>
        <v>0</v>
      </c>
      <c r="K70" s="48">
        <f>'Calendario B'!W87</f>
        <v>0</v>
      </c>
      <c r="L70" s="48">
        <f>'Calendario B'!X87</f>
        <v>0</v>
      </c>
      <c r="M70" s="48">
        <f>'Calendario B'!Y87</f>
        <v>0</v>
      </c>
      <c r="N70" s="48">
        <f>'Calendario B'!Z87</f>
        <v>0</v>
      </c>
    </row>
    <row r="71" spans="1:14" x14ac:dyDescent="0.25">
      <c r="A71" s="48" t="str">
        <f>'Calendario B'!M90</f>
        <v>(Squadra A)</v>
      </c>
      <c r="B71" s="48">
        <f>'Calendario B'!N90</f>
        <v>0</v>
      </c>
      <c r="C71" s="48">
        <f>'Calendario B'!O90</f>
        <v>0</v>
      </c>
      <c r="D71" s="48">
        <f>'Calendario B'!P90</f>
        <v>0</v>
      </c>
      <c r="E71" s="48">
        <f>'Calendario B'!Q90</f>
        <v>0</v>
      </c>
      <c r="F71" s="48">
        <f>'Calendario B'!R90</f>
        <v>0</v>
      </c>
      <c r="G71" s="48">
        <f>'Calendario B'!S90</f>
        <v>0</v>
      </c>
      <c r="H71" s="48" t="str">
        <f>'Calendario B'!T90</f>
        <v>(Squadra B)</v>
      </c>
      <c r="I71" s="48">
        <f>'Calendario B'!U90</f>
        <v>0</v>
      </c>
      <c r="J71" s="48">
        <f>'Calendario B'!V90</f>
        <v>0</v>
      </c>
      <c r="K71" s="48">
        <f>'Calendario B'!W90</f>
        <v>0</v>
      </c>
      <c r="L71" s="48">
        <f>'Calendario B'!X90</f>
        <v>0</v>
      </c>
      <c r="M71" s="48">
        <f>'Calendario B'!Y90</f>
        <v>0</v>
      </c>
      <c r="N71" s="48">
        <f>'Calendario B'!Z90</f>
        <v>0</v>
      </c>
    </row>
    <row r="72" spans="1:14" x14ac:dyDescent="0.25">
      <c r="A72" s="48" t="str">
        <f>'Calendario B'!M95</f>
        <v>(Squadra A)</v>
      </c>
      <c r="B72" s="48">
        <f>'Calendario B'!N95</f>
        <v>0</v>
      </c>
      <c r="C72" s="48">
        <f>'Calendario B'!O95</f>
        <v>0</v>
      </c>
      <c r="D72" s="48">
        <f>'Calendario B'!P95</f>
        <v>0</v>
      </c>
      <c r="E72" s="48">
        <f>'Calendario B'!Q95</f>
        <v>0</v>
      </c>
      <c r="F72" s="48">
        <f>'Calendario B'!R95</f>
        <v>0</v>
      </c>
      <c r="G72" s="48">
        <f>'Calendario B'!S95</f>
        <v>0</v>
      </c>
      <c r="H72" s="48" t="str">
        <f>'Calendario B'!T95</f>
        <v>(Squadra B)</v>
      </c>
      <c r="I72" s="48">
        <f>'Calendario B'!U95</f>
        <v>0</v>
      </c>
      <c r="J72" s="48">
        <f>'Calendario B'!V95</f>
        <v>0</v>
      </c>
      <c r="K72" s="48">
        <f>'Calendario B'!W95</f>
        <v>0</v>
      </c>
      <c r="L72" s="48">
        <f>'Calendario B'!X95</f>
        <v>0</v>
      </c>
      <c r="M72" s="48">
        <f>'Calendario B'!Y95</f>
        <v>0</v>
      </c>
      <c r="N72" s="48">
        <f>'Calendario B'!Z95</f>
        <v>0</v>
      </c>
    </row>
    <row r="73" spans="1:14" x14ac:dyDescent="0.25">
      <c r="A73" s="48" t="str">
        <f>'Calendario B'!M98</f>
        <v>(Squadra A)</v>
      </c>
      <c r="B73" s="48">
        <f>'Calendario B'!N98</f>
        <v>0</v>
      </c>
      <c r="C73" s="48">
        <f>'Calendario B'!O98</f>
        <v>0</v>
      </c>
      <c r="D73" s="48">
        <f>'Calendario B'!P98</f>
        <v>0</v>
      </c>
      <c r="E73" s="48">
        <f>'Calendario B'!Q98</f>
        <v>0</v>
      </c>
      <c r="F73" s="48">
        <f>'Calendario B'!R98</f>
        <v>0</v>
      </c>
      <c r="G73" s="48">
        <f>'Calendario B'!S98</f>
        <v>0</v>
      </c>
      <c r="H73" s="48" t="str">
        <f>'Calendario B'!T98</f>
        <v>(Squadra B)</v>
      </c>
      <c r="I73" s="48">
        <f>'Calendario B'!U98</f>
        <v>0</v>
      </c>
      <c r="J73" s="48">
        <f>'Calendario B'!V98</f>
        <v>0</v>
      </c>
      <c r="K73" s="48">
        <f>'Calendario B'!W98</f>
        <v>0</v>
      </c>
      <c r="L73" s="48">
        <f>'Calendario B'!X98</f>
        <v>0</v>
      </c>
      <c r="M73" s="48">
        <f>'Calendario B'!Y98</f>
        <v>0</v>
      </c>
      <c r="N73" s="48">
        <f>'Calendario B'!Z98</f>
        <v>0</v>
      </c>
    </row>
    <row r="74" spans="1:14" x14ac:dyDescent="0.25">
      <c r="A74" s="48" t="str">
        <f>'Calendario B'!M101</f>
        <v>(Squadra A)</v>
      </c>
      <c r="B74" s="48">
        <f>'Calendario B'!N101</f>
        <v>0</v>
      </c>
      <c r="C74" s="48">
        <f>'Calendario B'!O101</f>
        <v>0</v>
      </c>
      <c r="D74" s="48">
        <f>'Calendario B'!P101</f>
        <v>0</v>
      </c>
      <c r="E74" s="48">
        <f>'Calendario B'!Q101</f>
        <v>0</v>
      </c>
      <c r="F74" s="48">
        <f>'Calendario B'!R101</f>
        <v>0</v>
      </c>
      <c r="G74" s="48">
        <f>'Calendario B'!S101</f>
        <v>0</v>
      </c>
      <c r="H74" s="48" t="str">
        <f>'Calendario B'!T101</f>
        <v>(Squadra B)</v>
      </c>
      <c r="I74" s="48">
        <f>'Calendario B'!U101</f>
        <v>0</v>
      </c>
      <c r="J74" s="48">
        <f>'Calendario B'!V101</f>
        <v>0</v>
      </c>
      <c r="K74" s="48">
        <f>'Calendario B'!W101</f>
        <v>0</v>
      </c>
      <c r="L74" s="48">
        <f>'Calendario B'!X101</f>
        <v>0</v>
      </c>
      <c r="M74" s="48">
        <f>'Calendario B'!Y101</f>
        <v>0</v>
      </c>
      <c r="N74" s="48">
        <f>'Calendario B'!Z101</f>
        <v>0</v>
      </c>
    </row>
    <row r="75" spans="1:14" x14ac:dyDescent="0.25">
      <c r="A75" s="48" t="str">
        <f>'Calendario B'!M104</f>
        <v>(Squadra A)</v>
      </c>
      <c r="B75" s="48">
        <f>'Calendario B'!N104</f>
        <v>0</v>
      </c>
      <c r="C75" s="48">
        <f>'Calendario B'!O104</f>
        <v>0</v>
      </c>
      <c r="D75" s="48">
        <f>'Calendario B'!P104</f>
        <v>0</v>
      </c>
      <c r="E75" s="48">
        <f>'Calendario B'!Q104</f>
        <v>0</v>
      </c>
      <c r="F75" s="48">
        <f>'Calendario B'!R104</f>
        <v>0</v>
      </c>
      <c r="G75" s="48">
        <f>'Calendario B'!S104</f>
        <v>0</v>
      </c>
      <c r="H75" s="48" t="str">
        <f>'Calendario B'!T104</f>
        <v>(Squadra B)</v>
      </c>
      <c r="I75" s="48">
        <f>'Calendario B'!U104</f>
        <v>0</v>
      </c>
      <c r="J75" s="48">
        <f>'Calendario B'!V104</f>
        <v>0</v>
      </c>
      <c r="K75" s="48">
        <f>'Calendario B'!W104</f>
        <v>0</v>
      </c>
      <c r="L75" s="48">
        <f>'Calendario B'!X104</f>
        <v>0</v>
      </c>
      <c r="M75" s="48">
        <f>'Calendario B'!Y104</f>
        <v>0</v>
      </c>
      <c r="N75" s="48">
        <f>'Calendario B'!Z104</f>
        <v>0</v>
      </c>
    </row>
    <row r="76" spans="1:14" x14ac:dyDescent="0.25">
      <c r="A76" s="48" t="str">
        <f>'Calendario B'!M107</f>
        <v>(Squadra A)</v>
      </c>
      <c r="B76" s="48">
        <f>'Calendario B'!N107</f>
        <v>0</v>
      </c>
      <c r="C76" s="48">
        <f>'Calendario B'!O107</f>
        <v>0</v>
      </c>
      <c r="D76" s="48">
        <f>'Calendario B'!P107</f>
        <v>0</v>
      </c>
      <c r="E76" s="48">
        <f>'Calendario B'!Q107</f>
        <v>0</v>
      </c>
      <c r="F76" s="48">
        <f>'Calendario B'!R107</f>
        <v>0</v>
      </c>
      <c r="G76" s="48">
        <f>'Calendario B'!S107</f>
        <v>0</v>
      </c>
      <c r="H76" s="48" t="str">
        <f>'Calendario B'!T107</f>
        <v>(Squadra B)</v>
      </c>
      <c r="I76" s="48">
        <f>'Calendario B'!U107</f>
        <v>0</v>
      </c>
      <c r="J76" s="48">
        <f>'Calendario B'!V107</f>
        <v>0</v>
      </c>
      <c r="K76" s="48">
        <f>'Calendario B'!W107</f>
        <v>0</v>
      </c>
      <c r="L76" s="48">
        <f>'Calendario B'!X107</f>
        <v>0</v>
      </c>
      <c r="M76" s="48">
        <f>'Calendario B'!Y107</f>
        <v>0</v>
      </c>
      <c r="N76" s="48">
        <f>'Calendario B'!Z107</f>
        <v>0</v>
      </c>
    </row>
    <row r="77" spans="1:14" x14ac:dyDescent="0.25">
      <c r="A77" s="48" t="str">
        <f>'Calendario B'!M112</f>
        <v>(Squadra A)</v>
      </c>
      <c r="B77" s="48">
        <f>'Calendario B'!N112</f>
        <v>0</v>
      </c>
      <c r="C77" s="48">
        <f>'Calendario B'!O112</f>
        <v>0</v>
      </c>
      <c r="D77" s="48">
        <f>'Calendario B'!P112</f>
        <v>0</v>
      </c>
      <c r="E77" s="48">
        <f>'Calendario B'!Q112</f>
        <v>0</v>
      </c>
      <c r="F77" s="48">
        <f>'Calendario B'!R112</f>
        <v>0</v>
      </c>
      <c r="G77" s="48">
        <f>'Calendario B'!S112</f>
        <v>0</v>
      </c>
      <c r="H77" s="48" t="str">
        <f>'Calendario B'!T112</f>
        <v>(Squadra B)</v>
      </c>
      <c r="I77" s="48">
        <f>'Calendario B'!U112</f>
        <v>0</v>
      </c>
      <c r="J77" s="48">
        <f>'Calendario B'!V112</f>
        <v>0</v>
      </c>
      <c r="K77" s="48">
        <f>'Calendario B'!W112</f>
        <v>0</v>
      </c>
      <c r="L77" s="48">
        <f>'Calendario B'!X112</f>
        <v>0</v>
      </c>
      <c r="M77" s="48">
        <f>'Calendario B'!Y112</f>
        <v>0</v>
      </c>
      <c r="N77" s="48">
        <f>'Calendario B'!Z112</f>
        <v>0</v>
      </c>
    </row>
    <row r="78" spans="1:14" x14ac:dyDescent="0.25">
      <c r="A78" s="48" t="str">
        <f>'Calendario B'!M115</f>
        <v>(Squadra A)</v>
      </c>
      <c r="B78" s="48">
        <f>'Calendario B'!N115</f>
        <v>0</v>
      </c>
      <c r="C78" s="48">
        <f>'Calendario B'!O115</f>
        <v>0</v>
      </c>
      <c r="D78" s="48">
        <f>'Calendario B'!P115</f>
        <v>0</v>
      </c>
      <c r="E78" s="48">
        <f>'Calendario B'!Q115</f>
        <v>0</v>
      </c>
      <c r="F78" s="48">
        <f>'Calendario B'!R115</f>
        <v>0</v>
      </c>
      <c r="G78" s="48">
        <f>'Calendario B'!S115</f>
        <v>0</v>
      </c>
      <c r="H78" s="48" t="str">
        <f>'Calendario B'!T115</f>
        <v>(Squadra B)</v>
      </c>
      <c r="I78" s="48">
        <f>'Calendario B'!U115</f>
        <v>0</v>
      </c>
      <c r="J78" s="48">
        <f>'Calendario B'!V115</f>
        <v>0</v>
      </c>
      <c r="K78" s="48">
        <f>'Calendario B'!W115</f>
        <v>0</v>
      </c>
      <c r="L78" s="48">
        <f>'Calendario B'!X115</f>
        <v>0</v>
      </c>
      <c r="M78" s="48">
        <f>'Calendario B'!Y115</f>
        <v>0</v>
      </c>
      <c r="N78" s="48">
        <f>'Calendario B'!Z115</f>
        <v>0</v>
      </c>
    </row>
    <row r="79" spans="1:14" x14ac:dyDescent="0.25">
      <c r="A79" s="48" t="str">
        <f>'Calendario B'!M118</f>
        <v>(Squadra A)</v>
      </c>
      <c r="B79" s="48">
        <f>'Calendario B'!N118</f>
        <v>0</v>
      </c>
      <c r="C79" s="48">
        <f>'Calendario B'!O118</f>
        <v>0</v>
      </c>
      <c r="D79" s="48">
        <f>'Calendario B'!P118</f>
        <v>0</v>
      </c>
      <c r="E79" s="48">
        <f>'Calendario B'!Q118</f>
        <v>0</v>
      </c>
      <c r="F79" s="48">
        <f>'Calendario B'!R118</f>
        <v>0</v>
      </c>
      <c r="G79" s="48">
        <f>'Calendario B'!S118</f>
        <v>0</v>
      </c>
      <c r="H79" s="48" t="str">
        <f>'Calendario B'!T118</f>
        <v>(Squadra B)</v>
      </c>
      <c r="I79" s="48">
        <f>'Calendario B'!U118</f>
        <v>0</v>
      </c>
      <c r="J79" s="48">
        <f>'Calendario B'!V118</f>
        <v>0</v>
      </c>
      <c r="K79" s="48">
        <f>'Calendario B'!W118</f>
        <v>0</v>
      </c>
      <c r="L79" s="48">
        <f>'Calendario B'!X118</f>
        <v>0</v>
      </c>
      <c r="M79" s="48">
        <f>'Calendario B'!Y118</f>
        <v>0</v>
      </c>
      <c r="N79" s="48">
        <f>'Calendario B'!Z118</f>
        <v>0</v>
      </c>
    </row>
    <row r="80" spans="1:14" x14ac:dyDescent="0.25">
      <c r="A80" s="48" t="str">
        <f>'Calendario B'!M121</f>
        <v>(Squadra A)</v>
      </c>
      <c r="B80" s="48">
        <f>'Calendario B'!N121</f>
        <v>0</v>
      </c>
      <c r="C80" s="48">
        <f>'Calendario B'!O121</f>
        <v>0</v>
      </c>
      <c r="D80" s="48">
        <f>'Calendario B'!P121</f>
        <v>0</v>
      </c>
      <c r="E80" s="48">
        <f>'Calendario B'!Q121</f>
        <v>0</v>
      </c>
      <c r="F80" s="48">
        <f>'Calendario B'!R121</f>
        <v>0</v>
      </c>
      <c r="G80" s="48">
        <f>'Calendario B'!S121</f>
        <v>0</v>
      </c>
      <c r="H80" s="48" t="str">
        <f>'Calendario B'!T121</f>
        <v>(Squadra B)</v>
      </c>
      <c r="I80" s="48">
        <f>'Calendario B'!U121</f>
        <v>0</v>
      </c>
      <c r="J80" s="48">
        <f>'Calendario B'!V121</f>
        <v>0</v>
      </c>
      <c r="K80" s="48">
        <f>'Calendario B'!W121</f>
        <v>0</v>
      </c>
      <c r="L80" s="48">
        <f>'Calendario B'!X121</f>
        <v>0</v>
      </c>
      <c r="M80" s="48">
        <f>'Calendario B'!Y121</f>
        <v>0</v>
      </c>
      <c r="N80" s="48">
        <f>'Calendario B'!Z121</f>
        <v>0</v>
      </c>
    </row>
    <row r="81" spans="1:14" x14ac:dyDescent="0.25">
      <c r="A81" s="48" t="str">
        <f>'Calendario B'!M124</f>
        <v>(Squadra A)</v>
      </c>
      <c r="B81" s="48">
        <f>'Calendario B'!N124</f>
        <v>0</v>
      </c>
      <c r="C81" s="48">
        <f>'Calendario B'!O124</f>
        <v>0</v>
      </c>
      <c r="D81" s="48">
        <f>'Calendario B'!P124</f>
        <v>0</v>
      </c>
      <c r="E81" s="48">
        <f>'Calendario B'!Q124</f>
        <v>0</v>
      </c>
      <c r="F81" s="48">
        <f>'Calendario B'!R124</f>
        <v>0</v>
      </c>
      <c r="G81" s="48">
        <f>'Calendario B'!S124</f>
        <v>0</v>
      </c>
      <c r="H81" s="48" t="str">
        <f>'Calendario B'!T124</f>
        <v>(Squadra B)</v>
      </c>
      <c r="I81" s="48">
        <f>'Calendario B'!U124</f>
        <v>0</v>
      </c>
      <c r="J81" s="48">
        <f>'Calendario B'!V124</f>
        <v>0</v>
      </c>
      <c r="K81" s="48">
        <f>'Calendario B'!W124</f>
        <v>0</v>
      </c>
      <c r="L81" s="48">
        <f>'Calendario B'!X124</f>
        <v>0</v>
      </c>
      <c r="M81" s="48">
        <f>'Calendario B'!Y124</f>
        <v>0</v>
      </c>
      <c r="N81" s="48">
        <f>'Calendario B'!Z124</f>
        <v>0</v>
      </c>
    </row>
    <row r="82" spans="1:14" x14ac:dyDescent="0.25">
      <c r="A82" s="48" t="str">
        <f>'Calendario B'!M129</f>
        <v>(Squadra A)</v>
      </c>
      <c r="B82" s="48">
        <f>'Calendario B'!N129</f>
        <v>0</v>
      </c>
      <c r="C82" s="48">
        <f>'Calendario B'!O129</f>
        <v>0</v>
      </c>
      <c r="D82" s="48">
        <f>'Calendario B'!P129</f>
        <v>0</v>
      </c>
      <c r="E82" s="48">
        <f>'Calendario B'!Q129</f>
        <v>0</v>
      </c>
      <c r="F82" s="48">
        <f>'Calendario B'!R129</f>
        <v>0</v>
      </c>
      <c r="G82" s="48">
        <f>'Calendario B'!S129</f>
        <v>0</v>
      </c>
      <c r="H82" s="48" t="str">
        <f>'Calendario B'!T129</f>
        <v>(Squadra B)</v>
      </c>
      <c r="I82" s="48">
        <f>'Calendario B'!U129</f>
        <v>0</v>
      </c>
      <c r="J82" s="48">
        <f>'Calendario B'!V129</f>
        <v>0</v>
      </c>
      <c r="K82" s="48">
        <f>'Calendario B'!W129</f>
        <v>0</v>
      </c>
      <c r="L82" s="48">
        <f>'Calendario B'!X129</f>
        <v>0</v>
      </c>
      <c r="M82" s="48">
        <f>'Calendario B'!Y129</f>
        <v>0</v>
      </c>
      <c r="N82" s="48">
        <f>'Calendario B'!Z129</f>
        <v>0</v>
      </c>
    </row>
    <row r="83" spans="1:14" x14ac:dyDescent="0.25">
      <c r="A83" s="48" t="str">
        <f>'Calendario B'!M132</f>
        <v>(Squadra A)</v>
      </c>
      <c r="B83" s="48">
        <f>'Calendario B'!N132</f>
        <v>0</v>
      </c>
      <c r="C83" s="48">
        <f>'Calendario B'!O132</f>
        <v>0</v>
      </c>
      <c r="D83" s="48">
        <f>'Calendario B'!P132</f>
        <v>0</v>
      </c>
      <c r="E83" s="48">
        <f>'Calendario B'!Q132</f>
        <v>0</v>
      </c>
      <c r="F83" s="48">
        <f>'Calendario B'!R132</f>
        <v>0</v>
      </c>
      <c r="G83" s="48">
        <f>'Calendario B'!S132</f>
        <v>0</v>
      </c>
      <c r="H83" s="48" t="str">
        <f>'Calendario B'!T132</f>
        <v>(Squadra B)</v>
      </c>
      <c r="I83" s="48">
        <f>'Calendario B'!U132</f>
        <v>0</v>
      </c>
      <c r="J83" s="48">
        <f>'Calendario B'!V132</f>
        <v>0</v>
      </c>
      <c r="K83" s="48">
        <f>'Calendario B'!W132</f>
        <v>0</v>
      </c>
      <c r="L83" s="48">
        <f>'Calendario B'!X132</f>
        <v>0</v>
      </c>
      <c r="M83" s="48">
        <f>'Calendario B'!Y132</f>
        <v>0</v>
      </c>
      <c r="N83" s="48">
        <f>'Calendario B'!Z132</f>
        <v>0</v>
      </c>
    </row>
    <row r="84" spans="1:14" x14ac:dyDescent="0.25">
      <c r="A84" s="48" t="str">
        <f>'Calendario B'!M135</f>
        <v>(Squadra A)</v>
      </c>
      <c r="B84" s="48">
        <f>'Calendario B'!N135</f>
        <v>0</v>
      </c>
      <c r="C84" s="48">
        <f>'Calendario B'!O135</f>
        <v>0</v>
      </c>
      <c r="D84" s="48">
        <f>'Calendario B'!P135</f>
        <v>0</v>
      </c>
      <c r="E84" s="48">
        <f>'Calendario B'!Q135</f>
        <v>0</v>
      </c>
      <c r="F84" s="48">
        <f>'Calendario B'!R135</f>
        <v>0</v>
      </c>
      <c r="G84" s="48">
        <f>'Calendario B'!S135</f>
        <v>0</v>
      </c>
      <c r="H84" s="48" t="str">
        <f>'Calendario B'!T135</f>
        <v>(Squadra B)</v>
      </c>
      <c r="I84" s="48">
        <f>'Calendario B'!U135</f>
        <v>0</v>
      </c>
      <c r="J84" s="48">
        <f>'Calendario B'!V135</f>
        <v>0</v>
      </c>
      <c r="K84" s="48">
        <f>'Calendario B'!W135</f>
        <v>0</v>
      </c>
      <c r="L84" s="48">
        <f>'Calendario B'!X135</f>
        <v>0</v>
      </c>
      <c r="M84" s="48">
        <f>'Calendario B'!Y135</f>
        <v>0</v>
      </c>
      <c r="N84" s="48">
        <f>'Calendario B'!Z135</f>
        <v>0</v>
      </c>
    </row>
    <row r="85" spans="1:14" x14ac:dyDescent="0.25">
      <c r="A85" s="48" t="str">
        <f>'Calendario B'!M138</f>
        <v>(Squadra A)</v>
      </c>
      <c r="B85" s="48">
        <f>'Calendario B'!N138</f>
        <v>0</v>
      </c>
      <c r="C85" s="48">
        <f>'Calendario B'!O138</f>
        <v>0</v>
      </c>
      <c r="D85" s="48">
        <f>'Calendario B'!P138</f>
        <v>0</v>
      </c>
      <c r="E85" s="48">
        <f>'Calendario B'!Q138</f>
        <v>0</v>
      </c>
      <c r="F85" s="48">
        <f>'Calendario B'!R138</f>
        <v>0</v>
      </c>
      <c r="G85" s="48">
        <f>'Calendario B'!S138</f>
        <v>0</v>
      </c>
      <c r="H85" s="48" t="str">
        <f>'Calendario B'!T138</f>
        <v>(Squadra B)</v>
      </c>
      <c r="I85" s="48">
        <f>'Calendario B'!U138</f>
        <v>0</v>
      </c>
      <c r="J85" s="48">
        <f>'Calendario B'!V138</f>
        <v>0</v>
      </c>
      <c r="K85" s="48">
        <f>'Calendario B'!W138</f>
        <v>0</v>
      </c>
      <c r="L85" s="48">
        <f>'Calendario B'!X138</f>
        <v>0</v>
      </c>
      <c r="M85" s="48">
        <f>'Calendario B'!Y138</f>
        <v>0</v>
      </c>
      <c r="N85" s="48">
        <f>'Calendario B'!Z138</f>
        <v>0</v>
      </c>
    </row>
    <row r="86" spans="1:14" x14ac:dyDescent="0.25">
      <c r="A86" s="48" t="str">
        <f>'Calendario B'!M141</f>
        <v>(Squadra A)</v>
      </c>
      <c r="B86" s="48">
        <f>'Calendario B'!N141</f>
        <v>0</v>
      </c>
      <c r="C86" s="48">
        <f>'Calendario B'!O141</f>
        <v>0</v>
      </c>
      <c r="D86" s="48">
        <f>'Calendario B'!P141</f>
        <v>0</v>
      </c>
      <c r="E86" s="48">
        <f>'Calendario B'!Q141</f>
        <v>0</v>
      </c>
      <c r="F86" s="48">
        <f>'Calendario B'!R141</f>
        <v>0</v>
      </c>
      <c r="G86" s="48">
        <f>'Calendario B'!S141</f>
        <v>0</v>
      </c>
      <c r="H86" s="48" t="str">
        <f>'Calendario B'!T141</f>
        <v>(Squadra B)</v>
      </c>
      <c r="I86" s="48">
        <f>'Calendario B'!U141</f>
        <v>0</v>
      </c>
      <c r="J86" s="48">
        <f>'Calendario B'!V141</f>
        <v>0</v>
      </c>
      <c r="K86" s="48">
        <f>'Calendario B'!W141</f>
        <v>0</v>
      </c>
      <c r="L86" s="48">
        <f>'Calendario B'!X141</f>
        <v>0</v>
      </c>
      <c r="M86" s="48">
        <f>'Calendario B'!Y141</f>
        <v>0</v>
      </c>
      <c r="N86" s="48">
        <f>'Calendario B'!Z141</f>
        <v>0</v>
      </c>
    </row>
    <row r="87" spans="1:14" x14ac:dyDescent="0.25">
      <c r="A87" s="48" t="str">
        <f>'Calendario B'!M146</f>
        <v>(Squadra A)</v>
      </c>
      <c r="B87" s="48">
        <f>'Calendario B'!N146</f>
        <v>0</v>
      </c>
      <c r="C87" s="48">
        <f>'Calendario B'!O146</f>
        <v>0</v>
      </c>
      <c r="D87" s="48">
        <f>'Calendario B'!P146</f>
        <v>0</v>
      </c>
      <c r="E87" s="48">
        <f>'Calendario B'!Q146</f>
        <v>0</v>
      </c>
      <c r="F87" s="48">
        <f>'Calendario B'!R146</f>
        <v>0</v>
      </c>
      <c r="G87" s="48">
        <f>'Calendario B'!S146</f>
        <v>0</v>
      </c>
      <c r="H87" s="48" t="str">
        <f>'Calendario B'!T146</f>
        <v>(Squadra B)</v>
      </c>
      <c r="I87" s="48">
        <f>'Calendario B'!U146</f>
        <v>0</v>
      </c>
      <c r="J87" s="48">
        <f>'Calendario B'!V146</f>
        <v>0</v>
      </c>
      <c r="K87" s="48">
        <f>'Calendario B'!W146</f>
        <v>0</v>
      </c>
      <c r="L87" s="48">
        <f>'Calendario B'!X146</f>
        <v>0</v>
      </c>
      <c r="M87" s="48">
        <f>'Calendario B'!Y146</f>
        <v>0</v>
      </c>
      <c r="N87" s="48">
        <f>'Calendario B'!Z146</f>
        <v>0</v>
      </c>
    </row>
    <row r="88" spans="1:14" x14ac:dyDescent="0.25">
      <c r="A88" s="48" t="str">
        <f>'Calendario B'!M149</f>
        <v>(Squadra A)</v>
      </c>
      <c r="B88" s="48">
        <f>'Calendario B'!N149</f>
        <v>0</v>
      </c>
      <c r="C88" s="48">
        <f>'Calendario B'!O149</f>
        <v>0</v>
      </c>
      <c r="D88" s="48">
        <f>'Calendario B'!P149</f>
        <v>0</v>
      </c>
      <c r="E88" s="48">
        <f>'Calendario B'!Q149</f>
        <v>0</v>
      </c>
      <c r="F88" s="48">
        <f>'Calendario B'!R149</f>
        <v>0</v>
      </c>
      <c r="G88" s="48">
        <f>'Calendario B'!S149</f>
        <v>0</v>
      </c>
      <c r="H88" s="48" t="str">
        <f>'Calendario B'!T149</f>
        <v>(Squadra B)</v>
      </c>
      <c r="I88" s="48">
        <f>'Calendario B'!U149</f>
        <v>0</v>
      </c>
      <c r="J88" s="48">
        <f>'Calendario B'!V149</f>
        <v>0</v>
      </c>
      <c r="K88" s="48">
        <f>'Calendario B'!W149</f>
        <v>0</v>
      </c>
      <c r="L88" s="48">
        <f>'Calendario B'!X149</f>
        <v>0</v>
      </c>
      <c r="M88" s="48">
        <f>'Calendario B'!Y149</f>
        <v>0</v>
      </c>
      <c r="N88" s="48">
        <f>'Calendario B'!Z149</f>
        <v>0</v>
      </c>
    </row>
    <row r="89" spans="1:14" x14ac:dyDescent="0.25">
      <c r="A89" s="48" t="str">
        <f>'Calendario B'!M152</f>
        <v>(Squadra A)</v>
      </c>
      <c r="B89" s="48">
        <f>'Calendario B'!N152</f>
        <v>0</v>
      </c>
      <c r="C89" s="48">
        <f>'Calendario B'!O152</f>
        <v>0</v>
      </c>
      <c r="D89" s="48">
        <f>'Calendario B'!P152</f>
        <v>0</v>
      </c>
      <c r="E89" s="48">
        <f>'Calendario B'!Q152</f>
        <v>0</v>
      </c>
      <c r="F89" s="48">
        <f>'Calendario B'!R152</f>
        <v>0</v>
      </c>
      <c r="G89" s="48">
        <f>'Calendario B'!S152</f>
        <v>0</v>
      </c>
      <c r="H89" s="48" t="str">
        <f>'Calendario B'!T152</f>
        <v>(Squadra B)</v>
      </c>
      <c r="I89" s="48">
        <f>'Calendario B'!U152</f>
        <v>0</v>
      </c>
      <c r="J89" s="48">
        <f>'Calendario B'!V152</f>
        <v>0</v>
      </c>
      <c r="K89" s="48">
        <f>'Calendario B'!W152</f>
        <v>0</v>
      </c>
      <c r="L89" s="48">
        <f>'Calendario B'!X152</f>
        <v>0</v>
      </c>
      <c r="M89" s="48">
        <f>'Calendario B'!Y152</f>
        <v>0</v>
      </c>
      <c r="N89" s="48">
        <f>'Calendario B'!Z152</f>
        <v>0</v>
      </c>
    </row>
    <row r="90" spans="1:14" x14ac:dyDescent="0.25">
      <c r="A90" s="48" t="str">
        <f>'Calendario B'!M155</f>
        <v>(Squadra A)</v>
      </c>
      <c r="B90" s="48">
        <f>'Calendario B'!N155</f>
        <v>0</v>
      </c>
      <c r="C90" s="48">
        <f>'Calendario B'!O155</f>
        <v>0</v>
      </c>
      <c r="D90" s="48">
        <f>'Calendario B'!P155</f>
        <v>0</v>
      </c>
      <c r="E90" s="48">
        <f>'Calendario B'!Q155</f>
        <v>0</v>
      </c>
      <c r="F90" s="48">
        <f>'Calendario B'!R155</f>
        <v>0</v>
      </c>
      <c r="G90" s="48">
        <f>'Calendario B'!S155</f>
        <v>0</v>
      </c>
      <c r="H90" s="48" t="str">
        <f>'Calendario B'!T155</f>
        <v>(Squadra B)</v>
      </c>
      <c r="I90" s="48">
        <f>'Calendario B'!U155</f>
        <v>0</v>
      </c>
      <c r="J90" s="48">
        <f>'Calendario B'!V155</f>
        <v>0</v>
      </c>
      <c r="K90" s="48">
        <f>'Calendario B'!W155</f>
        <v>0</v>
      </c>
      <c r="L90" s="48">
        <f>'Calendario B'!X155</f>
        <v>0</v>
      </c>
      <c r="M90" s="48">
        <f>'Calendario B'!Y155</f>
        <v>0</v>
      </c>
      <c r="N90" s="48">
        <f>'Calendario B'!Z155</f>
        <v>0</v>
      </c>
    </row>
    <row r="91" spans="1:14" x14ac:dyDescent="0.25">
      <c r="A91" s="48" t="str">
        <f>'Calendario B'!M158</f>
        <v>(Squadra A)</v>
      </c>
      <c r="B91" s="48">
        <f>'Calendario B'!N158</f>
        <v>0</v>
      </c>
      <c r="C91" s="48">
        <f>'Calendario B'!O158</f>
        <v>0</v>
      </c>
      <c r="D91" s="48">
        <f>'Calendario B'!P158</f>
        <v>0</v>
      </c>
      <c r="E91" s="48">
        <f>'Calendario B'!Q158</f>
        <v>0</v>
      </c>
      <c r="F91" s="48">
        <f>'Calendario B'!R158</f>
        <v>0</v>
      </c>
      <c r="G91" s="48">
        <f>'Calendario B'!S158</f>
        <v>0</v>
      </c>
      <c r="H91" s="48" t="str">
        <f>'Calendario B'!T158</f>
        <v>(Squadra B)</v>
      </c>
      <c r="I91" s="48">
        <f>'Calendario B'!U158</f>
        <v>0</v>
      </c>
      <c r="J91" s="48">
        <f>'Calendario B'!V158</f>
        <v>0</v>
      </c>
      <c r="K91" s="48">
        <f>'Calendario B'!W158</f>
        <v>0</v>
      </c>
      <c r="L91" s="48">
        <f>'Calendario B'!X158</f>
        <v>0</v>
      </c>
      <c r="M91" s="48">
        <f>'Calendario B'!Y158</f>
        <v>0</v>
      </c>
      <c r="N91" s="48">
        <f>'Calendario B'!Z158</f>
        <v>0</v>
      </c>
    </row>
    <row r="92" spans="1:14" x14ac:dyDescent="0.25">
      <c r="A92" s="48" t="str">
        <f>'Calendario C'!M10</f>
        <v>(Squadra A)</v>
      </c>
      <c r="B92" s="48">
        <f>'Calendario C'!N10</f>
        <v>0</v>
      </c>
      <c r="C92" s="48">
        <f>'Calendario C'!O10</f>
        <v>0</v>
      </c>
      <c r="D92" s="48">
        <f>'Calendario C'!P10</f>
        <v>0</v>
      </c>
      <c r="E92" s="48">
        <f>'Calendario C'!Q10</f>
        <v>0</v>
      </c>
      <c r="F92" s="48">
        <f>'Calendario C'!R10</f>
        <v>0</v>
      </c>
      <c r="G92" s="48">
        <f>'Calendario C'!S10</f>
        <v>0</v>
      </c>
      <c r="H92" s="48" t="str">
        <f>'Calendario C'!T10</f>
        <v>(Squadra B)</v>
      </c>
      <c r="I92" s="48">
        <f>'Calendario C'!U10</f>
        <v>0</v>
      </c>
      <c r="J92" s="48">
        <f>'Calendario C'!V10</f>
        <v>0</v>
      </c>
      <c r="K92" s="48">
        <f>'Calendario C'!W10</f>
        <v>0</v>
      </c>
      <c r="L92" s="48">
        <f>'Calendario C'!X10</f>
        <v>0</v>
      </c>
      <c r="M92" s="48">
        <f>'Calendario C'!Y10</f>
        <v>0</v>
      </c>
      <c r="N92" s="48">
        <f>'Calendario C'!Z10</f>
        <v>0</v>
      </c>
    </row>
    <row r="93" spans="1:14" x14ac:dyDescent="0.25">
      <c r="A93" s="48" t="str">
        <f>'Calendario C'!M13</f>
        <v>(Squadra A)</v>
      </c>
      <c r="B93" s="48">
        <f>'Calendario C'!N13</f>
        <v>0</v>
      </c>
      <c r="C93" s="48">
        <f>'Calendario C'!O13</f>
        <v>0</v>
      </c>
      <c r="D93" s="48">
        <f>'Calendario C'!P13</f>
        <v>0</v>
      </c>
      <c r="E93" s="48">
        <f>'Calendario C'!Q13</f>
        <v>0</v>
      </c>
      <c r="F93" s="48">
        <f>'Calendario C'!R13</f>
        <v>0</v>
      </c>
      <c r="G93" s="48">
        <f>'Calendario C'!S13</f>
        <v>0</v>
      </c>
      <c r="H93" s="48" t="str">
        <f>'Calendario C'!T13</f>
        <v>(Squadra B)</v>
      </c>
      <c r="I93" s="48">
        <f>'Calendario C'!U13</f>
        <v>0</v>
      </c>
      <c r="J93" s="48">
        <f>'Calendario C'!V13</f>
        <v>0</v>
      </c>
      <c r="K93" s="48">
        <f>'Calendario C'!W13</f>
        <v>0</v>
      </c>
      <c r="L93" s="48">
        <f>'Calendario C'!X13</f>
        <v>0</v>
      </c>
      <c r="M93" s="48">
        <f>'Calendario C'!Y13</f>
        <v>0</v>
      </c>
      <c r="N93" s="48">
        <f>'Calendario C'!Z13</f>
        <v>0</v>
      </c>
    </row>
    <row r="94" spans="1:14" x14ac:dyDescent="0.25">
      <c r="A94" s="48" t="str">
        <f>'Calendario C'!M16</f>
        <v>(Squadra A)</v>
      </c>
      <c r="B94" s="48">
        <f>'Calendario C'!N16</f>
        <v>0</v>
      </c>
      <c r="C94" s="48">
        <f>'Calendario C'!O16</f>
        <v>0</v>
      </c>
      <c r="D94" s="48">
        <f>'Calendario C'!P16</f>
        <v>0</v>
      </c>
      <c r="E94" s="48">
        <f>'Calendario C'!Q16</f>
        <v>0</v>
      </c>
      <c r="F94" s="48">
        <f>'Calendario C'!R16</f>
        <v>0</v>
      </c>
      <c r="G94" s="48">
        <f>'Calendario C'!S16</f>
        <v>0</v>
      </c>
      <c r="H94" s="48" t="str">
        <f>'Calendario C'!T16</f>
        <v>(Squadra B)</v>
      </c>
      <c r="I94" s="48">
        <f>'Calendario C'!U16</f>
        <v>0</v>
      </c>
      <c r="J94" s="48">
        <f>'Calendario C'!V16</f>
        <v>0</v>
      </c>
      <c r="K94" s="48">
        <f>'Calendario C'!W16</f>
        <v>0</v>
      </c>
      <c r="L94" s="48">
        <f>'Calendario C'!X16</f>
        <v>0</v>
      </c>
      <c r="M94" s="48">
        <f>'Calendario C'!Y16</f>
        <v>0</v>
      </c>
      <c r="N94" s="48">
        <f>'Calendario C'!Z16</f>
        <v>0</v>
      </c>
    </row>
    <row r="95" spans="1:14" x14ac:dyDescent="0.25">
      <c r="A95" s="48" t="str">
        <f>'Calendario C'!M19</f>
        <v>(Squadra A)</v>
      </c>
      <c r="B95" s="48">
        <f>'Calendario C'!N19</f>
        <v>0</v>
      </c>
      <c r="C95" s="48">
        <f>'Calendario C'!O19</f>
        <v>0</v>
      </c>
      <c r="D95" s="48">
        <f>'Calendario C'!P19</f>
        <v>0</v>
      </c>
      <c r="E95" s="48">
        <f>'Calendario C'!Q19</f>
        <v>0</v>
      </c>
      <c r="F95" s="48">
        <f>'Calendario C'!R19</f>
        <v>0</v>
      </c>
      <c r="G95" s="48">
        <f>'Calendario C'!S19</f>
        <v>0</v>
      </c>
      <c r="H95" s="48" t="str">
        <f>'Calendario C'!T19</f>
        <v>(Squadra B)</v>
      </c>
      <c r="I95" s="48">
        <f>'Calendario C'!U19</f>
        <v>0</v>
      </c>
      <c r="J95" s="48">
        <f>'Calendario C'!V19</f>
        <v>0</v>
      </c>
      <c r="K95" s="48">
        <f>'Calendario C'!W19</f>
        <v>0</v>
      </c>
      <c r="L95" s="48">
        <f>'Calendario C'!X19</f>
        <v>0</v>
      </c>
      <c r="M95" s="48">
        <f>'Calendario C'!Y19</f>
        <v>0</v>
      </c>
      <c r="N95" s="48">
        <f>'Calendario C'!Z19</f>
        <v>0</v>
      </c>
    </row>
    <row r="96" spans="1:14" x14ac:dyDescent="0.25">
      <c r="A96" s="48" t="str">
        <f>'Calendario C'!M22</f>
        <v>(Squadra A)</v>
      </c>
      <c r="B96" s="48">
        <f>'Calendario C'!N22</f>
        <v>0</v>
      </c>
      <c r="C96" s="48">
        <f>'Calendario C'!O22</f>
        <v>0</v>
      </c>
      <c r="D96" s="48">
        <f>'Calendario C'!P22</f>
        <v>0</v>
      </c>
      <c r="E96" s="48">
        <f>'Calendario C'!Q22</f>
        <v>0</v>
      </c>
      <c r="F96" s="48">
        <f>'Calendario C'!R22</f>
        <v>0</v>
      </c>
      <c r="G96" s="48">
        <f>'Calendario C'!S22</f>
        <v>0</v>
      </c>
      <c r="H96" s="48" t="str">
        <f>'Calendario C'!T22</f>
        <v>(Squadra B)</v>
      </c>
      <c r="I96" s="48">
        <f>'Calendario C'!U22</f>
        <v>0</v>
      </c>
      <c r="J96" s="48">
        <f>'Calendario C'!V22</f>
        <v>0</v>
      </c>
      <c r="K96" s="48">
        <f>'Calendario C'!W22</f>
        <v>0</v>
      </c>
      <c r="L96" s="48">
        <f>'Calendario C'!X22</f>
        <v>0</v>
      </c>
      <c r="M96" s="48">
        <f>'Calendario C'!Y22</f>
        <v>0</v>
      </c>
      <c r="N96" s="48">
        <f>'Calendario C'!Z22</f>
        <v>0</v>
      </c>
    </row>
    <row r="97" spans="1:14" x14ac:dyDescent="0.25">
      <c r="A97" s="48" t="str">
        <f>'Calendario C'!M27</f>
        <v>(Squadra A)</v>
      </c>
      <c r="B97" s="48">
        <f>'Calendario C'!N27</f>
        <v>0</v>
      </c>
      <c r="C97" s="48">
        <f>'Calendario C'!O27</f>
        <v>0</v>
      </c>
      <c r="D97" s="48">
        <f>'Calendario C'!P27</f>
        <v>0</v>
      </c>
      <c r="E97" s="48">
        <f>'Calendario C'!Q27</f>
        <v>0</v>
      </c>
      <c r="F97" s="48">
        <f>'Calendario C'!R27</f>
        <v>0</v>
      </c>
      <c r="G97" s="48">
        <f>'Calendario C'!S27</f>
        <v>0</v>
      </c>
      <c r="H97" s="48" t="str">
        <f>'Calendario C'!T27</f>
        <v>(Squadra B)</v>
      </c>
      <c r="I97" s="48">
        <f>'Calendario C'!U27</f>
        <v>0</v>
      </c>
      <c r="J97" s="48">
        <f>'Calendario C'!V27</f>
        <v>0</v>
      </c>
      <c r="K97" s="48">
        <f>'Calendario C'!W27</f>
        <v>0</v>
      </c>
      <c r="L97" s="48">
        <f>'Calendario C'!X27</f>
        <v>0</v>
      </c>
      <c r="M97" s="48">
        <f>'Calendario C'!Y27</f>
        <v>0</v>
      </c>
      <c r="N97" s="48">
        <f>'Calendario C'!Z27</f>
        <v>0</v>
      </c>
    </row>
    <row r="98" spans="1:14" x14ac:dyDescent="0.25">
      <c r="A98" s="48" t="str">
        <f>'Calendario C'!M30</f>
        <v>(Squadra A)</v>
      </c>
      <c r="B98" s="48">
        <f>'Calendario C'!N30</f>
        <v>0</v>
      </c>
      <c r="C98" s="48">
        <f>'Calendario C'!O30</f>
        <v>0</v>
      </c>
      <c r="D98" s="48">
        <f>'Calendario C'!P30</f>
        <v>0</v>
      </c>
      <c r="E98" s="48">
        <f>'Calendario C'!Q30</f>
        <v>0</v>
      </c>
      <c r="F98" s="48">
        <f>'Calendario C'!R30</f>
        <v>0</v>
      </c>
      <c r="G98" s="48">
        <f>'Calendario C'!S30</f>
        <v>0</v>
      </c>
      <c r="H98" s="48" t="str">
        <f>'Calendario C'!T30</f>
        <v>(Squadra B)</v>
      </c>
      <c r="I98" s="48">
        <f>'Calendario C'!U30</f>
        <v>0</v>
      </c>
      <c r="J98" s="48">
        <f>'Calendario C'!V30</f>
        <v>0</v>
      </c>
      <c r="K98" s="48">
        <f>'Calendario C'!W30</f>
        <v>0</v>
      </c>
      <c r="L98" s="48">
        <f>'Calendario C'!X30</f>
        <v>0</v>
      </c>
      <c r="M98" s="48">
        <f>'Calendario C'!Y30</f>
        <v>0</v>
      </c>
      <c r="N98" s="48">
        <f>'Calendario C'!Z30</f>
        <v>0</v>
      </c>
    </row>
    <row r="99" spans="1:14" x14ac:dyDescent="0.25">
      <c r="A99" s="48" t="str">
        <f>'Calendario C'!M33</f>
        <v>(Squadra A)</v>
      </c>
      <c r="B99" s="48">
        <f>'Calendario C'!N33</f>
        <v>0</v>
      </c>
      <c r="C99" s="48">
        <f>'Calendario C'!O33</f>
        <v>0</v>
      </c>
      <c r="D99" s="48">
        <f>'Calendario C'!P33</f>
        <v>0</v>
      </c>
      <c r="E99" s="48">
        <f>'Calendario C'!Q33</f>
        <v>0</v>
      </c>
      <c r="F99" s="48">
        <f>'Calendario C'!R33</f>
        <v>0</v>
      </c>
      <c r="G99" s="48">
        <f>'Calendario C'!S33</f>
        <v>0</v>
      </c>
      <c r="H99" s="48" t="str">
        <f>'Calendario C'!T33</f>
        <v>(Squadra B)</v>
      </c>
      <c r="I99" s="48">
        <f>'Calendario C'!U33</f>
        <v>0</v>
      </c>
      <c r="J99" s="48">
        <f>'Calendario C'!V33</f>
        <v>0</v>
      </c>
      <c r="K99" s="48">
        <f>'Calendario C'!W33</f>
        <v>0</v>
      </c>
      <c r="L99" s="48">
        <f>'Calendario C'!X33</f>
        <v>0</v>
      </c>
      <c r="M99" s="48">
        <f>'Calendario C'!Y33</f>
        <v>0</v>
      </c>
      <c r="N99" s="48">
        <f>'Calendario C'!Z33</f>
        <v>0</v>
      </c>
    </row>
    <row r="100" spans="1:14" x14ac:dyDescent="0.25">
      <c r="A100" s="48" t="str">
        <f>'Calendario C'!M36</f>
        <v>(Squadra A)</v>
      </c>
      <c r="B100" s="48">
        <f>'Calendario C'!N36</f>
        <v>0</v>
      </c>
      <c r="C100" s="48">
        <f>'Calendario C'!O36</f>
        <v>0</v>
      </c>
      <c r="D100" s="48">
        <f>'Calendario C'!P36</f>
        <v>0</v>
      </c>
      <c r="E100" s="48">
        <f>'Calendario C'!Q36</f>
        <v>0</v>
      </c>
      <c r="F100" s="48">
        <f>'Calendario C'!R36</f>
        <v>0</v>
      </c>
      <c r="G100" s="48">
        <f>'Calendario C'!S36</f>
        <v>0</v>
      </c>
      <c r="H100" s="48" t="str">
        <f>'Calendario C'!T36</f>
        <v>(Squadra B)</v>
      </c>
      <c r="I100" s="48">
        <f>'Calendario C'!U36</f>
        <v>0</v>
      </c>
      <c r="J100" s="48">
        <f>'Calendario C'!V36</f>
        <v>0</v>
      </c>
      <c r="K100" s="48">
        <f>'Calendario C'!W36</f>
        <v>0</v>
      </c>
      <c r="L100" s="48">
        <f>'Calendario C'!X36</f>
        <v>0</v>
      </c>
      <c r="M100" s="48">
        <f>'Calendario C'!Y36</f>
        <v>0</v>
      </c>
      <c r="N100" s="48">
        <f>'Calendario C'!Z36</f>
        <v>0</v>
      </c>
    </row>
    <row r="101" spans="1:14" x14ac:dyDescent="0.25">
      <c r="A101" s="48" t="str">
        <f>'Calendario C'!M39</f>
        <v>(Squadra A)</v>
      </c>
      <c r="B101" s="48">
        <f>'Calendario C'!N39</f>
        <v>0</v>
      </c>
      <c r="C101" s="48">
        <f>'Calendario C'!O39</f>
        <v>0</v>
      </c>
      <c r="D101" s="48">
        <f>'Calendario C'!P39</f>
        <v>0</v>
      </c>
      <c r="E101" s="48">
        <f>'Calendario C'!Q39</f>
        <v>0</v>
      </c>
      <c r="F101" s="48">
        <f>'Calendario C'!R39</f>
        <v>0</v>
      </c>
      <c r="G101" s="48">
        <f>'Calendario C'!S39</f>
        <v>0</v>
      </c>
      <c r="H101" s="48" t="str">
        <f>'Calendario C'!T39</f>
        <v>(Squadra B)</v>
      </c>
      <c r="I101" s="48">
        <f>'Calendario C'!U39</f>
        <v>0</v>
      </c>
      <c r="J101" s="48">
        <f>'Calendario C'!V39</f>
        <v>0</v>
      </c>
      <c r="K101" s="48">
        <f>'Calendario C'!W39</f>
        <v>0</v>
      </c>
      <c r="L101" s="48">
        <f>'Calendario C'!X39</f>
        <v>0</v>
      </c>
      <c r="M101" s="48">
        <f>'Calendario C'!Y39</f>
        <v>0</v>
      </c>
      <c r="N101" s="48">
        <f>'Calendario C'!Z39</f>
        <v>0</v>
      </c>
    </row>
    <row r="102" spans="1:14" x14ac:dyDescent="0.25">
      <c r="A102" s="48" t="str">
        <f>'Calendario C'!M44</f>
        <v>(Squadra A)</v>
      </c>
      <c r="B102" s="48">
        <f>'Calendario C'!N44</f>
        <v>0</v>
      </c>
      <c r="C102" s="48">
        <f>'Calendario C'!O44</f>
        <v>0</v>
      </c>
      <c r="D102" s="48">
        <f>'Calendario C'!P44</f>
        <v>0</v>
      </c>
      <c r="E102" s="48">
        <f>'Calendario C'!Q44</f>
        <v>0</v>
      </c>
      <c r="F102" s="48">
        <f>'Calendario C'!R44</f>
        <v>0</v>
      </c>
      <c r="G102" s="48">
        <f>'Calendario C'!S44</f>
        <v>0</v>
      </c>
      <c r="H102" s="48" t="str">
        <f>'Calendario C'!T44</f>
        <v>(Squadra B)</v>
      </c>
      <c r="I102" s="48">
        <f>'Calendario C'!U44</f>
        <v>0</v>
      </c>
      <c r="J102" s="48">
        <f>'Calendario C'!V44</f>
        <v>0</v>
      </c>
      <c r="K102" s="48">
        <f>'Calendario C'!W44</f>
        <v>0</v>
      </c>
      <c r="L102" s="48">
        <f>'Calendario C'!X44</f>
        <v>0</v>
      </c>
      <c r="M102" s="48">
        <f>'Calendario C'!Y44</f>
        <v>0</v>
      </c>
      <c r="N102" s="48">
        <f>'Calendario C'!Z44</f>
        <v>0</v>
      </c>
    </row>
    <row r="103" spans="1:14" x14ac:dyDescent="0.25">
      <c r="A103" s="48" t="str">
        <f>'Calendario C'!M47</f>
        <v>(Squadra A)</v>
      </c>
      <c r="B103" s="48">
        <f>'Calendario C'!N47</f>
        <v>0</v>
      </c>
      <c r="C103" s="48">
        <f>'Calendario C'!O47</f>
        <v>0</v>
      </c>
      <c r="D103" s="48">
        <f>'Calendario C'!P47</f>
        <v>0</v>
      </c>
      <c r="E103" s="48">
        <f>'Calendario C'!Q47</f>
        <v>0</v>
      </c>
      <c r="F103" s="48">
        <f>'Calendario C'!R47</f>
        <v>0</v>
      </c>
      <c r="G103" s="48">
        <f>'Calendario C'!S47</f>
        <v>0</v>
      </c>
      <c r="H103" s="48" t="str">
        <f>'Calendario C'!T47</f>
        <v>(Squadra B)</v>
      </c>
      <c r="I103" s="48">
        <f>'Calendario C'!U47</f>
        <v>0</v>
      </c>
      <c r="J103" s="48">
        <f>'Calendario C'!V47</f>
        <v>0</v>
      </c>
      <c r="K103" s="48">
        <f>'Calendario C'!W47</f>
        <v>0</v>
      </c>
      <c r="L103" s="48">
        <f>'Calendario C'!X47</f>
        <v>0</v>
      </c>
      <c r="M103" s="48">
        <f>'Calendario C'!Y47</f>
        <v>0</v>
      </c>
      <c r="N103" s="48">
        <f>'Calendario C'!Z47</f>
        <v>0</v>
      </c>
    </row>
    <row r="104" spans="1:14" x14ac:dyDescent="0.25">
      <c r="A104" s="48" t="str">
        <f>'Calendario C'!M50</f>
        <v>(Squadra A)</v>
      </c>
      <c r="B104" s="48">
        <f>'Calendario C'!N50</f>
        <v>0</v>
      </c>
      <c r="C104" s="48">
        <f>'Calendario C'!O50</f>
        <v>0</v>
      </c>
      <c r="D104" s="48">
        <f>'Calendario C'!P50</f>
        <v>0</v>
      </c>
      <c r="E104" s="48">
        <f>'Calendario C'!Q50</f>
        <v>0</v>
      </c>
      <c r="F104" s="48">
        <f>'Calendario C'!R50</f>
        <v>0</v>
      </c>
      <c r="G104" s="48">
        <f>'Calendario C'!S50</f>
        <v>0</v>
      </c>
      <c r="H104" s="48" t="str">
        <f>'Calendario C'!T50</f>
        <v>(Squadra B)</v>
      </c>
      <c r="I104" s="48">
        <f>'Calendario C'!U50</f>
        <v>0</v>
      </c>
      <c r="J104" s="48">
        <f>'Calendario C'!V50</f>
        <v>0</v>
      </c>
      <c r="K104" s="48">
        <f>'Calendario C'!W50</f>
        <v>0</v>
      </c>
      <c r="L104" s="48">
        <f>'Calendario C'!X50</f>
        <v>0</v>
      </c>
      <c r="M104" s="48">
        <f>'Calendario C'!Y50</f>
        <v>0</v>
      </c>
      <c r="N104" s="48">
        <f>'Calendario C'!Z50</f>
        <v>0</v>
      </c>
    </row>
    <row r="105" spans="1:14" x14ac:dyDescent="0.25">
      <c r="A105" s="48" t="str">
        <f>'Calendario C'!M53</f>
        <v>(Squadra A)</v>
      </c>
      <c r="B105" s="48">
        <f>'Calendario C'!N53</f>
        <v>0</v>
      </c>
      <c r="C105" s="48">
        <f>'Calendario C'!O53</f>
        <v>0</v>
      </c>
      <c r="D105" s="48">
        <f>'Calendario C'!P53</f>
        <v>0</v>
      </c>
      <c r="E105" s="48">
        <f>'Calendario C'!Q53</f>
        <v>0</v>
      </c>
      <c r="F105" s="48">
        <f>'Calendario C'!R53</f>
        <v>0</v>
      </c>
      <c r="G105" s="48">
        <f>'Calendario C'!S53</f>
        <v>0</v>
      </c>
      <c r="H105" s="48" t="str">
        <f>'Calendario C'!T53</f>
        <v>(Squadra B)</v>
      </c>
      <c r="I105" s="48">
        <f>'Calendario C'!U53</f>
        <v>0</v>
      </c>
      <c r="J105" s="48">
        <f>'Calendario C'!V53</f>
        <v>0</v>
      </c>
      <c r="K105" s="48">
        <f>'Calendario C'!W53</f>
        <v>0</v>
      </c>
      <c r="L105" s="48">
        <f>'Calendario C'!X53</f>
        <v>0</v>
      </c>
      <c r="M105" s="48">
        <f>'Calendario C'!Y53</f>
        <v>0</v>
      </c>
      <c r="N105" s="48">
        <f>'Calendario C'!Z53</f>
        <v>0</v>
      </c>
    </row>
    <row r="106" spans="1:14" x14ac:dyDescent="0.25">
      <c r="A106" s="48" t="str">
        <f>'Calendario C'!M56</f>
        <v>(Squadra A)</v>
      </c>
      <c r="B106" s="48">
        <f>'Calendario C'!N56</f>
        <v>0</v>
      </c>
      <c r="C106" s="48">
        <f>'Calendario C'!O56</f>
        <v>0</v>
      </c>
      <c r="D106" s="48">
        <f>'Calendario C'!P56</f>
        <v>0</v>
      </c>
      <c r="E106" s="48">
        <f>'Calendario C'!Q56</f>
        <v>0</v>
      </c>
      <c r="F106" s="48">
        <f>'Calendario C'!R56</f>
        <v>0</v>
      </c>
      <c r="G106" s="48">
        <f>'Calendario C'!S56</f>
        <v>0</v>
      </c>
      <c r="H106" s="48" t="str">
        <f>'Calendario C'!T56</f>
        <v>(Squadra B)</v>
      </c>
      <c r="I106" s="48">
        <f>'Calendario C'!U56</f>
        <v>0</v>
      </c>
      <c r="J106" s="48">
        <f>'Calendario C'!V56</f>
        <v>0</v>
      </c>
      <c r="K106" s="48">
        <f>'Calendario C'!W56</f>
        <v>0</v>
      </c>
      <c r="L106" s="48">
        <f>'Calendario C'!X56</f>
        <v>0</v>
      </c>
      <c r="M106" s="48">
        <f>'Calendario C'!Y56</f>
        <v>0</v>
      </c>
      <c r="N106" s="48">
        <f>'Calendario C'!Z56</f>
        <v>0</v>
      </c>
    </row>
    <row r="107" spans="1:14" x14ac:dyDescent="0.25">
      <c r="A107" s="48" t="str">
        <f>'Calendario C'!M61</f>
        <v>(Squadra A)</v>
      </c>
      <c r="B107" s="48">
        <f>'Calendario C'!N61</f>
        <v>0</v>
      </c>
      <c r="C107" s="48">
        <f>'Calendario C'!O61</f>
        <v>0</v>
      </c>
      <c r="D107" s="48">
        <f>'Calendario C'!P61</f>
        <v>0</v>
      </c>
      <c r="E107" s="48">
        <f>'Calendario C'!Q61</f>
        <v>0</v>
      </c>
      <c r="F107" s="48">
        <f>'Calendario C'!R61</f>
        <v>0</v>
      </c>
      <c r="G107" s="48">
        <f>'Calendario C'!S61</f>
        <v>0</v>
      </c>
      <c r="H107" s="48" t="str">
        <f>'Calendario C'!T61</f>
        <v>(Squadra B)</v>
      </c>
      <c r="I107" s="48">
        <f>'Calendario C'!U61</f>
        <v>0</v>
      </c>
      <c r="J107" s="48">
        <f>'Calendario C'!V61</f>
        <v>0</v>
      </c>
      <c r="K107" s="48">
        <f>'Calendario C'!W61</f>
        <v>0</v>
      </c>
      <c r="L107" s="48">
        <f>'Calendario C'!X61</f>
        <v>0</v>
      </c>
      <c r="M107" s="48">
        <f>'Calendario C'!Y61</f>
        <v>0</v>
      </c>
      <c r="N107" s="48">
        <f>'Calendario C'!Z61</f>
        <v>0</v>
      </c>
    </row>
    <row r="108" spans="1:14" x14ac:dyDescent="0.25">
      <c r="A108" s="48" t="str">
        <f>'Calendario C'!M64</f>
        <v>(Squadra A)</v>
      </c>
      <c r="B108" s="48">
        <f>'Calendario C'!N64</f>
        <v>0</v>
      </c>
      <c r="C108" s="48">
        <f>'Calendario C'!O64</f>
        <v>0</v>
      </c>
      <c r="D108" s="48">
        <f>'Calendario C'!P64</f>
        <v>0</v>
      </c>
      <c r="E108" s="48">
        <f>'Calendario C'!Q64</f>
        <v>0</v>
      </c>
      <c r="F108" s="48">
        <f>'Calendario C'!R64</f>
        <v>0</v>
      </c>
      <c r="G108" s="48">
        <f>'Calendario C'!S64</f>
        <v>0</v>
      </c>
      <c r="H108" s="48" t="str">
        <f>'Calendario C'!T64</f>
        <v>(Squadra B)</v>
      </c>
      <c r="I108" s="48">
        <f>'Calendario C'!U64</f>
        <v>0</v>
      </c>
      <c r="J108" s="48">
        <f>'Calendario C'!V64</f>
        <v>0</v>
      </c>
      <c r="K108" s="48">
        <f>'Calendario C'!W64</f>
        <v>0</v>
      </c>
      <c r="L108" s="48">
        <f>'Calendario C'!X64</f>
        <v>0</v>
      </c>
      <c r="M108" s="48">
        <f>'Calendario C'!Y64</f>
        <v>0</v>
      </c>
      <c r="N108" s="48">
        <f>'Calendario C'!Z64</f>
        <v>0</v>
      </c>
    </row>
    <row r="109" spans="1:14" x14ac:dyDescent="0.25">
      <c r="A109" s="48" t="str">
        <f>'Calendario C'!M67</f>
        <v>(Squadra A)</v>
      </c>
      <c r="B109" s="48">
        <f>'Calendario C'!N67</f>
        <v>0</v>
      </c>
      <c r="C109" s="48">
        <f>'Calendario C'!O67</f>
        <v>0</v>
      </c>
      <c r="D109" s="48">
        <f>'Calendario C'!P67</f>
        <v>0</v>
      </c>
      <c r="E109" s="48">
        <f>'Calendario C'!Q67</f>
        <v>0</v>
      </c>
      <c r="F109" s="48">
        <f>'Calendario C'!R67</f>
        <v>0</v>
      </c>
      <c r="G109" s="48">
        <f>'Calendario C'!S67</f>
        <v>0</v>
      </c>
      <c r="H109" s="48" t="str">
        <f>'Calendario C'!T67</f>
        <v>(Squadra B)</v>
      </c>
      <c r="I109" s="48">
        <f>'Calendario C'!U67</f>
        <v>0</v>
      </c>
      <c r="J109" s="48">
        <f>'Calendario C'!V67</f>
        <v>0</v>
      </c>
      <c r="K109" s="48">
        <f>'Calendario C'!W67</f>
        <v>0</v>
      </c>
      <c r="L109" s="48">
        <f>'Calendario C'!X67</f>
        <v>0</v>
      </c>
      <c r="M109" s="48">
        <f>'Calendario C'!Y67</f>
        <v>0</v>
      </c>
      <c r="N109" s="48">
        <f>'Calendario C'!Z67</f>
        <v>0</v>
      </c>
    </row>
    <row r="110" spans="1:14" x14ac:dyDescent="0.25">
      <c r="A110" s="48" t="str">
        <f>'Calendario C'!M70</f>
        <v>(Squadra A)</v>
      </c>
      <c r="B110" s="48">
        <f>'Calendario C'!N70</f>
        <v>0</v>
      </c>
      <c r="C110" s="48">
        <f>'Calendario C'!O70</f>
        <v>0</v>
      </c>
      <c r="D110" s="48">
        <f>'Calendario C'!P70</f>
        <v>0</v>
      </c>
      <c r="E110" s="48">
        <f>'Calendario C'!Q70</f>
        <v>0</v>
      </c>
      <c r="F110" s="48">
        <f>'Calendario C'!R70</f>
        <v>0</v>
      </c>
      <c r="G110" s="48">
        <f>'Calendario C'!S70</f>
        <v>0</v>
      </c>
      <c r="H110" s="48" t="str">
        <f>'Calendario C'!T70</f>
        <v>(Squadra B)</v>
      </c>
      <c r="I110" s="48">
        <f>'Calendario C'!U70</f>
        <v>0</v>
      </c>
      <c r="J110" s="48">
        <f>'Calendario C'!V70</f>
        <v>0</v>
      </c>
      <c r="K110" s="48">
        <f>'Calendario C'!W70</f>
        <v>0</v>
      </c>
      <c r="L110" s="48">
        <f>'Calendario C'!X70</f>
        <v>0</v>
      </c>
      <c r="M110" s="48">
        <f>'Calendario C'!Y70</f>
        <v>0</v>
      </c>
      <c r="N110" s="48">
        <f>'Calendario C'!Z70</f>
        <v>0</v>
      </c>
    </row>
    <row r="111" spans="1:14" x14ac:dyDescent="0.25">
      <c r="A111" s="48" t="str">
        <f>'Calendario C'!M73</f>
        <v>(Squadra A)</v>
      </c>
      <c r="B111" s="48">
        <f>'Calendario C'!N73</f>
        <v>0</v>
      </c>
      <c r="C111" s="48">
        <f>'Calendario C'!O73</f>
        <v>0</v>
      </c>
      <c r="D111" s="48">
        <f>'Calendario C'!P73</f>
        <v>0</v>
      </c>
      <c r="E111" s="48">
        <f>'Calendario C'!Q73</f>
        <v>0</v>
      </c>
      <c r="F111" s="48">
        <f>'Calendario C'!R73</f>
        <v>0</v>
      </c>
      <c r="G111" s="48">
        <f>'Calendario C'!S73</f>
        <v>0</v>
      </c>
      <c r="H111" s="48" t="str">
        <f>'Calendario C'!T73</f>
        <v>(Squadra B)</v>
      </c>
      <c r="I111" s="48">
        <f>'Calendario C'!U73</f>
        <v>0</v>
      </c>
      <c r="J111" s="48">
        <f>'Calendario C'!V73</f>
        <v>0</v>
      </c>
      <c r="K111" s="48">
        <f>'Calendario C'!W73</f>
        <v>0</v>
      </c>
      <c r="L111" s="48">
        <f>'Calendario C'!X73</f>
        <v>0</v>
      </c>
      <c r="M111" s="48">
        <f>'Calendario C'!Y73</f>
        <v>0</v>
      </c>
      <c r="N111" s="48">
        <f>'Calendario C'!Z73</f>
        <v>0</v>
      </c>
    </row>
    <row r="112" spans="1:14" x14ac:dyDescent="0.25">
      <c r="A112" s="48" t="str">
        <f>'Calendario C'!M78</f>
        <v>(Squadra A)</v>
      </c>
      <c r="B112" s="48">
        <f>'Calendario C'!N78</f>
        <v>0</v>
      </c>
      <c r="C112" s="48">
        <f>'Calendario C'!O78</f>
        <v>0</v>
      </c>
      <c r="D112" s="48">
        <f>'Calendario C'!P78</f>
        <v>0</v>
      </c>
      <c r="E112" s="48">
        <f>'Calendario C'!Q78</f>
        <v>0</v>
      </c>
      <c r="F112" s="48">
        <f>'Calendario C'!R78</f>
        <v>0</v>
      </c>
      <c r="G112" s="48">
        <f>'Calendario C'!S78</f>
        <v>0</v>
      </c>
      <c r="H112" s="48" t="str">
        <f>'Calendario C'!T78</f>
        <v>(Squadra B)</v>
      </c>
      <c r="I112" s="48">
        <f>'Calendario C'!U78</f>
        <v>0</v>
      </c>
      <c r="J112" s="48">
        <f>'Calendario C'!V78</f>
        <v>0</v>
      </c>
      <c r="K112" s="48">
        <f>'Calendario C'!W78</f>
        <v>0</v>
      </c>
      <c r="L112" s="48">
        <f>'Calendario C'!X78</f>
        <v>0</v>
      </c>
      <c r="M112" s="48">
        <f>'Calendario C'!Y78</f>
        <v>0</v>
      </c>
      <c r="N112" s="48">
        <f>'Calendario C'!Z78</f>
        <v>0</v>
      </c>
    </row>
    <row r="113" spans="1:14" x14ac:dyDescent="0.25">
      <c r="A113" s="48" t="str">
        <f>'Calendario C'!M81</f>
        <v>(Squadra A)</v>
      </c>
      <c r="B113" s="48">
        <f>'Calendario C'!N81</f>
        <v>0</v>
      </c>
      <c r="C113" s="48">
        <f>'Calendario C'!O81</f>
        <v>0</v>
      </c>
      <c r="D113" s="48">
        <f>'Calendario C'!P81</f>
        <v>0</v>
      </c>
      <c r="E113" s="48">
        <f>'Calendario C'!Q81</f>
        <v>0</v>
      </c>
      <c r="F113" s="48">
        <f>'Calendario C'!R81</f>
        <v>0</v>
      </c>
      <c r="G113" s="48">
        <f>'Calendario C'!S81</f>
        <v>0</v>
      </c>
      <c r="H113" s="48" t="str">
        <f>'Calendario C'!T81</f>
        <v>(Squadra B)</v>
      </c>
      <c r="I113" s="48">
        <f>'Calendario C'!U81</f>
        <v>0</v>
      </c>
      <c r="J113" s="48">
        <f>'Calendario C'!V81</f>
        <v>0</v>
      </c>
      <c r="K113" s="48">
        <f>'Calendario C'!W81</f>
        <v>0</v>
      </c>
      <c r="L113" s="48">
        <f>'Calendario C'!X81</f>
        <v>0</v>
      </c>
      <c r="M113" s="48">
        <f>'Calendario C'!Y81</f>
        <v>0</v>
      </c>
      <c r="N113" s="48">
        <f>'Calendario C'!Z81</f>
        <v>0</v>
      </c>
    </row>
    <row r="114" spans="1:14" x14ac:dyDescent="0.25">
      <c r="A114" s="48" t="str">
        <f>'Calendario C'!M84</f>
        <v>(Squadra A)</v>
      </c>
      <c r="B114" s="48">
        <f>'Calendario C'!N84</f>
        <v>0</v>
      </c>
      <c r="C114" s="48">
        <f>'Calendario C'!O84</f>
        <v>0</v>
      </c>
      <c r="D114" s="48">
        <f>'Calendario C'!P84</f>
        <v>0</v>
      </c>
      <c r="E114" s="48">
        <f>'Calendario C'!Q84</f>
        <v>0</v>
      </c>
      <c r="F114" s="48">
        <f>'Calendario C'!R84</f>
        <v>0</v>
      </c>
      <c r="G114" s="48">
        <f>'Calendario C'!S84</f>
        <v>0</v>
      </c>
      <c r="H114" s="48" t="str">
        <f>'Calendario C'!T84</f>
        <v>(Squadra B)</v>
      </c>
      <c r="I114" s="48">
        <f>'Calendario C'!U84</f>
        <v>0</v>
      </c>
      <c r="J114" s="48">
        <f>'Calendario C'!V84</f>
        <v>0</v>
      </c>
      <c r="K114" s="48">
        <f>'Calendario C'!W84</f>
        <v>0</v>
      </c>
      <c r="L114" s="48">
        <f>'Calendario C'!X84</f>
        <v>0</v>
      </c>
      <c r="M114" s="48">
        <f>'Calendario C'!Y84</f>
        <v>0</v>
      </c>
      <c r="N114" s="48">
        <f>'Calendario C'!Z84</f>
        <v>0</v>
      </c>
    </row>
    <row r="115" spans="1:14" x14ac:dyDescent="0.25">
      <c r="A115" s="48" t="str">
        <f>'Calendario C'!M87</f>
        <v>(Squadra A)</v>
      </c>
      <c r="B115" s="48">
        <f>'Calendario C'!N87</f>
        <v>0</v>
      </c>
      <c r="C115" s="48">
        <f>'Calendario C'!O87</f>
        <v>0</v>
      </c>
      <c r="D115" s="48">
        <f>'Calendario C'!P87</f>
        <v>0</v>
      </c>
      <c r="E115" s="48">
        <f>'Calendario C'!Q87</f>
        <v>0</v>
      </c>
      <c r="F115" s="48">
        <f>'Calendario C'!R87</f>
        <v>0</v>
      </c>
      <c r="G115" s="48">
        <f>'Calendario C'!S87</f>
        <v>0</v>
      </c>
      <c r="H115" s="48" t="str">
        <f>'Calendario C'!T87</f>
        <v>(Squadra B)</v>
      </c>
      <c r="I115" s="48">
        <f>'Calendario C'!U87</f>
        <v>0</v>
      </c>
      <c r="J115" s="48">
        <f>'Calendario C'!V87</f>
        <v>0</v>
      </c>
      <c r="K115" s="48">
        <f>'Calendario C'!W87</f>
        <v>0</v>
      </c>
      <c r="L115" s="48">
        <f>'Calendario C'!X87</f>
        <v>0</v>
      </c>
      <c r="M115" s="48">
        <f>'Calendario C'!Y87</f>
        <v>0</v>
      </c>
      <c r="N115" s="48">
        <f>'Calendario C'!Z87</f>
        <v>0</v>
      </c>
    </row>
    <row r="116" spans="1:14" x14ac:dyDescent="0.25">
      <c r="A116" s="48" t="str">
        <f>'Calendario C'!M90</f>
        <v>(Squadra A)</v>
      </c>
      <c r="B116" s="48">
        <f>'Calendario C'!N90</f>
        <v>0</v>
      </c>
      <c r="C116" s="48">
        <f>'Calendario C'!O90</f>
        <v>0</v>
      </c>
      <c r="D116" s="48">
        <f>'Calendario C'!P90</f>
        <v>0</v>
      </c>
      <c r="E116" s="48">
        <f>'Calendario C'!Q90</f>
        <v>0</v>
      </c>
      <c r="F116" s="48">
        <f>'Calendario C'!R90</f>
        <v>0</v>
      </c>
      <c r="G116" s="48">
        <f>'Calendario C'!S90</f>
        <v>0</v>
      </c>
      <c r="H116" s="48" t="str">
        <f>'Calendario C'!T90</f>
        <v>(Squadra B)</v>
      </c>
      <c r="I116" s="48">
        <f>'Calendario C'!U90</f>
        <v>0</v>
      </c>
      <c r="J116" s="48">
        <f>'Calendario C'!V90</f>
        <v>0</v>
      </c>
      <c r="K116" s="48">
        <f>'Calendario C'!W90</f>
        <v>0</v>
      </c>
      <c r="L116" s="48">
        <f>'Calendario C'!X90</f>
        <v>0</v>
      </c>
      <c r="M116" s="48">
        <f>'Calendario C'!Y90</f>
        <v>0</v>
      </c>
      <c r="N116" s="48">
        <f>'Calendario C'!Z90</f>
        <v>0</v>
      </c>
    </row>
    <row r="117" spans="1:14" x14ac:dyDescent="0.25">
      <c r="A117" s="48" t="str">
        <f>'Calendario C'!M95</f>
        <v>(Squadra A)</v>
      </c>
      <c r="B117" s="48">
        <f>'Calendario C'!N95</f>
        <v>0</v>
      </c>
      <c r="C117" s="48">
        <f>'Calendario C'!O95</f>
        <v>0</v>
      </c>
      <c r="D117" s="48">
        <f>'Calendario C'!P95</f>
        <v>0</v>
      </c>
      <c r="E117" s="48">
        <f>'Calendario C'!Q95</f>
        <v>0</v>
      </c>
      <c r="F117" s="48">
        <f>'Calendario C'!R95</f>
        <v>0</v>
      </c>
      <c r="G117" s="48">
        <f>'Calendario C'!S95</f>
        <v>0</v>
      </c>
      <c r="H117" s="48" t="str">
        <f>'Calendario C'!T95</f>
        <v>(Squadra B)</v>
      </c>
      <c r="I117" s="48">
        <f>'Calendario C'!U95</f>
        <v>0</v>
      </c>
      <c r="J117" s="48">
        <f>'Calendario C'!V95</f>
        <v>0</v>
      </c>
      <c r="K117" s="48">
        <f>'Calendario C'!W95</f>
        <v>0</v>
      </c>
      <c r="L117" s="48">
        <f>'Calendario C'!X95</f>
        <v>0</v>
      </c>
      <c r="M117" s="48">
        <f>'Calendario C'!Y95</f>
        <v>0</v>
      </c>
      <c r="N117" s="48">
        <f>'Calendario C'!Z95</f>
        <v>0</v>
      </c>
    </row>
    <row r="118" spans="1:14" x14ac:dyDescent="0.25">
      <c r="A118" s="48" t="str">
        <f>'Calendario C'!M98</f>
        <v>(Squadra A)</v>
      </c>
      <c r="B118" s="48">
        <f>'Calendario C'!N98</f>
        <v>0</v>
      </c>
      <c r="C118" s="48">
        <f>'Calendario C'!O98</f>
        <v>0</v>
      </c>
      <c r="D118" s="48">
        <f>'Calendario C'!P98</f>
        <v>0</v>
      </c>
      <c r="E118" s="48">
        <f>'Calendario C'!Q98</f>
        <v>0</v>
      </c>
      <c r="F118" s="48">
        <f>'Calendario C'!R98</f>
        <v>0</v>
      </c>
      <c r="G118" s="48">
        <f>'Calendario C'!S98</f>
        <v>0</v>
      </c>
      <c r="H118" s="48" t="str">
        <f>'Calendario C'!T98</f>
        <v>(Squadra B)</v>
      </c>
      <c r="I118" s="48">
        <f>'Calendario C'!U98</f>
        <v>0</v>
      </c>
      <c r="J118" s="48">
        <f>'Calendario C'!V98</f>
        <v>0</v>
      </c>
      <c r="K118" s="48">
        <f>'Calendario C'!W98</f>
        <v>0</v>
      </c>
      <c r="L118" s="48">
        <f>'Calendario C'!X98</f>
        <v>0</v>
      </c>
      <c r="M118" s="48">
        <f>'Calendario C'!Y98</f>
        <v>0</v>
      </c>
      <c r="N118" s="48">
        <f>'Calendario C'!Z98</f>
        <v>0</v>
      </c>
    </row>
    <row r="119" spans="1:14" x14ac:dyDescent="0.25">
      <c r="A119" s="48" t="str">
        <f>'Calendario C'!M101</f>
        <v>(Squadra A)</v>
      </c>
      <c r="B119" s="48">
        <f>'Calendario C'!N101</f>
        <v>0</v>
      </c>
      <c r="C119" s="48">
        <f>'Calendario C'!O101</f>
        <v>0</v>
      </c>
      <c r="D119" s="48">
        <f>'Calendario C'!P101</f>
        <v>0</v>
      </c>
      <c r="E119" s="48">
        <f>'Calendario C'!Q101</f>
        <v>0</v>
      </c>
      <c r="F119" s="48">
        <f>'Calendario C'!R101</f>
        <v>0</v>
      </c>
      <c r="G119" s="48">
        <f>'Calendario C'!S101</f>
        <v>0</v>
      </c>
      <c r="H119" s="48" t="str">
        <f>'Calendario C'!T101</f>
        <v>(Squadra B)</v>
      </c>
      <c r="I119" s="48">
        <f>'Calendario C'!U101</f>
        <v>0</v>
      </c>
      <c r="J119" s="48">
        <f>'Calendario C'!V101</f>
        <v>0</v>
      </c>
      <c r="K119" s="48">
        <f>'Calendario C'!W101</f>
        <v>0</v>
      </c>
      <c r="L119" s="48">
        <f>'Calendario C'!X101</f>
        <v>0</v>
      </c>
      <c r="M119" s="48">
        <f>'Calendario C'!Y101</f>
        <v>0</v>
      </c>
      <c r="N119" s="48">
        <f>'Calendario C'!Z101</f>
        <v>0</v>
      </c>
    </row>
    <row r="120" spans="1:14" x14ac:dyDescent="0.25">
      <c r="A120" s="48" t="str">
        <f>'Calendario C'!M104</f>
        <v>(Squadra A)</v>
      </c>
      <c r="B120" s="48">
        <f>'Calendario C'!N104</f>
        <v>0</v>
      </c>
      <c r="C120" s="48">
        <f>'Calendario C'!O104</f>
        <v>0</v>
      </c>
      <c r="D120" s="48">
        <f>'Calendario C'!P104</f>
        <v>0</v>
      </c>
      <c r="E120" s="48">
        <f>'Calendario C'!Q104</f>
        <v>0</v>
      </c>
      <c r="F120" s="48">
        <f>'Calendario C'!R104</f>
        <v>0</v>
      </c>
      <c r="G120" s="48">
        <f>'Calendario C'!S104</f>
        <v>0</v>
      </c>
      <c r="H120" s="48" t="str">
        <f>'Calendario C'!T104</f>
        <v>(Squadra B)</v>
      </c>
      <c r="I120" s="48">
        <f>'Calendario C'!U104</f>
        <v>0</v>
      </c>
      <c r="J120" s="48">
        <f>'Calendario C'!V104</f>
        <v>0</v>
      </c>
      <c r="K120" s="48">
        <f>'Calendario C'!W104</f>
        <v>0</v>
      </c>
      <c r="L120" s="48">
        <f>'Calendario C'!X104</f>
        <v>0</v>
      </c>
      <c r="M120" s="48">
        <f>'Calendario C'!Y104</f>
        <v>0</v>
      </c>
      <c r="N120" s="48">
        <f>'Calendario C'!Z104</f>
        <v>0</v>
      </c>
    </row>
    <row r="121" spans="1:14" x14ac:dyDescent="0.25">
      <c r="A121" s="48" t="str">
        <f>'Calendario C'!M107</f>
        <v>(Squadra A)</v>
      </c>
      <c r="B121" s="48">
        <f>'Calendario C'!N107</f>
        <v>0</v>
      </c>
      <c r="C121" s="48">
        <f>'Calendario C'!O107</f>
        <v>0</v>
      </c>
      <c r="D121" s="48">
        <f>'Calendario C'!P107</f>
        <v>0</v>
      </c>
      <c r="E121" s="48">
        <f>'Calendario C'!Q107</f>
        <v>0</v>
      </c>
      <c r="F121" s="48">
        <f>'Calendario C'!R107</f>
        <v>0</v>
      </c>
      <c r="G121" s="48">
        <f>'Calendario C'!S107</f>
        <v>0</v>
      </c>
      <c r="H121" s="48" t="str">
        <f>'Calendario C'!T107</f>
        <v>(Squadra B)</v>
      </c>
      <c r="I121" s="48">
        <f>'Calendario C'!U107</f>
        <v>0</v>
      </c>
      <c r="J121" s="48">
        <f>'Calendario C'!V107</f>
        <v>0</v>
      </c>
      <c r="K121" s="48">
        <f>'Calendario C'!W107</f>
        <v>0</v>
      </c>
      <c r="L121" s="48">
        <f>'Calendario C'!X107</f>
        <v>0</v>
      </c>
      <c r="M121" s="48">
        <f>'Calendario C'!Y107</f>
        <v>0</v>
      </c>
      <c r="N121" s="48">
        <f>'Calendario C'!Z107</f>
        <v>0</v>
      </c>
    </row>
    <row r="122" spans="1:14" x14ac:dyDescent="0.25">
      <c r="A122" s="48" t="str">
        <f>'Calendario C'!M112</f>
        <v>(Squadra A)</v>
      </c>
      <c r="B122" s="48">
        <f>'Calendario C'!N112</f>
        <v>0</v>
      </c>
      <c r="C122" s="48">
        <f>'Calendario C'!O112</f>
        <v>0</v>
      </c>
      <c r="D122" s="48">
        <f>'Calendario C'!P112</f>
        <v>0</v>
      </c>
      <c r="E122" s="48">
        <f>'Calendario C'!Q112</f>
        <v>0</v>
      </c>
      <c r="F122" s="48">
        <f>'Calendario C'!R112</f>
        <v>0</v>
      </c>
      <c r="G122" s="48">
        <f>'Calendario C'!S112</f>
        <v>0</v>
      </c>
      <c r="H122" s="48" t="str">
        <f>'Calendario C'!T112</f>
        <v>(Squadra B)</v>
      </c>
      <c r="I122" s="48">
        <f>'Calendario C'!U112</f>
        <v>0</v>
      </c>
      <c r="J122" s="48">
        <f>'Calendario C'!V112</f>
        <v>0</v>
      </c>
      <c r="K122" s="48">
        <f>'Calendario C'!W112</f>
        <v>0</v>
      </c>
      <c r="L122" s="48">
        <f>'Calendario C'!X112</f>
        <v>0</v>
      </c>
      <c r="M122" s="48">
        <f>'Calendario C'!Y112</f>
        <v>0</v>
      </c>
      <c r="N122" s="48">
        <f>'Calendario C'!Z112</f>
        <v>0</v>
      </c>
    </row>
    <row r="123" spans="1:14" x14ac:dyDescent="0.25">
      <c r="A123" s="48" t="str">
        <f>'Calendario C'!M115</f>
        <v>(Squadra A)</v>
      </c>
      <c r="B123" s="48">
        <f>'Calendario C'!N115</f>
        <v>0</v>
      </c>
      <c r="C123" s="48">
        <f>'Calendario C'!O115</f>
        <v>0</v>
      </c>
      <c r="D123" s="48">
        <f>'Calendario C'!P115</f>
        <v>0</v>
      </c>
      <c r="E123" s="48">
        <f>'Calendario C'!Q115</f>
        <v>0</v>
      </c>
      <c r="F123" s="48">
        <f>'Calendario C'!R115</f>
        <v>0</v>
      </c>
      <c r="G123" s="48">
        <f>'Calendario C'!S115</f>
        <v>0</v>
      </c>
      <c r="H123" s="48" t="str">
        <f>'Calendario C'!T115</f>
        <v>(Squadra B)</v>
      </c>
      <c r="I123" s="48">
        <f>'Calendario C'!U115</f>
        <v>0</v>
      </c>
      <c r="J123" s="48">
        <f>'Calendario C'!V115</f>
        <v>0</v>
      </c>
      <c r="K123" s="48">
        <f>'Calendario C'!W115</f>
        <v>0</v>
      </c>
      <c r="L123" s="48">
        <f>'Calendario C'!X115</f>
        <v>0</v>
      </c>
      <c r="M123" s="48">
        <f>'Calendario C'!Y115</f>
        <v>0</v>
      </c>
      <c r="N123" s="48">
        <f>'Calendario C'!Z115</f>
        <v>0</v>
      </c>
    </row>
    <row r="124" spans="1:14" x14ac:dyDescent="0.25">
      <c r="A124" s="48" t="str">
        <f>'Calendario C'!M118</f>
        <v>(Squadra A)</v>
      </c>
      <c r="B124" s="48">
        <f>'Calendario C'!N118</f>
        <v>0</v>
      </c>
      <c r="C124" s="48">
        <f>'Calendario C'!O118</f>
        <v>0</v>
      </c>
      <c r="D124" s="48">
        <f>'Calendario C'!P118</f>
        <v>0</v>
      </c>
      <c r="E124" s="48">
        <f>'Calendario C'!Q118</f>
        <v>0</v>
      </c>
      <c r="F124" s="48">
        <f>'Calendario C'!R118</f>
        <v>0</v>
      </c>
      <c r="G124" s="48">
        <f>'Calendario C'!S118</f>
        <v>0</v>
      </c>
      <c r="H124" s="48" t="str">
        <f>'Calendario C'!T118</f>
        <v>(Squadra B)</v>
      </c>
      <c r="I124" s="48">
        <f>'Calendario C'!U118</f>
        <v>0</v>
      </c>
      <c r="J124" s="48">
        <f>'Calendario C'!V118</f>
        <v>0</v>
      </c>
      <c r="K124" s="48">
        <f>'Calendario C'!W118</f>
        <v>0</v>
      </c>
      <c r="L124" s="48">
        <f>'Calendario C'!X118</f>
        <v>0</v>
      </c>
      <c r="M124" s="48">
        <f>'Calendario C'!Y118</f>
        <v>0</v>
      </c>
      <c r="N124" s="48">
        <f>'Calendario C'!Z118</f>
        <v>0</v>
      </c>
    </row>
    <row r="125" spans="1:14" x14ac:dyDescent="0.25">
      <c r="A125" s="48" t="str">
        <f>'Calendario C'!M121</f>
        <v>(Squadra A)</v>
      </c>
      <c r="B125" s="48">
        <f>'Calendario C'!N121</f>
        <v>0</v>
      </c>
      <c r="C125" s="48">
        <f>'Calendario C'!O121</f>
        <v>0</v>
      </c>
      <c r="D125" s="48">
        <f>'Calendario C'!P121</f>
        <v>0</v>
      </c>
      <c r="E125" s="48">
        <f>'Calendario C'!Q121</f>
        <v>0</v>
      </c>
      <c r="F125" s="48">
        <f>'Calendario C'!R121</f>
        <v>0</v>
      </c>
      <c r="G125" s="48">
        <f>'Calendario C'!S121</f>
        <v>0</v>
      </c>
      <c r="H125" s="48" t="str">
        <f>'Calendario C'!T121</f>
        <v>(Squadra B)</v>
      </c>
      <c r="I125" s="48">
        <f>'Calendario C'!U121</f>
        <v>0</v>
      </c>
      <c r="J125" s="48">
        <f>'Calendario C'!V121</f>
        <v>0</v>
      </c>
      <c r="K125" s="48">
        <f>'Calendario C'!W121</f>
        <v>0</v>
      </c>
      <c r="L125" s="48">
        <f>'Calendario C'!X121</f>
        <v>0</v>
      </c>
      <c r="M125" s="48">
        <f>'Calendario C'!Y121</f>
        <v>0</v>
      </c>
      <c r="N125" s="48">
        <f>'Calendario C'!Z121</f>
        <v>0</v>
      </c>
    </row>
    <row r="126" spans="1:14" x14ac:dyDescent="0.25">
      <c r="A126" s="48" t="str">
        <f>'Calendario C'!M124</f>
        <v>(Squadra A)</v>
      </c>
      <c r="B126" s="48">
        <f>'Calendario C'!N124</f>
        <v>0</v>
      </c>
      <c r="C126" s="48">
        <f>'Calendario C'!O124</f>
        <v>0</v>
      </c>
      <c r="D126" s="48">
        <f>'Calendario C'!P124</f>
        <v>0</v>
      </c>
      <c r="E126" s="48">
        <f>'Calendario C'!Q124</f>
        <v>0</v>
      </c>
      <c r="F126" s="48">
        <f>'Calendario C'!R124</f>
        <v>0</v>
      </c>
      <c r="G126" s="48">
        <f>'Calendario C'!S124</f>
        <v>0</v>
      </c>
      <c r="H126" s="48" t="str">
        <f>'Calendario C'!T124</f>
        <v>(Squadra B)</v>
      </c>
      <c r="I126" s="48">
        <f>'Calendario C'!U124</f>
        <v>0</v>
      </c>
      <c r="J126" s="48">
        <f>'Calendario C'!V124</f>
        <v>0</v>
      </c>
      <c r="K126" s="48">
        <f>'Calendario C'!W124</f>
        <v>0</v>
      </c>
      <c r="L126" s="48">
        <f>'Calendario C'!X124</f>
        <v>0</v>
      </c>
      <c r="M126" s="48">
        <f>'Calendario C'!Y124</f>
        <v>0</v>
      </c>
      <c r="N126" s="48">
        <f>'Calendario C'!Z124</f>
        <v>0</v>
      </c>
    </row>
    <row r="127" spans="1:14" x14ac:dyDescent="0.25">
      <c r="A127" s="48" t="str">
        <f>'Calendario C'!M129</f>
        <v>(Squadra A)</v>
      </c>
      <c r="B127" s="48">
        <f>'Calendario C'!N129</f>
        <v>0</v>
      </c>
      <c r="C127" s="48">
        <f>'Calendario C'!O129</f>
        <v>0</v>
      </c>
      <c r="D127" s="48">
        <f>'Calendario C'!P129</f>
        <v>0</v>
      </c>
      <c r="E127" s="48">
        <f>'Calendario C'!Q129</f>
        <v>0</v>
      </c>
      <c r="F127" s="48">
        <f>'Calendario C'!R129</f>
        <v>0</v>
      </c>
      <c r="G127" s="48">
        <f>'Calendario C'!S129</f>
        <v>0</v>
      </c>
      <c r="H127" s="48" t="str">
        <f>'Calendario C'!T129</f>
        <v>(Squadra B)</v>
      </c>
      <c r="I127" s="48">
        <f>'Calendario C'!U129</f>
        <v>0</v>
      </c>
      <c r="J127" s="48">
        <f>'Calendario C'!V129</f>
        <v>0</v>
      </c>
      <c r="K127" s="48">
        <f>'Calendario C'!W129</f>
        <v>0</v>
      </c>
      <c r="L127" s="48">
        <f>'Calendario C'!X129</f>
        <v>0</v>
      </c>
      <c r="M127" s="48">
        <f>'Calendario C'!Y129</f>
        <v>0</v>
      </c>
      <c r="N127" s="48">
        <f>'Calendario C'!Z129</f>
        <v>0</v>
      </c>
    </row>
    <row r="128" spans="1:14" x14ac:dyDescent="0.25">
      <c r="A128" s="48" t="str">
        <f>'Calendario C'!M132</f>
        <v>(Squadra A)</v>
      </c>
      <c r="B128" s="48">
        <f>'Calendario C'!N132</f>
        <v>0</v>
      </c>
      <c r="C128" s="48">
        <f>'Calendario C'!O132</f>
        <v>0</v>
      </c>
      <c r="D128" s="48">
        <f>'Calendario C'!P132</f>
        <v>0</v>
      </c>
      <c r="E128" s="48">
        <f>'Calendario C'!Q132</f>
        <v>0</v>
      </c>
      <c r="F128" s="48">
        <f>'Calendario C'!R132</f>
        <v>0</v>
      </c>
      <c r="G128" s="48">
        <f>'Calendario C'!S132</f>
        <v>0</v>
      </c>
      <c r="H128" s="48" t="str">
        <f>'Calendario C'!T132</f>
        <v>(Squadra B)</v>
      </c>
      <c r="I128" s="48">
        <f>'Calendario C'!U132</f>
        <v>0</v>
      </c>
      <c r="J128" s="48">
        <f>'Calendario C'!V132</f>
        <v>0</v>
      </c>
      <c r="K128" s="48">
        <f>'Calendario C'!W132</f>
        <v>0</v>
      </c>
      <c r="L128" s="48">
        <f>'Calendario C'!X132</f>
        <v>0</v>
      </c>
      <c r="M128" s="48">
        <f>'Calendario C'!Y132</f>
        <v>0</v>
      </c>
      <c r="N128" s="48">
        <f>'Calendario C'!Z132</f>
        <v>0</v>
      </c>
    </row>
    <row r="129" spans="1:14" x14ac:dyDescent="0.25">
      <c r="A129" s="48" t="str">
        <f>'Calendario C'!M135</f>
        <v>(Squadra A)</v>
      </c>
      <c r="B129" s="48">
        <f>'Calendario C'!N135</f>
        <v>0</v>
      </c>
      <c r="C129" s="48">
        <f>'Calendario C'!O135</f>
        <v>0</v>
      </c>
      <c r="D129" s="48">
        <f>'Calendario C'!P135</f>
        <v>0</v>
      </c>
      <c r="E129" s="48">
        <f>'Calendario C'!Q135</f>
        <v>0</v>
      </c>
      <c r="F129" s="48">
        <f>'Calendario C'!R135</f>
        <v>0</v>
      </c>
      <c r="G129" s="48">
        <f>'Calendario C'!S135</f>
        <v>0</v>
      </c>
      <c r="H129" s="48" t="str">
        <f>'Calendario C'!T135</f>
        <v>(Squadra B)</v>
      </c>
      <c r="I129" s="48">
        <f>'Calendario C'!U135</f>
        <v>0</v>
      </c>
      <c r="J129" s="48">
        <f>'Calendario C'!V135</f>
        <v>0</v>
      </c>
      <c r="K129" s="48">
        <f>'Calendario C'!W135</f>
        <v>0</v>
      </c>
      <c r="L129" s="48">
        <f>'Calendario C'!X135</f>
        <v>0</v>
      </c>
      <c r="M129" s="48">
        <f>'Calendario C'!Y135</f>
        <v>0</v>
      </c>
      <c r="N129" s="48">
        <f>'Calendario C'!Z135</f>
        <v>0</v>
      </c>
    </row>
    <row r="130" spans="1:14" x14ac:dyDescent="0.25">
      <c r="A130" s="48" t="str">
        <f>'Calendario C'!M138</f>
        <v>(Squadra A)</v>
      </c>
      <c r="B130" s="48">
        <f>'Calendario C'!N138</f>
        <v>0</v>
      </c>
      <c r="C130" s="48">
        <f>'Calendario C'!O138</f>
        <v>0</v>
      </c>
      <c r="D130" s="48">
        <f>'Calendario C'!P138</f>
        <v>0</v>
      </c>
      <c r="E130" s="48">
        <f>'Calendario C'!Q138</f>
        <v>0</v>
      </c>
      <c r="F130" s="48">
        <f>'Calendario C'!R138</f>
        <v>0</v>
      </c>
      <c r="G130" s="48">
        <f>'Calendario C'!S138</f>
        <v>0</v>
      </c>
      <c r="H130" s="48" t="str">
        <f>'Calendario C'!T138</f>
        <v>(Squadra B)</v>
      </c>
      <c r="I130" s="48">
        <f>'Calendario C'!U138</f>
        <v>0</v>
      </c>
      <c r="J130" s="48">
        <f>'Calendario C'!V138</f>
        <v>0</v>
      </c>
      <c r="K130" s="48">
        <f>'Calendario C'!W138</f>
        <v>0</v>
      </c>
      <c r="L130" s="48">
        <f>'Calendario C'!X138</f>
        <v>0</v>
      </c>
      <c r="M130" s="48">
        <f>'Calendario C'!Y138</f>
        <v>0</v>
      </c>
      <c r="N130" s="48">
        <f>'Calendario C'!Z138</f>
        <v>0</v>
      </c>
    </row>
    <row r="131" spans="1:14" x14ac:dyDescent="0.25">
      <c r="A131" s="48" t="str">
        <f>'Calendario C'!M141</f>
        <v>(Squadra A)</v>
      </c>
      <c r="B131" s="48">
        <f>'Calendario C'!N141</f>
        <v>0</v>
      </c>
      <c r="C131" s="48">
        <f>'Calendario C'!O141</f>
        <v>0</v>
      </c>
      <c r="D131" s="48">
        <f>'Calendario C'!P141</f>
        <v>0</v>
      </c>
      <c r="E131" s="48">
        <f>'Calendario C'!Q141</f>
        <v>0</v>
      </c>
      <c r="F131" s="48">
        <f>'Calendario C'!R141</f>
        <v>0</v>
      </c>
      <c r="G131" s="48">
        <f>'Calendario C'!S141</f>
        <v>0</v>
      </c>
      <c r="H131" s="48" t="str">
        <f>'Calendario C'!T141</f>
        <v>(Squadra B)</v>
      </c>
      <c r="I131" s="48">
        <f>'Calendario C'!U141</f>
        <v>0</v>
      </c>
      <c r="J131" s="48">
        <f>'Calendario C'!V141</f>
        <v>0</v>
      </c>
      <c r="K131" s="48">
        <f>'Calendario C'!W141</f>
        <v>0</v>
      </c>
      <c r="L131" s="48">
        <f>'Calendario C'!X141</f>
        <v>0</v>
      </c>
      <c r="M131" s="48">
        <f>'Calendario C'!Y141</f>
        <v>0</v>
      </c>
      <c r="N131" s="48">
        <f>'Calendario C'!Z141</f>
        <v>0</v>
      </c>
    </row>
    <row r="132" spans="1:14" x14ac:dyDescent="0.25">
      <c r="A132" s="48" t="str">
        <f>'Calendario C'!M146</f>
        <v>(Squadra A)</v>
      </c>
      <c r="B132" s="48">
        <f>'Calendario C'!N146</f>
        <v>0</v>
      </c>
      <c r="C132" s="48">
        <f>'Calendario C'!O146</f>
        <v>0</v>
      </c>
      <c r="D132" s="48">
        <f>'Calendario C'!P146</f>
        <v>0</v>
      </c>
      <c r="E132" s="48">
        <f>'Calendario C'!Q146</f>
        <v>0</v>
      </c>
      <c r="F132" s="48">
        <f>'Calendario C'!R146</f>
        <v>0</v>
      </c>
      <c r="G132" s="48">
        <f>'Calendario C'!S146</f>
        <v>0</v>
      </c>
      <c r="H132" s="48" t="str">
        <f>'Calendario C'!T146</f>
        <v>(Squadra B)</v>
      </c>
      <c r="I132" s="48">
        <f>'Calendario C'!U146</f>
        <v>0</v>
      </c>
      <c r="J132" s="48">
        <f>'Calendario C'!V146</f>
        <v>0</v>
      </c>
      <c r="K132" s="48">
        <f>'Calendario C'!W146</f>
        <v>0</v>
      </c>
      <c r="L132" s="48">
        <f>'Calendario C'!X146</f>
        <v>0</v>
      </c>
      <c r="M132" s="48">
        <f>'Calendario C'!Y146</f>
        <v>0</v>
      </c>
      <c r="N132" s="48">
        <f>'Calendario C'!Z146</f>
        <v>0</v>
      </c>
    </row>
    <row r="133" spans="1:14" x14ac:dyDescent="0.25">
      <c r="A133" s="48" t="str">
        <f>'Calendario C'!M149</f>
        <v>(Squadra A)</v>
      </c>
      <c r="B133" s="48">
        <f>'Calendario C'!N149</f>
        <v>0</v>
      </c>
      <c r="C133" s="48">
        <f>'Calendario C'!O149</f>
        <v>0</v>
      </c>
      <c r="D133" s="48">
        <f>'Calendario C'!P149</f>
        <v>0</v>
      </c>
      <c r="E133" s="48">
        <f>'Calendario C'!Q149</f>
        <v>0</v>
      </c>
      <c r="F133" s="48">
        <f>'Calendario C'!R149</f>
        <v>0</v>
      </c>
      <c r="G133" s="48">
        <f>'Calendario C'!S149</f>
        <v>0</v>
      </c>
      <c r="H133" s="48" t="str">
        <f>'Calendario C'!T149</f>
        <v>(Squadra B)</v>
      </c>
      <c r="I133" s="48">
        <f>'Calendario C'!U149</f>
        <v>0</v>
      </c>
      <c r="J133" s="48">
        <f>'Calendario C'!V149</f>
        <v>0</v>
      </c>
      <c r="K133" s="48">
        <f>'Calendario C'!W149</f>
        <v>0</v>
      </c>
      <c r="L133" s="48">
        <f>'Calendario C'!X149</f>
        <v>0</v>
      </c>
      <c r="M133" s="48">
        <f>'Calendario C'!Y149</f>
        <v>0</v>
      </c>
      <c r="N133" s="48">
        <f>'Calendario C'!Z149</f>
        <v>0</v>
      </c>
    </row>
    <row r="134" spans="1:14" x14ac:dyDescent="0.25">
      <c r="A134" s="48" t="str">
        <f>'Calendario C'!M152</f>
        <v>(Squadra A)</v>
      </c>
      <c r="B134" s="48">
        <f>'Calendario C'!N152</f>
        <v>0</v>
      </c>
      <c r="C134" s="48">
        <f>'Calendario C'!O152</f>
        <v>0</v>
      </c>
      <c r="D134" s="48">
        <f>'Calendario C'!P152</f>
        <v>0</v>
      </c>
      <c r="E134" s="48">
        <f>'Calendario C'!Q152</f>
        <v>0</v>
      </c>
      <c r="F134" s="48">
        <f>'Calendario C'!R152</f>
        <v>0</v>
      </c>
      <c r="G134" s="48">
        <f>'Calendario C'!S152</f>
        <v>0</v>
      </c>
      <c r="H134" s="48" t="str">
        <f>'Calendario C'!T152</f>
        <v>(Squadra B)</v>
      </c>
      <c r="I134" s="48">
        <f>'Calendario C'!U152</f>
        <v>0</v>
      </c>
      <c r="J134" s="48">
        <f>'Calendario C'!V152</f>
        <v>0</v>
      </c>
      <c r="K134" s="48">
        <f>'Calendario C'!W152</f>
        <v>0</v>
      </c>
      <c r="L134" s="48">
        <f>'Calendario C'!X152</f>
        <v>0</v>
      </c>
      <c r="M134" s="48">
        <f>'Calendario C'!Y152</f>
        <v>0</v>
      </c>
      <c r="N134" s="48">
        <f>'Calendario C'!Z152</f>
        <v>0</v>
      </c>
    </row>
    <row r="135" spans="1:14" x14ac:dyDescent="0.25">
      <c r="A135" s="48" t="str">
        <f>'Calendario C'!M155</f>
        <v>(Squadra A)</v>
      </c>
      <c r="B135" s="48">
        <f>'Calendario C'!N155</f>
        <v>0</v>
      </c>
      <c r="C135" s="48">
        <f>'Calendario C'!O155</f>
        <v>0</v>
      </c>
      <c r="D135" s="48">
        <f>'Calendario C'!P155</f>
        <v>0</v>
      </c>
      <c r="E135" s="48">
        <f>'Calendario C'!Q155</f>
        <v>0</v>
      </c>
      <c r="F135" s="48">
        <f>'Calendario C'!R155</f>
        <v>0</v>
      </c>
      <c r="G135" s="48">
        <f>'Calendario C'!S155</f>
        <v>0</v>
      </c>
      <c r="H135" s="48" t="str">
        <f>'Calendario C'!T155</f>
        <v>(Squadra B)</v>
      </c>
      <c r="I135" s="48">
        <f>'Calendario C'!U155</f>
        <v>0</v>
      </c>
      <c r="J135" s="48">
        <f>'Calendario C'!V155</f>
        <v>0</v>
      </c>
      <c r="K135" s="48">
        <f>'Calendario C'!W155</f>
        <v>0</v>
      </c>
      <c r="L135" s="48">
        <f>'Calendario C'!X155</f>
        <v>0</v>
      </c>
      <c r="M135" s="48">
        <f>'Calendario C'!Y155</f>
        <v>0</v>
      </c>
      <c r="N135" s="48">
        <f>'Calendario C'!Z155</f>
        <v>0</v>
      </c>
    </row>
    <row r="136" spans="1:14" x14ac:dyDescent="0.25">
      <c r="A136" s="48" t="str">
        <f>'Calendario C'!M158</f>
        <v>(Squadra A)</v>
      </c>
      <c r="B136" s="48">
        <f>'Calendario C'!N158</f>
        <v>0</v>
      </c>
      <c r="C136" s="48">
        <f>'Calendario C'!O158</f>
        <v>0</v>
      </c>
      <c r="D136" s="48">
        <f>'Calendario C'!P158</f>
        <v>0</v>
      </c>
      <c r="E136" s="48">
        <f>'Calendario C'!Q158</f>
        <v>0</v>
      </c>
      <c r="F136" s="48">
        <f>'Calendario C'!R158</f>
        <v>0</v>
      </c>
      <c r="G136" s="48">
        <f>'Calendario C'!S158</f>
        <v>0</v>
      </c>
      <c r="H136" s="48" t="str">
        <f>'Calendario C'!T158</f>
        <v>(Squadra B)</v>
      </c>
      <c r="I136" s="48">
        <f>'Calendario C'!U158</f>
        <v>0</v>
      </c>
      <c r="J136" s="48">
        <f>'Calendario C'!V158</f>
        <v>0</v>
      </c>
      <c r="K136" s="48">
        <f>'Calendario C'!W158</f>
        <v>0</v>
      </c>
      <c r="L136" s="48">
        <f>'Calendario C'!X158</f>
        <v>0</v>
      </c>
      <c r="M136" s="48">
        <f>'Calendario C'!Y158</f>
        <v>0</v>
      </c>
      <c r="N136" s="48">
        <f>'Calendario C'!Z158</f>
        <v>0</v>
      </c>
    </row>
    <row r="137" spans="1:14" x14ac:dyDescent="0.25">
      <c r="A137" s="48" t="str">
        <f>'Calendario D'!M10</f>
        <v>(Squadra A)</v>
      </c>
      <c r="B137" s="48">
        <f>'Calendario D'!N10</f>
        <v>0</v>
      </c>
      <c r="C137" s="48">
        <f>'Calendario D'!O10</f>
        <v>0</v>
      </c>
      <c r="D137" s="48">
        <f>'Calendario D'!P10</f>
        <v>0</v>
      </c>
      <c r="E137" s="48">
        <f>'Calendario D'!Q10</f>
        <v>0</v>
      </c>
      <c r="F137" s="48">
        <f>'Calendario D'!R10</f>
        <v>0</v>
      </c>
      <c r="G137" s="48">
        <f>'Calendario D'!S10</f>
        <v>0</v>
      </c>
      <c r="H137" s="48" t="str">
        <f>'Calendario D'!T10</f>
        <v>(Squadra B)</v>
      </c>
      <c r="I137" s="48">
        <f>'Calendario D'!U10</f>
        <v>0</v>
      </c>
      <c r="J137" s="48">
        <f>'Calendario D'!V10</f>
        <v>0</v>
      </c>
      <c r="K137" s="48">
        <f>'Calendario D'!W10</f>
        <v>0</v>
      </c>
      <c r="L137" s="48">
        <f>'Calendario D'!X10</f>
        <v>0</v>
      </c>
      <c r="M137" s="48">
        <f>'Calendario D'!Y10</f>
        <v>0</v>
      </c>
      <c r="N137" s="48">
        <f>'Calendario D'!Z10</f>
        <v>0</v>
      </c>
    </row>
    <row r="138" spans="1:14" x14ac:dyDescent="0.25">
      <c r="A138" s="48" t="str">
        <f>'Calendario D'!M13</f>
        <v>(Squadra A)</v>
      </c>
      <c r="B138" s="48">
        <f>'Calendario D'!N13</f>
        <v>0</v>
      </c>
      <c r="C138" s="48">
        <f>'Calendario D'!O13</f>
        <v>0</v>
      </c>
      <c r="D138" s="48">
        <f>'Calendario D'!P13</f>
        <v>0</v>
      </c>
      <c r="E138" s="48">
        <f>'Calendario D'!Q13</f>
        <v>0</v>
      </c>
      <c r="F138" s="48">
        <f>'Calendario D'!R13</f>
        <v>0</v>
      </c>
      <c r="G138" s="48">
        <f>'Calendario D'!S13</f>
        <v>0</v>
      </c>
      <c r="H138" s="48" t="str">
        <f>'Calendario D'!T13</f>
        <v>(Squadra B)</v>
      </c>
      <c r="I138" s="48">
        <f>'Calendario D'!U13</f>
        <v>0</v>
      </c>
      <c r="J138" s="48">
        <f>'Calendario D'!V13</f>
        <v>0</v>
      </c>
      <c r="K138" s="48">
        <f>'Calendario D'!W13</f>
        <v>0</v>
      </c>
      <c r="L138" s="48">
        <f>'Calendario D'!X13</f>
        <v>0</v>
      </c>
      <c r="M138" s="48">
        <f>'Calendario D'!Y13</f>
        <v>0</v>
      </c>
      <c r="N138" s="48">
        <f>'Calendario D'!Z13</f>
        <v>0</v>
      </c>
    </row>
    <row r="139" spans="1:14" x14ac:dyDescent="0.25">
      <c r="A139" s="48" t="str">
        <f>'Calendario D'!M16</f>
        <v>(Squadra A)</v>
      </c>
      <c r="B139" s="48">
        <f>'Calendario D'!N16</f>
        <v>0</v>
      </c>
      <c r="C139" s="48">
        <f>'Calendario D'!O16</f>
        <v>0</v>
      </c>
      <c r="D139" s="48">
        <f>'Calendario D'!P16</f>
        <v>0</v>
      </c>
      <c r="E139" s="48">
        <f>'Calendario D'!Q16</f>
        <v>0</v>
      </c>
      <c r="F139" s="48">
        <f>'Calendario D'!R16</f>
        <v>0</v>
      </c>
      <c r="G139" s="48">
        <f>'Calendario D'!S16</f>
        <v>0</v>
      </c>
      <c r="H139" s="48" t="str">
        <f>'Calendario D'!T16</f>
        <v>(Squadra B)</v>
      </c>
      <c r="I139" s="48">
        <f>'Calendario D'!U16</f>
        <v>0</v>
      </c>
      <c r="J139" s="48">
        <f>'Calendario D'!V16</f>
        <v>0</v>
      </c>
      <c r="K139" s="48">
        <f>'Calendario D'!W16</f>
        <v>0</v>
      </c>
      <c r="L139" s="48">
        <f>'Calendario D'!X16</f>
        <v>0</v>
      </c>
      <c r="M139" s="48">
        <f>'Calendario D'!Y16</f>
        <v>0</v>
      </c>
      <c r="N139" s="48">
        <f>'Calendario D'!Z16</f>
        <v>0</v>
      </c>
    </row>
    <row r="140" spans="1:14" x14ac:dyDescent="0.25">
      <c r="A140" s="48" t="str">
        <f>'Calendario D'!M19</f>
        <v>(Squadra A)</v>
      </c>
      <c r="B140" s="48">
        <f>'Calendario D'!N19</f>
        <v>0</v>
      </c>
      <c r="C140" s="48">
        <f>'Calendario D'!O19</f>
        <v>0</v>
      </c>
      <c r="D140" s="48">
        <f>'Calendario D'!P19</f>
        <v>0</v>
      </c>
      <c r="E140" s="48">
        <f>'Calendario D'!Q19</f>
        <v>0</v>
      </c>
      <c r="F140" s="48">
        <f>'Calendario D'!R19</f>
        <v>0</v>
      </c>
      <c r="G140" s="48">
        <f>'Calendario D'!S19</f>
        <v>0</v>
      </c>
      <c r="H140" s="48" t="str">
        <f>'Calendario D'!T19</f>
        <v>(Squadra B)</v>
      </c>
      <c r="I140" s="48">
        <f>'Calendario D'!U19</f>
        <v>0</v>
      </c>
      <c r="J140" s="48">
        <f>'Calendario D'!V19</f>
        <v>0</v>
      </c>
      <c r="K140" s="48">
        <f>'Calendario D'!W19</f>
        <v>0</v>
      </c>
      <c r="L140" s="48">
        <f>'Calendario D'!X19</f>
        <v>0</v>
      </c>
      <c r="M140" s="48">
        <f>'Calendario D'!Y19</f>
        <v>0</v>
      </c>
      <c r="N140" s="48">
        <f>'Calendario D'!Z19</f>
        <v>0</v>
      </c>
    </row>
    <row r="141" spans="1:14" x14ac:dyDescent="0.25">
      <c r="A141" s="48" t="str">
        <f>'Calendario D'!M22</f>
        <v>(Squadra A)</v>
      </c>
      <c r="B141" s="48">
        <f>'Calendario D'!N22</f>
        <v>0</v>
      </c>
      <c r="C141" s="48">
        <f>'Calendario D'!O22</f>
        <v>0</v>
      </c>
      <c r="D141" s="48">
        <f>'Calendario D'!P22</f>
        <v>0</v>
      </c>
      <c r="E141" s="48">
        <f>'Calendario D'!Q22</f>
        <v>0</v>
      </c>
      <c r="F141" s="48">
        <f>'Calendario D'!R22</f>
        <v>0</v>
      </c>
      <c r="G141" s="48">
        <f>'Calendario D'!S22</f>
        <v>0</v>
      </c>
      <c r="H141" s="48" t="str">
        <f>'Calendario D'!T22</f>
        <v>(Squadra B)</v>
      </c>
      <c r="I141" s="48">
        <f>'Calendario D'!U22</f>
        <v>0</v>
      </c>
      <c r="J141" s="48">
        <f>'Calendario D'!V22</f>
        <v>0</v>
      </c>
      <c r="K141" s="48">
        <f>'Calendario D'!W22</f>
        <v>0</v>
      </c>
      <c r="L141" s="48">
        <f>'Calendario D'!X22</f>
        <v>0</v>
      </c>
      <c r="M141" s="48">
        <f>'Calendario D'!Y22</f>
        <v>0</v>
      </c>
      <c r="N141" s="48">
        <f>'Calendario D'!Z22</f>
        <v>0</v>
      </c>
    </row>
    <row r="142" spans="1:14" x14ac:dyDescent="0.25">
      <c r="A142" s="48" t="str">
        <f>'Calendario D'!M27</f>
        <v>(Squadra A)</v>
      </c>
      <c r="B142" s="48">
        <f>'Calendario D'!N27</f>
        <v>0</v>
      </c>
      <c r="C142" s="48">
        <f>'Calendario D'!O27</f>
        <v>0</v>
      </c>
      <c r="D142" s="48">
        <f>'Calendario D'!P27</f>
        <v>0</v>
      </c>
      <c r="E142" s="48">
        <f>'Calendario D'!Q27</f>
        <v>0</v>
      </c>
      <c r="F142" s="48">
        <f>'Calendario D'!R27</f>
        <v>0</v>
      </c>
      <c r="G142" s="48">
        <f>'Calendario D'!S27</f>
        <v>0</v>
      </c>
      <c r="H142" s="48" t="str">
        <f>'Calendario D'!T27</f>
        <v>(Squadra B)</v>
      </c>
      <c r="I142" s="48">
        <f>'Calendario D'!U27</f>
        <v>0</v>
      </c>
      <c r="J142" s="48">
        <f>'Calendario D'!V27</f>
        <v>0</v>
      </c>
      <c r="K142" s="48">
        <f>'Calendario D'!W27</f>
        <v>0</v>
      </c>
      <c r="L142" s="48">
        <f>'Calendario D'!X27</f>
        <v>0</v>
      </c>
      <c r="M142" s="48">
        <f>'Calendario D'!Y27</f>
        <v>0</v>
      </c>
      <c r="N142" s="48">
        <f>'Calendario D'!Z27</f>
        <v>0</v>
      </c>
    </row>
    <row r="143" spans="1:14" x14ac:dyDescent="0.25">
      <c r="A143" s="48" t="str">
        <f>'Calendario D'!M30</f>
        <v>(Squadra A)</v>
      </c>
      <c r="B143" s="48">
        <f>'Calendario D'!N30</f>
        <v>0</v>
      </c>
      <c r="C143" s="48">
        <f>'Calendario D'!O30</f>
        <v>0</v>
      </c>
      <c r="D143" s="48">
        <f>'Calendario D'!P30</f>
        <v>0</v>
      </c>
      <c r="E143" s="48">
        <f>'Calendario D'!Q30</f>
        <v>0</v>
      </c>
      <c r="F143" s="48">
        <f>'Calendario D'!R30</f>
        <v>0</v>
      </c>
      <c r="G143" s="48">
        <f>'Calendario D'!S30</f>
        <v>0</v>
      </c>
      <c r="H143" s="48" t="str">
        <f>'Calendario D'!T30</f>
        <v>(Squadra B)</v>
      </c>
      <c r="I143" s="48">
        <f>'Calendario D'!U30</f>
        <v>0</v>
      </c>
      <c r="J143" s="48">
        <f>'Calendario D'!V30</f>
        <v>0</v>
      </c>
      <c r="K143" s="48">
        <f>'Calendario D'!W30</f>
        <v>0</v>
      </c>
      <c r="L143" s="48">
        <f>'Calendario D'!X30</f>
        <v>0</v>
      </c>
      <c r="M143" s="48">
        <f>'Calendario D'!Y30</f>
        <v>0</v>
      </c>
      <c r="N143" s="48">
        <f>'Calendario D'!Z30</f>
        <v>0</v>
      </c>
    </row>
    <row r="144" spans="1:14" x14ac:dyDescent="0.25">
      <c r="A144" s="48" t="str">
        <f>'Calendario D'!M33</f>
        <v>(Squadra A)</v>
      </c>
      <c r="B144" s="48">
        <f>'Calendario D'!N33</f>
        <v>0</v>
      </c>
      <c r="C144" s="48">
        <f>'Calendario D'!O33</f>
        <v>0</v>
      </c>
      <c r="D144" s="48">
        <f>'Calendario D'!P33</f>
        <v>0</v>
      </c>
      <c r="E144" s="48">
        <f>'Calendario D'!Q33</f>
        <v>0</v>
      </c>
      <c r="F144" s="48">
        <f>'Calendario D'!R33</f>
        <v>0</v>
      </c>
      <c r="G144" s="48">
        <f>'Calendario D'!S33</f>
        <v>0</v>
      </c>
      <c r="H144" s="48" t="str">
        <f>'Calendario D'!T33</f>
        <v>(Squadra B)</v>
      </c>
      <c r="I144" s="48">
        <f>'Calendario D'!U33</f>
        <v>0</v>
      </c>
      <c r="J144" s="48">
        <f>'Calendario D'!V33</f>
        <v>0</v>
      </c>
      <c r="K144" s="48">
        <f>'Calendario D'!W33</f>
        <v>0</v>
      </c>
      <c r="L144" s="48">
        <f>'Calendario D'!X33</f>
        <v>0</v>
      </c>
      <c r="M144" s="48">
        <f>'Calendario D'!Y33</f>
        <v>0</v>
      </c>
      <c r="N144" s="48">
        <f>'Calendario D'!Z33</f>
        <v>0</v>
      </c>
    </row>
    <row r="145" spans="1:14" x14ac:dyDescent="0.25">
      <c r="A145" s="48" t="str">
        <f>'Calendario D'!M36</f>
        <v>(Squadra A)</v>
      </c>
      <c r="B145" s="48">
        <f>'Calendario D'!N36</f>
        <v>0</v>
      </c>
      <c r="C145" s="48">
        <f>'Calendario D'!O36</f>
        <v>0</v>
      </c>
      <c r="D145" s="48">
        <f>'Calendario D'!P36</f>
        <v>0</v>
      </c>
      <c r="E145" s="48">
        <f>'Calendario D'!Q36</f>
        <v>0</v>
      </c>
      <c r="F145" s="48">
        <f>'Calendario D'!R36</f>
        <v>0</v>
      </c>
      <c r="G145" s="48">
        <f>'Calendario D'!S36</f>
        <v>0</v>
      </c>
      <c r="H145" s="48" t="str">
        <f>'Calendario D'!T36</f>
        <v>(Squadra B)</v>
      </c>
      <c r="I145" s="48">
        <f>'Calendario D'!U36</f>
        <v>0</v>
      </c>
      <c r="J145" s="48">
        <f>'Calendario D'!V36</f>
        <v>0</v>
      </c>
      <c r="K145" s="48">
        <f>'Calendario D'!W36</f>
        <v>0</v>
      </c>
      <c r="L145" s="48">
        <f>'Calendario D'!X36</f>
        <v>0</v>
      </c>
      <c r="M145" s="48">
        <f>'Calendario D'!Y36</f>
        <v>0</v>
      </c>
      <c r="N145" s="48">
        <f>'Calendario D'!Z36</f>
        <v>0</v>
      </c>
    </row>
    <row r="146" spans="1:14" x14ac:dyDescent="0.25">
      <c r="A146" s="48" t="str">
        <f>'Calendario D'!M39</f>
        <v>(Squadra A)</v>
      </c>
      <c r="B146" s="48">
        <f>'Calendario D'!N39</f>
        <v>0</v>
      </c>
      <c r="C146" s="48">
        <f>'Calendario D'!O39</f>
        <v>0</v>
      </c>
      <c r="D146" s="48">
        <f>'Calendario D'!P39</f>
        <v>0</v>
      </c>
      <c r="E146" s="48">
        <f>'Calendario D'!Q39</f>
        <v>0</v>
      </c>
      <c r="F146" s="48">
        <f>'Calendario D'!R39</f>
        <v>0</v>
      </c>
      <c r="G146" s="48">
        <f>'Calendario D'!S39</f>
        <v>0</v>
      </c>
      <c r="H146" s="48" t="str">
        <f>'Calendario D'!T39</f>
        <v>(Squadra B)</v>
      </c>
      <c r="I146" s="48">
        <f>'Calendario D'!U39</f>
        <v>0</v>
      </c>
      <c r="J146" s="48">
        <f>'Calendario D'!V39</f>
        <v>0</v>
      </c>
      <c r="K146" s="48">
        <f>'Calendario D'!W39</f>
        <v>0</v>
      </c>
      <c r="L146" s="48">
        <f>'Calendario D'!X39</f>
        <v>0</v>
      </c>
      <c r="M146" s="48">
        <f>'Calendario D'!Y39</f>
        <v>0</v>
      </c>
      <c r="N146" s="48">
        <f>'Calendario D'!Z39</f>
        <v>0</v>
      </c>
    </row>
    <row r="147" spans="1:14" x14ac:dyDescent="0.25">
      <c r="A147" s="48" t="str">
        <f>'Calendario D'!M44</f>
        <v>(Squadra A)</v>
      </c>
      <c r="B147" s="48">
        <f>'Calendario D'!N44</f>
        <v>0</v>
      </c>
      <c r="C147" s="48">
        <f>'Calendario D'!O44</f>
        <v>0</v>
      </c>
      <c r="D147" s="48">
        <f>'Calendario D'!P44</f>
        <v>0</v>
      </c>
      <c r="E147" s="48">
        <f>'Calendario D'!Q44</f>
        <v>0</v>
      </c>
      <c r="F147" s="48">
        <f>'Calendario D'!R44</f>
        <v>0</v>
      </c>
      <c r="G147" s="48">
        <f>'Calendario D'!S44</f>
        <v>0</v>
      </c>
      <c r="H147" s="48" t="str">
        <f>'Calendario D'!T44</f>
        <v>(Squadra B)</v>
      </c>
      <c r="I147" s="48">
        <f>'Calendario D'!U44</f>
        <v>0</v>
      </c>
      <c r="J147" s="48">
        <f>'Calendario D'!V44</f>
        <v>0</v>
      </c>
      <c r="K147" s="48">
        <f>'Calendario D'!W44</f>
        <v>0</v>
      </c>
      <c r="L147" s="48">
        <f>'Calendario D'!X44</f>
        <v>0</v>
      </c>
      <c r="M147" s="48">
        <f>'Calendario D'!Y44</f>
        <v>0</v>
      </c>
      <c r="N147" s="48">
        <f>'Calendario D'!Z44</f>
        <v>0</v>
      </c>
    </row>
    <row r="148" spans="1:14" x14ac:dyDescent="0.25">
      <c r="A148" s="48" t="str">
        <f>'Calendario D'!M47</f>
        <v>(Squadra A)</v>
      </c>
      <c r="B148" s="48">
        <f>'Calendario D'!N47</f>
        <v>0</v>
      </c>
      <c r="C148" s="48">
        <f>'Calendario D'!O47</f>
        <v>0</v>
      </c>
      <c r="D148" s="48">
        <f>'Calendario D'!P47</f>
        <v>0</v>
      </c>
      <c r="E148" s="48">
        <f>'Calendario D'!Q47</f>
        <v>0</v>
      </c>
      <c r="F148" s="48">
        <f>'Calendario D'!R47</f>
        <v>0</v>
      </c>
      <c r="G148" s="48">
        <f>'Calendario D'!S47</f>
        <v>0</v>
      </c>
      <c r="H148" s="48" t="str">
        <f>'Calendario D'!T47</f>
        <v>(Squadra B)</v>
      </c>
      <c r="I148" s="48">
        <f>'Calendario D'!U47</f>
        <v>0</v>
      </c>
      <c r="J148" s="48">
        <f>'Calendario D'!V47</f>
        <v>0</v>
      </c>
      <c r="K148" s="48">
        <f>'Calendario D'!W47</f>
        <v>0</v>
      </c>
      <c r="L148" s="48">
        <f>'Calendario D'!X47</f>
        <v>0</v>
      </c>
      <c r="M148" s="48">
        <f>'Calendario D'!Y47</f>
        <v>0</v>
      </c>
      <c r="N148" s="48">
        <f>'Calendario D'!Z47</f>
        <v>0</v>
      </c>
    </row>
    <row r="149" spans="1:14" x14ac:dyDescent="0.25">
      <c r="A149" s="48" t="str">
        <f>'Calendario D'!M50</f>
        <v>(Squadra A)</v>
      </c>
      <c r="B149" s="48">
        <f>'Calendario D'!N50</f>
        <v>0</v>
      </c>
      <c r="C149" s="48">
        <f>'Calendario D'!O50</f>
        <v>0</v>
      </c>
      <c r="D149" s="48">
        <f>'Calendario D'!P50</f>
        <v>0</v>
      </c>
      <c r="E149" s="48">
        <f>'Calendario D'!Q50</f>
        <v>0</v>
      </c>
      <c r="F149" s="48">
        <f>'Calendario D'!R50</f>
        <v>0</v>
      </c>
      <c r="G149" s="48">
        <f>'Calendario D'!S50</f>
        <v>0</v>
      </c>
      <c r="H149" s="48" t="str">
        <f>'Calendario D'!T50</f>
        <v>(Squadra B)</v>
      </c>
      <c r="I149" s="48">
        <f>'Calendario D'!U50</f>
        <v>0</v>
      </c>
      <c r="J149" s="48">
        <f>'Calendario D'!V50</f>
        <v>0</v>
      </c>
      <c r="K149" s="48">
        <f>'Calendario D'!W50</f>
        <v>0</v>
      </c>
      <c r="L149" s="48">
        <f>'Calendario D'!X50</f>
        <v>0</v>
      </c>
      <c r="M149" s="48">
        <f>'Calendario D'!Y50</f>
        <v>0</v>
      </c>
      <c r="N149" s="48">
        <f>'Calendario D'!Z50</f>
        <v>0</v>
      </c>
    </row>
    <row r="150" spans="1:14" x14ac:dyDescent="0.25">
      <c r="A150" s="48" t="str">
        <f>'Calendario D'!M53</f>
        <v>(Squadra A)</v>
      </c>
      <c r="B150" s="48">
        <f>'Calendario D'!N53</f>
        <v>0</v>
      </c>
      <c r="C150" s="48">
        <f>'Calendario D'!O53</f>
        <v>0</v>
      </c>
      <c r="D150" s="48">
        <f>'Calendario D'!P53</f>
        <v>0</v>
      </c>
      <c r="E150" s="48">
        <f>'Calendario D'!Q53</f>
        <v>0</v>
      </c>
      <c r="F150" s="48">
        <f>'Calendario D'!R53</f>
        <v>0</v>
      </c>
      <c r="G150" s="48">
        <f>'Calendario D'!S53</f>
        <v>0</v>
      </c>
      <c r="H150" s="48" t="str">
        <f>'Calendario D'!T53</f>
        <v>(Squadra B)</v>
      </c>
      <c r="I150" s="48">
        <f>'Calendario D'!U53</f>
        <v>0</v>
      </c>
      <c r="J150" s="48">
        <f>'Calendario D'!V53</f>
        <v>0</v>
      </c>
      <c r="K150" s="48">
        <f>'Calendario D'!W53</f>
        <v>0</v>
      </c>
      <c r="L150" s="48">
        <f>'Calendario D'!X53</f>
        <v>0</v>
      </c>
      <c r="M150" s="48">
        <f>'Calendario D'!Y53</f>
        <v>0</v>
      </c>
      <c r="N150" s="48">
        <f>'Calendario D'!Z53</f>
        <v>0</v>
      </c>
    </row>
    <row r="151" spans="1:14" x14ac:dyDescent="0.25">
      <c r="A151" s="48" t="str">
        <f>'Calendario D'!M56</f>
        <v>(Squadra A)</v>
      </c>
      <c r="B151" s="48">
        <f>'Calendario D'!N56</f>
        <v>0</v>
      </c>
      <c r="C151" s="48">
        <f>'Calendario D'!O56</f>
        <v>0</v>
      </c>
      <c r="D151" s="48">
        <f>'Calendario D'!P56</f>
        <v>0</v>
      </c>
      <c r="E151" s="48">
        <f>'Calendario D'!Q56</f>
        <v>0</v>
      </c>
      <c r="F151" s="48">
        <f>'Calendario D'!R56</f>
        <v>0</v>
      </c>
      <c r="G151" s="48">
        <f>'Calendario D'!S56</f>
        <v>0</v>
      </c>
      <c r="H151" s="48" t="str">
        <f>'Calendario D'!T56</f>
        <v>(Squadra B)</v>
      </c>
      <c r="I151" s="48">
        <f>'Calendario D'!U56</f>
        <v>0</v>
      </c>
      <c r="J151" s="48">
        <f>'Calendario D'!V56</f>
        <v>0</v>
      </c>
      <c r="K151" s="48">
        <f>'Calendario D'!W56</f>
        <v>0</v>
      </c>
      <c r="L151" s="48">
        <f>'Calendario D'!X56</f>
        <v>0</v>
      </c>
      <c r="M151" s="48">
        <f>'Calendario D'!Y56</f>
        <v>0</v>
      </c>
      <c r="N151" s="48">
        <f>'Calendario D'!Z56</f>
        <v>0</v>
      </c>
    </row>
    <row r="152" spans="1:14" x14ac:dyDescent="0.25">
      <c r="A152" s="48" t="str">
        <f>'Calendario D'!M61</f>
        <v>(Squadra A)</v>
      </c>
      <c r="B152" s="48">
        <f>'Calendario D'!N61</f>
        <v>0</v>
      </c>
      <c r="C152" s="48">
        <f>'Calendario D'!O61</f>
        <v>0</v>
      </c>
      <c r="D152" s="48">
        <f>'Calendario D'!P61</f>
        <v>0</v>
      </c>
      <c r="E152" s="48">
        <f>'Calendario D'!Q61</f>
        <v>0</v>
      </c>
      <c r="F152" s="48">
        <f>'Calendario D'!R61</f>
        <v>0</v>
      </c>
      <c r="G152" s="48">
        <f>'Calendario D'!S61</f>
        <v>0</v>
      </c>
      <c r="H152" s="48" t="str">
        <f>'Calendario D'!T61</f>
        <v>(Squadra B)</v>
      </c>
      <c r="I152" s="48">
        <f>'Calendario D'!U61</f>
        <v>0</v>
      </c>
      <c r="J152" s="48">
        <f>'Calendario D'!V61</f>
        <v>0</v>
      </c>
      <c r="K152" s="48">
        <f>'Calendario D'!W61</f>
        <v>0</v>
      </c>
      <c r="L152" s="48">
        <f>'Calendario D'!X61</f>
        <v>0</v>
      </c>
      <c r="M152" s="48">
        <f>'Calendario D'!Y61</f>
        <v>0</v>
      </c>
      <c r="N152" s="48">
        <f>'Calendario D'!Z61</f>
        <v>0</v>
      </c>
    </row>
    <row r="153" spans="1:14" x14ac:dyDescent="0.25">
      <c r="A153" s="48" t="str">
        <f>'Calendario D'!M64</f>
        <v>(Squadra A)</v>
      </c>
      <c r="B153" s="48">
        <f>'Calendario D'!N64</f>
        <v>0</v>
      </c>
      <c r="C153" s="48">
        <f>'Calendario D'!O64</f>
        <v>0</v>
      </c>
      <c r="D153" s="48">
        <f>'Calendario D'!P64</f>
        <v>0</v>
      </c>
      <c r="E153" s="48">
        <f>'Calendario D'!Q64</f>
        <v>0</v>
      </c>
      <c r="F153" s="48">
        <f>'Calendario D'!R64</f>
        <v>0</v>
      </c>
      <c r="G153" s="48">
        <f>'Calendario D'!S64</f>
        <v>0</v>
      </c>
      <c r="H153" s="48" t="str">
        <f>'Calendario D'!T64</f>
        <v>(Squadra B)</v>
      </c>
      <c r="I153" s="48">
        <f>'Calendario D'!U64</f>
        <v>0</v>
      </c>
      <c r="J153" s="48">
        <f>'Calendario D'!V64</f>
        <v>0</v>
      </c>
      <c r="K153" s="48">
        <f>'Calendario D'!W64</f>
        <v>0</v>
      </c>
      <c r="L153" s="48">
        <f>'Calendario D'!X64</f>
        <v>0</v>
      </c>
      <c r="M153" s="48">
        <f>'Calendario D'!Y64</f>
        <v>0</v>
      </c>
      <c r="N153" s="48">
        <f>'Calendario D'!Z64</f>
        <v>0</v>
      </c>
    </row>
    <row r="154" spans="1:14" x14ac:dyDescent="0.25">
      <c r="A154" s="48" t="str">
        <f>'Calendario D'!M67</f>
        <v>(Squadra A)</v>
      </c>
      <c r="B154" s="48">
        <f>'Calendario D'!N67</f>
        <v>0</v>
      </c>
      <c r="C154" s="48">
        <f>'Calendario D'!O67</f>
        <v>0</v>
      </c>
      <c r="D154" s="48">
        <f>'Calendario D'!P67</f>
        <v>0</v>
      </c>
      <c r="E154" s="48">
        <f>'Calendario D'!Q67</f>
        <v>0</v>
      </c>
      <c r="F154" s="48">
        <f>'Calendario D'!R67</f>
        <v>0</v>
      </c>
      <c r="G154" s="48">
        <f>'Calendario D'!S67</f>
        <v>0</v>
      </c>
      <c r="H154" s="48" t="str">
        <f>'Calendario D'!T67</f>
        <v>(Squadra B)</v>
      </c>
      <c r="I154" s="48">
        <f>'Calendario D'!U67</f>
        <v>0</v>
      </c>
      <c r="J154" s="48">
        <f>'Calendario D'!V67</f>
        <v>0</v>
      </c>
      <c r="K154" s="48">
        <f>'Calendario D'!W67</f>
        <v>0</v>
      </c>
      <c r="L154" s="48">
        <f>'Calendario D'!X67</f>
        <v>0</v>
      </c>
      <c r="M154" s="48">
        <f>'Calendario D'!Y67</f>
        <v>0</v>
      </c>
      <c r="N154" s="48">
        <f>'Calendario D'!Z67</f>
        <v>0</v>
      </c>
    </row>
    <row r="155" spans="1:14" x14ac:dyDescent="0.25">
      <c r="A155" s="48" t="str">
        <f>'Calendario D'!M70</f>
        <v>(Squadra A)</v>
      </c>
      <c r="B155" s="48">
        <f>'Calendario D'!N70</f>
        <v>0</v>
      </c>
      <c r="C155" s="48">
        <f>'Calendario D'!O70</f>
        <v>0</v>
      </c>
      <c r="D155" s="48">
        <f>'Calendario D'!P70</f>
        <v>0</v>
      </c>
      <c r="E155" s="48">
        <f>'Calendario D'!Q70</f>
        <v>0</v>
      </c>
      <c r="F155" s="48">
        <f>'Calendario D'!R70</f>
        <v>0</v>
      </c>
      <c r="G155" s="48">
        <f>'Calendario D'!S70</f>
        <v>0</v>
      </c>
      <c r="H155" s="48" t="str">
        <f>'Calendario D'!T70</f>
        <v>(Squadra B)</v>
      </c>
      <c r="I155" s="48">
        <f>'Calendario D'!U70</f>
        <v>0</v>
      </c>
      <c r="J155" s="48">
        <f>'Calendario D'!V70</f>
        <v>0</v>
      </c>
      <c r="K155" s="48">
        <f>'Calendario D'!W70</f>
        <v>0</v>
      </c>
      <c r="L155" s="48">
        <f>'Calendario D'!X70</f>
        <v>0</v>
      </c>
      <c r="M155" s="48">
        <f>'Calendario D'!Y70</f>
        <v>0</v>
      </c>
      <c r="N155" s="48">
        <f>'Calendario D'!Z70</f>
        <v>0</v>
      </c>
    </row>
    <row r="156" spans="1:14" x14ac:dyDescent="0.25">
      <c r="A156" s="48" t="str">
        <f>'Calendario D'!M73</f>
        <v>(Squadra A)</v>
      </c>
      <c r="B156" s="48">
        <f>'Calendario D'!N73</f>
        <v>0</v>
      </c>
      <c r="C156" s="48">
        <f>'Calendario D'!O73</f>
        <v>0</v>
      </c>
      <c r="D156" s="48">
        <f>'Calendario D'!P73</f>
        <v>0</v>
      </c>
      <c r="E156" s="48">
        <f>'Calendario D'!Q73</f>
        <v>0</v>
      </c>
      <c r="F156" s="48">
        <f>'Calendario D'!R73</f>
        <v>0</v>
      </c>
      <c r="G156" s="48">
        <f>'Calendario D'!S73</f>
        <v>0</v>
      </c>
      <c r="H156" s="48" t="str">
        <f>'Calendario D'!T73</f>
        <v>(Squadra B)</v>
      </c>
      <c r="I156" s="48">
        <f>'Calendario D'!U73</f>
        <v>0</v>
      </c>
      <c r="J156" s="48">
        <f>'Calendario D'!V73</f>
        <v>0</v>
      </c>
      <c r="K156" s="48">
        <f>'Calendario D'!W73</f>
        <v>0</v>
      </c>
      <c r="L156" s="48">
        <f>'Calendario D'!X73</f>
        <v>0</v>
      </c>
      <c r="M156" s="48">
        <f>'Calendario D'!Y73</f>
        <v>0</v>
      </c>
      <c r="N156" s="48">
        <f>'Calendario D'!Z73</f>
        <v>0</v>
      </c>
    </row>
    <row r="157" spans="1:14" x14ac:dyDescent="0.25">
      <c r="A157" s="48" t="str">
        <f>'Calendario D'!M78</f>
        <v>(Squadra A)</v>
      </c>
      <c r="B157" s="48">
        <f>'Calendario D'!N78</f>
        <v>0</v>
      </c>
      <c r="C157" s="48">
        <f>'Calendario D'!O78</f>
        <v>0</v>
      </c>
      <c r="D157" s="48">
        <f>'Calendario D'!P78</f>
        <v>0</v>
      </c>
      <c r="E157" s="48">
        <f>'Calendario D'!Q78</f>
        <v>0</v>
      </c>
      <c r="F157" s="48">
        <f>'Calendario D'!R78</f>
        <v>0</v>
      </c>
      <c r="G157" s="48">
        <f>'Calendario D'!S78</f>
        <v>0</v>
      </c>
      <c r="H157" s="48" t="str">
        <f>'Calendario D'!T78</f>
        <v>(Squadra B)</v>
      </c>
      <c r="I157" s="48">
        <f>'Calendario D'!U78</f>
        <v>0</v>
      </c>
      <c r="J157" s="48">
        <f>'Calendario D'!V78</f>
        <v>0</v>
      </c>
      <c r="K157" s="48">
        <f>'Calendario D'!W78</f>
        <v>0</v>
      </c>
      <c r="L157" s="48">
        <f>'Calendario D'!X78</f>
        <v>0</v>
      </c>
      <c r="M157" s="48">
        <f>'Calendario D'!Y78</f>
        <v>0</v>
      </c>
      <c r="N157" s="48">
        <f>'Calendario D'!Z78</f>
        <v>0</v>
      </c>
    </row>
    <row r="158" spans="1:14" x14ac:dyDescent="0.25">
      <c r="A158" s="48" t="str">
        <f>'Calendario D'!M81</f>
        <v>(Squadra A)</v>
      </c>
      <c r="B158" s="48">
        <f>'Calendario D'!N81</f>
        <v>0</v>
      </c>
      <c r="C158" s="48">
        <f>'Calendario D'!O81</f>
        <v>0</v>
      </c>
      <c r="D158" s="48">
        <f>'Calendario D'!P81</f>
        <v>0</v>
      </c>
      <c r="E158" s="48">
        <f>'Calendario D'!Q81</f>
        <v>0</v>
      </c>
      <c r="F158" s="48">
        <f>'Calendario D'!R81</f>
        <v>0</v>
      </c>
      <c r="G158" s="48">
        <f>'Calendario D'!S81</f>
        <v>0</v>
      </c>
      <c r="H158" s="48" t="str">
        <f>'Calendario D'!T81</f>
        <v>(Squadra B)</v>
      </c>
      <c r="I158" s="48">
        <f>'Calendario D'!U81</f>
        <v>0</v>
      </c>
      <c r="J158" s="48">
        <f>'Calendario D'!V81</f>
        <v>0</v>
      </c>
      <c r="K158" s="48">
        <f>'Calendario D'!W81</f>
        <v>0</v>
      </c>
      <c r="L158" s="48">
        <f>'Calendario D'!X81</f>
        <v>0</v>
      </c>
      <c r="M158" s="48">
        <f>'Calendario D'!Y81</f>
        <v>0</v>
      </c>
      <c r="N158" s="48">
        <f>'Calendario D'!Z81</f>
        <v>0</v>
      </c>
    </row>
    <row r="159" spans="1:14" x14ac:dyDescent="0.25">
      <c r="A159" s="48" t="str">
        <f>'Calendario D'!M84</f>
        <v>(Squadra A)</v>
      </c>
      <c r="B159" s="48">
        <f>'Calendario D'!N84</f>
        <v>0</v>
      </c>
      <c r="C159" s="48">
        <f>'Calendario D'!O84</f>
        <v>0</v>
      </c>
      <c r="D159" s="48">
        <f>'Calendario D'!P84</f>
        <v>0</v>
      </c>
      <c r="E159" s="48">
        <f>'Calendario D'!Q84</f>
        <v>0</v>
      </c>
      <c r="F159" s="48">
        <f>'Calendario D'!R84</f>
        <v>0</v>
      </c>
      <c r="G159" s="48">
        <f>'Calendario D'!S84</f>
        <v>0</v>
      </c>
      <c r="H159" s="48" t="str">
        <f>'Calendario D'!T84</f>
        <v>(Squadra B)</v>
      </c>
      <c r="I159" s="48">
        <f>'Calendario D'!U84</f>
        <v>0</v>
      </c>
      <c r="J159" s="48">
        <f>'Calendario D'!V84</f>
        <v>0</v>
      </c>
      <c r="K159" s="48">
        <f>'Calendario D'!W84</f>
        <v>0</v>
      </c>
      <c r="L159" s="48">
        <f>'Calendario D'!X84</f>
        <v>0</v>
      </c>
      <c r="M159" s="48">
        <f>'Calendario D'!Y84</f>
        <v>0</v>
      </c>
      <c r="N159" s="48">
        <f>'Calendario D'!Z84</f>
        <v>0</v>
      </c>
    </row>
    <row r="160" spans="1:14" x14ac:dyDescent="0.25">
      <c r="A160" s="48" t="str">
        <f>'Calendario D'!M87</f>
        <v>(Squadra A)</v>
      </c>
      <c r="B160" s="48">
        <f>'Calendario D'!N87</f>
        <v>0</v>
      </c>
      <c r="C160" s="48">
        <f>'Calendario D'!O87</f>
        <v>0</v>
      </c>
      <c r="D160" s="48">
        <f>'Calendario D'!P87</f>
        <v>0</v>
      </c>
      <c r="E160" s="48">
        <f>'Calendario D'!Q87</f>
        <v>0</v>
      </c>
      <c r="F160" s="48">
        <f>'Calendario D'!R87</f>
        <v>0</v>
      </c>
      <c r="G160" s="48">
        <f>'Calendario D'!S87</f>
        <v>0</v>
      </c>
      <c r="H160" s="48" t="str">
        <f>'Calendario D'!T87</f>
        <v>(Squadra B)</v>
      </c>
      <c r="I160" s="48">
        <f>'Calendario D'!U87</f>
        <v>0</v>
      </c>
      <c r="J160" s="48">
        <f>'Calendario D'!V87</f>
        <v>0</v>
      </c>
      <c r="K160" s="48">
        <f>'Calendario D'!W87</f>
        <v>0</v>
      </c>
      <c r="L160" s="48">
        <f>'Calendario D'!X87</f>
        <v>0</v>
      </c>
      <c r="M160" s="48">
        <f>'Calendario D'!Y87</f>
        <v>0</v>
      </c>
      <c r="N160" s="48">
        <f>'Calendario D'!Z87</f>
        <v>0</v>
      </c>
    </row>
    <row r="161" spans="1:14" x14ac:dyDescent="0.25">
      <c r="A161" s="48" t="str">
        <f>'Calendario D'!M90</f>
        <v>(Squadra A)</v>
      </c>
      <c r="B161" s="48">
        <f>'Calendario D'!N90</f>
        <v>0</v>
      </c>
      <c r="C161" s="48">
        <f>'Calendario D'!O90</f>
        <v>0</v>
      </c>
      <c r="D161" s="48">
        <f>'Calendario D'!P90</f>
        <v>0</v>
      </c>
      <c r="E161" s="48">
        <f>'Calendario D'!Q90</f>
        <v>0</v>
      </c>
      <c r="F161" s="48">
        <f>'Calendario D'!R90</f>
        <v>0</v>
      </c>
      <c r="G161" s="48">
        <f>'Calendario D'!S90</f>
        <v>0</v>
      </c>
      <c r="H161" s="48" t="str">
        <f>'Calendario D'!T90</f>
        <v>(Squadra B)</v>
      </c>
      <c r="I161" s="48">
        <f>'Calendario D'!U90</f>
        <v>0</v>
      </c>
      <c r="J161" s="48">
        <f>'Calendario D'!V90</f>
        <v>0</v>
      </c>
      <c r="K161" s="48">
        <f>'Calendario D'!W90</f>
        <v>0</v>
      </c>
      <c r="L161" s="48">
        <f>'Calendario D'!X90</f>
        <v>0</v>
      </c>
      <c r="M161" s="48">
        <f>'Calendario D'!Y90</f>
        <v>0</v>
      </c>
      <c r="N161" s="48">
        <f>'Calendario D'!Z90</f>
        <v>0</v>
      </c>
    </row>
    <row r="162" spans="1:14" x14ac:dyDescent="0.25">
      <c r="A162" s="48" t="str">
        <f>'Calendario D'!M95</f>
        <v>(Squadra A)</v>
      </c>
      <c r="B162" s="48">
        <f>'Calendario D'!N95</f>
        <v>0</v>
      </c>
      <c r="C162" s="48">
        <f>'Calendario D'!O95</f>
        <v>0</v>
      </c>
      <c r="D162" s="48">
        <f>'Calendario D'!P95</f>
        <v>0</v>
      </c>
      <c r="E162" s="48">
        <f>'Calendario D'!Q95</f>
        <v>0</v>
      </c>
      <c r="F162" s="48">
        <f>'Calendario D'!R95</f>
        <v>0</v>
      </c>
      <c r="G162" s="48">
        <f>'Calendario D'!S95</f>
        <v>0</v>
      </c>
      <c r="H162" s="48" t="str">
        <f>'Calendario D'!T95</f>
        <v>(Squadra B)</v>
      </c>
      <c r="I162" s="48">
        <f>'Calendario D'!U95</f>
        <v>0</v>
      </c>
      <c r="J162" s="48">
        <f>'Calendario D'!V95</f>
        <v>0</v>
      </c>
      <c r="K162" s="48">
        <f>'Calendario D'!W95</f>
        <v>0</v>
      </c>
      <c r="L162" s="48">
        <f>'Calendario D'!X95</f>
        <v>0</v>
      </c>
      <c r="M162" s="48">
        <f>'Calendario D'!Y95</f>
        <v>0</v>
      </c>
      <c r="N162" s="48">
        <f>'Calendario D'!Z95</f>
        <v>0</v>
      </c>
    </row>
    <row r="163" spans="1:14" x14ac:dyDescent="0.25">
      <c r="A163" s="48" t="str">
        <f>'Calendario D'!M98</f>
        <v>(Squadra A)</v>
      </c>
      <c r="B163" s="48">
        <f>'Calendario D'!N98</f>
        <v>0</v>
      </c>
      <c r="C163" s="48">
        <f>'Calendario D'!O98</f>
        <v>0</v>
      </c>
      <c r="D163" s="48">
        <f>'Calendario D'!P98</f>
        <v>0</v>
      </c>
      <c r="E163" s="48">
        <f>'Calendario D'!Q98</f>
        <v>0</v>
      </c>
      <c r="F163" s="48">
        <f>'Calendario D'!R98</f>
        <v>0</v>
      </c>
      <c r="G163" s="48">
        <f>'Calendario D'!S98</f>
        <v>0</v>
      </c>
      <c r="H163" s="48" t="str">
        <f>'Calendario D'!T98</f>
        <v>(Squadra B)</v>
      </c>
      <c r="I163" s="48">
        <f>'Calendario D'!U98</f>
        <v>0</v>
      </c>
      <c r="J163" s="48">
        <f>'Calendario D'!V98</f>
        <v>0</v>
      </c>
      <c r="K163" s="48">
        <f>'Calendario D'!W98</f>
        <v>0</v>
      </c>
      <c r="L163" s="48">
        <f>'Calendario D'!X98</f>
        <v>0</v>
      </c>
      <c r="M163" s="48">
        <f>'Calendario D'!Y98</f>
        <v>0</v>
      </c>
      <c r="N163" s="48">
        <f>'Calendario D'!Z98</f>
        <v>0</v>
      </c>
    </row>
    <row r="164" spans="1:14" x14ac:dyDescent="0.25">
      <c r="A164" s="48" t="str">
        <f>'Calendario D'!M101</f>
        <v>(Squadra A)</v>
      </c>
      <c r="B164" s="48">
        <f>'Calendario D'!N101</f>
        <v>0</v>
      </c>
      <c r="C164" s="48">
        <f>'Calendario D'!O101</f>
        <v>0</v>
      </c>
      <c r="D164" s="48">
        <f>'Calendario D'!P101</f>
        <v>0</v>
      </c>
      <c r="E164" s="48">
        <f>'Calendario D'!Q101</f>
        <v>0</v>
      </c>
      <c r="F164" s="48">
        <f>'Calendario D'!R101</f>
        <v>0</v>
      </c>
      <c r="G164" s="48">
        <f>'Calendario D'!S101</f>
        <v>0</v>
      </c>
      <c r="H164" s="48" t="str">
        <f>'Calendario D'!T101</f>
        <v>(Squadra B)</v>
      </c>
      <c r="I164" s="48">
        <f>'Calendario D'!U101</f>
        <v>0</v>
      </c>
      <c r="J164" s="48">
        <f>'Calendario D'!V101</f>
        <v>0</v>
      </c>
      <c r="K164" s="48">
        <f>'Calendario D'!W101</f>
        <v>0</v>
      </c>
      <c r="L164" s="48">
        <f>'Calendario D'!X101</f>
        <v>0</v>
      </c>
      <c r="M164" s="48">
        <f>'Calendario D'!Y101</f>
        <v>0</v>
      </c>
      <c r="N164" s="48">
        <f>'Calendario D'!Z101</f>
        <v>0</v>
      </c>
    </row>
    <row r="165" spans="1:14" x14ac:dyDescent="0.25">
      <c r="A165" s="48" t="str">
        <f>'Calendario D'!M104</f>
        <v>(Squadra A)</v>
      </c>
      <c r="B165" s="48">
        <f>'Calendario D'!N104</f>
        <v>0</v>
      </c>
      <c r="C165" s="48">
        <f>'Calendario D'!O104</f>
        <v>0</v>
      </c>
      <c r="D165" s="48">
        <f>'Calendario D'!P104</f>
        <v>0</v>
      </c>
      <c r="E165" s="48">
        <f>'Calendario D'!Q104</f>
        <v>0</v>
      </c>
      <c r="F165" s="48">
        <f>'Calendario D'!R104</f>
        <v>0</v>
      </c>
      <c r="G165" s="48">
        <f>'Calendario D'!S104</f>
        <v>0</v>
      </c>
      <c r="H165" s="48" t="str">
        <f>'Calendario D'!T104</f>
        <v>(Squadra B)</v>
      </c>
      <c r="I165" s="48">
        <f>'Calendario D'!U104</f>
        <v>0</v>
      </c>
      <c r="J165" s="48">
        <f>'Calendario D'!V104</f>
        <v>0</v>
      </c>
      <c r="K165" s="48">
        <f>'Calendario D'!W104</f>
        <v>0</v>
      </c>
      <c r="L165" s="48">
        <f>'Calendario D'!X104</f>
        <v>0</v>
      </c>
      <c r="M165" s="48">
        <f>'Calendario D'!Y104</f>
        <v>0</v>
      </c>
      <c r="N165" s="48">
        <f>'Calendario D'!Z104</f>
        <v>0</v>
      </c>
    </row>
    <row r="166" spans="1:14" x14ac:dyDescent="0.25">
      <c r="A166" s="48" t="str">
        <f>'Calendario D'!M107</f>
        <v>(Squadra A)</v>
      </c>
      <c r="B166" s="48">
        <f>'Calendario D'!N107</f>
        <v>0</v>
      </c>
      <c r="C166" s="48">
        <f>'Calendario D'!O107</f>
        <v>0</v>
      </c>
      <c r="D166" s="48">
        <f>'Calendario D'!P107</f>
        <v>0</v>
      </c>
      <c r="E166" s="48">
        <f>'Calendario D'!Q107</f>
        <v>0</v>
      </c>
      <c r="F166" s="48">
        <f>'Calendario D'!R107</f>
        <v>0</v>
      </c>
      <c r="G166" s="48">
        <f>'Calendario D'!S107</f>
        <v>0</v>
      </c>
      <c r="H166" s="48" t="str">
        <f>'Calendario D'!T107</f>
        <v>(Squadra B)</v>
      </c>
      <c r="I166" s="48">
        <f>'Calendario D'!U107</f>
        <v>0</v>
      </c>
      <c r="J166" s="48">
        <f>'Calendario D'!V107</f>
        <v>0</v>
      </c>
      <c r="K166" s="48">
        <f>'Calendario D'!W107</f>
        <v>0</v>
      </c>
      <c r="L166" s="48">
        <f>'Calendario D'!X107</f>
        <v>0</v>
      </c>
      <c r="M166" s="48">
        <f>'Calendario D'!Y107</f>
        <v>0</v>
      </c>
      <c r="N166" s="48">
        <f>'Calendario D'!Z107</f>
        <v>0</v>
      </c>
    </row>
    <row r="167" spans="1:14" x14ac:dyDescent="0.25">
      <c r="A167" s="48" t="str">
        <f>'Calendario D'!M112</f>
        <v>(Squadra A)</v>
      </c>
      <c r="B167" s="48">
        <f>'Calendario D'!N112</f>
        <v>0</v>
      </c>
      <c r="C167" s="48">
        <f>'Calendario D'!O112</f>
        <v>0</v>
      </c>
      <c r="D167" s="48">
        <f>'Calendario D'!P112</f>
        <v>0</v>
      </c>
      <c r="E167" s="48">
        <f>'Calendario D'!Q112</f>
        <v>0</v>
      </c>
      <c r="F167" s="48">
        <f>'Calendario D'!R112</f>
        <v>0</v>
      </c>
      <c r="G167" s="48">
        <f>'Calendario D'!S112</f>
        <v>0</v>
      </c>
      <c r="H167" s="48" t="str">
        <f>'Calendario D'!T112</f>
        <v>(Squadra B)</v>
      </c>
      <c r="I167" s="48">
        <f>'Calendario D'!U112</f>
        <v>0</v>
      </c>
      <c r="J167" s="48">
        <f>'Calendario D'!V112</f>
        <v>0</v>
      </c>
      <c r="K167" s="48">
        <f>'Calendario D'!W112</f>
        <v>0</v>
      </c>
      <c r="L167" s="48">
        <f>'Calendario D'!X112</f>
        <v>0</v>
      </c>
      <c r="M167" s="48">
        <f>'Calendario D'!Y112</f>
        <v>0</v>
      </c>
      <c r="N167" s="48">
        <f>'Calendario D'!Z112</f>
        <v>0</v>
      </c>
    </row>
    <row r="168" spans="1:14" x14ac:dyDescent="0.25">
      <c r="A168" s="48" t="str">
        <f>'Calendario D'!M115</f>
        <v>(Squadra A)</v>
      </c>
      <c r="B168" s="48">
        <f>'Calendario D'!N115</f>
        <v>0</v>
      </c>
      <c r="C168" s="48">
        <f>'Calendario D'!O115</f>
        <v>0</v>
      </c>
      <c r="D168" s="48">
        <f>'Calendario D'!P115</f>
        <v>0</v>
      </c>
      <c r="E168" s="48">
        <f>'Calendario D'!Q115</f>
        <v>0</v>
      </c>
      <c r="F168" s="48">
        <f>'Calendario D'!R115</f>
        <v>0</v>
      </c>
      <c r="G168" s="48">
        <f>'Calendario D'!S115</f>
        <v>0</v>
      </c>
      <c r="H168" s="48" t="str">
        <f>'Calendario D'!T115</f>
        <v>(Squadra B)</v>
      </c>
      <c r="I168" s="48">
        <f>'Calendario D'!U115</f>
        <v>0</v>
      </c>
      <c r="J168" s="48">
        <f>'Calendario D'!V115</f>
        <v>0</v>
      </c>
      <c r="K168" s="48">
        <f>'Calendario D'!W115</f>
        <v>0</v>
      </c>
      <c r="L168" s="48">
        <f>'Calendario D'!X115</f>
        <v>0</v>
      </c>
      <c r="M168" s="48">
        <f>'Calendario D'!Y115</f>
        <v>0</v>
      </c>
      <c r="N168" s="48">
        <f>'Calendario D'!Z115</f>
        <v>0</v>
      </c>
    </row>
    <row r="169" spans="1:14" x14ac:dyDescent="0.25">
      <c r="A169" s="48" t="str">
        <f>'Calendario D'!M118</f>
        <v>(Squadra A)</v>
      </c>
      <c r="B169" s="48">
        <f>'Calendario D'!N118</f>
        <v>0</v>
      </c>
      <c r="C169" s="48">
        <f>'Calendario D'!O118</f>
        <v>0</v>
      </c>
      <c r="D169" s="48">
        <f>'Calendario D'!P118</f>
        <v>0</v>
      </c>
      <c r="E169" s="48">
        <f>'Calendario D'!Q118</f>
        <v>0</v>
      </c>
      <c r="F169" s="48">
        <f>'Calendario D'!R118</f>
        <v>0</v>
      </c>
      <c r="G169" s="48">
        <f>'Calendario D'!S118</f>
        <v>0</v>
      </c>
      <c r="H169" s="48" t="str">
        <f>'Calendario D'!T118</f>
        <v>(Squadra B)</v>
      </c>
      <c r="I169" s="48">
        <f>'Calendario D'!U118</f>
        <v>0</v>
      </c>
      <c r="J169" s="48">
        <f>'Calendario D'!V118</f>
        <v>0</v>
      </c>
      <c r="K169" s="48">
        <f>'Calendario D'!W118</f>
        <v>0</v>
      </c>
      <c r="L169" s="48">
        <f>'Calendario D'!X118</f>
        <v>0</v>
      </c>
      <c r="M169" s="48">
        <f>'Calendario D'!Y118</f>
        <v>0</v>
      </c>
      <c r="N169" s="48">
        <f>'Calendario D'!Z118</f>
        <v>0</v>
      </c>
    </row>
    <row r="170" spans="1:14" x14ac:dyDescent="0.25">
      <c r="A170" s="48" t="str">
        <f>'Calendario D'!M121</f>
        <v>(Squadra A)</v>
      </c>
      <c r="B170" s="48">
        <f>'Calendario D'!N121</f>
        <v>0</v>
      </c>
      <c r="C170" s="48">
        <f>'Calendario D'!O121</f>
        <v>0</v>
      </c>
      <c r="D170" s="48">
        <f>'Calendario D'!P121</f>
        <v>0</v>
      </c>
      <c r="E170" s="48">
        <f>'Calendario D'!Q121</f>
        <v>0</v>
      </c>
      <c r="F170" s="48">
        <f>'Calendario D'!R121</f>
        <v>0</v>
      </c>
      <c r="G170" s="48">
        <f>'Calendario D'!S121</f>
        <v>0</v>
      </c>
      <c r="H170" s="48" t="str">
        <f>'Calendario D'!T121</f>
        <v>(Squadra B)</v>
      </c>
      <c r="I170" s="48">
        <f>'Calendario D'!U121</f>
        <v>0</v>
      </c>
      <c r="J170" s="48">
        <f>'Calendario D'!V121</f>
        <v>0</v>
      </c>
      <c r="K170" s="48">
        <f>'Calendario D'!W121</f>
        <v>0</v>
      </c>
      <c r="L170" s="48">
        <f>'Calendario D'!X121</f>
        <v>0</v>
      </c>
      <c r="M170" s="48">
        <f>'Calendario D'!Y121</f>
        <v>0</v>
      </c>
      <c r="N170" s="48">
        <f>'Calendario D'!Z121</f>
        <v>0</v>
      </c>
    </row>
    <row r="171" spans="1:14" x14ac:dyDescent="0.25">
      <c r="A171" s="48" t="str">
        <f>'Calendario D'!M124</f>
        <v>(Squadra A)</v>
      </c>
      <c r="B171" s="48">
        <f>'Calendario D'!N124</f>
        <v>0</v>
      </c>
      <c r="C171" s="48">
        <f>'Calendario D'!O124</f>
        <v>0</v>
      </c>
      <c r="D171" s="48">
        <f>'Calendario D'!P124</f>
        <v>0</v>
      </c>
      <c r="E171" s="48">
        <f>'Calendario D'!Q124</f>
        <v>0</v>
      </c>
      <c r="F171" s="48">
        <f>'Calendario D'!R124</f>
        <v>0</v>
      </c>
      <c r="G171" s="48">
        <f>'Calendario D'!S124</f>
        <v>0</v>
      </c>
      <c r="H171" s="48" t="str">
        <f>'Calendario D'!T124</f>
        <v>(Squadra B)</v>
      </c>
      <c r="I171" s="48">
        <f>'Calendario D'!U124</f>
        <v>0</v>
      </c>
      <c r="J171" s="48">
        <f>'Calendario D'!V124</f>
        <v>0</v>
      </c>
      <c r="K171" s="48">
        <f>'Calendario D'!W124</f>
        <v>0</v>
      </c>
      <c r="L171" s="48">
        <f>'Calendario D'!X124</f>
        <v>0</v>
      </c>
      <c r="M171" s="48">
        <f>'Calendario D'!Y124</f>
        <v>0</v>
      </c>
      <c r="N171" s="48">
        <f>'Calendario D'!Z124</f>
        <v>0</v>
      </c>
    </row>
    <row r="172" spans="1:14" x14ac:dyDescent="0.25">
      <c r="A172" s="48" t="str">
        <f>'Calendario D'!M129</f>
        <v>(Squadra A)</v>
      </c>
      <c r="B172" s="48">
        <f>'Calendario D'!N129</f>
        <v>0</v>
      </c>
      <c r="C172" s="48">
        <f>'Calendario D'!O129</f>
        <v>0</v>
      </c>
      <c r="D172" s="48">
        <f>'Calendario D'!P129</f>
        <v>0</v>
      </c>
      <c r="E172" s="48">
        <f>'Calendario D'!Q129</f>
        <v>0</v>
      </c>
      <c r="F172" s="48">
        <f>'Calendario D'!R129</f>
        <v>0</v>
      </c>
      <c r="G172" s="48">
        <f>'Calendario D'!S129</f>
        <v>0</v>
      </c>
      <c r="H172" s="48" t="str">
        <f>'Calendario D'!T129</f>
        <v>(Squadra B)</v>
      </c>
      <c r="I172" s="48">
        <f>'Calendario D'!U129</f>
        <v>0</v>
      </c>
      <c r="J172" s="48">
        <f>'Calendario D'!V129</f>
        <v>0</v>
      </c>
      <c r="K172" s="48">
        <f>'Calendario D'!W129</f>
        <v>0</v>
      </c>
      <c r="L172" s="48">
        <f>'Calendario D'!X129</f>
        <v>0</v>
      </c>
      <c r="M172" s="48">
        <f>'Calendario D'!Y129</f>
        <v>0</v>
      </c>
      <c r="N172" s="48">
        <f>'Calendario D'!Z129</f>
        <v>0</v>
      </c>
    </row>
    <row r="173" spans="1:14" x14ac:dyDescent="0.25">
      <c r="A173" s="48" t="str">
        <f>'Calendario D'!M132</f>
        <v>(Squadra A)</v>
      </c>
      <c r="B173" s="48">
        <f>'Calendario D'!N132</f>
        <v>0</v>
      </c>
      <c r="C173" s="48">
        <f>'Calendario D'!O132</f>
        <v>0</v>
      </c>
      <c r="D173" s="48">
        <f>'Calendario D'!P132</f>
        <v>0</v>
      </c>
      <c r="E173" s="48">
        <f>'Calendario D'!Q132</f>
        <v>0</v>
      </c>
      <c r="F173" s="48">
        <f>'Calendario D'!R132</f>
        <v>0</v>
      </c>
      <c r="G173" s="48">
        <f>'Calendario D'!S132</f>
        <v>0</v>
      </c>
      <c r="H173" s="48" t="str">
        <f>'Calendario D'!T132</f>
        <v>(Squadra B)</v>
      </c>
      <c r="I173" s="48">
        <f>'Calendario D'!U132</f>
        <v>0</v>
      </c>
      <c r="J173" s="48">
        <f>'Calendario D'!V132</f>
        <v>0</v>
      </c>
      <c r="K173" s="48">
        <f>'Calendario D'!W132</f>
        <v>0</v>
      </c>
      <c r="L173" s="48">
        <f>'Calendario D'!X132</f>
        <v>0</v>
      </c>
      <c r="M173" s="48">
        <f>'Calendario D'!Y132</f>
        <v>0</v>
      </c>
      <c r="N173" s="48">
        <f>'Calendario D'!Z132</f>
        <v>0</v>
      </c>
    </row>
    <row r="174" spans="1:14" x14ac:dyDescent="0.25">
      <c r="A174" s="48" t="str">
        <f>'Calendario D'!M135</f>
        <v>(Squadra A)</v>
      </c>
      <c r="B174" s="48">
        <f>'Calendario D'!N135</f>
        <v>0</v>
      </c>
      <c r="C174" s="48">
        <f>'Calendario D'!O135</f>
        <v>0</v>
      </c>
      <c r="D174" s="48">
        <f>'Calendario D'!P135</f>
        <v>0</v>
      </c>
      <c r="E174" s="48">
        <f>'Calendario D'!Q135</f>
        <v>0</v>
      </c>
      <c r="F174" s="48">
        <f>'Calendario D'!R135</f>
        <v>0</v>
      </c>
      <c r="G174" s="48">
        <f>'Calendario D'!S135</f>
        <v>0</v>
      </c>
      <c r="H174" s="48" t="str">
        <f>'Calendario D'!T135</f>
        <v>(Squadra B)</v>
      </c>
      <c r="I174" s="48">
        <f>'Calendario D'!U135</f>
        <v>0</v>
      </c>
      <c r="J174" s="48">
        <f>'Calendario D'!V135</f>
        <v>0</v>
      </c>
      <c r="K174" s="48">
        <f>'Calendario D'!W135</f>
        <v>0</v>
      </c>
      <c r="L174" s="48">
        <f>'Calendario D'!X135</f>
        <v>0</v>
      </c>
      <c r="M174" s="48">
        <f>'Calendario D'!Y135</f>
        <v>0</v>
      </c>
      <c r="N174" s="48">
        <f>'Calendario D'!Z135</f>
        <v>0</v>
      </c>
    </row>
    <row r="175" spans="1:14" x14ac:dyDescent="0.25">
      <c r="A175" s="48" t="str">
        <f>'Calendario D'!M138</f>
        <v>(Squadra A)</v>
      </c>
      <c r="B175" s="48">
        <f>'Calendario D'!N138</f>
        <v>0</v>
      </c>
      <c r="C175" s="48">
        <f>'Calendario D'!O138</f>
        <v>0</v>
      </c>
      <c r="D175" s="48">
        <f>'Calendario D'!P138</f>
        <v>0</v>
      </c>
      <c r="E175" s="48">
        <f>'Calendario D'!Q138</f>
        <v>0</v>
      </c>
      <c r="F175" s="48">
        <f>'Calendario D'!R138</f>
        <v>0</v>
      </c>
      <c r="G175" s="48">
        <f>'Calendario D'!S138</f>
        <v>0</v>
      </c>
      <c r="H175" s="48" t="str">
        <f>'Calendario D'!T138</f>
        <v>(Squadra B)</v>
      </c>
      <c r="I175" s="48">
        <f>'Calendario D'!U138</f>
        <v>0</v>
      </c>
      <c r="J175" s="48">
        <f>'Calendario D'!V138</f>
        <v>0</v>
      </c>
      <c r="K175" s="48">
        <f>'Calendario D'!W138</f>
        <v>0</v>
      </c>
      <c r="L175" s="48">
        <f>'Calendario D'!X138</f>
        <v>0</v>
      </c>
      <c r="M175" s="48">
        <f>'Calendario D'!Y138</f>
        <v>0</v>
      </c>
      <c r="N175" s="48">
        <f>'Calendario D'!Z138</f>
        <v>0</v>
      </c>
    </row>
    <row r="176" spans="1:14" x14ac:dyDescent="0.25">
      <c r="A176" s="48" t="str">
        <f>'Calendario D'!M141</f>
        <v>(Squadra A)</v>
      </c>
      <c r="B176" s="48">
        <f>'Calendario D'!N141</f>
        <v>0</v>
      </c>
      <c r="C176" s="48">
        <f>'Calendario D'!O141</f>
        <v>0</v>
      </c>
      <c r="D176" s="48">
        <f>'Calendario D'!P141</f>
        <v>0</v>
      </c>
      <c r="E176" s="48">
        <f>'Calendario D'!Q141</f>
        <v>0</v>
      </c>
      <c r="F176" s="48">
        <f>'Calendario D'!R141</f>
        <v>0</v>
      </c>
      <c r="G176" s="48">
        <f>'Calendario D'!S141</f>
        <v>0</v>
      </c>
      <c r="H176" s="48" t="str">
        <f>'Calendario D'!T141</f>
        <v>(Squadra B)</v>
      </c>
      <c r="I176" s="48">
        <f>'Calendario D'!U141</f>
        <v>0</v>
      </c>
      <c r="J176" s="48">
        <f>'Calendario D'!V141</f>
        <v>0</v>
      </c>
      <c r="K176" s="48">
        <f>'Calendario D'!W141</f>
        <v>0</v>
      </c>
      <c r="L176" s="48">
        <f>'Calendario D'!X141</f>
        <v>0</v>
      </c>
      <c r="M176" s="48">
        <f>'Calendario D'!Y141</f>
        <v>0</v>
      </c>
      <c r="N176" s="48">
        <f>'Calendario D'!Z141</f>
        <v>0</v>
      </c>
    </row>
    <row r="177" spans="1:14" x14ac:dyDescent="0.25">
      <c r="A177" s="48" t="str">
        <f>'Calendario D'!M146</f>
        <v>(Squadra A)</v>
      </c>
      <c r="B177" s="48">
        <f>'Calendario D'!N146</f>
        <v>0</v>
      </c>
      <c r="C177" s="48">
        <f>'Calendario D'!O146</f>
        <v>0</v>
      </c>
      <c r="D177" s="48">
        <f>'Calendario D'!P146</f>
        <v>0</v>
      </c>
      <c r="E177" s="48">
        <f>'Calendario D'!Q146</f>
        <v>0</v>
      </c>
      <c r="F177" s="48">
        <f>'Calendario D'!R146</f>
        <v>0</v>
      </c>
      <c r="G177" s="48">
        <f>'Calendario D'!S146</f>
        <v>0</v>
      </c>
      <c r="H177" s="48" t="str">
        <f>'Calendario D'!T146</f>
        <v>(Squadra B)</v>
      </c>
      <c r="I177" s="48">
        <f>'Calendario D'!U146</f>
        <v>0</v>
      </c>
      <c r="J177" s="48">
        <f>'Calendario D'!V146</f>
        <v>0</v>
      </c>
      <c r="K177" s="48">
        <f>'Calendario D'!W146</f>
        <v>0</v>
      </c>
      <c r="L177" s="48">
        <f>'Calendario D'!X146</f>
        <v>0</v>
      </c>
      <c r="M177" s="48">
        <f>'Calendario D'!Y146</f>
        <v>0</v>
      </c>
      <c r="N177" s="48">
        <f>'Calendario D'!Z146</f>
        <v>0</v>
      </c>
    </row>
    <row r="178" spans="1:14" x14ac:dyDescent="0.25">
      <c r="A178" s="48" t="str">
        <f>'Calendario D'!M149</f>
        <v>(Squadra A)</v>
      </c>
      <c r="B178" s="48">
        <f>'Calendario D'!N149</f>
        <v>0</v>
      </c>
      <c r="C178" s="48">
        <f>'Calendario D'!O149</f>
        <v>0</v>
      </c>
      <c r="D178" s="48">
        <f>'Calendario D'!P149</f>
        <v>0</v>
      </c>
      <c r="E178" s="48">
        <f>'Calendario D'!Q149</f>
        <v>0</v>
      </c>
      <c r="F178" s="48">
        <f>'Calendario D'!R149</f>
        <v>0</v>
      </c>
      <c r="G178" s="48">
        <f>'Calendario D'!S149</f>
        <v>0</v>
      </c>
      <c r="H178" s="48" t="str">
        <f>'Calendario D'!T149</f>
        <v>(Squadra B)</v>
      </c>
      <c r="I178" s="48">
        <f>'Calendario D'!U149</f>
        <v>0</v>
      </c>
      <c r="J178" s="48">
        <f>'Calendario D'!V149</f>
        <v>0</v>
      </c>
      <c r="K178" s="48">
        <f>'Calendario D'!W149</f>
        <v>0</v>
      </c>
      <c r="L178" s="48">
        <f>'Calendario D'!X149</f>
        <v>0</v>
      </c>
      <c r="M178" s="48">
        <f>'Calendario D'!Y149</f>
        <v>0</v>
      </c>
      <c r="N178" s="48">
        <f>'Calendario D'!Z149</f>
        <v>0</v>
      </c>
    </row>
    <row r="179" spans="1:14" x14ac:dyDescent="0.25">
      <c r="A179" s="48" t="str">
        <f>'Calendario D'!M152</f>
        <v>(Squadra A)</v>
      </c>
      <c r="B179" s="48">
        <f>'Calendario D'!N152</f>
        <v>0</v>
      </c>
      <c r="C179" s="48">
        <f>'Calendario D'!O152</f>
        <v>0</v>
      </c>
      <c r="D179" s="48">
        <f>'Calendario D'!P152</f>
        <v>0</v>
      </c>
      <c r="E179" s="48">
        <f>'Calendario D'!Q152</f>
        <v>0</v>
      </c>
      <c r="F179" s="48">
        <f>'Calendario D'!R152</f>
        <v>0</v>
      </c>
      <c r="G179" s="48">
        <f>'Calendario D'!S152</f>
        <v>0</v>
      </c>
      <c r="H179" s="48" t="str">
        <f>'Calendario D'!T152</f>
        <v>(Squadra B)</v>
      </c>
      <c r="I179" s="48">
        <f>'Calendario D'!U152</f>
        <v>0</v>
      </c>
      <c r="J179" s="48">
        <f>'Calendario D'!V152</f>
        <v>0</v>
      </c>
      <c r="K179" s="48">
        <f>'Calendario D'!W152</f>
        <v>0</v>
      </c>
      <c r="L179" s="48">
        <f>'Calendario D'!X152</f>
        <v>0</v>
      </c>
      <c r="M179" s="48">
        <f>'Calendario D'!Y152</f>
        <v>0</v>
      </c>
      <c r="N179" s="48">
        <f>'Calendario D'!Z152</f>
        <v>0</v>
      </c>
    </row>
    <row r="180" spans="1:14" x14ac:dyDescent="0.25">
      <c r="A180" s="48" t="str">
        <f>'Calendario D'!M155</f>
        <v>(Squadra A)</v>
      </c>
      <c r="B180" s="48">
        <f>'Calendario D'!N155</f>
        <v>0</v>
      </c>
      <c r="C180" s="48">
        <f>'Calendario D'!O155</f>
        <v>0</v>
      </c>
      <c r="D180" s="48">
        <f>'Calendario D'!P155</f>
        <v>0</v>
      </c>
      <c r="E180" s="48">
        <f>'Calendario D'!Q155</f>
        <v>0</v>
      </c>
      <c r="F180" s="48">
        <f>'Calendario D'!R155</f>
        <v>0</v>
      </c>
      <c r="G180" s="48">
        <f>'Calendario D'!S155</f>
        <v>0</v>
      </c>
      <c r="H180" s="48" t="str">
        <f>'Calendario D'!T155</f>
        <v>(Squadra B)</v>
      </c>
      <c r="I180" s="48">
        <f>'Calendario D'!U155</f>
        <v>0</v>
      </c>
      <c r="J180" s="48">
        <f>'Calendario D'!V155</f>
        <v>0</v>
      </c>
      <c r="K180" s="48">
        <f>'Calendario D'!W155</f>
        <v>0</v>
      </c>
      <c r="L180" s="48">
        <f>'Calendario D'!X155</f>
        <v>0</v>
      </c>
      <c r="M180" s="48">
        <f>'Calendario D'!Y155</f>
        <v>0</v>
      </c>
      <c r="N180" s="48">
        <f>'Calendario D'!Z155</f>
        <v>0</v>
      </c>
    </row>
    <row r="181" spans="1:14" x14ac:dyDescent="0.25">
      <c r="A181" s="48" t="str">
        <f>'Calendario D'!M158</f>
        <v>(Squadra A)</v>
      </c>
      <c r="B181" s="48">
        <f>'Calendario D'!N158</f>
        <v>0</v>
      </c>
      <c r="C181" s="48">
        <f>'Calendario D'!O158</f>
        <v>0</v>
      </c>
      <c r="D181" s="48">
        <f>'Calendario D'!P158</f>
        <v>0</v>
      </c>
      <c r="E181" s="48">
        <f>'Calendario D'!Q158</f>
        <v>0</v>
      </c>
      <c r="F181" s="48">
        <f>'Calendario D'!R158</f>
        <v>0</v>
      </c>
      <c r="G181" s="48">
        <f>'Calendario D'!S158</f>
        <v>0</v>
      </c>
      <c r="H181" s="48" t="str">
        <f>'Calendario D'!T158</f>
        <v>(Squadra B)</v>
      </c>
      <c r="I181" s="48">
        <f>'Calendario D'!U158</f>
        <v>0</v>
      </c>
      <c r="J181" s="48">
        <f>'Calendario D'!V158</f>
        <v>0</v>
      </c>
      <c r="K181" s="48">
        <f>'Calendario D'!W158</f>
        <v>0</v>
      </c>
      <c r="L181" s="48">
        <f>'Calendario D'!X158</f>
        <v>0</v>
      </c>
      <c r="M181" s="48">
        <f>'Calendario D'!Y158</f>
        <v>0</v>
      </c>
      <c r="N181" s="48">
        <f>'Calendario D'!Z158</f>
        <v>0</v>
      </c>
    </row>
    <row r="182" spans="1:14" x14ac:dyDescent="0.25">
      <c r="A182" s="48" t="str">
        <f>'Calendario E'!M10</f>
        <v>(Squadra A)</v>
      </c>
      <c r="B182" s="48">
        <f>'Calendario E'!N10</f>
        <v>0</v>
      </c>
      <c r="C182" s="48">
        <f>'Calendario E'!O10</f>
        <v>0</v>
      </c>
      <c r="D182" s="48">
        <f>'Calendario E'!P10</f>
        <v>0</v>
      </c>
      <c r="E182" s="48">
        <f>'Calendario E'!Q10</f>
        <v>0</v>
      </c>
      <c r="F182" s="48">
        <f>'Calendario E'!R10</f>
        <v>0</v>
      </c>
      <c r="G182" s="48">
        <f>'Calendario E'!S10</f>
        <v>0</v>
      </c>
      <c r="H182" s="48" t="str">
        <f>'Calendario E'!T10</f>
        <v>(Squadra B)</v>
      </c>
      <c r="I182" s="48">
        <f>'Calendario E'!U10</f>
        <v>0</v>
      </c>
      <c r="J182" s="48">
        <f>'Calendario E'!V10</f>
        <v>0</v>
      </c>
      <c r="K182" s="48">
        <f>'Calendario E'!W10</f>
        <v>0</v>
      </c>
      <c r="L182" s="48">
        <f>'Calendario E'!X10</f>
        <v>0</v>
      </c>
      <c r="M182" s="48">
        <f>'Calendario E'!Y10</f>
        <v>0</v>
      </c>
      <c r="N182" s="48">
        <f>'Calendario E'!Z10</f>
        <v>0</v>
      </c>
    </row>
    <row r="183" spans="1:14" x14ac:dyDescent="0.25">
      <c r="A183" s="48" t="str">
        <f>'Calendario E'!M13</f>
        <v>(Squadra A)</v>
      </c>
      <c r="B183" s="48">
        <f>'Calendario E'!N13</f>
        <v>0</v>
      </c>
      <c r="C183" s="48">
        <f>'Calendario E'!O13</f>
        <v>0</v>
      </c>
      <c r="D183" s="48">
        <f>'Calendario E'!P13</f>
        <v>0</v>
      </c>
      <c r="E183" s="48">
        <f>'Calendario E'!Q13</f>
        <v>0</v>
      </c>
      <c r="F183" s="48">
        <f>'Calendario E'!R13</f>
        <v>0</v>
      </c>
      <c r="G183" s="48">
        <f>'Calendario E'!S13</f>
        <v>0</v>
      </c>
      <c r="H183" s="48" t="str">
        <f>'Calendario E'!T13</f>
        <v>(Squadra B)</v>
      </c>
      <c r="I183" s="48">
        <f>'Calendario E'!U13</f>
        <v>0</v>
      </c>
      <c r="J183" s="48">
        <f>'Calendario E'!V13</f>
        <v>0</v>
      </c>
      <c r="K183" s="48">
        <f>'Calendario E'!W13</f>
        <v>0</v>
      </c>
      <c r="L183" s="48">
        <f>'Calendario E'!X13</f>
        <v>0</v>
      </c>
      <c r="M183" s="48">
        <f>'Calendario E'!Y13</f>
        <v>0</v>
      </c>
      <c r="N183" s="48">
        <f>'Calendario E'!Z13</f>
        <v>0</v>
      </c>
    </row>
    <row r="184" spans="1:14" x14ac:dyDescent="0.25">
      <c r="A184" s="48" t="str">
        <f>'Calendario E'!M16</f>
        <v>(Squadra A)</v>
      </c>
      <c r="B184" s="48">
        <f>'Calendario E'!N16</f>
        <v>0</v>
      </c>
      <c r="C184" s="48">
        <f>'Calendario E'!O16</f>
        <v>0</v>
      </c>
      <c r="D184" s="48">
        <f>'Calendario E'!P16</f>
        <v>0</v>
      </c>
      <c r="E184" s="48">
        <f>'Calendario E'!Q16</f>
        <v>0</v>
      </c>
      <c r="F184" s="48">
        <f>'Calendario E'!R16</f>
        <v>0</v>
      </c>
      <c r="G184" s="48">
        <f>'Calendario E'!S16</f>
        <v>0</v>
      </c>
      <c r="H184" s="48" t="str">
        <f>'Calendario E'!T16</f>
        <v>(Squadra B)</v>
      </c>
      <c r="I184" s="48">
        <f>'Calendario E'!U16</f>
        <v>0</v>
      </c>
      <c r="J184" s="48">
        <f>'Calendario E'!V16</f>
        <v>0</v>
      </c>
      <c r="K184" s="48">
        <f>'Calendario E'!W16</f>
        <v>0</v>
      </c>
      <c r="L184" s="48">
        <f>'Calendario E'!X16</f>
        <v>0</v>
      </c>
      <c r="M184" s="48">
        <f>'Calendario E'!Y16</f>
        <v>0</v>
      </c>
      <c r="N184" s="48">
        <f>'Calendario E'!Z16</f>
        <v>0</v>
      </c>
    </row>
    <row r="185" spans="1:14" x14ac:dyDescent="0.25">
      <c r="A185" s="48" t="str">
        <f>'Calendario E'!M19</f>
        <v>(Squadra A)</v>
      </c>
      <c r="B185" s="48">
        <f>'Calendario E'!N19</f>
        <v>0</v>
      </c>
      <c r="C185" s="48">
        <f>'Calendario E'!O19</f>
        <v>0</v>
      </c>
      <c r="D185" s="48">
        <f>'Calendario E'!P19</f>
        <v>0</v>
      </c>
      <c r="E185" s="48">
        <f>'Calendario E'!Q19</f>
        <v>0</v>
      </c>
      <c r="F185" s="48">
        <f>'Calendario E'!R19</f>
        <v>0</v>
      </c>
      <c r="G185" s="48">
        <f>'Calendario E'!S19</f>
        <v>0</v>
      </c>
      <c r="H185" s="48" t="str">
        <f>'Calendario E'!T19</f>
        <v>(Squadra B)</v>
      </c>
      <c r="I185" s="48">
        <f>'Calendario E'!U19</f>
        <v>0</v>
      </c>
      <c r="J185" s="48">
        <f>'Calendario E'!V19</f>
        <v>0</v>
      </c>
      <c r="K185" s="48">
        <f>'Calendario E'!W19</f>
        <v>0</v>
      </c>
      <c r="L185" s="48">
        <f>'Calendario E'!X19</f>
        <v>0</v>
      </c>
      <c r="M185" s="48">
        <f>'Calendario E'!Y19</f>
        <v>0</v>
      </c>
      <c r="N185" s="48">
        <f>'Calendario E'!Z19</f>
        <v>0</v>
      </c>
    </row>
    <row r="186" spans="1:14" x14ac:dyDescent="0.25">
      <c r="A186" s="48" t="str">
        <f>'Calendario E'!M22</f>
        <v>(Squadra A)</v>
      </c>
      <c r="B186" s="48">
        <f>'Calendario E'!N22</f>
        <v>0</v>
      </c>
      <c r="C186" s="48">
        <f>'Calendario E'!O22</f>
        <v>0</v>
      </c>
      <c r="D186" s="48">
        <f>'Calendario E'!P22</f>
        <v>0</v>
      </c>
      <c r="E186" s="48">
        <f>'Calendario E'!Q22</f>
        <v>0</v>
      </c>
      <c r="F186" s="48">
        <f>'Calendario E'!R22</f>
        <v>0</v>
      </c>
      <c r="G186" s="48">
        <f>'Calendario E'!S22</f>
        <v>0</v>
      </c>
      <c r="H186" s="48" t="str">
        <f>'Calendario E'!T22</f>
        <v>(Squadra B)</v>
      </c>
      <c r="I186" s="48">
        <f>'Calendario E'!U22</f>
        <v>0</v>
      </c>
      <c r="J186" s="48">
        <f>'Calendario E'!V22</f>
        <v>0</v>
      </c>
      <c r="K186" s="48">
        <f>'Calendario E'!W22</f>
        <v>0</v>
      </c>
      <c r="L186" s="48">
        <f>'Calendario E'!X22</f>
        <v>0</v>
      </c>
      <c r="M186" s="48">
        <f>'Calendario E'!Y22</f>
        <v>0</v>
      </c>
      <c r="N186" s="48">
        <f>'Calendario E'!Z22</f>
        <v>0</v>
      </c>
    </row>
    <row r="187" spans="1:14" x14ac:dyDescent="0.25">
      <c r="A187" s="48" t="str">
        <f>'Calendario E'!M27</f>
        <v>(Squadra A)</v>
      </c>
      <c r="B187" s="48">
        <f>'Calendario E'!N27</f>
        <v>0</v>
      </c>
      <c r="C187" s="48">
        <f>'Calendario E'!O27</f>
        <v>0</v>
      </c>
      <c r="D187" s="48">
        <f>'Calendario E'!P27</f>
        <v>0</v>
      </c>
      <c r="E187" s="48">
        <f>'Calendario E'!Q27</f>
        <v>0</v>
      </c>
      <c r="F187" s="48">
        <f>'Calendario E'!R27</f>
        <v>0</v>
      </c>
      <c r="G187" s="48">
        <f>'Calendario E'!S27</f>
        <v>0</v>
      </c>
      <c r="H187" s="48" t="str">
        <f>'Calendario E'!T27</f>
        <v>(Squadra B)</v>
      </c>
      <c r="I187" s="48">
        <f>'Calendario E'!U27</f>
        <v>0</v>
      </c>
      <c r="J187" s="48">
        <f>'Calendario E'!V27</f>
        <v>0</v>
      </c>
      <c r="K187" s="48">
        <f>'Calendario E'!W27</f>
        <v>0</v>
      </c>
      <c r="L187" s="48">
        <f>'Calendario E'!X27</f>
        <v>0</v>
      </c>
      <c r="M187" s="48">
        <f>'Calendario E'!Y27</f>
        <v>0</v>
      </c>
      <c r="N187" s="48">
        <f>'Calendario E'!Z27</f>
        <v>0</v>
      </c>
    </row>
    <row r="188" spans="1:14" x14ac:dyDescent="0.25">
      <c r="A188" s="48" t="str">
        <f>'Calendario E'!M30</f>
        <v>(Squadra A)</v>
      </c>
      <c r="B188" s="48">
        <f>'Calendario E'!N30</f>
        <v>0</v>
      </c>
      <c r="C188" s="48">
        <f>'Calendario E'!O30</f>
        <v>0</v>
      </c>
      <c r="D188" s="48">
        <f>'Calendario E'!P30</f>
        <v>0</v>
      </c>
      <c r="E188" s="48">
        <f>'Calendario E'!Q30</f>
        <v>0</v>
      </c>
      <c r="F188" s="48">
        <f>'Calendario E'!R30</f>
        <v>0</v>
      </c>
      <c r="G188" s="48">
        <f>'Calendario E'!S30</f>
        <v>0</v>
      </c>
      <c r="H188" s="48" t="str">
        <f>'Calendario E'!T30</f>
        <v>(Squadra B)</v>
      </c>
      <c r="I188" s="48">
        <f>'Calendario E'!U30</f>
        <v>0</v>
      </c>
      <c r="J188" s="48">
        <f>'Calendario E'!V30</f>
        <v>0</v>
      </c>
      <c r="K188" s="48">
        <f>'Calendario E'!W30</f>
        <v>0</v>
      </c>
      <c r="L188" s="48">
        <f>'Calendario E'!X30</f>
        <v>0</v>
      </c>
      <c r="M188" s="48">
        <f>'Calendario E'!Y30</f>
        <v>0</v>
      </c>
      <c r="N188" s="48">
        <f>'Calendario E'!Z30</f>
        <v>0</v>
      </c>
    </row>
    <row r="189" spans="1:14" x14ac:dyDescent="0.25">
      <c r="A189" s="48" t="str">
        <f>'Calendario E'!M33</f>
        <v>(Squadra A)</v>
      </c>
      <c r="B189" s="48">
        <f>'Calendario E'!N33</f>
        <v>0</v>
      </c>
      <c r="C189" s="48">
        <f>'Calendario E'!O33</f>
        <v>0</v>
      </c>
      <c r="D189" s="48">
        <f>'Calendario E'!P33</f>
        <v>0</v>
      </c>
      <c r="E189" s="48">
        <f>'Calendario E'!Q33</f>
        <v>0</v>
      </c>
      <c r="F189" s="48">
        <f>'Calendario E'!R33</f>
        <v>0</v>
      </c>
      <c r="G189" s="48">
        <f>'Calendario E'!S33</f>
        <v>0</v>
      </c>
      <c r="H189" s="48" t="str">
        <f>'Calendario E'!T33</f>
        <v>(Squadra B)</v>
      </c>
      <c r="I189" s="48">
        <f>'Calendario E'!U33</f>
        <v>0</v>
      </c>
      <c r="J189" s="48">
        <f>'Calendario E'!V33</f>
        <v>0</v>
      </c>
      <c r="K189" s="48">
        <f>'Calendario E'!W33</f>
        <v>0</v>
      </c>
      <c r="L189" s="48">
        <f>'Calendario E'!X33</f>
        <v>0</v>
      </c>
      <c r="M189" s="48">
        <f>'Calendario E'!Y33</f>
        <v>0</v>
      </c>
      <c r="N189" s="48">
        <f>'Calendario E'!Z33</f>
        <v>0</v>
      </c>
    </row>
    <row r="190" spans="1:14" x14ac:dyDescent="0.25">
      <c r="A190" s="48" t="str">
        <f>'Calendario E'!M36</f>
        <v>(Squadra A)</v>
      </c>
      <c r="B190" s="48">
        <f>'Calendario E'!N36</f>
        <v>0</v>
      </c>
      <c r="C190" s="48">
        <f>'Calendario E'!O36</f>
        <v>0</v>
      </c>
      <c r="D190" s="48">
        <f>'Calendario E'!P36</f>
        <v>0</v>
      </c>
      <c r="E190" s="48">
        <f>'Calendario E'!Q36</f>
        <v>0</v>
      </c>
      <c r="F190" s="48">
        <f>'Calendario E'!R36</f>
        <v>0</v>
      </c>
      <c r="G190" s="48">
        <f>'Calendario E'!S36</f>
        <v>0</v>
      </c>
      <c r="H190" s="48" t="str">
        <f>'Calendario E'!T36</f>
        <v>(Squadra B)</v>
      </c>
      <c r="I190" s="48">
        <f>'Calendario E'!U36</f>
        <v>0</v>
      </c>
      <c r="J190" s="48">
        <f>'Calendario E'!V36</f>
        <v>0</v>
      </c>
      <c r="K190" s="48">
        <f>'Calendario E'!W36</f>
        <v>0</v>
      </c>
      <c r="L190" s="48">
        <f>'Calendario E'!X36</f>
        <v>0</v>
      </c>
      <c r="M190" s="48">
        <f>'Calendario E'!Y36</f>
        <v>0</v>
      </c>
      <c r="N190" s="48">
        <f>'Calendario E'!Z36</f>
        <v>0</v>
      </c>
    </row>
    <row r="191" spans="1:14" x14ac:dyDescent="0.25">
      <c r="A191" s="48" t="str">
        <f>'Calendario E'!M39</f>
        <v>(Squadra A)</v>
      </c>
      <c r="B191" s="48">
        <f>'Calendario E'!N39</f>
        <v>0</v>
      </c>
      <c r="C191" s="48">
        <f>'Calendario E'!O39</f>
        <v>0</v>
      </c>
      <c r="D191" s="48">
        <f>'Calendario E'!P39</f>
        <v>0</v>
      </c>
      <c r="E191" s="48">
        <f>'Calendario E'!Q39</f>
        <v>0</v>
      </c>
      <c r="F191" s="48">
        <f>'Calendario E'!R39</f>
        <v>0</v>
      </c>
      <c r="G191" s="48">
        <f>'Calendario E'!S39</f>
        <v>0</v>
      </c>
      <c r="H191" s="48" t="str">
        <f>'Calendario E'!T39</f>
        <v>(Squadra B)</v>
      </c>
      <c r="I191" s="48">
        <f>'Calendario E'!U39</f>
        <v>0</v>
      </c>
      <c r="J191" s="48">
        <f>'Calendario E'!V39</f>
        <v>0</v>
      </c>
      <c r="K191" s="48">
        <f>'Calendario E'!W39</f>
        <v>0</v>
      </c>
      <c r="L191" s="48">
        <f>'Calendario E'!X39</f>
        <v>0</v>
      </c>
      <c r="M191" s="48">
        <f>'Calendario E'!Y39</f>
        <v>0</v>
      </c>
      <c r="N191" s="48">
        <f>'Calendario E'!Z39</f>
        <v>0</v>
      </c>
    </row>
    <row r="192" spans="1:14" x14ac:dyDescent="0.25">
      <c r="A192" s="48" t="str">
        <f>'Calendario E'!M44</f>
        <v>(Squadra A)</v>
      </c>
      <c r="B192" s="48">
        <f>'Calendario E'!N44</f>
        <v>0</v>
      </c>
      <c r="C192" s="48">
        <f>'Calendario E'!O44</f>
        <v>0</v>
      </c>
      <c r="D192" s="48">
        <f>'Calendario E'!P44</f>
        <v>0</v>
      </c>
      <c r="E192" s="48">
        <f>'Calendario E'!Q44</f>
        <v>0</v>
      </c>
      <c r="F192" s="48">
        <f>'Calendario E'!R44</f>
        <v>0</v>
      </c>
      <c r="G192" s="48">
        <f>'Calendario E'!S44</f>
        <v>0</v>
      </c>
      <c r="H192" s="48" t="str">
        <f>'Calendario E'!T44</f>
        <v>(Squadra B)</v>
      </c>
      <c r="I192" s="48">
        <f>'Calendario E'!U44</f>
        <v>0</v>
      </c>
      <c r="J192" s="48">
        <f>'Calendario E'!V44</f>
        <v>0</v>
      </c>
      <c r="K192" s="48">
        <f>'Calendario E'!W44</f>
        <v>0</v>
      </c>
      <c r="L192" s="48">
        <f>'Calendario E'!X44</f>
        <v>0</v>
      </c>
      <c r="M192" s="48">
        <f>'Calendario E'!Y44</f>
        <v>0</v>
      </c>
      <c r="N192" s="48">
        <f>'Calendario E'!Z44</f>
        <v>0</v>
      </c>
    </row>
    <row r="193" spans="1:14" x14ac:dyDescent="0.25">
      <c r="A193" s="48" t="str">
        <f>'Calendario E'!M47</f>
        <v>(Squadra A)</v>
      </c>
      <c r="B193" s="48">
        <f>'Calendario E'!N47</f>
        <v>0</v>
      </c>
      <c r="C193" s="48">
        <f>'Calendario E'!O47</f>
        <v>0</v>
      </c>
      <c r="D193" s="48">
        <f>'Calendario E'!P47</f>
        <v>0</v>
      </c>
      <c r="E193" s="48">
        <f>'Calendario E'!Q47</f>
        <v>0</v>
      </c>
      <c r="F193" s="48">
        <f>'Calendario E'!R47</f>
        <v>0</v>
      </c>
      <c r="G193" s="48">
        <f>'Calendario E'!S47</f>
        <v>0</v>
      </c>
      <c r="H193" s="48" t="str">
        <f>'Calendario E'!T47</f>
        <v>(Squadra B)</v>
      </c>
      <c r="I193" s="48">
        <f>'Calendario E'!U47</f>
        <v>0</v>
      </c>
      <c r="J193" s="48">
        <f>'Calendario E'!V47</f>
        <v>0</v>
      </c>
      <c r="K193" s="48">
        <f>'Calendario E'!W47</f>
        <v>0</v>
      </c>
      <c r="L193" s="48">
        <f>'Calendario E'!X47</f>
        <v>0</v>
      </c>
      <c r="M193" s="48">
        <f>'Calendario E'!Y47</f>
        <v>0</v>
      </c>
      <c r="N193" s="48">
        <f>'Calendario E'!Z47</f>
        <v>0</v>
      </c>
    </row>
    <row r="194" spans="1:14" x14ac:dyDescent="0.25">
      <c r="A194" s="48" t="str">
        <f>'Calendario E'!M50</f>
        <v>(Squadra A)</v>
      </c>
      <c r="B194" s="48">
        <f>'Calendario E'!N50</f>
        <v>0</v>
      </c>
      <c r="C194" s="48">
        <f>'Calendario E'!O50</f>
        <v>0</v>
      </c>
      <c r="D194" s="48">
        <f>'Calendario E'!P50</f>
        <v>0</v>
      </c>
      <c r="E194" s="48">
        <f>'Calendario E'!Q50</f>
        <v>0</v>
      </c>
      <c r="F194" s="48">
        <f>'Calendario E'!R50</f>
        <v>0</v>
      </c>
      <c r="G194" s="48">
        <f>'Calendario E'!S50</f>
        <v>0</v>
      </c>
      <c r="H194" s="48" t="str">
        <f>'Calendario E'!T50</f>
        <v>(Squadra B)</v>
      </c>
      <c r="I194" s="48">
        <f>'Calendario E'!U50</f>
        <v>0</v>
      </c>
      <c r="J194" s="48">
        <f>'Calendario E'!V50</f>
        <v>0</v>
      </c>
      <c r="K194" s="48">
        <f>'Calendario E'!W50</f>
        <v>0</v>
      </c>
      <c r="L194" s="48">
        <f>'Calendario E'!X50</f>
        <v>0</v>
      </c>
      <c r="M194" s="48">
        <f>'Calendario E'!Y50</f>
        <v>0</v>
      </c>
      <c r="N194" s="48">
        <f>'Calendario E'!Z50</f>
        <v>0</v>
      </c>
    </row>
    <row r="195" spans="1:14" x14ac:dyDescent="0.25">
      <c r="A195" s="48" t="str">
        <f>'Calendario E'!M53</f>
        <v>(Squadra A)</v>
      </c>
      <c r="B195" s="48">
        <f>'Calendario E'!N53</f>
        <v>0</v>
      </c>
      <c r="C195" s="48">
        <f>'Calendario E'!O53</f>
        <v>0</v>
      </c>
      <c r="D195" s="48">
        <f>'Calendario E'!P53</f>
        <v>0</v>
      </c>
      <c r="E195" s="48">
        <f>'Calendario E'!Q53</f>
        <v>0</v>
      </c>
      <c r="F195" s="48">
        <f>'Calendario E'!R53</f>
        <v>0</v>
      </c>
      <c r="G195" s="48">
        <f>'Calendario E'!S53</f>
        <v>0</v>
      </c>
      <c r="H195" s="48" t="str">
        <f>'Calendario E'!T53</f>
        <v>(Squadra B)</v>
      </c>
      <c r="I195" s="48">
        <f>'Calendario E'!U53</f>
        <v>0</v>
      </c>
      <c r="J195" s="48">
        <f>'Calendario E'!V53</f>
        <v>0</v>
      </c>
      <c r="K195" s="48">
        <f>'Calendario E'!W53</f>
        <v>0</v>
      </c>
      <c r="L195" s="48">
        <f>'Calendario E'!X53</f>
        <v>0</v>
      </c>
      <c r="M195" s="48">
        <f>'Calendario E'!Y53</f>
        <v>0</v>
      </c>
      <c r="N195" s="48">
        <f>'Calendario E'!Z53</f>
        <v>0</v>
      </c>
    </row>
    <row r="196" spans="1:14" x14ac:dyDescent="0.25">
      <c r="A196" s="48" t="str">
        <f>'Calendario E'!M56</f>
        <v>(Squadra A)</v>
      </c>
      <c r="B196" s="48">
        <f>'Calendario E'!N56</f>
        <v>0</v>
      </c>
      <c r="C196" s="48">
        <f>'Calendario E'!O56</f>
        <v>0</v>
      </c>
      <c r="D196" s="48">
        <f>'Calendario E'!P56</f>
        <v>0</v>
      </c>
      <c r="E196" s="48">
        <f>'Calendario E'!Q56</f>
        <v>0</v>
      </c>
      <c r="F196" s="48">
        <f>'Calendario E'!R56</f>
        <v>0</v>
      </c>
      <c r="G196" s="48">
        <f>'Calendario E'!S56</f>
        <v>0</v>
      </c>
      <c r="H196" s="48" t="str">
        <f>'Calendario E'!T56</f>
        <v>(Squadra B)</v>
      </c>
      <c r="I196" s="48">
        <f>'Calendario E'!U56</f>
        <v>0</v>
      </c>
      <c r="J196" s="48">
        <f>'Calendario E'!V56</f>
        <v>0</v>
      </c>
      <c r="K196" s="48">
        <f>'Calendario E'!W56</f>
        <v>0</v>
      </c>
      <c r="L196" s="48">
        <f>'Calendario E'!X56</f>
        <v>0</v>
      </c>
      <c r="M196" s="48">
        <f>'Calendario E'!Y56</f>
        <v>0</v>
      </c>
      <c r="N196" s="48">
        <f>'Calendario E'!Z56</f>
        <v>0</v>
      </c>
    </row>
    <row r="197" spans="1:14" x14ac:dyDescent="0.25">
      <c r="A197" s="48" t="str">
        <f>'Calendario E'!M61</f>
        <v>(Squadra A)</v>
      </c>
      <c r="B197" s="48">
        <f>'Calendario E'!N61</f>
        <v>0</v>
      </c>
      <c r="C197" s="48">
        <f>'Calendario E'!O61</f>
        <v>0</v>
      </c>
      <c r="D197" s="48">
        <f>'Calendario E'!P61</f>
        <v>0</v>
      </c>
      <c r="E197" s="48">
        <f>'Calendario E'!Q61</f>
        <v>0</v>
      </c>
      <c r="F197" s="48">
        <f>'Calendario E'!R61</f>
        <v>0</v>
      </c>
      <c r="G197" s="48">
        <f>'Calendario E'!S61</f>
        <v>0</v>
      </c>
      <c r="H197" s="48" t="str">
        <f>'Calendario E'!T61</f>
        <v>(Squadra B)</v>
      </c>
      <c r="I197" s="48">
        <f>'Calendario E'!U61</f>
        <v>0</v>
      </c>
      <c r="J197" s="48">
        <f>'Calendario E'!V61</f>
        <v>0</v>
      </c>
      <c r="K197" s="48">
        <f>'Calendario E'!W61</f>
        <v>0</v>
      </c>
      <c r="L197" s="48">
        <f>'Calendario E'!X61</f>
        <v>0</v>
      </c>
      <c r="M197" s="48">
        <f>'Calendario E'!Y61</f>
        <v>0</v>
      </c>
      <c r="N197" s="48">
        <f>'Calendario E'!Z61</f>
        <v>0</v>
      </c>
    </row>
    <row r="198" spans="1:14" x14ac:dyDescent="0.25">
      <c r="A198" s="48" t="str">
        <f>'Calendario E'!M64</f>
        <v>(Squadra A)</v>
      </c>
      <c r="B198" s="48">
        <f>'Calendario E'!N64</f>
        <v>0</v>
      </c>
      <c r="C198" s="48">
        <f>'Calendario E'!O64</f>
        <v>0</v>
      </c>
      <c r="D198" s="48">
        <f>'Calendario E'!P64</f>
        <v>0</v>
      </c>
      <c r="E198" s="48">
        <f>'Calendario E'!Q64</f>
        <v>0</v>
      </c>
      <c r="F198" s="48">
        <f>'Calendario E'!R64</f>
        <v>0</v>
      </c>
      <c r="G198" s="48">
        <f>'Calendario E'!S64</f>
        <v>0</v>
      </c>
      <c r="H198" s="48" t="str">
        <f>'Calendario E'!T64</f>
        <v>(Squadra B)</v>
      </c>
      <c r="I198" s="48">
        <f>'Calendario E'!U64</f>
        <v>0</v>
      </c>
      <c r="J198" s="48">
        <f>'Calendario E'!V64</f>
        <v>0</v>
      </c>
      <c r="K198" s="48">
        <f>'Calendario E'!W64</f>
        <v>0</v>
      </c>
      <c r="L198" s="48">
        <f>'Calendario E'!X64</f>
        <v>0</v>
      </c>
      <c r="M198" s="48">
        <f>'Calendario E'!Y64</f>
        <v>0</v>
      </c>
      <c r="N198" s="48">
        <f>'Calendario E'!Z64</f>
        <v>0</v>
      </c>
    </row>
    <row r="199" spans="1:14" x14ac:dyDescent="0.25">
      <c r="A199" s="48" t="str">
        <f>'Calendario E'!M67</f>
        <v>(Squadra A)</v>
      </c>
      <c r="B199" s="48">
        <f>'Calendario E'!N67</f>
        <v>0</v>
      </c>
      <c r="C199" s="48">
        <f>'Calendario E'!O67</f>
        <v>0</v>
      </c>
      <c r="D199" s="48">
        <f>'Calendario E'!P67</f>
        <v>0</v>
      </c>
      <c r="E199" s="48">
        <f>'Calendario E'!Q67</f>
        <v>0</v>
      </c>
      <c r="F199" s="48">
        <f>'Calendario E'!R67</f>
        <v>0</v>
      </c>
      <c r="G199" s="48">
        <f>'Calendario E'!S67</f>
        <v>0</v>
      </c>
      <c r="H199" s="48" t="str">
        <f>'Calendario E'!T67</f>
        <v>(Squadra B)</v>
      </c>
      <c r="I199" s="48">
        <f>'Calendario E'!U67</f>
        <v>0</v>
      </c>
      <c r="J199" s="48">
        <f>'Calendario E'!V67</f>
        <v>0</v>
      </c>
      <c r="K199" s="48">
        <f>'Calendario E'!W67</f>
        <v>0</v>
      </c>
      <c r="L199" s="48">
        <f>'Calendario E'!X67</f>
        <v>0</v>
      </c>
      <c r="M199" s="48">
        <f>'Calendario E'!Y67</f>
        <v>0</v>
      </c>
      <c r="N199" s="48">
        <f>'Calendario E'!Z67</f>
        <v>0</v>
      </c>
    </row>
    <row r="200" spans="1:14" x14ac:dyDescent="0.25">
      <c r="A200" s="48" t="str">
        <f>'Calendario E'!M70</f>
        <v>(Squadra A)</v>
      </c>
      <c r="B200" s="48">
        <f>'Calendario E'!N70</f>
        <v>0</v>
      </c>
      <c r="C200" s="48">
        <f>'Calendario E'!O70</f>
        <v>0</v>
      </c>
      <c r="D200" s="48">
        <f>'Calendario E'!P70</f>
        <v>0</v>
      </c>
      <c r="E200" s="48">
        <f>'Calendario E'!Q70</f>
        <v>0</v>
      </c>
      <c r="F200" s="48">
        <f>'Calendario E'!R70</f>
        <v>0</v>
      </c>
      <c r="G200" s="48">
        <f>'Calendario E'!S70</f>
        <v>0</v>
      </c>
      <c r="H200" s="48" t="str">
        <f>'Calendario E'!T70</f>
        <v>(Squadra B)</v>
      </c>
      <c r="I200" s="48">
        <f>'Calendario E'!U70</f>
        <v>0</v>
      </c>
      <c r="J200" s="48">
        <f>'Calendario E'!V70</f>
        <v>0</v>
      </c>
      <c r="K200" s="48">
        <f>'Calendario E'!W70</f>
        <v>0</v>
      </c>
      <c r="L200" s="48">
        <f>'Calendario E'!X70</f>
        <v>0</v>
      </c>
      <c r="M200" s="48">
        <f>'Calendario E'!Y70</f>
        <v>0</v>
      </c>
      <c r="N200" s="48">
        <f>'Calendario E'!Z70</f>
        <v>0</v>
      </c>
    </row>
    <row r="201" spans="1:14" x14ac:dyDescent="0.25">
      <c r="A201" s="48" t="str">
        <f>'Calendario E'!M73</f>
        <v>(Squadra A)</v>
      </c>
      <c r="B201" s="48">
        <f>'Calendario E'!N73</f>
        <v>0</v>
      </c>
      <c r="C201" s="48">
        <f>'Calendario E'!O73</f>
        <v>0</v>
      </c>
      <c r="D201" s="48">
        <f>'Calendario E'!P73</f>
        <v>0</v>
      </c>
      <c r="E201" s="48">
        <f>'Calendario E'!Q73</f>
        <v>0</v>
      </c>
      <c r="F201" s="48">
        <f>'Calendario E'!R73</f>
        <v>0</v>
      </c>
      <c r="G201" s="48">
        <f>'Calendario E'!S73</f>
        <v>0</v>
      </c>
      <c r="H201" s="48" t="str">
        <f>'Calendario E'!T73</f>
        <v>(Squadra B)</v>
      </c>
      <c r="I201" s="48">
        <f>'Calendario E'!U73</f>
        <v>0</v>
      </c>
      <c r="J201" s="48">
        <f>'Calendario E'!V73</f>
        <v>0</v>
      </c>
      <c r="K201" s="48">
        <f>'Calendario E'!W73</f>
        <v>0</v>
      </c>
      <c r="L201" s="48">
        <f>'Calendario E'!X73</f>
        <v>0</v>
      </c>
      <c r="M201" s="48">
        <f>'Calendario E'!Y73</f>
        <v>0</v>
      </c>
      <c r="N201" s="48">
        <f>'Calendario E'!Z73</f>
        <v>0</v>
      </c>
    </row>
    <row r="202" spans="1:14" x14ac:dyDescent="0.25">
      <c r="A202" s="48" t="str">
        <f>'Calendario E'!M78</f>
        <v>(Squadra A)</v>
      </c>
      <c r="B202" s="48">
        <f>'Calendario E'!N78</f>
        <v>0</v>
      </c>
      <c r="C202" s="48">
        <f>'Calendario E'!O78</f>
        <v>0</v>
      </c>
      <c r="D202" s="48">
        <f>'Calendario E'!P78</f>
        <v>0</v>
      </c>
      <c r="E202" s="48">
        <f>'Calendario E'!Q78</f>
        <v>0</v>
      </c>
      <c r="F202" s="48">
        <f>'Calendario E'!R78</f>
        <v>0</v>
      </c>
      <c r="G202" s="48">
        <f>'Calendario E'!S78</f>
        <v>0</v>
      </c>
      <c r="H202" s="48" t="str">
        <f>'Calendario E'!T78</f>
        <v>(Squadra B)</v>
      </c>
      <c r="I202" s="48">
        <f>'Calendario E'!U78</f>
        <v>0</v>
      </c>
      <c r="J202" s="48">
        <f>'Calendario E'!V78</f>
        <v>0</v>
      </c>
      <c r="K202" s="48">
        <f>'Calendario E'!W78</f>
        <v>0</v>
      </c>
      <c r="L202" s="48">
        <f>'Calendario E'!X78</f>
        <v>0</v>
      </c>
      <c r="M202" s="48">
        <f>'Calendario E'!Y78</f>
        <v>0</v>
      </c>
      <c r="N202" s="48">
        <f>'Calendario E'!Z78</f>
        <v>0</v>
      </c>
    </row>
    <row r="203" spans="1:14" x14ac:dyDescent="0.25">
      <c r="A203" s="48" t="str">
        <f>'Calendario E'!M81</f>
        <v>(Squadra A)</v>
      </c>
      <c r="B203" s="48">
        <f>'Calendario E'!N81</f>
        <v>0</v>
      </c>
      <c r="C203" s="48">
        <f>'Calendario E'!O81</f>
        <v>0</v>
      </c>
      <c r="D203" s="48">
        <f>'Calendario E'!P81</f>
        <v>0</v>
      </c>
      <c r="E203" s="48">
        <f>'Calendario E'!Q81</f>
        <v>0</v>
      </c>
      <c r="F203" s="48">
        <f>'Calendario E'!R81</f>
        <v>0</v>
      </c>
      <c r="G203" s="48">
        <f>'Calendario E'!S81</f>
        <v>0</v>
      </c>
      <c r="H203" s="48" t="str">
        <f>'Calendario E'!T81</f>
        <v>(Squadra B)</v>
      </c>
      <c r="I203" s="48">
        <f>'Calendario E'!U81</f>
        <v>0</v>
      </c>
      <c r="J203" s="48">
        <f>'Calendario E'!V81</f>
        <v>0</v>
      </c>
      <c r="K203" s="48">
        <f>'Calendario E'!W81</f>
        <v>0</v>
      </c>
      <c r="L203" s="48">
        <f>'Calendario E'!X81</f>
        <v>0</v>
      </c>
      <c r="M203" s="48">
        <f>'Calendario E'!Y81</f>
        <v>0</v>
      </c>
      <c r="N203" s="48">
        <f>'Calendario E'!Z81</f>
        <v>0</v>
      </c>
    </row>
    <row r="204" spans="1:14" x14ac:dyDescent="0.25">
      <c r="A204" s="48" t="str">
        <f>'Calendario E'!M84</f>
        <v>(Squadra A)</v>
      </c>
      <c r="B204" s="48">
        <f>'Calendario E'!N84</f>
        <v>0</v>
      </c>
      <c r="C204" s="48">
        <f>'Calendario E'!O84</f>
        <v>0</v>
      </c>
      <c r="D204" s="48">
        <f>'Calendario E'!P84</f>
        <v>0</v>
      </c>
      <c r="E204" s="48">
        <f>'Calendario E'!Q84</f>
        <v>0</v>
      </c>
      <c r="F204" s="48">
        <f>'Calendario E'!R84</f>
        <v>0</v>
      </c>
      <c r="G204" s="48">
        <f>'Calendario E'!S84</f>
        <v>0</v>
      </c>
      <c r="H204" s="48" t="str">
        <f>'Calendario E'!T84</f>
        <v>(Squadra B)</v>
      </c>
      <c r="I204" s="48">
        <f>'Calendario E'!U84</f>
        <v>0</v>
      </c>
      <c r="J204" s="48">
        <f>'Calendario E'!V84</f>
        <v>0</v>
      </c>
      <c r="K204" s="48">
        <f>'Calendario E'!W84</f>
        <v>0</v>
      </c>
      <c r="L204" s="48">
        <f>'Calendario E'!X84</f>
        <v>0</v>
      </c>
      <c r="M204" s="48">
        <f>'Calendario E'!Y84</f>
        <v>0</v>
      </c>
      <c r="N204" s="48">
        <f>'Calendario E'!Z84</f>
        <v>0</v>
      </c>
    </row>
    <row r="205" spans="1:14" x14ac:dyDescent="0.25">
      <c r="A205" s="48" t="str">
        <f>'Calendario E'!M87</f>
        <v>(Squadra A)</v>
      </c>
      <c r="B205" s="48">
        <f>'Calendario E'!N87</f>
        <v>0</v>
      </c>
      <c r="C205" s="48">
        <f>'Calendario E'!O87</f>
        <v>0</v>
      </c>
      <c r="D205" s="48">
        <f>'Calendario E'!P87</f>
        <v>0</v>
      </c>
      <c r="E205" s="48">
        <f>'Calendario E'!Q87</f>
        <v>0</v>
      </c>
      <c r="F205" s="48">
        <f>'Calendario E'!R87</f>
        <v>0</v>
      </c>
      <c r="G205" s="48">
        <f>'Calendario E'!S87</f>
        <v>0</v>
      </c>
      <c r="H205" s="48" t="str">
        <f>'Calendario E'!T87</f>
        <v>(Squadra B)</v>
      </c>
      <c r="I205" s="48">
        <f>'Calendario E'!U87</f>
        <v>0</v>
      </c>
      <c r="J205" s="48">
        <f>'Calendario E'!V87</f>
        <v>0</v>
      </c>
      <c r="K205" s="48">
        <f>'Calendario E'!W87</f>
        <v>0</v>
      </c>
      <c r="L205" s="48">
        <f>'Calendario E'!X87</f>
        <v>0</v>
      </c>
      <c r="M205" s="48">
        <f>'Calendario E'!Y87</f>
        <v>0</v>
      </c>
      <c r="N205" s="48">
        <f>'Calendario E'!Z87</f>
        <v>0</v>
      </c>
    </row>
    <row r="206" spans="1:14" x14ac:dyDescent="0.25">
      <c r="A206" s="48" t="str">
        <f>'Calendario E'!M90</f>
        <v>(Squadra A)</v>
      </c>
      <c r="B206" s="48">
        <f>'Calendario E'!N90</f>
        <v>0</v>
      </c>
      <c r="C206" s="48">
        <f>'Calendario E'!O90</f>
        <v>0</v>
      </c>
      <c r="D206" s="48">
        <f>'Calendario E'!P90</f>
        <v>0</v>
      </c>
      <c r="E206" s="48">
        <f>'Calendario E'!Q90</f>
        <v>0</v>
      </c>
      <c r="F206" s="48">
        <f>'Calendario E'!R90</f>
        <v>0</v>
      </c>
      <c r="G206" s="48">
        <f>'Calendario E'!S90</f>
        <v>0</v>
      </c>
      <c r="H206" s="48" t="str">
        <f>'Calendario E'!T90</f>
        <v>(Squadra B)</v>
      </c>
      <c r="I206" s="48">
        <f>'Calendario E'!U90</f>
        <v>0</v>
      </c>
      <c r="J206" s="48">
        <f>'Calendario E'!V90</f>
        <v>0</v>
      </c>
      <c r="K206" s="48">
        <f>'Calendario E'!W90</f>
        <v>0</v>
      </c>
      <c r="L206" s="48">
        <f>'Calendario E'!X90</f>
        <v>0</v>
      </c>
      <c r="M206" s="48">
        <f>'Calendario E'!Y90</f>
        <v>0</v>
      </c>
      <c r="N206" s="48">
        <f>'Calendario E'!Z90</f>
        <v>0</v>
      </c>
    </row>
    <row r="207" spans="1:14" x14ac:dyDescent="0.25">
      <c r="A207" s="48" t="str">
        <f>'Calendario E'!M95</f>
        <v>(Squadra A)</v>
      </c>
      <c r="B207" s="48">
        <f>'Calendario E'!N95</f>
        <v>0</v>
      </c>
      <c r="C207" s="48">
        <f>'Calendario E'!O95</f>
        <v>0</v>
      </c>
      <c r="D207" s="48">
        <f>'Calendario E'!P95</f>
        <v>0</v>
      </c>
      <c r="E207" s="48">
        <f>'Calendario E'!Q95</f>
        <v>0</v>
      </c>
      <c r="F207" s="48">
        <f>'Calendario E'!R95</f>
        <v>0</v>
      </c>
      <c r="G207" s="48">
        <f>'Calendario E'!S95</f>
        <v>0</v>
      </c>
      <c r="H207" s="48" t="str">
        <f>'Calendario E'!T95</f>
        <v>(Squadra B)</v>
      </c>
      <c r="I207" s="48">
        <f>'Calendario E'!U95</f>
        <v>0</v>
      </c>
      <c r="J207" s="48">
        <f>'Calendario E'!V95</f>
        <v>0</v>
      </c>
      <c r="K207" s="48">
        <f>'Calendario E'!W95</f>
        <v>0</v>
      </c>
      <c r="L207" s="48">
        <f>'Calendario E'!X95</f>
        <v>0</v>
      </c>
      <c r="M207" s="48">
        <f>'Calendario E'!Y95</f>
        <v>0</v>
      </c>
      <c r="N207" s="48">
        <f>'Calendario E'!Z95</f>
        <v>0</v>
      </c>
    </row>
    <row r="208" spans="1:14" x14ac:dyDescent="0.25">
      <c r="A208" s="48" t="str">
        <f>'Calendario E'!M98</f>
        <v>(Squadra A)</v>
      </c>
      <c r="B208" s="48">
        <f>'Calendario E'!N98</f>
        <v>0</v>
      </c>
      <c r="C208" s="48">
        <f>'Calendario E'!O98</f>
        <v>0</v>
      </c>
      <c r="D208" s="48">
        <f>'Calendario E'!P98</f>
        <v>0</v>
      </c>
      <c r="E208" s="48">
        <f>'Calendario E'!Q98</f>
        <v>0</v>
      </c>
      <c r="F208" s="48">
        <f>'Calendario E'!R98</f>
        <v>0</v>
      </c>
      <c r="G208" s="48">
        <f>'Calendario E'!S98</f>
        <v>0</v>
      </c>
      <c r="H208" s="48" t="str">
        <f>'Calendario E'!T98</f>
        <v>(Squadra B)</v>
      </c>
      <c r="I208" s="48">
        <f>'Calendario E'!U98</f>
        <v>0</v>
      </c>
      <c r="J208" s="48">
        <f>'Calendario E'!V98</f>
        <v>0</v>
      </c>
      <c r="K208" s="48">
        <f>'Calendario E'!W98</f>
        <v>0</v>
      </c>
      <c r="L208" s="48">
        <f>'Calendario E'!X98</f>
        <v>0</v>
      </c>
      <c r="M208" s="48">
        <f>'Calendario E'!Y98</f>
        <v>0</v>
      </c>
      <c r="N208" s="48">
        <f>'Calendario E'!Z98</f>
        <v>0</v>
      </c>
    </row>
    <row r="209" spans="1:14" x14ac:dyDescent="0.25">
      <c r="A209" s="48" t="str">
        <f>'Calendario E'!M101</f>
        <v>(Squadra A)</v>
      </c>
      <c r="B209" s="48">
        <f>'Calendario E'!N101</f>
        <v>0</v>
      </c>
      <c r="C209" s="48">
        <f>'Calendario E'!O101</f>
        <v>0</v>
      </c>
      <c r="D209" s="48">
        <f>'Calendario E'!P101</f>
        <v>0</v>
      </c>
      <c r="E209" s="48">
        <f>'Calendario E'!Q101</f>
        <v>0</v>
      </c>
      <c r="F209" s="48">
        <f>'Calendario E'!R101</f>
        <v>0</v>
      </c>
      <c r="G209" s="48">
        <f>'Calendario E'!S101</f>
        <v>0</v>
      </c>
      <c r="H209" s="48" t="str">
        <f>'Calendario E'!T101</f>
        <v>(Squadra B)</v>
      </c>
      <c r="I209" s="48">
        <f>'Calendario E'!U101</f>
        <v>0</v>
      </c>
      <c r="J209" s="48">
        <f>'Calendario E'!V101</f>
        <v>0</v>
      </c>
      <c r="K209" s="48">
        <f>'Calendario E'!W101</f>
        <v>0</v>
      </c>
      <c r="L209" s="48">
        <f>'Calendario E'!X101</f>
        <v>0</v>
      </c>
      <c r="M209" s="48">
        <f>'Calendario E'!Y101</f>
        <v>0</v>
      </c>
      <c r="N209" s="48">
        <f>'Calendario E'!Z101</f>
        <v>0</v>
      </c>
    </row>
    <row r="210" spans="1:14" x14ac:dyDescent="0.25">
      <c r="A210" s="48" t="str">
        <f>'Calendario E'!M104</f>
        <v>(Squadra A)</v>
      </c>
      <c r="B210" s="48">
        <f>'Calendario E'!N104</f>
        <v>0</v>
      </c>
      <c r="C210" s="48">
        <f>'Calendario E'!O104</f>
        <v>0</v>
      </c>
      <c r="D210" s="48">
        <f>'Calendario E'!P104</f>
        <v>0</v>
      </c>
      <c r="E210" s="48">
        <f>'Calendario E'!Q104</f>
        <v>0</v>
      </c>
      <c r="F210" s="48">
        <f>'Calendario E'!R104</f>
        <v>0</v>
      </c>
      <c r="G210" s="48">
        <f>'Calendario E'!S104</f>
        <v>0</v>
      </c>
      <c r="H210" s="48" t="str">
        <f>'Calendario E'!T104</f>
        <v>(Squadra B)</v>
      </c>
      <c r="I210" s="48">
        <f>'Calendario E'!U104</f>
        <v>0</v>
      </c>
      <c r="J210" s="48">
        <f>'Calendario E'!V104</f>
        <v>0</v>
      </c>
      <c r="K210" s="48">
        <f>'Calendario E'!W104</f>
        <v>0</v>
      </c>
      <c r="L210" s="48">
        <f>'Calendario E'!X104</f>
        <v>0</v>
      </c>
      <c r="M210" s="48">
        <f>'Calendario E'!Y104</f>
        <v>0</v>
      </c>
      <c r="N210" s="48">
        <f>'Calendario E'!Z104</f>
        <v>0</v>
      </c>
    </row>
    <row r="211" spans="1:14" x14ac:dyDescent="0.25">
      <c r="A211" s="48" t="str">
        <f>'Calendario E'!M107</f>
        <v>(Squadra A)</v>
      </c>
      <c r="B211" s="48">
        <f>'Calendario E'!N107</f>
        <v>0</v>
      </c>
      <c r="C211" s="48">
        <f>'Calendario E'!O107</f>
        <v>0</v>
      </c>
      <c r="D211" s="48">
        <f>'Calendario E'!P107</f>
        <v>0</v>
      </c>
      <c r="E211" s="48">
        <f>'Calendario E'!Q107</f>
        <v>0</v>
      </c>
      <c r="F211" s="48">
        <f>'Calendario E'!R107</f>
        <v>0</v>
      </c>
      <c r="G211" s="48">
        <f>'Calendario E'!S107</f>
        <v>0</v>
      </c>
      <c r="H211" s="48" t="str">
        <f>'Calendario E'!T107</f>
        <v>(Squadra B)</v>
      </c>
      <c r="I211" s="48">
        <f>'Calendario E'!U107</f>
        <v>0</v>
      </c>
      <c r="J211" s="48">
        <f>'Calendario E'!V107</f>
        <v>0</v>
      </c>
      <c r="K211" s="48">
        <f>'Calendario E'!W107</f>
        <v>0</v>
      </c>
      <c r="L211" s="48">
        <f>'Calendario E'!X107</f>
        <v>0</v>
      </c>
      <c r="M211" s="48">
        <f>'Calendario E'!Y107</f>
        <v>0</v>
      </c>
      <c r="N211" s="48">
        <f>'Calendario E'!Z107</f>
        <v>0</v>
      </c>
    </row>
    <row r="212" spans="1:14" x14ac:dyDescent="0.25">
      <c r="A212" s="48" t="str">
        <f>'Calendario E'!M112</f>
        <v>(Squadra A)</v>
      </c>
      <c r="B212" s="48">
        <f>'Calendario E'!N112</f>
        <v>0</v>
      </c>
      <c r="C212" s="48">
        <f>'Calendario E'!O112</f>
        <v>0</v>
      </c>
      <c r="D212" s="48">
        <f>'Calendario E'!P112</f>
        <v>0</v>
      </c>
      <c r="E212" s="48">
        <f>'Calendario E'!Q112</f>
        <v>0</v>
      </c>
      <c r="F212" s="48">
        <f>'Calendario E'!R112</f>
        <v>0</v>
      </c>
      <c r="G212" s="48">
        <f>'Calendario E'!S112</f>
        <v>0</v>
      </c>
      <c r="H212" s="48" t="str">
        <f>'Calendario E'!T112</f>
        <v>(Squadra B)</v>
      </c>
      <c r="I212" s="48">
        <f>'Calendario E'!U112</f>
        <v>0</v>
      </c>
      <c r="J212" s="48">
        <f>'Calendario E'!V112</f>
        <v>0</v>
      </c>
      <c r="K212" s="48">
        <f>'Calendario E'!W112</f>
        <v>0</v>
      </c>
      <c r="L212" s="48">
        <f>'Calendario E'!X112</f>
        <v>0</v>
      </c>
      <c r="M212" s="48">
        <f>'Calendario E'!Y112</f>
        <v>0</v>
      </c>
      <c r="N212" s="48">
        <f>'Calendario E'!Z112</f>
        <v>0</v>
      </c>
    </row>
    <row r="213" spans="1:14" x14ac:dyDescent="0.25">
      <c r="A213" s="48" t="str">
        <f>'Calendario E'!M115</f>
        <v>(Squadra A)</v>
      </c>
      <c r="B213" s="48">
        <f>'Calendario E'!N115</f>
        <v>0</v>
      </c>
      <c r="C213" s="48">
        <f>'Calendario E'!O115</f>
        <v>0</v>
      </c>
      <c r="D213" s="48">
        <f>'Calendario E'!P115</f>
        <v>0</v>
      </c>
      <c r="E213" s="48">
        <f>'Calendario E'!Q115</f>
        <v>0</v>
      </c>
      <c r="F213" s="48">
        <f>'Calendario E'!R115</f>
        <v>0</v>
      </c>
      <c r="G213" s="48">
        <f>'Calendario E'!S115</f>
        <v>0</v>
      </c>
      <c r="H213" s="48" t="str">
        <f>'Calendario E'!T115</f>
        <v>(Squadra B)</v>
      </c>
      <c r="I213" s="48">
        <f>'Calendario E'!U115</f>
        <v>0</v>
      </c>
      <c r="J213" s="48">
        <f>'Calendario E'!V115</f>
        <v>0</v>
      </c>
      <c r="K213" s="48">
        <f>'Calendario E'!W115</f>
        <v>0</v>
      </c>
      <c r="L213" s="48">
        <f>'Calendario E'!X115</f>
        <v>0</v>
      </c>
      <c r="M213" s="48">
        <f>'Calendario E'!Y115</f>
        <v>0</v>
      </c>
      <c r="N213" s="48">
        <f>'Calendario E'!Z115</f>
        <v>0</v>
      </c>
    </row>
    <row r="214" spans="1:14" x14ac:dyDescent="0.25">
      <c r="A214" s="48" t="str">
        <f>'Calendario E'!M118</f>
        <v>(Squadra A)</v>
      </c>
      <c r="B214" s="48">
        <f>'Calendario E'!N118</f>
        <v>0</v>
      </c>
      <c r="C214" s="48">
        <f>'Calendario E'!O118</f>
        <v>0</v>
      </c>
      <c r="D214" s="48">
        <f>'Calendario E'!P118</f>
        <v>0</v>
      </c>
      <c r="E214" s="48">
        <f>'Calendario E'!Q118</f>
        <v>0</v>
      </c>
      <c r="F214" s="48">
        <f>'Calendario E'!R118</f>
        <v>0</v>
      </c>
      <c r="G214" s="48">
        <f>'Calendario E'!S118</f>
        <v>0</v>
      </c>
      <c r="H214" s="48" t="str">
        <f>'Calendario E'!T118</f>
        <v>(Squadra B)</v>
      </c>
      <c r="I214" s="48">
        <f>'Calendario E'!U118</f>
        <v>0</v>
      </c>
      <c r="J214" s="48">
        <f>'Calendario E'!V118</f>
        <v>0</v>
      </c>
      <c r="K214" s="48">
        <f>'Calendario E'!W118</f>
        <v>0</v>
      </c>
      <c r="L214" s="48">
        <f>'Calendario E'!X118</f>
        <v>0</v>
      </c>
      <c r="M214" s="48">
        <f>'Calendario E'!Y118</f>
        <v>0</v>
      </c>
      <c r="N214" s="48">
        <f>'Calendario E'!Z118</f>
        <v>0</v>
      </c>
    </row>
    <row r="215" spans="1:14" x14ac:dyDescent="0.25">
      <c r="A215" s="48" t="str">
        <f>'Calendario E'!M121</f>
        <v>(Squadra A)</v>
      </c>
      <c r="B215" s="48">
        <f>'Calendario E'!N121</f>
        <v>0</v>
      </c>
      <c r="C215" s="48">
        <f>'Calendario E'!O121</f>
        <v>0</v>
      </c>
      <c r="D215" s="48">
        <f>'Calendario E'!P121</f>
        <v>0</v>
      </c>
      <c r="E215" s="48">
        <f>'Calendario E'!Q121</f>
        <v>0</v>
      </c>
      <c r="F215" s="48">
        <f>'Calendario E'!R121</f>
        <v>0</v>
      </c>
      <c r="G215" s="48">
        <f>'Calendario E'!S121</f>
        <v>0</v>
      </c>
      <c r="H215" s="48" t="str">
        <f>'Calendario E'!T121</f>
        <v>(Squadra B)</v>
      </c>
      <c r="I215" s="48">
        <f>'Calendario E'!U121</f>
        <v>0</v>
      </c>
      <c r="J215" s="48">
        <f>'Calendario E'!V121</f>
        <v>0</v>
      </c>
      <c r="K215" s="48">
        <f>'Calendario E'!W121</f>
        <v>0</v>
      </c>
      <c r="L215" s="48">
        <f>'Calendario E'!X121</f>
        <v>0</v>
      </c>
      <c r="M215" s="48">
        <f>'Calendario E'!Y121</f>
        <v>0</v>
      </c>
      <c r="N215" s="48">
        <f>'Calendario E'!Z121</f>
        <v>0</v>
      </c>
    </row>
    <row r="216" spans="1:14" x14ac:dyDescent="0.25">
      <c r="A216" s="48" t="str">
        <f>'Calendario E'!M124</f>
        <v>(Squadra A)</v>
      </c>
      <c r="B216" s="48">
        <f>'Calendario E'!N124</f>
        <v>0</v>
      </c>
      <c r="C216" s="48">
        <f>'Calendario E'!O124</f>
        <v>0</v>
      </c>
      <c r="D216" s="48">
        <f>'Calendario E'!P124</f>
        <v>0</v>
      </c>
      <c r="E216" s="48">
        <f>'Calendario E'!Q124</f>
        <v>0</v>
      </c>
      <c r="F216" s="48">
        <f>'Calendario E'!R124</f>
        <v>0</v>
      </c>
      <c r="G216" s="48">
        <f>'Calendario E'!S124</f>
        <v>0</v>
      </c>
      <c r="H216" s="48" t="str">
        <f>'Calendario E'!T124</f>
        <v>(Squadra B)</v>
      </c>
      <c r="I216" s="48">
        <f>'Calendario E'!U124</f>
        <v>0</v>
      </c>
      <c r="J216" s="48">
        <f>'Calendario E'!V124</f>
        <v>0</v>
      </c>
      <c r="K216" s="48">
        <f>'Calendario E'!W124</f>
        <v>0</v>
      </c>
      <c r="L216" s="48">
        <f>'Calendario E'!X124</f>
        <v>0</v>
      </c>
      <c r="M216" s="48">
        <f>'Calendario E'!Y124</f>
        <v>0</v>
      </c>
      <c r="N216" s="48">
        <f>'Calendario E'!Z124</f>
        <v>0</v>
      </c>
    </row>
    <row r="217" spans="1:14" x14ac:dyDescent="0.25">
      <c r="A217" s="48" t="str">
        <f>'Calendario E'!M129</f>
        <v>(Squadra A)</v>
      </c>
      <c r="B217" s="48">
        <f>'Calendario E'!N129</f>
        <v>0</v>
      </c>
      <c r="C217" s="48">
        <f>'Calendario E'!O129</f>
        <v>0</v>
      </c>
      <c r="D217" s="48">
        <f>'Calendario E'!P129</f>
        <v>0</v>
      </c>
      <c r="E217" s="48">
        <f>'Calendario E'!Q129</f>
        <v>0</v>
      </c>
      <c r="F217" s="48">
        <f>'Calendario E'!R129</f>
        <v>0</v>
      </c>
      <c r="G217" s="48">
        <f>'Calendario E'!S129</f>
        <v>0</v>
      </c>
      <c r="H217" s="48" t="str">
        <f>'Calendario E'!T129</f>
        <v>(Squadra B)</v>
      </c>
      <c r="I217" s="48">
        <f>'Calendario E'!U129</f>
        <v>0</v>
      </c>
      <c r="J217" s="48">
        <f>'Calendario E'!V129</f>
        <v>0</v>
      </c>
      <c r="K217" s="48">
        <f>'Calendario E'!W129</f>
        <v>0</v>
      </c>
      <c r="L217" s="48">
        <f>'Calendario E'!X129</f>
        <v>0</v>
      </c>
      <c r="M217" s="48">
        <f>'Calendario E'!Y129</f>
        <v>0</v>
      </c>
      <c r="N217" s="48">
        <f>'Calendario E'!Z129</f>
        <v>0</v>
      </c>
    </row>
    <row r="218" spans="1:14" x14ac:dyDescent="0.25">
      <c r="A218" s="48" t="str">
        <f>'Calendario E'!M132</f>
        <v>(Squadra A)</v>
      </c>
      <c r="B218" s="48">
        <f>'Calendario E'!N132</f>
        <v>0</v>
      </c>
      <c r="C218" s="48">
        <f>'Calendario E'!O132</f>
        <v>0</v>
      </c>
      <c r="D218" s="48">
        <f>'Calendario E'!P132</f>
        <v>0</v>
      </c>
      <c r="E218" s="48">
        <f>'Calendario E'!Q132</f>
        <v>0</v>
      </c>
      <c r="F218" s="48">
        <f>'Calendario E'!R132</f>
        <v>0</v>
      </c>
      <c r="G218" s="48">
        <f>'Calendario E'!S132</f>
        <v>0</v>
      </c>
      <c r="H218" s="48" t="str">
        <f>'Calendario E'!T132</f>
        <v>(Squadra B)</v>
      </c>
      <c r="I218" s="48">
        <f>'Calendario E'!U132</f>
        <v>0</v>
      </c>
      <c r="J218" s="48">
        <f>'Calendario E'!V132</f>
        <v>0</v>
      </c>
      <c r="K218" s="48">
        <f>'Calendario E'!W132</f>
        <v>0</v>
      </c>
      <c r="L218" s="48">
        <f>'Calendario E'!X132</f>
        <v>0</v>
      </c>
      <c r="M218" s="48">
        <f>'Calendario E'!Y132</f>
        <v>0</v>
      </c>
      <c r="N218" s="48">
        <f>'Calendario E'!Z132</f>
        <v>0</v>
      </c>
    </row>
    <row r="219" spans="1:14" x14ac:dyDescent="0.25">
      <c r="A219" s="48" t="str">
        <f>'Calendario E'!M135</f>
        <v>(Squadra A)</v>
      </c>
      <c r="B219" s="48">
        <f>'Calendario E'!N135</f>
        <v>0</v>
      </c>
      <c r="C219" s="48">
        <f>'Calendario E'!O135</f>
        <v>0</v>
      </c>
      <c r="D219" s="48">
        <f>'Calendario E'!P135</f>
        <v>0</v>
      </c>
      <c r="E219" s="48">
        <f>'Calendario E'!Q135</f>
        <v>0</v>
      </c>
      <c r="F219" s="48">
        <f>'Calendario E'!R135</f>
        <v>0</v>
      </c>
      <c r="G219" s="48">
        <f>'Calendario E'!S135</f>
        <v>0</v>
      </c>
      <c r="H219" s="48" t="str">
        <f>'Calendario E'!T135</f>
        <v>(Squadra B)</v>
      </c>
      <c r="I219" s="48">
        <f>'Calendario E'!U135</f>
        <v>0</v>
      </c>
      <c r="J219" s="48">
        <f>'Calendario E'!V135</f>
        <v>0</v>
      </c>
      <c r="K219" s="48">
        <f>'Calendario E'!W135</f>
        <v>0</v>
      </c>
      <c r="L219" s="48">
        <f>'Calendario E'!X135</f>
        <v>0</v>
      </c>
      <c r="M219" s="48">
        <f>'Calendario E'!Y135</f>
        <v>0</v>
      </c>
      <c r="N219" s="48">
        <f>'Calendario E'!Z135</f>
        <v>0</v>
      </c>
    </row>
    <row r="220" spans="1:14" x14ac:dyDescent="0.25">
      <c r="A220" s="48" t="str">
        <f>'Calendario E'!M138</f>
        <v>(Squadra A)</v>
      </c>
      <c r="B220" s="48">
        <f>'Calendario E'!N138</f>
        <v>0</v>
      </c>
      <c r="C220" s="48">
        <f>'Calendario E'!O138</f>
        <v>0</v>
      </c>
      <c r="D220" s="48">
        <f>'Calendario E'!P138</f>
        <v>0</v>
      </c>
      <c r="E220" s="48">
        <f>'Calendario E'!Q138</f>
        <v>0</v>
      </c>
      <c r="F220" s="48">
        <f>'Calendario E'!R138</f>
        <v>0</v>
      </c>
      <c r="G220" s="48">
        <f>'Calendario E'!S138</f>
        <v>0</v>
      </c>
      <c r="H220" s="48" t="str">
        <f>'Calendario E'!T138</f>
        <v>(Squadra B)</v>
      </c>
      <c r="I220" s="48">
        <f>'Calendario E'!U138</f>
        <v>0</v>
      </c>
      <c r="J220" s="48">
        <f>'Calendario E'!V138</f>
        <v>0</v>
      </c>
      <c r="K220" s="48">
        <f>'Calendario E'!W138</f>
        <v>0</v>
      </c>
      <c r="L220" s="48">
        <f>'Calendario E'!X138</f>
        <v>0</v>
      </c>
      <c r="M220" s="48">
        <f>'Calendario E'!Y138</f>
        <v>0</v>
      </c>
      <c r="N220" s="48">
        <f>'Calendario E'!Z138</f>
        <v>0</v>
      </c>
    </row>
    <row r="221" spans="1:14" x14ac:dyDescent="0.25">
      <c r="A221" s="48" t="str">
        <f>'Calendario E'!M141</f>
        <v>(Squadra A)</v>
      </c>
      <c r="B221" s="48">
        <f>'Calendario E'!N141</f>
        <v>0</v>
      </c>
      <c r="C221" s="48">
        <f>'Calendario E'!O141</f>
        <v>0</v>
      </c>
      <c r="D221" s="48">
        <f>'Calendario E'!P141</f>
        <v>0</v>
      </c>
      <c r="E221" s="48">
        <f>'Calendario E'!Q141</f>
        <v>0</v>
      </c>
      <c r="F221" s="48">
        <f>'Calendario E'!R141</f>
        <v>0</v>
      </c>
      <c r="G221" s="48">
        <f>'Calendario E'!S141</f>
        <v>0</v>
      </c>
      <c r="H221" s="48" t="str">
        <f>'Calendario E'!T141</f>
        <v>(Squadra B)</v>
      </c>
      <c r="I221" s="48">
        <f>'Calendario E'!U141</f>
        <v>0</v>
      </c>
      <c r="J221" s="48">
        <f>'Calendario E'!V141</f>
        <v>0</v>
      </c>
      <c r="K221" s="48">
        <f>'Calendario E'!W141</f>
        <v>0</v>
      </c>
      <c r="L221" s="48">
        <f>'Calendario E'!X141</f>
        <v>0</v>
      </c>
      <c r="M221" s="48">
        <f>'Calendario E'!Y141</f>
        <v>0</v>
      </c>
      <c r="N221" s="48">
        <f>'Calendario E'!Z141</f>
        <v>0</v>
      </c>
    </row>
    <row r="222" spans="1:14" x14ac:dyDescent="0.25">
      <c r="A222" s="48" t="str">
        <f>'Calendario E'!M146</f>
        <v>(Squadra A)</v>
      </c>
      <c r="B222" s="48">
        <f>'Calendario E'!N146</f>
        <v>0</v>
      </c>
      <c r="C222" s="48">
        <f>'Calendario E'!O146</f>
        <v>0</v>
      </c>
      <c r="D222" s="48">
        <f>'Calendario E'!P146</f>
        <v>0</v>
      </c>
      <c r="E222" s="48">
        <f>'Calendario E'!Q146</f>
        <v>0</v>
      </c>
      <c r="F222" s="48">
        <f>'Calendario E'!R146</f>
        <v>0</v>
      </c>
      <c r="G222" s="48">
        <f>'Calendario E'!S146</f>
        <v>0</v>
      </c>
      <c r="H222" s="48" t="str">
        <f>'Calendario E'!T146</f>
        <v>(Squadra B)</v>
      </c>
      <c r="I222" s="48">
        <f>'Calendario E'!U146</f>
        <v>0</v>
      </c>
      <c r="J222" s="48">
        <f>'Calendario E'!V146</f>
        <v>0</v>
      </c>
      <c r="K222" s="48">
        <f>'Calendario E'!W146</f>
        <v>0</v>
      </c>
      <c r="L222" s="48">
        <f>'Calendario E'!X146</f>
        <v>0</v>
      </c>
      <c r="M222" s="48">
        <f>'Calendario E'!Y146</f>
        <v>0</v>
      </c>
      <c r="N222" s="48">
        <f>'Calendario E'!Z146</f>
        <v>0</v>
      </c>
    </row>
    <row r="223" spans="1:14" x14ac:dyDescent="0.25">
      <c r="A223" s="48" t="str">
        <f>'Calendario E'!M149</f>
        <v>(Squadra A)</v>
      </c>
      <c r="B223" s="48">
        <f>'Calendario E'!N149</f>
        <v>0</v>
      </c>
      <c r="C223" s="48">
        <f>'Calendario E'!O149</f>
        <v>0</v>
      </c>
      <c r="D223" s="48">
        <f>'Calendario E'!P149</f>
        <v>0</v>
      </c>
      <c r="E223" s="48">
        <f>'Calendario E'!Q149</f>
        <v>0</v>
      </c>
      <c r="F223" s="48">
        <f>'Calendario E'!R149</f>
        <v>0</v>
      </c>
      <c r="G223" s="48">
        <f>'Calendario E'!S149</f>
        <v>0</v>
      </c>
      <c r="H223" s="48" t="str">
        <f>'Calendario E'!T149</f>
        <v>(Squadra B)</v>
      </c>
      <c r="I223" s="48">
        <f>'Calendario E'!U149</f>
        <v>0</v>
      </c>
      <c r="J223" s="48">
        <f>'Calendario E'!V149</f>
        <v>0</v>
      </c>
      <c r="K223" s="48">
        <f>'Calendario E'!W149</f>
        <v>0</v>
      </c>
      <c r="L223" s="48">
        <f>'Calendario E'!X149</f>
        <v>0</v>
      </c>
      <c r="M223" s="48">
        <f>'Calendario E'!Y149</f>
        <v>0</v>
      </c>
      <c r="N223" s="48">
        <f>'Calendario E'!Z149</f>
        <v>0</v>
      </c>
    </row>
    <row r="224" spans="1:14" x14ac:dyDescent="0.25">
      <c r="A224" s="48" t="str">
        <f>'Calendario E'!M152</f>
        <v>(Squadra A)</v>
      </c>
      <c r="B224" s="48">
        <f>'Calendario E'!N152</f>
        <v>0</v>
      </c>
      <c r="C224" s="48">
        <f>'Calendario E'!O152</f>
        <v>0</v>
      </c>
      <c r="D224" s="48">
        <f>'Calendario E'!P152</f>
        <v>0</v>
      </c>
      <c r="E224" s="48">
        <f>'Calendario E'!Q152</f>
        <v>0</v>
      </c>
      <c r="F224" s="48">
        <f>'Calendario E'!R152</f>
        <v>0</v>
      </c>
      <c r="G224" s="48">
        <f>'Calendario E'!S152</f>
        <v>0</v>
      </c>
      <c r="H224" s="48" t="str">
        <f>'Calendario E'!T152</f>
        <v>(Squadra B)</v>
      </c>
      <c r="I224" s="48">
        <f>'Calendario E'!U152</f>
        <v>0</v>
      </c>
      <c r="J224" s="48">
        <f>'Calendario E'!V152</f>
        <v>0</v>
      </c>
      <c r="K224" s="48">
        <f>'Calendario E'!W152</f>
        <v>0</v>
      </c>
      <c r="L224" s="48">
        <f>'Calendario E'!X152</f>
        <v>0</v>
      </c>
      <c r="M224" s="48">
        <f>'Calendario E'!Y152</f>
        <v>0</v>
      </c>
      <c r="N224" s="48">
        <f>'Calendario E'!Z152</f>
        <v>0</v>
      </c>
    </row>
    <row r="225" spans="1:14" x14ac:dyDescent="0.25">
      <c r="A225" s="48" t="str">
        <f>'Calendario E'!M155</f>
        <v>(Squadra A)</v>
      </c>
      <c r="B225" s="48">
        <f>'Calendario E'!N155</f>
        <v>0</v>
      </c>
      <c r="C225" s="48">
        <f>'Calendario E'!O155</f>
        <v>0</v>
      </c>
      <c r="D225" s="48">
        <f>'Calendario E'!P155</f>
        <v>0</v>
      </c>
      <c r="E225" s="48">
        <f>'Calendario E'!Q155</f>
        <v>0</v>
      </c>
      <c r="F225" s="48">
        <f>'Calendario E'!R155</f>
        <v>0</v>
      </c>
      <c r="G225" s="48">
        <f>'Calendario E'!S155</f>
        <v>0</v>
      </c>
      <c r="H225" s="48" t="str">
        <f>'Calendario E'!T155</f>
        <v>(Squadra B)</v>
      </c>
      <c r="I225" s="48">
        <f>'Calendario E'!U155</f>
        <v>0</v>
      </c>
      <c r="J225" s="48">
        <f>'Calendario E'!V155</f>
        <v>0</v>
      </c>
      <c r="K225" s="48">
        <f>'Calendario E'!W155</f>
        <v>0</v>
      </c>
      <c r="L225" s="48">
        <f>'Calendario E'!X155</f>
        <v>0</v>
      </c>
      <c r="M225" s="48">
        <f>'Calendario E'!Y155</f>
        <v>0</v>
      </c>
      <c r="N225" s="48">
        <f>'Calendario E'!Z155</f>
        <v>0</v>
      </c>
    </row>
    <row r="226" spans="1:14" x14ac:dyDescent="0.25">
      <c r="A226" s="48" t="str">
        <f>'Calendario E'!M158</f>
        <v>(Squadra A)</v>
      </c>
      <c r="B226" s="48">
        <f>'Calendario E'!N158</f>
        <v>0</v>
      </c>
      <c r="C226" s="48">
        <f>'Calendario E'!O158</f>
        <v>0</v>
      </c>
      <c r="D226" s="48">
        <f>'Calendario E'!P158</f>
        <v>0</v>
      </c>
      <c r="E226" s="48">
        <f>'Calendario E'!Q158</f>
        <v>0</v>
      </c>
      <c r="F226" s="48">
        <f>'Calendario E'!R158</f>
        <v>0</v>
      </c>
      <c r="G226" s="48">
        <f>'Calendario E'!S158</f>
        <v>0</v>
      </c>
      <c r="H226" s="48" t="str">
        <f>'Calendario E'!T158</f>
        <v>(Squadra B)</v>
      </c>
      <c r="I226" s="48">
        <f>'Calendario E'!U158</f>
        <v>0</v>
      </c>
      <c r="J226" s="48">
        <f>'Calendario E'!V158</f>
        <v>0</v>
      </c>
      <c r="K226" s="48">
        <f>'Calendario E'!W158</f>
        <v>0</v>
      </c>
      <c r="L226" s="48">
        <f>'Calendario E'!X158</f>
        <v>0</v>
      </c>
      <c r="M226" s="48">
        <f>'Calendario E'!Y158</f>
        <v>0</v>
      </c>
      <c r="N226" s="48">
        <f>'Calendario E'!Z158</f>
        <v>0</v>
      </c>
    </row>
    <row r="227" spans="1:14" x14ac:dyDescent="0.25">
      <c r="A227" s="48" t="str">
        <f>'Calendario F'!M10</f>
        <v>(Squadra A)</v>
      </c>
      <c r="B227" s="48">
        <f>'Calendario F'!N10</f>
        <v>0</v>
      </c>
      <c r="C227" s="48">
        <f>'Calendario F'!O10</f>
        <v>0</v>
      </c>
      <c r="D227" s="48">
        <f>'Calendario F'!P10</f>
        <v>0</v>
      </c>
      <c r="E227" s="48">
        <f>'Calendario F'!Q10</f>
        <v>0</v>
      </c>
      <c r="F227" s="48">
        <f>'Calendario F'!R10</f>
        <v>0</v>
      </c>
      <c r="G227" s="48">
        <f>'Calendario F'!S10</f>
        <v>0</v>
      </c>
      <c r="H227" s="48" t="str">
        <f>'Calendario F'!T10</f>
        <v>(Squadra B)</v>
      </c>
      <c r="I227" s="48">
        <f>'Calendario F'!U10</f>
        <v>0</v>
      </c>
      <c r="J227" s="48">
        <f>'Calendario F'!V10</f>
        <v>0</v>
      </c>
      <c r="K227" s="48">
        <f>'Calendario F'!W10</f>
        <v>0</v>
      </c>
      <c r="L227" s="48">
        <f>'Calendario F'!X10</f>
        <v>0</v>
      </c>
      <c r="M227" s="48">
        <f>'Calendario F'!Y10</f>
        <v>0</v>
      </c>
      <c r="N227" s="48">
        <f>'Calendario F'!Z10</f>
        <v>0</v>
      </c>
    </row>
    <row r="228" spans="1:14" x14ac:dyDescent="0.25">
      <c r="A228" s="48" t="str">
        <f>'Calendario F'!M13</f>
        <v>(Squadra A)</v>
      </c>
      <c r="B228" s="48">
        <f>'Calendario F'!N13</f>
        <v>0</v>
      </c>
      <c r="C228" s="48">
        <f>'Calendario F'!O13</f>
        <v>0</v>
      </c>
      <c r="D228" s="48">
        <f>'Calendario F'!P13</f>
        <v>0</v>
      </c>
      <c r="E228" s="48">
        <f>'Calendario F'!Q13</f>
        <v>0</v>
      </c>
      <c r="F228" s="48">
        <f>'Calendario F'!R13</f>
        <v>0</v>
      </c>
      <c r="G228" s="48">
        <f>'Calendario F'!S13</f>
        <v>0</v>
      </c>
      <c r="H228" s="48" t="str">
        <f>'Calendario F'!T13</f>
        <v>(Squadra B)</v>
      </c>
      <c r="I228" s="48">
        <f>'Calendario F'!U13</f>
        <v>0</v>
      </c>
      <c r="J228" s="48">
        <f>'Calendario F'!V13</f>
        <v>0</v>
      </c>
      <c r="K228" s="48">
        <f>'Calendario F'!W13</f>
        <v>0</v>
      </c>
      <c r="L228" s="48">
        <f>'Calendario F'!X13</f>
        <v>0</v>
      </c>
      <c r="M228" s="48">
        <f>'Calendario F'!Y13</f>
        <v>0</v>
      </c>
      <c r="N228" s="48">
        <f>'Calendario F'!Z13</f>
        <v>0</v>
      </c>
    </row>
    <row r="229" spans="1:14" x14ac:dyDescent="0.25">
      <c r="A229" s="48" t="str">
        <f>'Calendario F'!M16</f>
        <v>(Squadra A)</v>
      </c>
      <c r="B229" s="48">
        <f>'Calendario F'!N16</f>
        <v>0</v>
      </c>
      <c r="C229" s="48">
        <f>'Calendario F'!O16</f>
        <v>0</v>
      </c>
      <c r="D229" s="48">
        <f>'Calendario F'!P16</f>
        <v>0</v>
      </c>
      <c r="E229" s="48">
        <f>'Calendario F'!Q16</f>
        <v>0</v>
      </c>
      <c r="F229" s="48">
        <f>'Calendario F'!R16</f>
        <v>0</v>
      </c>
      <c r="G229" s="48">
        <f>'Calendario F'!S16</f>
        <v>0</v>
      </c>
      <c r="H229" s="48" t="str">
        <f>'Calendario F'!T16</f>
        <v>(Squadra B)</v>
      </c>
      <c r="I229" s="48">
        <f>'Calendario F'!U16</f>
        <v>0</v>
      </c>
      <c r="J229" s="48">
        <f>'Calendario F'!V16</f>
        <v>0</v>
      </c>
      <c r="K229" s="48">
        <f>'Calendario F'!W16</f>
        <v>0</v>
      </c>
      <c r="L229" s="48">
        <f>'Calendario F'!X16</f>
        <v>0</v>
      </c>
      <c r="M229" s="48">
        <f>'Calendario F'!Y16</f>
        <v>0</v>
      </c>
      <c r="N229" s="48">
        <f>'Calendario F'!Z16</f>
        <v>0</v>
      </c>
    </row>
    <row r="230" spans="1:14" x14ac:dyDescent="0.25">
      <c r="A230" s="48" t="str">
        <f>'Calendario F'!M19</f>
        <v>(Squadra A)</v>
      </c>
      <c r="B230" s="48">
        <f>'Calendario F'!N19</f>
        <v>0</v>
      </c>
      <c r="C230" s="48">
        <f>'Calendario F'!O19</f>
        <v>0</v>
      </c>
      <c r="D230" s="48">
        <f>'Calendario F'!P19</f>
        <v>0</v>
      </c>
      <c r="E230" s="48">
        <f>'Calendario F'!Q19</f>
        <v>0</v>
      </c>
      <c r="F230" s="48">
        <f>'Calendario F'!R19</f>
        <v>0</v>
      </c>
      <c r="G230" s="48">
        <f>'Calendario F'!S19</f>
        <v>0</v>
      </c>
      <c r="H230" s="48" t="str">
        <f>'Calendario F'!T19</f>
        <v>(Squadra B)</v>
      </c>
      <c r="I230" s="48">
        <f>'Calendario F'!U19</f>
        <v>0</v>
      </c>
      <c r="J230" s="48">
        <f>'Calendario F'!V19</f>
        <v>0</v>
      </c>
      <c r="K230" s="48">
        <f>'Calendario F'!W19</f>
        <v>0</v>
      </c>
      <c r="L230" s="48">
        <f>'Calendario F'!X19</f>
        <v>0</v>
      </c>
      <c r="M230" s="48">
        <f>'Calendario F'!Y19</f>
        <v>0</v>
      </c>
      <c r="N230" s="48">
        <f>'Calendario F'!Z19</f>
        <v>0</v>
      </c>
    </row>
    <row r="231" spans="1:14" x14ac:dyDescent="0.25">
      <c r="A231" s="48" t="str">
        <f>'Calendario F'!M22</f>
        <v>(Squadra A)</v>
      </c>
      <c r="B231" s="48">
        <f>'Calendario F'!N22</f>
        <v>0</v>
      </c>
      <c r="C231" s="48">
        <f>'Calendario F'!O22</f>
        <v>0</v>
      </c>
      <c r="D231" s="48">
        <f>'Calendario F'!P22</f>
        <v>0</v>
      </c>
      <c r="E231" s="48">
        <f>'Calendario F'!Q22</f>
        <v>0</v>
      </c>
      <c r="F231" s="48">
        <f>'Calendario F'!R22</f>
        <v>0</v>
      </c>
      <c r="G231" s="48">
        <f>'Calendario F'!S22</f>
        <v>0</v>
      </c>
      <c r="H231" s="48" t="str">
        <f>'Calendario F'!T22</f>
        <v>(Squadra B)</v>
      </c>
      <c r="I231" s="48">
        <f>'Calendario F'!U22</f>
        <v>0</v>
      </c>
      <c r="J231" s="48">
        <f>'Calendario F'!V22</f>
        <v>0</v>
      </c>
      <c r="K231" s="48">
        <f>'Calendario F'!W22</f>
        <v>0</v>
      </c>
      <c r="L231" s="48">
        <f>'Calendario F'!X22</f>
        <v>0</v>
      </c>
      <c r="M231" s="48">
        <f>'Calendario F'!Y22</f>
        <v>0</v>
      </c>
      <c r="N231" s="48">
        <f>'Calendario F'!Z22</f>
        <v>0</v>
      </c>
    </row>
    <row r="232" spans="1:14" x14ac:dyDescent="0.25">
      <c r="A232" s="48" t="str">
        <f>'Calendario F'!M27</f>
        <v>(Squadra A)</v>
      </c>
      <c r="B232" s="48">
        <f>'Calendario F'!N27</f>
        <v>0</v>
      </c>
      <c r="C232" s="48">
        <f>'Calendario F'!O27</f>
        <v>0</v>
      </c>
      <c r="D232" s="48">
        <f>'Calendario F'!P27</f>
        <v>0</v>
      </c>
      <c r="E232" s="48">
        <f>'Calendario F'!Q27</f>
        <v>0</v>
      </c>
      <c r="F232" s="48">
        <f>'Calendario F'!R27</f>
        <v>0</v>
      </c>
      <c r="G232" s="48">
        <f>'Calendario F'!S27</f>
        <v>0</v>
      </c>
      <c r="H232" s="48" t="str">
        <f>'Calendario F'!T27</f>
        <v>(Squadra B)</v>
      </c>
      <c r="I232" s="48">
        <f>'Calendario F'!U27</f>
        <v>0</v>
      </c>
      <c r="J232" s="48">
        <f>'Calendario F'!V27</f>
        <v>0</v>
      </c>
      <c r="K232" s="48">
        <f>'Calendario F'!W27</f>
        <v>0</v>
      </c>
      <c r="L232" s="48">
        <f>'Calendario F'!X27</f>
        <v>0</v>
      </c>
      <c r="M232" s="48">
        <f>'Calendario F'!Y27</f>
        <v>0</v>
      </c>
      <c r="N232" s="48">
        <f>'Calendario F'!Z27</f>
        <v>0</v>
      </c>
    </row>
    <row r="233" spans="1:14" x14ac:dyDescent="0.25">
      <c r="A233" s="48" t="str">
        <f>'Calendario F'!M30</f>
        <v>(Squadra A)</v>
      </c>
      <c r="B233" s="48">
        <f>'Calendario F'!N30</f>
        <v>0</v>
      </c>
      <c r="C233" s="48">
        <f>'Calendario F'!O30</f>
        <v>0</v>
      </c>
      <c r="D233" s="48">
        <f>'Calendario F'!P30</f>
        <v>0</v>
      </c>
      <c r="E233" s="48">
        <f>'Calendario F'!Q30</f>
        <v>0</v>
      </c>
      <c r="F233" s="48">
        <f>'Calendario F'!R30</f>
        <v>0</v>
      </c>
      <c r="G233" s="48">
        <f>'Calendario F'!S30</f>
        <v>0</v>
      </c>
      <c r="H233" s="48" t="str">
        <f>'Calendario F'!T30</f>
        <v>(Squadra B)</v>
      </c>
      <c r="I233" s="48">
        <f>'Calendario F'!U30</f>
        <v>0</v>
      </c>
      <c r="J233" s="48">
        <f>'Calendario F'!V30</f>
        <v>0</v>
      </c>
      <c r="K233" s="48">
        <f>'Calendario F'!W30</f>
        <v>0</v>
      </c>
      <c r="L233" s="48">
        <f>'Calendario F'!X30</f>
        <v>0</v>
      </c>
      <c r="M233" s="48">
        <f>'Calendario F'!Y30</f>
        <v>0</v>
      </c>
      <c r="N233" s="48">
        <f>'Calendario F'!Z30</f>
        <v>0</v>
      </c>
    </row>
    <row r="234" spans="1:14" x14ac:dyDescent="0.25">
      <c r="A234" s="48" t="str">
        <f>'Calendario F'!M33</f>
        <v>(Squadra A)</v>
      </c>
      <c r="B234" s="48">
        <f>'Calendario F'!N33</f>
        <v>0</v>
      </c>
      <c r="C234" s="48">
        <f>'Calendario F'!O33</f>
        <v>0</v>
      </c>
      <c r="D234" s="48">
        <f>'Calendario F'!P33</f>
        <v>0</v>
      </c>
      <c r="E234" s="48">
        <f>'Calendario F'!Q33</f>
        <v>0</v>
      </c>
      <c r="F234" s="48">
        <f>'Calendario F'!R33</f>
        <v>0</v>
      </c>
      <c r="G234" s="48">
        <f>'Calendario F'!S33</f>
        <v>0</v>
      </c>
      <c r="H234" s="48" t="str">
        <f>'Calendario F'!T33</f>
        <v>(Squadra B)</v>
      </c>
      <c r="I234" s="48">
        <f>'Calendario F'!U33</f>
        <v>0</v>
      </c>
      <c r="J234" s="48">
        <f>'Calendario F'!V33</f>
        <v>0</v>
      </c>
      <c r="K234" s="48">
        <f>'Calendario F'!W33</f>
        <v>0</v>
      </c>
      <c r="L234" s="48">
        <f>'Calendario F'!X33</f>
        <v>0</v>
      </c>
      <c r="M234" s="48">
        <f>'Calendario F'!Y33</f>
        <v>0</v>
      </c>
      <c r="N234" s="48">
        <f>'Calendario F'!Z33</f>
        <v>0</v>
      </c>
    </row>
    <row r="235" spans="1:14" x14ac:dyDescent="0.25">
      <c r="A235" s="48" t="str">
        <f>'Calendario F'!M36</f>
        <v>(Squadra A)</v>
      </c>
      <c r="B235" s="48">
        <f>'Calendario F'!N36</f>
        <v>0</v>
      </c>
      <c r="C235" s="48">
        <f>'Calendario F'!O36</f>
        <v>0</v>
      </c>
      <c r="D235" s="48">
        <f>'Calendario F'!P36</f>
        <v>0</v>
      </c>
      <c r="E235" s="48">
        <f>'Calendario F'!Q36</f>
        <v>0</v>
      </c>
      <c r="F235" s="48">
        <f>'Calendario F'!R36</f>
        <v>0</v>
      </c>
      <c r="G235" s="48">
        <f>'Calendario F'!S36</f>
        <v>0</v>
      </c>
      <c r="H235" s="48" t="str">
        <f>'Calendario F'!T36</f>
        <v>(Squadra B)</v>
      </c>
      <c r="I235" s="48">
        <f>'Calendario F'!U36</f>
        <v>0</v>
      </c>
      <c r="J235" s="48">
        <f>'Calendario F'!V36</f>
        <v>0</v>
      </c>
      <c r="K235" s="48">
        <f>'Calendario F'!W36</f>
        <v>0</v>
      </c>
      <c r="L235" s="48">
        <f>'Calendario F'!X36</f>
        <v>0</v>
      </c>
      <c r="M235" s="48">
        <f>'Calendario F'!Y36</f>
        <v>0</v>
      </c>
      <c r="N235" s="48">
        <f>'Calendario F'!Z36</f>
        <v>0</v>
      </c>
    </row>
    <row r="236" spans="1:14" x14ac:dyDescent="0.25">
      <c r="A236" s="48" t="str">
        <f>'Calendario F'!M39</f>
        <v>(Squadra A)</v>
      </c>
      <c r="B236" s="48">
        <f>'Calendario F'!N39</f>
        <v>0</v>
      </c>
      <c r="C236" s="48">
        <f>'Calendario F'!O39</f>
        <v>0</v>
      </c>
      <c r="D236" s="48">
        <f>'Calendario F'!P39</f>
        <v>0</v>
      </c>
      <c r="E236" s="48">
        <f>'Calendario F'!Q39</f>
        <v>0</v>
      </c>
      <c r="F236" s="48">
        <f>'Calendario F'!R39</f>
        <v>0</v>
      </c>
      <c r="G236" s="48">
        <f>'Calendario F'!S39</f>
        <v>0</v>
      </c>
      <c r="H236" s="48" t="str">
        <f>'Calendario F'!T39</f>
        <v>(Squadra B)</v>
      </c>
      <c r="I236" s="48">
        <f>'Calendario F'!U39</f>
        <v>0</v>
      </c>
      <c r="J236" s="48">
        <f>'Calendario F'!V39</f>
        <v>0</v>
      </c>
      <c r="K236" s="48">
        <f>'Calendario F'!W39</f>
        <v>0</v>
      </c>
      <c r="L236" s="48">
        <f>'Calendario F'!X39</f>
        <v>0</v>
      </c>
      <c r="M236" s="48">
        <f>'Calendario F'!Y39</f>
        <v>0</v>
      </c>
      <c r="N236" s="48">
        <f>'Calendario F'!Z39</f>
        <v>0</v>
      </c>
    </row>
    <row r="237" spans="1:14" x14ac:dyDescent="0.25">
      <c r="A237" s="48" t="str">
        <f>'Calendario F'!M44</f>
        <v>(Squadra A)</v>
      </c>
      <c r="B237" s="48">
        <f>'Calendario F'!N44</f>
        <v>0</v>
      </c>
      <c r="C237" s="48">
        <f>'Calendario F'!O44</f>
        <v>0</v>
      </c>
      <c r="D237" s="48">
        <f>'Calendario F'!P44</f>
        <v>0</v>
      </c>
      <c r="E237" s="48">
        <f>'Calendario F'!Q44</f>
        <v>0</v>
      </c>
      <c r="F237" s="48">
        <f>'Calendario F'!R44</f>
        <v>0</v>
      </c>
      <c r="G237" s="48">
        <f>'Calendario F'!S44</f>
        <v>0</v>
      </c>
      <c r="H237" s="48" t="str">
        <f>'Calendario F'!T44</f>
        <v>(Squadra B)</v>
      </c>
      <c r="I237" s="48">
        <f>'Calendario F'!U44</f>
        <v>0</v>
      </c>
      <c r="J237" s="48">
        <f>'Calendario F'!V44</f>
        <v>0</v>
      </c>
      <c r="K237" s="48">
        <f>'Calendario F'!W44</f>
        <v>0</v>
      </c>
      <c r="L237" s="48">
        <f>'Calendario F'!X44</f>
        <v>0</v>
      </c>
      <c r="M237" s="48">
        <f>'Calendario F'!Y44</f>
        <v>0</v>
      </c>
      <c r="N237" s="48">
        <f>'Calendario F'!Z44</f>
        <v>0</v>
      </c>
    </row>
    <row r="238" spans="1:14" x14ac:dyDescent="0.25">
      <c r="A238" s="48" t="str">
        <f>'Calendario F'!M47</f>
        <v>(Squadra A)</v>
      </c>
      <c r="B238" s="48">
        <f>'Calendario F'!N47</f>
        <v>0</v>
      </c>
      <c r="C238" s="48">
        <f>'Calendario F'!O47</f>
        <v>0</v>
      </c>
      <c r="D238" s="48">
        <f>'Calendario F'!P47</f>
        <v>0</v>
      </c>
      <c r="E238" s="48">
        <f>'Calendario F'!Q47</f>
        <v>0</v>
      </c>
      <c r="F238" s="48">
        <f>'Calendario F'!R47</f>
        <v>0</v>
      </c>
      <c r="G238" s="48">
        <f>'Calendario F'!S47</f>
        <v>0</v>
      </c>
      <c r="H238" s="48" t="str">
        <f>'Calendario F'!T47</f>
        <v>(Squadra B)</v>
      </c>
      <c r="I238" s="48">
        <f>'Calendario F'!U47</f>
        <v>0</v>
      </c>
      <c r="J238" s="48">
        <f>'Calendario F'!V47</f>
        <v>0</v>
      </c>
      <c r="K238" s="48">
        <f>'Calendario F'!W47</f>
        <v>0</v>
      </c>
      <c r="L238" s="48">
        <f>'Calendario F'!X47</f>
        <v>0</v>
      </c>
      <c r="M238" s="48">
        <f>'Calendario F'!Y47</f>
        <v>0</v>
      </c>
      <c r="N238" s="48">
        <f>'Calendario F'!Z47</f>
        <v>0</v>
      </c>
    </row>
    <row r="239" spans="1:14" x14ac:dyDescent="0.25">
      <c r="A239" s="48" t="str">
        <f>'Calendario F'!M50</f>
        <v>(Squadra A)</v>
      </c>
      <c r="B239" s="48">
        <f>'Calendario F'!N50</f>
        <v>0</v>
      </c>
      <c r="C239" s="48">
        <f>'Calendario F'!O50</f>
        <v>0</v>
      </c>
      <c r="D239" s="48">
        <f>'Calendario F'!P50</f>
        <v>0</v>
      </c>
      <c r="E239" s="48">
        <f>'Calendario F'!Q50</f>
        <v>0</v>
      </c>
      <c r="F239" s="48">
        <f>'Calendario F'!R50</f>
        <v>0</v>
      </c>
      <c r="G239" s="48">
        <f>'Calendario F'!S50</f>
        <v>0</v>
      </c>
      <c r="H239" s="48" t="str">
        <f>'Calendario F'!T50</f>
        <v>(Squadra B)</v>
      </c>
      <c r="I239" s="48">
        <f>'Calendario F'!U50</f>
        <v>0</v>
      </c>
      <c r="J239" s="48">
        <f>'Calendario F'!V50</f>
        <v>0</v>
      </c>
      <c r="K239" s="48">
        <f>'Calendario F'!W50</f>
        <v>0</v>
      </c>
      <c r="L239" s="48">
        <f>'Calendario F'!X50</f>
        <v>0</v>
      </c>
      <c r="M239" s="48">
        <f>'Calendario F'!Y50</f>
        <v>0</v>
      </c>
      <c r="N239" s="48">
        <f>'Calendario F'!Z50</f>
        <v>0</v>
      </c>
    </row>
    <row r="240" spans="1:14" x14ac:dyDescent="0.25">
      <c r="A240" s="48" t="str">
        <f>'Calendario F'!M53</f>
        <v>(Squadra A)</v>
      </c>
      <c r="B240" s="48">
        <f>'Calendario F'!N53</f>
        <v>0</v>
      </c>
      <c r="C240" s="48">
        <f>'Calendario F'!O53</f>
        <v>0</v>
      </c>
      <c r="D240" s="48">
        <f>'Calendario F'!P53</f>
        <v>0</v>
      </c>
      <c r="E240" s="48">
        <f>'Calendario F'!Q53</f>
        <v>0</v>
      </c>
      <c r="F240" s="48">
        <f>'Calendario F'!R53</f>
        <v>0</v>
      </c>
      <c r="G240" s="48">
        <f>'Calendario F'!S53</f>
        <v>0</v>
      </c>
      <c r="H240" s="48" t="str">
        <f>'Calendario F'!T53</f>
        <v>(Squadra B)</v>
      </c>
      <c r="I240" s="48">
        <f>'Calendario F'!U53</f>
        <v>0</v>
      </c>
      <c r="J240" s="48">
        <f>'Calendario F'!V53</f>
        <v>0</v>
      </c>
      <c r="K240" s="48">
        <f>'Calendario F'!W53</f>
        <v>0</v>
      </c>
      <c r="L240" s="48">
        <f>'Calendario F'!X53</f>
        <v>0</v>
      </c>
      <c r="M240" s="48">
        <f>'Calendario F'!Y53</f>
        <v>0</v>
      </c>
      <c r="N240" s="48">
        <f>'Calendario F'!Z53</f>
        <v>0</v>
      </c>
    </row>
    <row r="241" spans="1:14" x14ac:dyDescent="0.25">
      <c r="A241" s="48" t="str">
        <f>'Calendario F'!M56</f>
        <v>(Squadra A)</v>
      </c>
      <c r="B241" s="48">
        <f>'Calendario F'!N56</f>
        <v>0</v>
      </c>
      <c r="C241" s="48">
        <f>'Calendario F'!O56</f>
        <v>0</v>
      </c>
      <c r="D241" s="48">
        <f>'Calendario F'!P56</f>
        <v>0</v>
      </c>
      <c r="E241" s="48">
        <f>'Calendario F'!Q56</f>
        <v>0</v>
      </c>
      <c r="F241" s="48">
        <f>'Calendario F'!R56</f>
        <v>0</v>
      </c>
      <c r="G241" s="48">
        <f>'Calendario F'!S56</f>
        <v>0</v>
      </c>
      <c r="H241" s="48" t="str">
        <f>'Calendario F'!T56</f>
        <v>(Squadra B)</v>
      </c>
      <c r="I241" s="48">
        <f>'Calendario F'!U56</f>
        <v>0</v>
      </c>
      <c r="J241" s="48">
        <f>'Calendario F'!V56</f>
        <v>0</v>
      </c>
      <c r="K241" s="48">
        <f>'Calendario F'!W56</f>
        <v>0</v>
      </c>
      <c r="L241" s="48">
        <f>'Calendario F'!X56</f>
        <v>0</v>
      </c>
      <c r="M241" s="48">
        <f>'Calendario F'!Y56</f>
        <v>0</v>
      </c>
      <c r="N241" s="48">
        <f>'Calendario F'!Z56</f>
        <v>0</v>
      </c>
    </row>
    <row r="242" spans="1:14" x14ac:dyDescent="0.25">
      <c r="A242" s="48" t="str">
        <f>'Calendario F'!M61</f>
        <v>(Squadra A)</v>
      </c>
      <c r="B242" s="48">
        <f>'Calendario F'!N61</f>
        <v>0</v>
      </c>
      <c r="C242" s="48">
        <f>'Calendario F'!O61</f>
        <v>0</v>
      </c>
      <c r="D242" s="48">
        <f>'Calendario F'!P61</f>
        <v>0</v>
      </c>
      <c r="E242" s="48">
        <f>'Calendario F'!Q61</f>
        <v>0</v>
      </c>
      <c r="F242" s="48">
        <f>'Calendario F'!R61</f>
        <v>0</v>
      </c>
      <c r="G242" s="48">
        <f>'Calendario F'!S61</f>
        <v>0</v>
      </c>
      <c r="H242" s="48" t="str">
        <f>'Calendario F'!T61</f>
        <v>(Squadra B)</v>
      </c>
      <c r="I242" s="48">
        <f>'Calendario F'!U61</f>
        <v>0</v>
      </c>
      <c r="J242" s="48">
        <f>'Calendario F'!V61</f>
        <v>0</v>
      </c>
      <c r="K242" s="48">
        <f>'Calendario F'!W61</f>
        <v>0</v>
      </c>
      <c r="L242" s="48">
        <f>'Calendario F'!X61</f>
        <v>0</v>
      </c>
      <c r="M242" s="48">
        <f>'Calendario F'!Y61</f>
        <v>0</v>
      </c>
      <c r="N242" s="48">
        <f>'Calendario F'!Z61</f>
        <v>0</v>
      </c>
    </row>
    <row r="243" spans="1:14" x14ac:dyDescent="0.25">
      <c r="A243" s="48" t="str">
        <f>'Calendario F'!M64</f>
        <v>(Squadra A)</v>
      </c>
      <c r="B243" s="48">
        <f>'Calendario F'!N64</f>
        <v>0</v>
      </c>
      <c r="C243" s="48">
        <f>'Calendario F'!O64</f>
        <v>0</v>
      </c>
      <c r="D243" s="48">
        <f>'Calendario F'!P64</f>
        <v>0</v>
      </c>
      <c r="E243" s="48">
        <f>'Calendario F'!Q64</f>
        <v>0</v>
      </c>
      <c r="F243" s="48">
        <f>'Calendario F'!R64</f>
        <v>0</v>
      </c>
      <c r="G243" s="48">
        <f>'Calendario F'!S64</f>
        <v>0</v>
      </c>
      <c r="H243" s="48" t="str">
        <f>'Calendario F'!T64</f>
        <v>(Squadra B)</v>
      </c>
      <c r="I243" s="48">
        <f>'Calendario F'!U64</f>
        <v>0</v>
      </c>
      <c r="J243" s="48">
        <f>'Calendario F'!V64</f>
        <v>0</v>
      </c>
      <c r="K243" s="48">
        <f>'Calendario F'!W64</f>
        <v>0</v>
      </c>
      <c r="L243" s="48">
        <f>'Calendario F'!X64</f>
        <v>0</v>
      </c>
      <c r="M243" s="48">
        <f>'Calendario F'!Y64</f>
        <v>0</v>
      </c>
      <c r="N243" s="48">
        <f>'Calendario F'!Z64</f>
        <v>0</v>
      </c>
    </row>
    <row r="244" spans="1:14" x14ac:dyDescent="0.25">
      <c r="A244" s="48" t="str">
        <f>'Calendario F'!M67</f>
        <v>(Squadra A)</v>
      </c>
      <c r="B244" s="48">
        <f>'Calendario F'!N67</f>
        <v>0</v>
      </c>
      <c r="C244" s="48">
        <f>'Calendario F'!O67</f>
        <v>0</v>
      </c>
      <c r="D244" s="48">
        <f>'Calendario F'!P67</f>
        <v>0</v>
      </c>
      <c r="E244" s="48">
        <f>'Calendario F'!Q67</f>
        <v>0</v>
      </c>
      <c r="F244" s="48">
        <f>'Calendario F'!R67</f>
        <v>0</v>
      </c>
      <c r="G244" s="48">
        <f>'Calendario F'!S67</f>
        <v>0</v>
      </c>
      <c r="H244" s="48" t="str">
        <f>'Calendario F'!T67</f>
        <v>(Squadra B)</v>
      </c>
      <c r="I244" s="48">
        <f>'Calendario F'!U67</f>
        <v>0</v>
      </c>
      <c r="J244" s="48">
        <f>'Calendario F'!V67</f>
        <v>0</v>
      </c>
      <c r="K244" s="48">
        <f>'Calendario F'!W67</f>
        <v>0</v>
      </c>
      <c r="L244" s="48">
        <f>'Calendario F'!X67</f>
        <v>0</v>
      </c>
      <c r="M244" s="48">
        <f>'Calendario F'!Y67</f>
        <v>0</v>
      </c>
      <c r="N244" s="48">
        <f>'Calendario F'!Z67</f>
        <v>0</v>
      </c>
    </row>
    <row r="245" spans="1:14" x14ac:dyDescent="0.25">
      <c r="A245" s="48" t="str">
        <f>'Calendario F'!M70</f>
        <v>(Squadra A)</v>
      </c>
      <c r="B245" s="48">
        <f>'Calendario F'!N70</f>
        <v>0</v>
      </c>
      <c r="C245" s="48">
        <f>'Calendario F'!O70</f>
        <v>0</v>
      </c>
      <c r="D245" s="48">
        <f>'Calendario F'!P70</f>
        <v>0</v>
      </c>
      <c r="E245" s="48">
        <f>'Calendario F'!Q70</f>
        <v>0</v>
      </c>
      <c r="F245" s="48">
        <f>'Calendario F'!R70</f>
        <v>0</v>
      </c>
      <c r="G245" s="48">
        <f>'Calendario F'!S70</f>
        <v>0</v>
      </c>
      <c r="H245" s="48" t="str">
        <f>'Calendario F'!T70</f>
        <v>(Squadra B)</v>
      </c>
      <c r="I245" s="48">
        <f>'Calendario F'!U70</f>
        <v>0</v>
      </c>
      <c r="J245" s="48">
        <f>'Calendario F'!V70</f>
        <v>0</v>
      </c>
      <c r="K245" s="48">
        <f>'Calendario F'!W70</f>
        <v>0</v>
      </c>
      <c r="L245" s="48">
        <f>'Calendario F'!X70</f>
        <v>0</v>
      </c>
      <c r="M245" s="48">
        <f>'Calendario F'!Y70</f>
        <v>0</v>
      </c>
      <c r="N245" s="48">
        <f>'Calendario F'!Z70</f>
        <v>0</v>
      </c>
    </row>
    <row r="246" spans="1:14" x14ac:dyDescent="0.25">
      <c r="A246" s="48" t="str">
        <f>'Calendario F'!M73</f>
        <v>(Squadra A)</v>
      </c>
      <c r="B246" s="48">
        <f>'Calendario F'!N73</f>
        <v>0</v>
      </c>
      <c r="C246" s="48">
        <f>'Calendario F'!O73</f>
        <v>0</v>
      </c>
      <c r="D246" s="48">
        <f>'Calendario F'!P73</f>
        <v>0</v>
      </c>
      <c r="E246" s="48">
        <f>'Calendario F'!Q73</f>
        <v>0</v>
      </c>
      <c r="F246" s="48">
        <f>'Calendario F'!R73</f>
        <v>0</v>
      </c>
      <c r="G246" s="48">
        <f>'Calendario F'!S73</f>
        <v>0</v>
      </c>
      <c r="H246" s="48" t="str">
        <f>'Calendario F'!T73</f>
        <v>(Squadra B)</v>
      </c>
      <c r="I246" s="48">
        <f>'Calendario F'!U73</f>
        <v>0</v>
      </c>
      <c r="J246" s="48">
        <f>'Calendario F'!V73</f>
        <v>0</v>
      </c>
      <c r="K246" s="48">
        <f>'Calendario F'!W73</f>
        <v>0</v>
      </c>
      <c r="L246" s="48">
        <f>'Calendario F'!X73</f>
        <v>0</v>
      </c>
      <c r="M246" s="48">
        <f>'Calendario F'!Y73</f>
        <v>0</v>
      </c>
      <c r="N246" s="48">
        <f>'Calendario F'!Z73</f>
        <v>0</v>
      </c>
    </row>
    <row r="247" spans="1:14" x14ac:dyDescent="0.25">
      <c r="A247" s="48" t="str">
        <f>'Calendario F'!M78</f>
        <v>(Squadra A)</v>
      </c>
      <c r="B247" s="48">
        <f>'Calendario F'!N78</f>
        <v>0</v>
      </c>
      <c r="C247" s="48">
        <f>'Calendario F'!O78</f>
        <v>0</v>
      </c>
      <c r="D247" s="48">
        <f>'Calendario F'!P78</f>
        <v>0</v>
      </c>
      <c r="E247" s="48">
        <f>'Calendario F'!Q78</f>
        <v>0</v>
      </c>
      <c r="F247" s="48">
        <f>'Calendario F'!R78</f>
        <v>0</v>
      </c>
      <c r="G247" s="48">
        <f>'Calendario F'!S78</f>
        <v>0</v>
      </c>
      <c r="H247" s="48" t="str">
        <f>'Calendario F'!T78</f>
        <v>(Squadra B)</v>
      </c>
      <c r="I247" s="48">
        <f>'Calendario F'!U78</f>
        <v>0</v>
      </c>
      <c r="J247" s="48">
        <f>'Calendario F'!V78</f>
        <v>0</v>
      </c>
      <c r="K247" s="48">
        <f>'Calendario F'!W78</f>
        <v>0</v>
      </c>
      <c r="L247" s="48">
        <f>'Calendario F'!X78</f>
        <v>0</v>
      </c>
      <c r="M247" s="48">
        <f>'Calendario F'!Y78</f>
        <v>0</v>
      </c>
      <c r="N247" s="48">
        <f>'Calendario F'!Z78</f>
        <v>0</v>
      </c>
    </row>
    <row r="248" spans="1:14" x14ac:dyDescent="0.25">
      <c r="A248" s="48" t="str">
        <f>'Calendario F'!M81</f>
        <v>(Squadra A)</v>
      </c>
      <c r="B248" s="48">
        <f>'Calendario F'!N81</f>
        <v>0</v>
      </c>
      <c r="C248" s="48">
        <f>'Calendario F'!O81</f>
        <v>0</v>
      </c>
      <c r="D248" s="48">
        <f>'Calendario F'!P81</f>
        <v>0</v>
      </c>
      <c r="E248" s="48">
        <f>'Calendario F'!Q81</f>
        <v>0</v>
      </c>
      <c r="F248" s="48">
        <f>'Calendario F'!R81</f>
        <v>0</v>
      </c>
      <c r="G248" s="48">
        <f>'Calendario F'!S81</f>
        <v>0</v>
      </c>
      <c r="H248" s="48" t="str">
        <f>'Calendario F'!T81</f>
        <v>(Squadra B)</v>
      </c>
      <c r="I248" s="48">
        <f>'Calendario F'!U81</f>
        <v>0</v>
      </c>
      <c r="J248" s="48">
        <f>'Calendario F'!V81</f>
        <v>0</v>
      </c>
      <c r="K248" s="48">
        <f>'Calendario F'!W81</f>
        <v>0</v>
      </c>
      <c r="L248" s="48">
        <f>'Calendario F'!X81</f>
        <v>0</v>
      </c>
      <c r="M248" s="48">
        <f>'Calendario F'!Y81</f>
        <v>0</v>
      </c>
      <c r="N248" s="48">
        <f>'Calendario F'!Z81</f>
        <v>0</v>
      </c>
    </row>
    <row r="249" spans="1:14" x14ac:dyDescent="0.25">
      <c r="A249" s="48" t="str">
        <f>'Calendario F'!M84</f>
        <v>(Squadra A)</v>
      </c>
      <c r="B249" s="48">
        <f>'Calendario F'!N84</f>
        <v>0</v>
      </c>
      <c r="C249" s="48">
        <f>'Calendario F'!O84</f>
        <v>0</v>
      </c>
      <c r="D249" s="48">
        <f>'Calendario F'!P84</f>
        <v>0</v>
      </c>
      <c r="E249" s="48">
        <f>'Calendario F'!Q84</f>
        <v>0</v>
      </c>
      <c r="F249" s="48">
        <f>'Calendario F'!R84</f>
        <v>0</v>
      </c>
      <c r="G249" s="48">
        <f>'Calendario F'!S84</f>
        <v>0</v>
      </c>
      <c r="H249" s="48" t="str">
        <f>'Calendario F'!T84</f>
        <v>(Squadra B)</v>
      </c>
      <c r="I249" s="48">
        <f>'Calendario F'!U84</f>
        <v>0</v>
      </c>
      <c r="J249" s="48">
        <f>'Calendario F'!V84</f>
        <v>0</v>
      </c>
      <c r="K249" s="48">
        <f>'Calendario F'!W84</f>
        <v>0</v>
      </c>
      <c r="L249" s="48">
        <f>'Calendario F'!X84</f>
        <v>0</v>
      </c>
      <c r="M249" s="48">
        <f>'Calendario F'!Y84</f>
        <v>0</v>
      </c>
      <c r="N249" s="48">
        <f>'Calendario F'!Z84</f>
        <v>0</v>
      </c>
    </row>
    <row r="250" spans="1:14" x14ac:dyDescent="0.25">
      <c r="A250" s="48" t="str">
        <f>'Calendario F'!M87</f>
        <v>(Squadra A)</v>
      </c>
      <c r="B250" s="48">
        <f>'Calendario F'!N87</f>
        <v>0</v>
      </c>
      <c r="C250" s="48">
        <f>'Calendario F'!O87</f>
        <v>0</v>
      </c>
      <c r="D250" s="48">
        <f>'Calendario F'!P87</f>
        <v>0</v>
      </c>
      <c r="E250" s="48">
        <f>'Calendario F'!Q87</f>
        <v>0</v>
      </c>
      <c r="F250" s="48">
        <f>'Calendario F'!R87</f>
        <v>0</v>
      </c>
      <c r="G250" s="48">
        <f>'Calendario F'!S87</f>
        <v>0</v>
      </c>
      <c r="H250" s="48" t="str">
        <f>'Calendario F'!T87</f>
        <v>(Squadra B)</v>
      </c>
      <c r="I250" s="48">
        <f>'Calendario F'!U87</f>
        <v>0</v>
      </c>
      <c r="J250" s="48">
        <f>'Calendario F'!V87</f>
        <v>0</v>
      </c>
      <c r="K250" s="48">
        <f>'Calendario F'!W87</f>
        <v>0</v>
      </c>
      <c r="L250" s="48">
        <f>'Calendario F'!X87</f>
        <v>0</v>
      </c>
      <c r="M250" s="48">
        <f>'Calendario F'!Y87</f>
        <v>0</v>
      </c>
      <c r="N250" s="48">
        <f>'Calendario F'!Z87</f>
        <v>0</v>
      </c>
    </row>
    <row r="251" spans="1:14" x14ac:dyDescent="0.25">
      <c r="A251" s="48" t="str">
        <f>'Calendario F'!M90</f>
        <v>(Squadra A)</v>
      </c>
      <c r="B251" s="48">
        <f>'Calendario F'!N90</f>
        <v>0</v>
      </c>
      <c r="C251" s="48">
        <f>'Calendario F'!O90</f>
        <v>0</v>
      </c>
      <c r="D251" s="48">
        <f>'Calendario F'!P90</f>
        <v>0</v>
      </c>
      <c r="E251" s="48">
        <f>'Calendario F'!Q90</f>
        <v>0</v>
      </c>
      <c r="F251" s="48">
        <f>'Calendario F'!R90</f>
        <v>0</v>
      </c>
      <c r="G251" s="48">
        <f>'Calendario F'!S90</f>
        <v>0</v>
      </c>
      <c r="H251" s="48" t="str">
        <f>'Calendario F'!T90</f>
        <v>(Squadra B)</v>
      </c>
      <c r="I251" s="48">
        <f>'Calendario F'!U90</f>
        <v>0</v>
      </c>
      <c r="J251" s="48">
        <f>'Calendario F'!V90</f>
        <v>0</v>
      </c>
      <c r="K251" s="48">
        <f>'Calendario F'!W90</f>
        <v>0</v>
      </c>
      <c r="L251" s="48">
        <f>'Calendario F'!X90</f>
        <v>0</v>
      </c>
      <c r="M251" s="48">
        <f>'Calendario F'!Y90</f>
        <v>0</v>
      </c>
      <c r="N251" s="48">
        <f>'Calendario F'!Z90</f>
        <v>0</v>
      </c>
    </row>
    <row r="252" spans="1:14" x14ac:dyDescent="0.25">
      <c r="A252" s="48" t="str">
        <f>'Calendario F'!M95</f>
        <v>(Squadra A)</v>
      </c>
      <c r="B252" s="48">
        <f>'Calendario F'!N95</f>
        <v>0</v>
      </c>
      <c r="C252" s="48">
        <f>'Calendario F'!O95</f>
        <v>0</v>
      </c>
      <c r="D252" s="48">
        <f>'Calendario F'!P95</f>
        <v>0</v>
      </c>
      <c r="E252" s="48">
        <f>'Calendario F'!Q95</f>
        <v>0</v>
      </c>
      <c r="F252" s="48">
        <f>'Calendario F'!R95</f>
        <v>0</v>
      </c>
      <c r="G252" s="48">
        <f>'Calendario F'!S95</f>
        <v>0</v>
      </c>
      <c r="H252" s="48" t="str">
        <f>'Calendario F'!T95</f>
        <v>(Squadra B)</v>
      </c>
      <c r="I252" s="48">
        <f>'Calendario F'!U95</f>
        <v>0</v>
      </c>
      <c r="J252" s="48">
        <f>'Calendario F'!V95</f>
        <v>0</v>
      </c>
      <c r="K252" s="48">
        <f>'Calendario F'!W95</f>
        <v>0</v>
      </c>
      <c r="L252" s="48">
        <f>'Calendario F'!X95</f>
        <v>0</v>
      </c>
      <c r="M252" s="48">
        <f>'Calendario F'!Y95</f>
        <v>0</v>
      </c>
      <c r="N252" s="48">
        <f>'Calendario F'!Z95</f>
        <v>0</v>
      </c>
    </row>
    <row r="253" spans="1:14" x14ac:dyDescent="0.25">
      <c r="A253" s="48" t="str">
        <f>'Calendario F'!M98</f>
        <v>(Squadra A)</v>
      </c>
      <c r="B253" s="48">
        <f>'Calendario F'!N98</f>
        <v>0</v>
      </c>
      <c r="C253" s="48">
        <f>'Calendario F'!O98</f>
        <v>0</v>
      </c>
      <c r="D253" s="48">
        <f>'Calendario F'!P98</f>
        <v>0</v>
      </c>
      <c r="E253" s="48">
        <f>'Calendario F'!Q98</f>
        <v>0</v>
      </c>
      <c r="F253" s="48">
        <f>'Calendario F'!R98</f>
        <v>0</v>
      </c>
      <c r="G253" s="48">
        <f>'Calendario F'!S98</f>
        <v>0</v>
      </c>
      <c r="H253" s="48" t="str">
        <f>'Calendario F'!T98</f>
        <v>(Squadra B)</v>
      </c>
      <c r="I253" s="48">
        <f>'Calendario F'!U98</f>
        <v>0</v>
      </c>
      <c r="J253" s="48">
        <f>'Calendario F'!V98</f>
        <v>0</v>
      </c>
      <c r="K253" s="48">
        <f>'Calendario F'!W98</f>
        <v>0</v>
      </c>
      <c r="L253" s="48">
        <f>'Calendario F'!X98</f>
        <v>0</v>
      </c>
      <c r="M253" s="48">
        <f>'Calendario F'!Y98</f>
        <v>0</v>
      </c>
      <c r="N253" s="48">
        <f>'Calendario F'!Z98</f>
        <v>0</v>
      </c>
    </row>
    <row r="254" spans="1:14" x14ac:dyDescent="0.25">
      <c r="A254" s="48" t="str">
        <f>'Calendario F'!M101</f>
        <v>(Squadra A)</v>
      </c>
      <c r="B254" s="48">
        <f>'Calendario F'!N101</f>
        <v>0</v>
      </c>
      <c r="C254" s="48">
        <f>'Calendario F'!O101</f>
        <v>0</v>
      </c>
      <c r="D254" s="48">
        <f>'Calendario F'!P101</f>
        <v>0</v>
      </c>
      <c r="E254" s="48">
        <f>'Calendario F'!Q101</f>
        <v>0</v>
      </c>
      <c r="F254" s="48">
        <f>'Calendario F'!R101</f>
        <v>0</v>
      </c>
      <c r="G254" s="48">
        <f>'Calendario F'!S101</f>
        <v>0</v>
      </c>
      <c r="H254" s="48" t="str">
        <f>'Calendario F'!T101</f>
        <v>(Squadra B)</v>
      </c>
      <c r="I254" s="48">
        <f>'Calendario F'!U101</f>
        <v>0</v>
      </c>
      <c r="J254" s="48">
        <f>'Calendario F'!V101</f>
        <v>0</v>
      </c>
      <c r="K254" s="48">
        <f>'Calendario F'!W101</f>
        <v>0</v>
      </c>
      <c r="L254" s="48">
        <f>'Calendario F'!X101</f>
        <v>0</v>
      </c>
      <c r="M254" s="48">
        <f>'Calendario F'!Y101</f>
        <v>0</v>
      </c>
      <c r="N254" s="48">
        <f>'Calendario F'!Z101</f>
        <v>0</v>
      </c>
    </row>
    <row r="255" spans="1:14" x14ac:dyDescent="0.25">
      <c r="A255" s="48" t="str">
        <f>'Calendario F'!M104</f>
        <v>(Squadra A)</v>
      </c>
      <c r="B255" s="48">
        <f>'Calendario F'!N104</f>
        <v>0</v>
      </c>
      <c r="C255" s="48">
        <f>'Calendario F'!O104</f>
        <v>0</v>
      </c>
      <c r="D255" s="48">
        <f>'Calendario F'!P104</f>
        <v>0</v>
      </c>
      <c r="E255" s="48">
        <f>'Calendario F'!Q104</f>
        <v>0</v>
      </c>
      <c r="F255" s="48">
        <f>'Calendario F'!R104</f>
        <v>0</v>
      </c>
      <c r="G255" s="48">
        <f>'Calendario F'!S104</f>
        <v>0</v>
      </c>
      <c r="H255" s="48" t="str">
        <f>'Calendario F'!T104</f>
        <v>(Squadra B)</v>
      </c>
      <c r="I255" s="48">
        <f>'Calendario F'!U104</f>
        <v>0</v>
      </c>
      <c r="J255" s="48">
        <f>'Calendario F'!V104</f>
        <v>0</v>
      </c>
      <c r="K255" s="48">
        <f>'Calendario F'!W104</f>
        <v>0</v>
      </c>
      <c r="L255" s="48">
        <f>'Calendario F'!X104</f>
        <v>0</v>
      </c>
      <c r="M255" s="48">
        <f>'Calendario F'!Y104</f>
        <v>0</v>
      </c>
      <c r="N255" s="48">
        <f>'Calendario F'!Z104</f>
        <v>0</v>
      </c>
    </row>
    <row r="256" spans="1:14" x14ac:dyDescent="0.25">
      <c r="A256" s="48" t="str">
        <f>'Calendario F'!M107</f>
        <v>(Squadra A)</v>
      </c>
      <c r="B256" s="48">
        <f>'Calendario F'!N107</f>
        <v>0</v>
      </c>
      <c r="C256" s="48">
        <f>'Calendario F'!O107</f>
        <v>0</v>
      </c>
      <c r="D256" s="48">
        <f>'Calendario F'!P107</f>
        <v>0</v>
      </c>
      <c r="E256" s="48">
        <f>'Calendario F'!Q107</f>
        <v>0</v>
      </c>
      <c r="F256" s="48">
        <f>'Calendario F'!R107</f>
        <v>0</v>
      </c>
      <c r="G256" s="48">
        <f>'Calendario F'!S107</f>
        <v>0</v>
      </c>
      <c r="H256" s="48" t="str">
        <f>'Calendario F'!T107</f>
        <v>(Squadra B)</v>
      </c>
      <c r="I256" s="48">
        <f>'Calendario F'!U107</f>
        <v>0</v>
      </c>
      <c r="J256" s="48">
        <f>'Calendario F'!V107</f>
        <v>0</v>
      </c>
      <c r="K256" s="48">
        <f>'Calendario F'!W107</f>
        <v>0</v>
      </c>
      <c r="L256" s="48">
        <f>'Calendario F'!X107</f>
        <v>0</v>
      </c>
      <c r="M256" s="48">
        <f>'Calendario F'!Y107</f>
        <v>0</v>
      </c>
      <c r="N256" s="48">
        <f>'Calendario F'!Z107</f>
        <v>0</v>
      </c>
    </row>
    <row r="257" spans="1:14" x14ac:dyDescent="0.25">
      <c r="A257" s="48" t="str">
        <f>'Calendario F'!M112</f>
        <v>(Squadra A)</v>
      </c>
      <c r="B257" s="48">
        <f>'Calendario F'!N112</f>
        <v>0</v>
      </c>
      <c r="C257" s="48">
        <f>'Calendario F'!O112</f>
        <v>0</v>
      </c>
      <c r="D257" s="48">
        <f>'Calendario F'!P112</f>
        <v>0</v>
      </c>
      <c r="E257" s="48">
        <f>'Calendario F'!Q112</f>
        <v>0</v>
      </c>
      <c r="F257" s="48">
        <f>'Calendario F'!R112</f>
        <v>0</v>
      </c>
      <c r="G257" s="48">
        <f>'Calendario F'!S112</f>
        <v>0</v>
      </c>
      <c r="H257" s="48" t="str">
        <f>'Calendario F'!T112</f>
        <v>(Squadra B)</v>
      </c>
      <c r="I257" s="48">
        <f>'Calendario F'!U112</f>
        <v>0</v>
      </c>
      <c r="J257" s="48">
        <f>'Calendario F'!V112</f>
        <v>0</v>
      </c>
      <c r="K257" s="48">
        <f>'Calendario F'!W112</f>
        <v>0</v>
      </c>
      <c r="L257" s="48">
        <f>'Calendario F'!X112</f>
        <v>0</v>
      </c>
      <c r="M257" s="48">
        <f>'Calendario F'!Y112</f>
        <v>0</v>
      </c>
      <c r="N257" s="48">
        <f>'Calendario F'!Z112</f>
        <v>0</v>
      </c>
    </row>
    <row r="258" spans="1:14" x14ac:dyDescent="0.25">
      <c r="A258" s="48" t="str">
        <f>'Calendario F'!M115</f>
        <v>(Squadra A)</v>
      </c>
      <c r="B258" s="48">
        <f>'Calendario F'!N115</f>
        <v>0</v>
      </c>
      <c r="C258" s="48">
        <f>'Calendario F'!O115</f>
        <v>0</v>
      </c>
      <c r="D258" s="48">
        <f>'Calendario F'!P115</f>
        <v>0</v>
      </c>
      <c r="E258" s="48">
        <f>'Calendario F'!Q115</f>
        <v>0</v>
      </c>
      <c r="F258" s="48">
        <f>'Calendario F'!R115</f>
        <v>0</v>
      </c>
      <c r="G258" s="48">
        <f>'Calendario F'!S115</f>
        <v>0</v>
      </c>
      <c r="H258" s="48" t="str">
        <f>'Calendario F'!T115</f>
        <v>(Squadra B)</v>
      </c>
      <c r="I258" s="48">
        <f>'Calendario F'!U115</f>
        <v>0</v>
      </c>
      <c r="J258" s="48">
        <f>'Calendario F'!V115</f>
        <v>0</v>
      </c>
      <c r="K258" s="48">
        <f>'Calendario F'!W115</f>
        <v>0</v>
      </c>
      <c r="L258" s="48">
        <f>'Calendario F'!X115</f>
        <v>0</v>
      </c>
      <c r="M258" s="48">
        <f>'Calendario F'!Y115</f>
        <v>0</v>
      </c>
      <c r="N258" s="48">
        <f>'Calendario F'!Z115</f>
        <v>0</v>
      </c>
    </row>
    <row r="259" spans="1:14" x14ac:dyDescent="0.25">
      <c r="A259" s="48" t="str">
        <f>'Calendario F'!M118</f>
        <v>(Squadra A)</v>
      </c>
      <c r="B259" s="48">
        <f>'Calendario F'!N118</f>
        <v>0</v>
      </c>
      <c r="C259" s="48">
        <f>'Calendario F'!O118</f>
        <v>0</v>
      </c>
      <c r="D259" s="48">
        <f>'Calendario F'!P118</f>
        <v>0</v>
      </c>
      <c r="E259" s="48">
        <f>'Calendario F'!Q118</f>
        <v>0</v>
      </c>
      <c r="F259" s="48">
        <f>'Calendario F'!R118</f>
        <v>0</v>
      </c>
      <c r="G259" s="48">
        <f>'Calendario F'!S118</f>
        <v>0</v>
      </c>
      <c r="H259" s="48" t="str">
        <f>'Calendario F'!T118</f>
        <v>(Squadra B)</v>
      </c>
      <c r="I259" s="48">
        <f>'Calendario F'!U118</f>
        <v>0</v>
      </c>
      <c r="J259" s="48">
        <f>'Calendario F'!V118</f>
        <v>0</v>
      </c>
      <c r="K259" s="48">
        <f>'Calendario F'!W118</f>
        <v>0</v>
      </c>
      <c r="L259" s="48">
        <f>'Calendario F'!X118</f>
        <v>0</v>
      </c>
      <c r="M259" s="48">
        <f>'Calendario F'!Y118</f>
        <v>0</v>
      </c>
      <c r="N259" s="48">
        <f>'Calendario F'!Z118</f>
        <v>0</v>
      </c>
    </row>
    <row r="260" spans="1:14" x14ac:dyDescent="0.25">
      <c r="A260" s="48" t="str">
        <f>'Calendario F'!M121</f>
        <v>(Squadra A)</v>
      </c>
      <c r="B260" s="48">
        <f>'Calendario F'!N121</f>
        <v>0</v>
      </c>
      <c r="C260" s="48">
        <f>'Calendario F'!O121</f>
        <v>0</v>
      </c>
      <c r="D260" s="48">
        <f>'Calendario F'!P121</f>
        <v>0</v>
      </c>
      <c r="E260" s="48">
        <f>'Calendario F'!Q121</f>
        <v>0</v>
      </c>
      <c r="F260" s="48">
        <f>'Calendario F'!R121</f>
        <v>0</v>
      </c>
      <c r="G260" s="48">
        <f>'Calendario F'!S121</f>
        <v>0</v>
      </c>
      <c r="H260" s="48" t="str">
        <f>'Calendario F'!T121</f>
        <v>(Squadra B)</v>
      </c>
      <c r="I260" s="48">
        <f>'Calendario F'!U121</f>
        <v>0</v>
      </c>
      <c r="J260" s="48">
        <f>'Calendario F'!V121</f>
        <v>0</v>
      </c>
      <c r="K260" s="48">
        <f>'Calendario F'!W121</f>
        <v>0</v>
      </c>
      <c r="L260" s="48">
        <f>'Calendario F'!X121</f>
        <v>0</v>
      </c>
      <c r="M260" s="48">
        <f>'Calendario F'!Y121</f>
        <v>0</v>
      </c>
      <c r="N260" s="48">
        <f>'Calendario F'!Z121</f>
        <v>0</v>
      </c>
    </row>
    <row r="261" spans="1:14" x14ac:dyDescent="0.25">
      <c r="A261" s="48" t="str">
        <f>'Calendario F'!M124</f>
        <v>(Squadra A)</v>
      </c>
      <c r="B261" s="48">
        <f>'Calendario F'!N124</f>
        <v>0</v>
      </c>
      <c r="C261" s="48">
        <f>'Calendario F'!O124</f>
        <v>0</v>
      </c>
      <c r="D261" s="48">
        <f>'Calendario F'!P124</f>
        <v>0</v>
      </c>
      <c r="E261" s="48">
        <f>'Calendario F'!Q124</f>
        <v>0</v>
      </c>
      <c r="F261" s="48">
        <f>'Calendario F'!R124</f>
        <v>0</v>
      </c>
      <c r="G261" s="48">
        <f>'Calendario F'!S124</f>
        <v>0</v>
      </c>
      <c r="H261" s="48" t="str">
        <f>'Calendario F'!T124</f>
        <v>(Squadra B)</v>
      </c>
      <c r="I261" s="48">
        <f>'Calendario F'!U124</f>
        <v>0</v>
      </c>
      <c r="J261" s="48">
        <f>'Calendario F'!V124</f>
        <v>0</v>
      </c>
      <c r="K261" s="48">
        <f>'Calendario F'!W124</f>
        <v>0</v>
      </c>
      <c r="L261" s="48">
        <f>'Calendario F'!X124</f>
        <v>0</v>
      </c>
      <c r="M261" s="48">
        <f>'Calendario F'!Y124</f>
        <v>0</v>
      </c>
      <c r="N261" s="48">
        <f>'Calendario F'!Z124</f>
        <v>0</v>
      </c>
    </row>
    <row r="262" spans="1:14" x14ac:dyDescent="0.25">
      <c r="A262" s="48" t="str">
        <f>'Calendario F'!M129</f>
        <v>(Squadra A)</v>
      </c>
      <c r="B262" s="48">
        <f>'Calendario F'!N129</f>
        <v>0</v>
      </c>
      <c r="C262" s="48">
        <f>'Calendario F'!O129</f>
        <v>0</v>
      </c>
      <c r="D262" s="48">
        <f>'Calendario F'!P129</f>
        <v>0</v>
      </c>
      <c r="E262" s="48">
        <f>'Calendario F'!Q129</f>
        <v>0</v>
      </c>
      <c r="F262" s="48">
        <f>'Calendario F'!R129</f>
        <v>0</v>
      </c>
      <c r="G262" s="48">
        <f>'Calendario F'!S129</f>
        <v>0</v>
      </c>
      <c r="H262" s="48" t="str">
        <f>'Calendario F'!T129</f>
        <v>(Squadra B)</v>
      </c>
      <c r="I262" s="48">
        <f>'Calendario F'!U129</f>
        <v>0</v>
      </c>
      <c r="J262" s="48">
        <f>'Calendario F'!V129</f>
        <v>0</v>
      </c>
      <c r="K262" s="48">
        <f>'Calendario F'!W129</f>
        <v>0</v>
      </c>
      <c r="L262" s="48">
        <f>'Calendario F'!X129</f>
        <v>0</v>
      </c>
      <c r="M262" s="48">
        <f>'Calendario F'!Y129</f>
        <v>0</v>
      </c>
      <c r="N262" s="48">
        <f>'Calendario F'!Z129</f>
        <v>0</v>
      </c>
    </row>
    <row r="263" spans="1:14" x14ac:dyDescent="0.25">
      <c r="A263" s="48" t="str">
        <f>'Calendario F'!M132</f>
        <v>(Squadra A)</v>
      </c>
      <c r="B263" s="48">
        <f>'Calendario F'!N132</f>
        <v>0</v>
      </c>
      <c r="C263" s="48">
        <f>'Calendario F'!O132</f>
        <v>0</v>
      </c>
      <c r="D263" s="48">
        <f>'Calendario F'!P132</f>
        <v>0</v>
      </c>
      <c r="E263" s="48">
        <f>'Calendario F'!Q132</f>
        <v>0</v>
      </c>
      <c r="F263" s="48">
        <f>'Calendario F'!R132</f>
        <v>0</v>
      </c>
      <c r="G263" s="48">
        <f>'Calendario F'!S132</f>
        <v>0</v>
      </c>
      <c r="H263" s="48" t="str">
        <f>'Calendario F'!T132</f>
        <v>(Squadra B)</v>
      </c>
      <c r="I263" s="48">
        <f>'Calendario F'!U132</f>
        <v>0</v>
      </c>
      <c r="J263" s="48">
        <f>'Calendario F'!V132</f>
        <v>0</v>
      </c>
      <c r="K263" s="48">
        <f>'Calendario F'!W132</f>
        <v>0</v>
      </c>
      <c r="L263" s="48">
        <f>'Calendario F'!X132</f>
        <v>0</v>
      </c>
      <c r="M263" s="48">
        <f>'Calendario F'!Y132</f>
        <v>0</v>
      </c>
      <c r="N263" s="48">
        <f>'Calendario F'!Z132</f>
        <v>0</v>
      </c>
    </row>
    <row r="264" spans="1:14" x14ac:dyDescent="0.25">
      <c r="A264" s="48" t="str">
        <f>'Calendario F'!M135</f>
        <v>(Squadra A)</v>
      </c>
      <c r="B264" s="48">
        <f>'Calendario F'!N135</f>
        <v>0</v>
      </c>
      <c r="C264" s="48">
        <f>'Calendario F'!O135</f>
        <v>0</v>
      </c>
      <c r="D264" s="48">
        <f>'Calendario F'!P135</f>
        <v>0</v>
      </c>
      <c r="E264" s="48">
        <f>'Calendario F'!Q135</f>
        <v>0</v>
      </c>
      <c r="F264" s="48">
        <f>'Calendario F'!R135</f>
        <v>0</v>
      </c>
      <c r="G264" s="48">
        <f>'Calendario F'!S135</f>
        <v>0</v>
      </c>
      <c r="H264" s="48" t="str">
        <f>'Calendario F'!T135</f>
        <v>(Squadra B)</v>
      </c>
      <c r="I264" s="48">
        <f>'Calendario F'!U135</f>
        <v>0</v>
      </c>
      <c r="J264" s="48">
        <f>'Calendario F'!V135</f>
        <v>0</v>
      </c>
      <c r="K264" s="48">
        <f>'Calendario F'!W135</f>
        <v>0</v>
      </c>
      <c r="L264" s="48">
        <f>'Calendario F'!X135</f>
        <v>0</v>
      </c>
      <c r="M264" s="48">
        <f>'Calendario F'!Y135</f>
        <v>0</v>
      </c>
      <c r="N264" s="48">
        <f>'Calendario F'!Z135</f>
        <v>0</v>
      </c>
    </row>
    <row r="265" spans="1:14" x14ac:dyDescent="0.25">
      <c r="A265" s="48" t="str">
        <f>'Calendario F'!M138</f>
        <v>(Squadra A)</v>
      </c>
      <c r="B265" s="48">
        <f>'Calendario F'!N138</f>
        <v>0</v>
      </c>
      <c r="C265" s="48">
        <f>'Calendario F'!O138</f>
        <v>0</v>
      </c>
      <c r="D265" s="48">
        <f>'Calendario F'!P138</f>
        <v>0</v>
      </c>
      <c r="E265" s="48">
        <f>'Calendario F'!Q138</f>
        <v>0</v>
      </c>
      <c r="F265" s="48">
        <f>'Calendario F'!R138</f>
        <v>0</v>
      </c>
      <c r="G265" s="48">
        <f>'Calendario F'!S138</f>
        <v>0</v>
      </c>
      <c r="H265" s="48" t="str">
        <f>'Calendario F'!T138</f>
        <v>(Squadra B)</v>
      </c>
      <c r="I265" s="48">
        <f>'Calendario F'!U138</f>
        <v>0</v>
      </c>
      <c r="J265" s="48">
        <f>'Calendario F'!V138</f>
        <v>0</v>
      </c>
      <c r="K265" s="48">
        <f>'Calendario F'!W138</f>
        <v>0</v>
      </c>
      <c r="L265" s="48">
        <f>'Calendario F'!X138</f>
        <v>0</v>
      </c>
      <c r="M265" s="48">
        <f>'Calendario F'!Y138</f>
        <v>0</v>
      </c>
      <c r="N265" s="48">
        <f>'Calendario F'!Z138</f>
        <v>0</v>
      </c>
    </row>
    <row r="266" spans="1:14" x14ac:dyDescent="0.25">
      <c r="A266" s="48" t="str">
        <f>'Calendario F'!M141</f>
        <v>(Squadra A)</v>
      </c>
      <c r="B266" s="48">
        <f>'Calendario F'!N141</f>
        <v>0</v>
      </c>
      <c r="C266" s="48">
        <f>'Calendario F'!O141</f>
        <v>0</v>
      </c>
      <c r="D266" s="48">
        <f>'Calendario F'!P141</f>
        <v>0</v>
      </c>
      <c r="E266" s="48">
        <f>'Calendario F'!Q141</f>
        <v>0</v>
      </c>
      <c r="F266" s="48">
        <f>'Calendario F'!R141</f>
        <v>0</v>
      </c>
      <c r="G266" s="48">
        <f>'Calendario F'!S141</f>
        <v>0</v>
      </c>
      <c r="H266" s="48" t="str">
        <f>'Calendario F'!T141</f>
        <v>(Squadra B)</v>
      </c>
      <c r="I266" s="48">
        <f>'Calendario F'!U141</f>
        <v>0</v>
      </c>
      <c r="J266" s="48">
        <f>'Calendario F'!V141</f>
        <v>0</v>
      </c>
      <c r="K266" s="48">
        <f>'Calendario F'!W141</f>
        <v>0</v>
      </c>
      <c r="L266" s="48">
        <f>'Calendario F'!X141</f>
        <v>0</v>
      </c>
      <c r="M266" s="48">
        <f>'Calendario F'!Y141</f>
        <v>0</v>
      </c>
      <c r="N266" s="48">
        <f>'Calendario F'!Z141</f>
        <v>0</v>
      </c>
    </row>
    <row r="267" spans="1:14" x14ac:dyDescent="0.25">
      <c r="A267" s="48" t="str">
        <f>'Calendario F'!M146</f>
        <v>(Squadra A)</v>
      </c>
      <c r="B267" s="48">
        <f>'Calendario F'!N146</f>
        <v>0</v>
      </c>
      <c r="C267" s="48">
        <f>'Calendario F'!O146</f>
        <v>0</v>
      </c>
      <c r="D267" s="48">
        <f>'Calendario F'!P146</f>
        <v>0</v>
      </c>
      <c r="E267" s="48">
        <f>'Calendario F'!Q146</f>
        <v>0</v>
      </c>
      <c r="F267" s="48">
        <f>'Calendario F'!R146</f>
        <v>0</v>
      </c>
      <c r="G267" s="48">
        <f>'Calendario F'!S146</f>
        <v>0</v>
      </c>
      <c r="H267" s="48" t="str">
        <f>'Calendario F'!T146</f>
        <v>(Squadra B)</v>
      </c>
      <c r="I267" s="48">
        <f>'Calendario F'!U146</f>
        <v>0</v>
      </c>
      <c r="J267" s="48">
        <f>'Calendario F'!V146</f>
        <v>0</v>
      </c>
      <c r="K267" s="48">
        <f>'Calendario F'!W146</f>
        <v>0</v>
      </c>
      <c r="L267" s="48">
        <f>'Calendario F'!X146</f>
        <v>0</v>
      </c>
      <c r="M267" s="48">
        <f>'Calendario F'!Y146</f>
        <v>0</v>
      </c>
      <c r="N267" s="48">
        <f>'Calendario F'!Z146</f>
        <v>0</v>
      </c>
    </row>
    <row r="268" spans="1:14" x14ac:dyDescent="0.25">
      <c r="A268" s="48" t="str">
        <f>'Calendario F'!M149</f>
        <v>(Squadra A)</v>
      </c>
      <c r="B268" s="48">
        <f>'Calendario F'!N149</f>
        <v>0</v>
      </c>
      <c r="C268" s="48">
        <f>'Calendario F'!O149</f>
        <v>0</v>
      </c>
      <c r="D268" s="48">
        <f>'Calendario F'!P149</f>
        <v>0</v>
      </c>
      <c r="E268" s="48">
        <f>'Calendario F'!Q149</f>
        <v>0</v>
      </c>
      <c r="F268" s="48">
        <f>'Calendario F'!R149</f>
        <v>0</v>
      </c>
      <c r="G268" s="48">
        <f>'Calendario F'!S149</f>
        <v>0</v>
      </c>
      <c r="H268" s="48" t="str">
        <f>'Calendario F'!T149</f>
        <v>(Squadra B)</v>
      </c>
      <c r="I268" s="48">
        <f>'Calendario F'!U149</f>
        <v>0</v>
      </c>
      <c r="J268" s="48">
        <f>'Calendario F'!V149</f>
        <v>0</v>
      </c>
      <c r="K268" s="48">
        <f>'Calendario F'!W149</f>
        <v>0</v>
      </c>
      <c r="L268" s="48">
        <f>'Calendario F'!X149</f>
        <v>0</v>
      </c>
      <c r="M268" s="48">
        <f>'Calendario F'!Y149</f>
        <v>0</v>
      </c>
      <c r="N268" s="48">
        <f>'Calendario F'!Z149</f>
        <v>0</v>
      </c>
    </row>
    <row r="269" spans="1:14" x14ac:dyDescent="0.25">
      <c r="A269" s="48" t="str">
        <f>'Calendario F'!M152</f>
        <v>(Squadra A)</v>
      </c>
      <c r="B269" s="48">
        <f>'Calendario F'!N152</f>
        <v>0</v>
      </c>
      <c r="C269" s="48">
        <f>'Calendario F'!O152</f>
        <v>0</v>
      </c>
      <c r="D269" s="48">
        <f>'Calendario F'!P152</f>
        <v>0</v>
      </c>
      <c r="E269" s="48">
        <f>'Calendario F'!Q152</f>
        <v>0</v>
      </c>
      <c r="F269" s="48">
        <f>'Calendario F'!R152</f>
        <v>0</v>
      </c>
      <c r="G269" s="48">
        <f>'Calendario F'!S152</f>
        <v>0</v>
      </c>
      <c r="H269" s="48" t="str">
        <f>'Calendario F'!T152</f>
        <v>(Squadra B)</v>
      </c>
      <c r="I269" s="48">
        <f>'Calendario F'!U152</f>
        <v>0</v>
      </c>
      <c r="J269" s="48">
        <f>'Calendario F'!V152</f>
        <v>0</v>
      </c>
      <c r="K269" s="48">
        <f>'Calendario F'!W152</f>
        <v>0</v>
      </c>
      <c r="L269" s="48">
        <f>'Calendario F'!X152</f>
        <v>0</v>
      </c>
      <c r="M269" s="48">
        <f>'Calendario F'!Y152</f>
        <v>0</v>
      </c>
      <c r="N269" s="48">
        <f>'Calendario F'!Z152</f>
        <v>0</v>
      </c>
    </row>
    <row r="270" spans="1:14" x14ac:dyDescent="0.25">
      <c r="A270" s="48" t="str">
        <f>'Calendario F'!M155</f>
        <v>(Squadra A)</v>
      </c>
      <c r="B270" s="48">
        <f>'Calendario F'!N155</f>
        <v>0</v>
      </c>
      <c r="C270" s="48">
        <f>'Calendario F'!O155</f>
        <v>0</v>
      </c>
      <c r="D270" s="48">
        <f>'Calendario F'!P155</f>
        <v>0</v>
      </c>
      <c r="E270" s="48">
        <f>'Calendario F'!Q155</f>
        <v>0</v>
      </c>
      <c r="F270" s="48">
        <f>'Calendario F'!R155</f>
        <v>0</v>
      </c>
      <c r="G270" s="48">
        <f>'Calendario F'!S155</f>
        <v>0</v>
      </c>
      <c r="H270" s="48" t="str">
        <f>'Calendario F'!T155</f>
        <v>(Squadra B)</v>
      </c>
      <c r="I270" s="48">
        <f>'Calendario F'!U155</f>
        <v>0</v>
      </c>
      <c r="J270" s="48">
        <f>'Calendario F'!V155</f>
        <v>0</v>
      </c>
      <c r="K270" s="48">
        <f>'Calendario F'!W155</f>
        <v>0</v>
      </c>
      <c r="L270" s="48">
        <f>'Calendario F'!X155</f>
        <v>0</v>
      </c>
      <c r="M270" s="48">
        <f>'Calendario F'!Y155</f>
        <v>0</v>
      </c>
      <c r="N270" s="48">
        <f>'Calendario F'!Z155</f>
        <v>0</v>
      </c>
    </row>
    <row r="271" spans="1:14" x14ac:dyDescent="0.25">
      <c r="A271" s="48" t="str">
        <f>'Calendario F'!M158</f>
        <v>(Squadra A)</v>
      </c>
      <c r="B271" s="48">
        <f>'Calendario F'!N158</f>
        <v>0</v>
      </c>
      <c r="C271" s="48">
        <f>'Calendario F'!O158</f>
        <v>0</v>
      </c>
      <c r="D271" s="48">
        <f>'Calendario F'!P158</f>
        <v>0</v>
      </c>
      <c r="E271" s="48">
        <f>'Calendario F'!Q158</f>
        <v>0</v>
      </c>
      <c r="F271" s="48">
        <f>'Calendario F'!R158</f>
        <v>0</v>
      </c>
      <c r="G271" s="48">
        <f>'Calendario F'!S158</f>
        <v>0</v>
      </c>
      <c r="H271" s="48" t="str">
        <f>'Calendario F'!T158</f>
        <v>(Squadra B)</v>
      </c>
      <c r="I271" s="48">
        <f>'Calendario F'!U158</f>
        <v>0</v>
      </c>
      <c r="J271" s="48">
        <f>'Calendario F'!V158</f>
        <v>0</v>
      </c>
      <c r="K271" s="48">
        <f>'Calendario F'!W158</f>
        <v>0</v>
      </c>
      <c r="L271" s="48">
        <f>'Calendario F'!X158</f>
        <v>0</v>
      </c>
      <c r="M271" s="48">
        <f>'Calendario F'!Y158</f>
        <v>0</v>
      </c>
      <c r="N271" s="48">
        <f>'Calendario F'!Z158</f>
        <v>0</v>
      </c>
    </row>
    <row r="272" spans="1:14" x14ac:dyDescent="0.25">
      <c r="A272" s="48" t="str">
        <f>'Calendario G'!M10</f>
        <v>(Squadra A)</v>
      </c>
      <c r="B272" s="48">
        <f>'Calendario G'!N10</f>
        <v>0</v>
      </c>
      <c r="C272" s="48">
        <f>'Calendario G'!O10</f>
        <v>0</v>
      </c>
      <c r="D272" s="48">
        <f>'Calendario G'!P10</f>
        <v>0</v>
      </c>
      <c r="E272" s="48">
        <f>'Calendario G'!Q10</f>
        <v>0</v>
      </c>
      <c r="F272" s="48">
        <f>'Calendario G'!R10</f>
        <v>0</v>
      </c>
      <c r="G272" s="48">
        <f>'Calendario G'!S10</f>
        <v>0</v>
      </c>
      <c r="H272" s="48" t="str">
        <f>'Calendario G'!T10</f>
        <v>(Squadra B)</v>
      </c>
      <c r="I272" s="48">
        <f>'Calendario G'!U10</f>
        <v>0</v>
      </c>
      <c r="J272" s="48">
        <f>'Calendario G'!V10</f>
        <v>0</v>
      </c>
      <c r="K272" s="48">
        <f>'Calendario G'!W10</f>
        <v>0</v>
      </c>
      <c r="L272" s="48">
        <f>'Calendario G'!X10</f>
        <v>0</v>
      </c>
      <c r="M272" s="48">
        <f>'Calendario G'!Y10</f>
        <v>0</v>
      </c>
      <c r="N272" s="48">
        <f>'Calendario G'!Z10</f>
        <v>0</v>
      </c>
    </row>
    <row r="273" spans="1:14" x14ac:dyDescent="0.25">
      <c r="A273" s="48" t="str">
        <f>'Calendario G'!M13</f>
        <v>(Squadra A)</v>
      </c>
      <c r="B273" s="48">
        <f>'Calendario G'!N13</f>
        <v>0</v>
      </c>
      <c r="C273" s="48">
        <f>'Calendario G'!O13</f>
        <v>0</v>
      </c>
      <c r="D273" s="48">
        <f>'Calendario G'!P13</f>
        <v>0</v>
      </c>
      <c r="E273" s="48">
        <f>'Calendario G'!Q13</f>
        <v>0</v>
      </c>
      <c r="F273" s="48">
        <f>'Calendario G'!R13</f>
        <v>0</v>
      </c>
      <c r="G273" s="48">
        <f>'Calendario G'!S13</f>
        <v>0</v>
      </c>
      <c r="H273" s="48" t="str">
        <f>'Calendario G'!T13</f>
        <v>(Squadra B)</v>
      </c>
      <c r="I273" s="48">
        <f>'Calendario G'!U13</f>
        <v>0</v>
      </c>
      <c r="J273" s="48">
        <f>'Calendario G'!V13</f>
        <v>0</v>
      </c>
      <c r="K273" s="48">
        <f>'Calendario G'!W13</f>
        <v>0</v>
      </c>
      <c r="L273" s="48">
        <f>'Calendario G'!X13</f>
        <v>0</v>
      </c>
      <c r="M273" s="48">
        <f>'Calendario G'!Y13</f>
        <v>0</v>
      </c>
      <c r="N273" s="48">
        <f>'Calendario G'!Z13</f>
        <v>0</v>
      </c>
    </row>
    <row r="274" spans="1:14" x14ac:dyDescent="0.25">
      <c r="A274" s="48" t="str">
        <f>'Calendario G'!M16</f>
        <v>(Squadra A)</v>
      </c>
      <c r="B274" s="48">
        <f>'Calendario G'!N16</f>
        <v>0</v>
      </c>
      <c r="C274" s="48">
        <f>'Calendario G'!O16</f>
        <v>0</v>
      </c>
      <c r="D274" s="48">
        <f>'Calendario G'!P16</f>
        <v>0</v>
      </c>
      <c r="E274" s="48">
        <f>'Calendario G'!Q16</f>
        <v>0</v>
      </c>
      <c r="F274" s="48">
        <f>'Calendario G'!R16</f>
        <v>0</v>
      </c>
      <c r="G274" s="48">
        <f>'Calendario G'!S16</f>
        <v>0</v>
      </c>
      <c r="H274" s="48" t="str">
        <f>'Calendario G'!T16</f>
        <v>(Squadra B)</v>
      </c>
      <c r="I274" s="48">
        <f>'Calendario G'!U16</f>
        <v>0</v>
      </c>
      <c r="J274" s="48">
        <f>'Calendario G'!V16</f>
        <v>0</v>
      </c>
      <c r="K274" s="48">
        <f>'Calendario G'!W16</f>
        <v>0</v>
      </c>
      <c r="L274" s="48">
        <f>'Calendario G'!X16</f>
        <v>0</v>
      </c>
      <c r="M274" s="48">
        <f>'Calendario G'!Y16</f>
        <v>0</v>
      </c>
      <c r="N274" s="48">
        <f>'Calendario G'!Z16</f>
        <v>0</v>
      </c>
    </row>
    <row r="275" spans="1:14" x14ac:dyDescent="0.25">
      <c r="A275" s="48" t="str">
        <f>'Calendario G'!M19</f>
        <v>(Squadra A)</v>
      </c>
      <c r="B275" s="48">
        <f>'Calendario G'!N19</f>
        <v>0</v>
      </c>
      <c r="C275" s="48">
        <f>'Calendario G'!O19</f>
        <v>0</v>
      </c>
      <c r="D275" s="48">
        <f>'Calendario G'!P19</f>
        <v>0</v>
      </c>
      <c r="E275" s="48">
        <f>'Calendario G'!Q19</f>
        <v>0</v>
      </c>
      <c r="F275" s="48">
        <f>'Calendario G'!R19</f>
        <v>0</v>
      </c>
      <c r="G275" s="48">
        <f>'Calendario G'!S19</f>
        <v>0</v>
      </c>
      <c r="H275" s="48" t="str">
        <f>'Calendario G'!T19</f>
        <v>(Squadra B)</v>
      </c>
      <c r="I275" s="48">
        <f>'Calendario G'!U19</f>
        <v>0</v>
      </c>
      <c r="J275" s="48">
        <f>'Calendario G'!V19</f>
        <v>0</v>
      </c>
      <c r="K275" s="48">
        <f>'Calendario G'!W19</f>
        <v>0</v>
      </c>
      <c r="L275" s="48">
        <f>'Calendario G'!X19</f>
        <v>0</v>
      </c>
      <c r="M275" s="48">
        <f>'Calendario G'!Y19</f>
        <v>0</v>
      </c>
      <c r="N275" s="48">
        <f>'Calendario G'!Z19</f>
        <v>0</v>
      </c>
    </row>
    <row r="276" spans="1:14" x14ac:dyDescent="0.25">
      <c r="A276" s="48" t="str">
        <f>'Calendario G'!M22</f>
        <v>(Squadra A)</v>
      </c>
      <c r="B276" s="48">
        <f>'Calendario G'!N22</f>
        <v>0</v>
      </c>
      <c r="C276" s="48">
        <f>'Calendario G'!O22</f>
        <v>0</v>
      </c>
      <c r="D276" s="48">
        <f>'Calendario G'!P22</f>
        <v>0</v>
      </c>
      <c r="E276" s="48">
        <f>'Calendario G'!Q22</f>
        <v>0</v>
      </c>
      <c r="F276" s="48">
        <f>'Calendario G'!R22</f>
        <v>0</v>
      </c>
      <c r="G276" s="48">
        <f>'Calendario G'!S22</f>
        <v>0</v>
      </c>
      <c r="H276" s="48" t="str">
        <f>'Calendario G'!T22</f>
        <v>(Squadra B)</v>
      </c>
      <c r="I276" s="48">
        <f>'Calendario G'!U22</f>
        <v>0</v>
      </c>
      <c r="J276" s="48">
        <f>'Calendario G'!V22</f>
        <v>0</v>
      </c>
      <c r="K276" s="48">
        <f>'Calendario G'!W22</f>
        <v>0</v>
      </c>
      <c r="L276" s="48">
        <f>'Calendario G'!X22</f>
        <v>0</v>
      </c>
      <c r="M276" s="48">
        <f>'Calendario G'!Y22</f>
        <v>0</v>
      </c>
      <c r="N276" s="48">
        <f>'Calendario G'!Z22</f>
        <v>0</v>
      </c>
    </row>
    <row r="277" spans="1:14" x14ac:dyDescent="0.25">
      <c r="A277" s="48" t="str">
        <f>'Calendario G'!M27</f>
        <v>(Squadra A)</v>
      </c>
      <c r="B277" s="48">
        <f>'Calendario G'!N27</f>
        <v>0</v>
      </c>
      <c r="C277" s="48">
        <f>'Calendario G'!O27</f>
        <v>0</v>
      </c>
      <c r="D277" s="48">
        <f>'Calendario G'!P27</f>
        <v>0</v>
      </c>
      <c r="E277" s="48">
        <f>'Calendario G'!Q27</f>
        <v>0</v>
      </c>
      <c r="F277" s="48">
        <f>'Calendario G'!R27</f>
        <v>0</v>
      </c>
      <c r="G277" s="48">
        <f>'Calendario G'!S27</f>
        <v>0</v>
      </c>
      <c r="H277" s="48" t="str">
        <f>'Calendario G'!T27</f>
        <v>(Squadra B)</v>
      </c>
      <c r="I277" s="48">
        <f>'Calendario G'!U27</f>
        <v>0</v>
      </c>
      <c r="J277" s="48">
        <f>'Calendario G'!V27</f>
        <v>0</v>
      </c>
      <c r="K277" s="48">
        <f>'Calendario G'!W27</f>
        <v>0</v>
      </c>
      <c r="L277" s="48">
        <f>'Calendario G'!X27</f>
        <v>0</v>
      </c>
      <c r="M277" s="48">
        <f>'Calendario G'!Y27</f>
        <v>0</v>
      </c>
      <c r="N277" s="48">
        <f>'Calendario G'!Z27</f>
        <v>0</v>
      </c>
    </row>
    <row r="278" spans="1:14" x14ac:dyDescent="0.25">
      <c r="A278" s="48" t="str">
        <f>'Calendario G'!M30</f>
        <v>(Squadra A)</v>
      </c>
      <c r="B278" s="48">
        <f>'Calendario G'!N30</f>
        <v>0</v>
      </c>
      <c r="C278" s="48">
        <f>'Calendario G'!O30</f>
        <v>0</v>
      </c>
      <c r="D278" s="48">
        <f>'Calendario G'!P30</f>
        <v>0</v>
      </c>
      <c r="E278" s="48">
        <f>'Calendario G'!Q30</f>
        <v>0</v>
      </c>
      <c r="F278" s="48">
        <f>'Calendario G'!R30</f>
        <v>0</v>
      </c>
      <c r="G278" s="48">
        <f>'Calendario G'!S30</f>
        <v>0</v>
      </c>
      <c r="H278" s="48" t="str">
        <f>'Calendario G'!T30</f>
        <v>(Squadra B)</v>
      </c>
      <c r="I278" s="48">
        <f>'Calendario G'!U30</f>
        <v>0</v>
      </c>
      <c r="J278" s="48">
        <f>'Calendario G'!V30</f>
        <v>0</v>
      </c>
      <c r="K278" s="48">
        <f>'Calendario G'!W30</f>
        <v>0</v>
      </c>
      <c r="L278" s="48">
        <f>'Calendario G'!X30</f>
        <v>0</v>
      </c>
      <c r="M278" s="48">
        <f>'Calendario G'!Y30</f>
        <v>0</v>
      </c>
      <c r="N278" s="48">
        <f>'Calendario G'!Z30</f>
        <v>0</v>
      </c>
    </row>
    <row r="279" spans="1:14" x14ac:dyDescent="0.25">
      <c r="A279" s="48" t="str">
        <f>'Calendario G'!M33</f>
        <v>(Squadra A)</v>
      </c>
      <c r="B279" s="48">
        <f>'Calendario G'!N33</f>
        <v>0</v>
      </c>
      <c r="C279" s="48">
        <f>'Calendario G'!O33</f>
        <v>0</v>
      </c>
      <c r="D279" s="48">
        <f>'Calendario G'!P33</f>
        <v>0</v>
      </c>
      <c r="E279" s="48">
        <f>'Calendario G'!Q33</f>
        <v>0</v>
      </c>
      <c r="F279" s="48">
        <f>'Calendario G'!R33</f>
        <v>0</v>
      </c>
      <c r="G279" s="48">
        <f>'Calendario G'!S33</f>
        <v>0</v>
      </c>
      <c r="H279" s="48" t="str">
        <f>'Calendario G'!T33</f>
        <v>(Squadra B)</v>
      </c>
      <c r="I279" s="48">
        <f>'Calendario G'!U33</f>
        <v>0</v>
      </c>
      <c r="J279" s="48">
        <f>'Calendario G'!V33</f>
        <v>0</v>
      </c>
      <c r="K279" s="48">
        <f>'Calendario G'!W33</f>
        <v>0</v>
      </c>
      <c r="L279" s="48">
        <f>'Calendario G'!X33</f>
        <v>0</v>
      </c>
      <c r="M279" s="48">
        <f>'Calendario G'!Y33</f>
        <v>0</v>
      </c>
      <c r="N279" s="48">
        <f>'Calendario G'!Z33</f>
        <v>0</v>
      </c>
    </row>
    <row r="280" spans="1:14" x14ac:dyDescent="0.25">
      <c r="A280" s="48" t="str">
        <f>'Calendario G'!M36</f>
        <v>(Squadra A)</v>
      </c>
      <c r="B280" s="48">
        <f>'Calendario G'!N36</f>
        <v>0</v>
      </c>
      <c r="C280" s="48">
        <f>'Calendario G'!O36</f>
        <v>0</v>
      </c>
      <c r="D280" s="48">
        <f>'Calendario G'!P36</f>
        <v>0</v>
      </c>
      <c r="E280" s="48">
        <f>'Calendario G'!Q36</f>
        <v>0</v>
      </c>
      <c r="F280" s="48">
        <f>'Calendario G'!R36</f>
        <v>0</v>
      </c>
      <c r="G280" s="48">
        <f>'Calendario G'!S36</f>
        <v>0</v>
      </c>
      <c r="H280" s="48" t="str">
        <f>'Calendario G'!T36</f>
        <v>(Squadra B)</v>
      </c>
      <c r="I280" s="48">
        <f>'Calendario G'!U36</f>
        <v>0</v>
      </c>
      <c r="J280" s="48">
        <f>'Calendario G'!V36</f>
        <v>0</v>
      </c>
      <c r="K280" s="48">
        <f>'Calendario G'!W36</f>
        <v>0</v>
      </c>
      <c r="L280" s="48">
        <f>'Calendario G'!X36</f>
        <v>0</v>
      </c>
      <c r="M280" s="48">
        <f>'Calendario G'!Y36</f>
        <v>0</v>
      </c>
      <c r="N280" s="48">
        <f>'Calendario G'!Z36</f>
        <v>0</v>
      </c>
    </row>
    <row r="281" spans="1:14" x14ac:dyDescent="0.25">
      <c r="A281" s="48" t="str">
        <f>'Calendario G'!M39</f>
        <v>(Squadra A)</v>
      </c>
      <c r="B281" s="48">
        <f>'Calendario G'!N39</f>
        <v>0</v>
      </c>
      <c r="C281" s="48">
        <f>'Calendario G'!O39</f>
        <v>0</v>
      </c>
      <c r="D281" s="48">
        <f>'Calendario G'!P39</f>
        <v>0</v>
      </c>
      <c r="E281" s="48">
        <f>'Calendario G'!Q39</f>
        <v>0</v>
      </c>
      <c r="F281" s="48">
        <f>'Calendario G'!R39</f>
        <v>0</v>
      </c>
      <c r="G281" s="48">
        <f>'Calendario G'!S39</f>
        <v>0</v>
      </c>
      <c r="H281" s="48" t="str">
        <f>'Calendario G'!T39</f>
        <v>(Squadra B)</v>
      </c>
      <c r="I281" s="48">
        <f>'Calendario G'!U39</f>
        <v>0</v>
      </c>
      <c r="J281" s="48">
        <f>'Calendario G'!V39</f>
        <v>0</v>
      </c>
      <c r="K281" s="48">
        <f>'Calendario G'!W39</f>
        <v>0</v>
      </c>
      <c r="L281" s="48">
        <f>'Calendario G'!X39</f>
        <v>0</v>
      </c>
      <c r="M281" s="48">
        <f>'Calendario G'!Y39</f>
        <v>0</v>
      </c>
      <c r="N281" s="48">
        <f>'Calendario G'!Z39</f>
        <v>0</v>
      </c>
    </row>
    <row r="282" spans="1:14" x14ac:dyDescent="0.25">
      <c r="A282" s="48" t="str">
        <f>'Calendario G'!M44</f>
        <v>(Squadra A)</v>
      </c>
      <c r="B282" s="48">
        <f>'Calendario G'!N44</f>
        <v>0</v>
      </c>
      <c r="C282" s="48">
        <f>'Calendario G'!O44</f>
        <v>0</v>
      </c>
      <c r="D282" s="48">
        <f>'Calendario G'!P44</f>
        <v>0</v>
      </c>
      <c r="E282" s="48">
        <f>'Calendario G'!Q44</f>
        <v>0</v>
      </c>
      <c r="F282" s="48">
        <f>'Calendario G'!R44</f>
        <v>0</v>
      </c>
      <c r="G282" s="48">
        <f>'Calendario G'!S44</f>
        <v>0</v>
      </c>
      <c r="H282" s="48" t="str">
        <f>'Calendario G'!T44</f>
        <v>(Squadra B)</v>
      </c>
      <c r="I282" s="48">
        <f>'Calendario G'!U44</f>
        <v>0</v>
      </c>
      <c r="J282" s="48">
        <f>'Calendario G'!V44</f>
        <v>0</v>
      </c>
      <c r="K282" s="48">
        <f>'Calendario G'!W44</f>
        <v>0</v>
      </c>
      <c r="L282" s="48">
        <f>'Calendario G'!X44</f>
        <v>0</v>
      </c>
      <c r="M282" s="48">
        <f>'Calendario G'!Y44</f>
        <v>0</v>
      </c>
      <c r="N282" s="48">
        <f>'Calendario G'!Z44</f>
        <v>0</v>
      </c>
    </row>
    <row r="283" spans="1:14" x14ac:dyDescent="0.25">
      <c r="A283" s="48" t="str">
        <f>'Calendario G'!M47</f>
        <v>(Squadra A)</v>
      </c>
      <c r="B283" s="48">
        <f>'Calendario G'!N47</f>
        <v>0</v>
      </c>
      <c r="C283" s="48">
        <f>'Calendario G'!O47</f>
        <v>0</v>
      </c>
      <c r="D283" s="48">
        <f>'Calendario G'!P47</f>
        <v>0</v>
      </c>
      <c r="E283" s="48">
        <f>'Calendario G'!Q47</f>
        <v>0</v>
      </c>
      <c r="F283" s="48">
        <f>'Calendario G'!R47</f>
        <v>0</v>
      </c>
      <c r="G283" s="48">
        <f>'Calendario G'!S47</f>
        <v>0</v>
      </c>
      <c r="H283" s="48" t="str">
        <f>'Calendario G'!T47</f>
        <v>(Squadra B)</v>
      </c>
      <c r="I283" s="48">
        <f>'Calendario G'!U47</f>
        <v>0</v>
      </c>
      <c r="J283" s="48">
        <f>'Calendario G'!V47</f>
        <v>0</v>
      </c>
      <c r="K283" s="48">
        <f>'Calendario G'!W47</f>
        <v>0</v>
      </c>
      <c r="L283" s="48">
        <f>'Calendario G'!X47</f>
        <v>0</v>
      </c>
      <c r="M283" s="48">
        <f>'Calendario G'!Y47</f>
        <v>0</v>
      </c>
      <c r="N283" s="48">
        <f>'Calendario G'!Z47</f>
        <v>0</v>
      </c>
    </row>
    <row r="284" spans="1:14" x14ac:dyDescent="0.25">
      <c r="A284" s="48" t="str">
        <f>'Calendario G'!M50</f>
        <v>(Squadra A)</v>
      </c>
      <c r="B284" s="48">
        <f>'Calendario G'!N50</f>
        <v>0</v>
      </c>
      <c r="C284" s="48">
        <f>'Calendario G'!O50</f>
        <v>0</v>
      </c>
      <c r="D284" s="48">
        <f>'Calendario G'!P50</f>
        <v>0</v>
      </c>
      <c r="E284" s="48">
        <f>'Calendario G'!Q50</f>
        <v>0</v>
      </c>
      <c r="F284" s="48">
        <f>'Calendario G'!R50</f>
        <v>0</v>
      </c>
      <c r="G284" s="48">
        <f>'Calendario G'!S50</f>
        <v>0</v>
      </c>
      <c r="H284" s="48" t="str">
        <f>'Calendario G'!T50</f>
        <v>(Squadra B)</v>
      </c>
      <c r="I284" s="48">
        <f>'Calendario G'!U50</f>
        <v>0</v>
      </c>
      <c r="J284" s="48">
        <f>'Calendario G'!V50</f>
        <v>0</v>
      </c>
      <c r="K284" s="48">
        <f>'Calendario G'!W50</f>
        <v>0</v>
      </c>
      <c r="L284" s="48">
        <f>'Calendario G'!X50</f>
        <v>0</v>
      </c>
      <c r="M284" s="48">
        <f>'Calendario G'!Y50</f>
        <v>0</v>
      </c>
      <c r="N284" s="48">
        <f>'Calendario G'!Z50</f>
        <v>0</v>
      </c>
    </row>
    <row r="285" spans="1:14" x14ac:dyDescent="0.25">
      <c r="A285" s="48" t="str">
        <f>'Calendario G'!M53</f>
        <v>(Squadra A)</v>
      </c>
      <c r="B285" s="48">
        <f>'Calendario G'!N53</f>
        <v>0</v>
      </c>
      <c r="C285" s="48">
        <f>'Calendario G'!O53</f>
        <v>0</v>
      </c>
      <c r="D285" s="48">
        <f>'Calendario G'!P53</f>
        <v>0</v>
      </c>
      <c r="E285" s="48">
        <f>'Calendario G'!Q53</f>
        <v>0</v>
      </c>
      <c r="F285" s="48">
        <f>'Calendario G'!R53</f>
        <v>0</v>
      </c>
      <c r="G285" s="48">
        <f>'Calendario G'!S53</f>
        <v>0</v>
      </c>
      <c r="H285" s="48" t="str">
        <f>'Calendario G'!T53</f>
        <v>(Squadra B)</v>
      </c>
      <c r="I285" s="48">
        <f>'Calendario G'!U53</f>
        <v>0</v>
      </c>
      <c r="J285" s="48">
        <f>'Calendario G'!V53</f>
        <v>0</v>
      </c>
      <c r="K285" s="48">
        <f>'Calendario G'!W53</f>
        <v>0</v>
      </c>
      <c r="L285" s="48">
        <f>'Calendario G'!X53</f>
        <v>0</v>
      </c>
      <c r="M285" s="48">
        <f>'Calendario G'!Y53</f>
        <v>0</v>
      </c>
      <c r="N285" s="48">
        <f>'Calendario G'!Z53</f>
        <v>0</v>
      </c>
    </row>
    <row r="286" spans="1:14" x14ac:dyDescent="0.25">
      <c r="A286" s="48" t="str">
        <f>'Calendario G'!M56</f>
        <v>(Squadra A)</v>
      </c>
      <c r="B286" s="48">
        <f>'Calendario G'!N56</f>
        <v>0</v>
      </c>
      <c r="C286" s="48">
        <f>'Calendario G'!O56</f>
        <v>0</v>
      </c>
      <c r="D286" s="48">
        <f>'Calendario G'!P56</f>
        <v>0</v>
      </c>
      <c r="E286" s="48">
        <f>'Calendario G'!Q56</f>
        <v>0</v>
      </c>
      <c r="F286" s="48">
        <f>'Calendario G'!R56</f>
        <v>0</v>
      </c>
      <c r="G286" s="48">
        <f>'Calendario G'!S56</f>
        <v>0</v>
      </c>
      <c r="H286" s="48" t="str">
        <f>'Calendario G'!T56</f>
        <v>(Squadra B)</v>
      </c>
      <c r="I286" s="48">
        <f>'Calendario G'!U56</f>
        <v>0</v>
      </c>
      <c r="J286" s="48">
        <f>'Calendario G'!V56</f>
        <v>0</v>
      </c>
      <c r="K286" s="48">
        <f>'Calendario G'!W56</f>
        <v>0</v>
      </c>
      <c r="L286" s="48">
        <f>'Calendario G'!X56</f>
        <v>0</v>
      </c>
      <c r="M286" s="48">
        <f>'Calendario G'!Y56</f>
        <v>0</v>
      </c>
      <c r="N286" s="48">
        <f>'Calendario G'!Z56</f>
        <v>0</v>
      </c>
    </row>
    <row r="287" spans="1:14" x14ac:dyDescent="0.25">
      <c r="A287" s="48" t="str">
        <f>'Calendario G'!M61</f>
        <v>(Squadra A)</v>
      </c>
      <c r="B287" s="48">
        <f>'Calendario G'!N61</f>
        <v>0</v>
      </c>
      <c r="C287" s="48">
        <f>'Calendario G'!O61</f>
        <v>0</v>
      </c>
      <c r="D287" s="48">
        <f>'Calendario G'!P61</f>
        <v>0</v>
      </c>
      <c r="E287" s="48">
        <f>'Calendario G'!Q61</f>
        <v>0</v>
      </c>
      <c r="F287" s="48">
        <f>'Calendario G'!R61</f>
        <v>0</v>
      </c>
      <c r="G287" s="48">
        <f>'Calendario G'!S61</f>
        <v>0</v>
      </c>
      <c r="H287" s="48" t="str">
        <f>'Calendario G'!T61</f>
        <v>(Squadra B)</v>
      </c>
      <c r="I287" s="48">
        <f>'Calendario G'!U61</f>
        <v>0</v>
      </c>
      <c r="J287" s="48">
        <f>'Calendario G'!V61</f>
        <v>0</v>
      </c>
      <c r="K287" s="48">
        <f>'Calendario G'!W61</f>
        <v>0</v>
      </c>
      <c r="L287" s="48">
        <f>'Calendario G'!X61</f>
        <v>0</v>
      </c>
      <c r="M287" s="48">
        <f>'Calendario G'!Y61</f>
        <v>0</v>
      </c>
      <c r="N287" s="48">
        <f>'Calendario G'!Z61</f>
        <v>0</v>
      </c>
    </row>
    <row r="288" spans="1:14" x14ac:dyDescent="0.25">
      <c r="A288" s="48" t="str">
        <f>'Calendario G'!M64</f>
        <v>(Squadra A)</v>
      </c>
      <c r="B288" s="48">
        <f>'Calendario G'!N64</f>
        <v>0</v>
      </c>
      <c r="C288" s="48">
        <f>'Calendario G'!O64</f>
        <v>0</v>
      </c>
      <c r="D288" s="48">
        <f>'Calendario G'!P64</f>
        <v>0</v>
      </c>
      <c r="E288" s="48">
        <f>'Calendario G'!Q64</f>
        <v>0</v>
      </c>
      <c r="F288" s="48">
        <f>'Calendario G'!R64</f>
        <v>0</v>
      </c>
      <c r="G288" s="48">
        <f>'Calendario G'!S64</f>
        <v>0</v>
      </c>
      <c r="H288" s="48" t="str">
        <f>'Calendario G'!T64</f>
        <v>(Squadra B)</v>
      </c>
      <c r="I288" s="48">
        <f>'Calendario G'!U64</f>
        <v>0</v>
      </c>
      <c r="J288" s="48">
        <f>'Calendario G'!V64</f>
        <v>0</v>
      </c>
      <c r="K288" s="48">
        <f>'Calendario G'!W64</f>
        <v>0</v>
      </c>
      <c r="L288" s="48">
        <f>'Calendario G'!X64</f>
        <v>0</v>
      </c>
      <c r="M288" s="48">
        <f>'Calendario G'!Y64</f>
        <v>0</v>
      </c>
      <c r="N288" s="48">
        <f>'Calendario G'!Z64</f>
        <v>0</v>
      </c>
    </row>
    <row r="289" spans="1:14" x14ac:dyDescent="0.25">
      <c r="A289" s="48" t="str">
        <f>'Calendario G'!M67</f>
        <v>(Squadra A)</v>
      </c>
      <c r="B289" s="48">
        <f>'Calendario G'!N67</f>
        <v>0</v>
      </c>
      <c r="C289" s="48">
        <f>'Calendario G'!O67</f>
        <v>0</v>
      </c>
      <c r="D289" s="48">
        <f>'Calendario G'!P67</f>
        <v>0</v>
      </c>
      <c r="E289" s="48">
        <f>'Calendario G'!Q67</f>
        <v>0</v>
      </c>
      <c r="F289" s="48">
        <f>'Calendario G'!R67</f>
        <v>0</v>
      </c>
      <c r="G289" s="48">
        <f>'Calendario G'!S67</f>
        <v>0</v>
      </c>
      <c r="H289" s="48" t="str">
        <f>'Calendario G'!T67</f>
        <v>(Squadra B)</v>
      </c>
      <c r="I289" s="48">
        <f>'Calendario G'!U67</f>
        <v>0</v>
      </c>
      <c r="J289" s="48">
        <f>'Calendario G'!V67</f>
        <v>0</v>
      </c>
      <c r="K289" s="48">
        <f>'Calendario G'!W67</f>
        <v>0</v>
      </c>
      <c r="L289" s="48">
        <f>'Calendario G'!X67</f>
        <v>0</v>
      </c>
      <c r="M289" s="48">
        <f>'Calendario G'!Y67</f>
        <v>0</v>
      </c>
      <c r="N289" s="48">
        <f>'Calendario G'!Z67</f>
        <v>0</v>
      </c>
    </row>
    <row r="290" spans="1:14" x14ac:dyDescent="0.25">
      <c r="A290" s="48" t="str">
        <f>'Calendario G'!M70</f>
        <v>(Squadra A)</v>
      </c>
      <c r="B290" s="48">
        <f>'Calendario G'!N70</f>
        <v>0</v>
      </c>
      <c r="C290" s="48">
        <f>'Calendario G'!O70</f>
        <v>0</v>
      </c>
      <c r="D290" s="48">
        <f>'Calendario G'!P70</f>
        <v>0</v>
      </c>
      <c r="E290" s="48">
        <f>'Calendario G'!Q70</f>
        <v>0</v>
      </c>
      <c r="F290" s="48">
        <f>'Calendario G'!R70</f>
        <v>0</v>
      </c>
      <c r="G290" s="48">
        <f>'Calendario G'!S70</f>
        <v>0</v>
      </c>
      <c r="H290" s="48" t="str">
        <f>'Calendario G'!T70</f>
        <v>(Squadra B)</v>
      </c>
      <c r="I290" s="48">
        <f>'Calendario G'!U70</f>
        <v>0</v>
      </c>
      <c r="J290" s="48">
        <f>'Calendario G'!V70</f>
        <v>0</v>
      </c>
      <c r="K290" s="48">
        <f>'Calendario G'!W70</f>
        <v>0</v>
      </c>
      <c r="L290" s="48">
        <f>'Calendario G'!X70</f>
        <v>0</v>
      </c>
      <c r="M290" s="48">
        <f>'Calendario G'!Y70</f>
        <v>0</v>
      </c>
      <c r="N290" s="48">
        <f>'Calendario G'!Z70</f>
        <v>0</v>
      </c>
    </row>
    <row r="291" spans="1:14" x14ac:dyDescent="0.25">
      <c r="A291" s="48" t="str">
        <f>'Calendario G'!M73</f>
        <v>(Squadra A)</v>
      </c>
      <c r="B291" s="48">
        <f>'Calendario G'!N73</f>
        <v>0</v>
      </c>
      <c r="C291" s="48">
        <f>'Calendario G'!O73</f>
        <v>0</v>
      </c>
      <c r="D291" s="48">
        <f>'Calendario G'!P73</f>
        <v>0</v>
      </c>
      <c r="E291" s="48">
        <f>'Calendario G'!Q73</f>
        <v>0</v>
      </c>
      <c r="F291" s="48">
        <f>'Calendario G'!R73</f>
        <v>0</v>
      </c>
      <c r="G291" s="48">
        <f>'Calendario G'!S73</f>
        <v>0</v>
      </c>
      <c r="H291" s="48" t="str">
        <f>'Calendario G'!T73</f>
        <v>(Squadra B)</v>
      </c>
      <c r="I291" s="48">
        <f>'Calendario G'!U73</f>
        <v>0</v>
      </c>
      <c r="J291" s="48">
        <f>'Calendario G'!V73</f>
        <v>0</v>
      </c>
      <c r="K291" s="48">
        <f>'Calendario G'!W73</f>
        <v>0</v>
      </c>
      <c r="L291" s="48">
        <f>'Calendario G'!X73</f>
        <v>0</v>
      </c>
      <c r="M291" s="48">
        <f>'Calendario G'!Y73</f>
        <v>0</v>
      </c>
      <c r="N291" s="48">
        <f>'Calendario G'!Z73</f>
        <v>0</v>
      </c>
    </row>
    <row r="292" spans="1:14" x14ac:dyDescent="0.25">
      <c r="A292" s="48" t="str">
        <f>'Calendario G'!M78</f>
        <v>(Squadra A)</v>
      </c>
      <c r="B292" s="48">
        <f>'Calendario G'!N78</f>
        <v>0</v>
      </c>
      <c r="C292" s="48">
        <f>'Calendario G'!O78</f>
        <v>0</v>
      </c>
      <c r="D292" s="48">
        <f>'Calendario G'!P78</f>
        <v>0</v>
      </c>
      <c r="E292" s="48">
        <f>'Calendario G'!Q78</f>
        <v>0</v>
      </c>
      <c r="F292" s="48">
        <f>'Calendario G'!R78</f>
        <v>0</v>
      </c>
      <c r="G292" s="48">
        <f>'Calendario G'!S78</f>
        <v>0</v>
      </c>
      <c r="H292" s="48" t="str">
        <f>'Calendario G'!T78</f>
        <v>(Squadra B)</v>
      </c>
      <c r="I292" s="48">
        <f>'Calendario G'!U78</f>
        <v>0</v>
      </c>
      <c r="J292" s="48">
        <f>'Calendario G'!V78</f>
        <v>0</v>
      </c>
      <c r="K292" s="48">
        <f>'Calendario G'!W78</f>
        <v>0</v>
      </c>
      <c r="L292" s="48">
        <f>'Calendario G'!X78</f>
        <v>0</v>
      </c>
      <c r="M292" s="48">
        <f>'Calendario G'!Y78</f>
        <v>0</v>
      </c>
      <c r="N292" s="48">
        <f>'Calendario G'!Z78</f>
        <v>0</v>
      </c>
    </row>
    <row r="293" spans="1:14" x14ac:dyDescent="0.25">
      <c r="A293" s="48" t="str">
        <f>'Calendario G'!M81</f>
        <v>(Squadra A)</v>
      </c>
      <c r="B293" s="48">
        <f>'Calendario G'!N81</f>
        <v>0</v>
      </c>
      <c r="C293" s="48">
        <f>'Calendario G'!O81</f>
        <v>0</v>
      </c>
      <c r="D293" s="48">
        <f>'Calendario G'!P81</f>
        <v>0</v>
      </c>
      <c r="E293" s="48">
        <f>'Calendario G'!Q81</f>
        <v>0</v>
      </c>
      <c r="F293" s="48">
        <f>'Calendario G'!R81</f>
        <v>0</v>
      </c>
      <c r="G293" s="48">
        <f>'Calendario G'!S81</f>
        <v>0</v>
      </c>
      <c r="H293" s="48" t="str">
        <f>'Calendario G'!T81</f>
        <v>(Squadra B)</v>
      </c>
      <c r="I293" s="48">
        <f>'Calendario G'!U81</f>
        <v>0</v>
      </c>
      <c r="J293" s="48">
        <f>'Calendario G'!V81</f>
        <v>0</v>
      </c>
      <c r="K293" s="48">
        <f>'Calendario G'!W81</f>
        <v>0</v>
      </c>
      <c r="L293" s="48">
        <f>'Calendario G'!X81</f>
        <v>0</v>
      </c>
      <c r="M293" s="48">
        <f>'Calendario G'!Y81</f>
        <v>0</v>
      </c>
      <c r="N293" s="48">
        <f>'Calendario G'!Z81</f>
        <v>0</v>
      </c>
    </row>
    <row r="294" spans="1:14" x14ac:dyDescent="0.25">
      <c r="A294" s="48" t="str">
        <f>'Calendario G'!M84</f>
        <v>(Squadra A)</v>
      </c>
      <c r="B294" s="48">
        <f>'Calendario G'!N84</f>
        <v>0</v>
      </c>
      <c r="C294" s="48">
        <f>'Calendario G'!O84</f>
        <v>0</v>
      </c>
      <c r="D294" s="48">
        <f>'Calendario G'!P84</f>
        <v>0</v>
      </c>
      <c r="E294" s="48">
        <f>'Calendario G'!Q84</f>
        <v>0</v>
      </c>
      <c r="F294" s="48">
        <f>'Calendario G'!R84</f>
        <v>0</v>
      </c>
      <c r="G294" s="48">
        <f>'Calendario G'!S84</f>
        <v>0</v>
      </c>
      <c r="H294" s="48" t="str">
        <f>'Calendario G'!T84</f>
        <v>(Squadra B)</v>
      </c>
      <c r="I294" s="48">
        <f>'Calendario G'!U84</f>
        <v>0</v>
      </c>
      <c r="J294" s="48">
        <f>'Calendario G'!V84</f>
        <v>0</v>
      </c>
      <c r="K294" s="48">
        <f>'Calendario G'!W84</f>
        <v>0</v>
      </c>
      <c r="L294" s="48">
        <f>'Calendario G'!X84</f>
        <v>0</v>
      </c>
      <c r="M294" s="48">
        <f>'Calendario G'!Y84</f>
        <v>0</v>
      </c>
      <c r="N294" s="48">
        <f>'Calendario G'!Z84</f>
        <v>0</v>
      </c>
    </row>
    <row r="295" spans="1:14" x14ac:dyDescent="0.25">
      <c r="A295" s="48" t="str">
        <f>'Calendario G'!M87</f>
        <v>(Squadra A)</v>
      </c>
      <c r="B295" s="48">
        <f>'Calendario G'!N87</f>
        <v>0</v>
      </c>
      <c r="C295" s="48">
        <f>'Calendario G'!O87</f>
        <v>0</v>
      </c>
      <c r="D295" s="48">
        <f>'Calendario G'!P87</f>
        <v>0</v>
      </c>
      <c r="E295" s="48">
        <f>'Calendario G'!Q87</f>
        <v>0</v>
      </c>
      <c r="F295" s="48">
        <f>'Calendario G'!R87</f>
        <v>0</v>
      </c>
      <c r="G295" s="48">
        <f>'Calendario G'!S87</f>
        <v>0</v>
      </c>
      <c r="H295" s="48" t="str">
        <f>'Calendario G'!T87</f>
        <v>(Squadra B)</v>
      </c>
      <c r="I295" s="48">
        <f>'Calendario G'!U87</f>
        <v>0</v>
      </c>
      <c r="J295" s="48">
        <f>'Calendario G'!V87</f>
        <v>0</v>
      </c>
      <c r="K295" s="48">
        <f>'Calendario G'!W87</f>
        <v>0</v>
      </c>
      <c r="L295" s="48">
        <f>'Calendario G'!X87</f>
        <v>0</v>
      </c>
      <c r="M295" s="48">
        <f>'Calendario G'!Y87</f>
        <v>0</v>
      </c>
      <c r="N295" s="48">
        <f>'Calendario G'!Z87</f>
        <v>0</v>
      </c>
    </row>
    <row r="296" spans="1:14" x14ac:dyDescent="0.25">
      <c r="A296" s="48" t="str">
        <f>'Calendario G'!M90</f>
        <v>(Squadra A)</v>
      </c>
      <c r="B296" s="48">
        <f>'Calendario G'!N90</f>
        <v>0</v>
      </c>
      <c r="C296" s="48">
        <f>'Calendario G'!O90</f>
        <v>0</v>
      </c>
      <c r="D296" s="48">
        <f>'Calendario G'!P90</f>
        <v>0</v>
      </c>
      <c r="E296" s="48">
        <f>'Calendario G'!Q90</f>
        <v>0</v>
      </c>
      <c r="F296" s="48">
        <f>'Calendario G'!R90</f>
        <v>0</v>
      </c>
      <c r="G296" s="48">
        <f>'Calendario G'!S90</f>
        <v>0</v>
      </c>
      <c r="H296" s="48" t="str">
        <f>'Calendario G'!T90</f>
        <v>(Squadra B)</v>
      </c>
      <c r="I296" s="48">
        <f>'Calendario G'!U90</f>
        <v>0</v>
      </c>
      <c r="J296" s="48">
        <f>'Calendario G'!V90</f>
        <v>0</v>
      </c>
      <c r="K296" s="48">
        <f>'Calendario G'!W90</f>
        <v>0</v>
      </c>
      <c r="L296" s="48">
        <f>'Calendario G'!X90</f>
        <v>0</v>
      </c>
      <c r="M296" s="48">
        <f>'Calendario G'!Y90</f>
        <v>0</v>
      </c>
      <c r="N296" s="48">
        <f>'Calendario G'!Z90</f>
        <v>0</v>
      </c>
    </row>
    <row r="297" spans="1:14" x14ac:dyDescent="0.25">
      <c r="A297" s="48" t="str">
        <f>'Calendario G'!M95</f>
        <v>(Squadra A)</v>
      </c>
      <c r="B297" s="48">
        <f>'Calendario G'!N95</f>
        <v>0</v>
      </c>
      <c r="C297" s="48">
        <f>'Calendario G'!O95</f>
        <v>0</v>
      </c>
      <c r="D297" s="48">
        <f>'Calendario G'!P95</f>
        <v>0</v>
      </c>
      <c r="E297" s="48">
        <f>'Calendario G'!Q95</f>
        <v>0</v>
      </c>
      <c r="F297" s="48">
        <f>'Calendario G'!R95</f>
        <v>0</v>
      </c>
      <c r="G297" s="48">
        <f>'Calendario G'!S95</f>
        <v>0</v>
      </c>
      <c r="H297" s="48" t="str">
        <f>'Calendario G'!T95</f>
        <v>(Squadra B)</v>
      </c>
      <c r="I297" s="48">
        <f>'Calendario G'!U95</f>
        <v>0</v>
      </c>
      <c r="J297" s="48">
        <f>'Calendario G'!V95</f>
        <v>0</v>
      </c>
      <c r="K297" s="48">
        <f>'Calendario G'!W95</f>
        <v>0</v>
      </c>
      <c r="L297" s="48">
        <f>'Calendario G'!X95</f>
        <v>0</v>
      </c>
      <c r="M297" s="48">
        <f>'Calendario G'!Y95</f>
        <v>0</v>
      </c>
      <c r="N297" s="48">
        <f>'Calendario G'!Z95</f>
        <v>0</v>
      </c>
    </row>
    <row r="298" spans="1:14" x14ac:dyDescent="0.25">
      <c r="A298" s="48" t="str">
        <f>'Calendario G'!M98</f>
        <v>(Squadra A)</v>
      </c>
      <c r="B298" s="48">
        <f>'Calendario G'!N98</f>
        <v>0</v>
      </c>
      <c r="C298" s="48">
        <f>'Calendario G'!O98</f>
        <v>0</v>
      </c>
      <c r="D298" s="48">
        <f>'Calendario G'!P98</f>
        <v>0</v>
      </c>
      <c r="E298" s="48">
        <f>'Calendario G'!Q98</f>
        <v>0</v>
      </c>
      <c r="F298" s="48">
        <f>'Calendario G'!R98</f>
        <v>0</v>
      </c>
      <c r="G298" s="48">
        <f>'Calendario G'!S98</f>
        <v>0</v>
      </c>
      <c r="H298" s="48" t="str">
        <f>'Calendario G'!T98</f>
        <v>(Squadra B)</v>
      </c>
      <c r="I298" s="48">
        <f>'Calendario G'!U98</f>
        <v>0</v>
      </c>
      <c r="J298" s="48">
        <f>'Calendario G'!V98</f>
        <v>0</v>
      </c>
      <c r="K298" s="48">
        <f>'Calendario G'!W98</f>
        <v>0</v>
      </c>
      <c r="L298" s="48">
        <f>'Calendario G'!X98</f>
        <v>0</v>
      </c>
      <c r="M298" s="48">
        <f>'Calendario G'!Y98</f>
        <v>0</v>
      </c>
      <c r="N298" s="48">
        <f>'Calendario G'!Z98</f>
        <v>0</v>
      </c>
    </row>
    <row r="299" spans="1:14" x14ac:dyDescent="0.25">
      <c r="A299" s="48" t="str">
        <f>'Calendario G'!M101</f>
        <v>(Squadra A)</v>
      </c>
      <c r="B299" s="48">
        <f>'Calendario G'!N101</f>
        <v>0</v>
      </c>
      <c r="C299" s="48">
        <f>'Calendario G'!O101</f>
        <v>0</v>
      </c>
      <c r="D299" s="48">
        <f>'Calendario G'!P101</f>
        <v>0</v>
      </c>
      <c r="E299" s="48">
        <f>'Calendario G'!Q101</f>
        <v>0</v>
      </c>
      <c r="F299" s="48">
        <f>'Calendario G'!R101</f>
        <v>0</v>
      </c>
      <c r="G299" s="48">
        <f>'Calendario G'!S101</f>
        <v>0</v>
      </c>
      <c r="H299" s="48" t="str">
        <f>'Calendario G'!T101</f>
        <v>(Squadra B)</v>
      </c>
      <c r="I299" s="48">
        <f>'Calendario G'!U101</f>
        <v>0</v>
      </c>
      <c r="J299" s="48">
        <f>'Calendario G'!V101</f>
        <v>0</v>
      </c>
      <c r="K299" s="48">
        <f>'Calendario G'!W101</f>
        <v>0</v>
      </c>
      <c r="L299" s="48">
        <f>'Calendario G'!X101</f>
        <v>0</v>
      </c>
      <c r="M299" s="48">
        <f>'Calendario G'!Y101</f>
        <v>0</v>
      </c>
      <c r="N299" s="48">
        <f>'Calendario G'!Z101</f>
        <v>0</v>
      </c>
    </row>
    <row r="300" spans="1:14" x14ac:dyDescent="0.25">
      <c r="A300" s="48" t="str">
        <f>'Calendario G'!M104</f>
        <v>(Squadra A)</v>
      </c>
      <c r="B300" s="48">
        <f>'Calendario G'!N104</f>
        <v>0</v>
      </c>
      <c r="C300" s="48">
        <f>'Calendario G'!O104</f>
        <v>0</v>
      </c>
      <c r="D300" s="48">
        <f>'Calendario G'!P104</f>
        <v>0</v>
      </c>
      <c r="E300" s="48">
        <f>'Calendario G'!Q104</f>
        <v>0</v>
      </c>
      <c r="F300" s="48">
        <f>'Calendario G'!R104</f>
        <v>0</v>
      </c>
      <c r="G300" s="48">
        <f>'Calendario G'!S104</f>
        <v>0</v>
      </c>
      <c r="H300" s="48" t="str">
        <f>'Calendario G'!T104</f>
        <v>(Squadra B)</v>
      </c>
      <c r="I300" s="48">
        <f>'Calendario G'!U104</f>
        <v>0</v>
      </c>
      <c r="J300" s="48">
        <f>'Calendario G'!V104</f>
        <v>0</v>
      </c>
      <c r="K300" s="48">
        <f>'Calendario G'!W104</f>
        <v>0</v>
      </c>
      <c r="L300" s="48">
        <f>'Calendario G'!X104</f>
        <v>0</v>
      </c>
      <c r="M300" s="48">
        <f>'Calendario G'!Y104</f>
        <v>0</v>
      </c>
      <c r="N300" s="48">
        <f>'Calendario G'!Z104</f>
        <v>0</v>
      </c>
    </row>
    <row r="301" spans="1:14" x14ac:dyDescent="0.25">
      <c r="A301" s="48" t="str">
        <f>'Calendario G'!M107</f>
        <v>(Squadra A)</v>
      </c>
      <c r="B301" s="48">
        <f>'Calendario G'!N107</f>
        <v>0</v>
      </c>
      <c r="C301" s="48">
        <f>'Calendario G'!O107</f>
        <v>0</v>
      </c>
      <c r="D301" s="48">
        <f>'Calendario G'!P107</f>
        <v>0</v>
      </c>
      <c r="E301" s="48">
        <f>'Calendario G'!Q107</f>
        <v>0</v>
      </c>
      <c r="F301" s="48">
        <f>'Calendario G'!R107</f>
        <v>0</v>
      </c>
      <c r="G301" s="48">
        <f>'Calendario G'!S107</f>
        <v>0</v>
      </c>
      <c r="H301" s="48" t="str">
        <f>'Calendario G'!T107</f>
        <v>(Squadra B)</v>
      </c>
      <c r="I301" s="48">
        <f>'Calendario G'!U107</f>
        <v>0</v>
      </c>
      <c r="J301" s="48">
        <f>'Calendario G'!V107</f>
        <v>0</v>
      </c>
      <c r="K301" s="48">
        <f>'Calendario G'!W107</f>
        <v>0</v>
      </c>
      <c r="L301" s="48">
        <f>'Calendario G'!X107</f>
        <v>0</v>
      </c>
      <c r="M301" s="48">
        <f>'Calendario G'!Y107</f>
        <v>0</v>
      </c>
      <c r="N301" s="48">
        <f>'Calendario G'!Z107</f>
        <v>0</v>
      </c>
    </row>
    <row r="302" spans="1:14" x14ac:dyDescent="0.25">
      <c r="A302" s="48" t="str">
        <f>'Calendario G'!M112</f>
        <v>(Squadra A)</v>
      </c>
      <c r="B302" s="48">
        <f>'Calendario G'!N112</f>
        <v>0</v>
      </c>
      <c r="C302" s="48">
        <f>'Calendario G'!O112</f>
        <v>0</v>
      </c>
      <c r="D302" s="48">
        <f>'Calendario G'!P112</f>
        <v>0</v>
      </c>
      <c r="E302" s="48">
        <f>'Calendario G'!Q112</f>
        <v>0</v>
      </c>
      <c r="F302" s="48">
        <f>'Calendario G'!R112</f>
        <v>0</v>
      </c>
      <c r="G302" s="48">
        <f>'Calendario G'!S112</f>
        <v>0</v>
      </c>
      <c r="H302" s="48" t="str">
        <f>'Calendario G'!T112</f>
        <v>(Squadra B)</v>
      </c>
      <c r="I302" s="48">
        <f>'Calendario G'!U112</f>
        <v>0</v>
      </c>
      <c r="J302" s="48">
        <f>'Calendario G'!V112</f>
        <v>0</v>
      </c>
      <c r="K302" s="48">
        <f>'Calendario G'!W112</f>
        <v>0</v>
      </c>
      <c r="L302" s="48">
        <f>'Calendario G'!X112</f>
        <v>0</v>
      </c>
      <c r="M302" s="48">
        <f>'Calendario G'!Y112</f>
        <v>0</v>
      </c>
      <c r="N302" s="48">
        <f>'Calendario G'!Z112</f>
        <v>0</v>
      </c>
    </row>
    <row r="303" spans="1:14" x14ac:dyDescent="0.25">
      <c r="A303" s="48" t="str">
        <f>'Calendario G'!M115</f>
        <v>(Squadra A)</v>
      </c>
      <c r="B303" s="48">
        <f>'Calendario G'!N115</f>
        <v>0</v>
      </c>
      <c r="C303" s="48">
        <f>'Calendario G'!O115</f>
        <v>0</v>
      </c>
      <c r="D303" s="48">
        <f>'Calendario G'!P115</f>
        <v>0</v>
      </c>
      <c r="E303" s="48">
        <f>'Calendario G'!Q115</f>
        <v>0</v>
      </c>
      <c r="F303" s="48">
        <f>'Calendario G'!R115</f>
        <v>0</v>
      </c>
      <c r="G303" s="48">
        <f>'Calendario G'!S115</f>
        <v>0</v>
      </c>
      <c r="H303" s="48" t="str">
        <f>'Calendario G'!T115</f>
        <v>(Squadra B)</v>
      </c>
      <c r="I303" s="48">
        <f>'Calendario G'!U115</f>
        <v>0</v>
      </c>
      <c r="J303" s="48">
        <f>'Calendario G'!V115</f>
        <v>0</v>
      </c>
      <c r="K303" s="48">
        <f>'Calendario G'!W115</f>
        <v>0</v>
      </c>
      <c r="L303" s="48">
        <f>'Calendario G'!X115</f>
        <v>0</v>
      </c>
      <c r="M303" s="48">
        <f>'Calendario G'!Y115</f>
        <v>0</v>
      </c>
      <c r="N303" s="48">
        <f>'Calendario G'!Z115</f>
        <v>0</v>
      </c>
    </row>
    <row r="304" spans="1:14" x14ac:dyDescent="0.25">
      <c r="A304" s="48" t="str">
        <f>'Calendario G'!M118</f>
        <v>(Squadra A)</v>
      </c>
      <c r="B304" s="48">
        <f>'Calendario G'!N118</f>
        <v>0</v>
      </c>
      <c r="C304" s="48">
        <f>'Calendario G'!O118</f>
        <v>0</v>
      </c>
      <c r="D304" s="48">
        <f>'Calendario G'!P118</f>
        <v>0</v>
      </c>
      <c r="E304" s="48">
        <f>'Calendario G'!Q118</f>
        <v>0</v>
      </c>
      <c r="F304" s="48">
        <f>'Calendario G'!R118</f>
        <v>0</v>
      </c>
      <c r="G304" s="48">
        <f>'Calendario G'!S118</f>
        <v>0</v>
      </c>
      <c r="H304" s="48" t="str">
        <f>'Calendario G'!T118</f>
        <v>(Squadra B)</v>
      </c>
      <c r="I304" s="48">
        <f>'Calendario G'!U118</f>
        <v>0</v>
      </c>
      <c r="J304" s="48">
        <f>'Calendario G'!V118</f>
        <v>0</v>
      </c>
      <c r="K304" s="48">
        <f>'Calendario G'!W118</f>
        <v>0</v>
      </c>
      <c r="L304" s="48">
        <f>'Calendario G'!X118</f>
        <v>0</v>
      </c>
      <c r="M304" s="48">
        <f>'Calendario G'!Y118</f>
        <v>0</v>
      </c>
      <c r="N304" s="48">
        <f>'Calendario G'!Z118</f>
        <v>0</v>
      </c>
    </row>
    <row r="305" spans="1:14" x14ac:dyDescent="0.25">
      <c r="A305" s="48" t="str">
        <f>'Calendario G'!M121</f>
        <v>(Squadra A)</v>
      </c>
      <c r="B305" s="48">
        <f>'Calendario G'!N121</f>
        <v>0</v>
      </c>
      <c r="C305" s="48">
        <f>'Calendario G'!O121</f>
        <v>0</v>
      </c>
      <c r="D305" s="48">
        <f>'Calendario G'!P121</f>
        <v>0</v>
      </c>
      <c r="E305" s="48">
        <f>'Calendario G'!Q121</f>
        <v>0</v>
      </c>
      <c r="F305" s="48">
        <f>'Calendario G'!R121</f>
        <v>0</v>
      </c>
      <c r="G305" s="48">
        <f>'Calendario G'!S121</f>
        <v>0</v>
      </c>
      <c r="H305" s="48" t="str">
        <f>'Calendario G'!T121</f>
        <v>(Squadra B)</v>
      </c>
      <c r="I305" s="48">
        <f>'Calendario G'!U121</f>
        <v>0</v>
      </c>
      <c r="J305" s="48">
        <f>'Calendario G'!V121</f>
        <v>0</v>
      </c>
      <c r="K305" s="48">
        <f>'Calendario G'!W121</f>
        <v>0</v>
      </c>
      <c r="L305" s="48">
        <f>'Calendario G'!X121</f>
        <v>0</v>
      </c>
      <c r="M305" s="48">
        <f>'Calendario G'!Y121</f>
        <v>0</v>
      </c>
      <c r="N305" s="48">
        <f>'Calendario G'!Z121</f>
        <v>0</v>
      </c>
    </row>
    <row r="306" spans="1:14" x14ac:dyDescent="0.25">
      <c r="A306" s="48" t="str">
        <f>'Calendario G'!M124</f>
        <v>(Squadra A)</v>
      </c>
      <c r="B306" s="48">
        <f>'Calendario G'!N124</f>
        <v>0</v>
      </c>
      <c r="C306" s="48">
        <f>'Calendario G'!O124</f>
        <v>0</v>
      </c>
      <c r="D306" s="48">
        <f>'Calendario G'!P124</f>
        <v>0</v>
      </c>
      <c r="E306" s="48">
        <f>'Calendario G'!Q124</f>
        <v>0</v>
      </c>
      <c r="F306" s="48">
        <f>'Calendario G'!R124</f>
        <v>0</v>
      </c>
      <c r="G306" s="48">
        <f>'Calendario G'!S124</f>
        <v>0</v>
      </c>
      <c r="H306" s="48" t="str">
        <f>'Calendario G'!T124</f>
        <v>(Squadra B)</v>
      </c>
      <c r="I306" s="48">
        <f>'Calendario G'!U124</f>
        <v>0</v>
      </c>
      <c r="J306" s="48">
        <f>'Calendario G'!V124</f>
        <v>0</v>
      </c>
      <c r="K306" s="48">
        <f>'Calendario G'!W124</f>
        <v>0</v>
      </c>
      <c r="L306" s="48">
        <f>'Calendario G'!X124</f>
        <v>0</v>
      </c>
      <c r="M306" s="48">
        <f>'Calendario G'!Y124</f>
        <v>0</v>
      </c>
      <c r="N306" s="48">
        <f>'Calendario G'!Z124</f>
        <v>0</v>
      </c>
    </row>
    <row r="307" spans="1:14" x14ac:dyDescent="0.25">
      <c r="A307" s="48" t="str">
        <f>'Calendario G'!M129</f>
        <v>(Squadra A)</v>
      </c>
      <c r="B307" s="48">
        <f>'Calendario G'!N129</f>
        <v>0</v>
      </c>
      <c r="C307" s="48">
        <f>'Calendario G'!O129</f>
        <v>0</v>
      </c>
      <c r="D307" s="48">
        <f>'Calendario G'!P129</f>
        <v>0</v>
      </c>
      <c r="E307" s="48">
        <f>'Calendario G'!Q129</f>
        <v>0</v>
      </c>
      <c r="F307" s="48">
        <f>'Calendario G'!R129</f>
        <v>0</v>
      </c>
      <c r="G307" s="48">
        <f>'Calendario G'!S129</f>
        <v>0</v>
      </c>
      <c r="H307" s="48" t="str">
        <f>'Calendario G'!T129</f>
        <v>(Squadra B)</v>
      </c>
      <c r="I307" s="48">
        <f>'Calendario G'!U129</f>
        <v>0</v>
      </c>
      <c r="J307" s="48">
        <f>'Calendario G'!V129</f>
        <v>0</v>
      </c>
      <c r="K307" s="48">
        <f>'Calendario G'!W129</f>
        <v>0</v>
      </c>
      <c r="L307" s="48">
        <f>'Calendario G'!X129</f>
        <v>0</v>
      </c>
      <c r="M307" s="48">
        <f>'Calendario G'!Y129</f>
        <v>0</v>
      </c>
      <c r="N307" s="48">
        <f>'Calendario G'!Z129</f>
        <v>0</v>
      </c>
    </row>
    <row r="308" spans="1:14" x14ac:dyDescent="0.25">
      <c r="A308" s="48" t="str">
        <f>'Calendario G'!M132</f>
        <v>(Squadra A)</v>
      </c>
      <c r="B308" s="48">
        <f>'Calendario G'!N132</f>
        <v>0</v>
      </c>
      <c r="C308" s="48">
        <f>'Calendario G'!O132</f>
        <v>0</v>
      </c>
      <c r="D308" s="48">
        <f>'Calendario G'!P132</f>
        <v>0</v>
      </c>
      <c r="E308" s="48">
        <f>'Calendario G'!Q132</f>
        <v>0</v>
      </c>
      <c r="F308" s="48">
        <f>'Calendario G'!R132</f>
        <v>0</v>
      </c>
      <c r="G308" s="48">
        <f>'Calendario G'!S132</f>
        <v>0</v>
      </c>
      <c r="H308" s="48" t="str">
        <f>'Calendario G'!T132</f>
        <v>(Squadra B)</v>
      </c>
      <c r="I308" s="48">
        <f>'Calendario G'!U132</f>
        <v>0</v>
      </c>
      <c r="J308" s="48">
        <f>'Calendario G'!V132</f>
        <v>0</v>
      </c>
      <c r="K308" s="48">
        <f>'Calendario G'!W132</f>
        <v>0</v>
      </c>
      <c r="L308" s="48">
        <f>'Calendario G'!X132</f>
        <v>0</v>
      </c>
      <c r="M308" s="48">
        <f>'Calendario G'!Y132</f>
        <v>0</v>
      </c>
      <c r="N308" s="48">
        <f>'Calendario G'!Z132</f>
        <v>0</v>
      </c>
    </row>
    <row r="309" spans="1:14" x14ac:dyDescent="0.25">
      <c r="A309" s="48" t="str">
        <f>'Calendario G'!M135</f>
        <v>(Squadra A)</v>
      </c>
      <c r="B309" s="48">
        <f>'Calendario G'!N135</f>
        <v>0</v>
      </c>
      <c r="C309" s="48">
        <f>'Calendario G'!O135</f>
        <v>0</v>
      </c>
      <c r="D309" s="48">
        <f>'Calendario G'!P135</f>
        <v>0</v>
      </c>
      <c r="E309" s="48">
        <f>'Calendario G'!Q135</f>
        <v>0</v>
      </c>
      <c r="F309" s="48">
        <f>'Calendario G'!R135</f>
        <v>0</v>
      </c>
      <c r="G309" s="48">
        <f>'Calendario G'!S135</f>
        <v>0</v>
      </c>
      <c r="H309" s="48" t="str">
        <f>'Calendario G'!T135</f>
        <v>(Squadra B)</v>
      </c>
      <c r="I309" s="48">
        <f>'Calendario G'!U135</f>
        <v>0</v>
      </c>
      <c r="J309" s="48">
        <f>'Calendario G'!V135</f>
        <v>0</v>
      </c>
      <c r="K309" s="48">
        <f>'Calendario G'!W135</f>
        <v>0</v>
      </c>
      <c r="L309" s="48">
        <f>'Calendario G'!X135</f>
        <v>0</v>
      </c>
      <c r="M309" s="48">
        <f>'Calendario G'!Y135</f>
        <v>0</v>
      </c>
      <c r="N309" s="48">
        <f>'Calendario G'!Z135</f>
        <v>0</v>
      </c>
    </row>
    <row r="310" spans="1:14" x14ac:dyDescent="0.25">
      <c r="A310" s="48" t="str">
        <f>'Calendario G'!M138</f>
        <v>(Squadra A)</v>
      </c>
      <c r="B310" s="48">
        <f>'Calendario G'!N138</f>
        <v>0</v>
      </c>
      <c r="C310" s="48">
        <f>'Calendario G'!O138</f>
        <v>0</v>
      </c>
      <c r="D310" s="48">
        <f>'Calendario G'!P138</f>
        <v>0</v>
      </c>
      <c r="E310" s="48">
        <f>'Calendario G'!Q138</f>
        <v>0</v>
      </c>
      <c r="F310" s="48">
        <f>'Calendario G'!R138</f>
        <v>0</v>
      </c>
      <c r="G310" s="48">
        <f>'Calendario G'!S138</f>
        <v>0</v>
      </c>
      <c r="H310" s="48" t="str">
        <f>'Calendario G'!T138</f>
        <v>(Squadra B)</v>
      </c>
      <c r="I310" s="48">
        <f>'Calendario G'!U138</f>
        <v>0</v>
      </c>
      <c r="J310" s="48">
        <f>'Calendario G'!V138</f>
        <v>0</v>
      </c>
      <c r="K310" s="48">
        <f>'Calendario G'!W138</f>
        <v>0</v>
      </c>
      <c r="L310" s="48">
        <f>'Calendario G'!X138</f>
        <v>0</v>
      </c>
      <c r="M310" s="48">
        <f>'Calendario G'!Y138</f>
        <v>0</v>
      </c>
      <c r="N310" s="48">
        <f>'Calendario G'!Z138</f>
        <v>0</v>
      </c>
    </row>
    <row r="311" spans="1:14" x14ac:dyDescent="0.25">
      <c r="A311" s="48" t="str">
        <f>'Calendario G'!M141</f>
        <v>(Squadra A)</v>
      </c>
      <c r="B311" s="48">
        <f>'Calendario G'!N141</f>
        <v>0</v>
      </c>
      <c r="C311" s="48">
        <f>'Calendario G'!O141</f>
        <v>0</v>
      </c>
      <c r="D311" s="48">
        <f>'Calendario G'!P141</f>
        <v>0</v>
      </c>
      <c r="E311" s="48">
        <f>'Calendario G'!Q141</f>
        <v>0</v>
      </c>
      <c r="F311" s="48">
        <f>'Calendario G'!R141</f>
        <v>0</v>
      </c>
      <c r="G311" s="48">
        <f>'Calendario G'!S141</f>
        <v>0</v>
      </c>
      <c r="H311" s="48" t="str">
        <f>'Calendario G'!T141</f>
        <v>(Squadra B)</v>
      </c>
      <c r="I311" s="48">
        <f>'Calendario G'!U141</f>
        <v>0</v>
      </c>
      <c r="J311" s="48">
        <f>'Calendario G'!V141</f>
        <v>0</v>
      </c>
      <c r="K311" s="48">
        <f>'Calendario G'!W141</f>
        <v>0</v>
      </c>
      <c r="L311" s="48">
        <f>'Calendario G'!X141</f>
        <v>0</v>
      </c>
      <c r="M311" s="48">
        <f>'Calendario G'!Y141</f>
        <v>0</v>
      </c>
      <c r="N311" s="48">
        <f>'Calendario G'!Z141</f>
        <v>0</v>
      </c>
    </row>
    <row r="312" spans="1:14" x14ac:dyDescent="0.25">
      <c r="A312" s="48" t="str">
        <f>'Calendario G'!M146</f>
        <v>(Squadra A)</v>
      </c>
      <c r="B312" s="48">
        <f>'Calendario G'!N146</f>
        <v>0</v>
      </c>
      <c r="C312" s="48">
        <f>'Calendario G'!O146</f>
        <v>0</v>
      </c>
      <c r="D312" s="48">
        <f>'Calendario G'!P146</f>
        <v>0</v>
      </c>
      <c r="E312" s="48">
        <f>'Calendario G'!Q146</f>
        <v>0</v>
      </c>
      <c r="F312" s="48">
        <f>'Calendario G'!R146</f>
        <v>0</v>
      </c>
      <c r="G312" s="48">
        <f>'Calendario G'!S146</f>
        <v>0</v>
      </c>
      <c r="H312" s="48" t="str">
        <f>'Calendario G'!T146</f>
        <v>(Squadra B)</v>
      </c>
      <c r="I312" s="48">
        <f>'Calendario G'!U146</f>
        <v>0</v>
      </c>
      <c r="J312" s="48">
        <f>'Calendario G'!V146</f>
        <v>0</v>
      </c>
      <c r="K312" s="48">
        <f>'Calendario G'!W146</f>
        <v>0</v>
      </c>
      <c r="L312" s="48">
        <f>'Calendario G'!X146</f>
        <v>0</v>
      </c>
      <c r="M312" s="48">
        <f>'Calendario G'!Y146</f>
        <v>0</v>
      </c>
      <c r="N312" s="48">
        <f>'Calendario G'!Z146</f>
        <v>0</v>
      </c>
    </row>
    <row r="313" spans="1:14" x14ac:dyDescent="0.25">
      <c r="A313" s="48" t="str">
        <f>'Calendario G'!M149</f>
        <v>(Squadra A)</v>
      </c>
      <c r="B313" s="48">
        <f>'Calendario G'!N149</f>
        <v>0</v>
      </c>
      <c r="C313" s="48">
        <f>'Calendario G'!O149</f>
        <v>0</v>
      </c>
      <c r="D313" s="48">
        <f>'Calendario G'!P149</f>
        <v>0</v>
      </c>
      <c r="E313" s="48">
        <f>'Calendario G'!Q149</f>
        <v>0</v>
      </c>
      <c r="F313" s="48">
        <f>'Calendario G'!R149</f>
        <v>0</v>
      </c>
      <c r="G313" s="48">
        <f>'Calendario G'!S149</f>
        <v>0</v>
      </c>
      <c r="H313" s="48" t="str">
        <f>'Calendario G'!T149</f>
        <v>(Squadra B)</v>
      </c>
      <c r="I313" s="48">
        <f>'Calendario G'!U149</f>
        <v>0</v>
      </c>
      <c r="J313" s="48">
        <f>'Calendario G'!V149</f>
        <v>0</v>
      </c>
      <c r="K313" s="48">
        <f>'Calendario G'!W149</f>
        <v>0</v>
      </c>
      <c r="L313" s="48">
        <f>'Calendario G'!X149</f>
        <v>0</v>
      </c>
      <c r="M313" s="48">
        <f>'Calendario G'!Y149</f>
        <v>0</v>
      </c>
      <c r="N313" s="48">
        <f>'Calendario G'!Z149</f>
        <v>0</v>
      </c>
    </row>
    <row r="314" spans="1:14" x14ac:dyDescent="0.25">
      <c r="A314" s="48" t="str">
        <f>'Calendario G'!M152</f>
        <v>(Squadra A)</v>
      </c>
      <c r="B314" s="48">
        <f>'Calendario G'!N152</f>
        <v>0</v>
      </c>
      <c r="C314" s="48">
        <f>'Calendario G'!O152</f>
        <v>0</v>
      </c>
      <c r="D314" s="48">
        <f>'Calendario G'!P152</f>
        <v>0</v>
      </c>
      <c r="E314" s="48">
        <f>'Calendario G'!Q152</f>
        <v>0</v>
      </c>
      <c r="F314" s="48">
        <f>'Calendario G'!R152</f>
        <v>0</v>
      </c>
      <c r="G314" s="48">
        <f>'Calendario G'!S152</f>
        <v>0</v>
      </c>
      <c r="H314" s="48" t="str">
        <f>'Calendario G'!T152</f>
        <v>(Squadra B)</v>
      </c>
      <c r="I314" s="48">
        <f>'Calendario G'!U152</f>
        <v>0</v>
      </c>
      <c r="J314" s="48">
        <f>'Calendario G'!V152</f>
        <v>0</v>
      </c>
      <c r="K314" s="48">
        <f>'Calendario G'!W152</f>
        <v>0</v>
      </c>
      <c r="L314" s="48">
        <f>'Calendario G'!X152</f>
        <v>0</v>
      </c>
      <c r="M314" s="48">
        <f>'Calendario G'!Y152</f>
        <v>0</v>
      </c>
      <c r="N314" s="48">
        <f>'Calendario G'!Z152</f>
        <v>0</v>
      </c>
    </row>
    <row r="315" spans="1:14" x14ac:dyDescent="0.25">
      <c r="A315" s="48" t="str">
        <f>'Calendario G'!M155</f>
        <v>(Squadra A)</v>
      </c>
      <c r="B315" s="48">
        <f>'Calendario G'!N155</f>
        <v>0</v>
      </c>
      <c r="C315" s="48">
        <f>'Calendario G'!O155</f>
        <v>0</v>
      </c>
      <c r="D315" s="48">
        <f>'Calendario G'!P155</f>
        <v>0</v>
      </c>
      <c r="E315" s="48">
        <f>'Calendario G'!Q155</f>
        <v>0</v>
      </c>
      <c r="F315" s="48">
        <f>'Calendario G'!R155</f>
        <v>0</v>
      </c>
      <c r="G315" s="48">
        <f>'Calendario G'!S155</f>
        <v>0</v>
      </c>
      <c r="H315" s="48" t="str">
        <f>'Calendario G'!T155</f>
        <v>(Squadra B)</v>
      </c>
      <c r="I315" s="48">
        <f>'Calendario G'!U155</f>
        <v>0</v>
      </c>
      <c r="J315" s="48">
        <f>'Calendario G'!V155</f>
        <v>0</v>
      </c>
      <c r="K315" s="48">
        <f>'Calendario G'!W155</f>
        <v>0</v>
      </c>
      <c r="L315" s="48">
        <f>'Calendario G'!X155</f>
        <v>0</v>
      </c>
      <c r="M315" s="48">
        <f>'Calendario G'!Y155</f>
        <v>0</v>
      </c>
      <c r="N315" s="48">
        <f>'Calendario G'!Z155</f>
        <v>0</v>
      </c>
    </row>
    <row r="316" spans="1:14" x14ac:dyDescent="0.25">
      <c r="A316" s="48" t="str">
        <f>'Calendario G'!M158</f>
        <v>(Squadra A)</v>
      </c>
      <c r="B316" s="48">
        <f>'Calendario G'!N158</f>
        <v>0</v>
      </c>
      <c r="C316" s="48">
        <f>'Calendario G'!O158</f>
        <v>0</v>
      </c>
      <c r="D316" s="48">
        <f>'Calendario G'!P158</f>
        <v>0</v>
      </c>
      <c r="E316" s="48">
        <f>'Calendario G'!Q158</f>
        <v>0</v>
      </c>
      <c r="F316" s="48">
        <f>'Calendario G'!R158</f>
        <v>0</v>
      </c>
      <c r="G316" s="48">
        <f>'Calendario G'!S158</f>
        <v>0</v>
      </c>
      <c r="H316" s="48" t="str">
        <f>'Calendario G'!T158</f>
        <v>(Squadra B)</v>
      </c>
      <c r="I316" s="48">
        <f>'Calendario G'!U158</f>
        <v>0</v>
      </c>
      <c r="J316" s="48">
        <f>'Calendario G'!V158</f>
        <v>0</v>
      </c>
      <c r="K316" s="48">
        <f>'Calendario G'!W158</f>
        <v>0</v>
      </c>
      <c r="L316" s="48">
        <f>'Calendario G'!X158</f>
        <v>0</v>
      </c>
      <c r="M316" s="48">
        <f>'Calendario G'!Y158</f>
        <v>0</v>
      </c>
      <c r="N316" s="48">
        <f>'Calendario G'!Z158</f>
        <v>0</v>
      </c>
    </row>
    <row r="317" spans="1:14" x14ac:dyDescent="0.25">
      <c r="A317" s="48" t="str">
        <f>'Calendario H'!M10</f>
        <v>(Squadra A)</v>
      </c>
      <c r="B317" s="48">
        <f>'Calendario H'!N10</f>
        <v>0</v>
      </c>
      <c r="C317" s="48">
        <f>'Calendario H'!O10</f>
        <v>0</v>
      </c>
      <c r="D317" s="48">
        <f>'Calendario H'!P10</f>
        <v>0</v>
      </c>
      <c r="E317" s="48">
        <f>'Calendario H'!Q10</f>
        <v>0</v>
      </c>
      <c r="F317" s="48">
        <f>'Calendario H'!R10</f>
        <v>0</v>
      </c>
      <c r="G317" s="48">
        <f>'Calendario H'!S10</f>
        <v>0</v>
      </c>
      <c r="H317" s="48" t="str">
        <f>'Calendario H'!T10</f>
        <v>(Squadra B)</v>
      </c>
      <c r="I317" s="48">
        <f>'Calendario H'!U10</f>
        <v>0</v>
      </c>
      <c r="J317" s="48">
        <f>'Calendario H'!V10</f>
        <v>0</v>
      </c>
      <c r="K317" s="48">
        <f>'Calendario H'!W10</f>
        <v>0</v>
      </c>
      <c r="L317" s="48">
        <f>'Calendario H'!X10</f>
        <v>0</v>
      </c>
      <c r="M317" s="48">
        <f>'Calendario H'!Y10</f>
        <v>0</v>
      </c>
      <c r="N317" s="48">
        <f>'Calendario H'!Z10</f>
        <v>0</v>
      </c>
    </row>
    <row r="318" spans="1:14" x14ac:dyDescent="0.25">
      <c r="A318" s="48" t="str">
        <f>'Calendario H'!M13</f>
        <v>(Squadra A)</v>
      </c>
      <c r="B318" s="48">
        <f>'Calendario H'!N13</f>
        <v>0</v>
      </c>
      <c r="C318" s="48">
        <f>'Calendario H'!O13</f>
        <v>0</v>
      </c>
      <c r="D318" s="48">
        <f>'Calendario H'!P13</f>
        <v>0</v>
      </c>
      <c r="E318" s="48">
        <f>'Calendario H'!Q13</f>
        <v>0</v>
      </c>
      <c r="F318" s="48">
        <f>'Calendario H'!R13</f>
        <v>0</v>
      </c>
      <c r="G318" s="48">
        <f>'Calendario H'!S13</f>
        <v>0</v>
      </c>
      <c r="H318" s="48" t="str">
        <f>'Calendario H'!T13</f>
        <v>(Squadra B)</v>
      </c>
      <c r="I318" s="48">
        <f>'Calendario H'!U13</f>
        <v>0</v>
      </c>
      <c r="J318" s="48">
        <f>'Calendario H'!V13</f>
        <v>0</v>
      </c>
      <c r="K318" s="48">
        <f>'Calendario H'!W13</f>
        <v>0</v>
      </c>
      <c r="L318" s="48">
        <f>'Calendario H'!X13</f>
        <v>0</v>
      </c>
      <c r="M318" s="48">
        <f>'Calendario H'!Y13</f>
        <v>0</v>
      </c>
      <c r="N318" s="48">
        <f>'Calendario H'!Z13</f>
        <v>0</v>
      </c>
    </row>
    <row r="319" spans="1:14" x14ac:dyDescent="0.25">
      <c r="A319" s="48" t="str">
        <f>'Calendario H'!M16</f>
        <v>(Squadra A)</v>
      </c>
      <c r="B319" s="48">
        <f>'Calendario H'!N16</f>
        <v>0</v>
      </c>
      <c r="C319" s="48">
        <f>'Calendario H'!O16</f>
        <v>0</v>
      </c>
      <c r="D319" s="48">
        <f>'Calendario H'!P16</f>
        <v>0</v>
      </c>
      <c r="E319" s="48">
        <f>'Calendario H'!Q16</f>
        <v>0</v>
      </c>
      <c r="F319" s="48">
        <f>'Calendario H'!R16</f>
        <v>0</v>
      </c>
      <c r="G319" s="48">
        <f>'Calendario H'!S16</f>
        <v>0</v>
      </c>
      <c r="H319" s="48" t="str">
        <f>'Calendario H'!T16</f>
        <v>(Squadra B)</v>
      </c>
      <c r="I319" s="48">
        <f>'Calendario H'!U16</f>
        <v>0</v>
      </c>
      <c r="J319" s="48">
        <f>'Calendario H'!V16</f>
        <v>0</v>
      </c>
      <c r="K319" s="48">
        <f>'Calendario H'!W16</f>
        <v>0</v>
      </c>
      <c r="L319" s="48">
        <f>'Calendario H'!X16</f>
        <v>0</v>
      </c>
      <c r="M319" s="48">
        <f>'Calendario H'!Y16</f>
        <v>0</v>
      </c>
      <c r="N319" s="48">
        <f>'Calendario H'!Z16</f>
        <v>0</v>
      </c>
    </row>
    <row r="320" spans="1:14" x14ac:dyDescent="0.25">
      <c r="A320" s="48" t="str">
        <f>'Calendario H'!M19</f>
        <v>(Squadra A)</v>
      </c>
      <c r="B320" s="48">
        <f>'Calendario H'!N19</f>
        <v>0</v>
      </c>
      <c r="C320" s="48">
        <f>'Calendario H'!O19</f>
        <v>0</v>
      </c>
      <c r="D320" s="48">
        <f>'Calendario H'!P19</f>
        <v>0</v>
      </c>
      <c r="E320" s="48">
        <f>'Calendario H'!Q19</f>
        <v>0</v>
      </c>
      <c r="F320" s="48">
        <f>'Calendario H'!R19</f>
        <v>0</v>
      </c>
      <c r="G320" s="48">
        <f>'Calendario H'!S19</f>
        <v>0</v>
      </c>
      <c r="H320" s="48" t="str">
        <f>'Calendario H'!T19</f>
        <v>(Squadra B)</v>
      </c>
      <c r="I320" s="48">
        <f>'Calendario H'!U19</f>
        <v>0</v>
      </c>
      <c r="J320" s="48">
        <f>'Calendario H'!V19</f>
        <v>0</v>
      </c>
      <c r="K320" s="48">
        <f>'Calendario H'!W19</f>
        <v>0</v>
      </c>
      <c r="L320" s="48">
        <f>'Calendario H'!X19</f>
        <v>0</v>
      </c>
      <c r="M320" s="48">
        <f>'Calendario H'!Y19</f>
        <v>0</v>
      </c>
      <c r="N320" s="48">
        <f>'Calendario H'!Z19</f>
        <v>0</v>
      </c>
    </row>
    <row r="321" spans="1:14" x14ac:dyDescent="0.25">
      <c r="A321" s="48" t="str">
        <f>'Calendario H'!M22</f>
        <v>(Squadra A)</v>
      </c>
      <c r="B321" s="48">
        <f>'Calendario H'!N22</f>
        <v>0</v>
      </c>
      <c r="C321" s="48">
        <f>'Calendario H'!O22</f>
        <v>0</v>
      </c>
      <c r="D321" s="48">
        <f>'Calendario H'!P22</f>
        <v>0</v>
      </c>
      <c r="E321" s="48">
        <f>'Calendario H'!Q22</f>
        <v>0</v>
      </c>
      <c r="F321" s="48">
        <f>'Calendario H'!R22</f>
        <v>0</v>
      </c>
      <c r="G321" s="48">
        <f>'Calendario H'!S22</f>
        <v>0</v>
      </c>
      <c r="H321" s="48" t="str">
        <f>'Calendario H'!T22</f>
        <v>(Squadra B)</v>
      </c>
      <c r="I321" s="48">
        <f>'Calendario H'!U22</f>
        <v>0</v>
      </c>
      <c r="J321" s="48">
        <f>'Calendario H'!V22</f>
        <v>0</v>
      </c>
      <c r="K321" s="48">
        <f>'Calendario H'!W22</f>
        <v>0</v>
      </c>
      <c r="L321" s="48">
        <f>'Calendario H'!X22</f>
        <v>0</v>
      </c>
      <c r="M321" s="48">
        <f>'Calendario H'!Y22</f>
        <v>0</v>
      </c>
      <c r="N321" s="48">
        <f>'Calendario H'!Z22</f>
        <v>0</v>
      </c>
    </row>
    <row r="322" spans="1:14" x14ac:dyDescent="0.25">
      <c r="A322" s="48" t="str">
        <f>'Calendario H'!M27</f>
        <v>(Squadra A)</v>
      </c>
      <c r="B322" s="48">
        <f>'Calendario H'!N27</f>
        <v>0</v>
      </c>
      <c r="C322" s="48">
        <f>'Calendario H'!O27</f>
        <v>0</v>
      </c>
      <c r="D322" s="48">
        <f>'Calendario H'!P27</f>
        <v>0</v>
      </c>
      <c r="E322" s="48">
        <f>'Calendario H'!Q27</f>
        <v>0</v>
      </c>
      <c r="F322" s="48">
        <f>'Calendario H'!R27</f>
        <v>0</v>
      </c>
      <c r="G322" s="48">
        <f>'Calendario H'!S27</f>
        <v>0</v>
      </c>
      <c r="H322" s="48" t="str">
        <f>'Calendario H'!T27</f>
        <v>(Squadra B)</v>
      </c>
      <c r="I322" s="48">
        <f>'Calendario H'!U27</f>
        <v>0</v>
      </c>
      <c r="J322" s="48">
        <f>'Calendario H'!V27</f>
        <v>0</v>
      </c>
      <c r="K322" s="48">
        <f>'Calendario H'!W27</f>
        <v>0</v>
      </c>
      <c r="L322" s="48">
        <f>'Calendario H'!X27</f>
        <v>0</v>
      </c>
      <c r="M322" s="48">
        <f>'Calendario H'!Y27</f>
        <v>0</v>
      </c>
      <c r="N322" s="48">
        <f>'Calendario H'!Z27</f>
        <v>0</v>
      </c>
    </row>
    <row r="323" spans="1:14" x14ac:dyDescent="0.25">
      <c r="A323" s="48" t="str">
        <f>'Calendario H'!M30</f>
        <v>(Squadra A)</v>
      </c>
      <c r="B323" s="48">
        <f>'Calendario H'!N30</f>
        <v>0</v>
      </c>
      <c r="C323" s="48">
        <f>'Calendario H'!O30</f>
        <v>0</v>
      </c>
      <c r="D323" s="48">
        <f>'Calendario H'!P30</f>
        <v>0</v>
      </c>
      <c r="E323" s="48">
        <f>'Calendario H'!Q30</f>
        <v>0</v>
      </c>
      <c r="F323" s="48">
        <f>'Calendario H'!R30</f>
        <v>0</v>
      </c>
      <c r="G323" s="48">
        <f>'Calendario H'!S30</f>
        <v>0</v>
      </c>
      <c r="H323" s="48" t="str">
        <f>'Calendario H'!T30</f>
        <v>(Squadra B)</v>
      </c>
      <c r="I323" s="48">
        <f>'Calendario H'!U30</f>
        <v>0</v>
      </c>
      <c r="J323" s="48">
        <f>'Calendario H'!V30</f>
        <v>0</v>
      </c>
      <c r="K323" s="48">
        <f>'Calendario H'!W30</f>
        <v>0</v>
      </c>
      <c r="L323" s="48">
        <f>'Calendario H'!X30</f>
        <v>0</v>
      </c>
      <c r="M323" s="48">
        <f>'Calendario H'!Y30</f>
        <v>0</v>
      </c>
      <c r="N323" s="48">
        <f>'Calendario H'!Z30</f>
        <v>0</v>
      </c>
    </row>
    <row r="324" spans="1:14" x14ac:dyDescent="0.25">
      <c r="A324" s="48" t="str">
        <f>'Calendario H'!M33</f>
        <v>(Squadra A)</v>
      </c>
      <c r="B324" s="48">
        <f>'Calendario H'!N33</f>
        <v>0</v>
      </c>
      <c r="C324" s="48">
        <f>'Calendario H'!O33</f>
        <v>0</v>
      </c>
      <c r="D324" s="48">
        <f>'Calendario H'!P33</f>
        <v>0</v>
      </c>
      <c r="E324" s="48">
        <f>'Calendario H'!Q33</f>
        <v>0</v>
      </c>
      <c r="F324" s="48">
        <f>'Calendario H'!R33</f>
        <v>0</v>
      </c>
      <c r="G324" s="48">
        <f>'Calendario H'!S33</f>
        <v>0</v>
      </c>
      <c r="H324" s="48" t="str">
        <f>'Calendario H'!T33</f>
        <v>(Squadra B)</v>
      </c>
      <c r="I324" s="48">
        <f>'Calendario H'!U33</f>
        <v>0</v>
      </c>
      <c r="J324" s="48">
        <f>'Calendario H'!V33</f>
        <v>0</v>
      </c>
      <c r="K324" s="48">
        <f>'Calendario H'!W33</f>
        <v>0</v>
      </c>
      <c r="L324" s="48">
        <f>'Calendario H'!X33</f>
        <v>0</v>
      </c>
      <c r="M324" s="48">
        <f>'Calendario H'!Y33</f>
        <v>0</v>
      </c>
      <c r="N324" s="48">
        <f>'Calendario H'!Z33</f>
        <v>0</v>
      </c>
    </row>
    <row r="325" spans="1:14" x14ac:dyDescent="0.25">
      <c r="A325" s="48" t="str">
        <f>'Calendario H'!M36</f>
        <v>(Squadra A)</v>
      </c>
      <c r="B325" s="48">
        <f>'Calendario H'!N36</f>
        <v>0</v>
      </c>
      <c r="C325" s="48">
        <f>'Calendario H'!O36</f>
        <v>0</v>
      </c>
      <c r="D325" s="48">
        <f>'Calendario H'!P36</f>
        <v>0</v>
      </c>
      <c r="E325" s="48">
        <f>'Calendario H'!Q36</f>
        <v>0</v>
      </c>
      <c r="F325" s="48">
        <f>'Calendario H'!R36</f>
        <v>0</v>
      </c>
      <c r="G325" s="48">
        <f>'Calendario H'!S36</f>
        <v>0</v>
      </c>
      <c r="H325" s="48" t="str">
        <f>'Calendario H'!T36</f>
        <v>(Squadra B)</v>
      </c>
      <c r="I325" s="48">
        <f>'Calendario H'!U36</f>
        <v>0</v>
      </c>
      <c r="J325" s="48">
        <f>'Calendario H'!V36</f>
        <v>0</v>
      </c>
      <c r="K325" s="48">
        <f>'Calendario H'!W36</f>
        <v>0</v>
      </c>
      <c r="L325" s="48">
        <f>'Calendario H'!X36</f>
        <v>0</v>
      </c>
      <c r="M325" s="48">
        <f>'Calendario H'!Y36</f>
        <v>0</v>
      </c>
      <c r="N325" s="48">
        <f>'Calendario H'!Z36</f>
        <v>0</v>
      </c>
    </row>
    <row r="326" spans="1:14" x14ac:dyDescent="0.25">
      <c r="A326" s="48" t="str">
        <f>'Calendario H'!M39</f>
        <v>(Squadra A)</v>
      </c>
      <c r="B326" s="48">
        <f>'Calendario H'!N39</f>
        <v>0</v>
      </c>
      <c r="C326" s="48">
        <f>'Calendario H'!O39</f>
        <v>0</v>
      </c>
      <c r="D326" s="48">
        <f>'Calendario H'!P39</f>
        <v>0</v>
      </c>
      <c r="E326" s="48">
        <f>'Calendario H'!Q39</f>
        <v>0</v>
      </c>
      <c r="F326" s="48">
        <f>'Calendario H'!R39</f>
        <v>0</v>
      </c>
      <c r="G326" s="48">
        <f>'Calendario H'!S39</f>
        <v>0</v>
      </c>
      <c r="H326" s="48" t="str">
        <f>'Calendario H'!T39</f>
        <v>(Squadra B)</v>
      </c>
      <c r="I326" s="48">
        <f>'Calendario H'!U39</f>
        <v>0</v>
      </c>
      <c r="J326" s="48">
        <f>'Calendario H'!V39</f>
        <v>0</v>
      </c>
      <c r="K326" s="48">
        <f>'Calendario H'!W39</f>
        <v>0</v>
      </c>
      <c r="L326" s="48">
        <f>'Calendario H'!X39</f>
        <v>0</v>
      </c>
      <c r="M326" s="48">
        <f>'Calendario H'!Y39</f>
        <v>0</v>
      </c>
      <c r="N326" s="48">
        <f>'Calendario H'!Z39</f>
        <v>0</v>
      </c>
    </row>
    <row r="327" spans="1:14" x14ac:dyDescent="0.25">
      <c r="A327" s="48" t="str">
        <f>'Calendario H'!M44</f>
        <v>(Squadra A)</v>
      </c>
      <c r="B327" s="48">
        <f>'Calendario H'!N44</f>
        <v>0</v>
      </c>
      <c r="C327" s="48">
        <f>'Calendario H'!O44</f>
        <v>0</v>
      </c>
      <c r="D327" s="48">
        <f>'Calendario H'!P44</f>
        <v>0</v>
      </c>
      <c r="E327" s="48">
        <f>'Calendario H'!Q44</f>
        <v>0</v>
      </c>
      <c r="F327" s="48">
        <f>'Calendario H'!R44</f>
        <v>0</v>
      </c>
      <c r="G327" s="48">
        <f>'Calendario H'!S44</f>
        <v>0</v>
      </c>
      <c r="H327" s="48" t="str">
        <f>'Calendario H'!T44</f>
        <v>(Squadra B)</v>
      </c>
      <c r="I327" s="48">
        <f>'Calendario H'!U44</f>
        <v>0</v>
      </c>
      <c r="J327" s="48">
        <f>'Calendario H'!V44</f>
        <v>0</v>
      </c>
      <c r="K327" s="48">
        <f>'Calendario H'!W44</f>
        <v>0</v>
      </c>
      <c r="L327" s="48">
        <f>'Calendario H'!X44</f>
        <v>0</v>
      </c>
      <c r="M327" s="48">
        <f>'Calendario H'!Y44</f>
        <v>0</v>
      </c>
      <c r="N327" s="48">
        <f>'Calendario H'!Z44</f>
        <v>0</v>
      </c>
    </row>
    <row r="328" spans="1:14" x14ac:dyDescent="0.25">
      <c r="A328" s="48" t="str">
        <f>'Calendario H'!M47</f>
        <v>(Squadra A)</v>
      </c>
      <c r="B328" s="48">
        <f>'Calendario H'!N47</f>
        <v>0</v>
      </c>
      <c r="C328" s="48">
        <f>'Calendario H'!O47</f>
        <v>0</v>
      </c>
      <c r="D328" s="48">
        <f>'Calendario H'!P47</f>
        <v>0</v>
      </c>
      <c r="E328" s="48">
        <f>'Calendario H'!Q47</f>
        <v>0</v>
      </c>
      <c r="F328" s="48">
        <f>'Calendario H'!R47</f>
        <v>0</v>
      </c>
      <c r="G328" s="48">
        <f>'Calendario H'!S47</f>
        <v>0</v>
      </c>
      <c r="H328" s="48" t="str">
        <f>'Calendario H'!T47</f>
        <v>(Squadra B)</v>
      </c>
      <c r="I328" s="48">
        <f>'Calendario H'!U47</f>
        <v>0</v>
      </c>
      <c r="J328" s="48">
        <f>'Calendario H'!V47</f>
        <v>0</v>
      </c>
      <c r="K328" s="48">
        <f>'Calendario H'!W47</f>
        <v>0</v>
      </c>
      <c r="L328" s="48">
        <f>'Calendario H'!X47</f>
        <v>0</v>
      </c>
      <c r="M328" s="48">
        <f>'Calendario H'!Y47</f>
        <v>0</v>
      </c>
      <c r="N328" s="48">
        <f>'Calendario H'!Z47</f>
        <v>0</v>
      </c>
    </row>
    <row r="329" spans="1:14" x14ac:dyDescent="0.25">
      <c r="A329" s="48" t="str">
        <f>'Calendario H'!M50</f>
        <v>(Squadra A)</v>
      </c>
      <c r="B329" s="48">
        <f>'Calendario H'!N50</f>
        <v>0</v>
      </c>
      <c r="C329" s="48">
        <f>'Calendario H'!O50</f>
        <v>0</v>
      </c>
      <c r="D329" s="48">
        <f>'Calendario H'!P50</f>
        <v>0</v>
      </c>
      <c r="E329" s="48">
        <f>'Calendario H'!Q50</f>
        <v>0</v>
      </c>
      <c r="F329" s="48">
        <f>'Calendario H'!R50</f>
        <v>0</v>
      </c>
      <c r="G329" s="48">
        <f>'Calendario H'!S50</f>
        <v>0</v>
      </c>
      <c r="H329" s="48" t="str">
        <f>'Calendario H'!T50</f>
        <v>(Squadra B)</v>
      </c>
      <c r="I329" s="48">
        <f>'Calendario H'!U50</f>
        <v>0</v>
      </c>
      <c r="J329" s="48">
        <f>'Calendario H'!V50</f>
        <v>0</v>
      </c>
      <c r="K329" s="48">
        <f>'Calendario H'!W50</f>
        <v>0</v>
      </c>
      <c r="L329" s="48">
        <f>'Calendario H'!X50</f>
        <v>0</v>
      </c>
      <c r="M329" s="48">
        <f>'Calendario H'!Y50</f>
        <v>0</v>
      </c>
      <c r="N329" s="48">
        <f>'Calendario H'!Z50</f>
        <v>0</v>
      </c>
    </row>
    <row r="330" spans="1:14" x14ac:dyDescent="0.25">
      <c r="A330" s="48" t="str">
        <f>'Calendario H'!M53</f>
        <v>(Squadra A)</v>
      </c>
      <c r="B330" s="48">
        <f>'Calendario H'!N53</f>
        <v>0</v>
      </c>
      <c r="C330" s="48">
        <f>'Calendario H'!O53</f>
        <v>0</v>
      </c>
      <c r="D330" s="48">
        <f>'Calendario H'!P53</f>
        <v>0</v>
      </c>
      <c r="E330" s="48">
        <f>'Calendario H'!Q53</f>
        <v>0</v>
      </c>
      <c r="F330" s="48">
        <f>'Calendario H'!R53</f>
        <v>0</v>
      </c>
      <c r="G330" s="48">
        <f>'Calendario H'!S53</f>
        <v>0</v>
      </c>
      <c r="H330" s="48" t="str">
        <f>'Calendario H'!T53</f>
        <v>(Squadra B)</v>
      </c>
      <c r="I330" s="48">
        <f>'Calendario H'!U53</f>
        <v>0</v>
      </c>
      <c r="J330" s="48">
        <f>'Calendario H'!V53</f>
        <v>0</v>
      </c>
      <c r="K330" s="48">
        <f>'Calendario H'!W53</f>
        <v>0</v>
      </c>
      <c r="L330" s="48">
        <f>'Calendario H'!X53</f>
        <v>0</v>
      </c>
      <c r="M330" s="48">
        <f>'Calendario H'!Y53</f>
        <v>0</v>
      </c>
      <c r="N330" s="48">
        <f>'Calendario H'!Z53</f>
        <v>0</v>
      </c>
    </row>
    <row r="331" spans="1:14" x14ac:dyDescent="0.25">
      <c r="A331" s="48" t="str">
        <f>'Calendario H'!M56</f>
        <v>(Squadra A)</v>
      </c>
      <c r="B331" s="48">
        <f>'Calendario H'!N56</f>
        <v>0</v>
      </c>
      <c r="C331" s="48">
        <f>'Calendario H'!O56</f>
        <v>0</v>
      </c>
      <c r="D331" s="48">
        <f>'Calendario H'!P56</f>
        <v>0</v>
      </c>
      <c r="E331" s="48">
        <f>'Calendario H'!Q56</f>
        <v>0</v>
      </c>
      <c r="F331" s="48">
        <f>'Calendario H'!R56</f>
        <v>0</v>
      </c>
      <c r="G331" s="48">
        <f>'Calendario H'!S56</f>
        <v>0</v>
      </c>
      <c r="H331" s="48" t="str">
        <f>'Calendario H'!T56</f>
        <v>(Squadra B)</v>
      </c>
      <c r="I331" s="48">
        <f>'Calendario H'!U56</f>
        <v>0</v>
      </c>
      <c r="J331" s="48">
        <f>'Calendario H'!V56</f>
        <v>0</v>
      </c>
      <c r="K331" s="48">
        <f>'Calendario H'!W56</f>
        <v>0</v>
      </c>
      <c r="L331" s="48">
        <f>'Calendario H'!X56</f>
        <v>0</v>
      </c>
      <c r="M331" s="48">
        <f>'Calendario H'!Y56</f>
        <v>0</v>
      </c>
      <c r="N331" s="48">
        <f>'Calendario H'!Z56</f>
        <v>0</v>
      </c>
    </row>
    <row r="332" spans="1:14" x14ac:dyDescent="0.25">
      <c r="A332" s="48" t="str">
        <f>'Calendario H'!M61</f>
        <v>(Squadra A)</v>
      </c>
      <c r="B332" s="48">
        <f>'Calendario H'!N61</f>
        <v>0</v>
      </c>
      <c r="C332" s="48">
        <f>'Calendario H'!O61</f>
        <v>0</v>
      </c>
      <c r="D332" s="48">
        <f>'Calendario H'!P61</f>
        <v>0</v>
      </c>
      <c r="E332" s="48">
        <f>'Calendario H'!Q61</f>
        <v>0</v>
      </c>
      <c r="F332" s="48">
        <f>'Calendario H'!R61</f>
        <v>0</v>
      </c>
      <c r="G332" s="48">
        <f>'Calendario H'!S61</f>
        <v>0</v>
      </c>
      <c r="H332" s="48" t="str">
        <f>'Calendario H'!T61</f>
        <v>(Squadra B)</v>
      </c>
      <c r="I332" s="48">
        <f>'Calendario H'!U61</f>
        <v>0</v>
      </c>
      <c r="J332" s="48">
        <f>'Calendario H'!V61</f>
        <v>0</v>
      </c>
      <c r="K332" s="48">
        <f>'Calendario H'!W61</f>
        <v>0</v>
      </c>
      <c r="L332" s="48">
        <f>'Calendario H'!X61</f>
        <v>0</v>
      </c>
      <c r="M332" s="48">
        <f>'Calendario H'!Y61</f>
        <v>0</v>
      </c>
      <c r="N332" s="48">
        <f>'Calendario H'!Z61</f>
        <v>0</v>
      </c>
    </row>
    <row r="333" spans="1:14" x14ac:dyDescent="0.25">
      <c r="A333" s="48" t="str">
        <f>'Calendario H'!M64</f>
        <v>(Squadra A)</v>
      </c>
      <c r="B333" s="48">
        <f>'Calendario H'!N64</f>
        <v>0</v>
      </c>
      <c r="C333" s="48">
        <f>'Calendario H'!O64</f>
        <v>0</v>
      </c>
      <c r="D333" s="48">
        <f>'Calendario H'!P64</f>
        <v>0</v>
      </c>
      <c r="E333" s="48">
        <f>'Calendario H'!Q64</f>
        <v>0</v>
      </c>
      <c r="F333" s="48">
        <f>'Calendario H'!R64</f>
        <v>0</v>
      </c>
      <c r="G333" s="48">
        <f>'Calendario H'!S64</f>
        <v>0</v>
      </c>
      <c r="H333" s="48" t="str">
        <f>'Calendario H'!T64</f>
        <v>(Squadra B)</v>
      </c>
      <c r="I333" s="48">
        <f>'Calendario H'!U64</f>
        <v>0</v>
      </c>
      <c r="J333" s="48">
        <f>'Calendario H'!V64</f>
        <v>0</v>
      </c>
      <c r="K333" s="48">
        <f>'Calendario H'!W64</f>
        <v>0</v>
      </c>
      <c r="L333" s="48">
        <f>'Calendario H'!X64</f>
        <v>0</v>
      </c>
      <c r="M333" s="48">
        <f>'Calendario H'!Y64</f>
        <v>0</v>
      </c>
      <c r="N333" s="48">
        <f>'Calendario H'!Z64</f>
        <v>0</v>
      </c>
    </row>
    <row r="334" spans="1:14" x14ac:dyDescent="0.25">
      <c r="A334" s="48" t="str">
        <f>'Calendario H'!M67</f>
        <v>(Squadra A)</v>
      </c>
      <c r="B334" s="48">
        <f>'Calendario H'!N67</f>
        <v>0</v>
      </c>
      <c r="C334" s="48">
        <f>'Calendario H'!O67</f>
        <v>0</v>
      </c>
      <c r="D334" s="48">
        <f>'Calendario H'!P67</f>
        <v>0</v>
      </c>
      <c r="E334" s="48">
        <f>'Calendario H'!Q67</f>
        <v>0</v>
      </c>
      <c r="F334" s="48">
        <f>'Calendario H'!R67</f>
        <v>0</v>
      </c>
      <c r="G334" s="48">
        <f>'Calendario H'!S67</f>
        <v>0</v>
      </c>
      <c r="H334" s="48" t="str">
        <f>'Calendario H'!T67</f>
        <v>(Squadra B)</v>
      </c>
      <c r="I334" s="48">
        <f>'Calendario H'!U67</f>
        <v>0</v>
      </c>
      <c r="J334" s="48">
        <f>'Calendario H'!V67</f>
        <v>0</v>
      </c>
      <c r="K334" s="48">
        <f>'Calendario H'!W67</f>
        <v>0</v>
      </c>
      <c r="L334" s="48">
        <f>'Calendario H'!X67</f>
        <v>0</v>
      </c>
      <c r="M334" s="48">
        <f>'Calendario H'!Y67</f>
        <v>0</v>
      </c>
      <c r="N334" s="48">
        <f>'Calendario H'!Z67</f>
        <v>0</v>
      </c>
    </row>
    <row r="335" spans="1:14" x14ac:dyDescent="0.25">
      <c r="A335" s="48" t="str">
        <f>'Calendario H'!M70</f>
        <v>(Squadra A)</v>
      </c>
      <c r="B335" s="48">
        <f>'Calendario H'!N70</f>
        <v>0</v>
      </c>
      <c r="C335" s="48">
        <f>'Calendario H'!O70</f>
        <v>0</v>
      </c>
      <c r="D335" s="48">
        <f>'Calendario H'!P70</f>
        <v>0</v>
      </c>
      <c r="E335" s="48">
        <f>'Calendario H'!Q70</f>
        <v>0</v>
      </c>
      <c r="F335" s="48">
        <f>'Calendario H'!R70</f>
        <v>0</v>
      </c>
      <c r="G335" s="48">
        <f>'Calendario H'!S70</f>
        <v>0</v>
      </c>
      <c r="H335" s="48" t="str">
        <f>'Calendario H'!T70</f>
        <v>(Squadra B)</v>
      </c>
      <c r="I335" s="48">
        <f>'Calendario H'!U70</f>
        <v>0</v>
      </c>
      <c r="J335" s="48">
        <f>'Calendario H'!V70</f>
        <v>0</v>
      </c>
      <c r="K335" s="48">
        <f>'Calendario H'!W70</f>
        <v>0</v>
      </c>
      <c r="L335" s="48">
        <f>'Calendario H'!X70</f>
        <v>0</v>
      </c>
      <c r="M335" s="48">
        <f>'Calendario H'!Y70</f>
        <v>0</v>
      </c>
      <c r="N335" s="48">
        <f>'Calendario H'!Z70</f>
        <v>0</v>
      </c>
    </row>
    <row r="336" spans="1:14" x14ac:dyDescent="0.25">
      <c r="A336" s="48" t="str">
        <f>'Calendario H'!M73</f>
        <v>(Squadra A)</v>
      </c>
      <c r="B336" s="48">
        <f>'Calendario H'!N73</f>
        <v>0</v>
      </c>
      <c r="C336" s="48">
        <f>'Calendario H'!O73</f>
        <v>0</v>
      </c>
      <c r="D336" s="48">
        <f>'Calendario H'!P73</f>
        <v>0</v>
      </c>
      <c r="E336" s="48">
        <f>'Calendario H'!Q73</f>
        <v>0</v>
      </c>
      <c r="F336" s="48">
        <f>'Calendario H'!R73</f>
        <v>0</v>
      </c>
      <c r="G336" s="48">
        <f>'Calendario H'!S73</f>
        <v>0</v>
      </c>
      <c r="H336" s="48" t="str">
        <f>'Calendario H'!T73</f>
        <v>(Squadra B)</v>
      </c>
      <c r="I336" s="48">
        <f>'Calendario H'!U73</f>
        <v>0</v>
      </c>
      <c r="J336" s="48">
        <f>'Calendario H'!V73</f>
        <v>0</v>
      </c>
      <c r="K336" s="48">
        <f>'Calendario H'!W73</f>
        <v>0</v>
      </c>
      <c r="L336" s="48">
        <f>'Calendario H'!X73</f>
        <v>0</v>
      </c>
      <c r="M336" s="48">
        <f>'Calendario H'!Y73</f>
        <v>0</v>
      </c>
      <c r="N336" s="48">
        <f>'Calendario H'!Z73</f>
        <v>0</v>
      </c>
    </row>
    <row r="337" spans="1:14" x14ac:dyDescent="0.25">
      <c r="A337" s="48" t="str">
        <f>'Calendario H'!M78</f>
        <v>(Squadra A)</v>
      </c>
      <c r="B337" s="48">
        <f>'Calendario H'!N78</f>
        <v>0</v>
      </c>
      <c r="C337" s="48">
        <f>'Calendario H'!O78</f>
        <v>0</v>
      </c>
      <c r="D337" s="48">
        <f>'Calendario H'!P78</f>
        <v>0</v>
      </c>
      <c r="E337" s="48">
        <f>'Calendario H'!Q78</f>
        <v>0</v>
      </c>
      <c r="F337" s="48">
        <f>'Calendario H'!R78</f>
        <v>0</v>
      </c>
      <c r="G337" s="48">
        <f>'Calendario H'!S78</f>
        <v>0</v>
      </c>
      <c r="H337" s="48" t="str">
        <f>'Calendario H'!T78</f>
        <v>(Squadra B)</v>
      </c>
      <c r="I337" s="48">
        <f>'Calendario H'!U78</f>
        <v>0</v>
      </c>
      <c r="J337" s="48">
        <f>'Calendario H'!V78</f>
        <v>0</v>
      </c>
      <c r="K337" s="48">
        <f>'Calendario H'!W78</f>
        <v>0</v>
      </c>
      <c r="L337" s="48">
        <f>'Calendario H'!X78</f>
        <v>0</v>
      </c>
      <c r="M337" s="48">
        <f>'Calendario H'!Y78</f>
        <v>0</v>
      </c>
      <c r="N337" s="48">
        <f>'Calendario H'!Z78</f>
        <v>0</v>
      </c>
    </row>
    <row r="338" spans="1:14" x14ac:dyDescent="0.25">
      <c r="A338" s="48" t="str">
        <f>'Calendario H'!M81</f>
        <v>(Squadra A)</v>
      </c>
      <c r="B338" s="48">
        <f>'Calendario H'!N81</f>
        <v>0</v>
      </c>
      <c r="C338" s="48">
        <f>'Calendario H'!O81</f>
        <v>0</v>
      </c>
      <c r="D338" s="48">
        <f>'Calendario H'!P81</f>
        <v>0</v>
      </c>
      <c r="E338" s="48">
        <f>'Calendario H'!Q81</f>
        <v>0</v>
      </c>
      <c r="F338" s="48">
        <f>'Calendario H'!R81</f>
        <v>0</v>
      </c>
      <c r="G338" s="48">
        <f>'Calendario H'!S81</f>
        <v>0</v>
      </c>
      <c r="H338" s="48" t="str">
        <f>'Calendario H'!T81</f>
        <v>(Squadra B)</v>
      </c>
      <c r="I338" s="48">
        <f>'Calendario H'!U81</f>
        <v>0</v>
      </c>
      <c r="J338" s="48">
        <f>'Calendario H'!V81</f>
        <v>0</v>
      </c>
      <c r="K338" s="48">
        <f>'Calendario H'!W81</f>
        <v>0</v>
      </c>
      <c r="L338" s="48">
        <f>'Calendario H'!X81</f>
        <v>0</v>
      </c>
      <c r="M338" s="48">
        <f>'Calendario H'!Y81</f>
        <v>0</v>
      </c>
      <c r="N338" s="48">
        <f>'Calendario H'!Z81</f>
        <v>0</v>
      </c>
    </row>
    <row r="339" spans="1:14" x14ac:dyDescent="0.25">
      <c r="A339" s="48" t="str">
        <f>'Calendario H'!M84</f>
        <v>(Squadra A)</v>
      </c>
      <c r="B339" s="48">
        <f>'Calendario H'!N84</f>
        <v>0</v>
      </c>
      <c r="C339" s="48">
        <f>'Calendario H'!O84</f>
        <v>0</v>
      </c>
      <c r="D339" s="48">
        <f>'Calendario H'!P84</f>
        <v>0</v>
      </c>
      <c r="E339" s="48">
        <f>'Calendario H'!Q84</f>
        <v>0</v>
      </c>
      <c r="F339" s="48">
        <f>'Calendario H'!R84</f>
        <v>0</v>
      </c>
      <c r="G339" s="48">
        <f>'Calendario H'!S84</f>
        <v>0</v>
      </c>
      <c r="H339" s="48" t="str">
        <f>'Calendario H'!T84</f>
        <v>(Squadra B)</v>
      </c>
      <c r="I339" s="48">
        <f>'Calendario H'!U84</f>
        <v>0</v>
      </c>
      <c r="J339" s="48">
        <f>'Calendario H'!V84</f>
        <v>0</v>
      </c>
      <c r="K339" s="48">
        <f>'Calendario H'!W84</f>
        <v>0</v>
      </c>
      <c r="L339" s="48">
        <f>'Calendario H'!X84</f>
        <v>0</v>
      </c>
      <c r="M339" s="48">
        <f>'Calendario H'!Y84</f>
        <v>0</v>
      </c>
      <c r="N339" s="48">
        <f>'Calendario H'!Z84</f>
        <v>0</v>
      </c>
    </row>
    <row r="340" spans="1:14" x14ac:dyDescent="0.25">
      <c r="A340" s="48" t="str">
        <f>'Calendario H'!M87</f>
        <v>(Squadra A)</v>
      </c>
      <c r="B340" s="48">
        <f>'Calendario H'!N87</f>
        <v>0</v>
      </c>
      <c r="C340" s="48">
        <f>'Calendario H'!O87</f>
        <v>0</v>
      </c>
      <c r="D340" s="48">
        <f>'Calendario H'!P87</f>
        <v>0</v>
      </c>
      <c r="E340" s="48">
        <f>'Calendario H'!Q87</f>
        <v>0</v>
      </c>
      <c r="F340" s="48">
        <f>'Calendario H'!R87</f>
        <v>0</v>
      </c>
      <c r="G340" s="48">
        <f>'Calendario H'!S87</f>
        <v>0</v>
      </c>
      <c r="H340" s="48" t="str">
        <f>'Calendario H'!T87</f>
        <v>(Squadra B)</v>
      </c>
      <c r="I340" s="48">
        <f>'Calendario H'!U87</f>
        <v>0</v>
      </c>
      <c r="J340" s="48">
        <f>'Calendario H'!V87</f>
        <v>0</v>
      </c>
      <c r="K340" s="48">
        <f>'Calendario H'!W87</f>
        <v>0</v>
      </c>
      <c r="L340" s="48">
        <f>'Calendario H'!X87</f>
        <v>0</v>
      </c>
      <c r="M340" s="48">
        <f>'Calendario H'!Y87</f>
        <v>0</v>
      </c>
      <c r="N340" s="48">
        <f>'Calendario H'!Z87</f>
        <v>0</v>
      </c>
    </row>
    <row r="341" spans="1:14" x14ac:dyDescent="0.25">
      <c r="A341" s="48" t="str">
        <f>'Calendario H'!M90</f>
        <v>(Squadra A)</v>
      </c>
      <c r="B341" s="48">
        <f>'Calendario H'!N90</f>
        <v>0</v>
      </c>
      <c r="C341" s="48">
        <f>'Calendario H'!O90</f>
        <v>0</v>
      </c>
      <c r="D341" s="48">
        <f>'Calendario H'!P90</f>
        <v>0</v>
      </c>
      <c r="E341" s="48">
        <f>'Calendario H'!Q90</f>
        <v>0</v>
      </c>
      <c r="F341" s="48">
        <f>'Calendario H'!R90</f>
        <v>0</v>
      </c>
      <c r="G341" s="48">
        <f>'Calendario H'!S90</f>
        <v>0</v>
      </c>
      <c r="H341" s="48" t="str">
        <f>'Calendario H'!T90</f>
        <v>(Squadra B)</v>
      </c>
      <c r="I341" s="48">
        <f>'Calendario H'!U90</f>
        <v>0</v>
      </c>
      <c r="J341" s="48">
        <f>'Calendario H'!V90</f>
        <v>0</v>
      </c>
      <c r="K341" s="48">
        <f>'Calendario H'!W90</f>
        <v>0</v>
      </c>
      <c r="L341" s="48">
        <f>'Calendario H'!X90</f>
        <v>0</v>
      </c>
      <c r="M341" s="48">
        <f>'Calendario H'!Y90</f>
        <v>0</v>
      </c>
      <c r="N341" s="48">
        <f>'Calendario H'!Z90</f>
        <v>0</v>
      </c>
    </row>
    <row r="342" spans="1:14" x14ac:dyDescent="0.25">
      <c r="A342" s="48" t="str">
        <f>'Calendario H'!M95</f>
        <v>(Squadra A)</v>
      </c>
      <c r="B342" s="48">
        <f>'Calendario H'!N95</f>
        <v>0</v>
      </c>
      <c r="C342" s="48">
        <f>'Calendario H'!O95</f>
        <v>0</v>
      </c>
      <c r="D342" s="48">
        <f>'Calendario H'!P95</f>
        <v>0</v>
      </c>
      <c r="E342" s="48">
        <f>'Calendario H'!Q95</f>
        <v>0</v>
      </c>
      <c r="F342" s="48">
        <f>'Calendario H'!R95</f>
        <v>0</v>
      </c>
      <c r="G342" s="48">
        <f>'Calendario H'!S95</f>
        <v>0</v>
      </c>
      <c r="H342" s="48" t="str">
        <f>'Calendario H'!T95</f>
        <v>(Squadra B)</v>
      </c>
      <c r="I342" s="48">
        <f>'Calendario H'!U95</f>
        <v>0</v>
      </c>
      <c r="J342" s="48">
        <f>'Calendario H'!V95</f>
        <v>0</v>
      </c>
      <c r="K342" s="48">
        <f>'Calendario H'!W95</f>
        <v>0</v>
      </c>
      <c r="L342" s="48">
        <f>'Calendario H'!X95</f>
        <v>0</v>
      </c>
      <c r="M342" s="48">
        <f>'Calendario H'!Y95</f>
        <v>0</v>
      </c>
      <c r="N342" s="48">
        <f>'Calendario H'!Z95</f>
        <v>0</v>
      </c>
    </row>
    <row r="343" spans="1:14" x14ac:dyDescent="0.25">
      <c r="A343" s="48" t="str">
        <f>'Calendario H'!M98</f>
        <v>(Squadra A)</v>
      </c>
      <c r="B343" s="48">
        <f>'Calendario H'!N98</f>
        <v>0</v>
      </c>
      <c r="C343" s="48">
        <f>'Calendario H'!O98</f>
        <v>0</v>
      </c>
      <c r="D343" s="48">
        <f>'Calendario H'!P98</f>
        <v>0</v>
      </c>
      <c r="E343" s="48">
        <f>'Calendario H'!Q98</f>
        <v>0</v>
      </c>
      <c r="F343" s="48">
        <f>'Calendario H'!R98</f>
        <v>0</v>
      </c>
      <c r="G343" s="48">
        <f>'Calendario H'!S98</f>
        <v>0</v>
      </c>
      <c r="H343" s="48" t="str">
        <f>'Calendario H'!T98</f>
        <v>(Squadra B)</v>
      </c>
      <c r="I343" s="48">
        <f>'Calendario H'!U98</f>
        <v>0</v>
      </c>
      <c r="J343" s="48">
        <f>'Calendario H'!V98</f>
        <v>0</v>
      </c>
      <c r="K343" s="48">
        <f>'Calendario H'!W98</f>
        <v>0</v>
      </c>
      <c r="L343" s="48">
        <f>'Calendario H'!X98</f>
        <v>0</v>
      </c>
      <c r="M343" s="48">
        <f>'Calendario H'!Y98</f>
        <v>0</v>
      </c>
      <c r="N343" s="48">
        <f>'Calendario H'!Z98</f>
        <v>0</v>
      </c>
    </row>
    <row r="344" spans="1:14" x14ac:dyDescent="0.25">
      <c r="A344" s="48" t="str">
        <f>'Calendario H'!M101</f>
        <v>(Squadra A)</v>
      </c>
      <c r="B344" s="48">
        <f>'Calendario H'!N101</f>
        <v>0</v>
      </c>
      <c r="C344" s="48">
        <f>'Calendario H'!O101</f>
        <v>0</v>
      </c>
      <c r="D344" s="48">
        <f>'Calendario H'!P101</f>
        <v>0</v>
      </c>
      <c r="E344" s="48">
        <f>'Calendario H'!Q101</f>
        <v>0</v>
      </c>
      <c r="F344" s="48">
        <f>'Calendario H'!R101</f>
        <v>0</v>
      </c>
      <c r="G344" s="48">
        <f>'Calendario H'!S101</f>
        <v>0</v>
      </c>
      <c r="H344" s="48" t="str">
        <f>'Calendario H'!T101</f>
        <v>(Squadra B)</v>
      </c>
      <c r="I344" s="48">
        <f>'Calendario H'!U101</f>
        <v>0</v>
      </c>
      <c r="J344" s="48">
        <f>'Calendario H'!V101</f>
        <v>0</v>
      </c>
      <c r="K344" s="48">
        <f>'Calendario H'!W101</f>
        <v>0</v>
      </c>
      <c r="L344" s="48">
        <f>'Calendario H'!X101</f>
        <v>0</v>
      </c>
      <c r="M344" s="48">
        <f>'Calendario H'!Y101</f>
        <v>0</v>
      </c>
      <c r="N344" s="48">
        <f>'Calendario H'!Z101</f>
        <v>0</v>
      </c>
    </row>
    <row r="345" spans="1:14" x14ac:dyDescent="0.25">
      <c r="A345" s="48" t="str">
        <f>'Calendario H'!M104</f>
        <v>(Squadra A)</v>
      </c>
      <c r="B345" s="48">
        <f>'Calendario H'!N104</f>
        <v>0</v>
      </c>
      <c r="C345" s="48">
        <f>'Calendario H'!O104</f>
        <v>0</v>
      </c>
      <c r="D345" s="48">
        <f>'Calendario H'!P104</f>
        <v>0</v>
      </c>
      <c r="E345" s="48">
        <f>'Calendario H'!Q104</f>
        <v>0</v>
      </c>
      <c r="F345" s="48">
        <f>'Calendario H'!R104</f>
        <v>0</v>
      </c>
      <c r="G345" s="48">
        <f>'Calendario H'!S104</f>
        <v>0</v>
      </c>
      <c r="H345" s="48" t="str">
        <f>'Calendario H'!T104</f>
        <v>(Squadra B)</v>
      </c>
      <c r="I345" s="48">
        <f>'Calendario H'!U104</f>
        <v>0</v>
      </c>
      <c r="J345" s="48">
        <f>'Calendario H'!V104</f>
        <v>0</v>
      </c>
      <c r="K345" s="48">
        <f>'Calendario H'!W104</f>
        <v>0</v>
      </c>
      <c r="L345" s="48">
        <f>'Calendario H'!X104</f>
        <v>0</v>
      </c>
      <c r="M345" s="48">
        <f>'Calendario H'!Y104</f>
        <v>0</v>
      </c>
      <c r="N345" s="48">
        <f>'Calendario H'!Z104</f>
        <v>0</v>
      </c>
    </row>
    <row r="346" spans="1:14" x14ac:dyDescent="0.25">
      <c r="A346" s="48" t="str">
        <f>'Calendario H'!M107</f>
        <v>(Squadra A)</v>
      </c>
      <c r="B346" s="48">
        <f>'Calendario H'!N107</f>
        <v>0</v>
      </c>
      <c r="C346" s="48">
        <f>'Calendario H'!O107</f>
        <v>0</v>
      </c>
      <c r="D346" s="48">
        <f>'Calendario H'!P107</f>
        <v>0</v>
      </c>
      <c r="E346" s="48">
        <f>'Calendario H'!Q107</f>
        <v>0</v>
      </c>
      <c r="F346" s="48">
        <f>'Calendario H'!R107</f>
        <v>0</v>
      </c>
      <c r="G346" s="48">
        <f>'Calendario H'!S107</f>
        <v>0</v>
      </c>
      <c r="H346" s="48" t="str">
        <f>'Calendario H'!T107</f>
        <v>(Squadra B)</v>
      </c>
      <c r="I346" s="48">
        <f>'Calendario H'!U107</f>
        <v>0</v>
      </c>
      <c r="J346" s="48">
        <f>'Calendario H'!V107</f>
        <v>0</v>
      </c>
      <c r="K346" s="48">
        <f>'Calendario H'!W107</f>
        <v>0</v>
      </c>
      <c r="L346" s="48">
        <f>'Calendario H'!X107</f>
        <v>0</v>
      </c>
      <c r="M346" s="48">
        <f>'Calendario H'!Y107</f>
        <v>0</v>
      </c>
      <c r="N346" s="48">
        <f>'Calendario H'!Z107</f>
        <v>0</v>
      </c>
    </row>
    <row r="347" spans="1:14" x14ac:dyDescent="0.25">
      <c r="A347" s="48" t="str">
        <f>'Calendario H'!M112</f>
        <v>(Squadra A)</v>
      </c>
      <c r="B347" s="48">
        <f>'Calendario H'!N112</f>
        <v>0</v>
      </c>
      <c r="C347" s="48">
        <f>'Calendario H'!O112</f>
        <v>0</v>
      </c>
      <c r="D347" s="48">
        <f>'Calendario H'!P112</f>
        <v>0</v>
      </c>
      <c r="E347" s="48">
        <f>'Calendario H'!Q112</f>
        <v>0</v>
      </c>
      <c r="F347" s="48">
        <f>'Calendario H'!R112</f>
        <v>0</v>
      </c>
      <c r="G347" s="48">
        <f>'Calendario H'!S112</f>
        <v>0</v>
      </c>
      <c r="H347" s="48" t="str">
        <f>'Calendario H'!T112</f>
        <v>(Squadra B)</v>
      </c>
      <c r="I347" s="48">
        <f>'Calendario H'!U112</f>
        <v>0</v>
      </c>
      <c r="J347" s="48">
        <f>'Calendario H'!V112</f>
        <v>0</v>
      </c>
      <c r="K347" s="48">
        <f>'Calendario H'!W112</f>
        <v>0</v>
      </c>
      <c r="L347" s="48">
        <f>'Calendario H'!X112</f>
        <v>0</v>
      </c>
      <c r="M347" s="48">
        <f>'Calendario H'!Y112</f>
        <v>0</v>
      </c>
      <c r="N347" s="48">
        <f>'Calendario H'!Z112</f>
        <v>0</v>
      </c>
    </row>
    <row r="348" spans="1:14" x14ac:dyDescent="0.25">
      <c r="A348" s="48" t="str">
        <f>'Calendario H'!M115</f>
        <v>(Squadra A)</v>
      </c>
      <c r="B348" s="48">
        <f>'Calendario H'!N115</f>
        <v>0</v>
      </c>
      <c r="C348" s="48">
        <f>'Calendario H'!O115</f>
        <v>0</v>
      </c>
      <c r="D348" s="48">
        <f>'Calendario H'!P115</f>
        <v>0</v>
      </c>
      <c r="E348" s="48">
        <f>'Calendario H'!Q115</f>
        <v>0</v>
      </c>
      <c r="F348" s="48">
        <f>'Calendario H'!R115</f>
        <v>0</v>
      </c>
      <c r="G348" s="48">
        <f>'Calendario H'!S115</f>
        <v>0</v>
      </c>
      <c r="H348" s="48" t="str">
        <f>'Calendario H'!T115</f>
        <v>(Squadra B)</v>
      </c>
      <c r="I348" s="48">
        <f>'Calendario H'!U115</f>
        <v>0</v>
      </c>
      <c r="J348" s="48">
        <f>'Calendario H'!V115</f>
        <v>0</v>
      </c>
      <c r="K348" s="48">
        <f>'Calendario H'!W115</f>
        <v>0</v>
      </c>
      <c r="L348" s="48">
        <f>'Calendario H'!X115</f>
        <v>0</v>
      </c>
      <c r="M348" s="48">
        <f>'Calendario H'!Y115</f>
        <v>0</v>
      </c>
      <c r="N348" s="48">
        <f>'Calendario H'!Z115</f>
        <v>0</v>
      </c>
    </row>
    <row r="349" spans="1:14" x14ac:dyDescent="0.25">
      <c r="A349" s="48" t="str">
        <f>'Calendario H'!M118</f>
        <v>(Squadra A)</v>
      </c>
      <c r="B349" s="48">
        <f>'Calendario H'!N118</f>
        <v>0</v>
      </c>
      <c r="C349" s="48">
        <f>'Calendario H'!O118</f>
        <v>0</v>
      </c>
      <c r="D349" s="48">
        <f>'Calendario H'!P118</f>
        <v>0</v>
      </c>
      <c r="E349" s="48">
        <f>'Calendario H'!Q118</f>
        <v>0</v>
      </c>
      <c r="F349" s="48">
        <f>'Calendario H'!R118</f>
        <v>0</v>
      </c>
      <c r="G349" s="48">
        <f>'Calendario H'!S118</f>
        <v>0</v>
      </c>
      <c r="H349" s="48" t="str">
        <f>'Calendario H'!T118</f>
        <v>(Squadra B)</v>
      </c>
      <c r="I349" s="48">
        <f>'Calendario H'!U118</f>
        <v>0</v>
      </c>
      <c r="J349" s="48">
        <f>'Calendario H'!V118</f>
        <v>0</v>
      </c>
      <c r="K349" s="48">
        <f>'Calendario H'!W118</f>
        <v>0</v>
      </c>
      <c r="L349" s="48">
        <f>'Calendario H'!X118</f>
        <v>0</v>
      </c>
      <c r="M349" s="48">
        <f>'Calendario H'!Y118</f>
        <v>0</v>
      </c>
      <c r="N349" s="48">
        <f>'Calendario H'!Z118</f>
        <v>0</v>
      </c>
    </row>
    <row r="350" spans="1:14" x14ac:dyDescent="0.25">
      <c r="A350" s="48" t="str">
        <f>'Calendario H'!M121</f>
        <v>(Squadra A)</v>
      </c>
      <c r="B350" s="48">
        <f>'Calendario H'!N121</f>
        <v>0</v>
      </c>
      <c r="C350" s="48">
        <f>'Calendario H'!O121</f>
        <v>0</v>
      </c>
      <c r="D350" s="48">
        <f>'Calendario H'!P121</f>
        <v>0</v>
      </c>
      <c r="E350" s="48">
        <f>'Calendario H'!Q121</f>
        <v>0</v>
      </c>
      <c r="F350" s="48">
        <f>'Calendario H'!R121</f>
        <v>0</v>
      </c>
      <c r="G350" s="48">
        <f>'Calendario H'!S121</f>
        <v>0</v>
      </c>
      <c r="H350" s="48" t="str">
        <f>'Calendario H'!T121</f>
        <v>(Squadra B)</v>
      </c>
      <c r="I350" s="48">
        <f>'Calendario H'!U121</f>
        <v>0</v>
      </c>
      <c r="J350" s="48">
        <f>'Calendario H'!V121</f>
        <v>0</v>
      </c>
      <c r="K350" s="48">
        <f>'Calendario H'!W121</f>
        <v>0</v>
      </c>
      <c r="L350" s="48">
        <f>'Calendario H'!X121</f>
        <v>0</v>
      </c>
      <c r="M350" s="48">
        <f>'Calendario H'!Y121</f>
        <v>0</v>
      </c>
      <c r="N350" s="48">
        <f>'Calendario H'!Z121</f>
        <v>0</v>
      </c>
    </row>
    <row r="351" spans="1:14" x14ac:dyDescent="0.25">
      <c r="A351" s="48" t="str">
        <f>'Calendario H'!M124</f>
        <v>(Squadra A)</v>
      </c>
      <c r="B351" s="48">
        <f>'Calendario H'!N124</f>
        <v>0</v>
      </c>
      <c r="C351" s="48">
        <f>'Calendario H'!O124</f>
        <v>0</v>
      </c>
      <c r="D351" s="48">
        <f>'Calendario H'!P124</f>
        <v>0</v>
      </c>
      <c r="E351" s="48">
        <f>'Calendario H'!Q124</f>
        <v>0</v>
      </c>
      <c r="F351" s="48">
        <f>'Calendario H'!R124</f>
        <v>0</v>
      </c>
      <c r="G351" s="48">
        <f>'Calendario H'!S124</f>
        <v>0</v>
      </c>
      <c r="H351" s="48" t="str">
        <f>'Calendario H'!T124</f>
        <v>(Squadra B)</v>
      </c>
      <c r="I351" s="48">
        <f>'Calendario H'!U124</f>
        <v>0</v>
      </c>
      <c r="J351" s="48">
        <f>'Calendario H'!V124</f>
        <v>0</v>
      </c>
      <c r="K351" s="48">
        <f>'Calendario H'!W124</f>
        <v>0</v>
      </c>
      <c r="L351" s="48">
        <f>'Calendario H'!X124</f>
        <v>0</v>
      </c>
      <c r="M351" s="48">
        <f>'Calendario H'!Y124</f>
        <v>0</v>
      </c>
      <c r="N351" s="48">
        <f>'Calendario H'!Z124</f>
        <v>0</v>
      </c>
    </row>
    <row r="352" spans="1:14" x14ac:dyDescent="0.25">
      <c r="A352" s="48" t="str">
        <f>'Calendario H'!M129</f>
        <v>(Squadra A)</v>
      </c>
      <c r="B352" s="48">
        <f>'Calendario H'!N129</f>
        <v>0</v>
      </c>
      <c r="C352" s="48">
        <f>'Calendario H'!O129</f>
        <v>0</v>
      </c>
      <c r="D352" s="48">
        <f>'Calendario H'!P129</f>
        <v>0</v>
      </c>
      <c r="E352" s="48">
        <f>'Calendario H'!Q129</f>
        <v>0</v>
      </c>
      <c r="F352" s="48">
        <f>'Calendario H'!R129</f>
        <v>0</v>
      </c>
      <c r="G352" s="48">
        <f>'Calendario H'!S129</f>
        <v>0</v>
      </c>
      <c r="H352" s="48" t="str">
        <f>'Calendario H'!T129</f>
        <v>(Squadra B)</v>
      </c>
      <c r="I352" s="48">
        <f>'Calendario H'!U129</f>
        <v>0</v>
      </c>
      <c r="J352" s="48">
        <f>'Calendario H'!V129</f>
        <v>0</v>
      </c>
      <c r="K352" s="48">
        <f>'Calendario H'!W129</f>
        <v>0</v>
      </c>
      <c r="L352" s="48">
        <f>'Calendario H'!X129</f>
        <v>0</v>
      </c>
      <c r="M352" s="48">
        <f>'Calendario H'!Y129</f>
        <v>0</v>
      </c>
      <c r="N352" s="48">
        <f>'Calendario H'!Z129</f>
        <v>0</v>
      </c>
    </row>
    <row r="353" spans="1:14" x14ac:dyDescent="0.25">
      <c r="A353" s="48" t="str">
        <f>'Calendario H'!M132</f>
        <v>(Squadra A)</v>
      </c>
      <c r="B353" s="48">
        <f>'Calendario H'!N132</f>
        <v>0</v>
      </c>
      <c r="C353" s="48">
        <f>'Calendario H'!O132</f>
        <v>0</v>
      </c>
      <c r="D353" s="48">
        <f>'Calendario H'!P132</f>
        <v>0</v>
      </c>
      <c r="E353" s="48">
        <f>'Calendario H'!Q132</f>
        <v>0</v>
      </c>
      <c r="F353" s="48">
        <f>'Calendario H'!R132</f>
        <v>0</v>
      </c>
      <c r="G353" s="48">
        <f>'Calendario H'!S132</f>
        <v>0</v>
      </c>
      <c r="H353" s="48" t="str">
        <f>'Calendario H'!T132</f>
        <v>(Squadra B)</v>
      </c>
      <c r="I353" s="48">
        <f>'Calendario H'!U132</f>
        <v>0</v>
      </c>
      <c r="J353" s="48">
        <f>'Calendario H'!V132</f>
        <v>0</v>
      </c>
      <c r="K353" s="48">
        <f>'Calendario H'!W132</f>
        <v>0</v>
      </c>
      <c r="L353" s="48">
        <f>'Calendario H'!X132</f>
        <v>0</v>
      </c>
      <c r="M353" s="48">
        <f>'Calendario H'!Y132</f>
        <v>0</v>
      </c>
      <c r="N353" s="48">
        <f>'Calendario H'!Z132</f>
        <v>0</v>
      </c>
    </row>
    <row r="354" spans="1:14" x14ac:dyDescent="0.25">
      <c r="A354" s="48" t="str">
        <f>'Calendario H'!M135</f>
        <v>(Squadra A)</v>
      </c>
      <c r="B354" s="48">
        <f>'Calendario H'!N135</f>
        <v>0</v>
      </c>
      <c r="C354" s="48">
        <f>'Calendario H'!O135</f>
        <v>0</v>
      </c>
      <c r="D354" s="48">
        <f>'Calendario H'!P135</f>
        <v>0</v>
      </c>
      <c r="E354" s="48">
        <f>'Calendario H'!Q135</f>
        <v>0</v>
      </c>
      <c r="F354" s="48">
        <f>'Calendario H'!R135</f>
        <v>0</v>
      </c>
      <c r="G354" s="48">
        <f>'Calendario H'!S135</f>
        <v>0</v>
      </c>
      <c r="H354" s="48" t="str">
        <f>'Calendario H'!T135</f>
        <v>(Squadra B)</v>
      </c>
      <c r="I354" s="48">
        <f>'Calendario H'!U135</f>
        <v>0</v>
      </c>
      <c r="J354" s="48">
        <f>'Calendario H'!V135</f>
        <v>0</v>
      </c>
      <c r="K354" s="48">
        <f>'Calendario H'!W135</f>
        <v>0</v>
      </c>
      <c r="L354" s="48">
        <f>'Calendario H'!X135</f>
        <v>0</v>
      </c>
      <c r="M354" s="48">
        <f>'Calendario H'!Y135</f>
        <v>0</v>
      </c>
      <c r="N354" s="48">
        <f>'Calendario H'!Z135</f>
        <v>0</v>
      </c>
    </row>
    <row r="355" spans="1:14" x14ac:dyDescent="0.25">
      <c r="A355" s="48" t="str">
        <f>'Calendario H'!M138</f>
        <v>(Squadra A)</v>
      </c>
      <c r="B355" s="48">
        <f>'Calendario H'!N138</f>
        <v>0</v>
      </c>
      <c r="C355" s="48">
        <f>'Calendario H'!O138</f>
        <v>0</v>
      </c>
      <c r="D355" s="48">
        <f>'Calendario H'!P138</f>
        <v>0</v>
      </c>
      <c r="E355" s="48">
        <f>'Calendario H'!Q138</f>
        <v>0</v>
      </c>
      <c r="F355" s="48">
        <f>'Calendario H'!R138</f>
        <v>0</v>
      </c>
      <c r="G355" s="48">
        <f>'Calendario H'!S138</f>
        <v>0</v>
      </c>
      <c r="H355" s="48" t="str">
        <f>'Calendario H'!T138</f>
        <v>(Squadra B)</v>
      </c>
      <c r="I355" s="48">
        <f>'Calendario H'!U138</f>
        <v>0</v>
      </c>
      <c r="J355" s="48">
        <f>'Calendario H'!V138</f>
        <v>0</v>
      </c>
      <c r="K355" s="48">
        <f>'Calendario H'!W138</f>
        <v>0</v>
      </c>
      <c r="L355" s="48">
        <f>'Calendario H'!X138</f>
        <v>0</v>
      </c>
      <c r="M355" s="48">
        <f>'Calendario H'!Y138</f>
        <v>0</v>
      </c>
      <c r="N355" s="48">
        <f>'Calendario H'!Z138</f>
        <v>0</v>
      </c>
    </row>
    <row r="356" spans="1:14" x14ac:dyDescent="0.25">
      <c r="A356" s="48" t="str">
        <f>'Calendario H'!M141</f>
        <v>(Squadra A)</v>
      </c>
      <c r="B356" s="48">
        <f>'Calendario H'!N141</f>
        <v>0</v>
      </c>
      <c r="C356" s="48">
        <f>'Calendario H'!O141</f>
        <v>0</v>
      </c>
      <c r="D356" s="48">
        <f>'Calendario H'!P141</f>
        <v>0</v>
      </c>
      <c r="E356" s="48">
        <f>'Calendario H'!Q141</f>
        <v>0</v>
      </c>
      <c r="F356" s="48">
        <f>'Calendario H'!R141</f>
        <v>0</v>
      </c>
      <c r="G356" s="48">
        <f>'Calendario H'!S141</f>
        <v>0</v>
      </c>
      <c r="H356" s="48" t="str">
        <f>'Calendario H'!T141</f>
        <v>(Squadra B)</v>
      </c>
      <c r="I356" s="48">
        <f>'Calendario H'!U141</f>
        <v>0</v>
      </c>
      <c r="J356" s="48">
        <f>'Calendario H'!V141</f>
        <v>0</v>
      </c>
      <c r="K356" s="48">
        <f>'Calendario H'!W141</f>
        <v>0</v>
      </c>
      <c r="L356" s="48">
        <f>'Calendario H'!X141</f>
        <v>0</v>
      </c>
      <c r="M356" s="48">
        <f>'Calendario H'!Y141</f>
        <v>0</v>
      </c>
      <c r="N356" s="48">
        <f>'Calendario H'!Z141</f>
        <v>0</v>
      </c>
    </row>
    <row r="357" spans="1:14" x14ac:dyDescent="0.25">
      <c r="A357" s="48" t="str">
        <f>'Calendario H'!M146</f>
        <v>(Squadra A)</v>
      </c>
      <c r="B357" s="48">
        <f>'Calendario H'!N146</f>
        <v>0</v>
      </c>
      <c r="C357" s="48">
        <f>'Calendario H'!O146</f>
        <v>0</v>
      </c>
      <c r="D357" s="48">
        <f>'Calendario H'!P146</f>
        <v>0</v>
      </c>
      <c r="E357" s="48">
        <f>'Calendario H'!Q146</f>
        <v>0</v>
      </c>
      <c r="F357" s="48">
        <f>'Calendario H'!R146</f>
        <v>0</v>
      </c>
      <c r="G357" s="48">
        <f>'Calendario H'!S146</f>
        <v>0</v>
      </c>
      <c r="H357" s="48" t="str">
        <f>'Calendario H'!T146</f>
        <v>(Squadra B)</v>
      </c>
      <c r="I357" s="48">
        <f>'Calendario H'!U146</f>
        <v>0</v>
      </c>
      <c r="J357" s="48">
        <f>'Calendario H'!V146</f>
        <v>0</v>
      </c>
      <c r="K357" s="48">
        <f>'Calendario H'!W146</f>
        <v>0</v>
      </c>
      <c r="L357" s="48">
        <f>'Calendario H'!X146</f>
        <v>0</v>
      </c>
      <c r="M357" s="48">
        <f>'Calendario H'!Y146</f>
        <v>0</v>
      </c>
      <c r="N357" s="48">
        <f>'Calendario H'!Z146</f>
        <v>0</v>
      </c>
    </row>
    <row r="358" spans="1:14" x14ac:dyDescent="0.25">
      <c r="A358" s="48" t="str">
        <f>'Calendario H'!M149</f>
        <v>(Squadra A)</v>
      </c>
      <c r="B358" s="48">
        <f>'Calendario H'!N149</f>
        <v>0</v>
      </c>
      <c r="C358" s="48">
        <f>'Calendario H'!O149</f>
        <v>0</v>
      </c>
      <c r="D358" s="48">
        <f>'Calendario H'!P149</f>
        <v>0</v>
      </c>
      <c r="E358" s="48">
        <f>'Calendario H'!Q149</f>
        <v>0</v>
      </c>
      <c r="F358" s="48">
        <f>'Calendario H'!R149</f>
        <v>0</v>
      </c>
      <c r="G358" s="48">
        <f>'Calendario H'!S149</f>
        <v>0</v>
      </c>
      <c r="H358" s="48" t="str">
        <f>'Calendario H'!T149</f>
        <v>(Squadra B)</v>
      </c>
      <c r="I358" s="48">
        <f>'Calendario H'!U149</f>
        <v>0</v>
      </c>
      <c r="J358" s="48">
        <f>'Calendario H'!V149</f>
        <v>0</v>
      </c>
      <c r="K358" s="48">
        <f>'Calendario H'!W149</f>
        <v>0</v>
      </c>
      <c r="L358" s="48">
        <f>'Calendario H'!X149</f>
        <v>0</v>
      </c>
      <c r="M358" s="48">
        <f>'Calendario H'!Y149</f>
        <v>0</v>
      </c>
      <c r="N358" s="48">
        <f>'Calendario H'!Z149</f>
        <v>0</v>
      </c>
    </row>
    <row r="359" spans="1:14" x14ac:dyDescent="0.25">
      <c r="A359" s="48" t="str">
        <f>'Calendario H'!M152</f>
        <v>(Squadra A)</v>
      </c>
      <c r="B359" s="48">
        <f>'Calendario H'!N152</f>
        <v>0</v>
      </c>
      <c r="C359" s="48">
        <f>'Calendario H'!O152</f>
        <v>0</v>
      </c>
      <c r="D359" s="48">
        <f>'Calendario H'!P152</f>
        <v>0</v>
      </c>
      <c r="E359" s="48">
        <f>'Calendario H'!Q152</f>
        <v>0</v>
      </c>
      <c r="F359" s="48">
        <f>'Calendario H'!R152</f>
        <v>0</v>
      </c>
      <c r="G359" s="48">
        <f>'Calendario H'!S152</f>
        <v>0</v>
      </c>
      <c r="H359" s="48" t="str">
        <f>'Calendario H'!T152</f>
        <v>(Squadra B)</v>
      </c>
      <c r="I359" s="48">
        <f>'Calendario H'!U152</f>
        <v>0</v>
      </c>
      <c r="J359" s="48">
        <f>'Calendario H'!V152</f>
        <v>0</v>
      </c>
      <c r="K359" s="48">
        <f>'Calendario H'!W152</f>
        <v>0</v>
      </c>
      <c r="L359" s="48">
        <f>'Calendario H'!X152</f>
        <v>0</v>
      </c>
      <c r="M359" s="48">
        <f>'Calendario H'!Y152</f>
        <v>0</v>
      </c>
      <c r="N359" s="48">
        <f>'Calendario H'!Z152</f>
        <v>0</v>
      </c>
    </row>
    <row r="360" spans="1:14" x14ac:dyDescent="0.25">
      <c r="A360" s="48" t="str">
        <f>'Calendario H'!M155</f>
        <v>(Squadra A)</v>
      </c>
      <c r="B360" s="48">
        <f>'Calendario H'!N155</f>
        <v>0</v>
      </c>
      <c r="C360" s="48">
        <f>'Calendario H'!O155</f>
        <v>0</v>
      </c>
      <c r="D360" s="48">
        <f>'Calendario H'!P155</f>
        <v>0</v>
      </c>
      <c r="E360" s="48">
        <f>'Calendario H'!Q155</f>
        <v>0</v>
      </c>
      <c r="F360" s="48">
        <f>'Calendario H'!R155</f>
        <v>0</v>
      </c>
      <c r="G360" s="48">
        <f>'Calendario H'!S155</f>
        <v>0</v>
      </c>
      <c r="H360" s="48" t="str">
        <f>'Calendario H'!T155</f>
        <v>(Squadra B)</v>
      </c>
      <c r="I360" s="48">
        <f>'Calendario H'!U155</f>
        <v>0</v>
      </c>
      <c r="J360" s="48">
        <f>'Calendario H'!V155</f>
        <v>0</v>
      </c>
      <c r="K360" s="48">
        <f>'Calendario H'!W155</f>
        <v>0</v>
      </c>
      <c r="L360" s="48">
        <f>'Calendario H'!X155</f>
        <v>0</v>
      </c>
      <c r="M360" s="48">
        <f>'Calendario H'!Y155</f>
        <v>0</v>
      </c>
      <c r="N360" s="48">
        <f>'Calendario H'!Z155</f>
        <v>0</v>
      </c>
    </row>
    <row r="361" spans="1:14" x14ac:dyDescent="0.25">
      <c r="A361" s="48" t="str">
        <f>'Calendario H'!M158</f>
        <v>(Squadra A)</v>
      </c>
      <c r="B361" s="48">
        <f>'Calendario H'!N158</f>
        <v>0</v>
      </c>
      <c r="C361" s="48">
        <f>'Calendario H'!O158</f>
        <v>0</v>
      </c>
      <c r="D361" s="48">
        <f>'Calendario H'!P158</f>
        <v>0</v>
      </c>
      <c r="E361" s="48">
        <f>'Calendario H'!Q158</f>
        <v>0</v>
      </c>
      <c r="F361" s="48">
        <f>'Calendario H'!R158</f>
        <v>0</v>
      </c>
      <c r="G361" s="48">
        <f>'Calendario H'!S158</f>
        <v>0</v>
      </c>
      <c r="H361" s="48" t="str">
        <f>'Calendario H'!T158</f>
        <v>(Squadra B)</v>
      </c>
      <c r="I361" s="48">
        <f>'Calendario H'!U158</f>
        <v>0</v>
      </c>
      <c r="J361" s="48">
        <f>'Calendario H'!V158</f>
        <v>0</v>
      </c>
      <c r="K361" s="48">
        <f>'Calendario H'!W158</f>
        <v>0</v>
      </c>
      <c r="L361" s="48">
        <f>'Calendario H'!X158</f>
        <v>0</v>
      </c>
      <c r="M361" s="48">
        <f>'Calendario H'!Y158</f>
        <v>0</v>
      </c>
      <c r="N361" s="48">
        <f>'Calendario H'!Z158</f>
        <v>0</v>
      </c>
    </row>
    <row r="362" spans="1:14" x14ac:dyDescent="0.25">
      <c r="A362" s="48" t="str">
        <f>'Calendario I'!M10</f>
        <v>(Squadra A)</v>
      </c>
      <c r="B362" s="48">
        <f>'Calendario I'!N10</f>
        <v>0</v>
      </c>
      <c r="C362" s="48">
        <f>'Calendario I'!O10</f>
        <v>0</v>
      </c>
      <c r="D362" s="48">
        <f>'Calendario I'!P10</f>
        <v>0</v>
      </c>
      <c r="E362" s="48">
        <f>'Calendario I'!Q10</f>
        <v>0</v>
      </c>
      <c r="F362" s="48">
        <f>'Calendario I'!R10</f>
        <v>0</v>
      </c>
      <c r="G362" s="48">
        <f>'Calendario I'!S10</f>
        <v>0</v>
      </c>
      <c r="H362" s="48" t="str">
        <f>'Calendario I'!T10</f>
        <v>(Squadra B)</v>
      </c>
      <c r="I362" s="48">
        <f>'Calendario I'!U10</f>
        <v>0</v>
      </c>
      <c r="J362" s="48">
        <f>'Calendario I'!V10</f>
        <v>0</v>
      </c>
      <c r="K362" s="48">
        <f>'Calendario I'!W10</f>
        <v>0</v>
      </c>
      <c r="L362" s="48">
        <f>'Calendario I'!X10</f>
        <v>0</v>
      </c>
      <c r="M362" s="48">
        <f>'Calendario I'!Y10</f>
        <v>0</v>
      </c>
      <c r="N362" s="48">
        <f>'Calendario I'!Z10</f>
        <v>0</v>
      </c>
    </row>
    <row r="363" spans="1:14" x14ac:dyDescent="0.25">
      <c r="A363" s="48" t="str">
        <f>'Calendario I'!M13</f>
        <v>(Squadra A)</v>
      </c>
      <c r="B363" s="48">
        <f>'Calendario I'!N13</f>
        <v>0</v>
      </c>
      <c r="C363" s="48">
        <f>'Calendario I'!O13</f>
        <v>0</v>
      </c>
      <c r="D363" s="48">
        <f>'Calendario I'!P13</f>
        <v>0</v>
      </c>
      <c r="E363" s="48">
        <f>'Calendario I'!Q13</f>
        <v>0</v>
      </c>
      <c r="F363" s="48">
        <f>'Calendario I'!R13</f>
        <v>0</v>
      </c>
      <c r="G363" s="48">
        <f>'Calendario I'!S13</f>
        <v>0</v>
      </c>
      <c r="H363" s="48" t="str">
        <f>'Calendario I'!T13</f>
        <v>(Squadra B)</v>
      </c>
      <c r="I363" s="48">
        <f>'Calendario I'!U13</f>
        <v>0</v>
      </c>
      <c r="J363" s="48">
        <f>'Calendario I'!V13</f>
        <v>0</v>
      </c>
      <c r="K363" s="48">
        <f>'Calendario I'!W13</f>
        <v>0</v>
      </c>
      <c r="L363" s="48">
        <f>'Calendario I'!X13</f>
        <v>0</v>
      </c>
      <c r="M363" s="48">
        <f>'Calendario I'!Y13</f>
        <v>0</v>
      </c>
      <c r="N363" s="48">
        <f>'Calendario I'!Z13</f>
        <v>0</v>
      </c>
    </row>
    <row r="364" spans="1:14" x14ac:dyDescent="0.25">
      <c r="A364" s="48" t="str">
        <f>'Calendario I'!M16</f>
        <v>(Squadra A)</v>
      </c>
      <c r="B364" s="48">
        <f>'Calendario I'!N16</f>
        <v>0</v>
      </c>
      <c r="C364" s="48">
        <f>'Calendario I'!O16</f>
        <v>0</v>
      </c>
      <c r="D364" s="48">
        <f>'Calendario I'!P16</f>
        <v>0</v>
      </c>
      <c r="E364" s="48">
        <f>'Calendario I'!Q16</f>
        <v>0</v>
      </c>
      <c r="F364" s="48">
        <f>'Calendario I'!R16</f>
        <v>0</v>
      </c>
      <c r="G364" s="48">
        <f>'Calendario I'!S16</f>
        <v>0</v>
      </c>
      <c r="H364" s="48" t="str">
        <f>'Calendario I'!T16</f>
        <v>(Squadra B)</v>
      </c>
      <c r="I364" s="48">
        <f>'Calendario I'!U16</f>
        <v>0</v>
      </c>
      <c r="J364" s="48">
        <f>'Calendario I'!V16</f>
        <v>0</v>
      </c>
      <c r="K364" s="48">
        <f>'Calendario I'!W16</f>
        <v>0</v>
      </c>
      <c r="L364" s="48">
        <f>'Calendario I'!X16</f>
        <v>0</v>
      </c>
      <c r="M364" s="48">
        <f>'Calendario I'!Y16</f>
        <v>0</v>
      </c>
      <c r="N364" s="48">
        <f>'Calendario I'!Z16</f>
        <v>0</v>
      </c>
    </row>
    <row r="365" spans="1:14" x14ac:dyDescent="0.25">
      <c r="A365" s="48" t="str">
        <f>'Calendario I'!M19</f>
        <v>(Squadra A)</v>
      </c>
      <c r="B365" s="48">
        <f>'Calendario I'!N19</f>
        <v>0</v>
      </c>
      <c r="C365" s="48">
        <f>'Calendario I'!O19</f>
        <v>0</v>
      </c>
      <c r="D365" s="48">
        <f>'Calendario I'!P19</f>
        <v>0</v>
      </c>
      <c r="E365" s="48">
        <f>'Calendario I'!Q19</f>
        <v>0</v>
      </c>
      <c r="F365" s="48">
        <f>'Calendario I'!R19</f>
        <v>0</v>
      </c>
      <c r="G365" s="48">
        <f>'Calendario I'!S19</f>
        <v>0</v>
      </c>
      <c r="H365" s="48" t="str">
        <f>'Calendario I'!T19</f>
        <v>(Squadra B)</v>
      </c>
      <c r="I365" s="48">
        <f>'Calendario I'!U19</f>
        <v>0</v>
      </c>
      <c r="J365" s="48">
        <f>'Calendario I'!V19</f>
        <v>0</v>
      </c>
      <c r="K365" s="48">
        <f>'Calendario I'!W19</f>
        <v>0</v>
      </c>
      <c r="L365" s="48">
        <f>'Calendario I'!X19</f>
        <v>0</v>
      </c>
      <c r="M365" s="48">
        <f>'Calendario I'!Y19</f>
        <v>0</v>
      </c>
      <c r="N365" s="48">
        <f>'Calendario I'!Z19</f>
        <v>0</v>
      </c>
    </row>
    <row r="366" spans="1:14" x14ac:dyDescent="0.25">
      <c r="A366" s="48" t="str">
        <f>'Calendario I'!M22</f>
        <v>(Squadra A)</v>
      </c>
      <c r="B366" s="48">
        <f>'Calendario I'!N22</f>
        <v>0</v>
      </c>
      <c r="C366" s="48">
        <f>'Calendario I'!O22</f>
        <v>0</v>
      </c>
      <c r="D366" s="48">
        <f>'Calendario I'!P22</f>
        <v>0</v>
      </c>
      <c r="E366" s="48">
        <f>'Calendario I'!Q22</f>
        <v>0</v>
      </c>
      <c r="F366" s="48">
        <f>'Calendario I'!R22</f>
        <v>0</v>
      </c>
      <c r="G366" s="48">
        <f>'Calendario I'!S22</f>
        <v>0</v>
      </c>
      <c r="H366" s="48" t="str">
        <f>'Calendario I'!T22</f>
        <v>(Squadra B)</v>
      </c>
      <c r="I366" s="48">
        <f>'Calendario I'!U22</f>
        <v>0</v>
      </c>
      <c r="J366" s="48">
        <f>'Calendario I'!V22</f>
        <v>0</v>
      </c>
      <c r="K366" s="48">
        <f>'Calendario I'!W22</f>
        <v>0</v>
      </c>
      <c r="L366" s="48">
        <f>'Calendario I'!X22</f>
        <v>0</v>
      </c>
      <c r="M366" s="48">
        <f>'Calendario I'!Y22</f>
        <v>0</v>
      </c>
      <c r="N366" s="48">
        <f>'Calendario I'!Z22</f>
        <v>0</v>
      </c>
    </row>
    <row r="367" spans="1:14" x14ac:dyDescent="0.25">
      <c r="A367" s="48" t="str">
        <f>'Calendario I'!M27</f>
        <v>(Squadra A)</v>
      </c>
      <c r="B367" s="48">
        <f>'Calendario I'!N27</f>
        <v>0</v>
      </c>
      <c r="C367" s="48">
        <f>'Calendario I'!O27</f>
        <v>0</v>
      </c>
      <c r="D367" s="48">
        <f>'Calendario I'!P27</f>
        <v>0</v>
      </c>
      <c r="E367" s="48">
        <f>'Calendario I'!Q27</f>
        <v>0</v>
      </c>
      <c r="F367" s="48">
        <f>'Calendario I'!R27</f>
        <v>0</v>
      </c>
      <c r="G367" s="48">
        <f>'Calendario I'!S27</f>
        <v>0</v>
      </c>
      <c r="H367" s="48" t="str">
        <f>'Calendario I'!T27</f>
        <v>(Squadra B)</v>
      </c>
      <c r="I367" s="48">
        <f>'Calendario I'!U27</f>
        <v>0</v>
      </c>
      <c r="J367" s="48">
        <f>'Calendario I'!V27</f>
        <v>0</v>
      </c>
      <c r="K367" s="48">
        <f>'Calendario I'!W27</f>
        <v>0</v>
      </c>
      <c r="L367" s="48">
        <f>'Calendario I'!X27</f>
        <v>0</v>
      </c>
      <c r="M367" s="48">
        <f>'Calendario I'!Y27</f>
        <v>0</v>
      </c>
      <c r="N367" s="48">
        <f>'Calendario I'!Z27</f>
        <v>0</v>
      </c>
    </row>
    <row r="368" spans="1:14" x14ac:dyDescent="0.25">
      <c r="A368" s="48" t="str">
        <f>'Calendario I'!M30</f>
        <v>(Squadra A)</v>
      </c>
      <c r="B368" s="48">
        <f>'Calendario I'!N30</f>
        <v>0</v>
      </c>
      <c r="C368" s="48">
        <f>'Calendario I'!O30</f>
        <v>0</v>
      </c>
      <c r="D368" s="48">
        <f>'Calendario I'!P30</f>
        <v>0</v>
      </c>
      <c r="E368" s="48">
        <f>'Calendario I'!Q30</f>
        <v>0</v>
      </c>
      <c r="F368" s="48">
        <f>'Calendario I'!R30</f>
        <v>0</v>
      </c>
      <c r="G368" s="48">
        <f>'Calendario I'!S30</f>
        <v>0</v>
      </c>
      <c r="H368" s="48" t="str">
        <f>'Calendario I'!T30</f>
        <v>(Squadra B)</v>
      </c>
      <c r="I368" s="48">
        <f>'Calendario I'!U30</f>
        <v>0</v>
      </c>
      <c r="J368" s="48">
        <f>'Calendario I'!V30</f>
        <v>0</v>
      </c>
      <c r="K368" s="48">
        <f>'Calendario I'!W30</f>
        <v>0</v>
      </c>
      <c r="L368" s="48">
        <f>'Calendario I'!X30</f>
        <v>0</v>
      </c>
      <c r="M368" s="48">
        <f>'Calendario I'!Y30</f>
        <v>0</v>
      </c>
      <c r="N368" s="48">
        <f>'Calendario I'!Z30</f>
        <v>0</v>
      </c>
    </row>
    <row r="369" spans="1:14" x14ac:dyDescent="0.25">
      <c r="A369" s="48" t="str">
        <f>'Calendario I'!M33</f>
        <v>(Squadra A)</v>
      </c>
      <c r="B369" s="48">
        <f>'Calendario I'!N33</f>
        <v>0</v>
      </c>
      <c r="C369" s="48">
        <f>'Calendario I'!O33</f>
        <v>0</v>
      </c>
      <c r="D369" s="48">
        <f>'Calendario I'!P33</f>
        <v>0</v>
      </c>
      <c r="E369" s="48">
        <f>'Calendario I'!Q33</f>
        <v>0</v>
      </c>
      <c r="F369" s="48">
        <f>'Calendario I'!R33</f>
        <v>0</v>
      </c>
      <c r="G369" s="48">
        <f>'Calendario I'!S33</f>
        <v>0</v>
      </c>
      <c r="H369" s="48" t="str">
        <f>'Calendario I'!T33</f>
        <v>(Squadra B)</v>
      </c>
      <c r="I369" s="48">
        <f>'Calendario I'!U33</f>
        <v>0</v>
      </c>
      <c r="J369" s="48">
        <f>'Calendario I'!V33</f>
        <v>0</v>
      </c>
      <c r="K369" s="48">
        <f>'Calendario I'!W33</f>
        <v>0</v>
      </c>
      <c r="L369" s="48">
        <f>'Calendario I'!X33</f>
        <v>0</v>
      </c>
      <c r="M369" s="48">
        <f>'Calendario I'!Y33</f>
        <v>0</v>
      </c>
      <c r="N369" s="48">
        <f>'Calendario I'!Z33</f>
        <v>0</v>
      </c>
    </row>
    <row r="370" spans="1:14" x14ac:dyDescent="0.25">
      <c r="A370" s="48" t="str">
        <f>'Calendario I'!M36</f>
        <v>(Squadra A)</v>
      </c>
      <c r="B370" s="48">
        <f>'Calendario I'!N36</f>
        <v>0</v>
      </c>
      <c r="C370" s="48">
        <f>'Calendario I'!O36</f>
        <v>0</v>
      </c>
      <c r="D370" s="48">
        <f>'Calendario I'!P36</f>
        <v>0</v>
      </c>
      <c r="E370" s="48">
        <f>'Calendario I'!Q36</f>
        <v>0</v>
      </c>
      <c r="F370" s="48">
        <f>'Calendario I'!R36</f>
        <v>0</v>
      </c>
      <c r="G370" s="48">
        <f>'Calendario I'!S36</f>
        <v>0</v>
      </c>
      <c r="H370" s="48" t="str">
        <f>'Calendario I'!T36</f>
        <v>(Squadra B)</v>
      </c>
      <c r="I370" s="48">
        <f>'Calendario I'!U36</f>
        <v>0</v>
      </c>
      <c r="J370" s="48">
        <f>'Calendario I'!V36</f>
        <v>0</v>
      </c>
      <c r="K370" s="48">
        <f>'Calendario I'!W36</f>
        <v>0</v>
      </c>
      <c r="L370" s="48">
        <f>'Calendario I'!X36</f>
        <v>0</v>
      </c>
      <c r="M370" s="48">
        <f>'Calendario I'!Y36</f>
        <v>0</v>
      </c>
      <c r="N370" s="48">
        <f>'Calendario I'!Z36</f>
        <v>0</v>
      </c>
    </row>
    <row r="371" spans="1:14" x14ac:dyDescent="0.25">
      <c r="A371" s="48" t="str">
        <f>'Calendario I'!M39</f>
        <v>(Squadra A)</v>
      </c>
      <c r="B371" s="48">
        <f>'Calendario I'!N39</f>
        <v>0</v>
      </c>
      <c r="C371" s="48">
        <f>'Calendario I'!O39</f>
        <v>0</v>
      </c>
      <c r="D371" s="48">
        <f>'Calendario I'!P39</f>
        <v>0</v>
      </c>
      <c r="E371" s="48">
        <f>'Calendario I'!Q39</f>
        <v>0</v>
      </c>
      <c r="F371" s="48">
        <f>'Calendario I'!R39</f>
        <v>0</v>
      </c>
      <c r="G371" s="48">
        <f>'Calendario I'!S39</f>
        <v>0</v>
      </c>
      <c r="H371" s="48" t="str">
        <f>'Calendario I'!T39</f>
        <v>(Squadra B)</v>
      </c>
      <c r="I371" s="48">
        <f>'Calendario I'!U39</f>
        <v>0</v>
      </c>
      <c r="J371" s="48">
        <f>'Calendario I'!V39</f>
        <v>0</v>
      </c>
      <c r="K371" s="48">
        <f>'Calendario I'!W39</f>
        <v>0</v>
      </c>
      <c r="L371" s="48">
        <f>'Calendario I'!X39</f>
        <v>0</v>
      </c>
      <c r="M371" s="48">
        <f>'Calendario I'!Y39</f>
        <v>0</v>
      </c>
      <c r="N371" s="48">
        <f>'Calendario I'!Z39</f>
        <v>0</v>
      </c>
    </row>
    <row r="372" spans="1:14" x14ac:dyDescent="0.25">
      <c r="A372" s="48" t="str">
        <f>'Calendario I'!M44</f>
        <v>(Squadra A)</v>
      </c>
      <c r="B372" s="48">
        <f>'Calendario I'!N44</f>
        <v>0</v>
      </c>
      <c r="C372" s="48">
        <f>'Calendario I'!O44</f>
        <v>0</v>
      </c>
      <c r="D372" s="48">
        <f>'Calendario I'!P44</f>
        <v>0</v>
      </c>
      <c r="E372" s="48">
        <f>'Calendario I'!Q44</f>
        <v>0</v>
      </c>
      <c r="F372" s="48">
        <f>'Calendario I'!R44</f>
        <v>0</v>
      </c>
      <c r="G372" s="48">
        <f>'Calendario I'!S44</f>
        <v>0</v>
      </c>
      <c r="H372" s="48" t="str">
        <f>'Calendario I'!T44</f>
        <v>(Squadra B)</v>
      </c>
      <c r="I372" s="48">
        <f>'Calendario I'!U44</f>
        <v>0</v>
      </c>
      <c r="J372" s="48">
        <f>'Calendario I'!V44</f>
        <v>0</v>
      </c>
      <c r="K372" s="48">
        <f>'Calendario I'!W44</f>
        <v>0</v>
      </c>
      <c r="L372" s="48">
        <f>'Calendario I'!X44</f>
        <v>0</v>
      </c>
      <c r="M372" s="48">
        <f>'Calendario I'!Y44</f>
        <v>0</v>
      </c>
      <c r="N372" s="48">
        <f>'Calendario I'!Z44</f>
        <v>0</v>
      </c>
    </row>
    <row r="373" spans="1:14" x14ac:dyDescent="0.25">
      <c r="A373" s="48" t="str">
        <f>'Calendario I'!M47</f>
        <v>(Squadra A)</v>
      </c>
      <c r="B373" s="48">
        <f>'Calendario I'!N47</f>
        <v>0</v>
      </c>
      <c r="C373" s="48">
        <f>'Calendario I'!O47</f>
        <v>0</v>
      </c>
      <c r="D373" s="48">
        <f>'Calendario I'!P47</f>
        <v>0</v>
      </c>
      <c r="E373" s="48">
        <f>'Calendario I'!Q47</f>
        <v>0</v>
      </c>
      <c r="F373" s="48">
        <f>'Calendario I'!R47</f>
        <v>0</v>
      </c>
      <c r="G373" s="48">
        <f>'Calendario I'!S47</f>
        <v>0</v>
      </c>
      <c r="H373" s="48" t="str">
        <f>'Calendario I'!T47</f>
        <v>(Squadra B)</v>
      </c>
      <c r="I373" s="48">
        <f>'Calendario I'!U47</f>
        <v>0</v>
      </c>
      <c r="J373" s="48">
        <f>'Calendario I'!V47</f>
        <v>0</v>
      </c>
      <c r="K373" s="48">
        <f>'Calendario I'!W47</f>
        <v>0</v>
      </c>
      <c r="L373" s="48">
        <f>'Calendario I'!X47</f>
        <v>0</v>
      </c>
      <c r="M373" s="48">
        <f>'Calendario I'!Y47</f>
        <v>0</v>
      </c>
      <c r="N373" s="48">
        <f>'Calendario I'!Z47</f>
        <v>0</v>
      </c>
    </row>
    <row r="374" spans="1:14" x14ac:dyDescent="0.25">
      <c r="A374" s="48" t="str">
        <f>'Calendario I'!M50</f>
        <v>(Squadra A)</v>
      </c>
      <c r="B374" s="48">
        <f>'Calendario I'!N50</f>
        <v>0</v>
      </c>
      <c r="C374" s="48">
        <f>'Calendario I'!O50</f>
        <v>0</v>
      </c>
      <c r="D374" s="48">
        <f>'Calendario I'!P50</f>
        <v>0</v>
      </c>
      <c r="E374" s="48">
        <f>'Calendario I'!Q50</f>
        <v>0</v>
      </c>
      <c r="F374" s="48">
        <f>'Calendario I'!R50</f>
        <v>0</v>
      </c>
      <c r="G374" s="48">
        <f>'Calendario I'!S50</f>
        <v>0</v>
      </c>
      <c r="H374" s="48" t="str">
        <f>'Calendario I'!T50</f>
        <v>(Squadra B)</v>
      </c>
      <c r="I374" s="48">
        <f>'Calendario I'!U50</f>
        <v>0</v>
      </c>
      <c r="J374" s="48">
        <f>'Calendario I'!V50</f>
        <v>0</v>
      </c>
      <c r="K374" s="48">
        <f>'Calendario I'!W50</f>
        <v>0</v>
      </c>
      <c r="L374" s="48">
        <f>'Calendario I'!X50</f>
        <v>0</v>
      </c>
      <c r="M374" s="48">
        <f>'Calendario I'!Y50</f>
        <v>0</v>
      </c>
      <c r="N374" s="48">
        <f>'Calendario I'!Z50</f>
        <v>0</v>
      </c>
    </row>
    <row r="375" spans="1:14" x14ac:dyDescent="0.25">
      <c r="A375" s="48" t="str">
        <f>'Calendario I'!M53</f>
        <v>(Squadra A)</v>
      </c>
      <c r="B375" s="48">
        <f>'Calendario I'!N53</f>
        <v>0</v>
      </c>
      <c r="C375" s="48">
        <f>'Calendario I'!O53</f>
        <v>0</v>
      </c>
      <c r="D375" s="48">
        <f>'Calendario I'!P53</f>
        <v>0</v>
      </c>
      <c r="E375" s="48">
        <f>'Calendario I'!Q53</f>
        <v>0</v>
      </c>
      <c r="F375" s="48">
        <f>'Calendario I'!R53</f>
        <v>0</v>
      </c>
      <c r="G375" s="48">
        <f>'Calendario I'!S53</f>
        <v>0</v>
      </c>
      <c r="H375" s="48" t="str">
        <f>'Calendario I'!T53</f>
        <v>(Squadra B)</v>
      </c>
      <c r="I375" s="48">
        <f>'Calendario I'!U53</f>
        <v>0</v>
      </c>
      <c r="J375" s="48">
        <f>'Calendario I'!V53</f>
        <v>0</v>
      </c>
      <c r="K375" s="48">
        <f>'Calendario I'!W53</f>
        <v>0</v>
      </c>
      <c r="L375" s="48">
        <f>'Calendario I'!X53</f>
        <v>0</v>
      </c>
      <c r="M375" s="48">
        <f>'Calendario I'!Y53</f>
        <v>0</v>
      </c>
      <c r="N375" s="48">
        <f>'Calendario I'!Z53</f>
        <v>0</v>
      </c>
    </row>
    <row r="376" spans="1:14" x14ac:dyDescent="0.25">
      <c r="A376" s="48" t="str">
        <f>'Calendario I'!M56</f>
        <v>(Squadra A)</v>
      </c>
      <c r="B376" s="48">
        <f>'Calendario I'!N56</f>
        <v>0</v>
      </c>
      <c r="C376" s="48">
        <f>'Calendario I'!O56</f>
        <v>0</v>
      </c>
      <c r="D376" s="48">
        <f>'Calendario I'!P56</f>
        <v>0</v>
      </c>
      <c r="E376" s="48">
        <f>'Calendario I'!Q56</f>
        <v>0</v>
      </c>
      <c r="F376" s="48">
        <f>'Calendario I'!R56</f>
        <v>0</v>
      </c>
      <c r="G376" s="48">
        <f>'Calendario I'!S56</f>
        <v>0</v>
      </c>
      <c r="H376" s="48" t="str">
        <f>'Calendario I'!T56</f>
        <v>(Squadra B)</v>
      </c>
      <c r="I376" s="48">
        <f>'Calendario I'!U56</f>
        <v>0</v>
      </c>
      <c r="J376" s="48">
        <f>'Calendario I'!V56</f>
        <v>0</v>
      </c>
      <c r="K376" s="48">
        <f>'Calendario I'!W56</f>
        <v>0</v>
      </c>
      <c r="L376" s="48">
        <f>'Calendario I'!X56</f>
        <v>0</v>
      </c>
      <c r="M376" s="48">
        <f>'Calendario I'!Y56</f>
        <v>0</v>
      </c>
      <c r="N376" s="48">
        <f>'Calendario I'!Z56</f>
        <v>0</v>
      </c>
    </row>
    <row r="377" spans="1:14" x14ac:dyDescent="0.25">
      <c r="A377" s="48" t="str">
        <f>'Calendario I'!M61</f>
        <v>(Squadra A)</v>
      </c>
      <c r="B377" s="48">
        <f>'Calendario I'!N61</f>
        <v>0</v>
      </c>
      <c r="C377" s="48">
        <f>'Calendario I'!O61</f>
        <v>0</v>
      </c>
      <c r="D377" s="48">
        <f>'Calendario I'!P61</f>
        <v>0</v>
      </c>
      <c r="E377" s="48">
        <f>'Calendario I'!Q61</f>
        <v>0</v>
      </c>
      <c r="F377" s="48">
        <f>'Calendario I'!R61</f>
        <v>0</v>
      </c>
      <c r="G377" s="48">
        <f>'Calendario I'!S61</f>
        <v>0</v>
      </c>
      <c r="H377" s="48" t="str">
        <f>'Calendario I'!T61</f>
        <v>(Squadra B)</v>
      </c>
      <c r="I377" s="48">
        <f>'Calendario I'!U61</f>
        <v>0</v>
      </c>
      <c r="J377" s="48">
        <f>'Calendario I'!V61</f>
        <v>0</v>
      </c>
      <c r="K377" s="48">
        <f>'Calendario I'!W61</f>
        <v>0</v>
      </c>
      <c r="L377" s="48">
        <f>'Calendario I'!X61</f>
        <v>0</v>
      </c>
      <c r="M377" s="48">
        <f>'Calendario I'!Y61</f>
        <v>0</v>
      </c>
      <c r="N377" s="48">
        <f>'Calendario I'!Z61</f>
        <v>0</v>
      </c>
    </row>
    <row r="378" spans="1:14" x14ac:dyDescent="0.25">
      <c r="A378" s="48" t="str">
        <f>'Calendario I'!M64</f>
        <v>(Squadra A)</v>
      </c>
      <c r="B378" s="48">
        <f>'Calendario I'!N64</f>
        <v>0</v>
      </c>
      <c r="C378" s="48">
        <f>'Calendario I'!O64</f>
        <v>0</v>
      </c>
      <c r="D378" s="48">
        <f>'Calendario I'!P64</f>
        <v>0</v>
      </c>
      <c r="E378" s="48">
        <f>'Calendario I'!Q64</f>
        <v>0</v>
      </c>
      <c r="F378" s="48">
        <f>'Calendario I'!R64</f>
        <v>0</v>
      </c>
      <c r="G378" s="48">
        <f>'Calendario I'!S64</f>
        <v>0</v>
      </c>
      <c r="H378" s="48" t="str">
        <f>'Calendario I'!T64</f>
        <v>(Squadra B)</v>
      </c>
      <c r="I378" s="48">
        <f>'Calendario I'!U64</f>
        <v>0</v>
      </c>
      <c r="J378" s="48">
        <f>'Calendario I'!V64</f>
        <v>0</v>
      </c>
      <c r="K378" s="48">
        <f>'Calendario I'!W64</f>
        <v>0</v>
      </c>
      <c r="L378" s="48">
        <f>'Calendario I'!X64</f>
        <v>0</v>
      </c>
      <c r="M378" s="48">
        <f>'Calendario I'!Y64</f>
        <v>0</v>
      </c>
      <c r="N378" s="48">
        <f>'Calendario I'!Z64</f>
        <v>0</v>
      </c>
    </row>
    <row r="379" spans="1:14" x14ac:dyDescent="0.25">
      <c r="A379" s="48" t="str">
        <f>'Calendario I'!M67</f>
        <v>(Squadra A)</v>
      </c>
      <c r="B379" s="48">
        <f>'Calendario I'!N67</f>
        <v>0</v>
      </c>
      <c r="C379" s="48">
        <f>'Calendario I'!O67</f>
        <v>0</v>
      </c>
      <c r="D379" s="48">
        <f>'Calendario I'!P67</f>
        <v>0</v>
      </c>
      <c r="E379" s="48">
        <f>'Calendario I'!Q67</f>
        <v>0</v>
      </c>
      <c r="F379" s="48">
        <f>'Calendario I'!R67</f>
        <v>0</v>
      </c>
      <c r="G379" s="48">
        <f>'Calendario I'!S67</f>
        <v>0</v>
      </c>
      <c r="H379" s="48" t="str">
        <f>'Calendario I'!T67</f>
        <v>(Squadra B)</v>
      </c>
      <c r="I379" s="48">
        <f>'Calendario I'!U67</f>
        <v>0</v>
      </c>
      <c r="J379" s="48">
        <f>'Calendario I'!V67</f>
        <v>0</v>
      </c>
      <c r="K379" s="48">
        <f>'Calendario I'!W67</f>
        <v>0</v>
      </c>
      <c r="L379" s="48">
        <f>'Calendario I'!X67</f>
        <v>0</v>
      </c>
      <c r="M379" s="48">
        <f>'Calendario I'!Y67</f>
        <v>0</v>
      </c>
      <c r="N379" s="48">
        <f>'Calendario I'!Z67</f>
        <v>0</v>
      </c>
    </row>
    <row r="380" spans="1:14" x14ac:dyDescent="0.25">
      <c r="A380" s="48" t="str">
        <f>'Calendario I'!M70</f>
        <v>(Squadra A)</v>
      </c>
      <c r="B380" s="48">
        <f>'Calendario I'!N70</f>
        <v>0</v>
      </c>
      <c r="C380" s="48">
        <f>'Calendario I'!O70</f>
        <v>0</v>
      </c>
      <c r="D380" s="48">
        <f>'Calendario I'!P70</f>
        <v>0</v>
      </c>
      <c r="E380" s="48">
        <f>'Calendario I'!Q70</f>
        <v>0</v>
      </c>
      <c r="F380" s="48">
        <f>'Calendario I'!R70</f>
        <v>0</v>
      </c>
      <c r="G380" s="48">
        <f>'Calendario I'!S70</f>
        <v>0</v>
      </c>
      <c r="H380" s="48" t="str">
        <f>'Calendario I'!T70</f>
        <v>(Squadra B)</v>
      </c>
      <c r="I380" s="48">
        <f>'Calendario I'!U70</f>
        <v>0</v>
      </c>
      <c r="J380" s="48">
        <f>'Calendario I'!V70</f>
        <v>0</v>
      </c>
      <c r="K380" s="48">
        <f>'Calendario I'!W70</f>
        <v>0</v>
      </c>
      <c r="L380" s="48">
        <f>'Calendario I'!X70</f>
        <v>0</v>
      </c>
      <c r="M380" s="48">
        <f>'Calendario I'!Y70</f>
        <v>0</v>
      </c>
      <c r="N380" s="48">
        <f>'Calendario I'!Z70</f>
        <v>0</v>
      </c>
    </row>
    <row r="381" spans="1:14" x14ac:dyDescent="0.25">
      <c r="A381" s="48" t="str">
        <f>'Calendario I'!M73</f>
        <v>(Squadra A)</v>
      </c>
      <c r="B381" s="48">
        <f>'Calendario I'!N73</f>
        <v>0</v>
      </c>
      <c r="C381" s="48">
        <f>'Calendario I'!O73</f>
        <v>0</v>
      </c>
      <c r="D381" s="48">
        <f>'Calendario I'!P73</f>
        <v>0</v>
      </c>
      <c r="E381" s="48">
        <f>'Calendario I'!Q73</f>
        <v>0</v>
      </c>
      <c r="F381" s="48">
        <f>'Calendario I'!R73</f>
        <v>0</v>
      </c>
      <c r="G381" s="48">
        <f>'Calendario I'!S73</f>
        <v>0</v>
      </c>
      <c r="H381" s="48" t="str">
        <f>'Calendario I'!T73</f>
        <v>(Squadra B)</v>
      </c>
      <c r="I381" s="48">
        <f>'Calendario I'!U73</f>
        <v>0</v>
      </c>
      <c r="J381" s="48">
        <f>'Calendario I'!V73</f>
        <v>0</v>
      </c>
      <c r="K381" s="48">
        <f>'Calendario I'!W73</f>
        <v>0</v>
      </c>
      <c r="L381" s="48">
        <f>'Calendario I'!X73</f>
        <v>0</v>
      </c>
      <c r="M381" s="48">
        <f>'Calendario I'!Y73</f>
        <v>0</v>
      </c>
      <c r="N381" s="48">
        <f>'Calendario I'!Z73</f>
        <v>0</v>
      </c>
    </row>
    <row r="382" spans="1:14" x14ac:dyDescent="0.25">
      <c r="A382" s="48" t="str">
        <f>'Calendario I'!M78</f>
        <v>(Squadra A)</v>
      </c>
      <c r="B382" s="48">
        <f>'Calendario I'!N78</f>
        <v>0</v>
      </c>
      <c r="C382" s="48">
        <f>'Calendario I'!O78</f>
        <v>0</v>
      </c>
      <c r="D382" s="48">
        <f>'Calendario I'!P78</f>
        <v>0</v>
      </c>
      <c r="E382" s="48">
        <f>'Calendario I'!Q78</f>
        <v>0</v>
      </c>
      <c r="F382" s="48">
        <f>'Calendario I'!R78</f>
        <v>0</v>
      </c>
      <c r="G382" s="48">
        <f>'Calendario I'!S78</f>
        <v>0</v>
      </c>
      <c r="H382" s="48" t="str">
        <f>'Calendario I'!T78</f>
        <v>(Squadra B)</v>
      </c>
      <c r="I382" s="48">
        <f>'Calendario I'!U78</f>
        <v>0</v>
      </c>
      <c r="J382" s="48">
        <f>'Calendario I'!V78</f>
        <v>0</v>
      </c>
      <c r="K382" s="48">
        <f>'Calendario I'!W78</f>
        <v>0</v>
      </c>
      <c r="L382" s="48">
        <f>'Calendario I'!X78</f>
        <v>0</v>
      </c>
      <c r="M382" s="48">
        <f>'Calendario I'!Y78</f>
        <v>0</v>
      </c>
      <c r="N382" s="48">
        <f>'Calendario I'!Z78</f>
        <v>0</v>
      </c>
    </row>
    <row r="383" spans="1:14" x14ac:dyDescent="0.25">
      <c r="A383" s="48" t="str">
        <f>'Calendario I'!M81</f>
        <v>(Squadra A)</v>
      </c>
      <c r="B383" s="48">
        <f>'Calendario I'!N81</f>
        <v>0</v>
      </c>
      <c r="C383" s="48">
        <f>'Calendario I'!O81</f>
        <v>0</v>
      </c>
      <c r="D383" s="48">
        <f>'Calendario I'!P81</f>
        <v>0</v>
      </c>
      <c r="E383" s="48">
        <f>'Calendario I'!Q81</f>
        <v>0</v>
      </c>
      <c r="F383" s="48">
        <f>'Calendario I'!R81</f>
        <v>0</v>
      </c>
      <c r="G383" s="48">
        <f>'Calendario I'!S81</f>
        <v>0</v>
      </c>
      <c r="H383" s="48" t="str">
        <f>'Calendario I'!T81</f>
        <v>(Squadra B)</v>
      </c>
      <c r="I383" s="48">
        <f>'Calendario I'!U81</f>
        <v>0</v>
      </c>
      <c r="J383" s="48">
        <f>'Calendario I'!V81</f>
        <v>0</v>
      </c>
      <c r="K383" s="48">
        <f>'Calendario I'!W81</f>
        <v>0</v>
      </c>
      <c r="L383" s="48">
        <f>'Calendario I'!X81</f>
        <v>0</v>
      </c>
      <c r="M383" s="48">
        <f>'Calendario I'!Y81</f>
        <v>0</v>
      </c>
      <c r="N383" s="48">
        <f>'Calendario I'!Z81</f>
        <v>0</v>
      </c>
    </row>
    <row r="384" spans="1:14" x14ac:dyDescent="0.25">
      <c r="A384" s="48" t="str">
        <f>'Calendario I'!M84</f>
        <v>(Squadra A)</v>
      </c>
      <c r="B384" s="48">
        <f>'Calendario I'!N84</f>
        <v>0</v>
      </c>
      <c r="C384" s="48">
        <f>'Calendario I'!O84</f>
        <v>0</v>
      </c>
      <c r="D384" s="48">
        <f>'Calendario I'!P84</f>
        <v>0</v>
      </c>
      <c r="E384" s="48">
        <f>'Calendario I'!Q84</f>
        <v>0</v>
      </c>
      <c r="F384" s="48">
        <f>'Calendario I'!R84</f>
        <v>0</v>
      </c>
      <c r="G384" s="48">
        <f>'Calendario I'!S84</f>
        <v>0</v>
      </c>
      <c r="H384" s="48" t="str">
        <f>'Calendario I'!T84</f>
        <v>(Squadra B)</v>
      </c>
      <c r="I384" s="48">
        <f>'Calendario I'!U84</f>
        <v>0</v>
      </c>
      <c r="J384" s="48">
        <f>'Calendario I'!V84</f>
        <v>0</v>
      </c>
      <c r="K384" s="48">
        <f>'Calendario I'!W84</f>
        <v>0</v>
      </c>
      <c r="L384" s="48">
        <f>'Calendario I'!X84</f>
        <v>0</v>
      </c>
      <c r="M384" s="48">
        <f>'Calendario I'!Y84</f>
        <v>0</v>
      </c>
      <c r="N384" s="48">
        <f>'Calendario I'!Z84</f>
        <v>0</v>
      </c>
    </row>
    <row r="385" spans="1:14" x14ac:dyDescent="0.25">
      <c r="A385" s="48" t="str">
        <f>'Calendario I'!M87</f>
        <v>(Squadra A)</v>
      </c>
      <c r="B385" s="48">
        <f>'Calendario I'!N87</f>
        <v>0</v>
      </c>
      <c r="C385" s="48">
        <f>'Calendario I'!O87</f>
        <v>0</v>
      </c>
      <c r="D385" s="48">
        <f>'Calendario I'!P87</f>
        <v>0</v>
      </c>
      <c r="E385" s="48">
        <f>'Calendario I'!Q87</f>
        <v>0</v>
      </c>
      <c r="F385" s="48">
        <f>'Calendario I'!R87</f>
        <v>0</v>
      </c>
      <c r="G385" s="48">
        <f>'Calendario I'!S87</f>
        <v>0</v>
      </c>
      <c r="H385" s="48" t="str">
        <f>'Calendario I'!T87</f>
        <v>(Squadra B)</v>
      </c>
      <c r="I385" s="48">
        <f>'Calendario I'!U87</f>
        <v>0</v>
      </c>
      <c r="J385" s="48">
        <f>'Calendario I'!V87</f>
        <v>0</v>
      </c>
      <c r="K385" s="48">
        <f>'Calendario I'!W87</f>
        <v>0</v>
      </c>
      <c r="L385" s="48">
        <f>'Calendario I'!X87</f>
        <v>0</v>
      </c>
      <c r="M385" s="48">
        <f>'Calendario I'!Y87</f>
        <v>0</v>
      </c>
      <c r="N385" s="48">
        <f>'Calendario I'!Z87</f>
        <v>0</v>
      </c>
    </row>
    <row r="386" spans="1:14" x14ac:dyDescent="0.25">
      <c r="A386" s="48" t="str">
        <f>'Calendario I'!M90</f>
        <v>(Squadra A)</v>
      </c>
      <c r="B386" s="48">
        <f>'Calendario I'!N90</f>
        <v>0</v>
      </c>
      <c r="C386" s="48">
        <f>'Calendario I'!O90</f>
        <v>0</v>
      </c>
      <c r="D386" s="48">
        <f>'Calendario I'!P90</f>
        <v>0</v>
      </c>
      <c r="E386" s="48">
        <f>'Calendario I'!Q90</f>
        <v>0</v>
      </c>
      <c r="F386" s="48">
        <f>'Calendario I'!R90</f>
        <v>0</v>
      </c>
      <c r="G386" s="48">
        <f>'Calendario I'!S90</f>
        <v>0</v>
      </c>
      <c r="H386" s="48" t="str">
        <f>'Calendario I'!T90</f>
        <v>(Squadra B)</v>
      </c>
      <c r="I386" s="48">
        <f>'Calendario I'!U90</f>
        <v>0</v>
      </c>
      <c r="J386" s="48">
        <f>'Calendario I'!V90</f>
        <v>0</v>
      </c>
      <c r="K386" s="48">
        <f>'Calendario I'!W90</f>
        <v>0</v>
      </c>
      <c r="L386" s="48">
        <f>'Calendario I'!X90</f>
        <v>0</v>
      </c>
      <c r="M386" s="48">
        <f>'Calendario I'!Y90</f>
        <v>0</v>
      </c>
      <c r="N386" s="48">
        <f>'Calendario I'!Z90</f>
        <v>0</v>
      </c>
    </row>
    <row r="387" spans="1:14" x14ac:dyDescent="0.25">
      <c r="A387" s="48" t="str">
        <f>'Calendario I'!M95</f>
        <v>(Squadra A)</v>
      </c>
      <c r="B387" s="48">
        <f>'Calendario I'!N95</f>
        <v>0</v>
      </c>
      <c r="C387" s="48">
        <f>'Calendario I'!O95</f>
        <v>0</v>
      </c>
      <c r="D387" s="48">
        <f>'Calendario I'!P95</f>
        <v>0</v>
      </c>
      <c r="E387" s="48">
        <f>'Calendario I'!Q95</f>
        <v>0</v>
      </c>
      <c r="F387" s="48">
        <f>'Calendario I'!R95</f>
        <v>0</v>
      </c>
      <c r="G387" s="48">
        <f>'Calendario I'!S95</f>
        <v>0</v>
      </c>
      <c r="H387" s="48" t="str">
        <f>'Calendario I'!T95</f>
        <v>(Squadra B)</v>
      </c>
      <c r="I387" s="48">
        <f>'Calendario I'!U95</f>
        <v>0</v>
      </c>
      <c r="J387" s="48">
        <f>'Calendario I'!V95</f>
        <v>0</v>
      </c>
      <c r="K387" s="48">
        <f>'Calendario I'!W95</f>
        <v>0</v>
      </c>
      <c r="L387" s="48">
        <f>'Calendario I'!X95</f>
        <v>0</v>
      </c>
      <c r="M387" s="48">
        <f>'Calendario I'!Y95</f>
        <v>0</v>
      </c>
      <c r="N387" s="48">
        <f>'Calendario I'!Z95</f>
        <v>0</v>
      </c>
    </row>
    <row r="388" spans="1:14" x14ac:dyDescent="0.25">
      <c r="A388" s="48" t="str">
        <f>'Calendario I'!M98</f>
        <v>(Squadra A)</v>
      </c>
      <c r="B388" s="48">
        <f>'Calendario I'!N98</f>
        <v>0</v>
      </c>
      <c r="C388" s="48">
        <f>'Calendario I'!O98</f>
        <v>0</v>
      </c>
      <c r="D388" s="48">
        <f>'Calendario I'!P98</f>
        <v>0</v>
      </c>
      <c r="E388" s="48">
        <f>'Calendario I'!Q98</f>
        <v>0</v>
      </c>
      <c r="F388" s="48">
        <f>'Calendario I'!R98</f>
        <v>0</v>
      </c>
      <c r="G388" s="48">
        <f>'Calendario I'!S98</f>
        <v>0</v>
      </c>
      <c r="H388" s="48" t="str">
        <f>'Calendario I'!T98</f>
        <v>(Squadra B)</v>
      </c>
      <c r="I388" s="48">
        <f>'Calendario I'!U98</f>
        <v>0</v>
      </c>
      <c r="J388" s="48">
        <f>'Calendario I'!V98</f>
        <v>0</v>
      </c>
      <c r="K388" s="48">
        <f>'Calendario I'!W98</f>
        <v>0</v>
      </c>
      <c r="L388" s="48">
        <f>'Calendario I'!X98</f>
        <v>0</v>
      </c>
      <c r="M388" s="48">
        <f>'Calendario I'!Y98</f>
        <v>0</v>
      </c>
      <c r="N388" s="48">
        <f>'Calendario I'!Z98</f>
        <v>0</v>
      </c>
    </row>
    <row r="389" spans="1:14" x14ac:dyDescent="0.25">
      <c r="A389" s="48" t="str">
        <f>'Calendario I'!M101</f>
        <v>(Squadra A)</v>
      </c>
      <c r="B389" s="48">
        <f>'Calendario I'!N101</f>
        <v>0</v>
      </c>
      <c r="C389" s="48">
        <f>'Calendario I'!O101</f>
        <v>0</v>
      </c>
      <c r="D389" s="48">
        <f>'Calendario I'!P101</f>
        <v>0</v>
      </c>
      <c r="E389" s="48">
        <f>'Calendario I'!Q101</f>
        <v>0</v>
      </c>
      <c r="F389" s="48">
        <f>'Calendario I'!R101</f>
        <v>0</v>
      </c>
      <c r="G389" s="48">
        <f>'Calendario I'!S101</f>
        <v>0</v>
      </c>
      <c r="H389" s="48" t="str">
        <f>'Calendario I'!T101</f>
        <v>(Squadra B)</v>
      </c>
      <c r="I389" s="48">
        <f>'Calendario I'!U101</f>
        <v>0</v>
      </c>
      <c r="J389" s="48">
        <f>'Calendario I'!V101</f>
        <v>0</v>
      </c>
      <c r="K389" s="48">
        <f>'Calendario I'!W101</f>
        <v>0</v>
      </c>
      <c r="L389" s="48">
        <f>'Calendario I'!X101</f>
        <v>0</v>
      </c>
      <c r="M389" s="48">
        <f>'Calendario I'!Y101</f>
        <v>0</v>
      </c>
      <c r="N389" s="48">
        <f>'Calendario I'!Z101</f>
        <v>0</v>
      </c>
    </row>
    <row r="390" spans="1:14" x14ac:dyDescent="0.25">
      <c r="A390" s="48" t="str">
        <f>'Calendario I'!M104</f>
        <v>(Squadra A)</v>
      </c>
      <c r="B390" s="48">
        <f>'Calendario I'!N104</f>
        <v>0</v>
      </c>
      <c r="C390" s="48">
        <f>'Calendario I'!O104</f>
        <v>0</v>
      </c>
      <c r="D390" s="48">
        <f>'Calendario I'!P104</f>
        <v>0</v>
      </c>
      <c r="E390" s="48">
        <f>'Calendario I'!Q104</f>
        <v>0</v>
      </c>
      <c r="F390" s="48">
        <f>'Calendario I'!R104</f>
        <v>0</v>
      </c>
      <c r="G390" s="48">
        <f>'Calendario I'!S104</f>
        <v>0</v>
      </c>
      <c r="H390" s="48" t="str">
        <f>'Calendario I'!T104</f>
        <v>(Squadra B)</v>
      </c>
      <c r="I390" s="48">
        <f>'Calendario I'!U104</f>
        <v>0</v>
      </c>
      <c r="J390" s="48">
        <f>'Calendario I'!V104</f>
        <v>0</v>
      </c>
      <c r="K390" s="48">
        <f>'Calendario I'!W104</f>
        <v>0</v>
      </c>
      <c r="L390" s="48">
        <f>'Calendario I'!X104</f>
        <v>0</v>
      </c>
      <c r="M390" s="48">
        <f>'Calendario I'!Y104</f>
        <v>0</v>
      </c>
      <c r="N390" s="48">
        <f>'Calendario I'!Z104</f>
        <v>0</v>
      </c>
    </row>
    <row r="391" spans="1:14" x14ac:dyDescent="0.25">
      <c r="A391" s="48" t="str">
        <f>'Calendario I'!M107</f>
        <v>(Squadra A)</v>
      </c>
      <c r="B391" s="48">
        <f>'Calendario I'!N107</f>
        <v>0</v>
      </c>
      <c r="C391" s="48">
        <f>'Calendario I'!O107</f>
        <v>0</v>
      </c>
      <c r="D391" s="48">
        <f>'Calendario I'!P107</f>
        <v>0</v>
      </c>
      <c r="E391" s="48">
        <f>'Calendario I'!Q107</f>
        <v>0</v>
      </c>
      <c r="F391" s="48">
        <f>'Calendario I'!R107</f>
        <v>0</v>
      </c>
      <c r="G391" s="48">
        <f>'Calendario I'!S107</f>
        <v>0</v>
      </c>
      <c r="H391" s="48" t="str">
        <f>'Calendario I'!T107</f>
        <v>(Squadra B)</v>
      </c>
      <c r="I391" s="48">
        <f>'Calendario I'!U107</f>
        <v>0</v>
      </c>
      <c r="J391" s="48">
        <f>'Calendario I'!V107</f>
        <v>0</v>
      </c>
      <c r="K391" s="48">
        <f>'Calendario I'!W107</f>
        <v>0</v>
      </c>
      <c r="L391" s="48">
        <f>'Calendario I'!X107</f>
        <v>0</v>
      </c>
      <c r="M391" s="48">
        <f>'Calendario I'!Y107</f>
        <v>0</v>
      </c>
      <c r="N391" s="48">
        <f>'Calendario I'!Z107</f>
        <v>0</v>
      </c>
    </row>
    <row r="392" spans="1:14" x14ac:dyDescent="0.25">
      <c r="A392" s="48" t="str">
        <f>'Calendario I'!M112</f>
        <v>(Squadra A)</v>
      </c>
      <c r="B392" s="48">
        <f>'Calendario I'!N112</f>
        <v>0</v>
      </c>
      <c r="C392" s="48">
        <f>'Calendario I'!O112</f>
        <v>0</v>
      </c>
      <c r="D392" s="48">
        <f>'Calendario I'!P112</f>
        <v>0</v>
      </c>
      <c r="E392" s="48">
        <f>'Calendario I'!Q112</f>
        <v>0</v>
      </c>
      <c r="F392" s="48">
        <f>'Calendario I'!R112</f>
        <v>0</v>
      </c>
      <c r="G392" s="48">
        <f>'Calendario I'!S112</f>
        <v>0</v>
      </c>
      <c r="H392" s="48" t="str">
        <f>'Calendario I'!T112</f>
        <v>(Squadra B)</v>
      </c>
      <c r="I392" s="48">
        <f>'Calendario I'!U112</f>
        <v>0</v>
      </c>
      <c r="J392" s="48">
        <f>'Calendario I'!V112</f>
        <v>0</v>
      </c>
      <c r="K392" s="48">
        <f>'Calendario I'!W112</f>
        <v>0</v>
      </c>
      <c r="L392" s="48">
        <f>'Calendario I'!X112</f>
        <v>0</v>
      </c>
      <c r="M392" s="48">
        <f>'Calendario I'!Y112</f>
        <v>0</v>
      </c>
      <c r="N392" s="48">
        <f>'Calendario I'!Z112</f>
        <v>0</v>
      </c>
    </row>
    <row r="393" spans="1:14" x14ac:dyDescent="0.25">
      <c r="A393" s="48" t="str">
        <f>'Calendario I'!M115</f>
        <v>(Squadra A)</v>
      </c>
      <c r="B393" s="48">
        <f>'Calendario I'!N115</f>
        <v>0</v>
      </c>
      <c r="C393" s="48">
        <f>'Calendario I'!O115</f>
        <v>0</v>
      </c>
      <c r="D393" s="48">
        <f>'Calendario I'!P115</f>
        <v>0</v>
      </c>
      <c r="E393" s="48">
        <f>'Calendario I'!Q115</f>
        <v>0</v>
      </c>
      <c r="F393" s="48">
        <f>'Calendario I'!R115</f>
        <v>0</v>
      </c>
      <c r="G393" s="48">
        <f>'Calendario I'!S115</f>
        <v>0</v>
      </c>
      <c r="H393" s="48" t="str">
        <f>'Calendario I'!T115</f>
        <v>(Squadra B)</v>
      </c>
      <c r="I393" s="48">
        <f>'Calendario I'!U115</f>
        <v>0</v>
      </c>
      <c r="J393" s="48">
        <f>'Calendario I'!V115</f>
        <v>0</v>
      </c>
      <c r="K393" s="48">
        <f>'Calendario I'!W115</f>
        <v>0</v>
      </c>
      <c r="L393" s="48">
        <f>'Calendario I'!X115</f>
        <v>0</v>
      </c>
      <c r="M393" s="48">
        <f>'Calendario I'!Y115</f>
        <v>0</v>
      </c>
      <c r="N393" s="48">
        <f>'Calendario I'!Z115</f>
        <v>0</v>
      </c>
    </row>
    <row r="394" spans="1:14" x14ac:dyDescent="0.25">
      <c r="A394" s="48" t="str">
        <f>'Calendario I'!M118</f>
        <v>(Squadra A)</v>
      </c>
      <c r="B394" s="48">
        <f>'Calendario I'!N118</f>
        <v>0</v>
      </c>
      <c r="C394" s="48">
        <f>'Calendario I'!O118</f>
        <v>0</v>
      </c>
      <c r="D394" s="48">
        <f>'Calendario I'!P118</f>
        <v>0</v>
      </c>
      <c r="E394" s="48">
        <f>'Calendario I'!Q118</f>
        <v>0</v>
      </c>
      <c r="F394" s="48">
        <f>'Calendario I'!R118</f>
        <v>0</v>
      </c>
      <c r="G394" s="48">
        <f>'Calendario I'!S118</f>
        <v>0</v>
      </c>
      <c r="H394" s="48" t="str">
        <f>'Calendario I'!T118</f>
        <v>(Squadra B)</v>
      </c>
      <c r="I394" s="48">
        <f>'Calendario I'!U118</f>
        <v>0</v>
      </c>
      <c r="J394" s="48">
        <f>'Calendario I'!V118</f>
        <v>0</v>
      </c>
      <c r="K394" s="48">
        <f>'Calendario I'!W118</f>
        <v>0</v>
      </c>
      <c r="L394" s="48">
        <f>'Calendario I'!X118</f>
        <v>0</v>
      </c>
      <c r="M394" s="48">
        <f>'Calendario I'!Y118</f>
        <v>0</v>
      </c>
      <c r="N394" s="48">
        <f>'Calendario I'!Z118</f>
        <v>0</v>
      </c>
    </row>
    <row r="395" spans="1:14" x14ac:dyDescent="0.25">
      <c r="A395" s="48" t="str">
        <f>'Calendario I'!M121</f>
        <v>(Squadra A)</v>
      </c>
      <c r="B395" s="48">
        <f>'Calendario I'!N121</f>
        <v>0</v>
      </c>
      <c r="C395" s="48">
        <f>'Calendario I'!O121</f>
        <v>0</v>
      </c>
      <c r="D395" s="48">
        <f>'Calendario I'!P121</f>
        <v>0</v>
      </c>
      <c r="E395" s="48">
        <f>'Calendario I'!Q121</f>
        <v>0</v>
      </c>
      <c r="F395" s="48">
        <f>'Calendario I'!R121</f>
        <v>0</v>
      </c>
      <c r="G395" s="48">
        <f>'Calendario I'!S121</f>
        <v>0</v>
      </c>
      <c r="H395" s="48" t="str">
        <f>'Calendario I'!T121</f>
        <v>(Squadra B)</v>
      </c>
      <c r="I395" s="48">
        <f>'Calendario I'!U121</f>
        <v>0</v>
      </c>
      <c r="J395" s="48">
        <f>'Calendario I'!V121</f>
        <v>0</v>
      </c>
      <c r="K395" s="48">
        <f>'Calendario I'!W121</f>
        <v>0</v>
      </c>
      <c r="L395" s="48">
        <f>'Calendario I'!X121</f>
        <v>0</v>
      </c>
      <c r="M395" s="48">
        <f>'Calendario I'!Y121</f>
        <v>0</v>
      </c>
      <c r="N395" s="48">
        <f>'Calendario I'!Z121</f>
        <v>0</v>
      </c>
    </row>
    <row r="396" spans="1:14" x14ac:dyDescent="0.25">
      <c r="A396" s="48" t="str">
        <f>'Calendario I'!M124</f>
        <v>(Squadra A)</v>
      </c>
      <c r="B396" s="48">
        <f>'Calendario I'!N124</f>
        <v>0</v>
      </c>
      <c r="C396" s="48">
        <f>'Calendario I'!O124</f>
        <v>0</v>
      </c>
      <c r="D396" s="48">
        <f>'Calendario I'!P124</f>
        <v>0</v>
      </c>
      <c r="E396" s="48">
        <f>'Calendario I'!Q124</f>
        <v>0</v>
      </c>
      <c r="F396" s="48">
        <f>'Calendario I'!R124</f>
        <v>0</v>
      </c>
      <c r="G396" s="48">
        <f>'Calendario I'!S124</f>
        <v>0</v>
      </c>
      <c r="H396" s="48" t="str">
        <f>'Calendario I'!T124</f>
        <v>(Squadra B)</v>
      </c>
      <c r="I396" s="48">
        <f>'Calendario I'!U124</f>
        <v>0</v>
      </c>
      <c r="J396" s="48">
        <f>'Calendario I'!V124</f>
        <v>0</v>
      </c>
      <c r="K396" s="48">
        <f>'Calendario I'!W124</f>
        <v>0</v>
      </c>
      <c r="L396" s="48">
        <f>'Calendario I'!X124</f>
        <v>0</v>
      </c>
      <c r="M396" s="48">
        <f>'Calendario I'!Y124</f>
        <v>0</v>
      </c>
      <c r="N396" s="48">
        <f>'Calendario I'!Z124</f>
        <v>0</v>
      </c>
    </row>
    <row r="397" spans="1:14" x14ac:dyDescent="0.25">
      <c r="A397" s="48" t="str">
        <f>'Calendario I'!M129</f>
        <v>(Squadra A)</v>
      </c>
      <c r="B397" s="48">
        <f>'Calendario I'!N129</f>
        <v>0</v>
      </c>
      <c r="C397" s="48">
        <f>'Calendario I'!O129</f>
        <v>0</v>
      </c>
      <c r="D397" s="48">
        <f>'Calendario I'!P129</f>
        <v>0</v>
      </c>
      <c r="E397" s="48">
        <f>'Calendario I'!Q129</f>
        <v>0</v>
      </c>
      <c r="F397" s="48">
        <f>'Calendario I'!R129</f>
        <v>0</v>
      </c>
      <c r="G397" s="48">
        <f>'Calendario I'!S129</f>
        <v>0</v>
      </c>
      <c r="H397" s="48" t="str">
        <f>'Calendario I'!T129</f>
        <v>(Squadra B)</v>
      </c>
      <c r="I397" s="48">
        <f>'Calendario I'!U129</f>
        <v>0</v>
      </c>
      <c r="J397" s="48">
        <f>'Calendario I'!V129</f>
        <v>0</v>
      </c>
      <c r="K397" s="48">
        <f>'Calendario I'!W129</f>
        <v>0</v>
      </c>
      <c r="L397" s="48">
        <f>'Calendario I'!X129</f>
        <v>0</v>
      </c>
      <c r="M397" s="48">
        <f>'Calendario I'!Y129</f>
        <v>0</v>
      </c>
      <c r="N397" s="48">
        <f>'Calendario I'!Z129</f>
        <v>0</v>
      </c>
    </row>
    <row r="398" spans="1:14" x14ac:dyDescent="0.25">
      <c r="A398" s="48" t="str">
        <f>'Calendario I'!M132</f>
        <v>(Squadra A)</v>
      </c>
      <c r="B398" s="48">
        <f>'Calendario I'!N132</f>
        <v>0</v>
      </c>
      <c r="C398" s="48">
        <f>'Calendario I'!O132</f>
        <v>0</v>
      </c>
      <c r="D398" s="48">
        <f>'Calendario I'!P132</f>
        <v>0</v>
      </c>
      <c r="E398" s="48">
        <f>'Calendario I'!Q132</f>
        <v>0</v>
      </c>
      <c r="F398" s="48">
        <f>'Calendario I'!R132</f>
        <v>0</v>
      </c>
      <c r="G398" s="48">
        <f>'Calendario I'!S132</f>
        <v>0</v>
      </c>
      <c r="H398" s="48" t="str">
        <f>'Calendario I'!T132</f>
        <v>(Squadra B)</v>
      </c>
      <c r="I398" s="48">
        <f>'Calendario I'!U132</f>
        <v>0</v>
      </c>
      <c r="J398" s="48">
        <f>'Calendario I'!V132</f>
        <v>0</v>
      </c>
      <c r="K398" s="48">
        <f>'Calendario I'!W132</f>
        <v>0</v>
      </c>
      <c r="L398" s="48">
        <f>'Calendario I'!X132</f>
        <v>0</v>
      </c>
      <c r="M398" s="48">
        <f>'Calendario I'!Y132</f>
        <v>0</v>
      </c>
      <c r="N398" s="48">
        <f>'Calendario I'!Z132</f>
        <v>0</v>
      </c>
    </row>
    <row r="399" spans="1:14" x14ac:dyDescent="0.25">
      <c r="A399" s="48" t="str">
        <f>'Calendario I'!M135</f>
        <v>(Squadra A)</v>
      </c>
      <c r="B399" s="48">
        <f>'Calendario I'!N135</f>
        <v>0</v>
      </c>
      <c r="C399" s="48">
        <f>'Calendario I'!O135</f>
        <v>0</v>
      </c>
      <c r="D399" s="48">
        <f>'Calendario I'!P135</f>
        <v>0</v>
      </c>
      <c r="E399" s="48">
        <f>'Calendario I'!Q135</f>
        <v>0</v>
      </c>
      <c r="F399" s="48">
        <f>'Calendario I'!R135</f>
        <v>0</v>
      </c>
      <c r="G399" s="48">
        <f>'Calendario I'!S135</f>
        <v>0</v>
      </c>
      <c r="H399" s="48" t="str">
        <f>'Calendario I'!T135</f>
        <v>(Squadra B)</v>
      </c>
      <c r="I399" s="48">
        <f>'Calendario I'!U135</f>
        <v>0</v>
      </c>
      <c r="J399" s="48">
        <f>'Calendario I'!V135</f>
        <v>0</v>
      </c>
      <c r="K399" s="48">
        <f>'Calendario I'!W135</f>
        <v>0</v>
      </c>
      <c r="L399" s="48">
        <f>'Calendario I'!X135</f>
        <v>0</v>
      </c>
      <c r="M399" s="48">
        <f>'Calendario I'!Y135</f>
        <v>0</v>
      </c>
      <c r="N399" s="48">
        <f>'Calendario I'!Z135</f>
        <v>0</v>
      </c>
    </row>
    <row r="400" spans="1:14" x14ac:dyDescent="0.25">
      <c r="A400" s="48" t="str">
        <f>'Calendario I'!M138</f>
        <v>(Squadra A)</v>
      </c>
      <c r="B400" s="48">
        <f>'Calendario I'!N138</f>
        <v>0</v>
      </c>
      <c r="C400" s="48">
        <f>'Calendario I'!O138</f>
        <v>0</v>
      </c>
      <c r="D400" s="48">
        <f>'Calendario I'!P138</f>
        <v>0</v>
      </c>
      <c r="E400" s="48">
        <f>'Calendario I'!Q138</f>
        <v>0</v>
      </c>
      <c r="F400" s="48">
        <f>'Calendario I'!R138</f>
        <v>0</v>
      </c>
      <c r="G400" s="48">
        <f>'Calendario I'!S138</f>
        <v>0</v>
      </c>
      <c r="H400" s="48" t="str">
        <f>'Calendario I'!T138</f>
        <v>(Squadra B)</v>
      </c>
      <c r="I400" s="48">
        <f>'Calendario I'!U138</f>
        <v>0</v>
      </c>
      <c r="J400" s="48">
        <f>'Calendario I'!V138</f>
        <v>0</v>
      </c>
      <c r="K400" s="48">
        <f>'Calendario I'!W138</f>
        <v>0</v>
      </c>
      <c r="L400" s="48">
        <f>'Calendario I'!X138</f>
        <v>0</v>
      </c>
      <c r="M400" s="48">
        <f>'Calendario I'!Y138</f>
        <v>0</v>
      </c>
      <c r="N400" s="48">
        <f>'Calendario I'!Z138</f>
        <v>0</v>
      </c>
    </row>
    <row r="401" spans="1:14" x14ac:dyDescent="0.25">
      <c r="A401" s="48" t="str">
        <f>'Calendario I'!M141</f>
        <v>(Squadra A)</v>
      </c>
      <c r="B401" s="48">
        <f>'Calendario I'!N141</f>
        <v>0</v>
      </c>
      <c r="C401" s="48">
        <f>'Calendario I'!O141</f>
        <v>0</v>
      </c>
      <c r="D401" s="48">
        <f>'Calendario I'!P141</f>
        <v>0</v>
      </c>
      <c r="E401" s="48">
        <f>'Calendario I'!Q141</f>
        <v>0</v>
      </c>
      <c r="F401" s="48">
        <f>'Calendario I'!R141</f>
        <v>0</v>
      </c>
      <c r="G401" s="48">
        <f>'Calendario I'!S141</f>
        <v>0</v>
      </c>
      <c r="H401" s="48" t="str">
        <f>'Calendario I'!T141</f>
        <v>(Squadra B)</v>
      </c>
      <c r="I401" s="48">
        <f>'Calendario I'!U141</f>
        <v>0</v>
      </c>
      <c r="J401" s="48">
        <f>'Calendario I'!V141</f>
        <v>0</v>
      </c>
      <c r="K401" s="48">
        <f>'Calendario I'!W141</f>
        <v>0</v>
      </c>
      <c r="L401" s="48">
        <f>'Calendario I'!X141</f>
        <v>0</v>
      </c>
      <c r="M401" s="48">
        <f>'Calendario I'!Y141</f>
        <v>0</v>
      </c>
      <c r="N401" s="48">
        <f>'Calendario I'!Z141</f>
        <v>0</v>
      </c>
    </row>
    <row r="402" spans="1:14" x14ac:dyDescent="0.25">
      <c r="A402" s="48" t="str">
        <f>'Calendario I'!M146</f>
        <v>(Squadra A)</v>
      </c>
      <c r="B402" s="48">
        <f>'Calendario I'!N146</f>
        <v>0</v>
      </c>
      <c r="C402" s="48">
        <f>'Calendario I'!O146</f>
        <v>0</v>
      </c>
      <c r="D402" s="48">
        <f>'Calendario I'!P146</f>
        <v>0</v>
      </c>
      <c r="E402" s="48">
        <f>'Calendario I'!Q146</f>
        <v>0</v>
      </c>
      <c r="F402" s="48">
        <f>'Calendario I'!R146</f>
        <v>0</v>
      </c>
      <c r="G402" s="48">
        <f>'Calendario I'!S146</f>
        <v>0</v>
      </c>
      <c r="H402" s="48" t="str">
        <f>'Calendario I'!T146</f>
        <v>(Squadra B)</v>
      </c>
      <c r="I402" s="48">
        <f>'Calendario I'!U146</f>
        <v>0</v>
      </c>
      <c r="J402" s="48">
        <f>'Calendario I'!V146</f>
        <v>0</v>
      </c>
      <c r="K402" s="48">
        <f>'Calendario I'!W146</f>
        <v>0</v>
      </c>
      <c r="L402" s="48">
        <f>'Calendario I'!X146</f>
        <v>0</v>
      </c>
      <c r="M402" s="48">
        <f>'Calendario I'!Y146</f>
        <v>0</v>
      </c>
      <c r="N402" s="48">
        <f>'Calendario I'!Z146</f>
        <v>0</v>
      </c>
    </row>
    <row r="403" spans="1:14" x14ac:dyDescent="0.25">
      <c r="A403" s="48" t="str">
        <f>'Calendario I'!M149</f>
        <v>(Squadra A)</v>
      </c>
      <c r="B403" s="48">
        <f>'Calendario I'!N149</f>
        <v>0</v>
      </c>
      <c r="C403" s="48">
        <f>'Calendario I'!O149</f>
        <v>0</v>
      </c>
      <c r="D403" s="48">
        <f>'Calendario I'!P149</f>
        <v>0</v>
      </c>
      <c r="E403" s="48">
        <f>'Calendario I'!Q149</f>
        <v>0</v>
      </c>
      <c r="F403" s="48">
        <f>'Calendario I'!R149</f>
        <v>0</v>
      </c>
      <c r="G403" s="48">
        <f>'Calendario I'!S149</f>
        <v>0</v>
      </c>
      <c r="H403" s="48" t="str">
        <f>'Calendario I'!T149</f>
        <v>(Squadra B)</v>
      </c>
      <c r="I403" s="48">
        <f>'Calendario I'!U149</f>
        <v>0</v>
      </c>
      <c r="J403" s="48">
        <f>'Calendario I'!V149</f>
        <v>0</v>
      </c>
      <c r="K403" s="48">
        <f>'Calendario I'!W149</f>
        <v>0</v>
      </c>
      <c r="L403" s="48">
        <f>'Calendario I'!X149</f>
        <v>0</v>
      </c>
      <c r="M403" s="48">
        <f>'Calendario I'!Y149</f>
        <v>0</v>
      </c>
      <c r="N403" s="48">
        <f>'Calendario I'!Z149</f>
        <v>0</v>
      </c>
    </row>
    <row r="404" spans="1:14" x14ac:dyDescent="0.25">
      <c r="A404" s="48" t="str">
        <f>'Calendario I'!M152</f>
        <v>(Squadra A)</v>
      </c>
      <c r="B404" s="48">
        <f>'Calendario I'!N152</f>
        <v>0</v>
      </c>
      <c r="C404" s="48">
        <f>'Calendario I'!O152</f>
        <v>0</v>
      </c>
      <c r="D404" s="48">
        <f>'Calendario I'!P152</f>
        <v>0</v>
      </c>
      <c r="E404" s="48">
        <f>'Calendario I'!Q152</f>
        <v>0</v>
      </c>
      <c r="F404" s="48">
        <f>'Calendario I'!R152</f>
        <v>0</v>
      </c>
      <c r="G404" s="48">
        <f>'Calendario I'!S152</f>
        <v>0</v>
      </c>
      <c r="H404" s="48" t="str">
        <f>'Calendario I'!T152</f>
        <v>(Squadra B)</v>
      </c>
      <c r="I404" s="48">
        <f>'Calendario I'!U152</f>
        <v>0</v>
      </c>
      <c r="J404" s="48">
        <f>'Calendario I'!V152</f>
        <v>0</v>
      </c>
      <c r="K404" s="48">
        <f>'Calendario I'!W152</f>
        <v>0</v>
      </c>
      <c r="L404" s="48">
        <f>'Calendario I'!X152</f>
        <v>0</v>
      </c>
      <c r="M404" s="48">
        <f>'Calendario I'!Y152</f>
        <v>0</v>
      </c>
      <c r="N404" s="48">
        <f>'Calendario I'!Z152</f>
        <v>0</v>
      </c>
    </row>
    <row r="405" spans="1:14" x14ac:dyDescent="0.25">
      <c r="A405" s="48" t="str">
        <f>'Calendario I'!M155</f>
        <v>(Squadra A)</v>
      </c>
      <c r="B405" s="48">
        <f>'Calendario I'!N155</f>
        <v>0</v>
      </c>
      <c r="C405" s="48">
        <f>'Calendario I'!O155</f>
        <v>0</v>
      </c>
      <c r="D405" s="48">
        <f>'Calendario I'!P155</f>
        <v>0</v>
      </c>
      <c r="E405" s="48">
        <f>'Calendario I'!Q155</f>
        <v>0</v>
      </c>
      <c r="F405" s="48">
        <f>'Calendario I'!R155</f>
        <v>0</v>
      </c>
      <c r="G405" s="48">
        <f>'Calendario I'!S155</f>
        <v>0</v>
      </c>
      <c r="H405" s="48" t="str">
        <f>'Calendario I'!T155</f>
        <v>(Squadra B)</v>
      </c>
      <c r="I405" s="48">
        <f>'Calendario I'!U155</f>
        <v>0</v>
      </c>
      <c r="J405" s="48">
        <f>'Calendario I'!V155</f>
        <v>0</v>
      </c>
      <c r="K405" s="48">
        <f>'Calendario I'!W155</f>
        <v>0</v>
      </c>
      <c r="L405" s="48">
        <f>'Calendario I'!X155</f>
        <v>0</v>
      </c>
      <c r="M405" s="48">
        <f>'Calendario I'!Y155</f>
        <v>0</v>
      </c>
      <c r="N405" s="48">
        <f>'Calendario I'!Z155</f>
        <v>0</v>
      </c>
    </row>
    <row r="406" spans="1:14" x14ac:dyDescent="0.25">
      <c r="A406" s="48" t="str">
        <f>'Calendario I'!M158</f>
        <v>(Squadra A)</v>
      </c>
      <c r="B406" s="48">
        <f>'Calendario I'!N158</f>
        <v>0</v>
      </c>
      <c r="C406" s="48">
        <f>'Calendario I'!O158</f>
        <v>0</v>
      </c>
      <c r="D406" s="48">
        <f>'Calendario I'!P158</f>
        <v>0</v>
      </c>
      <c r="E406" s="48">
        <f>'Calendario I'!Q158</f>
        <v>0</v>
      </c>
      <c r="F406" s="48">
        <f>'Calendario I'!R158</f>
        <v>0</v>
      </c>
      <c r="G406" s="48">
        <f>'Calendario I'!S158</f>
        <v>0</v>
      </c>
      <c r="H406" s="48" t="str">
        <f>'Calendario I'!T158</f>
        <v>(Squadra B)</v>
      </c>
      <c r="I406" s="48">
        <f>'Calendario I'!U158</f>
        <v>0</v>
      </c>
      <c r="J406" s="48">
        <f>'Calendario I'!V158</f>
        <v>0</v>
      </c>
      <c r="K406" s="48">
        <f>'Calendario I'!W158</f>
        <v>0</v>
      </c>
      <c r="L406" s="48">
        <f>'Calendario I'!X158</f>
        <v>0</v>
      </c>
      <c r="M406" s="48">
        <f>'Calendario I'!Y158</f>
        <v>0</v>
      </c>
      <c r="N406" s="48">
        <f>'Calendario I'!Z158</f>
        <v>0</v>
      </c>
    </row>
    <row r="407" spans="1:14" x14ac:dyDescent="0.25">
      <c r="A407" s="48" t="str">
        <f>'Calendario J'!M10</f>
        <v>(Squadra A)</v>
      </c>
      <c r="B407" s="48">
        <f>'Calendario J'!N10</f>
        <v>0</v>
      </c>
      <c r="C407" s="48">
        <f>'Calendario J'!O10</f>
        <v>0</v>
      </c>
      <c r="D407" s="48">
        <f>'Calendario J'!P10</f>
        <v>0</v>
      </c>
      <c r="E407" s="48">
        <f>'Calendario J'!Q10</f>
        <v>0</v>
      </c>
      <c r="F407" s="48">
        <f>'Calendario J'!R10</f>
        <v>0</v>
      </c>
      <c r="G407" s="48">
        <f>'Calendario J'!S10</f>
        <v>0</v>
      </c>
      <c r="H407" s="48" t="str">
        <f>'Calendario J'!T10</f>
        <v>(Squadra B)</v>
      </c>
      <c r="I407" s="48">
        <f>'Calendario J'!U10</f>
        <v>0</v>
      </c>
      <c r="J407" s="48">
        <f>'Calendario J'!V10</f>
        <v>0</v>
      </c>
      <c r="K407" s="48">
        <f>'Calendario J'!W10</f>
        <v>0</v>
      </c>
      <c r="L407" s="48">
        <f>'Calendario J'!X10</f>
        <v>0</v>
      </c>
      <c r="M407" s="48">
        <f>'Calendario J'!Y10</f>
        <v>0</v>
      </c>
      <c r="N407" s="48">
        <f>'Calendario J'!Z10</f>
        <v>0</v>
      </c>
    </row>
    <row r="408" spans="1:14" x14ac:dyDescent="0.25">
      <c r="A408" s="48" t="str">
        <f>'Calendario J'!M13</f>
        <v>(Squadra A)</v>
      </c>
      <c r="B408" s="48">
        <f>'Calendario J'!N13</f>
        <v>0</v>
      </c>
      <c r="C408" s="48">
        <f>'Calendario J'!O13</f>
        <v>0</v>
      </c>
      <c r="D408" s="48">
        <f>'Calendario J'!P13</f>
        <v>0</v>
      </c>
      <c r="E408" s="48">
        <f>'Calendario J'!Q13</f>
        <v>0</v>
      </c>
      <c r="F408" s="48">
        <f>'Calendario J'!R13</f>
        <v>0</v>
      </c>
      <c r="G408" s="48">
        <f>'Calendario J'!S13</f>
        <v>0</v>
      </c>
      <c r="H408" s="48" t="str">
        <f>'Calendario J'!T13</f>
        <v>(Squadra B)</v>
      </c>
      <c r="I408" s="48">
        <f>'Calendario J'!U13</f>
        <v>0</v>
      </c>
      <c r="J408" s="48">
        <f>'Calendario J'!V13</f>
        <v>0</v>
      </c>
      <c r="K408" s="48">
        <f>'Calendario J'!W13</f>
        <v>0</v>
      </c>
      <c r="L408" s="48">
        <f>'Calendario J'!X13</f>
        <v>0</v>
      </c>
      <c r="M408" s="48">
        <f>'Calendario J'!Y13</f>
        <v>0</v>
      </c>
      <c r="N408" s="48">
        <f>'Calendario J'!Z13</f>
        <v>0</v>
      </c>
    </row>
    <row r="409" spans="1:14" x14ac:dyDescent="0.25">
      <c r="A409" s="48" t="str">
        <f>'Calendario J'!M16</f>
        <v>(Squadra A)</v>
      </c>
      <c r="B409" s="48">
        <f>'Calendario J'!N16</f>
        <v>0</v>
      </c>
      <c r="C409" s="48">
        <f>'Calendario J'!O16</f>
        <v>0</v>
      </c>
      <c r="D409" s="48">
        <f>'Calendario J'!P16</f>
        <v>0</v>
      </c>
      <c r="E409" s="48">
        <f>'Calendario J'!Q16</f>
        <v>0</v>
      </c>
      <c r="F409" s="48">
        <f>'Calendario J'!R16</f>
        <v>0</v>
      </c>
      <c r="G409" s="48">
        <f>'Calendario J'!S16</f>
        <v>0</v>
      </c>
      <c r="H409" s="48" t="str">
        <f>'Calendario J'!T16</f>
        <v>(Squadra B)</v>
      </c>
      <c r="I409" s="48">
        <f>'Calendario J'!U16</f>
        <v>0</v>
      </c>
      <c r="J409" s="48">
        <f>'Calendario J'!V16</f>
        <v>0</v>
      </c>
      <c r="K409" s="48">
        <f>'Calendario J'!W16</f>
        <v>0</v>
      </c>
      <c r="L409" s="48">
        <f>'Calendario J'!X16</f>
        <v>0</v>
      </c>
      <c r="M409" s="48">
        <f>'Calendario J'!Y16</f>
        <v>0</v>
      </c>
      <c r="N409" s="48">
        <f>'Calendario J'!Z16</f>
        <v>0</v>
      </c>
    </row>
    <row r="410" spans="1:14" x14ac:dyDescent="0.25">
      <c r="A410" s="48" t="str">
        <f>'Calendario J'!M19</f>
        <v>(Squadra A)</v>
      </c>
      <c r="B410" s="48">
        <f>'Calendario J'!N19</f>
        <v>0</v>
      </c>
      <c r="C410" s="48">
        <f>'Calendario J'!O19</f>
        <v>0</v>
      </c>
      <c r="D410" s="48">
        <f>'Calendario J'!P19</f>
        <v>0</v>
      </c>
      <c r="E410" s="48">
        <f>'Calendario J'!Q19</f>
        <v>0</v>
      </c>
      <c r="F410" s="48">
        <f>'Calendario J'!R19</f>
        <v>0</v>
      </c>
      <c r="G410" s="48">
        <f>'Calendario J'!S19</f>
        <v>0</v>
      </c>
      <c r="H410" s="48" t="str">
        <f>'Calendario J'!T19</f>
        <v>(Squadra B)</v>
      </c>
      <c r="I410" s="48">
        <f>'Calendario J'!U19</f>
        <v>0</v>
      </c>
      <c r="J410" s="48">
        <f>'Calendario J'!V19</f>
        <v>0</v>
      </c>
      <c r="K410" s="48">
        <f>'Calendario J'!W19</f>
        <v>0</v>
      </c>
      <c r="L410" s="48">
        <f>'Calendario J'!X19</f>
        <v>0</v>
      </c>
      <c r="M410" s="48">
        <f>'Calendario J'!Y19</f>
        <v>0</v>
      </c>
      <c r="N410" s="48">
        <f>'Calendario J'!Z19</f>
        <v>0</v>
      </c>
    </row>
    <row r="411" spans="1:14" x14ac:dyDescent="0.25">
      <c r="A411" s="48" t="str">
        <f>'Calendario J'!M22</f>
        <v>(Squadra A)</v>
      </c>
      <c r="B411" s="48">
        <f>'Calendario J'!N22</f>
        <v>0</v>
      </c>
      <c r="C411" s="48">
        <f>'Calendario J'!O22</f>
        <v>0</v>
      </c>
      <c r="D411" s="48">
        <f>'Calendario J'!P22</f>
        <v>0</v>
      </c>
      <c r="E411" s="48">
        <f>'Calendario J'!Q22</f>
        <v>0</v>
      </c>
      <c r="F411" s="48">
        <f>'Calendario J'!R22</f>
        <v>0</v>
      </c>
      <c r="G411" s="48">
        <f>'Calendario J'!S22</f>
        <v>0</v>
      </c>
      <c r="H411" s="48" t="str">
        <f>'Calendario J'!T22</f>
        <v>(Squadra B)</v>
      </c>
      <c r="I411" s="48">
        <f>'Calendario J'!U22</f>
        <v>0</v>
      </c>
      <c r="J411" s="48">
        <f>'Calendario J'!V22</f>
        <v>0</v>
      </c>
      <c r="K411" s="48">
        <f>'Calendario J'!W22</f>
        <v>0</v>
      </c>
      <c r="L411" s="48">
        <f>'Calendario J'!X22</f>
        <v>0</v>
      </c>
      <c r="M411" s="48">
        <f>'Calendario J'!Y22</f>
        <v>0</v>
      </c>
      <c r="N411" s="48">
        <f>'Calendario J'!Z22</f>
        <v>0</v>
      </c>
    </row>
    <row r="412" spans="1:14" x14ac:dyDescent="0.25">
      <c r="A412" s="48" t="str">
        <f>'Calendario J'!M27</f>
        <v>(Squadra A)</v>
      </c>
      <c r="B412" s="48">
        <f>'Calendario J'!N27</f>
        <v>0</v>
      </c>
      <c r="C412" s="48">
        <f>'Calendario J'!O27</f>
        <v>0</v>
      </c>
      <c r="D412" s="48">
        <f>'Calendario J'!P27</f>
        <v>0</v>
      </c>
      <c r="E412" s="48">
        <f>'Calendario J'!Q27</f>
        <v>0</v>
      </c>
      <c r="F412" s="48">
        <f>'Calendario J'!R27</f>
        <v>0</v>
      </c>
      <c r="G412" s="48">
        <f>'Calendario J'!S27</f>
        <v>0</v>
      </c>
      <c r="H412" s="48" t="str">
        <f>'Calendario J'!T27</f>
        <v>(Squadra B)</v>
      </c>
      <c r="I412" s="48">
        <f>'Calendario J'!U27</f>
        <v>0</v>
      </c>
      <c r="J412" s="48">
        <f>'Calendario J'!V27</f>
        <v>0</v>
      </c>
      <c r="K412" s="48">
        <f>'Calendario J'!W27</f>
        <v>0</v>
      </c>
      <c r="L412" s="48">
        <f>'Calendario J'!X27</f>
        <v>0</v>
      </c>
      <c r="M412" s="48">
        <f>'Calendario J'!Y27</f>
        <v>0</v>
      </c>
      <c r="N412" s="48">
        <f>'Calendario J'!Z27</f>
        <v>0</v>
      </c>
    </row>
    <row r="413" spans="1:14" x14ac:dyDescent="0.25">
      <c r="A413" s="48" t="str">
        <f>'Calendario J'!M30</f>
        <v>(Squadra A)</v>
      </c>
      <c r="B413" s="48">
        <f>'Calendario J'!N30</f>
        <v>0</v>
      </c>
      <c r="C413" s="48">
        <f>'Calendario J'!O30</f>
        <v>0</v>
      </c>
      <c r="D413" s="48">
        <f>'Calendario J'!P30</f>
        <v>0</v>
      </c>
      <c r="E413" s="48">
        <f>'Calendario J'!Q30</f>
        <v>0</v>
      </c>
      <c r="F413" s="48">
        <f>'Calendario J'!R30</f>
        <v>0</v>
      </c>
      <c r="G413" s="48">
        <f>'Calendario J'!S30</f>
        <v>0</v>
      </c>
      <c r="H413" s="48" t="str">
        <f>'Calendario J'!T30</f>
        <v>(Squadra B)</v>
      </c>
      <c r="I413" s="48">
        <f>'Calendario J'!U30</f>
        <v>0</v>
      </c>
      <c r="J413" s="48">
        <f>'Calendario J'!V30</f>
        <v>0</v>
      </c>
      <c r="K413" s="48">
        <f>'Calendario J'!W30</f>
        <v>0</v>
      </c>
      <c r="L413" s="48">
        <f>'Calendario J'!X30</f>
        <v>0</v>
      </c>
      <c r="M413" s="48">
        <f>'Calendario J'!Y30</f>
        <v>0</v>
      </c>
      <c r="N413" s="48">
        <f>'Calendario J'!Z30</f>
        <v>0</v>
      </c>
    </row>
    <row r="414" spans="1:14" x14ac:dyDescent="0.25">
      <c r="A414" s="48" t="str">
        <f>'Calendario J'!M33</f>
        <v>(Squadra A)</v>
      </c>
      <c r="B414" s="48">
        <f>'Calendario J'!N33</f>
        <v>0</v>
      </c>
      <c r="C414" s="48">
        <f>'Calendario J'!O33</f>
        <v>0</v>
      </c>
      <c r="D414" s="48">
        <f>'Calendario J'!P33</f>
        <v>0</v>
      </c>
      <c r="E414" s="48">
        <f>'Calendario J'!Q33</f>
        <v>0</v>
      </c>
      <c r="F414" s="48">
        <f>'Calendario J'!R33</f>
        <v>0</v>
      </c>
      <c r="G414" s="48">
        <f>'Calendario J'!S33</f>
        <v>0</v>
      </c>
      <c r="H414" s="48" t="str">
        <f>'Calendario J'!T33</f>
        <v>(Squadra B)</v>
      </c>
      <c r="I414" s="48">
        <f>'Calendario J'!U33</f>
        <v>0</v>
      </c>
      <c r="J414" s="48">
        <f>'Calendario J'!V33</f>
        <v>0</v>
      </c>
      <c r="K414" s="48">
        <f>'Calendario J'!W33</f>
        <v>0</v>
      </c>
      <c r="L414" s="48">
        <f>'Calendario J'!X33</f>
        <v>0</v>
      </c>
      <c r="M414" s="48">
        <f>'Calendario J'!Y33</f>
        <v>0</v>
      </c>
      <c r="N414" s="48">
        <f>'Calendario J'!Z33</f>
        <v>0</v>
      </c>
    </row>
    <row r="415" spans="1:14" x14ac:dyDescent="0.25">
      <c r="A415" s="48" t="str">
        <f>'Calendario J'!M36</f>
        <v>(Squadra A)</v>
      </c>
      <c r="B415" s="48">
        <f>'Calendario J'!N36</f>
        <v>0</v>
      </c>
      <c r="C415" s="48">
        <f>'Calendario J'!O36</f>
        <v>0</v>
      </c>
      <c r="D415" s="48">
        <f>'Calendario J'!P36</f>
        <v>0</v>
      </c>
      <c r="E415" s="48">
        <f>'Calendario J'!Q36</f>
        <v>0</v>
      </c>
      <c r="F415" s="48">
        <f>'Calendario J'!R36</f>
        <v>0</v>
      </c>
      <c r="G415" s="48">
        <f>'Calendario J'!S36</f>
        <v>0</v>
      </c>
      <c r="H415" s="48" t="str">
        <f>'Calendario J'!T36</f>
        <v>(Squadra B)</v>
      </c>
      <c r="I415" s="48">
        <f>'Calendario J'!U36</f>
        <v>0</v>
      </c>
      <c r="J415" s="48">
        <f>'Calendario J'!V36</f>
        <v>0</v>
      </c>
      <c r="K415" s="48">
        <f>'Calendario J'!W36</f>
        <v>0</v>
      </c>
      <c r="L415" s="48">
        <f>'Calendario J'!X36</f>
        <v>0</v>
      </c>
      <c r="M415" s="48">
        <f>'Calendario J'!Y36</f>
        <v>0</v>
      </c>
      <c r="N415" s="48">
        <f>'Calendario J'!Z36</f>
        <v>0</v>
      </c>
    </row>
    <row r="416" spans="1:14" x14ac:dyDescent="0.25">
      <c r="A416" s="48" t="str">
        <f>'Calendario J'!M39</f>
        <v>(Squadra A)</v>
      </c>
      <c r="B416" s="48">
        <f>'Calendario J'!N39</f>
        <v>0</v>
      </c>
      <c r="C416" s="48">
        <f>'Calendario J'!O39</f>
        <v>0</v>
      </c>
      <c r="D416" s="48">
        <f>'Calendario J'!P39</f>
        <v>0</v>
      </c>
      <c r="E416" s="48">
        <f>'Calendario J'!Q39</f>
        <v>0</v>
      </c>
      <c r="F416" s="48">
        <f>'Calendario J'!R39</f>
        <v>0</v>
      </c>
      <c r="G416" s="48">
        <f>'Calendario J'!S39</f>
        <v>0</v>
      </c>
      <c r="H416" s="48" t="str">
        <f>'Calendario J'!T39</f>
        <v>(Squadra B)</v>
      </c>
      <c r="I416" s="48">
        <f>'Calendario J'!U39</f>
        <v>0</v>
      </c>
      <c r="J416" s="48">
        <f>'Calendario J'!V39</f>
        <v>0</v>
      </c>
      <c r="K416" s="48">
        <f>'Calendario J'!W39</f>
        <v>0</v>
      </c>
      <c r="L416" s="48">
        <f>'Calendario J'!X39</f>
        <v>0</v>
      </c>
      <c r="M416" s="48">
        <f>'Calendario J'!Y39</f>
        <v>0</v>
      </c>
      <c r="N416" s="48">
        <f>'Calendario J'!Z39</f>
        <v>0</v>
      </c>
    </row>
    <row r="417" spans="1:14" x14ac:dyDescent="0.25">
      <c r="A417" s="48" t="str">
        <f>'Calendario J'!M44</f>
        <v>(Squadra A)</v>
      </c>
      <c r="B417" s="48">
        <f>'Calendario J'!N44</f>
        <v>0</v>
      </c>
      <c r="C417" s="48">
        <f>'Calendario J'!O44</f>
        <v>0</v>
      </c>
      <c r="D417" s="48">
        <f>'Calendario J'!P44</f>
        <v>0</v>
      </c>
      <c r="E417" s="48">
        <f>'Calendario J'!Q44</f>
        <v>0</v>
      </c>
      <c r="F417" s="48">
        <f>'Calendario J'!R44</f>
        <v>0</v>
      </c>
      <c r="G417" s="48">
        <f>'Calendario J'!S44</f>
        <v>0</v>
      </c>
      <c r="H417" s="48" t="str">
        <f>'Calendario J'!T44</f>
        <v>(Squadra B)</v>
      </c>
      <c r="I417" s="48">
        <f>'Calendario J'!U44</f>
        <v>0</v>
      </c>
      <c r="J417" s="48">
        <f>'Calendario J'!V44</f>
        <v>0</v>
      </c>
      <c r="K417" s="48">
        <f>'Calendario J'!W44</f>
        <v>0</v>
      </c>
      <c r="L417" s="48">
        <f>'Calendario J'!X44</f>
        <v>0</v>
      </c>
      <c r="M417" s="48">
        <f>'Calendario J'!Y44</f>
        <v>0</v>
      </c>
      <c r="N417" s="48">
        <f>'Calendario J'!Z44</f>
        <v>0</v>
      </c>
    </row>
    <row r="418" spans="1:14" x14ac:dyDescent="0.25">
      <c r="A418" s="48" t="str">
        <f>'Calendario J'!M47</f>
        <v>(Squadra A)</v>
      </c>
      <c r="B418" s="48">
        <f>'Calendario J'!N47</f>
        <v>0</v>
      </c>
      <c r="C418" s="48">
        <f>'Calendario J'!O47</f>
        <v>0</v>
      </c>
      <c r="D418" s="48">
        <f>'Calendario J'!P47</f>
        <v>0</v>
      </c>
      <c r="E418" s="48">
        <f>'Calendario J'!Q47</f>
        <v>0</v>
      </c>
      <c r="F418" s="48">
        <f>'Calendario J'!R47</f>
        <v>0</v>
      </c>
      <c r="G418" s="48">
        <f>'Calendario J'!S47</f>
        <v>0</v>
      </c>
      <c r="H418" s="48" t="str">
        <f>'Calendario J'!T47</f>
        <v>(Squadra B)</v>
      </c>
      <c r="I418" s="48">
        <f>'Calendario J'!U47</f>
        <v>0</v>
      </c>
      <c r="J418" s="48">
        <f>'Calendario J'!V47</f>
        <v>0</v>
      </c>
      <c r="K418" s="48">
        <f>'Calendario J'!W47</f>
        <v>0</v>
      </c>
      <c r="L418" s="48">
        <f>'Calendario J'!X47</f>
        <v>0</v>
      </c>
      <c r="M418" s="48">
        <f>'Calendario J'!Y47</f>
        <v>0</v>
      </c>
      <c r="N418" s="48">
        <f>'Calendario J'!Z47</f>
        <v>0</v>
      </c>
    </row>
    <row r="419" spans="1:14" x14ac:dyDescent="0.25">
      <c r="A419" s="48" t="str">
        <f>'Calendario J'!M50</f>
        <v>(Squadra A)</v>
      </c>
      <c r="B419" s="48">
        <f>'Calendario J'!N50</f>
        <v>0</v>
      </c>
      <c r="C419" s="48">
        <f>'Calendario J'!O50</f>
        <v>0</v>
      </c>
      <c r="D419" s="48">
        <f>'Calendario J'!P50</f>
        <v>0</v>
      </c>
      <c r="E419" s="48">
        <f>'Calendario J'!Q50</f>
        <v>0</v>
      </c>
      <c r="F419" s="48">
        <f>'Calendario J'!R50</f>
        <v>0</v>
      </c>
      <c r="G419" s="48">
        <f>'Calendario J'!S50</f>
        <v>0</v>
      </c>
      <c r="H419" s="48" t="str">
        <f>'Calendario J'!T50</f>
        <v>(Squadra B)</v>
      </c>
      <c r="I419" s="48">
        <f>'Calendario J'!U50</f>
        <v>0</v>
      </c>
      <c r="J419" s="48">
        <f>'Calendario J'!V50</f>
        <v>0</v>
      </c>
      <c r="K419" s="48">
        <f>'Calendario J'!W50</f>
        <v>0</v>
      </c>
      <c r="L419" s="48">
        <f>'Calendario J'!X50</f>
        <v>0</v>
      </c>
      <c r="M419" s="48">
        <f>'Calendario J'!Y50</f>
        <v>0</v>
      </c>
      <c r="N419" s="48">
        <f>'Calendario J'!Z50</f>
        <v>0</v>
      </c>
    </row>
    <row r="420" spans="1:14" x14ac:dyDescent="0.25">
      <c r="A420" s="48" t="str">
        <f>'Calendario J'!M53</f>
        <v>(Squadra A)</v>
      </c>
      <c r="B420" s="48">
        <f>'Calendario J'!N53</f>
        <v>0</v>
      </c>
      <c r="C420" s="48">
        <f>'Calendario J'!O53</f>
        <v>0</v>
      </c>
      <c r="D420" s="48">
        <f>'Calendario J'!P53</f>
        <v>0</v>
      </c>
      <c r="E420" s="48">
        <f>'Calendario J'!Q53</f>
        <v>0</v>
      </c>
      <c r="F420" s="48">
        <f>'Calendario J'!R53</f>
        <v>0</v>
      </c>
      <c r="G420" s="48">
        <f>'Calendario J'!S53</f>
        <v>0</v>
      </c>
      <c r="H420" s="48" t="str">
        <f>'Calendario J'!T53</f>
        <v>(Squadra B)</v>
      </c>
      <c r="I420" s="48">
        <f>'Calendario J'!U53</f>
        <v>0</v>
      </c>
      <c r="J420" s="48">
        <f>'Calendario J'!V53</f>
        <v>0</v>
      </c>
      <c r="K420" s="48">
        <f>'Calendario J'!W53</f>
        <v>0</v>
      </c>
      <c r="L420" s="48">
        <f>'Calendario J'!X53</f>
        <v>0</v>
      </c>
      <c r="M420" s="48">
        <f>'Calendario J'!Y53</f>
        <v>0</v>
      </c>
      <c r="N420" s="48">
        <f>'Calendario J'!Z53</f>
        <v>0</v>
      </c>
    </row>
    <row r="421" spans="1:14" x14ac:dyDescent="0.25">
      <c r="A421" s="48" t="str">
        <f>'Calendario J'!M56</f>
        <v>(Squadra A)</v>
      </c>
      <c r="B421" s="48">
        <f>'Calendario J'!N56</f>
        <v>0</v>
      </c>
      <c r="C421" s="48">
        <f>'Calendario J'!O56</f>
        <v>0</v>
      </c>
      <c r="D421" s="48">
        <f>'Calendario J'!P56</f>
        <v>0</v>
      </c>
      <c r="E421" s="48">
        <f>'Calendario J'!Q56</f>
        <v>0</v>
      </c>
      <c r="F421" s="48">
        <f>'Calendario J'!R56</f>
        <v>0</v>
      </c>
      <c r="G421" s="48">
        <f>'Calendario J'!S56</f>
        <v>0</v>
      </c>
      <c r="H421" s="48" t="str">
        <f>'Calendario J'!T56</f>
        <v>(Squadra B)</v>
      </c>
      <c r="I421" s="48">
        <f>'Calendario J'!U56</f>
        <v>0</v>
      </c>
      <c r="J421" s="48">
        <f>'Calendario J'!V56</f>
        <v>0</v>
      </c>
      <c r="K421" s="48">
        <f>'Calendario J'!W56</f>
        <v>0</v>
      </c>
      <c r="L421" s="48">
        <f>'Calendario J'!X56</f>
        <v>0</v>
      </c>
      <c r="M421" s="48">
        <f>'Calendario J'!Y56</f>
        <v>0</v>
      </c>
      <c r="N421" s="48">
        <f>'Calendario J'!Z56</f>
        <v>0</v>
      </c>
    </row>
    <row r="422" spans="1:14" x14ac:dyDescent="0.25">
      <c r="A422" s="48" t="str">
        <f>'Calendario J'!M61</f>
        <v>(Squadra A)</v>
      </c>
      <c r="B422" s="48">
        <f>'Calendario J'!N61</f>
        <v>0</v>
      </c>
      <c r="C422" s="48">
        <f>'Calendario J'!O61</f>
        <v>0</v>
      </c>
      <c r="D422" s="48">
        <f>'Calendario J'!P61</f>
        <v>0</v>
      </c>
      <c r="E422" s="48">
        <f>'Calendario J'!Q61</f>
        <v>0</v>
      </c>
      <c r="F422" s="48">
        <f>'Calendario J'!R61</f>
        <v>0</v>
      </c>
      <c r="G422" s="48">
        <f>'Calendario J'!S61</f>
        <v>0</v>
      </c>
      <c r="H422" s="48" t="str">
        <f>'Calendario J'!T61</f>
        <v>(Squadra B)</v>
      </c>
      <c r="I422" s="48">
        <f>'Calendario J'!U61</f>
        <v>0</v>
      </c>
      <c r="J422" s="48">
        <f>'Calendario J'!V61</f>
        <v>0</v>
      </c>
      <c r="K422" s="48">
        <f>'Calendario J'!W61</f>
        <v>0</v>
      </c>
      <c r="L422" s="48">
        <f>'Calendario J'!X61</f>
        <v>0</v>
      </c>
      <c r="M422" s="48">
        <f>'Calendario J'!Y61</f>
        <v>0</v>
      </c>
      <c r="N422" s="48">
        <f>'Calendario J'!Z61</f>
        <v>0</v>
      </c>
    </row>
    <row r="423" spans="1:14" x14ac:dyDescent="0.25">
      <c r="A423" s="48" t="str">
        <f>'Calendario J'!M64</f>
        <v>(Squadra A)</v>
      </c>
      <c r="B423" s="48">
        <f>'Calendario J'!N64</f>
        <v>0</v>
      </c>
      <c r="C423" s="48">
        <f>'Calendario J'!O64</f>
        <v>0</v>
      </c>
      <c r="D423" s="48">
        <f>'Calendario J'!P64</f>
        <v>0</v>
      </c>
      <c r="E423" s="48">
        <f>'Calendario J'!Q64</f>
        <v>0</v>
      </c>
      <c r="F423" s="48">
        <f>'Calendario J'!R64</f>
        <v>0</v>
      </c>
      <c r="G423" s="48">
        <f>'Calendario J'!S64</f>
        <v>0</v>
      </c>
      <c r="H423" s="48" t="str">
        <f>'Calendario J'!T64</f>
        <v>(Squadra B)</v>
      </c>
      <c r="I423" s="48">
        <f>'Calendario J'!U64</f>
        <v>0</v>
      </c>
      <c r="J423" s="48">
        <f>'Calendario J'!V64</f>
        <v>0</v>
      </c>
      <c r="K423" s="48">
        <f>'Calendario J'!W64</f>
        <v>0</v>
      </c>
      <c r="L423" s="48">
        <f>'Calendario J'!X64</f>
        <v>0</v>
      </c>
      <c r="M423" s="48">
        <f>'Calendario J'!Y64</f>
        <v>0</v>
      </c>
      <c r="N423" s="48">
        <f>'Calendario J'!Z64</f>
        <v>0</v>
      </c>
    </row>
    <row r="424" spans="1:14" x14ac:dyDescent="0.25">
      <c r="A424" s="48" t="str">
        <f>'Calendario J'!M67</f>
        <v>(Squadra A)</v>
      </c>
      <c r="B424" s="48">
        <f>'Calendario J'!N67</f>
        <v>0</v>
      </c>
      <c r="C424" s="48">
        <f>'Calendario J'!O67</f>
        <v>0</v>
      </c>
      <c r="D424" s="48">
        <f>'Calendario J'!P67</f>
        <v>0</v>
      </c>
      <c r="E424" s="48">
        <f>'Calendario J'!Q67</f>
        <v>0</v>
      </c>
      <c r="F424" s="48">
        <f>'Calendario J'!R67</f>
        <v>0</v>
      </c>
      <c r="G424" s="48">
        <f>'Calendario J'!S67</f>
        <v>0</v>
      </c>
      <c r="H424" s="48" t="str">
        <f>'Calendario J'!T67</f>
        <v>(Squadra B)</v>
      </c>
      <c r="I424" s="48">
        <f>'Calendario J'!U67</f>
        <v>0</v>
      </c>
      <c r="J424" s="48">
        <f>'Calendario J'!V67</f>
        <v>0</v>
      </c>
      <c r="K424" s="48">
        <f>'Calendario J'!W67</f>
        <v>0</v>
      </c>
      <c r="L424" s="48">
        <f>'Calendario J'!X67</f>
        <v>0</v>
      </c>
      <c r="M424" s="48">
        <f>'Calendario J'!Y67</f>
        <v>0</v>
      </c>
      <c r="N424" s="48">
        <f>'Calendario J'!Z67</f>
        <v>0</v>
      </c>
    </row>
    <row r="425" spans="1:14" x14ac:dyDescent="0.25">
      <c r="A425" s="48" t="str">
        <f>'Calendario J'!M70</f>
        <v>(Squadra A)</v>
      </c>
      <c r="B425" s="48">
        <f>'Calendario J'!N70</f>
        <v>0</v>
      </c>
      <c r="C425" s="48">
        <f>'Calendario J'!O70</f>
        <v>0</v>
      </c>
      <c r="D425" s="48">
        <f>'Calendario J'!P70</f>
        <v>0</v>
      </c>
      <c r="E425" s="48">
        <f>'Calendario J'!Q70</f>
        <v>0</v>
      </c>
      <c r="F425" s="48">
        <f>'Calendario J'!R70</f>
        <v>0</v>
      </c>
      <c r="G425" s="48">
        <f>'Calendario J'!S70</f>
        <v>0</v>
      </c>
      <c r="H425" s="48" t="str">
        <f>'Calendario J'!T70</f>
        <v>(Squadra B)</v>
      </c>
      <c r="I425" s="48">
        <f>'Calendario J'!U70</f>
        <v>0</v>
      </c>
      <c r="J425" s="48">
        <f>'Calendario J'!V70</f>
        <v>0</v>
      </c>
      <c r="K425" s="48">
        <f>'Calendario J'!W70</f>
        <v>0</v>
      </c>
      <c r="L425" s="48">
        <f>'Calendario J'!X70</f>
        <v>0</v>
      </c>
      <c r="M425" s="48">
        <f>'Calendario J'!Y70</f>
        <v>0</v>
      </c>
      <c r="N425" s="48">
        <f>'Calendario J'!Z70</f>
        <v>0</v>
      </c>
    </row>
    <row r="426" spans="1:14" x14ac:dyDescent="0.25">
      <c r="A426" s="48" t="str">
        <f>'Calendario J'!M73</f>
        <v>(Squadra A)</v>
      </c>
      <c r="B426" s="48">
        <f>'Calendario J'!N73</f>
        <v>0</v>
      </c>
      <c r="C426" s="48">
        <f>'Calendario J'!O73</f>
        <v>0</v>
      </c>
      <c r="D426" s="48">
        <f>'Calendario J'!P73</f>
        <v>0</v>
      </c>
      <c r="E426" s="48">
        <f>'Calendario J'!Q73</f>
        <v>0</v>
      </c>
      <c r="F426" s="48">
        <f>'Calendario J'!R73</f>
        <v>0</v>
      </c>
      <c r="G426" s="48">
        <f>'Calendario J'!S73</f>
        <v>0</v>
      </c>
      <c r="H426" s="48" t="str">
        <f>'Calendario J'!T73</f>
        <v>(Squadra B)</v>
      </c>
      <c r="I426" s="48">
        <f>'Calendario J'!U73</f>
        <v>0</v>
      </c>
      <c r="J426" s="48">
        <f>'Calendario J'!V73</f>
        <v>0</v>
      </c>
      <c r="K426" s="48">
        <f>'Calendario J'!W73</f>
        <v>0</v>
      </c>
      <c r="L426" s="48">
        <f>'Calendario J'!X73</f>
        <v>0</v>
      </c>
      <c r="M426" s="48">
        <f>'Calendario J'!Y73</f>
        <v>0</v>
      </c>
      <c r="N426" s="48">
        <f>'Calendario J'!Z73</f>
        <v>0</v>
      </c>
    </row>
    <row r="427" spans="1:14" x14ac:dyDescent="0.25">
      <c r="A427" s="48" t="str">
        <f>'Calendario J'!M78</f>
        <v>(Squadra A)</v>
      </c>
      <c r="B427" s="48">
        <f>'Calendario J'!N78</f>
        <v>0</v>
      </c>
      <c r="C427" s="48">
        <f>'Calendario J'!O78</f>
        <v>0</v>
      </c>
      <c r="D427" s="48">
        <f>'Calendario J'!P78</f>
        <v>0</v>
      </c>
      <c r="E427" s="48">
        <f>'Calendario J'!Q78</f>
        <v>0</v>
      </c>
      <c r="F427" s="48">
        <f>'Calendario J'!R78</f>
        <v>0</v>
      </c>
      <c r="G427" s="48">
        <f>'Calendario J'!S78</f>
        <v>0</v>
      </c>
      <c r="H427" s="48" t="str">
        <f>'Calendario J'!T78</f>
        <v>(Squadra B)</v>
      </c>
      <c r="I427" s="48">
        <f>'Calendario J'!U78</f>
        <v>0</v>
      </c>
      <c r="J427" s="48">
        <f>'Calendario J'!V78</f>
        <v>0</v>
      </c>
      <c r="K427" s="48">
        <f>'Calendario J'!W78</f>
        <v>0</v>
      </c>
      <c r="L427" s="48">
        <f>'Calendario J'!X78</f>
        <v>0</v>
      </c>
      <c r="M427" s="48">
        <f>'Calendario J'!Y78</f>
        <v>0</v>
      </c>
      <c r="N427" s="48">
        <f>'Calendario J'!Z78</f>
        <v>0</v>
      </c>
    </row>
    <row r="428" spans="1:14" x14ac:dyDescent="0.25">
      <c r="A428" s="48" t="str">
        <f>'Calendario J'!M81</f>
        <v>(Squadra A)</v>
      </c>
      <c r="B428" s="48">
        <f>'Calendario J'!N81</f>
        <v>0</v>
      </c>
      <c r="C428" s="48">
        <f>'Calendario J'!O81</f>
        <v>0</v>
      </c>
      <c r="D428" s="48">
        <f>'Calendario J'!P81</f>
        <v>0</v>
      </c>
      <c r="E428" s="48">
        <f>'Calendario J'!Q81</f>
        <v>0</v>
      </c>
      <c r="F428" s="48">
        <f>'Calendario J'!R81</f>
        <v>0</v>
      </c>
      <c r="G428" s="48">
        <f>'Calendario J'!S81</f>
        <v>0</v>
      </c>
      <c r="H428" s="48" t="str">
        <f>'Calendario J'!T81</f>
        <v>(Squadra B)</v>
      </c>
      <c r="I428" s="48">
        <f>'Calendario J'!U81</f>
        <v>0</v>
      </c>
      <c r="J428" s="48">
        <f>'Calendario J'!V81</f>
        <v>0</v>
      </c>
      <c r="K428" s="48">
        <f>'Calendario J'!W81</f>
        <v>0</v>
      </c>
      <c r="L428" s="48">
        <f>'Calendario J'!X81</f>
        <v>0</v>
      </c>
      <c r="M428" s="48">
        <f>'Calendario J'!Y81</f>
        <v>0</v>
      </c>
      <c r="N428" s="48">
        <f>'Calendario J'!Z81</f>
        <v>0</v>
      </c>
    </row>
    <row r="429" spans="1:14" x14ac:dyDescent="0.25">
      <c r="A429" s="48" t="str">
        <f>'Calendario J'!M84</f>
        <v>(Squadra A)</v>
      </c>
      <c r="B429" s="48">
        <f>'Calendario J'!N84</f>
        <v>0</v>
      </c>
      <c r="C429" s="48">
        <f>'Calendario J'!O84</f>
        <v>0</v>
      </c>
      <c r="D429" s="48">
        <f>'Calendario J'!P84</f>
        <v>0</v>
      </c>
      <c r="E429" s="48">
        <f>'Calendario J'!Q84</f>
        <v>0</v>
      </c>
      <c r="F429" s="48">
        <f>'Calendario J'!R84</f>
        <v>0</v>
      </c>
      <c r="G429" s="48">
        <f>'Calendario J'!S84</f>
        <v>0</v>
      </c>
      <c r="H429" s="48" t="str">
        <f>'Calendario J'!T84</f>
        <v>(Squadra B)</v>
      </c>
      <c r="I429" s="48">
        <f>'Calendario J'!U84</f>
        <v>0</v>
      </c>
      <c r="J429" s="48">
        <f>'Calendario J'!V84</f>
        <v>0</v>
      </c>
      <c r="K429" s="48">
        <f>'Calendario J'!W84</f>
        <v>0</v>
      </c>
      <c r="L429" s="48">
        <f>'Calendario J'!X84</f>
        <v>0</v>
      </c>
      <c r="M429" s="48">
        <f>'Calendario J'!Y84</f>
        <v>0</v>
      </c>
      <c r="N429" s="48">
        <f>'Calendario J'!Z84</f>
        <v>0</v>
      </c>
    </row>
    <row r="430" spans="1:14" x14ac:dyDescent="0.25">
      <c r="A430" s="48" t="str">
        <f>'Calendario J'!M87</f>
        <v>(Squadra A)</v>
      </c>
      <c r="B430" s="48">
        <f>'Calendario J'!N87</f>
        <v>0</v>
      </c>
      <c r="C430" s="48">
        <f>'Calendario J'!O87</f>
        <v>0</v>
      </c>
      <c r="D430" s="48">
        <f>'Calendario J'!P87</f>
        <v>0</v>
      </c>
      <c r="E430" s="48">
        <f>'Calendario J'!Q87</f>
        <v>0</v>
      </c>
      <c r="F430" s="48">
        <f>'Calendario J'!R87</f>
        <v>0</v>
      </c>
      <c r="G430" s="48">
        <f>'Calendario J'!S87</f>
        <v>0</v>
      </c>
      <c r="H430" s="48" t="str">
        <f>'Calendario J'!T87</f>
        <v>(Squadra B)</v>
      </c>
      <c r="I430" s="48">
        <f>'Calendario J'!U87</f>
        <v>0</v>
      </c>
      <c r="J430" s="48">
        <f>'Calendario J'!V87</f>
        <v>0</v>
      </c>
      <c r="K430" s="48">
        <f>'Calendario J'!W87</f>
        <v>0</v>
      </c>
      <c r="L430" s="48">
        <f>'Calendario J'!X87</f>
        <v>0</v>
      </c>
      <c r="M430" s="48">
        <f>'Calendario J'!Y87</f>
        <v>0</v>
      </c>
      <c r="N430" s="48">
        <f>'Calendario J'!Z87</f>
        <v>0</v>
      </c>
    </row>
    <row r="431" spans="1:14" x14ac:dyDescent="0.25">
      <c r="A431" s="48" t="str">
        <f>'Calendario J'!M90</f>
        <v>(Squadra A)</v>
      </c>
      <c r="B431" s="48">
        <f>'Calendario J'!N90</f>
        <v>0</v>
      </c>
      <c r="C431" s="48">
        <f>'Calendario J'!O90</f>
        <v>0</v>
      </c>
      <c r="D431" s="48">
        <f>'Calendario J'!P90</f>
        <v>0</v>
      </c>
      <c r="E431" s="48">
        <f>'Calendario J'!Q90</f>
        <v>0</v>
      </c>
      <c r="F431" s="48">
        <f>'Calendario J'!R90</f>
        <v>0</v>
      </c>
      <c r="G431" s="48">
        <f>'Calendario J'!S90</f>
        <v>0</v>
      </c>
      <c r="H431" s="48" t="str">
        <f>'Calendario J'!T90</f>
        <v>(Squadra B)</v>
      </c>
      <c r="I431" s="48">
        <f>'Calendario J'!U90</f>
        <v>0</v>
      </c>
      <c r="J431" s="48">
        <f>'Calendario J'!V90</f>
        <v>0</v>
      </c>
      <c r="K431" s="48">
        <f>'Calendario J'!W90</f>
        <v>0</v>
      </c>
      <c r="L431" s="48">
        <f>'Calendario J'!X90</f>
        <v>0</v>
      </c>
      <c r="M431" s="48">
        <f>'Calendario J'!Y90</f>
        <v>0</v>
      </c>
      <c r="N431" s="48">
        <f>'Calendario J'!Z90</f>
        <v>0</v>
      </c>
    </row>
    <row r="432" spans="1:14" x14ac:dyDescent="0.25">
      <c r="A432" s="48" t="str">
        <f>'Calendario J'!M95</f>
        <v>(Squadra A)</v>
      </c>
      <c r="B432" s="48">
        <f>'Calendario J'!N95</f>
        <v>0</v>
      </c>
      <c r="C432" s="48">
        <f>'Calendario J'!O95</f>
        <v>0</v>
      </c>
      <c r="D432" s="48">
        <f>'Calendario J'!P95</f>
        <v>0</v>
      </c>
      <c r="E432" s="48">
        <f>'Calendario J'!Q95</f>
        <v>0</v>
      </c>
      <c r="F432" s="48">
        <f>'Calendario J'!R95</f>
        <v>0</v>
      </c>
      <c r="G432" s="48">
        <f>'Calendario J'!S95</f>
        <v>0</v>
      </c>
      <c r="H432" s="48" t="str">
        <f>'Calendario J'!T95</f>
        <v>(Squadra B)</v>
      </c>
      <c r="I432" s="48">
        <f>'Calendario J'!U95</f>
        <v>0</v>
      </c>
      <c r="J432" s="48">
        <f>'Calendario J'!V95</f>
        <v>0</v>
      </c>
      <c r="K432" s="48">
        <f>'Calendario J'!W95</f>
        <v>0</v>
      </c>
      <c r="L432" s="48">
        <f>'Calendario J'!X95</f>
        <v>0</v>
      </c>
      <c r="M432" s="48">
        <f>'Calendario J'!Y95</f>
        <v>0</v>
      </c>
      <c r="N432" s="48">
        <f>'Calendario J'!Z95</f>
        <v>0</v>
      </c>
    </row>
    <row r="433" spans="1:14" x14ac:dyDescent="0.25">
      <c r="A433" s="48" t="str">
        <f>'Calendario J'!M98</f>
        <v>(Squadra A)</v>
      </c>
      <c r="B433" s="48">
        <f>'Calendario J'!N98</f>
        <v>0</v>
      </c>
      <c r="C433" s="48">
        <f>'Calendario J'!O98</f>
        <v>0</v>
      </c>
      <c r="D433" s="48">
        <f>'Calendario J'!P98</f>
        <v>0</v>
      </c>
      <c r="E433" s="48">
        <f>'Calendario J'!Q98</f>
        <v>0</v>
      </c>
      <c r="F433" s="48">
        <f>'Calendario J'!R98</f>
        <v>0</v>
      </c>
      <c r="G433" s="48">
        <f>'Calendario J'!S98</f>
        <v>0</v>
      </c>
      <c r="H433" s="48" t="str">
        <f>'Calendario J'!T98</f>
        <v>(Squadra B)</v>
      </c>
      <c r="I433" s="48">
        <f>'Calendario J'!U98</f>
        <v>0</v>
      </c>
      <c r="J433" s="48">
        <f>'Calendario J'!V98</f>
        <v>0</v>
      </c>
      <c r="K433" s="48">
        <f>'Calendario J'!W98</f>
        <v>0</v>
      </c>
      <c r="L433" s="48">
        <f>'Calendario J'!X98</f>
        <v>0</v>
      </c>
      <c r="M433" s="48">
        <f>'Calendario J'!Y98</f>
        <v>0</v>
      </c>
      <c r="N433" s="48">
        <f>'Calendario J'!Z98</f>
        <v>0</v>
      </c>
    </row>
    <row r="434" spans="1:14" x14ac:dyDescent="0.25">
      <c r="A434" s="48" t="str">
        <f>'Calendario J'!M101</f>
        <v>(Squadra A)</v>
      </c>
      <c r="B434" s="48">
        <f>'Calendario J'!N101</f>
        <v>0</v>
      </c>
      <c r="C434" s="48">
        <f>'Calendario J'!O101</f>
        <v>0</v>
      </c>
      <c r="D434" s="48">
        <f>'Calendario J'!P101</f>
        <v>0</v>
      </c>
      <c r="E434" s="48">
        <f>'Calendario J'!Q101</f>
        <v>0</v>
      </c>
      <c r="F434" s="48">
        <f>'Calendario J'!R101</f>
        <v>0</v>
      </c>
      <c r="G434" s="48">
        <f>'Calendario J'!S101</f>
        <v>0</v>
      </c>
      <c r="H434" s="48" t="str">
        <f>'Calendario J'!T101</f>
        <v>(Squadra B)</v>
      </c>
      <c r="I434" s="48">
        <f>'Calendario J'!U101</f>
        <v>0</v>
      </c>
      <c r="J434" s="48">
        <f>'Calendario J'!V101</f>
        <v>0</v>
      </c>
      <c r="K434" s="48">
        <f>'Calendario J'!W101</f>
        <v>0</v>
      </c>
      <c r="L434" s="48">
        <f>'Calendario J'!X101</f>
        <v>0</v>
      </c>
      <c r="M434" s="48">
        <f>'Calendario J'!Y101</f>
        <v>0</v>
      </c>
      <c r="N434" s="48">
        <f>'Calendario J'!Z101</f>
        <v>0</v>
      </c>
    </row>
    <row r="435" spans="1:14" x14ac:dyDescent="0.25">
      <c r="A435" s="48" t="str">
        <f>'Calendario J'!M104</f>
        <v>(Squadra A)</v>
      </c>
      <c r="B435" s="48">
        <f>'Calendario J'!N104</f>
        <v>0</v>
      </c>
      <c r="C435" s="48">
        <f>'Calendario J'!O104</f>
        <v>0</v>
      </c>
      <c r="D435" s="48">
        <f>'Calendario J'!P104</f>
        <v>0</v>
      </c>
      <c r="E435" s="48">
        <f>'Calendario J'!Q104</f>
        <v>0</v>
      </c>
      <c r="F435" s="48">
        <f>'Calendario J'!R104</f>
        <v>0</v>
      </c>
      <c r="G435" s="48">
        <f>'Calendario J'!S104</f>
        <v>0</v>
      </c>
      <c r="H435" s="48" t="str">
        <f>'Calendario J'!T104</f>
        <v>(Squadra B)</v>
      </c>
      <c r="I435" s="48">
        <f>'Calendario J'!U104</f>
        <v>0</v>
      </c>
      <c r="J435" s="48">
        <f>'Calendario J'!V104</f>
        <v>0</v>
      </c>
      <c r="K435" s="48">
        <f>'Calendario J'!W104</f>
        <v>0</v>
      </c>
      <c r="L435" s="48">
        <f>'Calendario J'!X104</f>
        <v>0</v>
      </c>
      <c r="M435" s="48">
        <f>'Calendario J'!Y104</f>
        <v>0</v>
      </c>
      <c r="N435" s="48">
        <f>'Calendario J'!Z104</f>
        <v>0</v>
      </c>
    </row>
    <row r="436" spans="1:14" x14ac:dyDescent="0.25">
      <c r="A436" s="48" t="str">
        <f>'Calendario J'!M107</f>
        <v>(Squadra A)</v>
      </c>
      <c r="B436" s="48">
        <f>'Calendario J'!N107</f>
        <v>0</v>
      </c>
      <c r="C436" s="48">
        <f>'Calendario J'!O107</f>
        <v>0</v>
      </c>
      <c r="D436" s="48">
        <f>'Calendario J'!P107</f>
        <v>0</v>
      </c>
      <c r="E436" s="48">
        <f>'Calendario J'!Q107</f>
        <v>0</v>
      </c>
      <c r="F436" s="48">
        <f>'Calendario J'!R107</f>
        <v>0</v>
      </c>
      <c r="G436" s="48">
        <f>'Calendario J'!S107</f>
        <v>0</v>
      </c>
      <c r="H436" s="48" t="str">
        <f>'Calendario J'!T107</f>
        <v>(Squadra B)</v>
      </c>
      <c r="I436" s="48">
        <f>'Calendario J'!U107</f>
        <v>0</v>
      </c>
      <c r="J436" s="48">
        <f>'Calendario J'!V107</f>
        <v>0</v>
      </c>
      <c r="K436" s="48">
        <f>'Calendario J'!W107</f>
        <v>0</v>
      </c>
      <c r="L436" s="48">
        <f>'Calendario J'!X107</f>
        <v>0</v>
      </c>
      <c r="M436" s="48">
        <f>'Calendario J'!Y107</f>
        <v>0</v>
      </c>
      <c r="N436" s="48">
        <f>'Calendario J'!Z107</f>
        <v>0</v>
      </c>
    </row>
    <row r="437" spans="1:14" x14ac:dyDescent="0.25">
      <c r="A437" s="48" t="str">
        <f>'Calendario J'!M112</f>
        <v>(Squadra A)</v>
      </c>
      <c r="B437" s="48">
        <f>'Calendario J'!N112</f>
        <v>0</v>
      </c>
      <c r="C437" s="48">
        <f>'Calendario J'!O112</f>
        <v>0</v>
      </c>
      <c r="D437" s="48">
        <f>'Calendario J'!P112</f>
        <v>0</v>
      </c>
      <c r="E437" s="48">
        <f>'Calendario J'!Q112</f>
        <v>0</v>
      </c>
      <c r="F437" s="48">
        <f>'Calendario J'!R112</f>
        <v>0</v>
      </c>
      <c r="G437" s="48">
        <f>'Calendario J'!S112</f>
        <v>0</v>
      </c>
      <c r="H437" s="48" t="str">
        <f>'Calendario J'!T112</f>
        <v>(Squadra B)</v>
      </c>
      <c r="I437" s="48">
        <f>'Calendario J'!U112</f>
        <v>0</v>
      </c>
      <c r="J437" s="48">
        <f>'Calendario J'!V112</f>
        <v>0</v>
      </c>
      <c r="K437" s="48">
        <f>'Calendario J'!W112</f>
        <v>0</v>
      </c>
      <c r="L437" s="48">
        <f>'Calendario J'!X112</f>
        <v>0</v>
      </c>
      <c r="M437" s="48">
        <f>'Calendario J'!Y112</f>
        <v>0</v>
      </c>
      <c r="N437" s="48">
        <f>'Calendario J'!Z112</f>
        <v>0</v>
      </c>
    </row>
    <row r="438" spans="1:14" x14ac:dyDescent="0.25">
      <c r="A438" s="48" t="str">
        <f>'Calendario J'!M115</f>
        <v>(Squadra A)</v>
      </c>
      <c r="B438" s="48">
        <f>'Calendario J'!N115</f>
        <v>0</v>
      </c>
      <c r="C438" s="48">
        <f>'Calendario J'!O115</f>
        <v>0</v>
      </c>
      <c r="D438" s="48">
        <f>'Calendario J'!P115</f>
        <v>0</v>
      </c>
      <c r="E438" s="48">
        <f>'Calendario J'!Q115</f>
        <v>0</v>
      </c>
      <c r="F438" s="48">
        <f>'Calendario J'!R115</f>
        <v>0</v>
      </c>
      <c r="G438" s="48">
        <f>'Calendario J'!S115</f>
        <v>0</v>
      </c>
      <c r="H438" s="48" t="str">
        <f>'Calendario J'!T115</f>
        <v>(Squadra B)</v>
      </c>
      <c r="I438" s="48">
        <f>'Calendario J'!U115</f>
        <v>0</v>
      </c>
      <c r="J438" s="48">
        <f>'Calendario J'!V115</f>
        <v>0</v>
      </c>
      <c r="K438" s="48">
        <f>'Calendario J'!W115</f>
        <v>0</v>
      </c>
      <c r="L438" s="48">
        <f>'Calendario J'!X115</f>
        <v>0</v>
      </c>
      <c r="M438" s="48">
        <f>'Calendario J'!Y115</f>
        <v>0</v>
      </c>
      <c r="N438" s="48">
        <f>'Calendario J'!Z115</f>
        <v>0</v>
      </c>
    </row>
    <row r="439" spans="1:14" x14ac:dyDescent="0.25">
      <c r="A439" s="48" t="str">
        <f>'Calendario J'!M118</f>
        <v>(Squadra A)</v>
      </c>
      <c r="B439" s="48">
        <f>'Calendario J'!N118</f>
        <v>0</v>
      </c>
      <c r="C439" s="48">
        <f>'Calendario J'!O118</f>
        <v>0</v>
      </c>
      <c r="D439" s="48">
        <f>'Calendario J'!P118</f>
        <v>0</v>
      </c>
      <c r="E439" s="48">
        <f>'Calendario J'!Q118</f>
        <v>0</v>
      </c>
      <c r="F439" s="48">
        <f>'Calendario J'!R118</f>
        <v>0</v>
      </c>
      <c r="G439" s="48">
        <f>'Calendario J'!S118</f>
        <v>0</v>
      </c>
      <c r="H439" s="48" t="str">
        <f>'Calendario J'!T118</f>
        <v>(Squadra B)</v>
      </c>
      <c r="I439" s="48">
        <f>'Calendario J'!U118</f>
        <v>0</v>
      </c>
      <c r="J439" s="48">
        <f>'Calendario J'!V118</f>
        <v>0</v>
      </c>
      <c r="K439" s="48">
        <f>'Calendario J'!W118</f>
        <v>0</v>
      </c>
      <c r="L439" s="48">
        <f>'Calendario J'!X118</f>
        <v>0</v>
      </c>
      <c r="M439" s="48">
        <f>'Calendario J'!Y118</f>
        <v>0</v>
      </c>
      <c r="N439" s="48">
        <f>'Calendario J'!Z118</f>
        <v>0</v>
      </c>
    </row>
    <row r="440" spans="1:14" x14ac:dyDescent="0.25">
      <c r="A440" s="48" t="str">
        <f>'Calendario J'!M121</f>
        <v>(Squadra A)</v>
      </c>
      <c r="B440" s="48">
        <f>'Calendario J'!N121</f>
        <v>0</v>
      </c>
      <c r="C440" s="48">
        <f>'Calendario J'!O121</f>
        <v>0</v>
      </c>
      <c r="D440" s="48">
        <f>'Calendario J'!P121</f>
        <v>0</v>
      </c>
      <c r="E440" s="48">
        <f>'Calendario J'!Q121</f>
        <v>0</v>
      </c>
      <c r="F440" s="48">
        <f>'Calendario J'!R121</f>
        <v>0</v>
      </c>
      <c r="G440" s="48">
        <f>'Calendario J'!S121</f>
        <v>0</v>
      </c>
      <c r="H440" s="48" t="str">
        <f>'Calendario J'!T121</f>
        <v>(Squadra B)</v>
      </c>
      <c r="I440" s="48">
        <f>'Calendario J'!U121</f>
        <v>0</v>
      </c>
      <c r="J440" s="48">
        <f>'Calendario J'!V121</f>
        <v>0</v>
      </c>
      <c r="K440" s="48">
        <f>'Calendario J'!W121</f>
        <v>0</v>
      </c>
      <c r="L440" s="48">
        <f>'Calendario J'!X121</f>
        <v>0</v>
      </c>
      <c r="M440" s="48">
        <f>'Calendario J'!Y121</f>
        <v>0</v>
      </c>
      <c r="N440" s="48">
        <f>'Calendario J'!Z121</f>
        <v>0</v>
      </c>
    </row>
    <row r="441" spans="1:14" x14ac:dyDescent="0.25">
      <c r="A441" s="48" t="str">
        <f>'Calendario J'!M124</f>
        <v>(Squadra A)</v>
      </c>
      <c r="B441" s="48">
        <f>'Calendario J'!N124</f>
        <v>0</v>
      </c>
      <c r="C441" s="48">
        <f>'Calendario J'!O124</f>
        <v>0</v>
      </c>
      <c r="D441" s="48">
        <f>'Calendario J'!P124</f>
        <v>0</v>
      </c>
      <c r="E441" s="48">
        <f>'Calendario J'!Q124</f>
        <v>0</v>
      </c>
      <c r="F441" s="48">
        <f>'Calendario J'!R124</f>
        <v>0</v>
      </c>
      <c r="G441" s="48">
        <f>'Calendario J'!S124</f>
        <v>0</v>
      </c>
      <c r="H441" s="48" t="str">
        <f>'Calendario J'!T124</f>
        <v>(Squadra B)</v>
      </c>
      <c r="I441" s="48">
        <f>'Calendario J'!U124</f>
        <v>0</v>
      </c>
      <c r="J441" s="48">
        <f>'Calendario J'!V124</f>
        <v>0</v>
      </c>
      <c r="K441" s="48">
        <f>'Calendario J'!W124</f>
        <v>0</v>
      </c>
      <c r="L441" s="48">
        <f>'Calendario J'!X124</f>
        <v>0</v>
      </c>
      <c r="M441" s="48">
        <f>'Calendario J'!Y124</f>
        <v>0</v>
      </c>
      <c r="N441" s="48">
        <f>'Calendario J'!Z124</f>
        <v>0</v>
      </c>
    </row>
    <row r="442" spans="1:14" x14ac:dyDescent="0.25">
      <c r="A442" s="48" t="str">
        <f>'Calendario J'!M129</f>
        <v>(Squadra A)</v>
      </c>
      <c r="B442" s="48">
        <f>'Calendario J'!N129</f>
        <v>0</v>
      </c>
      <c r="C442" s="48">
        <f>'Calendario J'!O129</f>
        <v>0</v>
      </c>
      <c r="D442" s="48">
        <f>'Calendario J'!P129</f>
        <v>0</v>
      </c>
      <c r="E442" s="48">
        <f>'Calendario J'!Q129</f>
        <v>0</v>
      </c>
      <c r="F442" s="48">
        <f>'Calendario J'!R129</f>
        <v>0</v>
      </c>
      <c r="G442" s="48">
        <f>'Calendario J'!S129</f>
        <v>0</v>
      </c>
      <c r="H442" s="48" t="str">
        <f>'Calendario J'!T129</f>
        <v>(Squadra B)</v>
      </c>
      <c r="I442" s="48">
        <f>'Calendario J'!U129</f>
        <v>0</v>
      </c>
      <c r="J442" s="48">
        <f>'Calendario J'!V129</f>
        <v>0</v>
      </c>
      <c r="K442" s="48">
        <f>'Calendario J'!W129</f>
        <v>0</v>
      </c>
      <c r="L442" s="48">
        <f>'Calendario J'!X129</f>
        <v>0</v>
      </c>
      <c r="M442" s="48">
        <f>'Calendario J'!Y129</f>
        <v>0</v>
      </c>
      <c r="N442" s="48">
        <f>'Calendario J'!Z129</f>
        <v>0</v>
      </c>
    </row>
    <row r="443" spans="1:14" x14ac:dyDescent="0.25">
      <c r="A443" s="48" t="str">
        <f>'Calendario J'!M132</f>
        <v>(Squadra A)</v>
      </c>
      <c r="B443" s="48">
        <f>'Calendario J'!N132</f>
        <v>0</v>
      </c>
      <c r="C443" s="48">
        <f>'Calendario J'!O132</f>
        <v>0</v>
      </c>
      <c r="D443" s="48">
        <f>'Calendario J'!P132</f>
        <v>0</v>
      </c>
      <c r="E443" s="48">
        <f>'Calendario J'!Q132</f>
        <v>0</v>
      </c>
      <c r="F443" s="48">
        <f>'Calendario J'!R132</f>
        <v>0</v>
      </c>
      <c r="G443" s="48">
        <f>'Calendario J'!S132</f>
        <v>0</v>
      </c>
      <c r="H443" s="48" t="str">
        <f>'Calendario J'!T132</f>
        <v>(Squadra B)</v>
      </c>
      <c r="I443" s="48">
        <f>'Calendario J'!U132</f>
        <v>0</v>
      </c>
      <c r="J443" s="48">
        <f>'Calendario J'!V132</f>
        <v>0</v>
      </c>
      <c r="K443" s="48">
        <f>'Calendario J'!W132</f>
        <v>0</v>
      </c>
      <c r="L443" s="48">
        <f>'Calendario J'!X132</f>
        <v>0</v>
      </c>
      <c r="M443" s="48">
        <f>'Calendario J'!Y132</f>
        <v>0</v>
      </c>
      <c r="N443" s="48">
        <f>'Calendario J'!Z132</f>
        <v>0</v>
      </c>
    </row>
    <row r="444" spans="1:14" x14ac:dyDescent="0.25">
      <c r="A444" s="48" t="str">
        <f>'Calendario J'!M135</f>
        <v>(Squadra A)</v>
      </c>
      <c r="B444" s="48">
        <f>'Calendario J'!N135</f>
        <v>0</v>
      </c>
      <c r="C444" s="48">
        <f>'Calendario J'!O135</f>
        <v>0</v>
      </c>
      <c r="D444" s="48">
        <f>'Calendario J'!P135</f>
        <v>0</v>
      </c>
      <c r="E444" s="48">
        <f>'Calendario J'!Q135</f>
        <v>0</v>
      </c>
      <c r="F444" s="48">
        <f>'Calendario J'!R135</f>
        <v>0</v>
      </c>
      <c r="G444" s="48">
        <f>'Calendario J'!S135</f>
        <v>0</v>
      </c>
      <c r="H444" s="48" t="str">
        <f>'Calendario J'!T135</f>
        <v>(Squadra B)</v>
      </c>
      <c r="I444" s="48">
        <f>'Calendario J'!U135</f>
        <v>0</v>
      </c>
      <c r="J444" s="48">
        <f>'Calendario J'!V135</f>
        <v>0</v>
      </c>
      <c r="K444" s="48">
        <f>'Calendario J'!W135</f>
        <v>0</v>
      </c>
      <c r="L444" s="48">
        <f>'Calendario J'!X135</f>
        <v>0</v>
      </c>
      <c r="M444" s="48">
        <f>'Calendario J'!Y135</f>
        <v>0</v>
      </c>
      <c r="N444" s="48">
        <f>'Calendario J'!Z135</f>
        <v>0</v>
      </c>
    </row>
    <row r="445" spans="1:14" x14ac:dyDescent="0.25">
      <c r="A445" s="48" t="str">
        <f>'Calendario J'!M138</f>
        <v>(Squadra A)</v>
      </c>
      <c r="B445" s="48">
        <f>'Calendario J'!N138</f>
        <v>0</v>
      </c>
      <c r="C445" s="48">
        <f>'Calendario J'!O138</f>
        <v>0</v>
      </c>
      <c r="D445" s="48">
        <f>'Calendario J'!P138</f>
        <v>0</v>
      </c>
      <c r="E445" s="48">
        <f>'Calendario J'!Q138</f>
        <v>0</v>
      </c>
      <c r="F445" s="48">
        <f>'Calendario J'!R138</f>
        <v>0</v>
      </c>
      <c r="G445" s="48">
        <f>'Calendario J'!S138</f>
        <v>0</v>
      </c>
      <c r="H445" s="48" t="str">
        <f>'Calendario J'!T138</f>
        <v>(Squadra B)</v>
      </c>
      <c r="I445" s="48">
        <f>'Calendario J'!U138</f>
        <v>0</v>
      </c>
      <c r="J445" s="48">
        <f>'Calendario J'!V138</f>
        <v>0</v>
      </c>
      <c r="K445" s="48">
        <f>'Calendario J'!W138</f>
        <v>0</v>
      </c>
      <c r="L445" s="48">
        <f>'Calendario J'!X138</f>
        <v>0</v>
      </c>
      <c r="M445" s="48">
        <f>'Calendario J'!Y138</f>
        <v>0</v>
      </c>
      <c r="N445" s="48">
        <f>'Calendario J'!Z138</f>
        <v>0</v>
      </c>
    </row>
    <row r="446" spans="1:14" x14ac:dyDescent="0.25">
      <c r="A446" s="48" t="str">
        <f>'Calendario J'!M141</f>
        <v>(Squadra A)</v>
      </c>
      <c r="B446" s="48">
        <f>'Calendario J'!N141</f>
        <v>0</v>
      </c>
      <c r="C446" s="48">
        <f>'Calendario J'!O141</f>
        <v>0</v>
      </c>
      <c r="D446" s="48">
        <f>'Calendario J'!P141</f>
        <v>0</v>
      </c>
      <c r="E446" s="48">
        <f>'Calendario J'!Q141</f>
        <v>0</v>
      </c>
      <c r="F446" s="48">
        <f>'Calendario J'!R141</f>
        <v>0</v>
      </c>
      <c r="G446" s="48">
        <f>'Calendario J'!S141</f>
        <v>0</v>
      </c>
      <c r="H446" s="48" t="str">
        <f>'Calendario J'!T141</f>
        <v>(Squadra B)</v>
      </c>
      <c r="I446" s="48">
        <f>'Calendario J'!U141</f>
        <v>0</v>
      </c>
      <c r="J446" s="48">
        <f>'Calendario J'!V141</f>
        <v>0</v>
      </c>
      <c r="K446" s="48">
        <f>'Calendario J'!W141</f>
        <v>0</v>
      </c>
      <c r="L446" s="48">
        <f>'Calendario J'!X141</f>
        <v>0</v>
      </c>
      <c r="M446" s="48">
        <f>'Calendario J'!Y141</f>
        <v>0</v>
      </c>
      <c r="N446" s="48">
        <f>'Calendario J'!Z141</f>
        <v>0</v>
      </c>
    </row>
    <row r="447" spans="1:14" x14ac:dyDescent="0.25">
      <c r="A447" s="48" t="str">
        <f>'Calendario J'!M146</f>
        <v>(Squadra A)</v>
      </c>
      <c r="B447" s="48">
        <f>'Calendario J'!N146</f>
        <v>0</v>
      </c>
      <c r="C447" s="48">
        <f>'Calendario J'!O146</f>
        <v>0</v>
      </c>
      <c r="D447" s="48">
        <f>'Calendario J'!P146</f>
        <v>0</v>
      </c>
      <c r="E447" s="48">
        <f>'Calendario J'!Q146</f>
        <v>0</v>
      </c>
      <c r="F447" s="48">
        <f>'Calendario J'!R146</f>
        <v>0</v>
      </c>
      <c r="G447" s="48">
        <f>'Calendario J'!S146</f>
        <v>0</v>
      </c>
      <c r="H447" s="48" t="str">
        <f>'Calendario J'!T146</f>
        <v>(Squadra B)</v>
      </c>
      <c r="I447" s="48">
        <f>'Calendario J'!U146</f>
        <v>0</v>
      </c>
      <c r="J447" s="48">
        <f>'Calendario J'!V146</f>
        <v>0</v>
      </c>
      <c r="K447" s="48">
        <f>'Calendario J'!W146</f>
        <v>0</v>
      </c>
      <c r="L447" s="48">
        <f>'Calendario J'!X146</f>
        <v>0</v>
      </c>
      <c r="M447" s="48">
        <f>'Calendario J'!Y146</f>
        <v>0</v>
      </c>
      <c r="N447" s="48">
        <f>'Calendario J'!Z146</f>
        <v>0</v>
      </c>
    </row>
    <row r="448" spans="1:14" x14ac:dyDescent="0.25">
      <c r="A448" s="48" t="str">
        <f>'Calendario J'!M149</f>
        <v>(Squadra A)</v>
      </c>
      <c r="B448" s="48">
        <f>'Calendario J'!N149</f>
        <v>0</v>
      </c>
      <c r="C448" s="48">
        <f>'Calendario J'!O149</f>
        <v>0</v>
      </c>
      <c r="D448" s="48">
        <f>'Calendario J'!P149</f>
        <v>0</v>
      </c>
      <c r="E448" s="48">
        <f>'Calendario J'!Q149</f>
        <v>0</v>
      </c>
      <c r="F448" s="48">
        <f>'Calendario J'!R149</f>
        <v>0</v>
      </c>
      <c r="G448" s="48">
        <f>'Calendario J'!S149</f>
        <v>0</v>
      </c>
      <c r="H448" s="48" t="str">
        <f>'Calendario J'!T149</f>
        <v>(Squadra B)</v>
      </c>
      <c r="I448" s="48">
        <f>'Calendario J'!U149</f>
        <v>0</v>
      </c>
      <c r="J448" s="48">
        <f>'Calendario J'!V149</f>
        <v>0</v>
      </c>
      <c r="K448" s="48">
        <f>'Calendario J'!W149</f>
        <v>0</v>
      </c>
      <c r="L448" s="48">
        <f>'Calendario J'!X149</f>
        <v>0</v>
      </c>
      <c r="M448" s="48">
        <f>'Calendario J'!Y149</f>
        <v>0</v>
      </c>
      <c r="N448" s="48">
        <f>'Calendario J'!Z149</f>
        <v>0</v>
      </c>
    </row>
    <row r="449" spans="1:14" x14ac:dyDescent="0.25">
      <c r="A449" s="48" t="str">
        <f>'Calendario J'!M152</f>
        <v>(Squadra A)</v>
      </c>
      <c r="B449" s="48">
        <f>'Calendario J'!N152</f>
        <v>0</v>
      </c>
      <c r="C449" s="48">
        <f>'Calendario J'!O152</f>
        <v>0</v>
      </c>
      <c r="D449" s="48">
        <f>'Calendario J'!P152</f>
        <v>0</v>
      </c>
      <c r="E449" s="48">
        <f>'Calendario J'!Q152</f>
        <v>0</v>
      </c>
      <c r="F449" s="48">
        <f>'Calendario J'!R152</f>
        <v>0</v>
      </c>
      <c r="G449" s="48">
        <f>'Calendario J'!S152</f>
        <v>0</v>
      </c>
      <c r="H449" s="48" t="str">
        <f>'Calendario J'!T152</f>
        <v>(Squadra B)</v>
      </c>
      <c r="I449" s="48">
        <f>'Calendario J'!U152</f>
        <v>0</v>
      </c>
      <c r="J449" s="48">
        <f>'Calendario J'!V152</f>
        <v>0</v>
      </c>
      <c r="K449" s="48">
        <f>'Calendario J'!W152</f>
        <v>0</v>
      </c>
      <c r="L449" s="48">
        <f>'Calendario J'!X152</f>
        <v>0</v>
      </c>
      <c r="M449" s="48">
        <f>'Calendario J'!Y152</f>
        <v>0</v>
      </c>
      <c r="N449" s="48">
        <f>'Calendario J'!Z152</f>
        <v>0</v>
      </c>
    </row>
    <row r="450" spans="1:14" x14ac:dyDescent="0.25">
      <c r="A450" s="48" t="str">
        <f>'Calendario J'!M155</f>
        <v>(Squadra A)</v>
      </c>
      <c r="B450" s="48">
        <f>'Calendario J'!N155</f>
        <v>0</v>
      </c>
      <c r="C450" s="48">
        <f>'Calendario J'!O155</f>
        <v>0</v>
      </c>
      <c r="D450" s="48">
        <f>'Calendario J'!P155</f>
        <v>0</v>
      </c>
      <c r="E450" s="48">
        <f>'Calendario J'!Q155</f>
        <v>0</v>
      </c>
      <c r="F450" s="48">
        <f>'Calendario J'!R155</f>
        <v>0</v>
      </c>
      <c r="G450" s="48">
        <f>'Calendario J'!S155</f>
        <v>0</v>
      </c>
      <c r="H450" s="48" t="str">
        <f>'Calendario J'!T155</f>
        <v>(Squadra B)</v>
      </c>
      <c r="I450" s="48">
        <f>'Calendario J'!U155</f>
        <v>0</v>
      </c>
      <c r="J450" s="48">
        <f>'Calendario J'!V155</f>
        <v>0</v>
      </c>
      <c r="K450" s="48">
        <f>'Calendario J'!W155</f>
        <v>0</v>
      </c>
      <c r="L450" s="48">
        <f>'Calendario J'!X155</f>
        <v>0</v>
      </c>
      <c r="M450" s="48">
        <f>'Calendario J'!Y155</f>
        <v>0</v>
      </c>
      <c r="N450" s="48">
        <f>'Calendario J'!Z155</f>
        <v>0</v>
      </c>
    </row>
    <row r="451" spans="1:14" x14ac:dyDescent="0.25">
      <c r="A451" s="48" t="str">
        <f>'Calendario J'!M158</f>
        <v>(Squadra A)</v>
      </c>
      <c r="B451" s="48">
        <f>'Calendario J'!N158</f>
        <v>0</v>
      </c>
      <c r="C451" s="48">
        <f>'Calendario J'!O158</f>
        <v>0</v>
      </c>
      <c r="D451" s="48">
        <f>'Calendario J'!P158</f>
        <v>0</v>
      </c>
      <c r="E451" s="48">
        <f>'Calendario J'!Q158</f>
        <v>0</v>
      </c>
      <c r="F451" s="48">
        <f>'Calendario J'!R158</f>
        <v>0</v>
      </c>
      <c r="G451" s="48">
        <f>'Calendario J'!S158</f>
        <v>0</v>
      </c>
      <c r="H451" s="48" t="str">
        <f>'Calendario J'!T158</f>
        <v>(Squadra B)</v>
      </c>
      <c r="I451" s="48">
        <f>'Calendario J'!U158</f>
        <v>0</v>
      </c>
      <c r="J451" s="48">
        <f>'Calendario J'!V158</f>
        <v>0</v>
      </c>
      <c r="K451" s="48">
        <f>'Calendario J'!W158</f>
        <v>0</v>
      </c>
      <c r="L451" s="48">
        <f>'Calendario J'!X158</f>
        <v>0</v>
      </c>
      <c r="M451" s="48">
        <f>'Calendario J'!Y158</f>
        <v>0</v>
      </c>
      <c r="N451" s="48">
        <f>'Calendario J'!Z158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205</vt:i4>
      </vt:variant>
    </vt:vector>
  </HeadingPairs>
  <TitlesOfParts>
    <vt:vector size="225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2026-09-08T13:11:06Z</dcterms:created>
  <dcterms:modified xsi:type="dcterms:W3CDTF">2026-09-09T14:09:23Z</dcterms:modified>
</cp:coreProperties>
</file>