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Campionato!$D$1</definedName>
    <definedName name="constLogo1">Campionato!$D$2</definedName>
    <definedName name="constLogo2">Campionato!$D$3</definedName>
    <definedName name="constSezioneCampionato">Campionato!$D$4</definedName>
    <definedName name="constStagionaCampionato">Campionato!$D$5</definedName>
    <definedName name="constPuntiVittoria">Campionato!$D$6</definedName>
    <definedName name="constPuntiSconfitta">Campionato!$D$7</definedName>
    <definedName name="constPuntiForfait">Campionato!$D$8</definedName>
    <definedName name="constPunteggioForfait">Campionato!$D$9</definedName>
    <definedName name="areaNomiSquadre">Campionato!$B$12:$C$111</definedName>
    <definedName name="areaCoefficienteSquadre">Campionato!$I$12:$I$111</definedName>
    <definedName name="areaCercaPuntiClassificaSquadra">Campionato!$H$12:$J$111</definedName>
    <definedName name="areaCercaDatiPerPosizioneSquadre">Campionato!$G$12:$W$111</definedName>
    <definedName name="areaCampiSquadre">Campionato!$B$114:$D$222</definedName>
    <definedName name="ARBITRI">Arbitri!$D$5:$D$104</definedName>
    <definedName name="UDC">UdC!$D$5:$D$104</definedName>
    <definedName name="_xlnm.Print_Area" localSheetId="0">'Campionato'!$A$1:$E$225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'MEMO'!$A$1:$A$20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2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  <font>
      <name val="Arial"/>
      <b val="1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9" fillId="17" borderId="1" applyAlignment="1" pivotButton="0" quotePrefix="0" xfId="0">
      <alignment horizontal="center" vertical="center" textRotation="90"/>
    </xf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17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 textRotation="90"/>
    </xf>
    <xf numFmtId="0" fontId="5" fillId="4" borderId="1" applyAlignment="1" pivotButton="0" quotePrefix="0" xfId="0">
      <alignment horizontal="center" vertical="center"/>
    </xf>
    <xf numFmtId="0" fontId="0" fillId="18" borderId="1" pivotButton="0" quotePrefix="0" xfId="0"/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textRotation="90"/>
    </xf>
    <xf numFmtId="0" fontId="4" fillId="3" borderId="1" applyAlignment="1" pivotButton="0" quotePrefix="0" xfId="0">
      <alignment horizontal="center" vertical="center"/>
    </xf>
    <xf numFmtId="0" fontId="0" fillId="19" borderId="1" pivotButton="0" quotePrefix="0" xfId="0"/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A1:CD2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</cols>
  <sheetData>
    <row r="1" ht="46" customHeight="1">
      <c r="A1" s="1" t="inlineStr">
        <is>
          <t>PARAMETRI</t>
        </is>
      </c>
      <c r="B1" s="2" t="inlineStr">
        <is>
          <t>Campionato</t>
        </is>
      </c>
      <c r="D1" s="3" t="n"/>
      <c r="G1" s="4" t="inlineStr">
        <is>
          <t>Posizione</t>
        </is>
      </c>
      <c r="H1" s="4" t="inlineStr">
        <is>
          <t>Squadra</t>
        </is>
      </c>
      <c r="I1" s="4" t="inlineStr">
        <is>
          <t>Coefficiente</t>
        </is>
      </c>
      <c r="J1" s="4" t="inlineStr">
        <is>
          <t>Punti
Classifica</t>
        </is>
      </c>
      <c r="K1" s="4" t="inlineStr">
        <is>
          <t>Partite
Giocate</t>
        </is>
      </c>
      <c r="L1" s="4" t="inlineStr">
        <is>
          <t>Partite
Vinte</t>
        </is>
      </c>
      <c r="M1" s="4" t="inlineStr">
        <is>
          <t>Partite
Perse</t>
        </is>
      </c>
      <c r="N1" s="4" t="inlineStr">
        <is>
          <t>Partite
Forfait</t>
        </is>
      </c>
      <c r="O1" s="4" t="inlineStr">
        <is>
          <t>Punti
Fatti</t>
        </is>
      </c>
      <c r="P1" s="4" t="inlineStr">
        <is>
          <t>Punti
Subiti</t>
        </is>
      </c>
      <c r="Q1" s="4" t="inlineStr">
        <is>
          <t>Differenza
Punti</t>
        </is>
      </c>
      <c r="R1" s="4" t="inlineStr">
        <is>
          <t>Media
Punti
Fatti</t>
        </is>
      </c>
      <c r="S1" s="4" t="inlineStr">
        <is>
          <t>Media
Punti
Subiti</t>
        </is>
      </c>
      <c r="T1" s="4" t="inlineStr">
        <is>
          <t>Media
Differenza
Punti</t>
        </is>
      </c>
      <c r="U1" s="4" t="inlineStr">
        <is>
          <t>Record
Scontri Diretti</t>
        </is>
      </c>
      <c r="V1" s="4" t="inlineStr">
        <is>
          <t>Quoziente Canestri
Scontri Diretti</t>
        </is>
      </c>
      <c r="W1" s="4" t="inlineStr">
        <is>
          <t>Quoziente Canestri
Totale</t>
        </is>
      </c>
      <c r="Y1" s="4" t="inlineStr">
        <is>
          <t>Squadre del girone (in ordine di inserimento)</t>
        </is>
      </c>
      <c r="Z1" s="5" t="n"/>
      <c r="AA1" s="5" t="n"/>
      <c r="AB1" s="5" t="n"/>
      <c r="AC1" s="5" t="n"/>
      <c r="AD1" s="5" t="n"/>
      <c r="AE1" s="5" t="n"/>
      <c r="AF1" s="5" t="n"/>
      <c r="AG1" s="5" t="n"/>
      <c r="AH1" s="6" t="n"/>
      <c r="AJ1" s="4" t="inlineStr">
        <is>
          <t>Squadra</t>
        </is>
      </c>
      <c r="AK1" s="4" t="inlineStr">
        <is>
          <t>Vittorie Scontri Diretti</t>
        </is>
      </c>
      <c r="AL1" s="5" t="n"/>
      <c r="AM1" s="5" t="n"/>
      <c r="AN1" s="5" t="n"/>
      <c r="AO1" s="5" t="n"/>
      <c r="AP1" s="5" t="n"/>
      <c r="AQ1" s="5" t="n"/>
      <c r="AR1" s="5" t="n"/>
      <c r="AS1" s="5" t="n"/>
      <c r="AT1" s="6" t="n"/>
      <c r="AV1" s="4" t="inlineStr">
        <is>
          <t>Squadra</t>
        </is>
      </c>
      <c r="AW1" s="4" t="inlineStr">
        <is>
          <t>Sconfitte &amp; Forfait Scontri Diretti</t>
        </is>
      </c>
      <c r="AX1" s="5" t="n"/>
      <c r="AY1" s="5" t="n"/>
      <c r="AZ1" s="5" t="n"/>
      <c r="BA1" s="5" t="n"/>
      <c r="BB1" s="5" t="n"/>
      <c r="BC1" s="5" t="n"/>
      <c r="BD1" s="5" t="n"/>
      <c r="BE1" s="5" t="n"/>
      <c r="BF1" s="6" t="n"/>
      <c r="BH1" s="4" t="inlineStr">
        <is>
          <t>Squadra</t>
        </is>
      </c>
      <c r="BI1" s="4" t="inlineStr">
        <is>
          <t>Punti Fatti Scontri Diretti</t>
        </is>
      </c>
      <c r="BJ1" s="5" t="n"/>
      <c r="BK1" s="5" t="n"/>
      <c r="BL1" s="5" t="n"/>
      <c r="BM1" s="5" t="n"/>
      <c r="BN1" s="5" t="n"/>
      <c r="BO1" s="5" t="n"/>
      <c r="BP1" s="5" t="n"/>
      <c r="BQ1" s="5" t="n"/>
      <c r="BR1" s="6" t="n"/>
      <c r="BT1" s="4" t="inlineStr">
        <is>
          <t>Squadra</t>
        </is>
      </c>
      <c r="BU1" s="4" t="inlineStr">
        <is>
          <t>Punti Subiti Scontri Diretti</t>
        </is>
      </c>
      <c r="BV1" s="5" t="n"/>
      <c r="BW1" s="5" t="n"/>
      <c r="BX1" s="5" t="n"/>
      <c r="BY1" s="5" t="n"/>
      <c r="BZ1" s="5" t="n"/>
      <c r="CA1" s="5" t="n"/>
      <c r="CB1" s="5" t="n"/>
      <c r="CC1" s="5" t="n"/>
      <c r="CD1" s="6" t="n"/>
    </row>
    <row r="2">
      <c r="A2" s="224" t="n"/>
      <c r="B2" s="2" t="inlineStr">
        <is>
          <t>Link Logo 1</t>
        </is>
      </c>
      <c r="D2" s="8" t="n"/>
    </row>
    <row r="3">
      <c r="A3" s="224" t="n"/>
      <c r="B3" s="2" t="inlineStr">
        <is>
          <t>Link Logo 2</t>
        </is>
      </c>
      <c r="D3" s="8" t="n"/>
    </row>
    <row r="4">
      <c r="A4" s="224" t="n"/>
      <c r="B4" s="2" t="inlineStr">
        <is>
          <t>Gironi</t>
        </is>
      </c>
      <c r="D4" s="8" t="inlineStr">
        <is>
          <t>A-J</t>
        </is>
      </c>
    </row>
    <row r="5">
      <c r="A5" s="224" t="n"/>
      <c r="B5" s="2" t="inlineStr">
        <is>
          <t>Stagione</t>
        </is>
      </c>
      <c r="D5" s="8" t="n"/>
    </row>
    <row r="6">
      <c r="A6" s="224" t="n"/>
      <c r="B6" s="2" t="inlineStr">
        <is>
          <t>Punti vittoria</t>
        </is>
      </c>
      <c r="D6" s="8" t="n">
        <v>3</v>
      </c>
    </row>
    <row r="7">
      <c r="A7" s="224" t="n"/>
      <c r="B7" s="2" t="inlineStr">
        <is>
          <t>Punti sconfitta</t>
        </is>
      </c>
      <c r="D7" s="8" t="n">
        <v>1</v>
      </c>
    </row>
    <row r="8">
      <c r="A8" s="224" t="n"/>
      <c r="B8" s="2" t="inlineStr">
        <is>
          <t>Punti forfait</t>
        </is>
      </c>
      <c r="D8" s="8" t="n">
        <v>0</v>
      </c>
    </row>
    <row r="9">
      <c r="A9" s="141" t="n"/>
      <c r="B9" s="2" t="inlineStr">
        <is>
          <t>Punteggio forfait (vincente-perdente, separati da "-")</t>
        </is>
      </c>
      <c r="D9" s="8" t="inlineStr">
        <is>
          <t>40-0</t>
        </is>
      </c>
    </row>
    <row r="11" ht="30" customHeight="1">
      <c r="A11" s="9" t="inlineStr">
        <is>
          <t>SQUADRE</t>
        </is>
      </c>
      <c r="B11" s="4" t="inlineStr">
        <is>
          <t>#</t>
        </is>
      </c>
      <c r="C11" s="4" t="inlineStr">
        <is>
          <t>Squadra</t>
        </is>
      </c>
      <c r="D11" s="4" t="inlineStr">
        <is>
          <t>Eventuali Punti
di Penalizzazione</t>
        </is>
      </c>
      <c r="E11" s="4" t="inlineStr">
        <is>
          <t>Girone</t>
        </is>
      </c>
      <c r="X11" s="10" t="inlineStr">
        <is>
          <t>Chiave girone</t>
        </is>
      </c>
      <c r="Y11" s="10" t="inlineStr">
        <is>
          <t>1^</t>
        </is>
      </c>
      <c r="Z11" s="10" t="inlineStr">
        <is>
          <t>2^</t>
        </is>
      </c>
      <c r="AA11" s="10" t="inlineStr">
        <is>
          <t>3^</t>
        </is>
      </c>
      <c r="AB11" s="10" t="inlineStr">
        <is>
          <t>4^</t>
        </is>
      </c>
      <c r="AC11" s="10" t="inlineStr">
        <is>
          <t>5^</t>
        </is>
      </c>
      <c r="AD11" s="10" t="inlineStr">
        <is>
          <t>6^</t>
        </is>
      </c>
      <c r="AE11" s="10" t="inlineStr">
        <is>
          <t>7^</t>
        </is>
      </c>
      <c r="AF11" s="10" t="inlineStr">
        <is>
          <t>8^</t>
        </is>
      </c>
      <c r="AG11" s="10" t="inlineStr">
        <is>
          <t>9^</t>
        </is>
      </c>
      <c r="AH11" s="10" t="inlineStr">
        <is>
          <t>10^</t>
        </is>
      </c>
      <c r="AJ11" s="10" t="inlineStr">
        <is>
          <t>Squadra</t>
        </is>
      </c>
      <c r="AK11" s="10" t="inlineStr">
        <is>
          <t>1^</t>
        </is>
      </c>
      <c r="AL11" s="10" t="inlineStr">
        <is>
          <t>2^</t>
        </is>
      </c>
      <c r="AM11" s="10" t="inlineStr">
        <is>
          <t>3^</t>
        </is>
      </c>
      <c r="AN11" s="10" t="inlineStr">
        <is>
          <t>4^</t>
        </is>
      </c>
      <c r="AO11" s="10" t="inlineStr">
        <is>
          <t>5^</t>
        </is>
      </c>
      <c r="AP11" s="10" t="inlineStr">
        <is>
          <t>6^</t>
        </is>
      </c>
      <c r="AQ11" s="10" t="inlineStr">
        <is>
          <t>7^</t>
        </is>
      </c>
      <c r="AR11" s="10" t="inlineStr">
        <is>
          <t>8^</t>
        </is>
      </c>
      <c r="AS11" s="10" t="inlineStr">
        <is>
          <t>9^</t>
        </is>
      </c>
      <c r="AT11" s="10" t="inlineStr">
        <is>
          <t>10^</t>
        </is>
      </c>
      <c r="AV11" s="10" t="inlineStr">
        <is>
          <t>Squadra</t>
        </is>
      </c>
      <c r="AW11" s="10" t="inlineStr">
        <is>
          <t>1^</t>
        </is>
      </c>
      <c r="AX11" s="10" t="inlineStr">
        <is>
          <t>2^</t>
        </is>
      </c>
      <c r="AY11" s="10" t="inlineStr">
        <is>
          <t>3^</t>
        </is>
      </c>
      <c r="AZ11" s="10" t="inlineStr">
        <is>
          <t>4^</t>
        </is>
      </c>
      <c r="BA11" s="10" t="inlineStr">
        <is>
          <t>5^</t>
        </is>
      </c>
      <c r="BB11" s="10" t="inlineStr">
        <is>
          <t>6^</t>
        </is>
      </c>
      <c r="BC11" s="10" t="inlineStr">
        <is>
          <t>7^</t>
        </is>
      </c>
      <c r="BD11" s="10" t="inlineStr">
        <is>
          <t>8^</t>
        </is>
      </c>
      <c r="BE11" s="10" t="inlineStr">
        <is>
          <t>9^</t>
        </is>
      </c>
      <c r="BF11" s="10" t="inlineStr">
        <is>
          <t>10^</t>
        </is>
      </c>
      <c r="BH11" s="10" t="inlineStr">
        <is>
          <t>Squadra</t>
        </is>
      </c>
      <c r="BI11" s="10" t="inlineStr">
        <is>
          <t>1^</t>
        </is>
      </c>
      <c r="BJ11" s="10" t="inlineStr">
        <is>
          <t>2^</t>
        </is>
      </c>
      <c r="BK11" s="10" t="inlineStr">
        <is>
          <t>3^</t>
        </is>
      </c>
      <c r="BL11" s="10" t="inlineStr">
        <is>
          <t>4^</t>
        </is>
      </c>
      <c r="BM11" s="10" t="inlineStr">
        <is>
          <t>5^</t>
        </is>
      </c>
      <c r="BN11" s="10" t="inlineStr">
        <is>
          <t>6^</t>
        </is>
      </c>
      <c r="BO11" s="10" t="inlineStr">
        <is>
          <t>7^</t>
        </is>
      </c>
      <c r="BP11" s="10" t="inlineStr">
        <is>
          <t>8^</t>
        </is>
      </c>
      <c r="BQ11" s="10" t="inlineStr">
        <is>
          <t>9^</t>
        </is>
      </c>
      <c r="BR11" s="10" t="inlineStr">
        <is>
          <t>10^</t>
        </is>
      </c>
      <c r="BT11" s="10" t="inlineStr">
        <is>
          <t>Squadra</t>
        </is>
      </c>
      <c r="BU11" s="10" t="inlineStr">
        <is>
          <t>1^</t>
        </is>
      </c>
      <c r="BV11" s="10" t="inlineStr">
        <is>
          <t>2^</t>
        </is>
      </c>
      <c r="BW11" s="10" t="inlineStr">
        <is>
          <t>3^</t>
        </is>
      </c>
      <c r="BX11" s="10" t="inlineStr">
        <is>
          <t>4^</t>
        </is>
      </c>
      <c r="BY11" s="10" t="inlineStr">
        <is>
          <t>5^</t>
        </is>
      </c>
      <c r="BZ11" s="10" t="inlineStr">
        <is>
          <t>6^</t>
        </is>
      </c>
      <c r="CA11" s="10" t="inlineStr">
        <is>
          <t>7^</t>
        </is>
      </c>
      <c r="CB11" s="10" t="inlineStr">
        <is>
          <t>8^</t>
        </is>
      </c>
      <c r="CC11" s="10" t="inlineStr">
        <is>
          <t>9^</t>
        </is>
      </c>
      <c r="CD11" s="10" t="inlineStr">
        <is>
          <t>10^</t>
        </is>
      </c>
    </row>
    <row r="12">
      <c r="A12" s="224" t="n"/>
      <c r="B12" s="12" t="inlineStr">
        <is>
          <t>A01</t>
        </is>
      </c>
      <c r="C12" s="13" t="n"/>
      <c r="D12" s="14" t="n"/>
      <c r="E12" s="15" t="inlineStr">
        <is>
          <t>A</t>
        </is>
      </c>
      <c r="G12" s="16">
        <f>IF($C12="","",$E12&amp;(COUNTIFS(I$12:I$111,"&gt;"&amp;I12,E$12:E$111,"="&amp;E12,C$12:C$111,"&lt;&gt;")+COUNTIFS(I$12:I$111,"="&amp;I12,H$12:H$111,"&lt;="&amp;H12,E$12:E$111,"="&amp;E12,C$12:C$111,"&lt;&gt;")))</f>
        <v/>
      </c>
      <c r="H12" s="17">
        <f>IF($C12="","",IFERROR(LEFT($C12,FIND("-",$C12)-1),$C12))</f>
        <v/>
      </c>
      <c r="I12" s="12">
        <f>TEXT(1000000000+J12,"|0000000000|")&amp;TEXT(SUM(AK12:AT12),"0000000000|")&amp;IF(SUM(BU12:CD12)=0,"0000000000|",TEXT(ROUND(SUM(BI12:BR12)/SUM(BU12:CD12),4)*100000,"0000000000|"))&amp;IF(P12=0,"0000000000|",TEXT(ROUND(O12/P12,4)*100000,"0000000000|"))</f>
        <v/>
      </c>
      <c r="J12" s="16">
        <f>L12*constPuntiVittoria+M12*constPuntiSconfitta+N12*constPuntiForfait+IF(D12="",0,D12)</f>
        <v/>
      </c>
      <c r="K12" s="12">
        <f>SUM(L12:N12)</f>
        <v/>
      </c>
      <c r="L12" s="12">
        <f>IF($H12="",0,SUMIF(Dati!$A$2:$A$451,$H12,Dati!$B$2:$B$451)+SUMIF(Dati!$H$2:$H$451,$H12,Dati!$I$2:$I$451))</f>
        <v/>
      </c>
      <c r="M12" s="12">
        <f>IF($H12="",0,SUMIF(Dati!$A$2:$A$451,$H12,Dati!$D$2:$D$451)+SUMIF(Dati!$H$2:$H$451,$H12,Dati!$K$2:$K$451))</f>
        <v/>
      </c>
      <c r="N12" s="12">
        <f>IF($H12="",0,SUMIF(Dati!$A$2:$A$451,$H12,Dati!$C$2:$C$451)+SUMIF(Dati!$H$2:$H$451,$H12,Dati!$J$2:$J$451))</f>
        <v/>
      </c>
      <c r="O12" s="12">
        <f>IF($H12="",0,SUMIF(Dati!$A$2:$A$451,$H12,Dati!$E$2:$E$451)+SUMIF(Dati!$H$2:$H$451,$H12,Dati!$L$2:$L$451))</f>
        <v/>
      </c>
      <c r="P12" s="12">
        <f>IF($H12="",0,SUMIF(Dati!$A$2:$A$451,$H12,Dati!$F$2:$F$451)+SUMIF(Dati!$H$2:$H$451,$H12,Dati!$M$2:$M$451))</f>
        <v/>
      </c>
      <c r="Q12" s="12">
        <f>IF($H12="",0,SUMIF(Dati!$A$2:$A$451,$H12,Dati!$G$2:$G$451)+SUMIF(Dati!$H$2:$H$451,$H12,Dati!$N$2:$N$451))</f>
        <v/>
      </c>
      <c r="R12" s="12">
        <f>IF(K12=0,0,ROUND(O12/K12,2))</f>
        <v/>
      </c>
      <c r="S12" s="12">
        <f>IF(K12=0,0,ROUND(P12/K12,2))</f>
        <v/>
      </c>
      <c r="T12" s="12">
        <f>IF(K12=0,0,ROUND(Q12/K12,2))</f>
        <v/>
      </c>
      <c r="U12" s="12">
        <f>IF(COUNT(AK12:AT12)=0,"-",SUM(AK12:AT12)&amp;"-"&amp;SUM(AW12:BF12))</f>
        <v/>
      </c>
      <c r="V12" s="18">
        <f>IF(COUNT(AK12:AT12)=0,"-",IF(SUM(BU12:CD12)=0,0,ROUND(SUM(BI12:BR12)/SUM(BU12:CD12),3)))</f>
        <v/>
      </c>
      <c r="W12" s="18">
        <f>IF(COUNT(AK12:AT12)=0,"-",IF(P12=0,0,ROUND(O12/P12,3)))</f>
        <v/>
      </c>
      <c r="X12" s="19">
        <f>IF($C12="","",$E12&amp;"#"&amp;COUNTIFS($E$12:$E12,$E12,$C$12:$C12,"&lt;&gt;"))</f>
        <v/>
      </c>
      <c r="Y12" s="20">
        <f>IFERROR(INDEX($H$12:$H$111,MATCH($E12&amp;"#1",$X$12:$X$111,0)),"")</f>
        <v/>
      </c>
      <c r="Z12" s="20">
        <f>IFERROR(INDEX($H$12:$H$111,MATCH($E12&amp;"#2",$X$12:$X$111,0)),"")</f>
        <v/>
      </c>
      <c r="AA12" s="20">
        <f>IFERROR(INDEX($H$12:$H$111,MATCH($E12&amp;"#3",$X$12:$X$111,0)),"")</f>
        <v/>
      </c>
      <c r="AB12" s="20">
        <f>IFERROR(INDEX($H$12:$H$111,MATCH($E12&amp;"#4",$X$12:$X$111,0)),"")</f>
        <v/>
      </c>
      <c r="AC12" s="20">
        <f>IFERROR(INDEX($H$12:$H$111,MATCH($E12&amp;"#5",$X$12:$X$111,0)),"")</f>
        <v/>
      </c>
      <c r="AD12" s="20">
        <f>IFERROR(INDEX($H$12:$H$111,MATCH($E12&amp;"#6",$X$12:$X$111,0)),"")</f>
        <v/>
      </c>
      <c r="AE12" s="20">
        <f>IFERROR(INDEX($H$12:$H$111,MATCH($E12&amp;"#7",$X$12:$X$111,0)),"")</f>
        <v/>
      </c>
      <c r="AF12" s="20">
        <f>IFERROR(INDEX($H$12:$H$111,MATCH($E12&amp;"#8",$X$12:$X$111,0)),"")</f>
        <v/>
      </c>
      <c r="AG12" s="20">
        <f>IFERROR(INDEX($H$12:$H$111,MATCH($E12&amp;"#9",$X$12:$X$111,0)),"")</f>
        <v/>
      </c>
      <c r="AH12" s="20">
        <f>IFERROR(INDEX($H$12:$H$111,MATCH($E12&amp;"#10",$X$12:$X$111,0)),"")</f>
        <v/>
      </c>
      <c r="AJ12" s="21">
        <f>$C12</f>
        <v/>
      </c>
      <c r="AK12" s="22">
        <f>IF(AND($H12&lt;&gt;"",$Y12&lt;&gt;"",$H12&lt;&gt;$Y12,IFERROR(VLOOKUP($H12,areaCercaPuntiClassificaSquadra,3,FALSE),-1)=IFERROR(VLOOKUP($Y12,areaCercaPuntiClassificaSquadra,3,FALSE),-2)),SUMIFS(Dati!$B$2:$B$451,Dati!$A$2:$A$451,$H12,Dati!$H$2:$H$451,$Y12)+SUMIFS(Dati!$I$2:$I$451,Dati!$H$2:$H$451,$H12,Dati!$A$2:$A$451,$Y12),"-")</f>
        <v/>
      </c>
      <c r="AL12" s="22">
        <f>IF(AND($H12&lt;&gt;"",$Z12&lt;&gt;"",$H12&lt;&gt;$Z12,IFERROR(VLOOKUP($H12,areaCercaPuntiClassificaSquadra,3,FALSE),-1)=IFERROR(VLOOKUP($Z12,areaCercaPuntiClassificaSquadra,3,FALSE),-2)),SUMIFS(Dati!$B$2:$B$451,Dati!$A$2:$A$451,$H12,Dati!$H$2:$H$451,$Z12)+SUMIFS(Dati!$I$2:$I$451,Dati!$H$2:$H$451,$H12,Dati!$A$2:$A$451,$Z12),"-")</f>
        <v/>
      </c>
      <c r="AM12" s="22">
        <f>IF(AND($H12&lt;&gt;"",$AA12&lt;&gt;"",$H12&lt;&gt;$AA12,IFERROR(VLOOKUP($H12,areaCercaPuntiClassificaSquadra,3,FALSE),-1)=IFERROR(VLOOKUP($AA12,areaCercaPuntiClassificaSquadra,3,FALSE),-2)),SUMIFS(Dati!$B$2:$B$451,Dati!$A$2:$A$451,$H12,Dati!$H$2:$H$451,$AA12)+SUMIFS(Dati!$I$2:$I$451,Dati!$H$2:$H$451,$H12,Dati!$A$2:$A$451,$AA12),"-")</f>
        <v/>
      </c>
      <c r="AN12" s="22">
        <f>IF(AND($H12&lt;&gt;"",$AB12&lt;&gt;"",$H12&lt;&gt;$AB12,IFERROR(VLOOKUP($H12,areaCercaPuntiClassificaSquadra,3,FALSE),-1)=IFERROR(VLOOKUP($AB12,areaCercaPuntiClassificaSquadra,3,FALSE),-2)),SUMIFS(Dati!$B$2:$B$451,Dati!$A$2:$A$451,$H12,Dati!$H$2:$H$451,$AB12)+SUMIFS(Dati!$I$2:$I$451,Dati!$H$2:$H$451,$H12,Dati!$A$2:$A$451,$AB12),"-")</f>
        <v/>
      </c>
      <c r="AO12" s="22">
        <f>IF(AND($H12&lt;&gt;"",$AC12&lt;&gt;"",$H12&lt;&gt;$AC12,IFERROR(VLOOKUP($H12,areaCercaPuntiClassificaSquadra,3,FALSE),-1)=IFERROR(VLOOKUP($AC12,areaCercaPuntiClassificaSquadra,3,FALSE),-2)),SUMIFS(Dati!$B$2:$B$451,Dati!$A$2:$A$451,$H12,Dati!$H$2:$H$451,$AC12)+SUMIFS(Dati!$I$2:$I$451,Dati!$H$2:$H$451,$H12,Dati!$A$2:$A$451,$AC12),"-")</f>
        <v/>
      </c>
      <c r="AP12" s="22">
        <f>IF(AND($H12&lt;&gt;"",$AD12&lt;&gt;"",$H12&lt;&gt;$AD12,IFERROR(VLOOKUP($H12,areaCercaPuntiClassificaSquadra,3,FALSE),-1)=IFERROR(VLOOKUP($AD12,areaCercaPuntiClassificaSquadra,3,FALSE),-2)),SUMIFS(Dati!$B$2:$B$451,Dati!$A$2:$A$451,$H12,Dati!$H$2:$H$451,$AD12)+SUMIFS(Dati!$I$2:$I$451,Dati!$H$2:$H$451,$H12,Dati!$A$2:$A$451,$AD12),"-")</f>
        <v/>
      </c>
      <c r="AQ12" s="22">
        <f>IF(AND($H12&lt;&gt;"",$AE12&lt;&gt;"",$H12&lt;&gt;$AE12,IFERROR(VLOOKUP($H12,areaCercaPuntiClassificaSquadra,3,FALSE),-1)=IFERROR(VLOOKUP($AE12,areaCercaPuntiClassificaSquadra,3,FALSE),-2)),SUMIFS(Dati!$B$2:$B$451,Dati!$A$2:$A$451,$H12,Dati!$H$2:$H$451,$AE12)+SUMIFS(Dati!$I$2:$I$451,Dati!$H$2:$H$451,$H12,Dati!$A$2:$A$451,$AE12),"-")</f>
        <v/>
      </c>
      <c r="AR12" s="22">
        <f>IF(AND($H12&lt;&gt;"",$AF12&lt;&gt;"",$H12&lt;&gt;$AF12,IFERROR(VLOOKUP($H12,areaCercaPuntiClassificaSquadra,3,FALSE),-1)=IFERROR(VLOOKUP($AF12,areaCercaPuntiClassificaSquadra,3,FALSE),-2)),SUMIFS(Dati!$B$2:$B$451,Dati!$A$2:$A$451,$H12,Dati!$H$2:$H$451,$AF12)+SUMIFS(Dati!$I$2:$I$451,Dati!$H$2:$H$451,$H12,Dati!$A$2:$A$451,$AF12),"-")</f>
        <v/>
      </c>
      <c r="AS12" s="22">
        <f>IF(AND($H12&lt;&gt;"",$AG12&lt;&gt;"",$H12&lt;&gt;$AG12,IFERROR(VLOOKUP($H12,areaCercaPuntiClassificaSquadra,3,FALSE),-1)=IFERROR(VLOOKUP($AG12,areaCercaPuntiClassificaSquadra,3,FALSE),-2)),SUMIFS(Dati!$B$2:$B$451,Dati!$A$2:$A$451,$H12,Dati!$H$2:$H$451,$AG12)+SUMIFS(Dati!$I$2:$I$451,Dati!$H$2:$H$451,$H12,Dati!$A$2:$A$451,$AG12),"-")</f>
        <v/>
      </c>
      <c r="AT12" s="22">
        <f>IF(AND($H12&lt;&gt;"",$AH12&lt;&gt;"",$H12&lt;&gt;$AH12,IFERROR(VLOOKUP($H12,areaCercaPuntiClassificaSquadra,3,FALSE),-1)=IFERROR(VLOOKUP($AH12,areaCercaPuntiClassificaSquadra,3,FALSE),-2)),SUMIFS(Dati!$B$2:$B$451,Dati!$A$2:$A$451,$H12,Dati!$H$2:$H$451,$AH12)+SUMIFS(Dati!$I$2:$I$451,Dati!$H$2:$H$451,$H12,Dati!$A$2:$A$451,$AH12),"-")</f>
        <v/>
      </c>
      <c r="AV12" s="21">
        <f>$C12</f>
        <v/>
      </c>
      <c r="AW12" s="22">
        <f>IF(AND($H12&lt;&gt;"",$Y12&lt;&gt;"",$H12&lt;&gt;$Y12,IFERROR(VLOOKUP($H12,areaCercaPuntiClassificaSquadra,3,FALSE),-1)=IFERROR(VLOOKUP($Y12,areaCercaPuntiClassificaSquadra,3,FALSE),-2)),SUMIFS(Dati!$D$2:$D$451,Dati!$A$2:$A$451,$H12,Dati!$H$2:$H$451,$Y12)+SUMIFS(Dati!$K$2:$K$451,Dati!$H$2:$H$451,$H12,Dati!$A$2:$A$451,$Y12)+SUMIFS(Dati!$C$2:$C$451,Dati!$A$2:$A$451,$H12,Dati!$H$2:$H$451,$Y12)+SUMIFS(Dati!$J$2:$J$451,Dati!$H$2:$H$451,$H12,Dati!$A$2:$A$451,$Y12),"-")</f>
        <v/>
      </c>
      <c r="AX12" s="22">
        <f>IF(AND($H12&lt;&gt;"",$Z12&lt;&gt;"",$H12&lt;&gt;$Z12,IFERROR(VLOOKUP($H12,areaCercaPuntiClassificaSquadra,3,FALSE),-1)=IFERROR(VLOOKUP($Z12,areaCercaPuntiClassificaSquadra,3,FALSE),-2)),SUMIFS(Dati!$D$2:$D$451,Dati!$A$2:$A$451,$H12,Dati!$H$2:$H$451,$Z12)+SUMIFS(Dati!$K$2:$K$451,Dati!$H$2:$H$451,$H12,Dati!$A$2:$A$451,$Z12)+SUMIFS(Dati!$C$2:$C$451,Dati!$A$2:$A$451,$H12,Dati!$H$2:$H$451,$Z12)+SUMIFS(Dati!$J$2:$J$451,Dati!$H$2:$H$451,$H12,Dati!$A$2:$A$451,$Z12),"-")</f>
        <v/>
      </c>
      <c r="AY12" s="22">
        <f>IF(AND($H12&lt;&gt;"",$AA12&lt;&gt;"",$H12&lt;&gt;$AA12,IFERROR(VLOOKUP($H12,areaCercaPuntiClassificaSquadra,3,FALSE),-1)=IFERROR(VLOOKUP($AA12,areaCercaPuntiClassificaSquadra,3,FALSE),-2)),SUMIFS(Dati!$D$2:$D$451,Dati!$A$2:$A$451,$H12,Dati!$H$2:$H$451,$AA12)+SUMIFS(Dati!$K$2:$K$451,Dati!$H$2:$H$451,$H12,Dati!$A$2:$A$451,$AA12)+SUMIFS(Dati!$C$2:$C$451,Dati!$A$2:$A$451,$H12,Dati!$H$2:$H$451,$AA12)+SUMIFS(Dati!$J$2:$J$451,Dati!$H$2:$H$451,$H12,Dati!$A$2:$A$451,$AA12),"-")</f>
        <v/>
      </c>
      <c r="AZ12" s="22">
        <f>IF(AND($H12&lt;&gt;"",$AB12&lt;&gt;"",$H12&lt;&gt;$AB12,IFERROR(VLOOKUP($H12,areaCercaPuntiClassificaSquadra,3,FALSE),-1)=IFERROR(VLOOKUP($AB12,areaCercaPuntiClassificaSquadra,3,FALSE),-2)),SUMIFS(Dati!$D$2:$D$451,Dati!$A$2:$A$451,$H12,Dati!$H$2:$H$451,$AB12)+SUMIFS(Dati!$K$2:$K$451,Dati!$H$2:$H$451,$H12,Dati!$A$2:$A$451,$AB12)+SUMIFS(Dati!$C$2:$C$451,Dati!$A$2:$A$451,$H12,Dati!$H$2:$H$451,$AB12)+SUMIFS(Dati!$J$2:$J$451,Dati!$H$2:$H$451,$H12,Dati!$A$2:$A$451,$AB12),"-")</f>
        <v/>
      </c>
      <c r="BA12" s="22">
        <f>IF(AND($H12&lt;&gt;"",$AC12&lt;&gt;"",$H12&lt;&gt;$AC12,IFERROR(VLOOKUP($H12,areaCercaPuntiClassificaSquadra,3,FALSE),-1)=IFERROR(VLOOKUP($AC12,areaCercaPuntiClassificaSquadra,3,FALSE),-2)),SUMIFS(Dati!$D$2:$D$451,Dati!$A$2:$A$451,$H12,Dati!$H$2:$H$451,$AC12)+SUMIFS(Dati!$K$2:$K$451,Dati!$H$2:$H$451,$H12,Dati!$A$2:$A$451,$AC12)+SUMIFS(Dati!$C$2:$C$451,Dati!$A$2:$A$451,$H12,Dati!$H$2:$H$451,$AC12)+SUMIFS(Dati!$J$2:$J$451,Dati!$H$2:$H$451,$H12,Dati!$A$2:$A$451,$AC12),"-")</f>
        <v/>
      </c>
      <c r="BB12" s="22">
        <f>IF(AND($H12&lt;&gt;"",$AD12&lt;&gt;"",$H12&lt;&gt;$AD12,IFERROR(VLOOKUP($H12,areaCercaPuntiClassificaSquadra,3,FALSE),-1)=IFERROR(VLOOKUP($AD12,areaCercaPuntiClassificaSquadra,3,FALSE),-2)),SUMIFS(Dati!$D$2:$D$451,Dati!$A$2:$A$451,$H12,Dati!$H$2:$H$451,$AD12)+SUMIFS(Dati!$K$2:$K$451,Dati!$H$2:$H$451,$H12,Dati!$A$2:$A$451,$AD12)+SUMIFS(Dati!$C$2:$C$451,Dati!$A$2:$A$451,$H12,Dati!$H$2:$H$451,$AD12)+SUMIFS(Dati!$J$2:$J$451,Dati!$H$2:$H$451,$H12,Dati!$A$2:$A$451,$AD12),"-")</f>
        <v/>
      </c>
      <c r="BC12" s="22">
        <f>IF(AND($H12&lt;&gt;"",$AE12&lt;&gt;"",$H12&lt;&gt;$AE12,IFERROR(VLOOKUP($H12,areaCercaPuntiClassificaSquadra,3,FALSE),-1)=IFERROR(VLOOKUP($AE12,areaCercaPuntiClassificaSquadra,3,FALSE),-2)),SUMIFS(Dati!$D$2:$D$451,Dati!$A$2:$A$451,$H12,Dati!$H$2:$H$451,$AE12)+SUMIFS(Dati!$K$2:$K$451,Dati!$H$2:$H$451,$H12,Dati!$A$2:$A$451,$AE12)+SUMIFS(Dati!$C$2:$C$451,Dati!$A$2:$A$451,$H12,Dati!$H$2:$H$451,$AE12)+SUMIFS(Dati!$J$2:$J$451,Dati!$H$2:$H$451,$H12,Dati!$A$2:$A$451,$AE12),"-")</f>
        <v/>
      </c>
      <c r="BD12" s="22">
        <f>IF(AND($H12&lt;&gt;"",$AF12&lt;&gt;"",$H12&lt;&gt;$AF12,IFERROR(VLOOKUP($H12,areaCercaPuntiClassificaSquadra,3,FALSE),-1)=IFERROR(VLOOKUP($AF12,areaCercaPuntiClassificaSquadra,3,FALSE),-2)),SUMIFS(Dati!$D$2:$D$451,Dati!$A$2:$A$451,$H12,Dati!$H$2:$H$451,$AF12)+SUMIFS(Dati!$K$2:$K$451,Dati!$H$2:$H$451,$H12,Dati!$A$2:$A$451,$AF12)+SUMIFS(Dati!$C$2:$C$451,Dati!$A$2:$A$451,$H12,Dati!$H$2:$H$451,$AF12)+SUMIFS(Dati!$J$2:$J$451,Dati!$H$2:$H$451,$H12,Dati!$A$2:$A$451,$AF12),"-")</f>
        <v/>
      </c>
      <c r="BE12" s="22">
        <f>IF(AND($H12&lt;&gt;"",$AG12&lt;&gt;"",$H12&lt;&gt;$AG12,IFERROR(VLOOKUP($H12,areaCercaPuntiClassificaSquadra,3,FALSE),-1)=IFERROR(VLOOKUP($AG12,areaCercaPuntiClassificaSquadra,3,FALSE),-2)),SUMIFS(Dati!$D$2:$D$451,Dati!$A$2:$A$451,$H12,Dati!$H$2:$H$451,$AG12)+SUMIFS(Dati!$K$2:$K$451,Dati!$H$2:$H$451,$H12,Dati!$A$2:$A$451,$AG12)+SUMIFS(Dati!$C$2:$C$451,Dati!$A$2:$A$451,$H12,Dati!$H$2:$H$451,$AG12)+SUMIFS(Dati!$J$2:$J$451,Dati!$H$2:$H$451,$H12,Dati!$A$2:$A$451,$AG12),"-")</f>
        <v/>
      </c>
      <c r="BF12" s="22">
        <f>IF(AND($H12&lt;&gt;"",$AH12&lt;&gt;"",$H12&lt;&gt;$AH12,IFERROR(VLOOKUP($H12,areaCercaPuntiClassificaSquadra,3,FALSE),-1)=IFERROR(VLOOKUP($AH12,areaCercaPuntiClassificaSquadra,3,FALSE),-2)),SUMIFS(Dati!$D$2:$D$451,Dati!$A$2:$A$451,$H12,Dati!$H$2:$H$451,$AH12)+SUMIFS(Dati!$K$2:$K$451,Dati!$H$2:$H$451,$H12,Dati!$A$2:$A$451,$AH12)+SUMIFS(Dati!$C$2:$C$451,Dati!$A$2:$A$451,$H12,Dati!$H$2:$H$451,$AH12)+SUMIFS(Dati!$J$2:$J$451,Dati!$H$2:$H$451,$H12,Dati!$A$2:$A$451,$AH12),"-")</f>
        <v/>
      </c>
      <c r="BH12" s="21">
        <f>$C12</f>
        <v/>
      </c>
      <c r="BI12" s="22">
        <f>IF(AND($H12&lt;&gt;"",$Y12&lt;&gt;"",$H12&lt;&gt;$Y12,IFERROR(VLOOKUP($H12,areaCercaPuntiClassificaSquadra,3,FALSE),-1)=IFERROR(VLOOKUP($Y12,areaCercaPuntiClassificaSquadra,3,FALSE),-2)),SUMIFS(Dati!$E$2:$E$451,Dati!$A$2:$A$451,$H12,Dati!$H$2:$H$451,$Y12)+SUMIFS(Dati!$L$2:$L$451,Dati!$H$2:$H$451,$H12,Dati!$A$2:$A$451,$Y12),"-")</f>
        <v/>
      </c>
      <c r="BJ12" s="22">
        <f>IF(AND($H12&lt;&gt;"",$Z12&lt;&gt;"",$H12&lt;&gt;$Z12,IFERROR(VLOOKUP($H12,areaCercaPuntiClassificaSquadra,3,FALSE),-1)=IFERROR(VLOOKUP($Z12,areaCercaPuntiClassificaSquadra,3,FALSE),-2)),SUMIFS(Dati!$E$2:$E$451,Dati!$A$2:$A$451,$H12,Dati!$H$2:$H$451,$Z12)+SUMIFS(Dati!$L$2:$L$451,Dati!$H$2:$H$451,$H12,Dati!$A$2:$A$451,$Z12),"-")</f>
        <v/>
      </c>
      <c r="BK12" s="22">
        <f>IF(AND($H12&lt;&gt;"",$AA12&lt;&gt;"",$H12&lt;&gt;$AA12,IFERROR(VLOOKUP($H12,areaCercaPuntiClassificaSquadra,3,FALSE),-1)=IFERROR(VLOOKUP($AA12,areaCercaPuntiClassificaSquadra,3,FALSE),-2)),SUMIFS(Dati!$E$2:$E$451,Dati!$A$2:$A$451,$H12,Dati!$H$2:$H$451,$AA12)+SUMIFS(Dati!$L$2:$L$451,Dati!$H$2:$H$451,$H12,Dati!$A$2:$A$451,$AA12),"-")</f>
        <v/>
      </c>
      <c r="BL12" s="22">
        <f>IF(AND($H12&lt;&gt;"",$AB12&lt;&gt;"",$H12&lt;&gt;$AB12,IFERROR(VLOOKUP($H12,areaCercaPuntiClassificaSquadra,3,FALSE),-1)=IFERROR(VLOOKUP($AB12,areaCercaPuntiClassificaSquadra,3,FALSE),-2)),SUMIFS(Dati!$E$2:$E$451,Dati!$A$2:$A$451,$H12,Dati!$H$2:$H$451,$AB12)+SUMIFS(Dati!$L$2:$L$451,Dati!$H$2:$H$451,$H12,Dati!$A$2:$A$451,$AB12),"-")</f>
        <v/>
      </c>
      <c r="BM12" s="22">
        <f>IF(AND($H12&lt;&gt;"",$AC12&lt;&gt;"",$H12&lt;&gt;$AC12,IFERROR(VLOOKUP($H12,areaCercaPuntiClassificaSquadra,3,FALSE),-1)=IFERROR(VLOOKUP($AC12,areaCercaPuntiClassificaSquadra,3,FALSE),-2)),SUMIFS(Dati!$E$2:$E$451,Dati!$A$2:$A$451,$H12,Dati!$H$2:$H$451,$AC12)+SUMIFS(Dati!$L$2:$L$451,Dati!$H$2:$H$451,$H12,Dati!$A$2:$A$451,$AC12),"-")</f>
        <v/>
      </c>
      <c r="BN12" s="22">
        <f>IF(AND($H12&lt;&gt;"",$AD12&lt;&gt;"",$H12&lt;&gt;$AD12,IFERROR(VLOOKUP($H12,areaCercaPuntiClassificaSquadra,3,FALSE),-1)=IFERROR(VLOOKUP($AD12,areaCercaPuntiClassificaSquadra,3,FALSE),-2)),SUMIFS(Dati!$E$2:$E$451,Dati!$A$2:$A$451,$H12,Dati!$H$2:$H$451,$AD12)+SUMIFS(Dati!$L$2:$L$451,Dati!$H$2:$H$451,$H12,Dati!$A$2:$A$451,$AD12),"-")</f>
        <v/>
      </c>
      <c r="BO12" s="22">
        <f>IF(AND($H12&lt;&gt;"",$AE12&lt;&gt;"",$H12&lt;&gt;$AE12,IFERROR(VLOOKUP($H12,areaCercaPuntiClassificaSquadra,3,FALSE),-1)=IFERROR(VLOOKUP($AE12,areaCercaPuntiClassificaSquadra,3,FALSE),-2)),SUMIFS(Dati!$E$2:$E$451,Dati!$A$2:$A$451,$H12,Dati!$H$2:$H$451,$AE12)+SUMIFS(Dati!$L$2:$L$451,Dati!$H$2:$H$451,$H12,Dati!$A$2:$A$451,$AE12),"-")</f>
        <v/>
      </c>
      <c r="BP12" s="22">
        <f>IF(AND($H12&lt;&gt;"",$AF12&lt;&gt;"",$H12&lt;&gt;$AF12,IFERROR(VLOOKUP($H12,areaCercaPuntiClassificaSquadra,3,FALSE),-1)=IFERROR(VLOOKUP($AF12,areaCercaPuntiClassificaSquadra,3,FALSE),-2)),SUMIFS(Dati!$E$2:$E$451,Dati!$A$2:$A$451,$H12,Dati!$H$2:$H$451,$AF12)+SUMIFS(Dati!$L$2:$L$451,Dati!$H$2:$H$451,$H12,Dati!$A$2:$A$451,$AF12),"-")</f>
        <v/>
      </c>
      <c r="BQ12" s="22">
        <f>IF(AND($H12&lt;&gt;"",$AG12&lt;&gt;"",$H12&lt;&gt;$AG12,IFERROR(VLOOKUP($H12,areaCercaPuntiClassificaSquadra,3,FALSE),-1)=IFERROR(VLOOKUP($AG12,areaCercaPuntiClassificaSquadra,3,FALSE),-2)),SUMIFS(Dati!$E$2:$E$451,Dati!$A$2:$A$451,$H12,Dati!$H$2:$H$451,$AG12)+SUMIFS(Dati!$L$2:$L$451,Dati!$H$2:$H$451,$H12,Dati!$A$2:$A$451,$AG12),"-")</f>
        <v/>
      </c>
      <c r="BR12" s="22">
        <f>IF(AND($H12&lt;&gt;"",$AH12&lt;&gt;"",$H12&lt;&gt;$AH12,IFERROR(VLOOKUP($H12,areaCercaPuntiClassificaSquadra,3,FALSE),-1)=IFERROR(VLOOKUP($AH12,areaCercaPuntiClassificaSquadra,3,FALSE),-2)),SUMIFS(Dati!$E$2:$E$451,Dati!$A$2:$A$451,$H12,Dati!$H$2:$H$451,$AH12)+SUMIFS(Dati!$L$2:$L$451,Dati!$H$2:$H$451,$H12,Dati!$A$2:$A$451,$AH12),"-")</f>
        <v/>
      </c>
      <c r="BT12" s="21">
        <f>$C12</f>
        <v/>
      </c>
      <c r="BU12" s="22">
        <f>IF(AND($H12&lt;&gt;"",$Y12&lt;&gt;"",$H12&lt;&gt;$Y12,IFERROR(VLOOKUP($H12,areaCercaPuntiClassificaSquadra,3,FALSE),-1)=IFERROR(VLOOKUP($Y12,areaCercaPuntiClassificaSquadra,3,FALSE),-2)),SUMIFS(Dati!$F$2:$F$451,Dati!$A$2:$A$451,$H12,Dati!$H$2:$H$451,$Y12)+SUMIFS(Dati!$M$2:$M$451,Dati!$H$2:$H$451,$H12,Dati!$A$2:$A$451,$Y12),"-")</f>
        <v/>
      </c>
      <c r="BV12" s="22">
        <f>IF(AND($H12&lt;&gt;"",$Z12&lt;&gt;"",$H12&lt;&gt;$Z12,IFERROR(VLOOKUP($H12,areaCercaPuntiClassificaSquadra,3,FALSE),-1)=IFERROR(VLOOKUP($Z12,areaCercaPuntiClassificaSquadra,3,FALSE),-2)),SUMIFS(Dati!$F$2:$F$451,Dati!$A$2:$A$451,$H12,Dati!$H$2:$H$451,$Z12)+SUMIFS(Dati!$M$2:$M$451,Dati!$H$2:$H$451,$H12,Dati!$A$2:$A$451,$Z12),"-")</f>
        <v/>
      </c>
      <c r="BW12" s="22">
        <f>IF(AND($H12&lt;&gt;"",$AA12&lt;&gt;"",$H12&lt;&gt;$AA12,IFERROR(VLOOKUP($H12,areaCercaPuntiClassificaSquadra,3,FALSE),-1)=IFERROR(VLOOKUP($AA12,areaCercaPuntiClassificaSquadra,3,FALSE),-2)),SUMIFS(Dati!$F$2:$F$451,Dati!$A$2:$A$451,$H12,Dati!$H$2:$H$451,$AA12)+SUMIFS(Dati!$M$2:$M$451,Dati!$H$2:$H$451,$H12,Dati!$A$2:$A$451,$AA12),"-")</f>
        <v/>
      </c>
      <c r="BX12" s="22">
        <f>IF(AND($H12&lt;&gt;"",$AB12&lt;&gt;"",$H12&lt;&gt;$AB12,IFERROR(VLOOKUP($H12,areaCercaPuntiClassificaSquadra,3,FALSE),-1)=IFERROR(VLOOKUP($AB12,areaCercaPuntiClassificaSquadra,3,FALSE),-2)),SUMIFS(Dati!$F$2:$F$451,Dati!$A$2:$A$451,$H12,Dati!$H$2:$H$451,$AB12)+SUMIFS(Dati!$M$2:$M$451,Dati!$H$2:$H$451,$H12,Dati!$A$2:$A$451,$AB12),"-")</f>
        <v/>
      </c>
      <c r="BY12" s="22">
        <f>IF(AND($H12&lt;&gt;"",$AC12&lt;&gt;"",$H12&lt;&gt;$AC12,IFERROR(VLOOKUP($H12,areaCercaPuntiClassificaSquadra,3,FALSE),-1)=IFERROR(VLOOKUP($AC12,areaCercaPuntiClassificaSquadra,3,FALSE),-2)),SUMIFS(Dati!$F$2:$F$451,Dati!$A$2:$A$451,$H12,Dati!$H$2:$H$451,$AC12)+SUMIFS(Dati!$M$2:$M$451,Dati!$H$2:$H$451,$H12,Dati!$A$2:$A$451,$AC12),"-")</f>
        <v/>
      </c>
      <c r="BZ12" s="22">
        <f>IF(AND($H12&lt;&gt;"",$AD12&lt;&gt;"",$H12&lt;&gt;$AD12,IFERROR(VLOOKUP($H12,areaCercaPuntiClassificaSquadra,3,FALSE),-1)=IFERROR(VLOOKUP($AD12,areaCercaPuntiClassificaSquadra,3,FALSE),-2)),SUMIFS(Dati!$F$2:$F$451,Dati!$A$2:$A$451,$H12,Dati!$H$2:$H$451,$AD12)+SUMIFS(Dati!$M$2:$M$451,Dati!$H$2:$H$451,$H12,Dati!$A$2:$A$451,$AD12),"-")</f>
        <v/>
      </c>
      <c r="CA12" s="22">
        <f>IF(AND($H12&lt;&gt;"",$AE12&lt;&gt;"",$H12&lt;&gt;$AE12,IFERROR(VLOOKUP($H12,areaCercaPuntiClassificaSquadra,3,FALSE),-1)=IFERROR(VLOOKUP($AE12,areaCercaPuntiClassificaSquadra,3,FALSE),-2)),SUMIFS(Dati!$F$2:$F$451,Dati!$A$2:$A$451,$H12,Dati!$H$2:$H$451,$AE12)+SUMIFS(Dati!$M$2:$M$451,Dati!$H$2:$H$451,$H12,Dati!$A$2:$A$451,$AE12),"-")</f>
        <v/>
      </c>
      <c r="CB12" s="22">
        <f>IF(AND($H12&lt;&gt;"",$AF12&lt;&gt;"",$H12&lt;&gt;$AF12,IFERROR(VLOOKUP($H12,areaCercaPuntiClassificaSquadra,3,FALSE),-1)=IFERROR(VLOOKUP($AF12,areaCercaPuntiClassificaSquadra,3,FALSE),-2)),SUMIFS(Dati!$F$2:$F$451,Dati!$A$2:$A$451,$H12,Dati!$H$2:$H$451,$AF12)+SUMIFS(Dati!$M$2:$M$451,Dati!$H$2:$H$451,$H12,Dati!$A$2:$A$451,$AF12),"-")</f>
        <v/>
      </c>
      <c r="CC12" s="22">
        <f>IF(AND($H12&lt;&gt;"",$AG12&lt;&gt;"",$H12&lt;&gt;$AG12,IFERROR(VLOOKUP($H12,areaCercaPuntiClassificaSquadra,3,FALSE),-1)=IFERROR(VLOOKUP($AG12,areaCercaPuntiClassificaSquadra,3,FALSE),-2)),SUMIFS(Dati!$F$2:$F$451,Dati!$A$2:$A$451,$H12,Dati!$H$2:$H$451,$AG12)+SUMIFS(Dati!$M$2:$M$451,Dati!$H$2:$H$451,$H12,Dati!$A$2:$A$451,$AG12),"-")</f>
        <v/>
      </c>
      <c r="CD12" s="22">
        <f>IF(AND($H12&lt;&gt;"",$AH12&lt;&gt;"",$H12&lt;&gt;$AH12,IFERROR(VLOOKUP($H12,areaCercaPuntiClassificaSquadra,3,FALSE),-1)=IFERROR(VLOOKUP($AH12,areaCercaPuntiClassificaSquadra,3,FALSE),-2)),SUMIFS(Dati!$F$2:$F$451,Dati!$A$2:$A$451,$H12,Dati!$H$2:$H$451,$AH12)+SUMIFS(Dati!$M$2:$M$451,Dati!$H$2:$H$451,$H12,Dati!$A$2:$A$451,$AH12),"-")</f>
        <v/>
      </c>
    </row>
    <row r="13">
      <c r="A13" s="224" t="n"/>
      <c r="B13" s="12" t="inlineStr">
        <is>
          <t>A02</t>
        </is>
      </c>
      <c r="C13" s="13" t="n"/>
      <c r="D13" s="14" t="n"/>
      <c r="E13" s="15" t="inlineStr">
        <is>
          <t>A</t>
        </is>
      </c>
      <c r="G13" s="16">
        <f>IF($C13="","",$E13&amp;(COUNTIFS(I$12:I$111,"&gt;"&amp;I13,E$12:E$111,"="&amp;E13,C$12:C$111,"&lt;&gt;")+COUNTIFS(I$12:I$111,"="&amp;I13,H$12:H$111,"&lt;="&amp;H13,E$12:E$111,"="&amp;E13,C$12:C$111,"&lt;&gt;")))</f>
        <v/>
      </c>
      <c r="H13" s="17">
        <f>IF($C13="","",IFERROR(LEFT($C13,FIND("-",$C13)-1),$C13))</f>
        <v/>
      </c>
      <c r="I13" s="12">
        <f>TEXT(1000000000+J13,"|0000000000|")&amp;TEXT(SUM(AK13:AT13),"0000000000|")&amp;IF(SUM(BU13:CD13)=0,"0000000000|",TEXT(ROUND(SUM(BI13:BR13)/SUM(BU13:CD13),4)*100000,"0000000000|"))&amp;IF(P13=0,"0000000000|",TEXT(ROUND(O13/P13,4)*100000,"0000000000|"))</f>
        <v/>
      </c>
      <c r="J13" s="16">
        <f>L13*constPuntiVittoria+M13*constPuntiSconfitta+N13*constPuntiForfait+IF(D13="",0,D13)</f>
        <v/>
      </c>
      <c r="K13" s="12">
        <f>SUM(L13:N13)</f>
        <v/>
      </c>
      <c r="L13" s="12">
        <f>IF($H13="",0,SUMIF(Dati!$A$2:$A$451,$H13,Dati!$B$2:$B$451)+SUMIF(Dati!$H$2:$H$451,$H13,Dati!$I$2:$I$451))</f>
        <v/>
      </c>
      <c r="M13" s="12">
        <f>IF($H13="",0,SUMIF(Dati!$A$2:$A$451,$H13,Dati!$D$2:$D$451)+SUMIF(Dati!$H$2:$H$451,$H13,Dati!$K$2:$K$451))</f>
        <v/>
      </c>
      <c r="N13" s="12">
        <f>IF($H13="",0,SUMIF(Dati!$A$2:$A$451,$H13,Dati!$C$2:$C$451)+SUMIF(Dati!$H$2:$H$451,$H13,Dati!$J$2:$J$451))</f>
        <v/>
      </c>
      <c r="O13" s="12">
        <f>IF($H13="",0,SUMIF(Dati!$A$2:$A$451,$H13,Dati!$E$2:$E$451)+SUMIF(Dati!$H$2:$H$451,$H13,Dati!$L$2:$L$451))</f>
        <v/>
      </c>
      <c r="P13" s="12">
        <f>IF($H13="",0,SUMIF(Dati!$A$2:$A$451,$H13,Dati!$F$2:$F$451)+SUMIF(Dati!$H$2:$H$451,$H13,Dati!$M$2:$M$451))</f>
        <v/>
      </c>
      <c r="Q13" s="12">
        <f>IF($H13="",0,SUMIF(Dati!$A$2:$A$451,$H13,Dati!$G$2:$G$451)+SUMIF(Dati!$H$2:$H$451,$H13,Dati!$N$2:$N$451))</f>
        <v/>
      </c>
      <c r="R13" s="12">
        <f>IF(K13=0,0,ROUND(O13/K13,2))</f>
        <v/>
      </c>
      <c r="S13" s="12">
        <f>IF(K13=0,0,ROUND(P13/K13,2))</f>
        <v/>
      </c>
      <c r="T13" s="12">
        <f>IF(K13=0,0,ROUND(Q13/K13,2))</f>
        <v/>
      </c>
      <c r="U13" s="12">
        <f>IF(COUNT(AK13:AT13)=0,"-",SUM(AK13:AT13)&amp;"-"&amp;SUM(AW13:BF13))</f>
        <v/>
      </c>
      <c r="V13" s="18">
        <f>IF(COUNT(AK13:AT13)=0,"-",IF(SUM(BU13:CD13)=0,0,ROUND(SUM(BI13:BR13)/SUM(BU13:CD13),3)))</f>
        <v/>
      </c>
      <c r="W13" s="18">
        <f>IF(COUNT(AK13:AT13)=0,"-",IF(P13=0,0,ROUND(O13/P13,3)))</f>
        <v/>
      </c>
      <c r="X13" s="19">
        <f>IF($C13="","",$E13&amp;"#"&amp;COUNTIFS($E$12:$E13,$E13,$C$12:$C13,"&lt;&gt;"))</f>
        <v/>
      </c>
      <c r="Y13" s="20">
        <f>IFERROR(INDEX($H$12:$H$111,MATCH($E13&amp;"#1",$X$12:$X$111,0)),"")</f>
        <v/>
      </c>
      <c r="Z13" s="20">
        <f>IFERROR(INDEX($H$12:$H$111,MATCH($E13&amp;"#2",$X$12:$X$111,0)),"")</f>
        <v/>
      </c>
      <c r="AA13" s="20">
        <f>IFERROR(INDEX($H$12:$H$111,MATCH($E13&amp;"#3",$X$12:$X$111,0)),"")</f>
        <v/>
      </c>
      <c r="AB13" s="20">
        <f>IFERROR(INDEX($H$12:$H$111,MATCH($E13&amp;"#4",$X$12:$X$111,0)),"")</f>
        <v/>
      </c>
      <c r="AC13" s="20">
        <f>IFERROR(INDEX($H$12:$H$111,MATCH($E13&amp;"#5",$X$12:$X$111,0)),"")</f>
        <v/>
      </c>
      <c r="AD13" s="20">
        <f>IFERROR(INDEX($H$12:$H$111,MATCH($E13&amp;"#6",$X$12:$X$111,0)),"")</f>
        <v/>
      </c>
      <c r="AE13" s="20">
        <f>IFERROR(INDEX($H$12:$H$111,MATCH($E13&amp;"#7",$X$12:$X$111,0)),"")</f>
        <v/>
      </c>
      <c r="AF13" s="20">
        <f>IFERROR(INDEX($H$12:$H$111,MATCH($E13&amp;"#8",$X$12:$X$111,0)),"")</f>
        <v/>
      </c>
      <c r="AG13" s="20">
        <f>IFERROR(INDEX($H$12:$H$111,MATCH($E13&amp;"#9",$X$12:$X$111,0)),"")</f>
        <v/>
      </c>
      <c r="AH13" s="20">
        <f>IFERROR(INDEX($H$12:$H$111,MATCH($E13&amp;"#10",$X$12:$X$111,0)),"")</f>
        <v/>
      </c>
      <c r="AJ13" s="21">
        <f>$C13</f>
        <v/>
      </c>
      <c r="AK13" s="22">
        <f>IF(AND($H13&lt;&gt;"",$Y13&lt;&gt;"",$H13&lt;&gt;$Y13,IFERROR(VLOOKUP($H13,areaCercaPuntiClassificaSquadra,3,FALSE),-1)=IFERROR(VLOOKUP($Y13,areaCercaPuntiClassificaSquadra,3,FALSE),-2)),SUMIFS(Dati!$B$2:$B$451,Dati!$A$2:$A$451,$H13,Dati!$H$2:$H$451,$Y13)+SUMIFS(Dati!$I$2:$I$451,Dati!$H$2:$H$451,$H13,Dati!$A$2:$A$451,$Y13),"-")</f>
        <v/>
      </c>
      <c r="AL13" s="22">
        <f>IF(AND($H13&lt;&gt;"",$Z13&lt;&gt;"",$H13&lt;&gt;$Z13,IFERROR(VLOOKUP($H13,areaCercaPuntiClassificaSquadra,3,FALSE),-1)=IFERROR(VLOOKUP($Z13,areaCercaPuntiClassificaSquadra,3,FALSE),-2)),SUMIFS(Dati!$B$2:$B$451,Dati!$A$2:$A$451,$H13,Dati!$H$2:$H$451,$Z13)+SUMIFS(Dati!$I$2:$I$451,Dati!$H$2:$H$451,$H13,Dati!$A$2:$A$451,$Z13),"-")</f>
        <v/>
      </c>
      <c r="AM13" s="22">
        <f>IF(AND($H13&lt;&gt;"",$AA13&lt;&gt;"",$H13&lt;&gt;$AA13,IFERROR(VLOOKUP($H13,areaCercaPuntiClassificaSquadra,3,FALSE),-1)=IFERROR(VLOOKUP($AA13,areaCercaPuntiClassificaSquadra,3,FALSE),-2)),SUMIFS(Dati!$B$2:$B$451,Dati!$A$2:$A$451,$H13,Dati!$H$2:$H$451,$AA13)+SUMIFS(Dati!$I$2:$I$451,Dati!$H$2:$H$451,$H13,Dati!$A$2:$A$451,$AA13),"-")</f>
        <v/>
      </c>
      <c r="AN13" s="22">
        <f>IF(AND($H13&lt;&gt;"",$AB13&lt;&gt;"",$H13&lt;&gt;$AB13,IFERROR(VLOOKUP($H13,areaCercaPuntiClassificaSquadra,3,FALSE),-1)=IFERROR(VLOOKUP($AB13,areaCercaPuntiClassificaSquadra,3,FALSE),-2)),SUMIFS(Dati!$B$2:$B$451,Dati!$A$2:$A$451,$H13,Dati!$H$2:$H$451,$AB13)+SUMIFS(Dati!$I$2:$I$451,Dati!$H$2:$H$451,$H13,Dati!$A$2:$A$451,$AB13),"-")</f>
        <v/>
      </c>
      <c r="AO13" s="22">
        <f>IF(AND($H13&lt;&gt;"",$AC13&lt;&gt;"",$H13&lt;&gt;$AC13,IFERROR(VLOOKUP($H13,areaCercaPuntiClassificaSquadra,3,FALSE),-1)=IFERROR(VLOOKUP($AC13,areaCercaPuntiClassificaSquadra,3,FALSE),-2)),SUMIFS(Dati!$B$2:$B$451,Dati!$A$2:$A$451,$H13,Dati!$H$2:$H$451,$AC13)+SUMIFS(Dati!$I$2:$I$451,Dati!$H$2:$H$451,$H13,Dati!$A$2:$A$451,$AC13),"-")</f>
        <v/>
      </c>
      <c r="AP13" s="22">
        <f>IF(AND($H13&lt;&gt;"",$AD13&lt;&gt;"",$H13&lt;&gt;$AD13,IFERROR(VLOOKUP($H13,areaCercaPuntiClassificaSquadra,3,FALSE),-1)=IFERROR(VLOOKUP($AD13,areaCercaPuntiClassificaSquadra,3,FALSE),-2)),SUMIFS(Dati!$B$2:$B$451,Dati!$A$2:$A$451,$H13,Dati!$H$2:$H$451,$AD13)+SUMIFS(Dati!$I$2:$I$451,Dati!$H$2:$H$451,$H13,Dati!$A$2:$A$451,$AD13),"-")</f>
        <v/>
      </c>
      <c r="AQ13" s="22">
        <f>IF(AND($H13&lt;&gt;"",$AE13&lt;&gt;"",$H13&lt;&gt;$AE13,IFERROR(VLOOKUP($H13,areaCercaPuntiClassificaSquadra,3,FALSE),-1)=IFERROR(VLOOKUP($AE13,areaCercaPuntiClassificaSquadra,3,FALSE),-2)),SUMIFS(Dati!$B$2:$B$451,Dati!$A$2:$A$451,$H13,Dati!$H$2:$H$451,$AE13)+SUMIFS(Dati!$I$2:$I$451,Dati!$H$2:$H$451,$H13,Dati!$A$2:$A$451,$AE13),"-")</f>
        <v/>
      </c>
      <c r="AR13" s="22">
        <f>IF(AND($H13&lt;&gt;"",$AF13&lt;&gt;"",$H13&lt;&gt;$AF13,IFERROR(VLOOKUP($H13,areaCercaPuntiClassificaSquadra,3,FALSE),-1)=IFERROR(VLOOKUP($AF13,areaCercaPuntiClassificaSquadra,3,FALSE),-2)),SUMIFS(Dati!$B$2:$B$451,Dati!$A$2:$A$451,$H13,Dati!$H$2:$H$451,$AF13)+SUMIFS(Dati!$I$2:$I$451,Dati!$H$2:$H$451,$H13,Dati!$A$2:$A$451,$AF13),"-")</f>
        <v/>
      </c>
      <c r="AS13" s="22">
        <f>IF(AND($H13&lt;&gt;"",$AG13&lt;&gt;"",$H13&lt;&gt;$AG13,IFERROR(VLOOKUP($H13,areaCercaPuntiClassificaSquadra,3,FALSE),-1)=IFERROR(VLOOKUP($AG13,areaCercaPuntiClassificaSquadra,3,FALSE),-2)),SUMIFS(Dati!$B$2:$B$451,Dati!$A$2:$A$451,$H13,Dati!$H$2:$H$451,$AG13)+SUMIFS(Dati!$I$2:$I$451,Dati!$H$2:$H$451,$H13,Dati!$A$2:$A$451,$AG13),"-")</f>
        <v/>
      </c>
      <c r="AT13" s="22">
        <f>IF(AND($H13&lt;&gt;"",$AH13&lt;&gt;"",$H13&lt;&gt;$AH13,IFERROR(VLOOKUP($H13,areaCercaPuntiClassificaSquadra,3,FALSE),-1)=IFERROR(VLOOKUP($AH13,areaCercaPuntiClassificaSquadra,3,FALSE),-2)),SUMIFS(Dati!$B$2:$B$451,Dati!$A$2:$A$451,$H13,Dati!$H$2:$H$451,$AH13)+SUMIFS(Dati!$I$2:$I$451,Dati!$H$2:$H$451,$H13,Dati!$A$2:$A$451,$AH13),"-")</f>
        <v/>
      </c>
      <c r="AV13" s="21">
        <f>$C13</f>
        <v/>
      </c>
      <c r="AW13" s="22">
        <f>IF(AND($H13&lt;&gt;"",$Y13&lt;&gt;"",$H13&lt;&gt;$Y13,IFERROR(VLOOKUP($H13,areaCercaPuntiClassificaSquadra,3,FALSE),-1)=IFERROR(VLOOKUP($Y13,areaCercaPuntiClassificaSquadra,3,FALSE),-2)),SUMIFS(Dati!$D$2:$D$451,Dati!$A$2:$A$451,$H13,Dati!$H$2:$H$451,$Y13)+SUMIFS(Dati!$K$2:$K$451,Dati!$H$2:$H$451,$H13,Dati!$A$2:$A$451,$Y13)+SUMIFS(Dati!$C$2:$C$451,Dati!$A$2:$A$451,$H13,Dati!$H$2:$H$451,$Y13)+SUMIFS(Dati!$J$2:$J$451,Dati!$H$2:$H$451,$H13,Dati!$A$2:$A$451,$Y13),"-")</f>
        <v/>
      </c>
      <c r="AX13" s="22">
        <f>IF(AND($H13&lt;&gt;"",$Z13&lt;&gt;"",$H13&lt;&gt;$Z13,IFERROR(VLOOKUP($H13,areaCercaPuntiClassificaSquadra,3,FALSE),-1)=IFERROR(VLOOKUP($Z13,areaCercaPuntiClassificaSquadra,3,FALSE),-2)),SUMIFS(Dati!$D$2:$D$451,Dati!$A$2:$A$451,$H13,Dati!$H$2:$H$451,$Z13)+SUMIFS(Dati!$K$2:$K$451,Dati!$H$2:$H$451,$H13,Dati!$A$2:$A$451,$Z13)+SUMIFS(Dati!$C$2:$C$451,Dati!$A$2:$A$451,$H13,Dati!$H$2:$H$451,$Z13)+SUMIFS(Dati!$J$2:$J$451,Dati!$H$2:$H$451,$H13,Dati!$A$2:$A$451,$Z13),"-")</f>
        <v/>
      </c>
      <c r="AY13" s="22">
        <f>IF(AND($H13&lt;&gt;"",$AA13&lt;&gt;"",$H13&lt;&gt;$AA13,IFERROR(VLOOKUP($H13,areaCercaPuntiClassificaSquadra,3,FALSE),-1)=IFERROR(VLOOKUP($AA13,areaCercaPuntiClassificaSquadra,3,FALSE),-2)),SUMIFS(Dati!$D$2:$D$451,Dati!$A$2:$A$451,$H13,Dati!$H$2:$H$451,$AA13)+SUMIFS(Dati!$K$2:$K$451,Dati!$H$2:$H$451,$H13,Dati!$A$2:$A$451,$AA13)+SUMIFS(Dati!$C$2:$C$451,Dati!$A$2:$A$451,$H13,Dati!$H$2:$H$451,$AA13)+SUMIFS(Dati!$J$2:$J$451,Dati!$H$2:$H$451,$H13,Dati!$A$2:$A$451,$AA13),"-")</f>
        <v/>
      </c>
      <c r="AZ13" s="22">
        <f>IF(AND($H13&lt;&gt;"",$AB13&lt;&gt;"",$H13&lt;&gt;$AB13,IFERROR(VLOOKUP($H13,areaCercaPuntiClassificaSquadra,3,FALSE),-1)=IFERROR(VLOOKUP($AB13,areaCercaPuntiClassificaSquadra,3,FALSE),-2)),SUMIFS(Dati!$D$2:$D$451,Dati!$A$2:$A$451,$H13,Dati!$H$2:$H$451,$AB13)+SUMIFS(Dati!$K$2:$K$451,Dati!$H$2:$H$451,$H13,Dati!$A$2:$A$451,$AB13)+SUMIFS(Dati!$C$2:$C$451,Dati!$A$2:$A$451,$H13,Dati!$H$2:$H$451,$AB13)+SUMIFS(Dati!$J$2:$J$451,Dati!$H$2:$H$451,$H13,Dati!$A$2:$A$451,$AB13),"-")</f>
        <v/>
      </c>
      <c r="BA13" s="22">
        <f>IF(AND($H13&lt;&gt;"",$AC13&lt;&gt;"",$H13&lt;&gt;$AC13,IFERROR(VLOOKUP($H13,areaCercaPuntiClassificaSquadra,3,FALSE),-1)=IFERROR(VLOOKUP($AC13,areaCercaPuntiClassificaSquadra,3,FALSE),-2)),SUMIFS(Dati!$D$2:$D$451,Dati!$A$2:$A$451,$H13,Dati!$H$2:$H$451,$AC13)+SUMIFS(Dati!$K$2:$K$451,Dati!$H$2:$H$451,$H13,Dati!$A$2:$A$451,$AC13)+SUMIFS(Dati!$C$2:$C$451,Dati!$A$2:$A$451,$H13,Dati!$H$2:$H$451,$AC13)+SUMIFS(Dati!$J$2:$J$451,Dati!$H$2:$H$451,$H13,Dati!$A$2:$A$451,$AC13),"-")</f>
        <v/>
      </c>
      <c r="BB13" s="22">
        <f>IF(AND($H13&lt;&gt;"",$AD13&lt;&gt;"",$H13&lt;&gt;$AD13,IFERROR(VLOOKUP($H13,areaCercaPuntiClassificaSquadra,3,FALSE),-1)=IFERROR(VLOOKUP($AD13,areaCercaPuntiClassificaSquadra,3,FALSE),-2)),SUMIFS(Dati!$D$2:$D$451,Dati!$A$2:$A$451,$H13,Dati!$H$2:$H$451,$AD13)+SUMIFS(Dati!$K$2:$K$451,Dati!$H$2:$H$451,$H13,Dati!$A$2:$A$451,$AD13)+SUMIFS(Dati!$C$2:$C$451,Dati!$A$2:$A$451,$H13,Dati!$H$2:$H$451,$AD13)+SUMIFS(Dati!$J$2:$J$451,Dati!$H$2:$H$451,$H13,Dati!$A$2:$A$451,$AD13),"-")</f>
        <v/>
      </c>
      <c r="BC13" s="22">
        <f>IF(AND($H13&lt;&gt;"",$AE13&lt;&gt;"",$H13&lt;&gt;$AE13,IFERROR(VLOOKUP($H13,areaCercaPuntiClassificaSquadra,3,FALSE),-1)=IFERROR(VLOOKUP($AE13,areaCercaPuntiClassificaSquadra,3,FALSE),-2)),SUMIFS(Dati!$D$2:$D$451,Dati!$A$2:$A$451,$H13,Dati!$H$2:$H$451,$AE13)+SUMIFS(Dati!$K$2:$K$451,Dati!$H$2:$H$451,$H13,Dati!$A$2:$A$451,$AE13)+SUMIFS(Dati!$C$2:$C$451,Dati!$A$2:$A$451,$H13,Dati!$H$2:$H$451,$AE13)+SUMIFS(Dati!$J$2:$J$451,Dati!$H$2:$H$451,$H13,Dati!$A$2:$A$451,$AE13),"-")</f>
        <v/>
      </c>
      <c r="BD13" s="22">
        <f>IF(AND($H13&lt;&gt;"",$AF13&lt;&gt;"",$H13&lt;&gt;$AF13,IFERROR(VLOOKUP($H13,areaCercaPuntiClassificaSquadra,3,FALSE),-1)=IFERROR(VLOOKUP($AF13,areaCercaPuntiClassificaSquadra,3,FALSE),-2)),SUMIFS(Dati!$D$2:$D$451,Dati!$A$2:$A$451,$H13,Dati!$H$2:$H$451,$AF13)+SUMIFS(Dati!$K$2:$K$451,Dati!$H$2:$H$451,$H13,Dati!$A$2:$A$451,$AF13)+SUMIFS(Dati!$C$2:$C$451,Dati!$A$2:$A$451,$H13,Dati!$H$2:$H$451,$AF13)+SUMIFS(Dati!$J$2:$J$451,Dati!$H$2:$H$451,$H13,Dati!$A$2:$A$451,$AF13),"-")</f>
        <v/>
      </c>
      <c r="BE13" s="22">
        <f>IF(AND($H13&lt;&gt;"",$AG13&lt;&gt;"",$H13&lt;&gt;$AG13,IFERROR(VLOOKUP($H13,areaCercaPuntiClassificaSquadra,3,FALSE),-1)=IFERROR(VLOOKUP($AG13,areaCercaPuntiClassificaSquadra,3,FALSE),-2)),SUMIFS(Dati!$D$2:$D$451,Dati!$A$2:$A$451,$H13,Dati!$H$2:$H$451,$AG13)+SUMIFS(Dati!$K$2:$K$451,Dati!$H$2:$H$451,$H13,Dati!$A$2:$A$451,$AG13)+SUMIFS(Dati!$C$2:$C$451,Dati!$A$2:$A$451,$H13,Dati!$H$2:$H$451,$AG13)+SUMIFS(Dati!$J$2:$J$451,Dati!$H$2:$H$451,$H13,Dati!$A$2:$A$451,$AG13),"-")</f>
        <v/>
      </c>
      <c r="BF13" s="22">
        <f>IF(AND($H13&lt;&gt;"",$AH13&lt;&gt;"",$H13&lt;&gt;$AH13,IFERROR(VLOOKUP($H13,areaCercaPuntiClassificaSquadra,3,FALSE),-1)=IFERROR(VLOOKUP($AH13,areaCercaPuntiClassificaSquadra,3,FALSE),-2)),SUMIFS(Dati!$D$2:$D$451,Dati!$A$2:$A$451,$H13,Dati!$H$2:$H$451,$AH13)+SUMIFS(Dati!$K$2:$K$451,Dati!$H$2:$H$451,$H13,Dati!$A$2:$A$451,$AH13)+SUMIFS(Dati!$C$2:$C$451,Dati!$A$2:$A$451,$H13,Dati!$H$2:$H$451,$AH13)+SUMIFS(Dati!$J$2:$J$451,Dati!$H$2:$H$451,$H13,Dati!$A$2:$A$451,$AH13),"-")</f>
        <v/>
      </c>
      <c r="BH13" s="21">
        <f>$C13</f>
        <v/>
      </c>
      <c r="BI13" s="22">
        <f>IF(AND($H13&lt;&gt;"",$Y13&lt;&gt;"",$H13&lt;&gt;$Y13,IFERROR(VLOOKUP($H13,areaCercaPuntiClassificaSquadra,3,FALSE),-1)=IFERROR(VLOOKUP($Y13,areaCercaPuntiClassificaSquadra,3,FALSE),-2)),SUMIFS(Dati!$E$2:$E$451,Dati!$A$2:$A$451,$H13,Dati!$H$2:$H$451,$Y13)+SUMIFS(Dati!$L$2:$L$451,Dati!$H$2:$H$451,$H13,Dati!$A$2:$A$451,$Y13),"-")</f>
        <v/>
      </c>
      <c r="BJ13" s="22">
        <f>IF(AND($H13&lt;&gt;"",$Z13&lt;&gt;"",$H13&lt;&gt;$Z13,IFERROR(VLOOKUP($H13,areaCercaPuntiClassificaSquadra,3,FALSE),-1)=IFERROR(VLOOKUP($Z13,areaCercaPuntiClassificaSquadra,3,FALSE),-2)),SUMIFS(Dati!$E$2:$E$451,Dati!$A$2:$A$451,$H13,Dati!$H$2:$H$451,$Z13)+SUMIFS(Dati!$L$2:$L$451,Dati!$H$2:$H$451,$H13,Dati!$A$2:$A$451,$Z13),"-")</f>
        <v/>
      </c>
      <c r="BK13" s="22">
        <f>IF(AND($H13&lt;&gt;"",$AA13&lt;&gt;"",$H13&lt;&gt;$AA13,IFERROR(VLOOKUP($H13,areaCercaPuntiClassificaSquadra,3,FALSE),-1)=IFERROR(VLOOKUP($AA13,areaCercaPuntiClassificaSquadra,3,FALSE),-2)),SUMIFS(Dati!$E$2:$E$451,Dati!$A$2:$A$451,$H13,Dati!$H$2:$H$451,$AA13)+SUMIFS(Dati!$L$2:$L$451,Dati!$H$2:$H$451,$H13,Dati!$A$2:$A$451,$AA13),"-")</f>
        <v/>
      </c>
      <c r="BL13" s="22">
        <f>IF(AND($H13&lt;&gt;"",$AB13&lt;&gt;"",$H13&lt;&gt;$AB13,IFERROR(VLOOKUP($H13,areaCercaPuntiClassificaSquadra,3,FALSE),-1)=IFERROR(VLOOKUP($AB13,areaCercaPuntiClassificaSquadra,3,FALSE),-2)),SUMIFS(Dati!$E$2:$E$451,Dati!$A$2:$A$451,$H13,Dati!$H$2:$H$451,$AB13)+SUMIFS(Dati!$L$2:$L$451,Dati!$H$2:$H$451,$H13,Dati!$A$2:$A$451,$AB13),"-")</f>
        <v/>
      </c>
      <c r="BM13" s="22">
        <f>IF(AND($H13&lt;&gt;"",$AC13&lt;&gt;"",$H13&lt;&gt;$AC13,IFERROR(VLOOKUP($H13,areaCercaPuntiClassificaSquadra,3,FALSE),-1)=IFERROR(VLOOKUP($AC13,areaCercaPuntiClassificaSquadra,3,FALSE),-2)),SUMIFS(Dati!$E$2:$E$451,Dati!$A$2:$A$451,$H13,Dati!$H$2:$H$451,$AC13)+SUMIFS(Dati!$L$2:$L$451,Dati!$H$2:$H$451,$H13,Dati!$A$2:$A$451,$AC13),"-")</f>
        <v/>
      </c>
      <c r="BN13" s="22">
        <f>IF(AND($H13&lt;&gt;"",$AD13&lt;&gt;"",$H13&lt;&gt;$AD13,IFERROR(VLOOKUP($H13,areaCercaPuntiClassificaSquadra,3,FALSE),-1)=IFERROR(VLOOKUP($AD13,areaCercaPuntiClassificaSquadra,3,FALSE),-2)),SUMIFS(Dati!$E$2:$E$451,Dati!$A$2:$A$451,$H13,Dati!$H$2:$H$451,$AD13)+SUMIFS(Dati!$L$2:$L$451,Dati!$H$2:$H$451,$H13,Dati!$A$2:$A$451,$AD13),"-")</f>
        <v/>
      </c>
      <c r="BO13" s="22">
        <f>IF(AND($H13&lt;&gt;"",$AE13&lt;&gt;"",$H13&lt;&gt;$AE13,IFERROR(VLOOKUP($H13,areaCercaPuntiClassificaSquadra,3,FALSE),-1)=IFERROR(VLOOKUP($AE13,areaCercaPuntiClassificaSquadra,3,FALSE),-2)),SUMIFS(Dati!$E$2:$E$451,Dati!$A$2:$A$451,$H13,Dati!$H$2:$H$451,$AE13)+SUMIFS(Dati!$L$2:$L$451,Dati!$H$2:$H$451,$H13,Dati!$A$2:$A$451,$AE13),"-")</f>
        <v/>
      </c>
      <c r="BP13" s="22">
        <f>IF(AND($H13&lt;&gt;"",$AF13&lt;&gt;"",$H13&lt;&gt;$AF13,IFERROR(VLOOKUP($H13,areaCercaPuntiClassificaSquadra,3,FALSE),-1)=IFERROR(VLOOKUP($AF13,areaCercaPuntiClassificaSquadra,3,FALSE),-2)),SUMIFS(Dati!$E$2:$E$451,Dati!$A$2:$A$451,$H13,Dati!$H$2:$H$451,$AF13)+SUMIFS(Dati!$L$2:$L$451,Dati!$H$2:$H$451,$H13,Dati!$A$2:$A$451,$AF13),"-")</f>
        <v/>
      </c>
      <c r="BQ13" s="22">
        <f>IF(AND($H13&lt;&gt;"",$AG13&lt;&gt;"",$H13&lt;&gt;$AG13,IFERROR(VLOOKUP($H13,areaCercaPuntiClassificaSquadra,3,FALSE),-1)=IFERROR(VLOOKUP($AG13,areaCercaPuntiClassificaSquadra,3,FALSE),-2)),SUMIFS(Dati!$E$2:$E$451,Dati!$A$2:$A$451,$H13,Dati!$H$2:$H$451,$AG13)+SUMIFS(Dati!$L$2:$L$451,Dati!$H$2:$H$451,$H13,Dati!$A$2:$A$451,$AG13),"-")</f>
        <v/>
      </c>
      <c r="BR13" s="22">
        <f>IF(AND($H13&lt;&gt;"",$AH13&lt;&gt;"",$H13&lt;&gt;$AH13,IFERROR(VLOOKUP($H13,areaCercaPuntiClassificaSquadra,3,FALSE),-1)=IFERROR(VLOOKUP($AH13,areaCercaPuntiClassificaSquadra,3,FALSE),-2)),SUMIFS(Dati!$E$2:$E$451,Dati!$A$2:$A$451,$H13,Dati!$H$2:$H$451,$AH13)+SUMIFS(Dati!$L$2:$L$451,Dati!$H$2:$H$451,$H13,Dati!$A$2:$A$451,$AH13),"-")</f>
        <v/>
      </c>
      <c r="BT13" s="21">
        <f>$C13</f>
        <v/>
      </c>
      <c r="BU13" s="22">
        <f>IF(AND($H13&lt;&gt;"",$Y13&lt;&gt;"",$H13&lt;&gt;$Y13,IFERROR(VLOOKUP($H13,areaCercaPuntiClassificaSquadra,3,FALSE),-1)=IFERROR(VLOOKUP($Y13,areaCercaPuntiClassificaSquadra,3,FALSE),-2)),SUMIFS(Dati!$F$2:$F$451,Dati!$A$2:$A$451,$H13,Dati!$H$2:$H$451,$Y13)+SUMIFS(Dati!$M$2:$M$451,Dati!$H$2:$H$451,$H13,Dati!$A$2:$A$451,$Y13),"-")</f>
        <v/>
      </c>
      <c r="BV13" s="22">
        <f>IF(AND($H13&lt;&gt;"",$Z13&lt;&gt;"",$H13&lt;&gt;$Z13,IFERROR(VLOOKUP($H13,areaCercaPuntiClassificaSquadra,3,FALSE),-1)=IFERROR(VLOOKUP($Z13,areaCercaPuntiClassificaSquadra,3,FALSE),-2)),SUMIFS(Dati!$F$2:$F$451,Dati!$A$2:$A$451,$H13,Dati!$H$2:$H$451,$Z13)+SUMIFS(Dati!$M$2:$M$451,Dati!$H$2:$H$451,$H13,Dati!$A$2:$A$451,$Z13),"-")</f>
        <v/>
      </c>
      <c r="BW13" s="22">
        <f>IF(AND($H13&lt;&gt;"",$AA13&lt;&gt;"",$H13&lt;&gt;$AA13,IFERROR(VLOOKUP($H13,areaCercaPuntiClassificaSquadra,3,FALSE),-1)=IFERROR(VLOOKUP($AA13,areaCercaPuntiClassificaSquadra,3,FALSE),-2)),SUMIFS(Dati!$F$2:$F$451,Dati!$A$2:$A$451,$H13,Dati!$H$2:$H$451,$AA13)+SUMIFS(Dati!$M$2:$M$451,Dati!$H$2:$H$451,$H13,Dati!$A$2:$A$451,$AA13),"-")</f>
        <v/>
      </c>
      <c r="BX13" s="22">
        <f>IF(AND($H13&lt;&gt;"",$AB13&lt;&gt;"",$H13&lt;&gt;$AB13,IFERROR(VLOOKUP($H13,areaCercaPuntiClassificaSquadra,3,FALSE),-1)=IFERROR(VLOOKUP($AB13,areaCercaPuntiClassificaSquadra,3,FALSE),-2)),SUMIFS(Dati!$F$2:$F$451,Dati!$A$2:$A$451,$H13,Dati!$H$2:$H$451,$AB13)+SUMIFS(Dati!$M$2:$M$451,Dati!$H$2:$H$451,$H13,Dati!$A$2:$A$451,$AB13),"-")</f>
        <v/>
      </c>
      <c r="BY13" s="22">
        <f>IF(AND($H13&lt;&gt;"",$AC13&lt;&gt;"",$H13&lt;&gt;$AC13,IFERROR(VLOOKUP($H13,areaCercaPuntiClassificaSquadra,3,FALSE),-1)=IFERROR(VLOOKUP($AC13,areaCercaPuntiClassificaSquadra,3,FALSE),-2)),SUMIFS(Dati!$F$2:$F$451,Dati!$A$2:$A$451,$H13,Dati!$H$2:$H$451,$AC13)+SUMIFS(Dati!$M$2:$M$451,Dati!$H$2:$H$451,$H13,Dati!$A$2:$A$451,$AC13),"-")</f>
        <v/>
      </c>
      <c r="BZ13" s="22">
        <f>IF(AND($H13&lt;&gt;"",$AD13&lt;&gt;"",$H13&lt;&gt;$AD13,IFERROR(VLOOKUP($H13,areaCercaPuntiClassificaSquadra,3,FALSE),-1)=IFERROR(VLOOKUP($AD13,areaCercaPuntiClassificaSquadra,3,FALSE),-2)),SUMIFS(Dati!$F$2:$F$451,Dati!$A$2:$A$451,$H13,Dati!$H$2:$H$451,$AD13)+SUMIFS(Dati!$M$2:$M$451,Dati!$H$2:$H$451,$H13,Dati!$A$2:$A$451,$AD13),"-")</f>
        <v/>
      </c>
      <c r="CA13" s="22">
        <f>IF(AND($H13&lt;&gt;"",$AE13&lt;&gt;"",$H13&lt;&gt;$AE13,IFERROR(VLOOKUP($H13,areaCercaPuntiClassificaSquadra,3,FALSE),-1)=IFERROR(VLOOKUP($AE13,areaCercaPuntiClassificaSquadra,3,FALSE),-2)),SUMIFS(Dati!$F$2:$F$451,Dati!$A$2:$A$451,$H13,Dati!$H$2:$H$451,$AE13)+SUMIFS(Dati!$M$2:$M$451,Dati!$H$2:$H$451,$H13,Dati!$A$2:$A$451,$AE13),"-")</f>
        <v/>
      </c>
      <c r="CB13" s="22">
        <f>IF(AND($H13&lt;&gt;"",$AF13&lt;&gt;"",$H13&lt;&gt;$AF13,IFERROR(VLOOKUP($H13,areaCercaPuntiClassificaSquadra,3,FALSE),-1)=IFERROR(VLOOKUP($AF13,areaCercaPuntiClassificaSquadra,3,FALSE),-2)),SUMIFS(Dati!$F$2:$F$451,Dati!$A$2:$A$451,$H13,Dati!$H$2:$H$451,$AF13)+SUMIFS(Dati!$M$2:$M$451,Dati!$H$2:$H$451,$H13,Dati!$A$2:$A$451,$AF13),"-")</f>
        <v/>
      </c>
      <c r="CC13" s="22">
        <f>IF(AND($H13&lt;&gt;"",$AG13&lt;&gt;"",$H13&lt;&gt;$AG13,IFERROR(VLOOKUP($H13,areaCercaPuntiClassificaSquadra,3,FALSE),-1)=IFERROR(VLOOKUP($AG13,areaCercaPuntiClassificaSquadra,3,FALSE),-2)),SUMIFS(Dati!$F$2:$F$451,Dati!$A$2:$A$451,$H13,Dati!$H$2:$H$451,$AG13)+SUMIFS(Dati!$M$2:$M$451,Dati!$H$2:$H$451,$H13,Dati!$A$2:$A$451,$AG13),"-")</f>
        <v/>
      </c>
      <c r="CD13" s="22">
        <f>IF(AND($H13&lt;&gt;"",$AH13&lt;&gt;"",$H13&lt;&gt;$AH13,IFERROR(VLOOKUP($H13,areaCercaPuntiClassificaSquadra,3,FALSE),-1)=IFERROR(VLOOKUP($AH13,areaCercaPuntiClassificaSquadra,3,FALSE),-2)),SUMIFS(Dati!$F$2:$F$451,Dati!$A$2:$A$451,$H13,Dati!$H$2:$H$451,$AH13)+SUMIFS(Dati!$M$2:$M$451,Dati!$H$2:$H$451,$H13,Dati!$A$2:$A$451,$AH13),"-")</f>
        <v/>
      </c>
    </row>
    <row r="14">
      <c r="A14" s="224" t="n"/>
      <c r="B14" s="12" t="inlineStr">
        <is>
          <t>A03</t>
        </is>
      </c>
      <c r="C14" s="13" t="n"/>
      <c r="D14" s="14" t="n"/>
      <c r="E14" s="15" t="inlineStr">
        <is>
          <t>A</t>
        </is>
      </c>
      <c r="G14" s="16">
        <f>IF($C14="","",$E14&amp;(COUNTIFS(I$12:I$111,"&gt;"&amp;I14,E$12:E$111,"="&amp;E14,C$12:C$111,"&lt;&gt;")+COUNTIFS(I$12:I$111,"="&amp;I14,H$12:H$111,"&lt;="&amp;H14,E$12:E$111,"="&amp;E14,C$12:C$111,"&lt;&gt;")))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IF(COUNT(AK14:AT14)=0,"-",SUM(AK14:AT14)&amp;"-"&amp;SUM(AW14:BF14))</f>
        <v/>
      </c>
      <c r="V14" s="18">
        <f>IF(COUNT(AK14:AT14)=0,"-",IF(SUM(BU14:CD14)=0,0,ROUND(SUM(BI14:BR14)/SUM(BU14:CD14),3)))</f>
        <v/>
      </c>
      <c r="W14" s="18">
        <f>IF(COUNT(AK14:AT14)=0,"-",IF(P14=0,0,ROUND(O14/P14,3)))</f>
        <v/>
      </c>
      <c r="X14" s="19">
        <f>IF($C14="","",$E14&amp;"#"&amp;COUNTIFS($E$12:$E14,$E14,$C$12:$C14,"&lt;&gt;"))</f>
        <v/>
      </c>
      <c r="Y14" s="20">
        <f>IFERROR(INDEX($H$12:$H$111,MATCH($E14&amp;"#1",$X$12:$X$111,0)),"")</f>
        <v/>
      </c>
      <c r="Z14" s="20">
        <f>IFERROR(INDEX($H$12:$H$111,MATCH($E14&amp;"#2",$X$12:$X$111,0)),"")</f>
        <v/>
      </c>
      <c r="AA14" s="20">
        <f>IFERROR(INDEX($H$12:$H$111,MATCH($E14&amp;"#3",$X$12:$X$111,0)),"")</f>
        <v/>
      </c>
      <c r="AB14" s="20">
        <f>IFERROR(INDEX($H$12:$H$111,MATCH($E14&amp;"#4",$X$12:$X$111,0)),"")</f>
        <v/>
      </c>
      <c r="AC14" s="20">
        <f>IFERROR(INDEX($H$12:$H$111,MATCH($E14&amp;"#5",$X$12:$X$111,0)),"")</f>
        <v/>
      </c>
      <c r="AD14" s="20">
        <f>IFERROR(INDEX($H$12:$H$111,MATCH($E14&amp;"#6",$X$12:$X$111,0)),"")</f>
        <v/>
      </c>
      <c r="AE14" s="20">
        <f>IFERROR(INDEX($H$12:$H$111,MATCH($E14&amp;"#7",$X$12:$X$111,0)),"")</f>
        <v/>
      </c>
      <c r="AF14" s="20">
        <f>IFERROR(INDEX($H$12:$H$111,MATCH($E14&amp;"#8",$X$12:$X$111,0)),"")</f>
        <v/>
      </c>
      <c r="AG14" s="20">
        <f>IFERROR(INDEX($H$12:$H$111,MATCH($E14&amp;"#9",$X$12:$X$111,0)),"")</f>
        <v/>
      </c>
      <c r="AH14" s="20">
        <f>IFERROR(INDEX($H$12:$H$111,MATCH($E14&amp;"#10",$X$12:$X$111,0)),"")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</row>
    <row r="15">
      <c r="A15" s="224" t="n"/>
      <c r="B15" s="12" t="inlineStr">
        <is>
          <t>A04</t>
        </is>
      </c>
      <c r="C15" s="13" t="n"/>
      <c r="D15" s="14" t="n"/>
      <c r="E15" s="15" t="inlineStr">
        <is>
          <t>A</t>
        </is>
      </c>
      <c r="G15" s="16">
        <f>IF($C15="","",$E15&amp;(COUNTIFS(I$12:I$111,"&gt;"&amp;I15,E$12:E$111,"="&amp;E15,C$12:C$111,"&lt;&gt;")+COUNTIFS(I$12:I$111,"="&amp;I15,H$12:H$111,"&lt;="&amp;H15,E$12:E$111,"="&amp;E15,C$12:C$111,"&lt;&gt;")))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IF(COUNT(AK15:AT15)=0,"-",SUM(AK15:AT15)&amp;"-"&amp;SUM(AW15:BF15))</f>
        <v/>
      </c>
      <c r="V15" s="18">
        <f>IF(COUNT(AK15:AT15)=0,"-",IF(SUM(BU15:CD15)=0,0,ROUND(SUM(BI15:BR15)/SUM(BU15:CD15),3)))</f>
        <v/>
      </c>
      <c r="W15" s="18">
        <f>IF(COUNT(AK15:AT15)=0,"-",IF(P15=0,0,ROUND(O15/P15,3)))</f>
        <v/>
      </c>
      <c r="X15" s="19">
        <f>IF($C15="","",$E15&amp;"#"&amp;COUNTIFS($E$12:$E15,$E15,$C$12:$C15,"&lt;&gt;"))</f>
        <v/>
      </c>
      <c r="Y15" s="20">
        <f>IFERROR(INDEX($H$12:$H$111,MATCH($E15&amp;"#1",$X$12:$X$111,0)),"")</f>
        <v/>
      </c>
      <c r="Z15" s="20">
        <f>IFERROR(INDEX($H$12:$H$111,MATCH($E15&amp;"#2",$X$12:$X$111,0)),"")</f>
        <v/>
      </c>
      <c r="AA15" s="20">
        <f>IFERROR(INDEX($H$12:$H$111,MATCH($E15&amp;"#3",$X$12:$X$111,0)),"")</f>
        <v/>
      </c>
      <c r="AB15" s="20">
        <f>IFERROR(INDEX($H$12:$H$111,MATCH($E15&amp;"#4",$X$12:$X$111,0)),"")</f>
        <v/>
      </c>
      <c r="AC15" s="20">
        <f>IFERROR(INDEX($H$12:$H$111,MATCH($E15&amp;"#5",$X$12:$X$111,0)),"")</f>
        <v/>
      </c>
      <c r="AD15" s="20">
        <f>IFERROR(INDEX($H$12:$H$111,MATCH($E15&amp;"#6",$X$12:$X$111,0)),"")</f>
        <v/>
      </c>
      <c r="AE15" s="20">
        <f>IFERROR(INDEX($H$12:$H$111,MATCH($E15&amp;"#7",$X$12:$X$111,0)),"")</f>
        <v/>
      </c>
      <c r="AF15" s="20">
        <f>IFERROR(INDEX($H$12:$H$111,MATCH($E15&amp;"#8",$X$12:$X$111,0)),"")</f>
        <v/>
      </c>
      <c r="AG15" s="20">
        <f>IFERROR(INDEX($H$12:$H$111,MATCH($E15&amp;"#9",$X$12:$X$111,0)),"")</f>
        <v/>
      </c>
      <c r="AH15" s="20">
        <f>IFERROR(INDEX($H$12:$H$111,MATCH($E15&amp;"#10",$X$12:$X$111,0)),"")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</row>
    <row r="16">
      <c r="A16" s="224" t="n"/>
      <c r="B16" s="12" t="inlineStr">
        <is>
          <t>A05</t>
        </is>
      </c>
      <c r="C16" s="13" t="n"/>
      <c r="D16" s="14" t="n"/>
      <c r="E16" s="15" t="inlineStr">
        <is>
          <t>A</t>
        </is>
      </c>
      <c r="G16" s="16">
        <f>IF($C16="","",$E16&amp;(COUNTIFS(I$12:I$111,"&gt;"&amp;I16,E$12:E$111,"="&amp;E16,C$12:C$111,"&lt;&gt;")+COUNTIFS(I$12:I$111,"="&amp;I16,H$12:H$111,"&lt;="&amp;H16,E$12:E$111,"="&amp;E16,C$12:C$111,"&lt;&gt;")))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IF(COUNT(AK16:AT16)=0,"-",SUM(AK16:AT16)&amp;"-"&amp;SUM(AW16:BF16))</f>
        <v/>
      </c>
      <c r="V16" s="18">
        <f>IF(COUNT(AK16:AT16)=0,"-",IF(SUM(BU16:CD16)=0,0,ROUND(SUM(BI16:BR16)/SUM(BU16:CD16),3)))</f>
        <v/>
      </c>
      <c r="W16" s="18">
        <f>IF(COUNT(AK16:AT16)=0,"-",IF(P16=0,0,ROUND(O16/P16,3)))</f>
        <v/>
      </c>
      <c r="X16" s="19">
        <f>IF($C16="","",$E16&amp;"#"&amp;COUNTIFS($E$12:$E16,$E16,$C$12:$C16,"&lt;&gt;"))</f>
        <v/>
      </c>
      <c r="Y16" s="20">
        <f>IFERROR(INDEX($H$12:$H$111,MATCH($E16&amp;"#1",$X$12:$X$111,0)),"")</f>
        <v/>
      </c>
      <c r="Z16" s="20">
        <f>IFERROR(INDEX($H$12:$H$111,MATCH($E16&amp;"#2",$X$12:$X$111,0)),"")</f>
        <v/>
      </c>
      <c r="AA16" s="20">
        <f>IFERROR(INDEX($H$12:$H$111,MATCH($E16&amp;"#3",$X$12:$X$111,0)),"")</f>
        <v/>
      </c>
      <c r="AB16" s="20">
        <f>IFERROR(INDEX($H$12:$H$111,MATCH($E16&amp;"#4",$X$12:$X$111,0)),"")</f>
        <v/>
      </c>
      <c r="AC16" s="20">
        <f>IFERROR(INDEX($H$12:$H$111,MATCH($E16&amp;"#5",$X$12:$X$111,0)),"")</f>
        <v/>
      </c>
      <c r="AD16" s="20">
        <f>IFERROR(INDEX($H$12:$H$111,MATCH($E16&amp;"#6",$X$12:$X$111,0)),"")</f>
        <v/>
      </c>
      <c r="AE16" s="20">
        <f>IFERROR(INDEX($H$12:$H$111,MATCH($E16&amp;"#7",$X$12:$X$111,0)),"")</f>
        <v/>
      </c>
      <c r="AF16" s="20">
        <f>IFERROR(INDEX($H$12:$H$111,MATCH($E16&amp;"#8",$X$12:$X$111,0)),"")</f>
        <v/>
      </c>
      <c r="AG16" s="20">
        <f>IFERROR(INDEX($H$12:$H$111,MATCH($E16&amp;"#9",$X$12:$X$111,0)),"")</f>
        <v/>
      </c>
      <c r="AH16" s="20">
        <f>IFERROR(INDEX($H$12:$H$111,MATCH($E16&amp;"#10",$X$12:$X$111,0)),"")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</row>
    <row r="17">
      <c r="A17" s="224" t="n"/>
      <c r="B17" s="12" t="inlineStr">
        <is>
          <t>A06</t>
        </is>
      </c>
      <c r="C17" s="13" t="n"/>
      <c r="D17" s="14" t="n"/>
      <c r="E17" s="15" t="inlineStr">
        <is>
          <t>A</t>
        </is>
      </c>
      <c r="G17" s="16">
        <f>IF($C17="","",$E17&amp;(COUNTIFS(I$12:I$111,"&gt;"&amp;I17,E$12:E$111,"="&amp;E17,C$12:C$111,"&lt;&gt;")+COUNTIFS(I$12:I$111,"="&amp;I17,H$12:H$111,"&lt;="&amp;H17,E$12:E$111,"="&amp;E17,C$12:C$111,"&lt;&gt;")))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IF(COUNT(AK17:AT17)=0,"-",SUM(AK17:AT17)&amp;"-"&amp;SUM(AW17:BF17))</f>
        <v/>
      </c>
      <c r="V17" s="18">
        <f>IF(COUNT(AK17:AT17)=0,"-",IF(SUM(BU17:CD17)=0,0,ROUND(SUM(BI17:BR17)/SUM(BU17:CD17),3)))</f>
        <v/>
      </c>
      <c r="W17" s="18">
        <f>IF(COUNT(AK17:AT17)=0,"-",IF(P17=0,0,ROUND(O17/P17,3)))</f>
        <v/>
      </c>
      <c r="X17" s="19">
        <f>IF($C17="","",$E17&amp;"#"&amp;COUNTIFS($E$12:$E17,$E17,$C$12:$C17,"&lt;&gt;"))</f>
        <v/>
      </c>
      <c r="Y17" s="20">
        <f>IFERROR(INDEX($H$12:$H$111,MATCH($E17&amp;"#1",$X$12:$X$111,0)),"")</f>
        <v/>
      </c>
      <c r="Z17" s="20">
        <f>IFERROR(INDEX($H$12:$H$111,MATCH($E17&amp;"#2",$X$12:$X$111,0)),"")</f>
        <v/>
      </c>
      <c r="AA17" s="20">
        <f>IFERROR(INDEX($H$12:$H$111,MATCH($E17&amp;"#3",$X$12:$X$111,0)),"")</f>
        <v/>
      </c>
      <c r="AB17" s="20">
        <f>IFERROR(INDEX($H$12:$H$111,MATCH($E17&amp;"#4",$X$12:$X$111,0)),"")</f>
        <v/>
      </c>
      <c r="AC17" s="20">
        <f>IFERROR(INDEX($H$12:$H$111,MATCH($E17&amp;"#5",$X$12:$X$111,0)),"")</f>
        <v/>
      </c>
      <c r="AD17" s="20">
        <f>IFERROR(INDEX($H$12:$H$111,MATCH($E17&amp;"#6",$X$12:$X$111,0)),"")</f>
        <v/>
      </c>
      <c r="AE17" s="20">
        <f>IFERROR(INDEX($H$12:$H$111,MATCH($E17&amp;"#7",$X$12:$X$111,0)),"")</f>
        <v/>
      </c>
      <c r="AF17" s="20">
        <f>IFERROR(INDEX($H$12:$H$111,MATCH($E17&amp;"#8",$X$12:$X$111,0)),"")</f>
        <v/>
      </c>
      <c r="AG17" s="20">
        <f>IFERROR(INDEX($H$12:$H$111,MATCH($E17&amp;"#9",$X$12:$X$111,0)),"")</f>
        <v/>
      </c>
      <c r="AH17" s="20">
        <f>IFERROR(INDEX($H$12:$H$111,MATCH($E17&amp;"#10",$X$12:$X$111,0)),"")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</row>
    <row r="18">
      <c r="A18" s="224" t="n"/>
      <c r="B18" s="12" t="inlineStr">
        <is>
          <t>A07</t>
        </is>
      </c>
      <c r="C18" s="13" t="n"/>
      <c r="D18" s="14" t="n"/>
      <c r="E18" s="15" t="inlineStr">
        <is>
          <t>A</t>
        </is>
      </c>
      <c r="G18" s="16">
        <f>IF($C18="","",$E18&amp;(COUNTIFS(I$12:I$111,"&gt;"&amp;I18,E$12:E$111,"="&amp;E18,C$12:C$111,"&lt;&gt;")+COUNTIFS(I$12:I$111,"="&amp;I18,H$12:H$111,"&lt;="&amp;H18,E$12:E$111,"="&amp;E18,C$12:C$111,"&lt;&gt;")))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IF(COUNT(AK18:AT18)=0,"-",SUM(AK18:AT18)&amp;"-"&amp;SUM(AW18:BF18))</f>
        <v/>
      </c>
      <c r="V18" s="18">
        <f>IF(COUNT(AK18:AT18)=0,"-",IF(SUM(BU18:CD18)=0,0,ROUND(SUM(BI18:BR18)/SUM(BU18:CD18),3)))</f>
        <v/>
      </c>
      <c r="W18" s="18">
        <f>IF(COUNT(AK18:AT18)=0,"-",IF(P18=0,0,ROUND(O18/P18,3)))</f>
        <v/>
      </c>
      <c r="X18" s="19">
        <f>IF($C18="","",$E18&amp;"#"&amp;COUNTIFS($E$12:$E18,$E18,$C$12:$C18,"&lt;&gt;"))</f>
        <v/>
      </c>
      <c r="Y18" s="20">
        <f>IFERROR(INDEX($H$12:$H$111,MATCH($E18&amp;"#1",$X$12:$X$111,0)),"")</f>
        <v/>
      </c>
      <c r="Z18" s="20">
        <f>IFERROR(INDEX($H$12:$H$111,MATCH($E18&amp;"#2",$X$12:$X$111,0)),"")</f>
        <v/>
      </c>
      <c r="AA18" s="20">
        <f>IFERROR(INDEX($H$12:$H$111,MATCH($E18&amp;"#3",$X$12:$X$111,0)),"")</f>
        <v/>
      </c>
      <c r="AB18" s="20">
        <f>IFERROR(INDEX($H$12:$H$111,MATCH($E18&amp;"#4",$X$12:$X$111,0)),"")</f>
        <v/>
      </c>
      <c r="AC18" s="20">
        <f>IFERROR(INDEX($H$12:$H$111,MATCH($E18&amp;"#5",$X$12:$X$111,0)),"")</f>
        <v/>
      </c>
      <c r="AD18" s="20">
        <f>IFERROR(INDEX($H$12:$H$111,MATCH($E18&amp;"#6",$X$12:$X$111,0)),"")</f>
        <v/>
      </c>
      <c r="AE18" s="20">
        <f>IFERROR(INDEX($H$12:$H$111,MATCH($E18&amp;"#7",$X$12:$X$111,0)),"")</f>
        <v/>
      </c>
      <c r="AF18" s="20">
        <f>IFERROR(INDEX($H$12:$H$111,MATCH($E18&amp;"#8",$X$12:$X$111,0)),"")</f>
        <v/>
      </c>
      <c r="AG18" s="20">
        <f>IFERROR(INDEX($H$12:$H$111,MATCH($E18&amp;"#9",$X$12:$X$111,0)),"")</f>
        <v/>
      </c>
      <c r="AH18" s="20">
        <f>IFERROR(INDEX($H$12:$H$111,MATCH($E18&amp;"#10",$X$12:$X$111,0)),"")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</row>
    <row r="19">
      <c r="A19" s="224" t="n"/>
      <c r="B19" s="12" t="inlineStr">
        <is>
          <t>A08</t>
        </is>
      </c>
      <c r="C19" s="13" t="n"/>
      <c r="D19" s="14" t="n"/>
      <c r="E19" s="15" t="inlineStr">
        <is>
          <t>A</t>
        </is>
      </c>
      <c r="G19" s="16">
        <f>IF($C19="","",$E19&amp;(COUNTIFS(I$12:I$111,"&gt;"&amp;I19,E$12:E$111,"="&amp;E19,C$12:C$111,"&lt;&gt;")+COUNTIFS(I$12:I$111,"="&amp;I19,H$12:H$111,"&lt;="&amp;H19,E$12:E$111,"="&amp;E19,C$12:C$111,"&lt;&gt;")))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IF(COUNT(AK19:AT19)=0,"-",SUM(AK19:AT19)&amp;"-"&amp;SUM(AW19:BF19))</f>
        <v/>
      </c>
      <c r="V19" s="18">
        <f>IF(COUNT(AK19:AT19)=0,"-",IF(SUM(BU19:CD19)=0,0,ROUND(SUM(BI19:BR19)/SUM(BU19:CD19),3)))</f>
        <v/>
      </c>
      <c r="W19" s="18">
        <f>IF(COUNT(AK19:AT19)=0,"-",IF(P19=0,0,ROUND(O19/P19,3)))</f>
        <v/>
      </c>
      <c r="X19" s="19">
        <f>IF($C19="","",$E19&amp;"#"&amp;COUNTIFS($E$12:$E19,$E19,$C$12:$C19,"&lt;&gt;"))</f>
        <v/>
      </c>
      <c r="Y19" s="20">
        <f>IFERROR(INDEX($H$12:$H$111,MATCH($E19&amp;"#1",$X$12:$X$111,0)),"")</f>
        <v/>
      </c>
      <c r="Z19" s="20">
        <f>IFERROR(INDEX($H$12:$H$111,MATCH($E19&amp;"#2",$X$12:$X$111,0)),"")</f>
        <v/>
      </c>
      <c r="AA19" s="20">
        <f>IFERROR(INDEX($H$12:$H$111,MATCH($E19&amp;"#3",$X$12:$X$111,0)),"")</f>
        <v/>
      </c>
      <c r="AB19" s="20">
        <f>IFERROR(INDEX($H$12:$H$111,MATCH($E19&amp;"#4",$X$12:$X$111,0)),"")</f>
        <v/>
      </c>
      <c r="AC19" s="20">
        <f>IFERROR(INDEX($H$12:$H$111,MATCH($E19&amp;"#5",$X$12:$X$111,0)),"")</f>
        <v/>
      </c>
      <c r="AD19" s="20">
        <f>IFERROR(INDEX($H$12:$H$111,MATCH($E19&amp;"#6",$X$12:$X$111,0)),"")</f>
        <v/>
      </c>
      <c r="AE19" s="20">
        <f>IFERROR(INDEX($H$12:$H$111,MATCH($E19&amp;"#7",$X$12:$X$111,0)),"")</f>
        <v/>
      </c>
      <c r="AF19" s="20">
        <f>IFERROR(INDEX($H$12:$H$111,MATCH($E19&amp;"#8",$X$12:$X$111,0)),"")</f>
        <v/>
      </c>
      <c r="AG19" s="20">
        <f>IFERROR(INDEX($H$12:$H$111,MATCH($E19&amp;"#9",$X$12:$X$111,0)),"")</f>
        <v/>
      </c>
      <c r="AH19" s="20">
        <f>IFERROR(INDEX($H$12:$H$111,MATCH($E19&amp;"#10",$X$12:$X$111,0)),"")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</row>
    <row r="20">
      <c r="A20" s="224" t="n"/>
      <c r="B20" s="12" t="inlineStr">
        <is>
          <t>A09</t>
        </is>
      </c>
      <c r="C20" s="13" t="n"/>
      <c r="D20" s="14" t="n"/>
      <c r="E20" s="15" t="inlineStr">
        <is>
          <t>A</t>
        </is>
      </c>
      <c r="G20" s="16">
        <f>IF($C20="","",$E20&amp;(COUNTIFS(I$12:I$111,"&gt;"&amp;I20,E$12:E$111,"="&amp;E20,C$12:C$111,"&lt;&gt;")+COUNTIFS(I$12:I$111,"="&amp;I20,H$12:H$111,"&lt;="&amp;H20,E$12:E$111,"="&amp;E20,C$12:C$111,"&lt;&gt;")))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IF(COUNT(AK20:AT20)=0,"-",SUM(AK20:AT20)&amp;"-"&amp;SUM(AW20:BF20))</f>
        <v/>
      </c>
      <c r="V20" s="18">
        <f>IF(COUNT(AK20:AT20)=0,"-",IF(SUM(BU20:CD20)=0,0,ROUND(SUM(BI20:BR20)/SUM(BU20:CD20),3)))</f>
        <v/>
      </c>
      <c r="W20" s="18">
        <f>IF(COUNT(AK20:AT20)=0,"-",IF(P20=0,0,ROUND(O20/P20,3)))</f>
        <v/>
      </c>
      <c r="X20" s="19">
        <f>IF($C20="","",$E20&amp;"#"&amp;COUNTIFS($E$12:$E20,$E20,$C$12:$C20,"&lt;&gt;"))</f>
        <v/>
      </c>
      <c r="Y20" s="20">
        <f>IFERROR(INDEX($H$12:$H$111,MATCH($E20&amp;"#1",$X$12:$X$111,0)),"")</f>
        <v/>
      </c>
      <c r="Z20" s="20">
        <f>IFERROR(INDEX($H$12:$H$111,MATCH($E20&amp;"#2",$X$12:$X$111,0)),"")</f>
        <v/>
      </c>
      <c r="AA20" s="20">
        <f>IFERROR(INDEX($H$12:$H$111,MATCH($E20&amp;"#3",$X$12:$X$111,0)),"")</f>
        <v/>
      </c>
      <c r="AB20" s="20">
        <f>IFERROR(INDEX($H$12:$H$111,MATCH($E20&amp;"#4",$X$12:$X$111,0)),"")</f>
        <v/>
      </c>
      <c r="AC20" s="20">
        <f>IFERROR(INDEX($H$12:$H$111,MATCH($E20&amp;"#5",$X$12:$X$111,0)),"")</f>
        <v/>
      </c>
      <c r="AD20" s="20">
        <f>IFERROR(INDEX($H$12:$H$111,MATCH($E20&amp;"#6",$X$12:$X$111,0)),"")</f>
        <v/>
      </c>
      <c r="AE20" s="20">
        <f>IFERROR(INDEX($H$12:$H$111,MATCH($E20&amp;"#7",$X$12:$X$111,0)),"")</f>
        <v/>
      </c>
      <c r="AF20" s="20">
        <f>IFERROR(INDEX($H$12:$H$111,MATCH($E20&amp;"#8",$X$12:$X$111,0)),"")</f>
        <v/>
      </c>
      <c r="AG20" s="20">
        <f>IFERROR(INDEX($H$12:$H$111,MATCH($E20&amp;"#9",$X$12:$X$111,0)),"")</f>
        <v/>
      </c>
      <c r="AH20" s="20">
        <f>IFERROR(INDEX($H$12:$H$111,MATCH($E20&amp;"#10",$X$12:$X$111,0)),"")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</row>
    <row r="21">
      <c r="A21" s="224" t="n"/>
      <c r="B21" s="12" t="inlineStr">
        <is>
          <t>A10</t>
        </is>
      </c>
      <c r="C21" s="13" t="n"/>
      <c r="D21" s="14" t="n"/>
      <c r="E21" s="15" t="inlineStr">
        <is>
          <t>A</t>
        </is>
      </c>
      <c r="G21" s="16">
        <f>IF($C21="","",$E21&amp;(COUNTIFS(I$12:I$111,"&gt;"&amp;I21,E$12:E$111,"="&amp;E21,C$12:C$111,"&lt;&gt;")+COUNTIFS(I$12:I$111,"="&amp;I21,H$12:H$111,"&lt;="&amp;H21,E$12:E$111,"="&amp;E21,C$12:C$111,"&lt;&gt;")))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IF(COUNT(AK21:AT21)=0,"-",SUM(AK21:AT21)&amp;"-"&amp;SUM(AW21:BF21))</f>
        <v/>
      </c>
      <c r="V21" s="18">
        <f>IF(COUNT(AK21:AT21)=0,"-",IF(SUM(BU21:CD21)=0,0,ROUND(SUM(BI21:BR21)/SUM(BU21:CD21),3)))</f>
        <v/>
      </c>
      <c r="W21" s="18">
        <f>IF(COUNT(AK21:AT21)=0,"-",IF(P21=0,0,ROUND(O21/P21,3)))</f>
        <v/>
      </c>
      <c r="X21" s="19">
        <f>IF($C21="","",$E21&amp;"#"&amp;COUNTIFS($E$12:$E21,$E21,$C$12:$C21,"&lt;&gt;"))</f>
        <v/>
      </c>
      <c r="Y21" s="20">
        <f>IFERROR(INDEX($H$12:$H$111,MATCH($E21&amp;"#1",$X$12:$X$111,0)),"")</f>
        <v/>
      </c>
      <c r="Z21" s="20">
        <f>IFERROR(INDEX($H$12:$H$111,MATCH($E21&amp;"#2",$X$12:$X$111,0)),"")</f>
        <v/>
      </c>
      <c r="AA21" s="20">
        <f>IFERROR(INDEX($H$12:$H$111,MATCH($E21&amp;"#3",$X$12:$X$111,0)),"")</f>
        <v/>
      </c>
      <c r="AB21" s="20">
        <f>IFERROR(INDEX($H$12:$H$111,MATCH($E21&amp;"#4",$X$12:$X$111,0)),"")</f>
        <v/>
      </c>
      <c r="AC21" s="20">
        <f>IFERROR(INDEX($H$12:$H$111,MATCH($E21&amp;"#5",$X$12:$X$111,0)),"")</f>
        <v/>
      </c>
      <c r="AD21" s="20">
        <f>IFERROR(INDEX($H$12:$H$111,MATCH($E21&amp;"#6",$X$12:$X$111,0)),"")</f>
        <v/>
      </c>
      <c r="AE21" s="20">
        <f>IFERROR(INDEX($H$12:$H$111,MATCH($E21&amp;"#7",$X$12:$X$111,0)),"")</f>
        <v/>
      </c>
      <c r="AF21" s="20">
        <f>IFERROR(INDEX($H$12:$H$111,MATCH($E21&amp;"#8",$X$12:$X$111,0)),"")</f>
        <v/>
      </c>
      <c r="AG21" s="20">
        <f>IFERROR(INDEX($H$12:$H$111,MATCH($E21&amp;"#9",$X$12:$X$111,0)),"")</f>
        <v/>
      </c>
      <c r="AH21" s="20">
        <f>IFERROR(INDEX($H$12:$H$111,MATCH($E21&amp;"#10",$X$12:$X$111,0)),"")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</row>
    <row r="22">
      <c r="A22" s="224" t="n"/>
      <c r="B22" s="12" t="inlineStr">
        <is>
          <t>B01</t>
        </is>
      </c>
      <c r="C22" s="13" t="n"/>
      <c r="D22" s="14" t="n"/>
      <c r="E22" s="23" t="inlineStr">
        <is>
          <t>B</t>
        </is>
      </c>
      <c r="G22" s="24">
        <f>IF($C22="","",$E22&amp;(COUNTIFS(I$12:I$111,"&gt;"&amp;I22,E$12:E$111,"="&amp;E22,C$12:C$111,"&lt;&gt;")+COUNTIFS(I$12:I$111,"="&amp;I22,H$12:H$111,"&lt;="&amp;H22,E$12:E$111,"="&amp;E22,C$12:C$111,"&lt;&gt;")))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24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IF(COUNT(AK22:AT22)=0,"-",SUM(AK22:AT22)&amp;"-"&amp;SUM(AW22:BF22))</f>
        <v/>
      </c>
      <c r="V22" s="18">
        <f>IF(COUNT(AK22:AT22)=0,"-",IF(SUM(BU22:CD22)=0,0,ROUND(SUM(BI22:BR22)/SUM(BU22:CD22),3)))</f>
        <v/>
      </c>
      <c r="W22" s="18">
        <f>IF(COUNT(AK22:AT22)=0,"-",IF(P22=0,0,ROUND(O22/P22,3)))</f>
        <v/>
      </c>
      <c r="X22" s="19">
        <f>IF($C22="","",$E22&amp;"#"&amp;COUNTIFS($E$12:$E22,$E22,$C$12:$C22,"&lt;&gt;"))</f>
        <v/>
      </c>
      <c r="Y22" s="20">
        <f>IFERROR(INDEX($H$12:$H$111,MATCH($E22&amp;"#1",$X$12:$X$111,0)),"")</f>
        <v/>
      </c>
      <c r="Z22" s="20">
        <f>IFERROR(INDEX($H$12:$H$111,MATCH($E22&amp;"#2",$X$12:$X$111,0)),"")</f>
        <v/>
      </c>
      <c r="AA22" s="20">
        <f>IFERROR(INDEX($H$12:$H$111,MATCH($E22&amp;"#3",$X$12:$X$111,0)),"")</f>
        <v/>
      </c>
      <c r="AB22" s="20">
        <f>IFERROR(INDEX($H$12:$H$111,MATCH($E22&amp;"#4",$X$12:$X$111,0)),"")</f>
        <v/>
      </c>
      <c r="AC22" s="20">
        <f>IFERROR(INDEX($H$12:$H$111,MATCH($E22&amp;"#5",$X$12:$X$111,0)),"")</f>
        <v/>
      </c>
      <c r="AD22" s="20">
        <f>IFERROR(INDEX($H$12:$H$111,MATCH($E22&amp;"#6",$X$12:$X$111,0)),"")</f>
        <v/>
      </c>
      <c r="AE22" s="20">
        <f>IFERROR(INDEX($H$12:$H$111,MATCH($E22&amp;"#7",$X$12:$X$111,0)),"")</f>
        <v/>
      </c>
      <c r="AF22" s="20">
        <f>IFERROR(INDEX($H$12:$H$111,MATCH($E22&amp;"#8",$X$12:$X$111,0)),"")</f>
        <v/>
      </c>
      <c r="AG22" s="20">
        <f>IFERROR(INDEX($H$12:$H$111,MATCH($E22&amp;"#9",$X$12:$X$111,0)),"")</f>
        <v/>
      </c>
      <c r="AH22" s="20">
        <f>IFERROR(INDEX($H$12:$H$111,MATCH($E22&amp;"#10",$X$12:$X$111,0)),"")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</row>
    <row r="23">
      <c r="A23" s="224" t="n"/>
      <c r="B23" s="12" t="inlineStr">
        <is>
          <t>B02</t>
        </is>
      </c>
      <c r="C23" s="13" t="n"/>
      <c r="D23" s="14" t="n"/>
      <c r="E23" s="23" t="inlineStr">
        <is>
          <t>B</t>
        </is>
      </c>
      <c r="G23" s="24">
        <f>IF($C23="","",$E23&amp;(COUNTIFS(I$12:I$111,"&gt;"&amp;I23,E$12:E$111,"="&amp;E23,C$12:C$111,"&lt;&gt;")+COUNTIFS(I$12:I$111,"="&amp;I23,H$12:H$111,"&lt;="&amp;H23,E$12:E$111,"="&amp;E23,C$12:C$111,"&lt;&gt;")))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24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IF(COUNT(AK23:AT23)=0,"-",SUM(AK23:AT23)&amp;"-"&amp;SUM(AW23:BF23))</f>
        <v/>
      </c>
      <c r="V23" s="18">
        <f>IF(COUNT(AK23:AT23)=0,"-",IF(SUM(BU23:CD23)=0,0,ROUND(SUM(BI23:BR23)/SUM(BU23:CD23),3)))</f>
        <v/>
      </c>
      <c r="W23" s="18">
        <f>IF(COUNT(AK23:AT23)=0,"-",IF(P23=0,0,ROUND(O23/P23,3)))</f>
        <v/>
      </c>
      <c r="X23" s="19">
        <f>IF($C23="","",$E23&amp;"#"&amp;COUNTIFS($E$12:$E23,$E23,$C$12:$C23,"&lt;&gt;"))</f>
        <v/>
      </c>
      <c r="Y23" s="20">
        <f>IFERROR(INDEX($H$12:$H$111,MATCH($E23&amp;"#1",$X$12:$X$111,0)),"")</f>
        <v/>
      </c>
      <c r="Z23" s="20">
        <f>IFERROR(INDEX($H$12:$H$111,MATCH($E23&amp;"#2",$X$12:$X$111,0)),"")</f>
        <v/>
      </c>
      <c r="AA23" s="20">
        <f>IFERROR(INDEX($H$12:$H$111,MATCH($E23&amp;"#3",$X$12:$X$111,0)),"")</f>
        <v/>
      </c>
      <c r="AB23" s="20">
        <f>IFERROR(INDEX($H$12:$H$111,MATCH($E23&amp;"#4",$X$12:$X$111,0)),"")</f>
        <v/>
      </c>
      <c r="AC23" s="20">
        <f>IFERROR(INDEX($H$12:$H$111,MATCH($E23&amp;"#5",$X$12:$X$111,0)),"")</f>
        <v/>
      </c>
      <c r="AD23" s="20">
        <f>IFERROR(INDEX($H$12:$H$111,MATCH($E23&amp;"#6",$X$12:$X$111,0)),"")</f>
        <v/>
      </c>
      <c r="AE23" s="20">
        <f>IFERROR(INDEX($H$12:$H$111,MATCH($E23&amp;"#7",$X$12:$X$111,0)),"")</f>
        <v/>
      </c>
      <c r="AF23" s="20">
        <f>IFERROR(INDEX($H$12:$H$111,MATCH($E23&amp;"#8",$X$12:$X$111,0)),"")</f>
        <v/>
      </c>
      <c r="AG23" s="20">
        <f>IFERROR(INDEX($H$12:$H$111,MATCH($E23&amp;"#9",$X$12:$X$111,0)),"")</f>
        <v/>
      </c>
      <c r="AH23" s="20">
        <f>IFERROR(INDEX($H$12:$H$111,MATCH($E23&amp;"#10",$X$12:$X$111,0)),"")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</row>
    <row r="24">
      <c r="A24" s="224" t="n"/>
      <c r="B24" s="12" t="inlineStr">
        <is>
          <t>B03</t>
        </is>
      </c>
      <c r="C24" s="13" t="n"/>
      <c r="D24" s="14" t="n"/>
      <c r="E24" s="23" t="inlineStr">
        <is>
          <t>B</t>
        </is>
      </c>
      <c r="G24" s="24">
        <f>IF($C24="","",$E24&amp;(COUNTIFS(I$12:I$111,"&gt;"&amp;I24,E$12:E$111,"="&amp;E24,C$12:C$111,"&lt;&gt;")+COUNTIFS(I$12:I$111,"="&amp;I24,H$12:H$111,"&lt;="&amp;H24,E$12:E$111,"="&amp;E24,C$12:C$111,"&lt;&gt;")))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IF(COUNT(AK24:AT24)=0,"-",SUM(AK24:AT24)&amp;"-"&amp;SUM(AW24:BF24))</f>
        <v/>
      </c>
      <c r="V24" s="18">
        <f>IF(COUNT(AK24:AT24)=0,"-",IF(SUM(BU24:CD24)=0,0,ROUND(SUM(BI24:BR24)/SUM(BU24:CD24),3)))</f>
        <v/>
      </c>
      <c r="W24" s="18">
        <f>IF(COUNT(AK24:AT24)=0,"-",IF(P24=0,0,ROUND(O24/P24,3)))</f>
        <v/>
      </c>
      <c r="X24" s="19">
        <f>IF($C24="","",$E24&amp;"#"&amp;COUNTIFS($E$12:$E24,$E24,$C$12:$C24,"&lt;&gt;"))</f>
        <v/>
      </c>
      <c r="Y24" s="20">
        <f>IFERROR(INDEX($H$12:$H$111,MATCH($E24&amp;"#1",$X$12:$X$111,0)),"")</f>
        <v/>
      </c>
      <c r="Z24" s="20">
        <f>IFERROR(INDEX($H$12:$H$111,MATCH($E24&amp;"#2",$X$12:$X$111,0)),"")</f>
        <v/>
      </c>
      <c r="AA24" s="20">
        <f>IFERROR(INDEX($H$12:$H$111,MATCH($E24&amp;"#3",$X$12:$X$111,0)),"")</f>
        <v/>
      </c>
      <c r="AB24" s="20">
        <f>IFERROR(INDEX($H$12:$H$111,MATCH($E24&amp;"#4",$X$12:$X$111,0)),"")</f>
        <v/>
      </c>
      <c r="AC24" s="20">
        <f>IFERROR(INDEX($H$12:$H$111,MATCH($E24&amp;"#5",$X$12:$X$111,0)),"")</f>
        <v/>
      </c>
      <c r="AD24" s="20">
        <f>IFERROR(INDEX($H$12:$H$111,MATCH($E24&amp;"#6",$X$12:$X$111,0)),"")</f>
        <v/>
      </c>
      <c r="AE24" s="20">
        <f>IFERROR(INDEX($H$12:$H$111,MATCH($E24&amp;"#7",$X$12:$X$111,0)),"")</f>
        <v/>
      </c>
      <c r="AF24" s="20">
        <f>IFERROR(INDEX($H$12:$H$111,MATCH($E24&amp;"#8",$X$12:$X$111,0)),"")</f>
        <v/>
      </c>
      <c r="AG24" s="20">
        <f>IFERROR(INDEX($H$12:$H$111,MATCH($E24&amp;"#9",$X$12:$X$111,0)),"")</f>
        <v/>
      </c>
      <c r="AH24" s="20">
        <f>IFERROR(INDEX($H$12:$H$111,MATCH($E24&amp;"#10",$X$12:$X$111,0)),"")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</row>
    <row r="25">
      <c r="A25" s="224" t="n"/>
      <c r="B25" s="12" t="inlineStr">
        <is>
          <t>B04</t>
        </is>
      </c>
      <c r="C25" s="13" t="n"/>
      <c r="D25" s="14" t="n"/>
      <c r="E25" s="23" t="inlineStr">
        <is>
          <t>B</t>
        </is>
      </c>
      <c r="G25" s="24">
        <f>IF($C25="","",$E25&amp;(COUNTIFS(I$12:I$111,"&gt;"&amp;I25,E$12:E$111,"="&amp;E25,C$12:C$111,"&lt;&gt;")+COUNTIFS(I$12:I$111,"="&amp;I25,H$12:H$111,"&lt;="&amp;H25,E$12:E$111,"="&amp;E25,C$12:C$111,"&lt;&gt;")))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IF(COUNT(AK25:AT25)=0,"-",SUM(AK25:AT25)&amp;"-"&amp;SUM(AW25:BF25))</f>
        <v/>
      </c>
      <c r="V25" s="18">
        <f>IF(COUNT(AK25:AT25)=0,"-",IF(SUM(BU25:CD25)=0,0,ROUND(SUM(BI25:BR25)/SUM(BU25:CD25),3)))</f>
        <v/>
      </c>
      <c r="W25" s="18">
        <f>IF(COUNT(AK25:AT25)=0,"-",IF(P25=0,0,ROUND(O25/P25,3)))</f>
        <v/>
      </c>
      <c r="X25" s="19">
        <f>IF($C25="","",$E25&amp;"#"&amp;COUNTIFS($E$12:$E25,$E25,$C$12:$C25,"&lt;&gt;"))</f>
        <v/>
      </c>
      <c r="Y25" s="20">
        <f>IFERROR(INDEX($H$12:$H$111,MATCH($E25&amp;"#1",$X$12:$X$111,0)),"")</f>
        <v/>
      </c>
      <c r="Z25" s="20">
        <f>IFERROR(INDEX($H$12:$H$111,MATCH($E25&amp;"#2",$X$12:$X$111,0)),"")</f>
        <v/>
      </c>
      <c r="AA25" s="20">
        <f>IFERROR(INDEX($H$12:$H$111,MATCH($E25&amp;"#3",$X$12:$X$111,0)),"")</f>
        <v/>
      </c>
      <c r="AB25" s="20">
        <f>IFERROR(INDEX($H$12:$H$111,MATCH($E25&amp;"#4",$X$12:$X$111,0)),"")</f>
        <v/>
      </c>
      <c r="AC25" s="20">
        <f>IFERROR(INDEX($H$12:$H$111,MATCH($E25&amp;"#5",$X$12:$X$111,0)),"")</f>
        <v/>
      </c>
      <c r="AD25" s="20">
        <f>IFERROR(INDEX($H$12:$H$111,MATCH($E25&amp;"#6",$X$12:$X$111,0)),"")</f>
        <v/>
      </c>
      <c r="AE25" s="20">
        <f>IFERROR(INDEX($H$12:$H$111,MATCH($E25&amp;"#7",$X$12:$X$111,0)),"")</f>
        <v/>
      </c>
      <c r="AF25" s="20">
        <f>IFERROR(INDEX($H$12:$H$111,MATCH($E25&amp;"#8",$X$12:$X$111,0)),"")</f>
        <v/>
      </c>
      <c r="AG25" s="20">
        <f>IFERROR(INDEX($H$12:$H$111,MATCH($E25&amp;"#9",$X$12:$X$111,0)),"")</f>
        <v/>
      </c>
      <c r="AH25" s="20">
        <f>IFERROR(INDEX($H$12:$H$111,MATCH($E25&amp;"#10",$X$12:$X$111,0)),"")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</row>
    <row r="26">
      <c r="A26" s="224" t="n"/>
      <c r="B26" s="12" t="inlineStr">
        <is>
          <t>B05</t>
        </is>
      </c>
      <c r="C26" s="13" t="n"/>
      <c r="D26" s="14" t="n"/>
      <c r="E26" s="23" t="inlineStr">
        <is>
          <t>B</t>
        </is>
      </c>
      <c r="G26" s="24">
        <f>IF($C26="","",$E26&amp;(COUNTIFS(I$12:I$111,"&gt;"&amp;I26,E$12:E$111,"="&amp;E26,C$12:C$111,"&lt;&gt;")+COUNTIFS(I$12:I$111,"="&amp;I26,H$12:H$111,"&lt;="&amp;H26,E$12:E$111,"="&amp;E26,C$12:C$111,"&lt;&gt;")))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IF(COUNT(AK26:AT26)=0,"-",SUM(AK26:AT26)&amp;"-"&amp;SUM(AW26:BF26))</f>
        <v/>
      </c>
      <c r="V26" s="18">
        <f>IF(COUNT(AK26:AT26)=0,"-",IF(SUM(BU26:CD26)=0,0,ROUND(SUM(BI26:BR26)/SUM(BU26:CD26),3)))</f>
        <v/>
      </c>
      <c r="W26" s="18">
        <f>IF(COUNT(AK26:AT26)=0,"-",IF(P26=0,0,ROUND(O26/P26,3)))</f>
        <v/>
      </c>
      <c r="X26" s="19">
        <f>IF($C26="","",$E26&amp;"#"&amp;COUNTIFS($E$12:$E26,$E26,$C$12:$C26,"&lt;&gt;"))</f>
        <v/>
      </c>
      <c r="Y26" s="20">
        <f>IFERROR(INDEX($H$12:$H$111,MATCH($E26&amp;"#1",$X$12:$X$111,0)),"")</f>
        <v/>
      </c>
      <c r="Z26" s="20">
        <f>IFERROR(INDEX($H$12:$H$111,MATCH($E26&amp;"#2",$X$12:$X$111,0)),"")</f>
        <v/>
      </c>
      <c r="AA26" s="20">
        <f>IFERROR(INDEX($H$12:$H$111,MATCH($E26&amp;"#3",$X$12:$X$111,0)),"")</f>
        <v/>
      </c>
      <c r="AB26" s="20">
        <f>IFERROR(INDEX($H$12:$H$111,MATCH($E26&amp;"#4",$X$12:$X$111,0)),"")</f>
        <v/>
      </c>
      <c r="AC26" s="20">
        <f>IFERROR(INDEX($H$12:$H$111,MATCH($E26&amp;"#5",$X$12:$X$111,0)),"")</f>
        <v/>
      </c>
      <c r="AD26" s="20">
        <f>IFERROR(INDEX($H$12:$H$111,MATCH($E26&amp;"#6",$X$12:$X$111,0)),"")</f>
        <v/>
      </c>
      <c r="AE26" s="20">
        <f>IFERROR(INDEX($H$12:$H$111,MATCH($E26&amp;"#7",$X$12:$X$111,0)),"")</f>
        <v/>
      </c>
      <c r="AF26" s="20">
        <f>IFERROR(INDEX($H$12:$H$111,MATCH($E26&amp;"#8",$X$12:$X$111,0)),"")</f>
        <v/>
      </c>
      <c r="AG26" s="20">
        <f>IFERROR(INDEX($H$12:$H$111,MATCH($E26&amp;"#9",$X$12:$X$111,0)),"")</f>
        <v/>
      </c>
      <c r="AH26" s="20">
        <f>IFERROR(INDEX($H$12:$H$111,MATCH($E26&amp;"#10",$X$12:$X$111,0)),"")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</row>
    <row r="27">
      <c r="A27" s="224" t="n"/>
      <c r="B27" s="12" t="inlineStr">
        <is>
          <t>B06</t>
        </is>
      </c>
      <c r="C27" s="13" t="n"/>
      <c r="D27" s="14" t="n"/>
      <c r="E27" s="23" t="inlineStr">
        <is>
          <t>B</t>
        </is>
      </c>
      <c r="G27" s="24">
        <f>IF($C27="","",$E27&amp;(COUNTIFS(I$12:I$111,"&gt;"&amp;I27,E$12:E$111,"="&amp;E27,C$12:C$111,"&lt;&gt;")+COUNTIFS(I$12:I$111,"="&amp;I27,H$12:H$111,"&lt;="&amp;H27,E$12:E$111,"="&amp;E27,C$12:C$111,"&lt;&gt;")))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IF(COUNT(AK27:AT27)=0,"-",SUM(AK27:AT27)&amp;"-"&amp;SUM(AW27:BF27))</f>
        <v/>
      </c>
      <c r="V27" s="18">
        <f>IF(COUNT(AK27:AT27)=0,"-",IF(SUM(BU27:CD27)=0,0,ROUND(SUM(BI27:BR27)/SUM(BU27:CD27),3)))</f>
        <v/>
      </c>
      <c r="W27" s="18">
        <f>IF(COUNT(AK27:AT27)=0,"-",IF(P27=0,0,ROUND(O27/P27,3)))</f>
        <v/>
      </c>
      <c r="X27" s="19">
        <f>IF($C27="","",$E27&amp;"#"&amp;COUNTIFS($E$12:$E27,$E27,$C$12:$C27,"&lt;&gt;"))</f>
        <v/>
      </c>
      <c r="Y27" s="20">
        <f>IFERROR(INDEX($H$12:$H$111,MATCH($E27&amp;"#1",$X$12:$X$111,0)),"")</f>
        <v/>
      </c>
      <c r="Z27" s="20">
        <f>IFERROR(INDEX($H$12:$H$111,MATCH($E27&amp;"#2",$X$12:$X$111,0)),"")</f>
        <v/>
      </c>
      <c r="AA27" s="20">
        <f>IFERROR(INDEX($H$12:$H$111,MATCH($E27&amp;"#3",$X$12:$X$111,0)),"")</f>
        <v/>
      </c>
      <c r="AB27" s="20">
        <f>IFERROR(INDEX($H$12:$H$111,MATCH($E27&amp;"#4",$X$12:$X$111,0)),"")</f>
        <v/>
      </c>
      <c r="AC27" s="20">
        <f>IFERROR(INDEX($H$12:$H$111,MATCH($E27&amp;"#5",$X$12:$X$111,0)),"")</f>
        <v/>
      </c>
      <c r="AD27" s="20">
        <f>IFERROR(INDEX($H$12:$H$111,MATCH($E27&amp;"#6",$X$12:$X$111,0)),"")</f>
        <v/>
      </c>
      <c r="AE27" s="20">
        <f>IFERROR(INDEX($H$12:$H$111,MATCH($E27&amp;"#7",$X$12:$X$111,0)),"")</f>
        <v/>
      </c>
      <c r="AF27" s="20">
        <f>IFERROR(INDEX($H$12:$H$111,MATCH($E27&amp;"#8",$X$12:$X$111,0)),"")</f>
        <v/>
      </c>
      <c r="AG27" s="20">
        <f>IFERROR(INDEX($H$12:$H$111,MATCH($E27&amp;"#9",$X$12:$X$111,0)),"")</f>
        <v/>
      </c>
      <c r="AH27" s="20">
        <f>IFERROR(INDEX($H$12:$H$111,MATCH($E27&amp;"#10",$X$12:$X$111,0)),"")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</row>
    <row r="28">
      <c r="A28" s="224" t="n"/>
      <c r="B28" s="12" t="inlineStr">
        <is>
          <t>B07</t>
        </is>
      </c>
      <c r="C28" s="13" t="n"/>
      <c r="D28" s="14" t="n"/>
      <c r="E28" s="23" t="inlineStr">
        <is>
          <t>B</t>
        </is>
      </c>
      <c r="G28" s="24">
        <f>IF($C28="","",$E28&amp;(COUNTIFS(I$12:I$111,"&gt;"&amp;I28,E$12:E$111,"="&amp;E28,C$12:C$111,"&lt;&gt;")+COUNTIFS(I$12:I$111,"="&amp;I28,H$12:H$111,"&lt;="&amp;H28,E$12:E$111,"="&amp;E28,C$12:C$111,"&lt;&gt;")))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IF(COUNT(AK28:AT28)=0,"-",SUM(AK28:AT28)&amp;"-"&amp;SUM(AW28:BF28))</f>
        <v/>
      </c>
      <c r="V28" s="18">
        <f>IF(COUNT(AK28:AT28)=0,"-",IF(SUM(BU28:CD28)=0,0,ROUND(SUM(BI28:BR28)/SUM(BU28:CD28),3)))</f>
        <v/>
      </c>
      <c r="W28" s="18">
        <f>IF(COUNT(AK28:AT28)=0,"-",IF(P28=0,0,ROUND(O28/P28,3)))</f>
        <v/>
      </c>
      <c r="X28" s="19">
        <f>IF($C28="","",$E28&amp;"#"&amp;COUNTIFS($E$12:$E28,$E28,$C$12:$C28,"&lt;&gt;"))</f>
        <v/>
      </c>
      <c r="Y28" s="20">
        <f>IFERROR(INDEX($H$12:$H$111,MATCH($E28&amp;"#1",$X$12:$X$111,0)),"")</f>
        <v/>
      </c>
      <c r="Z28" s="20">
        <f>IFERROR(INDEX($H$12:$H$111,MATCH($E28&amp;"#2",$X$12:$X$111,0)),"")</f>
        <v/>
      </c>
      <c r="AA28" s="20">
        <f>IFERROR(INDEX($H$12:$H$111,MATCH($E28&amp;"#3",$X$12:$X$111,0)),"")</f>
        <v/>
      </c>
      <c r="AB28" s="20">
        <f>IFERROR(INDEX($H$12:$H$111,MATCH($E28&amp;"#4",$X$12:$X$111,0)),"")</f>
        <v/>
      </c>
      <c r="AC28" s="20">
        <f>IFERROR(INDEX($H$12:$H$111,MATCH($E28&amp;"#5",$X$12:$X$111,0)),"")</f>
        <v/>
      </c>
      <c r="AD28" s="20">
        <f>IFERROR(INDEX($H$12:$H$111,MATCH($E28&amp;"#6",$X$12:$X$111,0)),"")</f>
        <v/>
      </c>
      <c r="AE28" s="20">
        <f>IFERROR(INDEX($H$12:$H$111,MATCH($E28&amp;"#7",$X$12:$X$111,0)),"")</f>
        <v/>
      </c>
      <c r="AF28" s="20">
        <f>IFERROR(INDEX($H$12:$H$111,MATCH($E28&amp;"#8",$X$12:$X$111,0)),"")</f>
        <v/>
      </c>
      <c r="AG28" s="20">
        <f>IFERROR(INDEX($H$12:$H$111,MATCH($E28&amp;"#9",$X$12:$X$111,0)),"")</f>
        <v/>
      </c>
      <c r="AH28" s="20">
        <f>IFERROR(INDEX($H$12:$H$111,MATCH($E28&amp;"#10",$X$12:$X$111,0)),"")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</row>
    <row r="29">
      <c r="A29" s="224" t="n"/>
      <c r="B29" s="12" t="inlineStr">
        <is>
          <t>B08</t>
        </is>
      </c>
      <c r="C29" s="13" t="n"/>
      <c r="D29" s="14" t="n"/>
      <c r="E29" s="23" t="inlineStr">
        <is>
          <t>B</t>
        </is>
      </c>
      <c r="G29" s="24">
        <f>IF($C29="","",$E29&amp;(COUNTIFS(I$12:I$111,"&gt;"&amp;I29,E$12:E$111,"="&amp;E29,C$12:C$111,"&lt;&gt;")+COUNTIFS(I$12:I$111,"="&amp;I29,H$12:H$111,"&lt;="&amp;H29,E$12:E$111,"="&amp;E29,C$12:C$111,"&lt;&gt;")))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IF(COUNT(AK29:AT29)=0,"-",SUM(AK29:AT29)&amp;"-"&amp;SUM(AW29:BF29))</f>
        <v/>
      </c>
      <c r="V29" s="18">
        <f>IF(COUNT(AK29:AT29)=0,"-",IF(SUM(BU29:CD29)=0,0,ROUND(SUM(BI29:BR29)/SUM(BU29:CD29),3)))</f>
        <v/>
      </c>
      <c r="W29" s="18">
        <f>IF(COUNT(AK29:AT29)=0,"-",IF(P29=0,0,ROUND(O29/P29,3)))</f>
        <v/>
      </c>
      <c r="X29" s="19">
        <f>IF($C29="","",$E29&amp;"#"&amp;COUNTIFS($E$12:$E29,$E29,$C$12:$C29,"&lt;&gt;"))</f>
        <v/>
      </c>
      <c r="Y29" s="20">
        <f>IFERROR(INDEX($H$12:$H$111,MATCH($E29&amp;"#1",$X$12:$X$111,0)),"")</f>
        <v/>
      </c>
      <c r="Z29" s="20">
        <f>IFERROR(INDEX($H$12:$H$111,MATCH($E29&amp;"#2",$X$12:$X$111,0)),"")</f>
        <v/>
      </c>
      <c r="AA29" s="20">
        <f>IFERROR(INDEX($H$12:$H$111,MATCH($E29&amp;"#3",$X$12:$X$111,0)),"")</f>
        <v/>
      </c>
      <c r="AB29" s="20">
        <f>IFERROR(INDEX($H$12:$H$111,MATCH($E29&amp;"#4",$X$12:$X$111,0)),"")</f>
        <v/>
      </c>
      <c r="AC29" s="20">
        <f>IFERROR(INDEX($H$12:$H$111,MATCH($E29&amp;"#5",$X$12:$X$111,0)),"")</f>
        <v/>
      </c>
      <c r="AD29" s="20">
        <f>IFERROR(INDEX($H$12:$H$111,MATCH($E29&amp;"#6",$X$12:$X$111,0)),"")</f>
        <v/>
      </c>
      <c r="AE29" s="20">
        <f>IFERROR(INDEX($H$12:$H$111,MATCH($E29&amp;"#7",$X$12:$X$111,0)),"")</f>
        <v/>
      </c>
      <c r="AF29" s="20">
        <f>IFERROR(INDEX($H$12:$H$111,MATCH($E29&amp;"#8",$X$12:$X$111,0)),"")</f>
        <v/>
      </c>
      <c r="AG29" s="20">
        <f>IFERROR(INDEX($H$12:$H$111,MATCH($E29&amp;"#9",$X$12:$X$111,0)),"")</f>
        <v/>
      </c>
      <c r="AH29" s="20">
        <f>IFERROR(INDEX($H$12:$H$111,MATCH($E29&amp;"#10",$X$12:$X$111,0)),"")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</row>
    <row r="30">
      <c r="A30" s="224" t="n"/>
      <c r="B30" s="12" t="inlineStr">
        <is>
          <t>B09</t>
        </is>
      </c>
      <c r="C30" s="13" t="n"/>
      <c r="D30" s="14" t="n"/>
      <c r="E30" s="23" t="inlineStr">
        <is>
          <t>B</t>
        </is>
      </c>
      <c r="G30" s="24">
        <f>IF($C30="","",$E30&amp;(COUNTIFS(I$12:I$111,"&gt;"&amp;I30,E$12:E$111,"="&amp;E30,C$12:C$111,"&lt;&gt;")+COUNTIFS(I$12:I$111,"="&amp;I30,H$12:H$111,"&lt;="&amp;H30,E$12:E$111,"="&amp;E30,C$12:C$111,"&lt;&gt;")))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IF(COUNT(AK30:AT30)=0,"-",SUM(AK30:AT30)&amp;"-"&amp;SUM(AW30:BF30))</f>
        <v/>
      </c>
      <c r="V30" s="18">
        <f>IF(COUNT(AK30:AT30)=0,"-",IF(SUM(BU30:CD30)=0,0,ROUND(SUM(BI30:BR30)/SUM(BU30:CD30),3)))</f>
        <v/>
      </c>
      <c r="W30" s="18">
        <f>IF(COUNT(AK30:AT30)=0,"-",IF(P30=0,0,ROUND(O30/P30,3)))</f>
        <v/>
      </c>
      <c r="X30" s="19">
        <f>IF($C30="","",$E30&amp;"#"&amp;COUNTIFS($E$12:$E30,$E30,$C$12:$C30,"&lt;&gt;"))</f>
        <v/>
      </c>
      <c r="Y30" s="20">
        <f>IFERROR(INDEX($H$12:$H$111,MATCH($E30&amp;"#1",$X$12:$X$111,0)),"")</f>
        <v/>
      </c>
      <c r="Z30" s="20">
        <f>IFERROR(INDEX($H$12:$H$111,MATCH($E30&amp;"#2",$X$12:$X$111,0)),"")</f>
        <v/>
      </c>
      <c r="AA30" s="20">
        <f>IFERROR(INDEX($H$12:$H$111,MATCH($E30&amp;"#3",$X$12:$X$111,0)),"")</f>
        <v/>
      </c>
      <c r="AB30" s="20">
        <f>IFERROR(INDEX($H$12:$H$111,MATCH($E30&amp;"#4",$X$12:$X$111,0)),"")</f>
        <v/>
      </c>
      <c r="AC30" s="20">
        <f>IFERROR(INDEX($H$12:$H$111,MATCH($E30&amp;"#5",$X$12:$X$111,0)),"")</f>
        <v/>
      </c>
      <c r="AD30" s="20">
        <f>IFERROR(INDEX($H$12:$H$111,MATCH($E30&amp;"#6",$X$12:$X$111,0)),"")</f>
        <v/>
      </c>
      <c r="AE30" s="20">
        <f>IFERROR(INDEX($H$12:$H$111,MATCH($E30&amp;"#7",$X$12:$X$111,0)),"")</f>
        <v/>
      </c>
      <c r="AF30" s="20">
        <f>IFERROR(INDEX($H$12:$H$111,MATCH($E30&amp;"#8",$X$12:$X$111,0)),"")</f>
        <v/>
      </c>
      <c r="AG30" s="20">
        <f>IFERROR(INDEX($H$12:$H$111,MATCH($E30&amp;"#9",$X$12:$X$111,0)),"")</f>
        <v/>
      </c>
      <c r="AH30" s="20">
        <f>IFERROR(INDEX($H$12:$H$111,MATCH($E30&amp;"#10",$X$12:$X$111,0)),"")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</row>
    <row r="31">
      <c r="A31" s="224" t="n"/>
      <c r="B31" s="12" t="inlineStr">
        <is>
          <t>B10</t>
        </is>
      </c>
      <c r="C31" s="13" t="n"/>
      <c r="D31" s="14" t="n"/>
      <c r="E31" s="23" t="inlineStr">
        <is>
          <t>B</t>
        </is>
      </c>
      <c r="G31" s="24">
        <f>IF($C31="","",$E31&amp;(COUNTIFS(I$12:I$111,"&gt;"&amp;I31,E$12:E$111,"="&amp;E31,C$12:C$111,"&lt;&gt;")+COUNTIFS(I$12:I$111,"="&amp;I31,H$12:H$111,"&lt;="&amp;H31,E$12:E$111,"="&amp;E31,C$12:C$111,"&lt;&gt;")))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IF(COUNT(AK31:AT31)=0,"-",SUM(AK31:AT31)&amp;"-"&amp;SUM(AW31:BF31))</f>
        <v/>
      </c>
      <c r="V31" s="18">
        <f>IF(COUNT(AK31:AT31)=0,"-",IF(SUM(BU31:CD31)=0,0,ROUND(SUM(BI31:BR31)/SUM(BU31:CD31),3)))</f>
        <v/>
      </c>
      <c r="W31" s="18">
        <f>IF(COUNT(AK31:AT31)=0,"-",IF(P31=0,0,ROUND(O31/P31,3)))</f>
        <v/>
      </c>
      <c r="X31" s="19">
        <f>IF($C31="","",$E31&amp;"#"&amp;COUNTIFS($E$12:$E31,$E31,$C$12:$C31,"&lt;&gt;"))</f>
        <v/>
      </c>
      <c r="Y31" s="20">
        <f>IFERROR(INDEX($H$12:$H$111,MATCH($E31&amp;"#1",$X$12:$X$111,0)),"")</f>
        <v/>
      </c>
      <c r="Z31" s="20">
        <f>IFERROR(INDEX($H$12:$H$111,MATCH($E31&amp;"#2",$X$12:$X$111,0)),"")</f>
        <v/>
      </c>
      <c r="AA31" s="20">
        <f>IFERROR(INDEX($H$12:$H$111,MATCH($E31&amp;"#3",$X$12:$X$111,0)),"")</f>
        <v/>
      </c>
      <c r="AB31" s="20">
        <f>IFERROR(INDEX($H$12:$H$111,MATCH($E31&amp;"#4",$X$12:$X$111,0)),"")</f>
        <v/>
      </c>
      <c r="AC31" s="20">
        <f>IFERROR(INDEX($H$12:$H$111,MATCH($E31&amp;"#5",$X$12:$X$111,0)),"")</f>
        <v/>
      </c>
      <c r="AD31" s="20">
        <f>IFERROR(INDEX($H$12:$H$111,MATCH($E31&amp;"#6",$X$12:$X$111,0)),"")</f>
        <v/>
      </c>
      <c r="AE31" s="20">
        <f>IFERROR(INDEX($H$12:$H$111,MATCH($E31&amp;"#7",$X$12:$X$111,0)),"")</f>
        <v/>
      </c>
      <c r="AF31" s="20">
        <f>IFERROR(INDEX($H$12:$H$111,MATCH($E31&amp;"#8",$X$12:$X$111,0)),"")</f>
        <v/>
      </c>
      <c r="AG31" s="20">
        <f>IFERROR(INDEX($H$12:$H$111,MATCH($E31&amp;"#9",$X$12:$X$111,0)),"")</f>
        <v/>
      </c>
      <c r="AH31" s="20">
        <f>IFERROR(INDEX($H$12:$H$111,MATCH($E31&amp;"#10",$X$12:$X$111,0)),"")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</row>
    <row r="32">
      <c r="A32" s="224" t="n"/>
      <c r="B32" s="12" t="inlineStr">
        <is>
          <t>C01</t>
        </is>
      </c>
      <c r="C32" s="13" t="n"/>
      <c r="D32" s="14" t="n"/>
      <c r="E32" s="25" t="inlineStr">
        <is>
          <t>C</t>
        </is>
      </c>
      <c r="G32" s="26">
        <f>IF($C32="","",$E32&amp;(COUNTIFS(I$12:I$111,"&gt;"&amp;I32,E$12:E$111,"="&amp;E32,C$12:C$111,"&lt;&gt;")+COUNTIFS(I$12:I$111,"="&amp;I32,H$12:H$111,"&lt;="&amp;H32,E$12:E$111,"="&amp;E32,C$12:C$111,"&lt;&gt;")))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6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IF(COUNT(AK32:AT32)=0,"-",SUM(AK32:AT32)&amp;"-"&amp;SUM(AW32:BF32))</f>
        <v/>
      </c>
      <c r="V32" s="18">
        <f>IF(COUNT(AK32:AT32)=0,"-",IF(SUM(BU32:CD32)=0,0,ROUND(SUM(BI32:BR32)/SUM(BU32:CD32),3)))</f>
        <v/>
      </c>
      <c r="W32" s="18">
        <f>IF(COUNT(AK32:AT32)=0,"-",IF(P32=0,0,ROUND(O32/P32,3)))</f>
        <v/>
      </c>
      <c r="X32" s="19">
        <f>IF($C32="","",$E32&amp;"#"&amp;COUNTIFS($E$12:$E32,$E32,$C$12:$C32,"&lt;&gt;"))</f>
        <v/>
      </c>
      <c r="Y32" s="20">
        <f>IFERROR(INDEX($H$12:$H$111,MATCH($E32&amp;"#1",$X$12:$X$111,0)),"")</f>
        <v/>
      </c>
      <c r="Z32" s="20">
        <f>IFERROR(INDEX($H$12:$H$111,MATCH($E32&amp;"#2",$X$12:$X$111,0)),"")</f>
        <v/>
      </c>
      <c r="AA32" s="20">
        <f>IFERROR(INDEX($H$12:$H$111,MATCH($E32&amp;"#3",$X$12:$X$111,0)),"")</f>
        <v/>
      </c>
      <c r="AB32" s="20">
        <f>IFERROR(INDEX($H$12:$H$111,MATCH($E32&amp;"#4",$X$12:$X$111,0)),"")</f>
        <v/>
      </c>
      <c r="AC32" s="20">
        <f>IFERROR(INDEX($H$12:$H$111,MATCH($E32&amp;"#5",$X$12:$X$111,0)),"")</f>
        <v/>
      </c>
      <c r="AD32" s="20">
        <f>IFERROR(INDEX($H$12:$H$111,MATCH($E32&amp;"#6",$X$12:$X$111,0)),"")</f>
        <v/>
      </c>
      <c r="AE32" s="20">
        <f>IFERROR(INDEX($H$12:$H$111,MATCH($E32&amp;"#7",$X$12:$X$111,0)),"")</f>
        <v/>
      </c>
      <c r="AF32" s="20">
        <f>IFERROR(INDEX($H$12:$H$111,MATCH($E32&amp;"#8",$X$12:$X$111,0)),"")</f>
        <v/>
      </c>
      <c r="AG32" s="20">
        <f>IFERROR(INDEX($H$12:$H$111,MATCH($E32&amp;"#9",$X$12:$X$111,0)),"")</f>
        <v/>
      </c>
      <c r="AH32" s="20">
        <f>IFERROR(INDEX($H$12:$H$111,MATCH($E32&amp;"#10",$X$12:$X$111,0)),"")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</row>
    <row r="33">
      <c r="A33" s="224" t="n"/>
      <c r="B33" s="12" t="inlineStr">
        <is>
          <t>C02</t>
        </is>
      </c>
      <c r="C33" s="13" t="n"/>
      <c r="D33" s="14" t="n"/>
      <c r="E33" s="25" t="inlineStr">
        <is>
          <t>C</t>
        </is>
      </c>
      <c r="G33" s="26">
        <f>IF($C33="","",$E33&amp;(COUNTIFS(I$12:I$111,"&gt;"&amp;I33,E$12:E$111,"="&amp;E33,C$12:C$111,"&lt;&gt;")+COUNTIFS(I$12:I$111,"="&amp;I33,H$12:H$111,"&lt;="&amp;H33,E$12:E$111,"="&amp;E33,C$12:C$111,"&lt;&gt;")))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6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IF(COUNT(AK33:AT33)=0,"-",SUM(AK33:AT33)&amp;"-"&amp;SUM(AW33:BF33))</f>
        <v/>
      </c>
      <c r="V33" s="18">
        <f>IF(COUNT(AK33:AT33)=0,"-",IF(SUM(BU33:CD33)=0,0,ROUND(SUM(BI33:BR33)/SUM(BU33:CD33),3)))</f>
        <v/>
      </c>
      <c r="W33" s="18">
        <f>IF(COUNT(AK33:AT33)=0,"-",IF(P33=0,0,ROUND(O33/P33,3)))</f>
        <v/>
      </c>
      <c r="X33" s="19">
        <f>IF($C33="","",$E33&amp;"#"&amp;COUNTIFS($E$12:$E33,$E33,$C$12:$C33,"&lt;&gt;"))</f>
        <v/>
      </c>
      <c r="Y33" s="20">
        <f>IFERROR(INDEX($H$12:$H$111,MATCH($E33&amp;"#1",$X$12:$X$111,0)),"")</f>
        <v/>
      </c>
      <c r="Z33" s="20">
        <f>IFERROR(INDEX($H$12:$H$111,MATCH($E33&amp;"#2",$X$12:$X$111,0)),"")</f>
        <v/>
      </c>
      <c r="AA33" s="20">
        <f>IFERROR(INDEX($H$12:$H$111,MATCH($E33&amp;"#3",$X$12:$X$111,0)),"")</f>
        <v/>
      </c>
      <c r="AB33" s="20">
        <f>IFERROR(INDEX($H$12:$H$111,MATCH($E33&amp;"#4",$X$12:$X$111,0)),"")</f>
        <v/>
      </c>
      <c r="AC33" s="20">
        <f>IFERROR(INDEX($H$12:$H$111,MATCH($E33&amp;"#5",$X$12:$X$111,0)),"")</f>
        <v/>
      </c>
      <c r="AD33" s="20">
        <f>IFERROR(INDEX($H$12:$H$111,MATCH($E33&amp;"#6",$X$12:$X$111,0)),"")</f>
        <v/>
      </c>
      <c r="AE33" s="20">
        <f>IFERROR(INDEX($H$12:$H$111,MATCH($E33&amp;"#7",$X$12:$X$111,0)),"")</f>
        <v/>
      </c>
      <c r="AF33" s="20">
        <f>IFERROR(INDEX($H$12:$H$111,MATCH($E33&amp;"#8",$X$12:$X$111,0)),"")</f>
        <v/>
      </c>
      <c r="AG33" s="20">
        <f>IFERROR(INDEX($H$12:$H$111,MATCH($E33&amp;"#9",$X$12:$X$111,0)),"")</f>
        <v/>
      </c>
      <c r="AH33" s="20">
        <f>IFERROR(INDEX($H$12:$H$111,MATCH($E33&amp;"#10",$X$12:$X$111,0)),"")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</row>
    <row r="34">
      <c r="A34" s="224" t="n"/>
      <c r="B34" s="12" t="inlineStr">
        <is>
          <t>C03</t>
        </is>
      </c>
      <c r="C34" s="13" t="n"/>
      <c r="D34" s="14" t="n"/>
      <c r="E34" s="25" t="inlineStr">
        <is>
          <t>C</t>
        </is>
      </c>
      <c r="G34" s="26">
        <f>IF($C34="","",$E34&amp;(COUNTIFS(I$12:I$111,"&gt;"&amp;I34,E$12:E$111,"="&amp;E34,C$12:C$111,"&lt;&gt;")+COUNTIFS(I$12:I$111,"="&amp;I34,H$12:H$111,"&lt;="&amp;H34,E$12:E$111,"="&amp;E34,C$12:C$111,"&lt;&gt;")))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IF(COUNT(AK34:AT34)=0,"-",SUM(AK34:AT34)&amp;"-"&amp;SUM(AW34:BF34))</f>
        <v/>
      </c>
      <c r="V34" s="18">
        <f>IF(COUNT(AK34:AT34)=0,"-",IF(SUM(BU34:CD34)=0,0,ROUND(SUM(BI34:BR34)/SUM(BU34:CD34),3)))</f>
        <v/>
      </c>
      <c r="W34" s="18">
        <f>IF(COUNT(AK34:AT34)=0,"-",IF(P34=0,0,ROUND(O34/P34,3)))</f>
        <v/>
      </c>
      <c r="X34" s="19">
        <f>IF($C34="","",$E34&amp;"#"&amp;COUNTIFS($E$12:$E34,$E34,$C$12:$C34,"&lt;&gt;"))</f>
        <v/>
      </c>
      <c r="Y34" s="20">
        <f>IFERROR(INDEX($H$12:$H$111,MATCH($E34&amp;"#1",$X$12:$X$111,0)),"")</f>
        <v/>
      </c>
      <c r="Z34" s="20">
        <f>IFERROR(INDEX($H$12:$H$111,MATCH($E34&amp;"#2",$X$12:$X$111,0)),"")</f>
        <v/>
      </c>
      <c r="AA34" s="20">
        <f>IFERROR(INDEX($H$12:$H$111,MATCH($E34&amp;"#3",$X$12:$X$111,0)),"")</f>
        <v/>
      </c>
      <c r="AB34" s="20">
        <f>IFERROR(INDEX($H$12:$H$111,MATCH($E34&amp;"#4",$X$12:$X$111,0)),"")</f>
        <v/>
      </c>
      <c r="AC34" s="20">
        <f>IFERROR(INDEX($H$12:$H$111,MATCH($E34&amp;"#5",$X$12:$X$111,0)),"")</f>
        <v/>
      </c>
      <c r="AD34" s="20">
        <f>IFERROR(INDEX($H$12:$H$111,MATCH($E34&amp;"#6",$X$12:$X$111,0)),"")</f>
        <v/>
      </c>
      <c r="AE34" s="20">
        <f>IFERROR(INDEX($H$12:$H$111,MATCH($E34&amp;"#7",$X$12:$X$111,0)),"")</f>
        <v/>
      </c>
      <c r="AF34" s="20">
        <f>IFERROR(INDEX($H$12:$H$111,MATCH($E34&amp;"#8",$X$12:$X$111,0)),"")</f>
        <v/>
      </c>
      <c r="AG34" s="20">
        <f>IFERROR(INDEX($H$12:$H$111,MATCH($E34&amp;"#9",$X$12:$X$111,0)),"")</f>
        <v/>
      </c>
      <c r="AH34" s="20">
        <f>IFERROR(INDEX($H$12:$H$111,MATCH($E34&amp;"#10",$X$12:$X$111,0)),"")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</row>
    <row r="35">
      <c r="A35" s="224" t="n"/>
      <c r="B35" s="12" t="inlineStr">
        <is>
          <t>C04</t>
        </is>
      </c>
      <c r="C35" s="13" t="n"/>
      <c r="D35" s="14" t="n"/>
      <c r="E35" s="25" t="inlineStr">
        <is>
          <t>C</t>
        </is>
      </c>
      <c r="G35" s="26">
        <f>IF($C35="","",$E35&amp;(COUNTIFS(I$12:I$111,"&gt;"&amp;I35,E$12:E$111,"="&amp;E35,C$12:C$111,"&lt;&gt;")+COUNTIFS(I$12:I$111,"="&amp;I35,H$12:H$111,"&lt;="&amp;H35,E$12:E$111,"="&amp;E35,C$12:C$111,"&lt;&gt;")))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IF(COUNT(AK35:AT35)=0,"-",SUM(AK35:AT35)&amp;"-"&amp;SUM(AW35:BF35))</f>
        <v/>
      </c>
      <c r="V35" s="18">
        <f>IF(COUNT(AK35:AT35)=0,"-",IF(SUM(BU35:CD35)=0,0,ROUND(SUM(BI35:BR35)/SUM(BU35:CD35),3)))</f>
        <v/>
      </c>
      <c r="W35" s="18">
        <f>IF(COUNT(AK35:AT35)=0,"-",IF(P35=0,0,ROUND(O35/P35,3)))</f>
        <v/>
      </c>
      <c r="X35" s="19">
        <f>IF($C35="","",$E35&amp;"#"&amp;COUNTIFS($E$12:$E35,$E35,$C$12:$C35,"&lt;&gt;"))</f>
        <v/>
      </c>
      <c r="Y35" s="20">
        <f>IFERROR(INDEX($H$12:$H$111,MATCH($E35&amp;"#1",$X$12:$X$111,0)),"")</f>
        <v/>
      </c>
      <c r="Z35" s="20">
        <f>IFERROR(INDEX($H$12:$H$111,MATCH($E35&amp;"#2",$X$12:$X$111,0)),"")</f>
        <v/>
      </c>
      <c r="AA35" s="20">
        <f>IFERROR(INDEX($H$12:$H$111,MATCH($E35&amp;"#3",$X$12:$X$111,0)),"")</f>
        <v/>
      </c>
      <c r="AB35" s="20">
        <f>IFERROR(INDEX($H$12:$H$111,MATCH($E35&amp;"#4",$X$12:$X$111,0)),"")</f>
        <v/>
      </c>
      <c r="AC35" s="20">
        <f>IFERROR(INDEX($H$12:$H$111,MATCH($E35&amp;"#5",$X$12:$X$111,0)),"")</f>
        <v/>
      </c>
      <c r="AD35" s="20">
        <f>IFERROR(INDEX($H$12:$H$111,MATCH($E35&amp;"#6",$X$12:$X$111,0)),"")</f>
        <v/>
      </c>
      <c r="AE35" s="20">
        <f>IFERROR(INDEX($H$12:$H$111,MATCH($E35&amp;"#7",$X$12:$X$111,0)),"")</f>
        <v/>
      </c>
      <c r="AF35" s="20">
        <f>IFERROR(INDEX($H$12:$H$111,MATCH($E35&amp;"#8",$X$12:$X$111,0)),"")</f>
        <v/>
      </c>
      <c r="AG35" s="20">
        <f>IFERROR(INDEX($H$12:$H$111,MATCH($E35&amp;"#9",$X$12:$X$111,0)),"")</f>
        <v/>
      </c>
      <c r="AH35" s="20">
        <f>IFERROR(INDEX($H$12:$H$111,MATCH($E35&amp;"#10",$X$12:$X$111,0)),"")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</row>
    <row r="36">
      <c r="A36" s="224" t="n"/>
      <c r="B36" s="12" t="inlineStr">
        <is>
          <t>C05</t>
        </is>
      </c>
      <c r="C36" s="13" t="n"/>
      <c r="D36" s="14" t="n"/>
      <c r="E36" s="25" t="inlineStr">
        <is>
          <t>C</t>
        </is>
      </c>
      <c r="G36" s="26">
        <f>IF($C36="","",$E36&amp;(COUNTIFS(I$12:I$111,"&gt;"&amp;I36,E$12:E$111,"="&amp;E36,C$12:C$111,"&lt;&gt;")+COUNTIFS(I$12:I$111,"="&amp;I36,H$12:H$111,"&lt;="&amp;H36,E$12:E$111,"="&amp;E36,C$12:C$111,"&lt;&gt;")))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IF(COUNT(AK36:AT36)=0,"-",SUM(AK36:AT36)&amp;"-"&amp;SUM(AW36:BF36))</f>
        <v/>
      </c>
      <c r="V36" s="18">
        <f>IF(COUNT(AK36:AT36)=0,"-",IF(SUM(BU36:CD36)=0,0,ROUND(SUM(BI36:BR36)/SUM(BU36:CD36),3)))</f>
        <v/>
      </c>
      <c r="W36" s="18">
        <f>IF(COUNT(AK36:AT36)=0,"-",IF(P36=0,0,ROUND(O36/P36,3)))</f>
        <v/>
      </c>
      <c r="X36" s="19">
        <f>IF($C36="","",$E36&amp;"#"&amp;COUNTIFS($E$12:$E36,$E36,$C$12:$C36,"&lt;&gt;"))</f>
        <v/>
      </c>
      <c r="Y36" s="20">
        <f>IFERROR(INDEX($H$12:$H$111,MATCH($E36&amp;"#1",$X$12:$X$111,0)),"")</f>
        <v/>
      </c>
      <c r="Z36" s="20">
        <f>IFERROR(INDEX($H$12:$H$111,MATCH($E36&amp;"#2",$X$12:$X$111,0)),"")</f>
        <v/>
      </c>
      <c r="AA36" s="20">
        <f>IFERROR(INDEX($H$12:$H$111,MATCH($E36&amp;"#3",$X$12:$X$111,0)),"")</f>
        <v/>
      </c>
      <c r="AB36" s="20">
        <f>IFERROR(INDEX($H$12:$H$111,MATCH($E36&amp;"#4",$X$12:$X$111,0)),"")</f>
        <v/>
      </c>
      <c r="AC36" s="20">
        <f>IFERROR(INDEX($H$12:$H$111,MATCH($E36&amp;"#5",$X$12:$X$111,0)),"")</f>
        <v/>
      </c>
      <c r="AD36" s="20">
        <f>IFERROR(INDEX($H$12:$H$111,MATCH($E36&amp;"#6",$X$12:$X$111,0)),"")</f>
        <v/>
      </c>
      <c r="AE36" s="20">
        <f>IFERROR(INDEX($H$12:$H$111,MATCH($E36&amp;"#7",$X$12:$X$111,0)),"")</f>
        <v/>
      </c>
      <c r="AF36" s="20">
        <f>IFERROR(INDEX($H$12:$H$111,MATCH($E36&amp;"#8",$X$12:$X$111,0)),"")</f>
        <v/>
      </c>
      <c r="AG36" s="20">
        <f>IFERROR(INDEX($H$12:$H$111,MATCH($E36&amp;"#9",$X$12:$X$111,0)),"")</f>
        <v/>
      </c>
      <c r="AH36" s="20">
        <f>IFERROR(INDEX($H$12:$H$111,MATCH($E36&amp;"#10",$X$12:$X$111,0)),"")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</row>
    <row r="37">
      <c r="A37" s="224" t="n"/>
      <c r="B37" s="12" t="inlineStr">
        <is>
          <t>C06</t>
        </is>
      </c>
      <c r="C37" s="13" t="n"/>
      <c r="D37" s="14" t="n"/>
      <c r="E37" s="25" t="inlineStr">
        <is>
          <t>C</t>
        </is>
      </c>
      <c r="G37" s="26">
        <f>IF($C37="","",$E37&amp;(COUNTIFS(I$12:I$111,"&gt;"&amp;I37,E$12:E$111,"="&amp;E37,C$12:C$111,"&lt;&gt;")+COUNTIFS(I$12:I$111,"="&amp;I37,H$12:H$111,"&lt;="&amp;H37,E$12:E$111,"="&amp;E37,C$12:C$111,"&lt;&gt;")))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IF(COUNT(AK37:AT37)=0,"-",SUM(AK37:AT37)&amp;"-"&amp;SUM(AW37:BF37))</f>
        <v/>
      </c>
      <c r="V37" s="18">
        <f>IF(COUNT(AK37:AT37)=0,"-",IF(SUM(BU37:CD37)=0,0,ROUND(SUM(BI37:BR37)/SUM(BU37:CD37),3)))</f>
        <v/>
      </c>
      <c r="W37" s="18">
        <f>IF(COUNT(AK37:AT37)=0,"-",IF(P37=0,0,ROUND(O37/P37,3)))</f>
        <v/>
      </c>
      <c r="X37" s="19">
        <f>IF($C37="","",$E37&amp;"#"&amp;COUNTIFS($E$12:$E37,$E37,$C$12:$C37,"&lt;&gt;"))</f>
        <v/>
      </c>
      <c r="Y37" s="20">
        <f>IFERROR(INDEX($H$12:$H$111,MATCH($E37&amp;"#1",$X$12:$X$111,0)),"")</f>
        <v/>
      </c>
      <c r="Z37" s="20">
        <f>IFERROR(INDEX($H$12:$H$111,MATCH($E37&amp;"#2",$X$12:$X$111,0)),"")</f>
        <v/>
      </c>
      <c r="AA37" s="20">
        <f>IFERROR(INDEX($H$12:$H$111,MATCH($E37&amp;"#3",$X$12:$X$111,0)),"")</f>
        <v/>
      </c>
      <c r="AB37" s="20">
        <f>IFERROR(INDEX($H$12:$H$111,MATCH($E37&amp;"#4",$X$12:$X$111,0)),"")</f>
        <v/>
      </c>
      <c r="AC37" s="20">
        <f>IFERROR(INDEX($H$12:$H$111,MATCH($E37&amp;"#5",$X$12:$X$111,0)),"")</f>
        <v/>
      </c>
      <c r="AD37" s="20">
        <f>IFERROR(INDEX($H$12:$H$111,MATCH($E37&amp;"#6",$X$12:$X$111,0)),"")</f>
        <v/>
      </c>
      <c r="AE37" s="20">
        <f>IFERROR(INDEX($H$12:$H$111,MATCH($E37&amp;"#7",$X$12:$X$111,0)),"")</f>
        <v/>
      </c>
      <c r="AF37" s="20">
        <f>IFERROR(INDEX($H$12:$H$111,MATCH($E37&amp;"#8",$X$12:$X$111,0)),"")</f>
        <v/>
      </c>
      <c r="AG37" s="20">
        <f>IFERROR(INDEX($H$12:$H$111,MATCH($E37&amp;"#9",$X$12:$X$111,0)),"")</f>
        <v/>
      </c>
      <c r="AH37" s="20">
        <f>IFERROR(INDEX($H$12:$H$111,MATCH($E37&amp;"#10",$X$12:$X$111,0)),"")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</row>
    <row r="38">
      <c r="A38" s="224" t="n"/>
      <c r="B38" s="12" t="inlineStr">
        <is>
          <t>C07</t>
        </is>
      </c>
      <c r="C38" s="13" t="n"/>
      <c r="D38" s="14" t="n"/>
      <c r="E38" s="25" t="inlineStr">
        <is>
          <t>C</t>
        </is>
      </c>
      <c r="G38" s="26">
        <f>IF($C38="","",$E38&amp;(COUNTIFS(I$12:I$111,"&gt;"&amp;I38,E$12:E$111,"="&amp;E38,C$12:C$111,"&lt;&gt;")+COUNTIFS(I$12:I$111,"="&amp;I38,H$12:H$111,"&lt;="&amp;H38,E$12:E$111,"="&amp;E38,C$12:C$111,"&lt;&gt;")))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IF(COUNT(AK38:AT38)=0,"-",SUM(AK38:AT38)&amp;"-"&amp;SUM(AW38:BF38))</f>
        <v/>
      </c>
      <c r="V38" s="18">
        <f>IF(COUNT(AK38:AT38)=0,"-",IF(SUM(BU38:CD38)=0,0,ROUND(SUM(BI38:BR38)/SUM(BU38:CD38),3)))</f>
        <v/>
      </c>
      <c r="W38" s="18">
        <f>IF(COUNT(AK38:AT38)=0,"-",IF(P38=0,0,ROUND(O38/P38,3)))</f>
        <v/>
      </c>
      <c r="X38" s="19">
        <f>IF($C38="","",$E38&amp;"#"&amp;COUNTIFS($E$12:$E38,$E38,$C$12:$C38,"&lt;&gt;"))</f>
        <v/>
      </c>
      <c r="Y38" s="20">
        <f>IFERROR(INDEX($H$12:$H$111,MATCH($E38&amp;"#1",$X$12:$X$111,0)),"")</f>
        <v/>
      </c>
      <c r="Z38" s="20">
        <f>IFERROR(INDEX($H$12:$H$111,MATCH($E38&amp;"#2",$X$12:$X$111,0)),"")</f>
        <v/>
      </c>
      <c r="AA38" s="20">
        <f>IFERROR(INDEX($H$12:$H$111,MATCH($E38&amp;"#3",$X$12:$X$111,0)),"")</f>
        <v/>
      </c>
      <c r="AB38" s="20">
        <f>IFERROR(INDEX($H$12:$H$111,MATCH($E38&amp;"#4",$X$12:$X$111,0)),"")</f>
        <v/>
      </c>
      <c r="AC38" s="20">
        <f>IFERROR(INDEX($H$12:$H$111,MATCH($E38&amp;"#5",$X$12:$X$111,0)),"")</f>
        <v/>
      </c>
      <c r="AD38" s="20">
        <f>IFERROR(INDEX($H$12:$H$111,MATCH($E38&amp;"#6",$X$12:$X$111,0)),"")</f>
        <v/>
      </c>
      <c r="AE38" s="20">
        <f>IFERROR(INDEX($H$12:$H$111,MATCH($E38&amp;"#7",$X$12:$X$111,0)),"")</f>
        <v/>
      </c>
      <c r="AF38" s="20">
        <f>IFERROR(INDEX($H$12:$H$111,MATCH($E38&amp;"#8",$X$12:$X$111,0)),"")</f>
        <v/>
      </c>
      <c r="AG38" s="20">
        <f>IFERROR(INDEX($H$12:$H$111,MATCH($E38&amp;"#9",$X$12:$X$111,0)),"")</f>
        <v/>
      </c>
      <c r="AH38" s="20">
        <f>IFERROR(INDEX($H$12:$H$111,MATCH($E38&amp;"#10",$X$12:$X$111,0)),"")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</row>
    <row r="39">
      <c r="A39" s="224" t="n"/>
      <c r="B39" s="12" t="inlineStr">
        <is>
          <t>C08</t>
        </is>
      </c>
      <c r="C39" s="13" t="n"/>
      <c r="D39" s="14" t="n"/>
      <c r="E39" s="25" t="inlineStr">
        <is>
          <t>C</t>
        </is>
      </c>
      <c r="G39" s="26">
        <f>IF($C39="","",$E39&amp;(COUNTIFS(I$12:I$111,"&gt;"&amp;I39,E$12:E$111,"="&amp;E39,C$12:C$111,"&lt;&gt;")+COUNTIFS(I$12:I$111,"="&amp;I39,H$12:H$111,"&lt;="&amp;H39,E$12:E$111,"="&amp;E39,C$12:C$111,"&lt;&gt;")))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IF(COUNT(AK39:AT39)=0,"-",SUM(AK39:AT39)&amp;"-"&amp;SUM(AW39:BF39))</f>
        <v/>
      </c>
      <c r="V39" s="18">
        <f>IF(COUNT(AK39:AT39)=0,"-",IF(SUM(BU39:CD39)=0,0,ROUND(SUM(BI39:BR39)/SUM(BU39:CD39),3)))</f>
        <v/>
      </c>
      <c r="W39" s="18">
        <f>IF(COUNT(AK39:AT39)=0,"-",IF(P39=0,0,ROUND(O39/P39,3)))</f>
        <v/>
      </c>
      <c r="X39" s="19">
        <f>IF($C39="","",$E39&amp;"#"&amp;COUNTIFS($E$12:$E39,$E39,$C$12:$C39,"&lt;&gt;"))</f>
        <v/>
      </c>
      <c r="Y39" s="20">
        <f>IFERROR(INDEX($H$12:$H$111,MATCH($E39&amp;"#1",$X$12:$X$111,0)),"")</f>
        <v/>
      </c>
      <c r="Z39" s="20">
        <f>IFERROR(INDEX($H$12:$H$111,MATCH($E39&amp;"#2",$X$12:$X$111,0)),"")</f>
        <v/>
      </c>
      <c r="AA39" s="20">
        <f>IFERROR(INDEX($H$12:$H$111,MATCH($E39&amp;"#3",$X$12:$X$111,0)),"")</f>
        <v/>
      </c>
      <c r="AB39" s="20">
        <f>IFERROR(INDEX($H$12:$H$111,MATCH($E39&amp;"#4",$X$12:$X$111,0)),"")</f>
        <v/>
      </c>
      <c r="AC39" s="20">
        <f>IFERROR(INDEX($H$12:$H$111,MATCH($E39&amp;"#5",$X$12:$X$111,0)),"")</f>
        <v/>
      </c>
      <c r="AD39" s="20">
        <f>IFERROR(INDEX($H$12:$H$111,MATCH($E39&amp;"#6",$X$12:$X$111,0)),"")</f>
        <v/>
      </c>
      <c r="AE39" s="20">
        <f>IFERROR(INDEX($H$12:$H$111,MATCH($E39&amp;"#7",$X$12:$X$111,0)),"")</f>
        <v/>
      </c>
      <c r="AF39" s="20">
        <f>IFERROR(INDEX($H$12:$H$111,MATCH($E39&amp;"#8",$X$12:$X$111,0)),"")</f>
        <v/>
      </c>
      <c r="AG39" s="20">
        <f>IFERROR(INDEX($H$12:$H$111,MATCH($E39&amp;"#9",$X$12:$X$111,0)),"")</f>
        <v/>
      </c>
      <c r="AH39" s="20">
        <f>IFERROR(INDEX($H$12:$H$111,MATCH($E39&amp;"#10",$X$12:$X$111,0)),"")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</row>
    <row r="40">
      <c r="A40" s="224" t="n"/>
      <c r="B40" s="12" t="inlineStr">
        <is>
          <t>C09</t>
        </is>
      </c>
      <c r="C40" s="13" t="n"/>
      <c r="D40" s="14" t="n"/>
      <c r="E40" s="25" t="inlineStr">
        <is>
          <t>C</t>
        </is>
      </c>
      <c r="G40" s="26">
        <f>IF($C40="","",$E40&amp;(COUNTIFS(I$12:I$111,"&gt;"&amp;I40,E$12:E$111,"="&amp;E40,C$12:C$111,"&lt;&gt;")+COUNTIFS(I$12:I$111,"="&amp;I40,H$12:H$111,"&lt;="&amp;H40,E$12:E$111,"="&amp;E40,C$12:C$111,"&lt;&gt;")))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IF(COUNT(AK40:AT40)=0,"-",SUM(AK40:AT40)&amp;"-"&amp;SUM(AW40:BF40))</f>
        <v/>
      </c>
      <c r="V40" s="18">
        <f>IF(COUNT(AK40:AT40)=0,"-",IF(SUM(BU40:CD40)=0,0,ROUND(SUM(BI40:BR40)/SUM(BU40:CD40),3)))</f>
        <v/>
      </c>
      <c r="W40" s="18">
        <f>IF(COUNT(AK40:AT40)=0,"-",IF(P40=0,0,ROUND(O40/P40,3)))</f>
        <v/>
      </c>
      <c r="X40" s="19">
        <f>IF($C40="","",$E40&amp;"#"&amp;COUNTIFS($E$12:$E40,$E40,$C$12:$C40,"&lt;&gt;"))</f>
        <v/>
      </c>
      <c r="Y40" s="20">
        <f>IFERROR(INDEX($H$12:$H$111,MATCH($E40&amp;"#1",$X$12:$X$111,0)),"")</f>
        <v/>
      </c>
      <c r="Z40" s="20">
        <f>IFERROR(INDEX($H$12:$H$111,MATCH($E40&amp;"#2",$X$12:$X$111,0)),"")</f>
        <v/>
      </c>
      <c r="AA40" s="20">
        <f>IFERROR(INDEX($H$12:$H$111,MATCH($E40&amp;"#3",$X$12:$X$111,0)),"")</f>
        <v/>
      </c>
      <c r="AB40" s="20">
        <f>IFERROR(INDEX($H$12:$H$111,MATCH($E40&amp;"#4",$X$12:$X$111,0)),"")</f>
        <v/>
      </c>
      <c r="AC40" s="20">
        <f>IFERROR(INDEX($H$12:$H$111,MATCH($E40&amp;"#5",$X$12:$X$111,0)),"")</f>
        <v/>
      </c>
      <c r="AD40" s="20">
        <f>IFERROR(INDEX($H$12:$H$111,MATCH($E40&amp;"#6",$X$12:$X$111,0)),"")</f>
        <v/>
      </c>
      <c r="AE40" s="20">
        <f>IFERROR(INDEX($H$12:$H$111,MATCH($E40&amp;"#7",$X$12:$X$111,0)),"")</f>
        <v/>
      </c>
      <c r="AF40" s="20">
        <f>IFERROR(INDEX($H$12:$H$111,MATCH($E40&amp;"#8",$X$12:$X$111,0)),"")</f>
        <v/>
      </c>
      <c r="AG40" s="20">
        <f>IFERROR(INDEX($H$12:$H$111,MATCH($E40&amp;"#9",$X$12:$X$111,0)),"")</f>
        <v/>
      </c>
      <c r="AH40" s="20">
        <f>IFERROR(INDEX($H$12:$H$111,MATCH($E40&amp;"#10",$X$12:$X$111,0)),"")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</row>
    <row r="41">
      <c r="A41" s="224" t="n"/>
      <c r="B41" s="12" t="inlineStr">
        <is>
          <t>C10</t>
        </is>
      </c>
      <c r="C41" s="13" t="n"/>
      <c r="D41" s="14" t="n"/>
      <c r="E41" s="25" t="inlineStr">
        <is>
          <t>C</t>
        </is>
      </c>
      <c r="G41" s="26">
        <f>IF($C41="","",$E41&amp;(COUNTIFS(I$12:I$111,"&gt;"&amp;I41,E$12:E$111,"="&amp;E41,C$12:C$111,"&lt;&gt;")+COUNTIFS(I$12:I$111,"="&amp;I41,H$12:H$111,"&lt;="&amp;H41,E$12:E$111,"="&amp;E41,C$12:C$111,"&lt;&gt;")))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IF(COUNT(AK41:AT41)=0,"-",SUM(AK41:AT41)&amp;"-"&amp;SUM(AW41:BF41))</f>
        <v/>
      </c>
      <c r="V41" s="18">
        <f>IF(COUNT(AK41:AT41)=0,"-",IF(SUM(BU41:CD41)=0,0,ROUND(SUM(BI41:BR41)/SUM(BU41:CD41),3)))</f>
        <v/>
      </c>
      <c r="W41" s="18">
        <f>IF(COUNT(AK41:AT41)=0,"-",IF(P41=0,0,ROUND(O41/P41,3)))</f>
        <v/>
      </c>
      <c r="X41" s="19">
        <f>IF($C41="","",$E41&amp;"#"&amp;COUNTIFS($E$12:$E41,$E41,$C$12:$C41,"&lt;&gt;"))</f>
        <v/>
      </c>
      <c r="Y41" s="20">
        <f>IFERROR(INDEX($H$12:$H$111,MATCH($E41&amp;"#1",$X$12:$X$111,0)),"")</f>
        <v/>
      </c>
      <c r="Z41" s="20">
        <f>IFERROR(INDEX($H$12:$H$111,MATCH($E41&amp;"#2",$X$12:$X$111,0)),"")</f>
        <v/>
      </c>
      <c r="AA41" s="20">
        <f>IFERROR(INDEX($H$12:$H$111,MATCH($E41&amp;"#3",$X$12:$X$111,0)),"")</f>
        <v/>
      </c>
      <c r="AB41" s="20">
        <f>IFERROR(INDEX($H$12:$H$111,MATCH($E41&amp;"#4",$X$12:$X$111,0)),"")</f>
        <v/>
      </c>
      <c r="AC41" s="20">
        <f>IFERROR(INDEX($H$12:$H$111,MATCH($E41&amp;"#5",$X$12:$X$111,0)),"")</f>
        <v/>
      </c>
      <c r="AD41" s="20">
        <f>IFERROR(INDEX($H$12:$H$111,MATCH($E41&amp;"#6",$X$12:$X$111,0)),"")</f>
        <v/>
      </c>
      <c r="AE41" s="20">
        <f>IFERROR(INDEX($H$12:$H$111,MATCH($E41&amp;"#7",$X$12:$X$111,0)),"")</f>
        <v/>
      </c>
      <c r="AF41" s="20">
        <f>IFERROR(INDEX($H$12:$H$111,MATCH($E41&amp;"#8",$X$12:$X$111,0)),"")</f>
        <v/>
      </c>
      <c r="AG41" s="20">
        <f>IFERROR(INDEX($H$12:$H$111,MATCH($E41&amp;"#9",$X$12:$X$111,0)),"")</f>
        <v/>
      </c>
      <c r="AH41" s="20">
        <f>IFERROR(INDEX($H$12:$H$111,MATCH($E41&amp;"#10",$X$12:$X$111,0)),"")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</row>
    <row r="42">
      <c r="A42" s="224" t="n"/>
      <c r="B42" s="12" t="inlineStr">
        <is>
          <t>D01</t>
        </is>
      </c>
      <c r="C42" s="13" t="n"/>
      <c r="D42" s="14" t="n"/>
      <c r="E42" s="27" t="inlineStr">
        <is>
          <t>D</t>
        </is>
      </c>
      <c r="G42" s="28">
        <f>IF($C42="","",$E42&amp;(COUNTIFS(I$12:I$111,"&gt;"&amp;I42,E$12:E$111,"="&amp;E42,C$12:C$111,"&lt;&gt;")+COUNTIFS(I$12:I$111,"="&amp;I42,H$12:H$111,"&lt;="&amp;H42,E$12:E$111,"="&amp;E42,C$12:C$111,"&lt;&gt;")))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8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IF(COUNT(AK42:AT42)=0,"-",SUM(AK42:AT42)&amp;"-"&amp;SUM(AW42:BF42))</f>
        <v/>
      </c>
      <c r="V42" s="18">
        <f>IF(COUNT(AK42:AT42)=0,"-",IF(SUM(BU42:CD42)=0,0,ROUND(SUM(BI42:BR42)/SUM(BU42:CD42),3)))</f>
        <v/>
      </c>
      <c r="W42" s="18">
        <f>IF(COUNT(AK42:AT42)=0,"-",IF(P42=0,0,ROUND(O42/P42,3)))</f>
        <v/>
      </c>
      <c r="X42" s="19">
        <f>IF($C42="","",$E42&amp;"#"&amp;COUNTIFS($E$12:$E42,$E42,$C$12:$C42,"&lt;&gt;"))</f>
        <v/>
      </c>
      <c r="Y42" s="20">
        <f>IFERROR(INDEX($H$12:$H$111,MATCH($E42&amp;"#1",$X$12:$X$111,0)),"")</f>
        <v/>
      </c>
      <c r="Z42" s="20">
        <f>IFERROR(INDEX($H$12:$H$111,MATCH($E42&amp;"#2",$X$12:$X$111,0)),"")</f>
        <v/>
      </c>
      <c r="AA42" s="20">
        <f>IFERROR(INDEX($H$12:$H$111,MATCH($E42&amp;"#3",$X$12:$X$111,0)),"")</f>
        <v/>
      </c>
      <c r="AB42" s="20">
        <f>IFERROR(INDEX($H$12:$H$111,MATCH($E42&amp;"#4",$X$12:$X$111,0)),"")</f>
        <v/>
      </c>
      <c r="AC42" s="20">
        <f>IFERROR(INDEX($H$12:$H$111,MATCH($E42&amp;"#5",$X$12:$X$111,0)),"")</f>
        <v/>
      </c>
      <c r="AD42" s="20">
        <f>IFERROR(INDEX($H$12:$H$111,MATCH($E42&amp;"#6",$X$12:$X$111,0)),"")</f>
        <v/>
      </c>
      <c r="AE42" s="20">
        <f>IFERROR(INDEX($H$12:$H$111,MATCH($E42&amp;"#7",$X$12:$X$111,0)),"")</f>
        <v/>
      </c>
      <c r="AF42" s="20">
        <f>IFERROR(INDEX($H$12:$H$111,MATCH($E42&amp;"#8",$X$12:$X$111,0)),"")</f>
        <v/>
      </c>
      <c r="AG42" s="20">
        <f>IFERROR(INDEX($H$12:$H$111,MATCH($E42&amp;"#9",$X$12:$X$111,0)),"")</f>
        <v/>
      </c>
      <c r="AH42" s="20">
        <f>IFERROR(INDEX($H$12:$H$111,MATCH($E42&amp;"#10",$X$12:$X$111,0)),"")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</row>
    <row r="43">
      <c r="A43" s="224" t="n"/>
      <c r="B43" s="12" t="inlineStr">
        <is>
          <t>D02</t>
        </is>
      </c>
      <c r="C43" s="13" t="n"/>
      <c r="D43" s="14" t="n"/>
      <c r="E43" s="27" t="inlineStr">
        <is>
          <t>D</t>
        </is>
      </c>
      <c r="G43" s="28">
        <f>IF($C43="","",$E43&amp;(COUNTIFS(I$12:I$111,"&gt;"&amp;I43,E$12:E$111,"="&amp;E43,C$12:C$111,"&lt;&gt;")+COUNTIFS(I$12:I$111,"="&amp;I43,H$12:H$111,"&lt;="&amp;H43,E$12:E$111,"="&amp;E43,C$12:C$111,"&lt;&gt;")))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8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IF(COUNT(AK43:AT43)=0,"-",SUM(AK43:AT43)&amp;"-"&amp;SUM(AW43:BF43))</f>
        <v/>
      </c>
      <c r="V43" s="18">
        <f>IF(COUNT(AK43:AT43)=0,"-",IF(SUM(BU43:CD43)=0,0,ROUND(SUM(BI43:BR43)/SUM(BU43:CD43),3)))</f>
        <v/>
      </c>
      <c r="W43" s="18">
        <f>IF(COUNT(AK43:AT43)=0,"-",IF(P43=0,0,ROUND(O43/P43,3)))</f>
        <v/>
      </c>
      <c r="X43" s="19">
        <f>IF($C43="","",$E43&amp;"#"&amp;COUNTIFS($E$12:$E43,$E43,$C$12:$C43,"&lt;&gt;"))</f>
        <v/>
      </c>
      <c r="Y43" s="20">
        <f>IFERROR(INDEX($H$12:$H$111,MATCH($E43&amp;"#1",$X$12:$X$111,0)),"")</f>
        <v/>
      </c>
      <c r="Z43" s="20">
        <f>IFERROR(INDEX($H$12:$H$111,MATCH($E43&amp;"#2",$X$12:$X$111,0)),"")</f>
        <v/>
      </c>
      <c r="AA43" s="20">
        <f>IFERROR(INDEX($H$12:$H$111,MATCH($E43&amp;"#3",$X$12:$X$111,0)),"")</f>
        <v/>
      </c>
      <c r="AB43" s="20">
        <f>IFERROR(INDEX($H$12:$H$111,MATCH($E43&amp;"#4",$X$12:$X$111,0)),"")</f>
        <v/>
      </c>
      <c r="AC43" s="20">
        <f>IFERROR(INDEX($H$12:$H$111,MATCH($E43&amp;"#5",$X$12:$X$111,0)),"")</f>
        <v/>
      </c>
      <c r="AD43" s="20">
        <f>IFERROR(INDEX($H$12:$H$111,MATCH($E43&amp;"#6",$X$12:$X$111,0)),"")</f>
        <v/>
      </c>
      <c r="AE43" s="20">
        <f>IFERROR(INDEX($H$12:$H$111,MATCH($E43&amp;"#7",$X$12:$X$111,0)),"")</f>
        <v/>
      </c>
      <c r="AF43" s="20">
        <f>IFERROR(INDEX($H$12:$H$111,MATCH($E43&amp;"#8",$X$12:$X$111,0)),"")</f>
        <v/>
      </c>
      <c r="AG43" s="20">
        <f>IFERROR(INDEX($H$12:$H$111,MATCH($E43&amp;"#9",$X$12:$X$111,0)),"")</f>
        <v/>
      </c>
      <c r="AH43" s="20">
        <f>IFERROR(INDEX($H$12:$H$111,MATCH($E43&amp;"#10",$X$12:$X$111,0)),"")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</row>
    <row r="44">
      <c r="A44" s="224" t="n"/>
      <c r="B44" s="12" t="inlineStr">
        <is>
          <t>D03</t>
        </is>
      </c>
      <c r="C44" s="13" t="n"/>
      <c r="D44" s="14" t="n"/>
      <c r="E44" s="27" t="inlineStr">
        <is>
          <t>D</t>
        </is>
      </c>
      <c r="G44" s="28">
        <f>IF($C44="","",$E44&amp;(COUNTIFS(I$12:I$111,"&gt;"&amp;I44,E$12:E$111,"="&amp;E44,C$12:C$111,"&lt;&gt;")+COUNTIFS(I$12:I$111,"="&amp;I44,H$12:H$111,"&lt;="&amp;H44,E$12:E$111,"="&amp;E44,C$12:C$111,"&lt;&gt;")))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IF(COUNT(AK44:AT44)=0,"-",SUM(AK44:AT44)&amp;"-"&amp;SUM(AW44:BF44))</f>
        <v/>
      </c>
      <c r="V44" s="18">
        <f>IF(COUNT(AK44:AT44)=0,"-",IF(SUM(BU44:CD44)=0,0,ROUND(SUM(BI44:BR44)/SUM(BU44:CD44),3)))</f>
        <v/>
      </c>
      <c r="W44" s="18">
        <f>IF(COUNT(AK44:AT44)=0,"-",IF(P44=0,0,ROUND(O44/P44,3)))</f>
        <v/>
      </c>
      <c r="X44" s="19">
        <f>IF($C44="","",$E44&amp;"#"&amp;COUNTIFS($E$12:$E44,$E44,$C$12:$C44,"&lt;&gt;"))</f>
        <v/>
      </c>
      <c r="Y44" s="20">
        <f>IFERROR(INDEX($H$12:$H$111,MATCH($E44&amp;"#1",$X$12:$X$111,0)),"")</f>
        <v/>
      </c>
      <c r="Z44" s="20">
        <f>IFERROR(INDEX($H$12:$H$111,MATCH($E44&amp;"#2",$X$12:$X$111,0)),"")</f>
        <v/>
      </c>
      <c r="AA44" s="20">
        <f>IFERROR(INDEX($H$12:$H$111,MATCH($E44&amp;"#3",$X$12:$X$111,0)),"")</f>
        <v/>
      </c>
      <c r="AB44" s="20">
        <f>IFERROR(INDEX($H$12:$H$111,MATCH($E44&amp;"#4",$X$12:$X$111,0)),"")</f>
        <v/>
      </c>
      <c r="AC44" s="20">
        <f>IFERROR(INDEX($H$12:$H$111,MATCH($E44&amp;"#5",$X$12:$X$111,0)),"")</f>
        <v/>
      </c>
      <c r="AD44" s="20">
        <f>IFERROR(INDEX($H$12:$H$111,MATCH($E44&amp;"#6",$X$12:$X$111,0)),"")</f>
        <v/>
      </c>
      <c r="AE44" s="20">
        <f>IFERROR(INDEX($H$12:$H$111,MATCH($E44&amp;"#7",$X$12:$X$111,0)),"")</f>
        <v/>
      </c>
      <c r="AF44" s="20">
        <f>IFERROR(INDEX($H$12:$H$111,MATCH($E44&amp;"#8",$X$12:$X$111,0)),"")</f>
        <v/>
      </c>
      <c r="AG44" s="20">
        <f>IFERROR(INDEX($H$12:$H$111,MATCH($E44&amp;"#9",$X$12:$X$111,0)),"")</f>
        <v/>
      </c>
      <c r="AH44" s="20">
        <f>IFERROR(INDEX($H$12:$H$111,MATCH($E44&amp;"#10",$X$12:$X$111,0)),"")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</row>
    <row r="45">
      <c r="A45" s="224" t="n"/>
      <c r="B45" s="12" t="inlineStr">
        <is>
          <t>D04</t>
        </is>
      </c>
      <c r="C45" s="13" t="n"/>
      <c r="D45" s="14" t="n"/>
      <c r="E45" s="27" t="inlineStr">
        <is>
          <t>D</t>
        </is>
      </c>
      <c r="G45" s="28">
        <f>IF($C45="","",$E45&amp;(COUNTIFS(I$12:I$111,"&gt;"&amp;I45,E$12:E$111,"="&amp;E45,C$12:C$111,"&lt;&gt;")+COUNTIFS(I$12:I$111,"="&amp;I45,H$12:H$111,"&lt;="&amp;H45,E$12:E$111,"="&amp;E45,C$12:C$111,"&lt;&gt;")))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IF(COUNT(AK45:AT45)=0,"-",SUM(AK45:AT45)&amp;"-"&amp;SUM(AW45:BF45))</f>
        <v/>
      </c>
      <c r="V45" s="18">
        <f>IF(COUNT(AK45:AT45)=0,"-",IF(SUM(BU45:CD45)=0,0,ROUND(SUM(BI45:BR45)/SUM(BU45:CD45),3)))</f>
        <v/>
      </c>
      <c r="W45" s="18">
        <f>IF(COUNT(AK45:AT45)=0,"-",IF(P45=0,0,ROUND(O45/P45,3)))</f>
        <v/>
      </c>
      <c r="X45" s="19">
        <f>IF($C45="","",$E45&amp;"#"&amp;COUNTIFS($E$12:$E45,$E45,$C$12:$C45,"&lt;&gt;"))</f>
        <v/>
      </c>
      <c r="Y45" s="20">
        <f>IFERROR(INDEX($H$12:$H$111,MATCH($E45&amp;"#1",$X$12:$X$111,0)),"")</f>
        <v/>
      </c>
      <c r="Z45" s="20">
        <f>IFERROR(INDEX($H$12:$H$111,MATCH($E45&amp;"#2",$X$12:$X$111,0)),"")</f>
        <v/>
      </c>
      <c r="AA45" s="20">
        <f>IFERROR(INDEX($H$12:$H$111,MATCH($E45&amp;"#3",$X$12:$X$111,0)),"")</f>
        <v/>
      </c>
      <c r="AB45" s="20">
        <f>IFERROR(INDEX($H$12:$H$111,MATCH($E45&amp;"#4",$X$12:$X$111,0)),"")</f>
        <v/>
      </c>
      <c r="AC45" s="20">
        <f>IFERROR(INDEX($H$12:$H$111,MATCH($E45&amp;"#5",$X$12:$X$111,0)),"")</f>
        <v/>
      </c>
      <c r="AD45" s="20">
        <f>IFERROR(INDEX($H$12:$H$111,MATCH($E45&amp;"#6",$X$12:$X$111,0)),"")</f>
        <v/>
      </c>
      <c r="AE45" s="20">
        <f>IFERROR(INDEX($H$12:$H$111,MATCH($E45&amp;"#7",$X$12:$X$111,0)),"")</f>
        <v/>
      </c>
      <c r="AF45" s="20">
        <f>IFERROR(INDEX($H$12:$H$111,MATCH($E45&amp;"#8",$X$12:$X$111,0)),"")</f>
        <v/>
      </c>
      <c r="AG45" s="20">
        <f>IFERROR(INDEX($H$12:$H$111,MATCH($E45&amp;"#9",$X$12:$X$111,0)),"")</f>
        <v/>
      </c>
      <c r="AH45" s="20">
        <f>IFERROR(INDEX($H$12:$H$111,MATCH($E45&amp;"#10",$X$12:$X$111,0)),"")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</row>
    <row r="46">
      <c r="A46" s="224" t="n"/>
      <c r="B46" s="12" t="inlineStr">
        <is>
          <t>D05</t>
        </is>
      </c>
      <c r="C46" s="13" t="n"/>
      <c r="D46" s="14" t="n"/>
      <c r="E46" s="27" t="inlineStr">
        <is>
          <t>D</t>
        </is>
      </c>
      <c r="G46" s="28">
        <f>IF($C46="","",$E46&amp;(COUNTIFS(I$12:I$111,"&gt;"&amp;I46,E$12:E$111,"="&amp;E46,C$12:C$111,"&lt;&gt;")+COUNTIFS(I$12:I$111,"="&amp;I46,H$12:H$111,"&lt;="&amp;H46,E$12:E$111,"="&amp;E46,C$12:C$111,"&lt;&gt;")))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IF(COUNT(AK46:AT46)=0,"-",SUM(AK46:AT46)&amp;"-"&amp;SUM(AW46:BF46))</f>
        <v/>
      </c>
      <c r="V46" s="18">
        <f>IF(COUNT(AK46:AT46)=0,"-",IF(SUM(BU46:CD46)=0,0,ROUND(SUM(BI46:BR46)/SUM(BU46:CD46),3)))</f>
        <v/>
      </c>
      <c r="W46" s="18">
        <f>IF(COUNT(AK46:AT46)=0,"-",IF(P46=0,0,ROUND(O46/P46,3)))</f>
        <v/>
      </c>
      <c r="X46" s="19">
        <f>IF($C46="","",$E46&amp;"#"&amp;COUNTIFS($E$12:$E46,$E46,$C$12:$C46,"&lt;&gt;"))</f>
        <v/>
      </c>
      <c r="Y46" s="20">
        <f>IFERROR(INDEX($H$12:$H$111,MATCH($E46&amp;"#1",$X$12:$X$111,0)),"")</f>
        <v/>
      </c>
      <c r="Z46" s="20">
        <f>IFERROR(INDEX($H$12:$H$111,MATCH($E46&amp;"#2",$X$12:$X$111,0)),"")</f>
        <v/>
      </c>
      <c r="AA46" s="20">
        <f>IFERROR(INDEX($H$12:$H$111,MATCH($E46&amp;"#3",$X$12:$X$111,0)),"")</f>
        <v/>
      </c>
      <c r="AB46" s="20">
        <f>IFERROR(INDEX($H$12:$H$111,MATCH($E46&amp;"#4",$X$12:$X$111,0)),"")</f>
        <v/>
      </c>
      <c r="AC46" s="20">
        <f>IFERROR(INDEX($H$12:$H$111,MATCH($E46&amp;"#5",$X$12:$X$111,0)),"")</f>
        <v/>
      </c>
      <c r="AD46" s="20">
        <f>IFERROR(INDEX($H$12:$H$111,MATCH($E46&amp;"#6",$X$12:$X$111,0)),"")</f>
        <v/>
      </c>
      <c r="AE46" s="20">
        <f>IFERROR(INDEX($H$12:$H$111,MATCH($E46&amp;"#7",$X$12:$X$111,0)),"")</f>
        <v/>
      </c>
      <c r="AF46" s="20">
        <f>IFERROR(INDEX($H$12:$H$111,MATCH($E46&amp;"#8",$X$12:$X$111,0)),"")</f>
        <v/>
      </c>
      <c r="AG46" s="20">
        <f>IFERROR(INDEX($H$12:$H$111,MATCH($E46&amp;"#9",$X$12:$X$111,0)),"")</f>
        <v/>
      </c>
      <c r="AH46" s="20">
        <f>IFERROR(INDEX($H$12:$H$111,MATCH($E46&amp;"#10",$X$12:$X$111,0)),"")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</row>
    <row r="47">
      <c r="A47" s="224" t="n"/>
      <c r="B47" s="12" t="inlineStr">
        <is>
          <t>D06</t>
        </is>
      </c>
      <c r="C47" s="13" t="n"/>
      <c r="D47" s="14" t="n"/>
      <c r="E47" s="27" t="inlineStr">
        <is>
          <t>D</t>
        </is>
      </c>
      <c r="G47" s="28">
        <f>IF($C47="","",$E47&amp;(COUNTIFS(I$12:I$111,"&gt;"&amp;I47,E$12:E$111,"="&amp;E47,C$12:C$111,"&lt;&gt;")+COUNTIFS(I$12:I$111,"="&amp;I47,H$12:H$111,"&lt;="&amp;H47,E$12:E$111,"="&amp;E47,C$12:C$111,"&lt;&gt;")))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IF(COUNT(AK47:AT47)=0,"-",SUM(AK47:AT47)&amp;"-"&amp;SUM(AW47:BF47))</f>
        <v/>
      </c>
      <c r="V47" s="18">
        <f>IF(COUNT(AK47:AT47)=0,"-",IF(SUM(BU47:CD47)=0,0,ROUND(SUM(BI47:BR47)/SUM(BU47:CD47),3)))</f>
        <v/>
      </c>
      <c r="W47" s="18">
        <f>IF(COUNT(AK47:AT47)=0,"-",IF(P47=0,0,ROUND(O47/P47,3)))</f>
        <v/>
      </c>
      <c r="X47" s="19">
        <f>IF($C47="","",$E47&amp;"#"&amp;COUNTIFS($E$12:$E47,$E47,$C$12:$C47,"&lt;&gt;"))</f>
        <v/>
      </c>
      <c r="Y47" s="20">
        <f>IFERROR(INDEX($H$12:$H$111,MATCH($E47&amp;"#1",$X$12:$X$111,0)),"")</f>
        <v/>
      </c>
      <c r="Z47" s="20">
        <f>IFERROR(INDEX($H$12:$H$111,MATCH($E47&amp;"#2",$X$12:$X$111,0)),"")</f>
        <v/>
      </c>
      <c r="AA47" s="20">
        <f>IFERROR(INDEX($H$12:$H$111,MATCH($E47&amp;"#3",$X$12:$X$111,0)),"")</f>
        <v/>
      </c>
      <c r="AB47" s="20">
        <f>IFERROR(INDEX($H$12:$H$111,MATCH($E47&amp;"#4",$X$12:$X$111,0)),"")</f>
        <v/>
      </c>
      <c r="AC47" s="20">
        <f>IFERROR(INDEX($H$12:$H$111,MATCH($E47&amp;"#5",$X$12:$X$111,0)),"")</f>
        <v/>
      </c>
      <c r="AD47" s="20">
        <f>IFERROR(INDEX($H$12:$H$111,MATCH($E47&amp;"#6",$X$12:$X$111,0)),"")</f>
        <v/>
      </c>
      <c r="AE47" s="20">
        <f>IFERROR(INDEX($H$12:$H$111,MATCH($E47&amp;"#7",$X$12:$X$111,0)),"")</f>
        <v/>
      </c>
      <c r="AF47" s="20">
        <f>IFERROR(INDEX($H$12:$H$111,MATCH($E47&amp;"#8",$X$12:$X$111,0)),"")</f>
        <v/>
      </c>
      <c r="AG47" s="20">
        <f>IFERROR(INDEX($H$12:$H$111,MATCH($E47&amp;"#9",$X$12:$X$111,0)),"")</f>
        <v/>
      </c>
      <c r="AH47" s="20">
        <f>IFERROR(INDEX($H$12:$H$111,MATCH($E47&amp;"#10",$X$12:$X$111,0)),"")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</row>
    <row r="48">
      <c r="A48" s="224" t="n"/>
      <c r="B48" s="12" t="inlineStr">
        <is>
          <t>D07</t>
        </is>
      </c>
      <c r="C48" s="13" t="n"/>
      <c r="D48" s="14" t="n"/>
      <c r="E48" s="27" t="inlineStr">
        <is>
          <t>D</t>
        </is>
      </c>
      <c r="G48" s="28">
        <f>IF($C48="","",$E48&amp;(COUNTIFS(I$12:I$111,"&gt;"&amp;I48,E$12:E$111,"="&amp;E48,C$12:C$111,"&lt;&gt;")+COUNTIFS(I$12:I$111,"="&amp;I48,H$12:H$111,"&lt;="&amp;H48,E$12:E$111,"="&amp;E48,C$12:C$111,"&lt;&gt;")))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IF(COUNT(AK48:AT48)=0,"-",SUM(AK48:AT48)&amp;"-"&amp;SUM(AW48:BF48))</f>
        <v/>
      </c>
      <c r="V48" s="18">
        <f>IF(COUNT(AK48:AT48)=0,"-",IF(SUM(BU48:CD48)=0,0,ROUND(SUM(BI48:BR48)/SUM(BU48:CD48),3)))</f>
        <v/>
      </c>
      <c r="W48" s="18">
        <f>IF(COUNT(AK48:AT48)=0,"-",IF(P48=0,0,ROUND(O48/P48,3)))</f>
        <v/>
      </c>
      <c r="X48" s="19">
        <f>IF($C48="","",$E48&amp;"#"&amp;COUNTIFS($E$12:$E48,$E48,$C$12:$C48,"&lt;&gt;"))</f>
        <v/>
      </c>
      <c r="Y48" s="20">
        <f>IFERROR(INDEX($H$12:$H$111,MATCH($E48&amp;"#1",$X$12:$X$111,0)),"")</f>
        <v/>
      </c>
      <c r="Z48" s="20">
        <f>IFERROR(INDEX($H$12:$H$111,MATCH($E48&amp;"#2",$X$12:$X$111,0)),"")</f>
        <v/>
      </c>
      <c r="AA48" s="20">
        <f>IFERROR(INDEX($H$12:$H$111,MATCH($E48&amp;"#3",$X$12:$X$111,0)),"")</f>
        <v/>
      </c>
      <c r="AB48" s="20">
        <f>IFERROR(INDEX($H$12:$H$111,MATCH($E48&amp;"#4",$X$12:$X$111,0)),"")</f>
        <v/>
      </c>
      <c r="AC48" s="20">
        <f>IFERROR(INDEX($H$12:$H$111,MATCH($E48&amp;"#5",$X$12:$X$111,0)),"")</f>
        <v/>
      </c>
      <c r="AD48" s="20">
        <f>IFERROR(INDEX($H$12:$H$111,MATCH($E48&amp;"#6",$X$12:$X$111,0)),"")</f>
        <v/>
      </c>
      <c r="AE48" s="20">
        <f>IFERROR(INDEX($H$12:$H$111,MATCH($E48&amp;"#7",$X$12:$X$111,0)),"")</f>
        <v/>
      </c>
      <c r="AF48" s="20">
        <f>IFERROR(INDEX($H$12:$H$111,MATCH($E48&amp;"#8",$X$12:$X$111,0)),"")</f>
        <v/>
      </c>
      <c r="AG48" s="20">
        <f>IFERROR(INDEX($H$12:$H$111,MATCH($E48&amp;"#9",$X$12:$X$111,0)),"")</f>
        <v/>
      </c>
      <c r="AH48" s="20">
        <f>IFERROR(INDEX($H$12:$H$111,MATCH($E48&amp;"#10",$X$12:$X$111,0)),"")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</row>
    <row r="49">
      <c r="A49" s="224" t="n"/>
      <c r="B49" s="12" t="inlineStr">
        <is>
          <t>D08</t>
        </is>
      </c>
      <c r="C49" s="13" t="n"/>
      <c r="D49" s="14" t="n"/>
      <c r="E49" s="27" t="inlineStr">
        <is>
          <t>D</t>
        </is>
      </c>
      <c r="G49" s="28">
        <f>IF($C49="","",$E49&amp;(COUNTIFS(I$12:I$111,"&gt;"&amp;I49,E$12:E$111,"="&amp;E49,C$12:C$111,"&lt;&gt;")+COUNTIFS(I$12:I$111,"="&amp;I49,H$12:H$111,"&lt;="&amp;H49,E$12:E$111,"="&amp;E49,C$12:C$111,"&lt;&gt;")))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IF(COUNT(AK49:AT49)=0,"-",SUM(AK49:AT49)&amp;"-"&amp;SUM(AW49:BF49))</f>
        <v/>
      </c>
      <c r="V49" s="18">
        <f>IF(COUNT(AK49:AT49)=0,"-",IF(SUM(BU49:CD49)=0,0,ROUND(SUM(BI49:BR49)/SUM(BU49:CD49),3)))</f>
        <v/>
      </c>
      <c r="W49" s="18">
        <f>IF(COUNT(AK49:AT49)=0,"-",IF(P49=0,0,ROUND(O49/P49,3)))</f>
        <v/>
      </c>
      <c r="X49" s="19">
        <f>IF($C49="","",$E49&amp;"#"&amp;COUNTIFS($E$12:$E49,$E49,$C$12:$C49,"&lt;&gt;"))</f>
        <v/>
      </c>
      <c r="Y49" s="20">
        <f>IFERROR(INDEX($H$12:$H$111,MATCH($E49&amp;"#1",$X$12:$X$111,0)),"")</f>
        <v/>
      </c>
      <c r="Z49" s="20">
        <f>IFERROR(INDEX($H$12:$H$111,MATCH($E49&amp;"#2",$X$12:$X$111,0)),"")</f>
        <v/>
      </c>
      <c r="AA49" s="20">
        <f>IFERROR(INDEX($H$12:$H$111,MATCH($E49&amp;"#3",$X$12:$X$111,0)),"")</f>
        <v/>
      </c>
      <c r="AB49" s="20">
        <f>IFERROR(INDEX($H$12:$H$111,MATCH($E49&amp;"#4",$X$12:$X$111,0)),"")</f>
        <v/>
      </c>
      <c r="AC49" s="20">
        <f>IFERROR(INDEX($H$12:$H$111,MATCH($E49&amp;"#5",$X$12:$X$111,0)),"")</f>
        <v/>
      </c>
      <c r="AD49" s="20">
        <f>IFERROR(INDEX($H$12:$H$111,MATCH($E49&amp;"#6",$X$12:$X$111,0)),"")</f>
        <v/>
      </c>
      <c r="AE49" s="20">
        <f>IFERROR(INDEX($H$12:$H$111,MATCH($E49&amp;"#7",$X$12:$X$111,0)),"")</f>
        <v/>
      </c>
      <c r="AF49" s="20">
        <f>IFERROR(INDEX($H$12:$H$111,MATCH($E49&amp;"#8",$X$12:$X$111,0)),"")</f>
        <v/>
      </c>
      <c r="AG49" s="20">
        <f>IFERROR(INDEX($H$12:$H$111,MATCH($E49&amp;"#9",$X$12:$X$111,0)),"")</f>
        <v/>
      </c>
      <c r="AH49" s="20">
        <f>IFERROR(INDEX($H$12:$H$111,MATCH($E49&amp;"#10",$X$12:$X$111,0)),"")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</row>
    <row r="50">
      <c r="A50" s="224" t="n"/>
      <c r="B50" s="12" t="inlineStr">
        <is>
          <t>D09</t>
        </is>
      </c>
      <c r="C50" s="13" t="n"/>
      <c r="D50" s="14" t="n"/>
      <c r="E50" s="27" t="inlineStr">
        <is>
          <t>D</t>
        </is>
      </c>
      <c r="G50" s="28">
        <f>IF($C50="","",$E50&amp;(COUNTIFS(I$12:I$111,"&gt;"&amp;I50,E$12:E$111,"="&amp;E50,C$12:C$111,"&lt;&gt;")+COUNTIFS(I$12:I$111,"="&amp;I50,H$12:H$111,"&lt;="&amp;H50,E$12:E$111,"="&amp;E50,C$12:C$111,"&lt;&gt;")))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IF(COUNT(AK50:AT50)=0,"-",SUM(AK50:AT50)&amp;"-"&amp;SUM(AW50:BF50))</f>
        <v/>
      </c>
      <c r="V50" s="18">
        <f>IF(COUNT(AK50:AT50)=0,"-",IF(SUM(BU50:CD50)=0,0,ROUND(SUM(BI50:BR50)/SUM(BU50:CD50),3)))</f>
        <v/>
      </c>
      <c r="W50" s="18">
        <f>IF(COUNT(AK50:AT50)=0,"-",IF(P50=0,0,ROUND(O50/P50,3)))</f>
        <v/>
      </c>
      <c r="X50" s="19">
        <f>IF($C50="","",$E50&amp;"#"&amp;COUNTIFS($E$12:$E50,$E50,$C$12:$C50,"&lt;&gt;"))</f>
        <v/>
      </c>
      <c r="Y50" s="20">
        <f>IFERROR(INDEX($H$12:$H$111,MATCH($E50&amp;"#1",$X$12:$X$111,0)),"")</f>
        <v/>
      </c>
      <c r="Z50" s="20">
        <f>IFERROR(INDEX($H$12:$H$111,MATCH($E50&amp;"#2",$X$12:$X$111,0)),"")</f>
        <v/>
      </c>
      <c r="AA50" s="20">
        <f>IFERROR(INDEX($H$12:$H$111,MATCH($E50&amp;"#3",$X$12:$X$111,0)),"")</f>
        <v/>
      </c>
      <c r="AB50" s="20">
        <f>IFERROR(INDEX($H$12:$H$111,MATCH($E50&amp;"#4",$X$12:$X$111,0)),"")</f>
        <v/>
      </c>
      <c r="AC50" s="20">
        <f>IFERROR(INDEX($H$12:$H$111,MATCH($E50&amp;"#5",$X$12:$X$111,0)),"")</f>
        <v/>
      </c>
      <c r="AD50" s="20">
        <f>IFERROR(INDEX($H$12:$H$111,MATCH($E50&amp;"#6",$X$12:$X$111,0)),"")</f>
        <v/>
      </c>
      <c r="AE50" s="20">
        <f>IFERROR(INDEX($H$12:$H$111,MATCH($E50&amp;"#7",$X$12:$X$111,0)),"")</f>
        <v/>
      </c>
      <c r="AF50" s="20">
        <f>IFERROR(INDEX($H$12:$H$111,MATCH($E50&amp;"#8",$X$12:$X$111,0)),"")</f>
        <v/>
      </c>
      <c r="AG50" s="20">
        <f>IFERROR(INDEX($H$12:$H$111,MATCH($E50&amp;"#9",$X$12:$X$111,0)),"")</f>
        <v/>
      </c>
      <c r="AH50" s="20">
        <f>IFERROR(INDEX($H$12:$H$111,MATCH($E50&amp;"#10",$X$12:$X$111,0)),"")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</row>
    <row r="51">
      <c r="A51" s="224" t="n"/>
      <c r="B51" s="12" t="inlineStr">
        <is>
          <t>D10</t>
        </is>
      </c>
      <c r="C51" s="13" t="n"/>
      <c r="D51" s="14" t="n"/>
      <c r="E51" s="27" t="inlineStr">
        <is>
          <t>D</t>
        </is>
      </c>
      <c r="G51" s="28">
        <f>IF($C51="","",$E51&amp;(COUNTIFS(I$12:I$111,"&gt;"&amp;I51,E$12:E$111,"="&amp;E51,C$12:C$111,"&lt;&gt;")+COUNTIFS(I$12:I$111,"="&amp;I51,H$12:H$111,"&lt;="&amp;H51,E$12:E$111,"="&amp;E51,C$12:C$111,"&lt;&gt;")))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IF(COUNT(AK51:AT51)=0,"-",SUM(AK51:AT51)&amp;"-"&amp;SUM(AW51:BF51))</f>
        <v/>
      </c>
      <c r="V51" s="18">
        <f>IF(COUNT(AK51:AT51)=0,"-",IF(SUM(BU51:CD51)=0,0,ROUND(SUM(BI51:BR51)/SUM(BU51:CD51),3)))</f>
        <v/>
      </c>
      <c r="W51" s="18">
        <f>IF(COUNT(AK51:AT51)=0,"-",IF(P51=0,0,ROUND(O51/P51,3)))</f>
        <v/>
      </c>
      <c r="X51" s="19">
        <f>IF($C51="","",$E51&amp;"#"&amp;COUNTIFS($E$12:$E51,$E51,$C$12:$C51,"&lt;&gt;"))</f>
        <v/>
      </c>
      <c r="Y51" s="20">
        <f>IFERROR(INDEX($H$12:$H$111,MATCH($E51&amp;"#1",$X$12:$X$111,0)),"")</f>
        <v/>
      </c>
      <c r="Z51" s="20">
        <f>IFERROR(INDEX($H$12:$H$111,MATCH($E51&amp;"#2",$X$12:$X$111,0)),"")</f>
        <v/>
      </c>
      <c r="AA51" s="20">
        <f>IFERROR(INDEX($H$12:$H$111,MATCH($E51&amp;"#3",$X$12:$X$111,0)),"")</f>
        <v/>
      </c>
      <c r="AB51" s="20">
        <f>IFERROR(INDEX($H$12:$H$111,MATCH($E51&amp;"#4",$X$12:$X$111,0)),"")</f>
        <v/>
      </c>
      <c r="AC51" s="20">
        <f>IFERROR(INDEX($H$12:$H$111,MATCH($E51&amp;"#5",$X$12:$X$111,0)),"")</f>
        <v/>
      </c>
      <c r="AD51" s="20">
        <f>IFERROR(INDEX($H$12:$H$111,MATCH($E51&amp;"#6",$X$12:$X$111,0)),"")</f>
        <v/>
      </c>
      <c r="AE51" s="20">
        <f>IFERROR(INDEX($H$12:$H$111,MATCH($E51&amp;"#7",$X$12:$X$111,0)),"")</f>
        <v/>
      </c>
      <c r="AF51" s="20">
        <f>IFERROR(INDEX($H$12:$H$111,MATCH($E51&amp;"#8",$X$12:$X$111,0)),"")</f>
        <v/>
      </c>
      <c r="AG51" s="20">
        <f>IFERROR(INDEX($H$12:$H$111,MATCH($E51&amp;"#9",$X$12:$X$111,0)),"")</f>
        <v/>
      </c>
      <c r="AH51" s="20">
        <f>IFERROR(INDEX($H$12:$H$111,MATCH($E51&amp;"#10",$X$12:$X$111,0)),"")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</row>
    <row r="52">
      <c r="A52" s="224" t="n"/>
      <c r="B52" s="12" t="inlineStr">
        <is>
          <t>E01</t>
        </is>
      </c>
      <c r="C52" s="13" t="n"/>
      <c r="D52" s="14" t="n"/>
      <c r="E52" s="29" t="inlineStr">
        <is>
          <t>E</t>
        </is>
      </c>
      <c r="G52" s="30">
        <f>IF($C52="","",$E52&amp;(COUNTIFS(I$12:I$111,"&gt;"&amp;I52,E$12:E$111,"="&amp;E52,C$12:C$111,"&lt;&gt;")+COUNTIFS(I$12:I$111,"="&amp;I52,H$12:H$111,"&lt;="&amp;H52,E$12:E$111,"="&amp;E52,C$12:C$111,"&lt;&gt;")))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30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IF(COUNT(AK52:AT52)=0,"-",SUM(AK52:AT52)&amp;"-"&amp;SUM(AW52:BF52))</f>
        <v/>
      </c>
      <c r="V52" s="18">
        <f>IF(COUNT(AK52:AT52)=0,"-",IF(SUM(BU52:CD52)=0,0,ROUND(SUM(BI52:BR52)/SUM(BU52:CD52),3)))</f>
        <v/>
      </c>
      <c r="W52" s="18">
        <f>IF(COUNT(AK52:AT52)=0,"-",IF(P52=0,0,ROUND(O52/P52,3)))</f>
        <v/>
      </c>
      <c r="X52" s="19">
        <f>IF($C52="","",$E52&amp;"#"&amp;COUNTIFS($E$12:$E52,$E52,$C$12:$C52,"&lt;&gt;"))</f>
        <v/>
      </c>
      <c r="Y52" s="20">
        <f>IFERROR(INDEX($H$12:$H$111,MATCH($E52&amp;"#1",$X$12:$X$111,0)),"")</f>
        <v/>
      </c>
      <c r="Z52" s="20">
        <f>IFERROR(INDEX($H$12:$H$111,MATCH($E52&amp;"#2",$X$12:$X$111,0)),"")</f>
        <v/>
      </c>
      <c r="AA52" s="20">
        <f>IFERROR(INDEX($H$12:$H$111,MATCH($E52&amp;"#3",$X$12:$X$111,0)),"")</f>
        <v/>
      </c>
      <c r="AB52" s="20">
        <f>IFERROR(INDEX($H$12:$H$111,MATCH($E52&amp;"#4",$X$12:$X$111,0)),"")</f>
        <v/>
      </c>
      <c r="AC52" s="20">
        <f>IFERROR(INDEX($H$12:$H$111,MATCH($E52&amp;"#5",$X$12:$X$111,0)),"")</f>
        <v/>
      </c>
      <c r="AD52" s="20">
        <f>IFERROR(INDEX($H$12:$H$111,MATCH($E52&amp;"#6",$X$12:$X$111,0)),"")</f>
        <v/>
      </c>
      <c r="AE52" s="20">
        <f>IFERROR(INDEX($H$12:$H$111,MATCH($E52&amp;"#7",$X$12:$X$111,0)),"")</f>
        <v/>
      </c>
      <c r="AF52" s="20">
        <f>IFERROR(INDEX($H$12:$H$111,MATCH($E52&amp;"#8",$X$12:$X$111,0)),"")</f>
        <v/>
      </c>
      <c r="AG52" s="20">
        <f>IFERROR(INDEX($H$12:$H$111,MATCH($E52&amp;"#9",$X$12:$X$111,0)),"")</f>
        <v/>
      </c>
      <c r="AH52" s="20">
        <f>IFERROR(INDEX($H$12:$H$111,MATCH($E52&amp;"#10",$X$12:$X$111,0)),"")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</row>
    <row r="53">
      <c r="A53" s="224" t="n"/>
      <c r="B53" s="12" t="inlineStr">
        <is>
          <t>E02</t>
        </is>
      </c>
      <c r="C53" s="13" t="n"/>
      <c r="D53" s="14" t="n"/>
      <c r="E53" s="29" t="inlineStr">
        <is>
          <t>E</t>
        </is>
      </c>
      <c r="G53" s="30">
        <f>IF($C53="","",$E53&amp;(COUNTIFS(I$12:I$111,"&gt;"&amp;I53,E$12:E$111,"="&amp;E53,C$12:C$111,"&lt;&gt;")+COUNTIFS(I$12:I$111,"="&amp;I53,H$12:H$111,"&lt;="&amp;H53,E$12:E$111,"="&amp;E53,C$12:C$111,"&lt;&gt;")))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30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IF(COUNT(AK53:AT53)=0,"-",SUM(AK53:AT53)&amp;"-"&amp;SUM(AW53:BF53))</f>
        <v/>
      </c>
      <c r="V53" s="18">
        <f>IF(COUNT(AK53:AT53)=0,"-",IF(SUM(BU53:CD53)=0,0,ROUND(SUM(BI53:BR53)/SUM(BU53:CD53),3)))</f>
        <v/>
      </c>
      <c r="W53" s="18">
        <f>IF(COUNT(AK53:AT53)=0,"-",IF(P53=0,0,ROUND(O53/P53,3)))</f>
        <v/>
      </c>
      <c r="X53" s="19">
        <f>IF($C53="","",$E53&amp;"#"&amp;COUNTIFS($E$12:$E53,$E53,$C$12:$C53,"&lt;&gt;"))</f>
        <v/>
      </c>
      <c r="Y53" s="20">
        <f>IFERROR(INDEX($H$12:$H$111,MATCH($E53&amp;"#1",$X$12:$X$111,0)),"")</f>
        <v/>
      </c>
      <c r="Z53" s="20">
        <f>IFERROR(INDEX($H$12:$H$111,MATCH($E53&amp;"#2",$X$12:$X$111,0)),"")</f>
        <v/>
      </c>
      <c r="AA53" s="20">
        <f>IFERROR(INDEX($H$12:$H$111,MATCH($E53&amp;"#3",$X$12:$X$111,0)),"")</f>
        <v/>
      </c>
      <c r="AB53" s="20">
        <f>IFERROR(INDEX($H$12:$H$111,MATCH($E53&amp;"#4",$X$12:$X$111,0)),"")</f>
        <v/>
      </c>
      <c r="AC53" s="20">
        <f>IFERROR(INDEX($H$12:$H$111,MATCH($E53&amp;"#5",$X$12:$X$111,0)),"")</f>
        <v/>
      </c>
      <c r="AD53" s="20">
        <f>IFERROR(INDEX($H$12:$H$111,MATCH($E53&amp;"#6",$X$12:$X$111,0)),"")</f>
        <v/>
      </c>
      <c r="AE53" s="20">
        <f>IFERROR(INDEX($H$12:$H$111,MATCH($E53&amp;"#7",$X$12:$X$111,0)),"")</f>
        <v/>
      </c>
      <c r="AF53" s="20">
        <f>IFERROR(INDEX($H$12:$H$111,MATCH($E53&amp;"#8",$X$12:$X$111,0)),"")</f>
        <v/>
      </c>
      <c r="AG53" s="20">
        <f>IFERROR(INDEX($H$12:$H$111,MATCH($E53&amp;"#9",$X$12:$X$111,0)),"")</f>
        <v/>
      </c>
      <c r="AH53" s="20">
        <f>IFERROR(INDEX($H$12:$H$111,MATCH($E53&amp;"#10",$X$12:$X$111,0)),"")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</row>
    <row r="54">
      <c r="A54" s="224" t="n"/>
      <c r="B54" s="12" t="inlineStr">
        <is>
          <t>E03</t>
        </is>
      </c>
      <c r="C54" s="13" t="n"/>
      <c r="D54" s="14" t="n"/>
      <c r="E54" s="29" t="inlineStr">
        <is>
          <t>E</t>
        </is>
      </c>
      <c r="G54" s="30">
        <f>IF($C54="","",$E54&amp;(COUNTIFS(I$12:I$111,"&gt;"&amp;I54,E$12:E$111,"="&amp;E54,C$12:C$111,"&lt;&gt;")+COUNTIFS(I$12:I$111,"="&amp;I54,H$12:H$111,"&lt;="&amp;H54,E$12:E$111,"="&amp;E54,C$12:C$111,"&lt;&gt;")))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IF(COUNT(AK54:AT54)=0,"-",SUM(AK54:AT54)&amp;"-"&amp;SUM(AW54:BF54))</f>
        <v/>
      </c>
      <c r="V54" s="18">
        <f>IF(COUNT(AK54:AT54)=0,"-",IF(SUM(BU54:CD54)=0,0,ROUND(SUM(BI54:BR54)/SUM(BU54:CD54),3)))</f>
        <v/>
      </c>
      <c r="W54" s="18">
        <f>IF(COUNT(AK54:AT54)=0,"-",IF(P54=0,0,ROUND(O54/P54,3)))</f>
        <v/>
      </c>
      <c r="X54" s="19">
        <f>IF($C54="","",$E54&amp;"#"&amp;COUNTIFS($E$12:$E54,$E54,$C$12:$C54,"&lt;&gt;"))</f>
        <v/>
      </c>
      <c r="Y54" s="20">
        <f>IFERROR(INDEX($H$12:$H$111,MATCH($E54&amp;"#1",$X$12:$X$111,0)),"")</f>
        <v/>
      </c>
      <c r="Z54" s="20">
        <f>IFERROR(INDEX($H$12:$H$111,MATCH($E54&amp;"#2",$X$12:$X$111,0)),"")</f>
        <v/>
      </c>
      <c r="AA54" s="20">
        <f>IFERROR(INDEX($H$12:$H$111,MATCH($E54&amp;"#3",$X$12:$X$111,0)),"")</f>
        <v/>
      </c>
      <c r="AB54" s="20">
        <f>IFERROR(INDEX($H$12:$H$111,MATCH($E54&amp;"#4",$X$12:$X$111,0)),"")</f>
        <v/>
      </c>
      <c r="AC54" s="20">
        <f>IFERROR(INDEX($H$12:$H$111,MATCH($E54&amp;"#5",$X$12:$X$111,0)),"")</f>
        <v/>
      </c>
      <c r="AD54" s="20">
        <f>IFERROR(INDEX($H$12:$H$111,MATCH($E54&amp;"#6",$X$12:$X$111,0)),"")</f>
        <v/>
      </c>
      <c r="AE54" s="20">
        <f>IFERROR(INDEX($H$12:$H$111,MATCH($E54&amp;"#7",$X$12:$X$111,0)),"")</f>
        <v/>
      </c>
      <c r="AF54" s="20">
        <f>IFERROR(INDEX($H$12:$H$111,MATCH($E54&amp;"#8",$X$12:$X$111,0)),"")</f>
        <v/>
      </c>
      <c r="AG54" s="20">
        <f>IFERROR(INDEX($H$12:$H$111,MATCH($E54&amp;"#9",$X$12:$X$111,0)),"")</f>
        <v/>
      </c>
      <c r="AH54" s="20">
        <f>IFERROR(INDEX($H$12:$H$111,MATCH($E54&amp;"#10",$X$12:$X$111,0)),"")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</row>
    <row r="55">
      <c r="A55" s="224" t="n"/>
      <c r="B55" s="12" t="inlineStr">
        <is>
          <t>E04</t>
        </is>
      </c>
      <c r="C55" s="13" t="n"/>
      <c r="D55" s="14" t="n"/>
      <c r="E55" s="29" t="inlineStr">
        <is>
          <t>E</t>
        </is>
      </c>
      <c r="G55" s="30">
        <f>IF($C55="","",$E55&amp;(COUNTIFS(I$12:I$111,"&gt;"&amp;I55,E$12:E$111,"="&amp;E55,C$12:C$111,"&lt;&gt;")+COUNTIFS(I$12:I$111,"="&amp;I55,H$12:H$111,"&lt;="&amp;H55,E$12:E$111,"="&amp;E55,C$12:C$111,"&lt;&gt;")))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IF(COUNT(AK55:AT55)=0,"-",SUM(AK55:AT55)&amp;"-"&amp;SUM(AW55:BF55))</f>
        <v/>
      </c>
      <c r="V55" s="18">
        <f>IF(COUNT(AK55:AT55)=0,"-",IF(SUM(BU55:CD55)=0,0,ROUND(SUM(BI55:BR55)/SUM(BU55:CD55),3)))</f>
        <v/>
      </c>
      <c r="W55" s="18">
        <f>IF(COUNT(AK55:AT55)=0,"-",IF(P55=0,0,ROUND(O55/P55,3)))</f>
        <v/>
      </c>
      <c r="X55" s="19">
        <f>IF($C55="","",$E55&amp;"#"&amp;COUNTIFS($E$12:$E55,$E55,$C$12:$C55,"&lt;&gt;"))</f>
        <v/>
      </c>
      <c r="Y55" s="20">
        <f>IFERROR(INDEX($H$12:$H$111,MATCH($E55&amp;"#1",$X$12:$X$111,0)),"")</f>
        <v/>
      </c>
      <c r="Z55" s="20">
        <f>IFERROR(INDEX($H$12:$H$111,MATCH($E55&amp;"#2",$X$12:$X$111,0)),"")</f>
        <v/>
      </c>
      <c r="AA55" s="20">
        <f>IFERROR(INDEX($H$12:$H$111,MATCH($E55&amp;"#3",$X$12:$X$111,0)),"")</f>
        <v/>
      </c>
      <c r="AB55" s="20">
        <f>IFERROR(INDEX($H$12:$H$111,MATCH($E55&amp;"#4",$X$12:$X$111,0)),"")</f>
        <v/>
      </c>
      <c r="AC55" s="20">
        <f>IFERROR(INDEX($H$12:$H$111,MATCH($E55&amp;"#5",$X$12:$X$111,0)),"")</f>
        <v/>
      </c>
      <c r="AD55" s="20">
        <f>IFERROR(INDEX($H$12:$H$111,MATCH($E55&amp;"#6",$X$12:$X$111,0)),"")</f>
        <v/>
      </c>
      <c r="AE55" s="20">
        <f>IFERROR(INDEX($H$12:$H$111,MATCH($E55&amp;"#7",$X$12:$X$111,0)),"")</f>
        <v/>
      </c>
      <c r="AF55" s="20">
        <f>IFERROR(INDEX($H$12:$H$111,MATCH($E55&amp;"#8",$X$12:$X$111,0)),"")</f>
        <v/>
      </c>
      <c r="AG55" s="20">
        <f>IFERROR(INDEX($H$12:$H$111,MATCH($E55&amp;"#9",$X$12:$X$111,0)),"")</f>
        <v/>
      </c>
      <c r="AH55" s="20">
        <f>IFERROR(INDEX($H$12:$H$111,MATCH($E55&amp;"#10",$X$12:$X$111,0)),"")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</row>
    <row r="56">
      <c r="A56" s="224" t="n"/>
      <c r="B56" s="12" t="inlineStr">
        <is>
          <t>E05</t>
        </is>
      </c>
      <c r="C56" s="13" t="n"/>
      <c r="D56" s="14" t="n"/>
      <c r="E56" s="29" t="inlineStr">
        <is>
          <t>E</t>
        </is>
      </c>
      <c r="G56" s="30">
        <f>IF($C56="","",$E56&amp;(COUNTIFS(I$12:I$111,"&gt;"&amp;I56,E$12:E$111,"="&amp;E56,C$12:C$111,"&lt;&gt;")+COUNTIFS(I$12:I$111,"="&amp;I56,H$12:H$111,"&lt;="&amp;H56,E$12:E$111,"="&amp;E56,C$12:C$111,"&lt;&gt;")))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IF(COUNT(AK56:AT56)=0,"-",SUM(AK56:AT56)&amp;"-"&amp;SUM(AW56:BF56))</f>
        <v/>
      </c>
      <c r="V56" s="18">
        <f>IF(COUNT(AK56:AT56)=0,"-",IF(SUM(BU56:CD56)=0,0,ROUND(SUM(BI56:BR56)/SUM(BU56:CD56),3)))</f>
        <v/>
      </c>
      <c r="W56" s="18">
        <f>IF(COUNT(AK56:AT56)=0,"-",IF(P56=0,0,ROUND(O56/P56,3)))</f>
        <v/>
      </c>
      <c r="X56" s="19">
        <f>IF($C56="","",$E56&amp;"#"&amp;COUNTIFS($E$12:$E56,$E56,$C$12:$C56,"&lt;&gt;"))</f>
        <v/>
      </c>
      <c r="Y56" s="20">
        <f>IFERROR(INDEX($H$12:$H$111,MATCH($E56&amp;"#1",$X$12:$X$111,0)),"")</f>
        <v/>
      </c>
      <c r="Z56" s="20">
        <f>IFERROR(INDEX($H$12:$H$111,MATCH($E56&amp;"#2",$X$12:$X$111,0)),"")</f>
        <v/>
      </c>
      <c r="AA56" s="20">
        <f>IFERROR(INDEX($H$12:$H$111,MATCH($E56&amp;"#3",$X$12:$X$111,0)),"")</f>
        <v/>
      </c>
      <c r="AB56" s="20">
        <f>IFERROR(INDEX($H$12:$H$111,MATCH($E56&amp;"#4",$X$12:$X$111,0)),"")</f>
        <v/>
      </c>
      <c r="AC56" s="20">
        <f>IFERROR(INDEX($H$12:$H$111,MATCH($E56&amp;"#5",$X$12:$X$111,0)),"")</f>
        <v/>
      </c>
      <c r="AD56" s="20">
        <f>IFERROR(INDEX($H$12:$H$111,MATCH($E56&amp;"#6",$X$12:$X$111,0)),"")</f>
        <v/>
      </c>
      <c r="AE56" s="20">
        <f>IFERROR(INDEX($H$12:$H$111,MATCH($E56&amp;"#7",$X$12:$X$111,0)),"")</f>
        <v/>
      </c>
      <c r="AF56" s="20">
        <f>IFERROR(INDEX($H$12:$H$111,MATCH($E56&amp;"#8",$X$12:$X$111,0)),"")</f>
        <v/>
      </c>
      <c r="AG56" s="20">
        <f>IFERROR(INDEX($H$12:$H$111,MATCH($E56&amp;"#9",$X$12:$X$111,0)),"")</f>
        <v/>
      </c>
      <c r="AH56" s="20">
        <f>IFERROR(INDEX($H$12:$H$111,MATCH($E56&amp;"#10",$X$12:$X$111,0)),"")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</row>
    <row r="57">
      <c r="A57" s="224" t="n"/>
      <c r="B57" s="12" t="inlineStr">
        <is>
          <t>E06</t>
        </is>
      </c>
      <c r="C57" s="13" t="n"/>
      <c r="D57" s="14" t="n"/>
      <c r="E57" s="29" t="inlineStr">
        <is>
          <t>E</t>
        </is>
      </c>
      <c r="G57" s="30">
        <f>IF($C57="","",$E57&amp;(COUNTIFS(I$12:I$111,"&gt;"&amp;I57,E$12:E$111,"="&amp;E57,C$12:C$111,"&lt;&gt;")+COUNTIFS(I$12:I$111,"="&amp;I57,H$12:H$111,"&lt;="&amp;H57,E$12:E$111,"="&amp;E57,C$12:C$111,"&lt;&gt;")))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IF(COUNT(AK57:AT57)=0,"-",SUM(AK57:AT57)&amp;"-"&amp;SUM(AW57:BF57))</f>
        <v/>
      </c>
      <c r="V57" s="18">
        <f>IF(COUNT(AK57:AT57)=0,"-",IF(SUM(BU57:CD57)=0,0,ROUND(SUM(BI57:BR57)/SUM(BU57:CD57),3)))</f>
        <v/>
      </c>
      <c r="W57" s="18">
        <f>IF(COUNT(AK57:AT57)=0,"-",IF(P57=0,0,ROUND(O57/P57,3)))</f>
        <v/>
      </c>
      <c r="X57" s="19">
        <f>IF($C57="","",$E57&amp;"#"&amp;COUNTIFS($E$12:$E57,$E57,$C$12:$C57,"&lt;&gt;"))</f>
        <v/>
      </c>
      <c r="Y57" s="20">
        <f>IFERROR(INDEX($H$12:$H$111,MATCH($E57&amp;"#1",$X$12:$X$111,0)),"")</f>
        <v/>
      </c>
      <c r="Z57" s="20">
        <f>IFERROR(INDEX($H$12:$H$111,MATCH($E57&amp;"#2",$X$12:$X$111,0)),"")</f>
        <v/>
      </c>
      <c r="AA57" s="20">
        <f>IFERROR(INDEX($H$12:$H$111,MATCH($E57&amp;"#3",$X$12:$X$111,0)),"")</f>
        <v/>
      </c>
      <c r="AB57" s="20">
        <f>IFERROR(INDEX($H$12:$H$111,MATCH($E57&amp;"#4",$X$12:$X$111,0)),"")</f>
        <v/>
      </c>
      <c r="AC57" s="20">
        <f>IFERROR(INDEX($H$12:$H$111,MATCH($E57&amp;"#5",$X$12:$X$111,0)),"")</f>
        <v/>
      </c>
      <c r="AD57" s="20">
        <f>IFERROR(INDEX($H$12:$H$111,MATCH($E57&amp;"#6",$X$12:$X$111,0)),"")</f>
        <v/>
      </c>
      <c r="AE57" s="20">
        <f>IFERROR(INDEX($H$12:$H$111,MATCH($E57&amp;"#7",$X$12:$X$111,0)),"")</f>
        <v/>
      </c>
      <c r="AF57" s="20">
        <f>IFERROR(INDEX($H$12:$H$111,MATCH($E57&amp;"#8",$X$12:$X$111,0)),"")</f>
        <v/>
      </c>
      <c r="AG57" s="20">
        <f>IFERROR(INDEX($H$12:$H$111,MATCH($E57&amp;"#9",$X$12:$X$111,0)),"")</f>
        <v/>
      </c>
      <c r="AH57" s="20">
        <f>IFERROR(INDEX($H$12:$H$111,MATCH($E57&amp;"#10",$X$12:$X$111,0)),"")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</row>
    <row r="58">
      <c r="A58" s="224" t="n"/>
      <c r="B58" s="12" t="inlineStr">
        <is>
          <t>E07</t>
        </is>
      </c>
      <c r="C58" s="13" t="n"/>
      <c r="D58" s="14" t="n"/>
      <c r="E58" s="29" t="inlineStr">
        <is>
          <t>E</t>
        </is>
      </c>
      <c r="G58" s="30">
        <f>IF($C58="","",$E58&amp;(COUNTIFS(I$12:I$111,"&gt;"&amp;I58,E$12:E$111,"="&amp;E58,C$12:C$111,"&lt;&gt;")+COUNTIFS(I$12:I$111,"="&amp;I58,H$12:H$111,"&lt;="&amp;H58,E$12:E$111,"="&amp;E58,C$12:C$111,"&lt;&gt;")))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IF(COUNT(AK58:AT58)=0,"-",SUM(AK58:AT58)&amp;"-"&amp;SUM(AW58:BF58))</f>
        <v/>
      </c>
      <c r="V58" s="18">
        <f>IF(COUNT(AK58:AT58)=0,"-",IF(SUM(BU58:CD58)=0,0,ROUND(SUM(BI58:BR58)/SUM(BU58:CD58),3)))</f>
        <v/>
      </c>
      <c r="W58" s="18">
        <f>IF(COUNT(AK58:AT58)=0,"-",IF(P58=0,0,ROUND(O58/P58,3)))</f>
        <v/>
      </c>
      <c r="X58" s="19">
        <f>IF($C58="","",$E58&amp;"#"&amp;COUNTIFS($E$12:$E58,$E58,$C$12:$C58,"&lt;&gt;"))</f>
        <v/>
      </c>
      <c r="Y58" s="20">
        <f>IFERROR(INDEX($H$12:$H$111,MATCH($E58&amp;"#1",$X$12:$X$111,0)),"")</f>
        <v/>
      </c>
      <c r="Z58" s="20">
        <f>IFERROR(INDEX($H$12:$H$111,MATCH($E58&amp;"#2",$X$12:$X$111,0)),"")</f>
        <v/>
      </c>
      <c r="AA58" s="20">
        <f>IFERROR(INDEX($H$12:$H$111,MATCH($E58&amp;"#3",$X$12:$X$111,0)),"")</f>
        <v/>
      </c>
      <c r="AB58" s="20">
        <f>IFERROR(INDEX($H$12:$H$111,MATCH($E58&amp;"#4",$X$12:$X$111,0)),"")</f>
        <v/>
      </c>
      <c r="AC58" s="20">
        <f>IFERROR(INDEX($H$12:$H$111,MATCH($E58&amp;"#5",$X$12:$X$111,0)),"")</f>
        <v/>
      </c>
      <c r="AD58" s="20">
        <f>IFERROR(INDEX($H$12:$H$111,MATCH($E58&amp;"#6",$X$12:$X$111,0)),"")</f>
        <v/>
      </c>
      <c r="AE58" s="20">
        <f>IFERROR(INDEX($H$12:$H$111,MATCH($E58&amp;"#7",$X$12:$X$111,0)),"")</f>
        <v/>
      </c>
      <c r="AF58" s="20">
        <f>IFERROR(INDEX($H$12:$H$111,MATCH($E58&amp;"#8",$X$12:$X$111,0)),"")</f>
        <v/>
      </c>
      <c r="AG58" s="20">
        <f>IFERROR(INDEX($H$12:$H$111,MATCH($E58&amp;"#9",$X$12:$X$111,0)),"")</f>
        <v/>
      </c>
      <c r="AH58" s="20">
        <f>IFERROR(INDEX($H$12:$H$111,MATCH($E58&amp;"#10",$X$12:$X$111,0)),"")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</row>
    <row r="59">
      <c r="A59" s="224" t="n"/>
      <c r="B59" s="12" t="inlineStr">
        <is>
          <t>E08</t>
        </is>
      </c>
      <c r="C59" s="13" t="n"/>
      <c r="D59" s="14" t="n"/>
      <c r="E59" s="29" t="inlineStr">
        <is>
          <t>E</t>
        </is>
      </c>
      <c r="G59" s="30">
        <f>IF($C59="","",$E59&amp;(COUNTIFS(I$12:I$111,"&gt;"&amp;I59,E$12:E$111,"="&amp;E59,C$12:C$111,"&lt;&gt;")+COUNTIFS(I$12:I$111,"="&amp;I59,H$12:H$111,"&lt;="&amp;H59,E$12:E$111,"="&amp;E59,C$12:C$111,"&lt;&gt;")))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IF(COUNT(AK59:AT59)=0,"-",SUM(AK59:AT59)&amp;"-"&amp;SUM(AW59:BF59))</f>
        <v/>
      </c>
      <c r="V59" s="18">
        <f>IF(COUNT(AK59:AT59)=0,"-",IF(SUM(BU59:CD59)=0,0,ROUND(SUM(BI59:BR59)/SUM(BU59:CD59),3)))</f>
        <v/>
      </c>
      <c r="W59" s="18">
        <f>IF(COUNT(AK59:AT59)=0,"-",IF(P59=0,0,ROUND(O59/P59,3)))</f>
        <v/>
      </c>
      <c r="X59" s="19">
        <f>IF($C59="","",$E59&amp;"#"&amp;COUNTIFS($E$12:$E59,$E59,$C$12:$C59,"&lt;&gt;"))</f>
        <v/>
      </c>
      <c r="Y59" s="20">
        <f>IFERROR(INDEX($H$12:$H$111,MATCH($E59&amp;"#1",$X$12:$X$111,0)),"")</f>
        <v/>
      </c>
      <c r="Z59" s="20">
        <f>IFERROR(INDEX($H$12:$H$111,MATCH($E59&amp;"#2",$X$12:$X$111,0)),"")</f>
        <v/>
      </c>
      <c r="AA59" s="20">
        <f>IFERROR(INDEX($H$12:$H$111,MATCH($E59&amp;"#3",$X$12:$X$111,0)),"")</f>
        <v/>
      </c>
      <c r="AB59" s="20">
        <f>IFERROR(INDEX($H$12:$H$111,MATCH($E59&amp;"#4",$X$12:$X$111,0)),"")</f>
        <v/>
      </c>
      <c r="AC59" s="20">
        <f>IFERROR(INDEX($H$12:$H$111,MATCH($E59&amp;"#5",$X$12:$X$111,0)),"")</f>
        <v/>
      </c>
      <c r="AD59" s="20">
        <f>IFERROR(INDEX($H$12:$H$111,MATCH($E59&amp;"#6",$X$12:$X$111,0)),"")</f>
        <v/>
      </c>
      <c r="AE59" s="20">
        <f>IFERROR(INDEX($H$12:$H$111,MATCH($E59&amp;"#7",$X$12:$X$111,0)),"")</f>
        <v/>
      </c>
      <c r="AF59" s="20">
        <f>IFERROR(INDEX($H$12:$H$111,MATCH($E59&amp;"#8",$X$12:$X$111,0)),"")</f>
        <v/>
      </c>
      <c r="AG59" s="20">
        <f>IFERROR(INDEX($H$12:$H$111,MATCH($E59&amp;"#9",$X$12:$X$111,0)),"")</f>
        <v/>
      </c>
      <c r="AH59" s="20">
        <f>IFERROR(INDEX($H$12:$H$111,MATCH($E59&amp;"#10",$X$12:$X$111,0)),"")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</row>
    <row r="60">
      <c r="A60" s="224" t="n"/>
      <c r="B60" s="12" t="inlineStr">
        <is>
          <t>E09</t>
        </is>
      </c>
      <c r="C60" s="13" t="n"/>
      <c r="D60" s="14" t="n"/>
      <c r="E60" s="29" t="inlineStr">
        <is>
          <t>E</t>
        </is>
      </c>
      <c r="G60" s="30">
        <f>IF($C60="","",$E60&amp;(COUNTIFS(I$12:I$111,"&gt;"&amp;I60,E$12:E$111,"="&amp;E60,C$12:C$111,"&lt;&gt;")+COUNTIFS(I$12:I$111,"="&amp;I60,H$12:H$111,"&lt;="&amp;H60,E$12:E$111,"="&amp;E60,C$12:C$111,"&lt;&gt;")))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IF(COUNT(AK60:AT60)=0,"-",SUM(AK60:AT60)&amp;"-"&amp;SUM(AW60:BF60))</f>
        <v/>
      </c>
      <c r="V60" s="18">
        <f>IF(COUNT(AK60:AT60)=0,"-",IF(SUM(BU60:CD60)=0,0,ROUND(SUM(BI60:BR60)/SUM(BU60:CD60),3)))</f>
        <v/>
      </c>
      <c r="W60" s="18">
        <f>IF(COUNT(AK60:AT60)=0,"-",IF(P60=0,0,ROUND(O60/P60,3)))</f>
        <v/>
      </c>
      <c r="X60" s="19">
        <f>IF($C60="","",$E60&amp;"#"&amp;COUNTIFS($E$12:$E60,$E60,$C$12:$C60,"&lt;&gt;"))</f>
        <v/>
      </c>
      <c r="Y60" s="20">
        <f>IFERROR(INDEX($H$12:$H$111,MATCH($E60&amp;"#1",$X$12:$X$111,0)),"")</f>
        <v/>
      </c>
      <c r="Z60" s="20">
        <f>IFERROR(INDEX($H$12:$H$111,MATCH($E60&amp;"#2",$X$12:$X$111,0)),"")</f>
        <v/>
      </c>
      <c r="AA60" s="20">
        <f>IFERROR(INDEX($H$12:$H$111,MATCH($E60&amp;"#3",$X$12:$X$111,0)),"")</f>
        <v/>
      </c>
      <c r="AB60" s="20">
        <f>IFERROR(INDEX($H$12:$H$111,MATCH($E60&amp;"#4",$X$12:$X$111,0)),"")</f>
        <v/>
      </c>
      <c r="AC60" s="20">
        <f>IFERROR(INDEX($H$12:$H$111,MATCH($E60&amp;"#5",$X$12:$X$111,0)),"")</f>
        <v/>
      </c>
      <c r="AD60" s="20">
        <f>IFERROR(INDEX($H$12:$H$111,MATCH($E60&amp;"#6",$X$12:$X$111,0)),"")</f>
        <v/>
      </c>
      <c r="AE60" s="20">
        <f>IFERROR(INDEX($H$12:$H$111,MATCH($E60&amp;"#7",$X$12:$X$111,0)),"")</f>
        <v/>
      </c>
      <c r="AF60" s="20">
        <f>IFERROR(INDEX($H$12:$H$111,MATCH($E60&amp;"#8",$X$12:$X$111,0)),"")</f>
        <v/>
      </c>
      <c r="AG60" s="20">
        <f>IFERROR(INDEX($H$12:$H$111,MATCH($E60&amp;"#9",$X$12:$X$111,0)),"")</f>
        <v/>
      </c>
      <c r="AH60" s="20">
        <f>IFERROR(INDEX($H$12:$H$111,MATCH($E60&amp;"#10",$X$12:$X$111,0)),"")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</row>
    <row r="61">
      <c r="A61" s="224" t="n"/>
      <c r="B61" s="12" t="inlineStr">
        <is>
          <t>E10</t>
        </is>
      </c>
      <c r="C61" s="13" t="n"/>
      <c r="D61" s="14" t="n"/>
      <c r="E61" s="29" t="inlineStr">
        <is>
          <t>E</t>
        </is>
      </c>
      <c r="G61" s="30">
        <f>IF($C61="","",$E61&amp;(COUNTIFS(I$12:I$111,"&gt;"&amp;I61,E$12:E$111,"="&amp;E61,C$12:C$111,"&lt;&gt;")+COUNTIFS(I$12:I$111,"="&amp;I61,H$12:H$111,"&lt;="&amp;H61,E$12:E$111,"="&amp;E61,C$12:C$111,"&lt;&gt;")))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IF(COUNT(AK61:AT61)=0,"-",SUM(AK61:AT61)&amp;"-"&amp;SUM(AW61:BF61))</f>
        <v/>
      </c>
      <c r="V61" s="18">
        <f>IF(COUNT(AK61:AT61)=0,"-",IF(SUM(BU61:CD61)=0,0,ROUND(SUM(BI61:BR61)/SUM(BU61:CD61),3)))</f>
        <v/>
      </c>
      <c r="W61" s="18">
        <f>IF(COUNT(AK61:AT61)=0,"-",IF(P61=0,0,ROUND(O61/P61,3)))</f>
        <v/>
      </c>
      <c r="X61" s="19">
        <f>IF($C61="","",$E61&amp;"#"&amp;COUNTIFS($E$12:$E61,$E61,$C$12:$C61,"&lt;&gt;"))</f>
        <v/>
      </c>
      <c r="Y61" s="20">
        <f>IFERROR(INDEX($H$12:$H$111,MATCH($E61&amp;"#1",$X$12:$X$111,0)),"")</f>
        <v/>
      </c>
      <c r="Z61" s="20">
        <f>IFERROR(INDEX($H$12:$H$111,MATCH($E61&amp;"#2",$X$12:$X$111,0)),"")</f>
        <v/>
      </c>
      <c r="AA61" s="20">
        <f>IFERROR(INDEX($H$12:$H$111,MATCH($E61&amp;"#3",$X$12:$X$111,0)),"")</f>
        <v/>
      </c>
      <c r="AB61" s="20">
        <f>IFERROR(INDEX($H$12:$H$111,MATCH($E61&amp;"#4",$X$12:$X$111,0)),"")</f>
        <v/>
      </c>
      <c r="AC61" s="20">
        <f>IFERROR(INDEX($H$12:$H$111,MATCH($E61&amp;"#5",$X$12:$X$111,0)),"")</f>
        <v/>
      </c>
      <c r="AD61" s="20">
        <f>IFERROR(INDEX($H$12:$H$111,MATCH($E61&amp;"#6",$X$12:$X$111,0)),"")</f>
        <v/>
      </c>
      <c r="AE61" s="20">
        <f>IFERROR(INDEX($H$12:$H$111,MATCH($E61&amp;"#7",$X$12:$X$111,0)),"")</f>
        <v/>
      </c>
      <c r="AF61" s="20">
        <f>IFERROR(INDEX($H$12:$H$111,MATCH($E61&amp;"#8",$X$12:$X$111,0)),"")</f>
        <v/>
      </c>
      <c r="AG61" s="20">
        <f>IFERROR(INDEX($H$12:$H$111,MATCH($E61&amp;"#9",$X$12:$X$111,0)),"")</f>
        <v/>
      </c>
      <c r="AH61" s="20">
        <f>IFERROR(INDEX($H$12:$H$111,MATCH($E61&amp;"#10",$X$12:$X$111,0)),"")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</row>
    <row r="62">
      <c r="A62" s="224" t="n"/>
      <c r="B62" s="12" t="inlineStr">
        <is>
          <t>F01</t>
        </is>
      </c>
      <c r="C62" s="13" t="n"/>
      <c r="D62" s="14" t="n"/>
      <c r="E62" s="31" t="inlineStr">
        <is>
          <t>F</t>
        </is>
      </c>
      <c r="G62" s="32">
        <f>IF($C62="","",$E62&amp;(COUNTIFS(I$12:I$111,"&gt;"&amp;I62,E$12:E$111,"="&amp;E62,C$12:C$111,"&lt;&gt;")+COUNTIFS(I$12:I$111,"="&amp;I62,H$12:H$111,"&lt;="&amp;H62,E$12:E$111,"="&amp;E62,C$12:C$111,"&lt;&gt;")))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2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IF(COUNT(AK62:AT62)=0,"-",SUM(AK62:AT62)&amp;"-"&amp;SUM(AW62:BF62))</f>
        <v/>
      </c>
      <c r="V62" s="18">
        <f>IF(COUNT(AK62:AT62)=0,"-",IF(SUM(BU62:CD62)=0,0,ROUND(SUM(BI62:BR62)/SUM(BU62:CD62),3)))</f>
        <v/>
      </c>
      <c r="W62" s="18">
        <f>IF(COUNT(AK62:AT62)=0,"-",IF(P62=0,0,ROUND(O62/P62,3)))</f>
        <v/>
      </c>
      <c r="X62" s="19">
        <f>IF($C62="","",$E62&amp;"#"&amp;COUNTIFS($E$12:$E62,$E62,$C$12:$C62,"&lt;&gt;"))</f>
        <v/>
      </c>
      <c r="Y62" s="20">
        <f>IFERROR(INDEX($H$12:$H$111,MATCH($E62&amp;"#1",$X$12:$X$111,0)),"")</f>
        <v/>
      </c>
      <c r="Z62" s="20">
        <f>IFERROR(INDEX($H$12:$H$111,MATCH($E62&amp;"#2",$X$12:$X$111,0)),"")</f>
        <v/>
      </c>
      <c r="AA62" s="20">
        <f>IFERROR(INDEX($H$12:$H$111,MATCH($E62&amp;"#3",$X$12:$X$111,0)),"")</f>
        <v/>
      </c>
      <c r="AB62" s="20">
        <f>IFERROR(INDEX($H$12:$H$111,MATCH($E62&amp;"#4",$X$12:$X$111,0)),"")</f>
        <v/>
      </c>
      <c r="AC62" s="20">
        <f>IFERROR(INDEX($H$12:$H$111,MATCH($E62&amp;"#5",$X$12:$X$111,0)),"")</f>
        <v/>
      </c>
      <c r="AD62" s="20">
        <f>IFERROR(INDEX($H$12:$H$111,MATCH($E62&amp;"#6",$X$12:$X$111,0)),"")</f>
        <v/>
      </c>
      <c r="AE62" s="20">
        <f>IFERROR(INDEX($H$12:$H$111,MATCH($E62&amp;"#7",$X$12:$X$111,0)),"")</f>
        <v/>
      </c>
      <c r="AF62" s="20">
        <f>IFERROR(INDEX($H$12:$H$111,MATCH($E62&amp;"#8",$X$12:$X$111,0)),"")</f>
        <v/>
      </c>
      <c r="AG62" s="20">
        <f>IFERROR(INDEX($H$12:$H$111,MATCH($E62&amp;"#9",$X$12:$X$111,0)),"")</f>
        <v/>
      </c>
      <c r="AH62" s="20">
        <f>IFERROR(INDEX($H$12:$H$111,MATCH($E62&amp;"#10",$X$12:$X$111,0)),"")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</row>
    <row r="63">
      <c r="A63" s="224" t="n"/>
      <c r="B63" s="12" t="inlineStr">
        <is>
          <t>F02</t>
        </is>
      </c>
      <c r="C63" s="13" t="n"/>
      <c r="D63" s="14" t="n"/>
      <c r="E63" s="31" t="inlineStr">
        <is>
          <t>F</t>
        </is>
      </c>
      <c r="G63" s="32">
        <f>IF($C63="","",$E63&amp;(COUNTIFS(I$12:I$111,"&gt;"&amp;I63,E$12:E$111,"="&amp;E63,C$12:C$111,"&lt;&gt;")+COUNTIFS(I$12:I$111,"="&amp;I63,H$12:H$111,"&lt;="&amp;H63,E$12:E$111,"="&amp;E63,C$12:C$111,"&lt;&gt;")))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2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IF(COUNT(AK63:AT63)=0,"-",SUM(AK63:AT63)&amp;"-"&amp;SUM(AW63:BF63))</f>
        <v/>
      </c>
      <c r="V63" s="18">
        <f>IF(COUNT(AK63:AT63)=0,"-",IF(SUM(BU63:CD63)=0,0,ROUND(SUM(BI63:BR63)/SUM(BU63:CD63),3)))</f>
        <v/>
      </c>
      <c r="W63" s="18">
        <f>IF(COUNT(AK63:AT63)=0,"-",IF(P63=0,0,ROUND(O63/P63,3)))</f>
        <v/>
      </c>
      <c r="X63" s="19">
        <f>IF($C63="","",$E63&amp;"#"&amp;COUNTIFS($E$12:$E63,$E63,$C$12:$C63,"&lt;&gt;"))</f>
        <v/>
      </c>
      <c r="Y63" s="20">
        <f>IFERROR(INDEX($H$12:$H$111,MATCH($E63&amp;"#1",$X$12:$X$111,0)),"")</f>
        <v/>
      </c>
      <c r="Z63" s="20">
        <f>IFERROR(INDEX($H$12:$H$111,MATCH($E63&amp;"#2",$X$12:$X$111,0)),"")</f>
        <v/>
      </c>
      <c r="AA63" s="20">
        <f>IFERROR(INDEX($H$12:$H$111,MATCH($E63&amp;"#3",$X$12:$X$111,0)),"")</f>
        <v/>
      </c>
      <c r="AB63" s="20">
        <f>IFERROR(INDEX($H$12:$H$111,MATCH($E63&amp;"#4",$X$12:$X$111,0)),"")</f>
        <v/>
      </c>
      <c r="AC63" s="20">
        <f>IFERROR(INDEX($H$12:$H$111,MATCH($E63&amp;"#5",$X$12:$X$111,0)),"")</f>
        <v/>
      </c>
      <c r="AD63" s="20">
        <f>IFERROR(INDEX($H$12:$H$111,MATCH($E63&amp;"#6",$X$12:$X$111,0)),"")</f>
        <v/>
      </c>
      <c r="AE63" s="20">
        <f>IFERROR(INDEX($H$12:$H$111,MATCH($E63&amp;"#7",$X$12:$X$111,0)),"")</f>
        <v/>
      </c>
      <c r="AF63" s="20">
        <f>IFERROR(INDEX($H$12:$H$111,MATCH($E63&amp;"#8",$X$12:$X$111,0)),"")</f>
        <v/>
      </c>
      <c r="AG63" s="20">
        <f>IFERROR(INDEX($H$12:$H$111,MATCH($E63&amp;"#9",$X$12:$X$111,0)),"")</f>
        <v/>
      </c>
      <c r="AH63" s="20">
        <f>IFERROR(INDEX($H$12:$H$111,MATCH($E63&amp;"#10",$X$12:$X$111,0)),"")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</row>
    <row r="64">
      <c r="A64" s="224" t="n"/>
      <c r="B64" s="12" t="inlineStr">
        <is>
          <t>F03</t>
        </is>
      </c>
      <c r="C64" s="13" t="n"/>
      <c r="D64" s="14" t="n"/>
      <c r="E64" s="31" t="inlineStr">
        <is>
          <t>F</t>
        </is>
      </c>
      <c r="G64" s="32">
        <f>IF($C64="","",$E64&amp;(COUNTIFS(I$12:I$111,"&gt;"&amp;I64,E$12:E$111,"="&amp;E64,C$12:C$111,"&lt;&gt;")+COUNTIFS(I$12:I$111,"="&amp;I64,H$12:H$111,"&lt;="&amp;H64,E$12:E$111,"="&amp;E64,C$12:C$111,"&lt;&gt;")))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IF(COUNT(AK64:AT64)=0,"-",SUM(AK64:AT64)&amp;"-"&amp;SUM(AW64:BF64))</f>
        <v/>
      </c>
      <c r="V64" s="18">
        <f>IF(COUNT(AK64:AT64)=0,"-",IF(SUM(BU64:CD64)=0,0,ROUND(SUM(BI64:BR64)/SUM(BU64:CD64),3)))</f>
        <v/>
      </c>
      <c r="W64" s="18">
        <f>IF(COUNT(AK64:AT64)=0,"-",IF(P64=0,0,ROUND(O64/P64,3)))</f>
        <v/>
      </c>
      <c r="X64" s="19">
        <f>IF($C64="","",$E64&amp;"#"&amp;COUNTIFS($E$12:$E64,$E64,$C$12:$C64,"&lt;&gt;"))</f>
        <v/>
      </c>
      <c r="Y64" s="20">
        <f>IFERROR(INDEX($H$12:$H$111,MATCH($E64&amp;"#1",$X$12:$X$111,0)),"")</f>
        <v/>
      </c>
      <c r="Z64" s="20">
        <f>IFERROR(INDEX($H$12:$H$111,MATCH($E64&amp;"#2",$X$12:$X$111,0)),"")</f>
        <v/>
      </c>
      <c r="AA64" s="20">
        <f>IFERROR(INDEX($H$12:$H$111,MATCH($E64&amp;"#3",$X$12:$X$111,0)),"")</f>
        <v/>
      </c>
      <c r="AB64" s="20">
        <f>IFERROR(INDEX($H$12:$H$111,MATCH($E64&amp;"#4",$X$12:$X$111,0)),"")</f>
        <v/>
      </c>
      <c r="AC64" s="20">
        <f>IFERROR(INDEX($H$12:$H$111,MATCH($E64&amp;"#5",$X$12:$X$111,0)),"")</f>
        <v/>
      </c>
      <c r="AD64" s="20">
        <f>IFERROR(INDEX($H$12:$H$111,MATCH($E64&amp;"#6",$X$12:$X$111,0)),"")</f>
        <v/>
      </c>
      <c r="AE64" s="20">
        <f>IFERROR(INDEX($H$12:$H$111,MATCH($E64&amp;"#7",$X$12:$X$111,0)),"")</f>
        <v/>
      </c>
      <c r="AF64" s="20">
        <f>IFERROR(INDEX($H$12:$H$111,MATCH($E64&amp;"#8",$X$12:$X$111,0)),"")</f>
        <v/>
      </c>
      <c r="AG64" s="20">
        <f>IFERROR(INDEX($H$12:$H$111,MATCH($E64&amp;"#9",$X$12:$X$111,0)),"")</f>
        <v/>
      </c>
      <c r="AH64" s="20">
        <f>IFERROR(INDEX($H$12:$H$111,MATCH($E64&amp;"#10",$X$12:$X$111,0)),"")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</row>
    <row r="65">
      <c r="A65" s="224" t="n"/>
      <c r="B65" s="12" t="inlineStr">
        <is>
          <t>F04</t>
        </is>
      </c>
      <c r="C65" s="13" t="n"/>
      <c r="D65" s="14" t="n"/>
      <c r="E65" s="31" t="inlineStr">
        <is>
          <t>F</t>
        </is>
      </c>
      <c r="G65" s="32">
        <f>IF($C65="","",$E65&amp;(COUNTIFS(I$12:I$111,"&gt;"&amp;I65,E$12:E$111,"="&amp;E65,C$12:C$111,"&lt;&gt;")+COUNTIFS(I$12:I$111,"="&amp;I65,H$12:H$111,"&lt;="&amp;H65,E$12:E$111,"="&amp;E65,C$12:C$111,"&lt;&gt;")))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IF(COUNT(AK65:AT65)=0,"-",SUM(AK65:AT65)&amp;"-"&amp;SUM(AW65:BF65))</f>
        <v/>
      </c>
      <c r="V65" s="18">
        <f>IF(COUNT(AK65:AT65)=0,"-",IF(SUM(BU65:CD65)=0,0,ROUND(SUM(BI65:BR65)/SUM(BU65:CD65),3)))</f>
        <v/>
      </c>
      <c r="W65" s="18">
        <f>IF(COUNT(AK65:AT65)=0,"-",IF(P65=0,0,ROUND(O65/P65,3)))</f>
        <v/>
      </c>
      <c r="X65" s="19">
        <f>IF($C65="","",$E65&amp;"#"&amp;COUNTIFS($E$12:$E65,$E65,$C$12:$C65,"&lt;&gt;"))</f>
        <v/>
      </c>
      <c r="Y65" s="20">
        <f>IFERROR(INDEX($H$12:$H$111,MATCH($E65&amp;"#1",$X$12:$X$111,0)),"")</f>
        <v/>
      </c>
      <c r="Z65" s="20">
        <f>IFERROR(INDEX($H$12:$H$111,MATCH($E65&amp;"#2",$X$12:$X$111,0)),"")</f>
        <v/>
      </c>
      <c r="AA65" s="20">
        <f>IFERROR(INDEX($H$12:$H$111,MATCH($E65&amp;"#3",$X$12:$X$111,0)),"")</f>
        <v/>
      </c>
      <c r="AB65" s="20">
        <f>IFERROR(INDEX($H$12:$H$111,MATCH($E65&amp;"#4",$X$12:$X$111,0)),"")</f>
        <v/>
      </c>
      <c r="AC65" s="20">
        <f>IFERROR(INDEX($H$12:$H$111,MATCH($E65&amp;"#5",$X$12:$X$111,0)),"")</f>
        <v/>
      </c>
      <c r="AD65" s="20">
        <f>IFERROR(INDEX($H$12:$H$111,MATCH($E65&amp;"#6",$X$12:$X$111,0)),"")</f>
        <v/>
      </c>
      <c r="AE65" s="20">
        <f>IFERROR(INDEX($H$12:$H$111,MATCH($E65&amp;"#7",$X$12:$X$111,0)),"")</f>
        <v/>
      </c>
      <c r="AF65" s="20">
        <f>IFERROR(INDEX($H$12:$H$111,MATCH($E65&amp;"#8",$X$12:$X$111,0)),"")</f>
        <v/>
      </c>
      <c r="AG65" s="20">
        <f>IFERROR(INDEX($H$12:$H$111,MATCH($E65&amp;"#9",$X$12:$X$111,0)),"")</f>
        <v/>
      </c>
      <c r="AH65" s="20">
        <f>IFERROR(INDEX($H$12:$H$111,MATCH($E65&amp;"#10",$X$12:$X$111,0)),"")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</row>
    <row r="66">
      <c r="A66" s="224" t="n"/>
      <c r="B66" s="12" t="inlineStr">
        <is>
          <t>F05</t>
        </is>
      </c>
      <c r="C66" s="13" t="n"/>
      <c r="D66" s="14" t="n"/>
      <c r="E66" s="31" t="inlineStr">
        <is>
          <t>F</t>
        </is>
      </c>
      <c r="G66" s="32">
        <f>IF($C66="","",$E66&amp;(COUNTIFS(I$12:I$111,"&gt;"&amp;I66,E$12:E$111,"="&amp;E66,C$12:C$111,"&lt;&gt;")+COUNTIFS(I$12:I$111,"="&amp;I66,H$12:H$111,"&lt;="&amp;H66,E$12:E$111,"="&amp;E66,C$12:C$111,"&lt;&gt;")))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IF(COUNT(AK66:AT66)=0,"-",SUM(AK66:AT66)&amp;"-"&amp;SUM(AW66:BF66))</f>
        <v/>
      </c>
      <c r="V66" s="18">
        <f>IF(COUNT(AK66:AT66)=0,"-",IF(SUM(BU66:CD66)=0,0,ROUND(SUM(BI66:BR66)/SUM(BU66:CD66),3)))</f>
        <v/>
      </c>
      <c r="W66" s="18">
        <f>IF(COUNT(AK66:AT66)=0,"-",IF(P66=0,0,ROUND(O66/P66,3)))</f>
        <v/>
      </c>
      <c r="X66" s="19">
        <f>IF($C66="","",$E66&amp;"#"&amp;COUNTIFS($E$12:$E66,$E66,$C$12:$C66,"&lt;&gt;"))</f>
        <v/>
      </c>
      <c r="Y66" s="20">
        <f>IFERROR(INDEX($H$12:$H$111,MATCH($E66&amp;"#1",$X$12:$X$111,0)),"")</f>
        <v/>
      </c>
      <c r="Z66" s="20">
        <f>IFERROR(INDEX($H$12:$H$111,MATCH($E66&amp;"#2",$X$12:$X$111,0)),"")</f>
        <v/>
      </c>
      <c r="AA66" s="20">
        <f>IFERROR(INDEX($H$12:$H$111,MATCH($E66&amp;"#3",$X$12:$X$111,0)),"")</f>
        <v/>
      </c>
      <c r="AB66" s="20">
        <f>IFERROR(INDEX($H$12:$H$111,MATCH($E66&amp;"#4",$X$12:$X$111,0)),"")</f>
        <v/>
      </c>
      <c r="AC66" s="20">
        <f>IFERROR(INDEX($H$12:$H$111,MATCH($E66&amp;"#5",$X$12:$X$111,0)),"")</f>
        <v/>
      </c>
      <c r="AD66" s="20">
        <f>IFERROR(INDEX($H$12:$H$111,MATCH($E66&amp;"#6",$X$12:$X$111,0)),"")</f>
        <v/>
      </c>
      <c r="AE66" s="20">
        <f>IFERROR(INDEX($H$12:$H$111,MATCH($E66&amp;"#7",$X$12:$X$111,0)),"")</f>
        <v/>
      </c>
      <c r="AF66" s="20">
        <f>IFERROR(INDEX($H$12:$H$111,MATCH($E66&amp;"#8",$X$12:$X$111,0)),"")</f>
        <v/>
      </c>
      <c r="AG66" s="20">
        <f>IFERROR(INDEX($H$12:$H$111,MATCH($E66&amp;"#9",$X$12:$X$111,0)),"")</f>
        <v/>
      </c>
      <c r="AH66" s="20">
        <f>IFERROR(INDEX($H$12:$H$111,MATCH($E66&amp;"#10",$X$12:$X$111,0)),"")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</row>
    <row r="67">
      <c r="A67" s="224" t="n"/>
      <c r="B67" s="12" t="inlineStr">
        <is>
          <t>F06</t>
        </is>
      </c>
      <c r="C67" s="13" t="n"/>
      <c r="D67" s="14" t="n"/>
      <c r="E67" s="31" t="inlineStr">
        <is>
          <t>F</t>
        </is>
      </c>
      <c r="G67" s="32">
        <f>IF($C67="","",$E67&amp;(COUNTIFS(I$12:I$111,"&gt;"&amp;I67,E$12:E$111,"="&amp;E67,C$12:C$111,"&lt;&gt;")+COUNTIFS(I$12:I$111,"="&amp;I67,H$12:H$111,"&lt;="&amp;H67,E$12:E$111,"="&amp;E67,C$12:C$111,"&lt;&gt;")))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IF(COUNT(AK67:AT67)=0,"-",SUM(AK67:AT67)&amp;"-"&amp;SUM(AW67:BF67))</f>
        <v/>
      </c>
      <c r="V67" s="18">
        <f>IF(COUNT(AK67:AT67)=0,"-",IF(SUM(BU67:CD67)=0,0,ROUND(SUM(BI67:BR67)/SUM(BU67:CD67),3)))</f>
        <v/>
      </c>
      <c r="W67" s="18">
        <f>IF(COUNT(AK67:AT67)=0,"-",IF(P67=0,0,ROUND(O67/P67,3)))</f>
        <v/>
      </c>
      <c r="X67" s="19">
        <f>IF($C67="","",$E67&amp;"#"&amp;COUNTIFS($E$12:$E67,$E67,$C$12:$C67,"&lt;&gt;"))</f>
        <v/>
      </c>
      <c r="Y67" s="20">
        <f>IFERROR(INDEX($H$12:$H$111,MATCH($E67&amp;"#1",$X$12:$X$111,0)),"")</f>
        <v/>
      </c>
      <c r="Z67" s="20">
        <f>IFERROR(INDEX($H$12:$H$111,MATCH($E67&amp;"#2",$X$12:$X$111,0)),"")</f>
        <v/>
      </c>
      <c r="AA67" s="20">
        <f>IFERROR(INDEX($H$12:$H$111,MATCH($E67&amp;"#3",$X$12:$X$111,0)),"")</f>
        <v/>
      </c>
      <c r="AB67" s="20">
        <f>IFERROR(INDEX($H$12:$H$111,MATCH($E67&amp;"#4",$X$12:$X$111,0)),"")</f>
        <v/>
      </c>
      <c r="AC67" s="20">
        <f>IFERROR(INDEX($H$12:$H$111,MATCH($E67&amp;"#5",$X$12:$X$111,0)),"")</f>
        <v/>
      </c>
      <c r="AD67" s="20">
        <f>IFERROR(INDEX($H$12:$H$111,MATCH($E67&amp;"#6",$X$12:$X$111,0)),"")</f>
        <v/>
      </c>
      <c r="AE67" s="20">
        <f>IFERROR(INDEX($H$12:$H$111,MATCH($E67&amp;"#7",$X$12:$X$111,0)),"")</f>
        <v/>
      </c>
      <c r="AF67" s="20">
        <f>IFERROR(INDEX($H$12:$H$111,MATCH($E67&amp;"#8",$X$12:$X$111,0)),"")</f>
        <v/>
      </c>
      <c r="AG67" s="20">
        <f>IFERROR(INDEX($H$12:$H$111,MATCH($E67&amp;"#9",$X$12:$X$111,0)),"")</f>
        <v/>
      </c>
      <c r="AH67" s="20">
        <f>IFERROR(INDEX($H$12:$H$111,MATCH($E67&amp;"#10",$X$12:$X$111,0)),"")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</row>
    <row r="68">
      <c r="A68" s="224" t="n"/>
      <c r="B68" s="12" t="inlineStr">
        <is>
          <t>F07</t>
        </is>
      </c>
      <c r="C68" s="13" t="n"/>
      <c r="D68" s="14" t="n"/>
      <c r="E68" s="31" t="inlineStr">
        <is>
          <t>F</t>
        </is>
      </c>
      <c r="G68" s="32">
        <f>IF($C68="","",$E68&amp;(COUNTIFS(I$12:I$111,"&gt;"&amp;I68,E$12:E$111,"="&amp;E68,C$12:C$111,"&lt;&gt;")+COUNTIFS(I$12:I$111,"="&amp;I68,H$12:H$111,"&lt;="&amp;H68,E$12:E$111,"="&amp;E68,C$12:C$111,"&lt;&gt;")))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IF(COUNT(AK68:AT68)=0,"-",SUM(AK68:AT68)&amp;"-"&amp;SUM(AW68:BF68))</f>
        <v/>
      </c>
      <c r="V68" s="18">
        <f>IF(COUNT(AK68:AT68)=0,"-",IF(SUM(BU68:CD68)=0,0,ROUND(SUM(BI68:BR68)/SUM(BU68:CD68),3)))</f>
        <v/>
      </c>
      <c r="W68" s="18">
        <f>IF(COUNT(AK68:AT68)=0,"-",IF(P68=0,0,ROUND(O68/P68,3)))</f>
        <v/>
      </c>
      <c r="X68" s="19">
        <f>IF($C68="","",$E68&amp;"#"&amp;COUNTIFS($E$12:$E68,$E68,$C$12:$C68,"&lt;&gt;"))</f>
        <v/>
      </c>
      <c r="Y68" s="20">
        <f>IFERROR(INDEX($H$12:$H$111,MATCH($E68&amp;"#1",$X$12:$X$111,0)),"")</f>
        <v/>
      </c>
      <c r="Z68" s="20">
        <f>IFERROR(INDEX($H$12:$H$111,MATCH($E68&amp;"#2",$X$12:$X$111,0)),"")</f>
        <v/>
      </c>
      <c r="AA68" s="20">
        <f>IFERROR(INDEX($H$12:$H$111,MATCH($E68&amp;"#3",$X$12:$X$111,0)),"")</f>
        <v/>
      </c>
      <c r="AB68" s="20">
        <f>IFERROR(INDEX($H$12:$H$111,MATCH($E68&amp;"#4",$X$12:$X$111,0)),"")</f>
        <v/>
      </c>
      <c r="AC68" s="20">
        <f>IFERROR(INDEX($H$12:$H$111,MATCH($E68&amp;"#5",$X$12:$X$111,0)),"")</f>
        <v/>
      </c>
      <c r="AD68" s="20">
        <f>IFERROR(INDEX($H$12:$H$111,MATCH($E68&amp;"#6",$X$12:$X$111,0)),"")</f>
        <v/>
      </c>
      <c r="AE68" s="20">
        <f>IFERROR(INDEX($H$12:$H$111,MATCH($E68&amp;"#7",$X$12:$X$111,0)),"")</f>
        <v/>
      </c>
      <c r="AF68" s="20">
        <f>IFERROR(INDEX($H$12:$H$111,MATCH($E68&amp;"#8",$X$12:$X$111,0)),"")</f>
        <v/>
      </c>
      <c r="AG68" s="20">
        <f>IFERROR(INDEX($H$12:$H$111,MATCH($E68&amp;"#9",$X$12:$X$111,0)),"")</f>
        <v/>
      </c>
      <c r="AH68" s="20">
        <f>IFERROR(INDEX($H$12:$H$111,MATCH($E68&amp;"#10",$X$12:$X$111,0)),"")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</row>
    <row r="69">
      <c r="A69" s="224" t="n"/>
      <c r="B69" s="12" t="inlineStr">
        <is>
          <t>F08</t>
        </is>
      </c>
      <c r="C69" s="13" t="n"/>
      <c r="D69" s="14" t="n"/>
      <c r="E69" s="31" t="inlineStr">
        <is>
          <t>F</t>
        </is>
      </c>
      <c r="G69" s="32">
        <f>IF($C69="","",$E69&amp;(COUNTIFS(I$12:I$111,"&gt;"&amp;I69,E$12:E$111,"="&amp;E69,C$12:C$111,"&lt;&gt;")+COUNTIFS(I$12:I$111,"="&amp;I69,H$12:H$111,"&lt;="&amp;H69,E$12:E$111,"="&amp;E69,C$12:C$111,"&lt;&gt;")))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IF(COUNT(AK69:AT69)=0,"-",SUM(AK69:AT69)&amp;"-"&amp;SUM(AW69:BF69))</f>
        <v/>
      </c>
      <c r="V69" s="18">
        <f>IF(COUNT(AK69:AT69)=0,"-",IF(SUM(BU69:CD69)=0,0,ROUND(SUM(BI69:BR69)/SUM(BU69:CD69),3)))</f>
        <v/>
      </c>
      <c r="W69" s="18">
        <f>IF(COUNT(AK69:AT69)=0,"-",IF(P69=0,0,ROUND(O69/P69,3)))</f>
        <v/>
      </c>
      <c r="X69" s="19">
        <f>IF($C69="","",$E69&amp;"#"&amp;COUNTIFS($E$12:$E69,$E69,$C$12:$C69,"&lt;&gt;"))</f>
        <v/>
      </c>
      <c r="Y69" s="20">
        <f>IFERROR(INDEX($H$12:$H$111,MATCH($E69&amp;"#1",$X$12:$X$111,0)),"")</f>
        <v/>
      </c>
      <c r="Z69" s="20">
        <f>IFERROR(INDEX($H$12:$H$111,MATCH($E69&amp;"#2",$X$12:$X$111,0)),"")</f>
        <v/>
      </c>
      <c r="AA69" s="20">
        <f>IFERROR(INDEX($H$12:$H$111,MATCH($E69&amp;"#3",$X$12:$X$111,0)),"")</f>
        <v/>
      </c>
      <c r="AB69" s="20">
        <f>IFERROR(INDEX($H$12:$H$111,MATCH($E69&amp;"#4",$X$12:$X$111,0)),"")</f>
        <v/>
      </c>
      <c r="AC69" s="20">
        <f>IFERROR(INDEX($H$12:$H$111,MATCH($E69&amp;"#5",$X$12:$X$111,0)),"")</f>
        <v/>
      </c>
      <c r="AD69" s="20">
        <f>IFERROR(INDEX($H$12:$H$111,MATCH($E69&amp;"#6",$X$12:$X$111,0)),"")</f>
        <v/>
      </c>
      <c r="AE69" s="20">
        <f>IFERROR(INDEX($H$12:$H$111,MATCH($E69&amp;"#7",$X$12:$X$111,0)),"")</f>
        <v/>
      </c>
      <c r="AF69" s="20">
        <f>IFERROR(INDEX($H$12:$H$111,MATCH($E69&amp;"#8",$X$12:$X$111,0)),"")</f>
        <v/>
      </c>
      <c r="AG69" s="20">
        <f>IFERROR(INDEX($H$12:$H$111,MATCH($E69&amp;"#9",$X$12:$X$111,0)),"")</f>
        <v/>
      </c>
      <c r="AH69" s="20">
        <f>IFERROR(INDEX($H$12:$H$111,MATCH($E69&amp;"#10",$X$12:$X$111,0)),"")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</row>
    <row r="70">
      <c r="A70" s="224" t="n"/>
      <c r="B70" s="12" t="inlineStr">
        <is>
          <t>F09</t>
        </is>
      </c>
      <c r="C70" s="13" t="n"/>
      <c r="D70" s="14" t="n"/>
      <c r="E70" s="31" t="inlineStr">
        <is>
          <t>F</t>
        </is>
      </c>
      <c r="G70" s="32">
        <f>IF($C70="","",$E70&amp;(COUNTIFS(I$12:I$111,"&gt;"&amp;I70,E$12:E$111,"="&amp;E70,C$12:C$111,"&lt;&gt;")+COUNTIFS(I$12:I$111,"="&amp;I70,H$12:H$111,"&lt;="&amp;H70,E$12:E$111,"="&amp;E70,C$12:C$111,"&lt;&gt;")))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IF(COUNT(AK70:AT70)=0,"-",SUM(AK70:AT70)&amp;"-"&amp;SUM(AW70:BF70))</f>
        <v/>
      </c>
      <c r="V70" s="18">
        <f>IF(COUNT(AK70:AT70)=0,"-",IF(SUM(BU70:CD70)=0,0,ROUND(SUM(BI70:BR70)/SUM(BU70:CD70),3)))</f>
        <v/>
      </c>
      <c r="W70" s="18">
        <f>IF(COUNT(AK70:AT70)=0,"-",IF(P70=0,0,ROUND(O70/P70,3)))</f>
        <v/>
      </c>
      <c r="X70" s="19">
        <f>IF($C70="","",$E70&amp;"#"&amp;COUNTIFS($E$12:$E70,$E70,$C$12:$C70,"&lt;&gt;"))</f>
        <v/>
      </c>
      <c r="Y70" s="20">
        <f>IFERROR(INDEX($H$12:$H$111,MATCH($E70&amp;"#1",$X$12:$X$111,0)),"")</f>
        <v/>
      </c>
      <c r="Z70" s="20">
        <f>IFERROR(INDEX($H$12:$H$111,MATCH($E70&amp;"#2",$X$12:$X$111,0)),"")</f>
        <v/>
      </c>
      <c r="AA70" s="20">
        <f>IFERROR(INDEX($H$12:$H$111,MATCH($E70&amp;"#3",$X$12:$X$111,0)),"")</f>
        <v/>
      </c>
      <c r="AB70" s="20">
        <f>IFERROR(INDEX($H$12:$H$111,MATCH($E70&amp;"#4",$X$12:$X$111,0)),"")</f>
        <v/>
      </c>
      <c r="AC70" s="20">
        <f>IFERROR(INDEX($H$12:$H$111,MATCH($E70&amp;"#5",$X$12:$X$111,0)),"")</f>
        <v/>
      </c>
      <c r="AD70" s="20">
        <f>IFERROR(INDEX($H$12:$H$111,MATCH($E70&amp;"#6",$X$12:$X$111,0)),"")</f>
        <v/>
      </c>
      <c r="AE70" s="20">
        <f>IFERROR(INDEX($H$12:$H$111,MATCH($E70&amp;"#7",$X$12:$X$111,0)),"")</f>
        <v/>
      </c>
      <c r="AF70" s="20">
        <f>IFERROR(INDEX($H$12:$H$111,MATCH($E70&amp;"#8",$X$12:$X$111,0)),"")</f>
        <v/>
      </c>
      <c r="AG70" s="20">
        <f>IFERROR(INDEX($H$12:$H$111,MATCH($E70&amp;"#9",$X$12:$X$111,0)),"")</f>
        <v/>
      </c>
      <c r="AH70" s="20">
        <f>IFERROR(INDEX($H$12:$H$111,MATCH($E70&amp;"#10",$X$12:$X$111,0)),"")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</row>
    <row r="71">
      <c r="A71" s="224" t="n"/>
      <c r="B71" s="12" t="inlineStr">
        <is>
          <t>F10</t>
        </is>
      </c>
      <c r="C71" s="13" t="n"/>
      <c r="D71" s="14" t="n"/>
      <c r="E71" s="31" t="inlineStr">
        <is>
          <t>F</t>
        </is>
      </c>
      <c r="G71" s="32">
        <f>IF($C71="","",$E71&amp;(COUNTIFS(I$12:I$111,"&gt;"&amp;I71,E$12:E$111,"="&amp;E71,C$12:C$111,"&lt;&gt;")+COUNTIFS(I$12:I$111,"="&amp;I71,H$12:H$111,"&lt;="&amp;H71,E$12:E$111,"="&amp;E71,C$12:C$111,"&lt;&gt;")))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IF(COUNT(AK71:AT71)=0,"-",SUM(AK71:AT71)&amp;"-"&amp;SUM(AW71:BF71))</f>
        <v/>
      </c>
      <c r="V71" s="18">
        <f>IF(COUNT(AK71:AT71)=0,"-",IF(SUM(BU71:CD71)=0,0,ROUND(SUM(BI71:BR71)/SUM(BU71:CD71),3)))</f>
        <v/>
      </c>
      <c r="W71" s="18">
        <f>IF(COUNT(AK71:AT71)=0,"-",IF(P71=0,0,ROUND(O71/P71,3)))</f>
        <v/>
      </c>
      <c r="X71" s="19">
        <f>IF($C71="","",$E71&amp;"#"&amp;COUNTIFS($E$12:$E71,$E71,$C$12:$C71,"&lt;&gt;"))</f>
        <v/>
      </c>
      <c r="Y71" s="20">
        <f>IFERROR(INDEX($H$12:$H$111,MATCH($E71&amp;"#1",$X$12:$X$111,0)),"")</f>
        <v/>
      </c>
      <c r="Z71" s="20">
        <f>IFERROR(INDEX($H$12:$H$111,MATCH($E71&amp;"#2",$X$12:$X$111,0)),"")</f>
        <v/>
      </c>
      <c r="AA71" s="20">
        <f>IFERROR(INDEX($H$12:$H$111,MATCH($E71&amp;"#3",$X$12:$X$111,0)),"")</f>
        <v/>
      </c>
      <c r="AB71" s="20">
        <f>IFERROR(INDEX($H$12:$H$111,MATCH($E71&amp;"#4",$X$12:$X$111,0)),"")</f>
        <v/>
      </c>
      <c r="AC71" s="20">
        <f>IFERROR(INDEX($H$12:$H$111,MATCH($E71&amp;"#5",$X$12:$X$111,0)),"")</f>
        <v/>
      </c>
      <c r="AD71" s="20">
        <f>IFERROR(INDEX($H$12:$H$111,MATCH($E71&amp;"#6",$X$12:$X$111,0)),"")</f>
        <v/>
      </c>
      <c r="AE71" s="20">
        <f>IFERROR(INDEX($H$12:$H$111,MATCH($E71&amp;"#7",$X$12:$X$111,0)),"")</f>
        <v/>
      </c>
      <c r="AF71" s="20">
        <f>IFERROR(INDEX($H$12:$H$111,MATCH($E71&amp;"#8",$X$12:$X$111,0)),"")</f>
        <v/>
      </c>
      <c r="AG71" s="20">
        <f>IFERROR(INDEX($H$12:$H$111,MATCH($E71&amp;"#9",$X$12:$X$111,0)),"")</f>
        <v/>
      </c>
      <c r="AH71" s="20">
        <f>IFERROR(INDEX($H$12:$H$111,MATCH($E71&amp;"#10",$X$12:$X$111,0)),"")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</row>
    <row r="72">
      <c r="A72" s="224" t="n"/>
      <c r="B72" s="12" t="inlineStr">
        <is>
          <t>G01</t>
        </is>
      </c>
      <c r="C72" s="13" t="n"/>
      <c r="D72" s="14" t="n"/>
      <c r="E72" s="33" t="inlineStr">
        <is>
          <t>G</t>
        </is>
      </c>
      <c r="G72" s="34">
        <f>IF($C72="","",$E72&amp;(COUNTIFS(I$12:I$111,"&gt;"&amp;I72,E$12:E$111,"="&amp;E72,C$12:C$111,"&lt;&gt;")+COUNTIFS(I$12:I$111,"="&amp;I72,H$12:H$111,"&lt;="&amp;H72,E$12:E$111,"="&amp;E72,C$12:C$111,"&lt;&gt;")))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4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IF(COUNT(AK72:AT72)=0,"-",SUM(AK72:AT72)&amp;"-"&amp;SUM(AW72:BF72))</f>
        <v/>
      </c>
      <c r="V72" s="18">
        <f>IF(COUNT(AK72:AT72)=0,"-",IF(SUM(BU72:CD72)=0,0,ROUND(SUM(BI72:BR72)/SUM(BU72:CD72),3)))</f>
        <v/>
      </c>
      <c r="W72" s="18">
        <f>IF(COUNT(AK72:AT72)=0,"-",IF(P72=0,0,ROUND(O72/P72,3)))</f>
        <v/>
      </c>
      <c r="X72" s="19">
        <f>IF($C72="","",$E72&amp;"#"&amp;COUNTIFS($E$12:$E72,$E72,$C$12:$C72,"&lt;&gt;"))</f>
        <v/>
      </c>
      <c r="Y72" s="20">
        <f>IFERROR(INDEX($H$12:$H$111,MATCH($E72&amp;"#1",$X$12:$X$111,0)),"")</f>
        <v/>
      </c>
      <c r="Z72" s="20">
        <f>IFERROR(INDEX($H$12:$H$111,MATCH($E72&amp;"#2",$X$12:$X$111,0)),"")</f>
        <v/>
      </c>
      <c r="AA72" s="20">
        <f>IFERROR(INDEX($H$12:$H$111,MATCH($E72&amp;"#3",$X$12:$X$111,0)),"")</f>
        <v/>
      </c>
      <c r="AB72" s="20">
        <f>IFERROR(INDEX($H$12:$H$111,MATCH($E72&amp;"#4",$X$12:$X$111,0)),"")</f>
        <v/>
      </c>
      <c r="AC72" s="20">
        <f>IFERROR(INDEX($H$12:$H$111,MATCH($E72&amp;"#5",$X$12:$X$111,0)),"")</f>
        <v/>
      </c>
      <c r="AD72" s="20">
        <f>IFERROR(INDEX($H$12:$H$111,MATCH($E72&amp;"#6",$X$12:$X$111,0)),"")</f>
        <v/>
      </c>
      <c r="AE72" s="20">
        <f>IFERROR(INDEX($H$12:$H$111,MATCH($E72&amp;"#7",$X$12:$X$111,0)),"")</f>
        <v/>
      </c>
      <c r="AF72" s="20">
        <f>IFERROR(INDEX($H$12:$H$111,MATCH($E72&amp;"#8",$X$12:$X$111,0)),"")</f>
        <v/>
      </c>
      <c r="AG72" s="20">
        <f>IFERROR(INDEX($H$12:$H$111,MATCH($E72&amp;"#9",$X$12:$X$111,0)),"")</f>
        <v/>
      </c>
      <c r="AH72" s="20">
        <f>IFERROR(INDEX($H$12:$H$111,MATCH($E72&amp;"#10",$X$12:$X$111,0)),"")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</row>
    <row r="73">
      <c r="A73" s="224" t="n"/>
      <c r="B73" s="12" t="inlineStr">
        <is>
          <t>G02</t>
        </is>
      </c>
      <c r="C73" s="13" t="n"/>
      <c r="D73" s="14" t="n"/>
      <c r="E73" s="33" t="inlineStr">
        <is>
          <t>G</t>
        </is>
      </c>
      <c r="G73" s="34">
        <f>IF($C73="","",$E73&amp;(COUNTIFS(I$12:I$111,"&gt;"&amp;I73,E$12:E$111,"="&amp;E73,C$12:C$111,"&lt;&gt;")+COUNTIFS(I$12:I$111,"="&amp;I73,H$12:H$111,"&lt;="&amp;H73,E$12:E$111,"="&amp;E73,C$12:C$111,"&lt;&gt;")))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4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IF(COUNT(AK73:AT73)=0,"-",SUM(AK73:AT73)&amp;"-"&amp;SUM(AW73:BF73))</f>
        <v/>
      </c>
      <c r="V73" s="18">
        <f>IF(COUNT(AK73:AT73)=0,"-",IF(SUM(BU73:CD73)=0,0,ROUND(SUM(BI73:BR73)/SUM(BU73:CD73),3)))</f>
        <v/>
      </c>
      <c r="W73" s="18">
        <f>IF(COUNT(AK73:AT73)=0,"-",IF(P73=0,0,ROUND(O73/P73,3)))</f>
        <v/>
      </c>
      <c r="X73" s="19">
        <f>IF($C73="","",$E73&amp;"#"&amp;COUNTIFS($E$12:$E73,$E73,$C$12:$C73,"&lt;&gt;"))</f>
        <v/>
      </c>
      <c r="Y73" s="20">
        <f>IFERROR(INDEX($H$12:$H$111,MATCH($E73&amp;"#1",$X$12:$X$111,0)),"")</f>
        <v/>
      </c>
      <c r="Z73" s="20">
        <f>IFERROR(INDEX($H$12:$H$111,MATCH($E73&amp;"#2",$X$12:$X$111,0)),"")</f>
        <v/>
      </c>
      <c r="AA73" s="20">
        <f>IFERROR(INDEX($H$12:$H$111,MATCH($E73&amp;"#3",$X$12:$X$111,0)),"")</f>
        <v/>
      </c>
      <c r="AB73" s="20">
        <f>IFERROR(INDEX($H$12:$H$111,MATCH($E73&amp;"#4",$X$12:$X$111,0)),"")</f>
        <v/>
      </c>
      <c r="AC73" s="20">
        <f>IFERROR(INDEX($H$12:$H$111,MATCH($E73&amp;"#5",$X$12:$X$111,0)),"")</f>
        <v/>
      </c>
      <c r="AD73" s="20">
        <f>IFERROR(INDEX($H$12:$H$111,MATCH($E73&amp;"#6",$X$12:$X$111,0)),"")</f>
        <v/>
      </c>
      <c r="AE73" s="20">
        <f>IFERROR(INDEX($H$12:$H$111,MATCH($E73&amp;"#7",$X$12:$X$111,0)),"")</f>
        <v/>
      </c>
      <c r="AF73" s="20">
        <f>IFERROR(INDEX($H$12:$H$111,MATCH($E73&amp;"#8",$X$12:$X$111,0)),"")</f>
        <v/>
      </c>
      <c r="AG73" s="20">
        <f>IFERROR(INDEX($H$12:$H$111,MATCH($E73&amp;"#9",$X$12:$X$111,0)),"")</f>
        <v/>
      </c>
      <c r="AH73" s="20">
        <f>IFERROR(INDEX($H$12:$H$111,MATCH($E73&amp;"#10",$X$12:$X$111,0)),"")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</row>
    <row r="74">
      <c r="A74" s="224" t="n"/>
      <c r="B74" s="12" t="inlineStr">
        <is>
          <t>G03</t>
        </is>
      </c>
      <c r="C74" s="13" t="n"/>
      <c r="D74" s="14" t="n"/>
      <c r="E74" s="33" t="inlineStr">
        <is>
          <t>G</t>
        </is>
      </c>
      <c r="G74" s="34">
        <f>IF($C74="","",$E74&amp;(COUNTIFS(I$12:I$111,"&gt;"&amp;I74,E$12:E$111,"="&amp;E74,C$12:C$111,"&lt;&gt;")+COUNTIFS(I$12:I$111,"="&amp;I74,H$12:H$111,"&lt;="&amp;H74,E$12:E$111,"="&amp;E74,C$12:C$111,"&lt;&gt;")))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IF(COUNT(AK74:AT74)=0,"-",SUM(AK74:AT74)&amp;"-"&amp;SUM(AW74:BF74))</f>
        <v/>
      </c>
      <c r="V74" s="18">
        <f>IF(COUNT(AK74:AT74)=0,"-",IF(SUM(BU74:CD74)=0,0,ROUND(SUM(BI74:BR74)/SUM(BU74:CD74),3)))</f>
        <v/>
      </c>
      <c r="W74" s="18">
        <f>IF(COUNT(AK74:AT74)=0,"-",IF(P74=0,0,ROUND(O74/P74,3)))</f>
        <v/>
      </c>
      <c r="X74" s="19">
        <f>IF($C74="","",$E74&amp;"#"&amp;COUNTIFS($E$12:$E74,$E74,$C$12:$C74,"&lt;&gt;"))</f>
        <v/>
      </c>
      <c r="Y74" s="20">
        <f>IFERROR(INDEX($H$12:$H$111,MATCH($E74&amp;"#1",$X$12:$X$111,0)),"")</f>
        <v/>
      </c>
      <c r="Z74" s="20">
        <f>IFERROR(INDEX($H$12:$H$111,MATCH($E74&amp;"#2",$X$12:$X$111,0)),"")</f>
        <v/>
      </c>
      <c r="AA74" s="20">
        <f>IFERROR(INDEX($H$12:$H$111,MATCH($E74&amp;"#3",$X$12:$X$111,0)),"")</f>
        <v/>
      </c>
      <c r="AB74" s="20">
        <f>IFERROR(INDEX($H$12:$H$111,MATCH($E74&amp;"#4",$X$12:$X$111,0)),"")</f>
        <v/>
      </c>
      <c r="AC74" s="20">
        <f>IFERROR(INDEX($H$12:$H$111,MATCH($E74&amp;"#5",$X$12:$X$111,0)),"")</f>
        <v/>
      </c>
      <c r="AD74" s="20">
        <f>IFERROR(INDEX($H$12:$H$111,MATCH($E74&amp;"#6",$X$12:$X$111,0)),"")</f>
        <v/>
      </c>
      <c r="AE74" s="20">
        <f>IFERROR(INDEX($H$12:$H$111,MATCH($E74&amp;"#7",$X$12:$X$111,0)),"")</f>
        <v/>
      </c>
      <c r="AF74" s="20">
        <f>IFERROR(INDEX($H$12:$H$111,MATCH($E74&amp;"#8",$X$12:$X$111,0)),"")</f>
        <v/>
      </c>
      <c r="AG74" s="20">
        <f>IFERROR(INDEX($H$12:$H$111,MATCH($E74&amp;"#9",$X$12:$X$111,0)),"")</f>
        <v/>
      </c>
      <c r="AH74" s="20">
        <f>IFERROR(INDEX($H$12:$H$111,MATCH($E74&amp;"#10",$X$12:$X$111,0)),"")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</row>
    <row r="75">
      <c r="A75" s="224" t="n"/>
      <c r="B75" s="12" t="inlineStr">
        <is>
          <t>G04</t>
        </is>
      </c>
      <c r="C75" s="13" t="n"/>
      <c r="D75" s="14" t="n"/>
      <c r="E75" s="33" t="inlineStr">
        <is>
          <t>G</t>
        </is>
      </c>
      <c r="G75" s="34">
        <f>IF($C75="","",$E75&amp;(COUNTIFS(I$12:I$111,"&gt;"&amp;I75,E$12:E$111,"="&amp;E75,C$12:C$111,"&lt;&gt;")+COUNTIFS(I$12:I$111,"="&amp;I75,H$12:H$111,"&lt;="&amp;H75,E$12:E$111,"="&amp;E75,C$12:C$111,"&lt;&gt;")))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IF(COUNT(AK75:AT75)=0,"-",SUM(AK75:AT75)&amp;"-"&amp;SUM(AW75:BF75))</f>
        <v/>
      </c>
      <c r="V75" s="18">
        <f>IF(COUNT(AK75:AT75)=0,"-",IF(SUM(BU75:CD75)=0,0,ROUND(SUM(BI75:BR75)/SUM(BU75:CD75),3)))</f>
        <v/>
      </c>
      <c r="W75" s="18">
        <f>IF(COUNT(AK75:AT75)=0,"-",IF(P75=0,0,ROUND(O75/P75,3)))</f>
        <v/>
      </c>
      <c r="X75" s="19">
        <f>IF($C75="","",$E75&amp;"#"&amp;COUNTIFS($E$12:$E75,$E75,$C$12:$C75,"&lt;&gt;"))</f>
        <v/>
      </c>
      <c r="Y75" s="20">
        <f>IFERROR(INDEX($H$12:$H$111,MATCH($E75&amp;"#1",$X$12:$X$111,0)),"")</f>
        <v/>
      </c>
      <c r="Z75" s="20">
        <f>IFERROR(INDEX($H$12:$H$111,MATCH($E75&amp;"#2",$X$12:$X$111,0)),"")</f>
        <v/>
      </c>
      <c r="AA75" s="20">
        <f>IFERROR(INDEX($H$12:$H$111,MATCH($E75&amp;"#3",$X$12:$X$111,0)),"")</f>
        <v/>
      </c>
      <c r="AB75" s="20">
        <f>IFERROR(INDEX($H$12:$H$111,MATCH($E75&amp;"#4",$X$12:$X$111,0)),"")</f>
        <v/>
      </c>
      <c r="AC75" s="20">
        <f>IFERROR(INDEX($H$12:$H$111,MATCH($E75&amp;"#5",$X$12:$X$111,0)),"")</f>
        <v/>
      </c>
      <c r="AD75" s="20">
        <f>IFERROR(INDEX($H$12:$H$111,MATCH($E75&amp;"#6",$X$12:$X$111,0)),"")</f>
        <v/>
      </c>
      <c r="AE75" s="20">
        <f>IFERROR(INDEX($H$12:$H$111,MATCH($E75&amp;"#7",$X$12:$X$111,0)),"")</f>
        <v/>
      </c>
      <c r="AF75" s="20">
        <f>IFERROR(INDEX($H$12:$H$111,MATCH($E75&amp;"#8",$X$12:$X$111,0)),"")</f>
        <v/>
      </c>
      <c r="AG75" s="20">
        <f>IFERROR(INDEX($H$12:$H$111,MATCH($E75&amp;"#9",$X$12:$X$111,0)),"")</f>
        <v/>
      </c>
      <c r="AH75" s="20">
        <f>IFERROR(INDEX($H$12:$H$111,MATCH($E75&amp;"#10",$X$12:$X$111,0)),"")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</row>
    <row r="76">
      <c r="A76" s="224" t="n"/>
      <c r="B76" s="12" t="inlineStr">
        <is>
          <t>G05</t>
        </is>
      </c>
      <c r="C76" s="13" t="n"/>
      <c r="D76" s="14" t="n"/>
      <c r="E76" s="33" t="inlineStr">
        <is>
          <t>G</t>
        </is>
      </c>
      <c r="G76" s="34">
        <f>IF($C76="","",$E76&amp;(COUNTIFS(I$12:I$111,"&gt;"&amp;I76,E$12:E$111,"="&amp;E76,C$12:C$111,"&lt;&gt;")+COUNTIFS(I$12:I$111,"="&amp;I76,H$12:H$111,"&lt;="&amp;H76,E$12:E$111,"="&amp;E76,C$12:C$111,"&lt;&gt;")))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IF(COUNT(AK76:AT76)=0,"-",SUM(AK76:AT76)&amp;"-"&amp;SUM(AW76:BF76))</f>
        <v/>
      </c>
      <c r="V76" s="18">
        <f>IF(COUNT(AK76:AT76)=0,"-",IF(SUM(BU76:CD76)=0,0,ROUND(SUM(BI76:BR76)/SUM(BU76:CD76),3)))</f>
        <v/>
      </c>
      <c r="W76" s="18">
        <f>IF(COUNT(AK76:AT76)=0,"-",IF(P76=0,0,ROUND(O76/P76,3)))</f>
        <v/>
      </c>
      <c r="X76" s="19">
        <f>IF($C76="","",$E76&amp;"#"&amp;COUNTIFS($E$12:$E76,$E76,$C$12:$C76,"&lt;&gt;"))</f>
        <v/>
      </c>
      <c r="Y76" s="20">
        <f>IFERROR(INDEX($H$12:$H$111,MATCH($E76&amp;"#1",$X$12:$X$111,0)),"")</f>
        <v/>
      </c>
      <c r="Z76" s="20">
        <f>IFERROR(INDEX($H$12:$H$111,MATCH($E76&amp;"#2",$X$12:$X$111,0)),"")</f>
        <v/>
      </c>
      <c r="AA76" s="20">
        <f>IFERROR(INDEX($H$12:$H$111,MATCH($E76&amp;"#3",$X$12:$X$111,0)),"")</f>
        <v/>
      </c>
      <c r="AB76" s="20">
        <f>IFERROR(INDEX($H$12:$H$111,MATCH($E76&amp;"#4",$X$12:$X$111,0)),"")</f>
        <v/>
      </c>
      <c r="AC76" s="20">
        <f>IFERROR(INDEX($H$12:$H$111,MATCH($E76&amp;"#5",$X$12:$X$111,0)),"")</f>
        <v/>
      </c>
      <c r="AD76" s="20">
        <f>IFERROR(INDEX($H$12:$H$111,MATCH($E76&amp;"#6",$X$12:$X$111,0)),"")</f>
        <v/>
      </c>
      <c r="AE76" s="20">
        <f>IFERROR(INDEX($H$12:$H$111,MATCH($E76&amp;"#7",$X$12:$X$111,0)),"")</f>
        <v/>
      </c>
      <c r="AF76" s="20">
        <f>IFERROR(INDEX($H$12:$H$111,MATCH($E76&amp;"#8",$X$12:$X$111,0)),"")</f>
        <v/>
      </c>
      <c r="AG76" s="20">
        <f>IFERROR(INDEX($H$12:$H$111,MATCH($E76&amp;"#9",$X$12:$X$111,0)),"")</f>
        <v/>
      </c>
      <c r="AH76" s="20">
        <f>IFERROR(INDEX($H$12:$H$111,MATCH($E76&amp;"#10",$X$12:$X$111,0)),"")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</row>
    <row r="77">
      <c r="A77" s="224" t="n"/>
      <c r="B77" s="12" t="inlineStr">
        <is>
          <t>G06</t>
        </is>
      </c>
      <c r="C77" s="13" t="n"/>
      <c r="D77" s="14" t="n"/>
      <c r="E77" s="33" t="inlineStr">
        <is>
          <t>G</t>
        </is>
      </c>
      <c r="G77" s="34">
        <f>IF($C77="","",$E77&amp;(COUNTIFS(I$12:I$111,"&gt;"&amp;I77,E$12:E$111,"="&amp;E77,C$12:C$111,"&lt;&gt;")+COUNTIFS(I$12:I$111,"="&amp;I77,H$12:H$111,"&lt;="&amp;H77,E$12:E$111,"="&amp;E77,C$12:C$111,"&lt;&gt;")))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IF(COUNT(AK77:AT77)=0,"-",SUM(AK77:AT77)&amp;"-"&amp;SUM(AW77:BF77))</f>
        <v/>
      </c>
      <c r="V77" s="18">
        <f>IF(COUNT(AK77:AT77)=0,"-",IF(SUM(BU77:CD77)=0,0,ROUND(SUM(BI77:BR77)/SUM(BU77:CD77),3)))</f>
        <v/>
      </c>
      <c r="W77" s="18">
        <f>IF(COUNT(AK77:AT77)=0,"-",IF(P77=0,0,ROUND(O77/P77,3)))</f>
        <v/>
      </c>
      <c r="X77" s="19">
        <f>IF($C77="","",$E77&amp;"#"&amp;COUNTIFS($E$12:$E77,$E77,$C$12:$C77,"&lt;&gt;"))</f>
        <v/>
      </c>
      <c r="Y77" s="20">
        <f>IFERROR(INDEX($H$12:$H$111,MATCH($E77&amp;"#1",$X$12:$X$111,0)),"")</f>
        <v/>
      </c>
      <c r="Z77" s="20">
        <f>IFERROR(INDEX($H$12:$H$111,MATCH($E77&amp;"#2",$X$12:$X$111,0)),"")</f>
        <v/>
      </c>
      <c r="AA77" s="20">
        <f>IFERROR(INDEX($H$12:$H$111,MATCH($E77&amp;"#3",$X$12:$X$111,0)),"")</f>
        <v/>
      </c>
      <c r="AB77" s="20">
        <f>IFERROR(INDEX($H$12:$H$111,MATCH($E77&amp;"#4",$X$12:$X$111,0)),"")</f>
        <v/>
      </c>
      <c r="AC77" s="20">
        <f>IFERROR(INDEX($H$12:$H$111,MATCH($E77&amp;"#5",$X$12:$X$111,0)),"")</f>
        <v/>
      </c>
      <c r="AD77" s="20">
        <f>IFERROR(INDEX($H$12:$H$111,MATCH($E77&amp;"#6",$X$12:$X$111,0)),"")</f>
        <v/>
      </c>
      <c r="AE77" s="20">
        <f>IFERROR(INDEX($H$12:$H$111,MATCH($E77&amp;"#7",$X$12:$X$111,0)),"")</f>
        <v/>
      </c>
      <c r="AF77" s="20">
        <f>IFERROR(INDEX($H$12:$H$111,MATCH($E77&amp;"#8",$X$12:$X$111,0)),"")</f>
        <v/>
      </c>
      <c r="AG77" s="20">
        <f>IFERROR(INDEX($H$12:$H$111,MATCH($E77&amp;"#9",$X$12:$X$111,0)),"")</f>
        <v/>
      </c>
      <c r="AH77" s="20">
        <f>IFERROR(INDEX($H$12:$H$111,MATCH($E77&amp;"#10",$X$12:$X$111,0)),"")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</row>
    <row r="78">
      <c r="A78" s="224" t="n"/>
      <c r="B78" s="12" t="inlineStr">
        <is>
          <t>G07</t>
        </is>
      </c>
      <c r="C78" s="13" t="n"/>
      <c r="D78" s="14" t="n"/>
      <c r="E78" s="33" t="inlineStr">
        <is>
          <t>G</t>
        </is>
      </c>
      <c r="G78" s="34">
        <f>IF($C78="","",$E78&amp;(COUNTIFS(I$12:I$111,"&gt;"&amp;I78,E$12:E$111,"="&amp;E78,C$12:C$111,"&lt;&gt;")+COUNTIFS(I$12:I$111,"="&amp;I78,H$12:H$111,"&lt;="&amp;H78,E$12:E$111,"="&amp;E78,C$12:C$111,"&lt;&gt;")))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IF(COUNT(AK78:AT78)=0,"-",SUM(AK78:AT78)&amp;"-"&amp;SUM(AW78:BF78))</f>
        <v/>
      </c>
      <c r="V78" s="18">
        <f>IF(COUNT(AK78:AT78)=0,"-",IF(SUM(BU78:CD78)=0,0,ROUND(SUM(BI78:BR78)/SUM(BU78:CD78),3)))</f>
        <v/>
      </c>
      <c r="W78" s="18">
        <f>IF(COUNT(AK78:AT78)=0,"-",IF(P78=0,0,ROUND(O78/P78,3)))</f>
        <v/>
      </c>
      <c r="X78" s="19">
        <f>IF($C78="","",$E78&amp;"#"&amp;COUNTIFS($E$12:$E78,$E78,$C$12:$C78,"&lt;&gt;"))</f>
        <v/>
      </c>
      <c r="Y78" s="20">
        <f>IFERROR(INDEX($H$12:$H$111,MATCH($E78&amp;"#1",$X$12:$X$111,0)),"")</f>
        <v/>
      </c>
      <c r="Z78" s="20">
        <f>IFERROR(INDEX($H$12:$H$111,MATCH($E78&amp;"#2",$X$12:$X$111,0)),"")</f>
        <v/>
      </c>
      <c r="AA78" s="20">
        <f>IFERROR(INDEX($H$12:$H$111,MATCH($E78&amp;"#3",$X$12:$X$111,0)),"")</f>
        <v/>
      </c>
      <c r="AB78" s="20">
        <f>IFERROR(INDEX($H$12:$H$111,MATCH($E78&amp;"#4",$X$12:$X$111,0)),"")</f>
        <v/>
      </c>
      <c r="AC78" s="20">
        <f>IFERROR(INDEX($H$12:$H$111,MATCH($E78&amp;"#5",$X$12:$X$111,0)),"")</f>
        <v/>
      </c>
      <c r="AD78" s="20">
        <f>IFERROR(INDEX($H$12:$H$111,MATCH($E78&amp;"#6",$X$12:$X$111,0)),"")</f>
        <v/>
      </c>
      <c r="AE78" s="20">
        <f>IFERROR(INDEX($H$12:$H$111,MATCH($E78&amp;"#7",$X$12:$X$111,0)),"")</f>
        <v/>
      </c>
      <c r="AF78" s="20">
        <f>IFERROR(INDEX($H$12:$H$111,MATCH($E78&amp;"#8",$X$12:$X$111,0)),"")</f>
        <v/>
      </c>
      <c r="AG78" s="20">
        <f>IFERROR(INDEX($H$12:$H$111,MATCH($E78&amp;"#9",$X$12:$X$111,0)),"")</f>
        <v/>
      </c>
      <c r="AH78" s="20">
        <f>IFERROR(INDEX($H$12:$H$111,MATCH($E78&amp;"#10",$X$12:$X$111,0)),"")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</row>
    <row r="79">
      <c r="A79" s="224" t="n"/>
      <c r="B79" s="12" t="inlineStr">
        <is>
          <t>G08</t>
        </is>
      </c>
      <c r="C79" s="13" t="n"/>
      <c r="D79" s="14" t="n"/>
      <c r="E79" s="33" t="inlineStr">
        <is>
          <t>G</t>
        </is>
      </c>
      <c r="G79" s="34">
        <f>IF($C79="","",$E79&amp;(COUNTIFS(I$12:I$111,"&gt;"&amp;I79,E$12:E$111,"="&amp;E79,C$12:C$111,"&lt;&gt;")+COUNTIFS(I$12:I$111,"="&amp;I79,H$12:H$111,"&lt;="&amp;H79,E$12:E$111,"="&amp;E79,C$12:C$111,"&lt;&gt;")))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IF(COUNT(AK79:AT79)=0,"-",SUM(AK79:AT79)&amp;"-"&amp;SUM(AW79:BF79))</f>
        <v/>
      </c>
      <c r="V79" s="18">
        <f>IF(COUNT(AK79:AT79)=0,"-",IF(SUM(BU79:CD79)=0,0,ROUND(SUM(BI79:BR79)/SUM(BU79:CD79),3)))</f>
        <v/>
      </c>
      <c r="W79" s="18">
        <f>IF(COUNT(AK79:AT79)=0,"-",IF(P79=0,0,ROUND(O79/P79,3)))</f>
        <v/>
      </c>
      <c r="X79" s="19">
        <f>IF($C79="","",$E79&amp;"#"&amp;COUNTIFS($E$12:$E79,$E79,$C$12:$C79,"&lt;&gt;"))</f>
        <v/>
      </c>
      <c r="Y79" s="20">
        <f>IFERROR(INDEX($H$12:$H$111,MATCH($E79&amp;"#1",$X$12:$X$111,0)),"")</f>
        <v/>
      </c>
      <c r="Z79" s="20">
        <f>IFERROR(INDEX($H$12:$H$111,MATCH($E79&amp;"#2",$X$12:$X$111,0)),"")</f>
        <v/>
      </c>
      <c r="AA79" s="20">
        <f>IFERROR(INDEX($H$12:$H$111,MATCH($E79&amp;"#3",$X$12:$X$111,0)),"")</f>
        <v/>
      </c>
      <c r="AB79" s="20">
        <f>IFERROR(INDEX($H$12:$H$111,MATCH($E79&amp;"#4",$X$12:$X$111,0)),"")</f>
        <v/>
      </c>
      <c r="AC79" s="20">
        <f>IFERROR(INDEX($H$12:$H$111,MATCH($E79&amp;"#5",$X$12:$X$111,0)),"")</f>
        <v/>
      </c>
      <c r="AD79" s="20">
        <f>IFERROR(INDEX($H$12:$H$111,MATCH($E79&amp;"#6",$X$12:$X$111,0)),"")</f>
        <v/>
      </c>
      <c r="AE79" s="20">
        <f>IFERROR(INDEX($H$12:$H$111,MATCH($E79&amp;"#7",$X$12:$X$111,0)),"")</f>
        <v/>
      </c>
      <c r="AF79" s="20">
        <f>IFERROR(INDEX($H$12:$H$111,MATCH($E79&amp;"#8",$X$12:$X$111,0)),"")</f>
        <v/>
      </c>
      <c r="AG79" s="20">
        <f>IFERROR(INDEX($H$12:$H$111,MATCH($E79&amp;"#9",$X$12:$X$111,0)),"")</f>
        <v/>
      </c>
      <c r="AH79" s="20">
        <f>IFERROR(INDEX($H$12:$H$111,MATCH($E79&amp;"#10",$X$12:$X$111,0)),"")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</row>
    <row r="80">
      <c r="A80" s="224" t="n"/>
      <c r="B80" s="12" t="inlineStr">
        <is>
          <t>G09</t>
        </is>
      </c>
      <c r="C80" s="13" t="n"/>
      <c r="D80" s="14" t="n"/>
      <c r="E80" s="33" t="inlineStr">
        <is>
          <t>G</t>
        </is>
      </c>
      <c r="G80" s="34">
        <f>IF($C80="","",$E80&amp;(COUNTIFS(I$12:I$111,"&gt;"&amp;I80,E$12:E$111,"="&amp;E80,C$12:C$111,"&lt;&gt;")+COUNTIFS(I$12:I$111,"="&amp;I80,H$12:H$111,"&lt;="&amp;H80,E$12:E$111,"="&amp;E80,C$12:C$111,"&lt;&gt;")))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IF(COUNT(AK80:AT80)=0,"-",SUM(AK80:AT80)&amp;"-"&amp;SUM(AW80:BF80))</f>
        <v/>
      </c>
      <c r="V80" s="18">
        <f>IF(COUNT(AK80:AT80)=0,"-",IF(SUM(BU80:CD80)=0,0,ROUND(SUM(BI80:BR80)/SUM(BU80:CD80),3)))</f>
        <v/>
      </c>
      <c r="W80" s="18">
        <f>IF(COUNT(AK80:AT80)=0,"-",IF(P80=0,0,ROUND(O80/P80,3)))</f>
        <v/>
      </c>
      <c r="X80" s="19">
        <f>IF($C80="","",$E80&amp;"#"&amp;COUNTIFS($E$12:$E80,$E80,$C$12:$C80,"&lt;&gt;"))</f>
        <v/>
      </c>
      <c r="Y80" s="20">
        <f>IFERROR(INDEX($H$12:$H$111,MATCH($E80&amp;"#1",$X$12:$X$111,0)),"")</f>
        <v/>
      </c>
      <c r="Z80" s="20">
        <f>IFERROR(INDEX($H$12:$H$111,MATCH($E80&amp;"#2",$X$12:$X$111,0)),"")</f>
        <v/>
      </c>
      <c r="AA80" s="20">
        <f>IFERROR(INDEX($H$12:$H$111,MATCH($E80&amp;"#3",$X$12:$X$111,0)),"")</f>
        <v/>
      </c>
      <c r="AB80" s="20">
        <f>IFERROR(INDEX($H$12:$H$111,MATCH($E80&amp;"#4",$X$12:$X$111,0)),"")</f>
        <v/>
      </c>
      <c r="AC80" s="20">
        <f>IFERROR(INDEX($H$12:$H$111,MATCH($E80&amp;"#5",$X$12:$X$111,0)),"")</f>
        <v/>
      </c>
      <c r="AD80" s="20">
        <f>IFERROR(INDEX($H$12:$H$111,MATCH($E80&amp;"#6",$X$12:$X$111,0)),"")</f>
        <v/>
      </c>
      <c r="AE80" s="20">
        <f>IFERROR(INDEX($H$12:$H$111,MATCH($E80&amp;"#7",$X$12:$X$111,0)),"")</f>
        <v/>
      </c>
      <c r="AF80" s="20">
        <f>IFERROR(INDEX($H$12:$H$111,MATCH($E80&amp;"#8",$X$12:$X$111,0)),"")</f>
        <v/>
      </c>
      <c r="AG80" s="20">
        <f>IFERROR(INDEX($H$12:$H$111,MATCH($E80&amp;"#9",$X$12:$X$111,0)),"")</f>
        <v/>
      </c>
      <c r="AH80" s="20">
        <f>IFERROR(INDEX($H$12:$H$111,MATCH($E80&amp;"#10",$X$12:$X$111,0)),"")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</row>
    <row r="81">
      <c r="A81" s="224" t="n"/>
      <c r="B81" s="12" t="inlineStr">
        <is>
          <t>G10</t>
        </is>
      </c>
      <c r="C81" s="13" t="n"/>
      <c r="D81" s="14" t="n"/>
      <c r="E81" s="33" t="inlineStr">
        <is>
          <t>G</t>
        </is>
      </c>
      <c r="G81" s="34">
        <f>IF($C81="","",$E81&amp;(COUNTIFS(I$12:I$111,"&gt;"&amp;I81,E$12:E$111,"="&amp;E81,C$12:C$111,"&lt;&gt;")+COUNTIFS(I$12:I$111,"="&amp;I81,H$12:H$111,"&lt;="&amp;H81,E$12:E$111,"="&amp;E81,C$12:C$111,"&lt;&gt;")))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IF(COUNT(AK81:AT81)=0,"-",SUM(AK81:AT81)&amp;"-"&amp;SUM(AW81:BF81))</f>
        <v/>
      </c>
      <c r="V81" s="18">
        <f>IF(COUNT(AK81:AT81)=0,"-",IF(SUM(BU81:CD81)=0,0,ROUND(SUM(BI81:BR81)/SUM(BU81:CD81),3)))</f>
        <v/>
      </c>
      <c r="W81" s="18">
        <f>IF(COUNT(AK81:AT81)=0,"-",IF(P81=0,0,ROUND(O81/P81,3)))</f>
        <v/>
      </c>
      <c r="X81" s="19">
        <f>IF($C81="","",$E81&amp;"#"&amp;COUNTIFS($E$12:$E81,$E81,$C$12:$C81,"&lt;&gt;"))</f>
        <v/>
      </c>
      <c r="Y81" s="20">
        <f>IFERROR(INDEX($H$12:$H$111,MATCH($E81&amp;"#1",$X$12:$X$111,0)),"")</f>
        <v/>
      </c>
      <c r="Z81" s="20">
        <f>IFERROR(INDEX($H$12:$H$111,MATCH($E81&amp;"#2",$X$12:$X$111,0)),"")</f>
        <v/>
      </c>
      <c r="AA81" s="20">
        <f>IFERROR(INDEX($H$12:$H$111,MATCH($E81&amp;"#3",$X$12:$X$111,0)),"")</f>
        <v/>
      </c>
      <c r="AB81" s="20">
        <f>IFERROR(INDEX($H$12:$H$111,MATCH($E81&amp;"#4",$X$12:$X$111,0)),"")</f>
        <v/>
      </c>
      <c r="AC81" s="20">
        <f>IFERROR(INDEX($H$12:$H$111,MATCH($E81&amp;"#5",$X$12:$X$111,0)),"")</f>
        <v/>
      </c>
      <c r="AD81" s="20">
        <f>IFERROR(INDEX($H$12:$H$111,MATCH($E81&amp;"#6",$X$12:$X$111,0)),"")</f>
        <v/>
      </c>
      <c r="AE81" s="20">
        <f>IFERROR(INDEX($H$12:$H$111,MATCH($E81&amp;"#7",$X$12:$X$111,0)),"")</f>
        <v/>
      </c>
      <c r="AF81" s="20">
        <f>IFERROR(INDEX($H$12:$H$111,MATCH($E81&amp;"#8",$X$12:$X$111,0)),"")</f>
        <v/>
      </c>
      <c r="AG81" s="20">
        <f>IFERROR(INDEX($H$12:$H$111,MATCH($E81&amp;"#9",$X$12:$X$111,0)),"")</f>
        <v/>
      </c>
      <c r="AH81" s="20">
        <f>IFERROR(INDEX($H$12:$H$111,MATCH($E81&amp;"#10",$X$12:$X$111,0)),"")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</row>
    <row r="82">
      <c r="A82" s="224" t="n"/>
      <c r="B82" s="12" t="inlineStr">
        <is>
          <t>H01</t>
        </is>
      </c>
      <c r="C82" s="13" t="n"/>
      <c r="D82" s="14" t="n"/>
      <c r="E82" s="35" t="inlineStr">
        <is>
          <t>H</t>
        </is>
      </c>
      <c r="G82" s="36">
        <f>IF($C82="","",$E82&amp;(COUNTIFS(I$12:I$111,"&gt;"&amp;I82,E$12:E$111,"="&amp;E82,C$12:C$111,"&lt;&gt;")+COUNTIFS(I$12:I$111,"="&amp;I82,H$12:H$111,"&lt;="&amp;H82,E$12:E$111,"="&amp;E82,C$12:C$111,"&lt;&gt;")))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6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IF(COUNT(AK82:AT82)=0,"-",SUM(AK82:AT82)&amp;"-"&amp;SUM(AW82:BF82))</f>
        <v/>
      </c>
      <c r="V82" s="18">
        <f>IF(COUNT(AK82:AT82)=0,"-",IF(SUM(BU82:CD82)=0,0,ROUND(SUM(BI82:BR82)/SUM(BU82:CD82),3)))</f>
        <v/>
      </c>
      <c r="W82" s="18">
        <f>IF(COUNT(AK82:AT82)=0,"-",IF(P82=0,0,ROUND(O82/P82,3)))</f>
        <v/>
      </c>
      <c r="X82" s="19">
        <f>IF($C82="","",$E82&amp;"#"&amp;COUNTIFS($E$12:$E82,$E82,$C$12:$C82,"&lt;&gt;"))</f>
        <v/>
      </c>
      <c r="Y82" s="20">
        <f>IFERROR(INDEX($H$12:$H$111,MATCH($E82&amp;"#1",$X$12:$X$111,0)),"")</f>
        <v/>
      </c>
      <c r="Z82" s="20">
        <f>IFERROR(INDEX($H$12:$H$111,MATCH($E82&amp;"#2",$X$12:$X$111,0)),"")</f>
        <v/>
      </c>
      <c r="AA82" s="20">
        <f>IFERROR(INDEX($H$12:$H$111,MATCH($E82&amp;"#3",$X$12:$X$111,0)),"")</f>
        <v/>
      </c>
      <c r="AB82" s="20">
        <f>IFERROR(INDEX($H$12:$H$111,MATCH($E82&amp;"#4",$X$12:$X$111,0)),"")</f>
        <v/>
      </c>
      <c r="AC82" s="20">
        <f>IFERROR(INDEX($H$12:$H$111,MATCH($E82&amp;"#5",$X$12:$X$111,0)),"")</f>
        <v/>
      </c>
      <c r="AD82" s="20">
        <f>IFERROR(INDEX($H$12:$H$111,MATCH($E82&amp;"#6",$X$12:$X$111,0)),"")</f>
        <v/>
      </c>
      <c r="AE82" s="20">
        <f>IFERROR(INDEX($H$12:$H$111,MATCH($E82&amp;"#7",$X$12:$X$111,0)),"")</f>
        <v/>
      </c>
      <c r="AF82" s="20">
        <f>IFERROR(INDEX($H$12:$H$111,MATCH($E82&amp;"#8",$X$12:$X$111,0)),"")</f>
        <v/>
      </c>
      <c r="AG82" s="20">
        <f>IFERROR(INDEX($H$12:$H$111,MATCH($E82&amp;"#9",$X$12:$X$111,0)),"")</f>
        <v/>
      </c>
      <c r="AH82" s="20">
        <f>IFERROR(INDEX($H$12:$H$111,MATCH($E82&amp;"#10",$X$12:$X$111,0)),"")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</row>
    <row r="83">
      <c r="A83" s="224" t="n"/>
      <c r="B83" s="12" t="inlineStr">
        <is>
          <t>H02</t>
        </is>
      </c>
      <c r="C83" s="13" t="n"/>
      <c r="D83" s="14" t="n"/>
      <c r="E83" s="35" t="inlineStr">
        <is>
          <t>H</t>
        </is>
      </c>
      <c r="G83" s="36">
        <f>IF($C83="","",$E83&amp;(COUNTIFS(I$12:I$111,"&gt;"&amp;I83,E$12:E$111,"="&amp;E83,C$12:C$111,"&lt;&gt;")+COUNTIFS(I$12:I$111,"="&amp;I83,H$12:H$111,"&lt;="&amp;H83,E$12:E$111,"="&amp;E83,C$12:C$111,"&lt;&gt;")))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6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IF(COUNT(AK83:AT83)=0,"-",SUM(AK83:AT83)&amp;"-"&amp;SUM(AW83:BF83))</f>
        <v/>
      </c>
      <c r="V83" s="18">
        <f>IF(COUNT(AK83:AT83)=0,"-",IF(SUM(BU83:CD83)=0,0,ROUND(SUM(BI83:BR83)/SUM(BU83:CD83),3)))</f>
        <v/>
      </c>
      <c r="W83" s="18">
        <f>IF(COUNT(AK83:AT83)=0,"-",IF(P83=0,0,ROUND(O83/P83,3)))</f>
        <v/>
      </c>
      <c r="X83" s="19">
        <f>IF($C83="","",$E83&amp;"#"&amp;COUNTIFS($E$12:$E83,$E83,$C$12:$C83,"&lt;&gt;"))</f>
        <v/>
      </c>
      <c r="Y83" s="20">
        <f>IFERROR(INDEX($H$12:$H$111,MATCH($E83&amp;"#1",$X$12:$X$111,0)),"")</f>
        <v/>
      </c>
      <c r="Z83" s="20">
        <f>IFERROR(INDEX($H$12:$H$111,MATCH($E83&amp;"#2",$X$12:$X$111,0)),"")</f>
        <v/>
      </c>
      <c r="AA83" s="20">
        <f>IFERROR(INDEX($H$12:$H$111,MATCH($E83&amp;"#3",$X$12:$X$111,0)),"")</f>
        <v/>
      </c>
      <c r="AB83" s="20">
        <f>IFERROR(INDEX($H$12:$H$111,MATCH($E83&amp;"#4",$X$12:$X$111,0)),"")</f>
        <v/>
      </c>
      <c r="AC83" s="20">
        <f>IFERROR(INDEX($H$12:$H$111,MATCH($E83&amp;"#5",$X$12:$X$111,0)),"")</f>
        <v/>
      </c>
      <c r="AD83" s="20">
        <f>IFERROR(INDEX($H$12:$H$111,MATCH($E83&amp;"#6",$X$12:$X$111,0)),"")</f>
        <v/>
      </c>
      <c r="AE83" s="20">
        <f>IFERROR(INDEX($H$12:$H$111,MATCH($E83&amp;"#7",$X$12:$X$111,0)),"")</f>
        <v/>
      </c>
      <c r="AF83" s="20">
        <f>IFERROR(INDEX($H$12:$H$111,MATCH($E83&amp;"#8",$X$12:$X$111,0)),"")</f>
        <v/>
      </c>
      <c r="AG83" s="20">
        <f>IFERROR(INDEX($H$12:$H$111,MATCH($E83&amp;"#9",$X$12:$X$111,0)),"")</f>
        <v/>
      </c>
      <c r="AH83" s="20">
        <f>IFERROR(INDEX($H$12:$H$111,MATCH($E83&amp;"#10",$X$12:$X$111,0)),"")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</row>
    <row r="84">
      <c r="A84" s="224" t="n"/>
      <c r="B84" s="12" t="inlineStr">
        <is>
          <t>H03</t>
        </is>
      </c>
      <c r="C84" s="13" t="n"/>
      <c r="D84" s="14" t="n"/>
      <c r="E84" s="35" t="inlineStr">
        <is>
          <t>H</t>
        </is>
      </c>
      <c r="G84" s="36">
        <f>IF($C84="","",$E84&amp;(COUNTIFS(I$12:I$111,"&gt;"&amp;I84,E$12:E$111,"="&amp;E84,C$12:C$111,"&lt;&gt;")+COUNTIFS(I$12:I$111,"="&amp;I84,H$12:H$111,"&lt;="&amp;H84,E$12:E$111,"="&amp;E84,C$12:C$111,"&lt;&gt;")))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IF(COUNT(AK84:AT84)=0,"-",SUM(AK84:AT84)&amp;"-"&amp;SUM(AW84:BF84))</f>
        <v/>
      </c>
      <c r="V84" s="18">
        <f>IF(COUNT(AK84:AT84)=0,"-",IF(SUM(BU84:CD84)=0,0,ROUND(SUM(BI84:BR84)/SUM(BU84:CD84),3)))</f>
        <v/>
      </c>
      <c r="W84" s="18">
        <f>IF(COUNT(AK84:AT84)=0,"-",IF(P84=0,0,ROUND(O84/P84,3)))</f>
        <v/>
      </c>
      <c r="X84" s="19">
        <f>IF($C84="","",$E84&amp;"#"&amp;COUNTIFS($E$12:$E84,$E84,$C$12:$C84,"&lt;&gt;"))</f>
        <v/>
      </c>
      <c r="Y84" s="20">
        <f>IFERROR(INDEX($H$12:$H$111,MATCH($E84&amp;"#1",$X$12:$X$111,0)),"")</f>
        <v/>
      </c>
      <c r="Z84" s="20">
        <f>IFERROR(INDEX($H$12:$H$111,MATCH($E84&amp;"#2",$X$12:$X$111,0)),"")</f>
        <v/>
      </c>
      <c r="AA84" s="20">
        <f>IFERROR(INDEX($H$12:$H$111,MATCH($E84&amp;"#3",$X$12:$X$111,0)),"")</f>
        <v/>
      </c>
      <c r="AB84" s="20">
        <f>IFERROR(INDEX($H$12:$H$111,MATCH($E84&amp;"#4",$X$12:$X$111,0)),"")</f>
        <v/>
      </c>
      <c r="AC84" s="20">
        <f>IFERROR(INDEX($H$12:$H$111,MATCH($E84&amp;"#5",$X$12:$X$111,0)),"")</f>
        <v/>
      </c>
      <c r="AD84" s="20">
        <f>IFERROR(INDEX($H$12:$H$111,MATCH($E84&amp;"#6",$X$12:$X$111,0)),"")</f>
        <v/>
      </c>
      <c r="AE84" s="20">
        <f>IFERROR(INDEX($H$12:$H$111,MATCH($E84&amp;"#7",$X$12:$X$111,0)),"")</f>
        <v/>
      </c>
      <c r="AF84" s="20">
        <f>IFERROR(INDEX($H$12:$H$111,MATCH($E84&amp;"#8",$X$12:$X$111,0)),"")</f>
        <v/>
      </c>
      <c r="AG84" s="20">
        <f>IFERROR(INDEX($H$12:$H$111,MATCH($E84&amp;"#9",$X$12:$X$111,0)),"")</f>
        <v/>
      </c>
      <c r="AH84" s="20">
        <f>IFERROR(INDEX($H$12:$H$111,MATCH($E84&amp;"#10",$X$12:$X$111,0)),"")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</row>
    <row r="85">
      <c r="A85" s="224" t="n"/>
      <c r="B85" s="12" t="inlineStr">
        <is>
          <t>H04</t>
        </is>
      </c>
      <c r="C85" s="13" t="n"/>
      <c r="D85" s="14" t="n"/>
      <c r="E85" s="35" t="inlineStr">
        <is>
          <t>H</t>
        </is>
      </c>
      <c r="G85" s="36">
        <f>IF($C85="","",$E85&amp;(COUNTIFS(I$12:I$111,"&gt;"&amp;I85,E$12:E$111,"="&amp;E85,C$12:C$111,"&lt;&gt;")+COUNTIFS(I$12:I$111,"="&amp;I85,H$12:H$111,"&lt;="&amp;H85,E$12:E$111,"="&amp;E85,C$12:C$111,"&lt;&gt;")))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IF(COUNT(AK85:AT85)=0,"-",SUM(AK85:AT85)&amp;"-"&amp;SUM(AW85:BF85))</f>
        <v/>
      </c>
      <c r="V85" s="18">
        <f>IF(COUNT(AK85:AT85)=0,"-",IF(SUM(BU85:CD85)=0,0,ROUND(SUM(BI85:BR85)/SUM(BU85:CD85),3)))</f>
        <v/>
      </c>
      <c r="W85" s="18">
        <f>IF(COUNT(AK85:AT85)=0,"-",IF(P85=0,0,ROUND(O85/P85,3)))</f>
        <v/>
      </c>
      <c r="X85" s="19">
        <f>IF($C85="","",$E85&amp;"#"&amp;COUNTIFS($E$12:$E85,$E85,$C$12:$C85,"&lt;&gt;"))</f>
        <v/>
      </c>
      <c r="Y85" s="20">
        <f>IFERROR(INDEX($H$12:$H$111,MATCH($E85&amp;"#1",$X$12:$X$111,0)),"")</f>
        <v/>
      </c>
      <c r="Z85" s="20">
        <f>IFERROR(INDEX($H$12:$H$111,MATCH($E85&amp;"#2",$X$12:$X$111,0)),"")</f>
        <v/>
      </c>
      <c r="AA85" s="20">
        <f>IFERROR(INDEX($H$12:$H$111,MATCH($E85&amp;"#3",$X$12:$X$111,0)),"")</f>
        <v/>
      </c>
      <c r="AB85" s="20">
        <f>IFERROR(INDEX($H$12:$H$111,MATCH($E85&amp;"#4",$X$12:$X$111,0)),"")</f>
        <v/>
      </c>
      <c r="AC85" s="20">
        <f>IFERROR(INDEX($H$12:$H$111,MATCH($E85&amp;"#5",$X$12:$X$111,0)),"")</f>
        <v/>
      </c>
      <c r="AD85" s="20">
        <f>IFERROR(INDEX($H$12:$H$111,MATCH($E85&amp;"#6",$X$12:$X$111,0)),"")</f>
        <v/>
      </c>
      <c r="AE85" s="20">
        <f>IFERROR(INDEX($H$12:$H$111,MATCH($E85&amp;"#7",$X$12:$X$111,0)),"")</f>
        <v/>
      </c>
      <c r="AF85" s="20">
        <f>IFERROR(INDEX($H$12:$H$111,MATCH($E85&amp;"#8",$X$12:$X$111,0)),"")</f>
        <v/>
      </c>
      <c r="AG85" s="20">
        <f>IFERROR(INDEX($H$12:$H$111,MATCH($E85&amp;"#9",$X$12:$X$111,0)),"")</f>
        <v/>
      </c>
      <c r="AH85" s="20">
        <f>IFERROR(INDEX($H$12:$H$111,MATCH($E85&amp;"#10",$X$12:$X$111,0)),"")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</row>
    <row r="86">
      <c r="A86" s="224" t="n"/>
      <c r="B86" s="12" t="inlineStr">
        <is>
          <t>H05</t>
        </is>
      </c>
      <c r="C86" s="13" t="n"/>
      <c r="D86" s="14" t="n"/>
      <c r="E86" s="35" t="inlineStr">
        <is>
          <t>H</t>
        </is>
      </c>
      <c r="G86" s="36">
        <f>IF($C86="","",$E86&amp;(COUNTIFS(I$12:I$111,"&gt;"&amp;I86,E$12:E$111,"="&amp;E86,C$12:C$111,"&lt;&gt;")+COUNTIFS(I$12:I$111,"="&amp;I86,H$12:H$111,"&lt;="&amp;H86,E$12:E$111,"="&amp;E86,C$12:C$111,"&lt;&gt;")))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IF(COUNT(AK86:AT86)=0,"-",SUM(AK86:AT86)&amp;"-"&amp;SUM(AW86:BF86))</f>
        <v/>
      </c>
      <c r="V86" s="18">
        <f>IF(COUNT(AK86:AT86)=0,"-",IF(SUM(BU86:CD86)=0,0,ROUND(SUM(BI86:BR86)/SUM(BU86:CD86),3)))</f>
        <v/>
      </c>
      <c r="W86" s="18">
        <f>IF(COUNT(AK86:AT86)=0,"-",IF(P86=0,0,ROUND(O86/P86,3)))</f>
        <v/>
      </c>
      <c r="X86" s="19">
        <f>IF($C86="","",$E86&amp;"#"&amp;COUNTIFS($E$12:$E86,$E86,$C$12:$C86,"&lt;&gt;"))</f>
        <v/>
      </c>
      <c r="Y86" s="20">
        <f>IFERROR(INDEX($H$12:$H$111,MATCH($E86&amp;"#1",$X$12:$X$111,0)),"")</f>
        <v/>
      </c>
      <c r="Z86" s="20">
        <f>IFERROR(INDEX($H$12:$H$111,MATCH($E86&amp;"#2",$X$12:$X$111,0)),"")</f>
        <v/>
      </c>
      <c r="AA86" s="20">
        <f>IFERROR(INDEX($H$12:$H$111,MATCH($E86&amp;"#3",$X$12:$X$111,0)),"")</f>
        <v/>
      </c>
      <c r="AB86" s="20">
        <f>IFERROR(INDEX($H$12:$H$111,MATCH($E86&amp;"#4",$X$12:$X$111,0)),"")</f>
        <v/>
      </c>
      <c r="AC86" s="20">
        <f>IFERROR(INDEX($H$12:$H$111,MATCH($E86&amp;"#5",$X$12:$X$111,0)),"")</f>
        <v/>
      </c>
      <c r="AD86" s="20">
        <f>IFERROR(INDEX($H$12:$H$111,MATCH($E86&amp;"#6",$X$12:$X$111,0)),"")</f>
        <v/>
      </c>
      <c r="AE86" s="20">
        <f>IFERROR(INDEX($H$12:$H$111,MATCH($E86&amp;"#7",$X$12:$X$111,0)),"")</f>
        <v/>
      </c>
      <c r="AF86" s="20">
        <f>IFERROR(INDEX($H$12:$H$111,MATCH($E86&amp;"#8",$X$12:$X$111,0)),"")</f>
        <v/>
      </c>
      <c r="AG86" s="20">
        <f>IFERROR(INDEX($H$12:$H$111,MATCH($E86&amp;"#9",$X$12:$X$111,0)),"")</f>
        <v/>
      </c>
      <c r="AH86" s="20">
        <f>IFERROR(INDEX($H$12:$H$111,MATCH($E86&amp;"#10",$X$12:$X$111,0)),"")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</row>
    <row r="87">
      <c r="A87" s="224" t="n"/>
      <c r="B87" s="12" t="inlineStr">
        <is>
          <t>H06</t>
        </is>
      </c>
      <c r="C87" s="13" t="n"/>
      <c r="D87" s="14" t="n"/>
      <c r="E87" s="35" t="inlineStr">
        <is>
          <t>H</t>
        </is>
      </c>
      <c r="G87" s="36">
        <f>IF($C87="","",$E87&amp;(COUNTIFS(I$12:I$111,"&gt;"&amp;I87,E$12:E$111,"="&amp;E87,C$12:C$111,"&lt;&gt;")+COUNTIFS(I$12:I$111,"="&amp;I87,H$12:H$111,"&lt;="&amp;H87,E$12:E$111,"="&amp;E87,C$12:C$111,"&lt;&gt;")))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IF(COUNT(AK87:AT87)=0,"-",SUM(AK87:AT87)&amp;"-"&amp;SUM(AW87:BF87))</f>
        <v/>
      </c>
      <c r="V87" s="18">
        <f>IF(COUNT(AK87:AT87)=0,"-",IF(SUM(BU87:CD87)=0,0,ROUND(SUM(BI87:BR87)/SUM(BU87:CD87),3)))</f>
        <v/>
      </c>
      <c r="W87" s="18">
        <f>IF(COUNT(AK87:AT87)=0,"-",IF(P87=0,0,ROUND(O87/P87,3)))</f>
        <v/>
      </c>
      <c r="X87" s="19">
        <f>IF($C87="","",$E87&amp;"#"&amp;COUNTIFS($E$12:$E87,$E87,$C$12:$C87,"&lt;&gt;"))</f>
        <v/>
      </c>
      <c r="Y87" s="20">
        <f>IFERROR(INDEX($H$12:$H$111,MATCH($E87&amp;"#1",$X$12:$X$111,0)),"")</f>
        <v/>
      </c>
      <c r="Z87" s="20">
        <f>IFERROR(INDEX($H$12:$H$111,MATCH($E87&amp;"#2",$X$12:$X$111,0)),"")</f>
        <v/>
      </c>
      <c r="AA87" s="20">
        <f>IFERROR(INDEX($H$12:$H$111,MATCH($E87&amp;"#3",$X$12:$X$111,0)),"")</f>
        <v/>
      </c>
      <c r="AB87" s="20">
        <f>IFERROR(INDEX($H$12:$H$111,MATCH($E87&amp;"#4",$X$12:$X$111,0)),"")</f>
        <v/>
      </c>
      <c r="AC87" s="20">
        <f>IFERROR(INDEX($H$12:$H$111,MATCH($E87&amp;"#5",$X$12:$X$111,0)),"")</f>
        <v/>
      </c>
      <c r="AD87" s="20">
        <f>IFERROR(INDEX($H$12:$H$111,MATCH($E87&amp;"#6",$X$12:$X$111,0)),"")</f>
        <v/>
      </c>
      <c r="AE87" s="20">
        <f>IFERROR(INDEX($H$12:$H$111,MATCH($E87&amp;"#7",$X$12:$X$111,0)),"")</f>
        <v/>
      </c>
      <c r="AF87" s="20">
        <f>IFERROR(INDEX($H$12:$H$111,MATCH($E87&amp;"#8",$X$12:$X$111,0)),"")</f>
        <v/>
      </c>
      <c r="AG87" s="20">
        <f>IFERROR(INDEX($H$12:$H$111,MATCH($E87&amp;"#9",$X$12:$X$111,0)),"")</f>
        <v/>
      </c>
      <c r="AH87" s="20">
        <f>IFERROR(INDEX($H$12:$H$111,MATCH($E87&amp;"#10",$X$12:$X$111,0)),"")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</row>
    <row r="88">
      <c r="A88" s="224" t="n"/>
      <c r="B88" s="12" t="inlineStr">
        <is>
          <t>H07</t>
        </is>
      </c>
      <c r="C88" s="13" t="n"/>
      <c r="D88" s="14" t="n"/>
      <c r="E88" s="35" t="inlineStr">
        <is>
          <t>H</t>
        </is>
      </c>
      <c r="G88" s="36">
        <f>IF($C88="","",$E88&amp;(COUNTIFS(I$12:I$111,"&gt;"&amp;I88,E$12:E$111,"="&amp;E88,C$12:C$111,"&lt;&gt;")+COUNTIFS(I$12:I$111,"="&amp;I88,H$12:H$111,"&lt;="&amp;H88,E$12:E$111,"="&amp;E88,C$12:C$111,"&lt;&gt;")))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IF(COUNT(AK88:AT88)=0,"-",SUM(AK88:AT88)&amp;"-"&amp;SUM(AW88:BF88))</f>
        <v/>
      </c>
      <c r="V88" s="18">
        <f>IF(COUNT(AK88:AT88)=0,"-",IF(SUM(BU88:CD88)=0,0,ROUND(SUM(BI88:BR88)/SUM(BU88:CD88),3)))</f>
        <v/>
      </c>
      <c r="W88" s="18">
        <f>IF(COUNT(AK88:AT88)=0,"-",IF(P88=0,0,ROUND(O88/P88,3)))</f>
        <v/>
      </c>
      <c r="X88" s="19">
        <f>IF($C88="","",$E88&amp;"#"&amp;COUNTIFS($E$12:$E88,$E88,$C$12:$C88,"&lt;&gt;"))</f>
        <v/>
      </c>
      <c r="Y88" s="20">
        <f>IFERROR(INDEX($H$12:$H$111,MATCH($E88&amp;"#1",$X$12:$X$111,0)),"")</f>
        <v/>
      </c>
      <c r="Z88" s="20">
        <f>IFERROR(INDEX($H$12:$H$111,MATCH($E88&amp;"#2",$X$12:$X$111,0)),"")</f>
        <v/>
      </c>
      <c r="AA88" s="20">
        <f>IFERROR(INDEX($H$12:$H$111,MATCH($E88&amp;"#3",$X$12:$X$111,0)),"")</f>
        <v/>
      </c>
      <c r="AB88" s="20">
        <f>IFERROR(INDEX($H$12:$H$111,MATCH($E88&amp;"#4",$X$12:$X$111,0)),"")</f>
        <v/>
      </c>
      <c r="AC88" s="20">
        <f>IFERROR(INDEX($H$12:$H$111,MATCH($E88&amp;"#5",$X$12:$X$111,0)),"")</f>
        <v/>
      </c>
      <c r="AD88" s="20">
        <f>IFERROR(INDEX($H$12:$H$111,MATCH($E88&amp;"#6",$X$12:$X$111,0)),"")</f>
        <v/>
      </c>
      <c r="AE88" s="20">
        <f>IFERROR(INDEX($H$12:$H$111,MATCH($E88&amp;"#7",$X$12:$X$111,0)),"")</f>
        <v/>
      </c>
      <c r="AF88" s="20">
        <f>IFERROR(INDEX($H$12:$H$111,MATCH($E88&amp;"#8",$X$12:$X$111,0)),"")</f>
        <v/>
      </c>
      <c r="AG88" s="20">
        <f>IFERROR(INDEX($H$12:$H$111,MATCH($E88&amp;"#9",$X$12:$X$111,0)),"")</f>
        <v/>
      </c>
      <c r="AH88" s="20">
        <f>IFERROR(INDEX($H$12:$H$111,MATCH($E88&amp;"#10",$X$12:$X$111,0)),"")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</row>
    <row r="89">
      <c r="A89" s="224" t="n"/>
      <c r="B89" s="12" t="inlineStr">
        <is>
          <t>H08</t>
        </is>
      </c>
      <c r="C89" s="13" t="n"/>
      <c r="D89" s="14" t="n"/>
      <c r="E89" s="35" t="inlineStr">
        <is>
          <t>H</t>
        </is>
      </c>
      <c r="G89" s="36">
        <f>IF($C89="","",$E89&amp;(COUNTIFS(I$12:I$111,"&gt;"&amp;I89,E$12:E$111,"="&amp;E89,C$12:C$111,"&lt;&gt;")+COUNTIFS(I$12:I$111,"="&amp;I89,H$12:H$111,"&lt;="&amp;H89,E$12:E$111,"="&amp;E89,C$12:C$111,"&lt;&gt;")))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IF(COUNT(AK89:AT89)=0,"-",SUM(AK89:AT89)&amp;"-"&amp;SUM(AW89:BF89))</f>
        <v/>
      </c>
      <c r="V89" s="18">
        <f>IF(COUNT(AK89:AT89)=0,"-",IF(SUM(BU89:CD89)=0,0,ROUND(SUM(BI89:BR89)/SUM(BU89:CD89),3)))</f>
        <v/>
      </c>
      <c r="W89" s="18">
        <f>IF(COUNT(AK89:AT89)=0,"-",IF(P89=0,0,ROUND(O89/P89,3)))</f>
        <v/>
      </c>
      <c r="X89" s="19">
        <f>IF($C89="","",$E89&amp;"#"&amp;COUNTIFS($E$12:$E89,$E89,$C$12:$C89,"&lt;&gt;"))</f>
        <v/>
      </c>
      <c r="Y89" s="20">
        <f>IFERROR(INDEX($H$12:$H$111,MATCH($E89&amp;"#1",$X$12:$X$111,0)),"")</f>
        <v/>
      </c>
      <c r="Z89" s="20">
        <f>IFERROR(INDEX($H$12:$H$111,MATCH($E89&amp;"#2",$X$12:$X$111,0)),"")</f>
        <v/>
      </c>
      <c r="AA89" s="20">
        <f>IFERROR(INDEX($H$12:$H$111,MATCH($E89&amp;"#3",$X$12:$X$111,0)),"")</f>
        <v/>
      </c>
      <c r="AB89" s="20">
        <f>IFERROR(INDEX($H$12:$H$111,MATCH($E89&amp;"#4",$X$12:$X$111,0)),"")</f>
        <v/>
      </c>
      <c r="AC89" s="20">
        <f>IFERROR(INDEX($H$12:$H$111,MATCH($E89&amp;"#5",$X$12:$X$111,0)),"")</f>
        <v/>
      </c>
      <c r="AD89" s="20">
        <f>IFERROR(INDEX($H$12:$H$111,MATCH($E89&amp;"#6",$X$12:$X$111,0)),"")</f>
        <v/>
      </c>
      <c r="AE89" s="20">
        <f>IFERROR(INDEX($H$12:$H$111,MATCH($E89&amp;"#7",$X$12:$X$111,0)),"")</f>
        <v/>
      </c>
      <c r="AF89" s="20">
        <f>IFERROR(INDEX($H$12:$H$111,MATCH($E89&amp;"#8",$X$12:$X$111,0)),"")</f>
        <v/>
      </c>
      <c r="AG89" s="20">
        <f>IFERROR(INDEX($H$12:$H$111,MATCH($E89&amp;"#9",$X$12:$X$111,0)),"")</f>
        <v/>
      </c>
      <c r="AH89" s="20">
        <f>IFERROR(INDEX($H$12:$H$111,MATCH($E89&amp;"#10",$X$12:$X$111,0)),"")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</row>
    <row r="90">
      <c r="A90" s="224" t="n"/>
      <c r="B90" s="12" t="inlineStr">
        <is>
          <t>H09</t>
        </is>
      </c>
      <c r="C90" s="13" t="n"/>
      <c r="D90" s="14" t="n"/>
      <c r="E90" s="35" t="inlineStr">
        <is>
          <t>H</t>
        </is>
      </c>
      <c r="G90" s="36">
        <f>IF($C90="","",$E90&amp;(COUNTIFS(I$12:I$111,"&gt;"&amp;I90,E$12:E$111,"="&amp;E90,C$12:C$111,"&lt;&gt;")+COUNTIFS(I$12:I$111,"="&amp;I90,H$12:H$111,"&lt;="&amp;H90,E$12:E$111,"="&amp;E90,C$12:C$111,"&lt;&gt;")))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IF(COUNT(AK90:AT90)=0,"-",SUM(AK90:AT90)&amp;"-"&amp;SUM(AW90:BF90))</f>
        <v/>
      </c>
      <c r="V90" s="18">
        <f>IF(COUNT(AK90:AT90)=0,"-",IF(SUM(BU90:CD90)=0,0,ROUND(SUM(BI90:BR90)/SUM(BU90:CD90),3)))</f>
        <v/>
      </c>
      <c r="W90" s="18">
        <f>IF(COUNT(AK90:AT90)=0,"-",IF(P90=0,0,ROUND(O90/P90,3)))</f>
        <v/>
      </c>
      <c r="X90" s="19">
        <f>IF($C90="","",$E90&amp;"#"&amp;COUNTIFS($E$12:$E90,$E90,$C$12:$C90,"&lt;&gt;"))</f>
        <v/>
      </c>
      <c r="Y90" s="20">
        <f>IFERROR(INDEX($H$12:$H$111,MATCH($E90&amp;"#1",$X$12:$X$111,0)),"")</f>
        <v/>
      </c>
      <c r="Z90" s="20">
        <f>IFERROR(INDEX($H$12:$H$111,MATCH($E90&amp;"#2",$X$12:$X$111,0)),"")</f>
        <v/>
      </c>
      <c r="AA90" s="20">
        <f>IFERROR(INDEX($H$12:$H$111,MATCH($E90&amp;"#3",$X$12:$X$111,0)),"")</f>
        <v/>
      </c>
      <c r="AB90" s="20">
        <f>IFERROR(INDEX($H$12:$H$111,MATCH($E90&amp;"#4",$X$12:$X$111,0)),"")</f>
        <v/>
      </c>
      <c r="AC90" s="20">
        <f>IFERROR(INDEX($H$12:$H$111,MATCH($E90&amp;"#5",$X$12:$X$111,0)),"")</f>
        <v/>
      </c>
      <c r="AD90" s="20">
        <f>IFERROR(INDEX($H$12:$H$111,MATCH($E90&amp;"#6",$X$12:$X$111,0)),"")</f>
        <v/>
      </c>
      <c r="AE90" s="20">
        <f>IFERROR(INDEX($H$12:$H$111,MATCH($E90&amp;"#7",$X$12:$X$111,0)),"")</f>
        <v/>
      </c>
      <c r="AF90" s="20">
        <f>IFERROR(INDEX($H$12:$H$111,MATCH($E90&amp;"#8",$X$12:$X$111,0)),"")</f>
        <v/>
      </c>
      <c r="AG90" s="20">
        <f>IFERROR(INDEX($H$12:$H$111,MATCH($E90&amp;"#9",$X$12:$X$111,0)),"")</f>
        <v/>
      </c>
      <c r="AH90" s="20">
        <f>IFERROR(INDEX($H$12:$H$111,MATCH($E90&amp;"#10",$X$12:$X$111,0)),"")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</row>
    <row r="91">
      <c r="A91" s="224" t="n"/>
      <c r="B91" s="12" t="inlineStr">
        <is>
          <t>H10</t>
        </is>
      </c>
      <c r="C91" s="13" t="n"/>
      <c r="D91" s="14" t="n"/>
      <c r="E91" s="35" t="inlineStr">
        <is>
          <t>H</t>
        </is>
      </c>
      <c r="G91" s="36">
        <f>IF($C91="","",$E91&amp;(COUNTIFS(I$12:I$111,"&gt;"&amp;I91,E$12:E$111,"="&amp;E91,C$12:C$111,"&lt;&gt;")+COUNTIFS(I$12:I$111,"="&amp;I91,H$12:H$111,"&lt;="&amp;H91,E$12:E$111,"="&amp;E91,C$12:C$111,"&lt;&gt;")))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IF(COUNT(AK91:AT91)=0,"-",SUM(AK91:AT91)&amp;"-"&amp;SUM(AW91:BF91))</f>
        <v/>
      </c>
      <c r="V91" s="18">
        <f>IF(COUNT(AK91:AT91)=0,"-",IF(SUM(BU91:CD91)=0,0,ROUND(SUM(BI91:BR91)/SUM(BU91:CD91),3)))</f>
        <v/>
      </c>
      <c r="W91" s="18">
        <f>IF(COUNT(AK91:AT91)=0,"-",IF(P91=0,0,ROUND(O91/P91,3)))</f>
        <v/>
      </c>
      <c r="X91" s="19">
        <f>IF($C91="","",$E91&amp;"#"&amp;COUNTIFS($E$12:$E91,$E91,$C$12:$C91,"&lt;&gt;"))</f>
        <v/>
      </c>
      <c r="Y91" s="20">
        <f>IFERROR(INDEX($H$12:$H$111,MATCH($E91&amp;"#1",$X$12:$X$111,0)),"")</f>
        <v/>
      </c>
      <c r="Z91" s="20">
        <f>IFERROR(INDEX($H$12:$H$111,MATCH($E91&amp;"#2",$X$12:$X$111,0)),"")</f>
        <v/>
      </c>
      <c r="AA91" s="20">
        <f>IFERROR(INDEX($H$12:$H$111,MATCH($E91&amp;"#3",$X$12:$X$111,0)),"")</f>
        <v/>
      </c>
      <c r="AB91" s="20">
        <f>IFERROR(INDEX($H$12:$H$111,MATCH($E91&amp;"#4",$X$12:$X$111,0)),"")</f>
        <v/>
      </c>
      <c r="AC91" s="20">
        <f>IFERROR(INDEX($H$12:$H$111,MATCH($E91&amp;"#5",$X$12:$X$111,0)),"")</f>
        <v/>
      </c>
      <c r="AD91" s="20">
        <f>IFERROR(INDEX($H$12:$H$111,MATCH($E91&amp;"#6",$X$12:$X$111,0)),"")</f>
        <v/>
      </c>
      <c r="AE91" s="20">
        <f>IFERROR(INDEX($H$12:$H$111,MATCH($E91&amp;"#7",$X$12:$X$111,0)),"")</f>
        <v/>
      </c>
      <c r="AF91" s="20">
        <f>IFERROR(INDEX($H$12:$H$111,MATCH($E91&amp;"#8",$X$12:$X$111,0)),"")</f>
        <v/>
      </c>
      <c r="AG91" s="20">
        <f>IFERROR(INDEX($H$12:$H$111,MATCH($E91&amp;"#9",$X$12:$X$111,0)),"")</f>
        <v/>
      </c>
      <c r="AH91" s="20">
        <f>IFERROR(INDEX($H$12:$H$111,MATCH($E91&amp;"#10",$X$12:$X$111,0)),"")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</row>
    <row r="92">
      <c r="A92" s="224" t="n"/>
      <c r="B92" s="12" t="inlineStr">
        <is>
          <t>I01</t>
        </is>
      </c>
      <c r="C92" s="13" t="n"/>
      <c r="D92" s="14" t="n"/>
      <c r="E92" s="37" t="inlineStr">
        <is>
          <t>I</t>
        </is>
      </c>
      <c r="G92" s="38">
        <f>IF($C92="","",$E92&amp;(COUNTIFS(I$12:I$111,"&gt;"&amp;I92,E$12:E$111,"="&amp;E92,C$12:C$111,"&lt;&gt;")+COUNTIFS(I$12:I$111,"="&amp;I92,H$12:H$111,"&lt;="&amp;H92,E$12:E$111,"="&amp;E92,C$12:C$111,"&lt;&gt;")))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8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IF(COUNT(AK92:AT92)=0,"-",SUM(AK92:AT92)&amp;"-"&amp;SUM(AW92:BF92))</f>
        <v/>
      </c>
      <c r="V92" s="18">
        <f>IF(COUNT(AK92:AT92)=0,"-",IF(SUM(BU92:CD92)=0,0,ROUND(SUM(BI92:BR92)/SUM(BU92:CD92),3)))</f>
        <v/>
      </c>
      <c r="W92" s="18">
        <f>IF(COUNT(AK92:AT92)=0,"-",IF(P92=0,0,ROUND(O92/P92,3)))</f>
        <v/>
      </c>
      <c r="X92" s="19">
        <f>IF($C92="","",$E92&amp;"#"&amp;COUNTIFS($E$12:$E92,$E92,$C$12:$C92,"&lt;&gt;"))</f>
        <v/>
      </c>
      <c r="Y92" s="20">
        <f>IFERROR(INDEX($H$12:$H$111,MATCH($E92&amp;"#1",$X$12:$X$111,0)),"")</f>
        <v/>
      </c>
      <c r="Z92" s="20">
        <f>IFERROR(INDEX($H$12:$H$111,MATCH($E92&amp;"#2",$X$12:$X$111,0)),"")</f>
        <v/>
      </c>
      <c r="AA92" s="20">
        <f>IFERROR(INDEX($H$12:$H$111,MATCH($E92&amp;"#3",$X$12:$X$111,0)),"")</f>
        <v/>
      </c>
      <c r="AB92" s="20">
        <f>IFERROR(INDEX($H$12:$H$111,MATCH($E92&amp;"#4",$X$12:$X$111,0)),"")</f>
        <v/>
      </c>
      <c r="AC92" s="20">
        <f>IFERROR(INDEX($H$12:$H$111,MATCH($E92&amp;"#5",$X$12:$X$111,0)),"")</f>
        <v/>
      </c>
      <c r="AD92" s="20">
        <f>IFERROR(INDEX($H$12:$H$111,MATCH($E92&amp;"#6",$X$12:$X$111,0)),"")</f>
        <v/>
      </c>
      <c r="AE92" s="20">
        <f>IFERROR(INDEX($H$12:$H$111,MATCH($E92&amp;"#7",$X$12:$X$111,0)),"")</f>
        <v/>
      </c>
      <c r="AF92" s="20">
        <f>IFERROR(INDEX($H$12:$H$111,MATCH($E92&amp;"#8",$X$12:$X$111,0)),"")</f>
        <v/>
      </c>
      <c r="AG92" s="20">
        <f>IFERROR(INDEX($H$12:$H$111,MATCH($E92&amp;"#9",$X$12:$X$111,0)),"")</f>
        <v/>
      </c>
      <c r="AH92" s="20">
        <f>IFERROR(INDEX($H$12:$H$111,MATCH($E92&amp;"#10",$X$12:$X$111,0)),"")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</row>
    <row r="93">
      <c r="A93" s="224" t="n"/>
      <c r="B93" s="12" t="inlineStr">
        <is>
          <t>I02</t>
        </is>
      </c>
      <c r="C93" s="13" t="n"/>
      <c r="D93" s="14" t="n"/>
      <c r="E93" s="37" t="inlineStr">
        <is>
          <t>I</t>
        </is>
      </c>
      <c r="G93" s="38">
        <f>IF($C93="","",$E93&amp;(COUNTIFS(I$12:I$111,"&gt;"&amp;I93,E$12:E$111,"="&amp;E93,C$12:C$111,"&lt;&gt;")+COUNTIFS(I$12:I$111,"="&amp;I93,H$12:H$111,"&lt;="&amp;H93,E$12:E$111,"="&amp;E93,C$12:C$111,"&lt;&gt;")))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8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IF(COUNT(AK93:AT93)=0,"-",SUM(AK93:AT93)&amp;"-"&amp;SUM(AW93:BF93))</f>
        <v/>
      </c>
      <c r="V93" s="18">
        <f>IF(COUNT(AK93:AT93)=0,"-",IF(SUM(BU93:CD93)=0,0,ROUND(SUM(BI93:BR93)/SUM(BU93:CD93),3)))</f>
        <v/>
      </c>
      <c r="W93" s="18">
        <f>IF(COUNT(AK93:AT93)=0,"-",IF(P93=0,0,ROUND(O93/P93,3)))</f>
        <v/>
      </c>
      <c r="X93" s="19">
        <f>IF($C93="","",$E93&amp;"#"&amp;COUNTIFS($E$12:$E93,$E93,$C$12:$C93,"&lt;&gt;"))</f>
        <v/>
      </c>
      <c r="Y93" s="20">
        <f>IFERROR(INDEX($H$12:$H$111,MATCH($E93&amp;"#1",$X$12:$X$111,0)),"")</f>
        <v/>
      </c>
      <c r="Z93" s="20">
        <f>IFERROR(INDEX($H$12:$H$111,MATCH($E93&amp;"#2",$X$12:$X$111,0)),"")</f>
        <v/>
      </c>
      <c r="AA93" s="20">
        <f>IFERROR(INDEX($H$12:$H$111,MATCH($E93&amp;"#3",$X$12:$X$111,0)),"")</f>
        <v/>
      </c>
      <c r="AB93" s="20">
        <f>IFERROR(INDEX($H$12:$H$111,MATCH($E93&amp;"#4",$X$12:$X$111,0)),"")</f>
        <v/>
      </c>
      <c r="AC93" s="20">
        <f>IFERROR(INDEX($H$12:$H$111,MATCH($E93&amp;"#5",$X$12:$X$111,0)),"")</f>
        <v/>
      </c>
      <c r="AD93" s="20">
        <f>IFERROR(INDEX($H$12:$H$111,MATCH($E93&amp;"#6",$X$12:$X$111,0)),"")</f>
        <v/>
      </c>
      <c r="AE93" s="20">
        <f>IFERROR(INDEX($H$12:$H$111,MATCH($E93&amp;"#7",$X$12:$X$111,0)),"")</f>
        <v/>
      </c>
      <c r="AF93" s="20">
        <f>IFERROR(INDEX($H$12:$H$111,MATCH($E93&amp;"#8",$X$12:$X$111,0)),"")</f>
        <v/>
      </c>
      <c r="AG93" s="20">
        <f>IFERROR(INDEX($H$12:$H$111,MATCH($E93&amp;"#9",$X$12:$X$111,0)),"")</f>
        <v/>
      </c>
      <c r="AH93" s="20">
        <f>IFERROR(INDEX($H$12:$H$111,MATCH($E93&amp;"#10",$X$12:$X$111,0)),"")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</row>
    <row r="94">
      <c r="A94" s="224" t="n"/>
      <c r="B94" s="12" t="inlineStr">
        <is>
          <t>I03</t>
        </is>
      </c>
      <c r="C94" s="13" t="n"/>
      <c r="D94" s="14" t="n"/>
      <c r="E94" s="37" t="inlineStr">
        <is>
          <t>I</t>
        </is>
      </c>
      <c r="G94" s="38">
        <f>IF($C94="","",$E94&amp;(COUNTIFS(I$12:I$111,"&gt;"&amp;I94,E$12:E$111,"="&amp;E94,C$12:C$111,"&lt;&gt;")+COUNTIFS(I$12:I$111,"="&amp;I94,H$12:H$111,"&lt;="&amp;H94,E$12:E$111,"="&amp;E94,C$12:C$111,"&lt;&gt;")))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IF(COUNT(AK94:AT94)=0,"-",SUM(AK94:AT94)&amp;"-"&amp;SUM(AW94:BF94))</f>
        <v/>
      </c>
      <c r="V94" s="18">
        <f>IF(COUNT(AK94:AT94)=0,"-",IF(SUM(BU94:CD94)=0,0,ROUND(SUM(BI94:BR94)/SUM(BU94:CD94),3)))</f>
        <v/>
      </c>
      <c r="W94" s="18">
        <f>IF(COUNT(AK94:AT94)=0,"-",IF(P94=0,0,ROUND(O94/P94,3)))</f>
        <v/>
      </c>
      <c r="X94" s="19">
        <f>IF($C94="","",$E94&amp;"#"&amp;COUNTIFS($E$12:$E94,$E94,$C$12:$C94,"&lt;&gt;"))</f>
        <v/>
      </c>
      <c r="Y94" s="20">
        <f>IFERROR(INDEX($H$12:$H$111,MATCH($E94&amp;"#1",$X$12:$X$111,0)),"")</f>
        <v/>
      </c>
      <c r="Z94" s="20">
        <f>IFERROR(INDEX($H$12:$H$111,MATCH($E94&amp;"#2",$X$12:$X$111,0)),"")</f>
        <v/>
      </c>
      <c r="AA94" s="20">
        <f>IFERROR(INDEX($H$12:$H$111,MATCH($E94&amp;"#3",$X$12:$X$111,0)),"")</f>
        <v/>
      </c>
      <c r="AB94" s="20">
        <f>IFERROR(INDEX($H$12:$H$111,MATCH($E94&amp;"#4",$X$12:$X$111,0)),"")</f>
        <v/>
      </c>
      <c r="AC94" s="20">
        <f>IFERROR(INDEX($H$12:$H$111,MATCH($E94&amp;"#5",$X$12:$X$111,0)),"")</f>
        <v/>
      </c>
      <c r="AD94" s="20">
        <f>IFERROR(INDEX($H$12:$H$111,MATCH($E94&amp;"#6",$X$12:$X$111,0)),"")</f>
        <v/>
      </c>
      <c r="AE94" s="20">
        <f>IFERROR(INDEX($H$12:$H$111,MATCH($E94&amp;"#7",$X$12:$X$111,0)),"")</f>
        <v/>
      </c>
      <c r="AF94" s="20">
        <f>IFERROR(INDEX($H$12:$H$111,MATCH($E94&amp;"#8",$X$12:$X$111,0)),"")</f>
        <v/>
      </c>
      <c r="AG94" s="20">
        <f>IFERROR(INDEX($H$12:$H$111,MATCH($E94&amp;"#9",$X$12:$X$111,0)),"")</f>
        <v/>
      </c>
      <c r="AH94" s="20">
        <f>IFERROR(INDEX($H$12:$H$111,MATCH($E94&amp;"#10",$X$12:$X$111,0)),"")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</row>
    <row r="95">
      <c r="A95" s="224" t="n"/>
      <c r="B95" s="12" t="inlineStr">
        <is>
          <t>I04</t>
        </is>
      </c>
      <c r="C95" s="13" t="n"/>
      <c r="D95" s="14" t="n"/>
      <c r="E95" s="37" t="inlineStr">
        <is>
          <t>I</t>
        </is>
      </c>
      <c r="G95" s="38">
        <f>IF($C95="","",$E95&amp;(COUNTIFS(I$12:I$111,"&gt;"&amp;I95,E$12:E$111,"="&amp;E95,C$12:C$111,"&lt;&gt;")+COUNTIFS(I$12:I$111,"="&amp;I95,H$12:H$111,"&lt;="&amp;H95,E$12:E$111,"="&amp;E95,C$12:C$111,"&lt;&gt;")))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IF(COUNT(AK95:AT95)=0,"-",SUM(AK95:AT95)&amp;"-"&amp;SUM(AW95:BF95))</f>
        <v/>
      </c>
      <c r="V95" s="18">
        <f>IF(COUNT(AK95:AT95)=0,"-",IF(SUM(BU95:CD95)=0,0,ROUND(SUM(BI95:BR95)/SUM(BU95:CD95),3)))</f>
        <v/>
      </c>
      <c r="W95" s="18">
        <f>IF(COUNT(AK95:AT95)=0,"-",IF(P95=0,0,ROUND(O95/P95,3)))</f>
        <v/>
      </c>
      <c r="X95" s="19">
        <f>IF($C95="","",$E95&amp;"#"&amp;COUNTIFS($E$12:$E95,$E95,$C$12:$C95,"&lt;&gt;"))</f>
        <v/>
      </c>
      <c r="Y95" s="20">
        <f>IFERROR(INDEX($H$12:$H$111,MATCH($E95&amp;"#1",$X$12:$X$111,0)),"")</f>
        <v/>
      </c>
      <c r="Z95" s="20">
        <f>IFERROR(INDEX($H$12:$H$111,MATCH($E95&amp;"#2",$X$12:$X$111,0)),"")</f>
        <v/>
      </c>
      <c r="AA95" s="20">
        <f>IFERROR(INDEX($H$12:$H$111,MATCH($E95&amp;"#3",$X$12:$X$111,0)),"")</f>
        <v/>
      </c>
      <c r="AB95" s="20">
        <f>IFERROR(INDEX($H$12:$H$111,MATCH($E95&amp;"#4",$X$12:$X$111,0)),"")</f>
        <v/>
      </c>
      <c r="AC95" s="20">
        <f>IFERROR(INDEX($H$12:$H$111,MATCH($E95&amp;"#5",$X$12:$X$111,0)),"")</f>
        <v/>
      </c>
      <c r="AD95" s="20">
        <f>IFERROR(INDEX($H$12:$H$111,MATCH($E95&amp;"#6",$X$12:$X$111,0)),"")</f>
        <v/>
      </c>
      <c r="AE95" s="20">
        <f>IFERROR(INDEX($H$12:$H$111,MATCH($E95&amp;"#7",$X$12:$X$111,0)),"")</f>
        <v/>
      </c>
      <c r="AF95" s="20">
        <f>IFERROR(INDEX($H$12:$H$111,MATCH($E95&amp;"#8",$X$12:$X$111,0)),"")</f>
        <v/>
      </c>
      <c r="AG95" s="20">
        <f>IFERROR(INDEX($H$12:$H$111,MATCH($E95&amp;"#9",$X$12:$X$111,0)),"")</f>
        <v/>
      </c>
      <c r="AH95" s="20">
        <f>IFERROR(INDEX($H$12:$H$111,MATCH($E95&amp;"#10",$X$12:$X$111,0)),"")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</row>
    <row r="96">
      <c r="A96" s="224" t="n"/>
      <c r="B96" s="12" t="inlineStr">
        <is>
          <t>I05</t>
        </is>
      </c>
      <c r="C96" s="13" t="n"/>
      <c r="D96" s="14" t="n"/>
      <c r="E96" s="37" t="inlineStr">
        <is>
          <t>I</t>
        </is>
      </c>
      <c r="G96" s="38">
        <f>IF($C96="","",$E96&amp;(COUNTIFS(I$12:I$111,"&gt;"&amp;I96,E$12:E$111,"="&amp;E96,C$12:C$111,"&lt;&gt;")+COUNTIFS(I$12:I$111,"="&amp;I96,H$12:H$111,"&lt;="&amp;H96,E$12:E$111,"="&amp;E96,C$12:C$111,"&lt;&gt;")))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IF(COUNT(AK96:AT96)=0,"-",SUM(AK96:AT96)&amp;"-"&amp;SUM(AW96:BF96))</f>
        <v/>
      </c>
      <c r="V96" s="18">
        <f>IF(COUNT(AK96:AT96)=0,"-",IF(SUM(BU96:CD96)=0,0,ROUND(SUM(BI96:BR96)/SUM(BU96:CD96),3)))</f>
        <v/>
      </c>
      <c r="W96" s="18">
        <f>IF(COUNT(AK96:AT96)=0,"-",IF(P96=0,0,ROUND(O96/P96,3)))</f>
        <v/>
      </c>
      <c r="X96" s="19">
        <f>IF($C96="","",$E96&amp;"#"&amp;COUNTIFS($E$12:$E96,$E96,$C$12:$C96,"&lt;&gt;"))</f>
        <v/>
      </c>
      <c r="Y96" s="20">
        <f>IFERROR(INDEX($H$12:$H$111,MATCH($E96&amp;"#1",$X$12:$X$111,0)),"")</f>
        <v/>
      </c>
      <c r="Z96" s="20">
        <f>IFERROR(INDEX($H$12:$H$111,MATCH($E96&amp;"#2",$X$12:$X$111,0)),"")</f>
        <v/>
      </c>
      <c r="AA96" s="20">
        <f>IFERROR(INDEX($H$12:$H$111,MATCH($E96&amp;"#3",$X$12:$X$111,0)),"")</f>
        <v/>
      </c>
      <c r="AB96" s="20">
        <f>IFERROR(INDEX($H$12:$H$111,MATCH($E96&amp;"#4",$X$12:$X$111,0)),"")</f>
        <v/>
      </c>
      <c r="AC96" s="20">
        <f>IFERROR(INDEX($H$12:$H$111,MATCH($E96&amp;"#5",$X$12:$X$111,0)),"")</f>
        <v/>
      </c>
      <c r="AD96" s="20">
        <f>IFERROR(INDEX($H$12:$H$111,MATCH($E96&amp;"#6",$X$12:$X$111,0)),"")</f>
        <v/>
      </c>
      <c r="AE96" s="20">
        <f>IFERROR(INDEX($H$12:$H$111,MATCH($E96&amp;"#7",$X$12:$X$111,0)),"")</f>
        <v/>
      </c>
      <c r="AF96" s="20">
        <f>IFERROR(INDEX($H$12:$H$111,MATCH($E96&amp;"#8",$X$12:$X$111,0)),"")</f>
        <v/>
      </c>
      <c r="AG96" s="20">
        <f>IFERROR(INDEX($H$12:$H$111,MATCH($E96&amp;"#9",$X$12:$X$111,0)),"")</f>
        <v/>
      </c>
      <c r="AH96" s="20">
        <f>IFERROR(INDEX($H$12:$H$111,MATCH($E96&amp;"#10",$X$12:$X$111,0)),"")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</row>
    <row r="97">
      <c r="A97" s="224" t="n"/>
      <c r="B97" s="12" t="inlineStr">
        <is>
          <t>I06</t>
        </is>
      </c>
      <c r="C97" s="13" t="n"/>
      <c r="D97" s="14" t="n"/>
      <c r="E97" s="37" t="inlineStr">
        <is>
          <t>I</t>
        </is>
      </c>
      <c r="G97" s="38">
        <f>IF($C97="","",$E97&amp;(COUNTIFS(I$12:I$111,"&gt;"&amp;I97,E$12:E$111,"="&amp;E97,C$12:C$111,"&lt;&gt;")+COUNTIFS(I$12:I$111,"="&amp;I97,H$12:H$111,"&lt;="&amp;H97,E$12:E$111,"="&amp;E97,C$12:C$111,"&lt;&gt;")))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IF(COUNT(AK97:AT97)=0,"-",SUM(AK97:AT97)&amp;"-"&amp;SUM(AW97:BF97))</f>
        <v/>
      </c>
      <c r="V97" s="18">
        <f>IF(COUNT(AK97:AT97)=0,"-",IF(SUM(BU97:CD97)=0,0,ROUND(SUM(BI97:BR97)/SUM(BU97:CD97),3)))</f>
        <v/>
      </c>
      <c r="W97" s="18">
        <f>IF(COUNT(AK97:AT97)=0,"-",IF(P97=0,0,ROUND(O97/P97,3)))</f>
        <v/>
      </c>
      <c r="X97" s="19">
        <f>IF($C97="","",$E97&amp;"#"&amp;COUNTIFS($E$12:$E97,$E97,$C$12:$C97,"&lt;&gt;"))</f>
        <v/>
      </c>
      <c r="Y97" s="20">
        <f>IFERROR(INDEX($H$12:$H$111,MATCH($E97&amp;"#1",$X$12:$X$111,0)),"")</f>
        <v/>
      </c>
      <c r="Z97" s="20">
        <f>IFERROR(INDEX($H$12:$H$111,MATCH($E97&amp;"#2",$X$12:$X$111,0)),"")</f>
        <v/>
      </c>
      <c r="AA97" s="20">
        <f>IFERROR(INDEX($H$12:$H$111,MATCH($E97&amp;"#3",$X$12:$X$111,0)),"")</f>
        <v/>
      </c>
      <c r="AB97" s="20">
        <f>IFERROR(INDEX($H$12:$H$111,MATCH($E97&amp;"#4",$X$12:$X$111,0)),"")</f>
        <v/>
      </c>
      <c r="AC97" s="20">
        <f>IFERROR(INDEX($H$12:$H$111,MATCH($E97&amp;"#5",$X$12:$X$111,0)),"")</f>
        <v/>
      </c>
      <c r="AD97" s="20">
        <f>IFERROR(INDEX($H$12:$H$111,MATCH($E97&amp;"#6",$X$12:$X$111,0)),"")</f>
        <v/>
      </c>
      <c r="AE97" s="20">
        <f>IFERROR(INDEX($H$12:$H$111,MATCH($E97&amp;"#7",$X$12:$X$111,0)),"")</f>
        <v/>
      </c>
      <c r="AF97" s="20">
        <f>IFERROR(INDEX($H$12:$H$111,MATCH($E97&amp;"#8",$X$12:$X$111,0)),"")</f>
        <v/>
      </c>
      <c r="AG97" s="20">
        <f>IFERROR(INDEX($H$12:$H$111,MATCH($E97&amp;"#9",$X$12:$X$111,0)),"")</f>
        <v/>
      </c>
      <c r="AH97" s="20">
        <f>IFERROR(INDEX($H$12:$H$111,MATCH($E97&amp;"#10",$X$12:$X$111,0)),"")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</row>
    <row r="98">
      <c r="A98" s="224" t="n"/>
      <c r="B98" s="12" t="inlineStr">
        <is>
          <t>I07</t>
        </is>
      </c>
      <c r="C98" s="13" t="n"/>
      <c r="D98" s="14" t="n"/>
      <c r="E98" s="37" t="inlineStr">
        <is>
          <t>I</t>
        </is>
      </c>
      <c r="G98" s="38">
        <f>IF($C98="","",$E98&amp;(COUNTIFS(I$12:I$111,"&gt;"&amp;I98,E$12:E$111,"="&amp;E98,C$12:C$111,"&lt;&gt;")+COUNTIFS(I$12:I$111,"="&amp;I98,H$12:H$111,"&lt;="&amp;H98,E$12:E$111,"="&amp;E98,C$12:C$111,"&lt;&gt;")))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IF(COUNT(AK98:AT98)=0,"-",SUM(AK98:AT98)&amp;"-"&amp;SUM(AW98:BF98))</f>
        <v/>
      </c>
      <c r="V98" s="18">
        <f>IF(COUNT(AK98:AT98)=0,"-",IF(SUM(BU98:CD98)=0,0,ROUND(SUM(BI98:BR98)/SUM(BU98:CD98),3)))</f>
        <v/>
      </c>
      <c r="W98" s="18">
        <f>IF(COUNT(AK98:AT98)=0,"-",IF(P98=0,0,ROUND(O98/P98,3)))</f>
        <v/>
      </c>
      <c r="X98" s="19">
        <f>IF($C98="","",$E98&amp;"#"&amp;COUNTIFS($E$12:$E98,$E98,$C$12:$C98,"&lt;&gt;"))</f>
        <v/>
      </c>
      <c r="Y98" s="20">
        <f>IFERROR(INDEX($H$12:$H$111,MATCH($E98&amp;"#1",$X$12:$X$111,0)),"")</f>
        <v/>
      </c>
      <c r="Z98" s="20">
        <f>IFERROR(INDEX($H$12:$H$111,MATCH($E98&amp;"#2",$X$12:$X$111,0)),"")</f>
        <v/>
      </c>
      <c r="AA98" s="20">
        <f>IFERROR(INDEX($H$12:$H$111,MATCH($E98&amp;"#3",$X$12:$X$111,0)),"")</f>
        <v/>
      </c>
      <c r="AB98" s="20">
        <f>IFERROR(INDEX($H$12:$H$111,MATCH($E98&amp;"#4",$X$12:$X$111,0)),"")</f>
        <v/>
      </c>
      <c r="AC98" s="20">
        <f>IFERROR(INDEX($H$12:$H$111,MATCH($E98&amp;"#5",$X$12:$X$111,0)),"")</f>
        <v/>
      </c>
      <c r="AD98" s="20">
        <f>IFERROR(INDEX($H$12:$H$111,MATCH($E98&amp;"#6",$X$12:$X$111,0)),"")</f>
        <v/>
      </c>
      <c r="AE98" s="20">
        <f>IFERROR(INDEX($H$12:$H$111,MATCH($E98&amp;"#7",$X$12:$X$111,0)),"")</f>
        <v/>
      </c>
      <c r="AF98" s="20">
        <f>IFERROR(INDEX($H$12:$H$111,MATCH($E98&amp;"#8",$X$12:$X$111,0)),"")</f>
        <v/>
      </c>
      <c r="AG98" s="20">
        <f>IFERROR(INDEX($H$12:$H$111,MATCH($E98&amp;"#9",$X$12:$X$111,0)),"")</f>
        <v/>
      </c>
      <c r="AH98" s="20">
        <f>IFERROR(INDEX($H$12:$H$111,MATCH($E98&amp;"#10",$X$12:$X$111,0)),"")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</row>
    <row r="99">
      <c r="A99" s="224" t="n"/>
      <c r="B99" s="12" t="inlineStr">
        <is>
          <t>I08</t>
        </is>
      </c>
      <c r="C99" s="13" t="n"/>
      <c r="D99" s="14" t="n"/>
      <c r="E99" s="37" t="inlineStr">
        <is>
          <t>I</t>
        </is>
      </c>
      <c r="G99" s="38">
        <f>IF($C99="","",$E99&amp;(COUNTIFS(I$12:I$111,"&gt;"&amp;I99,E$12:E$111,"="&amp;E99,C$12:C$111,"&lt;&gt;")+COUNTIFS(I$12:I$111,"="&amp;I99,H$12:H$111,"&lt;="&amp;H99,E$12:E$111,"="&amp;E99,C$12:C$111,"&lt;&gt;")))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IF(COUNT(AK99:AT99)=0,"-",SUM(AK99:AT99)&amp;"-"&amp;SUM(AW99:BF99))</f>
        <v/>
      </c>
      <c r="V99" s="18">
        <f>IF(COUNT(AK99:AT99)=0,"-",IF(SUM(BU99:CD99)=0,0,ROUND(SUM(BI99:BR99)/SUM(BU99:CD99),3)))</f>
        <v/>
      </c>
      <c r="W99" s="18">
        <f>IF(COUNT(AK99:AT99)=0,"-",IF(P99=0,0,ROUND(O99/P99,3)))</f>
        <v/>
      </c>
      <c r="X99" s="19">
        <f>IF($C99="","",$E99&amp;"#"&amp;COUNTIFS($E$12:$E99,$E99,$C$12:$C99,"&lt;&gt;"))</f>
        <v/>
      </c>
      <c r="Y99" s="20">
        <f>IFERROR(INDEX($H$12:$H$111,MATCH($E99&amp;"#1",$X$12:$X$111,0)),"")</f>
        <v/>
      </c>
      <c r="Z99" s="20">
        <f>IFERROR(INDEX($H$12:$H$111,MATCH($E99&amp;"#2",$X$12:$X$111,0)),"")</f>
        <v/>
      </c>
      <c r="AA99" s="20">
        <f>IFERROR(INDEX($H$12:$H$111,MATCH($E99&amp;"#3",$X$12:$X$111,0)),"")</f>
        <v/>
      </c>
      <c r="AB99" s="20">
        <f>IFERROR(INDEX($H$12:$H$111,MATCH($E99&amp;"#4",$X$12:$X$111,0)),"")</f>
        <v/>
      </c>
      <c r="AC99" s="20">
        <f>IFERROR(INDEX($H$12:$H$111,MATCH($E99&amp;"#5",$X$12:$X$111,0)),"")</f>
        <v/>
      </c>
      <c r="AD99" s="20">
        <f>IFERROR(INDEX($H$12:$H$111,MATCH($E99&amp;"#6",$X$12:$X$111,0)),"")</f>
        <v/>
      </c>
      <c r="AE99" s="20">
        <f>IFERROR(INDEX($H$12:$H$111,MATCH($E99&amp;"#7",$X$12:$X$111,0)),"")</f>
        <v/>
      </c>
      <c r="AF99" s="20">
        <f>IFERROR(INDEX($H$12:$H$111,MATCH($E99&amp;"#8",$X$12:$X$111,0)),"")</f>
        <v/>
      </c>
      <c r="AG99" s="20">
        <f>IFERROR(INDEX($H$12:$H$111,MATCH($E99&amp;"#9",$X$12:$X$111,0)),"")</f>
        <v/>
      </c>
      <c r="AH99" s="20">
        <f>IFERROR(INDEX($H$12:$H$111,MATCH($E99&amp;"#10",$X$12:$X$111,0)),"")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</row>
    <row r="100">
      <c r="A100" s="224" t="n"/>
      <c r="B100" s="12" t="inlineStr">
        <is>
          <t>I09</t>
        </is>
      </c>
      <c r="C100" s="13" t="n"/>
      <c r="D100" s="14" t="n"/>
      <c r="E100" s="37" t="inlineStr">
        <is>
          <t>I</t>
        </is>
      </c>
      <c r="G100" s="38">
        <f>IF($C100="","",$E100&amp;(COUNTIFS(I$12:I$111,"&gt;"&amp;I100,E$12:E$111,"="&amp;E100,C$12:C$111,"&lt;&gt;")+COUNTIFS(I$12:I$111,"="&amp;I100,H$12:H$111,"&lt;="&amp;H100,E$12:E$111,"="&amp;E100,C$12:C$111,"&lt;&gt;")))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IF(COUNT(AK100:AT100)=0,"-",SUM(AK100:AT100)&amp;"-"&amp;SUM(AW100:BF100))</f>
        <v/>
      </c>
      <c r="V100" s="18">
        <f>IF(COUNT(AK100:AT100)=0,"-",IF(SUM(BU100:CD100)=0,0,ROUND(SUM(BI100:BR100)/SUM(BU100:CD100),3)))</f>
        <v/>
      </c>
      <c r="W100" s="18">
        <f>IF(COUNT(AK100:AT100)=0,"-",IF(P100=0,0,ROUND(O100/P100,3)))</f>
        <v/>
      </c>
      <c r="X100" s="19">
        <f>IF($C100="","",$E100&amp;"#"&amp;COUNTIFS($E$12:$E100,$E100,$C$12:$C100,"&lt;&gt;"))</f>
        <v/>
      </c>
      <c r="Y100" s="20">
        <f>IFERROR(INDEX($H$12:$H$111,MATCH($E100&amp;"#1",$X$12:$X$111,0)),"")</f>
        <v/>
      </c>
      <c r="Z100" s="20">
        <f>IFERROR(INDEX($H$12:$H$111,MATCH($E100&amp;"#2",$X$12:$X$111,0)),"")</f>
        <v/>
      </c>
      <c r="AA100" s="20">
        <f>IFERROR(INDEX($H$12:$H$111,MATCH($E100&amp;"#3",$X$12:$X$111,0)),"")</f>
        <v/>
      </c>
      <c r="AB100" s="20">
        <f>IFERROR(INDEX($H$12:$H$111,MATCH($E100&amp;"#4",$X$12:$X$111,0)),"")</f>
        <v/>
      </c>
      <c r="AC100" s="20">
        <f>IFERROR(INDEX($H$12:$H$111,MATCH($E100&amp;"#5",$X$12:$X$111,0)),"")</f>
        <v/>
      </c>
      <c r="AD100" s="20">
        <f>IFERROR(INDEX($H$12:$H$111,MATCH($E100&amp;"#6",$X$12:$X$111,0)),"")</f>
        <v/>
      </c>
      <c r="AE100" s="20">
        <f>IFERROR(INDEX($H$12:$H$111,MATCH($E100&amp;"#7",$X$12:$X$111,0)),"")</f>
        <v/>
      </c>
      <c r="AF100" s="20">
        <f>IFERROR(INDEX($H$12:$H$111,MATCH($E100&amp;"#8",$X$12:$X$111,0)),"")</f>
        <v/>
      </c>
      <c r="AG100" s="20">
        <f>IFERROR(INDEX($H$12:$H$111,MATCH($E100&amp;"#9",$X$12:$X$111,0)),"")</f>
        <v/>
      </c>
      <c r="AH100" s="20">
        <f>IFERROR(INDEX($H$12:$H$111,MATCH($E100&amp;"#10",$X$12:$X$111,0)),"")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</row>
    <row r="101">
      <c r="A101" s="224" t="n"/>
      <c r="B101" s="12" t="inlineStr">
        <is>
          <t>I10</t>
        </is>
      </c>
      <c r="C101" s="13" t="n"/>
      <c r="D101" s="14" t="n"/>
      <c r="E101" s="37" t="inlineStr">
        <is>
          <t>I</t>
        </is>
      </c>
      <c r="G101" s="38">
        <f>IF($C101="","",$E101&amp;(COUNTIFS(I$12:I$111,"&gt;"&amp;I101,E$12:E$111,"="&amp;E101,C$12:C$111,"&lt;&gt;")+COUNTIFS(I$12:I$111,"="&amp;I101,H$12:H$111,"&lt;="&amp;H101,E$12:E$111,"="&amp;E101,C$12:C$111,"&lt;&gt;")))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IF(COUNT(AK101:AT101)=0,"-",SUM(AK101:AT101)&amp;"-"&amp;SUM(AW101:BF101))</f>
        <v/>
      </c>
      <c r="V101" s="18">
        <f>IF(COUNT(AK101:AT101)=0,"-",IF(SUM(BU101:CD101)=0,0,ROUND(SUM(BI101:BR101)/SUM(BU101:CD101),3)))</f>
        <v/>
      </c>
      <c r="W101" s="18">
        <f>IF(COUNT(AK101:AT101)=0,"-",IF(P101=0,0,ROUND(O101/P101,3)))</f>
        <v/>
      </c>
      <c r="X101" s="19">
        <f>IF($C101="","",$E101&amp;"#"&amp;COUNTIFS($E$12:$E101,$E101,$C$12:$C101,"&lt;&gt;"))</f>
        <v/>
      </c>
      <c r="Y101" s="20">
        <f>IFERROR(INDEX($H$12:$H$111,MATCH($E101&amp;"#1",$X$12:$X$111,0)),"")</f>
        <v/>
      </c>
      <c r="Z101" s="20">
        <f>IFERROR(INDEX($H$12:$H$111,MATCH($E101&amp;"#2",$X$12:$X$111,0)),"")</f>
        <v/>
      </c>
      <c r="AA101" s="20">
        <f>IFERROR(INDEX($H$12:$H$111,MATCH($E101&amp;"#3",$X$12:$X$111,0)),"")</f>
        <v/>
      </c>
      <c r="AB101" s="20">
        <f>IFERROR(INDEX($H$12:$H$111,MATCH($E101&amp;"#4",$X$12:$X$111,0)),"")</f>
        <v/>
      </c>
      <c r="AC101" s="20">
        <f>IFERROR(INDEX($H$12:$H$111,MATCH($E101&amp;"#5",$X$12:$X$111,0)),"")</f>
        <v/>
      </c>
      <c r="AD101" s="20">
        <f>IFERROR(INDEX($H$12:$H$111,MATCH($E101&amp;"#6",$X$12:$X$111,0)),"")</f>
        <v/>
      </c>
      <c r="AE101" s="20">
        <f>IFERROR(INDEX($H$12:$H$111,MATCH($E101&amp;"#7",$X$12:$X$111,0)),"")</f>
        <v/>
      </c>
      <c r="AF101" s="20">
        <f>IFERROR(INDEX($H$12:$H$111,MATCH($E101&amp;"#8",$X$12:$X$111,0)),"")</f>
        <v/>
      </c>
      <c r="AG101" s="20">
        <f>IFERROR(INDEX($H$12:$H$111,MATCH($E101&amp;"#9",$X$12:$X$111,0)),"")</f>
        <v/>
      </c>
      <c r="AH101" s="20">
        <f>IFERROR(INDEX($H$12:$H$111,MATCH($E101&amp;"#10",$X$12:$X$111,0)),"")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</row>
    <row r="102">
      <c r="A102" s="224" t="n"/>
      <c r="B102" s="12" t="inlineStr">
        <is>
          <t>J01</t>
        </is>
      </c>
      <c r="C102" s="13" t="n"/>
      <c r="D102" s="14" t="n"/>
      <c r="E102" s="39" t="inlineStr">
        <is>
          <t>J</t>
        </is>
      </c>
      <c r="G102" s="40">
        <f>IF($C102="","",$E102&amp;(COUNTIFS(I$12:I$111,"&gt;"&amp;I102,E$12:E$111,"="&amp;E102,C$12:C$111,"&lt;&gt;")+COUNTIFS(I$12:I$111,"="&amp;I102,H$12:H$111,"&lt;="&amp;H102,E$12:E$111,"="&amp;E102,C$12:C$111,"&lt;&gt;")))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40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IF(COUNT(AK102:AT102)=0,"-",SUM(AK102:AT102)&amp;"-"&amp;SUM(AW102:BF102))</f>
        <v/>
      </c>
      <c r="V102" s="18">
        <f>IF(COUNT(AK102:AT102)=0,"-",IF(SUM(BU102:CD102)=0,0,ROUND(SUM(BI102:BR102)/SUM(BU102:CD102),3)))</f>
        <v/>
      </c>
      <c r="W102" s="18">
        <f>IF(COUNT(AK102:AT102)=0,"-",IF(P102=0,0,ROUND(O102/P102,3)))</f>
        <v/>
      </c>
      <c r="X102" s="19">
        <f>IF($C102="","",$E102&amp;"#"&amp;COUNTIFS($E$12:$E102,$E102,$C$12:$C102,"&lt;&gt;"))</f>
        <v/>
      </c>
      <c r="Y102" s="20">
        <f>IFERROR(INDEX($H$12:$H$111,MATCH($E102&amp;"#1",$X$12:$X$111,0)),"")</f>
        <v/>
      </c>
      <c r="Z102" s="20">
        <f>IFERROR(INDEX($H$12:$H$111,MATCH($E102&amp;"#2",$X$12:$X$111,0)),"")</f>
        <v/>
      </c>
      <c r="AA102" s="20">
        <f>IFERROR(INDEX($H$12:$H$111,MATCH($E102&amp;"#3",$X$12:$X$111,0)),"")</f>
        <v/>
      </c>
      <c r="AB102" s="20">
        <f>IFERROR(INDEX($H$12:$H$111,MATCH($E102&amp;"#4",$X$12:$X$111,0)),"")</f>
        <v/>
      </c>
      <c r="AC102" s="20">
        <f>IFERROR(INDEX($H$12:$H$111,MATCH($E102&amp;"#5",$X$12:$X$111,0)),"")</f>
        <v/>
      </c>
      <c r="AD102" s="20">
        <f>IFERROR(INDEX($H$12:$H$111,MATCH($E102&amp;"#6",$X$12:$X$111,0)),"")</f>
        <v/>
      </c>
      <c r="AE102" s="20">
        <f>IFERROR(INDEX($H$12:$H$111,MATCH($E102&amp;"#7",$X$12:$X$111,0)),"")</f>
        <v/>
      </c>
      <c r="AF102" s="20">
        <f>IFERROR(INDEX($H$12:$H$111,MATCH($E102&amp;"#8",$X$12:$X$111,0)),"")</f>
        <v/>
      </c>
      <c r="AG102" s="20">
        <f>IFERROR(INDEX($H$12:$H$111,MATCH($E102&amp;"#9",$X$12:$X$111,0)),"")</f>
        <v/>
      </c>
      <c r="AH102" s="20">
        <f>IFERROR(INDEX($H$12:$H$111,MATCH($E102&amp;"#10",$X$12:$X$111,0)),"")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</row>
    <row r="103">
      <c r="A103" s="224" t="n"/>
      <c r="B103" s="12" t="inlineStr">
        <is>
          <t>J02</t>
        </is>
      </c>
      <c r="C103" s="13" t="n"/>
      <c r="D103" s="14" t="n"/>
      <c r="E103" s="39" t="inlineStr">
        <is>
          <t>J</t>
        </is>
      </c>
      <c r="G103" s="40">
        <f>IF($C103="","",$E103&amp;(COUNTIFS(I$12:I$111,"&gt;"&amp;I103,E$12:E$111,"="&amp;E103,C$12:C$111,"&lt;&gt;")+COUNTIFS(I$12:I$111,"="&amp;I103,H$12:H$111,"&lt;="&amp;H103,E$12:E$111,"="&amp;E103,C$12:C$111,"&lt;&gt;")))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40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IF(COUNT(AK103:AT103)=0,"-",SUM(AK103:AT103)&amp;"-"&amp;SUM(AW103:BF103))</f>
        <v/>
      </c>
      <c r="V103" s="18">
        <f>IF(COUNT(AK103:AT103)=0,"-",IF(SUM(BU103:CD103)=0,0,ROUND(SUM(BI103:BR103)/SUM(BU103:CD103),3)))</f>
        <v/>
      </c>
      <c r="W103" s="18">
        <f>IF(COUNT(AK103:AT103)=0,"-",IF(P103=0,0,ROUND(O103/P103,3)))</f>
        <v/>
      </c>
      <c r="X103" s="19">
        <f>IF($C103="","",$E103&amp;"#"&amp;COUNTIFS($E$12:$E103,$E103,$C$12:$C103,"&lt;&gt;"))</f>
        <v/>
      </c>
      <c r="Y103" s="20">
        <f>IFERROR(INDEX($H$12:$H$111,MATCH($E103&amp;"#1",$X$12:$X$111,0)),"")</f>
        <v/>
      </c>
      <c r="Z103" s="20">
        <f>IFERROR(INDEX($H$12:$H$111,MATCH($E103&amp;"#2",$X$12:$X$111,0)),"")</f>
        <v/>
      </c>
      <c r="AA103" s="20">
        <f>IFERROR(INDEX($H$12:$H$111,MATCH($E103&amp;"#3",$X$12:$X$111,0)),"")</f>
        <v/>
      </c>
      <c r="AB103" s="20">
        <f>IFERROR(INDEX($H$12:$H$111,MATCH($E103&amp;"#4",$X$12:$X$111,0)),"")</f>
        <v/>
      </c>
      <c r="AC103" s="20">
        <f>IFERROR(INDEX($H$12:$H$111,MATCH($E103&amp;"#5",$X$12:$X$111,0)),"")</f>
        <v/>
      </c>
      <c r="AD103" s="20">
        <f>IFERROR(INDEX($H$12:$H$111,MATCH($E103&amp;"#6",$X$12:$X$111,0)),"")</f>
        <v/>
      </c>
      <c r="AE103" s="20">
        <f>IFERROR(INDEX($H$12:$H$111,MATCH($E103&amp;"#7",$X$12:$X$111,0)),"")</f>
        <v/>
      </c>
      <c r="AF103" s="20">
        <f>IFERROR(INDEX($H$12:$H$111,MATCH($E103&amp;"#8",$X$12:$X$111,0)),"")</f>
        <v/>
      </c>
      <c r="AG103" s="20">
        <f>IFERROR(INDEX($H$12:$H$111,MATCH($E103&amp;"#9",$X$12:$X$111,0)),"")</f>
        <v/>
      </c>
      <c r="AH103" s="20">
        <f>IFERROR(INDEX($H$12:$H$111,MATCH($E103&amp;"#10",$X$12:$X$111,0)),"")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</row>
    <row r="104">
      <c r="A104" s="224" t="n"/>
      <c r="B104" s="12" t="inlineStr">
        <is>
          <t>J03</t>
        </is>
      </c>
      <c r="C104" s="13" t="n"/>
      <c r="D104" s="14" t="n"/>
      <c r="E104" s="39" t="inlineStr">
        <is>
          <t>J</t>
        </is>
      </c>
      <c r="G104" s="40">
        <f>IF($C104="","",$E104&amp;(COUNTIFS(I$12:I$111,"&gt;"&amp;I104,E$12:E$111,"="&amp;E104,C$12:C$111,"&lt;&gt;")+COUNTIFS(I$12:I$111,"="&amp;I104,H$12:H$111,"&lt;="&amp;H104,E$12:E$111,"="&amp;E104,C$12:C$111,"&lt;&gt;")))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IF(COUNT(AK104:AT104)=0,"-",SUM(AK104:AT104)&amp;"-"&amp;SUM(AW104:BF104))</f>
        <v/>
      </c>
      <c r="V104" s="18">
        <f>IF(COUNT(AK104:AT104)=0,"-",IF(SUM(BU104:CD104)=0,0,ROUND(SUM(BI104:BR104)/SUM(BU104:CD104),3)))</f>
        <v/>
      </c>
      <c r="W104" s="18">
        <f>IF(COUNT(AK104:AT104)=0,"-",IF(P104=0,0,ROUND(O104/P104,3)))</f>
        <v/>
      </c>
      <c r="X104" s="19">
        <f>IF($C104="","",$E104&amp;"#"&amp;COUNTIFS($E$12:$E104,$E104,$C$12:$C104,"&lt;&gt;"))</f>
        <v/>
      </c>
      <c r="Y104" s="20">
        <f>IFERROR(INDEX($H$12:$H$111,MATCH($E104&amp;"#1",$X$12:$X$111,0)),"")</f>
        <v/>
      </c>
      <c r="Z104" s="20">
        <f>IFERROR(INDEX($H$12:$H$111,MATCH($E104&amp;"#2",$X$12:$X$111,0)),"")</f>
        <v/>
      </c>
      <c r="AA104" s="20">
        <f>IFERROR(INDEX($H$12:$H$111,MATCH($E104&amp;"#3",$X$12:$X$111,0)),"")</f>
        <v/>
      </c>
      <c r="AB104" s="20">
        <f>IFERROR(INDEX($H$12:$H$111,MATCH($E104&amp;"#4",$X$12:$X$111,0)),"")</f>
        <v/>
      </c>
      <c r="AC104" s="20">
        <f>IFERROR(INDEX($H$12:$H$111,MATCH($E104&amp;"#5",$X$12:$X$111,0)),"")</f>
        <v/>
      </c>
      <c r="AD104" s="20">
        <f>IFERROR(INDEX($H$12:$H$111,MATCH($E104&amp;"#6",$X$12:$X$111,0)),"")</f>
        <v/>
      </c>
      <c r="AE104" s="20">
        <f>IFERROR(INDEX($H$12:$H$111,MATCH($E104&amp;"#7",$X$12:$X$111,0)),"")</f>
        <v/>
      </c>
      <c r="AF104" s="20">
        <f>IFERROR(INDEX($H$12:$H$111,MATCH($E104&amp;"#8",$X$12:$X$111,0)),"")</f>
        <v/>
      </c>
      <c r="AG104" s="20">
        <f>IFERROR(INDEX($H$12:$H$111,MATCH($E104&amp;"#9",$X$12:$X$111,0)),"")</f>
        <v/>
      </c>
      <c r="AH104" s="20">
        <f>IFERROR(INDEX($H$12:$H$111,MATCH($E104&amp;"#10",$X$12:$X$111,0)),"")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</row>
    <row r="105">
      <c r="A105" s="224" t="n"/>
      <c r="B105" s="12" t="inlineStr">
        <is>
          <t>J04</t>
        </is>
      </c>
      <c r="C105" s="13" t="n"/>
      <c r="D105" s="14" t="n"/>
      <c r="E105" s="39" t="inlineStr">
        <is>
          <t>J</t>
        </is>
      </c>
      <c r="G105" s="40">
        <f>IF($C105="","",$E105&amp;(COUNTIFS(I$12:I$111,"&gt;"&amp;I105,E$12:E$111,"="&amp;E105,C$12:C$111,"&lt;&gt;")+COUNTIFS(I$12:I$111,"="&amp;I105,H$12:H$111,"&lt;="&amp;H105,E$12:E$111,"="&amp;E105,C$12:C$111,"&lt;&gt;")))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IF(COUNT(AK105:AT105)=0,"-",SUM(AK105:AT105)&amp;"-"&amp;SUM(AW105:BF105))</f>
        <v/>
      </c>
      <c r="V105" s="18">
        <f>IF(COUNT(AK105:AT105)=0,"-",IF(SUM(BU105:CD105)=0,0,ROUND(SUM(BI105:BR105)/SUM(BU105:CD105),3)))</f>
        <v/>
      </c>
      <c r="W105" s="18">
        <f>IF(COUNT(AK105:AT105)=0,"-",IF(P105=0,0,ROUND(O105/P105,3)))</f>
        <v/>
      </c>
      <c r="X105" s="19">
        <f>IF($C105="","",$E105&amp;"#"&amp;COUNTIFS($E$12:$E105,$E105,$C$12:$C105,"&lt;&gt;"))</f>
        <v/>
      </c>
      <c r="Y105" s="20">
        <f>IFERROR(INDEX($H$12:$H$111,MATCH($E105&amp;"#1",$X$12:$X$111,0)),"")</f>
        <v/>
      </c>
      <c r="Z105" s="20">
        <f>IFERROR(INDEX($H$12:$H$111,MATCH($E105&amp;"#2",$X$12:$X$111,0)),"")</f>
        <v/>
      </c>
      <c r="AA105" s="20">
        <f>IFERROR(INDEX($H$12:$H$111,MATCH($E105&amp;"#3",$X$12:$X$111,0)),"")</f>
        <v/>
      </c>
      <c r="AB105" s="20">
        <f>IFERROR(INDEX($H$12:$H$111,MATCH($E105&amp;"#4",$X$12:$X$111,0)),"")</f>
        <v/>
      </c>
      <c r="AC105" s="20">
        <f>IFERROR(INDEX($H$12:$H$111,MATCH($E105&amp;"#5",$X$12:$X$111,0)),"")</f>
        <v/>
      </c>
      <c r="AD105" s="20">
        <f>IFERROR(INDEX($H$12:$H$111,MATCH($E105&amp;"#6",$X$12:$X$111,0)),"")</f>
        <v/>
      </c>
      <c r="AE105" s="20">
        <f>IFERROR(INDEX($H$12:$H$111,MATCH($E105&amp;"#7",$X$12:$X$111,0)),"")</f>
        <v/>
      </c>
      <c r="AF105" s="20">
        <f>IFERROR(INDEX($H$12:$H$111,MATCH($E105&amp;"#8",$X$12:$X$111,0)),"")</f>
        <v/>
      </c>
      <c r="AG105" s="20">
        <f>IFERROR(INDEX($H$12:$H$111,MATCH($E105&amp;"#9",$X$12:$X$111,0)),"")</f>
        <v/>
      </c>
      <c r="AH105" s="20">
        <f>IFERROR(INDEX($H$12:$H$111,MATCH($E105&amp;"#10",$X$12:$X$111,0)),"")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</row>
    <row r="106">
      <c r="A106" s="224" t="n"/>
      <c r="B106" s="12" t="inlineStr">
        <is>
          <t>J05</t>
        </is>
      </c>
      <c r="C106" s="13" t="n"/>
      <c r="D106" s="14" t="n"/>
      <c r="E106" s="39" t="inlineStr">
        <is>
          <t>J</t>
        </is>
      </c>
      <c r="G106" s="40">
        <f>IF($C106="","",$E106&amp;(COUNTIFS(I$12:I$111,"&gt;"&amp;I106,E$12:E$111,"="&amp;E106,C$12:C$111,"&lt;&gt;")+COUNTIFS(I$12:I$111,"="&amp;I106,H$12:H$111,"&lt;="&amp;H106,E$12:E$111,"="&amp;E106,C$12:C$111,"&lt;&gt;")))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IF(COUNT(AK106:AT106)=0,"-",SUM(AK106:AT106)&amp;"-"&amp;SUM(AW106:BF106))</f>
        <v/>
      </c>
      <c r="V106" s="18">
        <f>IF(COUNT(AK106:AT106)=0,"-",IF(SUM(BU106:CD106)=0,0,ROUND(SUM(BI106:BR106)/SUM(BU106:CD106),3)))</f>
        <v/>
      </c>
      <c r="W106" s="18">
        <f>IF(COUNT(AK106:AT106)=0,"-",IF(P106=0,0,ROUND(O106/P106,3)))</f>
        <v/>
      </c>
      <c r="X106" s="19">
        <f>IF($C106="","",$E106&amp;"#"&amp;COUNTIFS($E$12:$E106,$E106,$C$12:$C106,"&lt;&gt;"))</f>
        <v/>
      </c>
      <c r="Y106" s="20">
        <f>IFERROR(INDEX($H$12:$H$111,MATCH($E106&amp;"#1",$X$12:$X$111,0)),"")</f>
        <v/>
      </c>
      <c r="Z106" s="20">
        <f>IFERROR(INDEX($H$12:$H$111,MATCH($E106&amp;"#2",$X$12:$X$111,0)),"")</f>
        <v/>
      </c>
      <c r="AA106" s="20">
        <f>IFERROR(INDEX($H$12:$H$111,MATCH($E106&amp;"#3",$X$12:$X$111,0)),"")</f>
        <v/>
      </c>
      <c r="AB106" s="20">
        <f>IFERROR(INDEX($H$12:$H$111,MATCH($E106&amp;"#4",$X$12:$X$111,0)),"")</f>
        <v/>
      </c>
      <c r="AC106" s="20">
        <f>IFERROR(INDEX($H$12:$H$111,MATCH($E106&amp;"#5",$X$12:$X$111,0)),"")</f>
        <v/>
      </c>
      <c r="AD106" s="20">
        <f>IFERROR(INDEX($H$12:$H$111,MATCH($E106&amp;"#6",$X$12:$X$111,0)),"")</f>
        <v/>
      </c>
      <c r="AE106" s="20">
        <f>IFERROR(INDEX($H$12:$H$111,MATCH($E106&amp;"#7",$X$12:$X$111,0)),"")</f>
        <v/>
      </c>
      <c r="AF106" s="20">
        <f>IFERROR(INDEX($H$12:$H$111,MATCH($E106&amp;"#8",$X$12:$X$111,0)),"")</f>
        <v/>
      </c>
      <c r="AG106" s="20">
        <f>IFERROR(INDEX($H$12:$H$111,MATCH($E106&amp;"#9",$X$12:$X$111,0)),"")</f>
        <v/>
      </c>
      <c r="AH106" s="20">
        <f>IFERROR(INDEX($H$12:$H$111,MATCH($E106&amp;"#10",$X$12:$X$111,0)),"")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</row>
    <row r="107">
      <c r="A107" s="224" t="n"/>
      <c r="B107" s="12" t="inlineStr">
        <is>
          <t>J06</t>
        </is>
      </c>
      <c r="C107" s="13" t="n"/>
      <c r="D107" s="14" t="n"/>
      <c r="E107" s="39" t="inlineStr">
        <is>
          <t>J</t>
        </is>
      </c>
      <c r="G107" s="40">
        <f>IF($C107="","",$E107&amp;(COUNTIFS(I$12:I$111,"&gt;"&amp;I107,E$12:E$111,"="&amp;E107,C$12:C$111,"&lt;&gt;")+COUNTIFS(I$12:I$111,"="&amp;I107,H$12:H$111,"&lt;="&amp;H107,E$12:E$111,"="&amp;E107,C$12:C$111,"&lt;&gt;")))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IF(COUNT(AK107:AT107)=0,"-",SUM(AK107:AT107)&amp;"-"&amp;SUM(AW107:BF107))</f>
        <v/>
      </c>
      <c r="V107" s="18">
        <f>IF(COUNT(AK107:AT107)=0,"-",IF(SUM(BU107:CD107)=0,0,ROUND(SUM(BI107:BR107)/SUM(BU107:CD107),3)))</f>
        <v/>
      </c>
      <c r="W107" s="18">
        <f>IF(COUNT(AK107:AT107)=0,"-",IF(P107=0,0,ROUND(O107/P107,3)))</f>
        <v/>
      </c>
      <c r="X107" s="19">
        <f>IF($C107="","",$E107&amp;"#"&amp;COUNTIFS($E$12:$E107,$E107,$C$12:$C107,"&lt;&gt;"))</f>
        <v/>
      </c>
      <c r="Y107" s="20">
        <f>IFERROR(INDEX($H$12:$H$111,MATCH($E107&amp;"#1",$X$12:$X$111,0)),"")</f>
        <v/>
      </c>
      <c r="Z107" s="20">
        <f>IFERROR(INDEX($H$12:$H$111,MATCH($E107&amp;"#2",$X$12:$X$111,0)),"")</f>
        <v/>
      </c>
      <c r="AA107" s="20">
        <f>IFERROR(INDEX($H$12:$H$111,MATCH($E107&amp;"#3",$X$12:$X$111,0)),"")</f>
        <v/>
      </c>
      <c r="AB107" s="20">
        <f>IFERROR(INDEX($H$12:$H$111,MATCH($E107&amp;"#4",$X$12:$X$111,0)),"")</f>
        <v/>
      </c>
      <c r="AC107" s="20">
        <f>IFERROR(INDEX($H$12:$H$111,MATCH($E107&amp;"#5",$X$12:$X$111,0)),"")</f>
        <v/>
      </c>
      <c r="AD107" s="20">
        <f>IFERROR(INDEX($H$12:$H$111,MATCH($E107&amp;"#6",$X$12:$X$111,0)),"")</f>
        <v/>
      </c>
      <c r="AE107" s="20">
        <f>IFERROR(INDEX($H$12:$H$111,MATCH($E107&amp;"#7",$X$12:$X$111,0)),"")</f>
        <v/>
      </c>
      <c r="AF107" s="20">
        <f>IFERROR(INDEX($H$12:$H$111,MATCH($E107&amp;"#8",$X$12:$X$111,0)),"")</f>
        <v/>
      </c>
      <c r="AG107" s="20">
        <f>IFERROR(INDEX($H$12:$H$111,MATCH($E107&amp;"#9",$X$12:$X$111,0)),"")</f>
        <v/>
      </c>
      <c r="AH107" s="20">
        <f>IFERROR(INDEX($H$12:$H$111,MATCH($E107&amp;"#10",$X$12:$X$111,0)),"")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</row>
    <row r="108">
      <c r="A108" s="224" t="n"/>
      <c r="B108" s="12" t="inlineStr">
        <is>
          <t>J07</t>
        </is>
      </c>
      <c r="C108" s="13" t="n"/>
      <c r="D108" s="14" t="n"/>
      <c r="E108" s="39" t="inlineStr">
        <is>
          <t>J</t>
        </is>
      </c>
      <c r="G108" s="40">
        <f>IF($C108="","",$E108&amp;(COUNTIFS(I$12:I$111,"&gt;"&amp;I108,E$12:E$111,"="&amp;E108,C$12:C$111,"&lt;&gt;")+COUNTIFS(I$12:I$111,"="&amp;I108,H$12:H$111,"&lt;="&amp;H108,E$12:E$111,"="&amp;E108,C$12:C$111,"&lt;&gt;")))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IF(COUNT(AK108:AT108)=0,"-",SUM(AK108:AT108)&amp;"-"&amp;SUM(AW108:BF108))</f>
        <v/>
      </c>
      <c r="V108" s="18">
        <f>IF(COUNT(AK108:AT108)=0,"-",IF(SUM(BU108:CD108)=0,0,ROUND(SUM(BI108:BR108)/SUM(BU108:CD108),3)))</f>
        <v/>
      </c>
      <c r="W108" s="18">
        <f>IF(COUNT(AK108:AT108)=0,"-",IF(P108=0,0,ROUND(O108/P108,3)))</f>
        <v/>
      </c>
      <c r="X108" s="19">
        <f>IF($C108="","",$E108&amp;"#"&amp;COUNTIFS($E$12:$E108,$E108,$C$12:$C108,"&lt;&gt;"))</f>
        <v/>
      </c>
      <c r="Y108" s="20">
        <f>IFERROR(INDEX($H$12:$H$111,MATCH($E108&amp;"#1",$X$12:$X$111,0)),"")</f>
        <v/>
      </c>
      <c r="Z108" s="20">
        <f>IFERROR(INDEX($H$12:$H$111,MATCH($E108&amp;"#2",$X$12:$X$111,0)),"")</f>
        <v/>
      </c>
      <c r="AA108" s="20">
        <f>IFERROR(INDEX($H$12:$H$111,MATCH($E108&amp;"#3",$X$12:$X$111,0)),"")</f>
        <v/>
      </c>
      <c r="AB108" s="20">
        <f>IFERROR(INDEX($H$12:$H$111,MATCH($E108&amp;"#4",$X$12:$X$111,0)),"")</f>
        <v/>
      </c>
      <c r="AC108" s="20">
        <f>IFERROR(INDEX($H$12:$H$111,MATCH($E108&amp;"#5",$X$12:$X$111,0)),"")</f>
        <v/>
      </c>
      <c r="AD108" s="20">
        <f>IFERROR(INDEX($H$12:$H$111,MATCH($E108&amp;"#6",$X$12:$X$111,0)),"")</f>
        <v/>
      </c>
      <c r="AE108" s="20">
        <f>IFERROR(INDEX($H$12:$H$111,MATCH($E108&amp;"#7",$X$12:$X$111,0)),"")</f>
        <v/>
      </c>
      <c r="AF108" s="20">
        <f>IFERROR(INDEX($H$12:$H$111,MATCH($E108&amp;"#8",$X$12:$X$111,0)),"")</f>
        <v/>
      </c>
      <c r="AG108" s="20">
        <f>IFERROR(INDEX($H$12:$H$111,MATCH($E108&amp;"#9",$X$12:$X$111,0)),"")</f>
        <v/>
      </c>
      <c r="AH108" s="20">
        <f>IFERROR(INDEX($H$12:$H$111,MATCH($E108&amp;"#10",$X$12:$X$111,0)),"")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</row>
    <row r="109">
      <c r="A109" s="224" t="n"/>
      <c r="B109" s="12" t="inlineStr">
        <is>
          <t>J08</t>
        </is>
      </c>
      <c r="C109" s="13" t="n"/>
      <c r="D109" s="14" t="n"/>
      <c r="E109" s="39" t="inlineStr">
        <is>
          <t>J</t>
        </is>
      </c>
      <c r="G109" s="40">
        <f>IF($C109="","",$E109&amp;(COUNTIFS(I$12:I$111,"&gt;"&amp;I109,E$12:E$111,"="&amp;E109,C$12:C$111,"&lt;&gt;")+COUNTIFS(I$12:I$111,"="&amp;I109,H$12:H$111,"&lt;="&amp;H109,E$12:E$111,"="&amp;E109,C$12:C$111,"&lt;&gt;")))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IF(COUNT(AK109:AT109)=0,"-",SUM(AK109:AT109)&amp;"-"&amp;SUM(AW109:BF109))</f>
        <v/>
      </c>
      <c r="V109" s="18">
        <f>IF(COUNT(AK109:AT109)=0,"-",IF(SUM(BU109:CD109)=0,0,ROUND(SUM(BI109:BR109)/SUM(BU109:CD109),3)))</f>
        <v/>
      </c>
      <c r="W109" s="18">
        <f>IF(COUNT(AK109:AT109)=0,"-",IF(P109=0,0,ROUND(O109/P109,3)))</f>
        <v/>
      </c>
      <c r="X109" s="19">
        <f>IF($C109="","",$E109&amp;"#"&amp;COUNTIFS($E$12:$E109,$E109,$C$12:$C109,"&lt;&gt;"))</f>
        <v/>
      </c>
      <c r="Y109" s="20">
        <f>IFERROR(INDEX($H$12:$H$111,MATCH($E109&amp;"#1",$X$12:$X$111,0)),"")</f>
        <v/>
      </c>
      <c r="Z109" s="20">
        <f>IFERROR(INDEX($H$12:$H$111,MATCH($E109&amp;"#2",$X$12:$X$111,0)),"")</f>
        <v/>
      </c>
      <c r="AA109" s="20">
        <f>IFERROR(INDEX($H$12:$H$111,MATCH($E109&amp;"#3",$X$12:$X$111,0)),"")</f>
        <v/>
      </c>
      <c r="AB109" s="20">
        <f>IFERROR(INDEX($H$12:$H$111,MATCH($E109&amp;"#4",$X$12:$X$111,0)),"")</f>
        <v/>
      </c>
      <c r="AC109" s="20">
        <f>IFERROR(INDEX($H$12:$H$111,MATCH($E109&amp;"#5",$X$12:$X$111,0)),"")</f>
        <v/>
      </c>
      <c r="AD109" s="20">
        <f>IFERROR(INDEX($H$12:$H$111,MATCH($E109&amp;"#6",$X$12:$X$111,0)),"")</f>
        <v/>
      </c>
      <c r="AE109" s="20">
        <f>IFERROR(INDEX($H$12:$H$111,MATCH($E109&amp;"#7",$X$12:$X$111,0)),"")</f>
        <v/>
      </c>
      <c r="AF109" s="20">
        <f>IFERROR(INDEX($H$12:$H$111,MATCH($E109&amp;"#8",$X$12:$X$111,0)),"")</f>
        <v/>
      </c>
      <c r="AG109" s="20">
        <f>IFERROR(INDEX($H$12:$H$111,MATCH($E109&amp;"#9",$X$12:$X$111,0)),"")</f>
        <v/>
      </c>
      <c r="AH109" s="20">
        <f>IFERROR(INDEX($H$12:$H$111,MATCH($E109&amp;"#10",$X$12:$X$111,0)),"")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</row>
    <row r="110">
      <c r="A110" s="224" t="n"/>
      <c r="B110" s="12" t="inlineStr">
        <is>
          <t>J09</t>
        </is>
      </c>
      <c r="C110" s="13" t="n"/>
      <c r="D110" s="14" t="n"/>
      <c r="E110" s="39" t="inlineStr">
        <is>
          <t>J</t>
        </is>
      </c>
      <c r="G110" s="40">
        <f>IF($C110="","",$E110&amp;(COUNTIFS(I$12:I$111,"&gt;"&amp;I110,E$12:E$111,"="&amp;E110,C$12:C$111,"&lt;&gt;")+COUNTIFS(I$12:I$111,"="&amp;I110,H$12:H$111,"&lt;="&amp;H110,E$12:E$111,"="&amp;E110,C$12:C$111,"&lt;&gt;")))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IF(COUNT(AK110:AT110)=0,"-",SUM(AK110:AT110)&amp;"-"&amp;SUM(AW110:BF110))</f>
        <v/>
      </c>
      <c r="V110" s="18">
        <f>IF(COUNT(AK110:AT110)=0,"-",IF(SUM(BU110:CD110)=0,0,ROUND(SUM(BI110:BR110)/SUM(BU110:CD110),3)))</f>
        <v/>
      </c>
      <c r="W110" s="18">
        <f>IF(COUNT(AK110:AT110)=0,"-",IF(P110=0,0,ROUND(O110/P110,3)))</f>
        <v/>
      </c>
      <c r="X110" s="19">
        <f>IF($C110="","",$E110&amp;"#"&amp;COUNTIFS($E$12:$E110,$E110,$C$12:$C110,"&lt;&gt;"))</f>
        <v/>
      </c>
      <c r="Y110" s="20">
        <f>IFERROR(INDEX($H$12:$H$111,MATCH($E110&amp;"#1",$X$12:$X$111,0)),"")</f>
        <v/>
      </c>
      <c r="Z110" s="20">
        <f>IFERROR(INDEX($H$12:$H$111,MATCH($E110&amp;"#2",$X$12:$X$111,0)),"")</f>
        <v/>
      </c>
      <c r="AA110" s="20">
        <f>IFERROR(INDEX($H$12:$H$111,MATCH($E110&amp;"#3",$X$12:$X$111,0)),"")</f>
        <v/>
      </c>
      <c r="AB110" s="20">
        <f>IFERROR(INDEX($H$12:$H$111,MATCH($E110&amp;"#4",$X$12:$X$111,0)),"")</f>
        <v/>
      </c>
      <c r="AC110" s="20">
        <f>IFERROR(INDEX($H$12:$H$111,MATCH($E110&amp;"#5",$X$12:$X$111,0)),"")</f>
        <v/>
      </c>
      <c r="AD110" s="20">
        <f>IFERROR(INDEX($H$12:$H$111,MATCH($E110&amp;"#6",$X$12:$X$111,0)),"")</f>
        <v/>
      </c>
      <c r="AE110" s="20">
        <f>IFERROR(INDEX($H$12:$H$111,MATCH($E110&amp;"#7",$X$12:$X$111,0)),"")</f>
        <v/>
      </c>
      <c r="AF110" s="20">
        <f>IFERROR(INDEX($H$12:$H$111,MATCH($E110&amp;"#8",$X$12:$X$111,0)),"")</f>
        <v/>
      </c>
      <c r="AG110" s="20">
        <f>IFERROR(INDEX($H$12:$H$111,MATCH($E110&amp;"#9",$X$12:$X$111,0)),"")</f>
        <v/>
      </c>
      <c r="AH110" s="20">
        <f>IFERROR(INDEX($H$12:$H$111,MATCH($E110&amp;"#10",$X$12:$X$111,0)),"")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</row>
    <row r="111">
      <c r="A111" s="141" t="n"/>
      <c r="B111" s="12" t="inlineStr">
        <is>
          <t>J10</t>
        </is>
      </c>
      <c r="C111" s="13" t="n"/>
      <c r="D111" s="14" t="n"/>
      <c r="E111" s="39" t="inlineStr">
        <is>
          <t>J</t>
        </is>
      </c>
      <c r="G111" s="40">
        <f>IF($C111="","",$E111&amp;(COUNTIFS(I$12:I$111,"&gt;"&amp;I111,E$12:E$111,"="&amp;E111,C$12:C$111,"&lt;&gt;")+COUNTIFS(I$12:I$111,"="&amp;I111,H$12:H$111,"&lt;="&amp;H111,E$12:E$111,"="&amp;E111,C$12:C$111,"&lt;&gt;")))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IF(COUNT(AK111:AT111)=0,"-",SUM(AK111:AT111)&amp;"-"&amp;SUM(AW111:BF111))</f>
        <v/>
      </c>
      <c r="V111" s="18">
        <f>IF(COUNT(AK111:AT111)=0,"-",IF(SUM(BU111:CD111)=0,0,ROUND(SUM(BI111:BR111)/SUM(BU111:CD111),3)))</f>
        <v/>
      </c>
      <c r="W111" s="18">
        <f>IF(COUNT(AK111:AT111)=0,"-",IF(P111=0,0,ROUND(O111/P111,3)))</f>
        <v/>
      </c>
      <c r="X111" s="19">
        <f>IF($C111="","",$E111&amp;"#"&amp;COUNTIFS($E$12:$E111,$E111,$C$12:$C111,"&lt;&gt;"))</f>
        <v/>
      </c>
      <c r="Y111" s="20">
        <f>IFERROR(INDEX($H$12:$H$111,MATCH($E111&amp;"#1",$X$12:$X$111,0)),"")</f>
        <v/>
      </c>
      <c r="Z111" s="20">
        <f>IFERROR(INDEX($H$12:$H$111,MATCH($E111&amp;"#2",$X$12:$X$111,0)),"")</f>
        <v/>
      </c>
      <c r="AA111" s="20">
        <f>IFERROR(INDEX($H$12:$H$111,MATCH($E111&amp;"#3",$X$12:$X$111,0)),"")</f>
        <v/>
      </c>
      <c r="AB111" s="20">
        <f>IFERROR(INDEX($H$12:$H$111,MATCH($E111&amp;"#4",$X$12:$X$111,0)),"")</f>
        <v/>
      </c>
      <c r="AC111" s="20">
        <f>IFERROR(INDEX($H$12:$H$111,MATCH($E111&amp;"#5",$X$12:$X$111,0)),"")</f>
        <v/>
      </c>
      <c r="AD111" s="20">
        <f>IFERROR(INDEX($H$12:$H$111,MATCH($E111&amp;"#6",$X$12:$X$111,0)),"")</f>
        <v/>
      </c>
      <c r="AE111" s="20">
        <f>IFERROR(INDEX($H$12:$H$111,MATCH($E111&amp;"#7",$X$12:$X$111,0)),"")</f>
        <v/>
      </c>
      <c r="AF111" s="20">
        <f>IFERROR(INDEX($H$12:$H$111,MATCH($E111&amp;"#8",$X$12:$X$111,0)),"")</f>
        <v/>
      </c>
      <c r="AG111" s="20">
        <f>IFERROR(INDEX($H$12:$H$111,MATCH($E111&amp;"#9",$X$12:$X$111,0)),"")</f>
        <v/>
      </c>
      <c r="AH111" s="20">
        <f>IFERROR(INDEX($H$12:$H$111,MATCH($E111&amp;"#10",$X$12:$X$111,0)),"")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</row>
    <row r="113">
      <c r="A113" s="41" t="inlineStr">
        <is>
          <t>CAMPI</t>
        </is>
      </c>
      <c r="B113" s="42" t="inlineStr">
        <is>
          <t>#</t>
        </is>
      </c>
      <c r="C113" s="42" t="inlineStr">
        <is>
          <t>Nome Campo</t>
        </is>
      </c>
      <c r="D113" s="42" t="inlineStr">
        <is>
          <t>Link Mappa Campo</t>
        </is>
      </c>
    </row>
    <row r="114">
      <c r="A114" s="224" t="n"/>
      <c r="B114" s="12" t="inlineStr">
        <is>
          <t>A01</t>
        </is>
      </c>
      <c r="C114" s="13" t="n"/>
      <c r="D114" s="44" t="n"/>
    </row>
    <row r="115">
      <c r="A115" s="224" t="n"/>
      <c r="B115" s="12" t="inlineStr">
        <is>
          <t>A02</t>
        </is>
      </c>
      <c r="C115" s="13" t="n"/>
      <c r="D115" s="44" t="n"/>
    </row>
    <row r="116">
      <c r="A116" s="224" t="n"/>
      <c r="B116" s="12" t="inlineStr">
        <is>
          <t>A03</t>
        </is>
      </c>
      <c r="C116" s="13" t="n"/>
      <c r="D116" s="44" t="n"/>
    </row>
    <row r="117">
      <c r="A117" s="224" t="n"/>
      <c r="B117" s="12" t="inlineStr">
        <is>
          <t>A04</t>
        </is>
      </c>
      <c r="C117" s="13" t="n"/>
      <c r="D117" s="44" t="n"/>
    </row>
    <row r="118">
      <c r="A118" s="224" t="n"/>
      <c r="B118" s="12" t="inlineStr">
        <is>
          <t>A05</t>
        </is>
      </c>
      <c r="C118" s="13" t="n"/>
      <c r="D118" s="44" t="n"/>
    </row>
    <row r="119">
      <c r="A119" s="224" t="n"/>
      <c r="B119" s="12" t="inlineStr">
        <is>
          <t>A06</t>
        </is>
      </c>
      <c r="C119" s="13" t="n"/>
      <c r="D119" s="44" t="n"/>
    </row>
    <row r="120">
      <c r="A120" s="224" t="n"/>
      <c r="B120" s="12" t="inlineStr">
        <is>
          <t>A07</t>
        </is>
      </c>
      <c r="C120" s="13" t="n"/>
      <c r="D120" s="44" t="n"/>
    </row>
    <row r="121">
      <c r="A121" s="224" t="n"/>
      <c r="B121" s="12" t="inlineStr">
        <is>
          <t>A08</t>
        </is>
      </c>
      <c r="C121" s="13" t="n"/>
      <c r="D121" s="44" t="n"/>
    </row>
    <row r="122">
      <c r="A122" s="224" t="n"/>
      <c r="B122" s="12" t="inlineStr">
        <is>
          <t>A09</t>
        </is>
      </c>
      <c r="C122" s="13" t="n"/>
      <c r="D122" s="44" t="n"/>
    </row>
    <row r="123">
      <c r="A123" s="224" t="n"/>
      <c r="B123" s="12" t="inlineStr">
        <is>
          <t>A10</t>
        </is>
      </c>
      <c r="C123" s="13" t="n"/>
      <c r="D123" s="44" t="n"/>
    </row>
    <row r="124">
      <c r="A124" s="224" t="n"/>
      <c r="B124" s="12" t="inlineStr">
        <is>
          <t>B01</t>
        </is>
      </c>
      <c r="C124" s="13" t="n"/>
      <c r="D124" s="44" t="n"/>
    </row>
    <row r="125">
      <c r="A125" s="224" t="n"/>
      <c r="B125" s="12" t="inlineStr">
        <is>
          <t>B02</t>
        </is>
      </c>
      <c r="C125" s="13" t="n"/>
      <c r="D125" s="44" t="n"/>
    </row>
    <row r="126">
      <c r="A126" s="224" t="n"/>
      <c r="B126" s="12" t="inlineStr">
        <is>
          <t>B03</t>
        </is>
      </c>
      <c r="C126" s="13" t="n"/>
      <c r="D126" s="44" t="n"/>
    </row>
    <row r="127">
      <c r="A127" s="224" t="n"/>
      <c r="B127" s="12" t="inlineStr">
        <is>
          <t>B04</t>
        </is>
      </c>
      <c r="C127" s="13" t="n"/>
      <c r="D127" s="44" t="n"/>
    </row>
    <row r="128">
      <c r="A128" s="224" t="n"/>
      <c r="B128" s="12" t="inlineStr">
        <is>
          <t>B05</t>
        </is>
      </c>
      <c r="C128" s="13" t="n"/>
      <c r="D128" s="44" t="n"/>
    </row>
    <row r="129">
      <c r="A129" s="224" t="n"/>
      <c r="B129" s="12" t="inlineStr">
        <is>
          <t>B06</t>
        </is>
      </c>
      <c r="C129" s="13" t="n"/>
      <c r="D129" s="44" t="n"/>
    </row>
    <row r="130">
      <c r="A130" s="224" t="n"/>
      <c r="B130" s="12" t="inlineStr">
        <is>
          <t>B07</t>
        </is>
      </c>
      <c r="C130" s="13" t="n"/>
      <c r="D130" s="44" t="n"/>
    </row>
    <row r="131">
      <c r="A131" s="224" t="n"/>
      <c r="B131" s="12" t="inlineStr">
        <is>
          <t>B08</t>
        </is>
      </c>
      <c r="C131" s="13" t="n"/>
      <c r="D131" s="44" t="n"/>
    </row>
    <row r="132">
      <c r="A132" s="224" t="n"/>
      <c r="B132" s="12" t="inlineStr">
        <is>
          <t>B09</t>
        </is>
      </c>
      <c r="C132" s="13" t="n"/>
      <c r="D132" s="44" t="n"/>
    </row>
    <row r="133">
      <c r="A133" s="224" t="n"/>
      <c r="B133" s="12" t="inlineStr">
        <is>
          <t>B10</t>
        </is>
      </c>
      <c r="C133" s="13" t="n"/>
      <c r="D133" s="44" t="n"/>
    </row>
    <row r="134">
      <c r="A134" s="224" t="n"/>
      <c r="B134" s="12" t="inlineStr">
        <is>
          <t>C01</t>
        </is>
      </c>
      <c r="C134" s="13" t="n"/>
      <c r="D134" s="44" t="n"/>
    </row>
    <row r="135">
      <c r="A135" s="224" t="n"/>
      <c r="B135" s="12" t="inlineStr">
        <is>
          <t>C02</t>
        </is>
      </c>
      <c r="C135" s="13" t="n"/>
      <c r="D135" s="44" t="n"/>
    </row>
    <row r="136">
      <c r="A136" s="224" t="n"/>
      <c r="B136" s="12" t="inlineStr">
        <is>
          <t>C03</t>
        </is>
      </c>
      <c r="C136" s="13" t="n"/>
      <c r="D136" s="44" t="n"/>
    </row>
    <row r="137">
      <c r="A137" s="224" t="n"/>
      <c r="B137" s="12" t="inlineStr">
        <is>
          <t>C04</t>
        </is>
      </c>
      <c r="C137" s="13" t="n"/>
      <c r="D137" s="44" t="n"/>
    </row>
    <row r="138">
      <c r="A138" s="224" t="n"/>
      <c r="B138" s="12" t="inlineStr">
        <is>
          <t>C05</t>
        </is>
      </c>
      <c r="C138" s="13" t="n"/>
      <c r="D138" s="44" t="n"/>
    </row>
    <row r="139">
      <c r="A139" s="224" t="n"/>
      <c r="B139" s="12" t="inlineStr">
        <is>
          <t>C06</t>
        </is>
      </c>
      <c r="C139" s="13" t="n"/>
      <c r="D139" s="44" t="n"/>
    </row>
    <row r="140">
      <c r="A140" s="224" t="n"/>
      <c r="B140" s="12" t="inlineStr">
        <is>
          <t>C07</t>
        </is>
      </c>
      <c r="C140" s="13" t="n"/>
      <c r="D140" s="44" t="n"/>
    </row>
    <row r="141">
      <c r="A141" s="224" t="n"/>
      <c r="B141" s="12" t="inlineStr">
        <is>
          <t>C08</t>
        </is>
      </c>
      <c r="C141" s="13" t="n"/>
      <c r="D141" s="44" t="n"/>
    </row>
    <row r="142">
      <c r="A142" s="224" t="n"/>
      <c r="B142" s="12" t="inlineStr">
        <is>
          <t>C09</t>
        </is>
      </c>
      <c r="C142" s="13" t="n"/>
      <c r="D142" s="44" t="n"/>
    </row>
    <row r="143">
      <c r="A143" s="224" t="n"/>
      <c r="B143" s="12" t="inlineStr">
        <is>
          <t>C10</t>
        </is>
      </c>
      <c r="C143" s="13" t="n"/>
      <c r="D143" s="44" t="n"/>
    </row>
    <row r="144">
      <c r="A144" s="224" t="n"/>
      <c r="B144" s="12" t="inlineStr">
        <is>
          <t>D01</t>
        </is>
      </c>
      <c r="C144" s="13" t="n"/>
      <c r="D144" s="44" t="n"/>
    </row>
    <row r="145">
      <c r="A145" s="224" t="n"/>
      <c r="B145" s="12" t="inlineStr">
        <is>
          <t>D02</t>
        </is>
      </c>
      <c r="C145" s="13" t="n"/>
      <c r="D145" s="44" t="n"/>
    </row>
    <row r="146">
      <c r="A146" s="224" t="n"/>
      <c r="B146" s="12" t="inlineStr">
        <is>
          <t>D03</t>
        </is>
      </c>
      <c r="C146" s="13" t="n"/>
      <c r="D146" s="44" t="n"/>
    </row>
    <row r="147">
      <c r="A147" s="224" t="n"/>
      <c r="B147" s="12" t="inlineStr">
        <is>
          <t>D04</t>
        </is>
      </c>
      <c r="C147" s="13" t="n"/>
      <c r="D147" s="44" t="n"/>
    </row>
    <row r="148">
      <c r="A148" s="224" t="n"/>
      <c r="B148" s="12" t="inlineStr">
        <is>
          <t>D05</t>
        </is>
      </c>
      <c r="C148" s="13" t="n"/>
      <c r="D148" s="44" t="n"/>
    </row>
    <row r="149">
      <c r="A149" s="224" t="n"/>
      <c r="B149" s="12" t="inlineStr">
        <is>
          <t>D06</t>
        </is>
      </c>
      <c r="C149" s="13" t="n"/>
      <c r="D149" s="44" t="n"/>
    </row>
    <row r="150">
      <c r="A150" s="224" t="n"/>
      <c r="B150" s="12" t="inlineStr">
        <is>
          <t>D07</t>
        </is>
      </c>
      <c r="C150" s="13" t="n"/>
      <c r="D150" s="44" t="n"/>
    </row>
    <row r="151">
      <c r="A151" s="224" t="n"/>
      <c r="B151" s="12" t="inlineStr">
        <is>
          <t>D08</t>
        </is>
      </c>
      <c r="C151" s="13" t="n"/>
      <c r="D151" s="44" t="n"/>
    </row>
    <row r="152">
      <c r="A152" s="224" t="n"/>
      <c r="B152" s="12" t="inlineStr">
        <is>
          <t>D09</t>
        </is>
      </c>
      <c r="C152" s="13" t="n"/>
      <c r="D152" s="44" t="n"/>
    </row>
    <row r="153">
      <c r="A153" s="224" t="n"/>
      <c r="B153" s="12" t="inlineStr">
        <is>
          <t>D10</t>
        </is>
      </c>
      <c r="C153" s="13" t="n"/>
      <c r="D153" s="44" t="n"/>
    </row>
    <row r="154">
      <c r="A154" s="224" t="n"/>
      <c r="B154" s="12" t="inlineStr">
        <is>
          <t>E01</t>
        </is>
      </c>
      <c r="C154" s="13" t="n"/>
      <c r="D154" s="44" t="n"/>
    </row>
    <row r="155">
      <c r="A155" s="224" t="n"/>
      <c r="B155" s="12" t="inlineStr">
        <is>
          <t>E02</t>
        </is>
      </c>
      <c r="C155" s="13" t="n"/>
      <c r="D155" s="44" t="n"/>
    </row>
    <row r="156">
      <c r="A156" s="224" t="n"/>
      <c r="B156" s="12" t="inlineStr">
        <is>
          <t>E03</t>
        </is>
      </c>
      <c r="C156" s="13" t="n"/>
      <c r="D156" s="44" t="n"/>
    </row>
    <row r="157">
      <c r="A157" s="224" t="n"/>
      <c r="B157" s="12" t="inlineStr">
        <is>
          <t>E04</t>
        </is>
      </c>
      <c r="C157" s="13" t="n"/>
      <c r="D157" s="44" t="n"/>
    </row>
    <row r="158">
      <c r="A158" s="224" t="n"/>
      <c r="B158" s="12" t="inlineStr">
        <is>
          <t>E05</t>
        </is>
      </c>
      <c r="C158" s="13" t="n"/>
      <c r="D158" s="44" t="n"/>
    </row>
    <row r="159">
      <c r="A159" s="224" t="n"/>
      <c r="B159" s="12" t="inlineStr">
        <is>
          <t>E06</t>
        </is>
      </c>
      <c r="C159" s="13" t="n"/>
      <c r="D159" s="44" t="n"/>
    </row>
    <row r="160">
      <c r="A160" s="224" t="n"/>
      <c r="B160" s="12" t="inlineStr">
        <is>
          <t>E07</t>
        </is>
      </c>
      <c r="C160" s="13" t="n"/>
      <c r="D160" s="44" t="n"/>
    </row>
    <row r="161">
      <c r="A161" s="224" t="n"/>
      <c r="B161" s="12" t="inlineStr">
        <is>
          <t>E08</t>
        </is>
      </c>
      <c r="C161" s="13" t="n"/>
      <c r="D161" s="44" t="n"/>
    </row>
    <row r="162">
      <c r="A162" s="224" t="n"/>
      <c r="B162" s="12" t="inlineStr">
        <is>
          <t>E09</t>
        </is>
      </c>
      <c r="C162" s="13" t="n"/>
      <c r="D162" s="44" t="n"/>
    </row>
    <row r="163">
      <c r="A163" s="224" t="n"/>
      <c r="B163" s="12" t="inlineStr">
        <is>
          <t>E10</t>
        </is>
      </c>
      <c r="C163" s="13" t="n"/>
      <c r="D163" s="44" t="n"/>
    </row>
    <row r="164">
      <c r="A164" s="224" t="n"/>
      <c r="B164" s="12" t="inlineStr">
        <is>
          <t>F01</t>
        </is>
      </c>
      <c r="C164" s="13" t="n"/>
      <c r="D164" s="44" t="n"/>
    </row>
    <row r="165">
      <c r="A165" s="224" t="n"/>
      <c r="B165" s="12" t="inlineStr">
        <is>
          <t>F02</t>
        </is>
      </c>
      <c r="C165" s="13" t="n"/>
      <c r="D165" s="44" t="n"/>
    </row>
    <row r="166">
      <c r="A166" s="224" t="n"/>
      <c r="B166" s="12" t="inlineStr">
        <is>
          <t>F03</t>
        </is>
      </c>
      <c r="C166" s="13" t="n"/>
      <c r="D166" s="44" t="n"/>
    </row>
    <row r="167">
      <c r="A167" s="224" t="n"/>
      <c r="B167" s="12" t="inlineStr">
        <is>
          <t>F04</t>
        </is>
      </c>
      <c r="C167" s="13" t="n"/>
      <c r="D167" s="44" t="n"/>
    </row>
    <row r="168">
      <c r="A168" s="224" t="n"/>
      <c r="B168" s="12" t="inlineStr">
        <is>
          <t>F05</t>
        </is>
      </c>
      <c r="C168" s="13" t="n"/>
      <c r="D168" s="44" t="n"/>
    </row>
    <row r="169">
      <c r="A169" s="224" t="n"/>
      <c r="B169" s="12" t="inlineStr">
        <is>
          <t>F06</t>
        </is>
      </c>
      <c r="C169" s="13" t="n"/>
      <c r="D169" s="44" t="n"/>
    </row>
    <row r="170">
      <c r="A170" s="224" t="n"/>
      <c r="B170" s="12" t="inlineStr">
        <is>
          <t>F07</t>
        </is>
      </c>
      <c r="C170" s="13" t="n"/>
      <c r="D170" s="44" t="n"/>
    </row>
    <row r="171">
      <c r="A171" s="224" t="n"/>
      <c r="B171" s="12" t="inlineStr">
        <is>
          <t>F08</t>
        </is>
      </c>
      <c r="C171" s="13" t="n"/>
      <c r="D171" s="44" t="n"/>
    </row>
    <row r="172">
      <c r="A172" s="224" t="n"/>
      <c r="B172" s="12" t="inlineStr">
        <is>
          <t>F09</t>
        </is>
      </c>
      <c r="C172" s="13" t="n"/>
      <c r="D172" s="44" t="n"/>
    </row>
    <row r="173">
      <c r="A173" s="224" t="n"/>
      <c r="B173" s="12" t="inlineStr">
        <is>
          <t>F10</t>
        </is>
      </c>
      <c r="C173" s="13" t="n"/>
      <c r="D173" s="44" t="n"/>
    </row>
    <row r="174">
      <c r="A174" s="224" t="n"/>
      <c r="B174" s="12" t="inlineStr">
        <is>
          <t>G01</t>
        </is>
      </c>
      <c r="C174" s="13" t="n"/>
      <c r="D174" s="44" t="n"/>
    </row>
    <row r="175">
      <c r="A175" s="224" t="n"/>
      <c r="B175" s="12" t="inlineStr">
        <is>
          <t>G02</t>
        </is>
      </c>
      <c r="C175" s="13" t="n"/>
      <c r="D175" s="44" t="n"/>
    </row>
    <row r="176">
      <c r="A176" s="224" t="n"/>
      <c r="B176" s="12" t="inlineStr">
        <is>
          <t>G03</t>
        </is>
      </c>
      <c r="C176" s="13" t="n"/>
      <c r="D176" s="44" t="n"/>
    </row>
    <row r="177">
      <c r="A177" s="224" t="n"/>
      <c r="B177" s="12" t="inlineStr">
        <is>
          <t>G04</t>
        </is>
      </c>
      <c r="C177" s="13" t="n"/>
      <c r="D177" s="44" t="n"/>
    </row>
    <row r="178">
      <c r="A178" s="224" t="n"/>
      <c r="B178" s="12" t="inlineStr">
        <is>
          <t>G05</t>
        </is>
      </c>
      <c r="C178" s="13" t="n"/>
      <c r="D178" s="44" t="n"/>
    </row>
    <row r="179">
      <c r="A179" s="224" t="n"/>
      <c r="B179" s="12" t="inlineStr">
        <is>
          <t>G06</t>
        </is>
      </c>
      <c r="C179" s="13" t="n"/>
      <c r="D179" s="44" t="n"/>
    </row>
    <row r="180">
      <c r="A180" s="224" t="n"/>
      <c r="B180" s="12" t="inlineStr">
        <is>
          <t>G07</t>
        </is>
      </c>
      <c r="C180" s="13" t="n"/>
      <c r="D180" s="44" t="n"/>
    </row>
    <row r="181">
      <c r="A181" s="224" t="n"/>
      <c r="B181" s="12" t="inlineStr">
        <is>
          <t>G08</t>
        </is>
      </c>
      <c r="C181" s="13" t="n"/>
      <c r="D181" s="44" t="n"/>
    </row>
    <row r="182">
      <c r="A182" s="224" t="n"/>
      <c r="B182" s="12" t="inlineStr">
        <is>
          <t>G09</t>
        </is>
      </c>
      <c r="C182" s="13" t="n"/>
      <c r="D182" s="44" t="n"/>
    </row>
    <row r="183">
      <c r="A183" s="224" t="n"/>
      <c r="B183" s="12" t="inlineStr">
        <is>
          <t>G10</t>
        </is>
      </c>
      <c r="C183" s="13" t="n"/>
      <c r="D183" s="44" t="n"/>
    </row>
    <row r="184">
      <c r="A184" s="224" t="n"/>
      <c r="B184" s="12" t="inlineStr">
        <is>
          <t>H01</t>
        </is>
      </c>
      <c r="C184" s="13" t="n"/>
      <c r="D184" s="44" t="n"/>
    </row>
    <row r="185">
      <c r="A185" s="224" t="n"/>
      <c r="B185" s="12" t="inlineStr">
        <is>
          <t>H02</t>
        </is>
      </c>
      <c r="C185" s="13" t="n"/>
      <c r="D185" s="44" t="n"/>
    </row>
    <row r="186">
      <c r="A186" s="224" t="n"/>
      <c r="B186" s="12" t="inlineStr">
        <is>
          <t>H03</t>
        </is>
      </c>
      <c r="C186" s="13" t="n"/>
      <c r="D186" s="44" t="n"/>
    </row>
    <row r="187">
      <c r="A187" s="224" t="n"/>
      <c r="B187" s="12" t="inlineStr">
        <is>
          <t>H04</t>
        </is>
      </c>
      <c r="C187" s="13" t="n"/>
      <c r="D187" s="44" t="n"/>
    </row>
    <row r="188">
      <c r="A188" s="224" t="n"/>
      <c r="B188" s="12" t="inlineStr">
        <is>
          <t>H05</t>
        </is>
      </c>
      <c r="C188" s="13" t="n"/>
      <c r="D188" s="44" t="n"/>
    </row>
    <row r="189">
      <c r="A189" s="224" t="n"/>
      <c r="B189" s="12" t="inlineStr">
        <is>
          <t>H06</t>
        </is>
      </c>
      <c r="C189" s="13" t="n"/>
      <c r="D189" s="44" t="n"/>
    </row>
    <row r="190">
      <c r="A190" s="224" t="n"/>
      <c r="B190" s="12" t="inlineStr">
        <is>
          <t>H07</t>
        </is>
      </c>
      <c r="C190" s="13" t="n"/>
      <c r="D190" s="44" t="n"/>
    </row>
    <row r="191">
      <c r="A191" s="224" t="n"/>
      <c r="B191" s="12" t="inlineStr">
        <is>
          <t>H08</t>
        </is>
      </c>
      <c r="C191" s="13" t="n"/>
      <c r="D191" s="44" t="n"/>
    </row>
    <row r="192">
      <c r="A192" s="224" t="n"/>
      <c r="B192" s="12" t="inlineStr">
        <is>
          <t>H09</t>
        </is>
      </c>
      <c r="C192" s="13" t="n"/>
      <c r="D192" s="44" t="n"/>
    </row>
    <row r="193">
      <c r="A193" s="224" t="n"/>
      <c r="B193" s="12" t="inlineStr">
        <is>
          <t>H10</t>
        </is>
      </c>
      <c r="C193" s="13" t="n"/>
      <c r="D193" s="44" t="n"/>
    </row>
    <row r="194">
      <c r="A194" s="224" t="n"/>
      <c r="B194" s="12" t="inlineStr">
        <is>
          <t>I01</t>
        </is>
      </c>
      <c r="C194" s="13" t="n"/>
      <c r="D194" s="44" t="n"/>
    </row>
    <row r="195">
      <c r="A195" s="224" t="n"/>
      <c r="B195" s="12" t="inlineStr">
        <is>
          <t>I02</t>
        </is>
      </c>
      <c r="C195" s="13" t="n"/>
      <c r="D195" s="44" t="n"/>
    </row>
    <row r="196">
      <c r="A196" s="224" t="n"/>
      <c r="B196" s="12" t="inlineStr">
        <is>
          <t>I03</t>
        </is>
      </c>
      <c r="C196" s="13" t="n"/>
      <c r="D196" s="44" t="n"/>
    </row>
    <row r="197">
      <c r="A197" s="224" t="n"/>
      <c r="B197" s="12" t="inlineStr">
        <is>
          <t>I04</t>
        </is>
      </c>
      <c r="C197" s="13" t="n"/>
      <c r="D197" s="44" t="n"/>
    </row>
    <row r="198">
      <c r="A198" s="224" t="n"/>
      <c r="B198" s="12" t="inlineStr">
        <is>
          <t>I05</t>
        </is>
      </c>
      <c r="C198" s="13" t="n"/>
      <c r="D198" s="44" t="n"/>
    </row>
    <row r="199">
      <c r="A199" s="224" t="n"/>
      <c r="B199" s="12" t="inlineStr">
        <is>
          <t>I06</t>
        </is>
      </c>
      <c r="C199" s="13" t="n"/>
      <c r="D199" s="44" t="n"/>
    </row>
    <row r="200">
      <c r="A200" s="224" t="n"/>
      <c r="B200" s="12" t="inlineStr">
        <is>
          <t>I07</t>
        </is>
      </c>
      <c r="C200" s="13" t="n"/>
      <c r="D200" s="44" t="n"/>
    </row>
    <row r="201">
      <c r="A201" s="224" t="n"/>
      <c r="B201" s="12" t="inlineStr">
        <is>
          <t>I08</t>
        </is>
      </c>
      <c r="C201" s="13" t="n"/>
      <c r="D201" s="44" t="n"/>
    </row>
    <row r="202">
      <c r="A202" s="224" t="n"/>
      <c r="B202" s="12" t="inlineStr">
        <is>
          <t>I09</t>
        </is>
      </c>
      <c r="C202" s="13" t="n"/>
      <c r="D202" s="44" t="n"/>
    </row>
    <row r="203">
      <c r="A203" s="224" t="n"/>
      <c r="B203" s="12" t="inlineStr">
        <is>
          <t>I10</t>
        </is>
      </c>
      <c r="C203" s="13" t="n"/>
      <c r="D203" s="44" t="n"/>
    </row>
    <row r="204">
      <c r="A204" s="224" t="n"/>
      <c r="B204" s="12" t="inlineStr">
        <is>
          <t>J01</t>
        </is>
      </c>
      <c r="C204" s="13" t="n"/>
      <c r="D204" s="44" t="n"/>
    </row>
    <row r="205">
      <c r="A205" s="224" t="n"/>
      <c r="B205" s="12" t="inlineStr">
        <is>
          <t>J02</t>
        </is>
      </c>
      <c r="C205" s="13" t="n"/>
      <c r="D205" s="44" t="n"/>
    </row>
    <row r="206">
      <c r="A206" s="224" t="n"/>
      <c r="B206" s="12" t="inlineStr">
        <is>
          <t>J03</t>
        </is>
      </c>
      <c r="C206" s="13" t="n"/>
      <c r="D206" s="44" t="n"/>
    </row>
    <row r="207">
      <c r="A207" s="224" t="n"/>
      <c r="B207" s="12" t="inlineStr">
        <is>
          <t>J04</t>
        </is>
      </c>
      <c r="C207" s="13" t="n"/>
      <c r="D207" s="44" t="n"/>
    </row>
    <row r="208">
      <c r="A208" s="224" t="n"/>
      <c r="B208" s="12" t="inlineStr">
        <is>
          <t>J05</t>
        </is>
      </c>
      <c r="C208" s="13" t="n"/>
      <c r="D208" s="44" t="n"/>
    </row>
    <row r="209">
      <c r="A209" s="224" t="n"/>
      <c r="B209" s="12" t="inlineStr">
        <is>
          <t>J06</t>
        </is>
      </c>
      <c r="C209" s="13" t="n"/>
      <c r="D209" s="44" t="n"/>
    </row>
    <row r="210">
      <c r="A210" s="224" t="n"/>
      <c r="B210" s="12" t="inlineStr">
        <is>
          <t>J07</t>
        </is>
      </c>
      <c r="C210" s="13" t="n"/>
      <c r="D210" s="44" t="n"/>
    </row>
    <row r="211">
      <c r="A211" s="224" t="n"/>
      <c r="B211" s="12" t="inlineStr">
        <is>
          <t>J08</t>
        </is>
      </c>
      <c r="C211" s="13" t="n"/>
      <c r="D211" s="44" t="n"/>
    </row>
    <row r="212">
      <c r="A212" s="224" t="n"/>
      <c r="B212" s="12" t="inlineStr">
        <is>
          <t>J09</t>
        </is>
      </c>
      <c r="C212" s="13" t="n"/>
      <c r="D212" s="44" t="n"/>
    </row>
    <row r="213">
      <c r="A213" s="224" t="n"/>
      <c r="B213" s="12" t="inlineStr">
        <is>
          <t>J10</t>
        </is>
      </c>
      <c r="C213" s="13" t="n"/>
      <c r="D213" s="44" t="n"/>
    </row>
    <row r="214">
      <c r="A214" s="224" t="n"/>
      <c r="B214" s="45" t="inlineStr">
        <is>
          <t>PO1</t>
        </is>
      </c>
      <c r="C214" s="46" t="n"/>
      <c r="D214" s="47" t="n"/>
    </row>
    <row r="215">
      <c r="A215" s="224" t="n"/>
      <c r="B215" s="45" t="inlineStr">
        <is>
          <t>PO2</t>
        </is>
      </c>
      <c r="C215" s="46" t="n"/>
      <c r="D215" s="47" t="n"/>
    </row>
    <row r="216">
      <c r="A216" s="224" t="n"/>
      <c r="B216" s="45" t="inlineStr">
        <is>
          <t>PO3</t>
        </is>
      </c>
      <c r="C216" s="46" t="n"/>
      <c r="D216" s="47" t="n"/>
    </row>
    <row r="217">
      <c r="A217" s="224" t="n"/>
      <c r="B217" s="45" t="inlineStr">
        <is>
          <t>PO4</t>
        </is>
      </c>
      <c r="C217" s="46" t="n"/>
      <c r="D217" s="47" t="n"/>
    </row>
    <row r="218">
      <c r="A218" s="224" t="n"/>
      <c r="B218" s="45" t="inlineStr">
        <is>
          <t>PO5</t>
        </is>
      </c>
      <c r="C218" s="46" t="n"/>
      <c r="D218" s="47" t="n"/>
    </row>
    <row r="219">
      <c r="A219" s="224" t="n"/>
      <c r="B219" s="45" t="inlineStr">
        <is>
          <t>PO6</t>
        </is>
      </c>
      <c r="C219" s="46" t="n"/>
      <c r="D219" s="47" t="n"/>
    </row>
    <row r="220">
      <c r="A220" s="224" t="n"/>
      <c r="B220" s="45" t="inlineStr">
        <is>
          <t>PO7</t>
        </is>
      </c>
      <c r="C220" s="46" t="n"/>
      <c r="D220" s="47" t="n"/>
    </row>
    <row r="221">
      <c r="A221" s="224" t="n"/>
      <c r="B221" s="45" t="inlineStr">
        <is>
          <t>PO8</t>
        </is>
      </c>
      <c r="C221" s="46" t="n"/>
      <c r="D221" s="47" t="n"/>
    </row>
    <row r="222">
      <c r="A222" s="141" t="n"/>
      <c r="B222" s="48" t="inlineStr">
        <is>
          <t>TBD</t>
        </is>
      </c>
      <c r="C222" s="49" t="inlineStr">
        <is>
          <t>DA DEFINIRE</t>
        </is>
      </c>
      <c r="D222" s="50" t="inlineStr"/>
    </row>
    <row r="224">
      <c r="C224" s="51" t="inlineStr">
        <is>
          <t>Sfondo azzurro: campi neutri (codici PO1-PO8), non appartenenti ad alcuna squadra, usati per la fase a eliminazione diretta.</t>
        </is>
      </c>
    </row>
    <row r="225">
      <c r="C225" s="51" t="inlineStr">
        <is>
          <t>Sfondo verde: campo ancora da definire (codice TBD).</t>
        </is>
      </c>
    </row>
  </sheetData>
  <mergeCells count="17">
    <mergeCell ref="AK1:AT1"/>
    <mergeCell ref="B6:C6"/>
    <mergeCell ref="A113:A222"/>
    <mergeCell ref="B2:C2"/>
    <mergeCell ref="Y1:AH1"/>
    <mergeCell ref="B7:C7"/>
    <mergeCell ref="AW1:BF1"/>
    <mergeCell ref="B3:C3"/>
    <mergeCell ref="B5:C5"/>
    <mergeCell ref="BU1:CD1"/>
    <mergeCell ref="A1:A9"/>
    <mergeCell ref="B9:C9"/>
    <mergeCell ref="A11:A111"/>
    <mergeCell ref="B8:C8"/>
    <mergeCell ref="B4:C4"/>
    <mergeCell ref="BI1:BR1"/>
    <mergeCell ref="B1:C1"/>
  </mergeCell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53">
        <f>"GIRONE A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6" t="n"/>
      <c r="D9" s="58" t="inlineStr">
        <is>
          <t>Squadra B</t>
        </is>
      </c>
      <c r="E9" s="6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6" t="n"/>
      <c r="J9" s="58" t="inlineStr">
        <is>
          <t>Risultato</t>
        </is>
      </c>
      <c r="K9" s="5" t="n"/>
      <c r="L9" s="6" t="n"/>
    </row>
    <row r="10" ht="24" customHeight="1">
      <c r="A10" s="60" t="n">
        <v>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6" t="n"/>
      <c r="D12" s="58" t="inlineStr">
        <is>
          <t>Squadra B</t>
        </is>
      </c>
      <c r="E12" s="6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6" t="n"/>
      <c r="J12" s="58" t="inlineStr">
        <is>
          <t>Risultato</t>
        </is>
      </c>
      <c r="K12" s="5" t="n"/>
      <c r="L12" s="6" t="n"/>
    </row>
    <row r="13" ht="24" customHeight="1">
      <c r="A13" s="60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6" t="n"/>
      <c r="D15" s="58" t="inlineStr">
        <is>
          <t>Squadra B</t>
        </is>
      </c>
      <c r="E15" s="6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6" t="n"/>
      <c r="J15" s="58" t="inlineStr">
        <is>
          <t>Risultato</t>
        </is>
      </c>
      <c r="K15" s="5" t="n"/>
      <c r="L15" s="6" t="n"/>
    </row>
    <row r="16" ht="24" customHeight="1">
      <c r="A16" s="60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6" t="n"/>
      <c r="D18" s="58" t="inlineStr">
        <is>
          <t>Squadra B</t>
        </is>
      </c>
      <c r="E18" s="6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6" t="n"/>
      <c r="J18" s="58" t="inlineStr">
        <is>
          <t>Risultato</t>
        </is>
      </c>
      <c r="K18" s="5" t="n"/>
      <c r="L18" s="6" t="n"/>
    </row>
    <row r="19" ht="24" customHeight="1">
      <c r="A19" s="60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6" t="n"/>
      <c r="D21" s="58" t="inlineStr">
        <is>
          <t>Squadra B</t>
        </is>
      </c>
      <c r="E21" s="6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6" t="n"/>
      <c r="J21" s="58" t="inlineStr">
        <is>
          <t>Risultato</t>
        </is>
      </c>
      <c r="K21" s="5" t="n"/>
      <c r="L21" s="6" t="n"/>
    </row>
    <row r="22" ht="24" customHeight="1">
      <c r="A22" s="60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6" t="n"/>
      <c r="D26" s="58" t="inlineStr">
        <is>
          <t>Squadra B</t>
        </is>
      </c>
      <c r="E26" s="6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6" t="n"/>
      <c r="J26" s="58" t="inlineStr">
        <is>
          <t>Risultato</t>
        </is>
      </c>
      <c r="K26" s="5" t="n"/>
      <c r="L26" s="6" t="n"/>
    </row>
    <row r="27" ht="24" customHeight="1">
      <c r="A27" s="60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6" t="n"/>
      <c r="D29" s="58" t="inlineStr">
        <is>
          <t>Squadra B</t>
        </is>
      </c>
      <c r="E29" s="6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6" t="n"/>
      <c r="J29" s="58" t="inlineStr">
        <is>
          <t>Risultato</t>
        </is>
      </c>
      <c r="K29" s="5" t="n"/>
      <c r="L29" s="6" t="n"/>
    </row>
    <row r="30" ht="24" customHeight="1">
      <c r="A30" s="60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6" t="n"/>
      <c r="D32" s="58" t="inlineStr">
        <is>
          <t>Squadra B</t>
        </is>
      </c>
      <c r="E32" s="6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6" t="n"/>
      <c r="J32" s="58" t="inlineStr">
        <is>
          <t>Risultato</t>
        </is>
      </c>
      <c r="K32" s="5" t="n"/>
      <c r="L32" s="6" t="n"/>
    </row>
    <row r="33" ht="24" customHeight="1">
      <c r="A33" s="60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6" t="n"/>
      <c r="D35" s="58" t="inlineStr">
        <is>
          <t>Squadra B</t>
        </is>
      </c>
      <c r="E35" s="6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6" t="n"/>
      <c r="J35" s="58" t="inlineStr">
        <is>
          <t>Risultato</t>
        </is>
      </c>
      <c r="K35" s="5" t="n"/>
      <c r="L35" s="6" t="n"/>
    </row>
    <row r="36" ht="24" customHeight="1">
      <c r="A36" s="60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6" t="n"/>
      <c r="D38" s="58" t="inlineStr">
        <is>
          <t>Squadra B</t>
        </is>
      </c>
      <c r="E38" s="6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6" t="n"/>
      <c r="J38" s="58" t="inlineStr">
        <is>
          <t>Risultato</t>
        </is>
      </c>
      <c r="K38" s="5" t="n"/>
      <c r="L38" s="6" t="n"/>
    </row>
    <row r="39" ht="24" customHeight="1">
      <c r="A39" s="60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6" t="n"/>
      <c r="D43" s="58" t="inlineStr">
        <is>
          <t>Squadra B</t>
        </is>
      </c>
      <c r="E43" s="6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6" t="n"/>
      <c r="J43" s="58" t="inlineStr">
        <is>
          <t>Risultato</t>
        </is>
      </c>
      <c r="K43" s="5" t="n"/>
      <c r="L43" s="6" t="n"/>
    </row>
    <row r="44" ht="24" customHeight="1">
      <c r="A44" s="60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6" t="n"/>
      <c r="D46" s="58" t="inlineStr">
        <is>
          <t>Squadra B</t>
        </is>
      </c>
      <c r="E46" s="6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6" t="n"/>
      <c r="J46" s="58" t="inlineStr">
        <is>
          <t>Risultato</t>
        </is>
      </c>
      <c r="K46" s="5" t="n"/>
      <c r="L46" s="6" t="n"/>
    </row>
    <row r="47" ht="24" customHeight="1">
      <c r="A47" s="60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6" t="n"/>
      <c r="D49" s="58" t="inlineStr">
        <is>
          <t>Squadra B</t>
        </is>
      </c>
      <c r="E49" s="6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6" t="n"/>
      <c r="J49" s="58" t="inlineStr">
        <is>
          <t>Risultato</t>
        </is>
      </c>
      <c r="K49" s="5" t="n"/>
      <c r="L49" s="6" t="n"/>
    </row>
    <row r="50" ht="24" customHeight="1">
      <c r="A50" s="60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6" t="n"/>
      <c r="D52" s="58" t="inlineStr">
        <is>
          <t>Squadra B</t>
        </is>
      </c>
      <c r="E52" s="6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6" t="n"/>
      <c r="J52" s="58" t="inlineStr">
        <is>
          <t>Risultato</t>
        </is>
      </c>
      <c r="K52" s="5" t="n"/>
      <c r="L52" s="6" t="n"/>
    </row>
    <row r="53" ht="24" customHeight="1">
      <c r="A53" s="60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6" t="n"/>
      <c r="D55" s="58" t="inlineStr">
        <is>
          <t>Squadra B</t>
        </is>
      </c>
      <c r="E55" s="6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6" t="n"/>
      <c r="J55" s="58" t="inlineStr">
        <is>
          <t>Risultato</t>
        </is>
      </c>
      <c r="K55" s="5" t="n"/>
      <c r="L55" s="6" t="n"/>
    </row>
    <row r="56" ht="24" customHeight="1">
      <c r="A56" s="60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6" t="n"/>
      <c r="D60" s="58" t="inlineStr">
        <is>
          <t>Squadra B</t>
        </is>
      </c>
      <c r="E60" s="6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6" t="n"/>
      <c r="J60" s="58" t="inlineStr">
        <is>
          <t>Risultato</t>
        </is>
      </c>
      <c r="K60" s="5" t="n"/>
      <c r="L60" s="6" t="n"/>
    </row>
    <row r="61" ht="24" customHeight="1">
      <c r="A61" s="60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6" t="n"/>
      <c r="D63" s="58" t="inlineStr">
        <is>
          <t>Squadra B</t>
        </is>
      </c>
      <c r="E63" s="6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6" t="n"/>
      <c r="J63" s="58" t="inlineStr">
        <is>
          <t>Risultato</t>
        </is>
      </c>
      <c r="K63" s="5" t="n"/>
      <c r="L63" s="6" t="n"/>
    </row>
    <row r="64" ht="24" customHeight="1">
      <c r="A64" s="60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6" t="n"/>
      <c r="D66" s="58" t="inlineStr">
        <is>
          <t>Squadra B</t>
        </is>
      </c>
      <c r="E66" s="6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6" t="n"/>
      <c r="J66" s="58" t="inlineStr">
        <is>
          <t>Risultato</t>
        </is>
      </c>
      <c r="K66" s="5" t="n"/>
      <c r="L66" s="6" t="n"/>
    </row>
    <row r="67" ht="24" customHeight="1">
      <c r="A67" s="60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6" t="n"/>
      <c r="D69" s="58" t="inlineStr">
        <is>
          <t>Squadra B</t>
        </is>
      </c>
      <c r="E69" s="6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6" t="n"/>
      <c r="J69" s="58" t="inlineStr">
        <is>
          <t>Risultato</t>
        </is>
      </c>
      <c r="K69" s="5" t="n"/>
      <c r="L69" s="6" t="n"/>
    </row>
    <row r="70" ht="24" customHeight="1">
      <c r="A70" s="60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6" t="n"/>
      <c r="D72" s="58" t="inlineStr">
        <is>
          <t>Squadra B</t>
        </is>
      </c>
      <c r="E72" s="6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6" t="n"/>
      <c r="J72" s="58" t="inlineStr">
        <is>
          <t>Risultato</t>
        </is>
      </c>
      <c r="K72" s="5" t="n"/>
      <c r="L72" s="6" t="n"/>
    </row>
    <row r="73" ht="24" customHeight="1">
      <c r="A73" s="60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6" t="n"/>
      <c r="D77" s="58" t="inlineStr">
        <is>
          <t>Squadra B</t>
        </is>
      </c>
      <c r="E77" s="6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6" t="n"/>
      <c r="J77" s="58" t="inlineStr">
        <is>
          <t>Risultato</t>
        </is>
      </c>
      <c r="K77" s="5" t="n"/>
      <c r="L77" s="6" t="n"/>
    </row>
    <row r="78" ht="24" customHeight="1">
      <c r="A78" s="60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6" t="n"/>
      <c r="D80" s="58" t="inlineStr">
        <is>
          <t>Squadra B</t>
        </is>
      </c>
      <c r="E80" s="6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6" t="n"/>
      <c r="J80" s="58" t="inlineStr">
        <is>
          <t>Risultato</t>
        </is>
      </c>
      <c r="K80" s="5" t="n"/>
      <c r="L80" s="6" t="n"/>
    </row>
    <row r="81" ht="24" customHeight="1">
      <c r="A81" s="60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6" t="n"/>
      <c r="D83" s="58" t="inlineStr">
        <is>
          <t>Squadra B</t>
        </is>
      </c>
      <c r="E83" s="6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6" t="n"/>
      <c r="J83" s="58" t="inlineStr">
        <is>
          <t>Risultato</t>
        </is>
      </c>
      <c r="K83" s="5" t="n"/>
      <c r="L83" s="6" t="n"/>
    </row>
    <row r="84" ht="24" customHeight="1">
      <c r="A84" s="60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6" t="n"/>
      <c r="D86" s="58" t="inlineStr">
        <is>
          <t>Squadra B</t>
        </is>
      </c>
      <c r="E86" s="6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6" t="n"/>
      <c r="J86" s="58" t="inlineStr">
        <is>
          <t>Risultato</t>
        </is>
      </c>
      <c r="K86" s="5" t="n"/>
      <c r="L86" s="6" t="n"/>
    </row>
    <row r="87" ht="24" customHeight="1">
      <c r="A87" s="60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6" t="n"/>
      <c r="D89" s="58" t="inlineStr">
        <is>
          <t>Squadra B</t>
        </is>
      </c>
      <c r="E89" s="6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6" t="n"/>
      <c r="J89" s="58" t="inlineStr">
        <is>
          <t>Risultato</t>
        </is>
      </c>
      <c r="K89" s="5" t="n"/>
      <c r="L89" s="6" t="n"/>
    </row>
    <row r="90" ht="24" customHeight="1">
      <c r="A90" s="60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6" t="n"/>
      <c r="D94" s="58" t="inlineStr">
        <is>
          <t>Squadra B</t>
        </is>
      </c>
      <c r="E94" s="6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6" t="n"/>
      <c r="J94" s="58" t="inlineStr">
        <is>
          <t>Risultato</t>
        </is>
      </c>
      <c r="K94" s="5" t="n"/>
      <c r="L94" s="6" t="n"/>
    </row>
    <row r="95" ht="24" customHeight="1">
      <c r="A95" s="60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6" t="n"/>
      <c r="D97" s="58" t="inlineStr">
        <is>
          <t>Squadra B</t>
        </is>
      </c>
      <c r="E97" s="6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6" t="n"/>
      <c r="J97" s="58" t="inlineStr">
        <is>
          <t>Risultato</t>
        </is>
      </c>
      <c r="K97" s="5" t="n"/>
      <c r="L97" s="6" t="n"/>
    </row>
    <row r="98" ht="24" customHeight="1">
      <c r="A98" s="60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6" t="n"/>
      <c r="D100" s="58" t="inlineStr">
        <is>
          <t>Squadra B</t>
        </is>
      </c>
      <c r="E100" s="6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6" t="n"/>
      <c r="J100" s="58" t="inlineStr">
        <is>
          <t>Risultato</t>
        </is>
      </c>
      <c r="K100" s="5" t="n"/>
      <c r="L100" s="6" t="n"/>
    </row>
    <row r="101" ht="24" customHeight="1">
      <c r="A101" s="60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6" t="n"/>
      <c r="D103" s="58" t="inlineStr">
        <is>
          <t>Squadra B</t>
        </is>
      </c>
      <c r="E103" s="6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6" t="n"/>
      <c r="J103" s="58" t="inlineStr">
        <is>
          <t>Risultato</t>
        </is>
      </c>
      <c r="K103" s="5" t="n"/>
      <c r="L103" s="6" t="n"/>
    </row>
    <row r="104" ht="24" customHeight="1">
      <c r="A104" s="60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6" t="n"/>
      <c r="D106" s="58" t="inlineStr">
        <is>
          <t>Squadra B</t>
        </is>
      </c>
      <c r="E106" s="6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6" t="n"/>
      <c r="J106" s="58" t="inlineStr">
        <is>
          <t>Risultato</t>
        </is>
      </c>
      <c r="K106" s="5" t="n"/>
      <c r="L106" s="6" t="n"/>
    </row>
    <row r="107" ht="24" customHeight="1">
      <c r="A107" s="60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6" t="n"/>
      <c r="D111" s="58" t="inlineStr">
        <is>
          <t>Squadra B</t>
        </is>
      </c>
      <c r="E111" s="6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6" t="n"/>
      <c r="J111" s="58" t="inlineStr">
        <is>
          <t>Risultato</t>
        </is>
      </c>
      <c r="K111" s="5" t="n"/>
      <c r="L111" s="6" t="n"/>
    </row>
    <row r="112" ht="24" customHeight="1">
      <c r="A112" s="60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6" t="n"/>
      <c r="D114" s="58" t="inlineStr">
        <is>
          <t>Squadra B</t>
        </is>
      </c>
      <c r="E114" s="6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6" t="n"/>
      <c r="J114" s="58" t="inlineStr">
        <is>
          <t>Risultato</t>
        </is>
      </c>
      <c r="K114" s="5" t="n"/>
      <c r="L114" s="6" t="n"/>
    </row>
    <row r="115" ht="24" customHeight="1">
      <c r="A115" s="60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6" t="n"/>
      <c r="D117" s="58" t="inlineStr">
        <is>
          <t>Squadra B</t>
        </is>
      </c>
      <c r="E117" s="6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6" t="n"/>
      <c r="J117" s="58" t="inlineStr">
        <is>
          <t>Risultato</t>
        </is>
      </c>
      <c r="K117" s="5" t="n"/>
      <c r="L117" s="6" t="n"/>
    </row>
    <row r="118" ht="24" customHeight="1">
      <c r="A118" s="60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6" t="n"/>
      <c r="D120" s="58" t="inlineStr">
        <is>
          <t>Squadra B</t>
        </is>
      </c>
      <c r="E120" s="6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6" t="n"/>
      <c r="J120" s="58" t="inlineStr">
        <is>
          <t>Risultato</t>
        </is>
      </c>
      <c r="K120" s="5" t="n"/>
      <c r="L120" s="6" t="n"/>
    </row>
    <row r="121" ht="24" customHeight="1">
      <c r="A121" s="60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6" t="n"/>
      <c r="D123" s="58" t="inlineStr">
        <is>
          <t>Squadra B</t>
        </is>
      </c>
      <c r="E123" s="6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6" t="n"/>
      <c r="J123" s="58" t="inlineStr">
        <is>
          <t>Risultato</t>
        </is>
      </c>
      <c r="K123" s="5" t="n"/>
      <c r="L123" s="6" t="n"/>
    </row>
    <row r="124" ht="24" customHeight="1">
      <c r="A124" s="60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6" t="n"/>
      <c r="D128" s="58" t="inlineStr">
        <is>
          <t>Squadra B</t>
        </is>
      </c>
      <c r="E128" s="6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6" t="n"/>
      <c r="J128" s="58" t="inlineStr">
        <is>
          <t>Risultato</t>
        </is>
      </c>
      <c r="K128" s="5" t="n"/>
      <c r="L128" s="6" t="n"/>
    </row>
    <row r="129" ht="24" customHeight="1">
      <c r="A129" s="60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6" t="n"/>
      <c r="D131" s="58" t="inlineStr">
        <is>
          <t>Squadra B</t>
        </is>
      </c>
      <c r="E131" s="6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6" t="n"/>
      <c r="J131" s="58" t="inlineStr">
        <is>
          <t>Risultato</t>
        </is>
      </c>
      <c r="K131" s="5" t="n"/>
      <c r="L131" s="6" t="n"/>
    </row>
    <row r="132" ht="24" customHeight="1">
      <c r="A132" s="60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6" t="n"/>
      <c r="D134" s="58" t="inlineStr">
        <is>
          <t>Squadra B</t>
        </is>
      </c>
      <c r="E134" s="6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6" t="n"/>
      <c r="J134" s="58" t="inlineStr">
        <is>
          <t>Risultato</t>
        </is>
      </c>
      <c r="K134" s="5" t="n"/>
      <c r="L134" s="6" t="n"/>
    </row>
    <row r="135" ht="24" customHeight="1">
      <c r="A135" s="60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6" t="n"/>
      <c r="D137" s="58" t="inlineStr">
        <is>
          <t>Squadra B</t>
        </is>
      </c>
      <c r="E137" s="6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6" t="n"/>
      <c r="J137" s="58" t="inlineStr">
        <is>
          <t>Risultato</t>
        </is>
      </c>
      <c r="K137" s="5" t="n"/>
      <c r="L137" s="6" t="n"/>
    </row>
    <row r="138" ht="24" customHeight="1">
      <c r="A138" s="60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6" t="n"/>
      <c r="D140" s="58" t="inlineStr">
        <is>
          <t>Squadra B</t>
        </is>
      </c>
      <c r="E140" s="6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6" t="n"/>
      <c r="J140" s="58" t="inlineStr">
        <is>
          <t>Risultato</t>
        </is>
      </c>
      <c r="K140" s="5" t="n"/>
      <c r="L140" s="6" t="n"/>
    </row>
    <row r="141" ht="24" customHeight="1">
      <c r="A141" s="60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6" t="n"/>
      <c r="D145" s="58" t="inlineStr">
        <is>
          <t>Squadra B</t>
        </is>
      </c>
      <c r="E145" s="6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6" t="n"/>
      <c r="J145" s="58" t="inlineStr">
        <is>
          <t>Risultato</t>
        </is>
      </c>
      <c r="K145" s="5" t="n"/>
      <c r="L145" s="6" t="n"/>
    </row>
    <row r="146" ht="24" customHeight="1">
      <c r="A146" s="60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6" t="n"/>
      <c r="D148" s="58" t="inlineStr">
        <is>
          <t>Squadra B</t>
        </is>
      </c>
      <c r="E148" s="6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6" t="n"/>
      <c r="J148" s="58" t="inlineStr">
        <is>
          <t>Risultato</t>
        </is>
      </c>
      <c r="K148" s="5" t="n"/>
      <c r="L148" s="6" t="n"/>
    </row>
    <row r="149" ht="24" customHeight="1">
      <c r="A149" s="60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6" t="n"/>
      <c r="D151" s="58" t="inlineStr">
        <is>
          <t>Squadra B</t>
        </is>
      </c>
      <c r="E151" s="6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6" t="n"/>
      <c r="J151" s="58" t="inlineStr">
        <is>
          <t>Risultato</t>
        </is>
      </c>
      <c r="K151" s="5" t="n"/>
      <c r="L151" s="6" t="n"/>
    </row>
    <row r="152" ht="24" customHeight="1">
      <c r="A152" s="60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6" t="n"/>
      <c r="D154" s="58" t="inlineStr">
        <is>
          <t>Squadra B</t>
        </is>
      </c>
      <c r="E154" s="6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6" t="n"/>
      <c r="J154" s="58" t="inlineStr">
        <is>
          <t>Risultato</t>
        </is>
      </c>
      <c r="K154" s="5" t="n"/>
      <c r="L154" s="6" t="n"/>
    </row>
    <row r="155" ht="24" customHeight="1">
      <c r="A155" s="60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6" t="n"/>
      <c r="D157" s="58" t="inlineStr">
        <is>
          <t>Squadra B</t>
        </is>
      </c>
      <c r="E157" s="6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6" t="n"/>
      <c r="J157" s="58" t="inlineStr">
        <is>
          <t>Risultato</t>
        </is>
      </c>
      <c r="K157" s="5" t="n"/>
      <c r="L157" s="6" t="n"/>
    </row>
    <row r="158" ht="24" customHeight="1">
      <c r="A158" s="60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0">
        <f>"GIRONE B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6" t="n"/>
      <c r="D9" s="74" t="inlineStr">
        <is>
          <t>Squadra B</t>
        </is>
      </c>
      <c r="E9" s="6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6" t="n"/>
      <c r="J9" s="74" t="inlineStr">
        <is>
          <t>Risultato</t>
        </is>
      </c>
      <c r="K9" s="5" t="n"/>
      <c r="L9" s="6" t="n"/>
    </row>
    <row r="10" ht="24" customHeight="1">
      <c r="A10" s="76" t="n">
        <v>46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6" t="n"/>
      <c r="D12" s="74" t="inlineStr">
        <is>
          <t>Squadra B</t>
        </is>
      </c>
      <c r="E12" s="6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6" t="n"/>
      <c r="J12" s="74" t="inlineStr">
        <is>
          <t>Risultato</t>
        </is>
      </c>
      <c r="K12" s="5" t="n"/>
      <c r="L12" s="6" t="n"/>
    </row>
    <row r="13" ht="24" customHeight="1">
      <c r="A13" s="76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6" t="n"/>
      <c r="D15" s="74" t="inlineStr">
        <is>
          <t>Squadra B</t>
        </is>
      </c>
      <c r="E15" s="6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6" t="n"/>
      <c r="J15" s="74" t="inlineStr">
        <is>
          <t>Risultato</t>
        </is>
      </c>
      <c r="K15" s="5" t="n"/>
      <c r="L15" s="6" t="n"/>
    </row>
    <row r="16" ht="24" customHeight="1">
      <c r="A16" s="76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6" t="n"/>
      <c r="D18" s="74" t="inlineStr">
        <is>
          <t>Squadra B</t>
        </is>
      </c>
      <c r="E18" s="6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6" t="n"/>
      <c r="J18" s="74" t="inlineStr">
        <is>
          <t>Risultato</t>
        </is>
      </c>
      <c r="K18" s="5" t="n"/>
      <c r="L18" s="6" t="n"/>
    </row>
    <row r="19" ht="24" customHeight="1">
      <c r="A19" s="76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6" t="n"/>
      <c r="D21" s="74" t="inlineStr">
        <is>
          <t>Squadra B</t>
        </is>
      </c>
      <c r="E21" s="6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6" t="n"/>
      <c r="J21" s="74" t="inlineStr">
        <is>
          <t>Risultato</t>
        </is>
      </c>
      <c r="K21" s="5" t="n"/>
      <c r="L21" s="6" t="n"/>
    </row>
    <row r="22" ht="24" customHeight="1">
      <c r="A22" s="76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6" t="n"/>
      <c r="D26" s="74" t="inlineStr">
        <is>
          <t>Squadra B</t>
        </is>
      </c>
      <c r="E26" s="6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6" t="n"/>
      <c r="J26" s="74" t="inlineStr">
        <is>
          <t>Risultato</t>
        </is>
      </c>
      <c r="K26" s="5" t="n"/>
      <c r="L26" s="6" t="n"/>
    </row>
    <row r="27" ht="24" customHeight="1">
      <c r="A27" s="76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6" t="n"/>
      <c r="D29" s="74" t="inlineStr">
        <is>
          <t>Squadra B</t>
        </is>
      </c>
      <c r="E29" s="6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6" t="n"/>
      <c r="J29" s="74" t="inlineStr">
        <is>
          <t>Risultato</t>
        </is>
      </c>
      <c r="K29" s="5" t="n"/>
      <c r="L29" s="6" t="n"/>
    </row>
    <row r="30" ht="24" customHeight="1">
      <c r="A30" s="76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6" t="n"/>
      <c r="D32" s="74" t="inlineStr">
        <is>
          <t>Squadra B</t>
        </is>
      </c>
      <c r="E32" s="6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6" t="n"/>
      <c r="J32" s="74" t="inlineStr">
        <is>
          <t>Risultato</t>
        </is>
      </c>
      <c r="K32" s="5" t="n"/>
      <c r="L32" s="6" t="n"/>
    </row>
    <row r="33" ht="24" customHeight="1">
      <c r="A33" s="76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6" t="n"/>
      <c r="D35" s="74" t="inlineStr">
        <is>
          <t>Squadra B</t>
        </is>
      </c>
      <c r="E35" s="6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6" t="n"/>
      <c r="J35" s="74" t="inlineStr">
        <is>
          <t>Risultato</t>
        </is>
      </c>
      <c r="K35" s="5" t="n"/>
      <c r="L35" s="6" t="n"/>
    </row>
    <row r="36" ht="24" customHeight="1">
      <c r="A36" s="76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6" t="n"/>
      <c r="D38" s="74" t="inlineStr">
        <is>
          <t>Squadra B</t>
        </is>
      </c>
      <c r="E38" s="6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6" t="n"/>
      <c r="J38" s="74" t="inlineStr">
        <is>
          <t>Risultato</t>
        </is>
      </c>
      <c r="K38" s="5" t="n"/>
      <c r="L38" s="6" t="n"/>
    </row>
    <row r="39" ht="24" customHeight="1">
      <c r="A39" s="76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6" t="n"/>
      <c r="D43" s="74" t="inlineStr">
        <is>
          <t>Squadra B</t>
        </is>
      </c>
      <c r="E43" s="6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6" t="n"/>
      <c r="J43" s="74" t="inlineStr">
        <is>
          <t>Risultato</t>
        </is>
      </c>
      <c r="K43" s="5" t="n"/>
      <c r="L43" s="6" t="n"/>
    </row>
    <row r="44" ht="24" customHeight="1">
      <c r="A44" s="76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6" t="n"/>
      <c r="D46" s="74" t="inlineStr">
        <is>
          <t>Squadra B</t>
        </is>
      </c>
      <c r="E46" s="6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6" t="n"/>
      <c r="J46" s="74" t="inlineStr">
        <is>
          <t>Risultato</t>
        </is>
      </c>
      <c r="K46" s="5" t="n"/>
      <c r="L46" s="6" t="n"/>
    </row>
    <row r="47" ht="24" customHeight="1">
      <c r="A47" s="76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6" t="n"/>
      <c r="D49" s="74" t="inlineStr">
        <is>
          <t>Squadra B</t>
        </is>
      </c>
      <c r="E49" s="6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6" t="n"/>
      <c r="J49" s="74" t="inlineStr">
        <is>
          <t>Risultato</t>
        </is>
      </c>
      <c r="K49" s="5" t="n"/>
      <c r="L49" s="6" t="n"/>
    </row>
    <row r="50" ht="24" customHeight="1">
      <c r="A50" s="76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6" t="n"/>
      <c r="D52" s="74" t="inlineStr">
        <is>
          <t>Squadra B</t>
        </is>
      </c>
      <c r="E52" s="6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6" t="n"/>
      <c r="J52" s="74" t="inlineStr">
        <is>
          <t>Risultato</t>
        </is>
      </c>
      <c r="K52" s="5" t="n"/>
      <c r="L52" s="6" t="n"/>
    </row>
    <row r="53" ht="24" customHeight="1">
      <c r="A53" s="76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6" t="n"/>
      <c r="D55" s="74" t="inlineStr">
        <is>
          <t>Squadra B</t>
        </is>
      </c>
      <c r="E55" s="6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6" t="n"/>
      <c r="J55" s="74" t="inlineStr">
        <is>
          <t>Risultato</t>
        </is>
      </c>
      <c r="K55" s="5" t="n"/>
      <c r="L55" s="6" t="n"/>
    </row>
    <row r="56" ht="24" customHeight="1">
      <c r="A56" s="76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6" t="n"/>
      <c r="D60" s="74" t="inlineStr">
        <is>
          <t>Squadra B</t>
        </is>
      </c>
      <c r="E60" s="6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6" t="n"/>
      <c r="J60" s="74" t="inlineStr">
        <is>
          <t>Risultato</t>
        </is>
      </c>
      <c r="K60" s="5" t="n"/>
      <c r="L60" s="6" t="n"/>
    </row>
    <row r="61" ht="24" customHeight="1">
      <c r="A61" s="76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6" t="n"/>
      <c r="D63" s="74" t="inlineStr">
        <is>
          <t>Squadra B</t>
        </is>
      </c>
      <c r="E63" s="6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6" t="n"/>
      <c r="J63" s="74" t="inlineStr">
        <is>
          <t>Risultato</t>
        </is>
      </c>
      <c r="K63" s="5" t="n"/>
      <c r="L63" s="6" t="n"/>
    </row>
    <row r="64" ht="24" customHeight="1">
      <c r="A64" s="76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6" t="n"/>
      <c r="D66" s="74" t="inlineStr">
        <is>
          <t>Squadra B</t>
        </is>
      </c>
      <c r="E66" s="6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6" t="n"/>
      <c r="J66" s="74" t="inlineStr">
        <is>
          <t>Risultato</t>
        </is>
      </c>
      <c r="K66" s="5" t="n"/>
      <c r="L66" s="6" t="n"/>
    </row>
    <row r="67" ht="24" customHeight="1">
      <c r="A67" s="76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6" t="n"/>
      <c r="D69" s="74" t="inlineStr">
        <is>
          <t>Squadra B</t>
        </is>
      </c>
      <c r="E69" s="6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6" t="n"/>
      <c r="J69" s="74" t="inlineStr">
        <is>
          <t>Risultato</t>
        </is>
      </c>
      <c r="K69" s="5" t="n"/>
      <c r="L69" s="6" t="n"/>
    </row>
    <row r="70" ht="24" customHeight="1">
      <c r="A70" s="76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6" t="n"/>
      <c r="D72" s="74" t="inlineStr">
        <is>
          <t>Squadra B</t>
        </is>
      </c>
      <c r="E72" s="6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6" t="n"/>
      <c r="J72" s="74" t="inlineStr">
        <is>
          <t>Risultato</t>
        </is>
      </c>
      <c r="K72" s="5" t="n"/>
      <c r="L72" s="6" t="n"/>
    </row>
    <row r="73" ht="24" customHeight="1">
      <c r="A73" s="76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6" t="n"/>
      <c r="D77" s="74" t="inlineStr">
        <is>
          <t>Squadra B</t>
        </is>
      </c>
      <c r="E77" s="6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6" t="n"/>
      <c r="J77" s="74" t="inlineStr">
        <is>
          <t>Risultato</t>
        </is>
      </c>
      <c r="K77" s="5" t="n"/>
      <c r="L77" s="6" t="n"/>
    </row>
    <row r="78" ht="24" customHeight="1">
      <c r="A78" s="76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6" t="n"/>
      <c r="D80" s="74" t="inlineStr">
        <is>
          <t>Squadra B</t>
        </is>
      </c>
      <c r="E80" s="6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6" t="n"/>
      <c r="J80" s="74" t="inlineStr">
        <is>
          <t>Risultato</t>
        </is>
      </c>
      <c r="K80" s="5" t="n"/>
      <c r="L80" s="6" t="n"/>
    </row>
    <row r="81" ht="24" customHeight="1">
      <c r="A81" s="76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6" t="n"/>
      <c r="D83" s="74" t="inlineStr">
        <is>
          <t>Squadra B</t>
        </is>
      </c>
      <c r="E83" s="6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6" t="n"/>
      <c r="J83" s="74" t="inlineStr">
        <is>
          <t>Risultato</t>
        </is>
      </c>
      <c r="K83" s="5" t="n"/>
      <c r="L83" s="6" t="n"/>
    </row>
    <row r="84" ht="24" customHeight="1">
      <c r="A84" s="76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6" t="n"/>
      <c r="D86" s="74" t="inlineStr">
        <is>
          <t>Squadra B</t>
        </is>
      </c>
      <c r="E86" s="6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6" t="n"/>
      <c r="J86" s="74" t="inlineStr">
        <is>
          <t>Risultato</t>
        </is>
      </c>
      <c r="K86" s="5" t="n"/>
      <c r="L86" s="6" t="n"/>
    </row>
    <row r="87" ht="24" customHeight="1">
      <c r="A87" s="76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6" t="n"/>
      <c r="D89" s="74" t="inlineStr">
        <is>
          <t>Squadra B</t>
        </is>
      </c>
      <c r="E89" s="6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6" t="n"/>
      <c r="J89" s="74" t="inlineStr">
        <is>
          <t>Risultato</t>
        </is>
      </c>
      <c r="K89" s="5" t="n"/>
      <c r="L89" s="6" t="n"/>
    </row>
    <row r="90" ht="24" customHeight="1">
      <c r="A90" s="76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6" t="n"/>
      <c r="D94" s="74" t="inlineStr">
        <is>
          <t>Squadra B</t>
        </is>
      </c>
      <c r="E94" s="6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6" t="n"/>
      <c r="J94" s="74" t="inlineStr">
        <is>
          <t>Risultato</t>
        </is>
      </c>
      <c r="K94" s="5" t="n"/>
      <c r="L94" s="6" t="n"/>
    </row>
    <row r="95" ht="24" customHeight="1">
      <c r="A95" s="76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6" t="n"/>
      <c r="D97" s="74" t="inlineStr">
        <is>
          <t>Squadra B</t>
        </is>
      </c>
      <c r="E97" s="6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6" t="n"/>
      <c r="J97" s="74" t="inlineStr">
        <is>
          <t>Risultato</t>
        </is>
      </c>
      <c r="K97" s="5" t="n"/>
      <c r="L97" s="6" t="n"/>
    </row>
    <row r="98" ht="24" customHeight="1">
      <c r="A98" s="76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6" t="n"/>
      <c r="D100" s="74" t="inlineStr">
        <is>
          <t>Squadra B</t>
        </is>
      </c>
      <c r="E100" s="6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6" t="n"/>
      <c r="J100" s="74" t="inlineStr">
        <is>
          <t>Risultato</t>
        </is>
      </c>
      <c r="K100" s="5" t="n"/>
      <c r="L100" s="6" t="n"/>
    </row>
    <row r="101" ht="24" customHeight="1">
      <c r="A101" s="76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6" t="n"/>
      <c r="D103" s="74" t="inlineStr">
        <is>
          <t>Squadra B</t>
        </is>
      </c>
      <c r="E103" s="6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6" t="n"/>
      <c r="J103" s="74" t="inlineStr">
        <is>
          <t>Risultato</t>
        </is>
      </c>
      <c r="K103" s="5" t="n"/>
      <c r="L103" s="6" t="n"/>
    </row>
    <row r="104" ht="24" customHeight="1">
      <c r="A104" s="76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6" t="n"/>
      <c r="D106" s="74" t="inlineStr">
        <is>
          <t>Squadra B</t>
        </is>
      </c>
      <c r="E106" s="6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6" t="n"/>
      <c r="J106" s="74" t="inlineStr">
        <is>
          <t>Risultato</t>
        </is>
      </c>
      <c r="K106" s="5" t="n"/>
      <c r="L106" s="6" t="n"/>
    </row>
    <row r="107" ht="24" customHeight="1">
      <c r="A107" s="76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6" t="n"/>
      <c r="D111" s="74" t="inlineStr">
        <is>
          <t>Squadra B</t>
        </is>
      </c>
      <c r="E111" s="6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6" t="n"/>
      <c r="J111" s="74" t="inlineStr">
        <is>
          <t>Risultato</t>
        </is>
      </c>
      <c r="K111" s="5" t="n"/>
      <c r="L111" s="6" t="n"/>
    </row>
    <row r="112" ht="24" customHeight="1">
      <c r="A112" s="76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6" t="n"/>
      <c r="D114" s="74" t="inlineStr">
        <is>
          <t>Squadra B</t>
        </is>
      </c>
      <c r="E114" s="6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6" t="n"/>
      <c r="J114" s="74" t="inlineStr">
        <is>
          <t>Risultato</t>
        </is>
      </c>
      <c r="K114" s="5" t="n"/>
      <c r="L114" s="6" t="n"/>
    </row>
    <row r="115" ht="24" customHeight="1">
      <c r="A115" s="76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6" t="n"/>
      <c r="D117" s="74" t="inlineStr">
        <is>
          <t>Squadra B</t>
        </is>
      </c>
      <c r="E117" s="6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6" t="n"/>
      <c r="J117" s="74" t="inlineStr">
        <is>
          <t>Risultato</t>
        </is>
      </c>
      <c r="K117" s="5" t="n"/>
      <c r="L117" s="6" t="n"/>
    </row>
    <row r="118" ht="24" customHeight="1">
      <c r="A118" s="76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6" t="n"/>
      <c r="D120" s="74" t="inlineStr">
        <is>
          <t>Squadra B</t>
        </is>
      </c>
      <c r="E120" s="6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6" t="n"/>
      <c r="J120" s="74" t="inlineStr">
        <is>
          <t>Risultato</t>
        </is>
      </c>
      <c r="K120" s="5" t="n"/>
      <c r="L120" s="6" t="n"/>
    </row>
    <row r="121" ht="24" customHeight="1">
      <c r="A121" s="76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6" t="n"/>
      <c r="D123" s="74" t="inlineStr">
        <is>
          <t>Squadra B</t>
        </is>
      </c>
      <c r="E123" s="6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6" t="n"/>
      <c r="J123" s="74" t="inlineStr">
        <is>
          <t>Risultato</t>
        </is>
      </c>
      <c r="K123" s="5" t="n"/>
      <c r="L123" s="6" t="n"/>
    </row>
    <row r="124" ht="24" customHeight="1">
      <c r="A124" s="76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6" t="n"/>
      <c r="D128" s="74" t="inlineStr">
        <is>
          <t>Squadra B</t>
        </is>
      </c>
      <c r="E128" s="6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6" t="n"/>
      <c r="J128" s="74" t="inlineStr">
        <is>
          <t>Risultato</t>
        </is>
      </c>
      <c r="K128" s="5" t="n"/>
      <c r="L128" s="6" t="n"/>
    </row>
    <row r="129" ht="24" customHeight="1">
      <c r="A129" s="76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6" t="n"/>
      <c r="D131" s="74" t="inlineStr">
        <is>
          <t>Squadra B</t>
        </is>
      </c>
      <c r="E131" s="6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6" t="n"/>
      <c r="J131" s="74" t="inlineStr">
        <is>
          <t>Risultato</t>
        </is>
      </c>
      <c r="K131" s="5" t="n"/>
      <c r="L131" s="6" t="n"/>
    </row>
    <row r="132" ht="24" customHeight="1">
      <c r="A132" s="76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6" t="n"/>
      <c r="D134" s="74" t="inlineStr">
        <is>
          <t>Squadra B</t>
        </is>
      </c>
      <c r="E134" s="6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6" t="n"/>
      <c r="J134" s="74" t="inlineStr">
        <is>
          <t>Risultato</t>
        </is>
      </c>
      <c r="K134" s="5" t="n"/>
      <c r="L134" s="6" t="n"/>
    </row>
    <row r="135" ht="24" customHeight="1">
      <c r="A135" s="76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6" t="n"/>
      <c r="D137" s="74" t="inlineStr">
        <is>
          <t>Squadra B</t>
        </is>
      </c>
      <c r="E137" s="6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6" t="n"/>
      <c r="J137" s="74" t="inlineStr">
        <is>
          <t>Risultato</t>
        </is>
      </c>
      <c r="K137" s="5" t="n"/>
      <c r="L137" s="6" t="n"/>
    </row>
    <row r="138" ht="24" customHeight="1">
      <c r="A138" s="76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6" t="n"/>
      <c r="D140" s="74" t="inlineStr">
        <is>
          <t>Squadra B</t>
        </is>
      </c>
      <c r="E140" s="6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6" t="n"/>
      <c r="J140" s="74" t="inlineStr">
        <is>
          <t>Risultato</t>
        </is>
      </c>
      <c r="K140" s="5" t="n"/>
      <c r="L140" s="6" t="n"/>
    </row>
    <row r="141" ht="24" customHeight="1">
      <c r="A141" s="76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6" t="n"/>
      <c r="D145" s="74" t="inlineStr">
        <is>
          <t>Squadra B</t>
        </is>
      </c>
      <c r="E145" s="6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6" t="n"/>
      <c r="J145" s="74" t="inlineStr">
        <is>
          <t>Risultato</t>
        </is>
      </c>
      <c r="K145" s="5" t="n"/>
      <c r="L145" s="6" t="n"/>
    </row>
    <row r="146" ht="24" customHeight="1">
      <c r="A146" s="76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6" t="n"/>
      <c r="D148" s="74" t="inlineStr">
        <is>
          <t>Squadra B</t>
        </is>
      </c>
      <c r="E148" s="6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6" t="n"/>
      <c r="J148" s="74" t="inlineStr">
        <is>
          <t>Risultato</t>
        </is>
      </c>
      <c r="K148" s="5" t="n"/>
      <c r="L148" s="6" t="n"/>
    </row>
    <row r="149" ht="24" customHeight="1">
      <c r="A149" s="76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6" t="n"/>
      <c r="D151" s="74" t="inlineStr">
        <is>
          <t>Squadra B</t>
        </is>
      </c>
      <c r="E151" s="6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6" t="n"/>
      <c r="J151" s="74" t="inlineStr">
        <is>
          <t>Risultato</t>
        </is>
      </c>
      <c r="K151" s="5" t="n"/>
      <c r="L151" s="6" t="n"/>
    </row>
    <row r="152" ht="24" customHeight="1">
      <c r="A152" s="76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6" t="n"/>
      <c r="D154" s="74" t="inlineStr">
        <is>
          <t>Squadra B</t>
        </is>
      </c>
      <c r="E154" s="6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6" t="n"/>
      <c r="J154" s="74" t="inlineStr">
        <is>
          <t>Risultato</t>
        </is>
      </c>
      <c r="K154" s="5" t="n"/>
      <c r="L154" s="6" t="n"/>
    </row>
    <row r="155" ht="24" customHeight="1">
      <c r="A155" s="76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6" t="n"/>
      <c r="D157" s="74" t="inlineStr">
        <is>
          <t>Squadra B</t>
        </is>
      </c>
      <c r="E157" s="6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6" t="n"/>
      <c r="J157" s="74" t="inlineStr">
        <is>
          <t>Risultato</t>
        </is>
      </c>
      <c r="K157" s="5" t="n"/>
      <c r="L157" s="6" t="n"/>
    </row>
    <row r="158" ht="24" customHeight="1">
      <c r="A158" s="76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7">
        <f>"GIRONE C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6" t="n"/>
      <c r="D9" s="81" t="inlineStr">
        <is>
          <t>Squadra B</t>
        </is>
      </c>
      <c r="E9" s="6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6" t="n"/>
      <c r="J9" s="81" t="inlineStr">
        <is>
          <t>Risultato</t>
        </is>
      </c>
      <c r="K9" s="5" t="n"/>
      <c r="L9" s="6" t="n"/>
    </row>
    <row r="10" ht="24" customHeight="1">
      <c r="A10" s="83" t="n">
        <v>91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6" t="n"/>
      <c r="D12" s="81" t="inlineStr">
        <is>
          <t>Squadra B</t>
        </is>
      </c>
      <c r="E12" s="6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6" t="n"/>
      <c r="J12" s="81" t="inlineStr">
        <is>
          <t>Risultato</t>
        </is>
      </c>
      <c r="K12" s="5" t="n"/>
      <c r="L12" s="6" t="n"/>
    </row>
    <row r="13" ht="24" customHeight="1">
      <c r="A13" s="83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6" t="n"/>
      <c r="D15" s="81" t="inlineStr">
        <is>
          <t>Squadra B</t>
        </is>
      </c>
      <c r="E15" s="6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6" t="n"/>
      <c r="J15" s="81" t="inlineStr">
        <is>
          <t>Risultato</t>
        </is>
      </c>
      <c r="K15" s="5" t="n"/>
      <c r="L15" s="6" t="n"/>
    </row>
    <row r="16" ht="24" customHeight="1">
      <c r="A16" s="83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6" t="n"/>
      <c r="D18" s="81" t="inlineStr">
        <is>
          <t>Squadra B</t>
        </is>
      </c>
      <c r="E18" s="6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6" t="n"/>
      <c r="J18" s="81" t="inlineStr">
        <is>
          <t>Risultato</t>
        </is>
      </c>
      <c r="K18" s="5" t="n"/>
      <c r="L18" s="6" t="n"/>
    </row>
    <row r="19" ht="24" customHeight="1">
      <c r="A19" s="83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6" t="n"/>
      <c r="D21" s="81" t="inlineStr">
        <is>
          <t>Squadra B</t>
        </is>
      </c>
      <c r="E21" s="6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6" t="n"/>
      <c r="J21" s="81" t="inlineStr">
        <is>
          <t>Risultato</t>
        </is>
      </c>
      <c r="K21" s="5" t="n"/>
      <c r="L21" s="6" t="n"/>
    </row>
    <row r="22" ht="24" customHeight="1">
      <c r="A22" s="83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6" t="n"/>
      <c r="D26" s="81" t="inlineStr">
        <is>
          <t>Squadra B</t>
        </is>
      </c>
      <c r="E26" s="6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6" t="n"/>
      <c r="J26" s="81" t="inlineStr">
        <is>
          <t>Risultato</t>
        </is>
      </c>
      <c r="K26" s="5" t="n"/>
      <c r="L26" s="6" t="n"/>
    </row>
    <row r="27" ht="24" customHeight="1">
      <c r="A27" s="83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6" t="n"/>
      <c r="D29" s="81" t="inlineStr">
        <is>
          <t>Squadra B</t>
        </is>
      </c>
      <c r="E29" s="6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6" t="n"/>
      <c r="J29" s="81" t="inlineStr">
        <is>
          <t>Risultato</t>
        </is>
      </c>
      <c r="K29" s="5" t="n"/>
      <c r="L29" s="6" t="n"/>
    </row>
    <row r="30" ht="24" customHeight="1">
      <c r="A30" s="83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6" t="n"/>
      <c r="D32" s="81" t="inlineStr">
        <is>
          <t>Squadra B</t>
        </is>
      </c>
      <c r="E32" s="6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6" t="n"/>
      <c r="J32" s="81" t="inlineStr">
        <is>
          <t>Risultato</t>
        </is>
      </c>
      <c r="K32" s="5" t="n"/>
      <c r="L32" s="6" t="n"/>
    </row>
    <row r="33" ht="24" customHeight="1">
      <c r="A33" s="83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6" t="n"/>
      <c r="D35" s="81" t="inlineStr">
        <is>
          <t>Squadra B</t>
        </is>
      </c>
      <c r="E35" s="6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6" t="n"/>
      <c r="J35" s="81" t="inlineStr">
        <is>
          <t>Risultato</t>
        </is>
      </c>
      <c r="K35" s="5" t="n"/>
      <c r="L35" s="6" t="n"/>
    </row>
    <row r="36" ht="24" customHeight="1">
      <c r="A36" s="83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6" t="n"/>
      <c r="D38" s="81" t="inlineStr">
        <is>
          <t>Squadra B</t>
        </is>
      </c>
      <c r="E38" s="6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6" t="n"/>
      <c r="J38" s="81" t="inlineStr">
        <is>
          <t>Risultato</t>
        </is>
      </c>
      <c r="K38" s="5" t="n"/>
      <c r="L38" s="6" t="n"/>
    </row>
    <row r="39" ht="24" customHeight="1">
      <c r="A39" s="83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6" t="n"/>
      <c r="D43" s="81" t="inlineStr">
        <is>
          <t>Squadra B</t>
        </is>
      </c>
      <c r="E43" s="6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6" t="n"/>
      <c r="J43" s="81" t="inlineStr">
        <is>
          <t>Risultato</t>
        </is>
      </c>
      <c r="K43" s="5" t="n"/>
      <c r="L43" s="6" t="n"/>
    </row>
    <row r="44" ht="24" customHeight="1">
      <c r="A44" s="83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6" t="n"/>
      <c r="D46" s="81" t="inlineStr">
        <is>
          <t>Squadra B</t>
        </is>
      </c>
      <c r="E46" s="6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6" t="n"/>
      <c r="J46" s="81" t="inlineStr">
        <is>
          <t>Risultato</t>
        </is>
      </c>
      <c r="K46" s="5" t="n"/>
      <c r="L46" s="6" t="n"/>
    </row>
    <row r="47" ht="24" customHeight="1">
      <c r="A47" s="83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6" t="n"/>
      <c r="D49" s="81" t="inlineStr">
        <is>
          <t>Squadra B</t>
        </is>
      </c>
      <c r="E49" s="6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6" t="n"/>
      <c r="J49" s="81" t="inlineStr">
        <is>
          <t>Risultato</t>
        </is>
      </c>
      <c r="K49" s="5" t="n"/>
      <c r="L49" s="6" t="n"/>
    </row>
    <row r="50" ht="24" customHeight="1">
      <c r="A50" s="83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6" t="n"/>
      <c r="D52" s="81" t="inlineStr">
        <is>
          <t>Squadra B</t>
        </is>
      </c>
      <c r="E52" s="6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6" t="n"/>
      <c r="J52" s="81" t="inlineStr">
        <is>
          <t>Risultato</t>
        </is>
      </c>
      <c r="K52" s="5" t="n"/>
      <c r="L52" s="6" t="n"/>
    </row>
    <row r="53" ht="24" customHeight="1">
      <c r="A53" s="83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6" t="n"/>
      <c r="D55" s="81" t="inlineStr">
        <is>
          <t>Squadra B</t>
        </is>
      </c>
      <c r="E55" s="6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6" t="n"/>
      <c r="J55" s="81" t="inlineStr">
        <is>
          <t>Risultato</t>
        </is>
      </c>
      <c r="K55" s="5" t="n"/>
      <c r="L55" s="6" t="n"/>
    </row>
    <row r="56" ht="24" customHeight="1">
      <c r="A56" s="83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6" t="n"/>
      <c r="D60" s="81" t="inlineStr">
        <is>
          <t>Squadra B</t>
        </is>
      </c>
      <c r="E60" s="6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6" t="n"/>
      <c r="J60" s="81" t="inlineStr">
        <is>
          <t>Risultato</t>
        </is>
      </c>
      <c r="K60" s="5" t="n"/>
      <c r="L60" s="6" t="n"/>
    </row>
    <row r="61" ht="24" customHeight="1">
      <c r="A61" s="83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6" t="n"/>
      <c r="D63" s="81" t="inlineStr">
        <is>
          <t>Squadra B</t>
        </is>
      </c>
      <c r="E63" s="6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6" t="n"/>
      <c r="J63" s="81" t="inlineStr">
        <is>
          <t>Risultato</t>
        </is>
      </c>
      <c r="K63" s="5" t="n"/>
      <c r="L63" s="6" t="n"/>
    </row>
    <row r="64" ht="24" customHeight="1">
      <c r="A64" s="83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6" t="n"/>
      <c r="D66" s="81" t="inlineStr">
        <is>
          <t>Squadra B</t>
        </is>
      </c>
      <c r="E66" s="6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6" t="n"/>
      <c r="J66" s="81" t="inlineStr">
        <is>
          <t>Risultato</t>
        </is>
      </c>
      <c r="K66" s="5" t="n"/>
      <c r="L66" s="6" t="n"/>
    </row>
    <row r="67" ht="24" customHeight="1">
      <c r="A67" s="83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6" t="n"/>
      <c r="D69" s="81" t="inlineStr">
        <is>
          <t>Squadra B</t>
        </is>
      </c>
      <c r="E69" s="6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6" t="n"/>
      <c r="J69" s="81" t="inlineStr">
        <is>
          <t>Risultato</t>
        </is>
      </c>
      <c r="K69" s="5" t="n"/>
      <c r="L69" s="6" t="n"/>
    </row>
    <row r="70" ht="24" customHeight="1">
      <c r="A70" s="83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6" t="n"/>
      <c r="D72" s="81" t="inlineStr">
        <is>
          <t>Squadra B</t>
        </is>
      </c>
      <c r="E72" s="6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6" t="n"/>
      <c r="J72" s="81" t="inlineStr">
        <is>
          <t>Risultato</t>
        </is>
      </c>
      <c r="K72" s="5" t="n"/>
      <c r="L72" s="6" t="n"/>
    </row>
    <row r="73" ht="24" customHeight="1">
      <c r="A73" s="83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6" t="n"/>
      <c r="D77" s="81" t="inlineStr">
        <is>
          <t>Squadra B</t>
        </is>
      </c>
      <c r="E77" s="6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6" t="n"/>
      <c r="J77" s="81" t="inlineStr">
        <is>
          <t>Risultato</t>
        </is>
      </c>
      <c r="K77" s="5" t="n"/>
      <c r="L77" s="6" t="n"/>
    </row>
    <row r="78" ht="24" customHeight="1">
      <c r="A78" s="83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6" t="n"/>
      <c r="D80" s="81" t="inlineStr">
        <is>
          <t>Squadra B</t>
        </is>
      </c>
      <c r="E80" s="6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6" t="n"/>
      <c r="J80" s="81" t="inlineStr">
        <is>
          <t>Risultato</t>
        </is>
      </c>
      <c r="K80" s="5" t="n"/>
      <c r="L80" s="6" t="n"/>
    </row>
    <row r="81" ht="24" customHeight="1">
      <c r="A81" s="83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6" t="n"/>
      <c r="D83" s="81" t="inlineStr">
        <is>
          <t>Squadra B</t>
        </is>
      </c>
      <c r="E83" s="6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6" t="n"/>
      <c r="J83" s="81" t="inlineStr">
        <is>
          <t>Risultato</t>
        </is>
      </c>
      <c r="K83" s="5" t="n"/>
      <c r="L83" s="6" t="n"/>
    </row>
    <row r="84" ht="24" customHeight="1">
      <c r="A84" s="83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6" t="n"/>
      <c r="D86" s="81" t="inlineStr">
        <is>
          <t>Squadra B</t>
        </is>
      </c>
      <c r="E86" s="6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6" t="n"/>
      <c r="J86" s="81" t="inlineStr">
        <is>
          <t>Risultato</t>
        </is>
      </c>
      <c r="K86" s="5" t="n"/>
      <c r="L86" s="6" t="n"/>
    </row>
    <row r="87" ht="24" customHeight="1">
      <c r="A87" s="83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6" t="n"/>
      <c r="D89" s="81" t="inlineStr">
        <is>
          <t>Squadra B</t>
        </is>
      </c>
      <c r="E89" s="6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6" t="n"/>
      <c r="J89" s="81" t="inlineStr">
        <is>
          <t>Risultato</t>
        </is>
      </c>
      <c r="K89" s="5" t="n"/>
      <c r="L89" s="6" t="n"/>
    </row>
    <row r="90" ht="24" customHeight="1">
      <c r="A90" s="83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6" t="n"/>
      <c r="D94" s="81" t="inlineStr">
        <is>
          <t>Squadra B</t>
        </is>
      </c>
      <c r="E94" s="6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6" t="n"/>
      <c r="J94" s="81" t="inlineStr">
        <is>
          <t>Risultato</t>
        </is>
      </c>
      <c r="K94" s="5" t="n"/>
      <c r="L94" s="6" t="n"/>
    </row>
    <row r="95" ht="24" customHeight="1">
      <c r="A95" s="83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6" t="n"/>
      <c r="D97" s="81" t="inlineStr">
        <is>
          <t>Squadra B</t>
        </is>
      </c>
      <c r="E97" s="6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6" t="n"/>
      <c r="J97" s="81" t="inlineStr">
        <is>
          <t>Risultato</t>
        </is>
      </c>
      <c r="K97" s="5" t="n"/>
      <c r="L97" s="6" t="n"/>
    </row>
    <row r="98" ht="24" customHeight="1">
      <c r="A98" s="83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6" t="n"/>
      <c r="D100" s="81" t="inlineStr">
        <is>
          <t>Squadra B</t>
        </is>
      </c>
      <c r="E100" s="6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6" t="n"/>
      <c r="J100" s="81" t="inlineStr">
        <is>
          <t>Risultato</t>
        </is>
      </c>
      <c r="K100" s="5" t="n"/>
      <c r="L100" s="6" t="n"/>
    </row>
    <row r="101" ht="24" customHeight="1">
      <c r="A101" s="83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6" t="n"/>
      <c r="D103" s="81" t="inlineStr">
        <is>
          <t>Squadra B</t>
        </is>
      </c>
      <c r="E103" s="6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6" t="n"/>
      <c r="J103" s="81" t="inlineStr">
        <is>
          <t>Risultato</t>
        </is>
      </c>
      <c r="K103" s="5" t="n"/>
      <c r="L103" s="6" t="n"/>
    </row>
    <row r="104" ht="24" customHeight="1">
      <c r="A104" s="83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6" t="n"/>
      <c r="D106" s="81" t="inlineStr">
        <is>
          <t>Squadra B</t>
        </is>
      </c>
      <c r="E106" s="6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6" t="n"/>
      <c r="J106" s="81" t="inlineStr">
        <is>
          <t>Risultato</t>
        </is>
      </c>
      <c r="K106" s="5" t="n"/>
      <c r="L106" s="6" t="n"/>
    </row>
    <row r="107" ht="24" customHeight="1">
      <c r="A107" s="83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6" t="n"/>
      <c r="D111" s="81" t="inlineStr">
        <is>
          <t>Squadra B</t>
        </is>
      </c>
      <c r="E111" s="6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6" t="n"/>
      <c r="J111" s="81" t="inlineStr">
        <is>
          <t>Risultato</t>
        </is>
      </c>
      <c r="K111" s="5" t="n"/>
      <c r="L111" s="6" t="n"/>
    </row>
    <row r="112" ht="24" customHeight="1">
      <c r="A112" s="83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6" t="n"/>
      <c r="D114" s="81" t="inlineStr">
        <is>
          <t>Squadra B</t>
        </is>
      </c>
      <c r="E114" s="6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6" t="n"/>
      <c r="J114" s="81" t="inlineStr">
        <is>
          <t>Risultato</t>
        </is>
      </c>
      <c r="K114" s="5" t="n"/>
      <c r="L114" s="6" t="n"/>
    </row>
    <row r="115" ht="24" customHeight="1">
      <c r="A115" s="83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6" t="n"/>
      <c r="D117" s="81" t="inlineStr">
        <is>
          <t>Squadra B</t>
        </is>
      </c>
      <c r="E117" s="6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6" t="n"/>
      <c r="J117" s="81" t="inlineStr">
        <is>
          <t>Risultato</t>
        </is>
      </c>
      <c r="K117" s="5" t="n"/>
      <c r="L117" s="6" t="n"/>
    </row>
    <row r="118" ht="24" customHeight="1">
      <c r="A118" s="83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6" t="n"/>
      <c r="D120" s="81" t="inlineStr">
        <is>
          <t>Squadra B</t>
        </is>
      </c>
      <c r="E120" s="6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6" t="n"/>
      <c r="J120" s="81" t="inlineStr">
        <is>
          <t>Risultato</t>
        </is>
      </c>
      <c r="K120" s="5" t="n"/>
      <c r="L120" s="6" t="n"/>
    </row>
    <row r="121" ht="24" customHeight="1">
      <c r="A121" s="83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6" t="n"/>
      <c r="D123" s="81" t="inlineStr">
        <is>
          <t>Squadra B</t>
        </is>
      </c>
      <c r="E123" s="6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6" t="n"/>
      <c r="J123" s="81" t="inlineStr">
        <is>
          <t>Risultato</t>
        </is>
      </c>
      <c r="K123" s="5" t="n"/>
      <c r="L123" s="6" t="n"/>
    </row>
    <row r="124" ht="24" customHeight="1">
      <c r="A124" s="83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6" t="n"/>
      <c r="D128" s="81" t="inlineStr">
        <is>
          <t>Squadra B</t>
        </is>
      </c>
      <c r="E128" s="6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6" t="n"/>
      <c r="J128" s="81" t="inlineStr">
        <is>
          <t>Risultato</t>
        </is>
      </c>
      <c r="K128" s="5" t="n"/>
      <c r="L128" s="6" t="n"/>
    </row>
    <row r="129" ht="24" customHeight="1">
      <c r="A129" s="83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6" t="n"/>
      <c r="D131" s="81" t="inlineStr">
        <is>
          <t>Squadra B</t>
        </is>
      </c>
      <c r="E131" s="6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6" t="n"/>
      <c r="J131" s="81" t="inlineStr">
        <is>
          <t>Risultato</t>
        </is>
      </c>
      <c r="K131" s="5" t="n"/>
      <c r="L131" s="6" t="n"/>
    </row>
    <row r="132" ht="24" customHeight="1">
      <c r="A132" s="83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6" t="n"/>
      <c r="D134" s="81" t="inlineStr">
        <is>
          <t>Squadra B</t>
        </is>
      </c>
      <c r="E134" s="6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6" t="n"/>
      <c r="J134" s="81" t="inlineStr">
        <is>
          <t>Risultato</t>
        </is>
      </c>
      <c r="K134" s="5" t="n"/>
      <c r="L134" s="6" t="n"/>
    </row>
    <row r="135" ht="24" customHeight="1">
      <c r="A135" s="83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6" t="n"/>
      <c r="D137" s="81" t="inlineStr">
        <is>
          <t>Squadra B</t>
        </is>
      </c>
      <c r="E137" s="6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6" t="n"/>
      <c r="J137" s="81" t="inlineStr">
        <is>
          <t>Risultato</t>
        </is>
      </c>
      <c r="K137" s="5" t="n"/>
      <c r="L137" s="6" t="n"/>
    </row>
    <row r="138" ht="24" customHeight="1">
      <c r="A138" s="83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6" t="n"/>
      <c r="D140" s="81" t="inlineStr">
        <is>
          <t>Squadra B</t>
        </is>
      </c>
      <c r="E140" s="6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6" t="n"/>
      <c r="J140" s="81" t="inlineStr">
        <is>
          <t>Risultato</t>
        </is>
      </c>
      <c r="K140" s="5" t="n"/>
      <c r="L140" s="6" t="n"/>
    </row>
    <row r="141" ht="24" customHeight="1">
      <c r="A141" s="83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6" t="n"/>
      <c r="D145" s="81" t="inlineStr">
        <is>
          <t>Squadra B</t>
        </is>
      </c>
      <c r="E145" s="6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6" t="n"/>
      <c r="J145" s="81" t="inlineStr">
        <is>
          <t>Risultato</t>
        </is>
      </c>
      <c r="K145" s="5" t="n"/>
      <c r="L145" s="6" t="n"/>
    </row>
    <row r="146" ht="24" customHeight="1">
      <c r="A146" s="83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6" t="n"/>
      <c r="D148" s="81" t="inlineStr">
        <is>
          <t>Squadra B</t>
        </is>
      </c>
      <c r="E148" s="6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6" t="n"/>
      <c r="J148" s="81" t="inlineStr">
        <is>
          <t>Risultato</t>
        </is>
      </c>
      <c r="K148" s="5" t="n"/>
      <c r="L148" s="6" t="n"/>
    </row>
    <row r="149" ht="24" customHeight="1">
      <c r="A149" s="83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6" t="n"/>
      <c r="D151" s="81" t="inlineStr">
        <is>
          <t>Squadra B</t>
        </is>
      </c>
      <c r="E151" s="6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6" t="n"/>
      <c r="J151" s="81" t="inlineStr">
        <is>
          <t>Risultato</t>
        </is>
      </c>
      <c r="K151" s="5" t="n"/>
      <c r="L151" s="6" t="n"/>
    </row>
    <row r="152" ht="24" customHeight="1">
      <c r="A152" s="83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6" t="n"/>
      <c r="D154" s="81" t="inlineStr">
        <is>
          <t>Squadra B</t>
        </is>
      </c>
      <c r="E154" s="6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6" t="n"/>
      <c r="J154" s="81" t="inlineStr">
        <is>
          <t>Risultato</t>
        </is>
      </c>
      <c r="K154" s="5" t="n"/>
      <c r="L154" s="6" t="n"/>
    </row>
    <row r="155" ht="24" customHeight="1">
      <c r="A155" s="83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6" t="n"/>
      <c r="D157" s="81" t="inlineStr">
        <is>
          <t>Squadra B</t>
        </is>
      </c>
      <c r="E157" s="6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6" t="n"/>
      <c r="J157" s="81" t="inlineStr">
        <is>
          <t>Risultato</t>
        </is>
      </c>
      <c r="K157" s="5" t="n"/>
      <c r="L157" s="6" t="n"/>
    </row>
    <row r="158" ht="24" customHeight="1">
      <c r="A158" s="83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84">
        <f>"GIRONE D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6" t="n"/>
      <c r="D9" s="88" t="inlineStr">
        <is>
          <t>Squadra B</t>
        </is>
      </c>
      <c r="E9" s="6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6" t="n"/>
      <c r="J9" s="88" t="inlineStr">
        <is>
          <t>Risultato</t>
        </is>
      </c>
      <c r="K9" s="5" t="n"/>
      <c r="L9" s="6" t="n"/>
    </row>
    <row r="10" ht="24" customHeight="1">
      <c r="A10" s="90" t="n">
        <v>136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6" t="n"/>
      <c r="D12" s="88" t="inlineStr">
        <is>
          <t>Squadra B</t>
        </is>
      </c>
      <c r="E12" s="6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6" t="n"/>
      <c r="J12" s="88" t="inlineStr">
        <is>
          <t>Risultato</t>
        </is>
      </c>
      <c r="K12" s="5" t="n"/>
      <c r="L12" s="6" t="n"/>
    </row>
    <row r="13" ht="24" customHeight="1">
      <c r="A13" s="90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6" t="n"/>
      <c r="D15" s="88" t="inlineStr">
        <is>
          <t>Squadra B</t>
        </is>
      </c>
      <c r="E15" s="6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6" t="n"/>
      <c r="J15" s="88" t="inlineStr">
        <is>
          <t>Risultato</t>
        </is>
      </c>
      <c r="K15" s="5" t="n"/>
      <c r="L15" s="6" t="n"/>
    </row>
    <row r="16" ht="24" customHeight="1">
      <c r="A16" s="90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6" t="n"/>
      <c r="D18" s="88" t="inlineStr">
        <is>
          <t>Squadra B</t>
        </is>
      </c>
      <c r="E18" s="6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6" t="n"/>
      <c r="J18" s="88" t="inlineStr">
        <is>
          <t>Risultato</t>
        </is>
      </c>
      <c r="K18" s="5" t="n"/>
      <c r="L18" s="6" t="n"/>
    </row>
    <row r="19" ht="24" customHeight="1">
      <c r="A19" s="90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6" t="n"/>
      <c r="D21" s="88" t="inlineStr">
        <is>
          <t>Squadra B</t>
        </is>
      </c>
      <c r="E21" s="6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6" t="n"/>
      <c r="J21" s="88" t="inlineStr">
        <is>
          <t>Risultato</t>
        </is>
      </c>
      <c r="K21" s="5" t="n"/>
      <c r="L21" s="6" t="n"/>
    </row>
    <row r="22" ht="24" customHeight="1">
      <c r="A22" s="90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6" t="n"/>
      <c r="D26" s="88" t="inlineStr">
        <is>
          <t>Squadra B</t>
        </is>
      </c>
      <c r="E26" s="6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6" t="n"/>
      <c r="J26" s="88" t="inlineStr">
        <is>
          <t>Risultato</t>
        </is>
      </c>
      <c r="K26" s="5" t="n"/>
      <c r="L26" s="6" t="n"/>
    </row>
    <row r="27" ht="24" customHeight="1">
      <c r="A27" s="90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6" t="n"/>
      <c r="D29" s="88" t="inlineStr">
        <is>
          <t>Squadra B</t>
        </is>
      </c>
      <c r="E29" s="6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6" t="n"/>
      <c r="J29" s="88" t="inlineStr">
        <is>
          <t>Risultato</t>
        </is>
      </c>
      <c r="K29" s="5" t="n"/>
      <c r="L29" s="6" t="n"/>
    </row>
    <row r="30" ht="24" customHeight="1">
      <c r="A30" s="90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6" t="n"/>
      <c r="D32" s="88" t="inlineStr">
        <is>
          <t>Squadra B</t>
        </is>
      </c>
      <c r="E32" s="6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6" t="n"/>
      <c r="J32" s="88" t="inlineStr">
        <is>
          <t>Risultato</t>
        </is>
      </c>
      <c r="K32" s="5" t="n"/>
      <c r="L32" s="6" t="n"/>
    </row>
    <row r="33" ht="24" customHeight="1">
      <c r="A33" s="90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6" t="n"/>
      <c r="D35" s="88" t="inlineStr">
        <is>
          <t>Squadra B</t>
        </is>
      </c>
      <c r="E35" s="6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6" t="n"/>
      <c r="J35" s="88" t="inlineStr">
        <is>
          <t>Risultato</t>
        </is>
      </c>
      <c r="K35" s="5" t="n"/>
      <c r="L35" s="6" t="n"/>
    </row>
    <row r="36" ht="24" customHeight="1">
      <c r="A36" s="90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6" t="n"/>
      <c r="D38" s="88" t="inlineStr">
        <is>
          <t>Squadra B</t>
        </is>
      </c>
      <c r="E38" s="6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6" t="n"/>
      <c r="J38" s="88" t="inlineStr">
        <is>
          <t>Risultato</t>
        </is>
      </c>
      <c r="K38" s="5" t="n"/>
      <c r="L38" s="6" t="n"/>
    </row>
    <row r="39" ht="24" customHeight="1">
      <c r="A39" s="90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6" t="n"/>
      <c r="D43" s="88" t="inlineStr">
        <is>
          <t>Squadra B</t>
        </is>
      </c>
      <c r="E43" s="6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6" t="n"/>
      <c r="J43" s="88" t="inlineStr">
        <is>
          <t>Risultato</t>
        </is>
      </c>
      <c r="K43" s="5" t="n"/>
      <c r="L43" s="6" t="n"/>
    </row>
    <row r="44" ht="24" customHeight="1">
      <c r="A44" s="90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6" t="n"/>
      <c r="D46" s="88" t="inlineStr">
        <is>
          <t>Squadra B</t>
        </is>
      </c>
      <c r="E46" s="6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6" t="n"/>
      <c r="J46" s="88" t="inlineStr">
        <is>
          <t>Risultato</t>
        </is>
      </c>
      <c r="K46" s="5" t="n"/>
      <c r="L46" s="6" t="n"/>
    </row>
    <row r="47" ht="24" customHeight="1">
      <c r="A47" s="90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6" t="n"/>
      <c r="D49" s="88" t="inlineStr">
        <is>
          <t>Squadra B</t>
        </is>
      </c>
      <c r="E49" s="6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6" t="n"/>
      <c r="J49" s="88" t="inlineStr">
        <is>
          <t>Risultato</t>
        </is>
      </c>
      <c r="K49" s="5" t="n"/>
      <c r="L49" s="6" t="n"/>
    </row>
    <row r="50" ht="24" customHeight="1">
      <c r="A50" s="90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6" t="n"/>
      <c r="D52" s="88" t="inlineStr">
        <is>
          <t>Squadra B</t>
        </is>
      </c>
      <c r="E52" s="6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6" t="n"/>
      <c r="J52" s="88" t="inlineStr">
        <is>
          <t>Risultato</t>
        </is>
      </c>
      <c r="K52" s="5" t="n"/>
      <c r="L52" s="6" t="n"/>
    </row>
    <row r="53" ht="24" customHeight="1">
      <c r="A53" s="90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6" t="n"/>
      <c r="D55" s="88" t="inlineStr">
        <is>
          <t>Squadra B</t>
        </is>
      </c>
      <c r="E55" s="6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6" t="n"/>
      <c r="J55" s="88" t="inlineStr">
        <is>
          <t>Risultato</t>
        </is>
      </c>
      <c r="K55" s="5" t="n"/>
      <c r="L55" s="6" t="n"/>
    </row>
    <row r="56" ht="24" customHeight="1">
      <c r="A56" s="90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6" t="n"/>
      <c r="D60" s="88" t="inlineStr">
        <is>
          <t>Squadra B</t>
        </is>
      </c>
      <c r="E60" s="6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6" t="n"/>
      <c r="J60" s="88" t="inlineStr">
        <is>
          <t>Risultato</t>
        </is>
      </c>
      <c r="K60" s="5" t="n"/>
      <c r="L60" s="6" t="n"/>
    </row>
    <row r="61" ht="24" customHeight="1">
      <c r="A61" s="90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6" t="n"/>
      <c r="D63" s="88" t="inlineStr">
        <is>
          <t>Squadra B</t>
        </is>
      </c>
      <c r="E63" s="6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6" t="n"/>
      <c r="J63" s="88" t="inlineStr">
        <is>
          <t>Risultato</t>
        </is>
      </c>
      <c r="K63" s="5" t="n"/>
      <c r="L63" s="6" t="n"/>
    </row>
    <row r="64" ht="24" customHeight="1">
      <c r="A64" s="90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6" t="n"/>
      <c r="D66" s="88" t="inlineStr">
        <is>
          <t>Squadra B</t>
        </is>
      </c>
      <c r="E66" s="6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6" t="n"/>
      <c r="J66" s="88" t="inlineStr">
        <is>
          <t>Risultato</t>
        </is>
      </c>
      <c r="K66" s="5" t="n"/>
      <c r="L66" s="6" t="n"/>
    </row>
    <row r="67" ht="24" customHeight="1">
      <c r="A67" s="90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6" t="n"/>
      <c r="D69" s="88" t="inlineStr">
        <is>
          <t>Squadra B</t>
        </is>
      </c>
      <c r="E69" s="6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6" t="n"/>
      <c r="J69" s="88" t="inlineStr">
        <is>
          <t>Risultato</t>
        </is>
      </c>
      <c r="K69" s="5" t="n"/>
      <c r="L69" s="6" t="n"/>
    </row>
    <row r="70" ht="24" customHeight="1">
      <c r="A70" s="90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6" t="n"/>
      <c r="D72" s="88" t="inlineStr">
        <is>
          <t>Squadra B</t>
        </is>
      </c>
      <c r="E72" s="6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6" t="n"/>
      <c r="J72" s="88" t="inlineStr">
        <is>
          <t>Risultato</t>
        </is>
      </c>
      <c r="K72" s="5" t="n"/>
      <c r="L72" s="6" t="n"/>
    </row>
    <row r="73" ht="24" customHeight="1">
      <c r="A73" s="90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6" t="n"/>
      <c r="D77" s="88" t="inlineStr">
        <is>
          <t>Squadra B</t>
        </is>
      </c>
      <c r="E77" s="6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6" t="n"/>
      <c r="J77" s="88" t="inlineStr">
        <is>
          <t>Risultato</t>
        </is>
      </c>
      <c r="K77" s="5" t="n"/>
      <c r="L77" s="6" t="n"/>
    </row>
    <row r="78" ht="24" customHeight="1">
      <c r="A78" s="90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6" t="n"/>
      <c r="D80" s="88" t="inlineStr">
        <is>
          <t>Squadra B</t>
        </is>
      </c>
      <c r="E80" s="6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6" t="n"/>
      <c r="J80" s="88" t="inlineStr">
        <is>
          <t>Risultato</t>
        </is>
      </c>
      <c r="K80" s="5" t="n"/>
      <c r="L80" s="6" t="n"/>
    </row>
    <row r="81" ht="24" customHeight="1">
      <c r="A81" s="90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6" t="n"/>
      <c r="D83" s="88" t="inlineStr">
        <is>
          <t>Squadra B</t>
        </is>
      </c>
      <c r="E83" s="6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6" t="n"/>
      <c r="J83" s="88" t="inlineStr">
        <is>
          <t>Risultato</t>
        </is>
      </c>
      <c r="K83" s="5" t="n"/>
      <c r="L83" s="6" t="n"/>
    </row>
    <row r="84" ht="24" customHeight="1">
      <c r="A84" s="90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6" t="n"/>
      <c r="D86" s="88" t="inlineStr">
        <is>
          <t>Squadra B</t>
        </is>
      </c>
      <c r="E86" s="6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6" t="n"/>
      <c r="J86" s="88" t="inlineStr">
        <is>
          <t>Risultato</t>
        </is>
      </c>
      <c r="K86" s="5" t="n"/>
      <c r="L86" s="6" t="n"/>
    </row>
    <row r="87" ht="24" customHeight="1">
      <c r="A87" s="90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6" t="n"/>
      <c r="D89" s="88" t="inlineStr">
        <is>
          <t>Squadra B</t>
        </is>
      </c>
      <c r="E89" s="6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6" t="n"/>
      <c r="J89" s="88" t="inlineStr">
        <is>
          <t>Risultato</t>
        </is>
      </c>
      <c r="K89" s="5" t="n"/>
      <c r="L89" s="6" t="n"/>
    </row>
    <row r="90" ht="24" customHeight="1">
      <c r="A90" s="90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6" t="n"/>
      <c r="D94" s="88" t="inlineStr">
        <is>
          <t>Squadra B</t>
        </is>
      </c>
      <c r="E94" s="6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6" t="n"/>
      <c r="J94" s="88" t="inlineStr">
        <is>
          <t>Risultato</t>
        </is>
      </c>
      <c r="K94" s="5" t="n"/>
      <c r="L94" s="6" t="n"/>
    </row>
    <row r="95" ht="24" customHeight="1">
      <c r="A95" s="90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6" t="n"/>
      <c r="D97" s="88" t="inlineStr">
        <is>
          <t>Squadra B</t>
        </is>
      </c>
      <c r="E97" s="6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6" t="n"/>
      <c r="J97" s="88" t="inlineStr">
        <is>
          <t>Risultato</t>
        </is>
      </c>
      <c r="K97" s="5" t="n"/>
      <c r="L97" s="6" t="n"/>
    </row>
    <row r="98" ht="24" customHeight="1">
      <c r="A98" s="90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6" t="n"/>
      <c r="D100" s="88" t="inlineStr">
        <is>
          <t>Squadra B</t>
        </is>
      </c>
      <c r="E100" s="6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6" t="n"/>
      <c r="J100" s="88" t="inlineStr">
        <is>
          <t>Risultato</t>
        </is>
      </c>
      <c r="K100" s="5" t="n"/>
      <c r="L100" s="6" t="n"/>
    </row>
    <row r="101" ht="24" customHeight="1">
      <c r="A101" s="90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6" t="n"/>
      <c r="D103" s="88" t="inlineStr">
        <is>
          <t>Squadra B</t>
        </is>
      </c>
      <c r="E103" s="6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6" t="n"/>
      <c r="J103" s="88" t="inlineStr">
        <is>
          <t>Risultato</t>
        </is>
      </c>
      <c r="K103" s="5" t="n"/>
      <c r="L103" s="6" t="n"/>
    </row>
    <row r="104" ht="24" customHeight="1">
      <c r="A104" s="90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6" t="n"/>
      <c r="D106" s="88" t="inlineStr">
        <is>
          <t>Squadra B</t>
        </is>
      </c>
      <c r="E106" s="6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6" t="n"/>
      <c r="J106" s="88" t="inlineStr">
        <is>
          <t>Risultato</t>
        </is>
      </c>
      <c r="K106" s="5" t="n"/>
      <c r="L106" s="6" t="n"/>
    </row>
    <row r="107" ht="24" customHeight="1">
      <c r="A107" s="90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6" t="n"/>
      <c r="D111" s="88" t="inlineStr">
        <is>
          <t>Squadra B</t>
        </is>
      </c>
      <c r="E111" s="6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6" t="n"/>
      <c r="J111" s="88" t="inlineStr">
        <is>
          <t>Risultato</t>
        </is>
      </c>
      <c r="K111" s="5" t="n"/>
      <c r="L111" s="6" t="n"/>
    </row>
    <row r="112" ht="24" customHeight="1">
      <c r="A112" s="90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6" t="n"/>
      <c r="D114" s="88" t="inlineStr">
        <is>
          <t>Squadra B</t>
        </is>
      </c>
      <c r="E114" s="6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6" t="n"/>
      <c r="J114" s="88" t="inlineStr">
        <is>
          <t>Risultato</t>
        </is>
      </c>
      <c r="K114" s="5" t="n"/>
      <c r="L114" s="6" t="n"/>
    </row>
    <row r="115" ht="24" customHeight="1">
      <c r="A115" s="90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6" t="n"/>
      <c r="D117" s="88" t="inlineStr">
        <is>
          <t>Squadra B</t>
        </is>
      </c>
      <c r="E117" s="6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6" t="n"/>
      <c r="J117" s="88" t="inlineStr">
        <is>
          <t>Risultato</t>
        </is>
      </c>
      <c r="K117" s="5" t="n"/>
      <c r="L117" s="6" t="n"/>
    </row>
    <row r="118" ht="24" customHeight="1">
      <c r="A118" s="90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6" t="n"/>
      <c r="D120" s="88" t="inlineStr">
        <is>
          <t>Squadra B</t>
        </is>
      </c>
      <c r="E120" s="6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6" t="n"/>
      <c r="J120" s="88" t="inlineStr">
        <is>
          <t>Risultato</t>
        </is>
      </c>
      <c r="K120" s="5" t="n"/>
      <c r="L120" s="6" t="n"/>
    </row>
    <row r="121" ht="24" customHeight="1">
      <c r="A121" s="90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6" t="n"/>
      <c r="D123" s="88" t="inlineStr">
        <is>
          <t>Squadra B</t>
        </is>
      </c>
      <c r="E123" s="6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6" t="n"/>
      <c r="J123" s="88" t="inlineStr">
        <is>
          <t>Risultato</t>
        </is>
      </c>
      <c r="K123" s="5" t="n"/>
      <c r="L123" s="6" t="n"/>
    </row>
    <row r="124" ht="24" customHeight="1">
      <c r="A124" s="90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6" t="n"/>
      <c r="D128" s="88" t="inlineStr">
        <is>
          <t>Squadra B</t>
        </is>
      </c>
      <c r="E128" s="6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6" t="n"/>
      <c r="J128" s="88" t="inlineStr">
        <is>
          <t>Risultato</t>
        </is>
      </c>
      <c r="K128" s="5" t="n"/>
      <c r="L128" s="6" t="n"/>
    </row>
    <row r="129" ht="24" customHeight="1">
      <c r="A129" s="90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6" t="n"/>
      <c r="D131" s="88" t="inlineStr">
        <is>
          <t>Squadra B</t>
        </is>
      </c>
      <c r="E131" s="6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6" t="n"/>
      <c r="J131" s="88" t="inlineStr">
        <is>
          <t>Risultato</t>
        </is>
      </c>
      <c r="K131" s="5" t="n"/>
      <c r="L131" s="6" t="n"/>
    </row>
    <row r="132" ht="24" customHeight="1">
      <c r="A132" s="90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6" t="n"/>
      <c r="D134" s="88" t="inlineStr">
        <is>
          <t>Squadra B</t>
        </is>
      </c>
      <c r="E134" s="6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6" t="n"/>
      <c r="J134" s="88" t="inlineStr">
        <is>
          <t>Risultato</t>
        </is>
      </c>
      <c r="K134" s="5" t="n"/>
      <c r="L134" s="6" t="n"/>
    </row>
    <row r="135" ht="24" customHeight="1">
      <c r="A135" s="90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6" t="n"/>
      <c r="D137" s="88" t="inlineStr">
        <is>
          <t>Squadra B</t>
        </is>
      </c>
      <c r="E137" s="6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6" t="n"/>
      <c r="J137" s="88" t="inlineStr">
        <is>
          <t>Risultato</t>
        </is>
      </c>
      <c r="K137" s="5" t="n"/>
      <c r="L137" s="6" t="n"/>
    </row>
    <row r="138" ht="24" customHeight="1">
      <c r="A138" s="90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6" t="n"/>
      <c r="D140" s="88" t="inlineStr">
        <is>
          <t>Squadra B</t>
        </is>
      </c>
      <c r="E140" s="6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6" t="n"/>
      <c r="J140" s="88" t="inlineStr">
        <is>
          <t>Risultato</t>
        </is>
      </c>
      <c r="K140" s="5" t="n"/>
      <c r="L140" s="6" t="n"/>
    </row>
    <row r="141" ht="24" customHeight="1">
      <c r="A141" s="90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6" t="n"/>
      <c r="D145" s="88" t="inlineStr">
        <is>
          <t>Squadra B</t>
        </is>
      </c>
      <c r="E145" s="6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6" t="n"/>
      <c r="J145" s="88" t="inlineStr">
        <is>
          <t>Risultato</t>
        </is>
      </c>
      <c r="K145" s="5" t="n"/>
      <c r="L145" s="6" t="n"/>
    </row>
    <row r="146" ht="24" customHeight="1">
      <c r="A146" s="90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6" t="n"/>
      <c r="D148" s="88" t="inlineStr">
        <is>
          <t>Squadra B</t>
        </is>
      </c>
      <c r="E148" s="6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6" t="n"/>
      <c r="J148" s="88" t="inlineStr">
        <is>
          <t>Risultato</t>
        </is>
      </c>
      <c r="K148" s="5" t="n"/>
      <c r="L148" s="6" t="n"/>
    </row>
    <row r="149" ht="24" customHeight="1">
      <c r="A149" s="90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6" t="n"/>
      <c r="D151" s="88" t="inlineStr">
        <is>
          <t>Squadra B</t>
        </is>
      </c>
      <c r="E151" s="6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6" t="n"/>
      <c r="J151" s="88" t="inlineStr">
        <is>
          <t>Risultato</t>
        </is>
      </c>
      <c r="K151" s="5" t="n"/>
      <c r="L151" s="6" t="n"/>
    </row>
    <row r="152" ht="24" customHeight="1">
      <c r="A152" s="90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6" t="n"/>
      <c r="D154" s="88" t="inlineStr">
        <is>
          <t>Squadra B</t>
        </is>
      </c>
      <c r="E154" s="6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6" t="n"/>
      <c r="J154" s="88" t="inlineStr">
        <is>
          <t>Risultato</t>
        </is>
      </c>
      <c r="K154" s="5" t="n"/>
      <c r="L154" s="6" t="n"/>
    </row>
    <row r="155" ht="24" customHeight="1">
      <c r="A155" s="90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6" t="n"/>
      <c r="D157" s="88" t="inlineStr">
        <is>
          <t>Squadra B</t>
        </is>
      </c>
      <c r="E157" s="6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6" t="n"/>
      <c r="J157" s="88" t="inlineStr">
        <is>
          <t>Risultato</t>
        </is>
      </c>
      <c r="K157" s="5" t="n"/>
      <c r="L157" s="6" t="n"/>
    </row>
    <row r="158" ht="24" customHeight="1">
      <c r="A158" s="90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1">
        <f>"GIRONE E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6" t="n"/>
      <c r="D9" s="95" t="inlineStr">
        <is>
          <t>Squadra B</t>
        </is>
      </c>
      <c r="E9" s="6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6" t="n"/>
      <c r="J9" s="95" t="inlineStr">
        <is>
          <t>Risultato</t>
        </is>
      </c>
      <c r="K9" s="5" t="n"/>
      <c r="L9" s="6" t="n"/>
    </row>
    <row r="10" ht="24" customHeight="1">
      <c r="A10" s="97" t="n">
        <v>181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6" t="n"/>
      <c r="D12" s="95" t="inlineStr">
        <is>
          <t>Squadra B</t>
        </is>
      </c>
      <c r="E12" s="6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6" t="n"/>
      <c r="J12" s="95" t="inlineStr">
        <is>
          <t>Risultato</t>
        </is>
      </c>
      <c r="K12" s="5" t="n"/>
      <c r="L12" s="6" t="n"/>
    </row>
    <row r="13" ht="24" customHeight="1">
      <c r="A13" s="97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6" t="n"/>
      <c r="D15" s="95" t="inlineStr">
        <is>
          <t>Squadra B</t>
        </is>
      </c>
      <c r="E15" s="6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6" t="n"/>
      <c r="J15" s="95" t="inlineStr">
        <is>
          <t>Risultato</t>
        </is>
      </c>
      <c r="K15" s="5" t="n"/>
      <c r="L15" s="6" t="n"/>
    </row>
    <row r="16" ht="24" customHeight="1">
      <c r="A16" s="97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6" t="n"/>
      <c r="D18" s="95" t="inlineStr">
        <is>
          <t>Squadra B</t>
        </is>
      </c>
      <c r="E18" s="6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6" t="n"/>
      <c r="J18" s="95" t="inlineStr">
        <is>
          <t>Risultato</t>
        </is>
      </c>
      <c r="K18" s="5" t="n"/>
      <c r="L18" s="6" t="n"/>
    </row>
    <row r="19" ht="24" customHeight="1">
      <c r="A19" s="97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6" t="n"/>
      <c r="D21" s="95" t="inlineStr">
        <is>
          <t>Squadra B</t>
        </is>
      </c>
      <c r="E21" s="6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6" t="n"/>
      <c r="J21" s="95" t="inlineStr">
        <is>
          <t>Risultato</t>
        </is>
      </c>
      <c r="K21" s="5" t="n"/>
      <c r="L21" s="6" t="n"/>
    </row>
    <row r="22" ht="24" customHeight="1">
      <c r="A22" s="97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6" t="n"/>
      <c r="D26" s="95" t="inlineStr">
        <is>
          <t>Squadra B</t>
        </is>
      </c>
      <c r="E26" s="6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6" t="n"/>
      <c r="J26" s="95" t="inlineStr">
        <is>
          <t>Risultato</t>
        </is>
      </c>
      <c r="K26" s="5" t="n"/>
      <c r="L26" s="6" t="n"/>
    </row>
    <row r="27" ht="24" customHeight="1">
      <c r="A27" s="97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6" t="n"/>
      <c r="D29" s="95" t="inlineStr">
        <is>
          <t>Squadra B</t>
        </is>
      </c>
      <c r="E29" s="6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6" t="n"/>
      <c r="J29" s="95" t="inlineStr">
        <is>
          <t>Risultato</t>
        </is>
      </c>
      <c r="K29" s="5" t="n"/>
      <c r="L29" s="6" t="n"/>
    </row>
    <row r="30" ht="24" customHeight="1">
      <c r="A30" s="97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6" t="n"/>
      <c r="D32" s="95" t="inlineStr">
        <is>
          <t>Squadra B</t>
        </is>
      </c>
      <c r="E32" s="6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6" t="n"/>
      <c r="J32" s="95" t="inlineStr">
        <is>
          <t>Risultato</t>
        </is>
      </c>
      <c r="K32" s="5" t="n"/>
      <c r="L32" s="6" t="n"/>
    </row>
    <row r="33" ht="24" customHeight="1">
      <c r="A33" s="97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6" t="n"/>
      <c r="D35" s="95" t="inlineStr">
        <is>
          <t>Squadra B</t>
        </is>
      </c>
      <c r="E35" s="6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6" t="n"/>
      <c r="J35" s="95" t="inlineStr">
        <is>
          <t>Risultato</t>
        </is>
      </c>
      <c r="K35" s="5" t="n"/>
      <c r="L35" s="6" t="n"/>
    </row>
    <row r="36" ht="24" customHeight="1">
      <c r="A36" s="97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6" t="n"/>
      <c r="D38" s="95" t="inlineStr">
        <is>
          <t>Squadra B</t>
        </is>
      </c>
      <c r="E38" s="6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6" t="n"/>
      <c r="J38" s="95" t="inlineStr">
        <is>
          <t>Risultato</t>
        </is>
      </c>
      <c r="K38" s="5" t="n"/>
      <c r="L38" s="6" t="n"/>
    </row>
    <row r="39" ht="24" customHeight="1">
      <c r="A39" s="97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6" t="n"/>
      <c r="D43" s="95" t="inlineStr">
        <is>
          <t>Squadra B</t>
        </is>
      </c>
      <c r="E43" s="6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6" t="n"/>
      <c r="J43" s="95" t="inlineStr">
        <is>
          <t>Risultato</t>
        </is>
      </c>
      <c r="K43" s="5" t="n"/>
      <c r="L43" s="6" t="n"/>
    </row>
    <row r="44" ht="24" customHeight="1">
      <c r="A44" s="97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6" t="n"/>
      <c r="D46" s="95" t="inlineStr">
        <is>
          <t>Squadra B</t>
        </is>
      </c>
      <c r="E46" s="6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6" t="n"/>
      <c r="J46" s="95" t="inlineStr">
        <is>
          <t>Risultato</t>
        </is>
      </c>
      <c r="K46" s="5" t="n"/>
      <c r="L46" s="6" t="n"/>
    </row>
    <row r="47" ht="24" customHeight="1">
      <c r="A47" s="97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6" t="n"/>
      <c r="D49" s="95" t="inlineStr">
        <is>
          <t>Squadra B</t>
        </is>
      </c>
      <c r="E49" s="6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6" t="n"/>
      <c r="J49" s="95" t="inlineStr">
        <is>
          <t>Risultato</t>
        </is>
      </c>
      <c r="K49" s="5" t="n"/>
      <c r="L49" s="6" t="n"/>
    </row>
    <row r="50" ht="24" customHeight="1">
      <c r="A50" s="97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6" t="n"/>
      <c r="D52" s="95" t="inlineStr">
        <is>
          <t>Squadra B</t>
        </is>
      </c>
      <c r="E52" s="6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6" t="n"/>
      <c r="J52" s="95" t="inlineStr">
        <is>
          <t>Risultato</t>
        </is>
      </c>
      <c r="K52" s="5" t="n"/>
      <c r="L52" s="6" t="n"/>
    </row>
    <row r="53" ht="24" customHeight="1">
      <c r="A53" s="97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6" t="n"/>
      <c r="D55" s="95" t="inlineStr">
        <is>
          <t>Squadra B</t>
        </is>
      </c>
      <c r="E55" s="6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6" t="n"/>
      <c r="J55" s="95" t="inlineStr">
        <is>
          <t>Risultato</t>
        </is>
      </c>
      <c r="K55" s="5" t="n"/>
      <c r="L55" s="6" t="n"/>
    </row>
    <row r="56" ht="24" customHeight="1">
      <c r="A56" s="97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6" t="n"/>
      <c r="D60" s="95" t="inlineStr">
        <is>
          <t>Squadra B</t>
        </is>
      </c>
      <c r="E60" s="6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6" t="n"/>
      <c r="J60" s="95" t="inlineStr">
        <is>
          <t>Risultato</t>
        </is>
      </c>
      <c r="K60" s="5" t="n"/>
      <c r="L60" s="6" t="n"/>
    </row>
    <row r="61" ht="24" customHeight="1">
      <c r="A61" s="97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6" t="n"/>
      <c r="D63" s="95" t="inlineStr">
        <is>
          <t>Squadra B</t>
        </is>
      </c>
      <c r="E63" s="6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6" t="n"/>
      <c r="J63" s="95" t="inlineStr">
        <is>
          <t>Risultato</t>
        </is>
      </c>
      <c r="K63" s="5" t="n"/>
      <c r="L63" s="6" t="n"/>
    </row>
    <row r="64" ht="24" customHeight="1">
      <c r="A64" s="97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6" t="n"/>
      <c r="D66" s="95" t="inlineStr">
        <is>
          <t>Squadra B</t>
        </is>
      </c>
      <c r="E66" s="6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6" t="n"/>
      <c r="J66" s="95" t="inlineStr">
        <is>
          <t>Risultato</t>
        </is>
      </c>
      <c r="K66" s="5" t="n"/>
      <c r="L66" s="6" t="n"/>
    </row>
    <row r="67" ht="24" customHeight="1">
      <c r="A67" s="97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6" t="n"/>
      <c r="D69" s="95" t="inlineStr">
        <is>
          <t>Squadra B</t>
        </is>
      </c>
      <c r="E69" s="6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6" t="n"/>
      <c r="J69" s="95" t="inlineStr">
        <is>
          <t>Risultato</t>
        </is>
      </c>
      <c r="K69" s="5" t="n"/>
      <c r="L69" s="6" t="n"/>
    </row>
    <row r="70" ht="24" customHeight="1">
      <c r="A70" s="97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6" t="n"/>
      <c r="D72" s="95" t="inlineStr">
        <is>
          <t>Squadra B</t>
        </is>
      </c>
      <c r="E72" s="6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6" t="n"/>
      <c r="J72" s="95" t="inlineStr">
        <is>
          <t>Risultato</t>
        </is>
      </c>
      <c r="K72" s="5" t="n"/>
      <c r="L72" s="6" t="n"/>
    </row>
    <row r="73" ht="24" customHeight="1">
      <c r="A73" s="97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6" t="n"/>
      <c r="D77" s="95" t="inlineStr">
        <is>
          <t>Squadra B</t>
        </is>
      </c>
      <c r="E77" s="6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6" t="n"/>
      <c r="J77" s="95" t="inlineStr">
        <is>
          <t>Risultato</t>
        </is>
      </c>
      <c r="K77" s="5" t="n"/>
      <c r="L77" s="6" t="n"/>
    </row>
    <row r="78" ht="24" customHeight="1">
      <c r="A78" s="97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6" t="n"/>
      <c r="D80" s="95" t="inlineStr">
        <is>
          <t>Squadra B</t>
        </is>
      </c>
      <c r="E80" s="6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6" t="n"/>
      <c r="J80" s="95" t="inlineStr">
        <is>
          <t>Risultato</t>
        </is>
      </c>
      <c r="K80" s="5" t="n"/>
      <c r="L80" s="6" t="n"/>
    </row>
    <row r="81" ht="24" customHeight="1">
      <c r="A81" s="97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6" t="n"/>
      <c r="D83" s="95" t="inlineStr">
        <is>
          <t>Squadra B</t>
        </is>
      </c>
      <c r="E83" s="6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6" t="n"/>
      <c r="J83" s="95" t="inlineStr">
        <is>
          <t>Risultato</t>
        </is>
      </c>
      <c r="K83" s="5" t="n"/>
      <c r="L83" s="6" t="n"/>
    </row>
    <row r="84" ht="24" customHeight="1">
      <c r="A84" s="97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6" t="n"/>
      <c r="D86" s="95" t="inlineStr">
        <is>
          <t>Squadra B</t>
        </is>
      </c>
      <c r="E86" s="6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6" t="n"/>
      <c r="J86" s="95" t="inlineStr">
        <is>
          <t>Risultato</t>
        </is>
      </c>
      <c r="K86" s="5" t="n"/>
      <c r="L86" s="6" t="n"/>
    </row>
    <row r="87" ht="24" customHeight="1">
      <c r="A87" s="97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6" t="n"/>
      <c r="D89" s="95" t="inlineStr">
        <is>
          <t>Squadra B</t>
        </is>
      </c>
      <c r="E89" s="6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6" t="n"/>
      <c r="J89" s="95" t="inlineStr">
        <is>
          <t>Risultato</t>
        </is>
      </c>
      <c r="K89" s="5" t="n"/>
      <c r="L89" s="6" t="n"/>
    </row>
    <row r="90" ht="24" customHeight="1">
      <c r="A90" s="97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6" t="n"/>
      <c r="D94" s="95" t="inlineStr">
        <is>
          <t>Squadra B</t>
        </is>
      </c>
      <c r="E94" s="6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6" t="n"/>
      <c r="J94" s="95" t="inlineStr">
        <is>
          <t>Risultato</t>
        </is>
      </c>
      <c r="K94" s="5" t="n"/>
      <c r="L94" s="6" t="n"/>
    </row>
    <row r="95" ht="24" customHeight="1">
      <c r="A95" s="97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6" t="n"/>
      <c r="D97" s="95" t="inlineStr">
        <is>
          <t>Squadra B</t>
        </is>
      </c>
      <c r="E97" s="6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6" t="n"/>
      <c r="J97" s="95" t="inlineStr">
        <is>
          <t>Risultato</t>
        </is>
      </c>
      <c r="K97" s="5" t="n"/>
      <c r="L97" s="6" t="n"/>
    </row>
    <row r="98" ht="24" customHeight="1">
      <c r="A98" s="97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6" t="n"/>
      <c r="D100" s="95" t="inlineStr">
        <is>
          <t>Squadra B</t>
        </is>
      </c>
      <c r="E100" s="6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6" t="n"/>
      <c r="J100" s="95" t="inlineStr">
        <is>
          <t>Risultato</t>
        </is>
      </c>
      <c r="K100" s="5" t="n"/>
      <c r="L100" s="6" t="n"/>
    </row>
    <row r="101" ht="24" customHeight="1">
      <c r="A101" s="97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6" t="n"/>
      <c r="D103" s="95" t="inlineStr">
        <is>
          <t>Squadra B</t>
        </is>
      </c>
      <c r="E103" s="6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6" t="n"/>
      <c r="J103" s="95" t="inlineStr">
        <is>
          <t>Risultato</t>
        </is>
      </c>
      <c r="K103" s="5" t="n"/>
      <c r="L103" s="6" t="n"/>
    </row>
    <row r="104" ht="24" customHeight="1">
      <c r="A104" s="97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6" t="n"/>
      <c r="D106" s="95" t="inlineStr">
        <is>
          <t>Squadra B</t>
        </is>
      </c>
      <c r="E106" s="6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6" t="n"/>
      <c r="J106" s="95" t="inlineStr">
        <is>
          <t>Risultato</t>
        </is>
      </c>
      <c r="K106" s="5" t="n"/>
      <c r="L106" s="6" t="n"/>
    </row>
    <row r="107" ht="24" customHeight="1">
      <c r="A107" s="97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6" t="n"/>
      <c r="D111" s="95" t="inlineStr">
        <is>
          <t>Squadra B</t>
        </is>
      </c>
      <c r="E111" s="6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6" t="n"/>
      <c r="J111" s="95" t="inlineStr">
        <is>
          <t>Risultato</t>
        </is>
      </c>
      <c r="K111" s="5" t="n"/>
      <c r="L111" s="6" t="n"/>
    </row>
    <row r="112" ht="24" customHeight="1">
      <c r="A112" s="97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6" t="n"/>
      <c r="D114" s="95" t="inlineStr">
        <is>
          <t>Squadra B</t>
        </is>
      </c>
      <c r="E114" s="6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6" t="n"/>
      <c r="J114" s="95" t="inlineStr">
        <is>
          <t>Risultato</t>
        </is>
      </c>
      <c r="K114" s="5" t="n"/>
      <c r="L114" s="6" t="n"/>
    </row>
    <row r="115" ht="24" customHeight="1">
      <c r="A115" s="97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6" t="n"/>
      <c r="D117" s="95" t="inlineStr">
        <is>
          <t>Squadra B</t>
        </is>
      </c>
      <c r="E117" s="6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6" t="n"/>
      <c r="J117" s="95" t="inlineStr">
        <is>
          <t>Risultato</t>
        </is>
      </c>
      <c r="K117" s="5" t="n"/>
      <c r="L117" s="6" t="n"/>
    </row>
    <row r="118" ht="24" customHeight="1">
      <c r="A118" s="97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6" t="n"/>
      <c r="D120" s="95" t="inlineStr">
        <is>
          <t>Squadra B</t>
        </is>
      </c>
      <c r="E120" s="6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6" t="n"/>
      <c r="J120" s="95" t="inlineStr">
        <is>
          <t>Risultato</t>
        </is>
      </c>
      <c r="K120" s="5" t="n"/>
      <c r="L120" s="6" t="n"/>
    </row>
    <row r="121" ht="24" customHeight="1">
      <c r="A121" s="97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6" t="n"/>
      <c r="D123" s="95" t="inlineStr">
        <is>
          <t>Squadra B</t>
        </is>
      </c>
      <c r="E123" s="6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6" t="n"/>
      <c r="J123" s="95" t="inlineStr">
        <is>
          <t>Risultato</t>
        </is>
      </c>
      <c r="K123" s="5" t="n"/>
      <c r="L123" s="6" t="n"/>
    </row>
    <row r="124" ht="24" customHeight="1">
      <c r="A124" s="97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6" t="n"/>
      <c r="D128" s="95" t="inlineStr">
        <is>
          <t>Squadra B</t>
        </is>
      </c>
      <c r="E128" s="6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6" t="n"/>
      <c r="J128" s="95" t="inlineStr">
        <is>
          <t>Risultato</t>
        </is>
      </c>
      <c r="K128" s="5" t="n"/>
      <c r="L128" s="6" t="n"/>
    </row>
    <row r="129" ht="24" customHeight="1">
      <c r="A129" s="97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6" t="n"/>
      <c r="D131" s="95" t="inlineStr">
        <is>
          <t>Squadra B</t>
        </is>
      </c>
      <c r="E131" s="6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6" t="n"/>
      <c r="J131" s="95" t="inlineStr">
        <is>
          <t>Risultato</t>
        </is>
      </c>
      <c r="K131" s="5" t="n"/>
      <c r="L131" s="6" t="n"/>
    </row>
    <row r="132" ht="24" customHeight="1">
      <c r="A132" s="97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6" t="n"/>
      <c r="D134" s="95" t="inlineStr">
        <is>
          <t>Squadra B</t>
        </is>
      </c>
      <c r="E134" s="6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6" t="n"/>
      <c r="J134" s="95" t="inlineStr">
        <is>
          <t>Risultato</t>
        </is>
      </c>
      <c r="K134" s="5" t="n"/>
      <c r="L134" s="6" t="n"/>
    </row>
    <row r="135" ht="24" customHeight="1">
      <c r="A135" s="97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6" t="n"/>
      <c r="D137" s="95" t="inlineStr">
        <is>
          <t>Squadra B</t>
        </is>
      </c>
      <c r="E137" s="6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6" t="n"/>
      <c r="J137" s="95" t="inlineStr">
        <is>
          <t>Risultato</t>
        </is>
      </c>
      <c r="K137" s="5" t="n"/>
      <c r="L137" s="6" t="n"/>
    </row>
    <row r="138" ht="24" customHeight="1">
      <c r="A138" s="97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6" t="n"/>
      <c r="D140" s="95" t="inlineStr">
        <is>
          <t>Squadra B</t>
        </is>
      </c>
      <c r="E140" s="6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6" t="n"/>
      <c r="J140" s="95" t="inlineStr">
        <is>
          <t>Risultato</t>
        </is>
      </c>
      <c r="K140" s="5" t="n"/>
      <c r="L140" s="6" t="n"/>
    </row>
    <row r="141" ht="24" customHeight="1">
      <c r="A141" s="97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6" t="n"/>
      <c r="D145" s="95" t="inlineStr">
        <is>
          <t>Squadra B</t>
        </is>
      </c>
      <c r="E145" s="6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6" t="n"/>
      <c r="J145" s="95" t="inlineStr">
        <is>
          <t>Risultato</t>
        </is>
      </c>
      <c r="K145" s="5" t="n"/>
      <c r="L145" s="6" t="n"/>
    </row>
    <row r="146" ht="24" customHeight="1">
      <c r="A146" s="97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6" t="n"/>
      <c r="D148" s="95" t="inlineStr">
        <is>
          <t>Squadra B</t>
        </is>
      </c>
      <c r="E148" s="6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6" t="n"/>
      <c r="J148" s="95" t="inlineStr">
        <is>
          <t>Risultato</t>
        </is>
      </c>
      <c r="K148" s="5" t="n"/>
      <c r="L148" s="6" t="n"/>
    </row>
    <row r="149" ht="24" customHeight="1">
      <c r="A149" s="97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6" t="n"/>
      <c r="D151" s="95" t="inlineStr">
        <is>
          <t>Squadra B</t>
        </is>
      </c>
      <c r="E151" s="6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6" t="n"/>
      <c r="J151" s="95" t="inlineStr">
        <is>
          <t>Risultato</t>
        </is>
      </c>
      <c r="K151" s="5" t="n"/>
      <c r="L151" s="6" t="n"/>
    </row>
    <row r="152" ht="24" customHeight="1">
      <c r="A152" s="97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6" t="n"/>
      <c r="D154" s="95" t="inlineStr">
        <is>
          <t>Squadra B</t>
        </is>
      </c>
      <c r="E154" s="6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6" t="n"/>
      <c r="J154" s="95" t="inlineStr">
        <is>
          <t>Risultato</t>
        </is>
      </c>
      <c r="K154" s="5" t="n"/>
      <c r="L154" s="6" t="n"/>
    </row>
    <row r="155" ht="24" customHeight="1">
      <c r="A155" s="97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6" t="n"/>
      <c r="D157" s="95" t="inlineStr">
        <is>
          <t>Squadra B</t>
        </is>
      </c>
      <c r="E157" s="6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6" t="n"/>
      <c r="J157" s="95" t="inlineStr">
        <is>
          <t>Risultato</t>
        </is>
      </c>
      <c r="K157" s="5" t="n"/>
      <c r="L157" s="6" t="n"/>
    </row>
    <row r="158" ht="24" customHeight="1">
      <c r="A158" s="97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8">
        <f>"GIRONE 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6" t="n"/>
      <c r="D9" s="102" t="inlineStr">
        <is>
          <t>Squadra B</t>
        </is>
      </c>
      <c r="E9" s="6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6" t="n"/>
      <c r="J9" s="102" t="inlineStr">
        <is>
          <t>Risultato</t>
        </is>
      </c>
      <c r="K9" s="5" t="n"/>
      <c r="L9" s="6" t="n"/>
    </row>
    <row r="10" ht="24" customHeight="1">
      <c r="A10" s="104" t="n">
        <v>226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6" t="n"/>
      <c r="D12" s="102" t="inlineStr">
        <is>
          <t>Squadra B</t>
        </is>
      </c>
      <c r="E12" s="6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6" t="n"/>
      <c r="J12" s="102" t="inlineStr">
        <is>
          <t>Risultato</t>
        </is>
      </c>
      <c r="K12" s="5" t="n"/>
      <c r="L12" s="6" t="n"/>
    </row>
    <row r="13" ht="24" customHeight="1">
      <c r="A13" s="104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6" t="n"/>
      <c r="D15" s="102" t="inlineStr">
        <is>
          <t>Squadra B</t>
        </is>
      </c>
      <c r="E15" s="6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6" t="n"/>
      <c r="J15" s="102" t="inlineStr">
        <is>
          <t>Risultato</t>
        </is>
      </c>
      <c r="K15" s="5" t="n"/>
      <c r="L15" s="6" t="n"/>
    </row>
    <row r="16" ht="24" customHeight="1">
      <c r="A16" s="104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6" t="n"/>
      <c r="D18" s="102" t="inlineStr">
        <is>
          <t>Squadra B</t>
        </is>
      </c>
      <c r="E18" s="6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6" t="n"/>
      <c r="J18" s="102" t="inlineStr">
        <is>
          <t>Risultato</t>
        </is>
      </c>
      <c r="K18" s="5" t="n"/>
      <c r="L18" s="6" t="n"/>
    </row>
    <row r="19" ht="24" customHeight="1">
      <c r="A19" s="104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6" t="n"/>
      <c r="D21" s="102" t="inlineStr">
        <is>
          <t>Squadra B</t>
        </is>
      </c>
      <c r="E21" s="6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6" t="n"/>
      <c r="J21" s="102" t="inlineStr">
        <is>
          <t>Risultato</t>
        </is>
      </c>
      <c r="K21" s="5" t="n"/>
      <c r="L21" s="6" t="n"/>
    </row>
    <row r="22" ht="24" customHeight="1">
      <c r="A22" s="104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6" t="n"/>
      <c r="D26" s="102" t="inlineStr">
        <is>
          <t>Squadra B</t>
        </is>
      </c>
      <c r="E26" s="6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6" t="n"/>
      <c r="J26" s="102" t="inlineStr">
        <is>
          <t>Risultato</t>
        </is>
      </c>
      <c r="K26" s="5" t="n"/>
      <c r="L26" s="6" t="n"/>
    </row>
    <row r="27" ht="24" customHeight="1">
      <c r="A27" s="104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6" t="n"/>
      <c r="D29" s="102" t="inlineStr">
        <is>
          <t>Squadra B</t>
        </is>
      </c>
      <c r="E29" s="6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6" t="n"/>
      <c r="J29" s="102" t="inlineStr">
        <is>
          <t>Risultato</t>
        </is>
      </c>
      <c r="K29" s="5" t="n"/>
      <c r="L29" s="6" t="n"/>
    </row>
    <row r="30" ht="24" customHeight="1">
      <c r="A30" s="104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6" t="n"/>
      <c r="D32" s="102" t="inlineStr">
        <is>
          <t>Squadra B</t>
        </is>
      </c>
      <c r="E32" s="6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6" t="n"/>
      <c r="J32" s="102" t="inlineStr">
        <is>
          <t>Risultato</t>
        </is>
      </c>
      <c r="K32" s="5" t="n"/>
      <c r="L32" s="6" t="n"/>
    </row>
    <row r="33" ht="24" customHeight="1">
      <c r="A33" s="104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6" t="n"/>
      <c r="D35" s="102" t="inlineStr">
        <is>
          <t>Squadra B</t>
        </is>
      </c>
      <c r="E35" s="6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6" t="n"/>
      <c r="J35" s="102" t="inlineStr">
        <is>
          <t>Risultato</t>
        </is>
      </c>
      <c r="K35" s="5" t="n"/>
      <c r="L35" s="6" t="n"/>
    </row>
    <row r="36" ht="24" customHeight="1">
      <c r="A36" s="104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6" t="n"/>
      <c r="D38" s="102" t="inlineStr">
        <is>
          <t>Squadra B</t>
        </is>
      </c>
      <c r="E38" s="6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6" t="n"/>
      <c r="J38" s="102" t="inlineStr">
        <is>
          <t>Risultato</t>
        </is>
      </c>
      <c r="K38" s="5" t="n"/>
      <c r="L38" s="6" t="n"/>
    </row>
    <row r="39" ht="24" customHeight="1">
      <c r="A39" s="104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6" t="n"/>
      <c r="D43" s="102" t="inlineStr">
        <is>
          <t>Squadra B</t>
        </is>
      </c>
      <c r="E43" s="6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6" t="n"/>
      <c r="J43" s="102" t="inlineStr">
        <is>
          <t>Risultato</t>
        </is>
      </c>
      <c r="K43" s="5" t="n"/>
      <c r="L43" s="6" t="n"/>
    </row>
    <row r="44" ht="24" customHeight="1">
      <c r="A44" s="104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6" t="n"/>
      <c r="D46" s="102" t="inlineStr">
        <is>
          <t>Squadra B</t>
        </is>
      </c>
      <c r="E46" s="6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6" t="n"/>
      <c r="J46" s="102" t="inlineStr">
        <is>
          <t>Risultato</t>
        </is>
      </c>
      <c r="K46" s="5" t="n"/>
      <c r="L46" s="6" t="n"/>
    </row>
    <row r="47" ht="24" customHeight="1">
      <c r="A47" s="104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6" t="n"/>
      <c r="D49" s="102" t="inlineStr">
        <is>
          <t>Squadra B</t>
        </is>
      </c>
      <c r="E49" s="6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6" t="n"/>
      <c r="J49" s="102" t="inlineStr">
        <is>
          <t>Risultato</t>
        </is>
      </c>
      <c r="K49" s="5" t="n"/>
      <c r="L49" s="6" t="n"/>
    </row>
    <row r="50" ht="24" customHeight="1">
      <c r="A50" s="104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6" t="n"/>
      <c r="D52" s="102" t="inlineStr">
        <is>
          <t>Squadra B</t>
        </is>
      </c>
      <c r="E52" s="6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6" t="n"/>
      <c r="J52" s="102" t="inlineStr">
        <is>
          <t>Risultato</t>
        </is>
      </c>
      <c r="K52" s="5" t="n"/>
      <c r="L52" s="6" t="n"/>
    </row>
    <row r="53" ht="24" customHeight="1">
      <c r="A53" s="104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6" t="n"/>
      <c r="D55" s="102" t="inlineStr">
        <is>
          <t>Squadra B</t>
        </is>
      </c>
      <c r="E55" s="6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6" t="n"/>
      <c r="J55" s="102" t="inlineStr">
        <is>
          <t>Risultato</t>
        </is>
      </c>
      <c r="K55" s="5" t="n"/>
      <c r="L55" s="6" t="n"/>
    </row>
    <row r="56" ht="24" customHeight="1">
      <c r="A56" s="104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6" t="n"/>
      <c r="D60" s="102" t="inlineStr">
        <is>
          <t>Squadra B</t>
        </is>
      </c>
      <c r="E60" s="6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6" t="n"/>
      <c r="J60" s="102" t="inlineStr">
        <is>
          <t>Risultato</t>
        </is>
      </c>
      <c r="K60" s="5" t="n"/>
      <c r="L60" s="6" t="n"/>
    </row>
    <row r="61" ht="24" customHeight="1">
      <c r="A61" s="104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6" t="n"/>
      <c r="D63" s="102" t="inlineStr">
        <is>
          <t>Squadra B</t>
        </is>
      </c>
      <c r="E63" s="6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6" t="n"/>
      <c r="J63" s="102" t="inlineStr">
        <is>
          <t>Risultato</t>
        </is>
      </c>
      <c r="K63" s="5" t="n"/>
      <c r="L63" s="6" t="n"/>
    </row>
    <row r="64" ht="24" customHeight="1">
      <c r="A64" s="104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6" t="n"/>
      <c r="D66" s="102" t="inlineStr">
        <is>
          <t>Squadra B</t>
        </is>
      </c>
      <c r="E66" s="6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6" t="n"/>
      <c r="J66" s="102" t="inlineStr">
        <is>
          <t>Risultato</t>
        </is>
      </c>
      <c r="K66" s="5" t="n"/>
      <c r="L66" s="6" t="n"/>
    </row>
    <row r="67" ht="24" customHeight="1">
      <c r="A67" s="104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6" t="n"/>
      <c r="D69" s="102" t="inlineStr">
        <is>
          <t>Squadra B</t>
        </is>
      </c>
      <c r="E69" s="6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6" t="n"/>
      <c r="J69" s="102" t="inlineStr">
        <is>
          <t>Risultato</t>
        </is>
      </c>
      <c r="K69" s="5" t="n"/>
      <c r="L69" s="6" t="n"/>
    </row>
    <row r="70" ht="24" customHeight="1">
      <c r="A70" s="104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6" t="n"/>
      <c r="D72" s="102" t="inlineStr">
        <is>
          <t>Squadra B</t>
        </is>
      </c>
      <c r="E72" s="6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6" t="n"/>
      <c r="J72" s="102" t="inlineStr">
        <is>
          <t>Risultato</t>
        </is>
      </c>
      <c r="K72" s="5" t="n"/>
      <c r="L72" s="6" t="n"/>
    </row>
    <row r="73" ht="24" customHeight="1">
      <c r="A73" s="104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6" t="n"/>
      <c r="D77" s="102" t="inlineStr">
        <is>
          <t>Squadra B</t>
        </is>
      </c>
      <c r="E77" s="6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6" t="n"/>
      <c r="J77" s="102" t="inlineStr">
        <is>
          <t>Risultato</t>
        </is>
      </c>
      <c r="K77" s="5" t="n"/>
      <c r="L77" s="6" t="n"/>
    </row>
    <row r="78" ht="24" customHeight="1">
      <c r="A78" s="104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6" t="n"/>
      <c r="D80" s="102" t="inlineStr">
        <is>
          <t>Squadra B</t>
        </is>
      </c>
      <c r="E80" s="6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6" t="n"/>
      <c r="J80" s="102" t="inlineStr">
        <is>
          <t>Risultato</t>
        </is>
      </c>
      <c r="K80" s="5" t="n"/>
      <c r="L80" s="6" t="n"/>
    </row>
    <row r="81" ht="24" customHeight="1">
      <c r="A81" s="104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6" t="n"/>
      <c r="D83" s="102" t="inlineStr">
        <is>
          <t>Squadra B</t>
        </is>
      </c>
      <c r="E83" s="6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6" t="n"/>
      <c r="J83" s="102" t="inlineStr">
        <is>
          <t>Risultato</t>
        </is>
      </c>
      <c r="K83" s="5" t="n"/>
      <c r="L83" s="6" t="n"/>
    </row>
    <row r="84" ht="24" customHeight="1">
      <c r="A84" s="104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6" t="n"/>
      <c r="D86" s="102" t="inlineStr">
        <is>
          <t>Squadra B</t>
        </is>
      </c>
      <c r="E86" s="6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6" t="n"/>
      <c r="J86" s="102" t="inlineStr">
        <is>
          <t>Risultato</t>
        </is>
      </c>
      <c r="K86" s="5" t="n"/>
      <c r="L86" s="6" t="n"/>
    </row>
    <row r="87" ht="24" customHeight="1">
      <c r="A87" s="104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6" t="n"/>
      <c r="D89" s="102" t="inlineStr">
        <is>
          <t>Squadra B</t>
        </is>
      </c>
      <c r="E89" s="6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6" t="n"/>
      <c r="J89" s="102" t="inlineStr">
        <is>
          <t>Risultato</t>
        </is>
      </c>
      <c r="K89" s="5" t="n"/>
      <c r="L89" s="6" t="n"/>
    </row>
    <row r="90" ht="24" customHeight="1">
      <c r="A90" s="104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6" t="n"/>
      <c r="D94" s="102" t="inlineStr">
        <is>
          <t>Squadra B</t>
        </is>
      </c>
      <c r="E94" s="6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6" t="n"/>
      <c r="J94" s="102" t="inlineStr">
        <is>
          <t>Risultato</t>
        </is>
      </c>
      <c r="K94" s="5" t="n"/>
      <c r="L94" s="6" t="n"/>
    </row>
    <row r="95" ht="24" customHeight="1">
      <c r="A95" s="104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6" t="n"/>
      <c r="D97" s="102" t="inlineStr">
        <is>
          <t>Squadra B</t>
        </is>
      </c>
      <c r="E97" s="6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6" t="n"/>
      <c r="J97" s="102" t="inlineStr">
        <is>
          <t>Risultato</t>
        </is>
      </c>
      <c r="K97" s="5" t="n"/>
      <c r="L97" s="6" t="n"/>
    </row>
    <row r="98" ht="24" customHeight="1">
      <c r="A98" s="104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6" t="n"/>
      <c r="D100" s="102" t="inlineStr">
        <is>
          <t>Squadra B</t>
        </is>
      </c>
      <c r="E100" s="6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6" t="n"/>
      <c r="J100" s="102" t="inlineStr">
        <is>
          <t>Risultato</t>
        </is>
      </c>
      <c r="K100" s="5" t="n"/>
      <c r="L100" s="6" t="n"/>
    </row>
    <row r="101" ht="24" customHeight="1">
      <c r="A101" s="104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6" t="n"/>
      <c r="D103" s="102" t="inlineStr">
        <is>
          <t>Squadra B</t>
        </is>
      </c>
      <c r="E103" s="6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6" t="n"/>
      <c r="J103" s="102" t="inlineStr">
        <is>
          <t>Risultato</t>
        </is>
      </c>
      <c r="K103" s="5" t="n"/>
      <c r="L103" s="6" t="n"/>
    </row>
    <row r="104" ht="24" customHeight="1">
      <c r="A104" s="104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6" t="n"/>
      <c r="D106" s="102" t="inlineStr">
        <is>
          <t>Squadra B</t>
        </is>
      </c>
      <c r="E106" s="6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6" t="n"/>
      <c r="J106" s="102" t="inlineStr">
        <is>
          <t>Risultato</t>
        </is>
      </c>
      <c r="K106" s="5" t="n"/>
      <c r="L106" s="6" t="n"/>
    </row>
    <row r="107" ht="24" customHeight="1">
      <c r="A107" s="104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6" t="n"/>
      <c r="D111" s="102" t="inlineStr">
        <is>
          <t>Squadra B</t>
        </is>
      </c>
      <c r="E111" s="6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6" t="n"/>
      <c r="J111" s="102" t="inlineStr">
        <is>
          <t>Risultato</t>
        </is>
      </c>
      <c r="K111" s="5" t="n"/>
      <c r="L111" s="6" t="n"/>
    </row>
    <row r="112" ht="24" customHeight="1">
      <c r="A112" s="104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6" t="n"/>
      <c r="D114" s="102" t="inlineStr">
        <is>
          <t>Squadra B</t>
        </is>
      </c>
      <c r="E114" s="6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6" t="n"/>
      <c r="J114" s="102" t="inlineStr">
        <is>
          <t>Risultato</t>
        </is>
      </c>
      <c r="K114" s="5" t="n"/>
      <c r="L114" s="6" t="n"/>
    </row>
    <row r="115" ht="24" customHeight="1">
      <c r="A115" s="104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6" t="n"/>
      <c r="D117" s="102" t="inlineStr">
        <is>
          <t>Squadra B</t>
        </is>
      </c>
      <c r="E117" s="6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6" t="n"/>
      <c r="J117" s="102" t="inlineStr">
        <is>
          <t>Risultato</t>
        </is>
      </c>
      <c r="K117" s="5" t="n"/>
      <c r="L117" s="6" t="n"/>
    </row>
    <row r="118" ht="24" customHeight="1">
      <c r="A118" s="104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6" t="n"/>
      <c r="D120" s="102" t="inlineStr">
        <is>
          <t>Squadra B</t>
        </is>
      </c>
      <c r="E120" s="6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6" t="n"/>
      <c r="J120" s="102" t="inlineStr">
        <is>
          <t>Risultato</t>
        </is>
      </c>
      <c r="K120" s="5" t="n"/>
      <c r="L120" s="6" t="n"/>
    </row>
    <row r="121" ht="24" customHeight="1">
      <c r="A121" s="104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6" t="n"/>
      <c r="D123" s="102" t="inlineStr">
        <is>
          <t>Squadra B</t>
        </is>
      </c>
      <c r="E123" s="6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6" t="n"/>
      <c r="J123" s="102" t="inlineStr">
        <is>
          <t>Risultato</t>
        </is>
      </c>
      <c r="K123" s="5" t="n"/>
      <c r="L123" s="6" t="n"/>
    </row>
    <row r="124" ht="24" customHeight="1">
      <c r="A124" s="104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6" t="n"/>
      <c r="D128" s="102" t="inlineStr">
        <is>
          <t>Squadra B</t>
        </is>
      </c>
      <c r="E128" s="6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6" t="n"/>
      <c r="J128" s="102" t="inlineStr">
        <is>
          <t>Risultato</t>
        </is>
      </c>
      <c r="K128" s="5" t="n"/>
      <c r="L128" s="6" t="n"/>
    </row>
    <row r="129" ht="24" customHeight="1">
      <c r="A129" s="104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6" t="n"/>
      <c r="D131" s="102" t="inlineStr">
        <is>
          <t>Squadra B</t>
        </is>
      </c>
      <c r="E131" s="6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6" t="n"/>
      <c r="J131" s="102" t="inlineStr">
        <is>
          <t>Risultato</t>
        </is>
      </c>
      <c r="K131" s="5" t="n"/>
      <c r="L131" s="6" t="n"/>
    </row>
    <row r="132" ht="24" customHeight="1">
      <c r="A132" s="104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6" t="n"/>
      <c r="D134" s="102" t="inlineStr">
        <is>
          <t>Squadra B</t>
        </is>
      </c>
      <c r="E134" s="6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6" t="n"/>
      <c r="J134" s="102" t="inlineStr">
        <is>
          <t>Risultato</t>
        </is>
      </c>
      <c r="K134" s="5" t="n"/>
      <c r="L134" s="6" t="n"/>
    </row>
    <row r="135" ht="24" customHeight="1">
      <c r="A135" s="104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6" t="n"/>
      <c r="D137" s="102" t="inlineStr">
        <is>
          <t>Squadra B</t>
        </is>
      </c>
      <c r="E137" s="6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6" t="n"/>
      <c r="J137" s="102" t="inlineStr">
        <is>
          <t>Risultato</t>
        </is>
      </c>
      <c r="K137" s="5" t="n"/>
      <c r="L137" s="6" t="n"/>
    </row>
    <row r="138" ht="24" customHeight="1">
      <c r="A138" s="104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6" t="n"/>
      <c r="D140" s="102" t="inlineStr">
        <is>
          <t>Squadra B</t>
        </is>
      </c>
      <c r="E140" s="6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6" t="n"/>
      <c r="J140" s="102" t="inlineStr">
        <is>
          <t>Risultato</t>
        </is>
      </c>
      <c r="K140" s="5" t="n"/>
      <c r="L140" s="6" t="n"/>
    </row>
    <row r="141" ht="24" customHeight="1">
      <c r="A141" s="104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6" t="n"/>
      <c r="D145" s="102" t="inlineStr">
        <is>
          <t>Squadra B</t>
        </is>
      </c>
      <c r="E145" s="6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6" t="n"/>
      <c r="J145" s="102" t="inlineStr">
        <is>
          <t>Risultato</t>
        </is>
      </c>
      <c r="K145" s="5" t="n"/>
      <c r="L145" s="6" t="n"/>
    </row>
    <row r="146" ht="24" customHeight="1">
      <c r="A146" s="104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6" t="n"/>
      <c r="D148" s="102" t="inlineStr">
        <is>
          <t>Squadra B</t>
        </is>
      </c>
      <c r="E148" s="6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6" t="n"/>
      <c r="J148" s="102" t="inlineStr">
        <is>
          <t>Risultato</t>
        </is>
      </c>
      <c r="K148" s="5" t="n"/>
      <c r="L148" s="6" t="n"/>
    </row>
    <row r="149" ht="24" customHeight="1">
      <c r="A149" s="104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6" t="n"/>
      <c r="D151" s="102" t="inlineStr">
        <is>
          <t>Squadra B</t>
        </is>
      </c>
      <c r="E151" s="6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6" t="n"/>
      <c r="J151" s="102" t="inlineStr">
        <is>
          <t>Risultato</t>
        </is>
      </c>
      <c r="K151" s="5" t="n"/>
      <c r="L151" s="6" t="n"/>
    </row>
    <row r="152" ht="24" customHeight="1">
      <c r="A152" s="104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6" t="n"/>
      <c r="D154" s="102" t="inlineStr">
        <is>
          <t>Squadra B</t>
        </is>
      </c>
      <c r="E154" s="6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6" t="n"/>
      <c r="J154" s="102" t="inlineStr">
        <is>
          <t>Risultato</t>
        </is>
      </c>
      <c r="K154" s="5" t="n"/>
      <c r="L154" s="6" t="n"/>
    </row>
    <row r="155" ht="24" customHeight="1">
      <c r="A155" s="104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6" t="n"/>
      <c r="D157" s="102" t="inlineStr">
        <is>
          <t>Squadra B</t>
        </is>
      </c>
      <c r="E157" s="6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6" t="n"/>
      <c r="J157" s="102" t="inlineStr">
        <is>
          <t>Risultato</t>
        </is>
      </c>
      <c r="K157" s="5" t="n"/>
      <c r="L157" s="6" t="n"/>
    </row>
    <row r="158" ht="24" customHeight="1">
      <c r="A158" s="104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05">
        <f>"GIRONE G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6" t="n"/>
      <c r="D9" s="109" t="inlineStr">
        <is>
          <t>Squadra B</t>
        </is>
      </c>
      <c r="E9" s="6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6" t="n"/>
      <c r="J9" s="109" t="inlineStr">
        <is>
          <t>Risultato</t>
        </is>
      </c>
      <c r="K9" s="5" t="n"/>
      <c r="L9" s="6" t="n"/>
    </row>
    <row r="10" ht="24" customHeight="1">
      <c r="A10" s="111" t="n">
        <v>271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6" t="n"/>
      <c r="D12" s="109" t="inlineStr">
        <is>
          <t>Squadra B</t>
        </is>
      </c>
      <c r="E12" s="6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6" t="n"/>
      <c r="J12" s="109" t="inlineStr">
        <is>
          <t>Risultato</t>
        </is>
      </c>
      <c r="K12" s="5" t="n"/>
      <c r="L12" s="6" t="n"/>
    </row>
    <row r="13" ht="24" customHeight="1">
      <c r="A13" s="111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6" t="n"/>
      <c r="D15" s="109" t="inlineStr">
        <is>
          <t>Squadra B</t>
        </is>
      </c>
      <c r="E15" s="6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6" t="n"/>
      <c r="J15" s="109" t="inlineStr">
        <is>
          <t>Risultato</t>
        </is>
      </c>
      <c r="K15" s="5" t="n"/>
      <c r="L15" s="6" t="n"/>
    </row>
    <row r="16" ht="24" customHeight="1">
      <c r="A16" s="111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6" t="n"/>
      <c r="D18" s="109" t="inlineStr">
        <is>
          <t>Squadra B</t>
        </is>
      </c>
      <c r="E18" s="6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6" t="n"/>
      <c r="J18" s="109" t="inlineStr">
        <is>
          <t>Risultato</t>
        </is>
      </c>
      <c r="K18" s="5" t="n"/>
      <c r="L18" s="6" t="n"/>
    </row>
    <row r="19" ht="24" customHeight="1">
      <c r="A19" s="111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6" t="n"/>
      <c r="D21" s="109" t="inlineStr">
        <is>
          <t>Squadra B</t>
        </is>
      </c>
      <c r="E21" s="6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6" t="n"/>
      <c r="J21" s="109" t="inlineStr">
        <is>
          <t>Risultato</t>
        </is>
      </c>
      <c r="K21" s="5" t="n"/>
      <c r="L21" s="6" t="n"/>
    </row>
    <row r="22" ht="24" customHeight="1">
      <c r="A22" s="111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6" t="n"/>
      <c r="D26" s="109" t="inlineStr">
        <is>
          <t>Squadra B</t>
        </is>
      </c>
      <c r="E26" s="6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6" t="n"/>
      <c r="J26" s="109" t="inlineStr">
        <is>
          <t>Risultato</t>
        </is>
      </c>
      <c r="K26" s="5" t="n"/>
      <c r="L26" s="6" t="n"/>
    </row>
    <row r="27" ht="24" customHeight="1">
      <c r="A27" s="111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6" t="n"/>
      <c r="D29" s="109" t="inlineStr">
        <is>
          <t>Squadra B</t>
        </is>
      </c>
      <c r="E29" s="6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6" t="n"/>
      <c r="J29" s="109" t="inlineStr">
        <is>
          <t>Risultato</t>
        </is>
      </c>
      <c r="K29" s="5" t="n"/>
      <c r="L29" s="6" t="n"/>
    </row>
    <row r="30" ht="24" customHeight="1">
      <c r="A30" s="111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6" t="n"/>
      <c r="D32" s="109" t="inlineStr">
        <is>
          <t>Squadra B</t>
        </is>
      </c>
      <c r="E32" s="6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6" t="n"/>
      <c r="J32" s="109" t="inlineStr">
        <is>
          <t>Risultato</t>
        </is>
      </c>
      <c r="K32" s="5" t="n"/>
      <c r="L32" s="6" t="n"/>
    </row>
    <row r="33" ht="24" customHeight="1">
      <c r="A33" s="111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6" t="n"/>
      <c r="D35" s="109" t="inlineStr">
        <is>
          <t>Squadra B</t>
        </is>
      </c>
      <c r="E35" s="6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6" t="n"/>
      <c r="J35" s="109" t="inlineStr">
        <is>
          <t>Risultato</t>
        </is>
      </c>
      <c r="K35" s="5" t="n"/>
      <c r="L35" s="6" t="n"/>
    </row>
    <row r="36" ht="24" customHeight="1">
      <c r="A36" s="111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6" t="n"/>
      <c r="D38" s="109" t="inlineStr">
        <is>
          <t>Squadra B</t>
        </is>
      </c>
      <c r="E38" s="6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6" t="n"/>
      <c r="J38" s="109" t="inlineStr">
        <is>
          <t>Risultato</t>
        </is>
      </c>
      <c r="K38" s="5" t="n"/>
      <c r="L38" s="6" t="n"/>
    </row>
    <row r="39" ht="24" customHeight="1">
      <c r="A39" s="111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6" t="n"/>
      <c r="D43" s="109" t="inlineStr">
        <is>
          <t>Squadra B</t>
        </is>
      </c>
      <c r="E43" s="6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6" t="n"/>
      <c r="J43" s="109" t="inlineStr">
        <is>
          <t>Risultato</t>
        </is>
      </c>
      <c r="K43" s="5" t="n"/>
      <c r="L43" s="6" t="n"/>
    </row>
    <row r="44" ht="24" customHeight="1">
      <c r="A44" s="111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6" t="n"/>
      <c r="D46" s="109" t="inlineStr">
        <is>
          <t>Squadra B</t>
        </is>
      </c>
      <c r="E46" s="6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6" t="n"/>
      <c r="J46" s="109" t="inlineStr">
        <is>
          <t>Risultato</t>
        </is>
      </c>
      <c r="K46" s="5" t="n"/>
      <c r="L46" s="6" t="n"/>
    </row>
    <row r="47" ht="24" customHeight="1">
      <c r="A47" s="111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6" t="n"/>
      <c r="D49" s="109" t="inlineStr">
        <is>
          <t>Squadra B</t>
        </is>
      </c>
      <c r="E49" s="6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6" t="n"/>
      <c r="J49" s="109" t="inlineStr">
        <is>
          <t>Risultato</t>
        </is>
      </c>
      <c r="K49" s="5" t="n"/>
      <c r="L49" s="6" t="n"/>
    </row>
    <row r="50" ht="24" customHeight="1">
      <c r="A50" s="111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6" t="n"/>
      <c r="D52" s="109" t="inlineStr">
        <is>
          <t>Squadra B</t>
        </is>
      </c>
      <c r="E52" s="6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6" t="n"/>
      <c r="J52" s="109" t="inlineStr">
        <is>
          <t>Risultato</t>
        </is>
      </c>
      <c r="K52" s="5" t="n"/>
      <c r="L52" s="6" t="n"/>
    </row>
    <row r="53" ht="24" customHeight="1">
      <c r="A53" s="111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6" t="n"/>
      <c r="D55" s="109" t="inlineStr">
        <is>
          <t>Squadra B</t>
        </is>
      </c>
      <c r="E55" s="6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6" t="n"/>
      <c r="J55" s="109" t="inlineStr">
        <is>
          <t>Risultato</t>
        </is>
      </c>
      <c r="K55" s="5" t="n"/>
      <c r="L55" s="6" t="n"/>
    </row>
    <row r="56" ht="24" customHeight="1">
      <c r="A56" s="111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6" t="n"/>
      <c r="D60" s="109" t="inlineStr">
        <is>
          <t>Squadra B</t>
        </is>
      </c>
      <c r="E60" s="6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6" t="n"/>
      <c r="J60" s="109" t="inlineStr">
        <is>
          <t>Risultato</t>
        </is>
      </c>
      <c r="K60" s="5" t="n"/>
      <c r="L60" s="6" t="n"/>
    </row>
    <row r="61" ht="24" customHeight="1">
      <c r="A61" s="111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6" t="n"/>
      <c r="D63" s="109" t="inlineStr">
        <is>
          <t>Squadra B</t>
        </is>
      </c>
      <c r="E63" s="6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6" t="n"/>
      <c r="J63" s="109" t="inlineStr">
        <is>
          <t>Risultato</t>
        </is>
      </c>
      <c r="K63" s="5" t="n"/>
      <c r="L63" s="6" t="n"/>
    </row>
    <row r="64" ht="24" customHeight="1">
      <c r="A64" s="111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6" t="n"/>
      <c r="D66" s="109" t="inlineStr">
        <is>
          <t>Squadra B</t>
        </is>
      </c>
      <c r="E66" s="6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6" t="n"/>
      <c r="J66" s="109" t="inlineStr">
        <is>
          <t>Risultato</t>
        </is>
      </c>
      <c r="K66" s="5" t="n"/>
      <c r="L66" s="6" t="n"/>
    </row>
    <row r="67" ht="24" customHeight="1">
      <c r="A67" s="111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6" t="n"/>
      <c r="D69" s="109" t="inlineStr">
        <is>
          <t>Squadra B</t>
        </is>
      </c>
      <c r="E69" s="6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6" t="n"/>
      <c r="J69" s="109" t="inlineStr">
        <is>
          <t>Risultato</t>
        </is>
      </c>
      <c r="K69" s="5" t="n"/>
      <c r="L69" s="6" t="n"/>
    </row>
    <row r="70" ht="24" customHeight="1">
      <c r="A70" s="111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6" t="n"/>
      <c r="D72" s="109" t="inlineStr">
        <is>
          <t>Squadra B</t>
        </is>
      </c>
      <c r="E72" s="6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6" t="n"/>
      <c r="J72" s="109" t="inlineStr">
        <is>
          <t>Risultato</t>
        </is>
      </c>
      <c r="K72" s="5" t="n"/>
      <c r="L72" s="6" t="n"/>
    </row>
    <row r="73" ht="24" customHeight="1">
      <c r="A73" s="111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6" t="n"/>
      <c r="D77" s="109" t="inlineStr">
        <is>
          <t>Squadra B</t>
        </is>
      </c>
      <c r="E77" s="6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6" t="n"/>
      <c r="J77" s="109" t="inlineStr">
        <is>
          <t>Risultato</t>
        </is>
      </c>
      <c r="K77" s="5" t="n"/>
      <c r="L77" s="6" t="n"/>
    </row>
    <row r="78" ht="24" customHeight="1">
      <c r="A78" s="111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6" t="n"/>
      <c r="D80" s="109" t="inlineStr">
        <is>
          <t>Squadra B</t>
        </is>
      </c>
      <c r="E80" s="6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6" t="n"/>
      <c r="J80" s="109" t="inlineStr">
        <is>
          <t>Risultato</t>
        </is>
      </c>
      <c r="K80" s="5" t="n"/>
      <c r="L80" s="6" t="n"/>
    </row>
    <row r="81" ht="24" customHeight="1">
      <c r="A81" s="111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6" t="n"/>
      <c r="D83" s="109" t="inlineStr">
        <is>
          <t>Squadra B</t>
        </is>
      </c>
      <c r="E83" s="6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6" t="n"/>
      <c r="J83" s="109" t="inlineStr">
        <is>
          <t>Risultato</t>
        </is>
      </c>
      <c r="K83" s="5" t="n"/>
      <c r="L83" s="6" t="n"/>
    </row>
    <row r="84" ht="24" customHeight="1">
      <c r="A84" s="111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6" t="n"/>
      <c r="D86" s="109" t="inlineStr">
        <is>
          <t>Squadra B</t>
        </is>
      </c>
      <c r="E86" s="6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6" t="n"/>
      <c r="J86" s="109" t="inlineStr">
        <is>
          <t>Risultato</t>
        </is>
      </c>
      <c r="K86" s="5" t="n"/>
      <c r="L86" s="6" t="n"/>
    </row>
    <row r="87" ht="24" customHeight="1">
      <c r="A87" s="111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6" t="n"/>
      <c r="D89" s="109" t="inlineStr">
        <is>
          <t>Squadra B</t>
        </is>
      </c>
      <c r="E89" s="6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6" t="n"/>
      <c r="J89" s="109" t="inlineStr">
        <is>
          <t>Risultato</t>
        </is>
      </c>
      <c r="K89" s="5" t="n"/>
      <c r="L89" s="6" t="n"/>
    </row>
    <row r="90" ht="24" customHeight="1">
      <c r="A90" s="111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6" t="n"/>
      <c r="D94" s="109" t="inlineStr">
        <is>
          <t>Squadra B</t>
        </is>
      </c>
      <c r="E94" s="6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6" t="n"/>
      <c r="J94" s="109" t="inlineStr">
        <is>
          <t>Risultato</t>
        </is>
      </c>
      <c r="K94" s="5" t="n"/>
      <c r="L94" s="6" t="n"/>
    </row>
    <row r="95" ht="24" customHeight="1">
      <c r="A95" s="111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6" t="n"/>
      <c r="D97" s="109" t="inlineStr">
        <is>
          <t>Squadra B</t>
        </is>
      </c>
      <c r="E97" s="6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6" t="n"/>
      <c r="J97" s="109" t="inlineStr">
        <is>
          <t>Risultato</t>
        </is>
      </c>
      <c r="K97" s="5" t="n"/>
      <c r="L97" s="6" t="n"/>
    </row>
    <row r="98" ht="24" customHeight="1">
      <c r="A98" s="111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6" t="n"/>
      <c r="D100" s="109" t="inlineStr">
        <is>
          <t>Squadra B</t>
        </is>
      </c>
      <c r="E100" s="6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6" t="n"/>
      <c r="J100" s="109" t="inlineStr">
        <is>
          <t>Risultato</t>
        </is>
      </c>
      <c r="K100" s="5" t="n"/>
      <c r="L100" s="6" t="n"/>
    </row>
    <row r="101" ht="24" customHeight="1">
      <c r="A101" s="111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6" t="n"/>
      <c r="D103" s="109" t="inlineStr">
        <is>
          <t>Squadra B</t>
        </is>
      </c>
      <c r="E103" s="6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6" t="n"/>
      <c r="J103" s="109" t="inlineStr">
        <is>
          <t>Risultato</t>
        </is>
      </c>
      <c r="K103" s="5" t="n"/>
      <c r="L103" s="6" t="n"/>
    </row>
    <row r="104" ht="24" customHeight="1">
      <c r="A104" s="111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6" t="n"/>
      <c r="D106" s="109" t="inlineStr">
        <is>
          <t>Squadra B</t>
        </is>
      </c>
      <c r="E106" s="6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6" t="n"/>
      <c r="J106" s="109" t="inlineStr">
        <is>
          <t>Risultato</t>
        </is>
      </c>
      <c r="K106" s="5" t="n"/>
      <c r="L106" s="6" t="n"/>
    </row>
    <row r="107" ht="24" customHeight="1">
      <c r="A107" s="111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6" t="n"/>
      <c r="D111" s="109" t="inlineStr">
        <is>
          <t>Squadra B</t>
        </is>
      </c>
      <c r="E111" s="6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6" t="n"/>
      <c r="J111" s="109" t="inlineStr">
        <is>
          <t>Risultato</t>
        </is>
      </c>
      <c r="K111" s="5" t="n"/>
      <c r="L111" s="6" t="n"/>
    </row>
    <row r="112" ht="24" customHeight="1">
      <c r="A112" s="111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6" t="n"/>
      <c r="D114" s="109" t="inlineStr">
        <is>
          <t>Squadra B</t>
        </is>
      </c>
      <c r="E114" s="6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6" t="n"/>
      <c r="J114" s="109" t="inlineStr">
        <is>
          <t>Risultato</t>
        </is>
      </c>
      <c r="K114" s="5" t="n"/>
      <c r="L114" s="6" t="n"/>
    </row>
    <row r="115" ht="24" customHeight="1">
      <c r="A115" s="111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6" t="n"/>
      <c r="D117" s="109" t="inlineStr">
        <is>
          <t>Squadra B</t>
        </is>
      </c>
      <c r="E117" s="6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6" t="n"/>
      <c r="J117" s="109" t="inlineStr">
        <is>
          <t>Risultato</t>
        </is>
      </c>
      <c r="K117" s="5" t="n"/>
      <c r="L117" s="6" t="n"/>
    </row>
    <row r="118" ht="24" customHeight="1">
      <c r="A118" s="111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6" t="n"/>
      <c r="D120" s="109" t="inlineStr">
        <is>
          <t>Squadra B</t>
        </is>
      </c>
      <c r="E120" s="6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6" t="n"/>
      <c r="J120" s="109" t="inlineStr">
        <is>
          <t>Risultato</t>
        </is>
      </c>
      <c r="K120" s="5" t="n"/>
      <c r="L120" s="6" t="n"/>
    </row>
    <row r="121" ht="24" customHeight="1">
      <c r="A121" s="111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6" t="n"/>
      <c r="D123" s="109" t="inlineStr">
        <is>
          <t>Squadra B</t>
        </is>
      </c>
      <c r="E123" s="6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6" t="n"/>
      <c r="J123" s="109" t="inlineStr">
        <is>
          <t>Risultato</t>
        </is>
      </c>
      <c r="K123" s="5" t="n"/>
      <c r="L123" s="6" t="n"/>
    </row>
    <row r="124" ht="24" customHeight="1">
      <c r="A124" s="111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6" t="n"/>
      <c r="D128" s="109" t="inlineStr">
        <is>
          <t>Squadra B</t>
        </is>
      </c>
      <c r="E128" s="6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6" t="n"/>
      <c r="J128" s="109" t="inlineStr">
        <is>
          <t>Risultato</t>
        </is>
      </c>
      <c r="K128" s="5" t="n"/>
      <c r="L128" s="6" t="n"/>
    </row>
    <row r="129" ht="24" customHeight="1">
      <c r="A129" s="111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6" t="n"/>
      <c r="D131" s="109" t="inlineStr">
        <is>
          <t>Squadra B</t>
        </is>
      </c>
      <c r="E131" s="6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6" t="n"/>
      <c r="J131" s="109" t="inlineStr">
        <is>
          <t>Risultato</t>
        </is>
      </c>
      <c r="K131" s="5" t="n"/>
      <c r="L131" s="6" t="n"/>
    </row>
    <row r="132" ht="24" customHeight="1">
      <c r="A132" s="111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6" t="n"/>
      <c r="D134" s="109" t="inlineStr">
        <is>
          <t>Squadra B</t>
        </is>
      </c>
      <c r="E134" s="6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6" t="n"/>
      <c r="J134" s="109" t="inlineStr">
        <is>
          <t>Risultato</t>
        </is>
      </c>
      <c r="K134" s="5" t="n"/>
      <c r="L134" s="6" t="n"/>
    </row>
    <row r="135" ht="24" customHeight="1">
      <c r="A135" s="111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6" t="n"/>
      <c r="D137" s="109" t="inlineStr">
        <is>
          <t>Squadra B</t>
        </is>
      </c>
      <c r="E137" s="6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6" t="n"/>
      <c r="J137" s="109" t="inlineStr">
        <is>
          <t>Risultato</t>
        </is>
      </c>
      <c r="K137" s="5" t="n"/>
      <c r="L137" s="6" t="n"/>
    </row>
    <row r="138" ht="24" customHeight="1">
      <c r="A138" s="111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6" t="n"/>
      <c r="D140" s="109" t="inlineStr">
        <is>
          <t>Squadra B</t>
        </is>
      </c>
      <c r="E140" s="6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6" t="n"/>
      <c r="J140" s="109" t="inlineStr">
        <is>
          <t>Risultato</t>
        </is>
      </c>
      <c r="K140" s="5" t="n"/>
      <c r="L140" s="6" t="n"/>
    </row>
    <row r="141" ht="24" customHeight="1">
      <c r="A141" s="111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6" t="n"/>
      <c r="D145" s="109" t="inlineStr">
        <is>
          <t>Squadra B</t>
        </is>
      </c>
      <c r="E145" s="6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6" t="n"/>
      <c r="J145" s="109" t="inlineStr">
        <is>
          <t>Risultato</t>
        </is>
      </c>
      <c r="K145" s="5" t="n"/>
      <c r="L145" s="6" t="n"/>
    </row>
    <row r="146" ht="24" customHeight="1">
      <c r="A146" s="111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6" t="n"/>
      <c r="D148" s="109" t="inlineStr">
        <is>
          <t>Squadra B</t>
        </is>
      </c>
      <c r="E148" s="6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6" t="n"/>
      <c r="J148" s="109" t="inlineStr">
        <is>
          <t>Risultato</t>
        </is>
      </c>
      <c r="K148" s="5" t="n"/>
      <c r="L148" s="6" t="n"/>
    </row>
    <row r="149" ht="24" customHeight="1">
      <c r="A149" s="111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6" t="n"/>
      <c r="D151" s="109" t="inlineStr">
        <is>
          <t>Squadra B</t>
        </is>
      </c>
      <c r="E151" s="6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6" t="n"/>
      <c r="J151" s="109" t="inlineStr">
        <is>
          <t>Risultato</t>
        </is>
      </c>
      <c r="K151" s="5" t="n"/>
      <c r="L151" s="6" t="n"/>
    </row>
    <row r="152" ht="24" customHeight="1">
      <c r="A152" s="111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6" t="n"/>
      <c r="D154" s="109" t="inlineStr">
        <is>
          <t>Squadra B</t>
        </is>
      </c>
      <c r="E154" s="6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6" t="n"/>
      <c r="J154" s="109" t="inlineStr">
        <is>
          <t>Risultato</t>
        </is>
      </c>
      <c r="K154" s="5" t="n"/>
      <c r="L154" s="6" t="n"/>
    </row>
    <row r="155" ht="24" customHeight="1">
      <c r="A155" s="111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6" t="n"/>
      <c r="D157" s="109" t="inlineStr">
        <is>
          <t>Squadra B</t>
        </is>
      </c>
      <c r="E157" s="6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6" t="n"/>
      <c r="J157" s="109" t="inlineStr">
        <is>
          <t>Risultato</t>
        </is>
      </c>
      <c r="K157" s="5" t="n"/>
      <c r="L157" s="6" t="n"/>
    </row>
    <row r="158" ht="24" customHeight="1">
      <c r="A158" s="111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2">
        <f>"GIRONE H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6" t="n"/>
      <c r="D9" s="116" t="inlineStr">
        <is>
          <t>Squadra B</t>
        </is>
      </c>
      <c r="E9" s="6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6" t="n"/>
      <c r="J9" s="116" t="inlineStr">
        <is>
          <t>Risultato</t>
        </is>
      </c>
      <c r="K9" s="5" t="n"/>
      <c r="L9" s="6" t="n"/>
    </row>
    <row r="10" ht="24" customHeight="1">
      <c r="A10" s="118" t="n">
        <v>316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6" t="n"/>
      <c r="D12" s="116" t="inlineStr">
        <is>
          <t>Squadra B</t>
        </is>
      </c>
      <c r="E12" s="6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6" t="n"/>
      <c r="J12" s="116" t="inlineStr">
        <is>
          <t>Risultato</t>
        </is>
      </c>
      <c r="K12" s="5" t="n"/>
      <c r="L12" s="6" t="n"/>
    </row>
    <row r="13" ht="24" customHeight="1">
      <c r="A13" s="118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6" t="n"/>
      <c r="D15" s="116" t="inlineStr">
        <is>
          <t>Squadra B</t>
        </is>
      </c>
      <c r="E15" s="6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6" t="n"/>
      <c r="J15" s="116" t="inlineStr">
        <is>
          <t>Risultato</t>
        </is>
      </c>
      <c r="K15" s="5" t="n"/>
      <c r="L15" s="6" t="n"/>
    </row>
    <row r="16" ht="24" customHeight="1">
      <c r="A16" s="118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6" t="n"/>
      <c r="D18" s="116" t="inlineStr">
        <is>
          <t>Squadra B</t>
        </is>
      </c>
      <c r="E18" s="6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6" t="n"/>
      <c r="J18" s="116" t="inlineStr">
        <is>
          <t>Risultato</t>
        </is>
      </c>
      <c r="K18" s="5" t="n"/>
      <c r="L18" s="6" t="n"/>
    </row>
    <row r="19" ht="24" customHeight="1">
      <c r="A19" s="118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6" t="n"/>
      <c r="D21" s="116" t="inlineStr">
        <is>
          <t>Squadra B</t>
        </is>
      </c>
      <c r="E21" s="6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6" t="n"/>
      <c r="J21" s="116" t="inlineStr">
        <is>
          <t>Risultato</t>
        </is>
      </c>
      <c r="K21" s="5" t="n"/>
      <c r="L21" s="6" t="n"/>
    </row>
    <row r="22" ht="24" customHeight="1">
      <c r="A22" s="118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6" t="n"/>
      <c r="D26" s="116" t="inlineStr">
        <is>
          <t>Squadra B</t>
        </is>
      </c>
      <c r="E26" s="6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6" t="n"/>
      <c r="J26" s="116" t="inlineStr">
        <is>
          <t>Risultato</t>
        </is>
      </c>
      <c r="K26" s="5" t="n"/>
      <c r="L26" s="6" t="n"/>
    </row>
    <row r="27" ht="24" customHeight="1">
      <c r="A27" s="118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6" t="n"/>
      <c r="D29" s="116" t="inlineStr">
        <is>
          <t>Squadra B</t>
        </is>
      </c>
      <c r="E29" s="6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6" t="n"/>
      <c r="J29" s="116" t="inlineStr">
        <is>
          <t>Risultato</t>
        </is>
      </c>
      <c r="K29" s="5" t="n"/>
      <c r="L29" s="6" t="n"/>
    </row>
    <row r="30" ht="24" customHeight="1">
      <c r="A30" s="118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6" t="n"/>
      <c r="D32" s="116" t="inlineStr">
        <is>
          <t>Squadra B</t>
        </is>
      </c>
      <c r="E32" s="6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6" t="n"/>
      <c r="J32" s="116" t="inlineStr">
        <is>
          <t>Risultato</t>
        </is>
      </c>
      <c r="K32" s="5" t="n"/>
      <c r="L32" s="6" t="n"/>
    </row>
    <row r="33" ht="24" customHeight="1">
      <c r="A33" s="118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6" t="n"/>
      <c r="D35" s="116" t="inlineStr">
        <is>
          <t>Squadra B</t>
        </is>
      </c>
      <c r="E35" s="6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6" t="n"/>
      <c r="J35" s="116" t="inlineStr">
        <is>
          <t>Risultato</t>
        </is>
      </c>
      <c r="K35" s="5" t="n"/>
      <c r="L35" s="6" t="n"/>
    </row>
    <row r="36" ht="24" customHeight="1">
      <c r="A36" s="118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6" t="n"/>
      <c r="D38" s="116" t="inlineStr">
        <is>
          <t>Squadra B</t>
        </is>
      </c>
      <c r="E38" s="6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6" t="n"/>
      <c r="J38" s="116" t="inlineStr">
        <is>
          <t>Risultato</t>
        </is>
      </c>
      <c r="K38" s="5" t="n"/>
      <c r="L38" s="6" t="n"/>
    </row>
    <row r="39" ht="24" customHeight="1">
      <c r="A39" s="118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6" t="n"/>
      <c r="D43" s="116" t="inlineStr">
        <is>
          <t>Squadra B</t>
        </is>
      </c>
      <c r="E43" s="6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6" t="n"/>
      <c r="J43" s="116" t="inlineStr">
        <is>
          <t>Risultato</t>
        </is>
      </c>
      <c r="K43" s="5" t="n"/>
      <c r="L43" s="6" t="n"/>
    </row>
    <row r="44" ht="24" customHeight="1">
      <c r="A44" s="118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6" t="n"/>
      <c r="D46" s="116" t="inlineStr">
        <is>
          <t>Squadra B</t>
        </is>
      </c>
      <c r="E46" s="6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6" t="n"/>
      <c r="J46" s="116" t="inlineStr">
        <is>
          <t>Risultato</t>
        </is>
      </c>
      <c r="K46" s="5" t="n"/>
      <c r="L46" s="6" t="n"/>
    </row>
    <row r="47" ht="24" customHeight="1">
      <c r="A47" s="118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6" t="n"/>
      <c r="D49" s="116" t="inlineStr">
        <is>
          <t>Squadra B</t>
        </is>
      </c>
      <c r="E49" s="6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6" t="n"/>
      <c r="J49" s="116" t="inlineStr">
        <is>
          <t>Risultato</t>
        </is>
      </c>
      <c r="K49" s="5" t="n"/>
      <c r="L49" s="6" t="n"/>
    </row>
    <row r="50" ht="24" customHeight="1">
      <c r="A50" s="118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6" t="n"/>
      <c r="D52" s="116" t="inlineStr">
        <is>
          <t>Squadra B</t>
        </is>
      </c>
      <c r="E52" s="6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6" t="n"/>
      <c r="J52" s="116" t="inlineStr">
        <is>
          <t>Risultato</t>
        </is>
      </c>
      <c r="K52" s="5" t="n"/>
      <c r="L52" s="6" t="n"/>
    </row>
    <row r="53" ht="24" customHeight="1">
      <c r="A53" s="118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6" t="n"/>
      <c r="D55" s="116" t="inlineStr">
        <is>
          <t>Squadra B</t>
        </is>
      </c>
      <c r="E55" s="6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6" t="n"/>
      <c r="J55" s="116" t="inlineStr">
        <is>
          <t>Risultato</t>
        </is>
      </c>
      <c r="K55" s="5" t="n"/>
      <c r="L55" s="6" t="n"/>
    </row>
    <row r="56" ht="24" customHeight="1">
      <c r="A56" s="118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6" t="n"/>
      <c r="D60" s="116" t="inlineStr">
        <is>
          <t>Squadra B</t>
        </is>
      </c>
      <c r="E60" s="6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6" t="n"/>
      <c r="J60" s="116" t="inlineStr">
        <is>
          <t>Risultato</t>
        </is>
      </c>
      <c r="K60" s="5" t="n"/>
      <c r="L60" s="6" t="n"/>
    </row>
    <row r="61" ht="24" customHeight="1">
      <c r="A61" s="118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6" t="n"/>
      <c r="D63" s="116" t="inlineStr">
        <is>
          <t>Squadra B</t>
        </is>
      </c>
      <c r="E63" s="6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6" t="n"/>
      <c r="J63" s="116" t="inlineStr">
        <is>
          <t>Risultato</t>
        </is>
      </c>
      <c r="K63" s="5" t="n"/>
      <c r="L63" s="6" t="n"/>
    </row>
    <row r="64" ht="24" customHeight="1">
      <c r="A64" s="118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6" t="n"/>
      <c r="D66" s="116" t="inlineStr">
        <is>
          <t>Squadra B</t>
        </is>
      </c>
      <c r="E66" s="6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6" t="n"/>
      <c r="J66" s="116" t="inlineStr">
        <is>
          <t>Risultato</t>
        </is>
      </c>
      <c r="K66" s="5" t="n"/>
      <c r="L66" s="6" t="n"/>
    </row>
    <row r="67" ht="24" customHeight="1">
      <c r="A67" s="118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6" t="n"/>
      <c r="D69" s="116" t="inlineStr">
        <is>
          <t>Squadra B</t>
        </is>
      </c>
      <c r="E69" s="6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6" t="n"/>
      <c r="J69" s="116" t="inlineStr">
        <is>
          <t>Risultato</t>
        </is>
      </c>
      <c r="K69" s="5" t="n"/>
      <c r="L69" s="6" t="n"/>
    </row>
    <row r="70" ht="24" customHeight="1">
      <c r="A70" s="118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6" t="n"/>
      <c r="D72" s="116" t="inlineStr">
        <is>
          <t>Squadra B</t>
        </is>
      </c>
      <c r="E72" s="6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6" t="n"/>
      <c r="J72" s="116" t="inlineStr">
        <is>
          <t>Risultato</t>
        </is>
      </c>
      <c r="K72" s="5" t="n"/>
      <c r="L72" s="6" t="n"/>
    </row>
    <row r="73" ht="24" customHeight="1">
      <c r="A73" s="118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6" t="n"/>
      <c r="D77" s="116" t="inlineStr">
        <is>
          <t>Squadra B</t>
        </is>
      </c>
      <c r="E77" s="6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6" t="n"/>
      <c r="J77" s="116" t="inlineStr">
        <is>
          <t>Risultato</t>
        </is>
      </c>
      <c r="K77" s="5" t="n"/>
      <c r="L77" s="6" t="n"/>
    </row>
    <row r="78" ht="24" customHeight="1">
      <c r="A78" s="118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6" t="n"/>
      <c r="D80" s="116" t="inlineStr">
        <is>
          <t>Squadra B</t>
        </is>
      </c>
      <c r="E80" s="6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6" t="n"/>
      <c r="J80" s="116" t="inlineStr">
        <is>
          <t>Risultato</t>
        </is>
      </c>
      <c r="K80" s="5" t="n"/>
      <c r="L80" s="6" t="n"/>
    </row>
    <row r="81" ht="24" customHeight="1">
      <c r="A81" s="118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6" t="n"/>
      <c r="D83" s="116" t="inlineStr">
        <is>
          <t>Squadra B</t>
        </is>
      </c>
      <c r="E83" s="6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6" t="n"/>
      <c r="J83" s="116" t="inlineStr">
        <is>
          <t>Risultato</t>
        </is>
      </c>
      <c r="K83" s="5" t="n"/>
      <c r="L83" s="6" t="n"/>
    </row>
    <row r="84" ht="24" customHeight="1">
      <c r="A84" s="118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6" t="n"/>
      <c r="D86" s="116" t="inlineStr">
        <is>
          <t>Squadra B</t>
        </is>
      </c>
      <c r="E86" s="6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6" t="n"/>
      <c r="J86" s="116" t="inlineStr">
        <is>
          <t>Risultato</t>
        </is>
      </c>
      <c r="K86" s="5" t="n"/>
      <c r="L86" s="6" t="n"/>
    </row>
    <row r="87" ht="24" customHeight="1">
      <c r="A87" s="118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6" t="n"/>
      <c r="D89" s="116" t="inlineStr">
        <is>
          <t>Squadra B</t>
        </is>
      </c>
      <c r="E89" s="6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6" t="n"/>
      <c r="J89" s="116" t="inlineStr">
        <is>
          <t>Risultato</t>
        </is>
      </c>
      <c r="K89" s="5" t="n"/>
      <c r="L89" s="6" t="n"/>
    </row>
    <row r="90" ht="24" customHeight="1">
      <c r="A90" s="118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6" t="n"/>
      <c r="D94" s="116" t="inlineStr">
        <is>
          <t>Squadra B</t>
        </is>
      </c>
      <c r="E94" s="6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6" t="n"/>
      <c r="J94" s="116" t="inlineStr">
        <is>
          <t>Risultato</t>
        </is>
      </c>
      <c r="K94" s="5" t="n"/>
      <c r="L94" s="6" t="n"/>
    </row>
    <row r="95" ht="24" customHeight="1">
      <c r="A95" s="118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6" t="n"/>
      <c r="D97" s="116" t="inlineStr">
        <is>
          <t>Squadra B</t>
        </is>
      </c>
      <c r="E97" s="6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6" t="n"/>
      <c r="J97" s="116" t="inlineStr">
        <is>
          <t>Risultato</t>
        </is>
      </c>
      <c r="K97" s="5" t="n"/>
      <c r="L97" s="6" t="n"/>
    </row>
    <row r="98" ht="24" customHeight="1">
      <c r="A98" s="118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6" t="n"/>
      <c r="D100" s="116" t="inlineStr">
        <is>
          <t>Squadra B</t>
        </is>
      </c>
      <c r="E100" s="6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6" t="n"/>
      <c r="J100" s="116" t="inlineStr">
        <is>
          <t>Risultato</t>
        </is>
      </c>
      <c r="K100" s="5" t="n"/>
      <c r="L100" s="6" t="n"/>
    </row>
    <row r="101" ht="24" customHeight="1">
      <c r="A101" s="118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6" t="n"/>
      <c r="D103" s="116" t="inlineStr">
        <is>
          <t>Squadra B</t>
        </is>
      </c>
      <c r="E103" s="6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6" t="n"/>
      <c r="J103" s="116" t="inlineStr">
        <is>
          <t>Risultato</t>
        </is>
      </c>
      <c r="K103" s="5" t="n"/>
      <c r="L103" s="6" t="n"/>
    </row>
    <row r="104" ht="24" customHeight="1">
      <c r="A104" s="118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6" t="n"/>
      <c r="D106" s="116" t="inlineStr">
        <is>
          <t>Squadra B</t>
        </is>
      </c>
      <c r="E106" s="6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6" t="n"/>
      <c r="J106" s="116" t="inlineStr">
        <is>
          <t>Risultato</t>
        </is>
      </c>
      <c r="K106" s="5" t="n"/>
      <c r="L106" s="6" t="n"/>
    </row>
    <row r="107" ht="24" customHeight="1">
      <c r="A107" s="118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6" t="n"/>
      <c r="D111" s="116" t="inlineStr">
        <is>
          <t>Squadra B</t>
        </is>
      </c>
      <c r="E111" s="6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6" t="n"/>
      <c r="J111" s="116" t="inlineStr">
        <is>
          <t>Risultato</t>
        </is>
      </c>
      <c r="K111" s="5" t="n"/>
      <c r="L111" s="6" t="n"/>
    </row>
    <row r="112" ht="24" customHeight="1">
      <c r="A112" s="118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6" t="n"/>
      <c r="D114" s="116" t="inlineStr">
        <is>
          <t>Squadra B</t>
        </is>
      </c>
      <c r="E114" s="6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6" t="n"/>
      <c r="J114" s="116" t="inlineStr">
        <is>
          <t>Risultato</t>
        </is>
      </c>
      <c r="K114" s="5" t="n"/>
      <c r="L114" s="6" t="n"/>
    </row>
    <row r="115" ht="24" customHeight="1">
      <c r="A115" s="118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6" t="n"/>
      <c r="D117" s="116" t="inlineStr">
        <is>
          <t>Squadra B</t>
        </is>
      </c>
      <c r="E117" s="6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6" t="n"/>
      <c r="J117" s="116" t="inlineStr">
        <is>
          <t>Risultato</t>
        </is>
      </c>
      <c r="K117" s="5" t="n"/>
      <c r="L117" s="6" t="n"/>
    </row>
    <row r="118" ht="24" customHeight="1">
      <c r="A118" s="118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6" t="n"/>
      <c r="D120" s="116" t="inlineStr">
        <is>
          <t>Squadra B</t>
        </is>
      </c>
      <c r="E120" s="6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6" t="n"/>
      <c r="J120" s="116" t="inlineStr">
        <is>
          <t>Risultato</t>
        </is>
      </c>
      <c r="K120" s="5" t="n"/>
      <c r="L120" s="6" t="n"/>
    </row>
    <row r="121" ht="24" customHeight="1">
      <c r="A121" s="118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6" t="n"/>
      <c r="D123" s="116" t="inlineStr">
        <is>
          <t>Squadra B</t>
        </is>
      </c>
      <c r="E123" s="6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6" t="n"/>
      <c r="J123" s="116" t="inlineStr">
        <is>
          <t>Risultato</t>
        </is>
      </c>
      <c r="K123" s="5" t="n"/>
      <c r="L123" s="6" t="n"/>
    </row>
    <row r="124" ht="24" customHeight="1">
      <c r="A124" s="118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6" t="n"/>
      <c r="D128" s="116" t="inlineStr">
        <is>
          <t>Squadra B</t>
        </is>
      </c>
      <c r="E128" s="6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6" t="n"/>
      <c r="J128" s="116" t="inlineStr">
        <is>
          <t>Risultato</t>
        </is>
      </c>
      <c r="K128" s="5" t="n"/>
      <c r="L128" s="6" t="n"/>
    </row>
    <row r="129" ht="24" customHeight="1">
      <c r="A129" s="118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6" t="n"/>
      <c r="D131" s="116" t="inlineStr">
        <is>
          <t>Squadra B</t>
        </is>
      </c>
      <c r="E131" s="6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6" t="n"/>
      <c r="J131" s="116" t="inlineStr">
        <is>
          <t>Risultato</t>
        </is>
      </c>
      <c r="K131" s="5" t="n"/>
      <c r="L131" s="6" t="n"/>
    </row>
    <row r="132" ht="24" customHeight="1">
      <c r="A132" s="118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6" t="n"/>
      <c r="D134" s="116" t="inlineStr">
        <is>
          <t>Squadra B</t>
        </is>
      </c>
      <c r="E134" s="6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6" t="n"/>
      <c r="J134" s="116" t="inlineStr">
        <is>
          <t>Risultato</t>
        </is>
      </c>
      <c r="K134" s="5" t="n"/>
      <c r="L134" s="6" t="n"/>
    </row>
    <row r="135" ht="24" customHeight="1">
      <c r="A135" s="118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6" t="n"/>
      <c r="D137" s="116" t="inlineStr">
        <is>
          <t>Squadra B</t>
        </is>
      </c>
      <c r="E137" s="6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6" t="n"/>
      <c r="J137" s="116" t="inlineStr">
        <is>
          <t>Risultato</t>
        </is>
      </c>
      <c r="K137" s="5" t="n"/>
      <c r="L137" s="6" t="n"/>
    </row>
    <row r="138" ht="24" customHeight="1">
      <c r="A138" s="118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6" t="n"/>
      <c r="D140" s="116" t="inlineStr">
        <is>
          <t>Squadra B</t>
        </is>
      </c>
      <c r="E140" s="6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6" t="n"/>
      <c r="J140" s="116" t="inlineStr">
        <is>
          <t>Risultato</t>
        </is>
      </c>
      <c r="K140" s="5" t="n"/>
      <c r="L140" s="6" t="n"/>
    </row>
    <row r="141" ht="24" customHeight="1">
      <c r="A141" s="118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6" t="n"/>
      <c r="D145" s="116" t="inlineStr">
        <is>
          <t>Squadra B</t>
        </is>
      </c>
      <c r="E145" s="6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6" t="n"/>
      <c r="J145" s="116" t="inlineStr">
        <is>
          <t>Risultato</t>
        </is>
      </c>
      <c r="K145" s="5" t="n"/>
      <c r="L145" s="6" t="n"/>
    </row>
    <row r="146" ht="24" customHeight="1">
      <c r="A146" s="118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6" t="n"/>
      <c r="D148" s="116" t="inlineStr">
        <is>
          <t>Squadra B</t>
        </is>
      </c>
      <c r="E148" s="6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6" t="n"/>
      <c r="J148" s="116" t="inlineStr">
        <is>
          <t>Risultato</t>
        </is>
      </c>
      <c r="K148" s="5" t="n"/>
      <c r="L148" s="6" t="n"/>
    </row>
    <row r="149" ht="24" customHeight="1">
      <c r="A149" s="118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6" t="n"/>
      <c r="D151" s="116" t="inlineStr">
        <is>
          <t>Squadra B</t>
        </is>
      </c>
      <c r="E151" s="6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6" t="n"/>
      <c r="J151" s="116" t="inlineStr">
        <is>
          <t>Risultato</t>
        </is>
      </c>
      <c r="K151" s="5" t="n"/>
      <c r="L151" s="6" t="n"/>
    </row>
    <row r="152" ht="24" customHeight="1">
      <c r="A152" s="118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6" t="n"/>
      <c r="D154" s="116" t="inlineStr">
        <is>
          <t>Squadra B</t>
        </is>
      </c>
      <c r="E154" s="6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6" t="n"/>
      <c r="J154" s="116" t="inlineStr">
        <is>
          <t>Risultato</t>
        </is>
      </c>
      <c r="K154" s="5" t="n"/>
      <c r="L154" s="6" t="n"/>
    </row>
    <row r="155" ht="24" customHeight="1">
      <c r="A155" s="118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6" t="n"/>
      <c r="D157" s="116" t="inlineStr">
        <is>
          <t>Squadra B</t>
        </is>
      </c>
      <c r="E157" s="6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6" t="n"/>
      <c r="J157" s="116" t="inlineStr">
        <is>
          <t>Risultato</t>
        </is>
      </c>
      <c r="K157" s="5" t="n"/>
      <c r="L157" s="6" t="n"/>
    </row>
    <row r="158" ht="24" customHeight="1">
      <c r="A158" s="118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9">
        <f>"GIRONE I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6" t="n"/>
      <c r="D9" s="123" t="inlineStr">
        <is>
          <t>Squadra B</t>
        </is>
      </c>
      <c r="E9" s="6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6" t="n"/>
      <c r="J9" s="123" t="inlineStr">
        <is>
          <t>Risultato</t>
        </is>
      </c>
      <c r="K9" s="5" t="n"/>
      <c r="L9" s="6" t="n"/>
    </row>
    <row r="10" ht="24" customHeight="1">
      <c r="A10" s="125" t="n">
        <v>361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6" t="n"/>
      <c r="D12" s="123" t="inlineStr">
        <is>
          <t>Squadra B</t>
        </is>
      </c>
      <c r="E12" s="6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6" t="n"/>
      <c r="J12" s="123" t="inlineStr">
        <is>
          <t>Risultato</t>
        </is>
      </c>
      <c r="K12" s="5" t="n"/>
      <c r="L12" s="6" t="n"/>
    </row>
    <row r="13" ht="24" customHeight="1">
      <c r="A13" s="125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6" t="n"/>
      <c r="D15" s="123" t="inlineStr">
        <is>
          <t>Squadra B</t>
        </is>
      </c>
      <c r="E15" s="6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6" t="n"/>
      <c r="J15" s="123" t="inlineStr">
        <is>
          <t>Risultato</t>
        </is>
      </c>
      <c r="K15" s="5" t="n"/>
      <c r="L15" s="6" t="n"/>
    </row>
    <row r="16" ht="24" customHeight="1">
      <c r="A16" s="125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6" t="n"/>
      <c r="D18" s="123" t="inlineStr">
        <is>
          <t>Squadra B</t>
        </is>
      </c>
      <c r="E18" s="6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6" t="n"/>
      <c r="J18" s="123" t="inlineStr">
        <is>
          <t>Risultato</t>
        </is>
      </c>
      <c r="K18" s="5" t="n"/>
      <c r="L18" s="6" t="n"/>
    </row>
    <row r="19" ht="24" customHeight="1">
      <c r="A19" s="125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6" t="n"/>
      <c r="D21" s="123" t="inlineStr">
        <is>
          <t>Squadra B</t>
        </is>
      </c>
      <c r="E21" s="6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6" t="n"/>
      <c r="J21" s="123" t="inlineStr">
        <is>
          <t>Risultato</t>
        </is>
      </c>
      <c r="K21" s="5" t="n"/>
      <c r="L21" s="6" t="n"/>
    </row>
    <row r="22" ht="24" customHeight="1">
      <c r="A22" s="125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6" t="n"/>
      <c r="D26" s="123" t="inlineStr">
        <is>
          <t>Squadra B</t>
        </is>
      </c>
      <c r="E26" s="6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6" t="n"/>
      <c r="J26" s="123" t="inlineStr">
        <is>
          <t>Risultato</t>
        </is>
      </c>
      <c r="K26" s="5" t="n"/>
      <c r="L26" s="6" t="n"/>
    </row>
    <row r="27" ht="24" customHeight="1">
      <c r="A27" s="125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6" t="n"/>
      <c r="D29" s="123" t="inlineStr">
        <is>
          <t>Squadra B</t>
        </is>
      </c>
      <c r="E29" s="6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6" t="n"/>
      <c r="J29" s="123" t="inlineStr">
        <is>
          <t>Risultato</t>
        </is>
      </c>
      <c r="K29" s="5" t="n"/>
      <c r="L29" s="6" t="n"/>
    </row>
    <row r="30" ht="24" customHeight="1">
      <c r="A30" s="125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6" t="n"/>
      <c r="D32" s="123" t="inlineStr">
        <is>
          <t>Squadra B</t>
        </is>
      </c>
      <c r="E32" s="6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6" t="n"/>
      <c r="J32" s="123" t="inlineStr">
        <is>
          <t>Risultato</t>
        </is>
      </c>
      <c r="K32" s="5" t="n"/>
      <c r="L32" s="6" t="n"/>
    </row>
    <row r="33" ht="24" customHeight="1">
      <c r="A33" s="125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6" t="n"/>
      <c r="D35" s="123" t="inlineStr">
        <is>
          <t>Squadra B</t>
        </is>
      </c>
      <c r="E35" s="6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6" t="n"/>
      <c r="J35" s="123" t="inlineStr">
        <is>
          <t>Risultato</t>
        </is>
      </c>
      <c r="K35" s="5" t="n"/>
      <c r="L35" s="6" t="n"/>
    </row>
    <row r="36" ht="24" customHeight="1">
      <c r="A36" s="125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6" t="n"/>
      <c r="D38" s="123" t="inlineStr">
        <is>
          <t>Squadra B</t>
        </is>
      </c>
      <c r="E38" s="6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6" t="n"/>
      <c r="J38" s="123" t="inlineStr">
        <is>
          <t>Risultato</t>
        </is>
      </c>
      <c r="K38" s="5" t="n"/>
      <c r="L38" s="6" t="n"/>
    </row>
    <row r="39" ht="24" customHeight="1">
      <c r="A39" s="125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6" t="n"/>
      <c r="D43" s="123" t="inlineStr">
        <is>
          <t>Squadra B</t>
        </is>
      </c>
      <c r="E43" s="6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6" t="n"/>
      <c r="J43" s="123" t="inlineStr">
        <is>
          <t>Risultato</t>
        </is>
      </c>
      <c r="K43" s="5" t="n"/>
      <c r="L43" s="6" t="n"/>
    </row>
    <row r="44" ht="24" customHeight="1">
      <c r="A44" s="125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6" t="n"/>
      <c r="D46" s="123" t="inlineStr">
        <is>
          <t>Squadra B</t>
        </is>
      </c>
      <c r="E46" s="6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6" t="n"/>
      <c r="J46" s="123" t="inlineStr">
        <is>
          <t>Risultato</t>
        </is>
      </c>
      <c r="K46" s="5" t="n"/>
      <c r="L46" s="6" t="n"/>
    </row>
    <row r="47" ht="24" customHeight="1">
      <c r="A47" s="125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6" t="n"/>
      <c r="D49" s="123" t="inlineStr">
        <is>
          <t>Squadra B</t>
        </is>
      </c>
      <c r="E49" s="6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6" t="n"/>
      <c r="J49" s="123" t="inlineStr">
        <is>
          <t>Risultato</t>
        </is>
      </c>
      <c r="K49" s="5" t="n"/>
      <c r="L49" s="6" t="n"/>
    </row>
    <row r="50" ht="24" customHeight="1">
      <c r="A50" s="125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6" t="n"/>
      <c r="D52" s="123" t="inlineStr">
        <is>
          <t>Squadra B</t>
        </is>
      </c>
      <c r="E52" s="6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6" t="n"/>
      <c r="J52" s="123" t="inlineStr">
        <is>
          <t>Risultato</t>
        </is>
      </c>
      <c r="K52" s="5" t="n"/>
      <c r="L52" s="6" t="n"/>
    </row>
    <row r="53" ht="24" customHeight="1">
      <c r="A53" s="125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6" t="n"/>
      <c r="D55" s="123" t="inlineStr">
        <is>
          <t>Squadra B</t>
        </is>
      </c>
      <c r="E55" s="6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6" t="n"/>
      <c r="J55" s="123" t="inlineStr">
        <is>
          <t>Risultato</t>
        </is>
      </c>
      <c r="K55" s="5" t="n"/>
      <c r="L55" s="6" t="n"/>
    </row>
    <row r="56" ht="24" customHeight="1">
      <c r="A56" s="125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6" t="n"/>
      <c r="D60" s="123" t="inlineStr">
        <is>
          <t>Squadra B</t>
        </is>
      </c>
      <c r="E60" s="6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6" t="n"/>
      <c r="J60" s="123" t="inlineStr">
        <is>
          <t>Risultato</t>
        </is>
      </c>
      <c r="K60" s="5" t="n"/>
      <c r="L60" s="6" t="n"/>
    </row>
    <row r="61" ht="24" customHeight="1">
      <c r="A61" s="125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6" t="n"/>
      <c r="D63" s="123" t="inlineStr">
        <is>
          <t>Squadra B</t>
        </is>
      </c>
      <c r="E63" s="6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6" t="n"/>
      <c r="J63" s="123" t="inlineStr">
        <is>
          <t>Risultato</t>
        </is>
      </c>
      <c r="K63" s="5" t="n"/>
      <c r="L63" s="6" t="n"/>
    </row>
    <row r="64" ht="24" customHeight="1">
      <c r="A64" s="125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6" t="n"/>
      <c r="D66" s="123" t="inlineStr">
        <is>
          <t>Squadra B</t>
        </is>
      </c>
      <c r="E66" s="6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6" t="n"/>
      <c r="J66" s="123" t="inlineStr">
        <is>
          <t>Risultato</t>
        </is>
      </c>
      <c r="K66" s="5" t="n"/>
      <c r="L66" s="6" t="n"/>
    </row>
    <row r="67" ht="24" customHeight="1">
      <c r="A67" s="125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6" t="n"/>
      <c r="D69" s="123" t="inlineStr">
        <is>
          <t>Squadra B</t>
        </is>
      </c>
      <c r="E69" s="6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6" t="n"/>
      <c r="J69" s="123" t="inlineStr">
        <is>
          <t>Risultato</t>
        </is>
      </c>
      <c r="K69" s="5" t="n"/>
      <c r="L69" s="6" t="n"/>
    </row>
    <row r="70" ht="24" customHeight="1">
      <c r="A70" s="125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6" t="n"/>
      <c r="D72" s="123" t="inlineStr">
        <is>
          <t>Squadra B</t>
        </is>
      </c>
      <c r="E72" s="6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6" t="n"/>
      <c r="J72" s="123" t="inlineStr">
        <is>
          <t>Risultato</t>
        </is>
      </c>
      <c r="K72" s="5" t="n"/>
      <c r="L72" s="6" t="n"/>
    </row>
    <row r="73" ht="24" customHeight="1">
      <c r="A73" s="125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6" t="n"/>
      <c r="D77" s="123" t="inlineStr">
        <is>
          <t>Squadra B</t>
        </is>
      </c>
      <c r="E77" s="6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6" t="n"/>
      <c r="J77" s="123" t="inlineStr">
        <is>
          <t>Risultato</t>
        </is>
      </c>
      <c r="K77" s="5" t="n"/>
      <c r="L77" s="6" t="n"/>
    </row>
    <row r="78" ht="24" customHeight="1">
      <c r="A78" s="125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6" t="n"/>
      <c r="D80" s="123" t="inlineStr">
        <is>
          <t>Squadra B</t>
        </is>
      </c>
      <c r="E80" s="6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6" t="n"/>
      <c r="J80" s="123" t="inlineStr">
        <is>
          <t>Risultato</t>
        </is>
      </c>
      <c r="K80" s="5" t="n"/>
      <c r="L80" s="6" t="n"/>
    </row>
    <row r="81" ht="24" customHeight="1">
      <c r="A81" s="125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6" t="n"/>
      <c r="D83" s="123" t="inlineStr">
        <is>
          <t>Squadra B</t>
        </is>
      </c>
      <c r="E83" s="6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6" t="n"/>
      <c r="J83" s="123" t="inlineStr">
        <is>
          <t>Risultato</t>
        </is>
      </c>
      <c r="K83" s="5" t="n"/>
      <c r="L83" s="6" t="n"/>
    </row>
    <row r="84" ht="24" customHeight="1">
      <c r="A84" s="125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6" t="n"/>
      <c r="D86" s="123" t="inlineStr">
        <is>
          <t>Squadra B</t>
        </is>
      </c>
      <c r="E86" s="6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6" t="n"/>
      <c r="J86" s="123" t="inlineStr">
        <is>
          <t>Risultato</t>
        </is>
      </c>
      <c r="K86" s="5" t="n"/>
      <c r="L86" s="6" t="n"/>
    </row>
    <row r="87" ht="24" customHeight="1">
      <c r="A87" s="125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6" t="n"/>
      <c r="D89" s="123" t="inlineStr">
        <is>
          <t>Squadra B</t>
        </is>
      </c>
      <c r="E89" s="6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6" t="n"/>
      <c r="J89" s="123" t="inlineStr">
        <is>
          <t>Risultato</t>
        </is>
      </c>
      <c r="K89" s="5" t="n"/>
      <c r="L89" s="6" t="n"/>
    </row>
    <row r="90" ht="24" customHeight="1">
      <c r="A90" s="125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6" t="n"/>
      <c r="D94" s="123" t="inlineStr">
        <is>
          <t>Squadra B</t>
        </is>
      </c>
      <c r="E94" s="6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6" t="n"/>
      <c r="J94" s="123" t="inlineStr">
        <is>
          <t>Risultato</t>
        </is>
      </c>
      <c r="K94" s="5" t="n"/>
      <c r="L94" s="6" t="n"/>
    </row>
    <row r="95" ht="24" customHeight="1">
      <c r="A95" s="125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6" t="n"/>
      <c r="D97" s="123" t="inlineStr">
        <is>
          <t>Squadra B</t>
        </is>
      </c>
      <c r="E97" s="6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6" t="n"/>
      <c r="J97" s="123" t="inlineStr">
        <is>
          <t>Risultato</t>
        </is>
      </c>
      <c r="K97" s="5" t="n"/>
      <c r="L97" s="6" t="n"/>
    </row>
    <row r="98" ht="24" customHeight="1">
      <c r="A98" s="125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6" t="n"/>
      <c r="D100" s="123" t="inlineStr">
        <is>
          <t>Squadra B</t>
        </is>
      </c>
      <c r="E100" s="6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6" t="n"/>
      <c r="J100" s="123" t="inlineStr">
        <is>
          <t>Risultato</t>
        </is>
      </c>
      <c r="K100" s="5" t="n"/>
      <c r="L100" s="6" t="n"/>
    </row>
    <row r="101" ht="24" customHeight="1">
      <c r="A101" s="125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6" t="n"/>
      <c r="D103" s="123" t="inlineStr">
        <is>
          <t>Squadra B</t>
        </is>
      </c>
      <c r="E103" s="6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6" t="n"/>
      <c r="J103" s="123" t="inlineStr">
        <is>
          <t>Risultato</t>
        </is>
      </c>
      <c r="K103" s="5" t="n"/>
      <c r="L103" s="6" t="n"/>
    </row>
    <row r="104" ht="24" customHeight="1">
      <c r="A104" s="125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6" t="n"/>
      <c r="D106" s="123" t="inlineStr">
        <is>
          <t>Squadra B</t>
        </is>
      </c>
      <c r="E106" s="6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6" t="n"/>
      <c r="J106" s="123" t="inlineStr">
        <is>
          <t>Risultato</t>
        </is>
      </c>
      <c r="K106" s="5" t="n"/>
      <c r="L106" s="6" t="n"/>
    </row>
    <row r="107" ht="24" customHeight="1">
      <c r="A107" s="125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6" t="n"/>
      <c r="D111" s="123" t="inlineStr">
        <is>
          <t>Squadra B</t>
        </is>
      </c>
      <c r="E111" s="6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6" t="n"/>
      <c r="J111" s="123" t="inlineStr">
        <is>
          <t>Risultato</t>
        </is>
      </c>
      <c r="K111" s="5" t="n"/>
      <c r="L111" s="6" t="n"/>
    </row>
    <row r="112" ht="24" customHeight="1">
      <c r="A112" s="125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6" t="n"/>
      <c r="D114" s="123" t="inlineStr">
        <is>
          <t>Squadra B</t>
        </is>
      </c>
      <c r="E114" s="6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6" t="n"/>
      <c r="J114" s="123" t="inlineStr">
        <is>
          <t>Risultato</t>
        </is>
      </c>
      <c r="K114" s="5" t="n"/>
      <c r="L114" s="6" t="n"/>
    </row>
    <row r="115" ht="24" customHeight="1">
      <c r="A115" s="125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6" t="n"/>
      <c r="D117" s="123" t="inlineStr">
        <is>
          <t>Squadra B</t>
        </is>
      </c>
      <c r="E117" s="6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6" t="n"/>
      <c r="J117" s="123" t="inlineStr">
        <is>
          <t>Risultato</t>
        </is>
      </c>
      <c r="K117" s="5" t="n"/>
      <c r="L117" s="6" t="n"/>
    </row>
    <row r="118" ht="24" customHeight="1">
      <c r="A118" s="125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6" t="n"/>
      <c r="D120" s="123" t="inlineStr">
        <is>
          <t>Squadra B</t>
        </is>
      </c>
      <c r="E120" s="6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6" t="n"/>
      <c r="J120" s="123" t="inlineStr">
        <is>
          <t>Risultato</t>
        </is>
      </c>
      <c r="K120" s="5" t="n"/>
      <c r="L120" s="6" t="n"/>
    </row>
    <row r="121" ht="24" customHeight="1">
      <c r="A121" s="125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6" t="n"/>
      <c r="D123" s="123" t="inlineStr">
        <is>
          <t>Squadra B</t>
        </is>
      </c>
      <c r="E123" s="6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6" t="n"/>
      <c r="J123" s="123" t="inlineStr">
        <is>
          <t>Risultato</t>
        </is>
      </c>
      <c r="K123" s="5" t="n"/>
      <c r="L123" s="6" t="n"/>
    </row>
    <row r="124" ht="24" customHeight="1">
      <c r="A124" s="125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6" t="n"/>
      <c r="D128" s="123" t="inlineStr">
        <is>
          <t>Squadra B</t>
        </is>
      </c>
      <c r="E128" s="6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6" t="n"/>
      <c r="J128" s="123" t="inlineStr">
        <is>
          <t>Risultato</t>
        </is>
      </c>
      <c r="K128" s="5" t="n"/>
      <c r="L128" s="6" t="n"/>
    </row>
    <row r="129" ht="24" customHeight="1">
      <c r="A129" s="125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6" t="n"/>
      <c r="D131" s="123" t="inlineStr">
        <is>
          <t>Squadra B</t>
        </is>
      </c>
      <c r="E131" s="6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6" t="n"/>
      <c r="J131" s="123" t="inlineStr">
        <is>
          <t>Risultato</t>
        </is>
      </c>
      <c r="K131" s="5" t="n"/>
      <c r="L131" s="6" t="n"/>
    </row>
    <row r="132" ht="24" customHeight="1">
      <c r="A132" s="125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6" t="n"/>
      <c r="D134" s="123" t="inlineStr">
        <is>
          <t>Squadra B</t>
        </is>
      </c>
      <c r="E134" s="6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6" t="n"/>
      <c r="J134" s="123" t="inlineStr">
        <is>
          <t>Risultato</t>
        </is>
      </c>
      <c r="K134" s="5" t="n"/>
      <c r="L134" s="6" t="n"/>
    </row>
    <row r="135" ht="24" customHeight="1">
      <c r="A135" s="125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6" t="n"/>
      <c r="D137" s="123" t="inlineStr">
        <is>
          <t>Squadra B</t>
        </is>
      </c>
      <c r="E137" s="6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6" t="n"/>
      <c r="J137" s="123" t="inlineStr">
        <is>
          <t>Risultato</t>
        </is>
      </c>
      <c r="K137" s="5" t="n"/>
      <c r="L137" s="6" t="n"/>
    </row>
    <row r="138" ht="24" customHeight="1">
      <c r="A138" s="125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6" t="n"/>
      <c r="D140" s="123" t="inlineStr">
        <is>
          <t>Squadra B</t>
        </is>
      </c>
      <c r="E140" s="6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6" t="n"/>
      <c r="J140" s="123" t="inlineStr">
        <is>
          <t>Risultato</t>
        </is>
      </c>
      <c r="K140" s="5" t="n"/>
      <c r="L140" s="6" t="n"/>
    </row>
    <row r="141" ht="24" customHeight="1">
      <c r="A141" s="125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6" t="n"/>
      <c r="D145" s="123" t="inlineStr">
        <is>
          <t>Squadra B</t>
        </is>
      </c>
      <c r="E145" s="6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6" t="n"/>
      <c r="J145" s="123" t="inlineStr">
        <is>
          <t>Risultato</t>
        </is>
      </c>
      <c r="K145" s="5" t="n"/>
      <c r="L145" s="6" t="n"/>
    </row>
    <row r="146" ht="24" customHeight="1">
      <c r="A146" s="125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6" t="n"/>
      <c r="D148" s="123" t="inlineStr">
        <is>
          <t>Squadra B</t>
        </is>
      </c>
      <c r="E148" s="6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6" t="n"/>
      <c r="J148" s="123" t="inlineStr">
        <is>
          <t>Risultato</t>
        </is>
      </c>
      <c r="K148" s="5" t="n"/>
      <c r="L148" s="6" t="n"/>
    </row>
    <row r="149" ht="24" customHeight="1">
      <c r="A149" s="125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6" t="n"/>
      <c r="D151" s="123" t="inlineStr">
        <is>
          <t>Squadra B</t>
        </is>
      </c>
      <c r="E151" s="6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6" t="n"/>
      <c r="J151" s="123" t="inlineStr">
        <is>
          <t>Risultato</t>
        </is>
      </c>
      <c r="K151" s="5" t="n"/>
      <c r="L151" s="6" t="n"/>
    </row>
    <row r="152" ht="24" customHeight="1">
      <c r="A152" s="125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6" t="n"/>
      <c r="D154" s="123" t="inlineStr">
        <is>
          <t>Squadra B</t>
        </is>
      </c>
      <c r="E154" s="6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6" t="n"/>
      <c r="J154" s="123" t="inlineStr">
        <is>
          <t>Risultato</t>
        </is>
      </c>
      <c r="K154" s="5" t="n"/>
      <c r="L154" s="6" t="n"/>
    </row>
    <row r="155" ht="24" customHeight="1">
      <c r="A155" s="125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6" t="n"/>
      <c r="D157" s="123" t="inlineStr">
        <is>
          <t>Squadra B</t>
        </is>
      </c>
      <c r="E157" s="6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6" t="n"/>
      <c r="J157" s="123" t="inlineStr">
        <is>
          <t>Risultato</t>
        </is>
      </c>
      <c r="K157" s="5" t="n"/>
      <c r="L157" s="6" t="n"/>
    </row>
    <row r="158" ht="24" customHeight="1">
      <c r="A158" s="125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26">
        <f>"GIRONE J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6" t="n"/>
      <c r="D9" s="130" t="inlineStr">
        <is>
          <t>Squadra B</t>
        </is>
      </c>
      <c r="E9" s="6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6" t="n"/>
      <c r="J9" s="130" t="inlineStr">
        <is>
          <t>Risultato</t>
        </is>
      </c>
      <c r="K9" s="5" t="n"/>
      <c r="L9" s="6" t="n"/>
    </row>
    <row r="10" ht="24" customHeight="1">
      <c r="A10" s="132" t="n">
        <v>406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"&amp;IFERROR(INDEX(Campionato!$E$12:$E$111,MATCH($C10,Campionato!$B$12:$B$111,0)),"?")&amp;"]")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62" t="n"/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6" t="n"/>
      <c r="D12" s="130" t="inlineStr">
        <is>
          <t>Squadra B</t>
        </is>
      </c>
      <c r="E12" s="6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6" t="n"/>
      <c r="J12" s="130" t="inlineStr">
        <is>
          <t>Risultato</t>
        </is>
      </c>
      <c r="K12" s="5" t="n"/>
      <c r="L12" s="6" t="n"/>
    </row>
    <row r="13" ht="24" customHeight="1">
      <c r="A13" s="132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"&amp;IFERROR(INDEX(Campionato!$E$12:$E$111,MATCH($C13,Campionato!$B$12:$B$111,0)),"?")&amp;"]")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62" t="n"/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6" t="n"/>
      <c r="D15" s="130" t="inlineStr">
        <is>
          <t>Squadra B</t>
        </is>
      </c>
      <c r="E15" s="6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6" t="n"/>
      <c r="J15" s="130" t="inlineStr">
        <is>
          <t>Risultato</t>
        </is>
      </c>
      <c r="K15" s="5" t="n"/>
      <c r="L15" s="6" t="n"/>
    </row>
    <row r="16" ht="24" customHeight="1">
      <c r="A16" s="132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"&amp;IFERROR(INDEX(Campionato!$E$12:$E$111,MATCH($C16,Campionato!$B$12:$B$111,0)),"?")&amp;"]")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62" t="n"/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6" t="n"/>
      <c r="D18" s="130" t="inlineStr">
        <is>
          <t>Squadra B</t>
        </is>
      </c>
      <c r="E18" s="6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6" t="n"/>
      <c r="J18" s="130" t="inlineStr">
        <is>
          <t>Risultato</t>
        </is>
      </c>
      <c r="K18" s="5" t="n"/>
      <c r="L18" s="6" t="n"/>
    </row>
    <row r="19" ht="24" customHeight="1">
      <c r="A19" s="132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"&amp;IFERROR(INDEX(Campionato!$E$12:$E$111,MATCH($C19,Campionato!$B$12:$B$111,0)),"?")&amp;"]")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62" t="n"/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6" t="n"/>
      <c r="D21" s="130" t="inlineStr">
        <is>
          <t>Squadra B</t>
        </is>
      </c>
      <c r="E21" s="6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6" t="n"/>
      <c r="J21" s="130" t="inlineStr">
        <is>
          <t>Risultato</t>
        </is>
      </c>
      <c r="K21" s="5" t="n"/>
      <c r="L21" s="6" t="n"/>
    </row>
    <row r="22" ht="24" customHeight="1">
      <c r="A22" s="132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"&amp;IFERROR(INDEX(Campionato!$E$12:$E$111,MATCH($C22,Campionato!$B$12:$B$111,0)),"?")&amp;"]")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62" t="n"/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6" t="n"/>
      <c r="D26" s="130" t="inlineStr">
        <is>
          <t>Squadra B</t>
        </is>
      </c>
      <c r="E26" s="6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6" t="n"/>
      <c r="J26" s="130" t="inlineStr">
        <is>
          <t>Risultato</t>
        </is>
      </c>
      <c r="K26" s="5" t="n"/>
      <c r="L26" s="6" t="n"/>
    </row>
    <row r="27" ht="24" customHeight="1">
      <c r="A27" s="132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5" t="n"/>
      <c r="H27" s="5" t="n"/>
      <c r="I27" s="6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"&amp;IFERROR(INDEX(Campionato!$E$12:$E$111,MATCH($C27,Campionato!$B$12:$B$111,0)),"?")&amp;"]")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62" t="n"/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6" t="n"/>
      <c r="D29" s="130" t="inlineStr">
        <is>
          <t>Squadra B</t>
        </is>
      </c>
      <c r="E29" s="6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6" t="n"/>
      <c r="J29" s="130" t="inlineStr">
        <is>
          <t>Risultato</t>
        </is>
      </c>
      <c r="K29" s="5" t="n"/>
      <c r="L29" s="6" t="n"/>
    </row>
    <row r="30" ht="24" customHeight="1">
      <c r="A30" s="132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5" t="n"/>
      <c r="H30" s="5" t="n"/>
      <c r="I30" s="6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"&amp;IFERROR(INDEX(Campionato!$E$12:$E$111,MATCH($C30,Campionato!$B$12:$B$111,0)),"?")&amp;"]")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62" t="n"/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6" t="n"/>
      <c r="D32" s="130" t="inlineStr">
        <is>
          <t>Squadra B</t>
        </is>
      </c>
      <c r="E32" s="6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6" t="n"/>
      <c r="J32" s="130" t="inlineStr">
        <is>
          <t>Risultato</t>
        </is>
      </c>
      <c r="K32" s="5" t="n"/>
      <c r="L32" s="6" t="n"/>
    </row>
    <row r="33" ht="24" customHeight="1">
      <c r="A33" s="132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5" t="n"/>
      <c r="H33" s="5" t="n"/>
      <c r="I33" s="6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"&amp;IFERROR(INDEX(Campionato!$E$12:$E$111,MATCH($C33,Campionato!$B$12:$B$111,0)),"?")&amp;"]")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62" t="n"/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6" t="n"/>
      <c r="D35" s="130" t="inlineStr">
        <is>
          <t>Squadra B</t>
        </is>
      </c>
      <c r="E35" s="6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6" t="n"/>
      <c r="J35" s="130" t="inlineStr">
        <is>
          <t>Risultato</t>
        </is>
      </c>
      <c r="K35" s="5" t="n"/>
      <c r="L35" s="6" t="n"/>
    </row>
    <row r="36" ht="24" customHeight="1">
      <c r="A36" s="132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"&amp;IFERROR(INDEX(Campionato!$E$12:$E$111,MATCH($C36,Campionato!$B$12:$B$111,0)),"?")&amp;"]")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62" t="n"/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6" t="n"/>
      <c r="D38" s="130" t="inlineStr">
        <is>
          <t>Squadra B</t>
        </is>
      </c>
      <c r="E38" s="6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6" t="n"/>
      <c r="J38" s="130" t="inlineStr">
        <is>
          <t>Risultato</t>
        </is>
      </c>
      <c r="K38" s="5" t="n"/>
      <c r="L38" s="6" t="n"/>
    </row>
    <row r="39" ht="24" customHeight="1">
      <c r="A39" s="132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"&amp;IFERROR(INDEX(Campionato!$E$12:$E$111,MATCH($C39,Campionato!$B$12:$B$111,0)),"?")&amp;"]")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62" t="n"/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6" t="n"/>
      <c r="D43" s="130" t="inlineStr">
        <is>
          <t>Squadra B</t>
        </is>
      </c>
      <c r="E43" s="6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6" t="n"/>
      <c r="J43" s="130" t="inlineStr">
        <is>
          <t>Risultato</t>
        </is>
      </c>
      <c r="K43" s="5" t="n"/>
      <c r="L43" s="6" t="n"/>
    </row>
    <row r="44" ht="24" customHeight="1">
      <c r="A44" s="132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5" t="n"/>
      <c r="H44" s="5" t="n"/>
      <c r="I44" s="6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"&amp;IFERROR(INDEX(Campionato!$E$12:$E$111,MATCH($C44,Campionato!$B$12:$B$111,0)),"?")&amp;"]")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62" t="n"/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6" t="n"/>
      <c r="D46" s="130" t="inlineStr">
        <is>
          <t>Squadra B</t>
        </is>
      </c>
      <c r="E46" s="6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6" t="n"/>
      <c r="J46" s="130" t="inlineStr">
        <is>
          <t>Risultato</t>
        </is>
      </c>
      <c r="K46" s="5" t="n"/>
      <c r="L46" s="6" t="n"/>
    </row>
    <row r="47" ht="24" customHeight="1">
      <c r="A47" s="132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5" t="n"/>
      <c r="H47" s="5" t="n"/>
      <c r="I47" s="6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"&amp;IFERROR(INDEX(Campionato!$E$12:$E$111,MATCH($C47,Campionato!$B$12:$B$111,0)),"?")&amp;"]")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62" t="n"/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6" t="n"/>
      <c r="D49" s="130" t="inlineStr">
        <is>
          <t>Squadra B</t>
        </is>
      </c>
      <c r="E49" s="6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6" t="n"/>
      <c r="J49" s="130" t="inlineStr">
        <is>
          <t>Risultato</t>
        </is>
      </c>
      <c r="K49" s="5" t="n"/>
      <c r="L49" s="6" t="n"/>
    </row>
    <row r="50" ht="24" customHeight="1">
      <c r="A50" s="132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"&amp;IFERROR(INDEX(Campionato!$E$12:$E$111,MATCH($C50,Campionato!$B$12:$B$111,0)),"?")&amp;"]")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62" t="n"/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6" t="n"/>
      <c r="D52" s="130" t="inlineStr">
        <is>
          <t>Squadra B</t>
        </is>
      </c>
      <c r="E52" s="6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6" t="n"/>
      <c r="J52" s="130" t="inlineStr">
        <is>
          <t>Risultato</t>
        </is>
      </c>
      <c r="K52" s="5" t="n"/>
      <c r="L52" s="6" t="n"/>
    </row>
    <row r="53" ht="24" customHeight="1">
      <c r="A53" s="132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"&amp;IFERROR(INDEX(Campionato!$E$12:$E$111,MATCH($C53,Campionato!$B$12:$B$111,0)),"?")&amp;"]")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62" t="n"/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6" t="n"/>
      <c r="D55" s="130" t="inlineStr">
        <is>
          <t>Squadra B</t>
        </is>
      </c>
      <c r="E55" s="6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6" t="n"/>
      <c r="J55" s="130" t="inlineStr">
        <is>
          <t>Risultato</t>
        </is>
      </c>
      <c r="K55" s="5" t="n"/>
      <c r="L55" s="6" t="n"/>
    </row>
    <row r="56" ht="24" customHeight="1">
      <c r="A56" s="132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5" t="n"/>
      <c r="H56" s="5" t="n"/>
      <c r="I56" s="6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"&amp;IFERROR(INDEX(Campionato!$E$12:$E$111,MATCH($C56,Campionato!$B$12:$B$111,0)),"?")&amp;"]")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62" t="n"/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6" t="n"/>
      <c r="D60" s="130" t="inlineStr">
        <is>
          <t>Squadra B</t>
        </is>
      </c>
      <c r="E60" s="6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6" t="n"/>
      <c r="J60" s="130" t="inlineStr">
        <is>
          <t>Risultato</t>
        </is>
      </c>
      <c r="K60" s="5" t="n"/>
      <c r="L60" s="6" t="n"/>
    </row>
    <row r="61" ht="24" customHeight="1">
      <c r="A61" s="132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"&amp;IFERROR(INDEX(Campionato!$E$12:$E$111,MATCH($C61,Campionato!$B$12:$B$111,0)),"?")&amp;"]")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62" t="n"/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6" t="n"/>
      <c r="D63" s="130" t="inlineStr">
        <is>
          <t>Squadra B</t>
        </is>
      </c>
      <c r="E63" s="6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6" t="n"/>
      <c r="J63" s="130" t="inlineStr">
        <is>
          <t>Risultato</t>
        </is>
      </c>
      <c r="K63" s="5" t="n"/>
      <c r="L63" s="6" t="n"/>
    </row>
    <row r="64" ht="24" customHeight="1">
      <c r="A64" s="132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5" t="n"/>
      <c r="H64" s="5" t="n"/>
      <c r="I64" s="6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"&amp;IFERROR(INDEX(Campionato!$E$12:$E$111,MATCH($C64,Campionato!$B$12:$B$111,0)),"?")&amp;"]")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62" t="n"/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6" t="n"/>
      <c r="D66" s="130" t="inlineStr">
        <is>
          <t>Squadra B</t>
        </is>
      </c>
      <c r="E66" s="6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6" t="n"/>
      <c r="J66" s="130" t="inlineStr">
        <is>
          <t>Risultato</t>
        </is>
      </c>
      <c r="K66" s="5" t="n"/>
      <c r="L66" s="6" t="n"/>
    </row>
    <row r="67" ht="24" customHeight="1">
      <c r="A67" s="132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5" t="n"/>
      <c r="H67" s="5" t="n"/>
      <c r="I67" s="6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"&amp;IFERROR(INDEX(Campionato!$E$12:$E$111,MATCH($C67,Campionato!$B$12:$B$111,0)),"?")&amp;"]")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62" t="n"/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6" t="n"/>
      <c r="D69" s="130" t="inlineStr">
        <is>
          <t>Squadra B</t>
        </is>
      </c>
      <c r="E69" s="6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6" t="n"/>
      <c r="J69" s="130" t="inlineStr">
        <is>
          <t>Risultato</t>
        </is>
      </c>
      <c r="K69" s="5" t="n"/>
      <c r="L69" s="6" t="n"/>
    </row>
    <row r="70" ht="24" customHeight="1">
      <c r="A70" s="132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5" t="n"/>
      <c r="H70" s="5" t="n"/>
      <c r="I70" s="6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"&amp;IFERROR(INDEX(Campionato!$E$12:$E$111,MATCH($C70,Campionato!$B$12:$B$111,0)),"?")&amp;"]")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62" t="n"/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6" t="n"/>
      <c r="D72" s="130" t="inlineStr">
        <is>
          <t>Squadra B</t>
        </is>
      </c>
      <c r="E72" s="6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6" t="n"/>
      <c r="J72" s="130" t="inlineStr">
        <is>
          <t>Risultato</t>
        </is>
      </c>
      <c r="K72" s="5" t="n"/>
      <c r="L72" s="6" t="n"/>
    </row>
    <row r="73" ht="24" customHeight="1">
      <c r="A73" s="132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5" t="n"/>
      <c r="H73" s="5" t="n"/>
      <c r="I73" s="6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"&amp;IFERROR(INDEX(Campionato!$E$12:$E$111,MATCH($C73,Campionato!$B$12:$B$111,0)),"?")&amp;"]")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62" t="n"/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6" t="n"/>
      <c r="D77" s="130" t="inlineStr">
        <is>
          <t>Squadra B</t>
        </is>
      </c>
      <c r="E77" s="6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6" t="n"/>
      <c r="J77" s="130" t="inlineStr">
        <is>
          <t>Risultato</t>
        </is>
      </c>
      <c r="K77" s="5" t="n"/>
      <c r="L77" s="6" t="n"/>
    </row>
    <row r="78" ht="24" customHeight="1">
      <c r="A78" s="132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5" t="n"/>
      <c r="H78" s="5" t="n"/>
      <c r="I78" s="6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"&amp;IFERROR(INDEX(Campionato!$E$12:$E$111,MATCH($C78,Campionato!$B$12:$B$111,0)),"?")&amp;"]")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62" t="n"/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6" t="n"/>
      <c r="D80" s="130" t="inlineStr">
        <is>
          <t>Squadra B</t>
        </is>
      </c>
      <c r="E80" s="6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6" t="n"/>
      <c r="J80" s="130" t="inlineStr">
        <is>
          <t>Risultato</t>
        </is>
      </c>
      <c r="K80" s="5" t="n"/>
      <c r="L80" s="6" t="n"/>
    </row>
    <row r="81" ht="24" customHeight="1">
      <c r="A81" s="132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5" t="n"/>
      <c r="H81" s="5" t="n"/>
      <c r="I81" s="6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"&amp;IFERROR(INDEX(Campionato!$E$12:$E$111,MATCH($C81,Campionato!$B$12:$B$111,0)),"?")&amp;"]")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62" t="n"/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6" t="n"/>
      <c r="D83" s="130" t="inlineStr">
        <is>
          <t>Squadra B</t>
        </is>
      </c>
      <c r="E83" s="6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6" t="n"/>
      <c r="J83" s="130" t="inlineStr">
        <is>
          <t>Risultato</t>
        </is>
      </c>
      <c r="K83" s="5" t="n"/>
      <c r="L83" s="6" t="n"/>
    </row>
    <row r="84" ht="24" customHeight="1">
      <c r="A84" s="132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5" t="n"/>
      <c r="H84" s="5" t="n"/>
      <c r="I84" s="6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"&amp;IFERROR(INDEX(Campionato!$E$12:$E$111,MATCH($C84,Campionato!$B$12:$B$111,0)),"?")&amp;"]")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62" t="n"/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6" t="n"/>
      <c r="D86" s="130" t="inlineStr">
        <is>
          <t>Squadra B</t>
        </is>
      </c>
      <c r="E86" s="6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6" t="n"/>
      <c r="J86" s="130" t="inlineStr">
        <is>
          <t>Risultato</t>
        </is>
      </c>
      <c r="K86" s="5" t="n"/>
      <c r="L86" s="6" t="n"/>
    </row>
    <row r="87" ht="24" customHeight="1">
      <c r="A87" s="132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5" t="n"/>
      <c r="H87" s="5" t="n"/>
      <c r="I87" s="6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"&amp;IFERROR(INDEX(Campionato!$E$12:$E$111,MATCH($C87,Campionato!$B$12:$B$111,0)),"?")&amp;"]")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62" t="n"/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6" t="n"/>
      <c r="D89" s="130" t="inlineStr">
        <is>
          <t>Squadra B</t>
        </is>
      </c>
      <c r="E89" s="6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6" t="n"/>
      <c r="J89" s="130" t="inlineStr">
        <is>
          <t>Risultato</t>
        </is>
      </c>
      <c r="K89" s="5" t="n"/>
      <c r="L89" s="6" t="n"/>
    </row>
    <row r="90" ht="24" customHeight="1">
      <c r="A90" s="132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5" t="n"/>
      <c r="H90" s="5" t="n"/>
      <c r="I90" s="6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"&amp;IFERROR(INDEX(Campionato!$E$12:$E$111,MATCH($C90,Campionato!$B$12:$B$111,0)),"?")&amp;"]")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62" t="n"/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6" t="n"/>
      <c r="D94" s="130" t="inlineStr">
        <is>
          <t>Squadra B</t>
        </is>
      </c>
      <c r="E94" s="6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6" t="n"/>
      <c r="J94" s="130" t="inlineStr">
        <is>
          <t>Risultato</t>
        </is>
      </c>
      <c r="K94" s="5" t="n"/>
      <c r="L94" s="6" t="n"/>
    </row>
    <row r="95" ht="24" customHeight="1">
      <c r="A95" s="132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5" t="n"/>
      <c r="H95" s="5" t="n"/>
      <c r="I95" s="6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"&amp;IFERROR(INDEX(Campionato!$E$12:$E$111,MATCH($C95,Campionato!$B$12:$B$111,0)),"?")&amp;"]")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62" t="n"/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6" t="n"/>
      <c r="D97" s="130" t="inlineStr">
        <is>
          <t>Squadra B</t>
        </is>
      </c>
      <c r="E97" s="6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6" t="n"/>
      <c r="J97" s="130" t="inlineStr">
        <is>
          <t>Risultato</t>
        </is>
      </c>
      <c r="K97" s="5" t="n"/>
      <c r="L97" s="6" t="n"/>
    </row>
    <row r="98" ht="24" customHeight="1">
      <c r="A98" s="132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5" t="n"/>
      <c r="H98" s="5" t="n"/>
      <c r="I98" s="6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"&amp;IFERROR(INDEX(Campionato!$E$12:$E$111,MATCH($C98,Campionato!$B$12:$B$111,0)),"?")&amp;"]")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62" t="n"/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6" t="n"/>
      <c r="D100" s="130" t="inlineStr">
        <is>
          <t>Squadra B</t>
        </is>
      </c>
      <c r="E100" s="6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6" t="n"/>
      <c r="J100" s="130" t="inlineStr">
        <is>
          <t>Risultato</t>
        </is>
      </c>
      <c r="K100" s="5" t="n"/>
      <c r="L100" s="6" t="n"/>
    </row>
    <row r="101" ht="24" customHeight="1">
      <c r="A101" s="132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5" t="n"/>
      <c r="H101" s="5" t="n"/>
      <c r="I101" s="6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"&amp;IFERROR(INDEX(Campionato!$E$12:$E$111,MATCH($C101,Campionato!$B$12:$B$111,0)),"?")&amp;"]")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62" t="n"/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6" t="n"/>
      <c r="D103" s="130" t="inlineStr">
        <is>
          <t>Squadra B</t>
        </is>
      </c>
      <c r="E103" s="6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6" t="n"/>
      <c r="J103" s="130" t="inlineStr">
        <is>
          <t>Risultato</t>
        </is>
      </c>
      <c r="K103" s="5" t="n"/>
      <c r="L103" s="6" t="n"/>
    </row>
    <row r="104" ht="24" customHeight="1">
      <c r="A104" s="132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5" t="n"/>
      <c r="H104" s="5" t="n"/>
      <c r="I104" s="6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"&amp;IFERROR(INDEX(Campionato!$E$12:$E$111,MATCH($C104,Campionato!$B$12:$B$111,0)),"?")&amp;"]")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62" t="n"/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6" t="n"/>
      <c r="D106" s="130" t="inlineStr">
        <is>
          <t>Squadra B</t>
        </is>
      </c>
      <c r="E106" s="6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6" t="n"/>
      <c r="J106" s="130" t="inlineStr">
        <is>
          <t>Risultato</t>
        </is>
      </c>
      <c r="K106" s="5" t="n"/>
      <c r="L106" s="6" t="n"/>
    </row>
    <row r="107" ht="24" customHeight="1">
      <c r="A107" s="132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5" t="n"/>
      <c r="H107" s="5" t="n"/>
      <c r="I107" s="6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"&amp;IFERROR(INDEX(Campionato!$E$12:$E$111,MATCH($C107,Campionato!$B$12:$B$111,0)),"?")&amp;"]")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62" t="n"/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6" t="n"/>
      <c r="D111" s="130" t="inlineStr">
        <is>
          <t>Squadra B</t>
        </is>
      </c>
      <c r="E111" s="6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6" t="n"/>
      <c r="J111" s="130" t="inlineStr">
        <is>
          <t>Risultato</t>
        </is>
      </c>
      <c r="K111" s="5" t="n"/>
      <c r="L111" s="6" t="n"/>
    </row>
    <row r="112" ht="24" customHeight="1">
      <c r="A112" s="132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5" t="n"/>
      <c r="H112" s="5" t="n"/>
      <c r="I112" s="6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"&amp;IFERROR(INDEX(Campionato!$E$12:$E$111,MATCH($C112,Campionato!$B$12:$B$111,0)),"?")&amp;"]")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62" t="n"/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6" t="n"/>
      <c r="D114" s="130" t="inlineStr">
        <is>
          <t>Squadra B</t>
        </is>
      </c>
      <c r="E114" s="6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6" t="n"/>
      <c r="J114" s="130" t="inlineStr">
        <is>
          <t>Risultato</t>
        </is>
      </c>
      <c r="K114" s="5" t="n"/>
      <c r="L114" s="6" t="n"/>
    </row>
    <row r="115" ht="24" customHeight="1">
      <c r="A115" s="132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5" t="n"/>
      <c r="H115" s="5" t="n"/>
      <c r="I115" s="6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"&amp;IFERROR(INDEX(Campionato!$E$12:$E$111,MATCH($C115,Campionato!$B$12:$B$111,0)),"?")&amp;"]")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62" t="n"/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6" t="n"/>
      <c r="D117" s="130" t="inlineStr">
        <is>
          <t>Squadra B</t>
        </is>
      </c>
      <c r="E117" s="6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6" t="n"/>
      <c r="J117" s="130" t="inlineStr">
        <is>
          <t>Risultato</t>
        </is>
      </c>
      <c r="K117" s="5" t="n"/>
      <c r="L117" s="6" t="n"/>
    </row>
    <row r="118" ht="24" customHeight="1">
      <c r="A118" s="132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5" t="n"/>
      <c r="H118" s="5" t="n"/>
      <c r="I118" s="6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"&amp;IFERROR(INDEX(Campionato!$E$12:$E$111,MATCH($C118,Campionato!$B$12:$B$111,0)),"?")&amp;"]")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62" t="n"/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6" t="n"/>
      <c r="D120" s="130" t="inlineStr">
        <is>
          <t>Squadra B</t>
        </is>
      </c>
      <c r="E120" s="6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6" t="n"/>
      <c r="J120" s="130" t="inlineStr">
        <is>
          <t>Risultato</t>
        </is>
      </c>
      <c r="K120" s="5" t="n"/>
      <c r="L120" s="6" t="n"/>
    </row>
    <row r="121" ht="24" customHeight="1">
      <c r="A121" s="132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5" t="n"/>
      <c r="H121" s="5" t="n"/>
      <c r="I121" s="6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"&amp;IFERROR(INDEX(Campionato!$E$12:$E$111,MATCH($C121,Campionato!$B$12:$B$111,0)),"?")&amp;"]")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62" t="n"/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6" t="n"/>
      <c r="D123" s="130" t="inlineStr">
        <is>
          <t>Squadra B</t>
        </is>
      </c>
      <c r="E123" s="6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6" t="n"/>
      <c r="J123" s="130" t="inlineStr">
        <is>
          <t>Risultato</t>
        </is>
      </c>
      <c r="K123" s="5" t="n"/>
      <c r="L123" s="6" t="n"/>
    </row>
    <row r="124" ht="24" customHeight="1">
      <c r="A124" s="132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5" t="n"/>
      <c r="H124" s="5" t="n"/>
      <c r="I124" s="6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"&amp;IFERROR(INDEX(Campionato!$E$12:$E$111,MATCH($C124,Campionato!$B$12:$B$111,0)),"?")&amp;"]")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62" t="n"/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6" t="n"/>
      <c r="D128" s="130" t="inlineStr">
        <is>
          <t>Squadra B</t>
        </is>
      </c>
      <c r="E128" s="6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6" t="n"/>
      <c r="J128" s="130" t="inlineStr">
        <is>
          <t>Risultato</t>
        </is>
      </c>
      <c r="K128" s="5" t="n"/>
      <c r="L128" s="6" t="n"/>
    </row>
    <row r="129" ht="24" customHeight="1">
      <c r="A129" s="132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5" t="n"/>
      <c r="H129" s="5" t="n"/>
      <c r="I129" s="6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"&amp;IFERROR(INDEX(Campionato!$E$12:$E$111,MATCH($C129,Campionato!$B$12:$B$111,0)),"?")&amp;"]")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62" t="n"/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6" t="n"/>
      <c r="D131" s="130" t="inlineStr">
        <is>
          <t>Squadra B</t>
        </is>
      </c>
      <c r="E131" s="6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6" t="n"/>
      <c r="J131" s="130" t="inlineStr">
        <is>
          <t>Risultato</t>
        </is>
      </c>
      <c r="K131" s="5" t="n"/>
      <c r="L131" s="6" t="n"/>
    </row>
    <row r="132" ht="24" customHeight="1">
      <c r="A132" s="132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5" t="n"/>
      <c r="H132" s="5" t="n"/>
      <c r="I132" s="6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"&amp;IFERROR(INDEX(Campionato!$E$12:$E$111,MATCH($C132,Campionato!$B$12:$B$111,0)),"?")&amp;"]")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62" t="n"/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6" t="n"/>
      <c r="D134" s="130" t="inlineStr">
        <is>
          <t>Squadra B</t>
        </is>
      </c>
      <c r="E134" s="6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6" t="n"/>
      <c r="J134" s="130" t="inlineStr">
        <is>
          <t>Risultato</t>
        </is>
      </c>
      <c r="K134" s="5" t="n"/>
      <c r="L134" s="6" t="n"/>
    </row>
    <row r="135" ht="24" customHeight="1">
      <c r="A135" s="132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5" t="n"/>
      <c r="H135" s="5" t="n"/>
      <c r="I135" s="6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"&amp;IFERROR(INDEX(Campionato!$E$12:$E$111,MATCH($C135,Campionato!$B$12:$B$111,0)),"?")&amp;"]")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62" t="n"/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6" t="n"/>
      <c r="D137" s="130" t="inlineStr">
        <is>
          <t>Squadra B</t>
        </is>
      </c>
      <c r="E137" s="6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6" t="n"/>
      <c r="J137" s="130" t="inlineStr">
        <is>
          <t>Risultato</t>
        </is>
      </c>
      <c r="K137" s="5" t="n"/>
      <c r="L137" s="6" t="n"/>
    </row>
    <row r="138" ht="24" customHeight="1">
      <c r="A138" s="132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5" t="n"/>
      <c r="H138" s="5" t="n"/>
      <c r="I138" s="6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"&amp;IFERROR(INDEX(Campionato!$E$12:$E$111,MATCH($C138,Campionato!$B$12:$B$111,0)),"?")&amp;"]")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62" t="n"/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6" t="n"/>
      <c r="D140" s="130" t="inlineStr">
        <is>
          <t>Squadra B</t>
        </is>
      </c>
      <c r="E140" s="6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6" t="n"/>
      <c r="J140" s="130" t="inlineStr">
        <is>
          <t>Risultato</t>
        </is>
      </c>
      <c r="K140" s="5" t="n"/>
      <c r="L140" s="6" t="n"/>
    </row>
    <row r="141" ht="24" customHeight="1">
      <c r="A141" s="132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5" t="n"/>
      <c r="H141" s="5" t="n"/>
      <c r="I141" s="6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"&amp;IFERROR(INDEX(Campionato!$E$12:$E$111,MATCH($C141,Campionato!$B$12:$B$111,0)),"?")&amp;"]")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62" t="n"/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6" t="n"/>
      <c r="D145" s="130" t="inlineStr">
        <is>
          <t>Squadra B</t>
        </is>
      </c>
      <c r="E145" s="6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6" t="n"/>
      <c r="J145" s="130" t="inlineStr">
        <is>
          <t>Risultato</t>
        </is>
      </c>
      <c r="K145" s="5" t="n"/>
      <c r="L145" s="6" t="n"/>
    </row>
    <row r="146" ht="24" customHeight="1">
      <c r="A146" s="132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5" t="n"/>
      <c r="H146" s="5" t="n"/>
      <c r="I146" s="6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"&amp;IFERROR(INDEX(Campionato!$E$12:$E$111,MATCH($C146,Campionato!$B$12:$B$111,0)),"?")&amp;"]")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62" t="n"/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6" t="n"/>
      <c r="D148" s="130" t="inlineStr">
        <is>
          <t>Squadra B</t>
        </is>
      </c>
      <c r="E148" s="6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6" t="n"/>
      <c r="J148" s="130" t="inlineStr">
        <is>
          <t>Risultato</t>
        </is>
      </c>
      <c r="K148" s="5" t="n"/>
      <c r="L148" s="6" t="n"/>
    </row>
    <row r="149" ht="24" customHeight="1">
      <c r="A149" s="132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5" t="n"/>
      <c r="H149" s="5" t="n"/>
      <c r="I149" s="6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"&amp;IFERROR(INDEX(Campionato!$E$12:$E$111,MATCH($C149,Campionato!$B$12:$B$111,0)),"?")&amp;"]")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62" t="n"/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6" t="n"/>
      <c r="D151" s="130" t="inlineStr">
        <is>
          <t>Squadra B</t>
        </is>
      </c>
      <c r="E151" s="6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6" t="n"/>
      <c r="J151" s="130" t="inlineStr">
        <is>
          <t>Risultato</t>
        </is>
      </c>
      <c r="K151" s="5" t="n"/>
      <c r="L151" s="6" t="n"/>
    </row>
    <row r="152" ht="24" customHeight="1">
      <c r="A152" s="132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5" t="n"/>
      <c r="H152" s="5" t="n"/>
      <c r="I152" s="6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"&amp;IFERROR(INDEX(Campionato!$E$12:$E$111,MATCH($C152,Campionato!$B$12:$B$111,0)),"?")&amp;"]")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62" t="n"/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6" t="n"/>
      <c r="D154" s="130" t="inlineStr">
        <is>
          <t>Squadra B</t>
        </is>
      </c>
      <c r="E154" s="6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6" t="n"/>
      <c r="J154" s="130" t="inlineStr">
        <is>
          <t>Risultato</t>
        </is>
      </c>
      <c r="K154" s="5" t="n"/>
      <c r="L154" s="6" t="n"/>
    </row>
    <row r="155" ht="24" customHeight="1">
      <c r="A155" s="132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5" t="n"/>
      <c r="H155" s="5" t="n"/>
      <c r="I155" s="6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"&amp;IFERROR(INDEX(Campionato!$E$12:$E$111,MATCH($C155,Campionato!$B$12:$B$111,0)),"?")&amp;"]")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62" t="n"/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6" t="n"/>
      <c r="D157" s="130" t="inlineStr">
        <is>
          <t>Squadra B</t>
        </is>
      </c>
      <c r="E157" s="6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6" t="n"/>
      <c r="J157" s="130" t="inlineStr">
        <is>
          <t>Risultato</t>
        </is>
      </c>
      <c r="K157" s="5" t="n"/>
      <c r="L157" s="6" t="n"/>
    </row>
    <row r="158" ht="24" customHeight="1">
      <c r="A158" s="132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5" t="n"/>
      <c r="H158" s="5" t="n"/>
      <c r="I158" s="6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"&amp;IFERROR(INDEX(Campionato!$E$12:$E$111,MATCH($C158,Campionato!$B$12:$B$111,0)),"?")&amp;"]")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6" t="n"/>
      <c r="D9" s="135" t="inlineStr">
        <is>
          <t>Squadra B</t>
        </is>
      </c>
      <c r="E9" s="6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6" t="n"/>
      <c r="J9" s="135" t="inlineStr">
        <is>
          <t>Risultato</t>
        </is>
      </c>
      <c r="K9" s="5" t="n"/>
      <c r="L9" s="6" t="n"/>
    </row>
    <row r="10" ht="24" customHeight="1">
      <c r="A10" s="137" t="n">
        <v>451</v>
      </c>
      <c r="B10" s="61">
        <f>IFERROR(VLOOKUP(C10,Campionato!$G$12:$H$111,2,FALSE),"("&amp;C10&amp;")")</f>
        <v/>
      </c>
      <c r="C10" s="62" t="inlineStr">
        <is>
          <t>A1</t>
        </is>
      </c>
      <c r="D10" s="61">
        <f>IFERROR(VLOOKUP(E10,Campionato!$G$12:$H$111,2,FALSE),"("&amp;E10&amp;")")</f>
        <v/>
      </c>
      <c r="E10" s="62" t="inlineStr">
        <is>
          <t>H2</t>
        </is>
      </c>
      <c r="F10" s="63" t="n"/>
      <c r="G10" s="5" t="n"/>
      <c r="H10" s="5" t="n"/>
      <c r="I10" s="6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138" t="inlineStr">
        <is>
          <t>TBD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6" t="n"/>
      <c r="D12" s="135" t="inlineStr">
        <is>
          <t>Squadra B</t>
        </is>
      </c>
      <c r="E12" s="6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6" t="n"/>
      <c r="J12" s="135" t="inlineStr">
        <is>
          <t>Risultato</t>
        </is>
      </c>
      <c r="K12" s="5" t="n"/>
      <c r="L12" s="6" t="n"/>
    </row>
    <row r="13" ht="24" customHeight="1">
      <c r="A13" s="137">
        <f>MAX(A$10:A12)+1</f>
        <v/>
      </c>
      <c r="B13" s="61">
        <f>IFERROR(VLOOKUP(C13,Campionato!$G$12:$H$111,2,FALSE),"("&amp;C13&amp;")")</f>
        <v/>
      </c>
      <c r="C13" s="62" t="inlineStr">
        <is>
          <t>B1</t>
        </is>
      </c>
      <c r="D13" s="61">
        <f>IFERROR(VLOOKUP(E13,Campionato!$G$12:$H$111,2,FALSE),"("&amp;E13&amp;")")</f>
        <v/>
      </c>
      <c r="E13" s="62" t="inlineStr">
        <is>
          <t>G2</t>
        </is>
      </c>
      <c r="F13" s="63" t="n"/>
      <c r="G13" s="5" t="n"/>
      <c r="H13" s="5" t="n"/>
      <c r="I13" s="6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138" t="inlineStr">
        <is>
          <t>TBD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6" t="n"/>
      <c r="D15" s="135" t="inlineStr">
        <is>
          <t>Squadra B</t>
        </is>
      </c>
      <c r="E15" s="6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6" t="n"/>
      <c r="J15" s="135" t="inlineStr">
        <is>
          <t>Risultato</t>
        </is>
      </c>
      <c r="K15" s="5" t="n"/>
      <c r="L15" s="6" t="n"/>
    </row>
    <row r="16" ht="24" customHeight="1">
      <c r="A16" s="137">
        <f>MAX(A$10:A15)+1</f>
        <v/>
      </c>
      <c r="B16" s="61">
        <f>IFERROR(VLOOKUP(C16,Campionato!$G$12:$H$111,2,FALSE),"("&amp;C16&amp;")")</f>
        <v/>
      </c>
      <c r="C16" s="62" t="inlineStr">
        <is>
          <t>C1</t>
        </is>
      </c>
      <c r="D16" s="61">
        <f>IFERROR(VLOOKUP(E16,Campionato!$G$12:$H$111,2,FALSE),"("&amp;E16&amp;")")</f>
        <v/>
      </c>
      <c r="E16" s="62" t="inlineStr">
        <is>
          <t>F2</t>
        </is>
      </c>
      <c r="F16" s="63" t="n"/>
      <c r="G16" s="5" t="n"/>
      <c r="H16" s="5" t="n"/>
      <c r="I16" s="6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138" t="inlineStr">
        <is>
          <t>TBD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6" t="n"/>
      <c r="D18" s="135" t="inlineStr">
        <is>
          <t>Squadra B</t>
        </is>
      </c>
      <c r="E18" s="6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6" t="n"/>
      <c r="J18" s="135" t="inlineStr">
        <is>
          <t>Risultato</t>
        </is>
      </c>
      <c r="K18" s="5" t="n"/>
      <c r="L18" s="6" t="n"/>
    </row>
    <row r="19" ht="24" customHeight="1">
      <c r="A19" s="137">
        <f>MAX(A$10:A18)+1</f>
        <v/>
      </c>
      <c r="B19" s="61">
        <f>IFERROR(VLOOKUP(C19,Campionato!$G$12:$H$111,2,FALSE),"("&amp;C19&amp;")")</f>
        <v/>
      </c>
      <c r="C19" s="62" t="inlineStr">
        <is>
          <t>D1</t>
        </is>
      </c>
      <c r="D19" s="61">
        <f>IFERROR(VLOOKUP(E19,Campionato!$G$12:$H$111,2,FALSE),"("&amp;E19&amp;")")</f>
        <v/>
      </c>
      <c r="E19" s="62" t="inlineStr">
        <is>
          <t>E2</t>
        </is>
      </c>
      <c r="F19" s="63" t="n"/>
      <c r="G19" s="5" t="n"/>
      <c r="H19" s="5" t="n"/>
      <c r="I19" s="6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138" t="inlineStr">
        <is>
          <t>TBD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6" t="n"/>
      <c r="D21" s="135" t="inlineStr">
        <is>
          <t>Squadra B</t>
        </is>
      </c>
      <c r="E21" s="6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6" t="n"/>
      <c r="J21" s="135" t="inlineStr">
        <is>
          <t>Risultato</t>
        </is>
      </c>
      <c r="K21" s="5" t="n"/>
      <c r="L21" s="6" t="n"/>
    </row>
    <row r="22" ht="24" customHeight="1">
      <c r="A22" s="137">
        <f>MAX(A$10:A21)+1</f>
        <v/>
      </c>
      <c r="B22" s="61">
        <f>IFERROR(VLOOKUP(C22,Campionato!$G$12:$H$111,2,FALSE),"("&amp;C22&amp;")")</f>
        <v/>
      </c>
      <c r="C22" s="62" t="inlineStr">
        <is>
          <t>E1</t>
        </is>
      </c>
      <c r="D22" s="61">
        <f>IFERROR(VLOOKUP(E22,Campionato!$G$12:$H$111,2,FALSE),"("&amp;E22&amp;")")</f>
        <v/>
      </c>
      <c r="E22" s="62" t="inlineStr">
        <is>
          <t>D2</t>
        </is>
      </c>
      <c r="F22" s="63" t="n"/>
      <c r="G22" s="5" t="n"/>
      <c r="H22" s="5" t="n"/>
      <c r="I22" s="6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138" t="inlineStr">
        <is>
          <t>TBD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6" t="n"/>
      <c r="D24" s="135" t="inlineStr">
        <is>
          <t>Squadra B</t>
        </is>
      </c>
      <c r="E24" s="6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6" t="n"/>
      <c r="J24" s="135" t="inlineStr">
        <is>
          <t>Risultato</t>
        </is>
      </c>
      <c r="K24" s="5" t="n"/>
      <c r="L24" s="6" t="n"/>
    </row>
    <row r="25" ht="24" customHeight="1">
      <c r="A25" s="137">
        <f>MAX(A$10:A24)+1</f>
        <v/>
      </c>
      <c r="B25" s="61">
        <f>IFERROR(VLOOKUP(C25,Campionato!$G$12:$H$111,2,FALSE),"("&amp;C25&amp;")")</f>
        <v/>
      </c>
      <c r="C25" s="62" t="inlineStr">
        <is>
          <t>F1</t>
        </is>
      </c>
      <c r="D25" s="61">
        <f>IFERROR(VLOOKUP(E25,Campionato!$G$12:$H$111,2,FALSE),"("&amp;E25&amp;")")</f>
        <v/>
      </c>
      <c r="E25" s="62" t="inlineStr">
        <is>
          <t>C2</t>
        </is>
      </c>
      <c r="F25" s="63" t="n"/>
      <c r="G25" s="5" t="n"/>
      <c r="H25" s="5" t="n"/>
      <c r="I25" s="6" t="n"/>
      <c r="J25" s="65" t="n"/>
      <c r="K25" s="66" t="inlineStr">
        <is>
          <t>-</t>
        </is>
      </c>
      <c r="L25" s="65" t="n"/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5" t="n"/>
      <c r="D26" s="5" t="n"/>
      <c r="E26" s="5" t="n"/>
      <c r="F26" s="5" t="n"/>
      <c r="G26" s="5" t="n"/>
      <c r="H26" s="6" t="n"/>
      <c r="I26" s="138" t="inlineStr">
        <is>
          <t>TBD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6" t="n"/>
      <c r="D27" s="135" t="inlineStr">
        <is>
          <t>Squadra B</t>
        </is>
      </c>
      <c r="E27" s="6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6" t="n"/>
      <c r="J27" s="135" t="inlineStr">
        <is>
          <t>Risultato</t>
        </is>
      </c>
      <c r="K27" s="5" t="n"/>
      <c r="L27" s="6" t="n"/>
    </row>
    <row r="28" ht="24" customHeight="1">
      <c r="A28" s="137">
        <f>MAX(A$10:A27)+1</f>
        <v/>
      </c>
      <c r="B28" s="61">
        <f>IFERROR(VLOOKUP(C28,Campionato!$G$12:$H$111,2,FALSE),"("&amp;C28&amp;")")</f>
        <v/>
      </c>
      <c r="C28" s="62" t="inlineStr">
        <is>
          <t>G1</t>
        </is>
      </c>
      <c r="D28" s="61">
        <f>IFERROR(VLOOKUP(E28,Campionato!$G$12:$H$111,2,FALSE),"("&amp;E28&amp;")")</f>
        <v/>
      </c>
      <c r="E28" s="62" t="inlineStr">
        <is>
          <t>B2</t>
        </is>
      </c>
      <c r="F28" s="63" t="n"/>
      <c r="G28" s="5" t="n"/>
      <c r="H28" s="5" t="n"/>
      <c r="I28" s="6" t="n"/>
      <c r="J28" s="65" t="n"/>
      <c r="K28" s="66" t="inlineStr">
        <is>
          <t>-</t>
        </is>
      </c>
      <c r="L28" s="65" t="n"/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5" t="n"/>
      <c r="D29" s="5" t="n"/>
      <c r="E29" s="5" t="n"/>
      <c r="F29" s="5" t="n"/>
      <c r="G29" s="5" t="n"/>
      <c r="H29" s="6" t="n"/>
      <c r="I29" s="138" t="inlineStr">
        <is>
          <t>TBD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6" t="n"/>
      <c r="D30" s="135" t="inlineStr">
        <is>
          <t>Squadra B</t>
        </is>
      </c>
      <c r="E30" s="6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6" t="n"/>
      <c r="J30" s="135" t="inlineStr">
        <is>
          <t>Risultato</t>
        </is>
      </c>
      <c r="K30" s="5" t="n"/>
      <c r="L30" s="6" t="n"/>
    </row>
    <row r="31" ht="24" customHeight="1">
      <c r="A31" s="137">
        <f>MAX(A$10:A30)+1</f>
        <v/>
      </c>
      <c r="B31" s="61">
        <f>IFERROR(VLOOKUP(C31,Campionato!$G$12:$H$111,2,FALSE),"("&amp;C31&amp;")")</f>
        <v/>
      </c>
      <c r="C31" s="62" t="inlineStr">
        <is>
          <t>H1</t>
        </is>
      </c>
      <c r="D31" s="61">
        <f>IFERROR(VLOOKUP(E31,Campionato!$G$12:$H$111,2,FALSE),"("&amp;E31&amp;")")</f>
        <v/>
      </c>
      <c r="E31" s="62" t="inlineStr">
        <is>
          <t>A2</t>
        </is>
      </c>
      <c r="F31" s="63" t="n"/>
      <c r="G31" s="5" t="n"/>
      <c r="H31" s="5" t="n"/>
      <c r="I31" s="6" t="n"/>
      <c r="J31" s="65" t="n"/>
      <c r="K31" s="66" t="inlineStr">
        <is>
          <t>-</t>
        </is>
      </c>
      <c r="L31" s="65" t="n"/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5" t="n"/>
      <c r="D32" s="5" t="n"/>
      <c r="E32" s="5" t="n"/>
      <c r="F32" s="5" t="n"/>
      <c r="G32" s="5" t="n"/>
      <c r="H32" s="6" t="n"/>
      <c r="I32" s="138" t="inlineStr">
        <is>
          <t>TBD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6" t="n"/>
      <c r="D35" s="135" t="inlineStr">
        <is>
          <t>Squadra B</t>
        </is>
      </c>
      <c r="E35" s="6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6" t="n"/>
      <c r="J35" s="135" t="inlineStr">
        <is>
          <t>Risultato</t>
        </is>
      </c>
      <c r="K35" s="5" t="n"/>
      <c r="L35" s="6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/>
      <c r="G36" s="5" t="n"/>
      <c r="H36" s="5" t="n"/>
      <c r="I36" s="6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138" t="inlineStr">
        <is>
          <t>TBD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6" t="n"/>
      <c r="D38" s="135" t="inlineStr">
        <is>
          <t>Squadra B</t>
        </is>
      </c>
      <c r="E38" s="6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6" t="n"/>
      <c r="J38" s="135" t="inlineStr">
        <is>
          <t>Risultato</t>
        </is>
      </c>
      <c r="K38" s="5" t="n"/>
      <c r="L38" s="6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/>
      <c r="G39" s="5" t="n"/>
      <c r="H39" s="5" t="n"/>
      <c r="I39" s="6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138" t="inlineStr">
        <is>
          <t>TBD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6" t="n"/>
      <c r="D41" s="135" t="inlineStr">
        <is>
          <t>Squadra B</t>
        </is>
      </c>
      <c r="E41" s="6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6" t="n"/>
      <c r="J41" s="135" t="inlineStr">
        <is>
          <t>Risultato</t>
        </is>
      </c>
      <c r="K41" s="5" t="n"/>
      <c r="L41" s="6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/>
      <c r="G42" s="5" t="n"/>
      <c r="H42" s="5" t="n"/>
      <c r="I42" s="6" t="n"/>
      <c r="J42" s="65" t="n"/>
      <c r="K42" s="66" t="inlineStr">
        <is>
          <t>-</t>
        </is>
      </c>
      <c r="L42" s="65" t="n"/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5" t="n"/>
      <c r="D43" s="5" t="n"/>
      <c r="E43" s="5" t="n"/>
      <c r="F43" s="5" t="n"/>
      <c r="G43" s="5" t="n"/>
      <c r="H43" s="6" t="n"/>
      <c r="I43" s="138" t="inlineStr">
        <is>
          <t>TBD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6" t="n"/>
      <c r="D44" s="135" t="inlineStr">
        <is>
          <t>Squadra B</t>
        </is>
      </c>
      <c r="E44" s="6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6" t="n"/>
      <c r="J44" s="135" t="inlineStr">
        <is>
          <t>Risultato</t>
        </is>
      </c>
      <c r="K44" s="5" t="n"/>
      <c r="L44" s="6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/>
      <c r="G45" s="5" t="n"/>
      <c r="H45" s="5" t="n"/>
      <c r="I45" s="6" t="n"/>
      <c r="J45" s="65" t="n"/>
      <c r="K45" s="66" t="inlineStr">
        <is>
          <t>-</t>
        </is>
      </c>
      <c r="L45" s="65" t="n"/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5" t="n"/>
      <c r="D46" s="5" t="n"/>
      <c r="E46" s="5" t="n"/>
      <c r="F46" s="5" t="n"/>
      <c r="G46" s="5" t="n"/>
      <c r="H46" s="6" t="n"/>
      <c r="I46" s="138" t="inlineStr">
        <is>
          <t>TBD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6" t="n"/>
      <c r="D49" s="135" t="inlineStr">
        <is>
          <t>Squadra B</t>
        </is>
      </c>
      <c r="E49" s="6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6" t="n"/>
      <c r="J49" s="135" t="inlineStr">
        <is>
          <t>Risultato</t>
        </is>
      </c>
      <c r="K49" s="5" t="n"/>
      <c r="L49" s="6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/>
      <c r="G50" s="5" t="n"/>
      <c r="H50" s="5" t="n"/>
      <c r="I50" s="6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138" t="inlineStr">
        <is>
          <t>TBD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6" t="n"/>
      <c r="D52" s="135" t="inlineStr">
        <is>
          <t>Squadra B</t>
        </is>
      </c>
      <c r="E52" s="6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6" t="n"/>
      <c r="J52" s="135" t="inlineStr">
        <is>
          <t>Risultato</t>
        </is>
      </c>
      <c r="K52" s="5" t="n"/>
      <c r="L52" s="6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/>
      <c r="G53" s="5" t="n"/>
      <c r="H53" s="5" t="n"/>
      <c r="I53" s="6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138" t="inlineStr">
        <is>
          <t>TBD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6" t="n"/>
      <c r="D57" s="135" t="inlineStr">
        <is>
          <t>Squadra B</t>
        </is>
      </c>
      <c r="E57" s="6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6" t="n"/>
      <c r="J57" s="135" t="inlineStr">
        <is>
          <t>Risultato</t>
        </is>
      </c>
      <c r="K57" s="5" t="n"/>
      <c r="L57" s="6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/>
      <c r="G58" s="5" t="n"/>
      <c r="H58" s="5" t="n"/>
      <c r="I58" s="6" t="n"/>
      <c r="J58" s="65" t="n"/>
      <c r="K58" s="66" t="inlineStr">
        <is>
          <t>-</t>
        </is>
      </c>
      <c r="L58" s="65" t="n"/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5" t="n"/>
      <c r="D59" s="5" t="n"/>
      <c r="E59" s="5" t="n"/>
      <c r="F59" s="5" t="n"/>
      <c r="G59" s="5" t="n"/>
      <c r="H59" s="6" t="n"/>
      <c r="I59" s="138" t="inlineStr">
        <is>
          <t>TBD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6" t="n"/>
      <c r="D60" s="135" t="inlineStr">
        <is>
          <t>Squadra B</t>
        </is>
      </c>
      <c r="E60" s="6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6" t="n"/>
      <c r="J60" s="135" t="inlineStr">
        <is>
          <t>Risultato</t>
        </is>
      </c>
      <c r="K60" s="5" t="n"/>
      <c r="L60" s="6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/>
      <c r="G61" s="5" t="n"/>
      <c r="H61" s="5" t="n"/>
      <c r="I61" s="6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138" t="inlineStr">
        <is>
          <t>TBD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5" t="n"/>
      <c r="F7" s="5" t="n"/>
      <c r="G7" s="6" t="n"/>
      <c r="H7" s="140" t="inlineStr">
        <is>
          <t>Punti</t>
        </is>
      </c>
      <c r="I7" s="5" t="n"/>
      <c r="J7" s="6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5" t="n"/>
      <c r="F21" s="5" t="n"/>
      <c r="G21" s="6" t="n"/>
      <c r="H21" s="147" t="inlineStr">
        <is>
          <t>Punti</t>
        </is>
      </c>
      <c r="I21" s="5" t="n"/>
      <c r="J21" s="6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5" t="n"/>
      <c r="F35" s="5" t="n"/>
      <c r="G35" s="6" t="n"/>
      <c r="H35" s="152" t="inlineStr">
        <is>
          <t>Punti</t>
        </is>
      </c>
      <c r="I35" s="5" t="n"/>
      <c r="J35" s="6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5" t="n"/>
      <c r="F49" s="5" t="n"/>
      <c r="G49" s="6" t="n"/>
      <c r="H49" s="157" t="inlineStr">
        <is>
          <t>Punti</t>
        </is>
      </c>
      <c r="I49" s="5" t="n"/>
      <c r="J49" s="6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5" t="n"/>
      <c r="F63" s="5" t="n"/>
      <c r="G63" s="6" t="n"/>
      <c r="H63" s="162" t="inlineStr">
        <is>
          <t>Punti</t>
        </is>
      </c>
      <c r="I63" s="5" t="n"/>
      <c r="J63" s="6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5" t="n"/>
      <c r="F77" s="5" t="n"/>
      <c r="G77" s="6" t="n"/>
      <c r="H77" s="167" t="inlineStr">
        <is>
          <t>Punti</t>
        </is>
      </c>
      <c r="I77" s="5" t="n"/>
      <c r="J77" s="6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5" t="n"/>
      <c r="F91" s="5" t="n"/>
      <c r="G91" s="6" t="n"/>
      <c r="H91" s="172" t="inlineStr">
        <is>
          <t>Punti</t>
        </is>
      </c>
      <c r="I91" s="5" t="n"/>
      <c r="J91" s="6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5" t="n"/>
      <c r="F105" s="5" t="n"/>
      <c r="G105" s="6" t="n"/>
      <c r="H105" s="177" t="inlineStr">
        <is>
          <t>Punti</t>
        </is>
      </c>
      <c r="I105" s="5" t="n"/>
      <c r="J105" s="6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5" t="n"/>
      <c r="F119" s="5" t="n"/>
      <c r="G119" s="6" t="n"/>
      <c r="H119" s="182" t="inlineStr">
        <is>
          <t>Punti</t>
        </is>
      </c>
      <c r="I119" s="5" t="n"/>
      <c r="J119" s="6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5" t="n"/>
      <c r="F133" s="5" t="n"/>
      <c r="G133" s="6" t="n"/>
      <c r="H133" s="186" t="inlineStr">
        <is>
          <t>Punti</t>
        </is>
      </c>
      <c r="I133" s="5" t="n"/>
      <c r="J133" s="6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  <c r="M8" s="193" t="inlineStr">
        <is>
          <t>ARBITRI</t>
        </is>
      </c>
      <c r="N8" s="5" t="n"/>
      <c r="O8" s="6" t="n"/>
      <c r="P8" s="193" t="inlineStr">
        <is>
          <t>UFFICIALI DI CAMPO</t>
        </is>
      </c>
      <c r="Q8" s="5" t="n"/>
      <c r="R8" s="6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6" t="n"/>
      <c r="D9" s="58" t="inlineStr">
        <is>
          <t>Squadra B</t>
        </is>
      </c>
      <c r="E9" s="6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6" t="n"/>
      <c r="J9" s="58" t="inlineStr">
        <is>
          <t>Risultato</t>
        </is>
      </c>
      <c r="K9" s="5" t="n"/>
      <c r="L9" s="6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5" t="n"/>
      <c r="H10" s="5" t="n"/>
      <c r="I10" s="6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n"/>
      <c r="N10" s="196" t="n"/>
      <c r="O10" s="196" t="n"/>
      <c r="P10" s="196" t="n"/>
      <c r="Q10" s="196" t="n"/>
      <c r="R10" s="196" t="n"/>
    </row>
    <row r="11" ht="15" customHeight="1">
      <c r="A11" s="141" t="n"/>
      <c r="B11" s="69">
        <f>IF('Calendario A'!B11="","",'Calendario A'!B11)</f>
        <v/>
      </c>
      <c r="C11" s="5" t="n"/>
      <c r="D11" s="5" t="n"/>
      <c r="E11" s="5" t="n"/>
      <c r="F11" s="5" t="n"/>
      <c r="G11" s="5" t="n"/>
      <c r="H11" s="6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6" t="n"/>
      <c r="D12" s="58" t="inlineStr">
        <is>
          <t>Squadra B</t>
        </is>
      </c>
      <c r="E12" s="6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6" t="n"/>
      <c r="J12" s="58" t="inlineStr">
        <is>
          <t>Risultato</t>
        </is>
      </c>
      <c r="K12" s="5" t="n"/>
      <c r="L12" s="6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5" t="n"/>
      <c r="H13" s="5" t="n"/>
      <c r="I13" s="6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n"/>
      <c r="N13" s="196" t="n"/>
      <c r="O13" s="196" t="n"/>
      <c r="P13" s="196" t="n"/>
      <c r="Q13" s="196" t="n"/>
      <c r="R13" s="196" t="n"/>
    </row>
    <row r="14" ht="15" customHeight="1">
      <c r="A14" s="141" t="n"/>
      <c r="B14" s="69">
        <f>IF('Calendario A'!B14="","",'Calendario A'!B14)</f>
        <v/>
      </c>
      <c r="C14" s="5" t="n"/>
      <c r="D14" s="5" t="n"/>
      <c r="E14" s="5" t="n"/>
      <c r="F14" s="5" t="n"/>
      <c r="G14" s="5" t="n"/>
      <c r="H14" s="6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6" t="n"/>
      <c r="D15" s="58" t="inlineStr">
        <is>
          <t>Squadra B</t>
        </is>
      </c>
      <c r="E15" s="6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6" t="n"/>
      <c r="J15" s="58" t="inlineStr">
        <is>
          <t>Risultato</t>
        </is>
      </c>
      <c r="K15" s="5" t="n"/>
      <c r="L15" s="6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5" t="n"/>
      <c r="H16" s="5" t="n"/>
      <c r="I16" s="6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n"/>
      <c r="N16" s="196" t="n"/>
      <c r="O16" s="196" t="n"/>
      <c r="P16" s="196" t="n"/>
      <c r="Q16" s="196" t="n"/>
      <c r="R16" s="196" t="n"/>
    </row>
    <row r="17" ht="15" customHeight="1">
      <c r="A17" s="141" t="n"/>
      <c r="B17" s="69">
        <f>IF('Calendario A'!B17="","",'Calendario A'!B17)</f>
        <v/>
      </c>
      <c r="C17" s="5" t="n"/>
      <c r="D17" s="5" t="n"/>
      <c r="E17" s="5" t="n"/>
      <c r="F17" s="5" t="n"/>
      <c r="G17" s="5" t="n"/>
      <c r="H17" s="6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6" t="n"/>
      <c r="D18" s="58" t="inlineStr">
        <is>
          <t>Squadra B</t>
        </is>
      </c>
      <c r="E18" s="6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6" t="n"/>
      <c r="J18" s="58" t="inlineStr">
        <is>
          <t>Risultato</t>
        </is>
      </c>
      <c r="K18" s="5" t="n"/>
      <c r="L18" s="6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5" t="n"/>
      <c r="H19" s="5" t="n"/>
      <c r="I19" s="6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n"/>
      <c r="N19" s="196" t="n"/>
      <c r="O19" s="196" t="n"/>
      <c r="P19" s="196" t="n"/>
      <c r="Q19" s="196" t="n"/>
      <c r="R19" s="196" t="n"/>
    </row>
    <row r="20" ht="15" customHeight="1">
      <c r="A20" s="141" t="n"/>
      <c r="B20" s="69">
        <f>IF('Calendario A'!B20="","",'Calendario A'!B20)</f>
        <v/>
      </c>
      <c r="C20" s="5" t="n"/>
      <c r="D20" s="5" t="n"/>
      <c r="E20" s="5" t="n"/>
      <c r="F20" s="5" t="n"/>
      <c r="G20" s="5" t="n"/>
      <c r="H20" s="6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6" t="n"/>
      <c r="D21" s="58" t="inlineStr">
        <is>
          <t>Squadra B</t>
        </is>
      </c>
      <c r="E21" s="6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6" t="n"/>
      <c r="J21" s="58" t="inlineStr">
        <is>
          <t>Risultato</t>
        </is>
      </c>
      <c r="K21" s="5" t="n"/>
      <c r="L21" s="6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5" t="n"/>
      <c r="H22" s="5" t="n"/>
      <c r="I22" s="6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n"/>
      <c r="N22" s="196" t="n"/>
      <c r="O22" s="196" t="n"/>
      <c r="P22" s="196" t="n"/>
      <c r="Q22" s="196" t="n"/>
      <c r="R22" s="196" t="n"/>
    </row>
    <row r="23" ht="15" customHeight="1">
      <c r="A23" s="141" t="n"/>
      <c r="B23" s="69">
        <f>IF('Calendario A'!B23="","",'Calendario A'!B23)</f>
        <v/>
      </c>
      <c r="C23" s="5" t="n"/>
      <c r="D23" s="5" t="n"/>
      <c r="E23" s="5" t="n"/>
      <c r="F23" s="5" t="n"/>
      <c r="G23" s="5" t="n"/>
      <c r="H23" s="6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  <c r="M25" s="193" t="inlineStr">
        <is>
          <t>ARBITRI</t>
        </is>
      </c>
      <c r="N25" s="5" t="n"/>
      <c r="O25" s="6" t="n"/>
      <c r="P25" s="193" t="inlineStr">
        <is>
          <t>UFFICIALI DI CAMPO</t>
        </is>
      </c>
      <c r="Q25" s="5" t="n"/>
      <c r="R25" s="6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6" t="n"/>
      <c r="D26" s="58" t="inlineStr">
        <is>
          <t>Squadra B</t>
        </is>
      </c>
      <c r="E26" s="6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6" t="n"/>
      <c r="J26" s="58" t="inlineStr">
        <is>
          <t>Risultato</t>
        </is>
      </c>
      <c r="K26" s="5" t="n"/>
      <c r="L26" s="6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5" t="n"/>
      <c r="H27" s="5" t="n"/>
      <c r="I27" s="6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n"/>
      <c r="N27" s="196" t="n"/>
      <c r="O27" s="196" t="n"/>
      <c r="P27" s="196" t="n"/>
      <c r="Q27" s="196" t="n"/>
      <c r="R27" s="196" t="n"/>
    </row>
    <row r="28" ht="15" customHeight="1">
      <c r="A28" s="141" t="n"/>
      <c r="B28" s="69">
        <f>IF('Calendario A'!B28="","",'Calendario A'!B28)</f>
        <v/>
      </c>
      <c r="C28" s="5" t="n"/>
      <c r="D28" s="5" t="n"/>
      <c r="E28" s="5" t="n"/>
      <c r="F28" s="5" t="n"/>
      <c r="G28" s="5" t="n"/>
      <c r="H28" s="6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6" t="n"/>
      <c r="D29" s="58" t="inlineStr">
        <is>
          <t>Squadra B</t>
        </is>
      </c>
      <c r="E29" s="6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6" t="n"/>
      <c r="J29" s="58" t="inlineStr">
        <is>
          <t>Risultato</t>
        </is>
      </c>
      <c r="K29" s="5" t="n"/>
      <c r="L29" s="6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5" t="n"/>
      <c r="H30" s="5" t="n"/>
      <c r="I30" s="6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n"/>
      <c r="N30" s="196" t="n"/>
      <c r="O30" s="196" t="n"/>
      <c r="P30" s="196" t="n"/>
      <c r="Q30" s="196" t="n"/>
      <c r="R30" s="196" t="n"/>
    </row>
    <row r="31" ht="15" customHeight="1">
      <c r="A31" s="141" t="n"/>
      <c r="B31" s="69">
        <f>IF('Calendario A'!B31="","",'Calendario A'!B31)</f>
        <v/>
      </c>
      <c r="C31" s="5" t="n"/>
      <c r="D31" s="5" t="n"/>
      <c r="E31" s="5" t="n"/>
      <c r="F31" s="5" t="n"/>
      <c r="G31" s="5" t="n"/>
      <c r="H31" s="6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6" t="n"/>
      <c r="D32" s="58" t="inlineStr">
        <is>
          <t>Squadra B</t>
        </is>
      </c>
      <c r="E32" s="6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6" t="n"/>
      <c r="J32" s="58" t="inlineStr">
        <is>
          <t>Risultato</t>
        </is>
      </c>
      <c r="K32" s="5" t="n"/>
      <c r="L32" s="6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5" t="n"/>
      <c r="H33" s="5" t="n"/>
      <c r="I33" s="6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n"/>
      <c r="N33" s="196" t="n"/>
      <c r="O33" s="196" t="n"/>
      <c r="P33" s="196" t="n"/>
      <c r="Q33" s="196" t="n"/>
      <c r="R33" s="196" t="n"/>
    </row>
    <row r="34" ht="15" customHeight="1">
      <c r="A34" s="141" t="n"/>
      <c r="B34" s="69">
        <f>IF('Calendario A'!B34="","",'Calendario A'!B34)</f>
        <v/>
      </c>
      <c r="C34" s="5" t="n"/>
      <c r="D34" s="5" t="n"/>
      <c r="E34" s="5" t="n"/>
      <c r="F34" s="5" t="n"/>
      <c r="G34" s="5" t="n"/>
      <c r="H34" s="6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6" t="n"/>
      <c r="D35" s="58" t="inlineStr">
        <is>
          <t>Squadra B</t>
        </is>
      </c>
      <c r="E35" s="6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6" t="n"/>
      <c r="J35" s="58" t="inlineStr">
        <is>
          <t>Risultato</t>
        </is>
      </c>
      <c r="K35" s="5" t="n"/>
      <c r="L35" s="6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5" t="n"/>
      <c r="H36" s="5" t="n"/>
      <c r="I36" s="6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n"/>
      <c r="N36" s="196" t="n"/>
      <c r="O36" s="196" t="n"/>
      <c r="P36" s="196" t="n"/>
      <c r="Q36" s="196" t="n"/>
      <c r="R36" s="196" t="n"/>
    </row>
    <row r="37" ht="15" customHeight="1">
      <c r="A37" s="141" t="n"/>
      <c r="B37" s="69">
        <f>IF('Calendario A'!B37="","",'Calendario A'!B37)</f>
        <v/>
      </c>
      <c r="C37" s="5" t="n"/>
      <c r="D37" s="5" t="n"/>
      <c r="E37" s="5" t="n"/>
      <c r="F37" s="5" t="n"/>
      <c r="G37" s="5" t="n"/>
      <c r="H37" s="6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6" t="n"/>
      <c r="D38" s="58" t="inlineStr">
        <is>
          <t>Squadra B</t>
        </is>
      </c>
      <c r="E38" s="6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6" t="n"/>
      <c r="J38" s="58" t="inlineStr">
        <is>
          <t>Risultato</t>
        </is>
      </c>
      <c r="K38" s="5" t="n"/>
      <c r="L38" s="6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5" t="n"/>
      <c r="H39" s="5" t="n"/>
      <c r="I39" s="6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n"/>
      <c r="N39" s="196" t="n"/>
      <c r="O39" s="196" t="n"/>
      <c r="P39" s="196" t="n"/>
      <c r="Q39" s="196" t="n"/>
      <c r="R39" s="196" t="n"/>
    </row>
    <row r="40" ht="15" customHeight="1">
      <c r="A40" s="141" t="n"/>
      <c r="B40" s="69">
        <f>IF('Calendario A'!B40="","",'Calendario A'!B40)</f>
        <v/>
      </c>
      <c r="C40" s="5" t="n"/>
      <c r="D40" s="5" t="n"/>
      <c r="E40" s="5" t="n"/>
      <c r="F40" s="5" t="n"/>
      <c r="G40" s="5" t="n"/>
      <c r="H40" s="6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  <c r="M42" s="193" t="inlineStr">
        <is>
          <t>ARBITRI</t>
        </is>
      </c>
      <c r="N42" s="5" t="n"/>
      <c r="O42" s="6" t="n"/>
      <c r="P42" s="193" t="inlineStr">
        <is>
          <t>UFFICIALI DI CAMPO</t>
        </is>
      </c>
      <c r="Q42" s="5" t="n"/>
      <c r="R42" s="6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6" t="n"/>
      <c r="D43" s="58" t="inlineStr">
        <is>
          <t>Squadra B</t>
        </is>
      </c>
      <c r="E43" s="6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6" t="n"/>
      <c r="J43" s="58" t="inlineStr">
        <is>
          <t>Risultato</t>
        </is>
      </c>
      <c r="K43" s="5" t="n"/>
      <c r="L43" s="6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5" t="n"/>
      <c r="H44" s="5" t="n"/>
      <c r="I44" s="6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n"/>
      <c r="N44" s="196" t="n"/>
      <c r="O44" s="196" t="n"/>
      <c r="P44" s="196" t="n"/>
      <c r="Q44" s="196" t="n"/>
      <c r="R44" s="196" t="n"/>
    </row>
    <row r="45" ht="15" customHeight="1">
      <c r="A45" s="141" t="n"/>
      <c r="B45" s="69">
        <f>IF('Calendario A'!B45="","",'Calendario A'!B45)</f>
        <v/>
      </c>
      <c r="C45" s="5" t="n"/>
      <c r="D45" s="5" t="n"/>
      <c r="E45" s="5" t="n"/>
      <c r="F45" s="5" t="n"/>
      <c r="G45" s="5" t="n"/>
      <c r="H45" s="6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6" t="n"/>
      <c r="D46" s="58" t="inlineStr">
        <is>
          <t>Squadra B</t>
        </is>
      </c>
      <c r="E46" s="6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6" t="n"/>
      <c r="J46" s="58" t="inlineStr">
        <is>
          <t>Risultato</t>
        </is>
      </c>
      <c r="K46" s="5" t="n"/>
      <c r="L46" s="6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5" t="n"/>
      <c r="H47" s="5" t="n"/>
      <c r="I47" s="6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n"/>
      <c r="N47" s="196" t="n"/>
      <c r="O47" s="196" t="n"/>
      <c r="P47" s="196" t="n"/>
      <c r="Q47" s="196" t="n"/>
      <c r="R47" s="196" t="n"/>
    </row>
    <row r="48" ht="15" customHeight="1">
      <c r="A48" s="141" t="n"/>
      <c r="B48" s="69">
        <f>IF('Calendario A'!B48="","",'Calendario A'!B48)</f>
        <v/>
      </c>
      <c r="C48" s="5" t="n"/>
      <c r="D48" s="5" t="n"/>
      <c r="E48" s="5" t="n"/>
      <c r="F48" s="5" t="n"/>
      <c r="G48" s="5" t="n"/>
      <c r="H48" s="6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6" t="n"/>
      <c r="D49" s="58" t="inlineStr">
        <is>
          <t>Squadra B</t>
        </is>
      </c>
      <c r="E49" s="6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6" t="n"/>
      <c r="J49" s="58" t="inlineStr">
        <is>
          <t>Risultato</t>
        </is>
      </c>
      <c r="K49" s="5" t="n"/>
      <c r="L49" s="6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5" t="n"/>
      <c r="H50" s="5" t="n"/>
      <c r="I50" s="6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n"/>
      <c r="N50" s="196" t="n"/>
      <c r="O50" s="196" t="n"/>
      <c r="P50" s="196" t="n"/>
      <c r="Q50" s="196" t="n"/>
      <c r="R50" s="196" t="n"/>
    </row>
    <row r="51" ht="15" customHeight="1">
      <c r="A51" s="141" t="n"/>
      <c r="B51" s="69">
        <f>IF('Calendario A'!B51="","",'Calendario A'!B51)</f>
        <v/>
      </c>
      <c r="C51" s="5" t="n"/>
      <c r="D51" s="5" t="n"/>
      <c r="E51" s="5" t="n"/>
      <c r="F51" s="5" t="n"/>
      <c r="G51" s="5" t="n"/>
      <c r="H51" s="6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6" t="n"/>
      <c r="D52" s="58" t="inlineStr">
        <is>
          <t>Squadra B</t>
        </is>
      </c>
      <c r="E52" s="6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6" t="n"/>
      <c r="J52" s="58" t="inlineStr">
        <is>
          <t>Risultato</t>
        </is>
      </c>
      <c r="K52" s="5" t="n"/>
      <c r="L52" s="6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5" t="n"/>
      <c r="H53" s="5" t="n"/>
      <c r="I53" s="6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n"/>
      <c r="N53" s="196" t="n"/>
      <c r="O53" s="196" t="n"/>
      <c r="P53" s="196" t="n"/>
      <c r="Q53" s="196" t="n"/>
      <c r="R53" s="196" t="n"/>
    </row>
    <row r="54" ht="15" customHeight="1">
      <c r="A54" s="141" t="n"/>
      <c r="B54" s="69">
        <f>IF('Calendario A'!B54="","",'Calendario A'!B54)</f>
        <v/>
      </c>
      <c r="C54" s="5" t="n"/>
      <c r="D54" s="5" t="n"/>
      <c r="E54" s="5" t="n"/>
      <c r="F54" s="5" t="n"/>
      <c r="G54" s="5" t="n"/>
      <c r="H54" s="6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6" t="n"/>
      <c r="D55" s="58" t="inlineStr">
        <is>
          <t>Squadra B</t>
        </is>
      </c>
      <c r="E55" s="6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6" t="n"/>
      <c r="J55" s="58" t="inlineStr">
        <is>
          <t>Risultato</t>
        </is>
      </c>
      <c r="K55" s="5" t="n"/>
      <c r="L55" s="6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5" t="n"/>
      <c r="H56" s="5" t="n"/>
      <c r="I56" s="6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n"/>
      <c r="N56" s="196" t="n"/>
      <c r="O56" s="196" t="n"/>
      <c r="P56" s="196" t="n"/>
      <c r="Q56" s="196" t="n"/>
      <c r="R56" s="196" t="n"/>
    </row>
    <row r="57" ht="15" customHeight="1">
      <c r="A57" s="141" t="n"/>
      <c r="B57" s="69">
        <f>IF('Calendario A'!B57="","",'Calendario A'!B57)</f>
        <v/>
      </c>
      <c r="C57" s="5" t="n"/>
      <c r="D57" s="5" t="n"/>
      <c r="E57" s="5" t="n"/>
      <c r="F57" s="5" t="n"/>
      <c r="G57" s="5" t="n"/>
      <c r="H57" s="6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  <c r="M59" s="193" t="inlineStr">
        <is>
          <t>ARBITRI</t>
        </is>
      </c>
      <c r="N59" s="5" t="n"/>
      <c r="O59" s="6" t="n"/>
      <c r="P59" s="193" t="inlineStr">
        <is>
          <t>UFFICIALI DI CAMPO</t>
        </is>
      </c>
      <c r="Q59" s="5" t="n"/>
      <c r="R59" s="6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6" t="n"/>
      <c r="D60" s="58" t="inlineStr">
        <is>
          <t>Squadra B</t>
        </is>
      </c>
      <c r="E60" s="6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6" t="n"/>
      <c r="J60" s="58" t="inlineStr">
        <is>
          <t>Risultato</t>
        </is>
      </c>
      <c r="K60" s="5" t="n"/>
      <c r="L60" s="6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5" t="n"/>
      <c r="H61" s="5" t="n"/>
      <c r="I61" s="6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n"/>
      <c r="N61" s="196" t="n"/>
      <c r="O61" s="196" t="n"/>
      <c r="P61" s="196" t="n"/>
      <c r="Q61" s="196" t="n"/>
      <c r="R61" s="196" t="n"/>
    </row>
    <row r="62" ht="15" customHeight="1">
      <c r="A62" s="141" t="n"/>
      <c r="B62" s="69">
        <f>IF('Calendario A'!B62="","",'Calendario A'!B62)</f>
        <v/>
      </c>
      <c r="C62" s="5" t="n"/>
      <c r="D62" s="5" t="n"/>
      <c r="E62" s="5" t="n"/>
      <c r="F62" s="5" t="n"/>
      <c r="G62" s="5" t="n"/>
      <c r="H62" s="6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6" t="n"/>
      <c r="D63" s="58" t="inlineStr">
        <is>
          <t>Squadra B</t>
        </is>
      </c>
      <c r="E63" s="6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6" t="n"/>
      <c r="J63" s="58" t="inlineStr">
        <is>
          <t>Risultato</t>
        </is>
      </c>
      <c r="K63" s="5" t="n"/>
      <c r="L63" s="6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5" t="n"/>
      <c r="H64" s="5" t="n"/>
      <c r="I64" s="6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n"/>
      <c r="N64" s="196" t="n"/>
      <c r="O64" s="196" t="n"/>
      <c r="P64" s="196" t="n"/>
      <c r="Q64" s="196" t="n"/>
      <c r="R64" s="196" t="n"/>
    </row>
    <row r="65" ht="15" customHeight="1">
      <c r="A65" s="141" t="n"/>
      <c r="B65" s="69">
        <f>IF('Calendario A'!B65="","",'Calendario A'!B65)</f>
        <v/>
      </c>
      <c r="C65" s="5" t="n"/>
      <c r="D65" s="5" t="n"/>
      <c r="E65" s="5" t="n"/>
      <c r="F65" s="5" t="n"/>
      <c r="G65" s="5" t="n"/>
      <c r="H65" s="6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6" t="n"/>
      <c r="D66" s="58" t="inlineStr">
        <is>
          <t>Squadra B</t>
        </is>
      </c>
      <c r="E66" s="6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6" t="n"/>
      <c r="J66" s="58" t="inlineStr">
        <is>
          <t>Risultato</t>
        </is>
      </c>
      <c r="K66" s="5" t="n"/>
      <c r="L66" s="6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5" t="n"/>
      <c r="H67" s="5" t="n"/>
      <c r="I67" s="6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n"/>
      <c r="N67" s="196" t="n"/>
      <c r="O67" s="196" t="n"/>
      <c r="P67" s="196" t="n"/>
      <c r="Q67" s="196" t="n"/>
      <c r="R67" s="196" t="n"/>
    </row>
    <row r="68" ht="15" customHeight="1">
      <c r="A68" s="141" t="n"/>
      <c r="B68" s="69">
        <f>IF('Calendario A'!B68="","",'Calendario A'!B68)</f>
        <v/>
      </c>
      <c r="C68" s="5" t="n"/>
      <c r="D68" s="5" t="n"/>
      <c r="E68" s="5" t="n"/>
      <c r="F68" s="5" t="n"/>
      <c r="G68" s="5" t="n"/>
      <c r="H68" s="6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6" t="n"/>
      <c r="D69" s="58" t="inlineStr">
        <is>
          <t>Squadra B</t>
        </is>
      </c>
      <c r="E69" s="6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6" t="n"/>
      <c r="J69" s="58" t="inlineStr">
        <is>
          <t>Risultato</t>
        </is>
      </c>
      <c r="K69" s="5" t="n"/>
      <c r="L69" s="6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5" t="n"/>
      <c r="H70" s="5" t="n"/>
      <c r="I70" s="6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n"/>
      <c r="N70" s="196" t="n"/>
      <c r="O70" s="196" t="n"/>
      <c r="P70" s="196" t="n"/>
      <c r="Q70" s="196" t="n"/>
      <c r="R70" s="196" t="n"/>
    </row>
    <row r="71" ht="15" customHeight="1">
      <c r="A71" s="141" t="n"/>
      <c r="B71" s="69">
        <f>IF('Calendario A'!B71="","",'Calendario A'!B71)</f>
        <v/>
      </c>
      <c r="C71" s="5" t="n"/>
      <c r="D71" s="5" t="n"/>
      <c r="E71" s="5" t="n"/>
      <c r="F71" s="5" t="n"/>
      <c r="G71" s="5" t="n"/>
      <c r="H71" s="6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6" t="n"/>
      <c r="D72" s="58" t="inlineStr">
        <is>
          <t>Squadra B</t>
        </is>
      </c>
      <c r="E72" s="6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6" t="n"/>
      <c r="J72" s="58" t="inlineStr">
        <is>
          <t>Risultato</t>
        </is>
      </c>
      <c r="K72" s="5" t="n"/>
      <c r="L72" s="6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5" t="n"/>
      <c r="H73" s="5" t="n"/>
      <c r="I73" s="6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n"/>
      <c r="N73" s="196" t="n"/>
      <c r="O73" s="196" t="n"/>
      <c r="P73" s="196" t="n"/>
      <c r="Q73" s="196" t="n"/>
      <c r="R73" s="196" t="n"/>
    </row>
    <row r="74" ht="15" customHeight="1">
      <c r="A74" s="141" t="n"/>
      <c r="B74" s="69">
        <f>IF('Calendario A'!B74="","",'Calendario A'!B74)</f>
        <v/>
      </c>
      <c r="C74" s="5" t="n"/>
      <c r="D74" s="5" t="n"/>
      <c r="E74" s="5" t="n"/>
      <c r="F74" s="5" t="n"/>
      <c r="G74" s="5" t="n"/>
      <c r="H74" s="6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  <c r="M76" s="193" t="inlineStr">
        <is>
          <t>ARBITRI</t>
        </is>
      </c>
      <c r="N76" s="5" t="n"/>
      <c r="O76" s="6" t="n"/>
      <c r="P76" s="193" t="inlineStr">
        <is>
          <t>UFFICIALI DI CAMPO</t>
        </is>
      </c>
      <c r="Q76" s="5" t="n"/>
      <c r="R76" s="6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6" t="n"/>
      <c r="D77" s="58" t="inlineStr">
        <is>
          <t>Squadra B</t>
        </is>
      </c>
      <c r="E77" s="6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6" t="n"/>
      <c r="J77" s="58" t="inlineStr">
        <is>
          <t>Risultato</t>
        </is>
      </c>
      <c r="K77" s="5" t="n"/>
      <c r="L77" s="6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5" t="n"/>
      <c r="H78" s="5" t="n"/>
      <c r="I78" s="6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n"/>
      <c r="N78" s="196" t="n"/>
      <c r="O78" s="196" t="n"/>
      <c r="P78" s="196" t="n"/>
      <c r="Q78" s="196" t="n"/>
      <c r="R78" s="196" t="n"/>
    </row>
    <row r="79" ht="15" customHeight="1">
      <c r="A79" s="141" t="n"/>
      <c r="B79" s="69">
        <f>IF('Calendario A'!B79="","",'Calendario A'!B79)</f>
        <v/>
      </c>
      <c r="C79" s="5" t="n"/>
      <c r="D79" s="5" t="n"/>
      <c r="E79" s="5" t="n"/>
      <c r="F79" s="5" t="n"/>
      <c r="G79" s="5" t="n"/>
      <c r="H79" s="6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6" t="n"/>
      <c r="D80" s="58" t="inlineStr">
        <is>
          <t>Squadra B</t>
        </is>
      </c>
      <c r="E80" s="6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6" t="n"/>
      <c r="J80" s="58" t="inlineStr">
        <is>
          <t>Risultato</t>
        </is>
      </c>
      <c r="K80" s="5" t="n"/>
      <c r="L80" s="6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5" t="n"/>
      <c r="H81" s="5" t="n"/>
      <c r="I81" s="6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n"/>
      <c r="N81" s="196" t="n"/>
      <c r="O81" s="196" t="n"/>
      <c r="P81" s="196" t="n"/>
      <c r="Q81" s="196" t="n"/>
      <c r="R81" s="196" t="n"/>
    </row>
    <row r="82" ht="15" customHeight="1">
      <c r="A82" s="141" t="n"/>
      <c r="B82" s="69">
        <f>IF('Calendario A'!B82="","",'Calendario A'!B82)</f>
        <v/>
      </c>
      <c r="C82" s="5" t="n"/>
      <c r="D82" s="5" t="n"/>
      <c r="E82" s="5" t="n"/>
      <c r="F82" s="5" t="n"/>
      <c r="G82" s="5" t="n"/>
      <c r="H82" s="6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6" t="n"/>
      <c r="D83" s="58" t="inlineStr">
        <is>
          <t>Squadra B</t>
        </is>
      </c>
      <c r="E83" s="6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6" t="n"/>
      <c r="J83" s="58" t="inlineStr">
        <is>
          <t>Risultato</t>
        </is>
      </c>
      <c r="K83" s="5" t="n"/>
      <c r="L83" s="6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5" t="n"/>
      <c r="H84" s="5" t="n"/>
      <c r="I84" s="6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n"/>
      <c r="N84" s="196" t="n"/>
      <c r="O84" s="196" t="n"/>
      <c r="P84" s="196" t="n"/>
      <c r="Q84" s="196" t="n"/>
      <c r="R84" s="196" t="n"/>
    </row>
    <row r="85" ht="15" customHeight="1">
      <c r="A85" s="141" t="n"/>
      <c r="B85" s="69">
        <f>IF('Calendario A'!B85="","",'Calendario A'!B85)</f>
        <v/>
      </c>
      <c r="C85" s="5" t="n"/>
      <c r="D85" s="5" t="n"/>
      <c r="E85" s="5" t="n"/>
      <c r="F85" s="5" t="n"/>
      <c r="G85" s="5" t="n"/>
      <c r="H85" s="6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6" t="n"/>
      <c r="D86" s="58" t="inlineStr">
        <is>
          <t>Squadra B</t>
        </is>
      </c>
      <c r="E86" s="6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6" t="n"/>
      <c r="J86" s="58" t="inlineStr">
        <is>
          <t>Risultato</t>
        </is>
      </c>
      <c r="K86" s="5" t="n"/>
      <c r="L86" s="6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5" t="n"/>
      <c r="H87" s="5" t="n"/>
      <c r="I87" s="6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n"/>
      <c r="N87" s="196" t="n"/>
      <c r="O87" s="196" t="n"/>
      <c r="P87" s="196" t="n"/>
      <c r="Q87" s="196" t="n"/>
      <c r="R87" s="196" t="n"/>
    </row>
    <row r="88" ht="15" customHeight="1">
      <c r="A88" s="141" t="n"/>
      <c r="B88" s="69">
        <f>IF('Calendario A'!B88="","",'Calendario A'!B88)</f>
        <v/>
      </c>
      <c r="C88" s="5" t="n"/>
      <c r="D88" s="5" t="n"/>
      <c r="E88" s="5" t="n"/>
      <c r="F88" s="5" t="n"/>
      <c r="G88" s="5" t="n"/>
      <c r="H88" s="6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6" t="n"/>
      <c r="D89" s="58" t="inlineStr">
        <is>
          <t>Squadra B</t>
        </is>
      </c>
      <c r="E89" s="6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6" t="n"/>
      <c r="J89" s="58" t="inlineStr">
        <is>
          <t>Risultato</t>
        </is>
      </c>
      <c r="K89" s="5" t="n"/>
      <c r="L89" s="6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5" t="n"/>
      <c r="H90" s="5" t="n"/>
      <c r="I90" s="6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n"/>
      <c r="N90" s="196" t="n"/>
      <c r="O90" s="196" t="n"/>
      <c r="P90" s="196" t="n"/>
      <c r="Q90" s="196" t="n"/>
      <c r="R90" s="196" t="n"/>
    </row>
    <row r="91" ht="15" customHeight="1">
      <c r="A91" s="141" t="n"/>
      <c r="B91" s="69">
        <f>IF('Calendario A'!B91="","",'Calendario A'!B91)</f>
        <v/>
      </c>
      <c r="C91" s="5" t="n"/>
      <c r="D91" s="5" t="n"/>
      <c r="E91" s="5" t="n"/>
      <c r="F91" s="5" t="n"/>
      <c r="G91" s="5" t="n"/>
      <c r="H91" s="6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  <c r="M93" s="193" t="inlineStr">
        <is>
          <t>ARBITRI</t>
        </is>
      </c>
      <c r="N93" s="5" t="n"/>
      <c r="O93" s="6" t="n"/>
      <c r="P93" s="193" t="inlineStr">
        <is>
          <t>UFFICIALI DI CAMPO</t>
        </is>
      </c>
      <c r="Q93" s="5" t="n"/>
      <c r="R93" s="6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6" t="n"/>
      <c r="D94" s="58" t="inlineStr">
        <is>
          <t>Squadra B</t>
        </is>
      </c>
      <c r="E94" s="6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6" t="n"/>
      <c r="J94" s="58" t="inlineStr">
        <is>
          <t>Risultato</t>
        </is>
      </c>
      <c r="K94" s="5" t="n"/>
      <c r="L94" s="6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5" t="n"/>
      <c r="H95" s="5" t="n"/>
      <c r="I95" s="6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n"/>
      <c r="N95" s="196" t="n"/>
      <c r="O95" s="196" t="n"/>
      <c r="P95" s="196" t="n"/>
      <c r="Q95" s="196" t="n"/>
      <c r="R95" s="196" t="n"/>
    </row>
    <row r="96" ht="15" customHeight="1">
      <c r="A96" s="141" t="n"/>
      <c r="B96" s="69">
        <f>IF('Calendario A'!B96="","",'Calendario A'!B96)</f>
        <v/>
      </c>
      <c r="C96" s="5" t="n"/>
      <c r="D96" s="5" t="n"/>
      <c r="E96" s="5" t="n"/>
      <c r="F96" s="5" t="n"/>
      <c r="G96" s="5" t="n"/>
      <c r="H96" s="6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6" t="n"/>
      <c r="D97" s="58" t="inlineStr">
        <is>
          <t>Squadra B</t>
        </is>
      </c>
      <c r="E97" s="6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6" t="n"/>
      <c r="J97" s="58" t="inlineStr">
        <is>
          <t>Risultato</t>
        </is>
      </c>
      <c r="K97" s="5" t="n"/>
      <c r="L97" s="6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5" t="n"/>
      <c r="H98" s="5" t="n"/>
      <c r="I98" s="6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n"/>
      <c r="N98" s="196" t="n"/>
      <c r="O98" s="196" t="n"/>
      <c r="P98" s="196" t="n"/>
      <c r="Q98" s="196" t="n"/>
      <c r="R98" s="196" t="n"/>
    </row>
    <row r="99" ht="15" customHeight="1">
      <c r="A99" s="141" t="n"/>
      <c r="B99" s="69">
        <f>IF('Calendario A'!B99="","",'Calendario A'!B99)</f>
        <v/>
      </c>
      <c r="C99" s="5" t="n"/>
      <c r="D99" s="5" t="n"/>
      <c r="E99" s="5" t="n"/>
      <c r="F99" s="5" t="n"/>
      <c r="G99" s="5" t="n"/>
      <c r="H99" s="6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6" t="n"/>
      <c r="D100" s="58" t="inlineStr">
        <is>
          <t>Squadra B</t>
        </is>
      </c>
      <c r="E100" s="6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6" t="n"/>
      <c r="J100" s="58" t="inlineStr">
        <is>
          <t>Risultato</t>
        </is>
      </c>
      <c r="K100" s="5" t="n"/>
      <c r="L100" s="6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5" t="n"/>
      <c r="H101" s="5" t="n"/>
      <c r="I101" s="6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n"/>
      <c r="N101" s="196" t="n"/>
      <c r="O101" s="196" t="n"/>
      <c r="P101" s="196" t="n"/>
      <c r="Q101" s="196" t="n"/>
      <c r="R101" s="196" t="n"/>
    </row>
    <row r="102" ht="15" customHeight="1">
      <c r="A102" s="141" t="n"/>
      <c r="B102" s="69">
        <f>IF('Calendario A'!B102="","",'Calendario A'!B102)</f>
        <v/>
      </c>
      <c r="C102" s="5" t="n"/>
      <c r="D102" s="5" t="n"/>
      <c r="E102" s="5" t="n"/>
      <c r="F102" s="5" t="n"/>
      <c r="G102" s="5" t="n"/>
      <c r="H102" s="6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6" t="n"/>
      <c r="D103" s="58" t="inlineStr">
        <is>
          <t>Squadra B</t>
        </is>
      </c>
      <c r="E103" s="6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6" t="n"/>
      <c r="J103" s="58" t="inlineStr">
        <is>
          <t>Risultato</t>
        </is>
      </c>
      <c r="K103" s="5" t="n"/>
      <c r="L103" s="6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5" t="n"/>
      <c r="H104" s="5" t="n"/>
      <c r="I104" s="6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n"/>
      <c r="N104" s="196" t="n"/>
      <c r="O104" s="196" t="n"/>
      <c r="P104" s="196" t="n"/>
      <c r="Q104" s="196" t="n"/>
      <c r="R104" s="196" t="n"/>
    </row>
    <row r="105" ht="15" customHeight="1">
      <c r="A105" s="141" t="n"/>
      <c r="B105" s="69">
        <f>IF('Calendario A'!B105="","",'Calendario A'!B105)</f>
        <v/>
      </c>
      <c r="C105" s="5" t="n"/>
      <c r="D105" s="5" t="n"/>
      <c r="E105" s="5" t="n"/>
      <c r="F105" s="5" t="n"/>
      <c r="G105" s="5" t="n"/>
      <c r="H105" s="6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6" t="n"/>
      <c r="D106" s="58" t="inlineStr">
        <is>
          <t>Squadra B</t>
        </is>
      </c>
      <c r="E106" s="6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6" t="n"/>
      <c r="J106" s="58" t="inlineStr">
        <is>
          <t>Risultato</t>
        </is>
      </c>
      <c r="K106" s="5" t="n"/>
      <c r="L106" s="6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5" t="n"/>
      <c r="H107" s="5" t="n"/>
      <c r="I107" s="6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n"/>
      <c r="N107" s="196" t="n"/>
      <c r="O107" s="196" t="n"/>
      <c r="P107" s="196" t="n"/>
      <c r="Q107" s="196" t="n"/>
      <c r="R107" s="196" t="n"/>
    </row>
    <row r="108" ht="15" customHeight="1">
      <c r="A108" s="141" t="n"/>
      <c r="B108" s="69">
        <f>IF('Calendario A'!B108="","",'Calendario A'!B108)</f>
        <v/>
      </c>
      <c r="C108" s="5" t="n"/>
      <c r="D108" s="5" t="n"/>
      <c r="E108" s="5" t="n"/>
      <c r="F108" s="5" t="n"/>
      <c r="G108" s="5" t="n"/>
      <c r="H108" s="6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  <c r="M110" s="193" t="inlineStr">
        <is>
          <t>ARBITRI</t>
        </is>
      </c>
      <c r="N110" s="5" t="n"/>
      <c r="O110" s="6" t="n"/>
      <c r="P110" s="193" t="inlineStr">
        <is>
          <t>UFFICIALI DI CAMPO</t>
        </is>
      </c>
      <c r="Q110" s="5" t="n"/>
      <c r="R110" s="6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6" t="n"/>
      <c r="D111" s="58" t="inlineStr">
        <is>
          <t>Squadra B</t>
        </is>
      </c>
      <c r="E111" s="6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6" t="n"/>
      <c r="J111" s="58" t="inlineStr">
        <is>
          <t>Risultato</t>
        </is>
      </c>
      <c r="K111" s="5" t="n"/>
      <c r="L111" s="6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5" t="n"/>
      <c r="H112" s="5" t="n"/>
      <c r="I112" s="6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n"/>
      <c r="N112" s="196" t="n"/>
      <c r="O112" s="196" t="n"/>
      <c r="P112" s="196" t="n"/>
      <c r="Q112" s="196" t="n"/>
      <c r="R112" s="196" t="n"/>
    </row>
    <row r="113" ht="15" customHeight="1">
      <c r="A113" s="141" t="n"/>
      <c r="B113" s="69">
        <f>IF('Calendario A'!B113="","",'Calendario A'!B113)</f>
        <v/>
      </c>
      <c r="C113" s="5" t="n"/>
      <c r="D113" s="5" t="n"/>
      <c r="E113" s="5" t="n"/>
      <c r="F113" s="5" t="n"/>
      <c r="G113" s="5" t="n"/>
      <c r="H113" s="6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6" t="n"/>
      <c r="D114" s="58" t="inlineStr">
        <is>
          <t>Squadra B</t>
        </is>
      </c>
      <c r="E114" s="6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6" t="n"/>
      <c r="J114" s="58" t="inlineStr">
        <is>
          <t>Risultato</t>
        </is>
      </c>
      <c r="K114" s="5" t="n"/>
      <c r="L114" s="6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5" t="n"/>
      <c r="H115" s="5" t="n"/>
      <c r="I115" s="6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n"/>
      <c r="N115" s="196" t="n"/>
      <c r="O115" s="196" t="n"/>
      <c r="P115" s="196" t="n"/>
      <c r="Q115" s="196" t="n"/>
      <c r="R115" s="196" t="n"/>
    </row>
    <row r="116" ht="15" customHeight="1">
      <c r="A116" s="141" t="n"/>
      <c r="B116" s="69">
        <f>IF('Calendario A'!B116="","",'Calendario A'!B116)</f>
        <v/>
      </c>
      <c r="C116" s="5" t="n"/>
      <c r="D116" s="5" t="n"/>
      <c r="E116" s="5" t="n"/>
      <c r="F116" s="5" t="n"/>
      <c r="G116" s="5" t="n"/>
      <c r="H116" s="6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6" t="n"/>
      <c r="D117" s="58" t="inlineStr">
        <is>
          <t>Squadra B</t>
        </is>
      </c>
      <c r="E117" s="6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6" t="n"/>
      <c r="J117" s="58" t="inlineStr">
        <is>
          <t>Risultato</t>
        </is>
      </c>
      <c r="K117" s="5" t="n"/>
      <c r="L117" s="6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5" t="n"/>
      <c r="H118" s="5" t="n"/>
      <c r="I118" s="6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n"/>
      <c r="N118" s="196" t="n"/>
      <c r="O118" s="196" t="n"/>
      <c r="P118" s="196" t="n"/>
      <c r="Q118" s="196" t="n"/>
      <c r="R118" s="196" t="n"/>
    </row>
    <row r="119" ht="15" customHeight="1">
      <c r="A119" s="141" t="n"/>
      <c r="B119" s="69">
        <f>IF('Calendario A'!B119="","",'Calendario A'!B119)</f>
        <v/>
      </c>
      <c r="C119" s="5" t="n"/>
      <c r="D119" s="5" t="n"/>
      <c r="E119" s="5" t="n"/>
      <c r="F119" s="5" t="n"/>
      <c r="G119" s="5" t="n"/>
      <c r="H119" s="6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6" t="n"/>
      <c r="D120" s="58" t="inlineStr">
        <is>
          <t>Squadra B</t>
        </is>
      </c>
      <c r="E120" s="6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6" t="n"/>
      <c r="J120" s="58" t="inlineStr">
        <is>
          <t>Risultato</t>
        </is>
      </c>
      <c r="K120" s="5" t="n"/>
      <c r="L120" s="6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5" t="n"/>
      <c r="H121" s="5" t="n"/>
      <c r="I121" s="6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n"/>
      <c r="N121" s="196" t="n"/>
      <c r="O121" s="196" t="n"/>
      <c r="P121" s="196" t="n"/>
      <c r="Q121" s="196" t="n"/>
      <c r="R121" s="196" t="n"/>
    </row>
    <row r="122" ht="15" customHeight="1">
      <c r="A122" s="141" t="n"/>
      <c r="B122" s="69">
        <f>IF('Calendario A'!B122="","",'Calendario A'!B122)</f>
        <v/>
      </c>
      <c r="C122" s="5" t="n"/>
      <c r="D122" s="5" t="n"/>
      <c r="E122" s="5" t="n"/>
      <c r="F122" s="5" t="n"/>
      <c r="G122" s="5" t="n"/>
      <c r="H122" s="6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6" t="n"/>
      <c r="D123" s="58" t="inlineStr">
        <is>
          <t>Squadra B</t>
        </is>
      </c>
      <c r="E123" s="6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6" t="n"/>
      <c r="J123" s="58" t="inlineStr">
        <is>
          <t>Risultato</t>
        </is>
      </c>
      <c r="K123" s="5" t="n"/>
      <c r="L123" s="6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5" t="n"/>
      <c r="H124" s="5" t="n"/>
      <c r="I124" s="6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n"/>
      <c r="N124" s="196" t="n"/>
      <c r="O124" s="196" t="n"/>
      <c r="P124" s="196" t="n"/>
      <c r="Q124" s="196" t="n"/>
      <c r="R124" s="196" t="n"/>
    </row>
    <row r="125" ht="15" customHeight="1">
      <c r="A125" s="141" t="n"/>
      <c r="B125" s="69">
        <f>IF('Calendario A'!B125="","",'Calendario A'!B125)</f>
        <v/>
      </c>
      <c r="C125" s="5" t="n"/>
      <c r="D125" s="5" t="n"/>
      <c r="E125" s="5" t="n"/>
      <c r="F125" s="5" t="n"/>
      <c r="G125" s="5" t="n"/>
      <c r="H125" s="6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  <c r="M127" s="193" t="inlineStr">
        <is>
          <t>ARBITRI</t>
        </is>
      </c>
      <c r="N127" s="5" t="n"/>
      <c r="O127" s="6" t="n"/>
      <c r="P127" s="193" t="inlineStr">
        <is>
          <t>UFFICIALI DI CAMPO</t>
        </is>
      </c>
      <c r="Q127" s="5" t="n"/>
      <c r="R127" s="6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6" t="n"/>
      <c r="D128" s="58" t="inlineStr">
        <is>
          <t>Squadra B</t>
        </is>
      </c>
      <c r="E128" s="6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6" t="n"/>
      <c r="J128" s="58" t="inlineStr">
        <is>
          <t>Risultato</t>
        </is>
      </c>
      <c r="K128" s="5" t="n"/>
      <c r="L128" s="6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5" t="n"/>
      <c r="H129" s="5" t="n"/>
      <c r="I129" s="6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n"/>
      <c r="N129" s="196" t="n"/>
      <c r="O129" s="196" t="n"/>
      <c r="P129" s="196" t="n"/>
      <c r="Q129" s="196" t="n"/>
      <c r="R129" s="196" t="n"/>
    </row>
    <row r="130" ht="15" customHeight="1">
      <c r="A130" s="141" t="n"/>
      <c r="B130" s="69">
        <f>IF('Calendario A'!B130="","",'Calendario A'!B130)</f>
        <v/>
      </c>
      <c r="C130" s="5" t="n"/>
      <c r="D130" s="5" t="n"/>
      <c r="E130" s="5" t="n"/>
      <c r="F130" s="5" t="n"/>
      <c r="G130" s="5" t="n"/>
      <c r="H130" s="6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6" t="n"/>
      <c r="D131" s="58" t="inlineStr">
        <is>
          <t>Squadra B</t>
        </is>
      </c>
      <c r="E131" s="6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6" t="n"/>
      <c r="J131" s="58" t="inlineStr">
        <is>
          <t>Risultato</t>
        </is>
      </c>
      <c r="K131" s="5" t="n"/>
      <c r="L131" s="6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5" t="n"/>
      <c r="H132" s="5" t="n"/>
      <c r="I132" s="6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n"/>
      <c r="N132" s="196" t="n"/>
      <c r="O132" s="196" t="n"/>
      <c r="P132" s="196" t="n"/>
      <c r="Q132" s="196" t="n"/>
      <c r="R132" s="196" t="n"/>
    </row>
    <row r="133" ht="15" customHeight="1">
      <c r="A133" s="141" t="n"/>
      <c r="B133" s="69">
        <f>IF('Calendario A'!B133="","",'Calendario A'!B133)</f>
        <v/>
      </c>
      <c r="C133" s="5" t="n"/>
      <c r="D133" s="5" t="n"/>
      <c r="E133" s="5" t="n"/>
      <c r="F133" s="5" t="n"/>
      <c r="G133" s="5" t="n"/>
      <c r="H133" s="6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6" t="n"/>
      <c r="D134" s="58" t="inlineStr">
        <is>
          <t>Squadra B</t>
        </is>
      </c>
      <c r="E134" s="6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6" t="n"/>
      <c r="J134" s="58" t="inlineStr">
        <is>
          <t>Risultato</t>
        </is>
      </c>
      <c r="K134" s="5" t="n"/>
      <c r="L134" s="6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5" t="n"/>
      <c r="H135" s="5" t="n"/>
      <c r="I135" s="6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n"/>
      <c r="N135" s="196" t="n"/>
      <c r="O135" s="196" t="n"/>
      <c r="P135" s="196" t="n"/>
      <c r="Q135" s="196" t="n"/>
      <c r="R135" s="196" t="n"/>
    </row>
    <row r="136" ht="15" customHeight="1">
      <c r="A136" s="141" t="n"/>
      <c r="B136" s="69">
        <f>IF('Calendario A'!B136="","",'Calendario A'!B136)</f>
        <v/>
      </c>
      <c r="C136" s="5" t="n"/>
      <c r="D136" s="5" t="n"/>
      <c r="E136" s="5" t="n"/>
      <c r="F136" s="5" t="n"/>
      <c r="G136" s="5" t="n"/>
      <c r="H136" s="6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6" t="n"/>
      <c r="D137" s="58" t="inlineStr">
        <is>
          <t>Squadra B</t>
        </is>
      </c>
      <c r="E137" s="6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6" t="n"/>
      <c r="J137" s="58" t="inlineStr">
        <is>
          <t>Risultato</t>
        </is>
      </c>
      <c r="K137" s="5" t="n"/>
      <c r="L137" s="6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5" t="n"/>
      <c r="H138" s="5" t="n"/>
      <c r="I138" s="6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n"/>
      <c r="N138" s="196" t="n"/>
      <c r="O138" s="196" t="n"/>
      <c r="P138" s="196" t="n"/>
      <c r="Q138" s="196" t="n"/>
      <c r="R138" s="196" t="n"/>
    </row>
    <row r="139" ht="15" customHeight="1">
      <c r="A139" s="141" t="n"/>
      <c r="B139" s="69">
        <f>IF('Calendario A'!B139="","",'Calendario A'!B139)</f>
        <v/>
      </c>
      <c r="C139" s="5" t="n"/>
      <c r="D139" s="5" t="n"/>
      <c r="E139" s="5" t="n"/>
      <c r="F139" s="5" t="n"/>
      <c r="G139" s="5" t="n"/>
      <c r="H139" s="6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6" t="n"/>
      <c r="D140" s="58" t="inlineStr">
        <is>
          <t>Squadra B</t>
        </is>
      </c>
      <c r="E140" s="6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6" t="n"/>
      <c r="J140" s="58" t="inlineStr">
        <is>
          <t>Risultato</t>
        </is>
      </c>
      <c r="K140" s="5" t="n"/>
      <c r="L140" s="6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5" t="n"/>
      <c r="H141" s="5" t="n"/>
      <c r="I141" s="6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n"/>
      <c r="N141" s="196" t="n"/>
      <c r="O141" s="196" t="n"/>
      <c r="P141" s="196" t="n"/>
      <c r="Q141" s="196" t="n"/>
      <c r="R141" s="196" t="n"/>
    </row>
    <row r="142" ht="15" customHeight="1">
      <c r="A142" s="141" t="n"/>
      <c r="B142" s="69">
        <f>IF('Calendario A'!B142="","",'Calendario A'!B142)</f>
        <v/>
      </c>
      <c r="C142" s="5" t="n"/>
      <c r="D142" s="5" t="n"/>
      <c r="E142" s="5" t="n"/>
      <c r="F142" s="5" t="n"/>
      <c r="G142" s="5" t="n"/>
      <c r="H142" s="6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  <c r="M144" s="193" t="inlineStr">
        <is>
          <t>ARBITRI</t>
        </is>
      </c>
      <c r="N144" s="5" t="n"/>
      <c r="O144" s="6" t="n"/>
      <c r="P144" s="193" t="inlineStr">
        <is>
          <t>UFFICIALI DI CAMPO</t>
        </is>
      </c>
      <c r="Q144" s="5" t="n"/>
      <c r="R144" s="6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6" t="n"/>
      <c r="D145" s="58" t="inlineStr">
        <is>
          <t>Squadra B</t>
        </is>
      </c>
      <c r="E145" s="6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6" t="n"/>
      <c r="J145" s="58" t="inlineStr">
        <is>
          <t>Risultato</t>
        </is>
      </c>
      <c r="K145" s="5" t="n"/>
      <c r="L145" s="6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5" t="n"/>
      <c r="H146" s="5" t="n"/>
      <c r="I146" s="6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n"/>
      <c r="N146" s="196" t="n"/>
      <c r="O146" s="196" t="n"/>
      <c r="P146" s="196" t="n"/>
      <c r="Q146" s="196" t="n"/>
      <c r="R146" s="196" t="n"/>
    </row>
    <row r="147" ht="15" customHeight="1">
      <c r="A147" s="141" t="n"/>
      <c r="B147" s="69">
        <f>IF('Calendario A'!B147="","",'Calendario A'!B147)</f>
        <v/>
      </c>
      <c r="C147" s="5" t="n"/>
      <c r="D147" s="5" t="n"/>
      <c r="E147" s="5" t="n"/>
      <c r="F147" s="5" t="n"/>
      <c r="G147" s="5" t="n"/>
      <c r="H147" s="6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6" t="n"/>
      <c r="D148" s="58" t="inlineStr">
        <is>
          <t>Squadra B</t>
        </is>
      </c>
      <c r="E148" s="6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6" t="n"/>
      <c r="J148" s="58" t="inlineStr">
        <is>
          <t>Risultato</t>
        </is>
      </c>
      <c r="K148" s="5" t="n"/>
      <c r="L148" s="6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5" t="n"/>
      <c r="H149" s="5" t="n"/>
      <c r="I149" s="6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n"/>
      <c r="N149" s="196" t="n"/>
      <c r="O149" s="196" t="n"/>
      <c r="P149" s="196" t="n"/>
      <c r="Q149" s="196" t="n"/>
      <c r="R149" s="196" t="n"/>
    </row>
    <row r="150" ht="15" customHeight="1">
      <c r="A150" s="141" t="n"/>
      <c r="B150" s="69">
        <f>IF('Calendario A'!B150="","",'Calendario A'!B150)</f>
        <v/>
      </c>
      <c r="C150" s="5" t="n"/>
      <c r="D150" s="5" t="n"/>
      <c r="E150" s="5" t="n"/>
      <c r="F150" s="5" t="n"/>
      <c r="G150" s="5" t="n"/>
      <c r="H150" s="6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6" t="n"/>
      <c r="D151" s="58" t="inlineStr">
        <is>
          <t>Squadra B</t>
        </is>
      </c>
      <c r="E151" s="6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6" t="n"/>
      <c r="J151" s="58" t="inlineStr">
        <is>
          <t>Risultato</t>
        </is>
      </c>
      <c r="K151" s="5" t="n"/>
      <c r="L151" s="6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5" t="n"/>
      <c r="H152" s="5" t="n"/>
      <c r="I152" s="6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n"/>
      <c r="N152" s="196" t="n"/>
      <c r="O152" s="196" t="n"/>
      <c r="P152" s="196" t="n"/>
      <c r="Q152" s="196" t="n"/>
      <c r="R152" s="196" t="n"/>
    </row>
    <row r="153" ht="15" customHeight="1">
      <c r="A153" s="141" t="n"/>
      <c r="B153" s="69">
        <f>IF('Calendario A'!B153="","",'Calendario A'!B153)</f>
        <v/>
      </c>
      <c r="C153" s="5" t="n"/>
      <c r="D153" s="5" t="n"/>
      <c r="E153" s="5" t="n"/>
      <c r="F153" s="5" t="n"/>
      <c r="G153" s="5" t="n"/>
      <c r="H153" s="6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6" t="n"/>
      <c r="D154" s="58" t="inlineStr">
        <is>
          <t>Squadra B</t>
        </is>
      </c>
      <c r="E154" s="6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6" t="n"/>
      <c r="J154" s="58" t="inlineStr">
        <is>
          <t>Risultato</t>
        </is>
      </c>
      <c r="K154" s="5" t="n"/>
      <c r="L154" s="6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5" t="n"/>
      <c r="H155" s="5" t="n"/>
      <c r="I155" s="6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n"/>
      <c r="N155" s="196" t="n"/>
      <c r="O155" s="196" t="n"/>
      <c r="P155" s="196" t="n"/>
      <c r="Q155" s="196" t="n"/>
      <c r="R155" s="196" t="n"/>
    </row>
    <row r="156" ht="15" customHeight="1">
      <c r="A156" s="141" t="n"/>
      <c r="B156" s="69">
        <f>IF('Calendario A'!B156="","",'Calendario A'!B156)</f>
        <v/>
      </c>
      <c r="C156" s="5" t="n"/>
      <c r="D156" s="5" t="n"/>
      <c r="E156" s="5" t="n"/>
      <c r="F156" s="5" t="n"/>
      <c r="G156" s="5" t="n"/>
      <c r="H156" s="6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6" t="n"/>
      <c r="D157" s="58" t="inlineStr">
        <is>
          <t>Squadra B</t>
        </is>
      </c>
      <c r="E157" s="6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6" t="n"/>
      <c r="J157" s="58" t="inlineStr">
        <is>
          <t>Risultato</t>
        </is>
      </c>
      <c r="K157" s="5" t="n"/>
      <c r="L157" s="6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5" t="n"/>
      <c r="H158" s="5" t="n"/>
      <c r="I158" s="6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n"/>
      <c r="N158" s="196" t="n"/>
      <c r="O158" s="196" t="n"/>
      <c r="P158" s="196" t="n"/>
      <c r="Q158" s="196" t="n"/>
      <c r="R158" s="196" t="n"/>
    </row>
    <row r="159" ht="15" customHeight="1">
      <c r="A159" s="141" t="n"/>
      <c r="B159" s="69">
        <f>IF('Calendario A'!B159="","",'Calendario A'!B159)</f>
        <v/>
      </c>
      <c r="C159" s="5" t="n"/>
      <c r="D159" s="5" t="n"/>
      <c r="E159" s="5" t="n"/>
      <c r="F159" s="5" t="n"/>
      <c r="G159" s="5" t="n"/>
      <c r="H159" s="6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 t="n"/>
      <c r="M178" s="198" t="inlineStr">
        <is>
          <t>ARBITRI</t>
        </is>
      </c>
      <c r="N178" s="5" t="n"/>
      <c r="O178" s="6" t="n"/>
      <c r="P178" s="198" t="inlineStr">
        <is>
          <t>UFFICIALI DI CAMPO</t>
        </is>
      </c>
      <c r="Q178" s="5" t="n"/>
      <c r="R178" s="6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6" t="n"/>
      <c r="D179" s="74" t="inlineStr">
        <is>
          <t>Squadra B</t>
        </is>
      </c>
      <c r="E179" s="6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6" t="n"/>
      <c r="J179" s="74" t="inlineStr">
        <is>
          <t>Risultato</t>
        </is>
      </c>
      <c r="K179" s="5" t="n"/>
      <c r="L179" s="6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5" t="n"/>
      <c r="H180" s="5" t="n"/>
      <c r="I180" s="6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n"/>
      <c r="N180" s="196" t="n"/>
      <c r="O180" s="196" t="n"/>
      <c r="P180" s="196" t="n"/>
      <c r="Q180" s="196" t="n"/>
      <c r="R180" s="196" t="n"/>
    </row>
    <row r="181" ht="15" customHeight="1">
      <c r="A181" s="141" t="n"/>
      <c r="B181" s="69">
        <f>IF('Calendario B'!B11="","",'Calendario B'!B11)</f>
        <v/>
      </c>
      <c r="C181" s="5" t="n"/>
      <c r="D181" s="5" t="n"/>
      <c r="E181" s="5" t="n"/>
      <c r="F181" s="5" t="n"/>
      <c r="G181" s="5" t="n"/>
      <c r="H181" s="6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6" t="n"/>
      <c r="D182" s="74" t="inlineStr">
        <is>
          <t>Squadra B</t>
        </is>
      </c>
      <c r="E182" s="6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6" t="n"/>
      <c r="J182" s="74" t="inlineStr">
        <is>
          <t>Risultato</t>
        </is>
      </c>
      <c r="K182" s="5" t="n"/>
      <c r="L182" s="6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5" t="n"/>
      <c r="H183" s="5" t="n"/>
      <c r="I183" s="6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n"/>
      <c r="N183" s="196" t="n"/>
      <c r="O183" s="196" t="n"/>
      <c r="P183" s="196" t="n"/>
      <c r="Q183" s="196" t="n"/>
      <c r="R183" s="196" t="n"/>
    </row>
    <row r="184" ht="15" customHeight="1">
      <c r="A184" s="141" t="n"/>
      <c r="B184" s="69">
        <f>IF('Calendario B'!B14="","",'Calendario B'!B14)</f>
        <v/>
      </c>
      <c r="C184" s="5" t="n"/>
      <c r="D184" s="5" t="n"/>
      <c r="E184" s="5" t="n"/>
      <c r="F184" s="5" t="n"/>
      <c r="G184" s="5" t="n"/>
      <c r="H184" s="6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6" t="n"/>
      <c r="D185" s="74" t="inlineStr">
        <is>
          <t>Squadra B</t>
        </is>
      </c>
      <c r="E185" s="6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6" t="n"/>
      <c r="J185" s="74" t="inlineStr">
        <is>
          <t>Risultato</t>
        </is>
      </c>
      <c r="K185" s="5" t="n"/>
      <c r="L185" s="6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5" t="n"/>
      <c r="H186" s="5" t="n"/>
      <c r="I186" s="6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n"/>
      <c r="N186" s="196" t="n"/>
      <c r="O186" s="196" t="n"/>
      <c r="P186" s="196" t="n"/>
      <c r="Q186" s="196" t="n"/>
      <c r="R186" s="196" t="n"/>
    </row>
    <row r="187" ht="15" customHeight="1">
      <c r="A187" s="141" t="n"/>
      <c r="B187" s="69">
        <f>IF('Calendario B'!B17="","",'Calendario B'!B17)</f>
        <v/>
      </c>
      <c r="C187" s="5" t="n"/>
      <c r="D187" s="5" t="n"/>
      <c r="E187" s="5" t="n"/>
      <c r="F187" s="5" t="n"/>
      <c r="G187" s="5" t="n"/>
      <c r="H187" s="6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6" t="n"/>
      <c r="D188" s="74" t="inlineStr">
        <is>
          <t>Squadra B</t>
        </is>
      </c>
      <c r="E188" s="6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6" t="n"/>
      <c r="J188" s="74" t="inlineStr">
        <is>
          <t>Risultato</t>
        </is>
      </c>
      <c r="K188" s="5" t="n"/>
      <c r="L188" s="6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5" t="n"/>
      <c r="H189" s="5" t="n"/>
      <c r="I189" s="6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n"/>
      <c r="N189" s="196" t="n"/>
      <c r="O189" s="196" t="n"/>
      <c r="P189" s="196" t="n"/>
      <c r="Q189" s="196" t="n"/>
      <c r="R189" s="196" t="n"/>
    </row>
    <row r="190" ht="15" customHeight="1">
      <c r="A190" s="141" t="n"/>
      <c r="B190" s="69">
        <f>IF('Calendario B'!B20="","",'Calendario B'!B20)</f>
        <v/>
      </c>
      <c r="C190" s="5" t="n"/>
      <c r="D190" s="5" t="n"/>
      <c r="E190" s="5" t="n"/>
      <c r="F190" s="5" t="n"/>
      <c r="G190" s="5" t="n"/>
      <c r="H190" s="6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6" t="n"/>
      <c r="D191" s="74" t="inlineStr">
        <is>
          <t>Squadra B</t>
        </is>
      </c>
      <c r="E191" s="6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6" t="n"/>
      <c r="J191" s="74" t="inlineStr">
        <is>
          <t>Risultato</t>
        </is>
      </c>
      <c r="K191" s="5" t="n"/>
      <c r="L191" s="6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5" t="n"/>
      <c r="H192" s="5" t="n"/>
      <c r="I192" s="6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n"/>
      <c r="N192" s="196" t="n"/>
      <c r="O192" s="196" t="n"/>
      <c r="P192" s="196" t="n"/>
      <c r="Q192" s="196" t="n"/>
      <c r="R192" s="196" t="n"/>
    </row>
    <row r="193" ht="15" customHeight="1">
      <c r="A193" s="141" t="n"/>
      <c r="B193" s="69">
        <f>IF('Calendario B'!B23="","",'Calendario B'!B23)</f>
        <v/>
      </c>
      <c r="C193" s="5" t="n"/>
      <c r="D193" s="5" t="n"/>
      <c r="E193" s="5" t="n"/>
      <c r="F193" s="5" t="n"/>
      <c r="G193" s="5" t="n"/>
      <c r="H193" s="6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 t="n"/>
      <c r="M195" s="198" t="inlineStr">
        <is>
          <t>ARBITRI</t>
        </is>
      </c>
      <c r="N195" s="5" t="n"/>
      <c r="O195" s="6" t="n"/>
      <c r="P195" s="198" t="inlineStr">
        <is>
          <t>UFFICIALI DI CAMPO</t>
        </is>
      </c>
      <c r="Q195" s="5" t="n"/>
      <c r="R195" s="6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6" t="n"/>
      <c r="D196" s="74" t="inlineStr">
        <is>
          <t>Squadra B</t>
        </is>
      </c>
      <c r="E196" s="6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6" t="n"/>
      <c r="J196" s="74" t="inlineStr">
        <is>
          <t>Risultato</t>
        </is>
      </c>
      <c r="K196" s="5" t="n"/>
      <c r="L196" s="6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5" t="n"/>
      <c r="H197" s="5" t="n"/>
      <c r="I197" s="6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n"/>
      <c r="N197" s="196" t="n"/>
      <c r="O197" s="196" t="n"/>
      <c r="P197" s="196" t="n"/>
      <c r="Q197" s="196" t="n"/>
      <c r="R197" s="196" t="n"/>
    </row>
    <row r="198" ht="15" customHeight="1">
      <c r="A198" s="141" t="n"/>
      <c r="B198" s="69">
        <f>IF('Calendario B'!B28="","",'Calendario B'!B28)</f>
        <v/>
      </c>
      <c r="C198" s="5" t="n"/>
      <c r="D198" s="5" t="n"/>
      <c r="E198" s="5" t="n"/>
      <c r="F198" s="5" t="n"/>
      <c r="G198" s="5" t="n"/>
      <c r="H198" s="6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6" t="n"/>
      <c r="D199" s="74" t="inlineStr">
        <is>
          <t>Squadra B</t>
        </is>
      </c>
      <c r="E199" s="6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6" t="n"/>
      <c r="J199" s="74" t="inlineStr">
        <is>
          <t>Risultato</t>
        </is>
      </c>
      <c r="K199" s="5" t="n"/>
      <c r="L199" s="6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5" t="n"/>
      <c r="H200" s="5" t="n"/>
      <c r="I200" s="6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n"/>
      <c r="N200" s="196" t="n"/>
      <c r="O200" s="196" t="n"/>
      <c r="P200" s="196" t="n"/>
      <c r="Q200" s="196" t="n"/>
      <c r="R200" s="196" t="n"/>
    </row>
    <row r="201" ht="15" customHeight="1">
      <c r="A201" s="141" t="n"/>
      <c r="B201" s="69">
        <f>IF('Calendario B'!B31="","",'Calendario B'!B31)</f>
        <v/>
      </c>
      <c r="C201" s="5" t="n"/>
      <c r="D201" s="5" t="n"/>
      <c r="E201" s="5" t="n"/>
      <c r="F201" s="5" t="n"/>
      <c r="G201" s="5" t="n"/>
      <c r="H201" s="6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6" t="n"/>
      <c r="D202" s="74" t="inlineStr">
        <is>
          <t>Squadra B</t>
        </is>
      </c>
      <c r="E202" s="6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6" t="n"/>
      <c r="J202" s="74" t="inlineStr">
        <is>
          <t>Risultato</t>
        </is>
      </c>
      <c r="K202" s="5" t="n"/>
      <c r="L202" s="6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5" t="n"/>
      <c r="H203" s="5" t="n"/>
      <c r="I203" s="6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n"/>
      <c r="N203" s="196" t="n"/>
      <c r="O203" s="196" t="n"/>
      <c r="P203" s="196" t="n"/>
      <c r="Q203" s="196" t="n"/>
      <c r="R203" s="196" t="n"/>
    </row>
    <row r="204" ht="15" customHeight="1">
      <c r="A204" s="141" t="n"/>
      <c r="B204" s="69">
        <f>IF('Calendario B'!B34="","",'Calendario B'!B34)</f>
        <v/>
      </c>
      <c r="C204" s="5" t="n"/>
      <c r="D204" s="5" t="n"/>
      <c r="E204" s="5" t="n"/>
      <c r="F204" s="5" t="n"/>
      <c r="G204" s="5" t="n"/>
      <c r="H204" s="6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6" t="n"/>
      <c r="D205" s="74" t="inlineStr">
        <is>
          <t>Squadra B</t>
        </is>
      </c>
      <c r="E205" s="6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6" t="n"/>
      <c r="J205" s="74" t="inlineStr">
        <is>
          <t>Risultato</t>
        </is>
      </c>
      <c r="K205" s="5" t="n"/>
      <c r="L205" s="6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5" t="n"/>
      <c r="H206" s="5" t="n"/>
      <c r="I206" s="6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n"/>
      <c r="N206" s="196" t="n"/>
      <c r="O206" s="196" t="n"/>
      <c r="P206" s="196" t="n"/>
      <c r="Q206" s="196" t="n"/>
      <c r="R206" s="196" t="n"/>
    </row>
    <row r="207" ht="15" customHeight="1">
      <c r="A207" s="141" t="n"/>
      <c r="B207" s="69">
        <f>IF('Calendario B'!B37="","",'Calendario B'!B37)</f>
        <v/>
      </c>
      <c r="C207" s="5" t="n"/>
      <c r="D207" s="5" t="n"/>
      <c r="E207" s="5" t="n"/>
      <c r="F207" s="5" t="n"/>
      <c r="G207" s="5" t="n"/>
      <c r="H207" s="6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6" t="n"/>
      <c r="D208" s="74" t="inlineStr">
        <is>
          <t>Squadra B</t>
        </is>
      </c>
      <c r="E208" s="6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6" t="n"/>
      <c r="J208" s="74" t="inlineStr">
        <is>
          <t>Risultato</t>
        </is>
      </c>
      <c r="K208" s="5" t="n"/>
      <c r="L208" s="6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5" t="n"/>
      <c r="H209" s="5" t="n"/>
      <c r="I209" s="6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n"/>
      <c r="N209" s="196" t="n"/>
      <c r="O209" s="196" t="n"/>
      <c r="P209" s="196" t="n"/>
      <c r="Q209" s="196" t="n"/>
      <c r="R209" s="196" t="n"/>
    </row>
    <row r="210" ht="15" customHeight="1">
      <c r="A210" s="141" t="n"/>
      <c r="B210" s="69">
        <f>IF('Calendario B'!B40="","",'Calendario B'!B40)</f>
        <v/>
      </c>
      <c r="C210" s="5" t="n"/>
      <c r="D210" s="5" t="n"/>
      <c r="E210" s="5" t="n"/>
      <c r="F210" s="5" t="n"/>
      <c r="G210" s="5" t="n"/>
      <c r="H210" s="6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 t="n"/>
      <c r="M212" s="198" t="inlineStr">
        <is>
          <t>ARBITRI</t>
        </is>
      </c>
      <c r="N212" s="5" t="n"/>
      <c r="O212" s="6" t="n"/>
      <c r="P212" s="198" t="inlineStr">
        <is>
          <t>UFFICIALI DI CAMPO</t>
        </is>
      </c>
      <c r="Q212" s="5" t="n"/>
      <c r="R212" s="6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6" t="n"/>
      <c r="D213" s="74" t="inlineStr">
        <is>
          <t>Squadra B</t>
        </is>
      </c>
      <c r="E213" s="6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6" t="n"/>
      <c r="J213" s="74" t="inlineStr">
        <is>
          <t>Risultato</t>
        </is>
      </c>
      <c r="K213" s="5" t="n"/>
      <c r="L213" s="6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5" t="n"/>
      <c r="H214" s="5" t="n"/>
      <c r="I214" s="6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n"/>
      <c r="N214" s="196" t="n"/>
      <c r="O214" s="196" t="n"/>
      <c r="P214" s="196" t="n"/>
      <c r="Q214" s="196" t="n"/>
      <c r="R214" s="196" t="n"/>
    </row>
    <row r="215" ht="15" customHeight="1">
      <c r="A215" s="141" t="n"/>
      <c r="B215" s="69">
        <f>IF('Calendario B'!B45="","",'Calendario B'!B45)</f>
        <v/>
      </c>
      <c r="C215" s="5" t="n"/>
      <c r="D215" s="5" t="n"/>
      <c r="E215" s="5" t="n"/>
      <c r="F215" s="5" t="n"/>
      <c r="G215" s="5" t="n"/>
      <c r="H215" s="6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6" t="n"/>
      <c r="D216" s="74" t="inlineStr">
        <is>
          <t>Squadra B</t>
        </is>
      </c>
      <c r="E216" s="6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6" t="n"/>
      <c r="J216" s="74" t="inlineStr">
        <is>
          <t>Risultato</t>
        </is>
      </c>
      <c r="K216" s="5" t="n"/>
      <c r="L216" s="6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5" t="n"/>
      <c r="H217" s="5" t="n"/>
      <c r="I217" s="6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n"/>
      <c r="N217" s="196" t="n"/>
      <c r="O217" s="196" t="n"/>
      <c r="P217" s="196" t="n"/>
      <c r="Q217" s="196" t="n"/>
      <c r="R217" s="196" t="n"/>
    </row>
    <row r="218" ht="15" customHeight="1">
      <c r="A218" s="141" t="n"/>
      <c r="B218" s="69">
        <f>IF('Calendario B'!B48="","",'Calendario B'!B48)</f>
        <v/>
      </c>
      <c r="C218" s="5" t="n"/>
      <c r="D218" s="5" t="n"/>
      <c r="E218" s="5" t="n"/>
      <c r="F218" s="5" t="n"/>
      <c r="G218" s="5" t="n"/>
      <c r="H218" s="6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6" t="n"/>
      <c r="D219" s="74" t="inlineStr">
        <is>
          <t>Squadra B</t>
        </is>
      </c>
      <c r="E219" s="6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6" t="n"/>
      <c r="J219" s="74" t="inlineStr">
        <is>
          <t>Risultato</t>
        </is>
      </c>
      <c r="K219" s="5" t="n"/>
      <c r="L219" s="6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5" t="n"/>
      <c r="H220" s="5" t="n"/>
      <c r="I220" s="6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n"/>
      <c r="N220" s="196" t="n"/>
      <c r="O220" s="196" t="n"/>
      <c r="P220" s="196" t="n"/>
      <c r="Q220" s="196" t="n"/>
      <c r="R220" s="196" t="n"/>
    </row>
    <row r="221" ht="15" customHeight="1">
      <c r="A221" s="141" t="n"/>
      <c r="B221" s="69">
        <f>IF('Calendario B'!B51="","",'Calendario B'!B51)</f>
        <v/>
      </c>
      <c r="C221" s="5" t="n"/>
      <c r="D221" s="5" t="n"/>
      <c r="E221" s="5" t="n"/>
      <c r="F221" s="5" t="n"/>
      <c r="G221" s="5" t="n"/>
      <c r="H221" s="6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6" t="n"/>
      <c r="D222" s="74" t="inlineStr">
        <is>
          <t>Squadra B</t>
        </is>
      </c>
      <c r="E222" s="6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6" t="n"/>
      <c r="J222" s="74" t="inlineStr">
        <is>
          <t>Risultato</t>
        </is>
      </c>
      <c r="K222" s="5" t="n"/>
      <c r="L222" s="6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5" t="n"/>
      <c r="H223" s="5" t="n"/>
      <c r="I223" s="6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n"/>
      <c r="N223" s="196" t="n"/>
      <c r="O223" s="196" t="n"/>
      <c r="P223" s="196" t="n"/>
      <c r="Q223" s="196" t="n"/>
      <c r="R223" s="196" t="n"/>
    </row>
    <row r="224" ht="15" customHeight="1">
      <c r="A224" s="141" t="n"/>
      <c r="B224" s="69">
        <f>IF('Calendario B'!B54="","",'Calendario B'!B54)</f>
        <v/>
      </c>
      <c r="C224" s="5" t="n"/>
      <c r="D224" s="5" t="n"/>
      <c r="E224" s="5" t="n"/>
      <c r="F224" s="5" t="n"/>
      <c r="G224" s="5" t="n"/>
      <c r="H224" s="6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6" t="n"/>
      <c r="D225" s="74" t="inlineStr">
        <is>
          <t>Squadra B</t>
        </is>
      </c>
      <c r="E225" s="6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6" t="n"/>
      <c r="J225" s="74" t="inlineStr">
        <is>
          <t>Risultato</t>
        </is>
      </c>
      <c r="K225" s="5" t="n"/>
      <c r="L225" s="6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5" t="n"/>
      <c r="H226" s="5" t="n"/>
      <c r="I226" s="6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n"/>
      <c r="N226" s="196" t="n"/>
      <c r="O226" s="196" t="n"/>
      <c r="P226" s="196" t="n"/>
      <c r="Q226" s="196" t="n"/>
      <c r="R226" s="196" t="n"/>
    </row>
    <row r="227" ht="15" customHeight="1">
      <c r="A227" s="141" t="n"/>
      <c r="B227" s="69">
        <f>IF('Calendario B'!B57="","",'Calendario B'!B57)</f>
        <v/>
      </c>
      <c r="C227" s="5" t="n"/>
      <c r="D227" s="5" t="n"/>
      <c r="E227" s="5" t="n"/>
      <c r="F227" s="5" t="n"/>
      <c r="G227" s="5" t="n"/>
      <c r="H227" s="6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 t="n"/>
      <c r="M229" s="198" t="inlineStr">
        <is>
          <t>ARBITRI</t>
        </is>
      </c>
      <c r="N229" s="5" t="n"/>
      <c r="O229" s="6" t="n"/>
      <c r="P229" s="198" t="inlineStr">
        <is>
          <t>UFFICIALI DI CAMPO</t>
        </is>
      </c>
      <c r="Q229" s="5" t="n"/>
      <c r="R229" s="6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6" t="n"/>
      <c r="D230" s="74" t="inlineStr">
        <is>
          <t>Squadra B</t>
        </is>
      </c>
      <c r="E230" s="6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6" t="n"/>
      <c r="J230" s="74" t="inlineStr">
        <is>
          <t>Risultato</t>
        </is>
      </c>
      <c r="K230" s="5" t="n"/>
      <c r="L230" s="6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5" t="n"/>
      <c r="H231" s="5" t="n"/>
      <c r="I231" s="6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n"/>
      <c r="N231" s="196" t="n"/>
      <c r="O231" s="196" t="n"/>
      <c r="P231" s="196" t="n"/>
      <c r="Q231" s="196" t="n"/>
      <c r="R231" s="196" t="n"/>
    </row>
    <row r="232" ht="15" customHeight="1">
      <c r="A232" s="141" t="n"/>
      <c r="B232" s="69">
        <f>IF('Calendario B'!B62="","",'Calendario B'!B62)</f>
        <v/>
      </c>
      <c r="C232" s="5" t="n"/>
      <c r="D232" s="5" t="n"/>
      <c r="E232" s="5" t="n"/>
      <c r="F232" s="5" t="n"/>
      <c r="G232" s="5" t="n"/>
      <c r="H232" s="6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6" t="n"/>
      <c r="D233" s="74" t="inlineStr">
        <is>
          <t>Squadra B</t>
        </is>
      </c>
      <c r="E233" s="6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6" t="n"/>
      <c r="J233" s="74" t="inlineStr">
        <is>
          <t>Risultato</t>
        </is>
      </c>
      <c r="K233" s="5" t="n"/>
      <c r="L233" s="6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5" t="n"/>
      <c r="H234" s="5" t="n"/>
      <c r="I234" s="6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n"/>
      <c r="N234" s="196" t="n"/>
      <c r="O234" s="196" t="n"/>
      <c r="P234" s="196" t="n"/>
      <c r="Q234" s="196" t="n"/>
      <c r="R234" s="196" t="n"/>
    </row>
    <row r="235" ht="15" customHeight="1">
      <c r="A235" s="141" t="n"/>
      <c r="B235" s="69">
        <f>IF('Calendario B'!B65="","",'Calendario B'!B65)</f>
        <v/>
      </c>
      <c r="C235" s="5" t="n"/>
      <c r="D235" s="5" t="n"/>
      <c r="E235" s="5" t="n"/>
      <c r="F235" s="5" t="n"/>
      <c r="G235" s="5" t="n"/>
      <c r="H235" s="6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6" t="n"/>
      <c r="D236" s="74" t="inlineStr">
        <is>
          <t>Squadra B</t>
        </is>
      </c>
      <c r="E236" s="6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6" t="n"/>
      <c r="J236" s="74" t="inlineStr">
        <is>
          <t>Risultato</t>
        </is>
      </c>
      <c r="K236" s="5" t="n"/>
      <c r="L236" s="6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5" t="n"/>
      <c r="H237" s="5" t="n"/>
      <c r="I237" s="6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n"/>
      <c r="N237" s="196" t="n"/>
      <c r="O237" s="196" t="n"/>
      <c r="P237" s="196" t="n"/>
      <c r="Q237" s="196" t="n"/>
      <c r="R237" s="196" t="n"/>
    </row>
    <row r="238" ht="15" customHeight="1">
      <c r="A238" s="141" t="n"/>
      <c r="B238" s="69">
        <f>IF('Calendario B'!B68="","",'Calendario B'!B68)</f>
        <v/>
      </c>
      <c r="C238" s="5" t="n"/>
      <c r="D238" s="5" t="n"/>
      <c r="E238" s="5" t="n"/>
      <c r="F238" s="5" t="n"/>
      <c r="G238" s="5" t="n"/>
      <c r="H238" s="6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6" t="n"/>
      <c r="D239" s="74" t="inlineStr">
        <is>
          <t>Squadra B</t>
        </is>
      </c>
      <c r="E239" s="6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6" t="n"/>
      <c r="J239" s="74" t="inlineStr">
        <is>
          <t>Risultato</t>
        </is>
      </c>
      <c r="K239" s="5" t="n"/>
      <c r="L239" s="6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5" t="n"/>
      <c r="H240" s="5" t="n"/>
      <c r="I240" s="6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n"/>
      <c r="N240" s="196" t="n"/>
      <c r="O240" s="196" t="n"/>
      <c r="P240" s="196" t="n"/>
      <c r="Q240" s="196" t="n"/>
      <c r="R240" s="196" t="n"/>
    </row>
    <row r="241" ht="15" customHeight="1">
      <c r="A241" s="141" t="n"/>
      <c r="B241" s="69">
        <f>IF('Calendario B'!B71="","",'Calendario B'!B71)</f>
        <v/>
      </c>
      <c r="C241" s="5" t="n"/>
      <c r="D241" s="5" t="n"/>
      <c r="E241" s="5" t="n"/>
      <c r="F241" s="5" t="n"/>
      <c r="G241" s="5" t="n"/>
      <c r="H241" s="6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6" t="n"/>
      <c r="D242" s="74" t="inlineStr">
        <is>
          <t>Squadra B</t>
        </is>
      </c>
      <c r="E242" s="6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6" t="n"/>
      <c r="J242" s="74" t="inlineStr">
        <is>
          <t>Risultato</t>
        </is>
      </c>
      <c r="K242" s="5" t="n"/>
      <c r="L242" s="6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5" t="n"/>
      <c r="H243" s="5" t="n"/>
      <c r="I243" s="6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n"/>
      <c r="N243" s="196" t="n"/>
      <c r="O243" s="196" t="n"/>
      <c r="P243" s="196" t="n"/>
      <c r="Q243" s="196" t="n"/>
      <c r="R243" s="196" t="n"/>
    </row>
    <row r="244" ht="15" customHeight="1">
      <c r="A244" s="141" t="n"/>
      <c r="B244" s="69">
        <f>IF('Calendario B'!B74="","",'Calendario B'!B74)</f>
        <v/>
      </c>
      <c r="C244" s="5" t="n"/>
      <c r="D244" s="5" t="n"/>
      <c r="E244" s="5" t="n"/>
      <c r="F244" s="5" t="n"/>
      <c r="G244" s="5" t="n"/>
      <c r="H244" s="6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 t="n"/>
      <c r="M246" s="198" t="inlineStr">
        <is>
          <t>ARBITRI</t>
        </is>
      </c>
      <c r="N246" s="5" t="n"/>
      <c r="O246" s="6" t="n"/>
      <c r="P246" s="198" t="inlineStr">
        <is>
          <t>UFFICIALI DI CAMPO</t>
        </is>
      </c>
      <c r="Q246" s="5" t="n"/>
      <c r="R246" s="6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6" t="n"/>
      <c r="D247" s="74" t="inlineStr">
        <is>
          <t>Squadra B</t>
        </is>
      </c>
      <c r="E247" s="6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6" t="n"/>
      <c r="J247" s="74" t="inlineStr">
        <is>
          <t>Risultato</t>
        </is>
      </c>
      <c r="K247" s="5" t="n"/>
      <c r="L247" s="6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5" t="n"/>
      <c r="H248" s="5" t="n"/>
      <c r="I248" s="6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n"/>
      <c r="N248" s="196" t="n"/>
      <c r="O248" s="196" t="n"/>
      <c r="P248" s="196" t="n"/>
      <c r="Q248" s="196" t="n"/>
      <c r="R248" s="196" t="n"/>
    </row>
    <row r="249" ht="15" customHeight="1">
      <c r="A249" s="141" t="n"/>
      <c r="B249" s="69">
        <f>IF('Calendario B'!B79="","",'Calendario B'!B79)</f>
        <v/>
      </c>
      <c r="C249" s="5" t="n"/>
      <c r="D249" s="5" t="n"/>
      <c r="E249" s="5" t="n"/>
      <c r="F249" s="5" t="n"/>
      <c r="G249" s="5" t="n"/>
      <c r="H249" s="6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6" t="n"/>
      <c r="D250" s="74" t="inlineStr">
        <is>
          <t>Squadra B</t>
        </is>
      </c>
      <c r="E250" s="6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6" t="n"/>
      <c r="J250" s="74" t="inlineStr">
        <is>
          <t>Risultato</t>
        </is>
      </c>
      <c r="K250" s="5" t="n"/>
      <c r="L250" s="6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5" t="n"/>
      <c r="H251" s="5" t="n"/>
      <c r="I251" s="6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n"/>
      <c r="N251" s="196" t="n"/>
      <c r="O251" s="196" t="n"/>
      <c r="P251" s="196" t="n"/>
      <c r="Q251" s="196" t="n"/>
      <c r="R251" s="196" t="n"/>
    </row>
    <row r="252" ht="15" customHeight="1">
      <c r="A252" s="141" t="n"/>
      <c r="B252" s="69">
        <f>IF('Calendario B'!B82="","",'Calendario B'!B82)</f>
        <v/>
      </c>
      <c r="C252" s="5" t="n"/>
      <c r="D252" s="5" t="n"/>
      <c r="E252" s="5" t="n"/>
      <c r="F252" s="5" t="n"/>
      <c r="G252" s="5" t="n"/>
      <c r="H252" s="6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6" t="n"/>
      <c r="D253" s="74" t="inlineStr">
        <is>
          <t>Squadra B</t>
        </is>
      </c>
      <c r="E253" s="6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6" t="n"/>
      <c r="J253" s="74" t="inlineStr">
        <is>
          <t>Risultato</t>
        </is>
      </c>
      <c r="K253" s="5" t="n"/>
      <c r="L253" s="6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5" t="n"/>
      <c r="H254" s="5" t="n"/>
      <c r="I254" s="6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n"/>
      <c r="N254" s="196" t="n"/>
      <c r="O254" s="196" t="n"/>
      <c r="P254" s="196" t="n"/>
      <c r="Q254" s="196" t="n"/>
      <c r="R254" s="196" t="n"/>
    </row>
    <row r="255" ht="15" customHeight="1">
      <c r="A255" s="141" t="n"/>
      <c r="B255" s="69">
        <f>IF('Calendario B'!B85="","",'Calendario B'!B85)</f>
        <v/>
      </c>
      <c r="C255" s="5" t="n"/>
      <c r="D255" s="5" t="n"/>
      <c r="E255" s="5" t="n"/>
      <c r="F255" s="5" t="n"/>
      <c r="G255" s="5" t="n"/>
      <c r="H255" s="6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6" t="n"/>
      <c r="D256" s="74" t="inlineStr">
        <is>
          <t>Squadra B</t>
        </is>
      </c>
      <c r="E256" s="6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6" t="n"/>
      <c r="J256" s="74" t="inlineStr">
        <is>
          <t>Risultato</t>
        </is>
      </c>
      <c r="K256" s="5" t="n"/>
      <c r="L256" s="6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5" t="n"/>
      <c r="H257" s="5" t="n"/>
      <c r="I257" s="6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n"/>
      <c r="N257" s="196" t="n"/>
      <c r="O257" s="196" t="n"/>
      <c r="P257" s="196" t="n"/>
      <c r="Q257" s="196" t="n"/>
      <c r="R257" s="196" t="n"/>
    </row>
    <row r="258" ht="15" customHeight="1">
      <c r="A258" s="141" t="n"/>
      <c r="B258" s="69">
        <f>IF('Calendario B'!B88="","",'Calendario B'!B88)</f>
        <v/>
      </c>
      <c r="C258" s="5" t="n"/>
      <c r="D258" s="5" t="n"/>
      <c r="E258" s="5" t="n"/>
      <c r="F258" s="5" t="n"/>
      <c r="G258" s="5" t="n"/>
      <c r="H258" s="6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6" t="n"/>
      <c r="D259" s="74" t="inlineStr">
        <is>
          <t>Squadra B</t>
        </is>
      </c>
      <c r="E259" s="6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6" t="n"/>
      <c r="J259" s="74" t="inlineStr">
        <is>
          <t>Risultato</t>
        </is>
      </c>
      <c r="K259" s="5" t="n"/>
      <c r="L259" s="6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5" t="n"/>
      <c r="H260" s="5" t="n"/>
      <c r="I260" s="6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n"/>
      <c r="N260" s="196" t="n"/>
      <c r="O260" s="196" t="n"/>
      <c r="P260" s="196" t="n"/>
      <c r="Q260" s="196" t="n"/>
      <c r="R260" s="196" t="n"/>
    </row>
    <row r="261" ht="15" customHeight="1">
      <c r="A261" s="141" t="n"/>
      <c r="B261" s="69">
        <f>IF('Calendario B'!B91="","",'Calendario B'!B91)</f>
        <v/>
      </c>
      <c r="C261" s="5" t="n"/>
      <c r="D261" s="5" t="n"/>
      <c r="E261" s="5" t="n"/>
      <c r="F261" s="5" t="n"/>
      <c r="G261" s="5" t="n"/>
      <c r="H261" s="6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 t="n"/>
      <c r="M263" s="198" t="inlineStr">
        <is>
          <t>ARBITRI</t>
        </is>
      </c>
      <c r="N263" s="5" t="n"/>
      <c r="O263" s="6" t="n"/>
      <c r="P263" s="198" t="inlineStr">
        <is>
          <t>UFFICIALI DI CAMPO</t>
        </is>
      </c>
      <c r="Q263" s="5" t="n"/>
      <c r="R263" s="6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6" t="n"/>
      <c r="D264" s="74" t="inlineStr">
        <is>
          <t>Squadra B</t>
        </is>
      </c>
      <c r="E264" s="6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6" t="n"/>
      <c r="J264" s="74" t="inlineStr">
        <is>
          <t>Risultato</t>
        </is>
      </c>
      <c r="K264" s="5" t="n"/>
      <c r="L264" s="6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5" t="n"/>
      <c r="H265" s="5" t="n"/>
      <c r="I265" s="6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n"/>
      <c r="N265" s="196" t="n"/>
      <c r="O265" s="196" t="n"/>
      <c r="P265" s="196" t="n"/>
      <c r="Q265" s="196" t="n"/>
      <c r="R265" s="196" t="n"/>
    </row>
    <row r="266" ht="15" customHeight="1">
      <c r="A266" s="141" t="n"/>
      <c r="B266" s="69">
        <f>IF('Calendario B'!B96="","",'Calendario B'!B96)</f>
        <v/>
      </c>
      <c r="C266" s="5" t="n"/>
      <c r="D266" s="5" t="n"/>
      <c r="E266" s="5" t="n"/>
      <c r="F266" s="5" t="n"/>
      <c r="G266" s="5" t="n"/>
      <c r="H266" s="6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6" t="n"/>
      <c r="D267" s="74" t="inlineStr">
        <is>
          <t>Squadra B</t>
        </is>
      </c>
      <c r="E267" s="6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6" t="n"/>
      <c r="J267" s="74" t="inlineStr">
        <is>
          <t>Risultato</t>
        </is>
      </c>
      <c r="K267" s="5" t="n"/>
      <c r="L267" s="6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5" t="n"/>
      <c r="H268" s="5" t="n"/>
      <c r="I268" s="6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n"/>
      <c r="N268" s="196" t="n"/>
      <c r="O268" s="196" t="n"/>
      <c r="P268" s="196" t="n"/>
      <c r="Q268" s="196" t="n"/>
      <c r="R268" s="196" t="n"/>
    </row>
    <row r="269" ht="15" customHeight="1">
      <c r="A269" s="141" t="n"/>
      <c r="B269" s="69">
        <f>IF('Calendario B'!B99="","",'Calendario B'!B99)</f>
        <v/>
      </c>
      <c r="C269" s="5" t="n"/>
      <c r="D269" s="5" t="n"/>
      <c r="E269" s="5" t="n"/>
      <c r="F269" s="5" t="n"/>
      <c r="G269" s="5" t="n"/>
      <c r="H269" s="6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6" t="n"/>
      <c r="D270" s="74" t="inlineStr">
        <is>
          <t>Squadra B</t>
        </is>
      </c>
      <c r="E270" s="6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6" t="n"/>
      <c r="J270" s="74" t="inlineStr">
        <is>
          <t>Risultato</t>
        </is>
      </c>
      <c r="K270" s="5" t="n"/>
      <c r="L270" s="6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5" t="n"/>
      <c r="H271" s="5" t="n"/>
      <c r="I271" s="6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n"/>
      <c r="N271" s="196" t="n"/>
      <c r="O271" s="196" t="n"/>
      <c r="P271" s="196" t="n"/>
      <c r="Q271" s="196" t="n"/>
      <c r="R271" s="196" t="n"/>
    </row>
    <row r="272" ht="15" customHeight="1">
      <c r="A272" s="141" t="n"/>
      <c r="B272" s="69">
        <f>IF('Calendario B'!B102="","",'Calendario B'!B102)</f>
        <v/>
      </c>
      <c r="C272" s="5" t="n"/>
      <c r="D272" s="5" t="n"/>
      <c r="E272" s="5" t="n"/>
      <c r="F272" s="5" t="n"/>
      <c r="G272" s="5" t="n"/>
      <c r="H272" s="6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6" t="n"/>
      <c r="D273" s="74" t="inlineStr">
        <is>
          <t>Squadra B</t>
        </is>
      </c>
      <c r="E273" s="6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6" t="n"/>
      <c r="J273" s="74" t="inlineStr">
        <is>
          <t>Risultato</t>
        </is>
      </c>
      <c r="K273" s="5" t="n"/>
      <c r="L273" s="6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5" t="n"/>
      <c r="H274" s="5" t="n"/>
      <c r="I274" s="6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n"/>
      <c r="N274" s="196" t="n"/>
      <c r="O274" s="196" t="n"/>
      <c r="P274" s="196" t="n"/>
      <c r="Q274" s="196" t="n"/>
      <c r="R274" s="196" t="n"/>
    </row>
    <row r="275" ht="15" customHeight="1">
      <c r="A275" s="141" t="n"/>
      <c r="B275" s="69">
        <f>IF('Calendario B'!B105="","",'Calendario B'!B105)</f>
        <v/>
      </c>
      <c r="C275" s="5" t="n"/>
      <c r="D275" s="5" t="n"/>
      <c r="E275" s="5" t="n"/>
      <c r="F275" s="5" t="n"/>
      <c r="G275" s="5" t="n"/>
      <c r="H275" s="6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6" t="n"/>
      <c r="D276" s="74" t="inlineStr">
        <is>
          <t>Squadra B</t>
        </is>
      </c>
      <c r="E276" s="6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6" t="n"/>
      <c r="J276" s="74" t="inlineStr">
        <is>
          <t>Risultato</t>
        </is>
      </c>
      <c r="K276" s="5" t="n"/>
      <c r="L276" s="6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5" t="n"/>
      <c r="H277" s="5" t="n"/>
      <c r="I277" s="6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n"/>
      <c r="N277" s="196" t="n"/>
      <c r="O277" s="196" t="n"/>
      <c r="P277" s="196" t="n"/>
      <c r="Q277" s="196" t="n"/>
      <c r="R277" s="196" t="n"/>
    </row>
    <row r="278" ht="15" customHeight="1">
      <c r="A278" s="141" t="n"/>
      <c r="B278" s="69">
        <f>IF('Calendario B'!B108="","",'Calendario B'!B108)</f>
        <v/>
      </c>
      <c r="C278" s="5" t="n"/>
      <c r="D278" s="5" t="n"/>
      <c r="E278" s="5" t="n"/>
      <c r="F278" s="5" t="n"/>
      <c r="G278" s="5" t="n"/>
      <c r="H278" s="6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 t="n"/>
      <c r="M280" s="198" t="inlineStr">
        <is>
          <t>ARBITRI</t>
        </is>
      </c>
      <c r="N280" s="5" t="n"/>
      <c r="O280" s="6" t="n"/>
      <c r="P280" s="198" t="inlineStr">
        <is>
          <t>UFFICIALI DI CAMPO</t>
        </is>
      </c>
      <c r="Q280" s="5" t="n"/>
      <c r="R280" s="6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6" t="n"/>
      <c r="D281" s="74" t="inlineStr">
        <is>
          <t>Squadra B</t>
        </is>
      </c>
      <c r="E281" s="6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6" t="n"/>
      <c r="J281" s="74" t="inlineStr">
        <is>
          <t>Risultato</t>
        </is>
      </c>
      <c r="K281" s="5" t="n"/>
      <c r="L281" s="6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5" t="n"/>
      <c r="H282" s="5" t="n"/>
      <c r="I282" s="6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n"/>
      <c r="N282" s="196" t="n"/>
      <c r="O282" s="196" t="n"/>
      <c r="P282" s="196" t="n"/>
      <c r="Q282" s="196" t="n"/>
      <c r="R282" s="196" t="n"/>
    </row>
    <row r="283" ht="15" customHeight="1">
      <c r="A283" s="141" t="n"/>
      <c r="B283" s="69">
        <f>IF('Calendario B'!B113="","",'Calendario B'!B113)</f>
        <v/>
      </c>
      <c r="C283" s="5" t="n"/>
      <c r="D283" s="5" t="n"/>
      <c r="E283" s="5" t="n"/>
      <c r="F283" s="5" t="n"/>
      <c r="G283" s="5" t="n"/>
      <c r="H283" s="6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6" t="n"/>
      <c r="D284" s="74" t="inlineStr">
        <is>
          <t>Squadra B</t>
        </is>
      </c>
      <c r="E284" s="6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6" t="n"/>
      <c r="J284" s="74" t="inlineStr">
        <is>
          <t>Risultato</t>
        </is>
      </c>
      <c r="K284" s="5" t="n"/>
      <c r="L284" s="6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5" t="n"/>
      <c r="H285" s="5" t="n"/>
      <c r="I285" s="6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n"/>
      <c r="N285" s="196" t="n"/>
      <c r="O285" s="196" t="n"/>
      <c r="P285" s="196" t="n"/>
      <c r="Q285" s="196" t="n"/>
      <c r="R285" s="196" t="n"/>
    </row>
    <row r="286" ht="15" customHeight="1">
      <c r="A286" s="141" t="n"/>
      <c r="B286" s="69">
        <f>IF('Calendario B'!B116="","",'Calendario B'!B116)</f>
        <v/>
      </c>
      <c r="C286" s="5" t="n"/>
      <c r="D286" s="5" t="n"/>
      <c r="E286" s="5" t="n"/>
      <c r="F286" s="5" t="n"/>
      <c r="G286" s="5" t="n"/>
      <c r="H286" s="6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6" t="n"/>
      <c r="D287" s="74" t="inlineStr">
        <is>
          <t>Squadra B</t>
        </is>
      </c>
      <c r="E287" s="6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6" t="n"/>
      <c r="J287" s="74" t="inlineStr">
        <is>
          <t>Risultato</t>
        </is>
      </c>
      <c r="K287" s="5" t="n"/>
      <c r="L287" s="6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5" t="n"/>
      <c r="H288" s="5" t="n"/>
      <c r="I288" s="6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n"/>
      <c r="N288" s="196" t="n"/>
      <c r="O288" s="196" t="n"/>
      <c r="P288" s="196" t="n"/>
      <c r="Q288" s="196" t="n"/>
      <c r="R288" s="196" t="n"/>
    </row>
    <row r="289" ht="15" customHeight="1">
      <c r="A289" s="141" t="n"/>
      <c r="B289" s="69">
        <f>IF('Calendario B'!B119="","",'Calendario B'!B119)</f>
        <v/>
      </c>
      <c r="C289" s="5" t="n"/>
      <c r="D289" s="5" t="n"/>
      <c r="E289" s="5" t="n"/>
      <c r="F289" s="5" t="n"/>
      <c r="G289" s="5" t="n"/>
      <c r="H289" s="6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6" t="n"/>
      <c r="D290" s="74" t="inlineStr">
        <is>
          <t>Squadra B</t>
        </is>
      </c>
      <c r="E290" s="6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6" t="n"/>
      <c r="J290" s="74" t="inlineStr">
        <is>
          <t>Risultato</t>
        </is>
      </c>
      <c r="K290" s="5" t="n"/>
      <c r="L290" s="6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5" t="n"/>
      <c r="H291" s="5" t="n"/>
      <c r="I291" s="6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n"/>
      <c r="N291" s="196" t="n"/>
      <c r="O291" s="196" t="n"/>
      <c r="P291" s="196" t="n"/>
      <c r="Q291" s="196" t="n"/>
      <c r="R291" s="196" t="n"/>
    </row>
    <row r="292" ht="15" customHeight="1">
      <c r="A292" s="141" t="n"/>
      <c r="B292" s="69">
        <f>IF('Calendario B'!B122="","",'Calendario B'!B122)</f>
        <v/>
      </c>
      <c r="C292" s="5" t="n"/>
      <c r="D292" s="5" t="n"/>
      <c r="E292" s="5" t="n"/>
      <c r="F292" s="5" t="n"/>
      <c r="G292" s="5" t="n"/>
      <c r="H292" s="6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6" t="n"/>
      <c r="D293" s="74" t="inlineStr">
        <is>
          <t>Squadra B</t>
        </is>
      </c>
      <c r="E293" s="6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6" t="n"/>
      <c r="J293" s="74" t="inlineStr">
        <is>
          <t>Risultato</t>
        </is>
      </c>
      <c r="K293" s="5" t="n"/>
      <c r="L293" s="6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5" t="n"/>
      <c r="H294" s="5" t="n"/>
      <c r="I294" s="6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n"/>
      <c r="N294" s="196" t="n"/>
      <c r="O294" s="196" t="n"/>
      <c r="P294" s="196" t="n"/>
      <c r="Q294" s="196" t="n"/>
      <c r="R294" s="196" t="n"/>
    </row>
    <row r="295" ht="15" customHeight="1">
      <c r="A295" s="141" t="n"/>
      <c r="B295" s="69">
        <f>IF('Calendario B'!B125="","",'Calendario B'!B125)</f>
        <v/>
      </c>
      <c r="C295" s="5" t="n"/>
      <c r="D295" s="5" t="n"/>
      <c r="E295" s="5" t="n"/>
      <c r="F295" s="5" t="n"/>
      <c r="G295" s="5" t="n"/>
      <c r="H295" s="6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 t="n"/>
      <c r="M297" s="198" t="inlineStr">
        <is>
          <t>ARBITRI</t>
        </is>
      </c>
      <c r="N297" s="5" t="n"/>
      <c r="O297" s="6" t="n"/>
      <c r="P297" s="198" t="inlineStr">
        <is>
          <t>UFFICIALI DI CAMPO</t>
        </is>
      </c>
      <c r="Q297" s="5" t="n"/>
      <c r="R297" s="6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6" t="n"/>
      <c r="D298" s="74" t="inlineStr">
        <is>
          <t>Squadra B</t>
        </is>
      </c>
      <c r="E298" s="6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6" t="n"/>
      <c r="J298" s="74" t="inlineStr">
        <is>
          <t>Risultato</t>
        </is>
      </c>
      <c r="K298" s="5" t="n"/>
      <c r="L298" s="6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5" t="n"/>
      <c r="H299" s="5" t="n"/>
      <c r="I299" s="6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n"/>
      <c r="N299" s="196" t="n"/>
      <c r="O299" s="196" t="n"/>
      <c r="P299" s="196" t="n"/>
      <c r="Q299" s="196" t="n"/>
      <c r="R299" s="196" t="n"/>
    </row>
    <row r="300" ht="15" customHeight="1">
      <c r="A300" s="141" t="n"/>
      <c r="B300" s="69">
        <f>IF('Calendario B'!B130="","",'Calendario B'!B130)</f>
        <v/>
      </c>
      <c r="C300" s="5" t="n"/>
      <c r="D300" s="5" t="n"/>
      <c r="E300" s="5" t="n"/>
      <c r="F300" s="5" t="n"/>
      <c r="G300" s="5" t="n"/>
      <c r="H300" s="6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6" t="n"/>
      <c r="D301" s="74" t="inlineStr">
        <is>
          <t>Squadra B</t>
        </is>
      </c>
      <c r="E301" s="6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6" t="n"/>
      <c r="J301" s="74" t="inlineStr">
        <is>
          <t>Risultato</t>
        </is>
      </c>
      <c r="K301" s="5" t="n"/>
      <c r="L301" s="6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5" t="n"/>
      <c r="H302" s="5" t="n"/>
      <c r="I302" s="6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n"/>
      <c r="N302" s="196" t="n"/>
      <c r="O302" s="196" t="n"/>
      <c r="P302" s="196" t="n"/>
      <c r="Q302" s="196" t="n"/>
      <c r="R302" s="196" t="n"/>
    </row>
    <row r="303" ht="15" customHeight="1">
      <c r="A303" s="141" t="n"/>
      <c r="B303" s="69">
        <f>IF('Calendario B'!B133="","",'Calendario B'!B133)</f>
        <v/>
      </c>
      <c r="C303" s="5" t="n"/>
      <c r="D303" s="5" t="n"/>
      <c r="E303" s="5" t="n"/>
      <c r="F303" s="5" t="n"/>
      <c r="G303" s="5" t="n"/>
      <c r="H303" s="6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6" t="n"/>
      <c r="D304" s="74" t="inlineStr">
        <is>
          <t>Squadra B</t>
        </is>
      </c>
      <c r="E304" s="6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6" t="n"/>
      <c r="J304" s="74" t="inlineStr">
        <is>
          <t>Risultato</t>
        </is>
      </c>
      <c r="K304" s="5" t="n"/>
      <c r="L304" s="6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5" t="n"/>
      <c r="H305" s="5" t="n"/>
      <c r="I305" s="6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n"/>
      <c r="N305" s="196" t="n"/>
      <c r="O305" s="196" t="n"/>
      <c r="P305" s="196" t="n"/>
      <c r="Q305" s="196" t="n"/>
      <c r="R305" s="196" t="n"/>
    </row>
    <row r="306" ht="15" customHeight="1">
      <c r="A306" s="141" t="n"/>
      <c r="B306" s="69">
        <f>IF('Calendario B'!B136="","",'Calendario B'!B136)</f>
        <v/>
      </c>
      <c r="C306" s="5" t="n"/>
      <c r="D306" s="5" t="n"/>
      <c r="E306" s="5" t="n"/>
      <c r="F306" s="5" t="n"/>
      <c r="G306" s="5" t="n"/>
      <c r="H306" s="6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6" t="n"/>
      <c r="D307" s="74" t="inlineStr">
        <is>
          <t>Squadra B</t>
        </is>
      </c>
      <c r="E307" s="6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6" t="n"/>
      <c r="J307" s="74" t="inlineStr">
        <is>
          <t>Risultato</t>
        </is>
      </c>
      <c r="K307" s="5" t="n"/>
      <c r="L307" s="6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5" t="n"/>
      <c r="H308" s="5" t="n"/>
      <c r="I308" s="6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n"/>
      <c r="N308" s="196" t="n"/>
      <c r="O308" s="196" t="n"/>
      <c r="P308" s="196" t="n"/>
      <c r="Q308" s="196" t="n"/>
      <c r="R308" s="196" t="n"/>
    </row>
    <row r="309" ht="15" customHeight="1">
      <c r="A309" s="141" t="n"/>
      <c r="B309" s="69">
        <f>IF('Calendario B'!B139="","",'Calendario B'!B139)</f>
        <v/>
      </c>
      <c r="C309" s="5" t="n"/>
      <c r="D309" s="5" t="n"/>
      <c r="E309" s="5" t="n"/>
      <c r="F309" s="5" t="n"/>
      <c r="G309" s="5" t="n"/>
      <c r="H309" s="6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6" t="n"/>
      <c r="D310" s="74" t="inlineStr">
        <is>
          <t>Squadra B</t>
        </is>
      </c>
      <c r="E310" s="6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6" t="n"/>
      <c r="J310" s="74" t="inlineStr">
        <is>
          <t>Risultato</t>
        </is>
      </c>
      <c r="K310" s="5" t="n"/>
      <c r="L310" s="6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5" t="n"/>
      <c r="H311" s="5" t="n"/>
      <c r="I311" s="6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n"/>
      <c r="N311" s="196" t="n"/>
      <c r="O311" s="196" t="n"/>
      <c r="P311" s="196" t="n"/>
      <c r="Q311" s="196" t="n"/>
      <c r="R311" s="196" t="n"/>
    </row>
    <row r="312" ht="15" customHeight="1">
      <c r="A312" s="141" t="n"/>
      <c r="B312" s="69">
        <f>IF('Calendario B'!B142="","",'Calendario B'!B142)</f>
        <v/>
      </c>
      <c r="C312" s="5" t="n"/>
      <c r="D312" s="5" t="n"/>
      <c r="E312" s="5" t="n"/>
      <c r="F312" s="5" t="n"/>
      <c r="G312" s="5" t="n"/>
      <c r="H312" s="6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 t="n"/>
      <c r="M314" s="198" t="inlineStr">
        <is>
          <t>ARBITRI</t>
        </is>
      </c>
      <c r="N314" s="5" t="n"/>
      <c r="O314" s="6" t="n"/>
      <c r="P314" s="198" t="inlineStr">
        <is>
          <t>UFFICIALI DI CAMPO</t>
        </is>
      </c>
      <c r="Q314" s="5" t="n"/>
      <c r="R314" s="6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6" t="n"/>
      <c r="D315" s="74" t="inlineStr">
        <is>
          <t>Squadra B</t>
        </is>
      </c>
      <c r="E315" s="6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6" t="n"/>
      <c r="J315" s="74" t="inlineStr">
        <is>
          <t>Risultato</t>
        </is>
      </c>
      <c r="K315" s="5" t="n"/>
      <c r="L315" s="6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5" t="n"/>
      <c r="H316" s="5" t="n"/>
      <c r="I316" s="6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n"/>
      <c r="N316" s="196" t="n"/>
      <c r="O316" s="196" t="n"/>
      <c r="P316" s="196" t="n"/>
      <c r="Q316" s="196" t="n"/>
      <c r="R316" s="196" t="n"/>
    </row>
    <row r="317" ht="15" customHeight="1">
      <c r="A317" s="141" t="n"/>
      <c r="B317" s="69">
        <f>IF('Calendario B'!B147="","",'Calendario B'!B147)</f>
        <v/>
      </c>
      <c r="C317" s="5" t="n"/>
      <c r="D317" s="5" t="n"/>
      <c r="E317" s="5" t="n"/>
      <c r="F317" s="5" t="n"/>
      <c r="G317" s="5" t="n"/>
      <c r="H317" s="6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6" t="n"/>
      <c r="D318" s="74" t="inlineStr">
        <is>
          <t>Squadra B</t>
        </is>
      </c>
      <c r="E318" s="6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6" t="n"/>
      <c r="J318" s="74" t="inlineStr">
        <is>
          <t>Risultato</t>
        </is>
      </c>
      <c r="K318" s="5" t="n"/>
      <c r="L318" s="6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5" t="n"/>
      <c r="H319" s="5" t="n"/>
      <c r="I319" s="6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n"/>
      <c r="N319" s="196" t="n"/>
      <c r="O319" s="196" t="n"/>
      <c r="P319" s="196" t="n"/>
      <c r="Q319" s="196" t="n"/>
      <c r="R319" s="196" t="n"/>
    </row>
    <row r="320" ht="15" customHeight="1">
      <c r="A320" s="141" t="n"/>
      <c r="B320" s="69">
        <f>IF('Calendario B'!B150="","",'Calendario B'!B150)</f>
        <v/>
      </c>
      <c r="C320" s="5" t="n"/>
      <c r="D320" s="5" t="n"/>
      <c r="E320" s="5" t="n"/>
      <c r="F320" s="5" t="n"/>
      <c r="G320" s="5" t="n"/>
      <c r="H320" s="6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6" t="n"/>
      <c r="D321" s="74" t="inlineStr">
        <is>
          <t>Squadra B</t>
        </is>
      </c>
      <c r="E321" s="6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6" t="n"/>
      <c r="J321" s="74" t="inlineStr">
        <is>
          <t>Risultato</t>
        </is>
      </c>
      <c r="K321" s="5" t="n"/>
      <c r="L321" s="6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5" t="n"/>
      <c r="H322" s="5" t="n"/>
      <c r="I322" s="6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n"/>
      <c r="N322" s="196" t="n"/>
      <c r="O322" s="196" t="n"/>
      <c r="P322" s="196" t="n"/>
      <c r="Q322" s="196" t="n"/>
      <c r="R322" s="196" t="n"/>
    </row>
    <row r="323" ht="15" customHeight="1">
      <c r="A323" s="141" t="n"/>
      <c r="B323" s="69">
        <f>IF('Calendario B'!B153="","",'Calendario B'!B153)</f>
        <v/>
      </c>
      <c r="C323" s="5" t="n"/>
      <c r="D323" s="5" t="n"/>
      <c r="E323" s="5" t="n"/>
      <c r="F323" s="5" t="n"/>
      <c r="G323" s="5" t="n"/>
      <c r="H323" s="6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6" t="n"/>
      <c r="D324" s="74" t="inlineStr">
        <is>
          <t>Squadra B</t>
        </is>
      </c>
      <c r="E324" s="6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6" t="n"/>
      <c r="J324" s="74" t="inlineStr">
        <is>
          <t>Risultato</t>
        </is>
      </c>
      <c r="K324" s="5" t="n"/>
      <c r="L324" s="6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5" t="n"/>
      <c r="H325" s="5" t="n"/>
      <c r="I325" s="6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n"/>
      <c r="N325" s="196" t="n"/>
      <c r="O325" s="196" t="n"/>
      <c r="P325" s="196" t="n"/>
      <c r="Q325" s="196" t="n"/>
      <c r="R325" s="196" t="n"/>
    </row>
    <row r="326" ht="15" customHeight="1">
      <c r="A326" s="141" t="n"/>
      <c r="B326" s="69">
        <f>IF('Calendario B'!B156="","",'Calendario B'!B156)</f>
        <v/>
      </c>
      <c r="C326" s="5" t="n"/>
      <c r="D326" s="5" t="n"/>
      <c r="E326" s="5" t="n"/>
      <c r="F326" s="5" t="n"/>
      <c r="G326" s="5" t="n"/>
      <c r="H326" s="6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6" t="n"/>
      <c r="D327" s="74" t="inlineStr">
        <is>
          <t>Squadra B</t>
        </is>
      </c>
      <c r="E327" s="6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6" t="n"/>
      <c r="J327" s="74" t="inlineStr">
        <is>
          <t>Risultato</t>
        </is>
      </c>
      <c r="K327" s="5" t="n"/>
      <c r="L327" s="6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5" t="n"/>
      <c r="H328" s="5" t="n"/>
      <c r="I328" s="6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n"/>
      <c r="N328" s="196" t="n"/>
      <c r="O328" s="196" t="n"/>
      <c r="P328" s="196" t="n"/>
      <c r="Q328" s="196" t="n"/>
      <c r="R328" s="196" t="n"/>
    </row>
    <row r="329" ht="15" customHeight="1">
      <c r="A329" s="141" t="n"/>
      <c r="B329" s="69">
        <f>IF('Calendario B'!B159="","",'Calendario B'!B159)</f>
        <v/>
      </c>
      <c r="C329" s="5" t="n"/>
      <c r="D329" s="5" t="n"/>
      <c r="E329" s="5" t="n"/>
      <c r="F329" s="5" t="n"/>
      <c r="G329" s="5" t="n"/>
      <c r="H329" s="6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 t="n"/>
      <c r="M348" s="200" t="inlineStr">
        <is>
          <t>ARBITRI</t>
        </is>
      </c>
      <c r="N348" s="5" t="n"/>
      <c r="O348" s="6" t="n"/>
      <c r="P348" s="200" t="inlineStr">
        <is>
          <t>UFFICIALI DI CAMPO</t>
        </is>
      </c>
      <c r="Q348" s="5" t="n"/>
      <c r="R348" s="6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6" t="n"/>
      <c r="D349" s="81" t="inlineStr">
        <is>
          <t>Squadra B</t>
        </is>
      </c>
      <c r="E349" s="6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6" t="n"/>
      <c r="J349" s="81" t="inlineStr">
        <is>
          <t>Risultato</t>
        </is>
      </c>
      <c r="K349" s="5" t="n"/>
      <c r="L349" s="6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5" t="n"/>
      <c r="H350" s="5" t="n"/>
      <c r="I350" s="6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n"/>
      <c r="N350" s="196" t="n"/>
      <c r="O350" s="196" t="n"/>
      <c r="P350" s="196" t="n"/>
      <c r="Q350" s="196" t="n"/>
      <c r="R350" s="196" t="n"/>
    </row>
    <row r="351" ht="15" customHeight="1">
      <c r="A351" s="141" t="n"/>
      <c r="B351" s="69">
        <f>IF('Calendario C'!B11="","",'Calendario C'!B11)</f>
        <v/>
      </c>
      <c r="C351" s="5" t="n"/>
      <c r="D351" s="5" t="n"/>
      <c r="E351" s="5" t="n"/>
      <c r="F351" s="5" t="n"/>
      <c r="G351" s="5" t="n"/>
      <c r="H351" s="6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6" t="n"/>
      <c r="D352" s="81" t="inlineStr">
        <is>
          <t>Squadra B</t>
        </is>
      </c>
      <c r="E352" s="6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6" t="n"/>
      <c r="J352" s="81" t="inlineStr">
        <is>
          <t>Risultato</t>
        </is>
      </c>
      <c r="K352" s="5" t="n"/>
      <c r="L352" s="6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5" t="n"/>
      <c r="H353" s="5" t="n"/>
      <c r="I353" s="6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n"/>
      <c r="N353" s="196" t="n"/>
      <c r="O353" s="196" t="n"/>
      <c r="P353" s="196" t="n"/>
      <c r="Q353" s="196" t="n"/>
      <c r="R353" s="196" t="n"/>
    </row>
    <row r="354" ht="15" customHeight="1">
      <c r="A354" s="141" t="n"/>
      <c r="B354" s="69">
        <f>IF('Calendario C'!B14="","",'Calendario C'!B14)</f>
        <v/>
      </c>
      <c r="C354" s="5" t="n"/>
      <c r="D354" s="5" t="n"/>
      <c r="E354" s="5" t="n"/>
      <c r="F354" s="5" t="n"/>
      <c r="G354" s="5" t="n"/>
      <c r="H354" s="6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6" t="n"/>
      <c r="D355" s="81" t="inlineStr">
        <is>
          <t>Squadra B</t>
        </is>
      </c>
      <c r="E355" s="6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6" t="n"/>
      <c r="J355" s="81" t="inlineStr">
        <is>
          <t>Risultato</t>
        </is>
      </c>
      <c r="K355" s="5" t="n"/>
      <c r="L355" s="6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5" t="n"/>
      <c r="H356" s="5" t="n"/>
      <c r="I356" s="6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n"/>
      <c r="N356" s="196" t="n"/>
      <c r="O356" s="196" t="n"/>
      <c r="P356" s="196" t="n"/>
      <c r="Q356" s="196" t="n"/>
      <c r="R356" s="196" t="n"/>
    </row>
    <row r="357" ht="15" customHeight="1">
      <c r="A357" s="141" t="n"/>
      <c r="B357" s="69">
        <f>IF('Calendario C'!B17="","",'Calendario C'!B17)</f>
        <v/>
      </c>
      <c r="C357" s="5" t="n"/>
      <c r="D357" s="5" t="n"/>
      <c r="E357" s="5" t="n"/>
      <c r="F357" s="5" t="n"/>
      <c r="G357" s="5" t="n"/>
      <c r="H357" s="6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6" t="n"/>
      <c r="D358" s="81" t="inlineStr">
        <is>
          <t>Squadra B</t>
        </is>
      </c>
      <c r="E358" s="6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6" t="n"/>
      <c r="J358" s="81" t="inlineStr">
        <is>
          <t>Risultato</t>
        </is>
      </c>
      <c r="K358" s="5" t="n"/>
      <c r="L358" s="6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5" t="n"/>
      <c r="H359" s="5" t="n"/>
      <c r="I359" s="6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n"/>
      <c r="N359" s="196" t="n"/>
      <c r="O359" s="196" t="n"/>
      <c r="P359" s="196" t="n"/>
      <c r="Q359" s="196" t="n"/>
      <c r="R359" s="196" t="n"/>
    </row>
    <row r="360" ht="15" customHeight="1">
      <c r="A360" s="141" t="n"/>
      <c r="B360" s="69">
        <f>IF('Calendario C'!B20="","",'Calendario C'!B20)</f>
        <v/>
      </c>
      <c r="C360" s="5" t="n"/>
      <c r="D360" s="5" t="n"/>
      <c r="E360" s="5" t="n"/>
      <c r="F360" s="5" t="n"/>
      <c r="G360" s="5" t="n"/>
      <c r="H360" s="6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6" t="n"/>
      <c r="D361" s="81" t="inlineStr">
        <is>
          <t>Squadra B</t>
        </is>
      </c>
      <c r="E361" s="6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6" t="n"/>
      <c r="J361" s="81" t="inlineStr">
        <is>
          <t>Risultato</t>
        </is>
      </c>
      <c r="K361" s="5" t="n"/>
      <c r="L361" s="6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5" t="n"/>
      <c r="H362" s="5" t="n"/>
      <c r="I362" s="6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n"/>
      <c r="N362" s="196" t="n"/>
      <c r="O362" s="196" t="n"/>
      <c r="P362" s="196" t="n"/>
      <c r="Q362" s="196" t="n"/>
      <c r="R362" s="196" t="n"/>
    </row>
    <row r="363" ht="15" customHeight="1">
      <c r="A363" s="141" t="n"/>
      <c r="B363" s="69">
        <f>IF('Calendario C'!B23="","",'Calendario C'!B23)</f>
        <v/>
      </c>
      <c r="C363" s="5" t="n"/>
      <c r="D363" s="5" t="n"/>
      <c r="E363" s="5" t="n"/>
      <c r="F363" s="5" t="n"/>
      <c r="G363" s="5" t="n"/>
      <c r="H363" s="6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 t="n"/>
      <c r="M365" s="200" t="inlineStr">
        <is>
          <t>ARBITRI</t>
        </is>
      </c>
      <c r="N365" s="5" t="n"/>
      <c r="O365" s="6" t="n"/>
      <c r="P365" s="200" t="inlineStr">
        <is>
          <t>UFFICIALI DI CAMPO</t>
        </is>
      </c>
      <c r="Q365" s="5" t="n"/>
      <c r="R365" s="6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6" t="n"/>
      <c r="D366" s="81" t="inlineStr">
        <is>
          <t>Squadra B</t>
        </is>
      </c>
      <c r="E366" s="6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6" t="n"/>
      <c r="J366" s="81" t="inlineStr">
        <is>
          <t>Risultato</t>
        </is>
      </c>
      <c r="K366" s="5" t="n"/>
      <c r="L366" s="6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5" t="n"/>
      <c r="H367" s="5" t="n"/>
      <c r="I367" s="6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n"/>
      <c r="N367" s="196" t="n"/>
      <c r="O367" s="196" t="n"/>
      <c r="P367" s="196" t="n"/>
      <c r="Q367" s="196" t="n"/>
      <c r="R367" s="196" t="n"/>
    </row>
    <row r="368" ht="15" customHeight="1">
      <c r="A368" s="141" t="n"/>
      <c r="B368" s="69">
        <f>IF('Calendario C'!B28="","",'Calendario C'!B28)</f>
        <v/>
      </c>
      <c r="C368" s="5" t="n"/>
      <c r="D368" s="5" t="n"/>
      <c r="E368" s="5" t="n"/>
      <c r="F368" s="5" t="n"/>
      <c r="G368" s="5" t="n"/>
      <c r="H368" s="6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6" t="n"/>
      <c r="D369" s="81" t="inlineStr">
        <is>
          <t>Squadra B</t>
        </is>
      </c>
      <c r="E369" s="6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6" t="n"/>
      <c r="J369" s="81" t="inlineStr">
        <is>
          <t>Risultato</t>
        </is>
      </c>
      <c r="K369" s="5" t="n"/>
      <c r="L369" s="6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5" t="n"/>
      <c r="H370" s="5" t="n"/>
      <c r="I370" s="6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n"/>
      <c r="N370" s="196" t="n"/>
      <c r="O370" s="196" t="n"/>
      <c r="P370" s="196" t="n"/>
      <c r="Q370" s="196" t="n"/>
      <c r="R370" s="196" t="n"/>
    </row>
    <row r="371" ht="15" customHeight="1">
      <c r="A371" s="141" t="n"/>
      <c r="B371" s="69">
        <f>IF('Calendario C'!B31="","",'Calendario C'!B31)</f>
        <v/>
      </c>
      <c r="C371" s="5" t="n"/>
      <c r="D371" s="5" t="n"/>
      <c r="E371" s="5" t="n"/>
      <c r="F371" s="5" t="n"/>
      <c r="G371" s="5" t="n"/>
      <c r="H371" s="6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6" t="n"/>
      <c r="D372" s="81" t="inlineStr">
        <is>
          <t>Squadra B</t>
        </is>
      </c>
      <c r="E372" s="6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6" t="n"/>
      <c r="J372" s="81" t="inlineStr">
        <is>
          <t>Risultato</t>
        </is>
      </c>
      <c r="K372" s="5" t="n"/>
      <c r="L372" s="6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5" t="n"/>
      <c r="H373" s="5" t="n"/>
      <c r="I373" s="6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n"/>
      <c r="N373" s="196" t="n"/>
      <c r="O373" s="196" t="n"/>
      <c r="P373" s="196" t="n"/>
      <c r="Q373" s="196" t="n"/>
      <c r="R373" s="196" t="n"/>
    </row>
    <row r="374" ht="15" customHeight="1">
      <c r="A374" s="141" t="n"/>
      <c r="B374" s="69">
        <f>IF('Calendario C'!B34="","",'Calendario C'!B34)</f>
        <v/>
      </c>
      <c r="C374" s="5" t="n"/>
      <c r="D374" s="5" t="n"/>
      <c r="E374" s="5" t="n"/>
      <c r="F374" s="5" t="n"/>
      <c r="G374" s="5" t="n"/>
      <c r="H374" s="6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6" t="n"/>
      <c r="D375" s="81" t="inlineStr">
        <is>
          <t>Squadra B</t>
        </is>
      </c>
      <c r="E375" s="6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6" t="n"/>
      <c r="J375" s="81" t="inlineStr">
        <is>
          <t>Risultato</t>
        </is>
      </c>
      <c r="K375" s="5" t="n"/>
      <c r="L375" s="6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5" t="n"/>
      <c r="H376" s="5" t="n"/>
      <c r="I376" s="6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n"/>
      <c r="N376" s="196" t="n"/>
      <c r="O376" s="196" t="n"/>
      <c r="P376" s="196" t="n"/>
      <c r="Q376" s="196" t="n"/>
      <c r="R376" s="196" t="n"/>
    </row>
    <row r="377" ht="15" customHeight="1">
      <c r="A377" s="141" t="n"/>
      <c r="B377" s="69">
        <f>IF('Calendario C'!B37="","",'Calendario C'!B37)</f>
        <v/>
      </c>
      <c r="C377" s="5" t="n"/>
      <c r="D377" s="5" t="n"/>
      <c r="E377" s="5" t="n"/>
      <c r="F377" s="5" t="n"/>
      <c r="G377" s="5" t="n"/>
      <c r="H377" s="6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6" t="n"/>
      <c r="D378" s="81" t="inlineStr">
        <is>
          <t>Squadra B</t>
        </is>
      </c>
      <c r="E378" s="6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6" t="n"/>
      <c r="J378" s="81" t="inlineStr">
        <is>
          <t>Risultato</t>
        </is>
      </c>
      <c r="K378" s="5" t="n"/>
      <c r="L378" s="6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5" t="n"/>
      <c r="H379" s="5" t="n"/>
      <c r="I379" s="6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n"/>
      <c r="N379" s="196" t="n"/>
      <c r="O379" s="196" t="n"/>
      <c r="P379" s="196" t="n"/>
      <c r="Q379" s="196" t="n"/>
      <c r="R379" s="196" t="n"/>
    </row>
    <row r="380" ht="15" customHeight="1">
      <c r="A380" s="141" t="n"/>
      <c r="B380" s="69">
        <f>IF('Calendario C'!B40="","",'Calendario C'!B40)</f>
        <v/>
      </c>
      <c r="C380" s="5" t="n"/>
      <c r="D380" s="5" t="n"/>
      <c r="E380" s="5" t="n"/>
      <c r="F380" s="5" t="n"/>
      <c r="G380" s="5" t="n"/>
      <c r="H380" s="6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 t="n"/>
      <c r="M382" s="200" t="inlineStr">
        <is>
          <t>ARBITRI</t>
        </is>
      </c>
      <c r="N382" s="5" t="n"/>
      <c r="O382" s="6" t="n"/>
      <c r="P382" s="200" t="inlineStr">
        <is>
          <t>UFFICIALI DI CAMPO</t>
        </is>
      </c>
      <c r="Q382" s="5" t="n"/>
      <c r="R382" s="6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6" t="n"/>
      <c r="D383" s="81" t="inlineStr">
        <is>
          <t>Squadra B</t>
        </is>
      </c>
      <c r="E383" s="6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6" t="n"/>
      <c r="J383" s="81" t="inlineStr">
        <is>
          <t>Risultato</t>
        </is>
      </c>
      <c r="K383" s="5" t="n"/>
      <c r="L383" s="6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5" t="n"/>
      <c r="H384" s="5" t="n"/>
      <c r="I384" s="6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n"/>
      <c r="N384" s="196" t="n"/>
      <c r="O384" s="196" t="n"/>
      <c r="P384" s="196" t="n"/>
      <c r="Q384" s="196" t="n"/>
      <c r="R384" s="196" t="n"/>
    </row>
    <row r="385" ht="15" customHeight="1">
      <c r="A385" s="141" t="n"/>
      <c r="B385" s="69">
        <f>IF('Calendario C'!B45="","",'Calendario C'!B45)</f>
        <v/>
      </c>
      <c r="C385" s="5" t="n"/>
      <c r="D385" s="5" t="n"/>
      <c r="E385" s="5" t="n"/>
      <c r="F385" s="5" t="n"/>
      <c r="G385" s="5" t="n"/>
      <c r="H385" s="6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6" t="n"/>
      <c r="D386" s="81" t="inlineStr">
        <is>
          <t>Squadra B</t>
        </is>
      </c>
      <c r="E386" s="6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6" t="n"/>
      <c r="J386" s="81" t="inlineStr">
        <is>
          <t>Risultato</t>
        </is>
      </c>
      <c r="K386" s="5" t="n"/>
      <c r="L386" s="6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5" t="n"/>
      <c r="H387" s="5" t="n"/>
      <c r="I387" s="6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n"/>
      <c r="N387" s="196" t="n"/>
      <c r="O387" s="196" t="n"/>
      <c r="P387" s="196" t="n"/>
      <c r="Q387" s="196" t="n"/>
      <c r="R387" s="196" t="n"/>
    </row>
    <row r="388" ht="15" customHeight="1">
      <c r="A388" s="141" t="n"/>
      <c r="B388" s="69">
        <f>IF('Calendario C'!B48="","",'Calendario C'!B48)</f>
        <v/>
      </c>
      <c r="C388" s="5" t="n"/>
      <c r="D388" s="5" t="n"/>
      <c r="E388" s="5" t="n"/>
      <c r="F388" s="5" t="n"/>
      <c r="G388" s="5" t="n"/>
      <c r="H388" s="6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6" t="n"/>
      <c r="D389" s="81" t="inlineStr">
        <is>
          <t>Squadra B</t>
        </is>
      </c>
      <c r="E389" s="6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6" t="n"/>
      <c r="J389" s="81" t="inlineStr">
        <is>
          <t>Risultato</t>
        </is>
      </c>
      <c r="K389" s="5" t="n"/>
      <c r="L389" s="6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5" t="n"/>
      <c r="H390" s="5" t="n"/>
      <c r="I390" s="6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n"/>
      <c r="N390" s="196" t="n"/>
      <c r="O390" s="196" t="n"/>
      <c r="P390" s="196" t="n"/>
      <c r="Q390" s="196" t="n"/>
      <c r="R390" s="196" t="n"/>
    </row>
    <row r="391" ht="15" customHeight="1">
      <c r="A391" s="141" t="n"/>
      <c r="B391" s="69">
        <f>IF('Calendario C'!B51="","",'Calendario C'!B51)</f>
        <v/>
      </c>
      <c r="C391" s="5" t="n"/>
      <c r="D391" s="5" t="n"/>
      <c r="E391" s="5" t="n"/>
      <c r="F391" s="5" t="n"/>
      <c r="G391" s="5" t="n"/>
      <c r="H391" s="6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6" t="n"/>
      <c r="D392" s="81" t="inlineStr">
        <is>
          <t>Squadra B</t>
        </is>
      </c>
      <c r="E392" s="6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6" t="n"/>
      <c r="J392" s="81" t="inlineStr">
        <is>
          <t>Risultato</t>
        </is>
      </c>
      <c r="K392" s="5" t="n"/>
      <c r="L392" s="6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5" t="n"/>
      <c r="H393" s="5" t="n"/>
      <c r="I393" s="6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n"/>
      <c r="N393" s="196" t="n"/>
      <c r="O393" s="196" t="n"/>
      <c r="P393" s="196" t="n"/>
      <c r="Q393" s="196" t="n"/>
      <c r="R393" s="196" t="n"/>
    </row>
    <row r="394" ht="15" customHeight="1">
      <c r="A394" s="141" t="n"/>
      <c r="B394" s="69">
        <f>IF('Calendario C'!B54="","",'Calendario C'!B54)</f>
        <v/>
      </c>
      <c r="C394" s="5" t="n"/>
      <c r="D394" s="5" t="n"/>
      <c r="E394" s="5" t="n"/>
      <c r="F394" s="5" t="n"/>
      <c r="G394" s="5" t="n"/>
      <c r="H394" s="6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6" t="n"/>
      <c r="D395" s="81" t="inlineStr">
        <is>
          <t>Squadra B</t>
        </is>
      </c>
      <c r="E395" s="6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6" t="n"/>
      <c r="J395" s="81" t="inlineStr">
        <is>
          <t>Risultato</t>
        </is>
      </c>
      <c r="K395" s="5" t="n"/>
      <c r="L395" s="6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5" t="n"/>
      <c r="H396" s="5" t="n"/>
      <c r="I396" s="6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n"/>
      <c r="N396" s="196" t="n"/>
      <c r="O396" s="196" t="n"/>
      <c r="P396" s="196" t="n"/>
      <c r="Q396" s="196" t="n"/>
      <c r="R396" s="196" t="n"/>
    </row>
    <row r="397" ht="15" customHeight="1">
      <c r="A397" s="141" t="n"/>
      <c r="B397" s="69">
        <f>IF('Calendario C'!B57="","",'Calendario C'!B57)</f>
        <v/>
      </c>
      <c r="C397" s="5" t="n"/>
      <c r="D397" s="5" t="n"/>
      <c r="E397" s="5" t="n"/>
      <c r="F397" s="5" t="n"/>
      <c r="G397" s="5" t="n"/>
      <c r="H397" s="6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 t="n"/>
      <c r="M399" s="200" t="inlineStr">
        <is>
          <t>ARBITRI</t>
        </is>
      </c>
      <c r="N399" s="5" t="n"/>
      <c r="O399" s="6" t="n"/>
      <c r="P399" s="200" t="inlineStr">
        <is>
          <t>UFFICIALI DI CAMPO</t>
        </is>
      </c>
      <c r="Q399" s="5" t="n"/>
      <c r="R399" s="6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6" t="n"/>
      <c r="D400" s="81" t="inlineStr">
        <is>
          <t>Squadra B</t>
        </is>
      </c>
      <c r="E400" s="6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6" t="n"/>
      <c r="J400" s="81" t="inlineStr">
        <is>
          <t>Risultato</t>
        </is>
      </c>
      <c r="K400" s="5" t="n"/>
      <c r="L400" s="6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5" t="n"/>
      <c r="H401" s="5" t="n"/>
      <c r="I401" s="6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n"/>
      <c r="N401" s="196" t="n"/>
      <c r="O401" s="196" t="n"/>
      <c r="P401" s="196" t="n"/>
      <c r="Q401" s="196" t="n"/>
      <c r="R401" s="196" t="n"/>
    </row>
    <row r="402" ht="15" customHeight="1">
      <c r="A402" s="141" t="n"/>
      <c r="B402" s="69">
        <f>IF('Calendario C'!B62="","",'Calendario C'!B62)</f>
        <v/>
      </c>
      <c r="C402" s="5" t="n"/>
      <c r="D402" s="5" t="n"/>
      <c r="E402" s="5" t="n"/>
      <c r="F402" s="5" t="n"/>
      <c r="G402" s="5" t="n"/>
      <c r="H402" s="6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6" t="n"/>
      <c r="D403" s="81" t="inlineStr">
        <is>
          <t>Squadra B</t>
        </is>
      </c>
      <c r="E403" s="6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6" t="n"/>
      <c r="J403" s="81" t="inlineStr">
        <is>
          <t>Risultato</t>
        </is>
      </c>
      <c r="K403" s="5" t="n"/>
      <c r="L403" s="6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5" t="n"/>
      <c r="H404" s="5" t="n"/>
      <c r="I404" s="6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n"/>
      <c r="N404" s="196" t="n"/>
      <c r="O404" s="196" t="n"/>
      <c r="P404" s="196" t="n"/>
      <c r="Q404" s="196" t="n"/>
      <c r="R404" s="196" t="n"/>
    </row>
    <row r="405" ht="15" customHeight="1">
      <c r="A405" s="141" t="n"/>
      <c r="B405" s="69">
        <f>IF('Calendario C'!B65="","",'Calendario C'!B65)</f>
        <v/>
      </c>
      <c r="C405" s="5" t="n"/>
      <c r="D405" s="5" t="n"/>
      <c r="E405" s="5" t="n"/>
      <c r="F405" s="5" t="n"/>
      <c r="G405" s="5" t="n"/>
      <c r="H405" s="6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6" t="n"/>
      <c r="D406" s="81" t="inlineStr">
        <is>
          <t>Squadra B</t>
        </is>
      </c>
      <c r="E406" s="6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6" t="n"/>
      <c r="J406" s="81" t="inlineStr">
        <is>
          <t>Risultato</t>
        </is>
      </c>
      <c r="K406" s="5" t="n"/>
      <c r="L406" s="6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5" t="n"/>
      <c r="H407" s="5" t="n"/>
      <c r="I407" s="6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n"/>
      <c r="N407" s="196" t="n"/>
      <c r="O407" s="196" t="n"/>
      <c r="P407" s="196" t="n"/>
      <c r="Q407" s="196" t="n"/>
      <c r="R407" s="196" t="n"/>
    </row>
    <row r="408" ht="15" customHeight="1">
      <c r="A408" s="141" t="n"/>
      <c r="B408" s="69">
        <f>IF('Calendario C'!B68="","",'Calendario C'!B68)</f>
        <v/>
      </c>
      <c r="C408" s="5" t="n"/>
      <c r="D408" s="5" t="n"/>
      <c r="E408" s="5" t="n"/>
      <c r="F408" s="5" t="n"/>
      <c r="G408" s="5" t="n"/>
      <c r="H408" s="6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6" t="n"/>
      <c r="D409" s="81" t="inlineStr">
        <is>
          <t>Squadra B</t>
        </is>
      </c>
      <c r="E409" s="6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6" t="n"/>
      <c r="J409" s="81" t="inlineStr">
        <is>
          <t>Risultato</t>
        </is>
      </c>
      <c r="K409" s="5" t="n"/>
      <c r="L409" s="6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5" t="n"/>
      <c r="H410" s="5" t="n"/>
      <c r="I410" s="6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n"/>
      <c r="N410" s="196" t="n"/>
      <c r="O410" s="196" t="n"/>
      <c r="P410" s="196" t="n"/>
      <c r="Q410" s="196" t="n"/>
      <c r="R410" s="196" t="n"/>
    </row>
    <row r="411" ht="15" customHeight="1">
      <c r="A411" s="141" t="n"/>
      <c r="B411" s="69">
        <f>IF('Calendario C'!B71="","",'Calendario C'!B71)</f>
        <v/>
      </c>
      <c r="C411" s="5" t="n"/>
      <c r="D411" s="5" t="n"/>
      <c r="E411" s="5" t="n"/>
      <c r="F411" s="5" t="n"/>
      <c r="G411" s="5" t="n"/>
      <c r="H411" s="6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6" t="n"/>
      <c r="D412" s="81" t="inlineStr">
        <is>
          <t>Squadra B</t>
        </is>
      </c>
      <c r="E412" s="6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6" t="n"/>
      <c r="J412" s="81" t="inlineStr">
        <is>
          <t>Risultato</t>
        </is>
      </c>
      <c r="K412" s="5" t="n"/>
      <c r="L412" s="6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5" t="n"/>
      <c r="H413" s="5" t="n"/>
      <c r="I413" s="6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n"/>
      <c r="N413" s="196" t="n"/>
      <c r="O413" s="196" t="n"/>
      <c r="P413" s="196" t="n"/>
      <c r="Q413" s="196" t="n"/>
      <c r="R413" s="196" t="n"/>
    </row>
    <row r="414" ht="15" customHeight="1">
      <c r="A414" s="141" t="n"/>
      <c r="B414" s="69">
        <f>IF('Calendario C'!B74="","",'Calendario C'!B74)</f>
        <v/>
      </c>
      <c r="C414" s="5" t="n"/>
      <c r="D414" s="5" t="n"/>
      <c r="E414" s="5" t="n"/>
      <c r="F414" s="5" t="n"/>
      <c r="G414" s="5" t="n"/>
      <c r="H414" s="6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 t="n"/>
      <c r="M416" s="200" t="inlineStr">
        <is>
          <t>ARBITRI</t>
        </is>
      </c>
      <c r="N416" s="5" t="n"/>
      <c r="O416" s="6" t="n"/>
      <c r="P416" s="200" t="inlineStr">
        <is>
          <t>UFFICIALI DI CAMPO</t>
        </is>
      </c>
      <c r="Q416" s="5" t="n"/>
      <c r="R416" s="6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6" t="n"/>
      <c r="D417" s="81" t="inlineStr">
        <is>
          <t>Squadra B</t>
        </is>
      </c>
      <c r="E417" s="6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6" t="n"/>
      <c r="J417" s="81" t="inlineStr">
        <is>
          <t>Risultato</t>
        </is>
      </c>
      <c r="K417" s="5" t="n"/>
      <c r="L417" s="6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5" t="n"/>
      <c r="H418" s="5" t="n"/>
      <c r="I418" s="6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n"/>
      <c r="N418" s="196" t="n"/>
      <c r="O418" s="196" t="n"/>
      <c r="P418" s="196" t="n"/>
      <c r="Q418" s="196" t="n"/>
      <c r="R418" s="196" t="n"/>
    </row>
    <row r="419" ht="15" customHeight="1">
      <c r="A419" s="141" t="n"/>
      <c r="B419" s="69">
        <f>IF('Calendario C'!B79="","",'Calendario C'!B79)</f>
        <v/>
      </c>
      <c r="C419" s="5" t="n"/>
      <c r="D419" s="5" t="n"/>
      <c r="E419" s="5" t="n"/>
      <c r="F419" s="5" t="n"/>
      <c r="G419" s="5" t="n"/>
      <c r="H419" s="6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6" t="n"/>
      <c r="D420" s="81" t="inlineStr">
        <is>
          <t>Squadra B</t>
        </is>
      </c>
      <c r="E420" s="6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6" t="n"/>
      <c r="J420" s="81" t="inlineStr">
        <is>
          <t>Risultato</t>
        </is>
      </c>
      <c r="K420" s="5" t="n"/>
      <c r="L420" s="6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5" t="n"/>
      <c r="H421" s="5" t="n"/>
      <c r="I421" s="6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n"/>
      <c r="N421" s="196" t="n"/>
      <c r="O421" s="196" t="n"/>
      <c r="P421" s="196" t="n"/>
      <c r="Q421" s="196" t="n"/>
      <c r="R421" s="196" t="n"/>
    </row>
    <row r="422" ht="15" customHeight="1">
      <c r="A422" s="141" t="n"/>
      <c r="B422" s="69">
        <f>IF('Calendario C'!B82="","",'Calendario C'!B82)</f>
        <v/>
      </c>
      <c r="C422" s="5" t="n"/>
      <c r="D422" s="5" t="n"/>
      <c r="E422" s="5" t="n"/>
      <c r="F422" s="5" t="n"/>
      <c r="G422" s="5" t="n"/>
      <c r="H422" s="6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6" t="n"/>
      <c r="D423" s="81" t="inlineStr">
        <is>
          <t>Squadra B</t>
        </is>
      </c>
      <c r="E423" s="6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6" t="n"/>
      <c r="J423" s="81" t="inlineStr">
        <is>
          <t>Risultato</t>
        </is>
      </c>
      <c r="K423" s="5" t="n"/>
      <c r="L423" s="6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5" t="n"/>
      <c r="H424" s="5" t="n"/>
      <c r="I424" s="6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n"/>
      <c r="N424" s="196" t="n"/>
      <c r="O424" s="196" t="n"/>
      <c r="P424" s="196" t="n"/>
      <c r="Q424" s="196" t="n"/>
      <c r="R424" s="196" t="n"/>
    </row>
    <row r="425" ht="15" customHeight="1">
      <c r="A425" s="141" t="n"/>
      <c r="B425" s="69">
        <f>IF('Calendario C'!B85="","",'Calendario C'!B85)</f>
        <v/>
      </c>
      <c r="C425" s="5" t="n"/>
      <c r="D425" s="5" t="n"/>
      <c r="E425" s="5" t="n"/>
      <c r="F425" s="5" t="n"/>
      <c r="G425" s="5" t="n"/>
      <c r="H425" s="6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6" t="n"/>
      <c r="D426" s="81" t="inlineStr">
        <is>
          <t>Squadra B</t>
        </is>
      </c>
      <c r="E426" s="6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6" t="n"/>
      <c r="J426" s="81" t="inlineStr">
        <is>
          <t>Risultato</t>
        </is>
      </c>
      <c r="K426" s="5" t="n"/>
      <c r="L426" s="6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5" t="n"/>
      <c r="H427" s="5" t="n"/>
      <c r="I427" s="6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n"/>
      <c r="N427" s="196" t="n"/>
      <c r="O427" s="196" t="n"/>
      <c r="P427" s="196" t="n"/>
      <c r="Q427" s="196" t="n"/>
      <c r="R427" s="196" t="n"/>
    </row>
    <row r="428" ht="15" customHeight="1">
      <c r="A428" s="141" t="n"/>
      <c r="B428" s="69">
        <f>IF('Calendario C'!B88="","",'Calendario C'!B88)</f>
        <v/>
      </c>
      <c r="C428" s="5" t="n"/>
      <c r="D428" s="5" t="n"/>
      <c r="E428" s="5" t="n"/>
      <c r="F428" s="5" t="n"/>
      <c r="G428" s="5" t="n"/>
      <c r="H428" s="6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6" t="n"/>
      <c r="D429" s="81" t="inlineStr">
        <is>
          <t>Squadra B</t>
        </is>
      </c>
      <c r="E429" s="6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6" t="n"/>
      <c r="J429" s="81" t="inlineStr">
        <is>
          <t>Risultato</t>
        </is>
      </c>
      <c r="K429" s="5" t="n"/>
      <c r="L429" s="6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5" t="n"/>
      <c r="H430" s="5" t="n"/>
      <c r="I430" s="6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n"/>
      <c r="N430" s="196" t="n"/>
      <c r="O430" s="196" t="n"/>
      <c r="P430" s="196" t="n"/>
      <c r="Q430" s="196" t="n"/>
      <c r="R430" s="196" t="n"/>
    </row>
    <row r="431" ht="15" customHeight="1">
      <c r="A431" s="141" t="n"/>
      <c r="B431" s="69">
        <f>IF('Calendario C'!B91="","",'Calendario C'!B91)</f>
        <v/>
      </c>
      <c r="C431" s="5" t="n"/>
      <c r="D431" s="5" t="n"/>
      <c r="E431" s="5" t="n"/>
      <c r="F431" s="5" t="n"/>
      <c r="G431" s="5" t="n"/>
      <c r="H431" s="6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 t="n"/>
      <c r="M433" s="200" t="inlineStr">
        <is>
          <t>ARBITRI</t>
        </is>
      </c>
      <c r="N433" s="5" t="n"/>
      <c r="O433" s="6" t="n"/>
      <c r="P433" s="200" t="inlineStr">
        <is>
          <t>UFFICIALI DI CAMPO</t>
        </is>
      </c>
      <c r="Q433" s="5" t="n"/>
      <c r="R433" s="6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6" t="n"/>
      <c r="D434" s="81" t="inlineStr">
        <is>
          <t>Squadra B</t>
        </is>
      </c>
      <c r="E434" s="6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6" t="n"/>
      <c r="J434" s="81" t="inlineStr">
        <is>
          <t>Risultato</t>
        </is>
      </c>
      <c r="K434" s="5" t="n"/>
      <c r="L434" s="6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5" t="n"/>
      <c r="H435" s="5" t="n"/>
      <c r="I435" s="6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n"/>
      <c r="N435" s="196" t="n"/>
      <c r="O435" s="196" t="n"/>
      <c r="P435" s="196" t="n"/>
      <c r="Q435" s="196" t="n"/>
      <c r="R435" s="196" t="n"/>
    </row>
    <row r="436" ht="15" customHeight="1">
      <c r="A436" s="141" t="n"/>
      <c r="B436" s="69">
        <f>IF('Calendario C'!B96="","",'Calendario C'!B96)</f>
        <v/>
      </c>
      <c r="C436" s="5" t="n"/>
      <c r="D436" s="5" t="n"/>
      <c r="E436" s="5" t="n"/>
      <c r="F436" s="5" t="n"/>
      <c r="G436" s="5" t="n"/>
      <c r="H436" s="6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6" t="n"/>
      <c r="D437" s="81" t="inlineStr">
        <is>
          <t>Squadra B</t>
        </is>
      </c>
      <c r="E437" s="6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6" t="n"/>
      <c r="J437" s="81" t="inlineStr">
        <is>
          <t>Risultato</t>
        </is>
      </c>
      <c r="K437" s="5" t="n"/>
      <c r="L437" s="6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5" t="n"/>
      <c r="H438" s="5" t="n"/>
      <c r="I438" s="6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n"/>
      <c r="N438" s="196" t="n"/>
      <c r="O438" s="196" t="n"/>
      <c r="P438" s="196" t="n"/>
      <c r="Q438" s="196" t="n"/>
      <c r="R438" s="196" t="n"/>
    </row>
    <row r="439" ht="15" customHeight="1">
      <c r="A439" s="141" t="n"/>
      <c r="B439" s="69">
        <f>IF('Calendario C'!B99="","",'Calendario C'!B99)</f>
        <v/>
      </c>
      <c r="C439" s="5" t="n"/>
      <c r="D439" s="5" t="n"/>
      <c r="E439" s="5" t="n"/>
      <c r="F439" s="5" t="n"/>
      <c r="G439" s="5" t="n"/>
      <c r="H439" s="6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6" t="n"/>
      <c r="D440" s="81" t="inlineStr">
        <is>
          <t>Squadra B</t>
        </is>
      </c>
      <c r="E440" s="6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6" t="n"/>
      <c r="J440" s="81" t="inlineStr">
        <is>
          <t>Risultato</t>
        </is>
      </c>
      <c r="K440" s="5" t="n"/>
      <c r="L440" s="6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5" t="n"/>
      <c r="H441" s="5" t="n"/>
      <c r="I441" s="6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n"/>
      <c r="N441" s="196" t="n"/>
      <c r="O441" s="196" t="n"/>
      <c r="P441" s="196" t="n"/>
      <c r="Q441" s="196" t="n"/>
      <c r="R441" s="196" t="n"/>
    </row>
    <row r="442" ht="15" customHeight="1">
      <c r="A442" s="141" t="n"/>
      <c r="B442" s="69">
        <f>IF('Calendario C'!B102="","",'Calendario C'!B102)</f>
        <v/>
      </c>
      <c r="C442" s="5" t="n"/>
      <c r="D442" s="5" t="n"/>
      <c r="E442" s="5" t="n"/>
      <c r="F442" s="5" t="n"/>
      <c r="G442" s="5" t="n"/>
      <c r="H442" s="6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6" t="n"/>
      <c r="D443" s="81" t="inlineStr">
        <is>
          <t>Squadra B</t>
        </is>
      </c>
      <c r="E443" s="6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6" t="n"/>
      <c r="J443" s="81" t="inlineStr">
        <is>
          <t>Risultato</t>
        </is>
      </c>
      <c r="K443" s="5" t="n"/>
      <c r="L443" s="6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5" t="n"/>
      <c r="H444" s="5" t="n"/>
      <c r="I444" s="6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n"/>
      <c r="N444" s="196" t="n"/>
      <c r="O444" s="196" t="n"/>
      <c r="P444" s="196" t="n"/>
      <c r="Q444" s="196" t="n"/>
      <c r="R444" s="196" t="n"/>
    </row>
    <row r="445" ht="15" customHeight="1">
      <c r="A445" s="141" t="n"/>
      <c r="B445" s="69">
        <f>IF('Calendario C'!B105="","",'Calendario C'!B105)</f>
        <v/>
      </c>
      <c r="C445" s="5" t="n"/>
      <c r="D445" s="5" t="n"/>
      <c r="E445" s="5" t="n"/>
      <c r="F445" s="5" t="n"/>
      <c r="G445" s="5" t="n"/>
      <c r="H445" s="6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6" t="n"/>
      <c r="D446" s="81" t="inlineStr">
        <is>
          <t>Squadra B</t>
        </is>
      </c>
      <c r="E446" s="6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6" t="n"/>
      <c r="J446" s="81" t="inlineStr">
        <is>
          <t>Risultato</t>
        </is>
      </c>
      <c r="K446" s="5" t="n"/>
      <c r="L446" s="6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5" t="n"/>
      <c r="H447" s="5" t="n"/>
      <c r="I447" s="6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n"/>
      <c r="N447" s="196" t="n"/>
      <c r="O447" s="196" t="n"/>
      <c r="P447" s="196" t="n"/>
      <c r="Q447" s="196" t="n"/>
      <c r="R447" s="196" t="n"/>
    </row>
    <row r="448" ht="15" customHeight="1">
      <c r="A448" s="141" t="n"/>
      <c r="B448" s="69">
        <f>IF('Calendario C'!B108="","",'Calendario C'!B108)</f>
        <v/>
      </c>
      <c r="C448" s="5" t="n"/>
      <c r="D448" s="5" t="n"/>
      <c r="E448" s="5" t="n"/>
      <c r="F448" s="5" t="n"/>
      <c r="G448" s="5" t="n"/>
      <c r="H448" s="6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 t="n"/>
      <c r="M450" s="200" t="inlineStr">
        <is>
          <t>ARBITRI</t>
        </is>
      </c>
      <c r="N450" s="5" t="n"/>
      <c r="O450" s="6" t="n"/>
      <c r="P450" s="200" t="inlineStr">
        <is>
          <t>UFFICIALI DI CAMPO</t>
        </is>
      </c>
      <c r="Q450" s="5" t="n"/>
      <c r="R450" s="6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6" t="n"/>
      <c r="D451" s="81" t="inlineStr">
        <is>
          <t>Squadra B</t>
        </is>
      </c>
      <c r="E451" s="6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6" t="n"/>
      <c r="J451" s="81" t="inlineStr">
        <is>
          <t>Risultato</t>
        </is>
      </c>
      <c r="K451" s="5" t="n"/>
      <c r="L451" s="6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5" t="n"/>
      <c r="H452" s="5" t="n"/>
      <c r="I452" s="6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n"/>
      <c r="N452" s="196" t="n"/>
      <c r="O452" s="196" t="n"/>
      <c r="P452" s="196" t="n"/>
      <c r="Q452" s="196" t="n"/>
      <c r="R452" s="196" t="n"/>
    </row>
    <row r="453" ht="15" customHeight="1">
      <c r="A453" s="141" t="n"/>
      <c r="B453" s="69">
        <f>IF('Calendario C'!B113="","",'Calendario C'!B113)</f>
        <v/>
      </c>
      <c r="C453" s="5" t="n"/>
      <c r="D453" s="5" t="n"/>
      <c r="E453" s="5" t="n"/>
      <c r="F453" s="5" t="n"/>
      <c r="G453" s="5" t="n"/>
      <c r="H453" s="6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6" t="n"/>
      <c r="D454" s="81" t="inlineStr">
        <is>
          <t>Squadra B</t>
        </is>
      </c>
      <c r="E454" s="6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6" t="n"/>
      <c r="J454" s="81" t="inlineStr">
        <is>
          <t>Risultato</t>
        </is>
      </c>
      <c r="K454" s="5" t="n"/>
      <c r="L454" s="6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5" t="n"/>
      <c r="H455" s="5" t="n"/>
      <c r="I455" s="6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n"/>
      <c r="N455" s="196" t="n"/>
      <c r="O455" s="196" t="n"/>
      <c r="P455" s="196" t="n"/>
      <c r="Q455" s="196" t="n"/>
      <c r="R455" s="196" t="n"/>
    </row>
    <row r="456" ht="15" customHeight="1">
      <c r="A456" s="141" t="n"/>
      <c r="B456" s="69">
        <f>IF('Calendario C'!B116="","",'Calendario C'!B116)</f>
        <v/>
      </c>
      <c r="C456" s="5" t="n"/>
      <c r="D456" s="5" t="n"/>
      <c r="E456" s="5" t="n"/>
      <c r="F456" s="5" t="n"/>
      <c r="G456" s="5" t="n"/>
      <c r="H456" s="6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6" t="n"/>
      <c r="D457" s="81" t="inlineStr">
        <is>
          <t>Squadra B</t>
        </is>
      </c>
      <c r="E457" s="6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6" t="n"/>
      <c r="J457" s="81" t="inlineStr">
        <is>
          <t>Risultato</t>
        </is>
      </c>
      <c r="K457" s="5" t="n"/>
      <c r="L457" s="6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5" t="n"/>
      <c r="H458" s="5" t="n"/>
      <c r="I458" s="6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n"/>
      <c r="N458" s="196" t="n"/>
      <c r="O458" s="196" t="n"/>
      <c r="P458" s="196" t="n"/>
      <c r="Q458" s="196" t="n"/>
      <c r="R458" s="196" t="n"/>
    </row>
    <row r="459" ht="15" customHeight="1">
      <c r="A459" s="141" t="n"/>
      <c r="B459" s="69">
        <f>IF('Calendario C'!B119="","",'Calendario C'!B119)</f>
        <v/>
      </c>
      <c r="C459" s="5" t="n"/>
      <c r="D459" s="5" t="n"/>
      <c r="E459" s="5" t="n"/>
      <c r="F459" s="5" t="n"/>
      <c r="G459" s="5" t="n"/>
      <c r="H459" s="6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6" t="n"/>
      <c r="D460" s="81" t="inlineStr">
        <is>
          <t>Squadra B</t>
        </is>
      </c>
      <c r="E460" s="6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6" t="n"/>
      <c r="J460" s="81" t="inlineStr">
        <is>
          <t>Risultato</t>
        </is>
      </c>
      <c r="K460" s="5" t="n"/>
      <c r="L460" s="6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5" t="n"/>
      <c r="H461" s="5" t="n"/>
      <c r="I461" s="6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n"/>
      <c r="N461" s="196" t="n"/>
      <c r="O461" s="196" t="n"/>
      <c r="P461" s="196" t="n"/>
      <c r="Q461" s="196" t="n"/>
      <c r="R461" s="196" t="n"/>
    </row>
    <row r="462" ht="15" customHeight="1">
      <c r="A462" s="141" t="n"/>
      <c r="B462" s="69">
        <f>IF('Calendario C'!B122="","",'Calendario C'!B122)</f>
        <v/>
      </c>
      <c r="C462" s="5" t="n"/>
      <c r="D462" s="5" t="n"/>
      <c r="E462" s="5" t="n"/>
      <c r="F462" s="5" t="n"/>
      <c r="G462" s="5" t="n"/>
      <c r="H462" s="6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6" t="n"/>
      <c r="D463" s="81" t="inlineStr">
        <is>
          <t>Squadra B</t>
        </is>
      </c>
      <c r="E463" s="6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6" t="n"/>
      <c r="J463" s="81" t="inlineStr">
        <is>
          <t>Risultato</t>
        </is>
      </c>
      <c r="K463" s="5" t="n"/>
      <c r="L463" s="6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5" t="n"/>
      <c r="H464" s="5" t="n"/>
      <c r="I464" s="6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n"/>
      <c r="N464" s="196" t="n"/>
      <c r="O464" s="196" t="n"/>
      <c r="P464" s="196" t="n"/>
      <c r="Q464" s="196" t="n"/>
      <c r="R464" s="196" t="n"/>
    </row>
    <row r="465" ht="15" customHeight="1">
      <c r="A465" s="141" t="n"/>
      <c r="B465" s="69">
        <f>IF('Calendario C'!B125="","",'Calendario C'!B125)</f>
        <v/>
      </c>
      <c r="C465" s="5" t="n"/>
      <c r="D465" s="5" t="n"/>
      <c r="E465" s="5" t="n"/>
      <c r="F465" s="5" t="n"/>
      <c r="G465" s="5" t="n"/>
      <c r="H465" s="6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 t="n"/>
      <c r="M467" s="200" t="inlineStr">
        <is>
          <t>ARBITRI</t>
        </is>
      </c>
      <c r="N467" s="5" t="n"/>
      <c r="O467" s="6" t="n"/>
      <c r="P467" s="200" t="inlineStr">
        <is>
          <t>UFFICIALI DI CAMPO</t>
        </is>
      </c>
      <c r="Q467" s="5" t="n"/>
      <c r="R467" s="6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6" t="n"/>
      <c r="D468" s="81" t="inlineStr">
        <is>
          <t>Squadra B</t>
        </is>
      </c>
      <c r="E468" s="6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6" t="n"/>
      <c r="J468" s="81" t="inlineStr">
        <is>
          <t>Risultato</t>
        </is>
      </c>
      <c r="K468" s="5" t="n"/>
      <c r="L468" s="6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5" t="n"/>
      <c r="H469" s="5" t="n"/>
      <c r="I469" s="6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n"/>
      <c r="N469" s="196" t="n"/>
      <c r="O469" s="196" t="n"/>
      <c r="P469" s="196" t="n"/>
      <c r="Q469" s="196" t="n"/>
      <c r="R469" s="196" t="n"/>
    </row>
    <row r="470" ht="15" customHeight="1">
      <c r="A470" s="141" t="n"/>
      <c r="B470" s="69">
        <f>IF('Calendario C'!B130="","",'Calendario C'!B130)</f>
        <v/>
      </c>
      <c r="C470" s="5" t="n"/>
      <c r="D470" s="5" t="n"/>
      <c r="E470" s="5" t="n"/>
      <c r="F470" s="5" t="n"/>
      <c r="G470" s="5" t="n"/>
      <c r="H470" s="6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6" t="n"/>
      <c r="D471" s="81" t="inlineStr">
        <is>
          <t>Squadra B</t>
        </is>
      </c>
      <c r="E471" s="6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6" t="n"/>
      <c r="J471" s="81" t="inlineStr">
        <is>
          <t>Risultato</t>
        </is>
      </c>
      <c r="K471" s="5" t="n"/>
      <c r="L471" s="6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5" t="n"/>
      <c r="H472" s="5" t="n"/>
      <c r="I472" s="6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n"/>
      <c r="N472" s="196" t="n"/>
      <c r="O472" s="196" t="n"/>
      <c r="P472" s="196" t="n"/>
      <c r="Q472" s="196" t="n"/>
      <c r="R472" s="196" t="n"/>
    </row>
    <row r="473" ht="15" customHeight="1">
      <c r="A473" s="141" t="n"/>
      <c r="B473" s="69">
        <f>IF('Calendario C'!B133="","",'Calendario C'!B133)</f>
        <v/>
      </c>
      <c r="C473" s="5" t="n"/>
      <c r="D473" s="5" t="n"/>
      <c r="E473" s="5" t="n"/>
      <c r="F473" s="5" t="n"/>
      <c r="G473" s="5" t="n"/>
      <c r="H473" s="6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6" t="n"/>
      <c r="D474" s="81" t="inlineStr">
        <is>
          <t>Squadra B</t>
        </is>
      </c>
      <c r="E474" s="6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6" t="n"/>
      <c r="J474" s="81" t="inlineStr">
        <is>
          <t>Risultato</t>
        </is>
      </c>
      <c r="K474" s="5" t="n"/>
      <c r="L474" s="6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5" t="n"/>
      <c r="H475" s="5" t="n"/>
      <c r="I475" s="6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n"/>
      <c r="N475" s="196" t="n"/>
      <c r="O475" s="196" t="n"/>
      <c r="P475" s="196" t="n"/>
      <c r="Q475" s="196" t="n"/>
      <c r="R475" s="196" t="n"/>
    </row>
    <row r="476" ht="15" customHeight="1">
      <c r="A476" s="141" t="n"/>
      <c r="B476" s="69">
        <f>IF('Calendario C'!B136="","",'Calendario C'!B136)</f>
        <v/>
      </c>
      <c r="C476" s="5" t="n"/>
      <c r="D476" s="5" t="n"/>
      <c r="E476" s="5" t="n"/>
      <c r="F476" s="5" t="n"/>
      <c r="G476" s="5" t="n"/>
      <c r="H476" s="6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6" t="n"/>
      <c r="D477" s="81" t="inlineStr">
        <is>
          <t>Squadra B</t>
        </is>
      </c>
      <c r="E477" s="6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6" t="n"/>
      <c r="J477" s="81" t="inlineStr">
        <is>
          <t>Risultato</t>
        </is>
      </c>
      <c r="K477" s="5" t="n"/>
      <c r="L477" s="6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5" t="n"/>
      <c r="H478" s="5" t="n"/>
      <c r="I478" s="6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n"/>
      <c r="N478" s="196" t="n"/>
      <c r="O478" s="196" t="n"/>
      <c r="P478" s="196" t="n"/>
      <c r="Q478" s="196" t="n"/>
      <c r="R478" s="196" t="n"/>
    </row>
    <row r="479" ht="15" customHeight="1">
      <c r="A479" s="141" t="n"/>
      <c r="B479" s="69">
        <f>IF('Calendario C'!B139="","",'Calendario C'!B139)</f>
        <v/>
      </c>
      <c r="C479" s="5" t="n"/>
      <c r="D479" s="5" t="n"/>
      <c r="E479" s="5" t="n"/>
      <c r="F479" s="5" t="n"/>
      <c r="G479" s="5" t="n"/>
      <c r="H479" s="6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6" t="n"/>
      <c r="D480" s="81" t="inlineStr">
        <is>
          <t>Squadra B</t>
        </is>
      </c>
      <c r="E480" s="6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6" t="n"/>
      <c r="J480" s="81" t="inlineStr">
        <is>
          <t>Risultato</t>
        </is>
      </c>
      <c r="K480" s="5" t="n"/>
      <c r="L480" s="6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5" t="n"/>
      <c r="H481" s="5" t="n"/>
      <c r="I481" s="6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n"/>
      <c r="N481" s="196" t="n"/>
      <c r="O481" s="196" t="n"/>
      <c r="P481" s="196" t="n"/>
      <c r="Q481" s="196" t="n"/>
      <c r="R481" s="196" t="n"/>
    </row>
    <row r="482" ht="15" customHeight="1">
      <c r="A482" s="141" t="n"/>
      <c r="B482" s="69">
        <f>IF('Calendario C'!B142="","",'Calendario C'!B142)</f>
        <v/>
      </c>
      <c r="C482" s="5" t="n"/>
      <c r="D482" s="5" t="n"/>
      <c r="E482" s="5" t="n"/>
      <c r="F482" s="5" t="n"/>
      <c r="G482" s="5" t="n"/>
      <c r="H482" s="6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 t="n"/>
      <c r="M484" s="200" t="inlineStr">
        <is>
          <t>ARBITRI</t>
        </is>
      </c>
      <c r="N484" s="5" t="n"/>
      <c r="O484" s="6" t="n"/>
      <c r="P484" s="200" t="inlineStr">
        <is>
          <t>UFFICIALI DI CAMPO</t>
        </is>
      </c>
      <c r="Q484" s="5" t="n"/>
      <c r="R484" s="6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6" t="n"/>
      <c r="D485" s="81" t="inlineStr">
        <is>
          <t>Squadra B</t>
        </is>
      </c>
      <c r="E485" s="6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6" t="n"/>
      <c r="J485" s="81" t="inlineStr">
        <is>
          <t>Risultato</t>
        </is>
      </c>
      <c r="K485" s="5" t="n"/>
      <c r="L485" s="6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5" t="n"/>
      <c r="H486" s="5" t="n"/>
      <c r="I486" s="6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n"/>
      <c r="N486" s="196" t="n"/>
      <c r="O486" s="196" t="n"/>
      <c r="P486" s="196" t="n"/>
      <c r="Q486" s="196" t="n"/>
      <c r="R486" s="196" t="n"/>
    </row>
    <row r="487" ht="15" customHeight="1">
      <c r="A487" s="141" t="n"/>
      <c r="B487" s="69">
        <f>IF('Calendario C'!B147="","",'Calendario C'!B147)</f>
        <v/>
      </c>
      <c r="C487" s="5" t="n"/>
      <c r="D487" s="5" t="n"/>
      <c r="E487" s="5" t="n"/>
      <c r="F487" s="5" t="n"/>
      <c r="G487" s="5" t="n"/>
      <c r="H487" s="6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6" t="n"/>
      <c r="D488" s="81" t="inlineStr">
        <is>
          <t>Squadra B</t>
        </is>
      </c>
      <c r="E488" s="6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6" t="n"/>
      <c r="J488" s="81" t="inlineStr">
        <is>
          <t>Risultato</t>
        </is>
      </c>
      <c r="K488" s="5" t="n"/>
      <c r="L488" s="6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5" t="n"/>
      <c r="H489" s="5" t="n"/>
      <c r="I489" s="6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n"/>
      <c r="N489" s="196" t="n"/>
      <c r="O489" s="196" t="n"/>
      <c r="P489" s="196" t="n"/>
      <c r="Q489" s="196" t="n"/>
      <c r="R489" s="196" t="n"/>
    </row>
    <row r="490" ht="15" customHeight="1">
      <c r="A490" s="141" t="n"/>
      <c r="B490" s="69">
        <f>IF('Calendario C'!B150="","",'Calendario C'!B150)</f>
        <v/>
      </c>
      <c r="C490" s="5" t="n"/>
      <c r="D490" s="5" t="n"/>
      <c r="E490" s="5" t="n"/>
      <c r="F490" s="5" t="n"/>
      <c r="G490" s="5" t="n"/>
      <c r="H490" s="6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6" t="n"/>
      <c r="D491" s="81" t="inlineStr">
        <is>
          <t>Squadra B</t>
        </is>
      </c>
      <c r="E491" s="6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6" t="n"/>
      <c r="J491" s="81" t="inlineStr">
        <is>
          <t>Risultato</t>
        </is>
      </c>
      <c r="K491" s="5" t="n"/>
      <c r="L491" s="6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5" t="n"/>
      <c r="H492" s="5" t="n"/>
      <c r="I492" s="6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n"/>
      <c r="N492" s="196" t="n"/>
      <c r="O492" s="196" t="n"/>
      <c r="P492" s="196" t="n"/>
      <c r="Q492" s="196" t="n"/>
      <c r="R492" s="196" t="n"/>
    </row>
    <row r="493" ht="15" customHeight="1">
      <c r="A493" s="141" t="n"/>
      <c r="B493" s="69">
        <f>IF('Calendario C'!B153="","",'Calendario C'!B153)</f>
        <v/>
      </c>
      <c r="C493" s="5" t="n"/>
      <c r="D493" s="5" t="n"/>
      <c r="E493" s="5" t="n"/>
      <c r="F493" s="5" t="n"/>
      <c r="G493" s="5" t="n"/>
      <c r="H493" s="6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6" t="n"/>
      <c r="D494" s="81" t="inlineStr">
        <is>
          <t>Squadra B</t>
        </is>
      </c>
      <c r="E494" s="6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6" t="n"/>
      <c r="J494" s="81" t="inlineStr">
        <is>
          <t>Risultato</t>
        </is>
      </c>
      <c r="K494" s="5" t="n"/>
      <c r="L494" s="6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5" t="n"/>
      <c r="H495" s="5" t="n"/>
      <c r="I495" s="6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n"/>
      <c r="N495" s="196" t="n"/>
      <c r="O495" s="196" t="n"/>
      <c r="P495" s="196" t="n"/>
      <c r="Q495" s="196" t="n"/>
      <c r="R495" s="196" t="n"/>
    </row>
    <row r="496" ht="15" customHeight="1">
      <c r="A496" s="141" t="n"/>
      <c r="B496" s="69">
        <f>IF('Calendario C'!B156="","",'Calendario C'!B156)</f>
        <v/>
      </c>
      <c r="C496" s="5" t="n"/>
      <c r="D496" s="5" t="n"/>
      <c r="E496" s="5" t="n"/>
      <c r="F496" s="5" t="n"/>
      <c r="G496" s="5" t="n"/>
      <c r="H496" s="6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6" t="n"/>
      <c r="D497" s="81" t="inlineStr">
        <is>
          <t>Squadra B</t>
        </is>
      </c>
      <c r="E497" s="6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6" t="n"/>
      <c r="J497" s="81" t="inlineStr">
        <is>
          <t>Risultato</t>
        </is>
      </c>
      <c r="K497" s="5" t="n"/>
      <c r="L497" s="6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5" t="n"/>
      <c r="H498" s="5" t="n"/>
      <c r="I498" s="6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n"/>
      <c r="N498" s="196" t="n"/>
      <c r="O498" s="196" t="n"/>
      <c r="P498" s="196" t="n"/>
      <c r="Q498" s="196" t="n"/>
      <c r="R498" s="196" t="n"/>
    </row>
    <row r="499" ht="15" customHeight="1">
      <c r="A499" s="141" t="n"/>
      <c r="B499" s="69">
        <f>IF('Calendario C'!B159="","",'Calendario C'!B159)</f>
        <v/>
      </c>
      <c r="C499" s="5" t="n"/>
      <c r="D499" s="5" t="n"/>
      <c r="E499" s="5" t="n"/>
      <c r="F499" s="5" t="n"/>
      <c r="G499" s="5" t="n"/>
      <c r="H499" s="6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 t="n"/>
      <c r="M518" s="202" t="inlineStr">
        <is>
          <t>ARBITRI</t>
        </is>
      </c>
      <c r="N518" s="5" t="n"/>
      <c r="O518" s="6" t="n"/>
      <c r="P518" s="202" t="inlineStr">
        <is>
          <t>UFFICIALI DI CAMPO</t>
        </is>
      </c>
      <c r="Q518" s="5" t="n"/>
      <c r="R518" s="6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6" t="n"/>
      <c r="D519" s="88" t="inlineStr">
        <is>
          <t>Squadra B</t>
        </is>
      </c>
      <c r="E519" s="6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6" t="n"/>
      <c r="J519" s="88" t="inlineStr">
        <is>
          <t>Risultato</t>
        </is>
      </c>
      <c r="K519" s="5" t="n"/>
      <c r="L519" s="6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5" t="n"/>
      <c r="H520" s="5" t="n"/>
      <c r="I520" s="6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n"/>
      <c r="N520" s="196" t="n"/>
      <c r="O520" s="196" t="n"/>
      <c r="P520" s="196" t="n"/>
      <c r="Q520" s="196" t="n"/>
      <c r="R520" s="196" t="n"/>
    </row>
    <row r="521" ht="15" customHeight="1">
      <c r="A521" s="141" t="n"/>
      <c r="B521" s="69">
        <f>IF('Calendario D'!B11="","",'Calendario D'!B11)</f>
        <v/>
      </c>
      <c r="C521" s="5" t="n"/>
      <c r="D521" s="5" t="n"/>
      <c r="E521" s="5" t="n"/>
      <c r="F521" s="5" t="n"/>
      <c r="G521" s="5" t="n"/>
      <c r="H521" s="6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6" t="n"/>
      <c r="D522" s="88" t="inlineStr">
        <is>
          <t>Squadra B</t>
        </is>
      </c>
      <c r="E522" s="6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6" t="n"/>
      <c r="J522" s="88" t="inlineStr">
        <is>
          <t>Risultato</t>
        </is>
      </c>
      <c r="K522" s="5" t="n"/>
      <c r="L522" s="6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5" t="n"/>
      <c r="H523" s="5" t="n"/>
      <c r="I523" s="6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n"/>
      <c r="N523" s="196" t="n"/>
      <c r="O523" s="196" t="n"/>
      <c r="P523" s="196" t="n"/>
      <c r="Q523" s="196" t="n"/>
      <c r="R523" s="196" t="n"/>
    </row>
    <row r="524" ht="15" customHeight="1">
      <c r="A524" s="141" t="n"/>
      <c r="B524" s="69">
        <f>IF('Calendario D'!B14="","",'Calendario D'!B14)</f>
        <v/>
      </c>
      <c r="C524" s="5" t="n"/>
      <c r="D524" s="5" t="n"/>
      <c r="E524" s="5" t="n"/>
      <c r="F524" s="5" t="n"/>
      <c r="G524" s="5" t="n"/>
      <c r="H524" s="6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6" t="n"/>
      <c r="D525" s="88" t="inlineStr">
        <is>
          <t>Squadra B</t>
        </is>
      </c>
      <c r="E525" s="6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6" t="n"/>
      <c r="J525" s="88" t="inlineStr">
        <is>
          <t>Risultato</t>
        </is>
      </c>
      <c r="K525" s="5" t="n"/>
      <c r="L525" s="6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5" t="n"/>
      <c r="H526" s="5" t="n"/>
      <c r="I526" s="6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n"/>
      <c r="N526" s="196" t="n"/>
      <c r="O526" s="196" t="n"/>
      <c r="P526" s="196" t="n"/>
      <c r="Q526" s="196" t="n"/>
      <c r="R526" s="196" t="n"/>
    </row>
    <row r="527" ht="15" customHeight="1">
      <c r="A527" s="141" t="n"/>
      <c r="B527" s="69">
        <f>IF('Calendario D'!B17="","",'Calendario D'!B17)</f>
        <v/>
      </c>
      <c r="C527" s="5" t="n"/>
      <c r="D527" s="5" t="n"/>
      <c r="E527" s="5" t="n"/>
      <c r="F527" s="5" t="n"/>
      <c r="G527" s="5" t="n"/>
      <c r="H527" s="6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6" t="n"/>
      <c r="D528" s="88" t="inlineStr">
        <is>
          <t>Squadra B</t>
        </is>
      </c>
      <c r="E528" s="6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6" t="n"/>
      <c r="J528" s="88" t="inlineStr">
        <is>
          <t>Risultato</t>
        </is>
      </c>
      <c r="K528" s="5" t="n"/>
      <c r="L528" s="6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5" t="n"/>
      <c r="H529" s="5" t="n"/>
      <c r="I529" s="6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n"/>
      <c r="N529" s="196" t="n"/>
      <c r="O529" s="196" t="n"/>
      <c r="P529" s="196" t="n"/>
      <c r="Q529" s="196" t="n"/>
      <c r="R529" s="196" t="n"/>
    </row>
    <row r="530" ht="15" customHeight="1">
      <c r="A530" s="141" t="n"/>
      <c r="B530" s="69">
        <f>IF('Calendario D'!B20="","",'Calendario D'!B20)</f>
        <v/>
      </c>
      <c r="C530" s="5" t="n"/>
      <c r="D530" s="5" t="n"/>
      <c r="E530" s="5" t="n"/>
      <c r="F530" s="5" t="n"/>
      <c r="G530" s="5" t="n"/>
      <c r="H530" s="6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6" t="n"/>
      <c r="D531" s="88" t="inlineStr">
        <is>
          <t>Squadra B</t>
        </is>
      </c>
      <c r="E531" s="6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6" t="n"/>
      <c r="J531" s="88" t="inlineStr">
        <is>
          <t>Risultato</t>
        </is>
      </c>
      <c r="K531" s="5" t="n"/>
      <c r="L531" s="6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5" t="n"/>
      <c r="H532" s="5" t="n"/>
      <c r="I532" s="6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n"/>
      <c r="N532" s="196" t="n"/>
      <c r="O532" s="196" t="n"/>
      <c r="P532" s="196" t="n"/>
      <c r="Q532" s="196" t="n"/>
      <c r="R532" s="196" t="n"/>
    </row>
    <row r="533" ht="15" customHeight="1">
      <c r="A533" s="141" t="n"/>
      <c r="B533" s="69">
        <f>IF('Calendario D'!B23="","",'Calendario D'!B23)</f>
        <v/>
      </c>
      <c r="C533" s="5" t="n"/>
      <c r="D533" s="5" t="n"/>
      <c r="E533" s="5" t="n"/>
      <c r="F533" s="5" t="n"/>
      <c r="G533" s="5" t="n"/>
      <c r="H533" s="6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 t="n"/>
      <c r="M535" s="202" t="inlineStr">
        <is>
          <t>ARBITRI</t>
        </is>
      </c>
      <c r="N535" s="5" t="n"/>
      <c r="O535" s="6" t="n"/>
      <c r="P535" s="202" t="inlineStr">
        <is>
          <t>UFFICIALI DI CAMPO</t>
        </is>
      </c>
      <c r="Q535" s="5" t="n"/>
      <c r="R535" s="6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6" t="n"/>
      <c r="D536" s="88" t="inlineStr">
        <is>
          <t>Squadra B</t>
        </is>
      </c>
      <c r="E536" s="6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6" t="n"/>
      <c r="J536" s="88" t="inlineStr">
        <is>
          <t>Risultato</t>
        </is>
      </c>
      <c r="K536" s="5" t="n"/>
      <c r="L536" s="6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5" t="n"/>
      <c r="H537" s="5" t="n"/>
      <c r="I537" s="6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n"/>
      <c r="N537" s="196" t="n"/>
      <c r="O537" s="196" t="n"/>
      <c r="P537" s="196" t="n"/>
      <c r="Q537" s="196" t="n"/>
      <c r="R537" s="196" t="n"/>
    </row>
    <row r="538" ht="15" customHeight="1">
      <c r="A538" s="141" t="n"/>
      <c r="B538" s="69">
        <f>IF('Calendario D'!B28="","",'Calendario D'!B28)</f>
        <v/>
      </c>
      <c r="C538" s="5" t="n"/>
      <c r="D538" s="5" t="n"/>
      <c r="E538" s="5" t="n"/>
      <c r="F538" s="5" t="n"/>
      <c r="G538" s="5" t="n"/>
      <c r="H538" s="6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6" t="n"/>
      <c r="D539" s="88" t="inlineStr">
        <is>
          <t>Squadra B</t>
        </is>
      </c>
      <c r="E539" s="6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6" t="n"/>
      <c r="J539" s="88" t="inlineStr">
        <is>
          <t>Risultato</t>
        </is>
      </c>
      <c r="K539" s="5" t="n"/>
      <c r="L539" s="6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5" t="n"/>
      <c r="H540" s="5" t="n"/>
      <c r="I540" s="6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n"/>
      <c r="N540" s="196" t="n"/>
      <c r="O540" s="196" t="n"/>
      <c r="P540" s="196" t="n"/>
      <c r="Q540" s="196" t="n"/>
      <c r="R540" s="196" t="n"/>
    </row>
    <row r="541" ht="15" customHeight="1">
      <c r="A541" s="141" t="n"/>
      <c r="B541" s="69">
        <f>IF('Calendario D'!B31="","",'Calendario D'!B31)</f>
        <v/>
      </c>
      <c r="C541" s="5" t="n"/>
      <c r="D541" s="5" t="n"/>
      <c r="E541" s="5" t="n"/>
      <c r="F541" s="5" t="n"/>
      <c r="G541" s="5" t="n"/>
      <c r="H541" s="6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6" t="n"/>
      <c r="D542" s="88" t="inlineStr">
        <is>
          <t>Squadra B</t>
        </is>
      </c>
      <c r="E542" s="6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6" t="n"/>
      <c r="J542" s="88" t="inlineStr">
        <is>
          <t>Risultato</t>
        </is>
      </c>
      <c r="K542" s="5" t="n"/>
      <c r="L542" s="6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5" t="n"/>
      <c r="H543" s="5" t="n"/>
      <c r="I543" s="6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n"/>
      <c r="N543" s="196" t="n"/>
      <c r="O543" s="196" t="n"/>
      <c r="P543" s="196" t="n"/>
      <c r="Q543" s="196" t="n"/>
      <c r="R543" s="196" t="n"/>
    </row>
    <row r="544" ht="15" customHeight="1">
      <c r="A544" s="141" t="n"/>
      <c r="B544" s="69">
        <f>IF('Calendario D'!B34="","",'Calendario D'!B34)</f>
        <v/>
      </c>
      <c r="C544" s="5" t="n"/>
      <c r="D544" s="5" t="n"/>
      <c r="E544" s="5" t="n"/>
      <c r="F544" s="5" t="n"/>
      <c r="G544" s="5" t="n"/>
      <c r="H544" s="6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6" t="n"/>
      <c r="D545" s="88" t="inlineStr">
        <is>
          <t>Squadra B</t>
        </is>
      </c>
      <c r="E545" s="6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6" t="n"/>
      <c r="J545" s="88" t="inlineStr">
        <is>
          <t>Risultato</t>
        </is>
      </c>
      <c r="K545" s="5" t="n"/>
      <c r="L545" s="6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5" t="n"/>
      <c r="H546" s="5" t="n"/>
      <c r="I546" s="6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n"/>
      <c r="N546" s="196" t="n"/>
      <c r="O546" s="196" t="n"/>
      <c r="P546" s="196" t="n"/>
      <c r="Q546" s="196" t="n"/>
      <c r="R546" s="196" t="n"/>
    </row>
    <row r="547" ht="15" customHeight="1">
      <c r="A547" s="141" t="n"/>
      <c r="B547" s="69">
        <f>IF('Calendario D'!B37="","",'Calendario D'!B37)</f>
        <v/>
      </c>
      <c r="C547" s="5" t="n"/>
      <c r="D547" s="5" t="n"/>
      <c r="E547" s="5" t="n"/>
      <c r="F547" s="5" t="n"/>
      <c r="G547" s="5" t="n"/>
      <c r="H547" s="6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6" t="n"/>
      <c r="D548" s="88" t="inlineStr">
        <is>
          <t>Squadra B</t>
        </is>
      </c>
      <c r="E548" s="6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6" t="n"/>
      <c r="J548" s="88" t="inlineStr">
        <is>
          <t>Risultato</t>
        </is>
      </c>
      <c r="K548" s="5" t="n"/>
      <c r="L548" s="6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5" t="n"/>
      <c r="H549" s="5" t="n"/>
      <c r="I549" s="6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n"/>
      <c r="N549" s="196" t="n"/>
      <c r="O549" s="196" t="n"/>
      <c r="P549" s="196" t="n"/>
      <c r="Q549" s="196" t="n"/>
      <c r="R549" s="196" t="n"/>
    </row>
    <row r="550" ht="15" customHeight="1">
      <c r="A550" s="141" t="n"/>
      <c r="B550" s="69">
        <f>IF('Calendario D'!B40="","",'Calendario D'!B40)</f>
        <v/>
      </c>
      <c r="C550" s="5" t="n"/>
      <c r="D550" s="5" t="n"/>
      <c r="E550" s="5" t="n"/>
      <c r="F550" s="5" t="n"/>
      <c r="G550" s="5" t="n"/>
      <c r="H550" s="6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 t="n"/>
      <c r="M552" s="202" t="inlineStr">
        <is>
          <t>ARBITRI</t>
        </is>
      </c>
      <c r="N552" s="5" t="n"/>
      <c r="O552" s="6" t="n"/>
      <c r="P552" s="202" t="inlineStr">
        <is>
          <t>UFFICIALI DI CAMPO</t>
        </is>
      </c>
      <c r="Q552" s="5" t="n"/>
      <c r="R552" s="6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6" t="n"/>
      <c r="D553" s="88" t="inlineStr">
        <is>
          <t>Squadra B</t>
        </is>
      </c>
      <c r="E553" s="6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6" t="n"/>
      <c r="J553" s="88" t="inlineStr">
        <is>
          <t>Risultato</t>
        </is>
      </c>
      <c r="K553" s="5" t="n"/>
      <c r="L553" s="6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5" t="n"/>
      <c r="H554" s="5" t="n"/>
      <c r="I554" s="6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n"/>
      <c r="N554" s="196" t="n"/>
      <c r="O554" s="196" t="n"/>
      <c r="P554" s="196" t="n"/>
      <c r="Q554" s="196" t="n"/>
      <c r="R554" s="196" t="n"/>
    </row>
    <row r="555" ht="15" customHeight="1">
      <c r="A555" s="141" t="n"/>
      <c r="B555" s="69">
        <f>IF('Calendario D'!B45="","",'Calendario D'!B45)</f>
        <v/>
      </c>
      <c r="C555" s="5" t="n"/>
      <c r="D555" s="5" t="n"/>
      <c r="E555" s="5" t="n"/>
      <c r="F555" s="5" t="n"/>
      <c r="G555" s="5" t="n"/>
      <c r="H555" s="6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6" t="n"/>
      <c r="D556" s="88" t="inlineStr">
        <is>
          <t>Squadra B</t>
        </is>
      </c>
      <c r="E556" s="6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6" t="n"/>
      <c r="J556" s="88" t="inlineStr">
        <is>
          <t>Risultato</t>
        </is>
      </c>
      <c r="K556" s="5" t="n"/>
      <c r="L556" s="6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5" t="n"/>
      <c r="H557" s="5" t="n"/>
      <c r="I557" s="6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n"/>
      <c r="N557" s="196" t="n"/>
      <c r="O557" s="196" t="n"/>
      <c r="P557" s="196" t="n"/>
      <c r="Q557" s="196" t="n"/>
      <c r="R557" s="196" t="n"/>
    </row>
    <row r="558" ht="15" customHeight="1">
      <c r="A558" s="141" t="n"/>
      <c r="B558" s="69">
        <f>IF('Calendario D'!B48="","",'Calendario D'!B48)</f>
        <v/>
      </c>
      <c r="C558" s="5" t="n"/>
      <c r="D558" s="5" t="n"/>
      <c r="E558" s="5" t="n"/>
      <c r="F558" s="5" t="n"/>
      <c r="G558" s="5" t="n"/>
      <c r="H558" s="6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6" t="n"/>
      <c r="D559" s="88" t="inlineStr">
        <is>
          <t>Squadra B</t>
        </is>
      </c>
      <c r="E559" s="6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6" t="n"/>
      <c r="J559" s="88" t="inlineStr">
        <is>
          <t>Risultato</t>
        </is>
      </c>
      <c r="K559" s="5" t="n"/>
      <c r="L559" s="6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5" t="n"/>
      <c r="H560" s="5" t="n"/>
      <c r="I560" s="6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n"/>
      <c r="N560" s="196" t="n"/>
      <c r="O560" s="196" t="n"/>
      <c r="P560" s="196" t="n"/>
      <c r="Q560" s="196" t="n"/>
      <c r="R560" s="196" t="n"/>
    </row>
    <row r="561" ht="15" customHeight="1">
      <c r="A561" s="141" t="n"/>
      <c r="B561" s="69">
        <f>IF('Calendario D'!B51="","",'Calendario D'!B51)</f>
        <v/>
      </c>
      <c r="C561" s="5" t="n"/>
      <c r="D561" s="5" t="n"/>
      <c r="E561" s="5" t="n"/>
      <c r="F561" s="5" t="n"/>
      <c r="G561" s="5" t="n"/>
      <c r="H561" s="6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6" t="n"/>
      <c r="D562" s="88" t="inlineStr">
        <is>
          <t>Squadra B</t>
        </is>
      </c>
      <c r="E562" s="6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6" t="n"/>
      <c r="J562" s="88" t="inlineStr">
        <is>
          <t>Risultato</t>
        </is>
      </c>
      <c r="K562" s="5" t="n"/>
      <c r="L562" s="6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5" t="n"/>
      <c r="H563" s="5" t="n"/>
      <c r="I563" s="6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n"/>
      <c r="N563" s="196" t="n"/>
      <c r="O563" s="196" t="n"/>
      <c r="P563" s="196" t="n"/>
      <c r="Q563" s="196" t="n"/>
      <c r="R563" s="196" t="n"/>
    </row>
    <row r="564" ht="15" customHeight="1">
      <c r="A564" s="141" t="n"/>
      <c r="B564" s="69">
        <f>IF('Calendario D'!B54="","",'Calendario D'!B54)</f>
        <v/>
      </c>
      <c r="C564" s="5" t="n"/>
      <c r="D564" s="5" t="n"/>
      <c r="E564" s="5" t="n"/>
      <c r="F564" s="5" t="n"/>
      <c r="G564" s="5" t="n"/>
      <c r="H564" s="6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6" t="n"/>
      <c r="D565" s="88" t="inlineStr">
        <is>
          <t>Squadra B</t>
        </is>
      </c>
      <c r="E565" s="6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6" t="n"/>
      <c r="J565" s="88" t="inlineStr">
        <is>
          <t>Risultato</t>
        </is>
      </c>
      <c r="K565" s="5" t="n"/>
      <c r="L565" s="6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5" t="n"/>
      <c r="H566" s="5" t="n"/>
      <c r="I566" s="6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n"/>
      <c r="N566" s="196" t="n"/>
      <c r="O566" s="196" t="n"/>
      <c r="P566" s="196" t="n"/>
      <c r="Q566" s="196" t="n"/>
      <c r="R566" s="196" t="n"/>
    </row>
    <row r="567" ht="15" customHeight="1">
      <c r="A567" s="141" t="n"/>
      <c r="B567" s="69">
        <f>IF('Calendario D'!B57="","",'Calendario D'!B57)</f>
        <v/>
      </c>
      <c r="C567" s="5" t="n"/>
      <c r="D567" s="5" t="n"/>
      <c r="E567" s="5" t="n"/>
      <c r="F567" s="5" t="n"/>
      <c r="G567" s="5" t="n"/>
      <c r="H567" s="6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 t="n"/>
      <c r="M569" s="202" t="inlineStr">
        <is>
          <t>ARBITRI</t>
        </is>
      </c>
      <c r="N569" s="5" t="n"/>
      <c r="O569" s="6" t="n"/>
      <c r="P569" s="202" t="inlineStr">
        <is>
          <t>UFFICIALI DI CAMPO</t>
        </is>
      </c>
      <c r="Q569" s="5" t="n"/>
      <c r="R569" s="6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6" t="n"/>
      <c r="D570" s="88" t="inlineStr">
        <is>
          <t>Squadra B</t>
        </is>
      </c>
      <c r="E570" s="6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6" t="n"/>
      <c r="J570" s="88" t="inlineStr">
        <is>
          <t>Risultato</t>
        </is>
      </c>
      <c r="K570" s="5" t="n"/>
      <c r="L570" s="6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5" t="n"/>
      <c r="H571" s="5" t="n"/>
      <c r="I571" s="6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n"/>
      <c r="N571" s="196" t="n"/>
      <c r="O571" s="196" t="n"/>
      <c r="P571" s="196" t="n"/>
      <c r="Q571" s="196" t="n"/>
      <c r="R571" s="196" t="n"/>
    </row>
    <row r="572" ht="15" customHeight="1">
      <c r="A572" s="141" t="n"/>
      <c r="B572" s="69">
        <f>IF('Calendario D'!B62="","",'Calendario D'!B62)</f>
        <v/>
      </c>
      <c r="C572" s="5" t="n"/>
      <c r="D572" s="5" t="n"/>
      <c r="E572" s="5" t="n"/>
      <c r="F572" s="5" t="n"/>
      <c r="G572" s="5" t="n"/>
      <c r="H572" s="6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6" t="n"/>
      <c r="D573" s="88" t="inlineStr">
        <is>
          <t>Squadra B</t>
        </is>
      </c>
      <c r="E573" s="6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6" t="n"/>
      <c r="J573" s="88" t="inlineStr">
        <is>
          <t>Risultato</t>
        </is>
      </c>
      <c r="K573" s="5" t="n"/>
      <c r="L573" s="6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5" t="n"/>
      <c r="H574" s="5" t="n"/>
      <c r="I574" s="6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n"/>
      <c r="N574" s="196" t="n"/>
      <c r="O574" s="196" t="n"/>
      <c r="P574" s="196" t="n"/>
      <c r="Q574" s="196" t="n"/>
      <c r="R574" s="196" t="n"/>
    </row>
    <row r="575" ht="15" customHeight="1">
      <c r="A575" s="141" t="n"/>
      <c r="B575" s="69">
        <f>IF('Calendario D'!B65="","",'Calendario D'!B65)</f>
        <v/>
      </c>
      <c r="C575" s="5" t="n"/>
      <c r="D575" s="5" t="n"/>
      <c r="E575" s="5" t="n"/>
      <c r="F575" s="5" t="n"/>
      <c r="G575" s="5" t="n"/>
      <c r="H575" s="6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6" t="n"/>
      <c r="D576" s="88" t="inlineStr">
        <is>
          <t>Squadra B</t>
        </is>
      </c>
      <c r="E576" s="6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6" t="n"/>
      <c r="J576" s="88" t="inlineStr">
        <is>
          <t>Risultato</t>
        </is>
      </c>
      <c r="K576" s="5" t="n"/>
      <c r="L576" s="6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5" t="n"/>
      <c r="H577" s="5" t="n"/>
      <c r="I577" s="6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n"/>
      <c r="N577" s="196" t="n"/>
      <c r="O577" s="196" t="n"/>
      <c r="P577" s="196" t="n"/>
      <c r="Q577" s="196" t="n"/>
      <c r="R577" s="196" t="n"/>
    </row>
    <row r="578" ht="15" customHeight="1">
      <c r="A578" s="141" t="n"/>
      <c r="B578" s="69">
        <f>IF('Calendario D'!B68="","",'Calendario D'!B68)</f>
        <v/>
      </c>
      <c r="C578" s="5" t="n"/>
      <c r="D578" s="5" t="n"/>
      <c r="E578" s="5" t="n"/>
      <c r="F578" s="5" t="n"/>
      <c r="G578" s="5" t="n"/>
      <c r="H578" s="6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6" t="n"/>
      <c r="D579" s="88" t="inlineStr">
        <is>
          <t>Squadra B</t>
        </is>
      </c>
      <c r="E579" s="6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6" t="n"/>
      <c r="J579" s="88" t="inlineStr">
        <is>
          <t>Risultato</t>
        </is>
      </c>
      <c r="K579" s="5" t="n"/>
      <c r="L579" s="6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5" t="n"/>
      <c r="H580" s="5" t="n"/>
      <c r="I580" s="6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n"/>
      <c r="N580" s="196" t="n"/>
      <c r="O580" s="196" t="n"/>
      <c r="P580" s="196" t="n"/>
      <c r="Q580" s="196" t="n"/>
      <c r="R580" s="196" t="n"/>
    </row>
    <row r="581" ht="15" customHeight="1">
      <c r="A581" s="141" t="n"/>
      <c r="B581" s="69">
        <f>IF('Calendario D'!B71="","",'Calendario D'!B71)</f>
        <v/>
      </c>
      <c r="C581" s="5" t="n"/>
      <c r="D581" s="5" t="n"/>
      <c r="E581" s="5" t="n"/>
      <c r="F581" s="5" t="n"/>
      <c r="G581" s="5" t="n"/>
      <c r="H581" s="6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6" t="n"/>
      <c r="D582" s="88" t="inlineStr">
        <is>
          <t>Squadra B</t>
        </is>
      </c>
      <c r="E582" s="6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6" t="n"/>
      <c r="J582" s="88" t="inlineStr">
        <is>
          <t>Risultato</t>
        </is>
      </c>
      <c r="K582" s="5" t="n"/>
      <c r="L582" s="6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5" t="n"/>
      <c r="H583" s="5" t="n"/>
      <c r="I583" s="6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n"/>
      <c r="N583" s="196" t="n"/>
      <c r="O583" s="196" t="n"/>
      <c r="P583" s="196" t="n"/>
      <c r="Q583" s="196" t="n"/>
      <c r="R583" s="196" t="n"/>
    </row>
    <row r="584" ht="15" customHeight="1">
      <c r="A584" s="141" t="n"/>
      <c r="B584" s="69">
        <f>IF('Calendario D'!B74="","",'Calendario D'!B74)</f>
        <v/>
      </c>
      <c r="C584" s="5" t="n"/>
      <c r="D584" s="5" t="n"/>
      <c r="E584" s="5" t="n"/>
      <c r="F584" s="5" t="n"/>
      <c r="G584" s="5" t="n"/>
      <c r="H584" s="6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 t="n"/>
      <c r="M586" s="202" t="inlineStr">
        <is>
          <t>ARBITRI</t>
        </is>
      </c>
      <c r="N586" s="5" t="n"/>
      <c r="O586" s="6" t="n"/>
      <c r="P586" s="202" t="inlineStr">
        <is>
          <t>UFFICIALI DI CAMPO</t>
        </is>
      </c>
      <c r="Q586" s="5" t="n"/>
      <c r="R586" s="6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6" t="n"/>
      <c r="D587" s="88" t="inlineStr">
        <is>
          <t>Squadra B</t>
        </is>
      </c>
      <c r="E587" s="6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6" t="n"/>
      <c r="J587" s="88" t="inlineStr">
        <is>
          <t>Risultato</t>
        </is>
      </c>
      <c r="K587" s="5" t="n"/>
      <c r="L587" s="6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5" t="n"/>
      <c r="H588" s="5" t="n"/>
      <c r="I588" s="6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n"/>
      <c r="N588" s="196" t="n"/>
      <c r="O588" s="196" t="n"/>
      <c r="P588" s="196" t="n"/>
      <c r="Q588" s="196" t="n"/>
      <c r="R588" s="196" t="n"/>
    </row>
    <row r="589" ht="15" customHeight="1">
      <c r="A589" s="141" t="n"/>
      <c r="B589" s="69">
        <f>IF('Calendario D'!B79="","",'Calendario D'!B79)</f>
        <v/>
      </c>
      <c r="C589" s="5" t="n"/>
      <c r="D589" s="5" t="n"/>
      <c r="E589" s="5" t="n"/>
      <c r="F589" s="5" t="n"/>
      <c r="G589" s="5" t="n"/>
      <c r="H589" s="6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6" t="n"/>
      <c r="D590" s="88" t="inlineStr">
        <is>
          <t>Squadra B</t>
        </is>
      </c>
      <c r="E590" s="6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6" t="n"/>
      <c r="J590" s="88" t="inlineStr">
        <is>
          <t>Risultato</t>
        </is>
      </c>
      <c r="K590" s="5" t="n"/>
      <c r="L590" s="6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5" t="n"/>
      <c r="H591" s="5" t="n"/>
      <c r="I591" s="6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n"/>
      <c r="N591" s="196" t="n"/>
      <c r="O591" s="196" t="n"/>
      <c r="P591" s="196" t="n"/>
      <c r="Q591" s="196" t="n"/>
      <c r="R591" s="196" t="n"/>
    </row>
    <row r="592" ht="15" customHeight="1">
      <c r="A592" s="141" t="n"/>
      <c r="B592" s="69">
        <f>IF('Calendario D'!B82="","",'Calendario D'!B82)</f>
        <v/>
      </c>
      <c r="C592" s="5" t="n"/>
      <c r="D592" s="5" t="n"/>
      <c r="E592" s="5" t="n"/>
      <c r="F592" s="5" t="n"/>
      <c r="G592" s="5" t="n"/>
      <c r="H592" s="6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6" t="n"/>
      <c r="D593" s="88" t="inlineStr">
        <is>
          <t>Squadra B</t>
        </is>
      </c>
      <c r="E593" s="6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6" t="n"/>
      <c r="J593" s="88" t="inlineStr">
        <is>
          <t>Risultato</t>
        </is>
      </c>
      <c r="K593" s="5" t="n"/>
      <c r="L593" s="6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5" t="n"/>
      <c r="H594" s="5" t="n"/>
      <c r="I594" s="6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n"/>
      <c r="N594" s="196" t="n"/>
      <c r="O594" s="196" t="n"/>
      <c r="P594" s="196" t="n"/>
      <c r="Q594" s="196" t="n"/>
      <c r="R594" s="196" t="n"/>
    </row>
    <row r="595" ht="15" customHeight="1">
      <c r="A595" s="141" t="n"/>
      <c r="B595" s="69">
        <f>IF('Calendario D'!B85="","",'Calendario D'!B85)</f>
        <v/>
      </c>
      <c r="C595" s="5" t="n"/>
      <c r="D595" s="5" t="n"/>
      <c r="E595" s="5" t="n"/>
      <c r="F595" s="5" t="n"/>
      <c r="G595" s="5" t="n"/>
      <c r="H595" s="6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6" t="n"/>
      <c r="D596" s="88" t="inlineStr">
        <is>
          <t>Squadra B</t>
        </is>
      </c>
      <c r="E596" s="6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6" t="n"/>
      <c r="J596" s="88" t="inlineStr">
        <is>
          <t>Risultato</t>
        </is>
      </c>
      <c r="K596" s="5" t="n"/>
      <c r="L596" s="6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5" t="n"/>
      <c r="H597" s="5" t="n"/>
      <c r="I597" s="6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n"/>
      <c r="N597" s="196" t="n"/>
      <c r="O597" s="196" t="n"/>
      <c r="P597" s="196" t="n"/>
      <c r="Q597" s="196" t="n"/>
      <c r="R597" s="196" t="n"/>
    </row>
    <row r="598" ht="15" customHeight="1">
      <c r="A598" s="141" t="n"/>
      <c r="B598" s="69">
        <f>IF('Calendario D'!B88="","",'Calendario D'!B88)</f>
        <v/>
      </c>
      <c r="C598" s="5" t="n"/>
      <c r="D598" s="5" t="n"/>
      <c r="E598" s="5" t="n"/>
      <c r="F598" s="5" t="n"/>
      <c r="G598" s="5" t="n"/>
      <c r="H598" s="6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6" t="n"/>
      <c r="D599" s="88" t="inlineStr">
        <is>
          <t>Squadra B</t>
        </is>
      </c>
      <c r="E599" s="6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6" t="n"/>
      <c r="J599" s="88" t="inlineStr">
        <is>
          <t>Risultato</t>
        </is>
      </c>
      <c r="K599" s="5" t="n"/>
      <c r="L599" s="6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5" t="n"/>
      <c r="H600" s="5" t="n"/>
      <c r="I600" s="6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n"/>
      <c r="N600" s="196" t="n"/>
      <c r="O600" s="196" t="n"/>
      <c r="P600" s="196" t="n"/>
      <c r="Q600" s="196" t="n"/>
      <c r="R600" s="196" t="n"/>
    </row>
    <row r="601" ht="15" customHeight="1">
      <c r="A601" s="141" t="n"/>
      <c r="B601" s="69">
        <f>IF('Calendario D'!B91="","",'Calendario D'!B91)</f>
        <v/>
      </c>
      <c r="C601" s="5" t="n"/>
      <c r="D601" s="5" t="n"/>
      <c r="E601" s="5" t="n"/>
      <c r="F601" s="5" t="n"/>
      <c r="G601" s="5" t="n"/>
      <c r="H601" s="6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 t="n"/>
      <c r="M603" s="202" t="inlineStr">
        <is>
          <t>ARBITRI</t>
        </is>
      </c>
      <c r="N603" s="5" t="n"/>
      <c r="O603" s="6" t="n"/>
      <c r="P603" s="202" t="inlineStr">
        <is>
          <t>UFFICIALI DI CAMPO</t>
        </is>
      </c>
      <c r="Q603" s="5" t="n"/>
      <c r="R603" s="6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6" t="n"/>
      <c r="D604" s="88" t="inlineStr">
        <is>
          <t>Squadra B</t>
        </is>
      </c>
      <c r="E604" s="6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6" t="n"/>
      <c r="J604" s="88" t="inlineStr">
        <is>
          <t>Risultato</t>
        </is>
      </c>
      <c r="K604" s="5" t="n"/>
      <c r="L604" s="6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5" t="n"/>
      <c r="H605" s="5" t="n"/>
      <c r="I605" s="6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n"/>
      <c r="N605" s="196" t="n"/>
      <c r="O605" s="196" t="n"/>
      <c r="P605" s="196" t="n"/>
      <c r="Q605" s="196" t="n"/>
      <c r="R605" s="196" t="n"/>
    </row>
    <row r="606" ht="15" customHeight="1">
      <c r="A606" s="141" t="n"/>
      <c r="B606" s="69">
        <f>IF('Calendario D'!B96="","",'Calendario D'!B96)</f>
        <v/>
      </c>
      <c r="C606" s="5" t="n"/>
      <c r="D606" s="5" t="n"/>
      <c r="E606" s="5" t="n"/>
      <c r="F606" s="5" t="n"/>
      <c r="G606" s="5" t="n"/>
      <c r="H606" s="6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6" t="n"/>
      <c r="D607" s="88" t="inlineStr">
        <is>
          <t>Squadra B</t>
        </is>
      </c>
      <c r="E607" s="6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6" t="n"/>
      <c r="J607" s="88" t="inlineStr">
        <is>
          <t>Risultato</t>
        </is>
      </c>
      <c r="K607" s="5" t="n"/>
      <c r="L607" s="6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5" t="n"/>
      <c r="H608" s="5" t="n"/>
      <c r="I608" s="6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n"/>
      <c r="N608" s="196" t="n"/>
      <c r="O608" s="196" t="n"/>
      <c r="P608" s="196" t="n"/>
      <c r="Q608" s="196" t="n"/>
      <c r="R608" s="196" t="n"/>
    </row>
    <row r="609" ht="15" customHeight="1">
      <c r="A609" s="141" t="n"/>
      <c r="B609" s="69">
        <f>IF('Calendario D'!B99="","",'Calendario D'!B99)</f>
        <v/>
      </c>
      <c r="C609" s="5" t="n"/>
      <c r="D609" s="5" t="n"/>
      <c r="E609" s="5" t="n"/>
      <c r="F609" s="5" t="n"/>
      <c r="G609" s="5" t="n"/>
      <c r="H609" s="6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6" t="n"/>
      <c r="D610" s="88" t="inlineStr">
        <is>
          <t>Squadra B</t>
        </is>
      </c>
      <c r="E610" s="6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6" t="n"/>
      <c r="J610" s="88" t="inlineStr">
        <is>
          <t>Risultato</t>
        </is>
      </c>
      <c r="K610" s="5" t="n"/>
      <c r="L610" s="6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5" t="n"/>
      <c r="H611" s="5" t="n"/>
      <c r="I611" s="6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n"/>
      <c r="N611" s="196" t="n"/>
      <c r="O611" s="196" t="n"/>
      <c r="P611" s="196" t="n"/>
      <c r="Q611" s="196" t="n"/>
      <c r="R611" s="196" t="n"/>
    </row>
    <row r="612" ht="15" customHeight="1">
      <c r="A612" s="141" t="n"/>
      <c r="B612" s="69">
        <f>IF('Calendario D'!B102="","",'Calendario D'!B102)</f>
        <v/>
      </c>
      <c r="C612" s="5" t="n"/>
      <c r="D612" s="5" t="n"/>
      <c r="E612" s="5" t="n"/>
      <c r="F612" s="5" t="n"/>
      <c r="G612" s="5" t="n"/>
      <c r="H612" s="6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6" t="n"/>
      <c r="D613" s="88" t="inlineStr">
        <is>
          <t>Squadra B</t>
        </is>
      </c>
      <c r="E613" s="6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6" t="n"/>
      <c r="J613" s="88" t="inlineStr">
        <is>
          <t>Risultato</t>
        </is>
      </c>
      <c r="K613" s="5" t="n"/>
      <c r="L613" s="6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5" t="n"/>
      <c r="H614" s="5" t="n"/>
      <c r="I614" s="6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n"/>
      <c r="N614" s="196" t="n"/>
      <c r="O614" s="196" t="n"/>
      <c r="P614" s="196" t="n"/>
      <c r="Q614" s="196" t="n"/>
      <c r="R614" s="196" t="n"/>
    </row>
    <row r="615" ht="15" customHeight="1">
      <c r="A615" s="141" t="n"/>
      <c r="B615" s="69">
        <f>IF('Calendario D'!B105="","",'Calendario D'!B105)</f>
        <v/>
      </c>
      <c r="C615" s="5" t="n"/>
      <c r="D615" s="5" t="n"/>
      <c r="E615" s="5" t="n"/>
      <c r="F615" s="5" t="n"/>
      <c r="G615" s="5" t="n"/>
      <c r="H615" s="6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6" t="n"/>
      <c r="D616" s="88" t="inlineStr">
        <is>
          <t>Squadra B</t>
        </is>
      </c>
      <c r="E616" s="6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6" t="n"/>
      <c r="J616" s="88" t="inlineStr">
        <is>
          <t>Risultato</t>
        </is>
      </c>
      <c r="K616" s="5" t="n"/>
      <c r="L616" s="6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5" t="n"/>
      <c r="H617" s="5" t="n"/>
      <c r="I617" s="6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n"/>
      <c r="N617" s="196" t="n"/>
      <c r="O617" s="196" t="n"/>
      <c r="P617" s="196" t="n"/>
      <c r="Q617" s="196" t="n"/>
      <c r="R617" s="196" t="n"/>
    </row>
    <row r="618" ht="15" customHeight="1">
      <c r="A618" s="141" t="n"/>
      <c r="B618" s="69">
        <f>IF('Calendario D'!B108="","",'Calendario D'!B108)</f>
        <v/>
      </c>
      <c r="C618" s="5" t="n"/>
      <c r="D618" s="5" t="n"/>
      <c r="E618" s="5" t="n"/>
      <c r="F618" s="5" t="n"/>
      <c r="G618" s="5" t="n"/>
      <c r="H618" s="6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 t="n"/>
      <c r="M620" s="202" t="inlineStr">
        <is>
          <t>ARBITRI</t>
        </is>
      </c>
      <c r="N620" s="5" t="n"/>
      <c r="O620" s="6" t="n"/>
      <c r="P620" s="202" t="inlineStr">
        <is>
          <t>UFFICIALI DI CAMPO</t>
        </is>
      </c>
      <c r="Q620" s="5" t="n"/>
      <c r="R620" s="6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6" t="n"/>
      <c r="D621" s="88" t="inlineStr">
        <is>
          <t>Squadra B</t>
        </is>
      </c>
      <c r="E621" s="6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6" t="n"/>
      <c r="J621" s="88" t="inlineStr">
        <is>
          <t>Risultato</t>
        </is>
      </c>
      <c r="K621" s="5" t="n"/>
      <c r="L621" s="6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5" t="n"/>
      <c r="H622" s="5" t="n"/>
      <c r="I622" s="6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n"/>
      <c r="N622" s="196" t="n"/>
      <c r="O622" s="196" t="n"/>
      <c r="P622" s="196" t="n"/>
      <c r="Q622" s="196" t="n"/>
      <c r="R622" s="196" t="n"/>
    </row>
    <row r="623" ht="15" customHeight="1">
      <c r="A623" s="141" t="n"/>
      <c r="B623" s="69">
        <f>IF('Calendario D'!B113="","",'Calendario D'!B113)</f>
        <v/>
      </c>
      <c r="C623" s="5" t="n"/>
      <c r="D623" s="5" t="n"/>
      <c r="E623" s="5" t="n"/>
      <c r="F623" s="5" t="n"/>
      <c r="G623" s="5" t="n"/>
      <c r="H623" s="6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6" t="n"/>
      <c r="D624" s="88" t="inlineStr">
        <is>
          <t>Squadra B</t>
        </is>
      </c>
      <c r="E624" s="6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6" t="n"/>
      <c r="J624" s="88" t="inlineStr">
        <is>
          <t>Risultato</t>
        </is>
      </c>
      <c r="K624" s="5" t="n"/>
      <c r="L624" s="6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5" t="n"/>
      <c r="H625" s="5" t="n"/>
      <c r="I625" s="6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n"/>
      <c r="N625" s="196" t="n"/>
      <c r="O625" s="196" t="n"/>
      <c r="P625" s="196" t="n"/>
      <c r="Q625" s="196" t="n"/>
      <c r="R625" s="196" t="n"/>
    </row>
    <row r="626" ht="15" customHeight="1">
      <c r="A626" s="141" t="n"/>
      <c r="B626" s="69">
        <f>IF('Calendario D'!B116="","",'Calendario D'!B116)</f>
        <v/>
      </c>
      <c r="C626" s="5" t="n"/>
      <c r="D626" s="5" t="n"/>
      <c r="E626" s="5" t="n"/>
      <c r="F626" s="5" t="n"/>
      <c r="G626" s="5" t="n"/>
      <c r="H626" s="6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6" t="n"/>
      <c r="D627" s="88" t="inlineStr">
        <is>
          <t>Squadra B</t>
        </is>
      </c>
      <c r="E627" s="6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6" t="n"/>
      <c r="J627" s="88" t="inlineStr">
        <is>
          <t>Risultato</t>
        </is>
      </c>
      <c r="K627" s="5" t="n"/>
      <c r="L627" s="6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5" t="n"/>
      <c r="H628" s="5" t="n"/>
      <c r="I628" s="6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n"/>
      <c r="N628" s="196" t="n"/>
      <c r="O628" s="196" t="n"/>
      <c r="P628" s="196" t="n"/>
      <c r="Q628" s="196" t="n"/>
      <c r="R628" s="196" t="n"/>
    </row>
    <row r="629" ht="15" customHeight="1">
      <c r="A629" s="141" t="n"/>
      <c r="B629" s="69">
        <f>IF('Calendario D'!B119="","",'Calendario D'!B119)</f>
        <v/>
      </c>
      <c r="C629" s="5" t="n"/>
      <c r="D629" s="5" t="n"/>
      <c r="E629" s="5" t="n"/>
      <c r="F629" s="5" t="n"/>
      <c r="G629" s="5" t="n"/>
      <c r="H629" s="6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6" t="n"/>
      <c r="D630" s="88" t="inlineStr">
        <is>
          <t>Squadra B</t>
        </is>
      </c>
      <c r="E630" s="6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6" t="n"/>
      <c r="J630" s="88" t="inlineStr">
        <is>
          <t>Risultato</t>
        </is>
      </c>
      <c r="K630" s="5" t="n"/>
      <c r="L630" s="6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5" t="n"/>
      <c r="H631" s="5" t="n"/>
      <c r="I631" s="6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n"/>
      <c r="N631" s="196" t="n"/>
      <c r="O631" s="196" t="n"/>
      <c r="P631" s="196" t="n"/>
      <c r="Q631" s="196" t="n"/>
      <c r="R631" s="196" t="n"/>
    </row>
    <row r="632" ht="15" customHeight="1">
      <c r="A632" s="141" t="n"/>
      <c r="B632" s="69">
        <f>IF('Calendario D'!B122="","",'Calendario D'!B122)</f>
        <v/>
      </c>
      <c r="C632" s="5" t="n"/>
      <c r="D632" s="5" t="n"/>
      <c r="E632" s="5" t="n"/>
      <c r="F632" s="5" t="n"/>
      <c r="G632" s="5" t="n"/>
      <c r="H632" s="6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6" t="n"/>
      <c r="D633" s="88" t="inlineStr">
        <is>
          <t>Squadra B</t>
        </is>
      </c>
      <c r="E633" s="6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6" t="n"/>
      <c r="J633" s="88" t="inlineStr">
        <is>
          <t>Risultato</t>
        </is>
      </c>
      <c r="K633" s="5" t="n"/>
      <c r="L633" s="6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5" t="n"/>
      <c r="H634" s="5" t="n"/>
      <c r="I634" s="6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n"/>
      <c r="N634" s="196" t="n"/>
      <c r="O634" s="196" t="n"/>
      <c r="P634" s="196" t="n"/>
      <c r="Q634" s="196" t="n"/>
      <c r="R634" s="196" t="n"/>
    </row>
    <row r="635" ht="15" customHeight="1">
      <c r="A635" s="141" t="n"/>
      <c r="B635" s="69">
        <f>IF('Calendario D'!B125="","",'Calendario D'!B125)</f>
        <v/>
      </c>
      <c r="C635" s="5" t="n"/>
      <c r="D635" s="5" t="n"/>
      <c r="E635" s="5" t="n"/>
      <c r="F635" s="5" t="n"/>
      <c r="G635" s="5" t="n"/>
      <c r="H635" s="6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 t="n"/>
      <c r="M637" s="202" t="inlineStr">
        <is>
          <t>ARBITRI</t>
        </is>
      </c>
      <c r="N637" s="5" t="n"/>
      <c r="O637" s="6" t="n"/>
      <c r="P637" s="202" t="inlineStr">
        <is>
          <t>UFFICIALI DI CAMPO</t>
        </is>
      </c>
      <c r="Q637" s="5" t="n"/>
      <c r="R637" s="6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6" t="n"/>
      <c r="D638" s="88" t="inlineStr">
        <is>
          <t>Squadra B</t>
        </is>
      </c>
      <c r="E638" s="6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6" t="n"/>
      <c r="J638" s="88" t="inlineStr">
        <is>
          <t>Risultato</t>
        </is>
      </c>
      <c r="K638" s="5" t="n"/>
      <c r="L638" s="6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5" t="n"/>
      <c r="H639" s="5" t="n"/>
      <c r="I639" s="6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n"/>
      <c r="N639" s="196" t="n"/>
      <c r="O639" s="196" t="n"/>
      <c r="P639" s="196" t="n"/>
      <c r="Q639" s="196" t="n"/>
      <c r="R639" s="196" t="n"/>
    </row>
    <row r="640" ht="15" customHeight="1">
      <c r="A640" s="141" t="n"/>
      <c r="B640" s="69">
        <f>IF('Calendario D'!B130="","",'Calendario D'!B130)</f>
        <v/>
      </c>
      <c r="C640" s="5" t="n"/>
      <c r="D640" s="5" t="n"/>
      <c r="E640" s="5" t="n"/>
      <c r="F640" s="5" t="n"/>
      <c r="G640" s="5" t="n"/>
      <c r="H640" s="6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6" t="n"/>
      <c r="D641" s="88" t="inlineStr">
        <is>
          <t>Squadra B</t>
        </is>
      </c>
      <c r="E641" s="6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6" t="n"/>
      <c r="J641" s="88" t="inlineStr">
        <is>
          <t>Risultato</t>
        </is>
      </c>
      <c r="K641" s="5" t="n"/>
      <c r="L641" s="6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5" t="n"/>
      <c r="H642" s="5" t="n"/>
      <c r="I642" s="6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n"/>
      <c r="N642" s="196" t="n"/>
      <c r="O642" s="196" t="n"/>
      <c r="P642" s="196" t="n"/>
      <c r="Q642" s="196" t="n"/>
      <c r="R642" s="196" t="n"/>
    </row>
    <row r="643" ht="15" customHeight="1">
      <c r="A643" s="141" t="n"/>
      <c r="B643" s="69">
        <f>IF('Calendario D'!B133="","",'Calendario D'!B133)</f>
        <v/>
      </c>
      <c r="C643" s="5" t="n"/>
      <c r="D643" s="5" t="n"/>
      <c r="E643" s="5" t="n"/>
      <c r="F643" s="5" t="n"/>
      <c r="G643" s="5" t="n"/>
      <c r="H643" s="6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6" t="n"/>
      <c r="D644" s="88" t="inlineStr">
        <is>
          <t>Squadra B</t>
        </is>
      </c>
      <c r="E644" s="6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6" t="n"/>
      <c r="J644" s="88" t="inlineStr">
        <is>
          <t>Risultato</t>
        </is>
      </c>
      <c r="K644" s="5" t="n"/>
      <c r="L644" s="6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5" t="n"/>
      <c r="H645" s="5" t="n"/>
      <c r="I645" s="6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n"/>
      <c r="N645" s="196" t="n"/>
      <c r="O645" s="196" t="n"/>
      <c r="P645" s="196" t="n"/>
      <c r="Q645" s="196" t="n"/>
      <c r="R645" s="196" t="n"/>
    </row>
    <row r="646" ht="15" customHeight="1">
      <c r="A646" s="141" t="n"/>
      <c r="B646" s="69">
        <f>IF('Calendario D'!B136="","",'Calendario D'!B136)</f>
        <v/>
      </c>
      <c r="C646" s="5" t="n"/>
      <c r="D646" s="5" t="n"/>
      <c r="E646" s="5" t="n"/>
      <c r="F646" s="5" t="n"/>
      <c r="G646" s="5" t="n"/>
      <c r="H646" s="6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6" t="n"/>
      <c r="D647" s="88" t="inlineStr">
        <is>
          <t>Squadra B</t>
        </is>
      </c>
      <c r="E647" s="6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6" t="n"/>
      <c r="J647" s="88" t="inlineStr">
        <is>
          <t>Risultato</t>
        </is>
      </c>
      <c r="K647" s="5" t="n"/>
      <c r="L647" s="6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5" t="n"/>
      <c r="H648" s="5" t="n"/>
      <c r="I648" s="6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n"/>
      <c r="N648" s="196" t="n"/>
      <c r="O648" s="196" t="n"/>
      <c r="P648" s="196" t="n"/>
      <c r="Q648" s="196" t="n"/>
      <c r="R648" s="196" t="n"/>
    </row>
    <row r="649" ht="15" customHeight="1">
      <c r="A649" s="141" t="n"/>
      <c r="B649" s="69">
        <f>IF('Calendario D'!B139="","",'Calendario D'!B139)</f>
        <v/>
      </c>
      <c r="C649" s="5" t="n"/>
      <c r="D649" s="5" t="n"/>
      <c r="E649" s="5" t="n"/>
      <c r="F649" s="5" t="n"/>
      <c r="G649" s="5" t="n"/>
      <c r="H649" s="6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6" t="n"/>
      <c r="D650" s="88" t="inlineStr">
        <is>
          <t>Squadra B</t>
        </is>
      </c>
      <c r="E650" s="6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6" t="n"/>
      <c r="J650" s="88" t="inlineStr">
        <is>
          <t>Risultato</t>
        </is>
      </c>
      <c r="K650" s="5" t="n"/>
      <c r="L650" s="6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5" t="n"/>
      <c r="H651" s="5" t="n"/>
      <c r="I651" s="6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n"/>
      <c r="N651" s="196" t="n"/>
      <c r="O651" s="196" t="n"/>
      <c r="P651" s="196" t="n"/>
      <c r="Q651" s="196" t="n"/>
      <c r="R651" s="196" t="n"/>
    </row>
    <row r="652" ht="15" customHeight="1">
      <c r="A652" s="141" t="n"/>
      <c r="B652" s="69">
        <f>IF('Calendario D'!B142="","",'Calendario D'!B142)</f>
        <v/>
      </c>
      <c r="C652" s="5" t="n"/>
      <c r="D652" s="5" t="n"/>
      <c r="E652" s="5" t="n"/>
      <c r="F652" s="5" t="n"/>
      <c r="G652" s="5" t="n"/>
      <c r="H652" s="6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 t="n"/>
      <c r="M654" s="202" t="inlineStr">
        <is>
          <t>ARBITRI</t>
        </is>
      </c>
      <c r="N654" s="5" t="n"/>
      <c r="O654" s="6" t="n"/>
      <c r="P654" s="202" t="inlineStr">
        <is>
          <t>UFFICIALI DI CAMPO</t>
        </is>
      </c>
      <c r="Q654" s="5" t="n"/>
      <c r="R654" s="6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6" t="n"/>
      <c r="D655" s="88" t="inlineStr">
        <is>
          <t>Squadra B</t>
        </is>
      </c>
      <c r="E655" s="6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6" t="n"/>
      <c r="J655" s="88" t="inlineStr">
        <is>
          <t>Risultato</t>
        </is>
      </c>
      <c r="K655" s="5" t="n"/>
      <c r="L655" s="6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5" t="n"/>
      <c r="H656" s="5" t="n"/>
      <c r="I656" s="6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n"/>
      <c r="N656" s="196" t="n"/>
      <c r="O656" s="196" t="n"/>
      <c r="P656" s="196" t="n"/>
      <c r="Q656" s="196" t="n"/>
      <c r="R656" s="196" t="n"/>
    </row>
    <row r="657" ht="15" customHeight="1">
      <c r="A657" s="141" t="n"/>
      <c r="B657" s="69">
        <f>IF('Calendario D'!B147="","",'Calendario D'!B147)</f>
        <v/>
      </c>
      <c r="C657" s="5" t="n"/>
      <c r="D657" s="5" t="n"/>
      <c r="E657" s="5" t="n"/>
      <c r="F657" s="5" t="n"/>
      <c r="G657" s="5" t="n"/>
      <c r="H657" s="6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6" t="n"/>
      <c r="D658" s="88" t="inlineStr">
        <is>
          <t>Squadra B</t>
        </is>
      </c>
      <c r="E658" s="6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6" t="n"/>
      <c r="J658" s="88" t="inlineStr">
        <is>
          <t>Risultato</t>
        </is>
      </c>
      <c r="K658" s="5" t="n"/>
      <c r="L658" s="6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5" t="n"/>
      <c r="H659" s="5" t="n"/>
      <c r="I659" s="6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n"/>
      <c r="N659" s="196" t="n"/>
      <c r="O659" s="196" t="n"/>
      <c r="P659" s="196" t="n"/>
      <c r="Q659" s="196" t="n"/>
      <c r="R659" s="196" t="n"/>
    </row>
    <row r="660" ht="15" customHeight="1">
      <c r="A660" s="141" t="n"/>
      <c r="B660" s="69">
        <f>IF('Calendario D'!B150="","",'Calendario D'!B150)</f>
        <v/>
      </c>
      <c r="C660" s="5" t="n"/>
      <c r="D660" s="5" t="n"/>
      <c r="E660" s="5" t="n"/>
      <c r="F660" s="5" t="n"/>
      <c r="G660" s="5" t="n"/>
      <c r="H660" s="6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6" t="n"/>
      <c r="D661" s="88" t="inlineStr">
        <is>
          <t>Squadra B</t>
        </is>
      </c>
      <c r="E661" s="6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6" t="n"/>
      <c r="J661" s="88" t="inlineStr">
        <is>
          <t>Risultato</t>
        </is>
      </c>
      <c r="K661" s="5" t="n"/>
      <c r="L661" s="6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5" t="n"/>
      <c r="H662" s="5" t="n"/>
      <c r="I662" s="6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n"/>
      <c r="N662" s="196" t="n"/>
      <c r="O662" s="196" t="n"/>
      <c r="P662" s="196" t="n"/>
      <c r="Q662" s="196" t="n"/>
      <c r="R662" s="196" t="n"/>
    </row>
    <row r="663" ht="15" customHeight="1">
      <c r="A663" s="141" t="n"/>
      <c r="B663" s="69">
        <f>IF('Calendario D'!B153="","",'Calendario D'!B153)</f>
        <v/>
      </c>
      <c r="C663" s="5" t="n"/>
      <c r="D663" s="5" t="n"/>
      <c r="E663" s="5" t="n"/>
      <c r="F663" s="5" t="n"/>
      <c r="G663" s="5" t="n"/>
      <c r="H663" s="6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6" t="n"/>
      <c r="D664" s="88" t="inlineStr">
        <is>
          <t>Squadra B</t>
        </is>
      </c>
      <c r="E664" s="6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6" t="n"/>
      <c r="J664" s="88" t="inlineStr">
        <is>
          <t>Risultato</t>
        </is>
      </c>
      <c r="K664" s="5" t="n"/>
      <c r="L664" s="6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5" t="n"/>
      <c r="H665" s="5" t="n"/>
      <c r="I665" s="6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n"/>
      <c r="N665" s="196" t="n"/>
      <c r="O665" s="196" t="n"/>
      <c r="P665" s="196" t="n"/>
      <c r="Q665" s="196" t="n"/>
      <c r="R665" s="196" t="n"/>
    </row>
    <row r="666" ht="15" customHeight="1">
      <c r="A666" s="141" t="n"/>
      <c r="B666" s="69">
        <f>IF('Calendario D'!B156="","",'Calendario D'!B156)</f>
        <v/>
      </c>
      <c r="C666" s="5" t="n"/>
      <c r="D666" s="5" t="n"/>
      <c r="E666" s="5" t="n"/>
      <c r="F666" s="5" t="n"/>
      <c r="G666" s="5" t="n"/>
      <c r="H666" s="6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6" t="n"/>
      <c r="D667" s="88" t="inlineStr">
        <is>
          <t>Squadra B</t>
        </is>
      </c>
      <c r="E667" s="6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6" t="n"/>
      <c r="J667" s="88" t="inlineStr">
        <is>
          <t>Risultato</t>
        </is>
      </c>
      <c r="K667" s="5" t="n"/>
      <c r="L667" s="6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5" t="n"/>
      <c r="H668" s="5" t="n"/>
      <c r="I668" s="6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n"/>
      <c r="N668" s="196" t="n"/>
      <c r="O668" s="196" t="n"/>
      <c r="P668" s="196" t="n"/>
      <c r="Q668" s="196" t="n"/>
      <c r="R668" s="196" t="n"/>
    </row>
    <row r="669" ht="15" customHeight="1">
      <c r="A669" s="141" t="n"/>
      <c r="B669" s="69">
        <f>IF('Calendario D'!B159="","",'Calendario D'!B159)</f>
        <v/>
      </c>
      <c r="C669" s="5" t="n"/>
      <c r="D669" s="5" t="n"/>
      <c r="E669" s="5" t="n"/>
      <c r="F669" s="5" t="n"/>
      <c r="G669" s="5" t="n"/>
      <c r="H669" s="6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 t="n"/>
      <c r="M688" s="204" t="inlineStr">
        <is>
          <t>ARBITRI</t>
        </is>
      </c>
      <c r="N688" s="5" t="n"/>
      <c r="O688" s="6" t="n"/>
      <c r="P688" s="204" t="inlineStr">
        <is>
          <t>UFFICIALI DI CAMPO</t>
        </is>
      </c>
      <c r="Q688" s="5" t="n"/>
      <c r="R688" s="6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6" t="n"/>
      <c r="D689" s="95" t="inlineStr">
        <is>
          <t>Squadra B</t>
        </is>
      </c>
      <c r="E689" s="6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6" t="n"/>
      <c r="J689" s="95" t="inlineStr">
        <is>
          <t>Risultato</t>
        </is>
      </c>
      <c r="K689" s="5" t="n"/>
      <c r="L689" s="6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5" t="n"/>
      <c r="H690" s="5" t="n"/>
      <c r="I690" s="6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n"/>
      <c r="N690" s="196" t="n"/>
      <c r="O690" s="196" t="n"/>
      <c r="P690" s="196" t="n"/>
      <c r="Q690" s="196" t="n"/>
      <c r="R690" s="196" t="n"/>
    </row>
    <row r="691" ht="15" customHeight="1">
      <c r="A691" s="141" t="n"/>
      <c r="B691" s="69">
        <f>IF('Calendario E'!B11="","",'Calendario E'!B11)</f>
        <v/>
      </c>
      <c r="C691" s="5" t="n"/>
      <c r="D691" s="5" t="n"/>
      <c r="E691" s="5" t="n"/>
      <c r="F691" s="5" t="n"/>
      <c r="G691" s="5" t="n"/>
      <c r="H691" s="6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6" t="n"/>
      <c r="D692" s="95" t="inlineStr">
        <is>
          <t>Squadra B</t>
        </is>
      </c>
      <c r="E692" s="6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6" t="n"/>
      <c r="J692" s="95" t="inlineStr">
        <is>
          <t>Risultato</t>
        </is>
      </c>
      <c r="K692" s="5" t="n"/>
      <c r="L692" s="6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5" t="n"/>
      <c r="H693" s="5" t="n"/>
      <c r="I693" s="6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n"/>
      <c r="N693" s="196" t="n"/>
      <c r="O693" s="196" t="n"/>
      <c r="P693" s="196" t="n"/>
      <c r="Q693" s="196" t="n"/>
      <c r="R693" s="196" t="n"/>
    </row>
    <row r="694" ht="15" customHeight="1">
      <c r="A694" s="141" t="n"/>
      <c r="B694" s="69">
        <f>IF('Calendario E'!B14="","",'Calendario E'!B14)</f>
        <v/>
      </c>
      <c r="C694" s="5" t="n"/>
      <c r="D694" s="5" t="n"/>
      <c r="E694" s="5" t="n"/>
      <c r="F694" s="5" t="n"/>
      <c r="G694" s="5" t="n"/>
      <c r="H694" s="6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6" t="n"/>
      <c r="D695" s="95" t="inlineStr">
        <is>
          <t>Squadra B</t>
        </is>
      </c>
      <c r="E695" s="6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6" t="n"/>
      <c r="J695" s="95" t="inlineStr">
        <is>
          <t>Risultato</t>
        </is>
      </c>
      <c r="K695" s="5" t="n"/>
      <c r="L695" s="6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5" t="n"/>
      <c r="H696" s="5" t="n"/>
      <c r="I696" s="6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n"/>
      <c r="N696" s="196" t="n"/>
      <c r="O696" s="196" t="n"/>
      <c r="P696" s="196" t="n"/>
      <c r="Q696" s="196" t="n"/>
      <c r="R696" s="196" t="n"/>
    </row>
    <row r="697" ht="15" customHeight="1">
      <c r="A697" s="141" t="n"/>
      <c r="B697" s="69">
        <f>IF('Calendario E'!B17="","",'Calendario E'!B17)</f>
        <v/>
      </c>
      <c r="C697" s="5" t="n"/>
      <c r="D697" s="5" t="n"/>
      <c r="E697" s="5" t="n"/>
      <c r="F697" s="5" t="n"/>
      <c r="G697" s="5" t="n"/>
      <c r="H697" s="6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6" t="n"/>
      <c r="D698" s="95" t="inlineStr">
        <is>
          <t>Squadra B</t>
        </is>
      </c>
      <c r="E698" s="6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6" t="n"/>
      <c r="J698" s="95" t="inlineStr">
        <is>
          <t>Risultato</t>
        </is>
      </c>
      <c r="K698" s="5" t="n"/>
      <c r="L698" s="6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5" t="n"/>
      <c r="H699" s="5" t="n"/>
      <c r="I699" s="6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n"/>
      <c r="N699" s="196" t="n"/>
      <c r="O699" s="196" t="n"/>
      <c r="P699" s="196" t="n"/>
      <c r="Q699" s="196" t="n"/>
      <c r="R699" s="196" t="n"/>
    </row>
    <row r="700" ht="15" customHeight="1">
      <c r="A700" s="141" t="n"/>
      <c r="B700" s="69">
        <f>IF('Calendario E'!B20="","",'Calendario E'!B20)</f>
        <v/>
      </c>
      <c r="C700" s="5" t="n"/>
      <c r="D700" s="5" t="n"/>
      <c r="E700" s="5" t="n"/>
      <c r="F700" s="5" t="n"/>
      <c r="G700" s="5" t="n"/>
      <c r="H700" s="6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6" t="n"/>
      <c r="D701" s="95" t="inlineStr">
        <is>
          <t>Squadra B</t>
        </is>
      </c>
      <c r="E701" s="6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6" t="n"/>
      <c r="J701" s="95" t="inlineStr">
        <is>
          <t>Risultato</t>
        </is>
      </c>
      <c r="K701" s="5" t="n"/>
      <c r="L701" s="6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5" t="n"/>
      <c r="H702" s="5" t="n"/>
      <c r="I702" s="6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n"/>
      <c r="N702" s="196" t="n"/>
      <c r="O702" s="196" t="n"/>
      <c r="P702" s="196" t="n"/>
      <c r="Q702" s="196" t="n"/>
      <c r="R702" s="196" t="n"/>
    </row>
    <row r="703" ht="15" customHeight="1">
      <c r="A703" s="141" t="n"/>
      <c r="B703" s="69">
        <f>IF('Calendario E'!B23="","",'Calendario E'!B23)</f>
        <v/>
      </c>
      <c r="C703" s="5" t="n"/>
      <c r="D703" s="5" t="n"/>
      <c r="E703" s="5" t="n"/>
      <c r="F703" s="5" t="n"/>
      <c r="G703" s="5" t="n"/>
      <c r="H703" s="6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 t="n"/>
      <c r="M705" s="204" t="inlineStr">
        <is>
          <t>ARBITRI</t>
        </is>
      </c>
      <c r="N705" s="5" t="n"/>
      <c r="O705" s="6" t="n"/>
      <c r="P705" s="204" t="inlineStr">
        <is>
          <t>UFFICIALI DI CAMPO</t>
        </is>
      </c>
      <c r="Q705" s="5" t="n"/>
      <c r="R705" s="6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6" t="n"/>
      <c r="D706" s="95" t="inlineStr">
        <is>
          <t>Squadra B</t>
        </is>
      </c>
      <c r="E706" s="6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6" t="n"/>
      <c r="J706" s="95" t="inlineStr">
        <is>
          <t>Risultato</t>
        </is>
      </c>
      <c r="K706" s="5" t="n"/>
      <c r="L706" s="6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5" t="n"/>
      <c r="H707" s="5" t="n"/>
      <c r="I707" s="6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n"/>
      <c r="N707" s="196" t="n"/>
      <c r="O707" s="196" t="n"/>
      <c r="P707" s="196" t="n"/>
      <c r="Q707" s="196" t="n"/>
      <c r="R707" s="196" t="n"/>
    </row>
    <row r="708" ht="15" customHeight="1">
      <c r="A708" s="141" t="n"/>
      <c r="B708" s="69">
        <f>IF('Calendario E'!B28="","",'Calendario E'!B28)</f>
        <v/>
      </c>
      <c r="C708" s="5" t="n"/>
      <c r="D708" s="5" t="n"/>
      <c r="E708" s="5" t="n"/>
      <c r="F708" s="5" t="n"/>
      <c r="G708" s="5" t="n"/>
      <c r="H708" s="6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6" t="n"/>
      <c r="D709" s="95" t="inlineStr">
        <is>
          <t>Squadra B</t>
        </is>
      </c>
      <c r="E709" s="6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6" t="n"/>
      <c r="J709" s="95" t="inlineStr">
        <is>
          <t>Risultato</t>
        </is>
      </c>
      <c r="K709" s="5" t="n"/>
      <c r="L709" s="6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5" t="n"/>
      <c r="H710" s="5" t="n"/>
      <c r="I710" s="6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n"/>
      <c r="N710" s="196" t="n"/>
      <c r="O710" s="196" t="n"/>
      <c r="P710" s="196" t="n"/>
      <c r="Q710" s="196" t="n"/>
      <c r="R710" s="196" t="n"/>
    </row>
    <row r="711" ht="15" customHeight="1">
      <c r="A711" s="141" t="n"/>
      <c r="B711" s="69">
        <f>IF('Calendario E'!B31="","",'Calendario E'!B31)</f>
        <v/>
      </c>
      <c r="C711" s="5" t="n"/>
      <c r="D711" s="5" t="n"/>
      <c r="E711" s="5" t="n"/>
      <c r="F711" s="5" t="n"/>
      <c r="G711" s="5" t="n"/>
      <c r="H711" s="6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6" t="n"/>
      <c r="D712" s="95" t="inlineStr">
        <is>
          <t>Squadra B</t>
        </is>
      </c>
      <c r="E712" s="6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6" t="n"/>
      <c r="J712" s="95" t="inlineStr">
        <is>
          <t>Risultato</t>
        </is>
      </c>
      <c r="K712" s="5" t="n"/>
      <c r="L712" s="6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5" t="n"/>
      <c r="H713" s="5" t="n"/>
      <c r="I713" s="6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n"/>
      <c r="N713" s="196" t="n"/>
      <c r="O713" s="196" t="n"/>
      <c r="P713" s="196" t="n"/>
      <c r="Q713" s="196" t="n"/>
      <c r="R713" s="196" t="n"/>
    </row>
    <row r="714" ht="15" customHeight="1">
      <c r="A714" s="141" t="n"/>
      <c r="B714" s="69">
        <f>IF('Calendario E'!B34="","",'Calendario E'!B34)</f>
        <v/>
      </c>
      <c r="C714" s="5" t="n"/>
      <c r="D714" s="5" t="n"/>
      <c r="E714" s="5" t="n"/>
      <c r="F714" s="5" t="n"/>
      <c r="G714" s="5" t="n"/>
      <c r="H714" s="6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6" t="n"/>
      <c r="D715" s="95" t="inlineStr">
        <is>
          <t>Squadra B</t>
        </is>
      </c>
      <c r="E715" s="6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6" t="n"/>
      <c r="J715" s="95" t="inlineStr">
        <is>
          <t>Risultato</t>
        </is>
      </c>
      <c r="K715" s="5" t="n"/>
      <c r="L715" s="6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5" t="n"/>
      <c r="H716" s="5" t="n"/>
      <c r="I716" s="6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n"/>
      <c r="N716" s="196" t="n"/>
      <c r="O716" s="196" t="n"/>
      <c r="P716" s="196" t="n"/>
      <c r="Q716" s="196" t="n"/>
      <c r="R716" s="196" t="n"/>
    </row>
    <row r="717" ht="15" customHeight="1">
      <c r="A717" s="141" t="n"/>
      <c r="B717" s="69">
        <f>IF('Calendario E'!B37="","",'Calendario E'!B37)</f>
        <v/>
      </c>
      <c r="C717" s="5" t="n"/>
      <c r="D717" s="5" t="n"/>
      <c r="E717" s="5" t="n"/>
      <c r="F717" s="5" t="n"/>
      <c r="G717" s="5" t="n"/>
      <c r="H717" s="6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6" t="n"/>
      <c r="D718" s="95" t="inlineStr">
        <is>
          <t>Squadra B</t>
        </is>
      </c>
      <c r="E718" s="6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6" t="n"/>
      <c r="J718" s="95" t="inlineStr">
        <is>
          <t>Risultato</t>
        </is>
      </c>
      <c r="K718" s="5" t="n"/>
      <c r="L718" s="6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5" t="n"/>
      <c r="H719" s="5" t="n"/>
      <c r="I719" s="6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n"/>
      <c r="N719" s="196" t="n"/>
      <c r="O719" s="196" t="n"/>
      <c r="P719" s="196" t="n"/>
      <c r="Q719" s="196" t="n"/>
      <c r="R719" s="196" t="n"/>
    </row>
    <row r="720" ht="15" customHeight="1">
      <c r="A720" s="141" t="n"/>
      <c r="B720" s="69">
        <f>IF('Calendario E'!B40="","",'Calendario E'!B40)</f>
        <v/>
      </c>
      <c r="C720" s="5" t="n"/>
      <c r="D720" s="5" t="n"/>
      <c r="E720" s="5" t="n"/>
      <c r="F720" s="5" t="n"/>
      <c r="G720" s="5" t="n"/>
      <c r="H720" s="6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 t="n"/>
      <c r="M722" s="204" t="inlineStr">
        <is>
          <t>ARBITRI</t>
        </is>
      </c>
      <c r="N722" s="5" t="n"/>
      <c r="O722" s="6" t="n"/>
      <c r="P722" s="204" t="inlineStr">
        <is>
          <t>UFFICIALI DI CAMPO</t>
        </is>
      </c>
      <c r="Q722" s="5" t="n"/>
      <c r="R722" s="6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6" t="n"/>
      <c r="D723" s="95" t="inlineStr">
        <is>
          <t>Squadra B</t>
        </is>
      </c>
      <c r="E723" s="6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6" t="n"/>
      <c r="J723" s="95" t="inlineStr">
        <is>
          <t>Risultato</t>
        </is>
      </c>
      <c r="K723" s="5" t="n"/>
      <c r="L723" s="6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5" t="n"/>
      <c r="H724" s="5" t="n"/>
      <c r="I724" s="6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n"/>
      <c r="N724" s="196" t="n"/>
      <c r="O724" s="196" t="n"/>
      <c r="P724" s="196" t="n"/>
      <c r="Q724" s="196" t="n"/>
      <c r="R724" s="196" t="n"/>
    </row>
    <row r="725" ht="15" customHeight="1">
      <c r="A725" s="141" t="n"/>
      <c r="B725" s="69">
        <f>IF('Calendario E'!B45="","",'Calendario E'!B45)</f>
        <v/>
      </c>
      <c r="C725" s="5" t="n"/>
      <c r="D725" s="5" t="n"/>
      <c r="E725" s="5" t="n"/>
      <c r="F725" s="5" t="n"/>
      <c r="G725" s="5" t="n"/>
      <c r="H725" s="6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6" t="n"/>
      <c r="D726" s="95" t="inlineStr">
        <is>
          <t>Squadra B</t>
        </is>
      </c>
      <c r="E726" s="6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6" t="n"/>
      <c r="J726" s="95" t="inlineStr">
        <is>
          <t>Risultato</t>
        </is>
      </c>
      <c r="K726" s="5" t="n"/>
      <c r="L726" s="6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5" t="n"/>
      <c r="H727" s="5" t="n"/>
      <c r="I727" s="6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n"/>
      <c r="N727" s="196" t="n"/>
      <c r="O727" s="196" t="n"/>
      <c r="P727" s="196" t="n"/>
      <c r="Q727" s="196" t="n"/>
      <c r="R727" s="196" t="n"/>
    </row>
    <row r="728" ht="15" customHeight="1">
      <c r="A728" s="141" t="n"/>
      <c r="B728" s="69">
        <f>IF('Calendario E'!B48="","",'Calendario E'!B48)</f>
        <v/>
      </c>
      <c r="C728" s="5" t="n"/>
      <c r="D728" s="5" t="n"/>
      <c r="E728" s="5" t="n"/>
      <c r="F728" s="5" t="n"/>
      <c r="G728" s="5" t="n"/>
      <c r="H728" s="6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6" t="n"/>
      <c r="D729" s="95" t="inlineStr">
        <is>
          <t>Squadra B</t>
        </is>
      </c>
      <c r="E729" s="6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6" t="n"/>
      <c r="J729" s="95" t="inlineStr">
        <is>
          <t>Risultato</t>
        </is>
      </c>
      <c r="K729" s="5" t="n"/>
      <c r="L729" s="6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5" t="n"/>
      <c r="H730" s="5" t="n"/>
      <c r="I730" s="6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n"/>
      <c r="N730" s="196" t="n"/>
      <c r="O730" s="196" t="n"/>
      <c r="P730" s="196" t="n"/>
      <c r="Q730" s="196" t="n"/>
      <c r="R730" s="196" t="n"/>
    </row>
    <row r="731" ht="15" customHeight="1">
      <c r="A731" s="141" t="n"/>
      <c r="B731" s="69">
        <f>IF('Calendario E'!B51="","",'Calendario E'!B51)</f>
        <v/>
      </c>
      <c r="C731" s="5" t="n"/>
      <c r="D731" s="5" t="n"/>
      <c r="E731" s="5" t="n"/>
      <c r="F731" s="5" t="n"/>
      <c r="G731" s="5" t="n"/>
      <c r="H731" s="6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6" t="n"/>
      <c r="D732" s="95" t="inlineStr">
        <is>
          <t>Squadra B</t>
        </is>
      </c>
      <c r="E732" s="6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6" t="n"/>
      <c r="J732" s="95" t="inlineStr">
        <is>
          <t>Risultato</t>
        </is>
      </c>
      <c r="K732" s="5" t="n"/>
      <c r="L732" s="6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5" t="n"/>
      <c r="H733" s="5" t="n"/>
      <c r="I733" s="6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n"/>
      <c r="N733" s="196" t="n"/>
      <c r="O733" s="196" t="n"/>
      <c r="P733" s="196" t="n"/>
      <c r="Q733" s="196" t="n"/>
      <c r="R733" s="196" t="n"/>
    </row>
    <row r="734" ht="15" customHeight="1">
      <c r="A734" s="141" t="n"/>
      <c r="B734" s="69">
        <f>IF('Calendario E'!B54="","",'Calendario E'!B54)</f>
        <v/>
      </c>
      <c r="C734" s="5" t="n"/>
      <c r="D734" s="5" t="n"/>
      <c r="E734" s="5" t="n"/>
      <c r="F734" s="5" t="n"/>
      <c r="G734" s="5" t="n"/>
      <c r="H734" s="6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6" t="n"/>
      <c r="D735" s="95" t="inlineStr">
        <is>
          <t>Squadra B</t>
        </is>
      </c>
      <c r="E735" s="6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6" t="n"/>
      <c r="J735" s="95" t="inlineStr">
        <is>
          <t>Risultato</t>
        </is>
      </c>
      <c r="K735" s="5" t="n"/>
      <c r="L735" s="6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5" t="n"/>
      <c r="H736" s="5" t="n"/>
      <c r="I736" s="6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n"/>
      <c r="N736" s="196" t="n"/>
      <c r="O736" s="196" t="n"/>
      <c r="P736" s="196" t="n"/>
      <c r="Q736" s="196" t="n"/>
      <c r="R736" s="196" t="n"/>
    </row>
    <row r="737" ht="15" customHeight="1">
      <c r="A737" s="141" t="n"/>
      <c r="B737" s="69">
        <f>IF('Calendario E'!B57="","",'Calendario E'!B57)</f>
        <v/>
      </c>
      <c r="C737" s="5" t="n"/>
      <c r="D737" s="5" t="n"/>
      <c r="E737" s="5" t="n"/>
      <c r="F737" s="5" t="n"/>
      <c r="G737" s="5" t="n"/>
      <c r="H737" s="6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 t="n"/>
      <c r="M739" s="204" t="inlineStr">
        <is>
          <t>ARBITRI</t>
        </is>
      </c>
      <c r="N739" s="5" t="n"/>
      <c r="O739" s="6" t="n"/>
      <c r="P739" s="204" t="inlineStr">
        <is>
          <t>UFFICIALI DI CAMPO</t>
        </is>
      </c>
      <c r="Q739" s="5" t="n"/>
      <c r="R739" s="6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6" t="n"/>
      <c r="D740" s="95" t="inlineStr">
        <is>
          <t>Squadra B</t>
        </is>
      </c>
      <c r="E740" s="6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6" t="n"/>
      <c r="J740" s="95" t="inlineStr">
        <is>
          <t>Risultato</t>
        </is>
      </c>
      <c r="K740" s="5" t="n"/>
      <c r="L740" s="6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5" t="n"/>
      <c r="H741" s="5" t="n"/>
      <c r="I741" s="6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n"/>
      <c r="N741" s="196" t="n"/>
      <c r="O741" s="196" t="n"/>
      <c r="P741" s="196" t="n"/>
      <c r="Q741" s="196" t="n"/>
      <c r="R741" s="196" t="n"/>
    </row>
    <row r="742" ht="15" customHeight="1">
      <c r="A742" s="141" t="n"/>
      <c r="B742" s="69">
        <f>IF('Calendario E'!B62="","",'Calendario E'!B62)</f>
        <v/>
      </c>
      <c r="C742" s="5" t="n"/>
      <c r="D742" s="5" t="n"/>
      <c r="E742" s="5" t="n"/>
      <c r="F742" s="5" t="n"/>
      <c r="G742" s="5" t="n"/>
      <c r="H742" s="6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6" t="n"/>
      <c r="D743" s="95" t="inlineStr">
        <is>
          <t>Squadra B</t>
        </is>
      </c>
      <c r="E743" s="6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6" t="n"/>
      <c r="J743" s="95" t="inlineStr">
        <is>
          <t>Risultato</t>
        </is>
      </c>
      <c r="K743" s="5" t="n"/>
      <c r="L743" s="6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5" t="n"/>
      <c r="H744" s="5" t="n"/>
      <c r="I744" s="6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n"/>
      <c r="N744" s="196" t="n"/>
      <c r="O744" s="196" t="n"/>
      <c r="P744" s="196" t="n"/>
      <c r="Q744" s="196" t="n"/>
      <c r="R744" s="196" t="n"/>
    </row>
    <row r="745" ht="15" customHeight="1">
      <c r="A745" s="141" t="n"/>
      <c r="B745" s="69">
        <f>IF('Calendario E'!B65="","",'Calendario E'!B65)</f>
        <v/>
      </c>
      <c r="C745" s="5" t="n"/>
      <c r="D745" s="5" t="n"/>
      <c r="E745" s="5" t="n"/>
      <c r="F745" s="5" t="n"/>
      <c r="G745" s="5" t="n"/>
      <c r="H745" s="6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6" t="n"/>
      <c r="D746" s="95" t="inlineStr">
        <is>
          <t>Squadra B</t>
        </is>
      </c>
      <c r="E746" s="6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6" t="n"/>
      <c r="J746" s="95" t="inlineStr">
        <is>
          <t>Risultato</t>
        </is>
      </c>
      <c r="K746" s="5" t="n"/>
      <c r="L746" s="6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5" t="n"/>
      <c r="H747" s="5" t="n"/>
      <c r="I747" s="6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n"/>
      <c r="N747" s="196" t="n"/>
      <c r="O747" s="196" t="n"/>
      <c r="P747" s="196" t="n"/>
      <c r="Q747" s="196" t="n"/>
      <c r="R747" s="196" t="n"/>
    </row>
    <row r="748" ht="15" customHeight="1">
      <c r="A748" s="141" t="n"/>
      <c r="B748" s="69">
        <f>IF('Calendario E'!B68="","",'Calendario E'!B68)</f>
        <v/>
      </c>
      <c r="C748" s="5" t="n"/>
      <c r="D748" s="5" t="n"/>
      <c r="E748" s="5" t="n"/>
      <c r="F748" s="5" t="n"/>
      <c r="G748" s="5" t="n"/>
      <c r="H748" s="6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6" t="n"/>
      <c r="D749" s="95" t="inlineStr">
        <is>
          <t>Squadra B</t>
        </is>
      </c>
      <c r="E749" s="6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6" t="n"/>
      <c r="J749" s="95" t="inlineStr">
        <is>
          <t>Risultato</t>
        </is>
      </c>
      <c r="K749" s="5" t="n"/>
      <c r="L749" s="6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5" t="n"/>
      <c r="H750" s="5" t="n"/>
      <c r="I750" s="6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n"/>
      <c r="N750" s="196" t="n"/>
      <c r="O750" s="196" t="n"/>
      <c r="P750" s="196" t="n"/>
      <c r="Q750" s="196" t="n"/>
      <c r="R750" s="196" t="n"/>
    </row>
    <row r="751" ht="15" customHeight="1">
      <c r="A751" s="141" t="n"/>
      <c r="B751" s="69">
        <f>IF('Calendario E'!B71="","",'Calendario E'!B71)</f>
        <v/>
      </c>
      <c r="C751" s="5" t="n"/>
      <c r="D751" s="5" t="n"/>
      <c r="E751" s="5" t="n"/>
      <c r="F751" s="5" t="n"/>
      <c r="G751" s="5" t="n"/>
      <c r="H751" s="6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6" t="n"/>
      <c r="D752" s="95" t="inlineStr">
        <is>
          <t>Squadra B</t>
        </is>
      </c>
      <c r="E752" s="6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6" t="n"/>
      <c r="J752" s="95" t="inlineStr">
        <is>
          <t>Risultato</t>
        </is>
      </c>
      <c r="K752" s="5" t="n"/>
      <c r="L752" s="6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5" t="n"/>
      <c r="H753" s="5" t="n"/>
      <c r="I753" s="6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n"/>
      <c r="N753" s="196" t="n"/>
      <c r="O753" s="196" t="n"/>
      <c r="P753" s="196" t="n"/>
      <c r="Q753" s="196" t="n"/>
      <c r="R753" s="196" t="n"/>
    </row>
    <row r="754" ht="15" customHeight="1">
      <c r="A754" s="141" t="n"/>
      <c r="B754" s="69">
        <f>IF('Calendario E'!B74="","",'Calendario E'!B74)</f>
        <v/>
      </c>
      <c r="C754" s="5" t="n"/>
      <c r="D754" s="5" t="n"/>
      <c r="E754" s="5" t="n"/>
      <c r="F754" s="5" t="n"/>
      <c r="G754" s="5" t="n"/>
      <c r="H754" s="6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 t="n"/>
      <c r="M756" s="204" t="inlineStr">
        <is>
          <t>ARBITRI</t>
        </is>
      </c>
      <c r="N756" s="5" t="n"/>
      <c r="O756" s="6" t="n"/>
      <c r="P756" s="204" t="inlineStr">
        <is>
          <t>UFFICIALI DI CAMPO</t>
        </is>
      </c>
      <c r="Q756" s="5" t="n"/>
      <c r="R756" s="6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6" t="n"/>
      <c r="D757" s="95" t="inlineStr">
        <is>
          <t>Squadra B</t>
        </is>
      </c>
      <c r="E757" s="6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6" t="n"/>
      <c r="J757" s="95" t="inlineStr">
        <is>
          <t>Risultato</t>
        </is>
      </c>
      <c r="K757" s="5" t="n"/>
      <c r="L757" s="6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5" t="n"/>
      <c r="H758" s="5" t="n"/>
      <c r="I758" s="6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n"/>
      <c r="N758" s="196" t="n"/>
      <c r="O758" s="196" t="n"/>
      <c r="P758" s="196" t="n"/>
      <c r="Q758" s="196" t="n"/>
      <c r="R758" s="196" t="n"/>
    </row>
    <row r="759" ht="15" customHeight="1">
      <c r="A759" s="141" t="n"/>
      <c r="B759" s="69">
        <f>IF('Calendario E'!B79="","",'Calendario E'!B79)</f>
        <v/>
      </c>
      <c r="C759" s="5" t="n"/>
      <c r="D759" s="5" t="n"/>
      <c r="E759" s="5" t="n"/>
      <c r="F759" s="5" t="n"/>
      <c r="G759" s="5" t="n"/>
      <c r="H759" s="6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6" t="n"/>
      <c r="D760" s="95" t="inlineStr">
        <is>
          <t>Squadra B</t>
        </is>
      </c>
      <c r="E760" s="6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6" t="n"/>
      <c r="J760" s="95" t="inlineStr">
        <is>
          <t>Risultato</t>
        </is>
      </c>
      <c r="K760" s="5" t="n"/>
      <c r="L760" s="6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5" t="n"/>
      <c r="H761" s="5" t="n"/>
      <c r="I761" s="6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n"/>
      <c r="N761" s="196" t="n"/>
      <c r="O761" s="196" t="n"/>
      <c r="P761" s="196" t="n"/>
      <c r="Q761" s="196" t="n"/>
      <c r="R761" s="196" t="n"/>
    </row>
    <row r="762" ht="15" customHeight="1">
      <c r="A762" s="141" t="n"/>
      <c r="B762" s="69">
        <f>IF('Calendario E'!B82="","",'Calendario E'!B82)</f>
        <v/>
      </c>
      <c r="C762" s="5" t="n"/>
      <c r="D762" s="5" t="n"/>
      <c r="E762" s="5" t="n"/>
      <c r="F762" s="5" t="n"/>
      <c r="G762" s="5" t="n"/>
      <c r="H762" s="6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6" t="n"/>
      <c r="D763" s="95" t="inlineStr">
        <is>
          <t>Squadra B</t>
        </is>
      </c>
      <c r="E763" s="6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6" t="n"/>
      <c r="J763" s="95" t="inlineStr">
        <is>
          <t>Risultato</t>
        </is>
      </c>
      <c r="K763" s="5" t="n"/>
      <c r="L763" s="6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5" t="n"/>
      <c r="H764" s="5" t="n"/>
      <c r="I764" s="6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n"/>
      <c r="N764" s="196" t="n"/>
      <c r="O764" s="196" t="n"/>
      <c r="P764" s="196" t="n"/>
      <c r="Q764" s="196" t="n"/>
      <c r="R764" s="196" t="n"/>
    </row>
    <row r="765" ht="15" customHeight="1">
      <c r="A765" s="141" t="n"/>
      <c r="B765" s="69">
        <f>IF('Calendario E'!B85="","",'Calendario E'!B85)</f>
        <v/>
      </c>
      <c r="C765" s="5" t="n"/>
      <c r="D765" s="5" t="n"/>
      <c r="E765" s="5" t="n"/>
      <c r="F765" s="5" t="n"/>
      <c r="G765" s="5" t="n"/>
      <c r="H765" s="6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6" t="n"/>
      <c r="D766" s="95" t="inlineStr">
        <is>
          <t>Squadra B</t>
        </is>
      </c>
      <c r="E766" s="6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6" t="n"/>
      <c r="J766" s="95" t="inlineStr">
        <is>
          <t>Risultato</t>
        </is>
      </c>
      <c r="K766" s="5" t="n"/>
      <c r="L766" s="6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5" t="n"/>
      <c r="H767" s="5" t="n"/>
      <c r="I767" s="6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n"/>
      <c r="N767" s="196" t="n"/>
      <c r="O767" s="196" t="n"/>
      <c r="P767" s="196" t="n"/>
      <c r="Q767" s="196" t="n"/>
      <c r="R767" s="196" t="n"/>
    </row>
    <row r="768" ht="15" customHeight="1">
      <c r="A768" s="141" t="n"/>
      <c r="B768" s="69">
        <f>IF('Calendario E'!B88="","",'Calendario E'!B88)</f>
        <v/>
      </c>
      <c r="C768" s="5" t="n"/>
      <c r="D768" s="5" t="n"/>
      <c r="E768" s="5" t="n"/>
      <c r="F768" s="5" t="n"/>
      <c r="G768" s="5" t="n"/>
      <c r="H768" s="6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6" t="n"/>
      <c r="D769" s="95" t="inlineStr">
        <is>
          <t>Squadra B</t>
        </is>
      </c>
      <c r="E769" s="6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6" t="n"/>
      <c r="J769" s="95" t="inlineStr">
        <is>
          <t>Risultato</t>
        </is>
      </c>
      <c r="K769" s="5" t="n"/>
      <c r="L769" s="6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5" t="n"/>
      <c r="H770" s="5" t="n"/>
      <c r="I770" s="6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n"/>
      <c r="N770" s="196" t="n"/>
      <c r="O770" s="196" t="n"/>
      <c r="P770" s="196" t="n"/>
      <c r="Q770" s="196" t="n"/>
      <c r="R770" s="196" t="n"/>
    </row>
    <row r="771" ht="15" customHeight="1">
      <c r="A771" s="141" t="n"/>
      <c r="B771" s="69">
        <f>IF('Calendario E'!B91="","",'Calendario E'!B91)</f>
        <v/>
      </c>
      <c r="C771" s="5" t="n"/>
      <c r="D771" s="5" t="n"/>
      <c r="E771" s="5" t="n"/>
      <c r="F771" s="5" t="n"/>
      <c r="G771" s="5" t="n"/>
      <c r="H771" s="6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 t="n"/>
      <c r="M773" s="204" t="inlineStr">
        <is>
          <t>ARBITRI</t>
        </is>
      </c>
      <c r="N773" s="5" t="n"/>
      <c r="O773" s="6" t="n"/>
      <c r="P773" s="204" t="inlineStr">
        <is>
          <t>UFFICIALI DI CAMPO</t>
        </is>
      </c>
      <c r="Q773" s="5" t="n"/>
      <c r="R773" s="6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6" t="n"/>
      <c r="D774" s="95" t="inlineStr">
        <is>
          <t>Squadra B</t>
        </is>
      </c>
      <c r="E774" s="6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6" t="n"/>
      <c r="J774" s="95" t="inlineStr">
        <is>
          <t>Risultato</t>
        </is>
      </c>
      <c r="K774" s="5" t="n"/>
      <c r="L774" s="6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5" t="n"/>
      <c r="H775" s="5" t="n"/>
      <c r="I775" s="6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n"/>
      <c r="N775" s="196" t="n"/>
      <c r="O775" s="196" t="n"/>
      <c r="P775" s="196" t="n"/>
      <c r="Q775" s="196" t="n"/>
      <c r="R775" s="196" t="n"/>
    </row>
    <row r="776" ht="15" customHeight="1">
      <c r="A776" s="141" t="n"/>
      <c r="B776" s="69">
        <f>IF('Calendario E'!B96="","",'Calendario E'!B96)</f>
        <v/>
      </c>
      <c r="C776" s="5" t="n"/>
      <c r="D776" s="5" t="n"/>
      <c r="E776" s="5" t="n"/>
      <c r="F776" s="5" t="n"/>
      <c r="G776" s="5" t="n"/>
      <c r="H776" s="6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6" t="n"/>
      <c r="D777" s="95" t="inlineStr">
        <is>
          <t>Squadra B</t>
        </is>
      </c>
      <c r="E777" s="6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6" t="n"/>
      <c r="J777" s="95" t="inlineStr">
        <is>
          <t>Risultato</t>
        </is>
      </c>
      <c r="K777" s="5" t="n"/>
      <c r="L777" s="6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5" t="n"/>
      <c r="H778" s="5" t="n"/>
      <c r="I778" s="6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n"/>
      <c r="N778" s="196" t="n"/>
      <c r="O778" s="196" t="n"/>
      <c r="P778" s="196" t="n"/>
      <c r="Q778" s="196" t="n"/>
      <c r="R778" s="196" t="n"/>
    </row>
    <row r="779" ht="15" customHeight="1">
      <c r="A779" s="141" t="n"/>
      <c r="B779" s="69">
        <f>IF('Calendario E'!B99="","",'Calendario E'!B99)</f>
        <v/>
      </c>
      <c r="C779" s="5" t="n"/>
      <c r="D779" s="5" t="n"/>
      <c r="E779" s="5" t="n"/>
      <c r="F779" s="5" t="n"/>
      <c r="G779" s="5" t="n"/>
      <c r="H779" s="6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6" t="n"/>
      <c r="D780" s="95" t="inlineStr">
        <is>
          <t>Squadra B</t>
        </is>
      </c>
      <c r="E780" s="6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6" t="n"/>
      <c r="J780" s="95" t="inlineStr">
        <is>
          <t>Risultato</t>
        </is>
      </c>
      <c r="K780" s="5" t="n"/>
      <c r="L780" s="6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5" t="n"/>
      <c r="H781" s="5" t="n"/>
      <c r="I781" s="6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n"/>
      <c r="N781" s="196" t="n"/>
      <c r="O781" s="196" t="n"/>
      <c r="P781" s="196" t="n"/>
      <c r="Q781" s="196" t="n"/>
      <c r="R781" s="196" t="n"/>
    </row>
    <row r="782" ht="15" customHeight="1">
      <c r="A782" s="141" t="n"/>
      <c r="B782" s="69">
        <f>IF('Calendario E'!B102="","",'Calendario E'!B102)</f>
        <v/>
      </c>
      <c r="C782" s="5" t="n"/>
      <c r="D782" s="5" t="n"/>
      <c r="E782" s="5" t="n"/>
      <c r="F782" s="5" t="n"/>
      <c r="G782" s="5" t="n"/>
      <c r="H782" s="6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6" t="n"/>
      <c r="D783" s="95" t="inlineStr">
        <is>
          <t>Squadra B</t>
        </is>
      </c>
      <c r="E783" s="6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6" t="n"/>
      <c r="J783" s="95" t="inlineStr">
        <is>
          <t>Risultato</t>
        </is>
      </c>
      <c r="K783" s="5" t="n"/>
      <c r="L783" s="6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5" t="n"/>
      <c r="H784" s="5" t="n"/>
      <c r="I784" s="6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n"/>
      <c r="N784" s="196" t="n"/>
      <c r="O784" s="196" t="n"/>
      <c r="P784" s="196" t="n"/>
      <c r="Q784" s="196" t="n"/>
      <c r="R784" s="196" t="n"/>
    </row>
    <row r="785" ht="15" customHeight="1">
      <c r="A785" s="141" t="n"/>
      <c r="B785" s="69">
        <f>IF('Calendario E'!B105="","",'Calendario E'!B105)</f>
        <v/>
      </c>
      <c r="C785" s="5" t="n"/>
      <c r="D785" s="5" t="n"/>
      <c r="E785" s="5" t="n"/>
      <c r="F785" s="5" t="n"/>
      <c r="G785" s="5" t="n"/>
      <c r="H785" s="6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6" t="n"/>
      <c r="D786" s="95" t="inlineStr">
        <is>
          <t>Squadra B</t>
        </is>
      </c>
      <c r="E786" s="6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6" t="n"/>
      <c r="J786" s="95" t="inlineStr">
        <is>
          <t>Risultato</t>
        </is>
      </c>
      <c r="K786" s="5" t="n"/>
      <c r="L786" s="6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5" t="n"/>
      <c r="H787" s="5" t="n"/>
      <c r="I787" s="6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n"/>
      <c r="N787" s="196" t="n"/>
      <c r="O787" s="196" t="n"/>
      <c r="P787" s="196" t="n"/>
      <c r="Q787" s="196" t="n"/>
      <c r="R787" s="196" t="n"/>
    </row>
    <row r="788" ht="15" customHeight="1">
      <c r="A788" s="141" t="n"/>
      <c r="B788" s="69">
        <f>IF('Calendario E'!B108="","",'Calendario E'!B108)</f>
        <v/>
      </c>
      <c r="C788" s="5" t="n"/>
      <c r="D788" s="5" t="n"/>
      <c r="E788" s="5" t="n"/>
      <c r="F788" s="5" t="n"/>
      <c r="G788" s="5" t="n"/>
      <c r="H788" s="6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 t="n"/>
      <c r="M790" s="204" t="inlineStr">
        <is>
          <t>ARBITRI</t>
        </is>
      </c>
      <c r="N790" s="5" t="n"/>
      <c r="O790" s="6" t="n"/>
      <c r="P790" s="204" t="inlineStr">
        <is>
          <t>UFFICIALI DI CAMPO</t>
        </is>
      </c>
      <c r="Q790" s="5" t="n"/>
      <c r="R790" s="6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6" t="n"/>
      <c r="D791" s="95" t="inlineStr">
        <is>
          <t>Squadra B</t>
        </is>
      </c>
      <c r="E791" s="6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6" t="n"/>
      <c r="J791" s="95" t="inlineStr">
        <is>
          <t>Risultato</t>
        </is>
      </c>
      <c r="K791" s="5" t="n"/>
      <c r="L791" s="6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5" t="n"/>
      <c r="H792" s="5" t="n"/>
      <c r="I792" s="6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n"/>
      <c r="N792" s="196" t="n"/>
      <c r="O792" s="196" t="n"/>
      <c r="P792" s="196" t="n"/>
      <c r="Q792" s="196" t="n"/>
      <c r="R792" s="196" t="n"/>
    </row>
    <row r="793" ht="15" customHeight="1">
      <c r="A793" s="141" t="n"/>
      <c r="B793" s="69">
        <f>IF('Calendario E'!B113="","",'Calendario E'!B113)</f>
        <v/>
      </c>
      <c r="C793" s="5" t="n"/>
      <c r="D793" s="5" t="n"/>
      <c r="E793" s="5" t="n"/>
      <c r="F793" s="5" t="n"/>
      <c r="G793" s="5" t="n"/>
      <c r="H793" s="6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6" t="n"/>
      <c r="D794" s="95" t="inlineStr">
        <is>
          <t>Squadra B</t>
        </is>
      </c>
      <c r="E794" s="6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6" t="n"/>
      <c r="J794" s="95" t="inlineStr">
        <is>
          <t>Risultato</t>
        </is>
      </c>
      <c r="K794" s="5" t="n"/>
      <c r="L794" s="6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5" t="n"/>
      <c r="H795" s="5" t="n"/>
      <c r="I795" s="6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n"/>
      <c r="N795" s="196" t="n"/>
      <c r="O795" s="196" t="n"/>
      <c r="P795" s="196" t="n"/>
      <c r="Q795" s="196" t="n"/>
      <c r="R795" s="196" t="n"/>
    </row>
    <row r="796" ht="15" customHeight="1">
      <c r="A796" s="141" t="n"/>
      <c r="B796" s="69">
        <f>IF('Calendario E'!B116="","",'Calendario E'!B116)</f>
        <v/>
      </c>
      <c r="C796" s="5" t="n"/>
      <c r="D796" s="5" t="n"/>
      <c r="E796" s="5" t="n"/>
      <c r="F796" s="5" t="n"/>
      <c r="G796" s="5" t="n"/>
      <c r="H796" s="6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6" t="n"/>
      <c r="D797" s="95" t="inlineStr">
        <is>
          <t>Squadra B</t>
        </is>
      </c>
      <c r="E797" s="6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6" t="n"/>
      <c r="J797" s="95" t="inlineStr">
        <is>
          <t>Risultato</t>
        </is>
      </c>
      <c r="K797" s="5" t="n"/>
      <c r="L797" s="6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5" t="n"/>
      <c r="H798" s="5" t="n"/>
      <c r="I798" s="6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n"/>
      <c r="N798" s="196" t="n"/>
      <c r="O798" s="196" t="n"/>
      <c r="P798" s="196" t="n"/>
      <c r="Q798" s="196" t="n"/>
      <c r="R798" s="196" t="n"/>
    </row>
    <row r="799" ht="15" customHeight="1">
      <c r="A799" s="141" t="n"/>
      <c r="B799" s="69">
        <f>IF('Calendario E'!B119="","",'Calendario E'!B119)</f>
        <v/>
      </c>
      <c r="C799" s="5" t="n"/>
      <c r="D799" s="5" t="n"/>
      <c r="E799" s="5" t="n"/>
      <c r="F799" s="5" t="n"/>
      <c r="G799" s="5" t="n"/>
      <c r="H799" s="6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6" t="n"/>
      <c r="D800" s="95" t="inlineStr">
        <is>
          <t>Squadra B</t>
        </is>
      </c>
      <c r="E800" s="6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6" t="n"/>
      <c r="J800" s="95" t="inlineStr">
        <is>
          <t>Risultato</t>
        </is>
      </c>
      <c r="K800" s="5" t="n"/>
      <c r="L800" s="6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5" t="n"/>
      <c r="H801" s="5" t="n"/>
      <c r="I801" s="6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n"/>
      <c r="N801" s="196" t="n"/>
      <c r="O801" s="196" t="n"/>
      <c r="P801" s="196" t="n"/>
      <c r="Q801" s="196" t="n"/>
      <c r="R801" s="196" t="n"/>
    </row>
    <row r="802" ht="15" customHeight="1">
      <c r="A802" s="141" t="n"/>
      <c r="B802" s="69">
        <f>IF('Calendario E'!B122="","",'Calendario E'!B122)</f>
        <v/>
      </c>
      <c r="C802" s="5" t="n"/>
      <c r="D802" s="5" t="n"/>
      <c r="E802" s="5" t="n"/>
      <c r="F802" s="5" t="n"/>
      <c r="G802" s="5" t="n"/>
      <c r="H802" s="6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6" t="n"/>
      <c r="D803" s="95" t="inlineStr">
        <is>
          <t>Squadra B</t>
        </is>
      </c>
      <c r="E803" s="6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6" t="n"/>
      <c r="J803" s="95" t="inlineStr">
        <is>
          <t>Risultato</t>
        </is>
      </c>
      <c r="K803" s="5" t="n"/>
      <c r="L803" s="6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5" t="n"/>
      <c r="H804" s="5" t="n"/>
      <c r="I804" s="6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n"/>
      <c r="N804" s="196" t="n"/>
      <c r="O804" s="196" t="n"/>
      <c r="P804" s="196" t="n"/>
      <c r="Q804" s="196" t="n"/>
      <c r="R804" s="196" t="n"/>
    </row>
    <row r="805" ht="15" customHeight="1">
      <c r="A805" s="141" t="n"/>
      <c r="B805" s="69">
        <f>IF('Calendario E'!B125="","",'Calendario E'!B125)</f>
        <v/>
      </c>
      <c r="C805" s="5" t="n"/>
      <c r="D805" s="5" t="n"/>
      <c r="E805" s="5" t="n"/>
      <c r="F805" s="5" t="n"/>
      <c r="G805" s="5" t="n"/>
      <c r="H805" s="6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 t="n"/>
      <c r="M807" s="204" t="inlineStr">
        <is>
          <t>ARBITRI</t>
        </is>
      </c>
      <c r="N807" s="5" t="n"/>
      <c r="O807" s="6" t="n"/>
      <c r="P807" s="204" t="inlineStr">
        <is>
          <t>UFFICIALI DI CAMPO</t>
        </is>
      </c>
      <c r="Q807" s="5" t="n"/>
      <c r="R807" s="6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6" t="n"/>
      <c r="D808" s="95" t="inlineStr">
        <is>
          <t>Squadra B</t>
        </is>
      </c>
      <c r="E808" s="6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6" t="n"/>
      <c r="J808" s="95" t="inlineStr">
        <is>
          <t>Risultato</t>
        </is>
      </c>
      <c r="K808" s="5" t="n"/>
      <c r="L808" s="6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5" t="n"/>
      <c r="H809" s="5" t="n"/>
      <c r="I809" s="6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n"/>
      <c r="N809" s="196" t="n"/>
      <c r="O809" s="196" t="n"/>
      <c r="P809" s="196" t="n"/>
      <c r="Q809" s="196" t="n"/>
      <c r="R809" s="196" t="n"/>
    </row>
    <row r="810" ht="15" customHeight="1">
      <c r="A810" s="141" t="n"/>
      <c r="B810" s="69">
        <f>IF('Calendario E'!B130="","",'Calendario E'!B130)</f>
        <v/>
      </c>
      <c r="C810" s="5" t="n"/>
      <c r="D810" s="5" t="n"/>
      <c r="E810" s="5" t="n"/>
      <c r="F810" s="5" t="n"/>
      <c r="G810" s="5" t="n"/>
      <c r="H810" s="6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6" t="n"/>
      <c r="D811" s="95" t="inlineStr">
        <is>
          <t>Squadra B</t>
        </is>
      </c>
      <c r="E811" s="6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6" t="n"/>
      <c r="J811" s="95" t="inlineStr">
        <is>
          <t>Risultato</t>
        </is>
      </c>
      <c r="K811" s="5" t="n"/>
      <c r="L811" s="6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5" t="n"/>
      <c r="H812" s="5" t="n"/>
      <c r="I812" s="6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n"/>
      <c r="N812" s="196" t="n"/>
      <c r="O812" s="196" t="n"/>
      <c r="P812" s="196" t="n"/>
      <c r="Q812" s="196" t="n"/>
      <c r="R812" s="196" t="n"/>
    </row>
    <row r="813" ht="15" customHeight="1">
      <c r="A813" s="141" t="n"/>
      <c r="B813" s="69">
        <f>IF('Calendario E'!B133="","",'Calendario E'!B133)</f>
        <v/>
      </c>
      <c r="C813" s="5" t="n"/>
      <c r="D813" s="5" t="n"/>
      <c r="E813" s="5" t="n"/>
      <c r="F813" s="5" t="n"/>
      <c r="G813" s="5" t="n"/>
      <c r="H813" s="6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6" t="n"/>
      <c r="D814" s="95" t="inlineStr">
        <is>
          <t>Squadra B</t>
        </is>
      </c>
      <c r="E814" s="6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6" t="n"/>
      <c r="J814" s="95" t="inlineStr">
        <is>
          <t>Risultato</t>
        </is>
      </c>
      <c r="K814" s="5" t="n"/>
      <c r="L814" s="6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5" t="n"/>
      <c r="H815" s="5" t="n"/>
      <c r="I815" s="6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n"/>
      <c r="N815" s="196" t="n"/>
      <c r="O815" s="196" t="n"/>
      <c r="P815" s="196" t="n"/>
      <c r="Q815" s="196" t="n"/>
      <c r="R815" s="196" t="n"/>
    </row>
    <row r="816" ht="15" customHeight="1">
      <c r="A816" s="141" t="n"/>
      <c r="B816" s="69">
        <f>IF('Calendario E'!B136="","",'Calendario E'!B136)</f>
        <v/>
      </c>
      <c r="C816" s="5" t="n"/>
      <c r="D816" s="5" t="n"/>
      <c r="E816" s="5" t="n"/>
      <c r="F816" s="5" t="n"/>
      <c r="G816" s="5" t="n"/>
      <c r="H816" s="6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6" t="n"/>
      <c r="D817" s="95" t="inlineStr">
        <is>
          <t>Squadra B</t>
        </is>
      </c>
      <c r="E817" s="6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6" t="n"/>
      <c r="J817" s="95" t="inlineStr">
        <is>
          <t>Risultato</t>
        </is>
      </c>
      <c r="K817" s="5" t="n"/>
      <c r="L817" s="6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5" t="n"/>
      <c r="H818" s="5" t="n"/>
      <c r="I818" s="6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n"/>
      <c r="N818" s="196" t="n"/>
      <c r="O818" s="196" t="n"/>
      <c r="P818" s="196" t="n"/>
      <c r="Q818" s="196" t="n"/>
      <c r="R818" s="196" t="n"/>
    </row>
    <row r="819" ht="15" customHeight="1">
      <c r="A819" s="141" t="n"/>
      <c r="B819" s="69">
        <f>IF('Calendario E'!B139="","",'Calendario E'!B139)</f>
        <v/>
      </c>
      <c r="C819" s="5" t="n"/>
      <c r="D819" s="5" t="n"/>
      <c r="E819" s="5" t="n"/>
      <c r="F819" s="5" t="n"/>
      <c r="G819" s="5" t="n"/>
      <c r="H819" s="6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6" t="n"/>
      <c r="D820" s="95" t="inlineStr">
        <is>
          <t>Squadra B</t>
        </is>
      </c>
      <c r="E820" s="6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6" t="n"/>
      <c r="J820" s="95" t="inlineStr">
        <is>
          <t>Risultato</t>
        </is>
      </c>
      <c r="K820" s="5" t="n"/>
      <c r="L820" s="6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5" t="n"/>
      <c r="H821" s="5" t="n"/>
      <c r="I821" s="6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n"/>
      <c r="N821" s="196" t="n"/>
      <c r="O821" s="196" t="n"/>
      <c r="P821" s="196" t="n"/>
      <c r="Q821" s="196" t="n"/>
      <c r="R821" s="196" t="n"/>
    </row>
    <row r="822" ht="15" customHeight="1">
      <c r="A822" s="141" t="n"/>
      <c r="B822" s="69">
        <f>IF('Calendario E'!B142="","",'Calendario E'!B142)</f>
        <v/>
      </c>
      <c r="C822" s="5" t="n"/>
      <c r="D822" s="5" t="n"/>
      <c r="E822" s="5" t="n"/>
      <c r="F822" s="5" t="n"/>
      <c r="G822" s="5" t="n"/>
      <c r="H822" s="6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 t="n"/>
      <c r="M824" s="204" t="inlineStr">
        <is>
          <t>ARBITRI</t>
        </is>
      </c>
      <c r="N824" s="5" t="n"/>
      <c r="O824" s="6" t="n"/>
      <c r="P824" s="204" t="inlineStr">
        <is>
          <t>UFFICIALI DI CAMPO</t>
        </is>
      </c>
      <c r="Q824" s="5" t="n"/>
      <c r="R824" s="6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6" t="n"/>
      <c r="D825" s="95" t="inlineStr">
        <is>
          <t>Squadra B</t>
        </is>
      </c>
      <c r="E825" s="6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6" t="n"/>
      <c r="J825" s="95" t="inlineStr">
        <is>
          <t>Risultato</t>
        </is>
      </c>
      <c r="K825" s="5" t="n"/>
      <c r="L825" s="6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5" t="n"/>
      <c r="H826" s="5" t="n"/>
      <c r="I826" s="6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n"/>
      <c r="N826" s="196" t="n"/>
      <c r="O826" s="196" t="n"/>
      <c r="P826" s="196" t="n"/>
      <c r="Q826" s="196" t="n"/>
      <c r="R826" s="196" t="n"/>
    </row>
    <row r="827" ht="15" customHeight="1">
      <c r="A827" s="141" t="n"/>
      <c r="B827" s="69">
        <f>IF('Calendario E'!B147="","",'Calendario E'!B147)</f>
        <v/>
      </c>
      <c r="C827" s="5" t="n"/>
      <c r="D827" s="5" t="n"/>
      <c r="E827" s="5" t="n"/>
      <c r="F827" s="5" t="n"/>
      <c r="G827" s="5" t="n"/>
      <c r="H827" s="6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6" t="n"/>
      <c r="D828" s="95" t="inlineStr">
        <is>
          <t>Squadra B</t>
        </is>
      </c>
      <c r="E828" s="6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6" t="n"/>
      <c r="J828" s="95" t="inlineStr">
        <is>
          <t>Risultato</t>
        </is>
      </c>
      <c r="K828" s="5" t="n"/>
      <c r="L828" s="6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5" t="n"/>
      <c r="H829" s="5" t="n"/>
      <c r="I829" s="6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n"/>
      <c r="N829" s="196" t="n"/>
      <c r="O829" s="196" t="n"/>
      <c r="P829" s="196" t="n"/>
      <c r="Q829" s="196" t="n"/>
      <c r="R829" s="196" t="n"/>
    </row>
    <row r="830" ht="15" customHeight="1">
      <c r="A830" s="141" t="n"/>
      <c r="B830" s="69">
        <f>IF('Calendario E'!B150="","",'Calendario E'!B150)</f>
        <v/>
      </c>
      <c r="C830" s="5" t="n"/>
      <c r="D830" s="5" t="n"/>
      <c r="E830" s="5" t="n"/>
      <c r="F830" s="5" t="n"/>
      <c r="G830" s="5" t="n"/>
      <c r="H830" s="6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6" t="n"/>
      <c r="D831" s="95" t="inlineStr">
        <is>
          <t>Squadra B</t>
        </is>
      </c>
      <c r="E831" s="6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6" t="n"/>
      <c r="J831" s="95" t="inlineStr">
        <is>
          <t>Risultato</t>
        </is>
      </c>
      <c r="K831" s="5" t="n"/>
      <c r="L831" s="6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5" t="n"/>
      <c r="H832" s="5" t="n"/>
      <c r="I832" s="6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n"/>
      <c r="N832" s="196" t="n"/>
      <c r="O832" s="196" t="n"/>
      <c r="P832" s="196" t="n"/>
      <c r="Q832" s="196" t="n"/>
      <c r="R832" s="196" t="n"/>
    </row>
    <row r="833" ht="15" customHeight="1">
      <c r="A833" s="141" t="n"/>
      <c r="B833" s="69">
        <f>IF('Calendario E'!B153="","",'Calendario E'!B153)</f>
        <v/>
      </c>
      <c r="C833" s="5" t="n"/>
      <c r="D833" s="5" t="n"/>
      <c r="E833" s="5" t="n"/>
      <c r="F833" s="5" t="n"/>
      <c r="G833" s="5" t="n"/>
      <c r="H833" s="6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6" t="n"/>
      <c r="D834" s="95" t="inlineStr">
        <is>
          <t>Squadra B</t>
        </is>
      </c>
      <c r="E834" s="6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6" t="n"/>
      <c r="J834" s="95" t="inlineStr">
        <is>
          <t>Risultato</t>
        </is>
      </c>
      <c r="K834" s="5" t="n"/>
      <c r="L834" s="6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5" t="n"/>
      <c r="H835" s="5" t="n"/>
      <c r="I835" s="6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n"/>
      <c r="N835" s="196" t="n"/>
      <c r="O835" s="196" t="n"/>
      <c r="P835" s="196" t="n"/>
      <c r="Q835" s="196" t="n"/>
      <c r="R835" s="196" t="n"/>
    </row>
    <row r="836" ht="15" customHeight="1">
      <c r="A836" s="141" t="n"/>
      <c r="B836" s="69">
        <f>IF('Calendario E'!B156="","",'Calendario E'!B156)</f>
        <v/>
      </c>
      <c r="C836" s="5" t="n"/>
      <c r="D836" s="5" t="n"/>
      <c r="E836" s="5" t="n"/>
      <c r="F836" s="5" t="n"/>
      <c r="G836" s="5" t="n"/>
      <c r="H836" s="6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6" t="n"/>
      <c r="D837" s="95" t="inlineStr">
        <is>
          <t>Squadra B</t>
        </is>
      </c>
      <c r="E837" s="6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6" t="n"/>
      <c r="J837" s="95" t="inlineStr">
        <is>
          <t>Risultato</t>
        </is>
      </c>
      <c r="K837" s="5" t="n"/>
      <c r="L837" s="6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5" t="n"/>
      <c r="H838" s="5" t="n"/>
      <c r="I838" s="6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n"/>
      <c r="N838" s="196" t="n"/>
      <c r="O838" s="196" t="n"/>
      <c r="P838" s="196" t="n"/>
      <c r="Q838" s="196" t="n"/>
      <c r="R838" s="196" t="n"/>
    </row>
    <row r="839" ht="15" customHeight="1">
      <c r="A839" s="141" t="n"/>
      <c r="B839" s="69">
        <f>IF('Calendario E'!B159="","",'Calendario E'!B159)</f>
        <v/>
      </c>
      <c r="C839" s="5" t="n"/>
      <c r="D839" s="5" t="n"/>
      <c r="E839" s="5" t="n"/>
      <c r="F839" s="5" t="n"/>
      <c r="G839" s="5" t="n"/>
      <c r="H839" s="6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 t="n"/>
      <c r="M858" s="206" t="inlineStr">
        <is>
          <t>ARBITRI</t>
        </is>
      </c>
      <c r="N858" s="5" t="n"/>
      <c r="O858" s="6" t="n"/>
      <c r="P858" s="206" t="inlineStr">
        <is>
          <t>UFFICIALI DI CAMPO</t>
        </is>
      </c>
      <c r="Q858" s="5" t="n"/>
      <c r="R858" s="6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6" t="n"/>
      <c r="D859" s="102" t="inlineStr">
        <is>
          <t>Squadra B</t>
        </is>
      </c>
      <c r="E859" s="6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6" t="n"/>
      <c r="J859" s="102" t="inlineStr">
        <is>
          <t>Risultato</t>
        </is>
      </c>
      <c r="K859" s="5" t="n"/>
      <c r="L859" s="6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5" t="n"/>
      <c r="H860" s="5" t="n"/>
      <c r="I860" s="6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n"/>
      <c r="N860" s="196" t="n"/>
      <c r="O860" s="196" t="n"/>
      <c r="P860" s="196" t="n"/>
      <c r="Q860" s="196" t="n"/>
      <c r="R860" s="196" t="n"/>
    </row>
    <row r="861" ht="15" customHeight="1">
      <c r="A861" s="141" t="n"/>
      <c r="B861" s="69">
        <f>IF('Calendario F'!B11="","",'Calendario F'!B11)</f>
        <v/>
      </c>
      <c r="C861" s="5" t="n"/>
      <c r="D861" s="5" t="n"/>
      <c r="E861" s="5" t="n"/>
      <c r="F861" s="5" t="n"/>
      <c r="G861" s="5" t="n"/>
      <c r="H861" s="6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6" t="n"/>
      <c r="D862" s="102" t="inlineStr">
        <is>
          <t>Squadra B</t>
        </is>
      </c>
      <c r="E862" s="6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6" t="n"/>
      <c r="J862" s="102" t="inlineStr">
        <is>
          <t>Risultato</t>
        </is>
      </c>
      <c r="K862" s="5" t="n"/>
      <c r="L862" s="6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5" t="n"/>
      <c r="H863" s="5" t="n"/>
      <c r="I863" s="6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n"/>
      <c r="N863" s="196" t="n"/>
      <c r="O863" s="196" t="n"/>
      <c r="P863" s="196" t="n"/>
      <c r="Q863" s="196" t="n"/>
      <c r="R863" s="196" t="n"/>
    </row>
    <row r="864" ht="15" customHeight="1">
      <c r="A864" s="141" t="n"/>
      <c r="B864" s="69">
        <f>IF('Calendario F'!B14="","",'Calendario F'!B14)</f>
        <v/>
      </c>
      <c r="C864" s="5" t="n"/>
      <c r="D864" s="5" t="n"/>
      <c r="E864" s="5" t="n"/>
      <c r="F864" s="5" t="n"/>
      <c r="G864" s="5" t="n"/>
      <c r="H864" s="6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6" t="n"/>
      <c r="D865" s="102" t="inlineStr">
        <is>
          <t>Squadra B</t>
        </is>
      </c>
      <c r="E865" s="6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6" t="n"/>
      <c r="J865" s="102" t="inlineStr">
        <is>
          <t>Risultato</t>
        </is>
      </c>
      <c r="K865" s="5" t="n"/>
      <c r="L865" s="6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5" t="n"/>
      <c r="H866" s="5" t="n"/>
      <c r="I866" s="6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n"/>
      <c r="N866" s="196" t="n"/>
      <c r="O866" s="196" t="n"/>
      <c r="P866" s="196" t="n"/>
      <c r="Q866" s="196" t="n"/>
      <c r="R866" s="196" t="n"/>
    </row>
    <row r="867" ht="15" customHeight="1">
      <c r="A867" s="141" t="n"/>
      <c r="B867" s="69">
        <f>IF('Calendario F'!B17="","",'Calendario F'!B17)</f>
        <v/>
      </c>
      <c r="C867" s="5" t="n"/>
      <c r="D867" s="5" t="n"/>
      <c r="E867" s="5" t="n"/>
      <c r="F867" s="5" t="n"/>
      <c r="G867" s="5" t="n"/>
      <c r="H867" s="6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6" t="n"/>
      <c r="D868" s="102" t="inlineStr">
        <is>
          <t>Squadra B</t>
        </is>
      </c>
      <c r="E868" s="6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6" t="n"/>
      <c r="J868" s="102" t="inlineStr">
        <is>
          <t>Risultato</t>
        </is>
      </c>
      <c r="K868" s="5" t="n"/>
      <c r="L868" s="6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5" t="n"/>
      <c r="H869" s="5" t="n"/>
      <c r="I869" s="6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n"/>
      <c r="N869" s="196" t="n"/>
      <c r="O869" s="196" t="n"/>
      <c r="P869" s="196" t="n"/>
      <c r="Q869" s="196" t="n"/>
      <c r="R869" s="196" t="n"/>
    </row>
    <row r="870" ht="15" customHeight="1">
      <c r="A870" s="141" t="n"/>
      <c r="B870" s="69">
        <f>IF('Calendario F'!B20="","",'Calendario F'!B20)</f>
        <v/>
      </c>
      <c r="C870" s="5" t="n"/>
      <c r="D870" s="5" t="n"/>
      <c r="E870" s="5" t="n"/>
      <c r="F870" s="5" t="n"/>
      <c r="G870" s="5" t="n"/>
      <c r="H870" s="6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6" t="n"/>
      <c r="D871" s="102" t="inlineStr">
        <is>
          <t>Squadra B</t>
        </is>
      </c>
      <c r="E871" s="6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6" t="n"/>
      <c r="J871" s="102" t="inlineStr">
        <is>
          <t>Risultato</t>
        </is>
      </c>
      <c r="K871" s="5" t="n"/>
      <c r="L871" s="6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5" t="n"/>
      <c r="H872" s="5" t="n"/>
      <c r="I872" s="6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n"/>
      <c r="N872" s="196" t="n"/>
      <c r="O872" s="196" t="n"/>
      <c r="P872" s="196" t="n"/>
      <c r="Q872" s="196" t="n"/>
      <c r="R872" s="196" t="n"/>
    </row>
    <row r="873" ht="15" customHeight="1">
      <c r="A873" s="141" t="n"/>
      <c r="B873" s="69">
        <f>IF('Calendario F'!B23="","",'Calendario F'!B23)</f>
        <v/>
      </c>
      <c r="C873" s="5" t="n"/>
      <c r="D873" s="5" t="n"/>
      <c r="E873" s="5" t="n"/>
      <c r="F873" s="5" t="n"/>
      <c r="G873" s="5" t="n"/>
      <c r="H873" s="6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 t="n"/>
      <c r="M875" s="206" t="inlineStr">
        <is>
          <t>ARBITRI</t>
        </is>
      </c>
      <c r="N875" s="5" t="n"/>
      <c r="O875" s="6" t="n"/>
      <c r="P875" s="206" t="inlineStr">
        <is>
          <t>UFFICIALI DI CAMPO</t>
        </is>
      </c>
      <c r="Q875" s="5" t="n"/>
      <c r="R875" s="6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6" t="n"/>
      <c r="D876" s="102" t="inlineStr">
        <is>
          <t>Squadra B</t>
        </is>
      </c>
      <c r="E876" s="6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6" t="n"/>
      <c r="J876" s="102" t="inlineStr">
        <is>
          <t>Risultato</t>
        </is>
      </c>
      <c r="K876" s="5" t="n"/>
      <c r="L876" s="6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5" t="n"/>
      <c r="H877" s="5" t="n"/>
      <c r="I877" s="6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n"/>
      <c r="N877" s="196" t="n"/>
      <c r="O877" s="196" t="n"/>
      <c r="P877" s="196" t="n"/>
      <c r="Q877" s="196" t="n"/>
      <c r="R877" s="196" t="n"/>
    </row>
    <row r="878" ht="15" customHeight="1">
      <c r="A878" s="141" t="n"/>
      <c r="B878" s="69">
        <f>IF('Calendario F'!B28="","",'Calendario F'!B28)</f>
        <v/>
      </c>
      <c r="C878" s="5" t="n"/>
      <c r="D878" s="5" t="n"/>
      <c r="E878" s="5" t="n"/>
      <c r="F878" s="5" t="n"/>
      <c r="G878" s="5" t="n"/>
      <c r="H878" s="6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6" t="n"/>
      <c r="D879" s="102" t="inlineStr">
        <is>
          <t>Squadra B</t>
        </is>
      </c>
      <c r="E879" s="6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6" t="n"/>
      <c r="J879" s="102" t="inlineStr">
        <is>
          <t>Risultato</t>
        </is>
      </c>
      <c r="K879" s="5" t="n"/>
      <c r="L879" s="6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5" t="n"/>
      <c r="H880" s="5" t="n"/>
      <c r="I880" s="6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n"/>
      <c r="N880" s="196" t="n"/>
      <c r="O880" s="196" t="n"/>
      <c r="P880" s="196" t="n"/>
      <c r="Q880" s="196" t="n"/>
      <c r="R880" s="196" t="n"/>
    </row>
    <row r="881" ht="15" customHeight="1">
      <c r="A881" s="141" t="n"/>
      <c r="B881" s="69">
        <f>IF('Calendario F'!B31="","",'Calendario F'!B31)</f>
        <v/>
      </c>
      <c r="C881" s="5" t="n"/>
      <c r="D881" s="5" t="n"/>
      <c r="E881" s="5" t="n"/>
      <c r="F881" s="5" t="n"/>
      <c r="G881" s="5" t="n"/>
      <c r="H881" s="6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6" t="n"/>
      <c r="D882" s="102" t="inlineStr">
        <is>
          <t>Squadra B</t>
        </is>
      </c>
      <c r="E882" s="6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6" t="n"/>
      <c r="J882" s="102" t="inlineStr">
        <is>
          <t>Risultato</t>
        </is>
      </c>
      <c r="K882" s="5" t="n"/>
      <c r="L882" s="6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5" t="n"/>
      <c r="H883" s="5" t="n"/>
      <c r="I883" s="6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n"/>
      <c r="N883" s="196" t="n"/>
      <c r="O883" s="196" t="n"/>
      <c r="P883" s="196" t="n"/>
      <c r="Q883" s="196" t="n"/>
      <c r="R883" s="196" t="n"/>
    </row>
    <row r="884" ht="15" customHeight="1">
      <c r="A884" s="141" t="n"/>
      <c r="B884" s="69">
        <f>IF('Calendario F'!B34="","",'Calendario F'!B34)</f>
        <v/>
      </c>
      <c r="C884" s="5" t="n"/>
      <c r="D884" s="5" t="n"/>
      <c r="E884" s="5" t="n"/>
      <c r="F884" s="5" t="n"/>
      <c r="G884" s="5" t="n"/>
      <c r="H884" s="6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6" t="n"/>
      <c r="D885" s="102" t="inlineStr">
        <is>
          <t>Squadra B</t>
        </is>
      </c>
      <c r="E885" s="6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6" t="n"/>
      <c r="J885" s="102" t="inlineStr">
        <is>
          <t>Risultato</t>
        </is>
      </c>
      <c r="K885" s="5" t="n"/>
      <c r="L885" s="6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5" t="n"/>
      <c r="H886" s="5" t="n"/>
      <c r="I886" s="6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n"/>
      <c r="N886" s="196" t="n"/>
      <c r="O886" s="196" t="n"/>
      <c r="P886" s="196" t="n"/>
      <c r="Q886" s="196" t="n"/>
      <c r="R886" s="196" t="n"/>
    </row>
    <row r="887" ht="15" customHeight="1">
      <c r="A887" s="141" t="n"/>
      <c r="B887" s="69">
        <f>IF('Calendario F'!B37="","",'Calendario F'!B37)</f>
        <v/>
      </c>
      <c r="C887" s="5" t="n"/>
      <c r="D887" s="5" t="n"/>
      <c r="E887" s="5" t="n"/>
      <c r="F887" s="5" t="n"/>
      <c r="G887" s="5" t="n"/>
      <c r="H887" s="6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6" t="n"/>
      <c r="D888" s="102" t="inlineStr">
        <is>
          <t>Squadra B</t>
        </is>
      </c>
      <c r="E888" s="6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6" t="n"/>
      <c r="J888" s="102" t="inlineStr">
        <is>
          <t>Risultato</t>
        </is>
      </c>
      <c r="K888" s="5" t="n"/>
      <c r="L888" s="6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5" t="n"/>
      <c r="H889" s="5" t="n"/>
      <c r="I889" s="6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n"/>
      <c r="N889" s="196" t="n"/>
      <c r="O889" s="196" t="n"/>
      <c r="P889" s="196" t="n"/>
      <c r="Q889" s="196" t="n"/>
      <c r="R889" s="196" t="n"/>
    </row>
    <row r="890" ht="15" customHeight="1">
      <c r="A890" s="141" t="n"/>
      <c r="B890" s="69">
        <f>IF('Calendario F'!B40="","",'Calendario F'!B40)</f>
        <v/>
      </c>
      <c r="C890" s="5" t="n"/>
      <c r="D890" s="5" t="n"/>
      <c r="E890" s="5" t="n"/>
      <c r="F890" s="5" t="n"/>
      <c r="G890" s="5" t="n"/>
      <c r="H890" s="6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 t="n"/>
      <c r="M892" s="206" t="inlineStr">
        <is>
          <t>ARBITRI</t>
        </is>
      </c>
      <c r="N892" s="5" t="n"/>
      <c r="O892" s="6" t="n"/>
      <c r="P892" s="206" t="inlineStr">
        <is>
          <t>UFFICIALI DI CAMPO</t>
        </is>
      </c>
      <c r="Q892" s="5" t="n"/>
      <c r="R892" s="6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6" t="n"/>
      <c r="D893" s="102" t="inlineStr">
        <is>
          <t>Squadra B</t>
        </is>
      </c>
      <c r="E893" s="6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6" t="n"/>
      <c r="J893" s="102" t="inlineStr">
        <is>
          <t>Risultato</t>
        </is>
      </c>
      <c r="K893" s="5" t="n"/>
      <c r="L893" s="6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5" t="n"/>
      <c r="H894" s="5" t="n"/>
      <c r="I894" s="6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n"/>
      <c r="N894" s="196" t="n"/>
      <c r="O894" s="196" t="n"/>
      <c r="P894" s="196" t="n"/>
      <c r="Q894" s="196" t="n"/>
      <c r="R894" s="196" t="n"/>
    </row>
    <row r="895" ht="15" customHeight="1">
      <c r="A895" s="141" t="n"/>
      <c r="B895" s="69">
        <f>IF('Calendario F'!B45="","",'Calendario F'!B45)</f>
        <v/>
      </c>
      <c r="C895" s="5" t="n"/>
      <c r="D895" s="5" t="n"/>
      <c r="E895" s="5" t="n"/>
      <c r="F895" s="5" t="n"/>
      <c r="G895" s="5" t="n"/>
      <c r="H895" s="6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6" t="n"/>
      <c r="D896" s="102" t="inlineStr">
        <is>
          <t>Squadra B</t>
        </is>
      </c>
      <c r="E896" s="6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6" t="n"/>
      <c r="J896" s="102" t="inlineStr">
        <is>
          <t>Risultato</t>
        </is>
      </c>
      <c r="K896" s="5" t="n"/>
      <c r="L896" s="6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5" t="n"/>
      <c r="H897" s="5" t="n"/>
      <c r="I897" s="6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n"/>
      <c r="N897" s="196" t="n"/>
      <c r="O897" s="196" t="n"/>
      <c r="P897" s="196" t="n"/>
      <c r="Q897" s="196" t="n"/>
      <c r="R897" s="196" t="n"/>
    </row>
    <row r="898" ht="15" customHeight="1">
      <c r="A898" s="141" t="n"/>
      <c r="B898" s="69">
        <f>IF('Calendario F'!B48="","",'Calendario F'!B48)</f>
        <v/>
      </c>
      <c r="C898" s="5" t="n"/>
      <c r="D898" s="5" t="n"/>
      <c r="E898" s="5" t="n"/>
      <c r="F898" s="5" t="n"/>
      <c r="G898" s="5" t="n"/>
      <c r="H898" s="6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6" t="n"/>
      <c r="D899" s="102" t="inlineStr">
        <is>
          <t>Squadra B</t>
        </is>
      </c>
      <c r="E899" s="6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6" t="n"/>
      <c r="J899" s="102" t="inlineStr">
        <is>
          <t>Risultato</t>
        </is>
      </c>
      <c r="K899" s="5" t="n"/>
      <c r="L899" s="6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5" t="n"/>
      <c r="H900" s="5" t="n"/>
      <c r="I900" s="6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n"/>
      <c r="N900" s="196" t="n"/>
      <c r="O900" s="196" t="n"/>
      <c r="P900" s="196" t="n"/>
      <c r="Q900" s="196" t="n"/>
      <c r="R900" s="196" t="n"/>
    </row>
    <row r="901" ht="15" customHeight="1">
      <c r="A901" s="141" t="n"/>
      <c r="B901" s="69">
        <f>IF('Calendario F'!B51="","",'Calendario F'!B51)</f>
        <v/>
      </c>
      <c r="C901" s="5" t="n"/>
      <c r="D901" s="5" t="n"/>
      <c r="E901" s="5" t="n"/>
      <c r="F901" s="5" t="n"/>
      <c r="G901" s="5" t="n"/>
      <c r="H901" s="6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6" t="n"/>
      <c r="D902" s="102" t="inlineStr">
        <is>
          <t>Squadra B</t>
        </is>
      </c>
      <c r="E902" s="6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6" t="n"/>
      <c r="J902" s="102" t="inlineStr">
        <is>
          <t>Risultato</t>
        </is>
      </c>
      <c r="K902" s="5" t="n"/>
      <c r="L902" s="6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5" t="n"/>
      <c r="H903" s="5" t="n"/>
      <c r="I903" s="6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n"/>
      <c r="N903" s="196" t="n"/>
      <c r="O903" s="196" t="n"/>
      <c r="P903" s="196" t="n"/>
      <c r="Q903" s="196" t="n"/>
      <c r="R903" s="196" t="n"/>
    </row>
    <row r="904" ht="15" customHeight="1">
      <c r="A904" s="141" t="n"/>
      <c r="B904" s="69">
        <f>IF('Calendario F'!B54="","",'Calendario F'!B54)</f>
        <v/>
      </c>
      <c r="C904" s="5" t="n"/>
      <c r="D904" s="5" t="n"/>
      <c r="E904" s="5" t="n"/>
      <c r="F904" s="5" t="n"/>
      <c r="G904" s="5" t="n"/>
      <c r="H904" s="6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6" t="n"/>
      <c r="D905" s="102" t="inlineStr">
        <is>
          <t>Squadra B</t>
        </is>
      </c>
      <c r="E905" s="6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6" t="n"/>
      <c r="J905" s="102" t="inlineStr">
        <is>
          <t>Risultato</t>
        </is>
      </c>
      <c r="K905" s="5" t="n"/>
      <c r="L905" s="6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5" t="n"/>
      <c r="H906" s="5" t="n"/>
      <c r="I906" s="6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n"/>
      <c r="N906" s="196" t="n"/>
      <c r="O906" s="196" t="n"/>
      <c r="P906" s="196" t="n"/>
      <c r="Q906" s="196" t="n"/>
      <c r="R906" s="196" t="n"/>
    </row>
    <row r="907" ht="15" customHeight="1">
      <c r="A907" s="141" t="n"/>
      <c r="B907" s="69">
        <f>IF('Calendario F'!B57="","",'Calendario F'!B57)</f>
        <v/>
      </c>
      <c r="C907" s="5" t="n"/>
      <c r="D907" s="5" t="n"/>
      <c r="E907" s="5" t="n"/>
      <c r="F907" s="5" t="n"/>
      <c r="G907" s="5" t="n"/>
      <c r="H907" s="6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 t="n"/>
      <c r="M909" s="206" t="inlineStr">
        <is>
          <t>ARBITRI</t>
        </is>
      </c>
      <c r="N909" s="5" t="n"/>
      <c r="O909" s="6" t="n"/>
      <c r="P909" s="206" t="inlineStr">
        <is>
          <t>UFFICIALI DI CAMPO</t>
        </is>
      </c>
      <c r="Q909" s="5" t="n"/>
      <c r="R909" s="6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6" t="n"/>
      <c r="D910" s="102" t="inlineStr">
        <is>
          <t>Squadra B</t>
        </is>
      </c>
      <c r="E910" s="6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6" t="n"/>
      <c r="J910" s="102" t="inlineStr">
        <is>
          <t>Risultato</t>
        </is>
      </c>
      <c r="K910" s="5" t="n"/>
      <c r="L910" s="6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5" t="n"/>
      <c r="H911" s="5" t="n"/>
      <c r="I911" s="6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n"/>
      <c r="N911" s="196" t="n"/>
      <c r="O911" s="196" t="n"/>
      <c r="P911" s="196" t="n"/>
      <c r="Q911" s="196" t="n"/>
      <c r="R911" s="196" t="n"/>
    </row>
    <row r="912" ht="15" customHeight="1">
      <c r="A912" s="141" t="n"/>
      <c r="B912" s="69">
        <f>IF('Calendario F'!B62="","",'Calendario F'!B62)</f>
        <v/>
      </c>
      <c r="C912" s="5" t="n"/>
      <c r="D912" s="5" t="n"/>
      <c r="E912" s="5" t="n"/>
      <c r="F912" s="5" t="n"/>
      <c r="G912" s="5" t="n"/>
      <c r="H912" s="6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6" t="n"/>
      <c r="D913" s="102" t="inlineStr">
        <is>
          <t>Squadra B</t>
        </is>
      </c>
      <c r="E913" s="6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6" t="n"/>
      <c r="J913" s="102" t="inlineStr">
        <is>
          <t>Risultato</t>
        </is>
      </c>
      <c r="K913" s="5" t="n"/>
      <c r="L913" s="6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5" t="n"/>
      <c r="H914" s="5" t="n"/>
      <c r="I914" s="6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n"/>
      <c r="N914" s="196" t="n"/>
      <c r="O914" s="196" t="n"/>
      <c r="P914" s="196" t="n"/>
      <c r="Q914" s="196" t="n"/>
      <c r="R914" s="196" t="n"/>
    </row>
    <row r="915" ht="15" customHeight="1">
      <c r="A915" s="141" t="n"/>
      <c r="B915" s="69">
        <f>IF('Calendario F'!B65="","",'Calendario F'!B65)</f>
        <v/>
      </c>
      <c r="C915" s="5" t="n"/>
      <c r="D915" s="5" t="n"/>
      <c r="E915" s="5" t="n"/>
      <c r="F915" s="5" t="n"/>
      <c r="G915" s="5" t="n"/>
      <c r="H915" s="6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6" t="n"/>
      <c r="D916" s="102" t="inlineStr">
        <is>
          <t>Squadra B</t>
        </is>
      </c>
      <c r="E916" s="6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6" t="n"/>
      <c r="J916" s="102" t="inlineStr">
        <is>
          <t>Risultato</t>
        </is>
      </c>
      <c r="K916" s="5" t="n"/>
      <c r="L916" s="6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5" t="n"/>
      <c r="H917" s="5" t="n"/>
      <c r="I917" s="6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n"/>
      <c r="N917" s="196" t="n"/>
      <c r="O917" s="196" t="n"/>
      <c r="P917" s="196" t="n"/>
      <c r="Q917" s="196" t="n"/>
      <c r="R917" s="196" t="n"/>
    </row>
    <row r="918" ht="15" customHeight="1">
      <c r="A918" s="141" t="n"/>
      <c r="B918" s="69">
        <f>IF('Calendario F'!B68="","",'Calendario F'!B68)</f>
        <v/>
      </c>
      <c r="C918" s="5" t="n"/>
      <c r="D918" s="5" t="n"/>
      <c r="E918" s="5" t="n"/>
      <c r="F918" s="5" t="n"/>
      <c r="G918" s="5" t="n"/>
      <c r="H918" s="6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6" t="n"/>
      <c r="D919" s="102" t="inlineStr">
        <is>
          <t>Squadra B</t>
        </is>
      </c>
      <c r="E919" s="6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6" t="n"/>
      <c r="J919" s="102" t="inlineStr">
        <is>
          <t>Risultato</t>
        </is>
      </c>
      <c r="K919" s="5" t="n"/>
      <c r="L919" s="6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5" t="n"/>
      <c r="H920" s="5" t="n"/>
      <c r="I920" s="6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n"/>
      <c r="N920" s="196" t="n"/>
      <c r="O920" s="196" t="n"/>
      <c r="P920" s="196" t="n"/>
      <c r="Q920" s="196" t="n"/>
      <c r="R920" s="196" t="n"/>
    </row>
    <row r="921" ht="15" customHeight="1">
      <c r="A921" s="141" t="n"/>
      <c r="B921" s="69">
        <f>IF('Calendario F'!B71="","",'Calendario F'!B71)</f>
        <v/>
      </c>
      <c r="C921" s="5" t="n"/>
      <c r="D921" s="5" t="n"/>
      <c r="E921" s="5" t="n"/>
      <c r="F921" s="5" t="n"/>
      <c r="G921" s="5" t="n"/>
      <c r="H921" s="6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6" t="n"/>
      <c r="D922" s="102" t="inlineStr">
        <is>
          <t>Squadra B</t>
        </is>
      </c>
      <c r="E922" s="6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6" t="n"/>
      <c r="J922" s="102" t="inlineStr">
        <is>
          <t>Risultato</t>
        </is>
      </c>
      <c r="K922" s="5" t="n"/>
      <c r="L922" s="6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5" t="n"/>
      <c r="H923" s="5" t="n"/>
      <c r="I923" s="6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n"/>
      <c r="N923" s="196" t="n"/>
      <c r="O923" s="196" t="n"/>
      <c r="P923" s="196" t="n"/>
      <c r="Q923" s="196" t="n"/>
      <c r="R923" s="196" t="n"/>
    </row>
    <row r="924" ht="15" customHeight="1">
      <c r="A924" s="141" t="n"/>
      <c r="B924" s="69">
        <f>IF('Calendario F'!B74="","",'Calendario F'!B74)</f>
        <v/>
      </c>
      <c r="C924" s="5" t="n"/>
      <c r="D924" s="5" t="n"/>
      <c r="E924" s="5" t="n"/>
      <c r="F924" s="5" t="n"/>
      <c r="G924" s="5" t="n"/>
      <c r="H924" s="6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 t="n"/>
      <c r="M926" s="206" t="inlineStr">
        <is>
          <t>ARBITRI</t>
        </is>
      </c>
      <c r="N926" s="5" t="n"/>
      <c r="O926" s="6" t="n"/>
      <c r="P926" s="206" t="inlineStr">
        <is>
          <t>UFFICIALI DI CAMPO</t>
        </is>
      </c>
      <c r="Q926" s="5" t="n"/>
      <c r="R926" s="6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6" t="n"/>
      <c r="D927" s="102" t="inlineStr">
        <is>
          <t>Squadra B</t>
        </is>
      </c>
      <c r="E927" s="6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6" t="n"/>
      <c r="J927" s="102" t="inlineStr">
        <is>
          <t>Risultato</t>
        </is>
      </c>
      <c r="K927" s="5" t="n"/>
      <c r="L927" s="6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5" t="n"/>
      <c r="H928" s="5" t="n"/>
      <c r="I928" s="6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n"/>
      <c r="N928" s="196" t="n"/>
      <c r="O928" s="196" t="n"/>
      <c r="P928" s="196" t="n"/>
      <c r="Q928" s="196" t="n"/>
      <c r="R928" s="196" t="n"/>
    </row>
    <row r="929" ht="15" customHeight="1">
      <c r="A929" s="141" t="n"/>
      <c r="B929" s="69">
        <f>IF('Calendario F'!B79="","",'Calendario F'!B79)</f>
        <v/>
      </c>
      <c r="C929" s="5" t="n"/>
      <c r="D929" s="5" t="n"/>
      <c r="E929" s="5" t="n"/>
      <c r="F929" s="5" t="n"/>
      <c r="G929" s="5" t="n"/>
      <c r="H929" s="6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6" t="n"/>
      <c r="D930" s="102" t="inlineStr">
        <is>
          <t>Squadra B</t>
        </is>
      </c>
      <c r="E930" s="6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6" t="n"/>
      <c r="J930" s="102" t="inlineStr">
        <is>
          <t>Risultato</t>
        </is>
      </c>
      <c r="K930" s="5" t="n"/>
      <c r="L930" s="6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5" t="n"/>
      <c r="H931" s="5" t="n"/>
      <c r="I931" s="6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n"/>
      <c r="N931" s="196" t="n"/>
      <c r="O931" s="196" t="n"/>
      <c r="P931" s="196" t="n"/>
      <c r="Q931" s="196" t="n"/>
      <c r="R931" s="196" t="n"/>
    </row>
    <row r="932" ht="15" customHeight="1">
      <c r="A932" s="141" t="n"/>
      <c r="B932" s="69">
        <f>IF('Calendario F'!B82="","",'Calendario F'!B82)</f>
        <v/>
      </c>
      <c r="C932" s="5" t="n"/>
      <c r="D932" s="5" t="n"/>
      <c r="E932" s="5" t="n"/>
      <c r="F932" s="5" t="n"/>
      <c r="G932" s="5" t="n"/>
      <c r="H932" s="6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6" t="n"/>
      <c r="D933" s="102" t="inlineStr">
        <is>
          <t>Squadra B</t>
        </is>
      </c>
      <c r="E933" s="6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6" t="n"/>
      <c r="J933" s="102" t="inlineStr">
        <is>
          <t>Risultato</t>
        </is>
      </c>
      <c r="K933" s="5" t="n"/>
      <c r="L933" s="6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5" t="n"/>
      <c r="H934" s="5" t="n"/>
      <c r="I934" s="6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n"/>
      <c r="N934" s="196" t="n"/>
      <c r="O934" s="196" t="n"/>
      <c r="P934" s="196" t="n"/>
      <c r="Q934" s="196" t="n"/>
      <c r="R934" s="196" t="n"/>
    </row>
    <row r="935" ht="15" customHeight="1">
      <c r="A935" s="141" t="n"/>
      <c r="B935" s="69">
        <f>IF('Calendario F'!B85="","",'Calendario F'!B85)</f>
        <v/>
      </c>
      <c r="C935" s="5" t="n"/>
      <c r="D935" s="5" t="n"/>
      <c r="E935" s="5" t="n"/>
      <c r="F935" s="5" t="n"/>
      <c r="G935" s="5" t="n"/>
      <c r="H935" s="6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6" t="n"/>
      <c r="D936" s="102" t="inlineStr">
        <is>
          <t>Squadra B</t>
        </is>
      </c>
      <c r="E936" s="6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6" t="n"/>
      <c r="J936" s="102" t="inlineStr">
        <is>
          <t>Risultato</t>
        </is>
      </c>
      <c r="K936" s="5" t="n"/>
      <c r="L936" s="6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5" t="n"/>
      <c r="H937" s="5" t="n"/>
      <c r="I937" s="6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n"/>
      <c r="N937" s="196" t="n"/>
      <c r="O937" s="196" t="n"/>
      <c r="P937" s="196" t="n"/>
      <c r="Q937" s="196" t="n"/>
      <c r="R937" s="196" t="n"/>
    </row>
    <row r="938" ht="15" customHeight="1">
      <c r="A938" s="141" t="n"/>
      <c r="B938" s="69">
        <f>IF('Calendario F'!B88="","",'Calendario F'!B88)</f>
        <v/>
      </c>
      <c r="C938" s="5" t="n"/>
      <c r="D938" s="5" t="n"/>
      <c r="E938" s="5" t="n"/>
      <c r="F938" s="5" t="n"/>
      <c r="G938" s="5" t="n"/>
      <c r="H938" s="6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6" t="n"/>
      <c r="D939" s="102" t="inlineStr">
        <is>
          <t>Squadra B</t>
        </is>
      </c>
      <c r="E939" s="6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6" t="n"/>
      <c r="J939" s="102" t="inlineStr">
        <is>
          <t>Risultato</t>
        </is>
      </c>
      <c r="K939" s="5" t="n"/>
      <c r="L939" s="6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5" t="n"/>
      <c r="H940" s="5" t="n"/>
      <c r="I940" s="6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n"/>
      <c r="N940" s="196" t="n"/>
      <c r="O940" s="196" t="n"/>
      <c r="P940" s="196" t="n"/>
      <c r="Q940" s="196" t="n"/>
      <c r="R940" s="196" t="n"/>
    </row>
    <row r="941" ht="15" customHeight="1">
      <c r="A941" s="141" t="n"/>
      <c r="B941" s="69">
        <f>IF('Calendario F'!B91="","",'Calendario F'!B91)</f>
        <v/>
      </c>
      <c r="C941" s="5" t="n"/>
      <c r="D941" s="5" t="n"/>
      <c r="E941" s="5" t="n"/>
      <c r="F941" s="5" t="n"/>
      <c r="G941" s="5" t="n"/>
      <c r="H941" s="6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 t="n"/>
      <c r="M943" s="206" t="inlineStr">
        <is>
          <t>ARBITRI</t>
        </is>
      </c>
      <c r="N943" s="5" t="n"/>
      <c r="O943" s="6" t="n"/>
      <c r="P943" s="206" t="inlineStr">
        <is>
          <t>UFFICIALI DI CAMPO</t>
        </is>
      </c>
      <c r="Q943" s="5" t="n"/>
      <c r="R943" s="6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6" t="n"/>
      <c r="D944" s="102" t="inlineStr">
        <is>
          <t>Squadra B</t>
        </is>
      </c>
      <c r="E944" s="6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6" t="n"/>
      <c r="J944" s="102" t="inlineStr">
        <is>
          <t>Risultato</t>
        </is>
      </c>
      <c r="K944" s="5" t="n"/>
      <c r="L944" s="6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5" t="n"/>
      <c r="H945" s="5" t="n"/>
      <c r="I945" s="6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n"/>
      <c r="N945" s="196" t="n"/>
      <c r="O945" s="196" t="n"/>
      <c r="P945" s="196" t="n"/>
      <c r="Q945" s="196" t="n"/>
      <c r="R945" s="196" t="n"/>
    </row>
    <row r="946" ht="15" customHeight="1">
      <c r="A946" s="141" t="n"/>
      <c r="B946" s="69">
        <f>IF('Calendario F'!B96="","",'Calendario F'!B96)</f>
        <v/>
      </c>
      <c r="C946" s="5" t="n"/>
      <c r="D946" s="5" t="n"/>
      <c r="E946" s="5" t="n"/>
      <c r="F946" s="5" t="n"/>
      <c r="G946" s="5" t="n"/>
      <c r="H946" s="6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6" t="n"/>
      <c r="D947" s="102" t="inlineStr">
        <is>
          <t>Squadra B</t>
        </is>
      </c>
      <c r="E947" s="6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6" t="n"/>
      <c r="J947" s="102" t="inlineStr">
        <is>
          <t>Risultato</t>
        </is>
      </c>
      <c r="K947" s="5" t="n"/>
      <c r="L947" s="6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5" t="n"/>
      <c r="H948" s="5" t="n"/>
      <c r="I948" s="6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n"/>
      <c r="N948" s="196" t="n"/>
      <c r="O948" s="196" t="n"/>
      <c r="P948" s="196" t="n"/>
      <c r="Q948" s="196" t="n"/>
      <c r="R948" s="196" t="n"/>
    </row>
    <row r="949" ht="15" customHeight="1">
      <c r="A949" s="141" t="n"/>
      <c r="B949" s="69">
        <f>IF('Calendario F'!B99="","",'Calendario F'!B99)</f>
        <v/>
      </c>
      <c r="C949" s="5" t="n"/>
      <c r="D949" s="5" t="n"/>
      <c r="E949" s="5" t="n"/>
      <c r="F949" s="5" t="n"/>
      <c r="G949" s="5" t="n"/>
      <c r="H949" s="6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6" t="n"/>
      <c r="D950" s="102" t="inlineStr">
        <is>
          <t>Squadra B</t>
        </is>
      </c>
      <c r="E950" s="6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6" t="n"/>
      <c r="J950" s="102" t="inlineStr">
        <is>
          <t>Risultato</t>
        </is>
      </c>
      <c r="K950" s="5" t="n"/>
      <c r="L950" s="6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5" t="n"/>
      <c r="H951" s="5" t="n"/>
      <c r="I951" s="6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n"/>
      <c r="N951" s="196" t="n"/>
      <c r="O951" s="196" t="n"/>
      <c r="P951" s="196" t="n"/>
      <c r="Q951" s="196" t="n"/>
      <c r="R951" s="196" t="n"/>
    </row>
    <row r="952" ht="15" customHeight="1">
      <c r="A952" s="141" t="n"/>
      <c r="B952" s="69">
        <f>IF('Calendario F'!B102="","",'Calendario F'!B102)</f>
        <v/>
      </c>
      <c r="C952" s="5" t="n"/>
      <c r="D952" s="5" t="n"/>
      <c r="E952" s="5" t="n"/>
      <c r="F952" s="5" t="n"/>
      <c r="G952" s="5" t="n"/>
      <c r="H952" s="6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6" t="n"/>
      <c r="D953" s="102" t="inlineStr">
        <is>
          <t>Squadra B</t>
        </is>
      </c>
      <c r="E953" s="6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6" t="n"/>
      <c r="J953" s="102" t="inlineStr">
        <is>
          <t>Risultato</t>
        </is>
      </c>
      <c r="K953" s="5" t="n"/>
      <c r="L953" s="6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5" t="n"/>
      <c r="H954" s="5" t="n"/>
      <c r="I954" s="6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n"/>
      <c r="N954" s="196" t="n"/>
      <c r="O954" s="196" t="n"/>
      <c r="P954" s="196" t="n"/>
      <c r="Q954" s="196" t="n"/>
      <c r="R954" s="196" t="n"/>
    </row>
    <row r="955" ht="15" customHeight="1">
      <c r="A955" s="141" t="n"/>
      <c r="B955" s="69">
        <f>IF('Calendario F'!B105="","",'Calendario F'!B105)</f>
        <v/>
      </c>
      <c r="C955" s="5" t="n"/>
      <c r="D955" s="5" t="n"/>
      <c r="E955" s="5" t="n"/>
      <c r="F955" s="5" t="n"/>
      <c r="G955" s="5" t="n"/>
      <c r="H955" s="6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6" t="n"/>
      <c r="D956" s="102" t="inlineStr">
        <is>
          <t>Squadra B</t>
        </is>
      </c>
      <c r="E956" s="6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6" t="n"/>
      <c r="J956" s="102" t="inlineStr">
        <is>
          <t>Risultato</t>
        </is>
      </c>
      <c r="K956" s="5" t="n"/>
      <c r="L956" s="6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5" t="n"/>
      <c r="H957" s="5" t="n"/>
      <c r="I957" s="6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n"/>
      <c r="N957" s="196" t="n"/>
      <c r="O957" s="196" t="n"/>
      <c r="P957" s="196" t="n"/>
      <c r="Q957" s="196" t="n"/>
      <c r="R957" s="196" t="n"/>
    </row>
    <row r="958" ht="15" customHeight="1">
      <c r="A958" s="141" t="n"/>
      <c r="B958" s="69">
        <f>IF('Calendario F'!B108="","",'Calendario F'!B108)</f>
        <v/>
      </c>
      <c r="C958" s="5" t="n"/>
      <c r="D958" s="5" t="n"/>
      <c r="E958" s="5" t="n"/>
      <c r="F958" s="5" t="n"/>
      <c r="G958" s="5" t="n"/>
      <c r="H958" s="6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 t="n"/>
      <c r="M960" s="206" t="inlineStr">
        <is>
          <t>ARBITRI</t>
        </is>
      </c>
      <c r="N960" s="5" t="n"/>
      <c r="O960" s="6" t="n"/>
      <c r="P960" s="206" t="inlineStr">
        <is>
          <t>UFFICIALI DI CAMPO</t>
        </is>
      </c>
      <c r="Q960" s="5" t="n"/>
      <c r="R960" s="6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6" t="n"/>
      <c r="D961" s="102" t="inlineStr">
        <is>
          <t>Squadra B</t>
        </is>
      </c>
      <c r="E961" s="6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6" t="n"/>
      <c r="J961" s="102" t="inlineStr">
        <is>
          <t>Risultato</t>
        </is>
      </c>
      <c r="K961" s="5" t="n"/>
      <c r="L961" s="6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5" t="n"/>
      <c r="H962" s="5" t="n"/>
      <c r="I962" s="6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n"/>
      <c r="N962" s="196" t="n"/>
      <c r="O962" s="196" t="n"/>
      <c r="P962" s="196" t="n"/>
      <c r="Q962" s="196" t="n"/>
      <c r="R962" s="196" t="n"/>
    </row>
    <row r="963" ht="15" customHeight="1">
      <c r="A963" s="141" t="n"/>
      <c r="B963" s="69">
        <f>IF('Calendario F'!B113="","",'Calendario F'!B113)</f>
        <v/>
      </c>
      <c r="C963" s="5" t="n"/>
      <c r="D963" s="5" t="n"/>
      <c r="E963" s="5" t="n"/>
      <c r="F963" s="5" t="n"/>
      <c r="G963" s="5" t="n"/>
      <c r="H963" s="6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6" t="n"/>
      <c r="D964" s="102" t="inlineStr">
        <is>
          <t>Squadra B</t>
        </is>
      </c>
      <c r="E964" s="6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6" t="n"/>
      <c r="J964" s="102" t="inlineStr">
        <is>
          <t>Risultato</t>
        </is>
      </c>
      <c r="K964" s="5" t="n"/>
      <c r="L964" s="6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5" t="n"/>
      <c r="H965" s="5" t="n"/>
      <c r="I965" s="6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n"/>
      <c r="N965" s="196" t="n"/>
      <c r="O965" s="196" t="n"/>
      <c r="P965" s="196" t="n"/>
      <c r="Q965" s="196" t="n"/>
      <c r="R965" s="196" t="n"/>
    </row>
    <row r="966" ht="15" customHeight="1">
      <c r="A966" s="141" t="n"/>
      <c r="B966" s="69">
        <f>IF('Calendario F'!B116="","",'Calendario F'!B116)</f>
        <v/>
      </c>
      <c r="C966" s="5" t="n"/>
      <c r="D966" s="5" t="n"/>
      <c r="E966" s="5" t="n"/>
      <c r="F966" s="5" t="n"/>
      <c r="G966" s="5" t="n"/>
      <c r="H966" s="6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6" t="n"/>
      <c r="D967" s="102" t="inlineStr">
        <is>
          <t>Squadra B</t>
        </is>
      </c>
      <c r="E967" s="6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6" t="n"/>
      <c r="J967" s="102" t="inlineStr">
        <is>
          <t>Risultato</t>
        </is>
      </c>
      <c r="K967" s="5" t="n"/>
      <c r="L967" s="6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5" t="n"/>
      <c r="H968" s="5" t="n"/>
      <c r="I968" s="6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n"/>
      <c r="N968" s="196" t="n"/>
      <c r="O968" s="196" t="n"/>
      <c r="P968" s="196" t="n"/>
      <c r="Q968" s="196" t="n"/>
      <c r="R968" s="196" t="n"/>
    </row>
    <row r="969" ht="15" customHeight="1">
      <c r="A969" s="141" t="n"/>
      <c r="B969" s="69">
        <f>IF('Calendario F'!B119="","",'Calendario F'!B119)</f>
        <v/>
      </c>
      <c r="C969" s="5" t="n"/>
      <c r="D969" s="5" t="n"/>
      <c r="E969" s="5" t="n"/>
      <c r="F969" s="5" t="n"/>
      <c r="G969" s="5" t="n"/>
      <c r="H969" s="6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6" t="n"/>
      <c r="D970" s="102" t="inlineStr">
        <is>
          <t>Squadra B</t>
        </is>
      </c>
      <c r="E970" s="6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6" t="n"/>
      <c r="J970" s="102" t="inlineStr">
        <is>
          <t>Risultato</t>
        </is>
      </c>
      <c r="K970" s="5" t="n"/>
      <c r="L970" s="6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5" t="n"/>
      <c r="H971" s="5" t="n"/>
      <c r="I971" s="6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n"/>
      <c r="N971" s="196" t="n"/>
      <c r="O971" s="196" t="n"/>
      <c r="P971" s="196" t="n"/>
      <c r="Q971" s="196" t="n"/>
      <c r="R971" s="196" t="n"/>
    </row>
    <row r="972" ht="15" customHeight="1">
      <c r="A972" s="141" t="n"/>
      <c r="B972" s="69">
        <f>IF('Calendario F'!B122="","",'Calendario F'!B122)</f>
        <v/>
      </c>
      <c r="C972" s="5" t="n"/>
      <c r="D972" s="5" t="n"/>
      <c r="E972" s="5" t="n"/>
      <c r="F972" s="5" t="n"/>
      <c r="G972" s="5" t="n"/>
      <c r="H972" s="6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6" t="n"/>
      <c r="D973" s="102" t="inlineStr">
        <is>
          <t>Squadra B</t>
        </is>
      </c>
      <c r="E973" s="6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6" t="n"/>
      <c r="J973" s="102" t="inlineStr">
        <is>
          <t>Risultato</t>
        </is>
      </c>
      <c r="K973" s="5" t="n"/>
      <c r="L973" s="6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5" t="n"/>
      <c r="H974" s="5" t="n"/>
      <c r="I974" s="6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n"/>
      <c r="N974" s="196" t="n"/>
      <c r="O974" s="196" t="n"/>
      <c r="P974" s="196" t="n"/>
      <c r="Q974" s="196" t="n"/>
      <c r="R974" s="196" t="n"/>
    </row>
    <row r="975" ht="15" customHeight="1">
      <c r="A975" s="141" t="n"/>
      <c r="B975" s="69">
        <f>IF('Calendario F'!B125="","",'Calendario F'!B125)</f>
        <v/>
      </c>
      <c r="C975" s="5" t="n"/>
      <c r="D975" s="5" t="n"/>
      <c r="E975" s="5" t="n"/>
      <c r="F975" s="5" t="n"/>
      <c r="G975" s="5" t="n"/>
      <c r="H975" s="6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 t="n"/>
      <c r="M977" s="206" t="inlineStr">
        <is>
          <t>ARBITRI</t>
        </is>
      </c>
      <c r="N977" s="5" t="n"/>
      <c r="O977" s="6" t="n"/>
      <c r="P977" s="206" t="inlineStr">
        <is>
          <t>UFFICIALI DI CAMPO</t>
        </is>
      </c>
      <c r="Q977" s="5" t="n"/>
      <c r="R977" s="6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6" t="n"/>
      <c r="D978" s="102" t="inlineStr">
        <is>
          <t>Squadra B</t>
        </is>
      </c>
      <c r="E978" s="6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6" t="n"/>
      <c r="J978" s="102" t="inlineStr">
        <is>
          <t>Risultato</t>
        </is>
      </c>
      <c r="K978" s="5" t="n"/>
      <c r="L978" s="6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5" t="n"/>
      <c r="H979" s="5" t="n"/>
      <c r="I979" s="6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n"/>
      <c r="N979" s="196" t="n"/>
      <c r="O979" s="196" t="n"/>
      <c r="P979" s="196" t="n"/>
      <c r="Q979" s="196" t="n"/>
      <c r="R979" s="196" t="n"/>
    </row>
    <row r="980" ht="15" customHeight="1">
      <c r="A980" s="141" t="n"/>
      <c r="B980" s="69">
        <f>IF('Calendario F'!B130="","",'Calendario F'!B130)</f>
        <v/>
      </c>
      <c r="C980" s="5" t="n"/>
      <c r="D980" s="5" t="n"/>
      <c r="E980" s="5" t="n"/>
      <c r="F980" s="5" t="n"/>
      <c r="G980" s="5" t="n"/>
      <c r="H980" s="6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6" t="n"/>
      <c r="D981" s="102" t="inlineStr">
        <is>
          <t>Squadra B</t>
        </is>
      </c>
      <c r="E981" s="6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6" t="n"/>
      <c r="J981" s="102" t="inlineStr">
        <is>
          <t>Risultato</t>
        </is>
      </c>
      <c r="K981" s="5" t="n"/>
      <c r="L981" s="6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5" t="n"/>
      <c r="H982" s="5" t="n"/>
      <c r="I982" s="6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n"/>
      <c r="N982" s="196" t="n"/>
      <c r="O982" s="196" t="n"/>
      <c r="P982" s="196" t="n"/>
      <c r="Q982" s="196" t="n"/>
      <c r="R982" s="196" t="n"/>
    </row>
    <row r="983" ht="15" customHeight="1">
      <c r="A983" s="141" t="n"/>
      <c r="B983" s="69">
        <f>IF('Calendario F'!B133="","",'Calendario F'!B133)</f>
        <v/>
      </c>
      <c r="C983" s="5" t="n"/>
      <c r="D983" s="5" t="n"/>
      <c r="E983" s="5" t="n"/>
      <c r="F983" s="5" t="n"/>
      <c r="G983" s="5" t="n"/>
      <c r="H983" s="6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6" t="n"/>
      <c r="D984" s="102" t="inlineStr">
        <is>
          <t>Squadra B</t>
        </is>
      </c>
      <c r="E984" s="6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6" t="n"/>
      <c r="J984" s="102" t="inlineStr">
        <is>
          <t>Risultato</t>
        </is>
      </c>
      <c r="K984" s="5" t="n"/>
      <c r="L984" s="6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5" t="n"/>
      <c r="H985" s="5" t="n"/>
      <c r="I985" s="6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n"/>
      <c r="N985" s="196" t="n"/>
      <c r="O985" s="196" t="n"/>
      <c r="P985" s="196" t="n"/>
      <c r="Q985" s="196" t="n"/>
      <c r="R985" s="196" t="n"/>
    </row>
    <row r="986" ht="15" customHeight="1">
      <c r="A986" s="141" t="n"/>
      <c r="B986" s="69">
        <f>IF('Calendario F'!B136="","",'Calendario F'!B136)</f>
        <v/>
      </c>
      <c r="C986" s="5" t="n"/>
      <c r="D986" s="5" t="n"/>
      <c r="E986" s="5" t="n"/>
      <c r="F986" s="5" t="n"/>
      <c r="G986" s="5" t="n"/>
      <c r="H986" s="6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6" t="n"/>
      <c r="D987" s="102" t="inlineStr">
        <is>
          <t>Squadra B</t>
        </is>
      </c>
      <c r="E987" s="6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6" t="n"/>
      <c r="J987" s="102" t="inlineStr">
        <is>
          <t>Risultato</t>
        </is>
      </c>
      <c r="K987" s="5" t="n"/>
      <c r="L987" s="6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5" t="n"/>
      <c r="H988" s="5" t="n"/>
      <c r="I988" s="6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n"/>
      <c r="N988" s="196" t="n"/>
      <c r="O988" s="196" t="n"/>
      <c r="P988" s="196" t="n"/>
      <c r="Q988" s="196" t="n"/>
      <c r="R988" s="196" t="n"/>
    </row>
    <row r="989" ht="15" customHeight="1">
      <c r="A989" s="141" t="n"/>
      <c r="B989" s="69">
        <f>IF('Calendario F'!B139="","",'Calendario F'!B139)</f>
        <v/>
      </c>
      <c r="C989" s="5" t="n"/>
      <c r="D989" s="5" t="n"/>
      <c r="E989" s="5" t="n"/>
      <c r="F989" s="5" t="n"/>
      <c r="G989" s="5" t="n"/>
      <c r="H989" s="6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6" t="n"/>
      <c r="D990" s="102" t="inlineStr">
        <is>
          <t>Squadra B</t>
        </is>
      </c>
      <c r="E990" s="6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6" t="n"/>
      <c r="J990" s="102" t="inlineStr">
        <is>
          <t>Risultato</t>
        </is>
      </c>
      <c r="K990" s="5" t="n"/>
      <c r="L990" s="6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5" t="n"/>
      <c r="H991" s="5" t="n"/>
      <c r="I991" s="6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n"/>
      <c r="N991" s="196" t="n"/>
      <c r="O991" s="196" t="n"/>
      <c r="P991" s="196" t="n"/>
      <c r="Q991" s="196" t="n"/>
      <c r="R991" s="196" t="n"/>
    </row>
    <row r="992" ht="15" customHeight="1">
      <c r="A992" s="141" t="n"/>
      <c r="B992" s="69">
        <f>IF('Calendario F'!B142="","",'Calendario F'!B142)</f>
        <v/>
      </c>
      <c r="C992" s="5" t="n"/>
      <c r="D992" s="5" t="n"/>
      <c r="E992" s="5" t="n"/>
      <c r="F992" s="5" t="n"/>
      <c r="G992" s="5" t="n"/>
      <c r="H992" s="6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 t="n"/>
      <c r="M994" s="206" t="inlineStr">
        <is>
          <t>ARBITRI</t>
        </is>
      </c>
      <c r="N994" s="5" t="n"/>
      <c r="O994" s="6" t="n"/>
      <c r="P994" s="206" t="inlineStr">
        <is>
          <t>UFFICIALI DI CAMPO</t>
        </is>
      </c>
      <c r="Q994" s="5" t="n"/>
      <c r="R994" s="6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6" t="n"/>
      <c r="D995" s="102" t="inlineStr">
        <is>
          <t>Squadra B</t>
        </is>
      </c>
      <c r="E995" s="6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6" t="n"/>
      <c r="J995" s="102" t="inlineStr">
        <is>
          <t>Risultato</t>
        </is>
      </c>
      <c r="K995" s="5" t="n"/>
      <c r="L995" s="6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5" t="n"/>
      <c r="H996" s="5" t="n"/>
      <c r="I996" s="6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n"/>
      <c r="N996" s="196" t="n"/>
      <c r="O996" s="196" t="n"/>
      <c r="P996" s="196" t="n"/>
      <c r="Q996" s="196" t="n"/>
      <c r="R996" s="196" t="n"/>
    </row>
    <row r="997" ht="15" customHeight="1">
      <c r="A997" s="141" t="n"/>
      <c r="B997" s="69">
        <f>IF('Calendario F'!B147="","",'Calendario F'!B147)</f>
        <v/>
      </c>
      <c r="C997" s="5" t="n"/>
      <c r="D997" s="5" t="n"/>
      <c r="E997" s="5" t="n"/>
      <c r="F997" s="5" t="n"/>
      <c r="G997" s="5" t="n"/>
      <c r="H997" s="6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6" t="n"/>
      <c r="D998" s="102" t="inlineStr">
        <is>
          <t>Squadra B</t>
        </is>
      </c>
      <c r="E998" s="6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6" t="n"/>
      <c r="J998" s="102" t="inlineStr">
        <is>
          <t>Risultato</t>
        </is>
      </c>
      <c r="K998" s="5" t="n"/>
      <c r="L998" s="6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5" t="n"/>
      <c r="H999" s="5" t="n"/>
      <c r="I999" s="6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n"/>
      <c r="N999" s="196" t="n"/>
      <c r="O999" s="196" t="n"/>
      <c r="P999" s="196" t="n"/>
      <c r="Q999" s="196" t="n"/>
      <c r="R999" s="196" t="n"/>
    </row>
    <row r="1000" ht="15" customHeight="1">
      <c r="A1000" s="141" t="n"/>
      <c r="B1000" s="69">
        <f>IF('Calendario F'!B150="","",'Calendario F'!B150)</f>
        <v/>
      </c>
      <c r="C1000" s="5" t="n"/>
      <c r="D1000" s="5" t="n"/>
      <c r="E1000" s="5" t="n"/>
      <c r="F1000" s="5" t="n"/>
      <c r="G1000" s="5" t="n"/>
      <c r="H1000" s="6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6" t="n"/>
      <c r="D1001" s="102" t="inlineStr">
        <is>
          <t>Squadra B</t>
        </is>
      </c>
      <c r="E1001" s="6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6" t="n"/>
      <c r="J1001" s="102" t="inlineStr">
        <is>
          <t>Risultato</t>
        </is>
      </c>
      <c r="K1001" s="5" t="n"/>
      <c r="L1001" s="6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5" t="n"/>
      <c r="H1002" s="5" t="n"/>
      <c r="I1002" s="6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n"/>
      <c r="N1002" s="196" t="n"/>
      <c r="O1002" s="196" t="n"/>
      <c r="P1002" s="196" t="n"/>
      <c r="Q1002" s="196" t="n"/>
      <c r="R1002" s="196" t="n"/>
    </row>
    <row r="1003" ht="15" customHeight="1">
      <c r="A1003" s="141" t="n"/>
      <c r="B1003" s="69">
        <f>IF('Calendario F'!B153="","",'Calendario F'!B153)</f>
        <v/>
      </c>
      <c r="C1003" s="5" t="n"/>
      <c r="D1003" s="5" t="n"/>
      <c r="E1003" s="5" t="n"/>
      <c r="F1003" s="5" t="n"/>
      <c r="G1003" s="5" t="n"/>
      <c r="H1003" s="6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6" t="n"/>
      <c r="D1004" s="102" t="inlineStr">
        <is>
          <t>Squadra B</t>
        </is>
      </c>
      <c r="E1004" s="6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6" t="n"/>
      <c r="J1004" s="102" t="inlineStr">
        <is>
          <t>Risultato</t>
        </is>
      </c>
      <c r="K1004" s="5" t="n"/>
      <c r="L1004" s="6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5" t="n"/>
      <c r="H1005" s="5" t="n"/>
      <c r="I1005" s="6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n"/>
      <c r="N1005" s="196" t="n"/>
      <c r="O1005" s="196" t="n"/>
      <c r="P1005" s="196" t="n"/>
      <c r="Q1005" s="196" t="n"/>
      <c r="R1005" s="196" t="n"/>
    </row>
    <row r="1006" ht="15" customHeight="1">
      <c r="A1006" s="141" t="n"/>
      <c r="B1006" s="69">
        <f>IF('Calendario F'!B156="","",'Calendario F'!B156)</f>
        <v/>
      </c>
      <c r="C1006" s="5" t="n"/>
      <c r="D1006" s="5" t="n"/>
      <c r="E1006" s="5" t="n"/>
      <c r="F1006" s="5" t="n"/>
      <c r="G1006" s="5" t="n"/>
      <c r="H1006" s="6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6" t="n"/>
      <c r="D1007" s="102" t="inlineStr">
        <is>
          <t>Squadra B</t>
        </is>
      </c>
      <c r="E1007" s="6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6" t="n"/>
      <c r="J1007" s="102" t="inlineStr">
        <is>
          <t>Risultato</t>
        </is>
      </c>
      <c r="K1007" s="5" t="n"/>
      <c r="L1007" s="6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5" t="n"/>
      <c r="H1008" s="5" t="n"/>
      <c r="I1008" s="6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n"/>
      <c r="N1008" s="196" t="n"/>
      <c r="O1008" s="196" t="n"/>
      <c r="P1008" s="196" t="n"/>
      <c r="Q1008" s="196" t="n"/>
      <c r="R1008" s="196" t="n"/>
    </row>
    <row r="1009" ht="15" customHeight="1">
      <c r="A1009" s="141" t="n"/>
      <c r="B1009" s="69">
        <f>IF('Calendario F'!B159="","",'Calendario F'!B159)</f>
        <v/>
      </c>
      <c r="C1009" s="5" t="n"/>
      <c r="D1009" s="5" t="n"/>
      <c r="E1009" s="5" t="n"/>
      <c r="F1009" s="5" t="n"/>
      <c r="G1009" s="5" t="n"/>
      <c r="H1009" s="6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 t="n"/>
      <c r="M1028" s="208" t="inlineStr">
        <is>
          <t>ARBITRI</t>
        </is>
      </c>
      <c r="N1028" s="5" t="n"/>
      <c r="O1028" s="6" t="n"/>
      <c r="P1028" s="208" t="inlineStr">
        <is>
          <t>UFFICIALI DI CAMPO</t>
        </is>
      </c>
      <c r="Q1028" s="5" t="n"/>
      <c r="R1028" s="6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6" t="n"/>
      <c r="D1029" s="109" t="inlineStr">
        <is>
          <t>Squadra B</t>
        </is>
      </c>
      <c r="E1029" s="6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6" t="n"/>
      <c r="J1029" s="109" t="inlineStr">
        <is>
          <t>Risultato</t>
        </is>
      </c>
      <c r="K1029" s="5" t="n"/>
      <c r="L1029" s="6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5" t="n"/>
      <c r="H1030" s="5" t="n"/>
      <c r="I1030" s="6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n"/>
      <c r="N1030" s="196" t="n"/>
      <c r="O1030" s="196" t="n"/>
      <c r="P1030" s="196" t="n"/>
      <c r="Q1030" s="196" t="n"/>
      <c r="R1030" s="196" t="n"/>
    </row>
    <row r="1031" ht="15" customHeight="1">
      <c r="A1031" s="141" t="n"/>
      <c r="B1031" s="69">
        <f>IF('Calendario G'!B11="","",'Calendario G'!B11)</f>
        <v/>
      </c>
      <c r="C1031" s="5" t="n"/>
      <c r="D1031" s="5" t="n"/>
      <c r="E1031" s="5" t="n"/>
      <c r="F1031" s="5" t="n"/>
      <c r="G1031" s="5" t="n"/>
      <c r="H1031" s="6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6" t="n"/>
      <c r="D1032" s="109" t="inlineStr">
        <is>
          <t>Squadra B</t>
        </is>
      </c>
      <c r="E1032" s="6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6" t="n"/>
      <c r="J1032" s="109" t="inlineStr">
        <is>
          <t>Risultato</t>
        </is>
      </c>
      <c r="K1032" s="5" t="n"/>
      <c r="L1032" s="6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5" t="n"/>
      <c r="H1033" s="5" t="n"/>
      <c r="I1033" s="6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n"/>
      <c r="N1033" s="196" t="n"/>
      <c r="O1033" s="196" t="n"/>
      <c r="P1033" s="196" t="n"/>
      <c r="Q1033" s="196" t="n"/>
      <c r="R1033" s="196" t="n"/>
    </row>
    <row r="1034" ht="15" customHeight="1">
      <c r="A1034" s="141" t="n"/>
      <c r="B1034" s="69">
        <f>IF('Calendario G'!B14="","",'Calendario G'!B14)</f>
        <v/>
      </c>
      <c r="C1034" s="5" t="n"/>
      <c r="D1034" s="5" t="n"/>
      <c r="E1034" s="5" t="n"/>
      <c r="F1034" s="5" t="n"/>
      <c r="G1034" s="5" t="n"/>
      <c r="H1034" s="6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6" t="n"/>
      <c r="D1035" s="109" t="inlineStr">
        <is>
          <t>Squadra B</t>
        </is>
      </c>
      <c r="E1035" s="6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6" t="n"/>
      <c r="J1035" s="109" t="inlineStr">
        <is>
          <t>Risultato</t>
        </is>
      </c>
      <c r="K1035" s="5" t="n"/>
      <c r="L1035" s="6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5" t="n"/>
      <c r="H1036" s="5" t="n"/>
      <c r="I1036" s="6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n"/>
      <c r="N1036" s="196" t="n"/>
      <c r="O1036" s="196" t="n"/>
      <c r="P1036" s="196" t="n"/>
      <c r="Q1036" s="196" t="n"/>
      <c r="R1036" s="196" t="n"/>
    </row>
    <row r="1037" ht="15" customHeight="1">
      <c r="A1037" s="141" t="n"/>
      <c r="B1037" s="69">
        <f>IF('Calendario G'!B17="","",'Calendario G'!B17)</f>
        <v/>
      </c>
      <c r="C1037" s="5" t="n"/>
      <c r="D1037" s="5" t="n"/>
      <c r="E1037" s="5" t="n"/>
      <c r="F1037" s="5" t="n"/>
      <c r="G1037" s="5" t="n"/>
      <c r="H1037" s="6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6" t="n"/>
      <c r="D1038" s="109" t="inlineStr">
        <is>
          <t>Squadra B</t>
        </is>
      </c>
      <c r="E1038" s="6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6" t="n"/>
      <c r="J1038" s="109" t="inlineStr">
        <is>
          <t>Risultato</t>
        </is>
      </c>
      <c r="K1038" s="5" t="n"/>
      <c r="L1038" s="6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5" t="n"/>
      <c r="H1039" s="5" t="n"/>
      <c r="I1039" s="6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n"/>
      <c r="N1039" s="196" t="n"/>
      <c r="O1039" s="196" t="n"/>
      <c r="P1039" s="196" t="n"/>
      <c r="Q1039" s="196" t="n"/>
      <c r="R1039" s="196" t="n"/>
    </row>
    <row r="1040" ht="15" customHeight="1">
      <c r="A1040" s="141" t="n"/>
      <c r="B1040" s="69">
        <f>IF('Calendario G'!B20="","",'Calendario G'!B20)</f>
        <v/>
      </c>
      <c r="C1040" s="5" t="n"/>
      <c r="D1040" s="5" t="n"/>
      <c r="E1040" s="5" t="n"/>
      <c r="F1040" s="5" t="n"/>
      <c r="G1040" s="5" t="n"/>
      <c r="H1040" s="6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6" t="n"/>
      <c r="D1041" s="109" t="inlineStr">
        <is>
          <t>Squadra B</t>
        </is>
      </c>
      <c r="E1041" s="6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6" t="n"/>
      <c r="J1041" s="109" t="inlineStr">
        <is>
          <t>Risultato</t>
        </is>
      </c>
      <c r="K1041" s="5" t="n"/>
      <c r="L1041" s="6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5" t="n"/>
      <c r="H1042" s="5" t="n"/>
      <c r="I1042" s="6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n"/>
      <c r="N1042" s="196" t="n"/>
      <c r="O1042" s="196" t="n"/>
      <c r="P1042" s="196" t="n"/>
      <c r="Q1042" s="196" t="n"/>
      <c r="R1042" s="196" t="n"/>
    </row>
    <row r="1043" ht="15" customHeight="1">
      <c r="A1043" s="141" t="n"/>
      <c r="B1043" s="69">
        <f>IF('Calendario G'!B23="","",'Calendario G'!B23)</f>
        <v/>
      </c>
      <c r="C1043" s="5" t="n"/>
      <c r="D1043" s="5" t="n"/>
      <c r="E1043" s="5" t="n"/>
      <c r="F1043" s="5" t="n"/>
      <c r="G1043" s="5" t="n"/>
      <c r="H1043" s="6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 t="n"/>
      <c r="M1045" s="208" t="inlineStr">
        <is>
          <t>ARBITRI</t>
        </is>
      </c>
      <c r="N1045" s="5" t="n"/>
      <c r="O1045" s="6" t="n"/>
      <c r="P1045" s="208" t="inlineStr">
        <is>
          <t>UFFICIALI DI CAMPO</t>
        </is>
      </c>
      <c r="Q1045" s="5" t="n"/>
      <c r="R1045" s="6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6" t="n"/>
      <c r="D1046" s="109" t="inlineStr">
        <is>
          <t>Squadra B</t>
        </is>
      </c>
      <c r="E1046" s="6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6" t="n"/>
      <c r="J1046" s="109" t="inlineStr">
        <is>
          <t>Risultato</t>
        </is>
      </c>
      <c r="K1046" s="5" t="n"/>
      <c r="L1046" s="6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5" t="n"/>
      <c r="H1047" s="5" t="n"/>
      <c r="I1047" s="6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n"/>
      <c r="N1047" s="196" t="n"/>
      <c r="O1047" s="196" t="n"/>
      <c r="P1047" s="196" t="n"/>
      <c r="Q1047" s="196" t="n"/>
      <c r="R1047" s="196" t="n"/>
    </row>
    <row r="1048" ht="15" customHeight="1">
      <c r="A1048" s="141" t="n"/>
      <c r="B1048" s="69">
        <f>IF('Calendario G'!B28="","",'Calendario G'!B28)</f>
        <v/>
      </c>
      <c r="C1048" s="5" t="n"/>
      <c r="D1048" s="5" t="n"/>
      <c r="E1048" s="5" t="n"/>
      <c r="F1048" s="5" t="n"/>
      <c r="G1048" s="5" t="n"/>
      <c r="H1048" s="6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6" t="n"/>
      <c r="D1049" s="109" t="inlineStr">
        <is>
          <t>Squadra B</t>
        </is>
      </c>
      <c r="E1049" s="6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6" t="n"/>
      <c r="J1049" s="109" t="inlineStr">
        <is>
          <t>Risultato</t>
        </is>
      </c>
      <c r="K1049" s="5" t="n"/>
      <c r="L1049" s="6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5" t="n"/>
      <c r="H1050" s="5" t="n"/>
      <c r="I1050" s="6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n"/>
      <c r="N1050" s="196" t="n"/>
      <c r="O1050" s="196" t="n"/>
      <c r="P1050" s="196" t="n"/>
      <c r="Q1050" s="196" t="n"/>
      <c r="R1050" s="196" t="n"/>
    </row>
    <row r="1051" ht="15" customHeight="1">
      <c r="A1051" s="141" t="n"/>
      <c r="B1051" s="69">
        <f>IF('Calendario G'!B31="","",'Calendario G'!B31)</f>
        <v/>
      </c>
      <c r="C1051" s="5" t="n"/>
      <c r="D1051" s="5" t="n"/>
      <c r="E1051" s="5" t="n"/>
      <c r="F1051" s="5" t="n"/>
      <c r="G1051" s="5" t="n"/>
      <c r="H1051" s="6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6" t="n"/>
      <c r="D1052" s="109" t="inlineStr">
        <is>
          <t>Squadra B</t>
        </is>
      </c>
      <c r="E1052" s="6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6" t="n"/>
      <c r="J1052" s="109" t="inlineStr">
        <is>
          <t>Risultato</t>
        </is>
      </c>
      <c r="K1052" s="5" t="n"/>
      <c r="L1052" s="6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5" t="n"/>
      <c r="H1053" s="5" t="n"/>
      <c r="I1053" s="6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n"/>
      <c r="N1053" s="196" t="n"/>
      <c r="O1053" s="196" t="n"/>
      <c r="P1053" s="196" t="n"/>
      <c r="Q1053" s="196" t="n"/>
      <c r="R1053" s="196" t="n"/>
    </row>
    <row r="1054" ht="15" customHeight="1">
      <c r="A1054" s="141" t="n"/>
      <c r="B1054" s="69">
        <f>IF('Calendario G'!B34="","",'Calendario G'!B34)</f>
        <v/>
      </c>
      <c r="C1054" s="5" t="n"/>
      <c r="D1054" s="5" t="n"/>
      <c r="E1054" s="5" t="n"/>
      <c r="F1054" s="5" t="n"/>
      <c r="G1054" s="5" t="n"/>
      <c r="H1054" s="6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6" t="n"/>
      <c r="D1055" s="109" t="inlineStr">
        <is>
          <t>Squadra B</t>
        </is>
      </c>
      <c r="E1055" s="6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6" t="n"/>
      <c r="J1055" s="109" t="inlineStr">
        <is>
          <t>Risultato</t>
        </is>
      </c>
      <c r="K1055" s="5" t="n"/>
      <c r="L1055" s="6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5" t="n"/>
      <c r="H1056" s="5" t="n"/>
      <c r="I1056" s="6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n"/>
      <c r="N1056" s="196" t="n"/>
      <c r="O1056" s="196" t="n"/>
      <c r="P1056" s="196" t="n"/>
      <c r="Q1056" s="196" t="n"/>
      <c r="R1056" s="196" t="n"/>
    </row>
    <row r="1057" ht="15" customHeight="1">
      <c r="A1057" s="141" t="n"/>
      <c r="B1057" s="69">
        <f>IF('Calendario G'!B37="","",'Calendario G'!B37)</f>
        <v/>
      </c>
      <c r="C1057" s="5" t="n"/>
      <c r="D1057" s="5" t="n"/>
      <c r="E1057" s="5" t="n"/>
      <c r="F1057" s="5" t="n"/>
      <c r="G1057" s="5" t="n"/>
      <c r="H1057" s="6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6" t="n"/>
      <c r="D1058" s="109" t="inlineStr">
        <is>
          <t>Squadra B</t>
        </is>
      </c>
      <c r="E1058" s="6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6" t="n"/>
      <c r="J1058" s="109" t="inlineStr">
        <is>
          <t>Risultato</t>
        </is>
      </c>
      <c r="K1058" s="5" t="n"/>
      <c r="L1058" s="6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5" t="n"/>
      <c r="H1059" s="5" t="n"/>
      <c r="I1059" s="6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n"/>
      <c r="N1059" s="196" t="n"/>
      <c r="O1059" s="196" t="n"/>
      <c r="P1059" s="196" t="n"/>
      <c r="Q1059" s="196" t="n"/>
      <c r="R1059" s="196" t="n"/>
    </row>
    <row r="1060" ht="15" customHeight="1">
      <c r="A1060" s="141" t="n"/>
      <c r="B1060" s="69">
        <f>IF('Calendario G'!B40="","",'Calendario G'!B40)</f>
        <v/>
      </c>
      <c r="C1060" s="5" t="n"/>
      <c r="D1060" s="5" t="n"/>
      <c r="E1060" s="5" t="n"/>
      <c r="F1060" s="5" t="n"/>
      <c r="G1060" s="5" t="n"/>
      <c r="H1060" s="6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 t="n"/>
      <c r="M1062" s="208" t="inlineStr">
        <is>
          <t>ARBITRI</t>
        </is>
      </c>
      <c r="N1062" s="5" t="n"/>
      <c r="O1062" s="6" t="n"/>
      <c r="P1062" s="208" t="inlineStr">
        <is>
          <t>UFFICIALI DI CAMPO</t>
        </is>
      </c>
      <c r="Q1062" s="5" t="n"/>
      <c r="R1062" s="6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6" t="n"/>
      <c r="D1063" s="109" t="inlineStr">
        <is>
          <t>Squadra B</t>
        </is>
      </c>
      <c r="E1063" s="6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6" t="n"/>
      <c r="J1063" s="109" t="inlineStr">
        <is>
          <t>Risultato</t>
        </is>
      </c>
      <c r="K1063" s="5" t="n"/>
      <c r="L1063" s="6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5" t="n"/>
      <c r="H1064" s="5" t="n"/>
      <c r="I1064" s="6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n"/>
      <c r="N1064" s="196" t="n"/>
      <c r="O1064" s="196" t="n"/>
      <c r="P1064" s="196" t="n"/>
      <c r="Q1064" s="196" t="n"/>
      <c r="R1064" s="196" t="n"/>
    </row>
    <row r="1065" ht="15" customHeight="1">
      <c r="A1065" s="141" t="n"/>
      <c r="B1065" s="69">
        <f>IF('Calendario G'!B45="","",'Calendario G'!B45)</f>
        <v/>
      </c>
      <c r="C1065" s="5" t="n"/>
      <c r="D1065" s="5" t="n"/>
      <c r="E1065" s="5" t="n"/>
      <c r="F1065" s="5" t="n"/>
      <c r="G1065" s="5" t="n"/>
      <c r="H1065" s="6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6" t="n"/>
      <c r="D1066" s="109" t="inlineStr">
        <is>
          <t>Squadra B</t>
        </is>
      </c>
      <c r="E1066" s="6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6" t="n"/>
      <c r="J1066" s="109" t="inlineStr">
        <is>
          <t>Risultato</t>
        </is>
      </c>
      <c r="K1066" s="5" t="n"/>
      <c r="L1066" s="6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5" t="n"/>
      <c r="H1067" s="5" t="n"/>
      <c r="I1067" s="6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n"/>
      <c r="N1067" s="196" t="n"/>
      <c r="O1067" s="196" t="n"/>
      <c r="P1067" s="196" t="n"/>
      <c r="Q1067" s="196" t="n"/>
      <c r="R1067" s="196" t="n"/>
    </row>
    <row r="1068" ht="15" customHeight="1">
      <c r="A1068" s="141" t="n"/>
      <c r="B1068" s="69">
        <f>IF('Calendario G'!B48="","",'Calendario G'!B48)</f>
        <v/>
      </c>
      <c r="C1068" s="5" t="n"/>
      <c r="D1068" s="5" t="n"/>
      <c r="E1068" s="5" t="n"/>
      <c r="F1068" s="5" t="n"/>
      <c r="G1068" s="5" t="n"/>
      <c r="H1068" s="6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6" t="n"/>
      <c r="D1069" s="109" t="inlineStr">
        <is>
          <t>Squadra B</t>
        </is>
      </c>
      <c r="E1069" s="6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6" t="n"/>
      <c r="J1069" s="109" t="inlineStr">
        <is>
          <t>Risultato</t>
        </is>
      </c>
      <c r="K1069" s="5" t="n"/>
      <c r="L1069" s="6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5" t="n"/>
      <c r="H1070" s="5" t="n"/>
      <c r="I1070" s="6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n"/>
      <c r="N1070" s="196" t="n"/>
      <c r="O1070" s="196" t="n"/>
      <c r="P1070" s="196" t="n"/>
      <c r="Q1070" s="196" t="n"/>
      <c r="R1070" s="196" t="n"/>
    </row>
    <row r="1071" ht="15" customHeight="1">
      <c r="A1071" s="141" t="n"/>
      <c r="B1071" s="69">
        <f>IF('Calendario G'!B51="","",'Calendario G'!B51)</f>
        <v/>
      </c>
      <c r="C1071" s="5" t="n"/>
      <c r="D1071" s="5" t="n"/>
      <c r="E1071" s="5" t="n"/>
      <c r="F1071" s="5" t="n"/>
      <c r="G1071" s="5" t="n"/>
      <c r="H1071" s="6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6" t="n"/>
      <c r="D1072" s="109" t="inlineStr">
        <is>
          <t>Squadra B</t>
        </is>
      </c>
      <c r="E1072" s="6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6" t="n"/>
      <c r="J1072" s="109" t="inlineStr">
        <is>
          <t>Risultato</t>
        </is>
      </c>
      <c r="K1072" s="5" t="n"/>
      <c r="L1072" s="6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5" t="n"/>
      <c r="H1073" s="5" t="n"/>
      <c r="I1073" s="6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n"/>
      <c r="N1073" s="196" t="n"/>
      <c r="O1073" s="196" t="n"/>
      <c r="P1073" s="196" t="n"/>
      <c r="Q1073" s="196" t="n"/>
      <c r="R1073" s="196" t="n"/>
    </row>
    <row r="1074" ht="15" customHeight="1">
      <c r="A1074" s="141" t="n"/>
      <c r="B1074" s="69">
        <f>IF('Calendario G'!B54="","",'Calendario G'!B54)</f>
        <v/>
      </c>
      <c r="C1074" s="5" t="n"/>
      <c r="D1074" s="5" t="n"/>
      <c r="E1074" s="5" t="n"/>
      <c r="F1074" s="5" t="n"/>
      <c r="G1074" s="5" t="n"/>
      <c r="H1074" s="6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6" t="n"/>
      <c r="D1075" s="109" t="inlineStr">
        <is>
          <t>Squadra B</t>
        </is>
      </c>
      <c r="E1075" s="6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6" t="n"/>
      <c r="J1075" s="109" t="inlineStr">
        <is>
          <t>Risultato</t>
        </is>
      </c>
      <c r="K1075" s="5" t="n"/>
      <c r="L1075" s="6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5" t="n"/>
      <c r="H1076" s="5" t="n"/>
      <c r="I1076" s="6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n"/>
      <c r="N1076" s="196" t="n"/>
      <c r="O1076" s="196" t="n"/>
      <c r="P1076" s="196" t="n"/>
      <c r="Q1076" s="196" t="n"/>
      <c r="R1076" s="196" t="n"/>
    </row>
    <row r="1077" ht="15" customHeight="1">
      <c r="A1077" s="141" t="n"/>
      <c r="B1077" s="69">
        <f>IF('Calendario G'!B57="","",'Calendario G'!B57)</f>
        <v/>
      </c>
      <c r="C1077" s="5" t="n"/>
      <c r="D1077" s="5" t="n"/>
      <c r="E1077" s="5" t="n"/>
      <c r="F1077" s="5" t="n"/>
      <c r="G1077" s="5" t="n"/>
      <c r="H1077" s="6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 t="n"/>
      <c r="M1079" s="208" t="inlineStr">
        <is>
          <t>ARBITRI</t>
        </is>
      </c>
      <c r="N1079" s="5" t="n"/>
      <c r="O1079" s="6" t="n"/>
      <c r="P1079" s="208" t="inlineStr">
        <is>
          <t>UFFICIALI DI CAMPO</t>
        </is>
      </c>
      <c r="Q1079" s="5" t="n"/>
      <c r="R1079" s="6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6" t="n"/>
      <c r="D1080" s="109" t="inlineStr">
        <is>
          <t>Squadra B</t>
        </is>
      </c>
      <c r="E1080" s="6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6" t="n"/>
      <c r="J1080" s="109" t="inlineStr">
        <is>
          <t>Risultato</t>
        </is>
      </c>
      <c r="K1080" s="5" t="n"/>
      <c r="L1080" s="6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5" t="n"/>
      <c r="H1081" s="5" t="n"/>
      <c r="I1081" s="6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n"/>
      <c r="N1081" s="196" t="n"/>
      <c r="O1081" s="196" t="n"/>
      <c r="P1081" s="196" t="n"/>
      <c r="Q1081" s="196" t="n"/>
      <c r="R1081" s="196" t="n"/>
    </row>
    <row r="1082" ht="15" customHeight="1">
      <c r="A1082" s="141" t="n"/>
      <c r="B1082" s="69">
        <f>IF('Calendario G'!B62="","",'Calendario G'!B62)</f>
        <v/>
      </c>
      <c r="C1082" s="5" t="n"/>
      <c r="D1082" s="5" t="n"/>
      <c r="E1082" s="5" t="n"/>
      <c r="F1082" s="5" t="n"/>
      <c r="G1082" s="5" t="n"/>
      <c r="H1082" s="6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6" t="n"/>
      <c r="D1083" s="109" t="inlineStr">
        <is>
          <t>Squadra B</t>
        </is>
      </c>
      <c r="E1083" s="6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6" t="n"/>
      <c r="J1083" s="109" t="inlineStr">
        <is>
          <t>Risultato</t>
        </is>
      </c>
      <c r="K1083" s="5" t="n"/>
      <c r="L1083" s="6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5" t="n"/>
      <c r="H1084" s="5" t="n"/>
      <c r="I1084" s="6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n"/>
      <c r="N1084" s="196" t="n"/>
      <c r="O1084" s="196" t="n"/>
      <c r="P1084" s="196" t="n"/>
      <c r="Q1084" s="196" t="n"/>
      <c r="R1084" s="196" t="n"/>
    </row>
    <row r="1085" ht="15" customHeight="1">
      <c r="A1085" s="141" t="n"/>
      <c r="B1085" s="69">
        <f>IF('Calendario G'!B65="","",'Calendario G'!B65)</f>
        <v/>
      </c>
      <c r="C1085" s="5" t="n"/>
      <c r="D1085" s="5" t="n"/>
      <c r="E1085" s="5" t="n"/>
      <c r="F1085" s="5" t="n"/>
      <c r="G1085" s="5" t="n"/>
      <c r="H1085" s="6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6" t="n"/>
      <c r="D1086" s="109" t="inlineStr">
        <is>
          <t>Squadra B</t>
        </is>
      </c>
      <c r="E1086" s="6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6" t="n"/>
      <c r="J1086" s="109" t="inlineStr">
        <is>
          <t>Risultato</t>
        </is>
      </c>
      <c r="K1086" s="5" t="n"/>
      <c r="L1086" s="6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5" t="n"/>
      <c r="H1087" s="5" t="n"/>
      <c r="I1087" s="6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n"/>
      <c r="N1087" s="196" t="n"/>
      <c r="O1087" s="196" t="n"/>
      <c r="P1087" s="196" t="n"/>
      <c r="Q1087" s="196" t="n"/>
      <c r="R1087" s="196" t="n"/>
    </row>
    <row r="1088" ht="15" customHeight="1">
      <c r="A1088" s="141" t="n"/>
      <c r="B1088" s="69">
        <f>IF('Calendario G'!B68="","",'Calendario G'!B68)</f>
        <v/>
      </c>
      <c r="C1088" s="5" t="n"/>
      <c r="D1088" s="5" t="n"/>
      <c r="E1088" s="5" t="n"/>
      <c r="F1088" s="5" t="n"/>
      <c r="G1088" s="5" t="n"/>
      <c r="H1088" s="6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6" t="n"/>
      <c r="D1089" s="109" t="inlineStr">
        <is>
          <t>Squadra B</t>
        </is>
      </c>
      <c r="E1089" s="6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6" t="n"/>
      <c r="J1089" s="109" t="inlineStr">
        <is>
          <t>Risultato</t>
        </is>
      </c>
      <c r="K1089" s="5" t="n"/>
      <c r="L1089" s="6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5" t="n"/>
      <c r="H1090" s="5" t="n"/>
      <c r="I1090" s="6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n"/>
      <c r="N1090" s="196" t="n"/>
      <c r="O1090" s="196" t="n"/>
      <c r="P1090" s="196" t="n"/>
      <c r="Q1090" s="196" t="n"/>
      <c r="R1090" s="196" t="n"/>
    </row>
    <row r="1091" ht="15" customHeight="1">
      <c r="A1091" s="141" t="n"/>
      <c r="B1091" s="69">
        <f>IF('Calendario G'!B71="","",'Calendario G'!B71)</f>
        <v/>
      </c>
      <c r="C1091" s="5" t="n"/>
      <c r="D1091" s="5" t="n"/>
      <c r="E1091" s="5" t="n"/>
      <c r="F1091" s="5" t="n"/>
      <c r="G1091" s="5" t="n"/>
      <c r="H1091" s="6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6" t="n"/>
      <c r="D1092" s="109" t="inlineStr">
        <is>
          <t>Squadra B</t>
        </is>
      </c>
      <c r="E1092" s="6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6" t="n"/>
      <c r="J1092" s="109" t="inlineStr">
        <is>
          <t>Risultato</t>
        </is>
      </c>
      <c r="K1092" s="5" t="n"/>
      <c r="L1092" s="6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5" t="n"/>
      <c r="H1093" s="5" t="n"/>
      <c r="I1093" s="6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n"/>
      <c r="N1093" s="196" t="n"/>
      <c r="O1093" s="196" t="n"/>
      <c r="P1093" s="196" t="n"/>
      <c r="Q1093" s="196" t="n"/>
      <c r="R1093" s="196" t="n"/>
    </row>
    <row r="1094" ht="15" customHeight="1">
      <c r="A1094" s="141" t="n"/>
      <c r="B1094" s="69">
        <f>IF('Calendario G'!B74="","",'Calendario G'!B74)</f>
        <v/>
      </c>
      <c r="C1094" s="5" t="n"/>
      <c r="D1094" s="5" t="n"/>
      <c r="E1094" s="5" t="n"/>
      <c r="F1094" s="5" t="n"/>
      <c r="G1094" s="5" t="n"/>
      <c r="H1094" s="6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 t="n"/>
      <c r="M1096" s="208" t="inlineStr">
        <is>
          <t>ARBITRI</t>
        </is>
      </c>
      <c r="N1096" s="5" t="n"/>
      <c r="O1096" s="6" t="n"/>
      <c r="P1096" s="208" t="inlineStr">
        <is>
          <t>UFFICIALI DI CAMPO</t>
        </is>
      </c>
      <c r="Q1096" s="5" t="n"/>
      <c r="R1096" s="6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6" t="n"/>
      <c r="D1097" s="109" t="inlineStr">
        <is>
          <t>Squadra B</t>
        </is>
      </c>
      <c r="E1097" s="6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6" t="n"/>
      <c r="J1097" s="109" t="inlineStr">
        <is>
          <t>Risultato</t>
        </is>
      </c>
      <c r="K1097" s="5" t="n"/>
      <c r="L1097" s="6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5" t="n"/>
      <c r="H1098" s="5" t="n"/>
      <c r="I1098" s="6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n"/>
      <c r="N1098" s="196" t="n"/>
      <c r="O1098" s="196" t="n"/>
      <c r="P1098" s="196" t="n"/>
      <c r="Q1098" s="196" t="n"/>
      <c r="R1098" s="196" t="n"/>
    </row>
    <row r="1099" ht="15" customHeight="1">
      <c r="A1099" s="141" t="n"/>
      <c r="B1099" s="69">
        <f>IF('Calendario G'!B79="","",'Calendario G'!B79)</f>
        <v/>
      </c>
      <c r="C1099" s="5" t="n"/>
      <c r="D1099" s="5" t="n"/>
      <c r="E1099" s="5" t="n"/>
      <c r="F1099" s="5" t="n"/>
      <c r="G1099" s="5" t="n"/>
      <c r="H1099" s="6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6" t="n"/>
      <c r="D1100" s="109" t="inlineStr">
        <is>
          <t>Squadra B</t>
        </is>
      </c>
      <c r="E1100" s="6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6" t="n"/>
      <c r="J1100" s="109" t="inlineStr">
        <is>
          <t>Risultato</t>
        </is>
      </c>
      <c r="K1100" s="5" t="n"/>
      <c r="L1100" s="6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5" t="n"/>
      <c r="H1101" s="5" t="n"/>
      <c r="I1101" s="6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n"/>
      <c r="N1101" s="196" t="n"/>
      <c r="O1101" s="196" t="n"/>
      <c r="P1101" s="196" t="n"/>
      <c r="Q1101" s="196" t="n"/>
      <c r="R1101" s="196" t="n"/>
    </row>
    <row r="1102" ht="15" customHeight="1">
      <c r="A1102" s="141" t="n"/>
      <c r="B1102" s="69">
        <f>IF('Calendario G'!B82="","",'Calendario G'!B82)</f>
        <v/>
      </c>
      <c r="C1102" s="5" t="n"/>
      <c r="D1102" s="5" t="n"/>
      <c r="E1102" s="5" t="n"/>
      <c r="F1102" s="5" t="n"/>
      <c r="G1102" s="5" t="n"/>
      <c r="H1102" s="6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6" t="n"/>
      <c r="D1103" s="109" t="inlineStr">
        <is>
          <t>Squadra B</t>
        </is>
      </c>
      <c r="E1103" s="6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6" t="n"/>
      <c r="J1103" s="109" t="inlineStr">
        <is>
          <t>Risultato</t>
        </is>
      </c>
      <c r="K1103" s="5" t="n"/>
      <c r="L1103" s="6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5" t="n"/>
      <c r="H1104" s="5" t="n"/>
      <c r="I1104" s="6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n"/>
      <c r="N1104" s="196" t="n"/>
      <c r="O1104" s="196" t="n"/>
      <c r="P1104" s="196" t="n"/>
      <c r="Q1104" s="196" t="n"/>
      <c r="R1104" s="196" t="n"/>
    </row>
    <row r="1105" ht="15" customHeight="1">
      <c r="A1105" s="141" t="n"/>
      <c r="B1105" s="69">
        <f>IF('Calendario G'!B85="","",'Calendario G'!B85)</f>
        <v/>
      </c>
      <c r="C1105" s="5" t="n"/>
      <c r="D1105" s="5" t="n"/>
      <c r="E1105" s="5" t="n"/>
      <c r="F1105" s="5" t="n"/>
      <c r="G1105" s="5" t="n"/>
      <c r="H1105" s="6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6" t="n"/>
      <c r="D1106" s="109" t="inlineStr">
        <is>
          <t>Squadra B</t>
        </is>
      </c>
      <c r="E1106" s="6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6" t="n"/>
      <c r="J1106" s="109" t="inlineStr">
        <is>
          <t>Risultato</t>
        </is>
      </c>
      <c r="K1106" s="5" t="n"/>
      <c r="L1106" s="6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5" t="n"/>
      <c r="H1107" s="5" t="n"/>
      <c r="I1107" s="6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n"/>
      <c r="N1107" s="196" t="n"/>
      <c r="O1107" s="196" t="n"/>
      <c r="P1107" s="196" t="n"/>
      <c r="Q1107" s="196" t="n"/>
      <c r="R1107" s="196" t="n"/>
    </row>
    <row r="1108" ht="15" customHeight="1">
      <c r="A1108" s="141" t="n"/>
      <c r="B1108" s="69">
        <f>IF('Calendario G'!B88="","",'Calendario G'!B88)</f>
        <v/>
      </c>
      <c r="C1108" s="5" t="n"/>
      <c r="D1108" s="5" t="n"/>
      <c r="E1108" s="5" t="n"/>
      <c r="F1108" s="5" t="n"/>
      <c r="G1108" s="5" t="n"/>
      <c r="H1108" s="6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6" t="n"/>
      <c r="D1109" s="109" t="inlineStr">
        <is>
          <t>Squadra B</t>
        </is>
      </c>
      <c r="E1109" s="6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6" t="n"/>
      <c r="J1109" s="109" t="inlineStr">
        <is>
          <t>Risultato</t>
        </is>
      </c>
      <c r="K1109" s="5" t="n"/>
      <c r="L1109" s="6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5" t="n"/>
      <c r="H1110" s="5" t="n"/>
      <c r="I1110" s="6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n"/>
      <c r="N1110" s="196" t="n"/>
      <c r="O1110" s="196" t="n"/>
      <c r="P1110" s="196" t="n"/>
      <c r="Q1110" s="196" t="n"/>
      <c r="R1110" s="196" t="n"/>
    </row>
    <row r="1111" ht="15" customHeight="1">
      <c r="A1111" s="141" t="n"/>
      <c r="B1111" s="69">
        <f>IF('Calendario G'!B91="","",'Calendario G'!B91)</f>
        <v/>
      </c>
      <c r="C1111" s="5" t="n"/>
      <c r="D1111" s="5" t="n"/>
      <c r="E1111" s="5" t="n"/>
      <c r="F1111" s="5" t="n"/>
      <c r="G1111" s="5" t="n"/>
      <c r="H1111" s="6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 t="n"/>
      <c r="M1113" s="208" t="inlineStr">
        <is>
          <t>ARBITRI</t>
        </is>
      </c>
      <c r="N1113" s="5" t="n"/>
      <c r="O1113" s="6" t="n"/>
      <c r="P1113" s="208" t="inlineStr">
        <is>
          <t>UFFICIALI DI CAMPO</t>
        </is>
      </c>
      <c r="Q1113" s="5" t="n"/>
      <c r="R1113" s="6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6" t="n"/>
      <c r="D1114" s="109" t="inlineStr">
        <is>
          <t>Squadra B</t>
        </is>
      </c>
      <c r="E1114" s="6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6" t="n"/>
      <c r="J1114" s="109" t="inlineStr">
        <is>
          <t>Risultato</t>
        </is>
      </c>
      <c r="K1114" s="5" t="n"/>
      <c r="L1114" s="6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5" t="n"/>
      <c r="H1115" s="5" t="n"/>
      <c r="I1115" s="6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n"/>
      <c r="N1115" s="196" t="n"/>
      <c r="O1115" s="196" t="n"/>
      <c r="P1115" s="196" t="n"/>
      <c r="Q1115" s="196" t="n"/>
      <c r="R1115" s="196" t="n"/>
    </row>
    <row r="1116" ht="15" customHeight="1">
      <c r="A1116" s="141" t="n"/>
      <c r="B1116" s="69">
        <f>IF('Calendario G'!B96="","",'Calendario G'!B96)</f>
        <v/>
      </c>
      <c r="C1116" s="5" t="n"/>
      <c r="D1116" s="5" t="n"/>
      <c r="E1116" s="5" t="n"/>
      <c r="F1116" s="5" t="n"/>
      <c r="G1116" s="5" t="n"/>
      <c r="H1116" s="6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6" t="n"/>
      <c r="D1117" s="109" t="inlineStr">
        <is>
          <t>Squadra B</t>
        </is>
      </c>
      <c r="E1117" s="6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6" t="n"/>
      <c r="J1117" s="109" t="inlineStr">
        <is>
          <t>Risultato</t>
        </is>
      </c>
      <c r="K1117" s="5" t="n"/>
      <c r="L1117" s="6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5" t="n"/>
      <c r="H1118" s="5" t="n"/>
      <c r="I1118" s="6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n"/>
      <c r="N1118" s="196" t="n"/>
      <c r="O1118" s="196" t="n"/>
      <c r="P1118" s="196" t="n"/>
      <c r="Q1118" s="196" t="n"/>
      <c r="R1118" s="196" t="n"/>
    </row>
    <row r="1119" ht="15" customHeight="1">
      <c r="A1119" s="141" t="n"/>
      <c r="B1119" s="69">
        <f>IF('Calendario G'!B99="","",'Calendario G'!B99)</f>
        <v/>
      </c>
      <c r="C1119" s="5" t="n"/>
      <c r="D1119" s="5" t="n"/>
      <c r="E1119" s="5" t="n"/>
      <c r="F1119" s="5" t="n"/>
      <c r="G1119" s="5" t="n"/>
      <c r="H1119" s="6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6" t="n"/>
      <c r="D1120" s="109" t="inlineStr">
        <is>
          <t>Squadra B</t>
        </is>
      </c>
      <c r="E1120" s="6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6" t="n"/>
      <c r="J1120" s="109" t="inlineStr">
        <is>
          <t>Risultato</t>
        </is>
      </c>
      <c r="K1120" s="5" t="n"/>
      <c r="L1120" s="6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5" t="n"/>
      <c r="H1121" s="5" t="n"/>
      <c r="I1121" s="6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n"/>
      <c r="N1121" s="196" t="n"/>
      <c r="O1121" s="196" t="n"/>
      <c r="P1121" s="196" t="n"/>
      <c r="Q1121" s="196" t="n"/>
      <c r="R1121" s="196" t="n"/>
    </row>
    <row r="1122" ht="15" customHeight="1">
      <c r="A1122" s="141" t="n"/>
      <c r="B1122" s="69">
        <f>IF('Calendario G'!B102="","",'Calendario G'!B102)</f>
        <v/>
      </c>
      <c r="C1122" s="5" t="n"/>
      <c r="D1122" s="5" t="n"/>
      <c r="E1122" s="5" t="n"/>
      <c r="F1122" s="5" t="n"/>
      <c r="G1122" s="5" t="n"/>
      <c r="H1122" s="6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6" t="n"/>
      <c r="D1123" s="109" t="inlineStr">
        <is>
          <t>Squadra B</t>
        </is>
      </c>
      <c r="E1123" s="6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6" t="n"/>
      <c r="J1123" s="109" t="inlineStr">
        <is>
          <t>Risultato</t>
        </is>
      </c>
      <c r="K1123" s="5" t="n"/>
      <c r="L1123" s="6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5" t="n"/>
      <c r="H1124" s="5" t="n"/>
      <c r="I1124" s="6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n"/>
      <c r="N1124" s="196" t="n"/>
      <c r="O1124" s="196" t="n"/>
      <c r="P1124" s="196" t="n"/>
      <c r="Q1124" s="196" t="n"/>
      <c r="R1124" s="196" t="n"/>
    </row>
    <row r="1125" ht="15" customHeight="1">
      <c r="A1125" s="141" t="n"/>
      <c r="B1125" s="69">
        <f>IF('Calendario G'!B105="","",'Calendario G'!B105)</f>
        <v/>
      </c>
      <c r="C1125" s="5" t="n"/>
      <c r="D1125" s="5" t="n"/>
      <c r="E1125" s="5" t="n"/>
      <c r="F1125" s="5" t="n"/>
      <c r="G1125" s="5" t="n"/>
      <c r="H1125" s="6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6" t="n"/>
      <c r="D1126" s="109" t="inlineStr">
        <is>
          <t>Squadra B</t>
        </is>
      </c>
      <c r="E1126" s="6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6" t="n"/>
      <c r="J1126" s="109" t="inlineStr">
        <is>
          <t>Risultato</t>
        </is>
      </c>
      <c r="K1126" s="5" t="n"/>
      <c r="L1126" s="6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5" t="n"/>
      <c r="H1127" s="5" t="n"/>
      <c r="I1127" s="6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n"/>
      <c r="N1127" s="196" t="n"/>
      <c r="O1127" s="196" t="n"/>
      <c r="P1127" s="196" t="n"/>
      <c r="Q1127" s="196" t="n"/>
      <c r="R1127" s="196" t="n"/>
    </row>
    <row r="1128" ht="15" customHeight="1">
      <c r="A1128" s="141" t="n"/>
      <c r="B1128" s="69">
        <f>IF('Calendario G'!B108="","",'Calendario G'!B108)</f>
        <v/>
      </c>
      <c r="C1128" s="5" t="n"/>
      <c r="D1128" s="5" t="n"/>
      <c r="E1128" s="5" t="n"/>
      <c r="F1128" s="5" t="n"/>
      <c r="G1128" s="5" t="n"/>
      <c r="H1128" s="6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 t="n"/>
      <c r="M1130" s="208" t="inlineStr">
        <is>
          <t>ARBITRI</t>
        </is>
      </c>
      <c r="N1130" s="5" t="n"/>
      <c r="O1130" s="6" t="n"/>
      <c r="P1130" s="208" t="inlineStr">
        <is>
          <t>UFFICIALI DI CAMPO</t>
        </is>
      </c>
      <c r="Q1130" s="5" t="n"/>
      <c r="R1130" s="6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6" t="n"/>
      <c r="D1131" s="109" t="inlineStr">
        <is>
          <t>Squadra B</t>
        </is>
      </c>
      <c r="E1131" s="6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6" t="n"/>
      <c r="J1131" s="109" t="inlineStr">
        <is>
          <t>Risultato</t>
        </is>
      </c>
      <c r="K1131" s="5" t="n"/>
      <c r="L1131" s="6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5" t="n"/>
      <c r="H1132" s="5" t="n"/>
      <c r="I1132" s="6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n"/>
      <c r="N1132" s="196" t="n"/>
      <c r="O1132" s="196" t="n"/>
      <c r="P1132" s="196" t="n"/>
      <c r="Q1132" s="196" t="n"/>
      <c r="R1132" s="196" t="n"/>
    </row>
    <row r="1133" ht="15" customHeight="1">
      <c r="A1133" s="141" t="n"/>
      <c r="B1133" s="69">
        <f>IF('Calendario G'!B113="","",'Calendario G'!B113)</f>
        <v/>
      </c>
      <c r="C1133" s="5" t="n"/>
      <c r="D1133" s="5" t="n"/>
      <c r="E1133" s="5" t="n"/>
      <c r="F1133" s="5" t="n"/>
      <c r="G1133" s="5" t="n"/>
      <c r="H1133" s="6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6" t="n"/>
      <c r="D1134" s="109" t="inlineStr">
        <is>
          <t>Squadra B</t>
        </is>
      </c>
      <c r="E1134" s="6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6" t="n"/>
      <c r="J1134" s="109" t="inlineStr">
        <is>
          <t>Risultato</t>
        </is>
      </c>
      <c r="K1134" s="5" t="n"/>
      <c r="L1134" s="6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5" t="n"/>
      <c r="H1135" s="5" t="n"/>
      <c r="I1135" s="6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n"/>
      <c r="N1135" s="196" t="n"/>
      <c r="O1135" s="196" t="n"/>
      <c r="P1135" s="196" t="n"/>
      <c r="Q1135" s="196" t="n"/>
      <c r="R1135" s="196" t="n"/>
    </row>
    <row r="1136" ht="15" customHeight="1">
      <c r="A1136" s="141" t="n"/>
      <c r="B1136" s="69">
        <f>IF('Calendario G'!B116="","",'Calendario G'!B116)</f>
        <v/>
      </c>
      <c r="C1136" s="5" t="n"/>
      <c r="D1136" s="5" t="n"/>
      <c r="E1136" s="5" t="n"/>
      <c r="F1136" s="5" t="n"/>
      <c r="G1136" s="5" t="n"/>
      <c r="H1136" s="6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6" t="n"/>
      <c r="D1137" s="109" t="inlineStr">
        <is>
          <t>Squadra B</t>
        </is>
      </c>
      <c r="E1137" s="6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6" t="n"/>
      <c r="J1137" s="109" t="inlineStr">
        <is>
          <t>Risultato</t>
        </is>
      </c>
      <c r="K1137" s="5" t="n"/>
      <c r="L1137" s="6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5" t="n"/>
      <c r="H1138" s="5" t="n"/>
      <c r="I1138" s="6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n"/>
      <c r="N1138" s="196" t="n"/>
      <c r="O1138" s="196" t="n"/>
      <c r="P1138" s="196" t="n"/>
      <c r="Q1138" s="196" t="n"/>
      <c r="R1138" s="196" t="n"/>
    </row>
    <row r="1139" ht="15" customHeight="1">
      <c r="A1139" s="141" t="n"/>
      <c r="B1139" s="69">
        <f>IF('Calendario G'!B119="","",'Calendario G'!B119)</f>
        <v/>
      </c>
      <c r="C1139" s="5" t="n"/>
      <c r="D1139" s="5" t="n"/>
      <c r="E1139" s="5" t="n"/>
      <c r="F1139" s="5" t="n"/>
      <c r="G1139" s="5" t="n"/>
      <c r="H1139" s="6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6" t="n"/>
      <c r="D1140" s="109" t="inlineStr">
        <is>
          <t>Squadra B</t>
        </is>
      </c>
      <c r="E1140" s="6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6" t="n"/>
      <c r="J1140" s="109" t="inlineStr">
        <is>
          <t>Risultato</t>
        </is>
      </c>
      <c r="K1140" s="5" t="n"/>
      <c r="L1140" s="6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5" t="n"/>
      <c r="H1141" s="5" t="n"/>
      <c r="I1141" s="6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n"/>
      <c r="N1141" s="196" t="n"/>
      <c r="O1141" s="196" t="n"/>
      <c r="P1141" s="196" t="n"/>
      <c r="Q1141" s="196" t="n"/>
      <c r="R1141" s="196" t="n"/>
    </row>
    <row r="1142" ht="15" customHeight="1">
      <c r="A1142" s="141" t="n"/>
      <c r="B1142" s="69">
        <f>IF('Calendario G'!B122="","",'Calendario G'!B122)</f>
        <v/>
      </c>
      <c r="C1142" s="5" t="n"/>
      <c r="D1142" s="5" t="n"/>
      <c r="E1142" s="5" t="n"/>
      <c r="F1142" s="5" t="n"/>
      <c r="G1142" s="5" t="n"/>
      <c r="H1142" s="6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6" t="n"/>
      <c r="D1143" s="109" t="inlineStr">
        <is>
          <t>Squadra B</t>
        </is>
      </c>
      <c r="E1143" s="6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6" t="n"/>
      <c r="J1143" s="109" t="inlineStr">
        <is>
          <t>Risultato</t>
        </is>
      </c>
      <c r="K1143" s="5" t="n"/>
      <c r="L1143" s="6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5" t="n"/>
      <c r="H1144" s="5" t="n"/>
      <c r="I1144" s="6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n"/>
      <c r="N1144" s="196" t="n"/>
      <c r="O1144" s="196" t="n"/>
      <c r="P1144" s="196" t="n"/>
      <c r="Q1144" s="196" t="n"/>
      <c r="R1144" s="196" t="n"/>
    </row>
    <row r="1145" ht="15" customHeight="1">
      <c r="A1145" s="141" t="n"/>
      <c r="B1145" s="69">
        <f>IF('Calendario G'!B125="","",'Calendario G'!B125)</f>
        <v/>
      </c>
      <c r="C1145" s="5" t="n"/>
      <c r="D1145" s="5" t="n"/>
      <c r="E1145" s="5" t="n"/>
      <c r="F1145" s="5" t="n"/>
      <c r="G1145" s="5" t="n"/>
      <c r="H1145" s="6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 t="n"/>
      <c r="M1147" s="208" t="inlineStr">
        <is>
          <t>ARBITRI</t>
        </is>
      </c>
      <c r="N1147" s="5" t="n"/>
      <c r="O1147" s="6" t="n"/>
      <c r="P1147" s="208" t="inlineStr">
        <is>
          <t>UFFICIALI DI CAMPO</t>
        </is>
      </c>
      <c r="Q1147" s="5" t="n"/>
      <c r="R1147" s="6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6" t="n"/>
      <c r="D1148" s="109" t="inlineStr">
        <is>
          <t>Squadra B</t>
        </is>
      </c>
      <c r="E1148" s="6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6" t="n"/>
      <c r="J1148" s="109" t="inlineStr">
        <is>
          <t>Risultato</t>
        </is>
      </c>
      <c r="K1148" s="5" t="n"/>
      <c r="L1148" s="6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5" t="n"/>
      <c r="H1149" s="5" t="n"/>
      <c r="I1149" s="6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n"/>
      <c r="N1149" s="196" t="n"/>
      <c r="O1149" s="196" t="n"/>
      <c r="P1149" s="196" t="n"/>
      <c r="Q1149" s="196" t="n"/>
      <c r="R1149" s="196" t="n"/>
    </row>
    <row r="1150" ht="15" customHeight="1">
      <c r="A1150" s="141" t="n"/>
      <c r="B1150" s="69">
        <f>IF('Calendario G'!B130="","",'Calendario G'!B130)</f>
        <v/>
      </c>
      <c r="C1150" s="5" t="n"/>
      <c r="D1150" s="5" t="n"/>
      <c r="E1150" s="5" t="n"/>
      <c r="F1150" s="5" t="n"/>
      <c r="G1150" s="5" t="n"/>
      <c r="H1150" s="6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6" t="n"/>
      <c r="D1151" s="109" t="inlineStr">
        <is>
          <t>Squadra B</t>
        </is>
      </c>
      <c r="E1151" s="6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6" t="n"/>
      <c r="J1151" s="109" t="inlineStr">
        <is>
          <t>Risultato</t>
        </is>
      </c>
      <c r="K1151" s="5" t="n"/>
      <c r="L1151" s="6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5" t="n"/>
      <c r="H1152" s="5" t="n"/>
      <c r="I1152" s="6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n"/>
      <c r="N1152" s="196" t="n"/>
      <c r="O1152" s="196" t="n"/>
      <c r="P1152" s="196" t="n"/>
      <c r="Q1152" s="196" t="n"/>
      <c r="R1152" s="196" t="n"/>
    </row>
    <row r="1153" ht="15" customHeight="1">
      <c r="A1153" s="141" t="n"/>
      <c r="B1153" s="69">
        <f>IF('Calendario G'!B133="","",'Calendario G'!B133)</f>
        <v/>
      </c>
      <c r="C1153" s="5" t="n"/>
      <c r="D1153" s="5" t="n"/>
      <c r="E1153" s="5" t="n"/>
      <c r="F1153" s="5" t="n"/>
      <c r="G1153" s="5" t="n"/>
      <c r="H1153" s="6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6" t="n"/>
      <c r="D1154" s="109" t="inlineStr">
        <is>
          <t>Squadra B</t>
        </is>
      </c>
      <c r="E1154" s="6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6" t="n"/>
      <c r="J1154" s="109" t="inlineStr">
        <is>
          <t>Risultato</t>
        </is>
      </c>
      <c r="K1154" s="5" t="n"/>
      <c r="L1154" s="6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5" t="n"/>
      <c r="H1155" s="5" t="n"/>
      <c r="I1155" s="6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n"/>
      <c r="N1155" s="196" t="n"/>
      <c r="O1155" s="196" t="n"/>
      <c r="P1155" s="196" t="n"/>
      <c r="Q1155" s="196" t="n"/>
      <c r="R1155" s="196" t="n"/>
    </row>
    <row r="1156" ht="15" customHeight="1">
      <c r="A1156" s="141" t="n"/>
      <c r="B1156" s="69">
        <f>IF('Calendario G'!B136="","",'Calendario G'!B136)</f>
        <v/>
      </c>
      <c r="C1156" s="5" t="n"/>
      <c r="D1156" s="5" t="n"/>
      <c r="E1156" s="5" t="n"/>
      <c r="F1156" s="5" t="n"/>
      <c r="G1156" s="5" t="n"/>
      <c r="H1156" s="6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6" t="n"/>
      <c r="D1157" s="109" t="inlineStr">
        <is>
          <t>Squadra B</t>
        </is>
      </c>
      <c r="E1157" s="6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6" t="n"/>
      <c r="J1157" s="109" t="inlineStr">
        <is>
          <t>Risultato</t>
        </is>
      </c>
      <c r="K1157" s="5" t="n"/>
      <c r="L1157" s="6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5" t="n"/>
      <c r="H1158" s="5" t="n"/>
      <c r="I1158" s="6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n"/>
      <c r="N1158" s="196" t="n"/>
      <c r="O1158" s="196" t="n"/>
      <c r="P1158" s="196" t="n"/>
      <c r="Q1158" s="196" t="n"/>
      <c r="R1158" s="196" t="n"/>
    </row>
    <row r="1159" ht="15" customHeight="1">
      <c r="A1159" s="141" t="n"/>
      <c r="B1159" s="69">
        <f>IF('Calendario G'!B139="","",'Calendario G'!B139)</f>
        <v/>
      </c>
      <c r="C1159" s="5" t="n"/>
      <c r="D1159" s="5" t="n"/>
      <c r="E1159" s="5" t="n"/>
      <c r="F1159" s="5" t="n"/>
      <c r="G1159" s="5" t="n"/>
      <c r="H1159" s="6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6" t="n"/>
      <c r="D1160" s="109" t="inlineStr">
        <is>
          <t>Squadra B</t>
        </is>
      </c>
      <c r="E1160" s="6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6" t="n"/>
      <c r="J1160" s="109" t="inlineStr">
        <is>
          <t>Risultato</t>
        </is>
      </c>
      <c r="K1160" s="5" t="n"/>
      <c r="L1160" s="6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5" t="n"/>
      <c r="H1161" s="5" t="n"/>
      <c r="I1161" s="6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n"/>
      <c r="N1161" s="196" t="n"/>
      <c r="O1161" s="196" t="n"/>
      <c r="P1161" s="196" t="n"/>
      <c r="Q1161" s="196" t="n"/>
      <c r="R1161" s="196" t="n"/>
    </row>
    <row r="1162" ht="15" customHeight="1">
      <c r="A1162" s="141" t="n"/>
      <c r="B1162" s="69">
        <f>IF('Calendario G'!B142="","",'Calendario G'!B142)</f>
        <v/>
      </c>
      <c r="C1162" s="5" t="n"/>
      <c r="D1162" s="5" t="n"/>
      <c r="E1162" s="5" t="n"/>
      <c r="F1162" s="5" t="n"/>
      <c r="G1162" s="5" t="n"/>
      <c r="H1162" s="6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 t="n"/>
      <c r="M1164" s="208" t="inlineStr">
        <is>
          <t>ARBITRI</t>
        </is>
      </c>
      <c r="N1164" s="5" t="n"/>
      <c r="O1164" s="6" t="n"/>
      <c r="P1164" s="208" t="inlineStr">
        <is>
          <t>UFFICIALI DI CAMPO</t>
        </is>
      </c>
      <c r="Q1164" s="5" t="n"/>
      <c r="R1164" s="6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6" t="n"/>
      <c r="D1165" s="109" t="inlineStr">
        <is>
          <t>Squadra B</t>
        </is>
      </c>
      <c r="E1165" s="6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6" t="n"/>
      <c r="J1165" s="109" t="inlineStr">
        <is>
          <t>Risultato</t>
        </is>
      </c>
      <c r="K1165" s="5" t="n"/>
      <c r="L1165" s="6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5" t="n"/>
      <c r="H1166" s="5" t="n"/>
      <c r="I1166" s="6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n"/>
      <c r="N1166" s="196" t="n"/>
      <c r="O1166" s="196" t="n"/>
      <c r="P1166" s="196" t="n"/>
      <c r="Q1166" s="196" t="n"/>
      <c r="R1166" s="196" t="n"/>
    </row>
    <row r="1167" ht="15" customHeight="1">
      <c r="A1167" s="141" t="n"/>
      <c r="B1167" s="69">
        <f>IF('Calendario G'!B147="","",'Calendario G'!B147)</f>
        <v/>
      </c>
      <c r="C1167" s="5" t="n"/>
      <c r="D1167" s="5" t="n"/>
      <c r="E1167" s="5" t="n"/>
      <c r="F1167" s="5" t="n"/>
      <c r="G1167" s="5" t="n"/>
      <c r="H1167" s="6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6" t="n"/>
      <c r="D1168" s="109" t="inlineStr">
        <is>
          <t>Squadra B</t>
        </is>
      </c>
      <c r="E1168" s="6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6" t="n"/>
      <c r="J1168" s="109" t="inlineStr">
        <is>
          <t>Risultato</t>
        </is>
      </c>
      <c r="K1168" s="5" t="n"/>
      <c r="L1168" s="6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5" t="n"/>
      <c r="H1169" s="5" t="n"/>
      <c r="I1169" s="6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n"/>
      <c r="N1169" s="196" t="n"/>
      <c r="O1169" s="196" t="n"/>
      <c r="P1169" s="196" t="n"/>
      <c r="Q1169" s="196" t="n"/>
      <c r="R1169" s="196" t="n"/>
    </row>
    <row r="1170" ht="15" customHeight="1">
      <c r="A1170" s="141" t="n"/>
      <c r="B1170" s="69">
        <f>IF('Calendario G'!B150="","",'Calendario G'!B150)</f>
        <v/>
      </c>
      <c r="C1170" s="5" t="n"/>
      <c r="D1170" s="5" t="n"/>
      <c r="E1170" s="5" t="n"/>
      <c r="F1170" s="5" t="n"/>
      <c r="G1170" s="5" t="n"/>
      <c r="H1170" s="6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6" t="n"/>
      <c r="D1171" s="109" t="inlineStr">
        <is>
          <t>Squadra B</t>
        </is>
      </c>
      <c r="E1171" s="6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6" t="n"/>
      <c r="J1171" s="109" t="inlineStr">
        <is>
          <t>Risultato</t>
        </is>
      </c>
      <c r="K1171" s="5" t="n"/>
      <c r="L1171" s="6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5" t="n"/>
      <c r="H1172" s="5" t="n"/>
      <c r="I1172" s="6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n"/>
      <c r="N1172" s="196" t="n"/>
      <c r="O1172" s="196" t="n"/>
      <c r="P1172" s="196" t="n"/>
      <c r="Q1172" s="196" t="n"/>
      <c r="R1172" s="196" t="n"/>
    </row>
    <row r="1173" ht="15" customHeight="1">
      <c r="A1173" s="141" t="n"/>
      <c r="B1173" s="69">
        <f>IF('Calendario G'!B153="","",'Calendario G'!B153)</f>
        <v/>
      </c>
      <c r="C1173" s="5" t="n"/>
      <c r="D1173" s="5" t="n"/>
      <c r="E1173" s="5" t="n"/>
      <c r="F1173" s="5" t="n"/>
      <c r="G1173" s="5" t="n"/>
      <c r="H1173" s="6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6" t="n"/>
      <c r="D1174" s="109" t="inlineStr">
        <is>
          <t>Squadra B</t>
        </is>
      </c>
      <c r="E1174" s="6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6" t="n"/>
      <c r="J1174" s="109" t="inlineStr">
        <is>
          <t>Risultato</t>
        </is>
      </c>
      <c r="K1174" s="5" t="n"/>
      <c r="L1174" s="6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5" t="n"/>
      <c r="H1175" s="5" t="n"/>
      <c r="I1175" s="6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n"/>
      <c r="N1175" s="196" t="n"/>
      <c r="O1175" s="196" t="n"/>
      <c r="P1175" s="196" t="n"/>
      <c r="Q1175" s="196" t="n"/>
      <c r="R1175" s="196" t="n"/>
    </row>
    <row r="1176" ht="15" customHeight="1">
      <c r="A1176" s="141" t="n"/>
      <c r="B1176" s="69">
        <f>IF('Calendario G'!B156="","",'Calendario G'!B156)</f>
        <v/>
      </c>
      <c r="C1176" s="5" t="n"/>
      <c r="D1176" s="5" t="n"/>
      <c r="E1176" s="5" t="n"/>
      <c r="F1176" s="5" t="n"/>
      <c r="G1176" s="5" t="n"/>
      <c r="H1176" s="6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6" t="n"/>
      <c r="D1177" s="109" t="inlineStr">
        <is>
          <t>Squadra B</t>
        </is>
      </c>
      <c r="E1177" s="6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6" t="n"/>
      <c r="J1177" s="109" t="inlineStr">
        <is>
          <t>Risultato</t>
        </is>
      </c>
      <c r="K1177" s="5" t="n"/>
      <c r="L1177" s="6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5" t="n"/>
      <c r="H1178" s="5" t="n"/>
      <c r="I1178" s="6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n"/>
      <c r="N1178" s="196" t="n"/>
      <c r="O1178" s="196" t="n"/>
      <c r="P1178" s="196" t="n"/>
      <c r="Q1178" s="196" t="n"/>
      <c r="R1178" s="196" t="n"/>
    </row>
    <row r="1179" ht="15" customHeight="1">
      <c r="A1179" s="141" t="n"/>
      <c r="B1179" s="69">
        <f>IF('Calendario G'!B159="","",'Calendario G'!B159)</f>
        <v/>
      </c>
      <c r="C1179" s="5" t="n"/>
      <c r="D1179" s="5" t="n"/>
      <c r="E1179" s="5" t="n"/>
      <c r="F1179" s="5" t="n"/>
      <c r="G1179" s="5" t="n"/>
      <c r="H1179" s="6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 t="n"/>
      <c r="M1198" s="210" t="inlineStr">
        <is>
          <t>ARBITRI</t>
        </is>
      </c>
      <c r="N1198" s="5" t="n"/>
      <c r="O1198" s="6" t="n"/>
      <c r="P1198" s="210" t="inlineStr">
        <is>
          <t>UFFICIALI DI CAMPO</t>
        </is>
      </c>
      <c r="Q1198" s="5" t="n"/>
      <c r="R1198" s="6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6" t="n"/>
      <c r="D1199" s="116" t="inlineStr">
        <is>
          <t>Squadra B</t>
        </is>
      </c>
      <c r="E1199" s="6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6" t="n"/>
      <c r="J1199" s="116" t="inlineStr">
        <is>
          <t>Risultato</t>
        </is>
      </c>
      <c r="K1199" s="5" t="n"/>
      <c r="L1199" s="6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5" t="n"/>
      <c r="H1200" s="5" t="n"/>
      <c r="I1200" s="6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n"/>
      <c r="N1200" s="196" t="n"/>
      <c r="O1200" s="196" t="n"/>
      <c r="P1200" s="196" t="n"/>
      <c r="Q1200" s="196" t="n"/>
      <c r="R1200" s="196" t="n"/>
    </row>
    <row r="1201" ht="15" customHeight="1">
      <c r="A1201" s="141" t="n"/>
      <c r="B1201" s="69">
        <f>IF('Calendario H'!B11="","",'Calendario H'!B11)</f>
        <v/>
      </c>
      <c r="C1201" s="5" t="n"/>
      <c r="D1201" s="5" t="n"/>
      <c r="E1201" s="5" t="n"/>
      <c r="F1201" s="5" t="n"/>
      <c r="G1201" s="5" t="n"/>
      <c r="H1201" s="6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6" t="n"/>
      <c r="D1202" s="116" t="inlineStr">
        <is>
          <t>Squadra B</t>
        </is>
      </c>
      <c r="E1202" s="6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6" t="n"/>
      <c r="J1202" s="116" t="inlineStr">
        <is>
          <t>Risultato</t>
        </is>
      </c>
      <c r="K1202" s="5" t="n"/>
      <c r="L1202" s="6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5" t="n"/>
      <c r="H1203" s="5" t="n"/>
      <c r="I1203" s="6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n"/>
      <c r="N1203" s="196" t="n"/>
      <c r="O1203" s="196" t="n"/>
      <c r="P1203" s="196" t="n"/>
      <c r="Q1203" s="196" t="n"/>
      <c r="R1203" s="196" t="n"/>
    </row>
    <row r="1204" ht="15" customHeight="1">
      <c r="A1204" s="141" t="n"/>
      <c r="B1204" s="69">
        <f>IF('Calendario H'!B14="","",'Calendario H'!B14)</f>
        <v/>
      </c>
      <c r="C1204" s="5" t="n"/>
      <c r="D1204" s="5" t="n"/>
      <c r="E1204" s="5" t="n"/>
      <c r="F1204" s="5" t="n"/>
      <c r="G1204" s="5" t="n"/>
      <c r="H1204" s="6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6" t="n"/>
      <c r="D1205" s="116" t="inlineStr">
        <is>
          <t>Squadra B</t>
        </is>
      </c>
      <c r="E1205" s="6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6" t="n"/>
      <c r="J1205" s="116" t="inlineStr">
        <is>
          <t>Risultato</t>
        </is>
      </c>
      <c r="K1205" s="5" t="n"/>
      <c r="L1205" s="6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5" t="n"/>
      <c r="H1206" s="5" t="n"/>
      <c r="I1206" s="6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n"/>
      <c r="N1206" s="196" t="n"/>
      <c r="O1206" s="196" t="n"/>
      <c r="P1206" s="196" t="n"/>
      <c r="Q1206" s="196" t="n"/>
      <c r="R1206" s="196" t="n"/>
    </row>
    <row r="1207" ht="15" customHeight="1">
      <c r="A1207" s="141" t="n"/>
      <c r="B1207" s="69">
        <f>IF('Calendario H'!B17="","",'Calendario H'!B17)</f>
        <v/>
      </c>
      <c r="C1207" s="5" t="n"/>
      <c r="D1207" s="5" t="n"/>
      <c r="E1207" s="5" t="n"/>
      <c r="F1207" s="5" t="n"/>
      <c r="G1207" s="5" t="n"/>
      <c r="H1207" s="6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6" t="n"/>
      <c r="D1208" s="116" t="inlineStr">
        <is>
          <t>Squadra B</t>
        </is>
      </c>
      <c r="E1208" s="6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6" t="n"/>
      <c r="J1208" s="116" t="inlineStr">
        <is>
          <t>Risultato</t>
        </is>
      </c>
      <c r="K1208" s="5" t="n"/>
      <c r="L1208" s="6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5" t="n"/>
      <c r="H1209" s="5" t="n"/>
      <c r="I1209" s="6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n"/>
      <c r="N1209" s="196" t="n"/>
      <c r="O1209" s="196" t="n"/>
      <c r="P1209" s="196" t="n"/>
      <c r="Q1209" s="196" t="n"/>
      <c r="R1209" s="196" t="n"/>
    </row>
    <row r="1210" ht="15" customHeight="1">
      <c r="A1210" s="141" t="n"/>
      <c r="B1210" s="69">
        <f>IF('Calendario H'!B20="","",'Calendario H'!B20)</f>
        <v/>
      </c>
      <c r="C1210" s="5" t="n"/>
      <c r="D1210" s="5" t="n"/>
      <c r="E1210" s="5" t="n"/>
      <c r="F1210" s="5" t="n"/>
      <c r="G1210" s="5" t="n"/>
      <c r="H1210" s="6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6" t="n"/>
      <c r="D1211" s="116" t="inlineStr">
        <is>
          <t>Squadra B</t>
        </is>
      </c>
      <c r="E1211" s="6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6" t="n"/>
      <c r="J1211" s="116" t="inlineStr">
        <is>
          <t>Risultato</t>
        </is>
      </c>
      <c r="K1211" s="5" t="n"/>
      <c r="L1211" s="6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5" t="n"/>
      <c r="H1212" s="5" t="n"/>
      <c r="I1212" s="6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n"/>
      <c r="N1212" s="196" t="n"/>
      <c r="O1212" s="196" t="n"/>
      <c r="P1212" s="196" t="n"/>
      <c r="Q1212" s="196" t="n"/>
      <c r="R1212" s="196" t="n"/>
    </row>
    <row r="1213" ht="15" customHeight="1">
      <c r="A1213" s="141" t="n"/>
      <c r="B1213" s="69">
        <f>IF('Calendario H'!B23="","",'Calendario H'!B23)</f>
        <v/>
      </c>
      <c r="C1213" s="5" t="n"/>
      <c r="D1213" s="5" t="n"/>
      <c r="E1213" s="5" t="n"/>
      <c r="F1213" s="5" t="n"/>
      <c r="G1213" s="5" t="n"/>
      <c r="H1213" s="6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 t="n"/>
      <c r="M1215" s="210" t="inlineStr">
        <is>
          <t>ARBITRI</t>
        </is>
      </c>
      <c r="N1215" s="5" t="n"/>
      <c r="O1215" s="6" t="n"/>
      <c r="P1215" s="210" t="inlineStr">
        <is>
          <t>UFFICIALI DI CAMPO</t>
        </is>
      </c>
      <c r="Q1215" s="5" t="n"/>
      <c r="R1215" s="6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6" t="n"/>
      <c r="D1216" s="116" t="inlineStr">
        <is>
          <t>Squadra B</t>
        </is>
      </c>
      <c r="E1216" s="6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6" t="n"/>
      <c r="J1216" s="116" t="inlineStr">
        <is>
          <t>Risultato</t>
        </is>
      </c>
      <c r="K1216" s="5" t="n"/>
      <c r="L1216" s="6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5" t="n"/>
      <c r="H1217" s="5" t="n"/>
      <c r="I1217" s="6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n"/>
      <c r="N1217" s="196" t="n"/>
      <c r="O1217" s="196" t="n"/>
      <c r="P1217" s="196" t="n"/>
      <c r="Q1217" s="196" t="n"/>
      <c r="R1217" s="196" t="n"/>
    </row>
    <row r="1218" ht="15" customHeight="1">
      <c r="A1218" s="141" t="n"/>
      <c r="B1218" s="69">
        <f>IF('Calendario H'!B28="","",'Calendario H'!B28)</f>
        <v/>
      </c>
      <c r="C1218" s="5" t="n"/>
      <c r="D1218" s="5" t="n"/>
      <c r="E1218" s="5" t="n"/>
      <c r="F1218" s="5" t="n"/>
      <c r="G1218" s="5" t="n"/>
      <c r="H1218" s="6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6" t="n"/>
      <c r="D1219" s="116" t="inlineStr">
        <is>
          <t>Squadra B</t>
        </is>
      </c>
      <c r="E1219" s="6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6" t="n"/>
      <c r="J1219" s="116" t="inlineStr">
        <is>
          <t>Risultato</t>
        </is>
      </c>
      <c r="K1219" s="5" t="n"/>
      <c r="L1219" s="6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5" t="n"/>
      <c r="H1220" s="5" t="n"/>
      <c r="I1220" s="6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n"/>
      <c r="N1220" s="196" t="n"/>
      <c r="O1220" s="196" t="n"/>
      <c r="P1220" s="196" t="n"/>
      <c r="Q1220" s="196" t="n"/>
      <c r="R1220" s="196" t="n"/>
    </row>
    <row r="1221" ht="15" customHeight="1">
      <c r="A1221" s="141" t="n"/>
      <c r="B1221" s="69">
        <f>IF('Calendario H'!B31="","",'Calendario H'!B31)</f>
        <v/>
      </c>
      <c r="C1221" s="5" t="n"/>
      <c r="D1221" s="5" t="n"/>
      <c r="E1221" s="5" t="n"/>
      <c r="F1221" s="5" t="n"/>
      <c r="G1221" s="5" t="n"/>
      <c r="H1221" s="6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6" t="n"/>
      <c r="D1222" s="116" t="inlineStr">
        <is>
          <t>Squadra B</t>
        </is>
      </c>
      <c r="E1222" s="6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6" t="n"/>
      <c r="J1222" s="116" t="inlineStr">
        <is>
          <t>Risultato</t>
        </is>
      </c>
      <c r="K1222" s="5" t="n"/>
      <c r="L1222" s="6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5" t="n"/>
      <c r="H1223" s="5" t="n"/>
      <c r="I1223" s="6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n"/>
      <c r="N1223" s="196" t="n"/>
      <c r="O1223" s="196" t="n"/>
      <c r="P1223" s="196" t="n"/>
      <c r="Q1223" s="196" t="n"/>
      <c r="R1223" s="196" t="n"/>
    </row>
    <row r="1224" ht="15" customHeight="1">
      <c r="A1224" s="141" t="n"/>
      <c r="B1224" s="69">
        <f>IF('Calendario H'!B34="","",'Calendario H'!B34)</f>
        <v/>
      </c>
      <c r="C1224" s="5" t="n"/>
      <c r="D1224" s="5" t="n"/>
      <c r="E1224" s="5" t="n"/>
      <c r="F1224" s="5" t="n"/>
      <c r="G1224" s="5" t="n"/>
      <c r="H1224" s="6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6" t="n"/>
      <c r="D1225" s="116" t="inlineStr">
        <is>
          <t>Squadra B</t>
        </is>
      </c>
      <c r="E1225" s="6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6" t="n"/>
      <c r="J1225" s="116" t="inlineStr">
        <is>
          <t>Risultato</t>
        </is>
      </c>
      <c r="K1225" s="5" t="n"/>
      <c r="L1225" s="6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5" t="n"/>
      <c r="H1226" s="5" t="n"/>
      <c r="I1226" s="6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n"/>
      <c r="N1226" s="196" t="n"/>
      <c r="O1226" s="196" t="n"/>
      <c r="P1226" s="196" t="n"/>
      <c r="Q1226" s="196" t="n"/>
      <c r="R1226" s="196" t="n"/>
    </row>
    <row r="1227" ht="15" customHeight="1">
      <c r="A1227" s="141" t="n"/>
      <c r="B1227" s="69">
        <f>IF('Calendario H'!B37="","",'Calendario H'!B37)</f>
        <v/>
      </c>
      <c r="C1227" s="5" t="n"/>
      <c r="D1227" s="5" t="n"/>
      <c r="E1227" s="5" t="n"/>
      <c r="F1227" s="5" t="n"/>
      <c r="G1227" s="5" t="n"/>
      <c r="H1227" s="6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6" t="n"/>
      <c r="D1228" s="116" t="inlineStr">
        <is>
          <t>Squadra B</t>
        </is>
      </c>
      <c r="E1228" s="6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6" t="n"/>
      <c r="J1228" s="116" t="inlineStr">
        <is>
          <t>Risultato</t>
        </is>
      </c>
      <c r="K1228" s="5" t="n"/>
      <c r="L1228" s="6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5" t="n"/>
      <c r="H1229" s="5" t="n"/>
      <c r="I1229" s="6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n"/>
      <c r="N1229" s="196" t="n"/>
      <c r="O1229" s="196" t="n"/>
      <c r="P1229" s="196" t="n"/>
      <c r="Q1229" s="196" t="n"/>
      <c r="R1229" s="196" t="n"/>
    </row>
    <row r="1230" ht="15" customHeight="1">
      <c r="A1230" s="141" t="n"/>
      <c r="B1230" s="69">
        <f>IF('Calendario H'!B40="","",'Calendario H'!B40)</f>
        <v/>
      </c>
      <c r="C1230" s="5" t="n"/>
      <c r="D1230" s="5" t="n"/>
      <c r="E1230" s="5" t="n"/>
      <c r="F1230" s="5" t="n"/>
      <c r="G1230" s="5" t="n"/>
      <c r="H1230" s="6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 t="n"/>
      <c r="M1232" s="210" t="inlineStr">
        <is>
          <t>ARBITRI</t>
        </is>
      </c>
      <c r="N1232" s="5" t="n"/>
      <c r="O1232" s="6" t="n"/>
      <c r="P1232" s="210" t="inlineStr">
        <is>
          <t>UFFICIALI DI CAMPO</t>
        </is>
      </c>
      <c r="Q1232" s="5" t="n"/>
      <c r="R1232" s="6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6" t="n"/>
      <c r="D1233" s="116" t="inlineStr">
        <is>
          <t>Squadra B</t>
        </is>
      </c>
      <c r="E1233" s="6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6" t="n"/>
      <c r="J1233" s="116" t="inlineStr">
        <is>
          <t>Risultato</t>
        </is>
      </c>
      <c r="K1233" s="5" t="n"/>
      <c r="L1233" s="6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5" t="n"/>
      <c r="H1234" s="5" t="n"/>
      <c r="I1234" s="6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n"/>
      <c r="N1234" s="196" t="n"/>
      <c r="O1234" s="196" t="n"/>
      <c r="P1234" s="196" t="n"/>
      <c r="Q1234" s="196" t="n"/>
      <c r="R1234" s="196" t="n"/>
    </row>
    <row r="1235" ht="15" customHeight="1">
      <c r="A1235" s="141" t="n"/>
      <c r="B1235" s="69">
        <f>IF('Calendario H'!B45="","",'Calendario H'!B45)</f>
        <v/>
      </c>
      <c r="C1235" s="5" t="n"/>
      <c r="D1235" s="5" t="n"/>
      <c r="E1235" s="5" t="n"/>
      <c r="F1235" s="5" t="n"/>
      <c r="G1235" s="5" t="n"/>
      <c r="H1235" s="6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6" t="n"/>
      <c r="D1236" s="116" t="inlineStr">
        <is>
          <t>Squadra B</t>
        </is>
      </c>
      <c r="E1236" s="6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6" t="n"/>
      <c r="J1236" s="116" t="inlineStr">
        <is>
          <t>Risultato</t>
        </is>
      </c>
      <c r="K1236" s="5" t="n"/>
      <c r="L1236" s="6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5" t="n"/>
      <c r="H1237" s="5" t="n"/>
      <c r="I1237" s="6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n"/>
      <c r="N1237" s="196" t="n"/>
      <c r="O1237" s="196" t="n"/>
      <c r="P1237" s="196" t="n"/>
      <c r="Q1237" s="196" t="n"/>
      <c r="R1237" s="196" t="n"/>
    </row>
    <row r="1238" ht="15" customHeight="1">
      <c r="A1238" s="141" t="n"/>
      <c r="B1238" s="69">
        <f>IF('Calendario H'!B48="","",'Calendario H'!B48)</f>
        <v/>
      </c>
      <c r="C1238" s="5" t="n"/>
      <c r="D1238" s="5" t="n"/>
      <c r="E1238" s="5" t="n"/>
      <c r="F1238" s="5" t="n"/>
      <c r="G1238" s="5" t="n"/>
      <c r="H1238" s="6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6" t="n"/>
      <c r="D1239" s="116" t="inlineStr">
        <is>
          <t>Squadra B</t>
        </is>
      </c>
      <c r="E1239" s="6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6" t="n"/>
      <c r="J1239" s="116" t="inlineStr">
        <is>
          <t>Risultato</t>
        </is>
      </c>
      <c r="K1239" s="5" t="n"/>
      <c r="L1239" s="6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5" t="n"/>
      <c r="H1240" s="5" t="n"/>
      <c r="I1240" s="6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n"/>
      <c r="N1240" s="196" t="n"/>
      <c r="O1240" s="196" t="n"/>
      <c r="P1240" s="196" t="n"/>
      <c r="Q1240" s="196" t="n"/>
      <c r="R1240" s="196" t="n"/>
    </row>
    <row r="1241" ht="15" customHeight="1">
      <c r="A1241" s="141" t="n"/>
      <c r="B1241" s="69">
        <f>IF('Calendario H'!B51="","",'Calendario H'!B51)</f>
        <v/>
      </c>
      <c r="C1241" s="5" t="n"/>
      <c r="D1241" s="5" t="n"/>
      <c r="E1241" s="5" t="n"/>
      <c r="F1241" s="5" t="n"/>
      <c r="G1241" s="5" t="n"/>
      <c r="H1241" s="6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6" t="n"/>
      <c r="D1242" s="116" t="inlineStr">
        <is>
          <t>Squadra B</t>
        </is>
      </c>
      <c r="E1242" s="6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6" t="n"/>
      <c r="J1242" s="116" t="inlineStr">
        <is>
          <t>Risultato</t>
        </is>
      </c>
      <c r="K1242" s="5" t="n"/>
      <c r="L1242" s="6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5" t="n"/>
      <c r="H1243" s="5" t="n"/>
      <c r="I1243" s="6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n"/>
      <c r="N1243" s="196" t="n"/>
      <c r="O1243" s="196" t="n"/>
      <c r="P1243" s="196" t="n"/>
      <c r="Q1243" s="196" t="n"/>
      <c r="R1243" s="196" t="n"/>
    </row>
    <row r="1244" ht="15" customHeight="1">
      <c r="A1244" s="141" t="n"/>
      <c r="B1244" s="69">
        <f>IF('Calendario H'!B54="","",'Calendario H'!B54)</f>
        <v/>
      </c>
      <c r="C1244" s="5" t="n"/>
      <c r="D1244" s="5" t="n"/>
      <c r="E1244" s="5" t="n"/>
      <c r="F1244" s="5" t="n"/>
      <c r="G1244" s="5" t="n"/>
      <c r="H1244" s="6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6" t="n"/>
      <c r="D1245" s="116" t="inlineStr">
        <is>
          <t>Squadra B</t>
        </is>
      </c>
      <c r="E1245" s="6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6" t="n"/>
      <c r="J1245" s="116" t="inlineStr">
        <is>
          <t>Risultato</t>
        </is>
      </c>
      <c r="K1245" s="5" t="n"/>
      <c r="L1245" s="6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5" t="n"/>
      <c r="H1246" s="5" t="n"/>
      <c r="I1246" s="6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n"/>
      <c r="N1246" s="196" t="n"/>
      <c r="O1246" s="196" t="n"/>
      <c r="P1246" s="196" t="n"/>
      <c r="Q1246" s="196" t="n"/>
      <c r="R1246" s="196" t="n"/>
    </row>
    <row r="1247" ht="15" customHeight="1">
      <c r="A1247" s="141" t="n"/>
      <c r="B1247" s="69">
        <f>IF('Calendario H'!B57="","",'Calendario H'!B57)</f>
        <v/>
      </c>
      <c r="C1247" s="5" t="n"/>
      <c r="D1247" s="5" t="n"/>
      <c r="E1247" s="5" t="n"/>
      <c r="F1247" s="5" t="n"/>
      <c r="G1247" s="5" t="n"/>
      <c r="H1247" s="6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 t="n"/>
      <c r="M1249" s="210" t="inlineStr">
        <is>
          <t>ARBITRI</t>
        </is>
      </c>
      <c r="N1249" s="5" t="n"/>
      <c r="O1249" s="6" t="n"/>
      <c r="P1249" s="210" t="inlineStr">
        <is>
          <t>UFFICIALI DI CAMPO</t>
        </is>
      </c>
      <c r="Q1249" s="5" t="n"/>
      <c r="R1249" s="6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6" t="n"/>
      <c r="D1250" s="116" t="inlineStr">
        <is>
          <t>Squadra B</t>
        </is>
      </c>
      <c r="E1250" s="6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6" t="n"/>
      <c r="J1250" s="116" t="inlineStr">
        <is>
          <t>Risultato</t>
        </is>
      </c>
      <c r="K1250" s="5" t="n"/>
      <c r="L1250" s="6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5" t="n"/>
      <c r="H1251" s="5" t="n"/>
      <c r="I1251" s="6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n"/>
      <c r="N1251" s="196" t="n"/>
      <c r="O1251" s="196" t="n"/>
      <c r="P1251" s="196" t="n"/>
      <c r="Q1251" s="196" t="n"/>
      <c r="R1251" s="196" t="n"/>
    </row>
    <row r="1252" ht="15" customHeight="1">
      <c r="A1252" s="141" t="n"/>
      <c r="B1252" s="69">
        <f>IF('Calendario H'!B62="","",'Calendario H'!B62)</f>
        <v/>
      </c>
      <c r="C1252" s="5" t="n"/>
      <c r="D1252" s="5" t="n"/>
      <c r="E1252" s="5" t="n"/>
      <c r="F1252" s="5" t="n"/>
      <c r="G1252" s="5" t="n"/>
      <c r="H1252" s="6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6" t="n"/>
      <c r="D1253" s="116" t="inlineStr">
        <is>
          <t>Squadra B</t>
        </is>
      </c>
      <c r="E1253" s="6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6" t="n"/>
      <c r="J1253" s="116" t="inlineStr">
        <is>
          <t>Risultato</t>
        </is>
      </c>
      <c r="K1253" s="5" t="n"/>
      <c r="L1253" s="6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5" t="n"/>
      <c r="H1254" s="5" t="n"/>
      <c r="I1254" s="6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n"/>
      <c r="N1254" s="196" t="n"/>
      <c r="O1254" s="196" t="n"/>
      <c r="P1254" s="196" t="n"/>
      <c r="Q1254" s="196" t="n"/>
      <c r="R1254" s="196" t="n"/>
    </row>
    <row r="1255" ht="15" customHeight="1">
      <c r="A1255" s="141" t="n"/>
      <c r="B1255" s="69">
        <f>IF('Calendario H'!B65="","",'Calendario H'!B65)</f>
        <v/>
      </c>
      <c r="C1255" s="5" t="n"/>
      <c r="D1255" s="5" t="n"/>
      <c r="E1255" s="5" t="n"/>
      <c r="F1255" s="5" t="n"/>
      <c r="G1255" s="5" t="n"/>
      <c r="H1255" s="6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6" t="n"/>
      <c r="D1256" s="116" t="inlineStr">
        <is>
          <t>Squadra B</t>
        </is>
      </c>
      <c r="E1256" s="6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6" t="n"/>
      <c r="J1256" s="116" t="inlineStr">
        <is>
          <t>Risultato</t>
        </is>
      </c>
      <c r="K1256" s="5" t="n"/>
      <c r="L1256" s="6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5" t="n"/>
      <c r="H1257" s="5" t="n"/>
      <c r="I1257" s="6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n"/>
      <c r="N1257" s="196" t="n"/>
      <c r="O1257" s="196" t="n"/>
      <c r="P1257" s="196" t="n"/>
      <c r="Q1257" s="196" t="n"/>
      <c r="R1257" s="196" t="n"/>
    </row>
    <row r="1258" ht="15" customHeight="1">
      <c r="A1258" s="141" t="n"/>
      <c r="B1258" s="69">
        <f>IF('Calendario H'!B68="","",'Calendario H'!B68)</f>
        <v/>
      </c>
      <c r="C1258" s="5" t="n"/>
      <c r="D1258" s="5" t="n"/>
      <c r="E1258" s="5" t="n"/>
      <c r="F1258" s="5" t="n"/>
      <c r="G1258" s="5" t="n"/>
      <c r="H1258" s="6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6" t="n"/>
      <c r="D1259" s="116" t="inlineStr">
        <is>
          <t>Squadra B</t>
        </is>
      </c>
      <c r="E1259" s="6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6" t="n"/>
      <c r="J1259" s="116" t="inlineStr">
        <is>
          <t>Risultato</t>
        </is>
      </c>
      <c r="K1259" s="5" t="n"/>
      <c r="L1259" s="6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5" t="n"/>
      <c r="H1260" s="5" t="n"/>
      <c r="I1260" s="6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n"/>
      <c r="N1260" s="196" t="n"/>
      <c r="O1260" s="196" t="n"/>
      <c r="P1260" s="196" t="n"/>
      <c r="Q1260" s="196" t="n"/>
      <c r="R1260" s="196" t="n"/>
    </row>
    <row r="1261" ht="15" customHeight="1">
      <c r="A1261" s="141" t="n"/>
      <c r="B1261" s="69">
        <f>IF('Calendario H'!B71="","",'Calendario H'!B71)</f>
        <v/>
      </c>
      <c r="C1261" s="5" t="n"/>
      <c r="D1261" s="5" t="n"/>
      <c r="E1261" s="5" t="n"/>
      <c r="F1261" s="5" t="n"/>
      <c r="G1261" s="5" t="n"/>
      <c r="H1261" s="6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6" t="n"/>
      <c r="D1262" s="116" t="inlineStr">
        <is>
          <t>Squadra B</t>
        </is>
      </c>
      <c r="E1262" s="6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6" t="n"/>
      <c r="J1262" s="116" t="inlineStr">
        <is>
          <t>Risultato</t>
        </is>
      </c>
      <c r="K1262" s="5" t="n"/>
      <c r="L1262" s="6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5" t="n"/>
      <c r="H1263" s="5" t="n"/>
      <c r="I1263" s="6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n"/>
      <c r="N1263" s="196" t="n"/>
      <c r="O1263" s="196" t="n"/>
      <c r="P1263" s="196" t="n"/>
      <c r="Q1263" s="196" t="n"/>
      <c r="R1263" s="196" t="n"/>
    </row>
    <row r="1264" ht="15" customHeight="1">
      <c r="A1264" s="141" t="n"/>
      <c r="B1264" s="69">
        <f>IF('Calendario H'!B74="","",'Calendario H'!B74)</f>
        <v/>
      </c>
      <c r="C1264" s="5" t="n"/>
      <c r="D1264" s="5" t="n"/>
      <c r="E1264" s="5" t="n"/>
      <c r="F1264" s="5" t="n"/>
      <c r="G1264" s="5" t="n"/>
      <c r="H1264" s="6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 t="n"/>
      <c r="M1266" s="210" t="inlineStr">
        <is>
          <t>ARBITRI</t>
        </is>
      </c>
      <c r="N1266" s="5" t="n"/>
      <c r="O1266" s="6" t="n"/>
      <c r="P1266" s="210" t="inlineStr">
        <is>
          <t>UFFICIALI DI CAMPO</t>
        </is>
      </c>
      <c r="Q1266" s="5" t="n"/>
      <c r="R1266" s="6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6" t="n"/>
      <c r="D1267" s="116" t="inlineStr">
        <is>
          <t>Squadra B</t>
        </is>
      </c>
      <c r="E1267" s="6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6" t="n"/>
      <c r="J1267" s="116" t="inlineStr">
        <is>
          <t>Risultato</t>
        </is>
      </c>
      <c r="K1267" s="5" t="n"/>
      <c r="L1267" s="6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5" t="n"/>
      <c r="H1268" s="5" t="n"/>
      <c r="I1268" s="6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n"/>
      <c r="N1268" s="196" t="n"/>
      <c r="O1268" s="196" t="n"/>
      <c r="P1268" s="196" t="n"/>
      <c r="Q1268" s="196" t="n"/>
      <c r="R1268" s="196" t="n"/>
    </row>
    <row r="1269" ht="15" customHeight="1">
      <c r="A1269" s="141" t="n"/>
      <c r="B1269" s="69">
        <f>IF('Calendario H'!B79="","",'Calendario H'!B79)</f>
        <v/>
      </c>
      <c r="C1269" s="5" t="n"/>
      <c r="D1269" s="5" t="n"/>
      <c r="E1269" s="5" t="n"/>
      <c r="F1269" s="5" t="n"/>
      <c r="G1269" s="5" t="n"/>
      <c r="H1269" s="6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6" t="n"/>
      <c r="D1270" s="116" t="inlineStr">
        <is>
          <t>Squadra B</t>
        </is>
      </c>
      <c r="E1270" s="6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6" t="n"/>
      <c r="J1270" s="116" t="inlineStr">
        <is>
          <t>Risultato</t>
        </is>
      </c>
      <c r="K1270" s="5" t="n"/>
      <c r="L1270" s="6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5" t="n"/>
      <c r="H1271" s="5" t="n"/>
      <c r="I1271" s="6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n"/>
      <c r="N1271" s="196" t="n"/>
      <c r="O1271" s="196" t="n"/>
      <c r="P1271" s="196" t="n"/>
      <c r="Q1271" s="196" t="n"/>
      <c r="R1271" s="196" t="n"/>
    </row>
    <row r="1272" ht="15" customHeight="1">
      <c r="A1272" s="141" t="n"/>
      <c r="B1272" s="69">
        <f>IF('Calendario H'!B82="","",'Calendario H'!B82)</f>
        <v/>
      </c>
      <c r="C1272" s="5" t="n"/>
      <c r="D1272" s="5" t="n"/>
      <c r="E1272" s="5" t="n"/>
      <c r="F1272" s="5" t="n"/>
      <c r="G1272" s="5" t="n"/>
      <c r="H1272" s="6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6" t="n"/>
      <c r="D1273" s="116" t="inlineStr">
        <is>
          <t>Squadra B</t>
        </is>
      </c>
      <c r="E1273" s="6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6" t="n"/>
      <c r="J1273" s="116" t="inlineStr">
        <is>
          <t>Risultato</t>
        </is>
      </c>
      <c r="K1273" s="5" t="n"/>
      <c r="L1273" s="6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5" t="n"/>
      <c r="H1274" s="5" t="n"/>
      <c r="I1274" s="6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n"/>
      <c r="N1274" s="196" t="n"/>
      <c r="O1274" s="196" t="n"/>
      <c r="P1274" s="196" t="n"/>
      <c r="Q1274" s="196" t="n"/>
      <c r="R1274" s="196" t="n"/>
    </row>
    <row r="1275" ht="15" customHeight="1">
      <c r="A1275" s="141" t="n"/>
      <c r="B1275" s="69">
        <f>IF('Calendario H'!B85="","",'Calendario H'!B85)</f>
        <v/>
      </c>
      <c r="C1275" s="5" t="n"/>
      <c r="D1275" s="5" t="n"/>
      <c r="E1275" s="5" t="n"/>
      <c r="F1275" s="5" t="n"/>
      <c r="G1275" s="5" t="n"/>
      <c r="H1275" s="6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6" t="n"/>
      <c r="D1276" s="116" t="inlineStr">
        <is>
          <t>Squadra B</t>
        </is>
      </c>
      <c r="E1276" s="6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6" t="n"/>
      <c r="J1276" s="116" t="inlineStr">
        <is>
          <t>Risultato</t>
        </is>
      </c>
      <c r="K1276" s="5" t="n"/>
      <c r="L1276" s="6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5" t="n"/>
      <c r="H1277" s="5" t="n"/>
      <c r="I1277" s="6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n"/>
      <c r="N1277" s="196" t="n"/>
      <c r="O1277" s="196" t="n"/>
      <c r="P1277" s="196" t="n"/>
      <c r="Q1277" s="196" t="n"/>
      <c r="R1277" s="196" t="n"/>
    </row>
    <row r="1278" ht="15" customHeight="1">
      <c r="A1278" s="141" t="n"/>
      <c r="B1278" s="69">
        <f>IF('Calendario H'!B88="","",'Calendario H'!B88)</f>
        <v/>
      </c>
      <c r="C1278" s="5" t="n"/>
      <c r="D1278" s="5" t="n"/>
      <c r="E1278" s="5" t="n"/>
      <c r="F1278" s="5" t="n"/>
      <c r="G1278" s="5" t="n"/>
      <c r="H1278" s="6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6" t="n"/>
      <c r="D1279" s="116" t="inlineStr">
        <is>
          <t>Squadra B</t>
        </is>
      </c>
      <c r="E1279" s="6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6" t="n"/>
      <c r="J1279" s="116" t="inlineStr">
        <is>
          <t>Risultato</t>
        </is>
      </c>
      <c r="K1279" s="5" t="n"/>
      <c r="L1279" s="6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5" t="n"/>
      <c r="H1280" s="5" t="n"/>
      <c r="I1280" s="6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n"/>
      <c r="N1280" s="196" t="n"/>
      <c r="O1280" s="196" t="n"/>
      <c r="P1280" s="196" t="n"/>
      <c r="Q1280" s="196" t="n"/>
      <c r="R1280" s="196" t="n"/>
    </row>
    <row r="1281" ht="15" customHeight="1">
      <c r="A1281" s="141" t="n"/>
      <c r="B1281" s="69">
        <f>IF('Calendario H'!B91="","",'Calendario H'!B91)</f>
        <v/>
      </c>
      <c r="C1281" s="5" t="n"/>
      <c r="D1281" s="5" t="n"/>
      <c r="E1281" s="5" t="n"/>
      <c r="F1281" s="5" t="n"/>
      <c r="G1281" s="5" t="n"/>
      <c r="H1281" s="6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 t="n"/>
      <c r="M1283" s="210" t="inlineStr">
        <is>
          <t>ARBITRI</t>
        </is>
      </c>
      <c r="N1283" s="5" t="n"/>
      <c r="O1283" s="6" t="n"/>
      <c r="P1283" s="210" t="inlineStr">
        <is>
          <t>UFFICIALI DI CAMPO</t>
        </is>
      </c>
      <c r="Q1283" s="5" t="n"/>
      <c r="R1283" s="6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6" t="n"/>
      <c r="D1284" s="116" t="inlineStr">
        <is>
          <t>Squadra B</t>
        </is>
      </c>
      <c r="E1284" s="6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6" t="n"/>
      <c r="J1284" s="116" t="inlineStr">
        <is>
          <t>Risultato</t>
        </is>
      </c>
      <c r="K1284" s="5" t="n"/>
      <c r="L1284" s="6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5" t="n"/>
      <c r="H1285" s="5" t="n"/>
      <c r="I1285" s="6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n"/>
      <c r="N1285" s="196" t="n"/>
      <c r="O1285" s="196" t="n"/>
      <c r="P1285" s="196" t="n"/>
      <c r="Q1285" s="196" t="n"/>
      <c r="R1285" s="196" t="n"/>
    </row>
    <row r="1286" ht="15" customHeight="1">
      <c r="A1286" s="141" t="n"/>
      <c r="B1286" s="69">
        <f>IF('Calendario H'!B96="","",'Calendario H'!B96)</f>
        <v/>
      </c>
      <c r="C1286" s="5" t="n"/>
      <c r="D1286" s="5" t="n"/>
      <c r="E1286" s="5" t="n"/>
      <c r="F1286" s="5" t="n"/>
      <c r="G1286" s="5" t="n"/>
      <c r="H1286" s="6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6" t="n"/>
      <c r="D1287" s="116" t="inlineStr">
        <is>
          <t>Squadra B</t>
        </is>
      </c>
      <c r="E1287" s="6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6" t="n"/>
      <c r="J1287" s="116" t="inlineStr">
        <is>
          <t>Risultato</t>
        </is>
      </c>
      <c r="K1287" s="5" t="n"/>
      <c r="L1287" s="6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5" t="n"/>
      <c r="H1288" s="5" t="n"/>
      <c r="I1288" s="6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n"/>
      <c r="N1288" s="196" t="n"/>
      <c r="O1288" s="196" t="n"/>
      <c r="P1288" s="196" t="n"/>
      <c r="Q1288" s="196" t="n"/>
      <c r="R1288" s="196" t="n"/>
    </row>
    <row r="1289" ht="15" customHeight="1">
      <c r="A1289" s="141" t="n"/>
      <c r="B1289" s="69">
        <f>IF('Calendario H'!B99="","",'Calendario H'!B99)</f>
        <v/>
      </c>
      <c r="C1289" s="5" t="n"/>
      <c r="D1289" s="5" t="n"/>
      <c r="E1289" s="5" t="n"/>
      <c r="F1289" s="5" t="n"/>
      <c r="G1289" s="5" t="n"/>
      <c r="H1289" s="6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6" t="n"/>
      <c r="D1290" s="116" t="inlineStr">
        <is>
          <t>Squadra B</t>
        </is>
      </c>
      <c r="E1290" s="6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6" t="n"/>
      <c r="J1290" s="116" t="inlineStr">
        <is>
          <t>Risultato</t>
        </is>
      </c>
      <c r="K1290" s="5" t="n"/>
      <c r="L1290" s="6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5" t="n"/>
      <c r="H1291" s="5" t="n"/>
      <c r="I1291" s="6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n"/>
      <c r="N1291" s="196" t="n"/>
      <c r="O1291" s="196" t="n"/>
      <c r="P1291" s="196" t="n"/>
      <c r="Q1291" s="196" t="n"/>
      <c r="R1291" s="196" t="n"/>
    </row>
    <row r="1292" ht="15" customHeight="1">
      <c r="A1292" s="141" t="n"/>
      <c r="B1292" s="69">
        <f>IF('Calendario H'!B102="","",'Calendario H'!B102)</f>
        <v/>
      </c>
      <c r="C1292" s="5" t="n"/>
      <c r="D1292" s="5" t="n"/>
      <c r="E1292" s="5" t="n"/>
      <c r="F1292" s="5" t="n"/>
      <c r="G1292" s="5" t="n"/>
      <c r="H1292" s="6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6" t="n"/>
      <c r="D1293" s="116" t="inlineStr">
        <is>
          <t>Squadra B</t>
        </is>
      </c>
      <c r="E1293" s="6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6" t="n"/>
      <c r="J1293" s="116" t="inlineStr">
        <is>
          <t>Risultato</t>
        </is>
      </c>
      <c r="K1293" s="5" t="n"/>
      <c r="L1293" s="6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5" t="n"/>
      <c r="H1294" s="5" t="n"/>
      <c r="I1294" s="6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n"/>
      <c r="N1294" s="196" t="n"/>
      <c r="O1294" s="196" t="n"/>
      <c r="P1294" s="196" t="n"/>
      <c r="Q1294" s="196" t="n"/>
      <c r="R1294" s="196" t="n"/>
    </row>
    <row r="1295" ht="15" customHeight="1">
      <c r="A1295" s="141" t="n"/>
      <c r="B1295" s="69">
        <f>IF('Calendario H'!B105="","",'Calendario H'!B105)</f>
        <v/>
      </c>
      <c r="C1295" s="5" t="n"/>
      <c r="D1295" s="5" t="n"/>
      <c r="E1295" s="5" t="n"/>
      <c r="F1295" s="5" t="n"/>
      <c r="G1295" s="5" t="n"/>
      <c r="H1295" s="6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6" t="n"/>
      <c r="D1296" s="116" t="inlineStr">
        <is>
          <t>Squadra B</t>
        </is>
      </c>
      <c r="E1296" s="6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6" t="n"/>
      <c r="J1296" s="116" t="inlineStr">
        <is>
          <t>Risultato</t>
        </is>
      </c>
      <c r="K1296" s="5" t="n"/>
      <c r="L1296" s="6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5" t="n"/>
      <c r="H1297" s="5" t="n"/>
      <c r="I1297" s="6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n"/>
      <c r="N1297" s="196" t="n"/>
      <c r="O1297" s="196" t="n"/>
      <c r="P1297" s="196" t="n"/>
      <c r="Q1297" s="196" t="n"/>
      <c r="R1297" s="196" t="n"/>
    </row>
    <row r="1298" ht="15" customHeight="1">
      <c r="A1298" s="141" t="n"/>
      <c r="B1298" s="69">
        <f>IF('Calendario H'!B108="","",'Calendario H'!B108)</f>
        <v/>
      </c>
      <c r="C1298" s="5" t="n"/>
      <c r="D1298" s="5" t="n"/>
      <c r="E1298" s="5" t="n"/>
      <c r="F1298" s="5" t="n"/>
      <c r="G1298" s="5" t="n"/>
      <c r="H1298" s="6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 t="n"/>
      <c r="M1300" s="210" t="inlineStr">
        <is>
          <t>ARBITRI</t>
        </is>
      </c>
      <c r="N1300" s="5" t="n"/>
      <c r="O1300" s="6" t="n"/>
      <c r="P1300" s="210" t="inlineStr">
        <is>
          <t>UFFICIALI DI CAMPO</t>
        </is>
      </c>
      <c r="Q1300" s="5" t="n"/>
      <c r="R1300" s="6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6" t="n"/>
      <c r="D1301" s="116" t="inlineStr">
        <is>
          <t>Squadra B</t>
        </is>
      </c>
      <c r="E1301" s="6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6" t="n"/>
      <c r="J1301" s="116" t="inlineStr">
        <is>
          <t>Risultato</t>
        </is>
      </c>
      <c r="K1301" s="5" t="n"/>
      <c r="L1301" s="6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5" t="n"/>
      <c r="H1302" s="5" t="n"/>
      <c r="I1302" s="6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n"/>
      <c r="N1302" s="196" t="n"/>
      <c r="O1302" s="196" t="n"/>
      <c r="P1302" s="196" t="n"/>
      <c r="Q1302" s="196" t="n"/>
      <c r="R1302" s="196" t="n"/>
    </row>
    <row r="1303" ht="15" customHeight="1">
      <c r="A1303" s="141" t="n"/>
      <c r="B1303" s="69">
        <f>IF('Calendario H'!B113="","",'Calendario H'!B113)</f>
        <v/>
      </c>
      <c r="C1303" s="5" t="n"/>
      <c r="D1303" s="5" t="n"/>
      <c r="E1303" s="5" t="n"/>
      <c r="F1303" s="5" t="n"/>
      <c r="G1303" s="5" t="n"/>
      <c r="H1303" s="6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6" t="n"/>
      <c r="D1304" s="116" t="inlineStr">
        <is>
          <t>Squadra B</t>
        </is>
      </c>
      <c r="E1304" s="6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6" t="n"/>
      <c r="J1304" s="116" t="inlineStr">
        <is>
          <t>Risultato</t>
        </is>
      </c>
      <c r="K1304" s="5" t="n"/>
      <c r="L1304" s="6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5" t="n"/>
      <c r="H1305" s="5" t="n"/>
      <c r="I1305" s="6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n"/>
      <c r="N1305" s="196" t="n"/>
      <c r="O1305" s="196" t="n"/>
      <c r="P1305" s="196" t="n"/>
      <c r="Q1305" s="196" t="n"/>
      <c r="R1305" s="196" t="n"/>
    </row>
    <row r="1306" ht="15" customHeight="1">
      <c r="A1306" s="141" t="n"/>
      <c r="B1306" s="69">
        <f>IF('Calendario H'!B116="","",'Calendario H'!B116)</f>
        <v/>
      </c>
      <c r="C1306" s="5" t="n"/>
      <c r="D1306" s="5" t="n"/>
      <c r="E1306" s="5" t="n"/>
      <c r="F1306" s="5" t="n"/>
      <c r="G1306" s="5" t="n"/>
      <c r="H1306" s="6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6" t="n"/>
      <c r="D1307" s="116" t="inlineStr">
        <is>
          <t>Squadra B</t>
        </is>
      </c>
      <c r="E1307" s="6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6" t="n"/>
      <c r="J1307" s="116" t="inlineStr">
        <is>
          <t>Risultato</t>
        </is>
      </c>
      <c r="K1307" s="5" t="n"/>
      <c r="L1307" s="6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5" t="n"/>
      <c r="H1308" s="5" t="n"/>
      <c r="I1308" s="6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n"/>
      <c r="N1308" s="196" t="n"/>
      <c r="O1308" s="196" t="n"/>
      <c r="P1308" s="196" t="n"/>
      <c r="Q1308" s="196" t="n"/>
      <c r="R1308" s="196" t="n"/>
    </row>
    <row r="1309" ht="15" customHeight="1">
      <c r="A1309" s="141" t="n"/>
      <c r="B1309" s="69">
        <f>IF('Calendario H'!B119="","",'Calendario H'!B119)</f>
        <v/>
      </c>
      <c r="C1309" s="5" t="n"/>
      <c r="D1309" s="5" t="n"/>
      <c r="E1309" s="5" t="n"/>
      <c r="F1309" s="5" t="n"/>
      <c r="G1309" s="5" t="n"/>
      <c r="H1309" s="6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6" t="n"/>
      <c r="D1310" s="116" t="inlineStr">
        <is>
          <t>Squadra B</t>
        </is>
      </c>
      <c r="E1310" s="6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6" t="n"/>
      <c r="J1310" s="116" t="inlineStr">
        <is>
          <t>Risultato</t>
        </is>
      </c>
      <c r="K1310" s="5" t="n"/>
      <c r="L1310" s="6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5" t="n"/>
      <c r="H1311" s="5" t="n"/>
      <c r="I1311" s="6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n"/>
      <c r="N1311" s="196" t="n"/>
      <c r="O1311" s="196" t="n"/>
      <c r="P1311" s="196" t="n"/>
      <c r="Q1311" s="196" t="n"/>
      <c r="R1311" s="196" t="n"/>
    </row>
    <row r="1312" ht="15" customHeight="1">
      <c r="A1312" s="141" t="n"/>
      <c r="B1312" s="69">
        <f>IF('Calendario H'!B122="","",'Calendario H'!B122)</f>
        <v/>
      </c>
      <c r="C1312" s="5" t="n"/>
      <c r="D1312" s="5" t="n"/>
      <c r="E1312" s="5" t="n"/>
      <c r="F1312" s="5" t="n"/>
      <c r="G1312" s="5" t="n"/>
      <c r="H1312" s="6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6" t="n"/>
      <c r="D1313" s="116" t="inlineStr">
        <is>
          <t>Squadra B</t>
        </is>
      </c>
      <c r="E1313" s="6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6" t="n"/>
      <c r="J1313" s="116" t="inlineStr">
        <is>
          <t>Risultato</t>
        </is>
      </c>
      <c r="K1313" s="5" t="n"/>
      <c r="L1313" s="6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5" t="n"/>
      <c r="H1314" s="5" t="n"/>
      <c r="I1314" s="6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n"/>
      <c r="N1314" s="196" t="n"/>
      <c r="O1314" s="196" t="n"/>
      <c r="P1314" s="196" t="n"/>
      <c r="Q1314" s="196" t="n"/>
      <c r="R1314" s="196" t="n"/>
    </row>
    <row r="1315" ht="15" customHeight="1">
      <c r="A1315" s="141" t="n"/>
      <c r="B1315" s="69">
        <f>IF('Calendario H'!B125="","",'Calendario H'!B125)</f>
        <v/>
      </c>
      <c r="C1315" s="5" t="n"/>
      <c r="D1315" s="5" t="n"/>
      <c r="E1315" s="5" t="n"/>
      <c r="F1315" s="5" t="n"/>
      <c r="G1315" s="5" t="n"/>
      <c r="H1315" s="6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 t="n"/>
      <c r="M1317" s="210" t="inlineStr">
        <is>
          <t>ARBITRI</t>
        </is>
      </c>
      <c r="N1317" s="5" t="n"/>
      <c r="O1317" s="6" t="n"/>
      <c r="P1317" s="210" t="inlineStr">
        <is>
          <t>UFFICIALI DI CAMPO</t>
        </is>
      </c>
      <c r="Q1317" s="5" t="n"/>
      <c r="R1317" s="6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6" t="n"/>
      <c r="D1318" s="116" t="inlineStr">
        <is>
          <t>Squadra B</t>
        </is>
      </c>
      <c r="E1318" s="6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6" t="n"/>
      <c r="J1318" s="116" t="inlineStr">
        <is>
          <t>Risultato</t>
        </is>
      </c>
      <c r="K1318" s="5" t="n"/>
      <c r="L1318" s="6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5" t="n"/>
      <c r="H1319" s="5" t="n"/>
      <c r="I1319" s="6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n"/>
      <c r="N1319" s="196" t="n"/>
      <c r="O1319" s="196" t="n"/>
      <c r="P1319" s="196" t="n"/>
      <c r="Q1319" s="196" t="n"/>
      <c r="R1319" s="196" t="n"/>
    </row>
    <row r="1320" ht="15" customHeight="1">
      <c r="A1320" s="141" t="n"/>
      <c r="B1320" s="69">
        <f>IF('Calendario H'!B130="","",'Calendario H'!B130)</f>
        <v/>
      </c>
      <c r="C1320" s="5" t="n"/>
      <c r="D1320" s="5" t="n"/>
      <c r="E1320" s="5" t="n"/>
      <c r="F1320" s="5" t="n"/>
      <c r="G1320" s="5" t="n"/>
      <c r="H1320" s="6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6" t="n"/>
      <c r="D1321" s="116" t="inlineStr">
        <is>
          <t>Squadra B</t>
        </is>
      </c>
      <c r="E1321" s="6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6" t="n"/>
      <c r="J1321" s="116" t="inlineStr">
        <is>
          <t>Risultato</t>
        </is>
      </c>
      <c r="K1321" s="5" t="n"/>
      <c r="L1321" s="6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5" t="n"/>
      <c r="H1322" s="5" t="n"/>
      <c r="I1322" s="6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n"/>
      <c r="N1322" s="196" t="n"/>
      <c r="O1322" s="196" t="n"/>
      <c r="P1322" s="196" t="n"/>
      <c r="Q1322" s="196" t="n"/>
      <c r="R1322" s="196" t="n"/>
    </row>
    <row r="1323" ht="15" customHeight="1">
      <c r="A1323" s="141" t="n"/>
      <c r="B1323" s="69">
        <f>IF('Calendario H'!B133="","",'Calendario H'!B133)</f>
        <v/>
      </c>
      <c r="C1323" s="5" t="n"/>
      <c r="D1323" s="5" t="n"/>
      <c r="E1323" s="5" t="n"/>
      <c r="F1323" s="5" t="n"/>
      <c r="G1323" s="5" t="n"/>
      <c r="H1323" s="6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6" t="n"/>
      <c r="D1324" s="116" t="inlineStr">
        <is>
          <t>Squadra B</t>
        </is>
      </c>
      <c r="E1324" s="6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6" t="n"/>
      <c r="J1324" s="116" t="inlineStr">
        <is>
          <t>Risultato</t>
        </is>
      </c>
      <c r="K1324" s="5" t="n"/>
      <c r="L1324" s="6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5" t="n"/>
      <c r="H1325" s="5" t="n"/>
      <c r="I1325" s="6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n"/>
      <c r="N1325" s="196" t="n"/>
      <c r="O1325" s="196" t="n"/>
      <c r="P1325" s="196" t="n"/>
      <c r="Q1325" s="196" t="n"/>
      <c r="R1325" s="196" t="n"/>
    </row>
    <row r="1326" ht="15" customHeight="1">
      <c r="A1326" s="141" t="n"/>
      <c r="B1326" s="69">
        <f>IF('Calendario H'!B136="","",'Calendario H'!B136)</f>
        <v/>
      </c>
      <c r="C1326" s="5" t="n"/>
      <c r="D1326" s="5" t="n"/>
      <c r="E1326" s="5" t="n"/>
      <c r="F1326" s="5" t="n"/>
      <c r="G1326" s="5" t="n"/>
      <c r="H1326" s="6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6" t="n"/>
      <c r="D1327" s="116" t="inlineStr">
        <is>
          <t>Squadra B</t>
        </is>
      </c>
      <c r="E1327" s="6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6" t="n"/>
      <c r="J1327" s="116" t="inlineStr">
        <is>
          <t>Risultato</t>
        </is>
      </c>
      <c r="K1327" s="5" t="n"/>
      <c r="L1327" s="6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5" t="n"/>
      <c r="H1328" s="5" t="n"/>
      <c r="I1328" s="6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n"/>
      <c r="N1328" s="196" t="n"/>
      <c r="O1328" s="196" t="n"/>
      <c r="P1328" s="196" t="n"/>
      <c r="Q1328" s="196" t="n"/>
      <c r="R1328" s="196" t="n"/>
    </row>
    <row r="1329" ht="15" customHeight="1">
      <c r="A1329" s="141" t="n"/>
      <c r="B1329" s="69">
        <f>IF('Calendario H'!B139="","",'Calendario H'!B139)</f>
        <v/>
      </c>
      <c r="C1329" s="5" t="n"/>
      <c r="D1329" s="5" t="n"/>
      <c r="E1329" s="5" t="n"/>
      <c r="F1329" s="5" t="n"/>
      <c r="G1329" s="5" t="n"/>
      <c r="H1329" s="6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6" t="n"/>
      <c r="D1330" s="116" t="inlineStr">
        <is>
          <t>Squadra B</t>
        </is>
      </c>
      <c r="E1330" s="6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6" t="n"/>
      <c r="J1330" s="116" t="inlineStr">
        <is>
          <t>Risultato</t>
        </is>
      </c>
      <c r="K1330" s="5" t="n"/>
      <c r="L1330" s="6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5" t="n"/>
      <c r="H1331" s="5" t="n"/>
      <c r="I1331" s="6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n"/>
      <c r="N1331" s="196" t="n"/>
      <c r="O1331" s="196" t="n"/>
      <c r="P1331" s="196" t="n"/>
      <c r="Q1331" s="196" t="n"/>
      <c r="R1331" s="196" t="n"/>
    </row>
    <row r="1332" ht="15" customHeight="1">
      <c r="A1332" s="141" t="n"/>
      <c r="B1332" s="69">
        <f>IF('Calendario H'!B142="","",'Calendario H'!B142)</f>
        <v/>
      </c>
      <c r="C1332" s="5" t="n"/>
      <c r="D1332" s="5" t="n"/>
      <c r="E1332" s="5" t="n"/>
      <c r="F1332" s="5" t="n"/>
      <c r="G1332" s="5" t="n"/>
      <c r="H1332" s="6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 t="n"/>
      <c r="M1334" s="210" t="inlineStr">
        <is>
          <t>ARBITRI</t>
        </is>
      </c>
      <c r="N1334" s="5" t="n"/>
      <c r="O1334" s="6" t="n"/>
      <c r="P1334" s="210" t="inlineStr">
        <is>
          <t>UFFICIALI DI CAMPO</t>
        </is>
      </c>
      <c r="Q1334" s="5" t="n"/>
      <c r="R1334" s="6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6" t="n"/>
      <c r="D1335" s="116" t="inlineStr">
        <is>
          <t>Squadra B</t>
        </is>
      </c>
      <c r="E1335" s="6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6" t="n"/>
      <c r="J1335" s="116" t="inlineStr">
        <is>
          <t>Risultato</t>
        </is>
      </c>
      <c r="K1335" s="5" t="n"/>
      <c r="L1335" s="6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5" t="n"/>
      <c r="H1336" s="5" t="n"/>
      <c r="I1336" s="6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n"/>
      <c r="N1336" s="196" t="n"/>
      <c r="O1336" s="196" t="n"/>
      <c r="P1336" s="196" t="n"/>
      <c r="Q1336" s="196" t="n"/>
      <c r="R1336" s="196" t="n"/>
    </row>
    <row r="1337" ht="15" customHeight="1">
      <c r="A1337" s="141" t="n"/>
      <c r="B1337" s="69">
        <f>IF('Calendario H'!B147="","",'Calendario H'!B147)</f>
        <v/>
      </c>
      <c r="C1337" s="5" t="n"/>
      <c r="D1337" s="5" t="n"/>
      <c r="E1337" s="5" t="n"/>
      <c r="F1337" s="5" t="n"/>
      <c r="G1337" s="5" t="n"/>
      <c r="H1337" s="6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6" t="n"/>
      <c r="D1338" s="116" t="inlineStr">
        <is>
          <t>Squadra B</t>
        </is>
      </c>
      <c r="E1338" s="6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6" t="n"/>
      <c r="J1338" s="116" t="inlineStr">
        <is>
          <t>Risultato</t>
        </is>
      </c>
      <c r="K1338" s="5" t="n"/>
      <c r="L1338" s="6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5" t="n"/>
      <c r="H1339" s="5" t="n"/>
      <c r="I1339" s="6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n"/>
      <c r="N1339" s="196" t="n"/>
      <c r="O1339" s="196" t="n"/>
      <c r="P1339" s="196" t="n"/>
      <c r="Q1339" s="196" t="n"/>
      <c r="R1339" s="196" t="n"/>
    </row>
    <row r="1340" ht="15" customHeight="1">
      <c r="A1340" s="141" t="n"/>
      <c r="B1340" s="69">
        <f>IF('Calendario H'!B150="","",'Calendario H'!B150)</f>
        <v/>
      </c>
      <c r="C1340" s="5" t="n"/>
      <c r="D1340" s="5" t="n"/>
      <c r="E1340" s="5" t="n"/>
      <c r="F1340" s="5" t="n"/>
      <c r="G1340" s="5" t="n"/>
      <c r="H1340" s="6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6" t="n"/>
      <c r="D1341" s="116" t="inlineStr">
        <is>
          <t>Squadra B</t>
        </is>
      </c>
      <c r="E1341" s="6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6" t="n"/>
      <c r="J1341" s="116" t="inlineStr">
        <is>
          <t>Risultato</t>
        </is>
      </c>
      <c r="K1341" s="5" t="n"/>
      <c r="L1341" s="6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5" t="n"/>
      <c r="H1342" s="5" t="n"/>
      <c r="I1342" s="6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n"/>
      <c r="N1342" s="196" t="n"/>
      <c r="O1342" s="196" t="n"/>
      <c r="P1342" s="196" t="n"/>
      <c r="Q1342" s="196" t="n"/>
      <c r="R1342" s="196" t="n"/>
    </row>
    <row r="1343" ht="15" customHeight="1">
      <c r="A1343" s="141" t="n"/>
      <c r="B1343" s="69">
        <f>IF('Calendario H'!B153="","",'Calendario H'!B153)</f>
        <v/>
      </c>
      <c r="C1343" s="5" t="n"/>
      <c r="D1343" s="5" t="n"/>
      <c r="E1343" s="5" t="n"/>
      <c r="F1343" s="5" t="n"/>
      <c r="G1343" s="5" t="n"/>
      <c r="H1343" s="6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6" t="n"/>
      <c r="D1344" s="116" t="inlineStr">
        <is>
          <t>Squadra B</t>
        </is>
      </c>
      <c r="E1344" s="6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6" t="n"/>
      <c r="J1344" s="116" t="inlineStr">
        <is>
          <t>Risultato</t>
        </is>
      </c>
      <c r="K1344" s="5" t="n"/>
      <c r="L1344" s="6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5" t="n"/>
      <c r="H1345" s="5" t="n"/>
      <c r="I1345" s="6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n"/>
      <c r="N1345" s="196" t="n"/>
      <c r="O1345" s="196" t="n"/>
      <c r="P1345" s="196" t="n"/>
      <c r="Q1345" s="196" t="n"/>
      <c r="R1345" s="196" t="n"/>
    </row>
    <row r="1346" ht="15" customHeight="1">
      <c r="A1346" s="141" t="n"/>
      <c r="B1346" s="69">
        <f>IF('Calendario H'!B156="","",'Calendario H'!B156)</f>
        <v/>
      </c>
      <c r="C1346" s="5" t="n"/>
      <c r="D1346" s="5" t="n"/>
      <c r="E1346" s="5" t="n"/>
      <c r="F1346" s="5" t="n"/>
      <c r="G1346" s="5" t="n"/>
      <c r="H1346" s="6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6" t="n"/>
      <c r="D1347" s="116" t="inlineStr">
        <is>
          <t>Squadra B</t>
        </is>
      </c>
      <c r="E1347" s="6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6" t="n"/>
      <c r="J1347" s="116" t="inlineStr">
        <is>
          <t>Risultato</t>
        </is>
      </c>
      <c r="K1347" s="5" t="n"/>
      <c r="L1347" s="6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5" t="n"/>
      <c r="H1348" s="5" t="n"/>
      <c r="I1348" s="6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n"/>
      <c r="N1348" s="196" t="n"/>
      <c r="O1348" s="196" t="n"/>
      <c r="P1348" s="196" t="n"/>
      <c r="Q1348" s="196" t="n"/>
      <c r="R1348" s="196" t="n"/>
    </row>
    <row r="1349" ht="15" customHeight="1">
      <c r="A1349" s="141" t="n"/>
      <c r="B1349" s="69">
        <f>IF('Calendario H'!B159="","",'Calendario H'!B159)</f>
        <v/>
      </c>
      <c r="C1349" s="5" t="n"/>
      <c r="D1349" s="5" t="n"/>
      <c r="E1349" s="5" t="n"/>
      <c r="F1349" s="5" t="n"/>
      <c r="G1349" s="5" t="n"/>
      <c r="H1349" s="6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 t="n"/>
      <c r="M1368" s="212" t="inlineStr">
        <is>
          <t>ARBITRI</t>
        </is>
      </c>
      <c r="N1368" s="5" t="n"/>
      <c r="O1368" s="6" t="n"/>
      <c r="P1368" s="212" t="inlineStr">
        <is>
          <t>UFFICIALI DI CAMPO</t>
        </is>
      </c>
      <c r="Q1368" s="5" t="n"/>
      <c r="R1368" s="6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6" t="n"/>
      <c r="D1369" s="123" t="inlineStr">
        <is>
          <t>Squadra B</t>
        </is>
      </c>
      <c r="E1369" s="6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6" t="n"/>
      <c r="J1369" s="123" t="inlineStr">
        <is>
          <t>Risultato</t>
        </is>
      </c>
      <c r="K1369" s="5" t="n"/>
      <c r="L1369" s="6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5" t="n"/>
      <c r="H1370" s="5" t="n"/>
      <c r="I1370" s="6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n"/>
      <c r="N1370" s="196" t="n"/>
      <c r="O1370" s="196" t="n"/>
      <c r="P1370" s="196" t="n"/>
      <c r="Q1370" s="196" t="n"/>
      <c r="R1370" s="196" t="n"/>
    </row>
    <row r="1371" ht="15" customHeight="1">
      <c r="A1371" s="141" t="n"/>
      <c r="B1371" s="69">
        <f>IF('Calendario I'!B11="","",'Calendario I'!B11)</f>
        <v/>
      </c>
      <c r="C1371" s="5" t="n"/>
      <c r="D1371" s="5" t="n"/>
      <c r="E1371" s="5" t="n"/>
      <c r="F1371" s="5" t="n"/>
      <c r="G1371" s="5" t="n"/>
      <c r="H1371" s="6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6" t="n"/>
      <c r="D1372" s="123" t="inlineStr">
        <is>
          <t>Squadra B</t>
        </is>
      </c>
      <c r="E1372" s="6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6" t="n"/>
      <c r="J1372" s="123" t="inlineStr">
        <is>
          <t>Risultato</t>
        </is>
      </c>
      <c r="K1372" s="5" t="n"/>
      <c r="L1372" s="6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5" t="n"/>
      <c r="H1373" s="5" t="n"/>
      <c r="I1373" s="6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n"/>
      <c r="N1373" s="196" t="n"/>
      <c r="O1373" s="196" t="n"/>
      <c r="P1373" s="196" t="n"/>
      <c r="Q1373" s="196" t="n"/>
      <c r="R1373" s="196" t="n"/>
    </row>
    <row r="1374" ht="15" customHeight="1">
      <c r="A1374" s="141" t="n"/>
      <c r="B1374" s="69">
        <f>IF('Calendario I'!B14="","",'Calendario I'!B14)</f>
        <v/>
      </c>
      <c r="C1374" s="5" t="n"/>
      <c r="D1374" s="5" t="n"/>
      <c r="E1374" s="5" t="n"/>
      <c r="F1374" s="5" t="n"/>
      <c r="G1374" s="5" t="n"/>
      <c r="H1374" s="6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6" t="n"/>
      <c r="D1375" s="123" t="inlineStr">
        <is>
          <t>Squadra B</t>
        </is>
      </c>
      <c r="E1375" s="6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6" t="n"/>
      <c r="J1375" s="123" t="inlineStr">
        <is>
          <t>Risultato</t>
        </is>
      </c>
      <c r="K1375" s="5" t="n"/>
      <c r="L1375" s="6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5" t="n"/>
      <c r="H1376" s="5" t="n"/>
      <c r="I1376" s="6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n"/>
      <c r="N1376" s="196" t="n"/>
      <c r="O1376" s="196" t="n"/>
      <c r="P1376" s="196" t="n"/>
      <c r="Q1376" s="196" t="n"/>
      <c r="R1376" s="196" t="n"/>
    </row>
    <row r="1377" ht="15" customHeight="1">
      <c r="A1377" s="141" t="n"/>
      <c r="B1377" s="69">
        <f>IF('Calendario I'!B17="","",'Calendario I'!B17)</f>
        <v/>
      </c>
      <c r="C1377" s="5" t="n"/>
      <c r="D1377" s="5" t="n"/>
      <c r="E1377" s="5" t="n"/>
      <c r="F1377" s="5" t="n"/>
      <c r="G1377" s="5" t="n"/>
      <c r="H1377" s="6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6" t="n"/>
      <c r="D1378" s="123" t="inlineStr">
        <is>
          <t>Squadra B</t>
        </is>
      </c>
      <c r="E1378" s="6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6" t="n"/>
      <c r="J1378" s="123" t="inlineStr">
        <is>
          <t>Risultato</t>
        </is>
      </c>
      <c r="K1378" s="5" t="n"/>
      <c r="L1378" s="6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5" t="n"/>
      <c r="H1379" s="5" t="n"/>
      <c r="I1379" s="6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n"/>
      <c r="N1379" s="196" t="n"/>
      <c r="O1379" s="196" t="n"/>
      <c r="P1379" s="196" t="n"/>
      <c r="Q1379" s="196" t="n"/>
      <c r="R1379" s="196" t="n"/>
    </row>
    <row r="1380" ht="15" customHeight="1">
      <c r="A1380" s="141" t="n"/>
      <c r="B1380" s="69">
        <f>IF('Calendario I'!B20="","",'Calendario I'!B20)</f>
        <v/>
      </c>
      <c r="C1380" s="5" t="n"/>
      <c r="D1380" s="5" t="n"/>
      <c r="E1380" s="5" t="n"/>
      <c r="F1380" s="5" t="n"/>
      <c r="G1380" s="5" t="n"/>
      <c r="H1380" s="6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6" t="n"/>
      <c r="D1381" s="123" t="inlineStr">
        <is>
          <t>Squadra B</t>
        </is>
      </c>
      <c r="E1381" s="6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6" t="n"/>
      <c r="J1381" s="123" t="inlineStr">
        <is>
          <t>Risultato</t>
        </is>
      </c>
      <c r="K1381" s="5" t="n"/>
      <c r="L1381" s="6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5" t="n"/>
      <c r="H1382" s="5" t="n"/>
      <c r="I1382" s="6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n"/>
      <c r="N1382" s="196" t="n"/>
      <c r="O1382" s="196" t="n"/>
      <c r="P1382" s="196" t="n"/>
      <c r="Q1382" s="196" t="n"/>
      <c r="R1382" s="196" t="n"/>
    </row>
    <row r="1383" ht="15" customHeight="1">
      <c r="A1383" s="141" t="n"/>
      <c r="B1383" s="69">
        <f>IF('Calendario I'!B23="","",'Calendario I'!B23)</f>
        <v/>
      </c>
      <c r="C1383" s="5" t="n"/>
      <c r="D1383" s="5" t="n"/>
      <c r="E1383" s="5" t="n"/>
      <c r="F1383" s="5" t="n"/>
      <c r="G1383" s="5" t="n"/>
      <c r="H1383" s="6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 t="n"/>
      <c r="M1385" s="212" t="inlineStr">
        <is>
          <t>ARBITRI</t>
        </is>
      </c>
      <c r="N1385" s="5" t="n"/>
      <c r="O1385" s="6" t="n"/>
      <c r="P1385" s="212" t="inlineStr">
        <is>
          <t>UFFICIALI DI CAMPO</t>
        </is>
      </c>
      <c r="Q1385" s="5" t="n"/>
      <c r="R1385" s="6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6" t="n"/>
      <c r="D1386" s="123" t="inlineStr">
        <is>
          <t>Squadra B</t>
        </is>
      </c>
      <c r="E1386" s="6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6" t="n"/>
      <c r="J1386" s="123" t="inlineStr">
        <is>
          <t>Risultato</t>
        </is>
      </c>
      <c r="K1386" s="5" t="n"/>
      <c r="L1386" s="6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5" t="n"/>
      <c r="H1387" s="5" t="n"/>
      <c r="I1387" s="6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n"/>
      <c r="N1387" s="196" t="n"/>
      <c r="O1387" s="196" t="n"/>
      <c r="P1387" s="196" t="n"/>
      <c r="Q1387" s="196" t="n"/>
      <c r="R1387" s="196" t="n"/>
    </row>
    <row r="1388" ht="15" customHeight="1">
      <c r="A1388" s="141" t="n"/>
      <c r="B1388" s="69">
        <f>IF('Calendario I'!B28="","",'Calendario I'!B28)</f>
        <v/>
      </c>
      <c r="C1388" s="5" t="n"/>
      <c r="D1388" s="5" t="n"/>
      <c r="E1388" s="5" t="n"/>
      <c r="F1388" s="5" t="n"/>
      <c r="G1388" s="5" t="n"/>
      <c r="H1388" s="6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6" t="n"/>
      <c r="D1389" s="123" t="inlineStr">
        <is>
          <t>Squadra B</t>
        </is>
      </c>
      <c r="E1389" s="6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6" t="n"/>
      <c r="J1389" s="123" t="inlineStr">
        <is>
          <t>Risultato</t>
        </is>
      </c>
      <c r="K1389" s="5" t="n"/>
      <c r="L1389" s="6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5" t="n"/>
      <c r="H1390" s="5" t="n"/>
      <c r="I1390" s="6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n"/>
      <c r="N1390" s="196" t="n"/>
      <c r="O1390" s="196" t="n"/>
      <c r="P1390" s="196" t="n"/>
      <c r="Q1390" s="196" t="n"/>
      <c r="R1390" s="196" t="n"/>
    </row>
    <row r="1391" ht="15" customHeight="1">
      <c r="A1391" s="141" t="n"/>
      <c r="B1391" s="69">
        <f>IF('Calendario I'!B31="","",'Calendario I'!B31)</f>
        <v/>
      </c>
      <c r="C1391" s="5" t="n"/>
      <c r="D1391" s="5" t="n"/>
      <c r="E1391" s="5" t="n"/>
      <c r="F1391" s="5" t="n"/>
      <c r="G1391" s="5" t="n"/>
      <c r="H1391" s="6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6" t="n"/>
      <c r="D1392" s="123" t="inlineStr">
        <is>
          <t>Squadra B</t>
        </is>
      </c>
      <c r="E1392" s="6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6" t="n"/>
      <c r="J1392" s="123" t="inlineStr">
        <is>
          <t>Risultato</t>
        </is>
      </c>
      <c r="K1392" s="5" t="n"/>
      <c r="L1392" s="6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5" t="n"/>
      <c r="H1393" s="5" t="n"/>
      <c r="I1393" s="6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n"/>
      <c r="N1393" s="196" t="n"/>
      <c r="O1393" s="196" t="n"/>
      <c r="P1393" s="196" t="n"/>
      <c r="Q1393" s="196" t="n"/>
      <c r="R1393" s="196" t="n"/>
    </row>
    <row r="1394" ht="15" customHeight="1">
      <c r="A1394" s="141" t="n"/>
      <c r="B1394" s="69">
        <f>IF('Calendario I'!B34="","",'Calendario I'!B34)</f>
        <v/>
      </c>
      <c r="C1394" s="5" t="n"/>
      <c r="D1394" s="5" t="n"/>
      <c r="E1394" s="5" t="n"/>
      <c r="F1394" s="5" t="n"/>
      <c r="G1394" s="5" t="n"/>
      <c r="H1394" s="6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6" t="n"/>
      <c r="D1395" s="123" t="inlineStr">
        <is>
          <t>Squadra B</t>
        </is>
      </c>
      <c r="E1395" s="6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6" t="n"/>
      <c r="J1395" s="123" t="inlineStr">
        <is>
          <t>Risultato</t>
        </is>
      </c>
      <c r="K1395" s="5" t="n"/>
      <c r="L1395" s="6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5" t="n"/>
      <c r="H1396" s="5" t="n"/>
      <c r="I1396" s="6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n"/>
      <c r="N1396" s="196" t="n"/>
      <c r="O1396" s="196" t="n"/>
      <c r="P1396" s="196" t="n"/>
      <c r="Q1396" s="196" t="n"/>
      <c r="R1396" s="196" t="n"/>
    </row>
    <row r="1397" ht="15" customHeight="1">
      <c r="A1397" s="141" t="n"/>
      <c r="B1397" s="69">
        <f>IF('Calendario I'!B37="","",'Calendario I'!B37)</f>
        <v/>
      </c>
      <c r="C1397" s="5" t="n"/>
      <c r="D1397" s="5" t="n"/>
      <c r="E1397" s="5" t="n"/>
      <c r="F1397" s="5" t="n"/>
      <c r="G1397" s="5" t="n"/>
      <c r="H1397" s="6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6" t="n"/>
      <c r="D1398" s="123" t="inlineStr">
        <is>
          <t>Squadra B</t>
        </is>
      </c>
      <c r="E1398" s="6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6" t="n"/>
      <c r="J1398" s="123" t="inlineStr">
        <is>
          <t>Risultato</t>
        </is>
      </c>
      <c r="K1398" s="5" t="n"/>
      <c r="L1398" s="6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5" t="n"/>
      <c r="H1399" s="5" t="n"/>
      <c r="I1399" s="6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n"/>
      <c r="N1399" s="196" t="n"/>
      <c r="O1399" s="196" t="n"/>
      <c r="P1399" s="196" t="n"/>
      <c r="Q1399" s="196" t="n"/>
      <c r="R1399" s="196" t="n"/>
    </row>
    <row r="1400" ht="15" customHeight="1">
      <c r="A1400" s="141" t="n"/>
      <c r="B1400" s="69">
        <f>IF('Calendario I'!B40="","",'Calendario I'!B40)</f>
        <v/>
      </c>
      <c r="C1400" s="5" t="n"/>
      <c r="D1400" s="5" t="n"/>
      <c r="E1400" s="5" t="n"/>
      <c r="F1400" s="5" t="n"/>
      <c r="G1400" s="5" t="n"/>
      <c r="H1400" s="6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 t="n"/>
      <c r="M1402" s="212" t="inlineStr">
        <is>
          <t>ARBITRI</t>
        </is>
      </c>
      <c r="N1402" s="5" t="n"/>
      <c r="O1402" s="6" t="n"/>
      <c r="P1402" s="212" t="inlineStr">
        <is>
          <t>UFFICIALI DI CAMPO</t>
        </is>
      </c>
      <c r="Q1402" s="5" t="n"/>
      <c r="R1402" s="6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6" t="n"/>
      <c r="D1403" s="123" t="inlineStr">
        <is>
          <t>Squadra B</t>
        </is>
      </c>
      <c r="E1403" s="6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6" t="n"/>
      <c r="J1403" s="123" t="inlineStr">
        <is>
          <t>Risultato</t>
        </is>
      </c>
      <c r="K1403" s="5" t="n"/>
      <c r="L1403" s="6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5" t="n"/>
      <c r="H1404" s="5" t="n"/>
      <c r="I1404" s="6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n"/>
      <c r="N1404" s="196" t="n"/>
      <c r="O1404" s="196" t="n"/>
      <c r="P1404" s="196" t="n"/>
      <c r="Q1404" s="196" t="n"/>
      <c r="R1404" s="196" t="n"/>
    </row>
    <row r="1405" ht="15" customHeight="1">
      <c r="A1405" s="141" t="n"/>
      <c r="B1405" s="69">
        <f>IF('Calendario I'!B45="","",'Calendario I'!B45)</f>
        <v/>
      </c>
      <c r="C1405" s="5" t="n"/>
      <c r="D1405" s="5" t="n"/>
      <c r="E1405" s="5" t="n"/>
      <c r="F1405" s="5" t="n"/>
      <c r="G1405" s="5" t="n"/>
      <c r="H1405" s="6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6" t="n"/>
      <c r="D1406" s="123" t="inlineStr">
        <is>
          <t>Squadra B</t>
        </is>
      </c>
      <c r="E1406" s="6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6" t="n"/>
      <c r="J1406" s="123" t="inlineStr">
        <is>
          <t>Risultato</t>
        </is>
      </c>
      <c r="K1406" s="5" t="n"/>
      <c r="L1406" s="6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5" t="n"/>
      <c r="H1407" s="5" t="n"/>
      <c r="I1407" s="6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n"/>
      <c r="N1407" s="196" t="n"/>
      <c r="O1407" s="196" t="n"/>
      <c r="P1407" s="196" t="n"/>
      <c r="Q1407" s="196" t="n"/>
      <c r="R1407" s="196" t="n"/>
    </row>
    <row r="1408" ht="15" customHeight="1">
      <c r="A1408" s="141" t="n"/>
      <c r="B1408" s="69">
        <f>IF('Calendario I'!B48="","",'Calendario I'!B48)</f>
        <v/>
      </c>
      <c r="C1408" s="5" t="n"/>
      <c r="D1408" s="5" t="n"/>
      <c r="E1408" s="5" t="n"/>
      <c r="F1408" s="5" t="n"/>
      <c r="G1408" s="5" t="n"/>
      <c r="H1408" s="6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6" t="n"/>
      <c r="D1409" s="123" t="inlineStr">
        <is>
          <t>Squadra B</t>
        </is>
      </c>
      <c r="E1409" s="6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6" t="n"/>
      <c r="J1409" s="123" t="inlineStr">
        <is>
          <t>Risultato</t>
        </is>
      </c>
      <c r="K1409" s="5" t="n"/>
      <c r="L1409" s="6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5" t="n"/>
      <c r="H1410" s="5" t="n"/>
      <c r="I1410" s="6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n"/>
      <c r="N1410" s="196" t="n"/>
      <c r="O1410" s="196" t="n"/>
      <c r="P1410" s="196" t="n"/>
      <c r="Q1410" s="196" t="n"/>
      <c r="R1410" s="196" t="n"/>
    </row>
    <row r="1411" ht="15" customHeight="1">
      <c r="A1411" s="141" t="n"/>
      <c r="B1411" s="69">
        <f>IF('Calendario I'!B51="","",'Calendario I'!B51)</f>
        <v/>
      </c>
      <c r="C1411" s="5" t="n"/>
      <c r="D1411" s="5" t="n"/>
      <c r="E1411" s="5" t="n"/>
      <c r="F1411" s="5" t="n"/>
      <c r="G1411" s="5" t="n"/>
      <c r="H1411" s="6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6" t="n"/>
      <c r="D1412" s="123" t="inlineStr">
        <is>
          <t>Squadra B</t>
        </is>
      </c>
      <c r="E1412" s="6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6" t="n"/>
      <c r="J1412" s="123" t="inlineStr">
        <is>
          <t>Risultato</t>
        </is>
      </c>
      <c r="K1412" s="5" t="n"/>
      <c r="L1412" s="6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5" t="n"/>
      <c r="H1413" s="5" t="n"/>
      <c r="I1413" s="6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n"/>
      <c r="N1413" s="196" t="n"/>
      <c r="O1413" s="196" t="n"/>
      <c r="P1413" s="196" t="n"/>
      <c r="Q1413" s="196" t="n"/>
      <c r="R1413" s="196" t="n"/>
    </row>
    <row r="1414" ht="15" customHeight="1">
      <c r="A1414" s="141" t="n"/>
      <c r="B1414" s="69">
        <f>IF('Calendario I'!B54="","",'Calendario I'!B54)</f>
        <v/>
      </c>
      <c r="C1414" s="5" t="n"/>
      <c r="D1414" s="5" t="n"/>
      <c r="E1414" s="5" t="n"/>
      <c r="F1414" s="5" t="n"/>
      <c r="G1414" s="5" t="n"/>
      <c r="H1414" s="6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6" t="n"/>
      <c r="D1415" s="123" t="inlineStr">
        <is>
          <t>Squadra B</t>
        </is>
      </c>
      <c r="E1415" s="6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6" t="n"/>
      <c r="J1415" s="123" t="inlineStr">
        <is>
          <t>Risultato</t>
        </is>
      </c>
      <c r="K1415" s="5" t="n"/>
      <c r="L1415" s="6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5" t="n"/>
      <c r="H1416" s="5" t="n"/>
      <c r="I1416" s="6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n"/>
      <c r="N1416" s="196" t="n"/>
      <c r="O1416" s="196" t="n"/>
      <c r="P1416" s="196" t="n"/>
      <c r="Q1416" s="196" t="n"/>
      <c r="R1416" s="196" t="n"/>
    </row>
    <row r="1417" ht="15" customHeight="1">
      <c r="A1417" s="141" t="n"/>
      <c r="B1417" s="69">
        <f>IF('Calendario I'!B57="","",'Calendario I'!B57)</f>
        <v/>
      </c>
      <c r="C1417" s="5" t="n"/>
      <c r="D1417" s="5" t="n"/>
      <c r="E1417" s="5" t="n"/>
      <c r="F1417" s="5" t="n"/>
      <c r="G1417" s="5" t="n"/>
      <c r="H1417" s="6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 t="n"/>
      <c r="M1419" s="212" t="inlineStr">
        <is>
          <t>ARBITRI</t>
        </is>
      </c>
      <c r="N1419" s="5" t="n"/>
      <c r="O1419" s="6" t="n"/>
      <c r="P1419" s="212" t="inlineStr">
        <is>
          <t>UFFICIALI DI CAMPO</t>
        </is>
      </c>
      <c r="Q1419" s="5" t="n"/>
      <c r="R1419" s="6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6" t="n"/>
      <c r="D1420" s="123" t="inlineStr">
        <is>
          <t>Squadra B</t>
        </is>
      </c>
      <c r="E1420" s="6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6" t="n"/>
      <c r="J1420" s="123" t="inlineStr">
        <is>
          <t>Risultato</t>
        </is>
      </c>
      <c r="K1420" s="5" t="n"/>
      <c r="L1420" s="6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5" t="n"/>
      <c r="H1421" s="5" t="n"/>
      <c r="I1421" s="6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n"/>
      <c r="N1421" s="196" t="n"/>
      <c r="O1421" s="196" t="n"/>
      <c r="P1421" s="196" t="n"/>
      <c r="Q1421" s="196" t="n"/>
      <c r="R1421" s="196" t="n"/>
    </row>
    <row r="1422" ht="15" customHeight="1">
      <c r="A1422" s="141" t="n"/>
      <c r="B1422" s="69">
        <f>IF('Calendario I'!B62="","",'Calendario I'!B62)</f>
        <v/>
      </c>
      <c r="C1422" s="5" t="n"/>
      <c r="D1422" s="5" t="n"/>
      <c r="E1422" s="5" t="n"/>
      <c r="F1422" s="5" t="n"/>
      <c r="G1422" s="5" t="n"/>
      <c r="H1422" s="6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6" t="n"/>
      <c r="D1423" s="123" t="inlineStr">
        <is>
          <t>Squadra B</t>
        </is>
      </c>
      <c r="E1423" s="6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6" t="n"/>
      <c r="J1423" s="123" t="inlineStr">
        <is>
          <t>Risultato</t>
        </is>
      </c>
      <c r="K1423" s="5" t="n"/>
      <c r="L1423" s="6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5" t="n"/>
      <c r="H1424" s="5" t="n"/>
      <c r="I1424" s="6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n"/>
      <c r="N1424" s="196" t="n"/>
      <c r="O1424" s="196" t="n"/>
      <c r="P1424" s="196" t="n"/>
      <c r="Q1424" s="196" t="n"/>
      <c r="R1424" s="196" t="n"/>
    </row>
    <row r="1425" ht="15" customHeight="1">
      <c r="A1425" s="141" t="n"/>
      <c r="B1425" s="69">
        <f>IF('Calendario I'!B65="","",'Calendario I'!B65)</f>
        <v/>
      </c>
      <c r="C1425" s="5" t="n"/>
      <c r="D1425" s="5" t="n"/>
      <c r="E1425" s="5" t="n"/>
      <c r="F1425" s="5" t="n"/>
      <c r="G1425" s="5" t="n"/>
      <c r="H1425" s="6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6" t="n"/>
      <c r="D1426" s="123" t="inlineStr">
        <is>
          <t>Squadra B</t>
        </is>
      </c>
      <c r="E1426" s="6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6" t="n"/>
      <c r="J1426" s="123" t="inlineStr">
        <is>
          <t>Risultato</t>
        </is>
      </c>
      <c r="K1426" s="5" t="n"/>
      <c r="L1426" s="6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5" t="n"/>
      <c r="H1427" s="5" t="n"/>
      <c r="I1427" s="6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n"/>
      <c r="N1427" s="196" t="n"/>
      <c r="O1427" s="196" t="n"/>
      <c r="P1427" s="196" t="n"/>
      <c r="Q1427" s="196" t="n"/>
      <c r="R1427" s="196" t="n"/>
    </row>
    <row r="1428" ht="15" customHeight="1">
      <c r="A1428" s="141" t="n"/>
      <c r="B1428" s="69">
        <f>IF('Calendario I'!B68="","",'Calendario I'!B68)</f>
        <v/>
      </c>
      <c r="C1428" s="5" t="n"/>
      <c r="D1428" s="5" t="n"/>
      <c r="E1428" s="5" t="n"/>
      <c r="F1428" s="5" t="n"/>
      <c r="G1428" s="5" t="n"/>
      <c r="H1428" s="6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6" t="n"/>
      <c r="D1429" s="123" t="inlineStr">
        <is>
          <t>Squadra B</t>
        </is>
      </c>
      <c r="E1429" s="6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6" t="n"/>
      <c r="J1429" s="123" t="inlineStr">
        <is>
          <t>Risultato</t>
        </is>
      </c>
      <c r="K1429" s="5" t="n"/>
      <c r="L1429" s="6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5" t="n"/>
      <c r="H1430" s="5" t="n"/>
      <c r="I1430" s="6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n"/>
      <c r="N1430" s="196" t="n"/>
      <c r="O1430" s="196" t="n"/>
      <c r="P1430" s="196" t="n"/>
      <c r="Q1430" s="196" t="n"/>
      <c r="R1430" s="196" t="n"/>
    </row>
    <row r="1431" ht="15" customHeight="1">
      <c r="A1431" s="141" t="n"/>
      <c r="B1431" s="69">
        <f>IF('Calendario I'!B71="","",'Calendario I'!B71)</f>
        <v/>
      </c>
      <c r="C1431" s="5" t="n"/>
      <c r="D1431" s="5" t="n"/>
      <c r="E1431" s="5" t="n"/>
      <c r="F1431" s="5" t="n"/>
      <c r="G1431" s="5" t="n"/>
      <c r="H1431" s="6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6" t="n"/>
      <c r="D1432" s="123" t="inlineStr">
        <is>
          <t>Squadra B</t>
        </is>
      </c>
      <c r="E1432" s="6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6" t="n"/>
      <c r="J1432" s="123" t="inlineStr">
        <is>
          <t>Risultato</t>
        </is>
      </c>
      <c r="K1432" s="5" t="n"/>
      <c r="L1432" s="6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5" t="n"/>
      <c r="H1433" s="5" t="n"/>
      <c r="I1433" s="6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n"/>
      <c r="N1433" s="196" t="n"/>
      <c r="O1433" s="196" t="n"/>
      <c r="P1433" s="196" t="n"/>
      <c r="Q1433" s="196" t="n"/>
      <c r="R1433" s="196" t="n"/>
    </row>
    <row r="1434" ht="15" customHeight="1">
      <c r="A1434" s="141" t="n"/>
      <c r="B1434" s="69">
        <f>IF('Calendario I'!B74="","",'Calendario I'!B74)</f>
        <v/>
      </c>
      <c r="C1434" s="5" t="n"/>
      <c r="D1434" s="5" t="n"/>
      <c r="E1434" s="5" t="n"/>
      <c r="F1434" s="5" t="n"/>
      <c r="G1434" s="5" t="n"/>
      <c r="H1434" s="6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 t="n"/>
      <c r="M1436" s="212" t="inlineStr">
        <is>
          <t>ARBITRI</t>
        </is>
      </c>
      <c r="N1436" s="5" t="n"/>
      <c r="O1436" s="6" t="n"/>
      <c r="P1436" s="212" t="inlineStr">
        <is>
          <t>UFFICIALI DI CAMPO</t>
        </is>
      </c>
      <c r="Q1436" s="5" t="n"/>
      <c r="R1436" s="6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6" t="n"/>
      <c r="D1437" s="123" t="inlineStr">
        <is>
          <t>Squadra B</t>
        </is>
      </c>
      <c r="E1437" s="6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6" t="n"/>
      <c r="J1437" s="123" t="inlineStr">
        <is>
          <t>Risultato</t>
        </is>
      </c>
      <c r="K1437" s="5" t="n"/>
      <c r="L1437" s="6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5" t="n"/>
      <c r="H1438" s="5" t="n"/>
      <c r="I1438" s="6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n"/>
      <c r="N1438" s="196" t="n"/>
      <c r="O1438" s="196" t="n"/>
      <c r="P1438" s="196" t="n"/>
      <c r="Q1438" s="196" t="n"/>
      <c r="R1438" s="196" t="n"/>
    </row>
    <row r="1439" ht="15" customHeight="1">
      <c r="A1439" s="141" t="n"/>
      <c r="B1439" s="69">
        <f>IF('Calendario I'!B79="","",'Calendario I'!B79)</f>
        <v/>
      </c>
      <c r="C1439" s="5" t="n"/>
      <c r="D1439" s="5" t="n"/>
      <c r="E1439" s="5" t="n"/>
      <c r="F1439" s="5" t="n"/>
      <c r="G1439" s="5" t="n"/>
      <c r="H1439" s="6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6" t="n"/>
      <c r="D1440" s="123" t="inlineStr">
        <is>
          <t>Squadra B</t>
        </is>
      </c>
      <c r="E1440" s="6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6" t="n"/>
      <c r="J1440" s="123" t="inlineStr">
        <is>
          <t>Risultato</t>
        </is>
      </c>
      <c r="K1440" s="5" t="n"/>
      <c r="L1440" s="6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5" t="n"/>
      <c r="H1441" s="5" t="n"/>
      <c r="I1441" s="6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n"/>
      <c r="N1441" s="196" t="n"/>
      <c r="O1441" s="196" t="n"/>
      <c r="P1441" s="196" t="n"/>
      <c r="Q1441" s="196" t="n"/>
      <c r="R1441" s="196" t="n"/>
    </row>
    <row r="1442" ht="15" customHeight="1">
      <c r="A1442" s="141" t="n"/>
      <c r="B1442" s="69">
        <f>IF('Calendario I'!B82="","",'Calendario I'!B82)</f>
        <v/>
      </c>
      <c r="C1442" s="5" t="n"/>
      <c r="D1442" s="5" t="n"/>
      <c r="E1442" s="5" t="n"/>
      <c r="F1442" s="5" t="n"/>
      <c r="G1442" s="5" t="n"/>
      <c r="H1442" s="6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6" t="n"/>
      <c r="D1443" s="123" t="inlineStr">
        <is>
          <t>Squadra B</t>
        </is>
      </c>
      <c r="E1443" s="6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6" t="n"/>
      <c r="J1443" s="123" t="inlineStr">
        <is>
          <t>Risultato</t>
        </is>
      </c>
      <c r="K1443" s="5" t="n"/>
      <c r="L1443" s="6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5" t="n"/>
      <c r="H1444" s="5" t="n"/>
      <c r="I1444" s="6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n"/>
      <c r="N1444" s="196" t="n"/>
      <c r="O1444" s="196" t="n"/>
      <c r="P1444" s="196" t="n"/>
      <c r="Q1444" s="196" t="n"/>
      <c r="R1444" s="196" t="n"/>
    </row>
    <row r="1445" ht="15" customHeight="1">
      <c r="A1445" s="141" t="n"/>
      <c r="B1445" s="69">
        <f>IF('Calendario I'!B85="","",'Calendario I'!B85)</f>
        <v/>
      </c>
      <c r="C1445" s="5" t="n"/>
      <c r="D1445" s="5" t="n"/>
      <c r="E1445" s="5" t="n"/>
      <c r="F1445" s="5" t="n"/>
      <c r="G1445" s="5" t="n"/>
      <c r="H1445" s="6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6" t="n"/>
      <c r="D1446" s="123" t="inlineStr">
        <is>
          <t>Squadra B</t>
        </is>
      </c>
      <c r="E1446" s="6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6" t="n"/>
      <c r="J1446" s="123" t="inlineStr">
        <is>
          <t>Risultato</t>
        </is>
      </c>
      <c r="K1446" s="5" t="n"/>
      <c r="L1446" s="6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5" t="n"/>
      <c r="H1447" s="5" t="n"/>
      <c r="I1447" s="6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n"/>
      <c r="N1447" s="196" t="n"/>
      <c r="O1447" s="196" t="n"/>
      <c r="P1447" s="196" t="n"/>
      <c r="Q1447" s="196" t="n"/>
      <c r="R1447" s="196" t="n"/>
    </row>
    <row r="1448" ht="15" customHeight="1">
      <c r="A1448" s="141" t="n"/>
      <c r="B1448" s="69">
        <f>IF('Calendario I'!B88="","",'Calendario I'!B88)</f>
        <v/>
      </c>
      <c r="C1448" s="5" t="n"/>
      <c r="D1448" s="5" t="n"/>
      <c r="E1448" s="5" t="n"/>
      <c r="F1448" s="5" t="n"/>
      <c r="G1448" s="5" t="n"/>
      <c r="H1448" s="6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6" t="n"/>
      <c r="D1449" s="123" t="inlineStr">
        <is>
          <t>Squadra B</t>
        </is>
      </c>
      <c r="E1449" s="6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6" t="n"/>
      <c r="J1449" s="123" t="inlineStr">
        <is>
          <t>Risultato</t>
        </is>
      </c>
      <c r="K1449" s="5" t="n"/>
      <c r="L1449" s="6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5" t="n"/>
      <c r="H1450" s="5" t="n"/>
      <c r="I1450" s="6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n"/>
      <c r="N1450" s="196" t="n"/>
      <c r="O1450" s="196" t="n"/>
      <c r="P1450" s="196" t="n"/>
      <c r="Q1450" s="196" t="n"/>
      <c r="R1450" s="196" t="n"/>
    </row>
    <row r="1451" ht="15" customHeight="1">
      <c r="A1451" s="141" t="n"/>
      <c r="B1451" s="69">
        <f>IF('Calendario I'!B91="","",'Calendario I'!B91)</f>
        <v/>
      </c>
      <c r="C1451" s="5" t="n"/>
      <c r="D1451" s="5" t="n"/>
      <c r="E1451" s="5" t="n"/>
      <c r="F1451" s="5" t="n"/>
      <c r="G1451" s="5" t="n"/>
      <c r="H1451" s="6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 t="n"/>
      <c r="M1453" s="212" t="inlineStr">
        <is>
          <t>ARBITRI</t>
        </is>
      </c>
      <c r="N1453" s="5" t="n"/>
      <c r="O1453" s="6" t="n"/>
      <c r="P1453" s="212" t="inlineStr">
        <is>
          <t>UFFICIALI DI CAMPO</t>
        </is>
      </c>
      <c r="Q1453" s="5" t="n"/>
      <c r="R1453" s="6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6" t="n"/>
      <c r="D1454" s="123" t="inlineStr">
        <is>
          <t>Squadra B</t>
        </is>
      </c>
      <c r="E1454" s="6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6" t="n"/>
      <c r="J1454" s="123" t="inlineStr">
        <is>
          <t>Risultato</t>
        </is>
      </c>
      <c r="K1454" s="5" t="n"/>
      <c r="L1454" s="6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5" t="n"/>
      <c r="H1455" s="5" t="n"/>
      <c r="I1455" s="6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n"/>
      <c r="N1455" s="196" t="n"/>
      <c r="O1455" s="196" t="n"/>
      <c r="P1455" s="196" t="n"/>
      <c r="Q1455" s="196" t="n"/>
      <c r="R1455" s="196" t="n"/>
    </row>
    <row r="1456" ht="15" customHeight="1">
      <c r="A1456" s="141" t="n"/>
      <c r="B1456" s="69">
        <f>IF('Calendario I'!B96="","",'Calendario I'!B96)</f>
        <v/>
      </c>
      <c r="C1456" s="5" t="n"/>
      <c r="D1456" s="5" t="n"/>
      <c r="E1456" s="5" t="n"/>
      <c r="F1456" s="5" t="n"/>
      <c r="G1456" s="5" t="n"/>
      <c r="H1456" s="6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6" t="n"/>
      <c r="D1457" s="123" t="inlineStr">
        <is>
          <t>Squadra B</t>
        </is>
      </c>
      <c r="E1457" s="6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6" t="n"/>
      <c r="J1457" s="123" t="inlineStr">
        <is>
          <t>Risultato</t>
        </is>
      </c>
      <c r="K1457" s="5" t="n"/>
      <c r="L1457" s="6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5" t="n"/>
      <c r="H1458" s="5" t="n"/>
      <c r="I1458" s="6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n"/>
      <c r="N1458" s="196" t="n"/>
      <c r="O1458" s="196" t="n"/>
      <c r="P1458" s="196" t="n"/>
      <c r="Q1458" s="196" t="n"/>
      <c r="R1458" s="196" t="n"/>
    </row>
    <row r="1459" ht="15" customHeight="1">
      <c r="A1459" s="141" t="n"/>
      <c r="B1459" s="69">
        <f>IF('Calendario I'!B99="","",'Calendario I'!B99)</f>
        <v/>
      </c>
      <c r="C1459" s="5" t="n"/>
      <c r="D1459" s="5" t="n"/>
      <c r="E1459" s="5" t="n"/>
      <c r="F1459" s="5" t="n"/>
      <c r="G1459" s="5" t="n"/>
      <c r="H1459" s="6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6" t="n"/>
      <c r="D1460" s="123" t="inlineStr">
        <is>
          <t>Squadra B</t>
        </is>
      </c>
      <c r="E1460" s="6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6" t="n"/>
      <c r="J1460" s="123" t="inlineStr">
        <is>
          <t>Risultato</t>
        </is>
      </c>
      <c r="K1460" s="5" t="n"/>
      <c r="L1460" s="6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5" t="n"/>
      <c r="H1461" s="5" t="n"/>
      <c r="I1461" s="6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n"/>
      <c r="N1461" s="196" t="n"/>
      <c r="O1461" s="196" t="n"/>
      <c r="P1461" s="196" t="n"/>
      <c r="Q1461" s="196" t="n"/>
      <c r="R1461" s="196" t="n"/>
    </row>
    <row r="1462" ht="15" customHeight="1">
      <c r="A1462" s="141" t="n"/>
      <c r="B1462" s="69">
        <f>IF('Calendario I'!B102="","",'Calendario I'!B102)</f>
        <v/>
      </c>
      <c r="C1462" s="5" t="n"/>
      <c r="D1462" s="5" t="n"/>
      <c r="E1462" s="5" t="n"/>
      <c r="F1462" s="5" t="n"/>
      <c r="G1462" s="5" t="n"/>
      <c r="H1462" s="6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6" t="n"/>
      <c r="D1463" s="123" t="inlineStr">
        <is>
          <t>Squadra B</t>
        </is>
      </c>
      <c r="E1463" s="6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6" t="n"/>
      <c r="J1463" s="123" t="inlineStr">
        <is>
          <t>Risultato</t>
        </is>
      </c>
      <c r="K1463" s="5" t="n"/>
      <c r="L1463" s="6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5" t="n"/>
      <c r="H1464" s="5" t="n"/>
      <c r="I1464" s="6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n"/>
      <c r="N1464" s="196" t="n"/>
      <c r="O1464" s="196" t="n"/>
      <c r="P1464" s="196" t="n"/>
      <c r="Q1464" s="196" t="n"/>
      <c r="R1464" s="196" t="n"/>
    </row>
    <row r="1465" ht="15" customHeight="1">
      <c r="A1465" s="141" t="n"/>
      <c r="B1465" s="69">
        <f>IF('Calendario I'!B105="","",'Calendario I'!B105)</f>
        <v/>
      </c>
      <c r="C1465" s="5" t="n"/>
      <c r="D1465" s="5" t="n"/>
      <c r="E1465" s="5" t="n"/>
      <c r="F1465" s="5" t="n"/>
      <c r="G1465" s="5" t="n"/>
      <c r="H1465" s="6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6" t="n"/>
      <c r="D1466" s="123" t="inlineStr">
        <is>
          <t>Squadra B</t>
        </is>
      </c>
      <c r="E1466" s="6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6" t="n"/>
      <c r="J1466" s="123" t="inlineStr">
        <is>
          <t>Risultato</t>
        </is>
      </c>
      <c r="K1466" s="5" t="n"/>
      <c r="L1466" s="6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5" t="n"/>
      <c r="H1467" s="5" t="n"/>
      <c r="I1467" s="6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n"/>
      <c r="N1467" s="196" t="n"/>
      <c r="O1467" s="196" t="n"/>
      <c r="P1467" s="196" t="n"/>
      <c r="Q1467" s="196" t="n"/>
      <c r="R1467" s="196" t="n"/>
    </row>
    <row r="1468" ht="15" customHeight="1">
      <c r="A1468" s="141" t="n"/>
      <c r="B1468" s="69">
        <f>IF('Calendario I'!B108="","",'Calendario I'!B108)</f>
        <v/>
      </c>
      <c r="C1468" s="5" t="n"/>
      <c r="D1468" s="5" t="n"/>
      <c r="E1468" s="5" t="n"/>
      <c r="F1468" s="5" t="n"/>
      <c r="G1468" s="5" t="n"/>
      <c r="H1468" s="6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 t="n"/>
      <c r="M1470" s="212" t="inlineStr">
        <is>
          <t>ARBITRI</t>
        </is>
      </c>
      <c r="N1470" s="5" t="n"/>
      <c r="O1470" s="6" t="n"/>
      <c r="P1470" s="212" t="inlineStr">
        <is>
          <t>UFFICIALI DI CAMPO</t>
        </is>
      </c>
      <c r="Q1470" s="5" t="n"/>
      <c r="R1470" s="6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6" t="n"/>
      <c r="D1471" s="123" t="inlineStr">
        <is>
          <t>Squadra B</t>
        </is>
      </c>
      <c r="E1471" s="6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6" t="n"/>
      <c r="J1471" s="123" t="inlineStr">
        <is>
          <t>Risultato</t>
        </is>
      </c>
      <c r="K1471" s="5" t="n"/>
      <c r="L1471" s="6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5" t="n"/>
      <c r="H1472" s="5" t="n"/>
      <c r="I1472" s="6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n"/>
      <c r="N1472" s="196" t="n"/>
      <c r="O1472" s="196" t="n"/>
      <c r="P1472" s="196" t="n"/>
      <c r="Q1472" s="196" t="n"/>
      <c r="R1472" s="196" t="n"/>
    </row>
    <row r="1473" ht="15" customHeight="1">
      <c r="A1473" s="141" t="n"/>
      <c r="B1473" s="69">
        <f>IF('Calendario I'!B113="","",'Calendario I'!B113)</f>
        <v/>
      </c>
      <c r="C1473" s="5" t="n"/>
      <c r="D1473" s="5" t="n"/>
      <c r="E1473" s="5" t="n"/>
      <c r="F1473" s="5" t="n"/>
      <c r="G1473" s="5" t="n"/>
      <c r="H1473" s="6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6" t="n"/>
      <c r="D1474" s="123" t="inlineStr">
        <is>
          <t>Squadra B</t>
        </is>
      </c>
      <c r="E1474" s="6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6" t="n"/>
      <c r="J1474" s="123" t="inlineStr">
        <is>
          <t>Risultato</t>
        </is>
      </c>
      <c r="K1474" s="5" t="n"/>
      <c r="L1474" s="6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5" t="n"/>
      <c r="H1475" s="5" t="n"/>
      <c r="I1475" s="6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n"/>
      <c r="N1475" s="196" t="n"/>
      <c r="O1475" s="196" t="n"/>
      <c r="P1475" s="196" t="n"/>
      <c r="Q1475" s="196" t="n"/>
      <c r="R1475" s="196" t="n"/>
    </row>
    <row r="1476" ht="15" customHeight="1">
      <c r="A1476" s="141" t="n"/>
      <c r="B1476" s="69">
        <f>IF('Calendario I'!B116="","",'Calendario I'!B116)</f>
        <v/>
      </c>
      <c r="C1476" s="5" t="n"/>
      <c r="D1476" s="5" t="n"/>
      <c r="E1476" s="5" t="n"/>
      <c r="F1476" s="5" t="n"/>
      <c r="G1476" s="5" t="n"/>
      <c r="H1476" s="6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6" t="n"/>
      <c r="D1477" s="123" t="inlineStr">
        <is>
          <t>Squadra B</t>
        </is>
      </c>
      <c r="E1477" s="6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6" t="n"/>
      <c r="J1477" s="123" t="inlineStr">
        <is>
          <t>Risultato</t>
        </is>
      </c>
      <c r="K1477" s="5" t="n"/>
      <c r="L1477" s="6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5" t="n"/>
      <c r="H1478" s="5" t="n"/>
      <c r="I1478" s="6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n"/>
      <c r="N1478" s="196" t="n"/>
      <c r="O1478" s="196" t="n"/>
      <c r="P1478" s="196" t="n"/>
      <c r="Q1478" s="196" t="n"/>
      <c r="R1478" s="196" t="n"/>
    </row>
    <row r="1479" ht="15" customHeight="1">
      <c r="A1479" s="141" t="n"/>
      <c r="B1479" s="69">
        <f>IF('Calendario I'!B119="","",'Calendario I'!B119)</f>
        <v/>
      </c>
      <c r="C1479" s="5" t="n"/>
      <c r="D1479" s="5" t="n"/>
      <c r="E1479" s="5" t="n"/>
      <c r="F1479" s="5" t="n"/>
      <c r="G1479" s="5" t="n"/>
      <c r="H1479" s="6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6" t="n"/>
      <c r="D1480" s="123" t="inlineStr">
        <is>
          <t>Squadra B</t>
        </is>
      </c>
      <c r="E1480" s="6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6" t="n"/>
      <c r="J1480" s="123" t="inlineStr">
        <is>
          <t>Risultato</t>
        </is>
      </c>
      <c r="K1480" s="5" t="n"/>
      <c r="L1480" s="6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5" t="n"/>
      <c r="H1481" s="5" t="n"/>
      <c r="I1481" s="6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n"/>
      <c r="N1481" s="196" t="n"/>
      <c r="O1481" s="196" t="n"/>
      <c r="P1481" s="196" t="n"/>
      <c r="Q1481" s="196" t="n"/>
      <c r="R1481" s="196" t="n"/>
    </row>
    <row r="1482" ht="15" customHeight="1">
      <c r="A1482" s="141" t="n"/>
      <c r="B1482" s="69">
        <f>IF('Calendario I'!B122="","",'Calendario I'!B122)</f>
        <v/>
      </c>
      <c r="C1482" s="5" t="n"/>
      <c r="D1482" s="5" t="n"/>
      <c r="E1482" s="5" t="n"/>
      <c r="F1482" s="5" t="n"/>
      <c r="G1482" s="5" t="n"/>
      <c r="H1482" s="6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6" t="n"/>
      <c r="D1483" s="123" t="inlineStr">
        <is>
          <t>Squadra B</t>
        </is>
      </c>
      <c r="E1483" s="6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6" t="n"/>
      <c r="J1483" s="123" t="inlineStr">
        <is>
          <t>Risultato</t>
        </is>
      </c>
      <c r="K1483" s="5" t="n"/>
      <c r="L1483" s="6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5" t="n"/>
      <c r="H1484" s="5" t="n"/>
      <c r="I1484" s="6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n"/>
      <c r="N1484" s="196" t="n"/>
      <c r="O1484" s="196" t="n"/>
      <c r="P1484" s="196" t="n"/>
      <c r="Q1484" s="196" t="n"/>
      <c r="R1484" s="196" t="n"/>
    </row>
    <row r="1485" ht="15" customHeight="1">
      <c r="A1485" s="141" t="n"/>
      <c r="B1485" s="69">
        <f>IF('Calendario I'!B125="","",'Calendario I'!B125)</f>
        <v/>
      </c>
      <c r="C1485" s="5" t="n"/>
      <c r="D1485" s="5" t="n"/>
      <c r="E1485" s="5" t="n"/>
      <c r="F1485" s="5" t="n"/>
      <c r="G1485" s="5" t="n"/>
      <c r="H1485" s="6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 t="n"/>
      <c r="M1487" s="212" t="inlineStr">
        <is>
          <t>ARBITRI</t>
        </is>
      </c>
      <c r="N1487" s="5" t="n"/>
      <c r="O1487" s="6" t="n"/>
      <c r="P1487" s="212" t="inlineStr">
        <is>
          <t>UFFICIALI DI CAMPO</t>
        </is>
      </c>
      <c r="Q1487" s="5" t="n"/>
      <c r="R1487" s="6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6" t="n"/>
      <c r="D1488" s="123" t="inlineStr">
        <is>
          <t>Squadra B</t>
        </is>
      </c>
      <c r="E1488" s="6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6" t="n"/>
      <c r="J1488" s="123" t="inlineStr">
        <is>
          <t>Risultato</t>
        </is>
      </c>
      <c r="K1488" s="5" t="n"/>
      <c r="L1488" s="6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5" t="n"/>
      <c r="H1489" s="5" t="n"/>
      <c r="I1489" s="6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n"/>
      <c r="N1489" s="196" t="n"/>
      <c r="O1489" s="196" t="n"/>
      <c r="P1489" s="196" t="n"/>
      <c r="Q1489" s="196" t="n"/>
      <c r="R1489" s="196" t="n"/>
    </row>
    <row r="1490" ht="15" customHeight="1">
      <c r="A1490" s="141" t="n"/>
      <c r="B1490" s="69">
        <f>IF('Calendario I'!B130="","",'Calendario I'!B130)</f>
        <v/>
      </c>
      <c r="C1490" s="5" t="n"/>
      <c r="D1490" s="5" t="n"/>
      <c r="E1490" s="5" t="n"/>
      <c r="F1490" s="5" t="n"/>
      <c r="G1490" s="5" t="n"/>
      <c r="H1490" s="6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6" t="n"/>
      <c r="D1491" s="123" t="inlineStr">
        <is>
          <t>Squadra B</t>
        </is>
      </c>
      <c r="E1491" s="6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6" t="n"/>
      <c r="J1491" s="123" t="inlineStr">
        <is>
          <t>Risultato</t>
        </is>
      </c>
      <c r="K1491" s="5" t="n"/>
      <c r="L1491" s="6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5" t="n"/>
      <c r="H1492" s="5" t="n"/>
      <c r="I1492" s="6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n"/>
      <c r="N1492" s="196" t="n"/>
      <c r="O1492" s="196" t="n"/>
      <c r="P1492" s="196" t="n"/>
      <c r="Q1492" s="196" t="n"/>
      <c r="R1492" s="196" t="n"/>
    </row>
    <row r="1493" ht="15" customHeight="1">
      <c r="A1493" s="141" t="n"/>
      <c r="B1493" s="69">
        <f>IF('Calendario I'!B133="","",'Calendario I'!B133)</f>
        <v/>
      </c>
      <c r="C1493" s="5" t="n"/>
      <c r="D1493" s="5" t="n"/>
      <c r="E1493" s="5" t="n"/>
      <c r="F1493" s="5" t="n"/>
      <c r="G1493" s="5" t="n"/>
      <c r="H1493" s="6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6" t="n"/>
      <c r="D1494" s="123" t="inlineStr">
        <is>
          <t>Squadra B</t>
        </is>
      </c>
      <c r="E1494" s="6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6" t="n"/>
      <c r="J1494" s="123" t="inlineStr">
        <is>
          <t>Risultato</t>
        </is>
      </c>
      <c r="K1494" s="5" t="n"/>
      <c r="L1494" s="6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5" t="n"/>
      <c r="H1495" s="5" t="n"/>
      <c r="I1495" s="6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n"/>
      <c r="N1495" s="196" t="n"/>
      <c r="O1495" s="196" t="n"/>
      <c r="P1495" s="196" t="n"/>
      <c r="Q1495" s="196" t="n"/>
      <c r="R1495" s="196" t="n"/>
    </row>
    <row r="1496" ht="15" customHeight="1">
      <c r="A1496" s="141" t="n"/>
      <c r="B1496" s="69">
        <f>IF('Calendario I'!B136="","",'Calendario I'!B136)</f>
        <v/>
      </c>
      <c r="C1496" s="5" t="n"/>
      <c r="D1496" s="5" t="n"/>
      <c r="E1496" s="5" t="n"/>
      <c r="F1496" s="5" t="n"/>
      <c r="G1496" s="5" t="n"/>
      <c r="H1496" s="6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6" t="n"/>
      <c r="D1497" s="123" t="inlineStr">
        <is>
          <t>Squadra B</t>
        </is>
      </c>
      <c r="E1497" s="6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6" t="n"/>
      <c r="J1497" s="123" t="inlineStr">
        <is>
          <t>Risultato</t>
        </is>
      </c>
      <c r="K1497" s="5" t="n"/>
      <c r="L1497" s="6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5" t="n"/>
      <c r="H1498" s="5" t="n"/>
      <c r="I1498" s="6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n"/>
      <c r="N1498" s="196" t="n"/>
      <c r="O1498" s="196" t="n"/>
      <c r="P1498" s="196" t="n"/>
      <c r="Q1498" s="196" t="n"/>
      <c r="R1498" s="196" t="n"/>
    </row>
    <row r="1499" ht="15" customHeight="1">
      <c r="A1499" s="141" t="n"/>
      <c r="B1499" s="69">
        <f>IF('Calendario I'!B139="","",'Calendario I'!B139)</f>
        <v/>
      </c>
      <c r="C1499" s="5" t="n"/>
      <c r="D1499" s="5" t="n"/>
      <c r="E1499" s="5" t="n"/>
      <c r="F1499" s="5" t="n"/>
      <c r="G1499" s="5" t="n"/>
      <c r="H1499" s="6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6" t="n"/>
      <c r="D1500" s="123" t="inlineStr">
        <is>
          <t>Squadra B</t>
        </is>
      </c>
      <c r="E1500" s="6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6" t="n"/>
      <c r="J1500" s="123" t="inlineStr">
        <is>
          <t>Risultato</t>
        </is>
      </c>
      <c r="K1500" s="5" t="n"/>
      <c r="L1500" s="6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5" t="n"/>
      <c r="H1501" s="5" t="n"/>
      <c r="I1501" s="6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n"/>
      <c r="N1501" s="196" t="n"/>
      <c r="O1501" s="196" t="n"/>
      <c r="P1501" s="196" t="n"/>
      <c r="Q1501" s="196" t="n"/>
      <c r="R1501" s="196" t="n"/>
    </row>
    <row r="1502" ht="15" customHeight="1">
      <c r="A1502" s="141" t="n"/>
      <c r="B1502" s="69">
        <f>IF('Calendario I'!B142="","",'Calendario I'!B142)</f>
        <v/>
      </c>
      <c r="C1502" s="5" t="n"/>
      <c r="D1502" s="5" t="n"/>
      <c r="E1502" s="5" t="n"/>
      <c r="F1502" s="5" t="n"/>
      <c r="G1502" s="5" t="n"/>
      <c r="H1502" s="6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 t="n"/>
      <c r="M1504" s="212" t="inlineStr">
        <is>
          <t>ARBITRI</t>
        </is>
      </c>
      <c r="N1504" s="5" t="n"/>
      <c r="O1504" s="6" t="n"/>
      <c r="P1504" s="212" t="inlineStr">
        <is>
          <t>UFFICIALI DI CAMPO</t>
        </is>
      </c>
      <c r="Q1504" s="5" t="n"/>
      <c r="R1504" s="6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6" t="n"/>
      <c r="D1505" s="123" t="inlineStr">
        <is>
          <t>Squadra B</t>
        </is>
      </c>
      <c r="E1505" s="6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6" t="n"/>
      <c r="J1505" s="123" t="inlineStr">
        <is>
          <t>Risultato</t>
        </is>
      </c>
      <c r="K1505" s="5" t="n"/>
      <c r="L1505" s="6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5" t="n"/>
      <c r="H1506" s="5" t="n"/>
      <c r="I1506" s="6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n"/>
      <c r="N1506" s="196" t="n"/>
      <c r="O1506" s="196" t="n"/>
      <c r="P1506" s="196" t="n"/>
      <c r="Q1506" s="196" t="n"/>
      <c r="R1506" s="196" t="n"/>
    </row>
    <row r="1507" ht="15" customHeight="1">
      <c r="A1507" s="141" t="n"/>
      <c r="B1507" s="69">
        <f>IF('Calendario I'!B147="","",'Calendario I'!B147)</f>
        <v/>
      </c>
      <c r="C1507" s="5" t="n"/>
      <c r="D1507" s="5" t="n"/>
      <c r="E1507" s="5" t="n"/>
      <c r="F1507" s="5" t="n"/>
      <c r="G1507" s="5" t="n"/>
      <c r="H1507" s="6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6" t="n"/>
      <c r="D1508" s="123" t="inlineStr">
        <is>
          <t>Squadra B</t>
        </is>
      </c>
      <c r="E1508" s="6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6" t="n"/>
      <c r="J1508" s="123" t="inlineStr">
        <is>
          <t>Risultato</t>
        </is>
      </c>
      <c r="K1508" s="5" t="n"/>
      <c r="L1508" s="6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5" t="n"/>
      <c r="H1509" s="5" t="n"/>
      <c r="I1509" s="6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n"/>
      <c r="N1509" s="196" t="n"/>
      <c r="O1509" s="196" t="n"/>
      <c r="P1509" s="196" t="n"/>
      <c r="Q1509" s="196" t="n"/>
      <c r="R1509" s="196" t="n"/>
    </row>
    <row r="1510" ht="15" customHeight="1">
      <c r="A1510" s="141" t="n"/>
      <c r="B1510" s="69">
        <f>IF('Calendario I'!B150="","",'Calendario I'!B150)</f>
        <v/>
      </c>
      <c r="C1510" s="5" t="n"/>
      <c r="D1510" s="5" t="n"/>
      <c r="E1510" s="5" t="n"/>
      <c r="F1510" s="5" t="n"/>
      <c r="G1510" s="5" t="n"/>
      <c r="H1510" s="6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6" t="n"/>
      <c r="D1511" s="123" t="inlineStr">
        <is>
          <t>Squadra B</t>
        </is>
      </c>
      <c r="E1511" s="6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6" t="n"/>
      <c r="J1511" s="123" t="inlineStr">
        <is>
          <t>Risultato</t>
        </is>
      </c>
      <c r="K1511" s="5" t="n"/>
      <c r="L1511" s="6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5" t="n"/>
      <c r="H1512" s="5" t="n"/>
      <c r="I1512" s="6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n"/>
      <c r="N1512" s="196" t="n"/>
      <c r="O1512" s="196" t="n"/>
      <c r="P1512" s="196" t="n"/>
      <c r="Q1512" s="196" t="n"/>
      <c r="R1512" s="196" t="n"/>
    </row>
    <row r="1513" ht="15" customHeight="1">
      <c r="A1513" s="141" t="n"/>
      <c r="B1513" s="69">
        <f>IF('Calendario I'!B153="","",'Calendario I'!B153)</f>
        <v/>
      </c>
      <c r="C1513" s="5" t="n"/>
      <c r="D1513" s="5" t="n"/>
      <c r="E1513" s="5" t="n"/>
      <c r="F1513" s="5" t="n"/>
      <c r="G1513" s="5" t="n"/>
      <c r="H1513" s="6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6" t="n"/>
      <c r="D1514" s="123" t="inlineStr">
        <is>
          <t>Squadra B</t>
        </is>
      </c>
      <c r="E1514" s="6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6" t="n"/>
      <c r="J1514" s="123" t="inlineStr">
        <is>
          <t>Risultato</t>
        </is>
      </c>
      <c r="K1514" s="5" t="n"/>
      <c r="L1514" s="6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5" t="n"/>
      <c r="H1515" s="5" t="n"/>
      <c r="I1515" s="6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n"/>
      <c r="N1515" s="196" t="n"/>
      <c r="O1515" s="196" t="n"/>
      <c r="P1515" s="196" t="n"/>
      <c r="Q1515" s="196" t="n"/>
      <c r="R1515" s="196" t="n"/>
    </row>
    <row r="1516" ht="15" customHeight="1">
      <c r="A1516" s="141" t="n"/>
      <c r="B1516" s="69">
        <f>IF('Calendario I'!B156="","",'Calendario I'!B156)</f>
        <v/>
      </c>
      <c r="C1516" s="5" t="n"/>
      <c r="D1516" s="5" t="n"/>
      <c r="E1516" s="5" t="n"/>
      <c r="F1516" s="5" t="n"/>
      <c r="G1516" s="5" t="n"/>
      <c r="H1516" s="6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6" t="n"/>
      <c r="D1517" s="123" t="inlineStr">
        <is>
          <t>Squadra B</t>
        </is>
      </c>
      <c r="E1517" s="6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6" t="n"/>
      <c r="J1517" s="123" t="inlineStr">
        <is>
          <t>Risultato</t>
        </is>
      </c>
      <c r="K1517" s="5" t="n"/>
      <c r="L1517" s="6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5" t="n"/>
      <c r="H1518" s="5" t="n"/>
      <c r="I1518" s="6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n"/>
      <c r="N1518" s="196" t="n"/>
      <c r="O1518" s="196" t="n"/>
      <c r="P1518" s="196" t="n"/>
      <c r="Q1518" s="196" t="n"/>
      <c r="R1518" s="196" t="n"/>
    </row>
    <row r="1519" ht="15" customHeight="1">
      <c r="A1519" s="141" t="n"/>
      <c r="B1519" s="69">
        <f>IF('Calendario I'!B159="","",'Calendario I'!B159)</f>
        <v/>
      </c>
      <c r="C1519" s="5" t="n"/>
      <c r="D1519" s="5" t="n"/>
      <c r="E1519" s="5" t="n"/>
      <c r="F1519" s="5" t="n"/>
      <c r="G1519" s="5" t="n"/>
      <c r="H1519" s="6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 t="n"/>
      <c r="M1538" s="214" t="inlineStr">
        <is>
          <t>ARBITRI</t>
        </is>
      </c>
      <c r="N1538" s="5" t="n"/>
      <c r="O1538" s="6" t="n"/>
      <c r="P1538" s="214" t="inlineStr">
        <is>
          <t>UFFICIALI DI CAMPO</t>
        </is>
      </c>
      <c r="Q1538" s="5" t="n"/>
      <c r="R1538" s="6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6" t="n"/>
      <c r="D1539" s="130" t="inlineStr">
        <is>
          <t>Squadra B</t>
        </is>
      </c>
      <c r="E1539" s="6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6" t="n"/>
      <c r="J1539" s="130" t="inlineStr">
        <is>
          <t>Risultato</t>
        </is>
      </c>
      <c r="K1539" s="5" t="n"/>
      <c r="L1539" s="6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5" t="n"/>
      <c r="H1540" s="5" t="n"/>
      <c r="I1540" s="6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n"/>
      <c r="N1540" s="196" t="n"/>
      <c r="O1540" s="196" t="n"/>
      <c r="P1540" s="196" t="n"/>
      <c r="Q1540" s="196" t="n"/>
      <c r="R1540" s="196" t="n"/>
    </row>
    <row r="1541" ht="15" customHeight="1">
      <c r="A1541" s="141" t="n"/>
      <c r="B1541" s="69">
        <f>IF('Calendario J'!B11="","",'Calendario J'!B11)</f>
        <v/>
      </c>
      <c r="C1541" s="5" t="n"/>
      <c r="D1541" s="5" t="n"/>
      <c r="E1541" s="5" t="n"/>
      <c r="F1541" s="5" t="n"/>
      <c r="G1541" s="5" t="n"/>
      <c r="H1541" s="6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6" t="n"/>
      <c r="D1542" s="130" t="inlineStr">
        <is>
          <t>Squadra B</t>
        </is>
      </c>
      <c r="E1542" s="6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6" t="n"/>
      <c r="J1542" s="130" t="inlineStr">
        <is>
          <t>Risultato</t>
        </is>
      </c>
      <c r="K1542" s="5" t="n"/>
      <c r="L1542" s="6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5" t="n"/>
      <c r="H1543" s="5" t="n"/>
      <c r="I1543" s="6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n"/>
      <c r="N1543" s="196" t="n"/>
      <c r="O1543" s="196" t="n"/>
      <c r="P1543" s="196" t="n"/>
      <c r="Q1543" s="196" t="n"/>
      <c r="R1543" s="196" t="n"/>
    </row>
    <row r="1544" ht="15" customHeight="1">
      <c r="A1544" s="141" t="n"/>
      <c r="B1544" s="69">
        <f>IF('Calendario J'!B14="","",'Calendario J'!B14)</f>
        <v/>
      </c>
      <c r="C1544" s="5" t="n"/>
      <c r="D1544" s="5" t="n"/>
      <c r="E1544" s="5" t="n"/>
      <c r="F1544" s="5" t="n"/>
      <c r="G1544" s="5" t="n"/>
      <c r="H1544" s="6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6" t="n"/>
      <c r="D1545" s="130" t="inlineStr">
        <is>
          <t>Squadra B</t>
        </is>
      </c>
      <c r="E1545" s="6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6" t="n"/>
      <c r="J1545" s="130" t="inlineStr">
        <is>
          <t>Risultato</t>
        </is>
      </c>
      <c r="K1545" s="5" t="n"/>
      <c r="L1545" s="6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5" t="n"/>
      <c r="H1546" s="5" t="n"/>
      <c r="I1546" s="6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n"/>
      <c r="N1546" s="196" t="n"/>
      <c r="O1546" s="196" t="n"/>
      <c r="P1546" s="196" t="n"/>
      <c r="Q1546" s="196" t="n"/>
      <c r="R1546" s="196" t="n"/>
    </row>
    <row r="1547" ht="15" customHeight="1">
      <c r="A1547" s="141" t="n"/>
      <c r="B1547" s="69">
        <f>IF('Calendario J'!B17="","",'Calendario J'!B17)</f>
        <v/>
      </c>
      <c r="C1547" s="5" t="n"/>
      <c r="D1547" s="5" t="n"/>
      <c r="E1547" s="5" t="n"/>
      <c r="F1547" s="5" t="n"/>
      <c r="G1547" s="5" t="n"/>
      <c r="H1547" s="6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6" t="n"/>
      <c r="D1548" s="130" t="inlineStr">
        <is>
          <t>Squadra B</t>
        </is>
      </c>
      <c r="E1548" s="6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6" t="n"/>
      <c r="J1548" s="130" t="inlineStr">
        <is>
          <t>Risultato</t>
        </is>
      </c>
      <c r="K1548" s="5" t="n"/>
      <c r="L1548" s="6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5" t="n"/>
      <c r="H1549" s="5" t="n"/>
      <c r="I1549" s="6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n"/>
      <c r="N1549" s="196" t="n"/>
      <c r="O1549" s="196" t="n"/>
      <c r="P1549" s="196" t="n"/>
      <c r="Q1549" s="196" t="n"/>
      <c r="R1549" s="196" t="n"/>
    </row>
    <row r="1550" ht="15" customHeight="1">
      <c r="A1550" s="141" t="n"/>
      <c r="B1550" s="69">
        <f>IF('Calendario J'!B20="","",'Calendario J'!B20)</f>
        <v/>
      </c>
      <c r="C1550" s="5" t="n"/>
      <c r="D1550" s="5" t="n"/>
      <c r="E1550" s="5" t="n"/>
      <c r="F1550" s="5" t="n"/>
      <c r="G1550" s="5" t="n"/>
      <c r="H1550" s="6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6" t="n"/>
      <c r="D1551" s="130" t="inlineStr">
        <is>
          <t>Squadra B</t>
        </is>
      </c>
      <c r="E1551" s="6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6" t="n"/>
      <c r="J1551" s="130" t="inlineStr">
        <is>
          <t>Risultato</t>
        </is>
      </c>
      <c r="K1551" s="5" t="n"/>
      <c r="L1551" s="6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5" t="n"/>
      <c r="H1552" s="5" t="n"/>
      <c r="I1552" s="6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n"/>
      <c r="N1552" s="196" t="n"/>
      <c r="O1552" s="196" t="n"/>
      <c r="P1552" s="196" t="n"/>
      <c r="Q1552" s="196" t="n"/>
      <c r="R1552" s="196" t="n"/>
    </row>
    <row r="1553" ht="15" customHeight="1">
      <c r="A1553" s="141" t="n"/>
      <c r="B1553" s="69">
        <f>IF('Calendario J'!B23="","",'Calendario J'!B23)</f>
        <v/>
      </c>
      <c r="C1553" s="5" t="n"/>
      <c r="D1553" s="5" t="n"/>
      <c r="E1553" s="5" t="n"/>
      <c r="F1553" s="5" t="n"/>
      <c r="G1553" s="5" t="n"/>
      <c r="H1553" s="6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 t="n"/>
      <c r="M1555" s="214" t="inlineStr">
        <is>
          <t>ARBITRI</t>
        </is>
      </c>
      <c r="N1555" s="5" t="n"/>
      <c r="O1555" s="6" t="n"/>
      <c r="P1555" s="214" t="inlineStr">
        <is>
          <t>UFFICIALI DI CAMPO</t>
        </is>
      </c>
      <c r="Q1555" s="5" t="n"/>
      <c r="R1555" s="6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6" t="n"/>
      <c r="D1556" s="130" t="inlineStr">
        <is>
          <t>Squadra B</t>
        </is>
      </c>
      <c r="E1556" s="6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6" t="n"/>
      <c r="J1556" s="130" t="inlineStr">
        <is>
          <t>Risultato</t>
        </is>
      </c>
      <c r="K1556" s="5" t="n"/>
      <c r="L1556" s="6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5" t="n"/>
      <c r="H1557" s="5" t="n"/>
      <c r="I1557" s="6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n"/>
      <c r="N1557" s="196" t="n"/>
      <c r="O1557" s="196" t="n"/>
      <c r="P1557" s="196" t="n"/>
      <c r="Q1557" s="196" t="n"/>
      <c r="R1557" s="196" t="n"/>
    </row>
    <row r="1558" ht="15" customHeight="1">
      <c r="A1558" s="141" t="n"/>
      <c r="B1558" s="69">
        <f>IF('Calendario J'!B28="","",'Calendario J'!B28)</f>
        <v/>
      </c>
      <c r="C1558" s="5" t="n"/>
      <c r="D1558" s="5" t="n"/>
      <c r="E1558" s="5" t="n"/>
      <c r="F1558" s="5" t="n"/>
      <c r="G1558" s="5" t="n"/>
      <c r="H1558" s="6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6" t="n"/>
      <c r="D1559" s="130" t="inlineStr">
        <is>
          <t>Squadra B</t>
        </is>
      </c>
      <c r="E1559" s="6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6" t="n"/>
      <c r="J1559" s="130" t="inlineStr">
        <is>
          <t>Risultato</t>
        </is>
      </c>
      <c r="K1559" s="5" t="n"/>
      <c r="L1559" s="6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5" t="n"/>
      <c r="H1560" s="5" t="n"/>
      <c r="I1560" s="6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n"/>
      <c r="N1560" s="196" t="n"/>
      <c r="O1560" s="196" t="n"/>
      <c r="P1560" s="196" t="n"/>
      <c r="Q1560" s="196" t="n"/>
      <c r="R1560" s="196" t="n"/>
    </row>
    <row r="1561" ht="15" customHeight="1">
      <c r="A1561" s="141" t="n"/>
      <c r="B1561" s="69">
        <f>IF('Calendario J'!B31="","",'Calendario J'!B31)</f>
        <v/>
      </c>
      <c r="C1561" s="5" t="n"/>
      <c r="D1561" s="5" t="n"/>
      <c r="E1561" s="5" t="n"/>
      <c r="F1561" s="5" t="n"/>
      <c r="G1561" s="5" t="n"/>
      <c r="H1561" s="6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6" t="n"/>
      <c r="D1562" s="130" t="inlineStr">
        <is>
          <t>Squadra B</t>
        </is>
      </c>
      <c r="E1562" s="6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6" t="n"/>
      <c r="J1562" s="130" t="inlineStr">
        <is>
          <t>Risultato</t>
        </is>
      </c>
      <c r="K1562" s="5" t="n"/>
      <c r="L1562" s="6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5" t="n"/>
      <c r="H1563" s="5" t="n"/>
      <c r="I1563" s="6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n"/>
      <c r="N1563" s="196" t="n"/>
      <c r="O1563" s="196" t="n"/>
      <c r="P1563" s="196" t="n"/>
      <c r="Q1563" s="196" t="n"/>
      <c r="R1563" s="196" t="n"/>
    </row>
    <row r="1564" ht="15" customHeight="1">
      <c r="A1564" s="141" t="n"/>
      <c r="B1564" s="69">
        <f>IF('Calendario J'!B34="","",'Calendario J'!B34)</f>
        <v/>
      </c>
      <c r="C1564" s="5" t="n"/>
      <c r="D1564" s="5" t="n"/>
      <c r="E1564" s="5" t="n"/>
      <c r="F1564" s="5" t="n"/>
      <c r="G1564" s="5" t="n"/>
      <c r="H1564" s="6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6" t="n"/>
      <c r="D1565" s="130" t="inlineStr">
        <is>
          <t>Squadra B</t>
        </is>
      </c>
      <c r="E1565" s="6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6" t="n"/>
      <c r="J1565" s="130" t="inlineStr">
        <is>
          <t>Risultato</t>
        </is>
      </c>
      <c r="K1565" s="5" t="n"/>
      <c r="L1565" s="6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5" t="n"/>
      <c r="H1566" s="5" t="n"/>
      <c r="I1566" s="6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n"/>
      <c r="N1566" s="196" t="n"/>
      <c r="O1566" s="196" t="n"/>
      <c r="P1566" s="196" t="n"/>
      <c r="Q1566" s="196" t="n"/>
      <c r="R1566" s="196" t="n"/>
    </row>
    <row r="1567" ht="15" customHeight="1">
      <c r="A1567" s="141" t="n"/>
      <c r="B1567" s="69">
        <f>IF('Calendario J'!B37="","",'Calendario J'!B37)</f>
        <v/>
      </c>
      <c r="C1567" s="5" t="n"/>
      <c r="D1567" s="5" t="n"/>
      <c r="E1567" s="5" t="n"/>
      <c r="F1567" s="5" t="n"/>
      <c r="G1567" s="5" t="n"/>
      <c r="H1567" s="6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6" t="n"/>
      <c r="D1568" s="130" t="inlineStr">
        <is>
          <t>Squadra B</t>
        </is>
      </c>
      <c r="E1568" s="6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6" t="n"/>
      <c r="J1568" s="130" t="inlineStr">
        <is>
          <t>Risultato</t>
        </is>
      </c>
      <c r="K1568" s="5" t="n"/>
      <c r="L1568" s="6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5" t="n"/>
      <c r="H1569" s="5" t="n"/>
      <c r="I1569" s="6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n"/>
      <c r="N1569" s="196" t="n"/>
      <c r="O1569" s="196" t="n"/>
      <c r="P1569" s="196" t="n"/>
      <c r="Q1569" s="196" t="n"/>
      <c r="R1569" s="196" t="n"/>
    </row>
    <row r="1570" ht="15" customHeight="1">
      <c r="A1570" s="141" t="n"/>
      <c r="B1570" s="69">
        <f>IF('Calendario J'!B40="","",'Calendario J'!B40)</f>
        <v/>
      </c>
      <c r="C1570" s="5" t="n"/>
      <c r="D1570" s="5" t="n"/>
      <c r="E1570" s="5" t="n"/>
      <c r="F1570" s="5" t="n"/>
      <c r="G1570" s="5" t="n"/>
      <c r="H1570" s="6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 t="n"/>
      <c r="M1572" s="214" t="inlineStr">
        <is>
          <t>ARBITRI</t>
        </is>
      </c>
      <c r="N1572" s="5" t="n"/>
      <c r="O1572" s="6" t="n"/>
      <c r="P1572" s="214" t="inlineStr">
        <is>
          <t>UFFICIALI DI CAMPO</t>
        </is>
      </c>
      <c r="Q1572" s="5" t="n"/>
      <c r="R1572" s="6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6" t="n"/>
      <c r="D1573" s="130" t="inlineStr">
        <is>
          <t>Squadra B</t>
        </is>
      </c>
      <c r="E1573" s="6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6" t="n"/>
      <c r="J1573" s="130" t="inlineStr">
        <is>
          <t>Risultato</t>
        </is>
      </c>
      <c r="K1573" s="5" t="n"/>
      <c r="L1573" s="6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5" t="n"/>
      <c r="H1574" s="5" t="n"/>
      <c r="I1574" s="6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n"/>
      <c r="N1574" s="196" t="n"/>
      <c r="O1574" s="196" t="n"/>
      <c r="P1574" s="196" t="n"/>
      <c r="Q1574" s="196" t="n"/>
      <c r="R1574" s="196" t="n"/>
    </row>
    <row r="1575" ht="15" customHeight="1">
      <c r="A1575" s="141" t="n"/>
      <c r="B1575" s="69">
        <f>IF('Calendario J'!B45="","",'Calendario J'!B45)</f>
        <v/>
      </c>
      <c r="C1575" s="5" t="n"/>
      <c r="D1575" s="5" t="n"/>
      <c r="E1575" s="5" t="n"/>
      <c r="F1575" s="5" t="n"/>
      <c r="G1575" s="5" t="n"/>
      <c r="H1575" s="6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6" t="n"/>
      <c r="D1576" s="130" t="inlineStr">
        <is>
          <t>Squadra B</t>
        </is>
      </c>
      <c r="E1576" s="6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6" t="n"/>
      <c r="J1576" s="130" t="inlineStr">
        <is>
          <t>Risultato</t>
        </is>
      </c>
      <c r="K1576" s="5" t="n"/>
      <c r="L1576" s="6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5" t="n"/>
      <c r="H1577" s="5" t="n"/>
      <c r="I1577" s="6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n"/>
      <c r="N1577" s="196" t="n"/>
      <c r="O1577" s="196" t="n"/>
      <c r="P1577" s="196" t="n"/>
      <c r="Q1577" s="196" t="n"/>
      <c r="R1577" s="196" t="n"/>
    </row>
    <row r="1578" ht="15" customHeight="1">
      <c r="A1578" s="141" t="n"/>
      <c r="B1578" s="69">
        <f>IF('Calendario J'!B48="","",'Calendario J'!B48)</f>
        <v/>
      </c>
      <c r="C1578" s="5" t="n"/>
      <c r="D1578" s="5" t="n"/>
      <c r="E1578" s="5" t="n"/>
      <c r="F1578" s="5" t="n"/>
      <c r="G1578" s="5" t="n"/>
      <c r="H1578" s="6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6" t="n"/>
      <c r="D1579" s="130" t="inlineStr">
        <is>
          <t>Squadra B</t>
        </is>
      </c>
      <c r="E1579" s="6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6" t="n"/>
      <c r="J1579" s="130" t="inlineStr">
        <is>
          <t>Risultato</t>
        </is>
      </c>
      <c r="K1579" s="5" t="n"/>
      <c r="L1579" s="6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5" t="n"/>
      <c r="H1580" s="5" t="n"/>
      <c r="I1580" s="6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n"/>
      <c r="N1580" s="196" t="n"/>
      <c r="O1580" s="196" t="n"/>
      <c r="P1580" s="196" t="n"/>
      <c r="Q1580" s="196" t="n"/>
      <c r="R1580" s="196" t="n"/>
    </row>
    <row r="1581" ht="15" customHeight="1">
      <c r="A1581" s="141" t="n"/>
      <c r="B1581" s="69">
        <f>IF('Calendario J'!B51="","",'Calendario J'!B51)</f>
        <v/>
      </c>
      <c r="C1581" s="5" t="n"/>
      <c r="D1581" s="5" t="n"/>
      <c r="E1581" s="5" t="n"/>
      <c r="F1581" s="5" t="n"/>
      <c r="G1581" s="5" t="n"/>
      <c r="H1581" s="6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6" t="n"/>
      <c r="D1582" s="130" t="inlineStr">
        <is>
          <t>Squadra B</t>
        </is>
      </c>
      <c r="E1582" s="6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6" t="n"/>
      <c r="J1582" s="130" t="inlineStr">
        <is>
          <t>Risultato</t>
        </is>
      </c>
      <c r="K1582" s="5" t="n"/>
      <c r="L1582" s="6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5" t="n"/>
      <c r="H1583" s="5" t="n"/>
      <c r="I1583" s="6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n"/>
      <c r="N1583" s="196" t="n"/>
      <c r="O1583" s="196" t="n"/>
      <c r="P1583" s="196" t="n"/>
      <c r="Q1583" s="196" t="n"/>
      <c r="R1583" s="196" t="n"/>
    </row>
    <row r="1584" ht="15" customHeight="1">
      <c r="A1584" s="141" t="n"/>
      <c r="B1584" s="69">
        <f>IF('Calendario J'!B54="","",'Calendario J'!B54)</f>
        <v/>
      </c>
      <c r="C1584" s="5" t="n"/>
      <c r="D1584" s="5" t="n"/>
      <c r="E1584" s="5" t="n"/>
      <c r="F1584" s="5" t="n"/>
      <c r="G1584" s="5" t="n"/>
      <c r="H1584" s="6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6" t="n"/>
      <c r="D1585" s="130" t="inlineStr">
        <is>
          <t>Squadra B</t>
        </is>
      </c>
      <c r="E1585" s="6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6" t="n"/>
      <c r="J1585" s="130" t="inlineStr">
        <is>
          <t>Risultato</t>
        </is>
      </c>
      <c r="K1585" s="5" t="n"/>
      <c r="L1585" s="6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5" t="n"/>
      <c r="H1586" s="5" t="n"/>
      <c r="I1586" s="6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n"/>
      <c r="N1586" s="196" t="n"/>
      <c r="O1586" s="196" t="n"/>
      <c r="P1586" s="196" t="n"/>
      <c r="Q1586" s="196" t="n"/>
      <c r="R1586" s="196" t="n"/>
    </row>
    <row r="1587" ht="15" customHeight="1">
      <c r="A1587" s="141" t="n"/>
      <c r="B1587" s="69">
        <f>IF('Calendario J'!B57="","",'Calendario J'!B57)</f>
        <v/>
      </c>
      <c r="C1587" s="5" t="n"/>
      <c r="D1587" s="5" t="n"/>
      <c r="E1587" s="5" t="n"/>
      <c r="F1587" s="5" t="n"/>
      <c r="G1587" s="5" t="n"/>
      <c r="H1587" s="6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 t="n"/>
      <c r="M1589" s="214" t="inlineStr">
        <is>
          <t>ARBITRI</t>
        </is>
      </c>
      <c r="N1589" s="5" t="n"/>
      <c r="O1589" s="6" t="n"/>
      <c r="P1589" s="214" t="inlineStr">
        <is>
          <t>UFFICIALI DI CAMPO</t>
        </is>
      </c>
      <c r="Q1589" s="5" t="n"/>
      <c r="R1589" s="6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6" t="n"/>
      <c r="D1590" s="130" t="inlineStr">
        <is>
          <t>Squadra B</t>
        </is>
      </c>
      <c r="E1590" s="6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6" t="n"/>
      <c r="J1590" s="130" t="inlineStr">
        <is>
          <t>Risultato</t>
        </is>
      </c>
      <c r="K1590" s="5" t="n"/>
      <c r="L1590" s="6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5" t="n"/>
      <c r="H1591" s="5" t="n"/>
      <c r="I1591" s="6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n"/>
      <c r="N1591" s="196" t="n"/>
      <c r="O1591" s="196" t="n"/>
      <c r="P1591" s="196" t="n"/>
      <c r="Q1591" s="196" t="n"/>
      <c r="R1591" s="196" t="n"/>
    </row>
    <row r="1592" ht="15" customHeight="1">
      <c r="A1592" s="141" t="n"/>
      <c r="B1592" s="69">
        <f>IF('Calendario J'!B62="","",'Calendario J'!B62)</f>
        <v/>
      </c>
      <c r="C1592" s="5" t="n"/>
      <c r="D1592" s="5" t="n"/>
      <c r="E1592" s="5" t="n"/>
      <c r="F1592" s="5" t="n"/>
      <c r="G1592" s="5" t="n"/>
      <c r="H1592" s="6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6" t="n"/>
      <c r="D1593" s="130" t="inlineStr">
        <is>
          <t>Squadra B</t>
        </is>
      </c>
      <c r="E1593" s="6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6" t="n"/>
      <c r="J1593" s="130" t="inlineStr">
        <is>
          <t>Risultato</t>
        </is>
      </c>
      <c r="K1593" s="5" t="n"/>
      <c r="L1593" s="6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5" t="n"/>
      <c r="H1594" s="5" t="n"/>
      <c r="I1594" s="6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n"/>
      <c r="N1594" s="196" t="n"/>
      <c r="O1594" s="196" t="n"/>
      <c r="P1594" s="196" t="n"/>
      <c r="Q1594" s="196" t="n"/>
      <c r="R1594" s="196" t="n"/>
    </row>
    <row r="1595" ht="15" customHeight="1">
      <c r="A1595" s="141" t="n"/>
      <c r="B1595" s="69">
        <f>IF('Calendario J'!B65="","",'Calendario J'!B65)</f>
        <v/>
      </c>
      <c r="C1595" s="5" t="n"/>
      <c r="D1595" s="5" t="n"/>
      <c r="E1595" s="5" t="n"/>
      <c r="F1595" s="5" t="n"/>
      <c r="G1595" s="5" t="n"/>
      <c r="H1595" s="6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6" t="n"/>
      <c r="D1596" s="130" t="inlineStr">
        <is>
          <t>Squadra B</t>
        </is>
      </c>
      <c r="E1596" s="6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6" t="n"/>
      <c r="J1596" s="130" t="inlineStr">
        <is>
          <t>Risultato</t>
        </is>
      </c>
      <c r="K1596" s="5" t="n"/>
      <c r="L1596" s="6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5" t="n"/>
      <c r="H1597" s="5" t="n"/>
      <c r="I1597" s="6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n"/>
      <c r="N1597" s="196" t="n"/>
      <c r="O1597" s="196" t="n"/>
      <c r="P1597" s="196" t="n"/>
      <c r="Q1597" s="196" t="n"/>
      <c r="R1597" s="196" t="n"/>
    </row>
    <row r="1598" ht="15" customHeight="1">
      <c r="A1598" s="141" t="n"/>
      <c r="B1598" s="69">
        <f>IF('Calendario J'!B68="","",'Calendario J'!B68)</f>
        <v/>
      </c>
      <c r="C1598" s="5" t="n"/>
      <c r="D1598" s="5" t="n"/>
      <c r="E1598" s="5" t="n"/>
      <c r="F1598" s="5" t="n"/>
      <c r="G1598" s="5" t="n"/>
      <c r="H1598" s="6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6" t="n"/>
      <c r="D1599" s="130" t="inlineStr">
        <is>
          <t>Squadra B</t>
        </is>
      </c>
      <c r="E1599" s="6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6" t="n"/>
      <c r="J1599" s="130" t="inlineStr">
        <is>
          <t>Risultato</t>
        </is>
      </c>
      <c r="K1599" s="5" t="n"/>
      <c r="L1599" s="6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5" t="n"/>
      <c r="H1600" s="5" t="n"/>
      <c r="I1600" s="6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n"/>
      <c r="N1600" s="196" t="n"/>
      <c r="O1600" s="196" t="n"/>
      <c r="P1600" s="196" t="n"/>
      <c r="Q1600" s="196" t="n"/>
      <c r="R1600" s="196" t="n"/>
    </row>
    <row r="1601" ht="15" customHeight="1">
      <c r="A1601" s="141" t="n"/>
      <c r="B1601" s="69">
        <f>IF('Calendario J'!B71="","",'Calendario J'!B71)</f>
        <v/>
      </c>
      <c r="C1601" s="5" t="n"/>
      <c r="D1601" s="5" t="n"/>
      <c r="E1601" s="5" t="n"/>
      <c r="F1601" s="5" t="n"/>
      <c r="G1601" s="5" t="n"/>
      <c r="H1601" s="6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6" t="n"/>
      <c r="D1602" s="130" t="inlineStr">
        <is>
          <t>Squadra B</t>
        </is>
      </c>
      <c r="E1602" s="6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6" t="n"/>
      <c r="J1602" s="130" t="inlineStr">
        <is>
          <t>Risultato</t>
        </is>
      </c>
      <c r="K1602" s="5" t="n"/>
      <c r="L1602" s="6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5" t="n"/>
      <c r="H1603" s="5" t="n"/>
      <c r="I1603" s="6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n"/>
      <c r="N1603" s="196" t="n"/>
      <c r="O1603" s="196" t="n"/>
      <c r="P1603" s="196" t="n"/>
      <c r="Q1603" s="196" t="n"/>
      <c r="R1603" s="196" t="n"/>
    </row>
    <row r="1604" ht="15" customHeight="1">
      <c r="A1604" s="141" t="n"/>
      <c r="B1604" s="69">
        <f>IF('Calendario J'!B74="","",'Calendario J'!B74)</f>
        <v/>
      </c>
      <c r="C1604" s="5" t="n"/>
      <c r="D1604" s="5" t="n"/>
      <c r="E1604" s="5" t="n"/>
      <c r="F1604" s="5" t="n"/>
      <c r="G1604" s="5" t="n"/>
      <c r="H1604" s="6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 t="n"/>
      <c r="M1606" s="214" t="inlineStr">
        <is>
          <t>ARBITRI</t>
        </is>
      </c>
      <c r="N1606" s="5" t="n"/>
      <c r="O1606" s="6" t="n"/>
      <c r="P1606" s="214" t="inlineStr">
        <is>
          <t>UFFICIALI DI CAMPO</t>
        </is>
      </c>
      <c r="Q1606" s="5" t="n"/>
      <c r="R1606" s="6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6" t="n"/>
      <c r="D1607" s="130" t="inlineStr">
        <is>
          <t>Squadra B</t>
        </is>
      </c>
      <c r="E1607" s="6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6" t="n"/>
      <c r="J1607" s="130" t="inlineStr">
        <is>
          <t>Risultato</t>
        </is>
      </c>
      <c r="K1607" s="5" t="n"/>
      <c r="L1607" s="6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5" t="n"/>
      <c r="H1608" s="5" t="n"/>
      <c r="I1608" s="6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n"/>
      <c r="N1608" s="196" t="n"/>
      <c r="O1608" s="196" t="n"/>
      <c r="P1608" s="196" t="n"/>
      <c r="Q1608" s="196" t="n"/>
      <c r="R1608" s="196" t="n"/>
    </row>
    <row r="1609" ht="15" customHeight="1">
      <c r="A1609" s="141" t="n"/>
      <c r="B1609" s="69">
        <f>IF('Calendario J'!B79="","",'Calendario J'!B79)</f>
        <v/>
      </c>
      <c r="C1609" s="5" t="n"/>
      <c r="D1609" s="5" t="n"/>
      <c r="E1609" s="5" t="n"/>
      <c r="F1609" s="5" t="n"/>
      <c r="G1609" s="5" t="n"/>
      <c r="H1609" s="6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6" t="n"/>
      <c r="D1610" s="130" t="inlineStr">
        <is>
          <t>Squadra B</t>
        </is>
      </c>
      <c r="E1610" s="6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6" t="n"/>
      <c r="J1610" s="130" t="inlineStr">
        <is>
          <t>Risultato</t>
        </is>
      </c>
      <c r="K1610" s="5" t="n"/>
      <c r="L1610" s="6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5" t="n"/>
      <c r="H1611" s="5" t="n"/>
      <c r="I1611" s="6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n"/>
      <c r="N1611" s="196" t="n"/>
      <c r="O1611" s="196" t="n"/>
      <c r="P1611" s="196" t="n"/>
      <c r="Q1611" s="196" t="n"/>
      <c r="R1611" s="196" t="n"/>
    </row>
    <row r="1612" ht="15" customHeight="1">
      <c r="A1612" s="141" t="n"/>
      <c r="B1612" s="69">
        <f>IF('Calendario J'!B82="","",'Calendario J'!B82)</f>
        <v/>
      </c>
      <c r="C1612" s="5" t="n"/>
      <c r="D1612" s="5" t="n"/>
      <c r="E1612" s="5" t="n"/>
      <c r="F1612" s="5" t="n"/>
      <c r="G1612" s="5" t="n"/>
      <c r="H1612" s="6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6" t="n"/>
      <c r="D1613" s="130" t="inlineStr">
        <is>
          <t>Squadra B</t>
        </is>
      </c>
      <c r="E1613" s="6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6" t="n"/>
      <c r="J1613" s="130" t="inlineStr">
        <is>
          <t>Risultato</t>
        </is>
      </c>
      <c r="K1613" s="5" t="n"/>
      <c r="L1613" s="6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5" t="n"/>
      <c r="H1614" s="5" t="n"/>
      <c r="I1614" s="6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n"/>
      <c r="N1614" s="196" t="n"/>
      <c r="O1614" s="196" t="n"/>
      <c r="P1614" s="196" t="n"/>
      <c r="Q1614" s="196" t="n"/>
      <c r="R1614" s="196" t="n"/>
    </row>
    <row r="1615" ht="15" customHeight="1">
      <c r="A1615" s="141" t="n"/>
      <c r="B1615" s="69">
        <f>IF('Calendario J'!B85="","",'Calendario J'!B85)</f>
        <v/>
      </c>
      <c r="C1615" s="5" t="n"/>
      <c r="D1615" s="5" t="n"/>
      <c r="E1615" s="5" t="n"/>
      <c r="F1615" s="5" t="n"/>
      <c r="G1615" s="5" t="n"/>
      <c r="H1615" s="6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6" t="n"/>
      <c r="D1616" s="130" t="inlineStr">
        <is>
          <t>Squadra B</t>
        </is>
      </c>
      <c r="E1616" s="6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6" t="n"/>
      <c r="J1616" s="130" t="inlineStr">
        <is>
          <t>Risultato</t>
        </is>
      </c>
      <c r="K1616" s="5" t="n"/>
      <c r="L1616" s="6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5" t="n"/>
      <c r="H1617" s="5" t="n"/>
      <c r="I1617" s="6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n"/>
      <c r="N1617" s="196" t="n"/>
      <c r="O1617" s="196" t="n"/>
      <c r="P1617" s="196" t="n"/>
      <c r="Q1617" s="196" t="n"/>
      <c r="R1617" s="196" t="n"/>
    </row>
    <row r="1618" ht="15" customHeight="1">
      <c r="A1618" s="141" t="n"/>
      <c r="B1618" s="69">
        <f>IF('Calendario J'!B88="","",'Calendario J'!B88)</f>
        <v/>
      </c>
      <c r="C1618" s="5" t="n"/>
      <c r="D1618" s="5" t="n"/>
      <c r="E1618" s="5" t="n"/>
      <c r="F1618" s="5" t="n"/>
      <c r="G1618" s="5" t="n"/>
      <c r="H1618" s="6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6" t="n"/>
      <c r="D1619" s="130" t="inlineStr">
        <is>
          <t>Squadra B</t>
        </is>
      </c>
      <c r="E1619" s="6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6" t="n"/>
      <c r="J1619" s="130" t="inlineStr">
        <is>
          <t>Risultato</t>
        </is>
      </c>
      <c r="K1619" s="5" t="n"/>
      <c r="L1619" s="6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5" t="n"/>
      <c r="H1620" s="5" t="n"/>
      <c r="I1620" s="6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n"/>
      <c r="N1620" s="196" t="n"/>
      <c r="O1620" s="196" t="n"/>
      <c r="P1620" s="196" t="n"/>
      <c r="Q1620" s="196" t="n"/>
      <c r="R1620" s="196" t="n"/>
    </row>
    <row r="1621" ht="15" customHeight="1">
      <c r="A1621" s="141" t="n"/>
      <c r="B1621" s="69">
        <f>IF('Calendario J'!B91="","",'Calendario J'!B91)</f>
        <v/>
      </c>
      <c r="C1621" s="5" t="n"/>
      <c r="D1621" s="5" t="n"/>
      <c r="E1621" s="5" t="n"/>
      <c r="F1621" s="5" t="n"/>
      <c r="G1621" s="5" t="n"/>
      <c r="H1621" s="6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 t="n"/>
      <c r="M1623" s="214" t="inlineStr">
        <is>
          <t>ARBITRI</t>
        </is>
      </c>
      <c r="N1623" s="5" t="n"/>
      <c r="O1623" s="6" t="n"/>
      <c r="P1623" s="214" t="inlineStr">
        <is>
          <t>UFFICIALI DI CAMPO</t>
        </is>
      </c>
      <c r="Q1623" s="5" t="n"/>
      <c r="R1623" s="6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6" t="n"/>
      <c r="D1624" s="130" t="inlineStr">
        <is>
          <t>Squadra B</t>
        </is>
      </c>
      <c r="E1624" s="6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6" t="n"/>
      <c r="J1624" s="130" t="inlineStr">
        <is>
          <t>Risultato</t>
        </is>
      </c>
      <c r="K1624" s="5" t="n"/>
      <c r="L1624" s="6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5" t="n"/>
      <c r="H1625" s="5" t="n"/>
      <c r="I1625" s="6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n"/>
      <c r="N1625" s="196" t="n"/>
      <c r="O1625" s="196" t="n"/>
      <c r="P1625" s="196" t="n"/>
      <c r="Q1625" s="196" t="n"/>
      <c r="R1625" s="196" t="n"/>
    </row>
    <row r="1626" ht="15" customHeight="1">
      <c r="A1626" s="141" t="n"/>
      <c r="B1626" s="69">
        <f>IF('Calendario J'!B96="","",'Calendario J'!B96)</f>
        <v/>
      </c>
      <c r="C1626" s="5" t="n"/>
      <c r="D1626" s="5" t="n"/>
      <c r="E1626" s="5" t="n"/>
      <c r="F1626" s="5" t="n"/>
      <c r="G1626" s="5" t="n"/>
      <c r="H1626" s="6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6" t="n"/>
      <c r="D1627" s="130" t="inlineStr">
        <is>
          <t>Squadra B</t>
        </is>
      </c>
      <c r="E1627" s="6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6" t="n"/>
      <c r="J1627" s="130" t="inlineStr">
        <is>
          <t>Risultato</t>
        </is>
      </c>
      <c r="K1627" s="5" t="n"/>
      <c r="L1627" s="6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5" t="n"/>
      <c r="H1628" s="5" t="n"/>
      <c r="I1628" s="6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n"/>
      <c r="N1628" s="196" t="n"/>
      <c r="O1628" s="196" t="n"/>
      <c r="P1628" s="196" t="n"/>
      <c r="Q1628" s="196" t="n"/>
      <c r="R1628" s="196" t="n"/>
    </row>
    <row r="1629" ht="15" customHeight="1">
      <c r="A1629" s="141" t="n"/>
      <c r="B1629" s="69">
        <f>IF('Calendario J'!B99="","",'Calendario J'!B99)</f>
        <v/>
      </c>
      <c r="C1629" s="5" t="n"/>
      <c r="D1629" s="5" t="n"/>
      <c r="E1629" s="5" t="n"/>
      <c r="F1629" s="5" t="n"/>
      <c r="G1629" s="5" t="n"/>
      <c r="H1629" s="6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6" t="n"/>
      <c r="D1630" s="130" t="inlineStr">
        <is>
          <t>Squadra B</t>
        </is>
      </c>
      <c r="E1630" s="6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6" t="n"/>
      <c r="J1630" s="130" t="inlineStr">
        <is>
          <t>Risultato</t>
        </is>
      </c>
      <c r="K1630" s="5" t="n"/>
      <c r="L1630" s="6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5" t="n"/>
      <c r="H1631" s="5" t="n"/>
      <c r="I1631" s="6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n"/>
      <c r="N1631" s="196" t="n"/>
      <c r="O1631" s="196" t="n"/>
      <c r="P1631" s="196" t="n"/>
      <c r="Q1631" s="196" t="n"/>
      <c r="R1631" s="196" t="n"/>
    </row>
    <row r="1632" ht="15" customHeight="1">
      <c r="A1632" s="141" t="n"/>
      <c r="B1632" s="69">
        <f>IF('Calendario J'!B102="","",'Calendario J'!B102)</f>
        <v/>
      </c>
      <c r="C1632" s="5" t="n"/>
      <c r="D1632" s="5" t="n"/>
      <c r="E1632" s="5" t="n"/>
      <c r="F1632" s="5" t="n"/>
      <c r="G1632" s="5" t="n"/>
      <c r="H1632" s="6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6" t="n"/>
      <c r="D1633" s="130" t="inlineStr">
        <is>
          <t>Squadra B</t>
        </is>
      </c>
      <c r="E1633" s="6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6" t="n"/>
      <c r="J1633" s="130" t="inlineStr">
        <is>
          <t>Risultato</t>
        </is>
      </c>
      <c r="K1633" s="5" t="n"/>
      <c r="L1633" s="6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5" t="n"/>
      <c r="H1634" s="5" t="n"/>
      <c r="I1634" s="6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n"/>
      <c r="N1634" s="196" t="n"/>
      <c r="O1634" s="196" t="n"/>
      <c r="P1634" s="196" t="n"/>
      <c r="Q1634" s="196" t="n"/>
      <c r="R1634" s="196" t="n"/>
    </row>
    <row r="1635" ht="15" customHeight="1">
      <c r="A1635" s="141" t="n"/>
      <c r="B1635" s="69">
        <f>IF('Calendario J'!B105="","",'Calendario J'!B105)</f>
        <v/>
      </c>
      <c r="C1635" s="5" t="n"/>
      <c r="D1635" s="5" t="n"/>
      <c r="E1635" s="5" t="n"/>
      <c r="F1635" s="5" t="n"/>
      <c r="G1635" s="5" t="n"/>
      <c r="H1635" s="6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6" t="n"/>
      <c r="D1636" s="130" t="inlineStr">
        <is>
          <t>Squadra B</t>
        </is>
      </c>
      <c r="E1636" s="6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6" t="n"/>
      <c r="J1636" s="130" t="inlineStr">
        <is>
          <t>Risultato</t>
        </is>
      </c>
      <c r="K1636" s="5" t="n"/>
      <c r="L1636" s="6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5" t="n"/>
      <c r="H1637" s="5" t="n"/>
      <c r="I1637" s="6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n"/>
      <c r="N1637" s="196" t="n"/>
      <c r="O1637" s="196" t="n"/>
      <c r="P1637" s="196" t="n"/>
      <c r="Q1637" s="196" t="n"/>
      <c r="R1637" s="196" t="n"/>
    </row>
    <row r="1638" ht="15" customHeight="1">
      <c r="A1638" s="141" t="n"/>
      <c r="B1638" s="69">
        <f>IF('Calendario J'!B108="","",'Calendario J'!B108)</f>
        <v/>
      </c>
      <c r="C1638" s="5" t="n"/>
      <c r="D1638" s="5" t="n"/>
      <c r="E1638" s="5" t="n"/>
      <c r="F1638" s="5" t="n"/>
      <c r="G1638" s="5" t="n"/>
      <c r="H1638" s="6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 t="n"/>
      <c r="M1640" s="214" t="inlineStr">
        <is>
          <t>ARBITRI</t>
        </is>
      </c>
      <c r="N1640" s="5" t="n"/>
      <c r="O1640" s="6" t="n"/>
      <c r="P1640" s="214" t="inlineStr">
        <is>
          <t>UFFICIALI DI CAMPO</t>
        </is>
      </c>
      <c r="Q1640" s="5" t="n"/>
      <c r="R1640" s="6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6" t="n"/>
      <c r="D1641" s="130" t="inlineStr">
        <is>
          <t>Squadra B</t>
        </is>
      </c>
      <c r="E1641" s="6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6" t="n"/>
      <c r="J1641" s="130" t="inlineStr">
        <is>
          <t>Risultato</t>
        </is>
      </c>
      <c r="K1641" s="5" t="n"/>
      <c r="L1641" s="6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5" t="n"/>
      <c r="H1642" s="5" t="n"/>
      <c r="I1642" s="6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n"/>
      <c r="N1642" s="196" t="n"/>
      <c r="O1642" s="196" t="n"/>
      <c r="P1642" s="196" t="n"/>
      <c r="Q1642" s="196" t="n"/>
      <c r="R1642" s="196" t="n"/>
    </row>
    <row r="1643" ht="15" customHeight="1">
      <c r="A1643" s="141" t="n"/>
      <c r="B1643" s="69">
        <f>IF('Calendario J'!B113="","",'Calendario J'!B113)</f>
        <v/>
      </c>
      <c r="C1643" s="5" t="n"/>
      <c r="D1643" s="5" t="n"/>
      <c r="E1643" s="5" t="n"/>
      <c r="F1643" s="5" t="n"/>
      <c r="G1643" s="5" t="n"/>
      <c r="H1643" s="6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6" t="n"/>
      <c r="D1644" s="130" t="inlineStr">
        <is>
          <t>Squadra B</t>
        </is>
      </c>
      <c r="E1644" s="6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6" t="n"/>
      <c r="J1644" s="130" t="inlineStr">
        <is>
          <t>Risultato</t>
        </is>
      </c>
      <c r="K1644" s="5" t="n"/>
      <c r="L1644" s="6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5" t="n"/>
      <c r="H1645" s="5" t="n"/>
      <c r="I1645" s="6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n"/>
      <c r="N1645" s="196" t="n"/>
      <c r="O1645" s="196" t="n"/>
      <c r="P1645" s="196" t="n"/>
      <c r="Q1645" s="196" t="n"/>
      <c r="R1645" s="196" t="n"/>
    </row>
    <row r="1646" ht="15" customHeight="1">
      <c r="A1646" s="141" t="n"/>
      <c r="B1646" s="69">
        <f>IF('Calendario J'!B116="","",'Calendario J'!B116)</f>
        <v/>
      </c>
      <c r="C1646" s="5" t="n"/>
      <c r="D1646" s="5" t="n"/>
      <c r="E1646" s="5" t="n"/>
      <c r="F1646" s="5" t="n"/>
      <c r="G1646" s="5" t="n"/>
      <c r="H1646" s="6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6" t="n"/>
      <c r="D1647" s="130" t="inlineStr">
        <is>
          <t>Squadra B</t>
        </is>
      </c>
      <c r="E1647" s="6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6" t="n"/>
      <c r="J1647" s="130" t="inlineStr">
        <is>
          <t>Risultato</t>
        </is>
      </c>
      <c r="K1647" s="5" t="n"/>
      <c r="L1647" s="6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5" t="n"/>
      <c r="H1648" s="5" t="n"/>
      <c r="I1648" s="6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n"/>
      <c r="N1648" s="196" t="n"/>
      <c r="O1648" s="196" t="n"/>
      <c r="P1648" s="196" t="n"/>
      <c r="Q1648" s="196" t="n"/>
      <c r="R1648" s="196" t="n"/>
    </row>
    <row r="1649" ht="15" customHeight="1">
      <c r="A1649" s="141" t="n"/>
      <c r="B1649" s="69">
        <f>IF('Calendario J'!B119="","",'Calendario J'!B119)</f>
        <v/>
      </c>
      <c r="C1649" s="5" t="n"/>
      <c r="D1649" s="5" t="n"/>
      <c r="E1649" s="5" t="n"/>
      <c r="F1649" s="5" t="n"/>
      <c r="G1649" s="5" t="n"/>
      <c r="H1649" s="6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6" t="n"/>
      <c r="D1650" s="130" t="inlineStr">
        <is>
          <t>Squadra B</t>
        </is>
      </c>
      <c r="E1650" s="6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6" t="n"/>
      <c r="J1650" s="130" t="inlineStr">
        <is>
          <t>Risultato</t>
        </is>
      </c>
      <c r="K1650" s="5" t="n"/>
      <c r="L1650" s="6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5" t="n"/>
      <c r="H1651" s="5" t="n"/>
      <c r="I1651" s="6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n"/>
      <c r="N1651" s="196" t="n"/>
      <c r="O1651" s="196" t="n"/>
      <c r="P1651" s="196" t="n"/>
      <c r="Q1651" s="196" t="n"/>
      <c r="R1651" s="196" t="n"/>
    </row>
    <row r="1652" ht="15" customHeight="1">
      <c r="A1652" s="141" t="n"/>
      <c r="B1652" s="69">
        <f>IF('Calendario J'!B122="","",'Calendario J'!B122)</f>
        <v/>
      </c>
      <c r="C1652" s="5" t="n"/>
      <c r="D1652" s="5" t="n"/>
      <c r="E1652" s="5" t="n"/>
      <c r="F1652" s="5" t="n"/>
      <c r="G1652" s="5" t="n"/>
      <c r="H1652" s="6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6" t="n"/>
      <c r="D1653" s="130" t="inlineStr">
        <is>
          <t>Squadra B</t>
        </is>
      </c>
      <c r="E1653" s="6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6" t="n"/>
      <c r="J1653" s="130" t="inlineStr">
        <is>
          <t>Risultato</t>
        </is>
      </c>
      <c r="K1653" s="5" t="n"/>
      <c r="L1653" s="6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5" t="n"/>
      <c r="H1654" s="5" t="n"/>
      <c r="I1654" s="6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n"/>
      <c r="N1654" s="196" t="n"/>
      <c r="O1654" s="196" t="n"/>
      <c r="P1654" s="196" t="n"/>
      <c r="Q1654" s="196" t="n"/>
      <c r="R1654" s="196" t="n"/>
    </row>
    <row r="1655" ht="15" customHeight="1">
      <c r="A1655" s="141" t="n"/>
      <c r="B1655" s="69">
        <f>IF('Calendario J'!B125="","",'Calendario J'!B125)</f>
        <v/>
      </c>
      <c r="C1655" s="5" t="n"/>
      <c r="D1655" s="5" t="n"/>
      <c r="E1655" s="5" t="n"/>
      <c r="F1655" s="5" t="n"/>
      <c r="G1655" s="5" t="n"/>
      <c r="H1655" s="6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 t="n"/>
      <c r="M1657" s="214" t="inlineStr">
        <is>
          <t>ARBITRI</t>
        </is>
      </c>
      <c r="N1657" s="5" t="n"/>
      <c r="O1657" s="6" t="n"/>
      <c r="P1657" s="214" t="inlineStr">
        <is>
          <t>UFFICIALI DI CAMPO</t>
        </is>
      </c>
      <c r="Q1657" s="5" t="n"/>
      <c r="R1657" s="6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6" t="n"/>
      <c r="D1658" s="130" t="inlineStr">
        <is>
          <t>Squadra B</t>
        </is>
      </c>
      <c r="E1658" s="6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6" t="n"/>
      <c r="J1658" s="130" t="inlineStr">
        <is>
          <t>Risultato</t>
        </is>
      </c>
      <c r="K1658" s="5" t="n"/>
      <c r="L1658" s="6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5" t="n"/>
      <c r="H1659" s="5" t="n"/>
      <c r="I1659" s="6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n"/>
      <c r="N1659" s="196" t="n"/>
      <c r="O1659" s="196" t="n"/>
      <c r="P1659" s="196" t="n"/>
      <c r="Q1659" s="196" t="n"/>
      <c r="R1659" s="196" t="n"/>
    </row>
    <row r="1660" ht="15" customHeight="1">
      <c r="A1660" s="141" t="n"/>
      <c r="B1660" s="69">
        <f>IF('Calendario J'!B130="","",'Calendario J'!B130)</f>
        <v/>
      </c>
      <c r="C1660" s="5" t="n"/>
      <c r="D1660" s="5" t="n"/>
      <c r="E1660" s="5" t="n"/>
      <c r="F1660" s="5" t="n"/>
      <c r="G1660" s="5" t="n"/>
      <c r="H1660" s="6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6" t="n"/>
      <c r="D1661" s="130" t="inlineStr">
        <is>
          <t>Squadra B</t>
        </is>
      </c>
      <c r="E1661" s="6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6" t="n"/>
      <c r="J1661" s="130" t="inlineStr">
        <is>
          <t>Risultato</t>
        </is>
      </c>
      <c r="K1661" s="5" t="n"/>
      <c r="L1661" s="6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5" t="n"/>
      <c r="H1662" s="5" t="n"/>
      <c r="I1662" s="6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n"/>
      <c r="N1662" s="196" t="n"/>
      <c r="O1662" s="196" t="n"/>
      <c r="P1662" s="196" t="n"/>
      <c r="Q1662" s="196" t="n"/>
      <c r="R1662" s="196" t="n"/>
    </row>
    <row r="1663" ht="15" customHeight="1">
      <c r="A1663" s="141" t="n"/>
      <c r="B1663" s="69">
        <f>IF('Calendario J'!B133="","",'Calendario J'!B133)</f>
        <v/>
      </c>
      <c r="C1663" s="5" t="n"/>
      <c r="D1663" s="5" t="n"/>
      <c r="E1663" s="5" t="n"/>
      <c r="F1663" s="5" t="n"/>
      <c r="G1663" s="5" t="n"/>
      <c r="H1663" s="6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6" t="n"/>
      <c r="D1664" s="130" t="inlineStr">
        <is>
          <t>Squadra B</t>
        </is>
      </c>
      <c r="E1664" s="6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6" t="n"/>
      <c r="J1664" s="130" t="inlineStr">
        <is>
          <t>Risultato</t>
        </is>
      </c>
      <c r="K1664" s="5" t="n"/>
      <c r="L1664" s="6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5" t="n"/>
      <c r="H1665" s="5" t="n"/>
      <c r="I1665" s="6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n"/>
      <c r="N1665" s="196" t="n"/>
      <c r="O1665" s="196" t="n"/>
      <c r="P1665" s="196" t="n"/>
      <c r="Q1665" s="196" t="n"/>
      <c r="R1665" s="196" t="n"/>
    </row>
    <row r="1666" ht="15" customHeight="1">
      <c r="A1666" s="141" t="n"/>
      <c r="B1666" s="69">
        <f>IF('Calendario J'!B136="","",'Calendario J'!B136)</f>
        <v/>
      </c>
      <c r="C1666" s="5" t="n"/>
      <c r="D1666" s="5" t="n"/>
      <c r="E1666" s="5" t="n"/>
      <c r="F1666" s="5" t="n"/>
      <c r="G1666" s="5" t="n"/>
      <c r="H1666" s="6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6" t="n"/>
      <c r="D1667" s="130" t="inlineStr">
        <is>
          <t>Squadra B</t>
        </is>
      </c>
      <c r="E1667" s="6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6" t="n"/>
      <c r="J1667" s="130" t="inlineStr">
        <is>
          <t>Risultato</t>
        </is>
      </c>
      <c r="K1667" s="5" t="n"/>
      <c r="L1667" s="6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5" t="n"/>
      <c r="H1668" s="5" t="n"/>
      <c r="I1668" s="6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n"/>
      <c r="N1668" s="196" t="n"/>
      <c r="O1668" s="196" t="n"/>
      <c r="P1668" s="196" t="n"/>
      <c r="Q1668" s="196" t="n"/>
      <c r="R1668" s="196" t="n"/>
    </row>
    <row r="1669" ht="15" customHeight="1">
      <c r="A1669" s="141" t="n"/>
      <c r="B1669" s="69">
        <f>IF('Calendario J'!B139="","",'Calendario J'!B139)</f>
        <v/>
      </c>
      <c r="C1669" s="5" t="n"/>
      <c r="D1669" s="5" t="n"/>
      <c r="E1669" s="5" t="n"/>
      <c r="F1669" s="5" t="n"/>
      <c r="G1669" s="5" t="n"/>
      <c r="H1669" s="6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6" t="n"/>
      <c r="D1670" s="130" t="inlineStr">
        <is>
          <t>Squadra B</t>
        </is>
      </c>
      <c r="E1670" s="6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6" t="n"/>
      <c r="J1670" s="130" t="inlineStr">
        <is>
          <t>Risultato</t>
        </is>
      </c>
      <c r="K1670" s="5" t="n"/>
      <c r="L1670" s="6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5" t="n"/>
      <c r="H1671" s="5" t="n"/>
      <c r="I1671" s="6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n"/>
      <c r="N1671" s="196" t="n"/>
      <c r="O1671" s="196" t="n"/>
      <c r="P1671" s="196" t="n"/>
      <c r="Q1671" s="196" t="n"/>
      <c r="R1671" s="196" t="n"/>
    </row>
    <row r="1672" ht="15" customHeight="1">
      <c r="A1672" s="141" t="n"/>
      <c r="B1672" s="69">
        <f>IF('Calendario J'!B142="","",'Calendario J'!B142)</f>
        <v/>
      </c>
      <c r="C1672" s="5" t="n"/>
      <c r="D1672" s="5" t="n"/>
      <c r="E1672" s="5" t="n"/>
      <c r="F1672" s="5" t="n"/>
      <c r="G1672" s="5" t="n"/>
      <c r="H1672" s="6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 t="n"/>
      <c r="M1674" s="214" t="inlineStr">
        <is>
          <t>ARBITRI</t>
        </is>
      </c>
      <c r="N1674" s="5" t="n"/>
      <c r="O1674" s="6" t="n"/>
      <c r="P1674" s="214" t="inlineStr">
        <is>
          <t>UFFICIALI DI CAMPO</t>
        </is>
      </c>
      <c r="Q1674" s="5" t="n"/>
      <c r="R1674" s="6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6" t="n"/>
      <c r="D1675" s="130" t="inlineStr">
        <is>
          <t>Squadra B</t>
        </is>
      </c>
      <c r="E1675" s="6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6" t="n"/>
      <c r="J1675" s="130" t="inlineStr">
        <is>
          <t>Risultato</t>
        </is>
      </c>
      <c r="K1675" s="5" t="n"/>
      <c r="L1675" s="6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5" t="n"/>
      <c r="H1676" s="5" t="n"/>
      <c r="I1676" s="6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n"/>
      <c r="N1676" s="196" t="n"/>
      <c r="O1676" s="196" t="n"/>
      <c r="P1676" s="196" t="n"/>
      <c r="Q1676" s="196" t="n"/>
      <c r="R1676" s="196" t="n"/>
    </row>
    <row r="1677" ht="15" customHeight="1">
      <c r="A1677" s="141" t="n"/>
      <c r="B1677" s="69">
        <f>IF('Calendario J'!B147="","",'Calendario J'!B147)</f>
        <v/>
      </c>
      <c r="C1677" s="5" t="n"/>
      <c r="D1677" s="5" t="n"/>
      <c r="E1677" s="5" t="n"/>
      <c r="F1677" s="5" t="n"/>
      <c r="G1677" s="5" t="n"/>
      <c r="H1677" s="6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6" t="n"/>
      <c r="D1678" s="130" t="inlineStr">
        <is>
          <t>Squadra B</t>
        </is>
      </c>
      <c r="E1678" s="6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6" t="n"/>
      <c r="J1678" s="130" t="inlineStr">
        <is>
          <t>Risultato</t>
        </is>
      </c>
      <c r="K1678" s="5" t="n"/>
      <c r="L1678" s="6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5" t="n"/>
      <c r="H1679" s="5" t="n"/>
      <c r="I1679" s="6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n"/>
      <c r="N1679" s="196" t="n"/>
      <c r="O1679" s="196" t="n"/>
      <c r="P1679" s="196" t="n"/>
      <c r="Q1679" s="196" t="n"/>
      <c r="R1679" s="196" t="n"/>
    </row>
    <row r="1680" ht="15" customHeight="1">
      <c r="A1680" s="141" t="n"/>
      <c r="B1680" s="69">
        <f>IF('Calendario J'!B150="","",'Calendario J'!B150)</f>
        <v/>
      </c>
      <c r="C1680" s="5" t="n"/>
      <c r="D1680" s="5" t="n"/>
      <c r="E1680" s="5" t="n"/>
      <c r="F1680" s="5" t="n"/>
      <c r="G1680" s="5" t="n"/>
      <c r="H1680" s="6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6" t="n"/>
      <c r="D1681" s="130" t="inlineStr">
        <is>
          <t>Squadra B</t>
        </is>
      </c>
      <c r="E1681" s="6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6" t="n"/>
      <c r="J1681" s="130" t="inlineStr">
        <is>
          <t>Risultato</t>
        </is>
      </c>
      <c r="K1681" s="5" t="n"/>
      <c r="L1681" s="6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5" t="n"/>
      <c r="H1682" s="5" t="n"/>
      <c r="I1682" s="6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n"/>
      <c r="N1682" s="196" t="n"/>
      <c r="O1682" s="196" t="n"/>
      <c r="P1682" s="196" t="n"/>
      <c r="Q1682" s="196" t="n"/>
      <c r="R1682" s="196" t="n"/>
    </row>
    <row r="1683" ht="15" customHeight="1">
      <c r="A1683" s="141" t="n"/>
      <c r="B1683" s="69">
        <f>IF('Calendario J'!B153="","",'Calendario J'!B153)</f>
        <v/>
      </c>
      <c r="C1683" s="5" t="n"/>
      <c r="D1683" s="5" t="n"/>
      <c r="E1683" s="5" t="n"/>
      <c r="F1683" s="5" t="n"/>
      <c r="G1683" s="5" t="n"/>
      <c r="H1683" s="6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6" t="n"/>
      <c r="D1684" s="130" t="inlineStr">
        <is>
          <t>Squadra B</t>
        </is>
      </c>
      <c r="E1684" s="6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6" t="n"/>
      <c r="J1684" s="130" t="inlineStr">
        <is>
          <t>Risultato</t>
        </is>
      </c>
      <c r="K1684" s="5" t="n"/>
      <c r="L1684" s="6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5" t="n"/>
      <c r="H1685" s="5" t="n"/>
      <c r="I1685" s="6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n"/>
      <c r="N1685" s="196" t="n"/>
      <c r="O1685" s="196" t="n"/>
      <c r="P1685" s="196" t="n"/>
      <c r="Q1685" s="196" t="n"/>
      <c r="R1685" s="196" t="n"/>
    </row>
    <row r="1686" ht="15" customHeight="1">
      <c r="A1686" s="141" t="n"/>
      <c r="B1686" s="69">
        <f>IF('Calendario J'!B156="","",'Calendario J'!B156)</f>
        <v/>
      </c>
      <c r="C1686" s="5" t="n"/>
      <c r="D1686" s="5" t="n"/>
      <c r="E1686" s="5" t="n"/>
      <c r="F1686" s="5" t="n"/>
      <c r="G1686" s="5" t="n"/>
      <c r="H1686" s="6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6" t="n"/>
      <c r="D1687" s="130" t="inlineStr">
        <is>
          <t>Squadra B</t>
        </is>
      </c>
      <c r="E1687" s="6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6" t="n"/>
      <c r="J1687" s="130" t="inlineStr">
        <is>
          <t>Risultato</t>
        </is>
      </c>
      <c r="K1687" s="5" t="n"/>
      <c r="L1687" s="6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5" t="n"/>
      <c r="H1688" s="5" t="n"/>
      <c r="I1688" s="6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n"/>
      <c r="N1688" s="196" t="n"/>
      <c r="O1688" s="196" t="n"/>
      <c r="P1688" s="196" t="n"/>
      <c r="Q1688" s="196" t="n"/>
      <c r="R1688" s="196" t="n"/>
    </row>
    <row r="1689" ht="15" customHeight="1">
      <c r="A1689" s="141" t="n"/>
      <c r="B1689" s="69">
        <f>IF('Calendario J'!B159="","",'Calendario J'!B159)</f>
        <v/>
      </c>
      <c r="C1689" s="5" t="n"/>
      <c r="D1689" s="5" t="n"/>
      <c r="E1689" s="5" t="n"/>
      <c r="F1689" s="5" t="n"/>
      <c r="G1689" s="5" t="n"/>
      <c r="H1689" s="6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 t="n"/>
      <c r="M1708" s="217" t="inlineStr">
        <is>
          <t>ARBITRI</t>
        </is>
      </c>
      <c r="N1708" s="5" t="n"/>
      <c r="O1708" s="6" t="n"/>
      <c r="P1708" s="217" t="inlineStr">
        <is>
          <t>UFFICIALI DI CAMPO</t>
        </is>
      </c>
      <c r="Q1708" s="5" t="n"/>
      <c r="R1708" s="6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6" t="n"/>
      <c r="D1709" s="135" t="inlineStr">
        <is>
          <t>Squadra B</t>
        </is>
      </c>
      <c r="E1709" s="6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6" t="n"/>
      <c r="J1709" s="135" t="inlineStr">
        <is>
          <t>Risultato</t>
        </is>
      </c>
      <c r="K1709" s="5" t="n"/>
      <c r="L1709" s="6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5" t="n"/>
      <c r="H1710" s="5" t="n"/>
      <c r="I1710" s="6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n"/>
      <c r="N1710" s="196" t="n"/>
      <c r="O1710" s="196" t="n"/>
      <c r="P1710" s="196" t="n"/>
      <c r="Q1710" s="196" t="n"/>
      <c r="R1710" s="196" t="n"/>
    </row>
    <row r="1711" ht="15" customHeight="1">
      <c r="A1711" s="141" t="n"/>
      <c r="B1711" s="69">
        <f>IF('Playoff'!B11="","",'Playoff'!B11)</f>
        <v/>
      </c>
      <c r="C1711" s="5" t="n"/>
      <c r="D1711" s="5" t="n"/>
      <c r="E1711" s="5" t="n"/>
      <c r="F1711" s="5" t="n"/>
      <c r="G1711" s="5" t="n"/>
      <c r="H1711" s="6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6" t="n"/>
      <c r="D1712" s="135" t="inlineStr">
        <is>
          <t>Squadra B</t>
        </is>
      </c>
      <c r="E1712" s="6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6" t="n"/>
      <c r="J1712" s="135" t="inlineStr">
        <is>
          <t>Risultato</t>
        </is>
      </c>
      <c r="K1712" s="5" t="n"/>
      <c r="L1712" s="6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5" t="n"/>
      <c r="H1713" s="5" t="n"/>
      <c r="I1713" s="6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n"/>
      <c r="N1713" s="196" t="n"/>
      <c r="O1713" s="196" t="n"/>
      <c r="P1713" s="196" t="n"/>
      <c r="Q1713" s="196" t="n"/>
      <c r="R1713" s="196" t="n"/>
    </row>
    <row r="1714" ht="15" customHeight="1">
      <c r="A1714" s="141" t="n"/>
      <c r="B1714" s="69">
        <f>IF('Playoff'!B14="","",'Playoff'!B14)</f>
        <v/>
      </c>
      <c r="C1714" s="5" t="n"/>
      <c r="D1714" s="5" t="n"/>
      <c r="E1714" s="5" t="n"/>
      <c r="F1714" s="5" t="n"/>
      <c r="G1714" s="5" t="n"/>
      <c r="H1714" s="6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6" t="n"/>
      <c r="D1715" s="135" t="inlineStr">
        <is>
          <t>Squadra B</t>
        </is>
      </c>
      <c r="E1715" s="6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6" t="n"/>
      <c r="J1715" s="135" t="inlineStr">
        <is>
          <t>Risultato</t>
        </is>
      </c>
      <c r="K1715" s="5" t="n"/>
      <c r="L1715" s="6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5" t="n"/>
      <c r="H1716" s="5" t="n"/>
      <c r="I1716" s="6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n"/>
      <c r="N1716" s="196" t="n"/>
      <c r="O1716" s="196" t="n"/>
      <c r="P1716" s="196" t="n"/>
      <c r="Q1716" s="196" t="n"/>
      <c r="R1716" s="196" t="n"/>
    </row>
    <row r="1717" ht="15" customHeight="1">
      <c r="A1717" s="141" t="n"/>
      <c r="B1717" s="69">
        <f>IF('Playoff'!B17="","",'Playoff'!B17)</f>
        <v/>
      </c>
      <c r="C1717" s="5" t="n"/>
      <c r="D1717" s="5" t="n"/>
      <c r="E1717" s="5" t="n"/>
      <c r="F1717" s="5" t="n"/>
      <c r="G1717" s="5" t="n"/>
      <c r="H1717" s="6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6" t="n"/>
      <c r="D1718" s="135" t="inlineStr">
        <is>
          <t>Squadra B</t>
        </is>
      </c>
      <c r="E1718" s="6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6" t="n"/>
      <c r="J1718" s="135" t="inlineStr">
        <is>
          <t>Risultato</t>
        </is>
      </c>
      <c r="K1718" s="5" t="n"/>
      <c r="L1718" s="6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5" t="n"/>
      <c r="H1719" s="5" t="n"/>
      <c r="I1719" s="6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n"/>
      <c r="N1719" s="196" t="n"/>
      <c r="O1719" s="196" t="n"/>
      <c r="P1719" s="196" t="n"/>
      <c r="Q1719" s="196" t="n"/>
      <c r="R1719" s="196" t="n"/>
    </row>
    <row r="1720" ht="15" customHeight="1">
      <c r="A1720" s="141" t="n"/>
      <c r="B1720" s="69">
        <f>IF('Playoff'!B20="","",'Playoff'!B20)</f>
        <v/>
      </c>
      <c r="C1720" s="5" t="n"/>
      <c r="D1720" s="5" t="n"/>
      <c r="E1720" s="5" t="n"/>
      <c r="F1720" s="5" t="n"/>
      <c r="G1720" s="5" t="n"/>
      <c r="H1720" s="6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6" t="n"/>
      <c r="D1721" s="135" t="inlineStr">
        <is>
          <t>Squadra B</t>
        </is>
      </c>
      <c r="E1721" s="6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6" t="n"/>
      <c r="J1721" s="135" t="inlineStr">
        <is>
          <t>Risultato</t>
        </is>
      </c>
      <c r="K1721" s="5" t="n"/>
      <c r="L1721" s="6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5" t="n"/>
      <c r="H1722" s="5" t="n"/>
      <c r="I1722" s="6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n"/>
      <c r="N1722" s="196" t="n"/>
      <c r="O1722" s="196" t="n"/>
      <c r="P1722" s="196" t="n"/>
      <c r="Q1722" s="196" t="n"/>
      <c r="R1722" s="196" t="n"/>
    </row>
    <row r="1723" ht="15" customHeight="1">
      <c r="A1723" s="141" t="n"/>
      <c r="B1723" s="69">
        <f>IF('Playoff'!B23="","",'Playoff'!B23)</f>
        <v/>
      </c>
      <c r="C1723" s="5" t="n"/>
      <c r="D1723" s="5" t="n"/>
      <c r="E1723" s="5" t="n"/>
      <c r="F1723" s="5" t="n"/>
      <c r="G1723" s="5" t="n"/>
      <c r="H1723" s="6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6" t="n"/>
      <c r="D1724" s="135" t="inlineStr">
        <is>
          <t>Squadra B</t>
        </is>
      </c>
      <c r="E1724" s="6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6" t="n"/>
      <c r="J1724" s="135" t="inlineStr">
        <is>
          <t>Risultato</t>
        </is>
      </c>
      <c r="K1724" s="5" t="n"/>
      <c r="L1724" s="6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5" t="n"/>
      <c r="H1725" s="5" t="n"/>
      <c r="I1725" s="6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n"/>
      <c r="N1725" s="196" t="n"/>
      <c r="O1725" s="196" t="n"/>
      <c r="P1725" s="196" t="n"/>
      <c r="Q1725" s="196" t="n"/>
      <c r="R1725" s="196" t="n"/>
    </row>
    <row r="1726" ht="15" customHeight="1">
      <c r="A1726" s="141" t="n"/>
      <c r="B1726" s="69">
        <f>IF('Playoff'!B26="","",'Playoff'!B26)</f>
        <v/>
      </c>
      <c r="C1726" s="5" t="n"/>
      <c r="D1726" s="5" t="n"/>
      <c r="E1726" s="5" t="n"/>
      <c r="F1726" s="5" t="n"/>
      <c r="G1726" s="5" t="n"/>
      <c r="H1726" s="6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6" t="n"/>
      <c r="D1727" s="135" t="inlineStr">
        <is>
          <t>Squadra B</t>
        </is>
      </c>
      <c r="E1727" s="6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6" t="n"/>
      <c r="J1727" s="135" t="inlineStr">
        <is>
          <t>Risultato</t>
        </is>
      </c>
      <c r="K1727" s="5" t="n"/>
      <c r="L1727" s="6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5" t="n"/>
      <c r="H1728" s="5" t="n"/>
      <c r="I1728" s="6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n"/>
      <c r="N1728" s="196" t="n"/>
      <c r="O1728" s="196" t="n"/>
      <c r="P1728" s="196" t="n"/>
      <c r="Q1728" s="196" t="n"/>
      <c r="R1728" s="196" t="n"/>
    </row>
    <row r="1729" ht="15" customHeight="1">
      <c r="A1729" s="141" t="n"/>
      <c r="B1729" s="69">
        <f>IF('Playoff'!B29="","",'Playoff'!B29)</f>
        <v/>
      </c>
      <c r="C1729" s="5" t="n"/>
      <c r="D1729" s="5" t="n"/>
      <c r="E1729" s="5" t="n"/>
      <c r="F1729" s="5" t="n"/>
      <c r="G1729" s="5" t="n"/>
      <c r="H1729" s="6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6" t="n"/>
      <c r="D1730" s="135" t="inlineStr">
        <is>
          <t>Squadra B</t>
        </is>
      </c>
      <c r="E1730" s="6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6" t="n"/>
      <c r="J1730" s="135" t="inlineStr">
        <is>
          <t>Risultato</t>
        </is>
      </c>
      <c r="K1730" s="5" t="n"/>
      <c r="L1730" s="6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5" t="n"/>
      <c r="H1731" s="5" t="n"/>
      <c r="I1731" s="6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n"/>
      <c r="N1731" s="196" t="n"/>
      <c r="O1731" s="196" t="n"/>
      <c r="P1731" s="196" t="n"/>
      <c r="Q1731" s="196" t="n"/>
      <c r="R1731" s="196" t="n"/>
    </row>
    <row r="1732" ht="15" customHeight="1">
      <c r="A1732" s="141" t="n"/>
      <c r="B1732" s="69">
        <f>IF('Playoff'!B32="","",'Playoff'!B32)</f>
        <v/>
      </c>
      <c r="C1732" s="5" t="n"/>
      <c r="D1732" s="5" t="n"/>
      <c r="E1732" s="5" t="n"/>
      <c r="F1732" s="5" t="n"/>
      <c r="G1732" s="5" t="n"/>
      <c r="H1732" s="6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 t="n"/>
      <c r="M1734" s="217" t="inlineStr">
        <is>
          <t>ARBITRI</t>
        </is>
      </c>
      <c r="N1734" s="5" t="n"/>
      <c r="O1734" s="6" t="n"/>
      <c r="P1734" s="217" t="inlineStr">
        <is>
          <t>UFFICIALI DI CAMPO</t>
        </is>
      </c>
      <c r="Q1734" s="5" t="n"/>
      <c r="R1734" s="6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6" t="n"/>
      <c r="D1735" s="135" t="inlineStr">
        <is>
          <t>Squadra B</t>
        </is>
      </c>
      <c r="E1735" s="6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6" t="n"/>
      <c r="J1735" s="135" t="inlineStr">
        <is>
          <t>Risultato</t>
        </is>
      </c>
      <c r="K1735" s="5" t="n"/>
      <c r="L1735" s="6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5" t="n"/>
      <c r="H1736" s="5" t="n"/>
      <c r="I1736" s="6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n"/>
      <c r="N1736" s="196" t="n"/>
      <c r="O1736" s="196" t="n"/>
      <c r="P1736" s="196" t="n"/>
      <c r="Q1736" s="196" t="n"/>
      <c r="R1736" s="196" t="n"/>
    </row>
    <row r="1737" ht="15" customHeight="1">
      <c r="A1737" s="141" t="n"/>
      <c r="B1737" s="69">
        <f>IF('Playoff'!B37="","",'Playoff'!B37)</f>
        <v/>
      </c>
      <c r="C1737" s="5" t="n"/>
      <c r="D1737" s="5" t="n"/>
      <c r="E1737" s="5" t="n"/>
      <c r="F1737" s="5" t="n"/>
      <c r="G1737" s="5" t="n"/>
      <c r="H1737" s="6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6" t="n"/>
      <c r="D1738" s="135" t="inlineStr">
        <is>
          <t>Squadra B</t>
        </is>
      </c>
      <c r="E1738" s="6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6" t="n"/>
      <c r="J1738" s="135" t="inlineStr">
        <is>
          <t>Risultato</t>
        </is>
      </c>
      <c r="K1738" s="5" t="n"/>
      <c r="L1738" s="6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5" t="n"/>
      <c r="H1739" s="5" t="n"/>
      <c r="I1739" s="6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n"/>
      <c r="N1739" s="196" t="n"/>
      <c r="O1739" s="196" t="n"/>
      <c r="P1739" s="196" t="n"/>
      <c r="Q1739" s="196" t="n"/>
      <c r="R1739" s="196" t="n"/>
    </row>
    <row r="1740" ht="15" customHeight="1">
      <c r="A1740" s="141" t="n"/>
      <c r="B1740" s="69">
        <f>IF('Playoff'!B40="","",'Playoff'!B40)</f>
        <v/>
      </c>
      <c r="C1740" s="5" t="n"/>
      <c r="D1740" s="5" t="n"/>
      <c r="E1740" s="5" t="n"/>
      <c r="F1740" s="5" t="n"/>
      <c r="G1740" s="5" t="n"/>
      <c r="H1740" s="6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6" t="n"/>
      <c r="D1741" s="135" t="inlineStr">
        <is>
          <t>Squadra B</t>
        </is>
      </c>
      <c r="E1741" s="6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6" t="n"/>
      <c r="J1741" s="135" t="inlineStr">
        <is>
          <t>Risultato</t>
        </is>
      </c>
      <c r="K1741" s="5" t="n"/>
      <c r="L1741" s="6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5" t="n"/>
      <c r="H1742" s="5" t="n"/>
      <c r="I1742" s="6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n"/>
      <c r="N1742" s="196" t="n"/>
      <c r="O1742" s="196" t="n"/>
      <c r="P1742" s="196" t="n"/>
      <c r="Q1742" s="196" t="n"/>
      <c r="R1742" s="196" t="n"/>
    </row>
    <row r="1743" ht="15" customHeight="1">
      <c r="A1743" s="141" t="n"/>
      <c r="B1743" s="69">
        <f>IF('Playoff'!B43="","",'Playoff'!B43)</f>
        <v/>
      </c>
      <c r="C1743" s="5" t="n"/>
      <c r="D1743" s="5" t="n"/>
      <c r="E1743" s="5" t="n"/>
      <c r="F1743" s="5" t="n"/>
      <c r="G1743" s="5" t="n"/>
      <c r="H1743" s="6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6" t="n"/>
      <c r="D1744" s="135" t="inlineStr">
        <is>
          <t>Squadra B</t>
        </is>
      </c>
      <c r="E1744" s="6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6" t="n"/>
      <c r="J1744" s="135" t="inlineStr">
        <is>
          <t>Risultato</t>
        </is>
      </c>
      <c r="K1744" s="5" t="n"/>
      <c r="L1744" s="6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5" t="n"/>
      <c r="H1745" s="5" t="n"/>
      <c r="I1745" s="6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n"/>
      <c r="N1745" s="196" t="n"/>
      <c r="O1745" s="196" t="n"/>
      <c r="P1745" s="196" t="n"/>
      <c r="Q1745" s="196" t="n"/>
      <c r="R1745" s="196" t="n"/>
    </row>
    <row r="1746" ht="15" customHeight="1">
      <c r="A1746" s="141" t="n"/>
      <c r="B1746" s="69">
        <f>IF('Playoff'!B46="","",'Playoff'!B46)</f>
        <v/>
      </c>
      <c r="C1746" s="5" t="n"/>
      <c r="D1746" s="5" t="n"/>
      <c r="E1746" s="5" t="n"/>
      <c r="F1746" s="5" t="n"/>
      <c r="G1746" s="5" t="n"/>
      <c r="H1746" s="6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 t="n"/>
      <c r="M1748" s="217" t="inlineStr">
        <is>
          <t>ARBITRI</t>
        </is>
      </c>
      <c r="N1748" s="5" t="n"/>
      <c r="O1748" s="6" t="n"/>
      <c r="P1748" s="217" t="inlineStr">
        <is>
          <t>UFFICIALI DI CAMPO</t>
        </is>
      </c>
      <c r="Q1748" s="5" t="n"/>
      <c r="R1748" s="6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6" t="n"/>
      <c r="D1749" s="135" t="inlineStr">
        <is>
          <t>Squadra B</t>
        </is>
      </c>
      <c r="E1749" s="6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6" t="n"/>
      <c r="J1749" s="135" t="inlineStr">
        <is>
          <t>Risultato</t>
        </is>
      </c>
      <c r="K1749" s="5" t="n"/>
      <c r="L1749" s="6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5" t="n"/>
      <c r="H1750" s="5" t="n"/>
      <c r="I1750" s="6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n"/>
      <c r="N1750" s="196" t="n"/>
      <c r="O1750" s="196" t="n"/>
      <c r="P1750" s="196" t="n"/>
      <c r="Q1750" s="196" t="n"/>
      <c r="R1750" s="196" t="n"/>
    </row>
    <row r="1751" ht="15" customHeight="1">
      <c r="A1751" s="141" t="n"/>
      <c r="B1751" s="69">
        <f>IF('Playoff'!B51="","",'Playoff'!B51)</f>
        <v/>
      </c>
      <c r="C1751" s="5" t="n"/>
      <c r="D1751" s="5" t="n"/>
      <c r="E1751" s="5" t="n"/>
      <c r="F1751" s="5" t="n"/>
      <c r="G1751" s="5" t="n"/>
      <c r="H1751" s="6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6" t="n"/>
      <c r="D1752" s="135" t="inlineStr">
        <is>
          <t>Squadra B</t>
        </is>
      </c>
      <c r="E1752" s="6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6" t="n"/>
      <c r="J1752" s="135" t="inlineStr">
        <is>
          <t>Risultato</t>
        </is>
      </c>
      <c r="K1752" s="5" t="n"/>
      <c r="L1752" s="6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5" t="n"/>
      <c r="H1753" s="5" t="n"/>
      <c r="I1753" s="6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n"/>
      <c r="N1753" s="196" t="n"/>
      <c r="O1753" s="196" t="n"/>
      <c r="P1753" s="196" t="n"/>
      <c r="Q1753" s="196" t="n"/>
      <c r="R1753" s="196" t="n"/>
    </row>
    <row r="1754" ht="15" customHeight="1">
      <c r="A1754" s="141" t="n"/>
      <c r="B1754" s="69">
        <f>IF('Playoff'!B54="","",'Playoff'!B54)</f>
        <v/>
      </c>
      <c r="C1754" s="5" t="n"/>
      <c r="D1754" s="5" t="n"/>
      <c r="E1754" s="5" t="n"/>
      <c r="F1754" s="5" t="n"/>
      <c r="G1754" s="5" t="n"/>
      <c r="H1754" s="6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 t="n"/>
      <c r="M1756" s="217" t="inlineStr">
        <is>
          <t>ARBITRI</t>
        </is>
      </c>
      <c r="N1756" s="5" t="n"/>
      <c r="O1756" s="6" t="n"/>
      <c r="P1756" s="217" t="inlineStr">
        <is>
          <t>UFFICIALI DI CAMPO</t>
        </is>
      </c>
      <c r="Q1756" s="5" t="n"/>
      <c r="R1756" s="6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6" t="n"/>
      <c r="D1757" s="135" t="inlineStr">
        <is>
          <t>Squadra B</t>
        </is>
      </c>
      <c r="E1757" s="6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6" t="n"/>
      <c r="J1757" s="135" t="inlineStr">
        <is>
          <t>Risultato</t>
        </is>
      </c>
      <c r="K1757" s="5" t="n"/>
      <c r="L1757" s="6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5" t="n"/>
      <c r="H1758" s="5" t="n"/>
      <c r="I1758" s="6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n"/>
      <c r="N1758" s="196" t="n"/>
      <c r="O1758" s="196" t="n"/>
      <c r="P1758" s="196" t="n"/>
      <c r="Q1758" s="196" t="n"/>
      <c r="R1758" s="196" t="n"/>
    </row>
    <row r="1759" ht="15" customHeight="1">
      <c r="A1759" s="141" t="n"/>
      <c r="B1759" s="69">
        <f>IF('Playoff'!B59="","",'Playoff'!B59)</f>
        <v/>
      </c>
      <c r="C1759" s="5" t="n"/>
      <c r="D1759" s="5" t="n"/>
      <c r="E1759" s="5" t="n"/>
      <c r="F1759" s="5" t="n"/>
      <c r="G1759" s="5" t="n"/>
      <c r="H1759" s="6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6" t="n"/>
      <c r="D1760" s="135" t="inlineStr">
        <is>
          <t>Squadra B</t>
        </is>
      </c>
      <c r="E1760" s="6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6" t="n"/>
      <c r="J1760" s="135" t="inlineStr">
        <is>
          <t>Risultato</t>
        </is>
      </c>
      <c r="K1760" s="5" t="n"/>
      <c r="L1760" s="6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5" t="n"/>
      <c r="H1761" s="5" t="n"/>
      <c r="I1761" s="6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n"/>
      <c r="N1761" s="196" t="n"/>
      <c r="O1761" s="196" t="n"/>
      <c r="P1761" s="196" t="n"/>
      <c r="Q1761" s="196" t="n"/>
      <c r="R1761" s="196" t="n"/>
    </row>
    <row r="1762" ht="15" customHeight="1">
      <c r="A1762" s="141" t="n"/>
      <c r="B1762" s="69">
        <f>IF('Playoff'!B62="","",'Playoff'!B62)</f>
        <v/>
      </c>
      <c r="C1762" s="5" t="n"/>
      <c r="D1762" s="5" t="n"/>
      <c r="E1762" s="5" t="n"/>
      <c r="F1762" s="5" t="n"/>
      <c r="G1762" s="5" t="n"/>
      <c r="H1762" s="6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4" t="inlineStr">
        <is>
          <t>COGNOME Nome</t>
        </is>
      </c>
      <c r="E4" s="4" t="inlineStr">
        <is>
          <t>Indisponibilita' / note</t>
        </is>
      </c>
      <c r="L4" s="4" t="inlineStr">
        <is>
          <t>Tot.</t>
        </is>
      </c>
      <c r="M4" s="4" t="inlineStr">
        <is>
          <t>1o Arbitro</t>
        </is>
      </c>
      <c r="N4" s="4" t="inlineStr">
        <is>
          <t>2o Arbitro</t>
        </is>
      </c>
      <c r="O4" s="4" t="inlineStr">
        <is>
          <t>3o Arb./Tiroc.</t>
        </is>
      </c>
    </row>
    <row r="5">
      <c r="C5" s="190" t="inlineStr">
        <is>
          <t>ARBITRI</t>
        </is>
      </c>
      <c r="D5" s="13" t="n"/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4" t="inlineStr">
        <is>
          <t>COGNOME Nome</t>
        </is>
      </c>
      <c r="E4" s="4" t="inlineStr">
        <is>
          <t>Indisponibilita' / note</t>
        </is>
      </c>
      <c r="L4" s="4" t="inlineStr">
        <is>
          <t>Tot.</t>
        </is>
      </c>
      <c r="M4" s="4" t="inlineStr">
        <is>
          <t>Referto</t>
        </is>
      </c>
      <c r="N4" s="4" t="inlineStr">
        <is>
          <t>Cronometro</t>
        </is>
      </c>
      <c r="O4" s="4" t="inlineStr">
        <is>
          <t>Foglio Tiri</t>
        </is>
      </c>
    </row>
    <row r="5">
      <c r="C5" s="190" t="inlineStr">
        <is>
          <t>UFFICIALI DI CAMPO</t>
        </is>
      </c>
      <c r="D5" s="13" t="n"/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MODELLO VUOTO</t>
        </is>
      </c>
    </row>
    <row r="3">
      <c r="A3" s="225" t="inlineStr">
        <is>
          <t>* File MODELLO: griglia completamente vuota. Struttura, formule, formattazione, convalide e formattazione condizionale sono gia' pronte.</t>
        </is>
      </c>
    </row>
    <row r="4">
      <c r="A4" s="226" t="inlineStr">
        <is>
          <t>COSA COMPILARE, nell'ordine:</t>
        </is>
      </c>
    </row>
    <row r="5">
      <c r="A5" s="225" t="inlineStr">
        <is>
          <t>1) Foglio Campionato, celle D1-D9: nome campionato, link loghi, sigla gironi, stagione e punteggi (vittoria/sconfitta/forfait).</t>
        </is>
      </c>
    </row>
    <row r="6">
      <c r="A6" s="225" t="inlineStr">
        <is>
          <t>2) Foglio Campionato, colonna C righe 12-111: i nomi squadra nel formato 'Nome-Citta PR'. La lettera in colonna E decide il girone: cambiandola la squadra cambia girone, ma vanno poi sistemati a mano il calendario e i colori.</t>
        </is>
      </c>
    </row>
    <row r="7">
      <c r="A7" s="225" t="inlineStr">
        <is>
          <t>3) Foglio Campionato, righe 114-213: nome e link mappa del campo di ogni squadra; righe 214-221: gli otto campi neutri PO1-PO8 per la fase a eliminazione diretta.</t>
        </is>
      </c>
    </row>
    <row r="8">
      <c r="A8" s="225" t="inlineStr">
        <is>
          <t>4) Fogli Calendario A-J: per ogni gara i codici squadra (colonne C ed E), la data con orario (colonna F) e il codice campo (colonna I della riga sottostante).</t>
        </is>
      </c>
    </row>
    <row r="9">
      <c r="A9" s="225" t="inlineStr">
        <is>
          <t>5) Fogli Arbitri e UdC, colonna D righe 5-104: i nominativi che alimentano gli elenchi a discesa delle designazioni.</t>
        </is>
      </c>
    </row>
    <row r="10">
      <c r="A10" s="225" t="inlineStr">
        <is>
          <t>6) Foglio DESIGNAZIONI: arbitri e ufficiali di campo, scelti dagli elenchi a discesa.</t>
        </is>
      </c>
    </row>
    <row r="11">
      <c r="A11" s="225" t="inlineStr">
        <is>
          <t>* Durante la stagione si inseriscono solo i punteggi nelle colonne Risultato dei fogli Calendario e Playoff: tutto il resto si aggiorna da solo.</t>
        </is>
      </c>
    </row>
    <row r="12">
      <c r="A12" s="225" t="inlineStr">
        <is>
          <t>* Modello dimostrativo: tutti i nomi di squadra, campo, arbitro e ufficiale di campo sono di fantasia.</t>
        </is>
      </c>
    </row>
    <row r="13">
      <c r="A13" s="225" t="inlineStr">
        <is>
          <t>* Capienza del modello: fino a 100 squadre distribuite su un massimo di 10 gironi (A-J) da 10 squadre ciascuno.</t>
        </is>
      </c>
    </row>
    <row r="14">
      <c r="A14" s="225" t="inlineStr">
        <is>
          <t>* Il girone di una squadra dipende SOLO dalla lettera in colonna E del foglio Campionato, non dalla riga in cui si trova.</t>
        </is>
      </c>
    </row>
    <row r="15">
      <c r="A15" s="225" t="inlineStr">
        <is>
          <t>* Cambiando la lettera in colonna E la squadra passa di girone in classifica; calendario e colori vanno poi sistemati a mano.</t>
        </is>
      </c>
    </row>
    <row r="16">
      <c r="A16" s="225" t="inlineStr">
        <is>
          <t>* Gironi A-H competitivi: le prime due di ognuno accedono ai playoff. Gironi I e J non competitivi: calendario e classifica si', playoff no.</t>
        </is>
      </c>
    </row>
    <row r="17">
      <c r="A17" s="225" t="inlineStr">
        <is>
          <t>* Ogni girone ha il proprio foglio calendario ('Calendario A' ... 'Calendario J') e un colore identificativo.</t>
        </is>
      </c>
    </row>
    <row r="18">
      <c r="A18" s="225" t="inlineStr">
        <is>
          <t>* Calendario di sola andata generato con il metodo del girone all'italiana (Berger): 9 giornate da 5 gare, 45 gare per girone.</t>
        </is>
      </c>
    </row>
    <row r="19">
      <c r="A19" s="225" t="inlineStr">
        <is>
          <t>* Ogni giornata e' un concentramento unico: 5 gare consecutive (09:30, 11:00, 14:30, 16:00, 17:30) sullo stesso campo.</t>
        </is>
      </c>
    </row>
    <row r="20">
      <c r="A20" s="225" t="inlineStr">
        <is>
          <t>* L'ospitalita' ruota fra le squadre del girone: la squadra ospitante della giornata determina il campo.</t>
        </is>
      </c>
    </row>
    <row r="21">
      <c r="A21" s="225" t="inlineStr">
        <is>
          <t>* Il foglio nascosto 'Dati' consolida le righe di servizio dei dieci calendari: le classifiche cercano li' per nome squadra.</t>
        </is>
      </c>
    </row>
    <row r="22">
      <c r="A22" s="225" t="inlineStr">
        <is>
          <t>* Playoff: ottavi 1A-2H, 1B-2G, 1C-2F, 1D-2E, 1E-2D, 1F-2C, 1G-2B, 1H-2A; poi quarti, semifinali e finali.</t>
        </is>
      </c>
    </row>
    <row r="23">
      <c r="A23" s="225" t="inlineStr">
        <is>
          <t>* Gli accoppiamenti di quarti, semifinali e finali si aggiornano da soli inserendo i risultati del turno precedente.</t>
        </is>
      </c>
    </row>
    <row r="24">
      <c r="A24" s="225" t="inlineStr">
        <is>
          <t>* Per usare meno squadre basta lasciare vuota la colonna C delle righe non utilizzate: classifiche e calendari si adeguano.</t>
        </is>
      </c>
    </row>
    <row r="25">
      <c r="A25" s="225" t="inlineStr">
        <is>
          <t>* Le classifiche si popolano automaticamente inserendo i punteggi nelle colonne Risultato dei fogli calendario.</t>
        </is>
      </c>
    </row>
    <row r="26">
      <c r="A26" s="225" t="inlineStr">
        <is>
          <t>* Il punteggio di forfait e' parametrico (foglio Campionato, cella D9): il valore predefinito e' 40-0.</t>
        </is>
      </c>
    </row>
    <row r="27">
      <c r="A27" s="225" t="inlineStr">
        <is>
          <t>* Foglio DESIGNAZIONI: convalida a elenco e formattazione condizionale anti-duplicato attive su TUTTE le righe predisposte.</t>
        </is>
      </c>
    </row>
    <row r="28">
      <c r="A28" s="225" t="inlineStr">
        <is>
          <t>* La formattazione condizionale evidenzia in rosa la stessa persona designata due volte nella stessa gara.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IF($B2="","",Campionato!$D$1&amp;" "&amp;Campionato!$D$5)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IF($B3="","",Campionato!$D$1&amp;" "&amp;Campionato!$D$5)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IF($B4="","",Campionato!$D$1&amp;" "&amp;Campionato!$D$5)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IF($B5="","",Campionato!$D$1&amp;" "&amp;Campionato!$D$5)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IF($B6="","",Campionato!$D$1&amp;" "&amp;Campionato!$D$5)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IF($B7="","",Campionato!$D$1&amp;" "&amp;Campionato!$D$5)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IF($B8="","",Campionato!$D$1&amp;" "&amp;Campionato!$D$5)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IF($B9="","",Campionato!$D$1&amp;" "&amp;Campionato!$D$5)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IF($B10="","",Campionato!$D$1&amp;" "&amp;Campionato!$D$5)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IF($B11="","",Campionato!$D$1&amp;" "&amp;Campionato!$D$5)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IF($B12="","",Campionato!$D$1&amp;" "&amp;Campionato!$D$5)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IF($B13="","",Campionato!$D$1&amp;" "&amp;Campionato!$D$5)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IF($B14="","",Campionato!$D$1&amp;" "&amp;Campionato!$D$5)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IF($B15="","",Campionato!$D$1&amp;" "&amp;Campionato!$D$5)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IF($B16="","",Campionato!$D$1&amp;" "&amp;Campionato!$D$5)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IF($B17="","",Campionato!$D$1&amp;" "&amp;Campionato!$D$5)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IF($B18="","",Campionato!$D$1&amp;" "&amp;Campionato!$D$5)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IF($B19="","",Campionato!$D$1&amp;" "&amp;Campionato!$D$5)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IF($B20="","",Campionato!$D$1&amp;" "&amp;Campionato!$D$5)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IF($B21="","",Campionato!$D$1&amp;" "&amp;Campionato!$D$5)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IF($B22="","",Campionato!$D$1&amp;" "&amp;Campionato!$D$5)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IF($B23="","",Campionato!$D$1&amp;" "&amp;Campionato!$D$5)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IF($B24="","",Campionato!$D$1&amp;" "&amp;Campionato!$D$5)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IF($B25="","",Campionato!$D$1&amp;" "&amp;Campionato!$D$5)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IF($B26="","",Campionato!$D$1&amp;" "&amp;Campionato!$D$5)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IF($B27="","",Campionato!$D$1&amp;" "&amp;Campionato!$D$5)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IF($B28="","",Campionato!$D$1&amp;" "&amp;Campionato!$D$5)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IF($B29="","",Campionato!$D$1&amp;" "&amp;Campionato!$D$5)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IF($B30="","",Campionato!$D$1&amp;" "&amp;Campionato!$D$5)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IF($B31="","",Campionato!$D$1&amp;" "&amp;Campionato!$D$5)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IF($B32="","",Campionato!$D$1&amp;" "&amp;Campionato!$D$5)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IF($B33="","",Campionato!$D$1&amp;" "&amp;Campionato!$D$5)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IF($B34="","",Campionato!$D$1&amp;" "&amp;Campionato!$D$5)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IF($B35="","",Campionato!$D$1&amp;" "&amp;Campionato!$D$5)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IF($B36="","",Campionato!$D$1&amp;" "&amp;Campionato!$D$5)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IF($B37="","",Campionato!$D$1&amp;" "&amp;Campionato!$D$5)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IF($B38="","",Campionato!$D$1&amp;" "&amp;Campionato!$D$5)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IF($B39="","",Campionato!$D$1&amp;" "&amp;Campionato!$D$5)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IF($B40="","",Campionato!$D$1&amp;" "&amp;Campionato!$D$5)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IF($B41="","",Campionato!$D$1&amp;" "&amp;Campionato!$D$5)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IF($B42="","",Campionato!$D$1&amp;" "&amp;Campionato!$D$5)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IF($B43="","",Campionato!$D$1&amp;" "&amp;Campionato!$D$5)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IF($B44="","",Campionato!$D$1&amp;" "&amp;Campionato!$D$5)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IF($B45="","",Campionato!$D$1&amp;" "&amp;Campionato!$D$5)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IF($B46="","",Campionato!$D$1&amp;" "&amp;Campionato!$D$5)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IF($B47="","",Campionato!$D$1&amp;" "&amp;Campionato!$D$5)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IF($B48="","",Campionato!$D$1&amp;" "&amp;Campionato!$D$5)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IF($B49="","",Campionato!$D$1&amp;" "&amp;Campionato!$D$5)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IF($B50="","",Campionato!$D$1&amp;" "&amp;Campionato!$D$5)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IF($B51="","",Campionato!$D$1&amp;" "&amp;Campionato!$D$5)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IF($B52="","",Campionato!$D$1&amp;" "&amp;Campionato!$D$5)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IF($B53="","",Campionato!$D$1&amp;" "&amp;Campionato!$D$5)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IF($B54="","",Campionato!$D$1&amp;" "&amp;Campionato!$D$5)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IF($B55="","",Campionato!$D$1&amp;" "&amp;Campionato!$D$5)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IF($B56="","",Campionato!$D$1&amp;" "&amp;Campionato!$D$5)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IF($B57="","",Campionato!$D$1&amp;" "&amp;Campionato!$D$5)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IF($B58="","",Campionato!$D$1&amp;" "&amp;Campionato!$D$5)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IF($B59="","",Campionato!$D$1&amp;" "&amp;Campionato!$D$5)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IF($B60="","",Campionato!$D$1&amp;" "&amp;Campionato!$D$5)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IF($B61="","",Campionato!$D$1&amp;" "&amp;Campionato!$D$5)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IF($B62="","",Campionato!$D$1&amp;" "&amp;Campionato!$D$5)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IF($B63="","",Campionato!$D$1&amp;" "&amp;Campionato!$D$5)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IF($B64="","",Campionato!$D$1&amp;" "&amp;Campionato!$D$5)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IF($B65="","",Campionato!$D$1&amp;" "&amp;Campionato!$D$5)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IF($B66="","",Campionato!$D$1&amp;" "&amp;Campionato!$D$5)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IF($B67="","",Campionato!$D$1&amp;" "&amp;Campionato!$D$5)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IF($B68="","",Campionato!$D$1&amp;" "&amp;Campionato!$D$5)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IF($B69="","",Campionato!$D$1&amp;" "&amp;Campionato!$D$5)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IF($B70="","",Campionato!$D$1&amp;" "&amp;Campionato!$D$5)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IF($B71="","",Campionato!$D$1&amp;" "&amp;Campionato!$D$5)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IF($B72="","",Campionato!$D$1&amp;" "&amp;Campionato!$D$5)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IF($B73="","",Campionato!$D$1&amp;" "&amp;Campionato!$D$5)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IF($B74="","",Campionato!$D$1&amp;" "&amp;Campionato!$D$5)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IF($B75="","",Campionato!$D$1&amp;" "&amp;Campionato!$D$5)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IF($B76="","",Campionato!$D$1&amp;" "&amp;Campionato!$D$5)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IF($B77="","",Campionato!$D$1&amp;" "&amp;Campionato!$D$5)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IF($B78="","",Campionato!$D$1&amp;" "&amp;Campionato!$D$5)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IF($B79="","",Campionato!$D$1&amp;" "&amp;Campionato!$D$5)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IF($B80="","",Campionato!$D$1&amp;" "&amp;Campionato!$D$5)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IF($B81="","",Campionato!$D$1&amp;" "&amp;Campionato!$D$5)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IF($B82="","",Campionato!$D$1&amp;" "&amp;Campionato!$D$5)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IF($B83="","",Campionato!$D$1&amp;" "&amp;Campionato!$D$5)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IF($B84="","",Campionato!$D$1&amp;" "&amp;Campionato!$D$5)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IF($B85="","",Campionato!$D$1&amp;" "&amp;Campionato!$D$5)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IF($B86="","",Campionato!$D$1&amp;" "&amp;Campionato!$D$5)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IF($B87="","",Campionato!$D$1&amp;" "&amp;Campionato!$D$5)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IF($B88="","",Campionato!$D$1&amp;" "&amp;Campionato!$D$5)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IF($B89="","",Campionato!$D$1&amp;" "&amp;Campionato!$D$5)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IF($B90="","",Campionato!$D$1&amp;" "&amp;Campionato!$D$5)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IF($B91="","",Campionato!$D$1&amp;" "&amp;Campionato!$D$5)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IF($B92="","",Campionato!$D$1&amp;" "&amp;Campionato!$D$5)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IF($B93="","",Campionato!$D$1&amp;" "&amp;Campionato!$D$5)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IF($B94="","",Campionato!$D$1&amp;" "&amp;Campionato!$D$5)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IF($B95="","",Campionato!$D$1&amp;" "&amp;Campionato!$D$5)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IF($B96="","",Campionato!$D$1&amp;" "&amp;Campionato!$D$5)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IF($B97="","",Campionato!$D$1&amp;" "&amp;Campionato!$D$5)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IF($B98="","",Campionato!$D$1&amp;" "&amp;Campionato!$D$5)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IF($B99="","",Campionato!$D$1&amp;" "&amp;Campionato!$D$5)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IF($B100="","",Campionato!$D$1&amp;" "&amp;Campionato!$D$5)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IF($B101="","",Campionato!$D$1&amp;" "&amp;Campionato!$D$5)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IF($B102="","",Campionato!$D$1&amp;" "&amp;Campionato!$D$5)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IF($B103="","",Campionato!$D$1&amp;" "&amp;Campionato!$D$5)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IF($B104="","",Campionato!$D$1&amp;" "&amp;Campionato!$D$5)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IF($B105="","",Campionato!$D$1&amp;" "&amp;Campionato!$D$5)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IF($B106="","",Campionato!$D$1&amp;" "&amp;Campionato!$D$5)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IF($B107="","",Campionato!$D$1&amp;" "&amp;Campionato!$D$5)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IF($B108="","",Campionato!$D$1&amp;" "&amp;Campionato!$D$5)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IF($B109="","",Campionato!$D$1&amp;" "&amp;Campionato!$D$5)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IF($B110="","",Campionato!$D$1&amp;" "&amp;Campionato!$D$5)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IF($B111="","",Campionato!$D$1&amp;" "&amp;Campionato!$D$5)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IF($B112="","",Campionato!$D$1&amp;" "&amp;Campionato!$D$5)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IF($B113="","",Campionato!$D$1&amp;" "&amp;Campionato!$D$5)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IF($B114="","",Campionato!$D$1&amp;" "&amp;Campionato!$D$5)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IF($B115="","",Campionato!$D$1&amp;" "&amp;Campionato!$D$5)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IF($B116="","",Campionato!$D$1&amp;" "&amp;Campionato!$D$5)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IF($B117="","",Campionato!$D$1&amp;" "&amp;Campionato!$D$5)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IF($B118="","",Campionato!$D$1&amp;" "&amp;Campionato!$D$5)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IF($B119="","",Campionato!$D$1&amp;" "&amp;Campionato!$D$5)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IF($B120="","",Campionato!$D$1&amp;" "&amp;Campionato!$D$5)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IF($B121="","",Campionato!$D$1&amp;" "&amp;Campionato!$D$5)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IF($B122="","",Campionato!$D$1&amp;" "&amp;Campionato!$D$5)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IF($B123="","",Campionato!$D$1&amp;" "&amp;Campionato!$D$5)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IF($B124="","",Campionato!$D$1&amp;" "&amp;Campionato!$D$5)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IF($B125="","",Campionato!$D$1&amp;" "&amp;Campionato!$D$5)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IF($B126="","",Campionato!$D$1&amp;" "&amp;Campionato!$D$5)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IF($B127="","",Campionato!$D$1&amp;" "&amp;Campionato!$D$5)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IF($B128="","",Campionato!$D$1&amp;" "&amp;Campionato!$D$5)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IF($B129="","",Campionato!$D$1&amp;" "&amp;Campionato!$D$5)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IF($B130="","",Campionato!$D$1&amp;" "&amp;Campionato!$D$5)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IF($B131="","",Campionato!$D$1&amp;" "&amp;Campionato!$D$5)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IF($B132="","",Campionato!$D$1&amp;" "&amp;Campionato!$D$5)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IF($B133="","",Campionato!$D$1&amp;" "&amp;Campionato!$D$5)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IF($B134="","",Campionato!$D$1&amp;" "&amp;Campionato!$D$5)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IF($B135="","",Campionato!$D$1&amp;" "&amp;Campionato!$D$5)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IF($B136="","",Campionato!$D$1&amp;" "&amp;Campionato!$D$5)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IF($B137="","",Campionato!$D$1&amp;" "&amp;Campionato!$D$5)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IF($B138="","",Campionato!$D$1&amp;" "&amp;Campionato!$D$5)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IF($B139="","",Campionato!$D$1&amp;" "&amp;Campionato!$D$5)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IF($B140="","",Campionato!$D$1&amp;" "&amp;Campionato!$D$5)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IF($B141="","",Campionato!$D$1&amp;" "&amp;Campionato!$D$5)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IF($B142="","",Campionato!$D$1&amp;" "&amp;Campionato!$D$5)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IF($B143="","",Campionato!$D$1&amp;" "&amp;Campionato!$D$5)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IF($B144="","",Campionato!$D$1&amp;" "&amp;Campionato!$D$5)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IF($B145="","",Campionato!$D$1&amp;" "&amp;Campionato!$D$5)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IF($B146="","",Campionato!$D$1&amp;" "&amp;Campionato!$D$5)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IF($B147="","",Campionato!$D$1&amp;" "&amp;Campionato!$D$5)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IF($B148="","",Campionato!$D$1&amp;" "&amp;Campionato!$D$5)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IF($B149="","",Campionato!$D$1&amp;" "&amp;Campionato!$D$5)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IF($B150="","",Campionato!$D$1&amp;" "&amp;Campionato!$D$5)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IF($B151="","",Campionato!$D$1&amp;" "&amp;Campionato!$D$5)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IF($B152="","",Campionato!$D$1&amp;" "&amp;Campionato!$D$5)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IF($B153="","",Campionato!$D$1&amp;" "&amp;Campionato!$D$5)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IF($B154="","",Campionato!$D$1&amp;" "&amp;Campionato!$D$5)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IF($B155="","",Campionato!$D$1&amp;" "&amp;Campionato!$D$5)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IF($B156="","",Campionato!$D$1&amp;" "&amp;Campionato!$D$5)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IF($B157="","",Campionato!$D$1&amp;" "&amp;Campionato!$D$5)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IF($B158="","",Campionato!$D$1&amp;" "&amp;Campionato!$D$5)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IF($B159="","",Campionato!$D$1&amp;" "&amp;Campionato!$D$5)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IF($B160="","",Campionato!$D$1&amp;" "&amp;Campionato!$D$5)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IF($B161="","",Campionato!$D$1&amp;" "&amp;Campionato!$D$5)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IF($B162="","",Campionato!$D$1&amp;" "&amp;Campionato!$D$5)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IF($B163="","",Campionato!$D$1&amp;" "&amp;Campionato!$D$5)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IF($B164="","",Campionato!$D$1&amp;" "&amp;Campionato!$D$5)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IF($B165="","",Campionato!$D$1&amp;" "&amp;Campionato!$D$5)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IF($B166="","",Campionato!$D$1&amp;" "&amp;Campionato!$D$5)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IF($B167="","",Campionato!$D$1&amp;" "&amp;Campionato!$D$5)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IF($B168="","",Campionato!$D$1&amp;" "&amp;Campionato!$D$5)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IF($B169="","",Campionato!$D$1&amp;" "&amp;Campionato!$D$5)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IF($B170="","",Campionato!$D$1&amp;" "&amp;Campionato!$D$5)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IF($B171="","",Campionato!$D$1&amp;" "&amp;Campionato!$D$5)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IF($B172="","",Campionato!$D$1&amp;" "&amp;Campionato!$D$5)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IF($B173="","",Campionato!$D$1&amp;" "&amp;Campionato!$D$5)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IF($B174="","",Campionato!$D$1&amp;" "&amp;Campionato!$D$5)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IF($B175="","",Campionato!$D$1&amp;" "&amp;Campionato!$D$5)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IF($B176="","",Campionato!$D$1&amp;" "&amp;Campionato!$D$5)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IF($B177="","",Campionato!$D$1&amp;" "&amp;Campionato!$D$5)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IF($B178="","",Campionato!$D$1&amp;" "&amp;Campionato!$D$5)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IF($B179="","",Campionato!$D$1&amp;" "&amp;Campionato!$D$5)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IF($B180="","",Campionato!$D$1&amp;" "&amp;Campionato!$D$5)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IF($B181="","",Campionato!$D$1&amp;" "&amp;Campionato!$D$5)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IF($B182="","",Campionato!$D$1&amp;" "&amp;Campionato!$D$5)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IF($B183="","",Campionato!$D$1&amp;" "&amp;Campionato!$D$5)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IF($B184="","",Campionato!$D$1&amp;" "&amp;Campionato!$D$5)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IF($B185="","",Campionato!$D$1&amp;" "&amp;Campionato!$D$5)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IF($B186="","",Campionato!$D$1&amp;" "&amp;Campionato!$D$5)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IF($B187="","",Campionato!$D$1&amp;" "&amp;Campionato!$D$5)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IF($B188="","",Campionato!$D$1&amp;" "&amp;Campionato!$D$5)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IF($B189="","",Campionato!$D$1&amp;" "&amp;Campionato!$D$5)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IF($B190="","",Campionato!$D$1&amp;" "&amp;Campionato!$D$5)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IF($B191="","",Campionato!$D$1&amp;" "&amp;Campionato!$D$5)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IF($B192="","",Campionato!$D$1&amp;" "&amp;Campionato!$D$5)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IF($B193="","",Campionato!$D$1&amp;" "&amp;Campionato!$D$5)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IF($B194="","",Campionato!$D$1&amp;" "&amp;Campionato!$D$5)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IF($B195="","",Campionato!$D$1&amp;" "&amp;Campionato!$D$5)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IF($B196="","",Campionato!$D$1&amp;" "&amp;Campionato!$D$5)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IF($B197="","",Campionato!$D$1&amp;" "&amp;Campionato!$D$5)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IF($B198="","",Campionato!$D$1&amp;" "&amp;Campionato!$D$5)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IF($B199="","",Campionato!$D$1&amp;" "&amp;Campionato!$D$5)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IF($B200="","",Campionato!$D$1&amp;" "&amp;Campionato!$D$5)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IF($B201="","",Campionato!$D$1&amp;" "&amp;Campionato!$D$5)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IF($B202="","",Campionato!$D$1&amp;" "&amp;Campionato!$D$5)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IF($B203="","",Campionato!$D$1&amp;" "&amp;Campionato!$D$5)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IF($B204="","",Campionato!$D$1&amp;" "&amp;Campionato!$D$5)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IF($B205="","",Campionato!$D$1&amp;" "&amp;Campionato!$D$5)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IF($B206="","",Campionato!$D$1&amp;" "&amp;Campionato!$D$5)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IF($B207="","",Campionato!$D$1&amp;" "&amp;Campionato!$D$5)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IF($B208="","",Campionato!$D$1&amp;" "&amp;Campionato!$D$5)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IF($B209="","",Campionato!$D$1&amp;" "&amp;Campionato!$D$5)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IF($B210="","",Campionato!$D$1&amp;" "&amp;Campionato!$D$5)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IF($B211="","",Campionato!$D$1&amp;" "&amp;Campionato!$D$5)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IF($B212="","",Campionato!$D$1&amp;" "&amp;Campionato!$D$5)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IF($B213="","",Campionato!$D$1&amp;" "&amp;Campionato!$D$5)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IF($B214="","",Campionato!$D$1&amp;" "&amp;Campionato!$D$5)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IF($B215="","",Campionato!$D$1&amp;" "&amp;Campionato!$D$5)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IF($B216="","",Campionato!$D$1&amp;" "&amp;Campionato!$D$5)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IF($B217="","",Campionato!$D$1&amp;" "&amp;Campionato!$D$5)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IF($B218="","",Campionato!$D$1&amp;" "&amp;Campionato!$D$5)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IF($B219="","",Campionato!$D$1&amp;" "&amp;Campionato!$D$5)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IF($B220="","",Campionato!$D$1&amp;" "&amp;Campionato!$D$5)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IF($B221="","",Campionato!$D$1&amp;" "&amp;Campionato!$D$5)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IF($B222="","",Campionato!$D$1&amp;" "&amp;Campionato!$D$5)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IF($B223="","",Campionato!$D$1&amp;" "&amp;Campionato!$D$5)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IF($B224="","",Campionato!$D$1&amp;" "&amp;Campionato!$D$5)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IF($B225="","",Campionato!$D$1&amp;" "&amp;Campionato!$D$5)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IF($B226="","",Campionato!$D$1&amp;" "&amp;Campionato!$D$5)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IF($B227="","",Campionato!$D$1&amp;" "&amp;Campionato!$D$5)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IF($B228="","",Campionato!$D$1&amp;" "&amp;Campionato!$D$5)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IF($B229="","",Campionato!$D$1&amp;" "&amp;Campionato!$D$5)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IF($B230="","",Campionato!$D$1&amp;" "&amp;Campionato!$D$5)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IF($B231="","",Campionato!$D$1&amp;" "&amp;Campionato!$D$5)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IF($B232="","",Campionato!$D$1&amp;" "&amp;Campionato!$D$5)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IF($B233="","",Campionato!$D$1&amp;" "&amp;Campionato!$D$5)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IF($B234="","",Campionato!$D$1&amp;" "&amp;Campionato!$D$5)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IF($B235="","",Campionato!$D$1&amp;" "&amp;Campionato!$D$5)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IF($B236="","",Campionato!$D$1&amp;" "&amp;Campionato!$D$5)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IF($B237="","",Campionato!$D$1&amp;" "&amp;Campionato!$D$5)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IF($B238="","",Campionato!$D$1&amp;" "&amp;Campionato!$D$5)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IF($B239="","",Campionato!$D$1&amp;" "&amp;Campionato!$D$5)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IF($B240="","",Campionato!$D$1&amp;" "&amp;Campionato!$D$5)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IF($B241="","",Campionato!$D$1&amp;" "&amp;Campionato!$D$5)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IF($B242="","",Campionato!$D$1&amp;" "&amp;Campionato!$D$5)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IF($B243="","",Campionato!$D$1&amp;" "&amp;Campionato!$D$5)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IF($B244="","",Campionato!$D$1&amp;" "&amp;Campionato!$D$5)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IF($B245="","",Campionato!$D$1&amp;" "&amp;Campionato!$D$5)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IF($B246="","",Campionato!$D$1&amp;" "&amp;Campionato!$D$5)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IF($B247="","",Campionato!$D$1&amp;" "&amp;Campionato!$D$5)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IF($B248="","",Campionato!$D$1&amp;" "&amp;Campionato!$D$5)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IF($B249="","",Campionato!$D$1&amp;" "&amp;Campionato!$D$5)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IF($B250="","",Campionato!$D$1&amp;" "&amp;Campionato!$D$5)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IF($B251="","",Campionato!$D$1&amp;" "&amp;Campionato!$D$5)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IF($B252="","",Campionato!$D$1&amp;" "&amp;Campionato!$D$5)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IF($B253="","",Campionato!$D$1&amp;" "&amp;Campionato!$D$5)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IF($B254="","",Campionato!$D$1&amp;" "&amp;Campionato!$D$5)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IF($B255="","",Campionato!$D$1&amp;" "&amp;Campionato!$D$5)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IF($B256="","",Campionato!$D$1&amp;" "&amp;Campionato!$D$5)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IF($B257="","",Campionato!$D$1&amp;" "&amp;Campionato!$D$5)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IF($B258="","",Campionato!$D$1&amp;" "&amp;Campionato!$D$5)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IF($B259="","",Campionato!$D$1&amp;" "&amp;Campionato!$D$5)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IF($B260="","",Campionato!$D$1&amp;" "&amp;Campionato!$D$5)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IF($B261="","",Campionato!$D$1&amp;" "&amp;Campionato!$D$5)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IF($B262="","",Campionato!$D$1&amp;" "&amp;Campionato!$D$5)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IF($B263="","",Campionato!$D$1&amp;" "&amp;Campionato!$D$5)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IF($B264="","",Campionato!$D$1&amp;" "&amp;Campionato!$D$5)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IF($B265="","",Campionato!$D$1&amp;" "&amp;Campionato!$D$5)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IF($B266="","",Campionato!$D$1&amp;" "&amp;Campionato!$D$5)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IF($B267="","",Campionato!$D$1&amp;" "&amp;Campionato!$D$5)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IF($B268="","",Campionato!$D$1&amp;" "&amp;Campionato!$D$5)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IF($B269="","",Campionato!$D$1&amp;" "&amp;Campionato!$D$5)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IF($B270="","",Campionato!$D$1&amp;" "&amp;Campionato!$D$5)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IF($B271="","",Campionato!$D$1&amp;" "&amp;Campionato!$D$5)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IF($B272="","",Campionato!$D$1&amp;" "&amp;Campionato!$D$5)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IF($B273="","",Campionato!$D$1&amp;" "&amp;Campionato!$D$5)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IF($B274="","",Campionato!$D$1&amp;" "&amp;Campionato!$D$5)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IF($B275="","",Campionato!$D$1&amp;" "&amp;Campionato!$D$5)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IF($B276="","",Campionato!$D$1&amp;" "&amp;Campionato!$D$5)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IF($B277="","",Campionato!$D$1&amp;" "&amp;Campionato!$D$5)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IF($B278="","",Campionato!$D$1&amp;" "&amp;Campionato!$D$5)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IF($B279="","",Campionato!$D$1&amp;" "&amp;Campionato!$D$5)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IF($B280="","",Campionato!$D$1&amp;" "&amp;Campionato!$D$5)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IF($B281="","",Campionato!$D$1&amp;" "&amp;Campionato!$D$5)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IF($B282="","",Campionato!$D$1&amp;" "&amp;Campionato!$D$5)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IF($B283="","",Campionato!$D$1&amp;" "&amp;Campionato!$D$5)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IF($B284="","",Campionato!$D$1&amp;" "&amp;Campionato!$D$5)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IF($B285="","",Campionato!$D$1&amp;" "&amp;Campionato!$D$5)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IF($B286="","",Campionato!$D$1&amp;" "&amp;Campionato!$D$5)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IF($B287="","",Campionato!$D$1&amp;" "&amp;Campionato!$D$5)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IF($B288="","",Campionato!$D$1&amp;" "&amp;Campionato!$D$5)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IF($B289="","",Campionato!$D$1&amp;" "&amp;Campionato!$D$5)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IF($B290="","",Campionato!$D$1&amp;" "&amp;Campionato!$D$5)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IF($B291="","",Campionato!$D$1&amp;" "&amp;Campionato!$D$5)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IF($B292="","",Campionato!$D$1&amp;" "&amp;Campionato!$D$5)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IF($B293="","",Campionato!$D$1&amp;" "&amp;Campionato!$D$5)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IF($B294="","",Campionato!$D$1&amp;" "&amp;Campionato!$D$5)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IF($B295="","",Campionato!$D$1&amp;" "&amp;Campionato!$D$5)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IF($B296="","",Campionato!$D$1&amp;" "&amp;Campionato!$D$5)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IF($B297="","",Campionato!$D$1&amp;" "&amp;Campionato!$D$5)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IF($B298="","",Campionato!$D$1&amp;" "&amp;Campionato!$D$5)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IF($B299="","",Campionato!$D$1&amp;" "&amp;Campionato!$D$5)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IF($B300="","",Campionato!$D$1&amp;" "&amp;Campionato!$D$5)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IF($B301="","",Campionato!$D$1&amp;" "&amp;Campionato!$D$5)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IF($B302="","",Campionato!$D$1&amp;" "&amp;Campionato!$D$5)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IF($B303="","",Campionato!$D$1&amp;" "&amp;Campionato!$D$5)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IF($B304="","",Campionato!$D$1&amp;" "&amp;Campionato!$D$5)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IF($B305="","",Campionato!$D$1&amp;" "&amp;Campionato!$D$5)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IF($B306="","",Campionato!$D$1&amp;" "&amp;Campionato!$D$5)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IF($B307="","",Campionato!$D$1&amp;" "&amp;Campionato!$D$5)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IF($B308="","",Campionato!$D$1&amp;" "&amp;Campionato!$D$5)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IF($B309="","",Campionato!$D$1&amp;" "&amp;Campionato!$D$5)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IF($B310="","",Campionato!$D$1&amp;" "&amp;Campionato!$D$5)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IF($B311="","",Campionato!$D$1&amp;" "&amp;Campionato!$D$5)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IF($B312="","",Campionato!$D$1&amp;" "&amp;Campionato!$D$5)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IF($B313="","",Campionato!$D$1&amp;" "&amp;Campionato!$D$5)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IF($B314="","",Campionato!$D$1&amp;" "&amp;Campionato!$D$5)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IF($B315="","",Campionato!$D$1&amp;" "&amp;Campionato!$D$5)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IF($B316="","",Campionato!$D$1&amp;" "&amp;Campionato!$D$5)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IF($B317="","",Campionato!$D$1&amp;" "&amp;Campionato!$D$5)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IF($B318="","",Campionato!$D$1&amp;" "&amp;Campionato!$D$5)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IF($B319="","",Campionato!$D$1&amp;" "&amp;Campionato!$D$5)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IF($B320="","",Campionato!$D$1&amp;" "&amp;Campionato!$D$5)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IF($B321="","",Campionato!$D$1&amp;" "&amp;Campionato!$D$5)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IF($B322="","",Campionato!$D$1&amp;" "&amp;Campionato!$D$5)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IF($B323="","",Campionato!$D$1&amp;" "&amp;Campionato!$D$5)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IF($B324="","",Campionato!$D$1&amp;" "&amp;Campionato!$D$5)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IF($B325="","",Campionato!$D$1&amp;" "&amp;Campionato!$D$5)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IF($B326="","",Campionato!$D$1&amp;" "&amp;Campionato!$D$5)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IF($B327="","",Campionato!$D$1&amp;" "&amp;Campionato!$D$5)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IF($B328="","",Campionato!$D$1&amp;" "&amp;Campionato!$D$5)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IF($B329="","",Campionato!$D$1&amp;" "&amp;Campionato!$D$5)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IF($B330="","",Campionato!$D$1&amp;" "&amp;Campionato!$D$5)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IF($B331="","",Campionato!$D$1&amp;" "&amp;Campionato!$D$5)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IF($B332="","",Campionato!$D$1&amp;" "&amp;Campionato!$D$5)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IF($B333="","",Campionato!$D$1&amp;" "&amp;Campionato!$D$5)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IF($B334="","",Campionato!$D$1&amp;" "&amp;Campionato!$D$5)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IF($B335="","",Campionato!$D$1&amp;" "&amp;Campionato!$D$5)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IF($B336="","",Campionato!$D$1&amp;" "&amp;Campionato!$D$5)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IF($B337="","",Campionato!$D$1&amp;" "&amp;Campionato!$D$5)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IF($B338="","",Campionato!$D$1&amp;" "&amp;Campionato!$D$5)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IF($B339="","",Campionato!$D$1&amp;" "&amp;Campionato!$D$5)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IF($B340="","",Campionato!$D$1&amp;" "&amp;Campionato!$D$5)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IF($B341="","",Campionato!$D$1&amp;" "&amp;Campionato!$D$5)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IF($B342="","",Campionato!$D$1&amp;" "&amp;Campionato!$D$5)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IF($B343="","",Campionato!$D$1&amp;" "&amp;Campionato!$D$5)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IF($B344="","",Campionato!$D$1&amp;" "&amp;Campionato!$D$5)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IF($B345="","",Campionato!$D$1&amp;" "&amp;Campionato!$D$5)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IF($B346="","",Campionato!$D$1&amp;" "&amp;Campionato!$D$5)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IF($B347="","",Campionato!$D$1&amp;" "&amp;Campionato!$D$5)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IF($B348="","",Campionato!$D$1&amp;" "&amp;Campionato!$D$5)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IF($B349="","",Campionato!$D$1&amp;" "&amp;Campionato!$D$5)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IF($B350="","",Campionato!$D$1&amp;" "&amp;Campionato!$D$5)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IF($B351="","",Campionato!$D$1&amp;" "&amp;Campionato!$D$5)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IF($B352="","",Campionato!$D$1&amp;" "&amp;Campionato!$D$5)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IF($B353="","",Campionato!$D$1&amp;" "&amp;Campionato!$D$5)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IF($B354="","",Campionato!$D$1&amp;" "&amp;Campionato!$D$5)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IF($B355="","",Campionato!$D$1&amp;" "&amp;Campionato!$D$5)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IF($B356="","",Campionato!$D$1&amp;" "&amp;Campionato!$D$5)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IF($B357="","",Campionato!$D$1&amp;" "&amp;Campionato!$D$5)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IF($B358="","",Campionato!$D$1&amp;" "&amp;Campionato!$D$5)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IF($B359="","",Campionato!$D$1&amp;" "&amp;Campionato!$D$5)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IF($B360="","",Campionato!$D$1&amp;" "&amp;Campionato!$D$5)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IF($B361="","",Campionato!$D$1&amp;" "&amp;Campionato!$D$5)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IF($B362="","",Campionato!$D$1&amp;" "&amp;Campionato!$D$5)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IF($B363="","",Campionato!$D$1&amp;" "&amp;Campionato!$D$5)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IF($B364="","",Campionato!$D$1&amp;" "&amp;Campionato!$D$5)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IF($B365="","",Campionato!$D$1&amp;" "&amp;Campionato!$D$5)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IF($B366="","",Campionato!$D$1&amp;" "&amp;Campionato!$D$5)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IF($B367="","",Campionato!$D$1&amp;" "&amp;Campionato!$D$5)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IF($B368="","",Campionato!$D$1&amp;" "&amp;Campionato!$D$5)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IF($B369="","",Campionato!$D$1&amp;" "&amp;Campionato!$D$5)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IF($B370="","",Campionato!$D$1&amp;" "&amp;Campionato!$D$5)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IF($B371="","",Campionato!$D$1&amp;" "&amp;Campionato!$D$5)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IF($B372="","",Campionato!$D$1&amp;" "&amp;Campionato!$D$5)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IF($B373="","",Campionato!$D$1&amp;" "&amp;Campionato!$D$5)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IF($B374="","",Campionato!$D$1&amp;" "&amp;Campionato!$D$5)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IF($B375="","",Campionato!$D$1&amp;" "&amp;Campionato!$D$5)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IF($B376="","",Campionato!$D$1&amp;" "&amp;Campionato!$D$5)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IF($B377="","",Campionato!$D$1&amp;" "&amp;Campionato!$D$5)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IF($B378="","",Campionato!$D$1&amp;" "&amp;Campionato!$D$5)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IF($B379="","",Campionato!$D$1&amp;" "&amp;Campionato!$D$5)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IF($B380="","",Campionato!$D$1&amp;" "&amp;Campionato!$D$5)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IF($B381="","",Campionato!$D$1&amp;" "&amp;Campionato!$D$5)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IF($B382="","",Campionato!$D$1&amp;" "&amp;Campionato!$D$5)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IF($B383="","",Campionato!$D$1&amp;" "&amp;Campionato!$D$5)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IF($B384="","",Campionato!$D$1&amp;" "&amp;Campionato!$D$5)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IF($B385="","",Campionato!$D$1&amp;" "&amp;Campionato!$D$5)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IF($B386="","",Campionato!$D$1&amp;" "&amp;Campionato!$D$5)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IF($B387="","",Campionato!$D$1&amp;" "&amp;Campionato!$D$5)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IF($B388="","",Campionato!$D$1&amp;" "&amp;Campionato!$D$5)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IF($B389="","",Campionato!$D$1&amp;" "&amp;Campionato!$D$5)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IF($B390="","",Campionato!$D$1&amp;" "&amp;Campionato!$D$5)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IF($B391="","",Campionato!$D$1&amp;" "&amp;Campionato!$D$5)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IF($B392="","",Campionato!$D$1&amp;" "&amp;Campionato!$D$5)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IF($B393="","",Campionato!$D$1&amp;" "&amp;Campionato!$D$5)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IF($B394="","",Campionato!$D$1&amp;" "&amp;Campionato!$D$5)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IF($B395="","",Campionato!$D$1&amp;" "&amp;Campionato!$D$5)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IF($B396="","",Campionato!$D$1&amp;" "&amp;Campionato!$D$5)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IF($B397="","",Campionato!$D$1&amp;" "&amp;Campionato!$D$5)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IF($B398="","",Campionato!$D$1&amp;" "&amp;Campionato!$D$5)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IF($B399="","",Campionato!$D$1&amp;" "&amp;Campionato!$D$5)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IF($B400="","",Campionato!$D$1&amp;" "&amp;Campionato!$D$5)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IF($B401="","",Campionato!$D$1&amp;" "&amp;Campionato!$D$5)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IF($B402="","",Campionato!$D$1&amp;" "&amp;Campionato!$D$5)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IF($B403="","",Campionato!$D$1&amp;" "&amp;Campionato!$D$5)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IF($B404="","",Campionato!$D$1&amp;" "&amp;Campionato!$D$5)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IF($B405="","",Campionato!$D$1&amp;" "&amp;Campionato!$D$5)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IF($B406="","",Campionato!$D$1&amp;" "&amp;Campionato!$D$5)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IF($B407="","",Campionato!$D$1&amp;" "&amp;Campionato!$D$5)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IF($B408="","",Campionato!$D$1&amp;" "&amp;Campionato!$D$5)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IF($B409="","",Campionato!$D$1&amp;" "&amp;Campionato!$D$5)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IF($B410="","",Campionato!$D$1&amp;" "&amp;Campionato!$D$5)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IF($B411="","",Campionato!$D$1&amp;" "&amp;Campionato!$D$5)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IF($B412="","",Campionato!$D$1&amp;" "&amp;Campionato!$D$5)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IF($B413="","",Campionato!$D$1&amp;" "&amp;Campionato!$D$5)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IF($B414="","",Campionato!$D$1&amp;" "&amp;Campionato!$D$5)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IF($B415="","",Campionato!$D$1&amp;" "&amp;Campionato!$D$5)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IF($B416="","",Campionato!$D$1&amp;" "&amp;Campionato!$D$5)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IF($B417="","",Campionato!$D$1&amp;" "&amp;Campionato!$D$5)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IF($B418="","",Campionato!$D$1&amp;" "&amp;Campionato!$D$5)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IF($B419="","",Campionato!$D$1&amp;" "&amp;Campionato!$D$5)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IF($B420="","",Campionato!$D$1&amp;" "&amp;Campionato!$D$5)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IF($B421="","",Campionato!$D$1&amp;" "&amp;Campionato!$D$5)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IF($B422="","",Campionato!$D$1&amp;" "&amp;Campionato!$D$5)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IF($B423="","",Campionato!$D$1&amp;" "&amp;Campionato!$D$5)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IF($B424="","",Campionato!$D$1&amp;" "&amp;Campionato!$D$5)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IF($B425="","",Campionato!$D$1&amp;" "&amp;Campionato!$D$5)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IF($B426="","",Campionato!$D$1&amp;" "&amp;Campionato!$D$5)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IF($B427="","",Campionato!$D$1&amp;" "&amp;Campionato!$D$5)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IF($B428="","",Campionato!$D$1&amp;" "&amp;Campionato!$D$5)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IF($B429="","",Campionato!$D$1&amp;" "&amp;Campionato!$D$5)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IF($B430="","",Campionato!$D$1&amp;" "&amp;Campionato!$D$5)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IF($B431="","",Campionato!$D$1&amp;" "&amp;Campionato!$D$5)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IF($B432="","",Campionato!$D$1&amp;" "&amp;Campionato!$D$5)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IF($B433="","",Campionato!$D$1&amp;" "&amp;Campionato!$D$5)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IF($B434="","",Campionato!$D$1&amp;" "&amp;Campionato!$D$5)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IF($B435="","",Campionato!$D$1&amp;" "&amp;Campionato!$D$5)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IF($B436="","",Campionato!$D$1&amp;" "&amp;Campionato!$D$5)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IF($B437="","",Campionato!$D$1&amp;" "&amp;Campionato!$D$5)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IF($B438="","",Campionato!$D$1&amp;" "&amp;Campionato!$D$5)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IF($B439="","",Campionato!$D$1&amp;" "&amp;Campionato!$D$5)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IF($B440="","",Campionato!$D$1&amp;" "&amp;Campionato!$D$5)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IF($B441="","",Campionato!$D$1&amp;" "&amp;Campionato!$D$5)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IF($B442="","",Campionato!$D$1&amp;" "&amp;Campionato!$D$5)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IF($B443="","",Campionato!$D$1&amp;" "&amp;Campionato!$D$5)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IF($B444="","",Campionato!$D$1&amp;" "&amp;Campionato!$D$5)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IF($B445="","",Campionato!$D$1&amp;" "&amp;Campionato!$D$5)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IF($B446="","",Campionato!$D$1&amp;" "&amp;Campionato!$D$5)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IF($B447="","",Campionato!$D$1&amp;" "&amp;Campionato!$D$5)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IF($B448="","",Campionato!$D$1&amp;" "&amp;Campionato!$D$5)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IF($B449="","",Campionato!$D$1&amp;" "&amp;Campionato!$D$5)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IF($B450="","",Campionato!$D$1&amp;" "&amp;Campionato!$D$5)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IF($B451="","",Campionato!$D$1&amp;" "&amp;Campionato!$D$5)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IF($B452="","",Campionato!$D$1&amp;" "&amp;Campionato!$D$5)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IF($B453="","",Campionato!$D$1&amp;" "&amp;Campionato!$D$5)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IF($B454="","",Campionato!$D$1&amp;" "&amp;Campionato!$D$5)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IF($B455="","",Campionato!$D$1&amp;" "&amp;Campionato!$D$5)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IF($B456="","",Campionato!$D$1&amp;" "&amp;Campionato!$D$5)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IF($B457="","",Campionato!$D$1&amp;" "&amp;Campionato!$D$5)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IF($B458="","",Campionato!$D$1&amp;" "&amp;Campionato!$D$5)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IF($B459="","",Campionato!$D$1&amp;" "&amp;Campionato!$D$5)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IF($B460="","",Campionato!$D$1&amp;" "&amp;Campionato!$D$5)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IF($B461="","",Campionato!$D$1&amp;" "&amp;Campionato!$D$5)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IF($B462="","",Campionato!$D$1&amp;" "&amp;Campionato!$D$5)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IF($B463="","",Campionato!$D$1&amp;" "&amp;Campionato!$D$5)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IF($B464="","",Campionato!$D$1&amp;" "&amp;Campionato!$D$5)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IF($B465="","",Campionato!$D$1&amp;" "&amp;Campionato!$D$5)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IF($B466="","",Campionato!$D$1&amp;" "&amp;Campionato!$D$5)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IF($B467="","",Campionato!$D$1&amp;" "&amp;Campionato!$D$5)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2026-09-07T15:46:31Z</dcterms:created>
  <dcterms:modified xmlns:dcterms="http://purl.org/dc/terms/" xmlns:xsi="http://www.w3.org/2001/XMLSchema-instance" xsi:type="dcterms:W3CDTF">2026-09-07T15:47:10Z</dcterms:modified>
</cp:coreProperties>
</file>